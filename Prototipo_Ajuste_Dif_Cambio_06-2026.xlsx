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Resumen y notas" sheetId="2" state="visible" r:id="rId4"/>
    <sheet name="Cálculo" sheetId="3" state="visible" r:id="rId5"/>
    <sheet name="Importad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<sst xmlns="http://schemas.openxmlformats.org/spreadsheetml/2006/main" count="412" uniqueCount="238">
  <si>
    <t xml:space="preserve">Ajuste por Conversión – Diferencia de Cambio USD</t>
  </si>
  <si>
    <t xml:space="preserve">Southern Copper Argentina S.R.L. — Período 06/2026 (PROTOTIPO)</t>
  </si>
  <si>
    <t xml:space="preserve">Fecha de cierre</t>
  </si>
  <si>
    <t xml:space="preserve">T.C. COMPRA (aplica al ACTIVO)</t>
  </si>
  <si>
    <t xml:space="preserve">T.C. VENTA (aplica al PASIVO)</t>
  </si>
  <si>
    <t xml:space="preserve">Concepto del asiento</t>
  </si>
  <si>
    <t xml:space="preserve">Ajuste por Conversión</t>
  </si>
  <si>
    <t xml:space="preserve">Número de asiento</t>
  </si>
  <si>
    <t xml:space="preserve">Cuenta de balanceo (resultado)</t>
  </si>
  <si>
    <t xml:space="preserve">423050000</t>
  </si>
  <si>
    <t xml:space="preserve">Umbral materialidad (USD)</t>
  </si>
  <si>
    <t xml:space="preserve">Celdas amarillas = editá el tipo de cambio y todo el modelo recalcula.</t>
  </si>
  <si>
    <t xml:space="preserve">Resumen del asiento — 06/2026</t>
  </si>
  <si>
    <t xml:space="preserve">Líneas que publican (cuentas)</t>
  </si>
  <si>
    <t xml:space="preserve">Ajuste a Diferencia de Cambio USD (423050000)</t>
  </si>
  <si>
    <t xml:space="preserve">Control de cierre (debe ser 0)</t>
  </si>
  <si>
    <t xml:space="preserve">Cuentas marcadas para revisar</t>
  </si>
  <si>
    <t xml:space="preserve">Cómo se arma (resumen):</t>
  </si>
  <si>
    <t xml:space="preserve">• Cuentas MONETARIAS del ACTIVO/PASIVO. No monetarias excluidas: bienes de uso (1240xx),</t>
  </si>
  <si>
    <t xml:space="preserve">  depreciaciones, cargos diferidos (1250xx), y puntuales 114010016 / 114050005 / 211050000.</t>
  </si>
  <si>
    <t xml:space="preserve">• ACTIVO usa T.C. COMPRA; PASIVO usa T.C. VENTA (celdas en Parámetros).</t>
  </si>
  <si>
    <t xml:space="preserve">• USD teórico = pesos/TC (proveedores sin redondear; resto REDONDEAR a 2).</t>
  </si>
  <si>
    <t xml:space="preserve">• Ajuste = USD teórico − USD en libros. Publica si |ajuste| ≥ 0,01.</t>
  </si>
  <si>
    <t xml:space="preserve">• Contrapartida por el neto → 423050000 Diferencia de Cambio USD. El asiento cierra en 0.</t>
  </si>
  <si>
    <t xml:space="preserve">Salvaguarda (columna ¿Revisar? en Cálculo):</t>
  </si>
  <si>
    <t xml:space="preserve">• Marca una cuenta si el ajuste es &gt; 30% del saldo USD Y &gt; 500 USD (perfil de una no monetaria</t>
  </si>
  <si>
    <t xml:space="preserve">  mal clasificada). Con la data real de junio no salta ninguna (config correcta).</t>
  </si>
  <si>
    <t xml:space="preserve">Nota: los saldos en pesos y USD provienen del SyS 06/2026. Editá los TC (amarillo) para recalcular.</t>
  </si>
  <si>
    <t xml:space="preserve">HOJA DE CÁLCULO — cada USD se deriva por fórmula desde el saldo en pesos y el TC de cierre</t>
  </si>
  <si>
    <t xml:space="preserve">Código</t>
  </si>
  <si>
    <t xml:space="preserve">Denominación</t>
  </si>
  <si>
    <t xml:space="preserve">Sección</t>
  </si>
  <si>
    <t xml:space="preserve">Tipo</t>
  </si>
  <si>
    <t xml:space="preserve">Saldo Pesos ($)</t>
  </si>
  <si>
    <t xml:space="preserve">Saldo USD Libros</t>
  </si>
  <si>
    <t xml:space="preserve">T.C. Aplicado</t>
  </si>
  <si>
    <t xml:space="preserve">USD Teórico (pesos/TC)</t>
  </si>
  <si>
    <t xml:space="preserve">Ajuste USD</t>
  </si>
  <si>
    <t xml:space="preserve">¿Publica?</t>
  </si>
  <si>
    <t xml:space="preserve">¿Revisar?</t>
  </si>
  <si>
    <t xml:space="preserve">111010001</t>
  </si>
  <si>
    <t xml:space="preserve">Caja</t>
  </si>
  <si>
    <t xml:space="preserve">ACTIVO</t>
  </si>
  <si>
    <t xml:space="preserve">General</t>
  </si>
  <si>
    <t xml:space="preserve">111020001</t>
  </si>
  <si>
    <t xml:space="preserve">ICBC S.A. c/c</t>
  </si>
  <si>
    <t xml:space="preserve">111020005</t>
  </si>
  <si>
    <t xml:space="preserve">Banco Macro Pesos</t>
  </si>
  <si>
    <t xml:space="preserve">111020006</t>
  </si>
  <si>
    <t xml:space="preserve">Banco Galicia c/c</t>
  </si>
  <si>
    <t xml:space="preserve">114010001</t>
  </si>
  <si>
    <t xml:space="preserve">IVA Crédito Fiscal</t>
  </si>
  <si>
    <t xml:space="preserve">114010002</t>
  </si>
  <si>
    <t xml:space="preserve">IVA saldo a favor</t>
  </si>
  <si>
    <t xml:space="preserve">114010003</t>
  </si>
  <si>
    <t xml:space="preserve">Ret. y Perc. IVA</t>
  </si>
  <si>
    <t xml:space="preserve">114010004</t>
  </si>
  <si>
    <t xml:space="preserve">Ret. y Perc. IIBB</t>
  </si>
  <si>
    <t xml:space="preserve">114010005</t>
  </si>
  <si>
    <t xml:space="preserve">IIBB saldo a favor</t>
  </si>
  <si>
    <t xml:space="preserve">114010006</t>
  </si>
  <si>
    <t xml:space="preserve">Crédito Imp. L.25413</t>
  </si>
  <si>
    <t xml:space="preserve">114010010</t>
  </si>
  <si>
    <t xml:space="preserve">Imp. Gcia. Min. Presunta</t>
  </si>
  <si>
    <t xml:space="preserve">114010013</t>
  </si>
  <si>
    <t xml:space="preserve">GMP saldo a favor</t>
  </si>
  <si>
    <t xml:space="preserve">114010014</t>
  </si>
  <si>
    <t xml:space="preserve">Saldos a favor Ganancias</t>
  </si>
  <si>
    <t xml:space="preserve">114010018</t>
  </si>
  <si>
    <t xml:space="preserve">Percepcion RG 4815 35% computable Ganancias</t>
  </si>
  <si>
    <t xml:space="preserve">114010021</t>
  </si>
  <si>
    <t xml:space="preserve">Ret. y Perc. IIBB San Juan</t>
  </si>
  <si>
    <t xml:space="preserve">114020001</t>
  </si>
  <si>
    <t xml:space="preserve">Southern Copper Corporation Cta. Part.</t>
  </si>
  <si>
    <t xml:space="preserve">114020002</t>
  </si>
  <si>
    <t xml:space="preserve">Cía. Minera Los Tolmos S.A. Cta. Part.</t>
  </si>
  <si>
    <t xml:space="preserve">114050003</t>
  </si>
  <si>
    <t xml:space="preserve">Anticipo de Fondos</t>
  </si>
  <si>
    <t xml:space="preserve">114050004</t>
  </si>
  <si>
    <t xml:space="preserve">Anticipo a Proveedores</t>
  </si>
  <si>
    <t xml:space="preserve">122010000</t>
  </si>
  <si>
    <t xml:space="preserve">Depósito en garantía alquiler</t>
  </si>
  <si>
    <t xml:space="preserve">211010004</t>
  </si>
  <si>
    <t xml:space="preserve">AMX Argentina</t>
  </si>
  <si>
    <t xml:space="preserve">PASIVO</t>
  </si>
  <si>
    <t xml:space="preserve">Proveedor</t>
  </si>
  <si>
    <t xml:space="preserve">211010038</t>
  </si>
  <si>
    <t xml:space="preserve">Nippon Car S.R.L.</t>
  </si>
  <si>
    <t xml:space="preserve">211010134</t>
  </si>
  <si>
    <t xml:space="preserve">Li Zhi</t>
  </si>
  <si>
    <t xml:space="preserve">211010209</t>
  </si>
  <si>
    <t xml:space="preserve">IMC S.R.L</t>
  </si>
  <si>
    <t xml:space="preserve">211010258</t>
  </si>
  <si>
    <t xml:space="preserve">Edersa</t>
  </si>
  <si>
    <t xml:space="preserve">211010309</t>
  </si>
  <si>
    <t xml:space="preserve">Carlos David Samat</t>
  </si>
  <si>
    <t xml:space="preserve">211010317</t>
  </si>
  <si>
    <t xml:space="preserve">Edumo S.R.L.</t>
  </si>
  <si>
    <t xml:space="preserve">211010329</t>
  </si>
  <si>
    <t xml:space="preserve">Servicios Cipolletti S.A.</t>
  </si>
  <si>
    <t xml:space="preserve">211010402</t>
  </si>
  <si>
    <t xml:space="preserve">Crown Casino S.A.</t>
  </si>
  <si>
    <t xml:space="preserve">211010404</t>
  </si>
  <si>
    <t xml:space="preserve">Camara Argentina de Empresarios Mineros</t>
  </si>
  <si>
    <t xml:space="preserve">211010436</t>
  </si>
  <si>
    <t xml:space="preserve">Bien del Sur S.R.L.</t>
  </si>
  <si>
    <t xml:space="preserve">211010448</t>
  </si>
  <si>
    <t xml:space="preserve">Alex Stewart (Assayers) Argentina S.A.</t>
  </si>
  <si>
    <t xml:space="preserve">211010473</t>
  </si>
  <si>
    <t xml:space="preserve">Construcciones Industriales S.A.</t>
  </si>
  <si>
    <t xml:space="preserve">211010623</t>
  </si>
  <si>
    <t xml:space="preserve">Rumaos S.A.</t>
  </si>
  <si>
    <t xml:space="preserve">211010631</t>
  </si>
  <si>
    <t xml:space="preserve">Don Pocholo S.R.L.</t>
  </si>
  <si>
    <t xml:space="preserve">211010666</t>
  </si>
  <si>
    <t xml:space="preserve">Osvaldo Antonio Pertiñez</t>
  </si>
  <si>
    <t xml:space="preserve">211010721</t>
  </si>
  <si>
    <t xml:space="preserve">Fly Corporate Travel S.R.L.</t>
  </si>
  <si>
    <t xml:space="preserve">211010747</t>
  </si>
  <si>
    <t xml:space="preserve">Daniel A. Castellaro</t>
  </si>
  <si>
    <t xml:space="preserve">211010773</t>
  </si>
  <si>
    <t xml:space="preserve">Camara de Mineria de Rio Negro</t>
  </si>
  <si>
    <t xml:space="preserve">211010875</t>
  </si>
  <si>
    <t xml:space="preserve">Moyma SRL</t>
  </si>
  <si>
    <t xml:space="preserve">211011079</t>
  </si>
  <si>
    <t xml:space="preserve">Carmen Wagner</t>
  </si>
  <si>
    <t xml:space="preserve">211011142</t>
  </si>
  <si>
    <t xml:space="preserve">Marin Maria Silvina</t>
  </si>
  <si>
    <t xml:space="preserve">211011153</t>
  </si>
  <si>
    <t xml:space="preserve">Adaime Gonzalo</t>
  </si>
  <si>
    <t xml:space="preserve">211011163</t>
  </si>
  <si>
    <t xml:space="preserve">Dash SRL</t>
  </si>
  <si>
    <t xml:space="preserve">211011192</t>
  </si>
  <si>
    <t xml:space="preserve">T y R Ceferino S.R.L. en Formacion</t>
  </si>
  <si>
    <t xml:space="preserve">211011195</t>
  </si>
  <si>
    <t xml:space="preserve">Telecom Argentina SA</t>
  </si>
  <si>
    <t xml:space="preserve">211011225</t>
  </si>
  <si>
    <t xml:space="preserve">Coop. de Prov. de Serv. Tel. y otros servicios</t>
  </si>
  <si>
    <t xml:space="preserve">211011244</t>
  </si>
  <si>
    <t xml:space="preserve">De Martino Maria</t>
  </si>
  <si>
    <t xml:space="preserve">211011252</t>
  </si>
  <si>
    <t xml:space="preserve">Un Rincon de Napoli S.R.L.</t>
  </si>
  <si>
    <t xml:space="preserve">211011394</t>
  </si>
  <si>
    <t xml:space="preserve">Robledo Pedro Justo</t>
  </si>
  <si>
    <t xml:space="preserve">211011435</t>
  </si>
  <si>
    <t xml:space="preserve">SGS Peru S.A.C</t>
  </si>
  <si>
    <t xml:space="preserve">211011474</t>
  </si>
  <si>
    <t xml:space="preserve">Telefonica Moviles Argentina S.A</t>
  </si>
  <si>
    <t xml:space="preserve">211011554</t>
  </si>
  <si>
    <t xml:space="preserve">Salman Monica</t>
  </si>
  <si>
    <t xml:space="preserve">211011615</t>
  </si>
  <si>
    <t xml:space="preserve">Vega Suarez Roberto Giuliano</t>
  </si>
  <si>
    <t xml:space="preserve">211011780</t>
  </si>
  <si>
    <t xml:space="preserve">Andrade Ariel Gustavo</t>
  </si>
  <si>
    <t xml:space="preserve">211011819</t>
  </si>
  <si>
    <t xml:space="preserve">La Cordillera S.R.L</t>
  </si>
  <si>
    <t xml:space="preserve">211012087</t>
  </si>
  <si>
    <t xml:space="preserve">Maycar S.A.</t>
  </si>
  <si>
    <t xml:space="preserve">211012090</t>
  </si>
  <si>
    <t xml:space="preserve">La Meseta S.R.L.</t>
  </si>
  <si>
    <t xml:space="preserve">211012103</t>
  </si>
  <si>
    <t xml:space="preserve">De la Fuente Rolando Alberto</t>
  </si>
  <si>
    <t xml:space="preserve">211012167</t>
  </si>
  <si>
    <t xml:space="preserve">Caretta Arturo Aurelio</t>
  </si>
  <si>
    <t xml:space="preserve">211012224</t>
  </si>
  <si>
    <t xml:space="preserve">Aitue Comunica S.A.</t>
  </si>
  <si>
    <t xml:space="preserve">211012263</t>
  </si>
  <si>
    <t xml:space="preserve">Paillaip, Abraham / Maesse, Zulma</t>
  </si>
  <si>
    <t xml:space="preserve">211012266</t>
  </si>
  <si>
    <t xml:space="preserve">Dominguez Jorge Alfredo</t>
  </si>
  <si>
    <t xml:space="preserve">211012297</t>
  </si>
  <si>
    <t xml:space="preserve">Rradom S.A.</t>
  </si>
  <si>
    <t xml:space="preserve">211012301</t>
  </si>
  <si>
    <t xml:space="preserve">Tecnira S.R.L</t>
  </si>
  <si>
    <t xml:space="preserve">211012333</t>
  </si>
  <si>
    <t xml:space="preserve">Savina Del Carmen Romero Maya</t>
  </si>
  <si>
    <t xml:space="preserve">211012344</t>
  </si>
  <si>
    <t xml:space="preserve">Cereza S. R. L</t>
  </si>
  <si>
    <t xml:space="preserve">211012409</t>
  </si>
  <si>
    <t xml:space="preserve">Rubén Alfredo Pontoriero</t>
  </si>
  <si>
    <t xml:space="preserve">211012410</t>
  </si>
  <si>
    <t xml:space="preserve">MG Servicios de Limpieza SAS</t>
  </si>
  <si>
    <t xml:space="preserve">211012412</t>
  </si>
  <si>
    <t xml:space="preserve">Sin Culpas SAS</t>
  </si>
  <si>
    <t xml:space="preserve">211012413</t>
  </si>
  <si>
    <t xml:space="preserve">Marta Alicia Herrera</t>
  </si>
  <si>
    <t xml:space="preserve">211012429</t>
  </si>
  <si>
    <t xml:space="preserve">Waldino Fabian Acosta</t>
  </si>
  <si>
    <t xml:space="preserve">211012434</t>
  </si>
  <si>
    <t xml:space="preserve">CAMINO DEL OESTE SA</t>
  </si>
  <si>
    <t xml:space="preserve">211012438</t>
  </si>
  <si>
    <t xml:space="preserve">FRANCISCO  ELIAS GARCIA MANZANO</t>
  </si>
  <si>
    <t xml:space="preserve">211012459</t>
  </si>
  <si>
    <t xml:space="preserve">MARCOS ALFREDO DI PAOLA</t>
  </si>
  <si>
    <t xml:space="preserve">211012470</t>
  </si>
  <si>
    <t xml:space="preserve">Fuerza Cordillerana SAS</t>
  </si>
  <si>
    <t xml:space="preserve">211012471</t>
  </si>
  <si>
    <t xml:space="preserve">Daniela Celeste Diaz</t>
  </si>
  <si>
    <t xml:space="preserve">211012472</t>
  </si>
  <si>
    <t xml:space="preserve">Clon Omega Soluciones Graficas SRL</t>
  </si>
  <si>
    <t xml:space="preserve">211012473</t>
  </si>
  <si>
    <t xml:space="preserve">Mariela Jaquelina Velazquez</t>
  </si>
  <si>
    <t xml:space="preserve">211012480</t>
  </si>
  <si>
    <t xml:space="preserve">Ismar SRL</t>
  </si>
  <si>
    <t xml:space="preserve">211012482</t>
  </si>
  <si>
    <t xml:space="preserve">Leandro Zamora</t>
  </si>
  <si>
    <t xml:space="preserve">211030000</t>
  </si>
  <si>
    <t xml:space="preserve">Provision de Gastos</t>
  </si>
  <si>
    <t xml:space="preserve">211060000</t>
  </si>
  <si>
    <t xml:space="preserve">Previsión IGMP</t>
  </si>
  <si>
    <t xml:space="preserve">212010001</t>
  </si>
  <si>
    <t xml:space="preserve">Sueldos a pagar</t>
  </si>
  <si>
    <t xml:space="preserve">212010003</t>
  </si>
  <si>
    <t xml:space="preserve">Provisión Vacaciones</t>
  </si>
  <si>
    <t xml:space="preserve">212020001</t>
  </si>
  <si>
    <t xml:space="preserve">SICOSS a pagar</t>
  </si>
  <si>
    <t xml:space="preserve">213010001</t>
  </si>
  <si>
    <t xml:space="preserve">SICORE a pagar</t>
  </si>
  <si>
    <t xml:space="preserve">213010007</t>
  </si>
  <si>
    <t xml:space="preserve">Tasa Seguridad e Higiene a pagar</t>
  </si>
  <si>
    <t xml:space="preserve">Diferencia de Cambio USD</t>
  </si>
  <si>
    <t xml:space="preserve">RESULTADOS</t>
  </si>
  <si>
    <t xml:space="preserve">Balanceo</t>
  </si>
  <si>
    <t xml:space="preserve">SÍ</t>
  </si>
  <si>
    <t xml:space="preserve">CONTROL — el asiento debe cerrar en 0:</t>
  </si>
  <si>
    <t xml:space="preserve">ARCHIVO IMPORTADOR — formato Onvio "Asientos" (idéntico a 0.xls). Pesos=0, USD firmado (+ Debe MEP / - Haber MEP).</t>
  </si>
  <si>
    <t xml:space="preserve">Número de Pase</t>
  </si>
  <si>
    <t xml:space="preserve">Fecha</t>
  </si>
  <si>
    <t xml:space="preserve">Concepto</t>
  </si>
  <si>
    <t xml:space="preserve">Código de cuenta</t>
  </si>
  <si>
    <t xml:space="preserve">Importe en moneda local</t>
  </si>
  <si>
    <t xml:space="preserve">Importe en moneda ext.present.</t>
  </si>
  <si>
    <t xml:space="preserve">Leyenda</t>
  </si>
  <si>
    <t xml:space="preserve">Código de centro de costos</t>
  </si>
  <si>
    <t xml:space="preserve">Porcentaje de distribución</t>
  </si>
  <si>
    <t xml:space="preserve">Imp.mon.local dist.C.Costos</t>
  </si>
  <si>
    <t xml:space="preserve">Imp.mon.present.dist.C.Costos</t>
  </si>
  <si>
    <t xml:space="preserve">Σ =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</si>
</sst>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00"/>
    <numFmt numFmtId="167" formatCode="0"/>
    <numFmt numFmtId="168" formatCode="0.000"/>
    <numFmt numFmtId="169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22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46203</v>
      </c>
    </row>
    <row r="6" customFormat="false" ht="15" hidden="false" customHeight="false" outlineLevel="0" collapsed="false">
      <c r="B6" s="3" t="s">
        <v>3</v>
      </c>
      <c r="C6" s="5" t="n">
        <v>1473</v>
      </c>
    </row>
    <row r="7" customFormat="false" ht="15" hidden="false" customHeight="false" outlineLevel="0" collapsed="false">
      <c r="B7" s="3" t="s">
        <v>4</v>
      </c>
      <c r="C7" s="5" t="n">
        <v>1482</v>
      </c>
    </row>
    <row r="8" customFormat="false" ht="15" hidden="false" customHeight="false" outlineLevel="0" collapsed="false">
      <c r="B8" s="3" t="s">
        <v>5</v>
      </c>
      <c r="C8" s="6" t="s">
        <v>6</v>
      </c>
    </row>
    <row r="9" customFormat="false" ht="15" hidden="false" customHeight="false" outlineLevel="0" collapsed="false">
      <c r="B9" s="3" t="s">
        <v>7</v>
      </c>
      <c r="C9" s="7" t="n">
        <v>1</v>
      </c>
    </row>
    <row r="10" customFormat="false" ht="15" hidden="false" customHeight="false" outlineLevel="0" collapsed="false">
      <c r="B10" s="3" t="s">
        <v>8</v>
      </c>
      <c r="C10" s="8" t="s">
        <v>9</v>
      </c>
    </row>
    <row r="11" customFormat="false" ht="15" hidden="false" customHeight="false" outlineLevel="0" collapsed="false">
      <c r="B11" s="3" t="s">
        <v>10</v>
      </c>
      <c r="C11" s="9" t="n">
        <v>0.005</v>
      </c>
    </row>
    <row r="14" customFormat="false" ht="15" hidden="false" customHeight="false" outlineLevel="0" collapsed="false">
      <c r="B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  <col collapsed="false" customWidth="true" hidden="false" outlineLevel="0" max="3" min="3" style="0" width="18"/>
  </cols>
  <sheetData>
    <row r="2" customFormat="false" ht="16.15" hidden="false" customHeight="false" outlineLevel="0" collapsed="false">
      <c r="B2" s="1" t="s">
        <v>12</v>
      </c>
    </row>
    <row r="4" customFormat="false" ht="15" hidden="false" customHeight="false" outlineLevel="0" collapsed="false">
      <c r="B4" s="3" t="s">
        <v>13</v>
      </c>
      <c r="C4" s="10" t="n">
        <f aca="false">COUNTIF(Cálculo!J3:J91,"SÍ")-1</f>
        <v>88</v>
      </c>
    </row>
    <row r="5" customFormat="false" ht="15" hidden="false" customHeight="false" outlineLevel="0" collapsed="false">
      <c r="B5" s="3" t="s">
        <v>14</v>
      </c>
      <c r="C5" s="11" t="n">
        <f aca="false">Cálculo!I91</f>
        <v>58374.9</v>
      </c>
    </row>
    <row r="6" customFormat="false" ht="15" hidden="false" customHeight="false" outlineLevel="0" collapsed="false">
      <c r="B6" s="3" t="s">
        <v>15</v>
      </c>
      <c r="C6" s="11" t="n">
        <f aca="false">Cálculo!I93</f>
        <v>0</v>
      </c>
    </row>
    <row r="7" customFormat="false" ht="15" hidden="false" customHeight="false" outlineLevel="0" collapsed="false">
      <c r="B7" s="3" t="s">
        <v>16</v>
      </c>
      <c r="C7" s="10" t="n">
        <f aca="false">COUNTIF(Cálculo!K3:K91,"REVISAR")</f>
        <v>0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12" t="s">
        <v>17</v>
      </c>
    </row>
    <row r="13" customFormat="false" ht="15" hidden="false" customHeight="false" outlineLevel="0" collapsed="false">
      <c r="B13" s="2" t="s">
        <v>18</v>
      </c>
    </row>
    <row r="14" customFormat="false" ht="15" hidden="false" customHeight="false" outlineLevel="0" collapsed="false">
      <c r="B14" s="2" t="s">
        <v>19</v>
      </c>
    </row>
    <row r="15" customFormat="false" ht="15" hidden="false" customHeight="false" outlineLevel="0" collapsed="false">
      <c r="B15" s="2" t="s">
        <v>20</v>
      </c>
    </row>
    <row r="16" customFormat="false" ht="15" hidden="false" customHeight="false" outlineLevel="0" collapsed="false">
      <c r="B16" s="2" t="s">
        <v>21</v>
      </c>
    </row>
    <row r="17" customFormat="false" ht="15" hidden="false" customHeight="false" outlineLevel="0" collapsed="false">
      <c r="B17" s="2" t="s">
        <v>22</v>
      </c>
    </row>
    <row r="18" customFormat="false" ht="15" hidden="false" customHeight="false" outlineLevel="0" collapsed="false">
      <c r="B18" s="2" t="s">
        <v>23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12" t="s">
        <v>24</v>
      </c>
    </row>
    <row r="21" customFormat="false" ht="15" hidden="false" customHeight="false" outlineLevel="0" collapsed="false">
      <c r="B21" s="2" t="s">
        <v>25</v>
      </c>
    </row>
    <row r="22" customFormat="false" ht="15" hidden="false" customHeight="false" outlineLevel="0" collapsed="false">
      <c r="B22" s="2" t="s">
        <v>26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B24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2" t="s">
        <v>28</v>
      </c>
    </row>
    <row r="2" customFormat="false" ht="23.85" hidden="false" customHeight="false" outlineLevel="0" collapsed="false">
      <c r="A2" s="13" t="s">
        <v>29</v>
      </c>
      <c r="B2" s="13" t="s">
        <v>30</v>
      </c>
      <c r="C2" s="13" t="s">
        <v>31</v>
      </c>
      <c r="D2" s="13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3" t="s">
        <v>37</v>
      </c>
      <c r="J2" s="13" t="s">
        <v>38</v>
      </c>
      <c r="K2" s="13" t="s">
        <v>39</v>
      </c>
    </row>
    <row r="3" customFormat="false" ht="15" hidden="false" customHeight="false" outlineLevel="0" collapsed="false">
      <c r="A3" s="14" t="s">
        <v>40</v>
      </c>
      <c r="B3" s="14" t="s">
        <v>41</v>
      </c>
      <c r="C3" s="14" t="s">
        <v>42</v>
      </c>
      <c r="D3" s="14" t="s">
        <v>43</v>
      </c>
      <c r="E3" s="15" t="n">
        <v>0</v>
      </c>
      <c r="F3" s="15" t="n">
        <v>24.51</v>
      </c>
      <c r="G3" s="16" t="n">
        <f aca="false">IF(C3="ACTIVO",Parámetros!$C$6,Parámetros!$C$7)</f>
        <v>1473</v>
      </c>
      <c r="H3" s="15" t="n">
        <f aca="false">IF(D3="Proveedor",E3/G3,ROUND(E3/G3,2))</f>
        <v>0</v>
      </c>
      <c r="I3" s="17" t="n">
        <f aca="false">ROUND(H3-F3,2)</f>
        <v>-24.51</v>
      </c>
      <c r="J3" s="8" t="str">
        <f aca="false">IF(ABS(I3)&gt;=Parámetros!$C$11,"SÍ","no")</f>
        <v>SÍ</v>
      </c>
      <c r="K3" s="18" t="str">
        <f aca="false">IF(AND(ABS(F3)&gt;0,ABS(I3)&gt;0.3*ABS(F3),ABS(I3)&gt;500),"REVISAR","")</f>
        <v/>
      </c>
    </row>
    <row r="4" customFormat="false" ht="15" hidden="false" customHeight="false" outlineLevel="0" collapsed="false">
      <c r="A4" s="19" t="s">
        <v>44</v>
      </c>
      <c r="B4" s="19" t="s">
        <v>45</v>
      </c>
      <c r="C4" s="19" t="s">
        <v>42</v>
      </c>
      <c r="D4" s="19" t="s">
        <v>43</v>
      </c>
      <c r="E4" s="20" t="n">
        <v>10663404.48</v>
      </c>
      <c r="F4" s="20" t="n">
        <v>7627.43</v>
      </c>
      <c r="G4" s="21" t="n">
        <f aca="false">IF(C4="ACTIVO",Parámetros!$C$6,Parámetros!$C$7)</f>
        <v>1473</v>
      </c>
      <c r="H4" s="20" t="n">
        <f aca="false">IF(D4="Proveedor",E4/G4,ROUND(E4/G4,2))</f>
        <v>7239.24</v>
      </c>
      <c r="I4" s="22" t="n">
        <f aca="false">ROUND(H4-F4,2)</f>
        <v>-388.19</v>
      </c>
      <c r="J4" s="23" t="str">
        <f aca="false">IF(ABS(I4)&gt;=Parámetros!$C$11,"SÍ","no")</f>
        <v>SÍ</v>
      </c>
      <c r="K4" s="24" t="str">
        <f aca="false">IF(AND(ABS(F4)&gt;0,ABS(I4)&gt;0.3*ABS(F4),ABS(I4)&gt;500),"REVISAR","")</f>
        <v/>
      </c>
    </row>
    <row r="5" customFormat="false" ht="15" hidden="false" customHeight="false" outlineLevel="0" collapsed="false">
      <c r="A5" s="14" t="s">
        <v>46</v>
      </c>
      <c r="B5" s="14" t="s">
        <v>47</v>
      </c>
      <c r="C5" s="14" t="s">
        <v>42</v>
      </c>
      <c r="D5" s="14" t="s">
        <v>43</v>
      </c>
      <c r="E5" s="15" t="n">
        <v>-23141.31</v>
      </c>
      <c r="F5" s="15" t="n">
        <v>24.1</v>
      </c>
      <c r="G5" s="16" t="n">
        <f aca="false">IF(C5="ACTIVO",Parámetros!$C$6,Parámetros!$C$7)</f>
        <v>1473</v>
      </c>
      <c r="H5" s="15" t="n">
        <f aca="false">IF(D5="Proveedor",E5/G5,ROUND(E5/G5,2))</f>
        <v>-15.71</v>
      </c>
      <c r="I5" s="17" t="n">
        <f aca="false">ROUND(H5-F5,2)</f>
        <v>-39.81</v>
      </c>
      <c r="J5" s="8" t="str">
        <f aca="false">IF(ABS(I5)&gt;=Parámetros!$C$11,"SÍ","no")</f>
        <v>SÍ</v>
      </c>
      <c r="K5" s="18" t="str">
        <f aca="false">IF(AND(ABS(F5)&gt;0,ABS(I5)&gt;0.3*ABS(F5),ABS(I5)&gt;500),"REVISAR","")</f>
        <v/>
      </c>
    </row>
    <row r="6" customFormat="false" ht="15" hidden="false" customHeight="false" outlineLevel="0" collapsed="false">
      <c r="A6" s="19" t="s">
        <v>48</v>
      </c>
      <c r="B6" s="19" t="s">
        <v>49</v>
      </c>
      <c r="C6" s="19" t="s">
        <v>42</v>
      </c>
      <c r="D6" s="19" t="s">
        <v>43</v>
      </c>
      <c r="E6" s="20" t="n">
        <v>3926.88</v>
      </c>
      <c r="F6" s="20" t="n">
        <v>4.62</v>
      </c>
      <c r="G6" s="21" t="n">
        <f aca="false">IF(C6="ACTIVO",Parámetros!$C$6,Parámetros!$C$7)</f>
        <v>1473</v>
      </c>
      <c r="H6" s="20" t="n">
        <f aca="false">IF(D6="Proveedor",E6/G6,ROUND(E6/G6,2))</f>
        <v>2.67</v>
      </c>
      <c r="I6" s="22" t="n">
        <f aca="false">ROUND(H6-F6,2)</f>
        <v>-1.95</v>
      </c>
      <c r="J6" s="23" t="str">
        <f aca="false">IF(ABS(I6)&gt;=Parámetros!$C$11,"SÍ","no")</f>
        <v>SÍ</v>
      </c>
      <c r="K6" s="24" t="str">
        <f aca="false">IF(AND(ABS(F6)&gt;0,ABS(I6)&gt;0.3*ABS(F6),ABS(I6)&gt;500),"REVISAR","")</f>
        <v/>
      </c>
    </row>
    <row r="7" customFormat="false" ht="15" hidden="false" customHeight="false" outlineLevel="0" collapsed="false">
      <c r="A7" s="14" t="s">
        <v>50</v>
      </c>
      <c r="B7" s="14" t="s">
        <v>51</v>
      </c>
      <c r="C7" s="14" t="s">
        <v>42</v>
      </c>
      <c r="D7" s="14" t="s">
        <v>43</v>
      </c>
      <c r="E7" s="15" t="n">
        <v>0</v>
      </c>
      <c r="F7" s="15" t="n">
        <v>179.93</v>
      </c>
      <c r="G7" s="16" t="n">
        <f aca="false">IF(C7="ACTIVO",Parámetros!$C$6,Parámetros!$C$7)</f>
        <v>1473</v>
      </c>
      <c r="H7" s="15" t="n">
        <f aca="false">IF(D7="Proveedor",E7/G7,ROUND(E7/G7,2))</f>
        <v>0</v>
      </c>
      <c r="I7" s="17" t="n">
        <f aca="false">ROUND(H7-F7,2)</f>
        <v>-179.93</v>
      </c>
      <c r="J7" s="8" t="str">
        <f aca="false">IF(ABS(I7)&gt;=Parámetros!$C$11,"SÍ","no")</f>
        <v>SÍ</v>
      </c>
      <c r="K7" s="18" t="str">
        <f aca="false">IF(AND(ABS(F7)&gt;0,ABS(I7)&gt;0.3*ABS(F7),ABS(I7)&gt;500),"REVISAR","")</f>
        <v/>
      </c>
    </row>
    <row r="8" customFormat="false" ht="15" hidden="false" customHeight="false" outlineLevel="0" collapsed="false">
      <c r="A8" s="19" t="s">
        <v>52</v>
      </c>
      <c r="B8" s="19" t="s">
        <v>53</v>
      </c>
      <c r="C8" s="19" t="s">
        <v>42</v>
      </c>
      <c r="D8" s="19" t="s">
        <v>43</v>
      </c>
      <c r="E8" s="20" t="n">
        <v>1667959397.47</v>
      </c>
      <c r="F8" s="20" t="n">
        <v>1191982.63</v>
      </c>
      <c r="G8" s="21" t="n">
        <f aca="false">IF(C8="ACTIVO",Parámetros!$C$6,Parámetros!$C$7)</f>
        <v>1473</v>
      </c>
      <c r="H8" s="20" t="n">
        <f aca="false">IF(D8="Proveedor",E8/G8,ROUND(E8/G8,2))</f>
        <v>1132355.33</v>
      </c>
      <c r="I8" s="22" t="n">
        <f aca="false">ROUND(H8-F8,2)</f>
        <v>-59627.3</v>
      </c>
      <c r="J8" s="23" t="str">
        <f aca="false">IF(ABS(I8)&gt;=Parámetros!$C$11,"SÍ","no")</f>
        <v>SÍ</v>
      </c>
      <c r="K8" s="24" t="str">
        <f aca="false">IF(AND(ABS(F8)&gt;0,ABS(I8)&gt;0.3*ABS(F8),ABS(I8)&gt;500),"REVISAR","")</f>
        <v/>
      </c>
    </row>
    <row r="9" customFormat="false" ht="15" hidden="false" customHeight="false" outlineLevel="0" collapsed="false">
      <c r="A9" s="14" t="s">
        <v>54</v>
      </c>
      <c r="B9" s="14" t="s">
        <v>55</v>
      </c>
      <c r="C9" s="14" t="s">
        <v>42</v>
      </c>
      <c r="D9" s="14" t="s">
        <v>43</v>
      </c>
      <c r="E9" s="15" t="n">
        <v>0</v>
      </c>
      <c r="F9" s="15" t="n">
        <v>1.01</v>
      </c>
      <c r="G9" s="16" t="n">
        <f aca="false">IF(C9="ACTIVO",Parámetros!$C$6,Parámetros!$C$7)</f>
        <v>1473</v>
      </c>
      <c r="H9" s="15" t="n">
        <f aca="false">IF(D9="Proveedor",E9/G9,ROUND(E9/G9,2))</f>
        <v>0</v>
      </c>
      <c r="I9" s="17" t="n">
        <f aca="false">ROUND(H9-F9,2)</f>
        <v>-1.01</v>
      </c>
      <c r="J9" s="8" t="str">
        <f aca="false">IF(ABS(I9)&gt;=Parámetros!$C$11,"SÍ","no")</f>
        <v>SÍ</v>
      </c>
      <c r="K9" s="18" t="str">
        <f aca="false">IF(AND(ABS(F9)&gt;0,ABS(I9)&gt;0.3*ABS(F9),ABS(I9)&gt;500),"REVISAR","")</f>
        <v/>
      </c>
    </row>
    <row r="10" customFormat="false" ht="15" hidden="false" customHeight="false" outlineLevel="0" collapsed="false">
      <c r="A10" s="19" t="s">
        <v>56</v>
      </c>
      <c r="B10" s="19" t="s">
        <v>57</v>
      </c>
      <c r="C10" s="19" t="s">
        <v>42</v>
      </c>
      <c r="D10" s="19" t="s">
        <v>43</v>
      </c>
      <c r="E10" s="20" t="n">
        <v>0</v>
      </c>
      <c r="F10" s="20" t="n">
        <v>0.34</v>
      </c>
      <c r="G10" s="21" t="n">
        <f aca="false">IF(C10="ACTIVO",Parámetros!$C$6,Parámetros!$C$7)</f>
        <v>1473</v>
      </c>
      <c r="H10" s="20" t="n">
        <f aca="false">IF(D10="Proveedor",E10/G10,ROUND(E10/G10,2))</f>
        <v>0</v>
      </c>
      <c r="I10" s="22" t="n">
        <f aca="false">ROUND(H10-F10,2)</f>
        <v>-0.34</v>
      </c>
      <c r="J10" s="23" t="str">
        <f aca="false">IF(ABS(I10)&gt;=Parámetros!$C$11,"SÍ","no")</f>
        <v>SÍ</v>
      </c>
      <c r="K10" s="24" t="str">
        <f aca="false">IF(AND(ABS(F10)&gt;0,ABS(I10)&gt;0.3*ABS(F10),ABS(I10)&gt;500),"REVISAR","")</f>
        <v/>
      </c>
    </row>
    <row r="11" customFormat="false" ht="15" hidden="false" customHeight="false" outlineLevel="0" collapsed="false">
      <c r="A11" s="14" t="s">
        <v>58</v>
      </c>
      <c r="B11" s="14" t="s">
        <v>59</v>
      </c>
      <c r="C11" s="14" t="s">
        <v>42</v>
      </c>
      <c r="D11" s="14" t="s">
        <v>43</v>
      </c>
      <c r="E11" s="15" t="n">
        <v>7866857.08</v>
      </c>
      <c r="F11" s="15" t="n">
        <v>5622.41</v>
      </c>
      <c r="G11" s="16" t="n">
        <f aca="false">IF(C11="ACTIVO",Parámetros!$C$6,Parámetros!$C$7)</f>
        <v>1473</v>
      </c>
      <c r="H11" s="15" t="n">
        <f aca="false">IF(D11="Proveedor",E11/G11,ROUND(E11/G11,2))</f>
        <v>5340.7</v>
      </c>
      <c r="I11" s="17" t="n">
        <f aca="false">ROUND(H11-F11,2)</f>
        <v>-281.71</v>
      </c>
      <c r="J11" s="8" t="str">
        <f aca="false">IF(ABS(I11)&gt;=Parámetros!$C$11,"SÍ","no")</f>
        <v>SÍ</v>
      </c>
      <c r="K11" s="18" t="str">
        <f aca="false">IF(AND(ABS(F11)&gt;0,ABS(I11)&gt;0.3*ABS(F11),ABS(I11)&gt;500),"REVISAR","")</f>
        <v/>
      </c>
    </row>
    <row r="12" customFormat="false" ht="15" hidden="false" customHeight="false" outlineLevel="0" collapsed="false">
      <c r="A12" s="19" t="s">
        <v>60</v>
      </c>
      <c r="B12" s="19" t="s">
        <v>61</v>
      </c>
      <c r="C12" s="19" t="s">
        <v>42</v>
      </c>
      <c r="D12" s="19" t="s">
        <v>43</v>
      </c>
      <c r="E12" s="20" t="n">
        <v>52018352.27</v>
      </c>
      <c r="F12" s="20" t="n">
        <v>37182.36</v>
      </c>
      <c r="G12" s="21" t="n">
        <f aca="false">IF(C12="ACTIVO",Parámetros!$C$6,Parámetros!$C$7)</f>
        <v>1473</v>
      </c>
      <c r="H12" s="20" t="n">
        <f aca="false">IF(D12="Proveedor",E12/G12,ROUND(E12/G12,2))</f>
        <v>35314.56</v>
      </c>
      <c r="I12" s="22" t="n">
        <f aca="false">ROUND(H12-F12,2)</f>
        <v>-1867.8</v>
      </c>
      <c r="J12" s="23" t="str">
        <f aca="false">IF(ABS(I12)&gt;=Parámetros!$C$11,"SÍ","no")</f>
        <v>SÍ</v>
      </c>
      <c r="K12" s="24" t="str">
        <f aca="false">IF(AND(ABS(F12)&gt;0,ABS(I12)&gt;0.3*ABS(F12),ABS(I12)&gt;500),"REVISAR","")</f>
        <v/>
      </c>
    </row>
    <row r="13" customFormat="false" ht="15" hidden="false" customHeight="false" outlineLevel="0" collapsed="false">
      <c r="A13" s="14" t="s">
        <v>62</v>
      </c>
      <c r="B13" s="14" t="s">
        <v>63</v>
      </c>
      <c r="C13" s="14" t="s">
        <v>42</v>
      </c>
      <c r="D13" s="14" t="s">
        <v>43</v>
      </c>
      <c r="E13" s="15" t="n">
        <v>528747.09</v>
      </c>
      <c r="F13" s="15" t="n">
        <v>377.95</v>
      </c>
      <c r="G13" s="16" t="n">
        <f aca="false">IF(C13="ACTIVO",Parámetros!$C$6,Parámetros!$C$7)</f>
        <v>1473</v>
      </c>
      <c r="H13" s="15" t="n">
        <f aca="false">IF(D13="Proveedor",E13/G13,ROUND(E13/G13,2))</f>
        <v>358.96</v>
      </c>
      <c r="I13" s="17" t="n">
        <f aca="false">ROUND(H13-F13,2)</f>
        <v>-18.99</v>
      </c>
      <c r="J13" s="8" t="str">
        <f aca="false">IF(ABS(I13)&gt;=Parámetros!$C$11,"SÍ","no")</f>
        <v>SÍ</v>
      </c>
      <c r="K13" s="18" t="str">
        <f aca="false">IF(AND(ABS(F13)&gt;0,ABS(I13)&gt;0.3*ABS(F13),ABS(I13)&gt;500),"REVISAR","")</f>
        <v/>
      </c>
    </row>
    <row r="14" customFormat="false" ht="15" hidden="false" customHeight="false" outlineLevel="0" collapsed="false">
      <c r="A14" s="19" t="s">
        <v>64</v>
      </c>
      <c r="B14" s="19" t="s">
        <v>65</v>
      </c>
      <c r="C14" s="19" t="s">
        <v>42</v>
      </c>
      <c r="D14" s="19" t="s">
        <v>43</v>
      </c>
      <c r="E14" s="20" t="n">
        <v>243686.59</v>
      </c>
      <c r="F14" s="20" t="n">
        <v>174.19</v>
      </c>
      <c r="G14" s="21" t="n">
        <f aca="false">IF(C14="ACTIVO",Parámetros!$C$6,Parámetros!$C$7)</f>
        <v>1473</v>
      </c>
      <c r="H14" s="20" t="n">
        <f aca="false">IF(D14="Proveedor",E14/G14,ROUND(E14/G14,2))</f>
        <v>165.44</v>
      </c>
      <c r="I14" s="22" t="n">
        <f aca="false">ROUND(H14-F14,2)</f>
        <v>-8.75</v>
      </c>
      <c r="J14" s="23" t="str">
        <f aca="false">IF(ABS(I14)&gt;=Parámetros!$C$11,"SÍ","no")</f>
        <v>SÍ</v>
      </c>
      <c r="K14" s="24" t="str">
        <f aca="false">IF(AND(ABS(F14)&gt;0,ABS(I14)&gt;0.3*ABS(F14),ABS(I14)&gt;500),"REVISAR","")</f>
        <v/>
      </c>
    </row>
    <row r="15" customFormat="false" ht="15" hidden="false" customHeight="false" outlineLevel="0" collapsed="false">
      <c r="A15" s="14" t="s">
        <v>66</v>
      </c>
      <c r="B15" s="14" t="s">
        <v>67</v>
      </c>
      <c r="C15" s="14" t="s">
        <v>42</v>
      </c>
      <c r="D15" s="14" t="s">
        <v>43</v>
      </c>
      <c r="E15" s="15" t="n">
        <v>203599.05</v>
      </c>
      <c r="F15" s="15" t="n">
        <v>145.53</v>
      </c>
      <c r="G15" s="16" t="n">
        <f aca="false">IF(C15="ACTIVO",Parámetros!$C$6,Parámetros!$C$7)</f>
        <v>1473</v>
      </c>
      <c r="H15" s="15" t="n">
        <f aca="false">IF(D15="Proveedor",E15/G15,ROUND(E15/G15,2))</f>
        <v>138.22</v>
      </c>
      <c r="I15" s="17" t="n">
        <f aca="false">ROUND(H15-F15,2)</f>
        <v>-7.31</v>
      </c>
      <c r="J15" s="8" t="str">
        <f aca="false">IF(ABS(I15)&gt;=Parámetros!$C$11,"SÍ","no")</f>
        <v>SÍ</v>
      </c>
      <c r="K15" s="18" t="str">
        <f aca="false">IF(AND(ABS(F15)&gt;0,ABS(I15)&gt;0.3*ABS(F15),ABS(I15)&gt;500),"REVISAR","")</f>
        <v/>
      </c>
    </row>
    <row r="16" customFormat="false" ht="15" hidden="false" customHeight="false" outlineLevel="0" collapsed="false">
      <c r="A16" s="19" t="s">
        <v>68</v>
      </c>
      <c r="B16" s="19" t="s">
        <v>69</v>
      </c>
      <c r="C16" s="19" t="s">
        <v>42</v>
      </c>
      <c r="D16" s="19" t="s">
        <v>43</v>
      </c>
      <c r="E16" s="20" t="n">
        <v>26028040.72</v>
      </c>
      <c r="F16" s="20" t="n">
        <v>18604.75</v>
      </c>
      <c r="G16" s="21" t="n">
        <f aca="false">IF(C16="ACTIVO",Parámetros!$C$6,Parámetros!$C$7)</f>
        <v>1473</v>
      </c>
      <c r="H16" s="20" t="n">
        <f aca="false">IF(D16="Proveedor",E16/G16,ROUND(E16/G16,2))</f>
        <v>17670.09</v>
      </c>
      <c r="I16" s="22" t="n">
        <f aca="false">ROUND(H16-F16,2)</f>
        <v>-934.66</v>
      </c>
      <c r="J16" s="23" t="str">
        <f aca="false">IF(ABS(I16)&gt;=Parámetros!$C$11,"SÍ","no")</f>
        <v>SÍ</v>
      </c>
      <c r="K16" s="24" t="str">
        <f aca="false">IF(AND(ABS(F16)&gt;0,ABS(I16)&gt;0.3*ABS(F16),ABS(I16)&gt;500),"REVISAR","")</f>
        <v/>
      </c>
    </row>
    <row r="17" customFormat="false" ht="15" hidden="false" customHeight="false" outlineLevel="0" collapsed="false">
      <c r="A17" s="14" t="s">
        <v>70</v>
      </c>
      <c r="B17" s="14" t="s">
        <v>71</v>
      </c>
      <c r="C17" s="14" t="s">
        <v>42</v>
      </c>
      <c r="D17" s="14" t="s">
        <v>43</v>
      </c>
      <c r="E17" s="15" t="n">
        <v>0</v>
      </c>
      <c r="F17" s="15" t="n">
        <v>0.32</v>
      </c>
      <c r="G17" s="16" t="n">
        <f aca="false">IF(C17="ACTIVO",Parámetros!$C$6,Parámetros!$C$7)</f>
        <v>1473</v>
      </c>
      <c r="H17" s="15" t="n">
        <f aca="false">IF(D17="Proveedor",E17/G17,ROUND(E17/G17,2))</f>
        <v>0</v>
      </c>
      <c r="I17" s="17" t="n">
        <f aca="false">ROUND(H17-F17,2)</f>
        <v>-0.32</v>
      </c>
      <c r="J17" s="8" t="str">
        <f aca="false">IF(ABS(I17)&gt;=Parámetros!$C$11,"SÍ","no")</f>
        <v>SÍ</v>
      </c>
      <c r="K17" s="18" t="str">
        <f aca="false">IF(AND(ABS(F17)&gt;0,ABS(I17)&gt;0.3*ABS(F17),ABS(I17)&gt;500),"REVISAR","")</f>
        <v/>
      </c>
    </row>
    <row r="18" customFormat="false" ht="15" hidden="false" customHeight="false" outlineLevel="0" collapsed="false">
      <c r="A18" s="19" t="s">
        <v>72</v>
      </c>
      <c r="B18" s="19" t="s">
        <v>73</v>
      </c>
      <c r="C18" s="19" t="s">
        <v>42</v>
      </c>
      <c r="D18" s="19" t="s">
        <v>43</v>
      </c>
      <c r="E18" s="20" t="n">
        <v>95935319.46</v>
      </c>
      <c r="F18" s="20" t="n">
        <v>68574.21</v>
      </c>
      <c r="G18" s="21" t="n">
        <f aca="false">IF(C18="ACTIVO",Parámetros!$C$6,Parámetros!$C$7)</f>
        <v>1473</v>
      </c>
      <c r="H18" s="20" t="n">
        <f aca="false">IF(D18="Proveedor",E18/G18,ROUND(E18/G18,2))</f>
        <v>65129.21</v>
      </c>
      <c r="I18" s="22" t="n">
        <f aca="false">ROUND(H18-F18,2)</f>
        <v>-3445</v>
      </c>
      <c r="J18" s="23" t="str">
        <f aca="false">IF(ABS(I18)&gt;=Parámetros!$C$11,"SÍ","no")</f>
        <v>SÍ</v>
      </c>
      <c r="K18" s="24" t="str">
        <f aca="false">IF(AND(ABS(F18)&gt;0,ABS(I18)&gt;0.3*ABS(F18),ABS(I18)&gt;500),"REVISAR","")</f>
        <v/>
      </c>
    </row>
    <row r="19" customFormat="false" ht="15" hidden="false" customHeight="false" outlineLevel="0" collapsed="false">
      <c r="A19" s="14" t="s">
        <v>74</v>
      </c>
      <c r="B19" s="14" t="s">
        <v>75</v>
      </c>
      <c r="C19" s="14" t="s">
        <v>42</v>
      </c>
      <c r="D19" s="14" t="s">
        <v>43</v>
      </c>
      <c r="E19" s="15" t="n">
        <v>908.12</v>
      </c>
      <c r="F19" s="15" t="n">
        <v>0.65</v>
      </c>
      <c r="G19" s="16" t="n">
        <f aca="false">IF(C19="ACTIVO",Parámetros!$C$6,Parámetros!$C$7)</f>
        <v>1473</v>
      </c>
      <c r="H19" s="15" t="n">
        <f aca="false">IF(D19="Proveedor",E19/G19,ROUND(E19/G19,2))</f>
        <v>0.62</v>
      </c>
      <c r="I19" s="17" t="n">
        <f aca="false">ROUND(H19-F19,2)</f>
        <v>-0.03</v>
      </c>
      <c r="J19" s="8" t="str">
        <f aca="false">IF(ABS(I19)&gt;=Parámetros!$C$11,"SÍ","no")</f>
        <v>SÍ</v>
      </c>
      <c r="K19" s="18" t="str">
        <f aca="false">IF(AND(ABS(F19)&gt;0,ABS(I19)&gt;0.3*ABS(F19),ABS(I19)&gt;500),"REVISAR","")</f>
        <v/>
      </c>
    </row>
    <row r="20" customFormat="false" ht="15" hidden="false" customHeight="false" outlineLevel="0" collapsed="false">
      <c r="A20" s="19" t="s">
        <v>76</v>
      </c>
      <c r="B20" s="19" t="s">
        <v>77</v>
      </c>
      <c r="C20" s="19" t="s">
        <v>42</v>
      </c>
      <c r="D20" s="19" t="s">
        <v>43</v>
      </c>
      <c r="E20" s="20" t="n">
        <v>17397227.48</v>
      </c>
      <c r="F20" s="20" t="n">
        <v>12559.36</v>
      </c>
      <c r="G20" s="21" t="n">
        <f aca="false">IF(C20="ACTIVO",Parámetros!$C$6,Parámetros!$C$7)</f>
        <v>1473</v>
      </c>
      <c r="H20" s="20" t="n">
        <f aca="false">IF(D20="Proveedor",E20/G20,ROUND(E20/G20,2))</f>
        <v>11810.75</v>
      </c>
      <c r="I20" s="22" t="n">
        <f aca="false">ROUND(H20-F20,2)</f>
        <v>-748.61</v>
      </c>
      <c r="J20" s="23" t="str">
        <f aca="false">IF(ABS(I20)&gt;=Parámetros!$C$11,"SÍ","no")</f>
        <v>SÍ</v>
      </c>
      <c r="K20" s="24" t="str">
        <f aca="false">IF(AND(ABS(F20)&gt;0,ABS(I20)&gt;0.3*ABS(F20),ABS(I20)&gt;500),"REVISAR","")</f>
        <v/>
      </c>
    </row>
    <row r="21" customFormat="false" ht="15" hidden="false" customHeight="false" outlineLevel="0" collapsed="false">
      <c r="A21" s="14" t="s">
        <v>78</v>
      </c>
      <c r="B21" s="14" t="s">
        <v>79</v>
      </c>
      <c r="C21" s="14" t="s">
        <v>42</v>
      </c>
      <c r="D21" s="14" t="s">
        <v>43</v>
      </c>
      <c r="E21" s="15" t="n">
        <v>323000</v>
      </c>
      <c r="F21" s="15" t="n">
        <v>230.88</v>
      </c>
      <c r="G21" s="16" t="n">
        <f aca="false">IF(C21="ACTIVO",Parámetros!$C$6,Parámetros!$C$7)</f>
        <v>1473</v>
      </c>
      <c r="H21" s="15" t="n">
        <f aca="false">IF(D21="Proveedor",E21/G21,ROUND(E21/G21,2))</f>
        <v>219.28</v>
      </c>
      <c r="I21" s="17" t="n">
        <f aca="false">ROUND(H21-F21,2)</f>
        <v>-11.6</v>
      </c>
      <c r="J21" s="8" t="str">
        <f aca="false">IF(ABS(I21)&gt;=Parámetros!$C$11,"SÍ","no")</f>
        <v>SÍ</v>
      </c>
      <c r="K21" s="18" t="str">
        <f aca="false">IF(AND(ABS(F21)&gt;0,ABS(I21)&gt;0.3*ABS(F21),ABS(I21)&gt;500),"REVISAR","")</f>
        <v/>
      </c>
    </row>
    <row r="22" customFormat="false" ht="15" hidden="false" customHeight="false" outlineLevel="0" collapsed="false">
      <c r="A22" s="19" t="s">
        <v>80</v>
      </c>
      <c r="B22" s="19" t="s">
        <v>81</v>
      </c>
      <c r="C22" s="19" t="s">
        <v>42</v>
      </c>
      <c r="D22" s="19" t="s">
        <v>43</v>
      </c>
      <c r="E22" s="20" t="n">
        <v>108200</v>
      </c>
      <c r="F22" s="20" t="n">
        <v>77.34</v>
      </c>
      <c r="G22" s="21" t="n">
        <f aca="false">IF(C22="ACTIVO",Parámetros!$C$6,Parámetros!$C$7)</f>
        <v>1473</v>
      </c>
      <c r="H22" s="20" t="n">
        <f aca="false">IF(D22="Proveedor",E22/G22,ROUND(E22/G22,2))</f>
        <v>73.46</v>
      </c>
      <c r="I22" s="22" t="n">
        <f aca="false">ROUND(H22-F22,2)</f>
        <v>-3.88</v>
      </c>
      <c r="J22" s="23" t="str">
        <f aca="false">IF(ABS(I22)&gt;=Parámetros!$C$11,"SÍ","no")</f>
        <v>SÍ</v>
      </c>
      <c r="K22" s="24" t="str">
        <f aca="false">IF(AND(ABS(F22)&gt;0,ABS(I22)&gt;0.3*ABS(F22),ABS(I22)&gt;500),"REVISAR","")</f>
        <v/>
      </c>
    </row>
    <row r="23" customFormat="false" ht="15" hidden="false" customHeight="false" outlineLevel="0" collapsed="false">
      <c r="A23" s="14" t="s">
        <v>82</v>
      </c>
      <c r="B23" s="14" t="s">
        <v>83</v>
      </c>
      <c r="C23" s="14" t="s">
        <v>84</v>
      </c>
      <c r="D23" s="14" t="s">
        <v>85</v>
      </c>
      <c r="E23" s="15" t="n">
        <v>112281.77</v>
      </c>
      <c r="F23" s="15" t="n">
        <v>79.75</v>
      </c>
      <c r="G23" s="16" t="n">
        <f aca="false">IF(C23="ACTIVO",Parámetros!$C$6,Parámetros!$C$7)</f>
        <v>1482</v>
      </c>
      <c r="H23" s="15" t="n">
        <f aca="false">IF(D23="Proveedor",E23/G23,ROUND(E23/G23,2))</f>
        <v>75.763677462888</v>
      </c>
      <c r="I23" s="17" t="n">
        <f aca="false">ROUND(H23-F23,2)</f>
        <v>-3.99</v>
      </c>
      <c r="J23" s="8" t="str">
        <f aca="false">IF(ABS(I23)&gt;=Parámetros!$C$11,"SÍ","no")</f>
        <v>SÍ</v>
      </c>
      <c r="K23" s="18" t="str">
        <f aca="false">IF(AND(ABS(F23)&gt;0,ABS(I23)&gt;0.3*ABS(F23),ABS(I23)&gt;500),"REVISAR","")</f>
        <v/>
      </c>
    </row>
    <row r="24" customFormat="false" ht="15" hidden="false" customHeight="false" outlineLevel="0" collapsed="false">
      <c r="A24" s="19" t="s">
        <v>86</v>
      </c>
      <c r="B24" s="19" t="s">
        <v>87</v>
      </c>
      <c r="C24" s="19" t="s">
        <v>84</v>
      </c>
      <c r="D24" s="19" t="s">
        <v>85</v>
      </c>
      <c r="E24" s="20" t="n">
        <v>-108900</v>
      </c>
      <c r="F24" s="20" t="n">
        <v>-77.34</v>
      </c>
      <c r="G24" s="21" t="n">
        <f aca="false">IF(C24="ACTIVO",Parámetros!$C$6,Parámetros!$C$7)</f>
        <v>1482</v>
      </c>
      <c r="H24" s="20" t="n">
        <f aca="false">IF(D24="Proveedor",E24/G24,ROUND(E24/G24,2))</f>
        <v>-73.4817813765182</v>
      </c>
      <c r="I24" s="22" t="n">
        <f aca="false">ROUND(H24-F24,2)</f>
        <v>3.86</v>
      </c>
      <c r="J24" s="23" t="str">
        <f aca="false">IF(ABS(I24)&gt;=Parámetros!$C$11,"SÍ","no")</f>
        <v>SÍ</v>
      </c>
      <c r="K24" s="24" t="str">
        <f aca="false">IF(AND(ABS(F24)&gt;0,ABS(I24)&gt;0.3*ABS(F24),ABS(I24)&gt;500),"REVISAR","")</f>
        <v/>
      </c>
    </row>
    <row r="25" customFormat="false" ht="15" hidden="false" customHeight="false" outlineLevel="0" collapsed="false">
      <c r="A25" s="14" t="s">
        <v>88</v>
      </c>
      <c r="B25" s="14" t="s">
        <v>89</v>
      </c>
      <c r="C25" s="14" t="s">
        <v>84</v>
      </c>
      <c r="D25" s="14" t="s">
        <v>85</v>
      </c>
      <c r="E25" s="15" t="n">
        <v>-37700</v>
      </c>
      <c r="F25" s="15" t="n">
        <v>-26.78</v>
      </c>
      <c r="G25" s="16" t="n">
        <f aca="false">IF(C25="ACTIVO",Parámetros!$C$6,Parámetros!$C$7)</f>
        <v>1482</v>
      </c>
      <c r="H25" s="15" t="n">
        <f aca="false">IF(D25="Proveedor",E25/G25,ROUND(E25/G25,2))</f>
        <v>-25.4385964912281</v>
      </c>
      <c r="I25" s="17" t="n">
        <f aca="false">ROUND(H25-F25,2)</f>
        <v>1.34</v>
      </c>
      <c r="J25" s="8" t="str">
        <f aca="false">IF(ABS(I25)&gt;=Parámetros!$C$11,"SÍ","no")</f>
        <v>SÍ</v>
      </c>
      <c r="K25" s="18" t="str">
        <f aca="false">IF(AND(ABS(F25)&gt;0,ABS(I25)&gt;0.3*ABS(F25),ABS(I25)&gt;500),"REVISAR","")</f>
        <v/>
      </c>
    </row>
    <row r="26" customFormat="false" ht="15" hidden="false" customHeight="false" outlineLevel="0" collapsed="false">
      <c r="A26" s="19" t="s">
        <v>90</v>
      </c>
      <c r="B26" s="19" t="s">
        <v>91</v>
      </c>
      <c r="C26" s="19" t="s">
        <v>84</v>
      </c>
      <c r="D26" s="19" t="s">
        <v>85</v>
      </c>
      <c r="E26" s="20" t="n">
        <v>-45216.89</v>
      </c>
      <c r="F26" s="20" t="n">
        <v>-32.11</v>
      </c>
      <c r="G26" s="21" t="n">
        <f aca="false">IF(C26="ACTIVO",Parámetros!$C$6,Parámetros!$C$7)</f>
        <v>1482</v>
      </c>
      <c r="H26" s="20" t="n">
        <f aca="false">IF(D26="Proveedor",E26/G26,ROUND(E26/G26,2))</f>
        <v>-30.5107219973009</v>
      </c>
      <c r="I26" s="22" t="n">
        <f aca="false">ROUND(H26-F26,2)</f>
        <v>1.6</v>
      </c>
      <c r="J26" s="23" t="str">
        <f aca="false">IF(ABS(I26)&gt;=Parámetros!$C$11,"SÍ","no")</f>
        <v>SÍ</v>
      </c>
      <c r="K26" s="24" t="str">
        <f aca="false">IF(AND(ABS(F26)&gt;0,ABS(I26)&gt;0.3*ABS(F26),ABS(I26)&gt;500),"REVISAR","")</f>
        <v/>
      </c>
    </row>
    <row r="27" customFormat="false" ht="15" hidden="false" customHeight="false" outlineLevel="0" collapsed="false">
      <c r="A27" s="14" t="s">
        <v>92</v>
      </c>
      <c r="B27" s="14" t="s">
        <v>93</v>
      </c>
      <c r="C27" s="14" t="s">
        <v>84</v>
      </c>
      <c r="D27" s="14" t="s">
        <v>85</v>
      </c>
      <c r="E27" s="15" t="n">
        <v>379251.49</v>
      </c>
      <c r="F27" s="15" t="n">
        <v>269.35</v>
      </c>
      <c r="G27" s="16" t="n">
        <f aca="false">IF(C27="ACTIVO",Parámetros!$C$6,Parámetros!$C$7)</f>
        <v>1482</v>
      </c>
      <c r="H27" s="15" t="n">
        <f aca="false">IF(D27="Proveedor",E27/G27,ROUND(E27/G27,2))</f>
        <v>255.905188933873</v>
      </c>
      <c r="I27" s="17" t="n">
        <f aca="false">ROUND(H27-F27,2)</f>
        <v>-13.44</v>
      </c>
      <c r="J27" s="8" t="str">
        <f aca="false">IF(ABS(I27)&gt;=Parámetros!$C$11,"SÍ","no")</f>
        <v>SÍ</v>
      </c>
      <c r="K27" s="18" t="str">
        <f aca="false">IF(AND(ABS(F27)&gt;0,ABS(I27)&gt;0.3*ABS(F27),ABS(I27)&gt;500),"REVISAR","")</f>
        <v/>
      </c>
    </row>
    <row r="28" customFormat="false" ht="15" hidden="false" customHeight="false" outlineLevel="0" collapsed="false">
      <c r="A28" s="19" t="s">
        <v>94</v>
      </c>
      <c r="B28" s="19" t="s">
        <v>95</v>
      </c>
      <c r="C28" s="19" t="s">
        <v>84</v>
      </c>
      <c r="D28" s="19" t="s">
        <v>85</v>
      </c>
      <c r="E28" s="20" t="n">
        <v>0</v>
      </c>
      <c r="F28" s="20" t="n">
        <v>-6.3</v>
      </c>
      <c r="G28" s="21" t="n">
        <f aca="false">IF(C28="ACTIVO",Parámetros!$C$6,Parámetros!$C$7)</f>
        <v>1482</v>
      </c>
      <c r="H28" s="20" t="n">
        <f aca="false">IF(D28="Proveedor",E28/G28,ROUND(E28/G28,2))</f>
        <v>0</v>
      </c>
      <c r="I28" s="22" t="n">
        <f aca="false">ROUND(H28-F28,2)</f>
        <v>6.3</v>
      </c>
      <c r="J28" s="23" t="str">
        <f aca="false">IF(ABS(I28)&gt;=Parámetros!$C$11,"SÍ","no")</f>
        <v>SÍ</v>
      </c>
      <c r="K28" s="24" t="str">
        <f aca="false">IF(AND(ABS(F28)&gt;0,ABS(I28)&gt;0.3*ABS(F28),ABS(I28)&gt;500),"REVISAR","")</f>
        <v/>
      </c>
    </row>
    <row r="29" customFormat="false" ht="15" hidden="false" customHeight="false" outlineLevel="0" collapsed="false">
      <c r="A29" s="14" t="s">
        <v>96</v>
      </c>
      <c r="B29" s="14" t="s">
        <v>97</v>
      </c>
      <c r="C29" s="14" t="s">
        <v>84</v>
      </c>
      <c r="D29" s="14" t="s">
        <v>85</v>
      </c>
      <c r="E29" s="15" t="n">
        <v>0</v>
      </c>
      <c r="F29" s="15" t="n">
        <v>-1.75</v>
      </c>
      <c r="G29" s="16" t="n">
        <f aca="false">IF(C29="ACTIVO",Parámetros!$C$6,Parámetros!$C$7)</f>
        <v>1482</v>
      </c>
      <c r="H29" s="15" t="n">
        <f aca="false">IF(D29="Proveedor",E29/G29,ROUND(E29/G29,2))</f>
        <v>0</v>
      </c>
      <c r="I29" s="17" t="n">
        <f aca="false">ROUND(H29-F29,2)</f>
        <v>1.75</v>
      </c>
      <c r="J29" s="8" t="str">
        <f aca="false">IF(ABS(I29)&gt;=Parámetros!$C$11,"SÍ","no")</f>
        <v>SÍ</v>
      </c>
      <c r="K29" s="18" t="str">
        <f aca="false">IF(AND(ABS(F29)&gt;0,ABS(I29)&gt;0.3*ABS(F29),ABS(I29)&gt;500),"REVISAR","")</f>
        <v/>
      </c>
    </row>
    <row r="30" customFormat="false" ht="15" hidden="false" customHeight="false" outlineLevel="0" collapsed="false">
      <c r="A30" s="19" t="s">
        <v>98</v>
      </c>
      <c r="B30" s="19" t="s">
        <v>99</v>
      </c>
      <c r="C30" s="19" t="s">
        <v>84</v>
      </c>
      <c r="D30" s="19" t="s">
        <v>85</v>
      </c>
      <c r="E30" s="20" t="n">
        <v>-50000</v>
      </c>
      <c r="F30" s="20" t="n">
        <v>-35.51</v>
      </c>
      <c r="G30" s="21" t="n">
        <f aca="false">IF(C30="ACTIVO",Parámetros!$C$6,Parámetros!$C$7)</f>
        <v>1482</v>
      </c>
      <c r="H30" s="20" t="n">
        <f aca="false">IF(D30="Proveedor",E30/G30,ROUND(E30/G30,2))</f>
        <v>-33.7381916329285</v>
      </c>
      <c r="I30" s="22" t="n">
        <f aca="false">ROUND(H30-F30,2)</f>
        <v>1.77</v>
      </c>
      <c r="J30" s="23" t="str">
        <f aca="false">IF(ABS(I30)&gt;=Parámetros!$C$11,"SÍ","no")</f>
        <v>SÍ</v>
      </c>
      <c r="K30" s="24" t="str">
        <f aca="false">IF(AND(ABS(F30)&gt;0,ABS(I30)&gt;0.3*ABS(F30),ABS(I30)&gt;500),"REVISAR","")</f>
        <v/>
      </c>
    </row>
    <row r="31" customFormat="false" ht="15" hidden="false" customHeight="false" outlineLevel="0" collapsed="false">
      <c r="A31" s="14" t="s">
        <v>100</v>
      </c>
      <c r="B31" s="14" t="s">
        <v>101</v>
      </c>
      <c r="C31" s="14" t="s">
        <v>84</v>
      </c>
      <c r="D31" s="14" t="s">
        <v>85</v>
      </c>
      <c r="E31" s="15" t="n">
        <v>-20786.65</v>
      </c>
      <c r="F31" s="15" t="n">
        <v>-14.76</v>
      </c>
      <c r="G31" s="16" t="n">
        <f aca="false">IF(C31="ACTIVO",Parámetros!$C$6,Parámetros!$C$7)</f>
        <v>1482</v>
      </c>
      <c r="H31" s="15" t="n">
        <f aca="false">IF(D31="Proveedor",E31/G31,ROUND(E31/G31,2))</f>
        <v>-14.0260796221323</v>
      </c>
      <c r="I31" s="17" t="n">
        <f aca="false">ROUND(H31-F31,2)</f>
        <v>0.73</v>
      </c>
      <c r="J31" s="8" t="str">
        <f aca="false">IF(ABS(I31)&gt;=Parámetros!$C$11,"SÍ","no")</f>
        <v>SÍ</v>
      </c>
      <c r="K31" s="18" t="str">
        <f aca="false">IF(AND(ABS(F31)&gt;0,ABS(I31)&gt;0.3*ABS(F31),ABS(I31)&gt;500),"REVISAR","")</f>
        <v/>
      </c>
    </row>
    <row r="32" customFormat="false" ht="15" hidden="false" customHeight="false" outlineLevel="0" collapsed="false">
      <c r="A32" s="19" t="s">
        <v>102</v>
      </c>
      <c r="B32" s="19" t="s">
        <v>103</v>
      </c>
      <c r="C32" s="19" t="s">
        <v>84</v>
      </c>
      <c r="D32" s="19" t="s">
        <v>85</v>
      </c>
      <c r="E32" s="20" t="n">
        <v>-3087400</v>
      </c>
      <c r="F32" s="20" t="n">
        <v>-2166.68</v>
      </c>
      <c r="G32" s="21" t="n">
        <f aca="false">IF(C32="ACTIVO",Parámetros!$C$6,Parámetros!$C$7)</f>
        <v>1482</v>
      </c>
      <c r="H32" s="20" t="n">
        <f aca="false">IF(D32="Proveedor",E32/G32,ROUND(E32/G32,2))</f>
        <v>-2083.26585695007</v>
      </c>
      <c r="I32" s="22" t="n">
        <f aca="false">ROUND(H32-F32,2)</f>
        <v>83.41</v>
      </c>
      <c r="J32" s="23" t="str">
        <f aca="false">IF(ABS(I32)&gt;=Parámetros!$C$11,"SÍ","no")</f>
        <v>SÍ</v>
      </c>
      <c r="K32" s="24" t="str">
        <f aca="false">IF(AND(ABS(F32)&gt;0,ABS(I32)&gt;0.3*ABS(F32),ABS(I32)&gt;500),"REVISAR","")</f>
        <v/>
      </c>
    </row>
    <row r="33" customFormat="false" ht="15" hidden="false" customHeight="false" outlineLevel="0" collapsed="false">
      <c r="A33" s="14" t="s">
        <v>104</v>
      </c>
      <c r="B33" s="14" t="s">
        <v>105</v>
      </c>
      <c r="C33" s="14" t="s">
        <v>84</v>
      </c>
      <c r="D33" s="14" t="s">
        <v>85</v>
      </c>
      <c r="E33" s="15" t="n">
        <v>-107500</v>
      </c>
      <c r="F33" s="15" t="n">
        <v>-76.35</v>
      </c>
      <c r="G33" s="16" t="n">
        <f aca="false">IF(C33="ACTIVO",Parámetros!$C$6,Parámetros!$C$7)</f>
        <v>1482</v>
      </c>
      <c r="H33" s="15" t="n">
        <f aca="false">IF(D33="Proveedor",E33/G33,ROUND(E33/G33,2))</f>
        <v>-72.5371120107962</v>
      </c>
      <c r="I33" s="17" t="n">
        <f aca="false">ROUND(H33-F33,2)</f>
        <v>3.81</v>
      </c>
      <c r="J33" s="8" t="str">
        <f aca="false">IF(ABS(I33)&gt;=Parámetros!$C$11,"SÍ","no")</f>
        <v>SÍ</v>
      </c>
      <c r="K33" s="18" t="str">
        <f aca="false">IF(AND(ABS(F33)&gt;0,ABS(I33)&gt;0.3*ABS(F33),ABS(I33)&gt;500),"REVISAR","")</f>
        <v/>
      </c>
    </row>
    <row r="34" customFormat="false" ht="15" hidden="false" customHeight="false" outlineLevel="0" collapsed="false">
      <c r="A34" s="19" t="s">
        <v>106</v>
      </c>
      <c r="B34" s="19" t="s">
        <v>107</v>
      </c>
      <c r="C34" s="19" t="s">
        <v>84</v>
      </c>
      <c r="D34" s="19" t="s">
        <v>85</v>
      </c>
      <c r="E34" s="20" t="n">
        <v>602391.95</v>
      </c>
      <c r="F34" s="20" t="n">
        <v>427.84</v>
      </c>
      <c r="G34" s="21" t="n">
        <f aca="false">IF(C34="ACTIVO",Parámetros!$C$6,Parámetros!$C$7)</f>
        <v>1482</v>
      </c>
      <c r="H34" s="20" t="n">
        <f aca="false">IF(D34="Proveedor",E34/G34,ROUND(E34/G34,2))</f>
        <v>406.472300944669</v>
      </c>
      <c r="I34" s="22" t="n">
        <f aca="false">ROUND(H34-F34,2)</f>
        <v>-21.37</v>
      </c>
      <c r="J34" s="23" t="str">
        <f aca="false">IF(ABS(I34)&gt;=Parámetros!$C$11,"SÍ","no")</f>
        <v>SÍ</v>
      </c>
      <c r="K34" s="24" t="str">
        <f aca="false">IF(AND(ABS(F34)&gt;0,ABS(I34)&gt;0.3*ABS(F34),ABS(I34)&gt;500),"REVISAR","")</f>
        <v/>
      </c>
    </row>
    <row r="35" customFormat="false" ht="15" hidden="false" customHeight="false" outlineLevel="0" collapsed="false">
      <c r="A35" s="14" t="s">
        <v>108</v>
      </c>
      <c r="B35" s="14" t="s">
        <v>109</v>
      </c>
      <c r="C35" s="14" t="s">
        <v>84</v>
      </c>
      <c r="D35" s="14" t="s">
        <v>85</v>
      </c>
      <c r="E35" s="15" t="n">
        <v>57904.46</v>
      </c>
      <c r="F35" s="15" t="n">
        <v>41.13</v>
      </c>
      <c r="G35" s="16" t="n">
        <f aca="false">IF(C35="ACTIVO",Parámetros!$C$6,Parámetros!$C$7)</f>
        <v>1482</v>
      </c>
      <c r="H35" s="15" t="n">
        <f aca="false">IF(D35="Proveedor",E35/G35,ROUND(E35/G35,2))</f>
        <v>39.0718353576248</v>
      </c>
      <c r="I35" s="17" t="n">
        <f aca="false">ROUND(H35-F35,2)</f>
        <v>-2.06</v>
      </c>
      <c r="J35" s="8" t="str">
        <f aca="false">IF(ABS(I35)&gt;=Parámetros!$C$11,"SÍ","no")</f>
        <v>SÍ</v>
      </c>
      <c r="K35" s="18" t="str">
        <f aca="false">IF(AND(ABS(F35)&gt;0,ABS(I35)&gt;0.3*ABS(F35),ABS(I35)&gt;500),"REVISAR","")</f>
        <v/>
      </c>
    </row>
    <row r="36" customFormat="false" ht="15" hidden="false" customHeight="false" outlineLevel="0" collapsed="false">
      <c r="A36" s="19" t="s">
        <v>110</v>
      </c>
      <c r="B36" s="19" t="s">
        <v>111</v>
      </c>
      <c r="C36" s="19" t="s">
        <v>84</v>
      </c>
      <c r="D36" s="19" t="s">
        <v>85</v>
      </c>
      <c r="E36" s="20" t="n">
        <v>0</v>
      </c>
      <c r="F36" s="20" t="n">
        <v>-1.93</v>
      </c>
      <c r="G36" s="21" t="n">
        <f aca="false">IF(C36="ACTIVO",Parámetros!$C$6,Parámetros!$C$7)</f>
        <v>1482</v>
      </c>
      <c r="H36" s="20" t="n">
        <f aca="false">IF(D36="Proveedor",E36/G36,ROUND(E36/G36,2))</f>
        <v>0</v>
      </c>
      <c r="I36" s="22" t="n">
        <f aca="false">ROUND(H36-F36,2)</f>
        <v>1.93</v>
      </c>
      <c r="J36" s="23" t="str">
        <f aca="false">IF(ABS(I36)&gt;=Parámetros!$C$11,"SÍ","no")</f>
        <v>SÍ</v>
      </c>
      <c r="K36" s="24" t="str">
        <f aca="false">IF(AND(ABS(F36)&gt;0,ABS(I36)&gt;0.3*ABS(F36),ABS(I36)&gt;500),"REVISAR","")</f>
        <v/>
      </c>
    </row>
    <row r="37" customFormat="false" ht="15" hidden="false" customHeight="false" outlineLevel="0" collapsed="false">
      <c r="A37" s="14" t="s">
        <v>112</v>
      </c>
      <c r="B37" s="14" t="s">
        <v>113</v>
      </c>
      <c r="C37" s="14" t="s">
        <v>84</v>
      </c>
      <c r="D37" s="14" t="s">
        <v>85</v>
      </c>
      <c r="E37" s="15" t="n">
        <v>0</v>
      </c>
      <c r="F37" s="15" t="n">
        <v>-7.28</v>
      </c>
      <c r="G37" s="16" t="n">
        <f aca="false">IF(C37="ACTIVO",Parámetros!$C$6,Parámetros!$C$7)</f>
        <v>1482</v>
      </c>
      <c r="H37" s="15" t="n">
        <f aca="false">IF(D37="Proveedor",E37/G37,ROUND(E37/G37,2))</f>
        <v>0</v>
      </c>
      <c r="I37" s="17" t="n">
        <f aca="false">ROUND(H37-F37,2)</f>
        <v>7.28</v>
      </c>
      <c r="J37" s="8" t="str">
        <f aca="false">IF(ABS(I37)&gt;=Parámetros!$C$11,"SÍ","no")</f>
        <v>SÍ</v>
      </c>
      <c r="K37" s="18" t="str">
        <f aca="false">IF(AND(ABS(F37)&gt;0,ABS(I37)&gt;0.3*ABS(F37),ABS(I37)&gt;500),"REVISAR","")</f>
        <v/>
      </c>
    </row>
    <row r="38" customFormat="false" ht="15" hidden="false" customHeight="false" outlineLevel="0" collapsed="false">
      <c r="A38" s="19" t="s">
        <v>114</v>
      </c>
      <c r="B38" s="19" t="s">
        <v>115</v>
      </c>
      <c r="C38" s="19" t="s">
        <v>84</v>
      </c>
      <c r="D38" s="19" t="s">
        <v>85</v>
      </c>
      <c r="E38" s="20" t="n">
        <v>0</v>
      </c>
      <c r="F38" s="20" t="n">
        <v>-13.34</v>
      </c>
      <c r="G38" s="21" t="n">
        <f aca="false">IF(C38="ACTIVO",Parámetros!$C$6,Parámetros!$C$7)</f>
        <v>1482</v>
      </c>
      <c r="H38" s="20" t="n">
        <f aca="false">IF(D38="Proveedor",E38/G38,ROUND(E38/G38,2))</f>
        <v>0</v>
      </c>
      <c r="I38" s="22" t="n">
        <f aca="false">ROUND(H38-F38,2)</f>
        <v>13.34</v>
      </c>
      <c r="J38" s="23" t="str">
        <f aca="false">IF(ABS(I38)&gt;=Parámetros!$C$11,"SÍ","no")</f>
        <v>SÍ</v>
      </c>
      <c r="K38" s="24" t="str">
        <f aca="false">IF(AND(ABS(F38)&gt;0,ABS(I38)&gt;0.3*ABS(F38),ABS(I38)&gt;500),"REVISAR","")</f>
        <v/>
      </c>
    </row>
    <row r="39" customFormat="false" ht="15" hidden="false" customHeight="false" outlineLevel="0" collapsed="false">
      <c r="A39" s="14" t="s">
        <v>116</v>
      </c>
      <c r="B39" s="14" t="s">
        <v>117</v>
      </c>
      <c r="C39" s="14" t="s">
        <v>84</v>
      </c>
      <c r="D39" s="14" t="s">
        <v>85</v>
      </c>
      <c r="E39" s="15" t="n">
        <v>1474033.77</v>
      </c>
      <c r="F39" s="15" t="n">
        <v>1046.9</v>
      </c>
      <c r="G39" s="16" t="n">
        <f aca="false">IF(C39="ACTIVO",Parámetros!$C$6,Parámetros!$C$7)</f>
        <v>1482</v>
      </c>
      <c r="H39" s="15" t="n">
        <f aca="false">IF(D39="Proveedor",E39/G39,ROUND(E39/G39,2))</f>
        <v>994.62467611336</v>
      </c>
      <c r="I39" s="17" t="n">
        <f aca="false">ROUND(H39-F39,2)</f>
        <v>-52.28</v>
      </c>
      <c r="J39" s="8" t="str">
        <f aca="false">IF(ABS(I39)&gt;=Parámetros!$C$11,"SÍ","no")</f>
        <v>SÍ</v>
      </c>
      <c r="K39" s="18" t="str">
        <f aca="false">IF(AND(ABS(F39)&gt;0,ABS(I39)&gt;0.3*ABS(F39),ABS(I39)&gt;500),"REVISAR","")</f>
        <v/>
      </c>
    </row>
    <row r="40" customFormat="false" ht="15" hidden="false" customHeight="false" outlineLevel="0" collapsed="false">
      <c r="A40" s="19" t="s">
        <v>118</v>
      </c>
      <c r="B40" s="19" t="s">
        <v>119</v>
      </c>
      <c r="C40" s="19" t="s">
        <v>84</v>
      </c>
      <c r="D40" s="19" t="s">
        <v>85</v>
      </c>
      <c r="E40" s="20" t="n">
        <v>-1600900.31</v>
      </c>
      <c r="F40" s="20" t="n">
        <v>-1124.71</v>
      </c>
      <c r="G40" s="21" t="n">
        <f aca="false">IF(C40="ACTIVO",Parámetros!$C$6,Parámetros!$C$7)</f>
        <v>1482</v>
      </c>
      <c r="H40" s="20" t="n">
        <f aca="false">IF(D40="Proveedor",E40/G40,ROUND(E40/G40,2))</f>
        <v>-1080.22962887989</v>
      </c>
      <c r="I40" s="22" t="n">
        <f aca="false">ROUND(H40-F40,2)</f>
        <v>44.48</v>
      </c>
      <c r="J40" s="23" t="str">
        <f aca="false">IF(ABS(I40)&gt;=Parámetros!$C$11,"SÍ","no")</f>
        <v>SÍ</v>
      </c>
      <c r="K40" s="24" t="str">
        <f aca="false">IF(AND(ABS(F40)&gt;0,ABS(I40)&gt;0.3*ABS(F40),ABS(I40)&gt;500),"REVISAR","")</f>
        <v/>
      </c>
    </row>
    <row r="41" customFormat="false" ht="15" hidden="false" customHeight="false" outlineLevel="0" collapsed="false">
      <c r="A41" s="14" t="s">
        <v>120</v>
      </c>
      <c r="B41" s="14" t="s">
        <v>121</v>
      </c>
      <c r="C41" s="14" t="s">
        <v>84</v>
      </c>
      <c r="D41" s="14" t="s">
        <v>85</v>
      </c>
      <c r="E41" s="15" t="n">
        <v>-1200000</v>
      </c>
      <c r="F41" s="15" t="n">
        <v>-852.27</v>
      </c>
      <c r="G41" s="16" t="n">
        <f aca="false">IF(C41="ACTIVO",Parámetros!$C$6,Parámetros!$C$7)</f>
        <v>1482</v>
      </c>
      <c r="H41" s="15" t="n">
        <f aca="false">IF(D41="Proveedor",E41/G41,ROUND(E41/G41,2))</f>
        <v>-809.716599190283</v>
      </c>
      <c r="I41" s="17" t="n">
        <f aca="false">ROUND(H41-F41,2)</f>
        <v>42.55</v>
      </c>
      <c r="J41" s="8" t="str">
        <f aca="false">IF(ABS(I41)&gt;=Parámetros!$C$11,"SÍ","no")</f>
        <v>SÍ</v>
      </c>
      <c r="K41" s="18" t="str">
        <f aca="false">IF(AND(ABS(F41)&gt;0,ABS(I41)&gt;0.3*ABS(F41),ABS(I41)&gt;500),"REVISAR","")</f>
        <v/>
      </c>
    </row>
    <row r="42" customFormat="false" ht="15" hidden="false" customHeight="false" outlineLevel="0" collapsed="false">
      <c r="A42" s="19" t="s">
        <v>122</v>
      </c>
      <c r="B42" s="19" t="s">
        <v>123</v>
      </c>
      <c r="C42" s="19" t="s">
        <v>84</v>
      </c>
      <c r="D42" s="19" t="s">
        <v>85</v>
      </c>
      <c r="E42" s="20" t="n">
        <v>4602127.71</v>
      </c>
      <c r="F42" s="20" t="n">
        <v>3268.56</v>
      </c>
      <c r="G42" s="21" t="n">
        <f aca="false">IF(C42="ACTIVO",Parámetros!$C$6,Parámetros!$C$7)</f>
        <v>1482</v>
      </c>
      <c r="H42" s="20" t="n">
        <f aca="false">IF(D42="Proveedor",E42/G42,ROUND(E42/G42,2))</f>
        <v>3105.34933198381</v>
      </c>
      <c r="I42" s="22" t="n">
        <f aca="false">ROUND(H42-F42,2)</f>
        <v>-163.21</v>
      </c>
      <c r="J42" s="23" t="str">
        <f aca="false">IF(ABS(I42)&gt;=Parámetros!$C$11,"SÍ","no")</f>
        <v>SÍ</v>
      </c>
      <c r="K42" s="24" t="str">
        <f aca="false">IF(AND(ABS(F42)&gt;0,ABS(I42)&gt;0.3*ABS(F42),ABS(I42)&gt;500),"REVISAR","")</f>
        <v/>
      </c>
    </row>
    <row r="43" customFormat="false" ht="15" hidden="false" customHeight="false" outlineLevel="0" collapsed="false">
      <c r="A43" s="14" t="s">
        <v>124</v>
      </c>
      <c r="B43" s="14" t="s">
        <v>125</v>
      </c>
      <c r="C43" s="14" t="s">
        <v>84</v>
      </c>
      <c r="D43" s="14" t="s">
        <v>85</v>
      </c>
      <c r="E43" s="15" t="n">
        <v>-670000</v>
      </c>
      <c r="F43" s="15" t="n">
        <v>-469.85</v>
      </c>
      <c r="G43" s="16" t="n">
        <f aca="false">IF(C43="ACTIVO",Parámetros!$C$6,Parámetros!$C$7)</f>
        <v>1482</v>
      </c>
      <c r="H43" s="15" t="n">
        <f aca="false">IF(D43="Proveedor",E43/G43,ROUND(E43/G43,2))</f>
        <v>-452.091767881242</v>
      </c>
      <c r="I43" s="17" t="n">
        <f aca="false">ROUND(H43-F43,2)</f>
        <v>17.76</v>
      </c>
      <c r="J43" s="8" t="str">
        <f aca="false">IF(ABS(I43)&gt;=Parámetros!$C$11,"SÍ","no")</f>
        <v>SÍ</v>
      </c>
      <c r="K43" s="18" t="str">
        <f aca="false">IF(AND(ABS(F43)&gt;0,ABS(I43)&gt;0.3*ABS(F43),ABS(I43)&gt;500),"REVISAR","")</f>
        <v/>
      </c>
    </row>
    <row r="44" customFormat="false" ht="15" hidden="false" customHeight="false" outlineLevel="0" collapsed="false">
      <c r="A44" s="19" t="s">
        <v>126</v>
      </c>
      <c r="B44" s="19" t="s">
        <v>127</v>
      </c>
      <c r="C44" s="19" t="s">
        <v>84</v>
      </c>
      <c r="D44" s="19" t="s">
        <v>85</v>
      </c>
      <c r="E44" s="20" t="n">
        <v>-505770</v>
      </c>
      <c r="F44" s="20" t="n">
        <v>-359.21</v>
      </c>
      <c r="G44" s="21" t="n">
        <f aca="false">IF(C44="ACTIVO",Parámetros!$C$6,Parámetros!$C$7)</f>
        <v>1482</v>
      </c>
      <c r="H44" s="20" t="n">
        <f aca="false">IF(D44="Proveedor",E44/G44,ROUND(E44/G44,2))</f>
        <v>-341.275303643725</v>
      </c>
      <c r="I44" s="22" t="n">
        <f aca="false">ROUND(H44-F44,2)</f>
        <v>17.93</v>
      </c>
      <c r="J44" s="23" t="str">
        <f aca="false">IF(ABS(I44)&gt;=Parámetros!$C$11,"SÍ","no")</f>
        <v>SÍ</v>
      </c>
      <c r="K44" s="24" t="str">
        <f aca="false">IF(AND(ABS(F44)&gt;0,ABS(I44)&gt;0.3*ABS(F44),ABS(I44)&gt;500),"REVISAR","")</f>
        <v/>
      </c>
    </row>
    <row r="45" customFormat="false" ht="15" hidden="false" customHeight="false" outlineLevel="0" collapsed="false">
      <c r="A45" s="14" t="s">
        <v>128</v>
      </c>
      <c r="B45" s="14" t="s">
        <v>129</v>
      </c>
      <c r="C45" s="14" t="s">
        <v>84</v>
      </c>
      <c r="D45" s="14" t="s">
        <v>85</v>
      </c>
      <c r="E45" s="15" t="n">
        <v>220000</v>
      </c>
      <c r="F45" s="15" t="n">
        <v>156.25</v>
      </c>
      <c r="G45" s="16" t="n">
        <f aca="false">IF(C45="ACTIVO",Parámetros!$C$6,Parámetros!$C$7)</f>
        <v>1482</v>
      </c>
      <c r="H45" s="15" t="n">
        <f aca="false">IF(D45="Proveedor",E45/G45,ROUND(E45/G45,2))</f>
        <v>148.448043184885</v>
      </c>
      <c r="I45" s="17" t="n">
        <f aca="false">ROUND(H45-F45,2)</f>
        <v>-7.8</v>
      </c>
      <c r="J45" s="8" t="str">
        <f aca="false">IF(ABS(I45)&gt;=Parámetros!$C$11,"SÍ","no")</f>
        <v>SÍ</v>
      </c>
      <c r="K45" s="18" t="str">
        <f aca="false">IF(AND(ABS(F45)&gt;0,ABS(I45)&gt;0.3*ABS(F45),ABS(I45)&gt;500),"REVISAR","")</f>
        <v/>
      </c>
    </row>
    <row r="46" customFormat="false" ht="15" hidden="false" customHeight="false" outlineLevel="0" collapsed="false">
      <c r="A46" s="19" t="s">
        <v>130</v>
      </c>
      <c r="B46" s="19" t="s">
        <v>131</v>
      </c>
      <c r="C46" s="19" t="s">
        <v>84</v>
      </c>
      <c r="D46" s="19" t="s">
        <v>85</v>
      </c>
      <c r="E46" s="20" t="n">
        <v>-72600</v>
      </c>
      <c r="F46" s="20" t="n">
        <v>-51.56</v>
      </c>
      <c r="G46" s="21" t="n">
        <f aca="false">IF(C46="ACTIVO",Parámetros!$C$6,Parámetros!$C$7)</f>
        <v>1482</v>
      </c>
      <c r="H46" s="20" t="n">
        <f aca="false">IF(D46="Proveedor",E46/G46,ROUND(E46/G46,2))</f>
        <v>-48.9878542510121</v>
      </c>
      <c r="I46" s="22" t="n">
        <f aca="false">ROUND(H46-F46,2)</f>
        <v>2.57</v>
      </c>
      <c r="J46" s="23" t="str">
        <f aca="false">IF(ABS(I46)&gt;=Parámetros!$C$11,"SÍ","no")</f>
        <v>SÍ</v>
      </c>
      <c r="K46" s="24" t="str">
        <f aca="false">IF(AND(ABS(F46)&gt;0,ABS(I46)&gt;0.3*ABS(F46),ABS(I46)&gt;500),"REVISAR","")</f>
        <v/>
      </c>
    </row>
    <row r="47" customFormat="false" ht="15" hidden="false" customHeight="false" outlineLevel="0" collapsed="false">
      <c r="A47" s="14" t="s">
        <v>132</v>
      </c>
      <c r="B47" s="14" t="s">
        <v>133</v>
      </c>
      <c r="C47" s="14" t="s">
        <v>84</v>
      </c>
      <c r="D47" s="14" t="s">
        <v>85</v>
      </c>
      <c r="E47" s="15" t="n">
        <v>-45033.68</v>
      </c>
      <c r="F47" s="15" t="n">
        <v>-31.98</v>
      </c>
      <c r="G47" s="16" t="n">
        <f aca="false">IF(C47="ACTIVO",Parámetros!$C$6,Parámetros!$C$7)</f>
        <v>1482</v>
      </c>
      <c r="H47" s="15" t="n">
        <f aca="false">IF(D47="Proveedor",E47/G47,ROUND(E47/G47,2))</f>
        <v>-30.3870985155196</v>
      </c>
      <c r="I47" s="17" t="n">
        <f aca="false">ROUND(H47-F47,2)</f>
        <v>1.59</v>
      </c>
      <c r="J47" s="8" t="str">
        <f aca="false">IF(ABS(I47)&gt;=Parámetros!$C$11,"SÍ","no")</f>
        <v>SÍ</v>
      </c>
      <c r="K47" s="18" t="str">
        <f aca="false">IF(AND(ABS(F47)&gt;0,ABS(I47)&gt;0.3*ABS(F47),ABS(I47)&gt;500),"REVISAR","")</f>
        <v/>
      </c>
    </row>
    <row r="48" customFormat="false" ht="15" hidden="false" customHeight="false" outlineLevel="0" collapsed="false">
      <c r="A48" s="19" t="s">
        <v>134</v>
      </c>
      <c r="B48" s="19" t="s">
        <v>135</v>
      </c>
      <c r="C48" s="19" t="s">
        <v>84</v>
      </c>
      <c r="D48" s="19" t="s">
        <v>85</v>
      </c>
      <c r="E48" s="20" t="n">
        <v>576899.75</v>
      </c>
      <c r="F48" s="20" t="n">
        <v>409.73</v>
      </c>
      <c r="G48" s="21" t="n">
        <f aca="false">IF(C48="ACTIVO",Parámetros!$C$6,Parámetros!$C$7)</f>
        <v>1482</v>
      </c>
      <c r="H48" s="20" t="n">
        <f aca="false">IF(D48="Proveedor",E48/G48,ROUND(E48/G48,2))</f>
        <v>389.271086369771</v>
      </c>
      <c r="I48" s="22" t="n">
        <f aca="false">ROUND(H48-F48,2)</f>
        <v>-20.46</v>
      </c>
      <c r="J48" s="23" t="str">
        <f aca="false">IF(ABS(I48)&gt;=Parámetros!$C$11,"SÍ","no")</f>
        <v>SÍ</v>
      </c>
      <c r="K48" s="24" t="str">
        <f aca="false">IF(AND(ABS(F48)&gt;0,ABS(I48)&gt;0.3*ABS(F48),ABS(I48)&gt;500),"REVISAR","")</f>
        <v/>
      </c>
    </row>
    <row r="49" customFormat="false" ht="15" hidden="false" customHeight="false" outlineLevel="0" collapsed="false">
      <c r="A49" s="14" t="s">
        <v>136</v>
      </c>
      <c r="B49" s="14" t="s">
        <v>137</v>
      </c>
      <c r="C49" s="14" t="s">
        <v>84</v>
      </c>
      <c r="D49" s="14" t="s">
        <v>85</v>
      </c>
      <c r="E49" s="15" t="n">
        <v>5908.99</v>
      </c>
      <c r="F49" s="15" t="n">
        <v>4.2</v>
      </c>
      <c r="G49" s="16" t="n">
        <f aca="false">IF(C49="ACTIVO",Parámetros!$C$6,Parámetros!$C$7)</f>
        <v>1482</v>
      </c>
      <c r="H49" s="15" t="n">
        <f aca="false">IF(D49="Proveedor",E49/G49,ROUND(E49/G49,2))</f>
        <v>3.98717273954116</v>
      </c>
      <c r="I49" s="17" t="n">
        <f aca="false">ROUND(H49-F49,2)</f>
        <v>-0.21</v>
      </c>
      <c r="J49" s="8" t="str">
        <f aca="false">IF(ABS(I49)&gt;=Parámetros!$C$11,"SÍ","no")</f>
        <v>SÍ</v>
      </c>
      <c r="K49" s="18" t="str">
        <f aca="false">IF(AND(ABS(F49)&gt;0,ABS(I49)&gt;0.3*ABS(F49),ABS(I49)&gt;500),"REVISAR","")</f>
        <v/>
      </c>
    </row>
    <row r="50" customFormat="false" ht="15" hidden="false" customHeight="false" outlineLevel="0" collapsed="false">
      <c r="A50" s="19" t="s">
        <v>138</v>
      </c>
      <c r="B50" s="19" t="s">
        <v>139</v>
      </c>
      <c r="C50" s="19" t="s">
        <v>84</v>
      </c>
      <c r="D50" s="19" t="s">
        <v>85</v>
      </c>
      <c r="E50" s="20" t="n">
        <v>0</v>
      </c>
      <c r="F50" s="20" t="n">
        <v>-0.01</v>
      </c>
      <c r="G50" s="21" t="n">
        <f aca="false">IF(C50="ACTIVO",Parámetros!$C$6,Parámetros!$C$7)</f>
        <v>1482</v>
      </c>
      <c r="H50" s="20" t="n">
        <f aca="false">IF(D50="Proveedor",E50/G50,ROUND(E50/G50,2))</f>
        <v>0</v>
      </c>
      <c r="I50" s="22" t="n">
        <f aca="false">ROUND(H50-F50,2)</f>
        <v>0.01</v>
      </c>
      <c r="J50" s="23" t="str">
        <f aca="false">IF(ABS(I50)&gt;=Parámetros!$C$11,"SÍ","no")</f>
        <v>SÍ</v>
      </c>
      <c r="K50" s="24" t="str">
        <f aca="false">IF(AND(ABS(F50)&gt;0,ABS(I50)&gt;0.3*ABS(F50),ABS(I50)&gt;500),"REVISAR","")</f>
        <v/>
      </c>
    </row>
    <row r="51" customFormat="false" ht="15" hidden="false" customHeight="false" outlineLevel="0" collapsed="false">
      <c r="A51" s="14" t="s">
        <v>140</v>
      </c>
      <c r="B51" s="14" t="s">
        <v>141</v>
      </c>
      <c r="C51" s="14" t="s">
        <v>84</v>
      </c>
      <c r="D51" s="14" t="s">
        <v>85</v>
      </c>
      <c r="E51" s="15" t="n">
        <v>0</v>
      </c>
      <c r="F51" s="15" t="n">
        <v>-0.54</v>
      </c>
      <c r="G51" s="16" t="n">
        <f aca="false">IF(C51="ACTIVO",Parámetros!$C$6,Parámetros!$C$7)</f>
        <v>1482</v>
      </c>
      <c r="H51" s="15" t="n">
        <f aca="false">IF(D51="Proveedor",E51/G51,ROUND(E51/G51,2))</f>
        <v>0</v>
      </c>
      <c r="I51" s="17" t="n">
        <f aca="false">ROUND(H51-F51,2)</f>
        <v>0.54</v>
      </c>
      <c r="J51" s="8" t="str">
        <f aca="false">IF(ABS(I51)&gt;=Parámetros!$C$11,"SÍ","no")</f>
        <v>SÍ</v>
      </c>
      <c r="K51" s="18" t="str">
        <f aca="false">IF(AND(ABS(F51)&gt;0,ABS(I51)&gt;0.3*ABS(F51),ABS(I51)&gt;500),"REVISAR","")</f>
        <v/>
      </c>
    </row>
    <row r="52" customFormat="false" ht="15" hidden="false" customHeight="false" outlineLevel="0" collapsed="false">
      <c r="A52" s="19" t="s">
        <v>142</v>
      </c>
      <c r="B52" s="19" t="s">
        <v>143</v>
      </c>
      <c r="C52" s="19" t="s">
        <v>84</v>
      </c>
      <c r="D52" s="19" t="s">
        <v>85</v>
      </c>
      <c r="E52" s="20" t="n">
        <v>-665863</v>
      </c>
      <c r="F52" s="20" t="n">
        <v>-472.91</v>
      </c>
      <c r="G52" s="21" t="n">
        <f aca="false">IF(C52="ACTIVO",Parámetros!$C$6,Parámetros!$C$7)</f>
        <v>1482</v>
      </c>
      <c r="H52" s="20" t="n">
        <f aca="false">IF(D52="Proveedor",E52/G52,ROUND(E52/G52,2))</f>
        <v>-449.300269905533</v>
      </c>
      <c r="I52" s="22" t="n">
        <f aca="false">ROUND(H52-F52,2)</f>
        <v>23.61</v>
      </c>
      <c r="J52" s="23" t="str">
        <f aca="false">IF(ABS(I52)&gt;=Parámetros!$C$11,"SÍ","no")</f>
        <v>SÍ</v>
      </c>
      <c r="K52" s="24" t="str">
        <f aca="false">IF(AND(ABS(F52)&gt;0,ABS(I52)&gt;0.3*ABS(F52),ABS(I52)&gt;500),"REVISAR","")</f>
        <v/>
      </c>
    </row>
    <row r="53" customFormat="false" ht="15" hidden="false" customHeight="false" outlineLevel="0" collapsed="false">
      <c r="A53" s="14" t="s">
        <v>144</v>
      </c>
      <c r="B53" s="14" t="s">
        <v>145</v>
      </c>
      <c r="C53" s="14" t="s">
        <v>84</v>
      </c>
      <c r="D53" s="14" t="s">
        <v>85</v>
      </c>
      <c r="E53" s="15" t="n">
        <v>-69412.32</v>
      </c>
      <c r="F53" s="15" t="n">
        <v>-49.3</v>
      </c>
      <c r="G53" s="16" t="n">
        <f aca="false">IF(C53="ACTIVO",Parámetros!$C$6,Parámetros!$C$7)</f>
        <v>1482</v>
      </c>
      <c r="H53" s="15" t="n">
        <f aca="false">IF(D53="Proveedor",E53/G53,ROUND(E53/G53,2))</f>
        <v>-46.8369230769231</v>
      </c>
      <c r="I53" s="17" t="n">
        <f aca="false">ROUND(H53-F53,2)</f>
        <v>2.46</v>
      </c>
      <c r="J53" s="8" t="str">
        <f aca="false">IF(ABS(I53)&gt;=Parámetros!$C$11,"SÍ","no")</f>
        <v>SÍ</v>
      </c>
      <c r="K53" s="18" t="str">
        <f aca="false">IF(AND(ABS(F53)&gt;0,ABS(I53)&gt;0.3*ABS(F53),ABS(I53)&gt;500),"REVISAR","")</f>
        <v/>
      </c>
    </row>
    <row r="54" customFormat="false" ht="15" hidden="false" customHeight="false" outlineLevel="0" collapsed="false">
      <c r="A54" s="19" t="s">
        <v>146</v>
      </c>
      <c r="B54" s="19" t="s">
        <v>147</v>
      </c>
      <c r="C54" s="19" t="s">
        <v>84</v>
      </c>
      <c r="D54" s="19" t="s">
        <v>85</v>
      </c>
      <c r="E54" s="20" t="n">
        <v>552223.43</v>
      </c>
      <c r="F54" s="20" t="n">
        <v>392.2</v>
      </c>
      <c r="G54" s="21" t="n">
        <f aca="false">IF(C54="ACTIVO",Parámetros!$C$6,Parámetros!$C$7)</f>
        <v>1482</v>
      </c>
      <c r="H54" s="20" t="n">
        <f aca="false">IF(D54="Proveedor",E54/G54,ROUND(E54/G54,2))</f>
        <v>372.620398110661</v>
      </c>
      <c r="I54" s="22" t="n">
        <f aca="false">ROUND(H54-F54,2)</f>
        <v>-19.58</v>
      </c>
      <c r="J54" s="23" t="str">
        <f aca="false">IF(ABS(I54)&gt;=Parámetros!$C$11,"SÍ","no")</f>
        <v>SÍ</v>
      </c>
      <c r="K54" s="24" t="str">
        <f aca="false">IF(AND(ABS(F54)&gt;0,ABS(I54)&gt;0.3*ABS(F54),ABS(I54)&gt;500),"REVISAR","")</f>
        <v/>
      </c>
    </row>
    <row r="55" customFormat="false" ht="15" hidden="false" customHeight="false" outlineLevel="0" collapsed="false">
      <c r="A55" s="14" t="s">
        <v>148</v>
      </c>
      <c r="B55" s="14" t="s">
        <v>149</v>
      </c>
      <c r="C55" s="14" t="s">
        <v>84</v>
      </c>
      <c r="D55" s="14" t="s">
        <v>85</v>
      </c>
      <c r="E55" s="15" t="n">
        <v>-1034561.61</v>
      </c>
      <c r="F55" s="15" t="n">
        <v>-734.77</v>
      </c>
      <c r="G55" s="16" t="n">
        <f aca="false">IF(C55="ACTIVO",Parámetros!$C$6,Parámetros!$C$7)</f>
        <v>1482</v>
      </c>
      <c r="H55" s="15" t="n">
        <f aca="false">IF(D55="Proveedor",E55/G55,ROUND(E55/G55,2))</f>
        <v>-698.08475708502</v>
      </c>
      <c r="I55" s="17" t="n">
        <f aca="false">ROUND(H55-F55,2)</f>
        <v>36.69</v>
      </c>
      <c r="J55" s="8" t="str">
        <f aca="false">IF(ABS(I55)&gt;=Parámetros!$C$11,"SÍ","no")</f>
        <v>SÍ</v>
      </c>
      <c r="K55" s="18" t="str">
        <f aca="false">IF(AND(ABS(F55)&gt;0,ABS(I55)&gt;0.3*ABS(F55),ABS(I55)&gt;500),"REVISAR","")</f>
        <v/>
      </c>
    </row>
    <row r="56" customFormat="false" ht="15" hidden="false" customHeight="false" outlineLevel="0" collapsed="false">
      <c r="A56" s="19" t="s">
        <v>150</v>
      </c>
      <c r="B56" s="19" t="s">
        <v>151</v>
      </c>
      <c r="C56" s="19" t="s">
        <v>84</v>
      </c>
      <c r="D56" s="19" t="s">
        <v>85</v>
      </c>
      <c r="E56" s="20" t="n">
        <v>-41000</v>
      </c>
      <c r="F56" s="20" t="n">
        <v>-29.12</v>
      </c>
      <c r="G56" s="21" t="n">
        <f aca="false">IF(C56="ACTIVO",Parámetros!$C$6,Parámetros!$C$7)</f>
        <v>1482</v>
      </c>
      <c r="H56" s="20" t="n">
        <f aca="false">IF(D56="Proveedor",E56/G56,ROUND(E56/G56,2))</f>
        <v>-27.6653171390014</v>
      </c>
      <c r="I56" s="22" t="n">
        <f aca="false">ROUND(H56-F56,2)</f>
        <v>1.45</v>
      </c>
      <c r="J56" s="23" t="str">
        <f aca="false">IF(ABS(I56)&gt;=Parámetros!$C$11,"SÍ","no")</f>
        <v>SÍ</v>
      </c>
      <c r="K56" s="24" t="str">
        <f aca="false">IF(AND(ABS(F56)&gt;0,ABS(I56)&gt;0.3*ABS(F56),ABS(I56)&gt;500),"REVISAR","")</f>
        <v/>
      </c>
    </row>
    <row r="57" customFormat="false" ht="15" hidden="false" customHeight="false" outlineLevel="0" collapsed="false">
      <c r="A57" s="14" t="s">
        <v>152</v>
      </c>
      <c r="B57" s="14" t="s">
        <v>153</v>
      </c>
      <c r="C57" s="14" t="s">
        <v>84</v>
      </c>
      <c r="D57" s="14" t="s">
        <v>85</v>
      </c>
      <c r="E57" s="15" t="n">
        <v>-586449.8</v>
      </c>
      <c r="F57" s="15" t="n">
        <v>-416.51</v>
      </c>
      <c r="G57" s="16" t="n">
        <f aca="false">IF(C57="ACTIVO",Parámetros!$C$6,Parámetros!$C$7)</f>
        <v>1482</v>
      </c>
      <c r="H57" s="15" t="n">
        <f aca="false">IF(D57="Proveedor",E57/G57,ROUND(E57/G57,2))</f>
        <v>-395.715114709852</v>
      </c>
      <c r="I57" s="17" t="n">
        <f aca="false">ROUND(H57-F57,2)</f>
        <v>20.79</v>
      </c>
      <c r="J57" s="8" t="str">
        <f aca="false">IF(ABS(I57)&gt;=Parámetros!$C$11,"SÍ","no")</f>
        <v>SÍ</v>
      </c>
      <c r="K57" s="18" t="str">
        <f aca="false">IF(AND(ABS(F57)&gt;0,ABS(I57)&gt;0.3*ABS(F57),ABS(I57)&gt;500),"REVISAR","")</f>
        <v/>
      </c>
    </row>
    <row r="58" customFormat="false" ht="15" hidden="false" customHeight="false" outlineLevel="0" collapsed="false">
      <c r="A58" s="19" t="s">
        <v>154</v>
      </c>
      <c r="B58" s="19" t="s">
        <v>155</v>
      </c>
      <c r="C58" s="19" t="s">
        <v>84</v>
      </c>
      <c r="D58" s="19" t="s">
        <v>85</v>
      </c>
      <c r="E58" s="20" t="n">
        <v>0</v>
      </c>
      <c r="F58" s="20" t="n">
        <v>-1.35</v>
      </c>
      <c r="G58" s="21" t="n">
        <f aca="false">IF(C58="ACTIVO",Parámetros!$C$6,Parámetros!$C$7)</f>
        <v>1482</v>
      </c>
      <c r="H58" s="20" t="n">
        <f aca="false">IF(D58="Proveedor",E58/G58,ROUND(E58/G58,2))</f>
        <v>0</v>
      </c>
      <c r="I58" s="22" t="n">
        <f aca="false">ROUND(H58-F58,2)</f>
        <v>1.35</v>
      </c>
      <c r="J58" s="23" t="str">
        <f aca="false">IF(ABS(I58)&gt;=Parámetros!$C$11,"SÍ","no")</f>
        <v>SÍ</v>
      </c>
      <c r="K58" s="24" t="str">
        <f aca="false">IF(AND(ABS(F58)&gt;0,ABS(I58)&gt;0.3*ABS(F58),ABS(I58)&gt;500),"REVISAR","")</f>
        <v/>
      </c>
    </row>
    <row r="59" customFormat="false" ht="15" hidden="false" customHeight="false" outlineLevel="0" collapsed="false">
      <c r="A59" s="14" t="s">
        <v>156</v>
      </c>
      <c r="B59" s="14" t="s">
        <v>157</v>
      </c>
      <c r="C59" s="14" t="s">
        <v>84</v>
      </c>
      <c r="D59" s="14" t="s">
        <v>85</v>
      </c>
      <c r="E59" s="15" t="n">
        <v>321371.55</v>
      </c>
      <c r="F59" s="15" t="n">
        <v>228.25</v>
      </c>
      <c r="G59" s="16" t="n">
        <f aca="false">IF(C59="ACTIVO",Parámetros!$C$6,Parámetros!$C$7)</f>
        <v>1482</v>
      </c>
      <c r="H59" s="15" t="n">
        <f aca="false">IF(D59="Proveedor",E59/G59,ROUND(E59/G59,2))</f>
        <v>216.849898785425</v>
      </c>
      <c r="I59" s="17" t="n">
        <f aca="false">ROUND(H59-F59,2)</f>
        <v>-11.4</v>
      </c>
      <c r="J59" s="8" t="str">
        <f aca="false">IF(ABS(I59)&gt;=Parámetros!$C$11,"SÍ","no")</f>
        <v>SÍ</v>
      </c>
      <c r="K59" s="18" t="str">
        <f aca="false">IF(AND(ABS(F59)&gt;0,ABS(I59)&gt;0.3*ABS(F59),ABS(I59)&gt;500),"REVISAR","")</f>
        <v/>
      </c>
    </row>
    <row r="60" customFormat="false" ht="15" hidden="false" customHeight="false" outlineLevel="0" collapsed="false">
      <c r="A60" s="19" t="s">
        <v>158</v>
      </c>
      <c r="B60" s="19" t="s">
        <v>159</v>
      </c>
      <c r="C60" s="19" t="s">
        <v>84</v>
      </c>
      <c r="D60" s="19" t="s">
        <v>85</v>
      </c>
      <c r="E60" s="20" t="n">
        <v>68889.09</v>
      </c>
      <c r="F60" s="20" t="n">
        <v>48.93</v>
      </c>
      <c r="G60" s="21" t="n">
        <f aca="false">IF(C60="ACTIVO",Parámetros!$C$6,Parámetros!$C$7)</f>
        <v>1482</v>
      </c>
      <c r="H60" s="20" t="n">
        <f aca="false">IF(D60="Proveedor",E60/G60,ROUND(E60/G60,2))</f>
        <v>46.4838663967611</v>
      </c>
      <c r="I60" s="22" t="n">
        <f aca="false">ROUND(H60-F60,2)</f>
        <v>-2.45</v>
      </c>
      <c r="J60" s="23" t="str">
        <f aca="false">IF(ABS(I60)&gt;=Parámetros!$C$11,"SÍ","no")</f>
        <v>SÍ</v>
      </c>
      <c r="K60" s="24" t="str">
        <f aca="false">IF(AND(ABS(F60)&gt;0,ABS(I60)&gt;0.3*ABS(F60),ABS(I60)&gt;500),"REVISAR","")</f>
        <v/>
      </c>
    </row>
    <row r="61" customFormat="false" ht="15" hidden="false" customHeight="false" outlineLevel="0" collapsed="false">
      <c r="A61" s="14" t="s">
        <v>160</v>
      </c>
      <c r="B61" s="14" t="s">
        <v>161</v>
      </c>
      <c r="C61" s="14" t="s">
        <v>84</v>
      </c>
      <c r="D61" s="14" t="s">
        <v>85</v>
      </c>
      <c r="E61" s="15" t="n">
        <v>-571725</v>
      </c>
      <c r="F61" s="15" t="n">
        <v>-406.05</v>
      </c>
      <c r="G61" s="16" t="n">
        <f aca="false">IF(C61="ACTIVO",Parámetros!$C$6,Parámetros!$C$7)</f>
        <v>1482</v>
      </c>
      <c r="H61" s="15" t="n">
        <f aca="false">IF(D61="Proveedor",E61/G61,ROUND(E61/G61,2))</f>
        <v>-385.779352226721</v>
      </c>
      <c r="I61" s="17" t="n">
        <f aca="false">ROUND(H61-F61,2)</f>
        <v>20.27</v>
      </c>
      <c r="J61" s="8" t="str">
        <f aca="false">IF(ABS(I61)&gt;=Parámetros!$C$11,"SÍ","no")</f>
        <v>SÍ</v>
      </c>
      <c r="K61" s="18" t="str">
        <f aca="false">IF(AND(ABS(F61)&gt;0,ABS(I61)&gt;0.3*ABS(F61),ABS(I61)&gt;500),"REVISAR","")</f>
        <v/>
      </c>
    </row>
    <row r="62" customFormat="false" ht="15" hidden="false" customHeight="false" outlineLevel="0" collapsed="false">
      <c r="A62" s="19" t="s">
        <v>162</v>
      </c>
      <c r="B62" s="19" t="s">
        <v>163</v>
      </c>
      <c r="C62" s="19" t="s">
        <v>84</v>
      </c>
      <c r="D62" s="19" t="s">
        <v>85</v>
      </c>
      <c r="E62" s="20" t="n">
        <v>-10000</v>
      </c>
      <c r="F62" s="20" t="n">
        <v>-7.1</v>
      </c>
      <c r="G62" s="21" t="n">
        <f aca="false">IF(C62="ACTIVO",Parámetros!$C$6,Parámetros!$C$7)</f>
        <v>1482</v>
      </c>
      <c r="H62" s="20" t="n">
        <f aca="false">IF(D62="Proveedor",E62/G62,ROUND(E62/G62,2))</f>
        <v>-6.7476383265857</v>
      </c>
      <c r="I62" s="22" t="n">
        <f aca="false">ROUND(H62-F62,2)</f>
        <v>0.35</v>
      </c>
      <c r="J62" s="23" t="str">
        <f aca="false">IF(ABS(I62)&gt;=Parámetros!$C$11,"SÍ","no")</f>
        <v>SÍ</v>
      </c>
      <c r="K62" s="24" t="str">
        <f aca="false">IF(AND(ABS(F62)&gt;0,ABS(I62)&gt;0.3*ABS(F62),ABS(I62)&gt;500),"REVISAR","")</f>
        <v/>
      </c>
    </row>
    <row r="63" customFormat="false" ht="15" hidden="false" customHeight="false" outlineLevel="0" collapsed="false">
      <c r="A63" s="14" t="s">
        <v>164</v>
      </c>
      <c r="B63" s="14" t="s">
        <v>165</v>
      </c>
      <c r="C63" s="14" t="s">
        <v>84</v>
      </c>
      <c r="D63" s="14" t="s">
        <v>85</v>
      </c>
      <c r="E63" s="15" t="n">
        <v>337561.59</v>
      </c>
      <c r="F63" s="15" t="n">
        <v>239.75</v>
      </c>
      <c r="G63" s="16" t="n">
        <f aca="false">IF(C63="ACTIVO",Parámetros!$C$6,Parámetros!$C$7)</f>
        <v>1482</v>
      </c>
      <c r="H63" s="15" t="n">
        <f aca="false">IF(D63="Proveedor",E63/G63,ROUND(E63/G63,2))</f>
        <v>227.774352226721</v>
      </c>
      <c r="I63" s="17" t="n">
        <f aca="false">ROUND(H63-F63,2)</f>
        <v>-11.98</v>
      </c>
      <c r="J63" s="8" t="str">
        <f aca="false">IF(ABS(I63)&gt;=Parámetros!$C$11,"SÍ","no")</f>
        <v>SÍ</v>
      </c>
      <c r="K63" s="18" t="str">
        <f aca="false">IF(AND(ABS(F63)&gt;0,ABS(I63)&gt;0.3*ABS(F63),ABS(I63)&gt;500),"REVISAR","")</f>
        <v/>
      </c>
    </row>
    <row r="64" customFormat="false" ht="15" hidden="false" customHeight="false" outlineLevel="0" collapsed="false">
      <c r="A64" s="19" t="s">
        <v>166</v>
      </c>
      <c r="B64" s="19" t="s">
        <v>167</v>
      </c>
      <c r="C64" s="19" t="s">
        <v>84</v>
      </c>
      <c r="D64" s="19" t="s">
        <v>85</v>
      </c>
      <c r="E64" s="20" t="n">
        <v>0</v>
      </c>
      <c r="F64" s="20" t="n">
        <v>2.27</v>
      </c>
      <c r="G64" s="21" t="n">
        <f aca="false">IF(C64="ACTIVO",Parámetros!$C$6,Parámetros!$C$7)</f>
        <v>1482</v>
      </c>
      <c r="H64" s="20" t="n">
        <f aca="false">IF(D64="Proveedor",E64/G64,ROUND(E64/G64,2))</f>
        <v>0</v>
      </c>
      <c r="I64" s="22" t="n">
        <f aca="false">ROUND(H64-F64,2)</f>
        <v>-2.27</v>
      </c>
      <c r="J64" s="23" t="str">
        <f aca="false">IF(ABS(I64)&gt;=Parámetros!$C$11,"SÍ","no")</f>
        <v>SÍ</v>
      </c>
      <c r="K64" s="24" t="str">
        <f aca="false">IF(AND(ABS(F64)&gt;0,ABS(I64)&gt;0.3*ABS(F64),ABS(I64)&gt;500),"REVISAR","")</f>
        <v/>
      </c>
    </row>
    <row r="65" customFormat="false" ht="15" hidden="false" customHeight="false" outlineLevel="0" collapsed="false">
      <c r="A65" s="14" t="s">
        <v>168</v>
      </c>
      <c r="B65" s="14" t="s">
        <v>169</v>
      </c>
      <c r="C65" s="14" t="s">
        <v>84</v>
      </c>
      <c r="D65" s="14" t="s">
        <v>85</v>
      </c>
      <c r="E65" s="15" t="n">
        <v>-100</v>
      </c>
      <c r="F65" s="15" t="n">
        <v>-29.56</v>
      </c>
      <c r="G65" s="16" t="n">
        <f aca="false">IF(C65="ACTIVO",Parámetros!$C$6,Parámetros!$C$7)</f>
        <v>1482</v>
      </c>
      <c r="H65" s="15" t="n">
        <f aca="false">IF(D65="Proveedor",E65/G65,ROUND(E65/G65,2))</f>
        <v>-0.067476383265857</v>
      </c>
      <c r="I65" s="17" t="n">
        <f aca="false">ROUND(H65-F65,2)</f>
        <v>29.49</v>
      </c>
      <c r="J65" s="8" t="str">
        <f aca="false">IF(ABS(I65)&gt;=Parámetros!$C$11,"SÍ","no")</f>
        <v>SÍ</v>
      </c>
      <c r="K65" s="18" t="str">
        <f aca="false">IF(AND(ABS(F65)&gt;0,ABS(I65)&gt;0.3*ABS(F65),ABS(I65)&gt;500),"REVISAR","")</f>
        <v/>
      </c>
    </row>
    <row r="66" customFormat="false" ht="15" hidden="false" customHeight="false" outlineLevel="0" collapsed="false">
      <c r="A66" s="19" t="s">
        <v>170</v>
      </c>
      <c r="B66" s="19" t="s">
        <v>171</v>
      </c>
      <c r="C66" s="19" t="s">
        <v>84</v>
      </c>
      <c r="D66" s="19" t="s">
        <v>85</v>
      </c>
      <c r="E66" s="20" t="n">
        <v>-57760</v>
      </c>
      <c r="F66" s="20" t="n">
        <v>-41.02</v>
      </c>
      <c r="G66" s="21" t="n">
        <f aca="false">IF(C66="ACTIVO",Parámetros!$C$6,Parámetros!$C$7)</f>
        <v>1482</v>
      </c>
      <c r="H66" s="20" t="n">
        <f aca="false">IF(D66="Proveedor",E66/G66,ROUND(E66/G66,2))</f>
        <v>-38.974358974359</v>
      </c>
      <c r="I66" s="22" t="n">
        <f aca="false">ROUND(H66-F66,2)</f>
        <v>2.05</v>
      </c>
      <c r="J66" s="23" t="str">
        <f aca="false">IF(ABS(I66)&gt;=Parámetros!$C$11,"SÍ","no")</f>
        <v>SÍ</v>
      </c>
      <c r="K66" s="24" t="str">
        <f aca="false">IF(AND(ABS(F66)&gt;0,ABS(I66)&gt;0.3*ABS(F66),ABS(I66)&gt;500),"REVISAR","")</f>
        <v/>
      </c>
    </row>
    <row r="67" customFormat="false" ht="15" hidden="false" customHeight="false" outlineLevel="0" collapsed="false">
      <c r="A67" s="14" t="s">
        <v>172</v>
      </c>
      <c r="B67" s="14" t="s">
        <v>173</v>
      </c>
      <c r="C67" s="14" t="s">
        <v>84</v>
      </c>
      <c r="D67" s="14" t="s">
        <v>85</v>
      </c>
      <c r="E67" s="15" t="n">
        <v>-140263.2</v>
      </c>
      <c r="F67" s="15" t="n">
        <v>-99.62</v>
      </c>
      <c r="G67" s="16" t="n">
        <f aca="false">IF(C67="ACTIVO",Parámetros!$C$6,Parámetros!$C$7)</f>
        <v>1482</v>
      </c>
      <c r="H67" s="15" t="n">
        <f aca="false">IF(D67="Proveedor",E67/G67,ROUND(E67/G67,2))</f>
        <v>-94.6445344129555</v>
      </c>
      <c r="I67" s="17" t="n">
        <f aca="false">ROUND(H67-F67,2)</f>
        <v>4.98</v>
      </c>
      <c r="J67" s="8" t="str">
        <f aca="false">IF(ABS(I67)&gt;=Parámetros!$C$11,"SÍ","no")</f>
        <v>SÍ</v>
      </c>
      <c r="K67" s="18" t="str">
        <f aca="false">IF(AND(ABS(F67)&gt;0,ABS(I67)&gt;0.3*ABS(F67),ABS(I67)&gt;500),"REVISAR","")</f>
        <v/>
      </c>
    </row>
    <row r="68" customFormat="false" ht="15" hidden="false" customHeight="false" outlineLevel="0" collapsed="false">
      <c r="A68" s="19" t="s">
        <v>174</v>
      </c>
      <c r="B68" s="19" t="s">
        <v>175</v>
      </c>
      <c r="C68" s="19" t="s">
        <v>84</v>
      </c>
      <c r="D68" s="19" t="s">
        <v>85</v>
      </c>
      <c r="E68" s="20" t="n">
        <v>0</v>
      </c>
      <c r="F68" s="20" t="n">
        <v>-0.01</v>
      </c>
      <c r="G68" s="21" t="n">
        <f aca="false">IF(C68="ACTIVO",Parámetros!$C$6,Parámetros!$C$7)</f>
        <v>1482</v>
      </c>
      <c r="H68" s="20" t="n">
        <f aca="false">IF(D68="Proveedor",E68/G68,ROUND(E68/G68,2))</f>
        <v>0</v>
      </c>
      <c r="I68" s="22" t="n">
        <f aca="false">ROUND(H68-F68,2)</f>
        <v>0.01</v>
      </c>
      <c r="J68" s="23" t="str">
        <f aca="false">IF(ABS(I68)&gt;=Parámetros!$C$11,"SÍ","no")</f>
        <v>SÍ</v>
      </c>
      <c r="K68" s="24" t="str">
        <f aca="false">IF(AND(ABS(F68)&gt;0,ABS(I68)&gt;0.3*ABS(F68),ABS(I68)&gt;500),"REVISAR","")</f>
        <v/>
      </c>
    </row>
    <row r="69" customFormat="false" ht="15" hidden="false" customHeight="false" outlineLevel="0" collapsed="false">
      <c r="A69" s="14" t="s">
        <v>176</v>
      </c>
      <c r="B69" s="14" t="s">
        <v>177</v>
      </c>
      <c r="C69" s="14" t="s">
        <v>84</v>
      </c>
      <c r="D69" s="14" t="s">
        <v>85</v>
      </c>
      <c r="E69" s="15" t="n">
        <v>0</v>
      </c>
      <c r="F69" s="15" t="n">
        <v>-0.61</v>
      </c>
      <c r="G69" s="16" t="n">
        <f aca="false">IF(C69="ACTIVO",Parámetros!$C$6,Parámetros!$C$7)</f>
        <v>1482</v>
      </c>
      <c r="H69" s="15" t="n">
        <f aca="false">IF(D69="Proveedor",E69/G69,ROUND(E69/G69,2))</f>
        <v>0</v>
      </c>
      <c r="I69" s="17" t="n">
        <f aca="false">ROUND(H69-F69,2)</f>
        <v>0.61</v>
      </c>
      <c r="J69" s="8" t="str">
        <f aca="false">IF(ABS(I69)&gt;=Parámetros!$C$11,"SÍ","no")</f>
        <v>SÍ</v>
      </c>
      <c r="K69" s="18" t="str">
        <f aca="false">IF(AND(ABS(F69)&gt;0,ABS(I69)&gt;0.3*ABS(F69),ABS(I69)&gt;500),"REVISAR","")</f>
        <v/>
      </c>
    </row>
    <row r="70" customFormat="false" ht="15" hidden="false" customHeight="false" outlineLevel="0" collapsed="false">
      <c r="A70" s="19" t="s">
        <v>178</v>
      </c>
      <c r="B70" s="19" t="s">
        <v>179</v>
      </c>
      <c r="C70" s="19" t="s">
        <v>84</v>
      </c>
      <c r="D70" s="19" t="s">
        <v>85</v>
      </c>
      <c r="E70" s="20" t="n">
        <v>-280799.99</v>
      </c>
      <c r="F70" s="20" t="n">
        <v>-196.91</v>
      </c>
      <c r="G70" s="21" t="n">
        <f aca="false">IF(C70="ACTIVO",Parámetros!$C$6,Parámetros!$C$7)</f>
        <v>1482</v>
      </c>
      <c r="H70" s="20" t="n">
        <f aca="false">IF(D70="Proveedor",E70/G70,ROUND(E70/G70,2))</f>
        <v>-189.473677462888</v>
      </c>
      <c r="I70" s="22" t="n">
        <f aca="false">ROUND(H70-F70,2)</f>
        <v>7.44</v>
      </c>
      <c r="J70" s="23" t="str">
        <f aca="false">IF(ABS(I70)&gt;=Parámetros!$C$11,"SÍ","no")</f>
        <v>SÍ</v>
      </c>
      <c r="K70" s="24" t="str">
        <f aca="false">IF(AND(ABS(F70)&gt;0,ABS(I70)&gt;0.3*ABS(F70),ABS(I70)&gt;500),"REVISAR","")</f>
        <v/>
      </c>
    </row>
    <row r="71" customFormat="false" ht="15" hidden="false" customHeight="false" outlineLevel="0" collapsed="false">
      <c r="A71" s="14" t="s">
        <v>180</v>
      </c>
      <c r="B71" s="14" t="s">
        <v>181</v>
      </c>
      <c r="C71" s="14" t="s">
        <v>84</v>
      </c>
      <c r="D71" s="14" t="s">
        <v>85</v>
      </c>
      <c r="E71" s="15" t="n">
        <v>-933982.53</v>
      </c>
      <c r="F71" s="15" t="n">
        <v>-654.97</v>
      </c>
      <c r="G71" s="16" t="n">
        <f aca="false">IF(C71="ACTIVO",Parámetros!$C$6,Parámetros!$C$7)</f>
        <v>1482</v>
      </c>
      <c r="H71" s="15" t="n">
        <f aca="false">IF(D71="Proveedor",E71/G71,ROUND(E71/G71,2))</f>
        <v>-630.217631578947</v>
      </c>
      <c r="I71" s="17" t="n">
        <f aca="false">ROUND(H71-F71,2)</f>
        <v>24.75</v>
      </c>
      <c r="J71" s="8" t="str">
        <f aca="false">IF(ABS(I71)&gt;=Parámetros!$C$11,"SÍ","no")</f>
        <v>SÍ</v>
      </c>
      <c r="K71" s="18" t="str">
        <f aca="false">IF(AND(ABS(F71)&gt;0,ABS(I71)&gt;0.3*ABS(F71),ABS(I71)&gt;500),"REVISAR","")</f>
        <v/>
      </c>
    </row>
    <row r="72" customFormat="false" ht="15" hidden="false" customHeight="false" outlineLevel="0" collapsed="false">
      <c r="A72" s="19" t="s">
        <v>182</v>
      </c>
      <c r="B72" s="19" t="s">
        <v>183</v>
      </c>
      <c r="C72" s="19" t="s">
        <v>84</v>
      </c>
      <c r="D72" s="19" t="s">
        <v>85</v>
      </c>
      <c r="E72" s="20" t="n">
        <v>0</v>
      </c>
      <c r="F72" s="20" t="n">
        <v>-1.65</v>
      </c>
      <c r="G72" s="21" t="n">
        <f aca="false">IF(C72="ACTIVO",Parámetros!$C$6,Parámetros!$C$7)</f>
        <v>1482</v>
      </c>
      <c r="H72" s="20" t="n">
        <f aca="false">IF(D72="Proveedor",E72/G72,ROUND(E72/G72,2))</f>
        <v>0</v>
      </c>
      <c r="I72" s="22" t="n">
        <f aca="false">ROUND(H72-F72,2)</f>
        <v>1.65</v>
      </c>
      <c r="J72" s="23" t="str">
        <f aca="false">IF(ABS(I72)&gt;=Parámetros!$C$11,"SÍ","no")</f>
        <v>SÍ</v>
      </c>
      <c r="K72" s="24" t="str">
        <f aca="false">IF(AND(ABS(F72)&gt;0,ABS(I72)&gt;0.3*ABS(F72),ABS(I72)&gt;500),"REVISAR","")</f>
        <v/>
      </c>
    </row>
    <row r="73" customFormat="false" ht="15" hidden="false" customHeight="false" outlineLevel="0" collapsed="false">
      <c r="A73" s="14" t="s">
        <v>184</v>
      </c>
      <c r="B73" s="14" t="s">
        <v>185</v>
      </c>
      <c r="C73" s="14" t="s">
        <v>84</v>
      </c>
      <c r="D73" s="14" t="s">
        <v>85</v>
      </c>
      <c r="E73" s="15" t="n">
        <v>0</v>
      </c>
      <c r="F73" s="15" t="n">
        <v>-0.4</v>
      </c>
      <c r="G73" s="16" t="n">
        <f aca="false">IF(C73="ACTIVO",Parámetros!$C$6,Parámetros!$C$7)</f>
        <v>1482</v>
      </c>
      <c r="H73" s="15" t="n">
        <f aca="false">IF(D73="Proveedor",E73/G73,ROUND(E73/G73,2))</f>
        <v>0</v>
      </c>
      <c r="I73" s="17" t="n">
        <f aca="false">ROUND(H73-F73,2)</f>
        <v>0.4</v>
      </c>
      <c r="J73" s="8" t="str">
        <f aca="false">IF(ABS(I73)&gt;=Parámetros!$C$11,"SÍ","no")</f>
        <v>SÍ</v>
      </c>
      <c r="K73" s="18" t="str">
        <f aca="false">IF(AND(ABS(F73)&gt;0,ABS(I73)&gt;0.3*ABS(F73),ABS(I73)&gt;500),"REVISAR","")</f>
        <v/>
      </c>
    </row>
    <row r="74" customFormat="false" ht="15" hidden="false" customHeight="false" outlineLevel="0" collapsed="false">
      <c r="A74" s="19" t="s">
        <v>186</v>
      </c>
      <c r="B74" s="19" t="s">
        <v>187</v>
      </c>
      <c r="C74" s="19" t="s">
        <v>84</v>
      </c>
      <c r="D74" s="19" t="s">
        <v>85</v>
      </c>
      <c r="E74" s="20" t="n">
        <v>-7635100</v>
      </c>
      <c r="F74" s="20" t="n">
        <v>-5283.1</v>
      </c>
      <c r="G74" s="21" t="n">
        <f aca="false">IF(C74="ACTIVO",Parámetros!$C$6,Parámetros!$C$7)</f>
        <v>1482</v>
      </c>
      <c r="H74" s="20" t="n">
        <f aca="false">IF(D74="Proveedor",E74/G74,ROUND(E74/G74,2))</f>
        <v>-5151.88933873144</v>
      </c>
      <c r="I74" s="22" t="n">
        <f aca="false">ROUND(H74-F74,2)</f>
        <v>131.21</v>
      </c>
      <c r="J74" s="23" t="str">
        <f aca="false">IF(ABS(I74)&gt;=Parámetros!$C$11,"SÍ","no")</f>
        <v>SÍ</v>
      </c>
      <c r="K74" s="24" t="str">
        <f aca="false">IF(AND(ABS(F74)&gt;0,ABS(I74)&gt;0.3*ABS(F74),ABS(I74)&gt;500),"REVISAR","")</f>
        <v/>
      </c>
    </row>
    <row r="75" customFormat="false" ht="15" hidden="false" customHeight="false" outlineLevel="0" collapsed="false">
      <c r="A75" s="14" t="s">
        <v>188</v>
      </c>
      <c r="B75" s="14" t="s">
        <v>189</v>
      </c>
      <c r="C75" s="14" t="s">
        <v>84</v>
      </c>
      <c r="D75" s="14" t="s">
        <v>85</v>
      </c>
      <c r="E75" s="15" t="n">
        <v>0</v>
      </c>
      <c r="F75" s="15" t="n">
        <v>-1</v>
      </c>
      <c r="G75" s="16" t="n">
        <f aca="false">IF(C75="ACTIVO",Parámetros!$C$6,Parámetros!$C$7)</f>
        <v>1482</v>
      </c>
      <c r="H75" s="15" t="n">
        <f aca="false">IF(D75="Proveedor",E75/G75,ROUND(E75/G75,2))</f>
        <v>0</v>
      </c>
      <c r="I75" s="17" t="n">
        <f aca="false">ROUND(H75-F75,2)</f>
        <v>1</v>
      </c>
      <c r="J75" s="8" t="str">
        <f aca="false">IF(ABS(I75)&gt;=Parámetros!$C$11,"SÍ","no")</f>
        <v>SÍ</v>
      </c>
      <c r="K75" s="18" t="str">
        <f aca="false">IF(AND(ABS(F75)&gt;0,ABS(I75)&gt;0.3*ABS(F75),ABS(I75)&gt;500),"REVISAR","")</f>
        <v/>
      </c>
    </row>
    <row r="76" customFormat="false" ht="15" hidden="false" customHeight="false" outlineLevel="0" collapsed="false">
      <c r="A76" s="19" t="s">
        <v>190</v>
      </c>
      <c r="B76" s="19" t="s">
        <v>191</v>
      </c>
      <c r="C76" s="19" t="s">
        <v>84</v>
      </c>
      <c r="D76" s="19" t="s">
        <v>85</v>
      </c>
      <c r="E76" s="20" t="n">
        <v>0</v>
      </c>
      <c r="F76" s="20" t="n">
        <v>-0.15</v>
      </c>
      <c r="G76" s="21" t="n">
        <f aca="false">IF(C76="ACTIVO",Parámetros!$C$6,Parámetros!$C$7)</f>
        <v>1482</v>
      </c>
      <c r="H76" s="20" t="n">
        <f aca="false">IF(D76="Proveedor",E76/G76,ROUND(E76/G76,2))</f>
        <v>0</v>
      </c>
      <c r="I76" s="22" t="n">
        <f aca="false">ROUND(H76-F76,2)</f>
        <v>0.15</v>
      </c>
      <c r="J76" s="23" t="str">
        <f aca="false">IF(ABS(I76)&gt;=Parámetros!$C$11,"SÍ","no")</f>
        <v>SÍ</v>
      </c>
      <c r="K76" s="24" t="str">
        <f aca="false">IF(AND(ABS(F76)&gt;0,ABS(I76)&gt;0.3*ABS(F76),ABS(I76)&gt;500),"REVISAR","")</f>
        <v/>
      </c>
    </row>
    <row r="77" customFormat="false" ht="15" hidden="false" customHeight="false" outlineLevel="0" collapsed="false">
      <c r="A77" s="14" t="s">
        <v>192</v>
      </c>
      <c r="B77" s="14" t="s">
        <v>193</v>
      </c>
      <c r="C77" s="14" t="s">
        <v>84</v>
      </c>
      <c r="D77" s="14" t="s">
        <v>85</v>
      </c>
      <c r="E77" s="15" t="n">
        <v>7800</v>
      </c>
      <c r="F77" s="15" t="n">
        <v>5.54</v>
      </c>
      <c r="G77" s="16" t="n">
        <f aca="false">IF(C77="ACTIVO",Parámetros!$C$6,Parámetros!$C$7)</f>
        <v>1482</v>
      </c>
      <c r="H77" s="15" t="n">
        <f aca="false">IF(D77="Proveedor",E77/G77,ROUND(E77/G77,2))</f>
        <v>5.26315789473684</v>
      </c>
      <c r="I77" s="17" t="n">
        <f aca="false">ROUND(H77-F77,2)</f>
        <v>-0.28</v>
      </c>
      <c r="J77" s="8" t="str">
        <f aca="false">IF(ABS(I77)&gt;=Parámetros!$C$11,"SÍ","no")</f>
        <v>SÍ</v>
      </c>
      <c r="K77" s="18" t="str">
        <f aca="false">IF(AND(ABS(F77)&gt;0,ABS(I77)&gt;0.3*ABS(F77),ABS(I77)&gt;500),"REVISAR","")</f>
        <v/>
      </c>
    </row>
    <row r="78" customFormat="false" ht="15" hidden="false" customHeight="false" outlineLevel="0" collapsed="false">
      <c r="A78" s="19" t="s">
        <v>194</v>
      </c>
      <c r="B78" s="19" t="s">
        <v>195</v>
      </c>
      <c r="C78" s="19" t="s">
        <v>84</v>
      </c>
      <c r="D78" s="19" t="s">
        <v>85</v>
      </c>
      <c r="E78" s="20" t="n">
        <v>0</v>
      </c>
      <c r="F78" s="20" t="n">
        <v>-6.38</v>
      </c>
      <c r="G78" s="21" t="n">
        <f aca="false">IF(C78="ACTIVO",Parámetros!$C$6,Parámetros!$C$7)</f>
        <v>1482</v>
      </c>
      <c r="H78" s="20" t="n">
        <f aca="false">IF(D78="Proveedor",E78/G78,ROUND(E78/G78,2))</f>
        <v>0</v>
      </c>
      <c r="I78" s="22" t="n">
        <f aca="false">ROUND(H78-F78,2)</f>
        <v>6.38</v>
      </c>
      <c r="J78" s="23" t="str">
        <f aca="false">IF(ABS(I78)&gt;=Parámetros!$C$11,"SÍ","no")</f>
        <v>SÍ</v>
      </c>
      <c r="K78" s="24" t="str">
        <f aca="false">IF(AND(ABS(F78)&gt;0,ABS(I78)&gt;0.3*ABS(F78),ABS(I78)&gt;500),"REVISAR","")</f>
        <v/>
      </c>
    </row>
    <row r="79" customFormat="false" ht="15" hidden="false" customHeight="false" outlineLevel="0" collapsed="false">
      <c r="A79" s="14" t="s">
        <v>196</v>
      </c>
      <c r="B79" s="14" t="s">
        <v>197</v>
      </c>
      <c r="C79" s="14" t="s">
        <v>84</v>
      </c>
      <c r="D79" s="14" t="s">
        <v>85</v>
      </c>
      <c r="E79" s="15" t="n">
        <v>0</v>
      </c>
      <c r="F79" s="15" t="n">
        <v>-0.55</v>
      </c>
      <c r="G79" s="16" t="n">
        <f aca="false">IF(C79="ACTIVO",Parámetros!$C$6,Parámetros!$C$7)</f>
        <v>1482</v>
      </c>
      <c r="H79" s="15" t="n">
        <f aca="false">IF(D79="Proveedor",E79/G79,ROUND(E79/G79,2))</f>
        <v>0</v>
      </c>
      <c r="I79" s="17" t="n">
        <f aca="false">ROUND(H79-F79,2)</f>
        <v>0.55</v>
      </c>
      <c r="J79" s="8" t="str">
        <f aca="false">IF(ABS(I79)&gt;=Parámetros!$C$11,"SÍ","no")</f>
        <v>SÍ</v>
      </c>
      <c r="K79" s="18" t="str">
        <f aca="false">IF(AND(ABS(F79)&gt;0,ABS(I79)&gt;0.3*ABS(F79),ABS(I79)&gt;500),"REVISAR","")</f>
        <v/>
      </c>
    </row>
    <row r="80" customFormat="false" ht="15" hidden="false" customHeight="false" outlineLevel="0" collapsed="false">
      <c r="A80" s="19" t="s">
        <v>198</v>
      </c>
      <c r="B80" s="19" t="s">
        <v>199</v>
      </c>
      <c r="C80" s="19" t="s">
        <v>84</v>
      </c>
      <c r="D80" s="19" t="s">
        <v>85</v>
      </c>
      <c r="E80" s="20" t="n">
        <v>0</v>
      </c>
      <c r="F80" s="20" t="n">
        <v>-5.09</v>
      </c>
      <c r="G80" s="21" t="n">
        <f aca="false">IF(C80="ACTIVO",Parámetros!$C$6,Parámetros!$C$7)</f>
        <v>1482</v>
      </c>
      <c r="H80" s="20" t="n">
        <f aca="false">IF(D80="Proveedor",E80/G80,ROUND(E80/G80,2))</f>
        <v>0</v>
      </c>
      <c r="I80" s="22" t="n">
        <f aca="false">ROUND(H80-F80,2)</f>
        <v>5.09</v>
      </c>
      <c r="J80" s="23" t="str">
        <f aca="false">IF(ABS(I80)&gt;=Parámetros!$C$11,"SÍ","no")</f>
        <v>SÍ</v>
      </c>
      <c r="K80" s="24" t="str">
        <f aca="false">IF(AND(ABS(F80)&gt;0,ABS(I80)&gt;0.3*ABS(F80),ABS(I80)&gt;500),"REVISAR","")</f>
        <v/>
      </c>
    </row>
    <row r="81" customFormat="false" ht="15" hidden="false" customHeight="false" outlineLevel="0" collapsed="false">
      <c r="A81" s="14" t="s">
        <v>200</v>
      </c>
      <c r="B81" s="14" t="s">
        <v>201</v>
      </c>
      <c r="C81" s="14" t="s">
        <v>84</v>
      </c>
      <c r="D81" s="14" t="s">
        <v>85</v>
      </c>
      <c r="E81" s="15" t="n">
        <v>0</v>
      </c>
      <c r="F81" s="15" t="n">
        <v>-0.84</v>
      </c>
      <c r="G81" s="16" t="n">
        <f aca="false">IF(C81="ACTIVO",Parámetros!$C$6,Parámetros!$C$7)</f>
        <v>1482</v>
      </c>
      <c r="H81" s="15" t="n">
        <f aca="false">IF(D81="Proveedor",E81/G81,ROUND(E81/G81,2))</f>
        <v>0</v>
      </c>
      <c r="I81" s="17" t="n">
        <f aca="false">ROUND(H81-F81,2)</f>
        <v>0.84</v>
      </c>
      <c r="J81" s="8" t="str">
        <f aca="false">IF(ABS(I81)&gt;=Parámetros!$C$11,"SÍ","no")</f>
        <v>SÍ</v>
      </c>
      <c r="K81" s="18" t="str">
        <f aca="false">IF(AND(ABS(F81)&gt;0,ABS(I81)&gt;0.3*ABS(F81),ABS(I81)&gt;500),"REVISAR","")</f>
        <v/>
      </c>
    </row>
    <row r="82" customFormat="false" ht="15" hidden="false" customHeight="false" outlineLevel="0" collapsed="false">
      <c r="A82" s="19" t="s">
        <v>202</v>
      </c>
      <c r="B82" s="19" t="s">
        <v>203</v>
      </c>
      <c r="C82" s="19" t="s">
        <v>84</v>
      </c>
      <c r="D82" s="19" t="s">
        <v>85</v>
      </c>
      <c r="E82" s="20" t="n">
        <v>312023.95</v>
      </c>
      <c r="F82" s="20" t="n">
        <v>218.81</v>
      </c>
      <c r="G82" s="21" t="n">
        <f aca="false">IF(C82="ACTIVO",Parámetros!$C$6,Parámetros!$C$7)</f>
        <v>1482</v>
      </c>
      <c r="H82" s="20" t="n">
        <f aca="false">IF(D82="Proveedor",E82/G82,ROUND(E82/G82,2))</f>
        <v>210.542476383266</v>
      </c>
      <c r="I82" s="22" t="n">
        <f aca="false">ROUND(H82-F82,2)</f>
        <v>-8.27</v>
      </c>
      <c r="J82" s="23" t="str">
        <f aca="false">IF(ABS(I82)&gt;=Parámetros!$C$11,"SÍ","no")</f>
        <v>SÍ</v>
      </c>
      <c r="K82" s="24" t="str">
        <f aca="false">IF(AND(ABS(F82)&gt;0,ABS(I82)&gt;0.3*ABS(F82),ABS(I82)&gt;500),"REVISAR","")</f>
        <v/>
      </c>
    </row>
    <row r="83" customFormat="false" ht="15" hidden="false" customHeight="false" outlineLevel="0" collapsed="false">
      <c r="A83" s="14" t="s">
        <v>204</v>
      </c>
      <c r="B83" s="14" t="s">
        <v>205</v>
      </c>
      <c r="C83" s="14" t="s">
        <v>84</v>
      </c>
      <c r="D83" s="14" t="s">
        <v>85</v>
      </c>
      <c r="E83" s="15" t="n">
        <v>0</v>
      </c>
      <c r="F83" s="15" t="n">
        <v>-0.17</v>
      </c>
      <c r="G83" s="16" t="n">
        <f aca="false">IF(C83="ACTIVO",Parámetros!$C$6,Parámetros!$C$7)</f>
        <v>1482</v>
      </c>
      <c r="H83" s="15" t="n">
        <f aca="false">IF(D83="Proveedor",E83/G83,ROUND(E83/G83,2))</f>
        <v>0</v>
      </c>
      <c r="I83" s="17" t="n">
        <f aca="false">ROUND(H83-F83,2)</f>
        <v>0.17</v>
      </c>
      <c r="J83" s="8" t="str">
        <f aca="false">IF(ABS(I83)&gt;=Parámetros!$C$11,"SÍ","no")</f>
        <v>SÍ</v>
      </c>
      <c r="K83" s="18" t="str">
        <f aca="false">IF(AND(ABS(F83)&gt;0,ABS(I83)&gt;0.3*ABS(F83),ABS(I83)&gt;500),"REVISAR","")</f>
        <v/>
      </c>
    </row>
    <row r="84" customFormat="false" ht="15" hidden="false" customHeight="false" outlineLevel="0" collapsed="false">
      <c r="A84" s="19" t="s">
        <v>206</v>
      </c>
      <c r="B84" s="19" t="s">
        <v>207</v>
      </c>
      <c r="C84" s="19" t="s">
        <v>84</v>
      </c>
      <c r="D84" s="19" t="s">
        <v>43</v>
      </c>
      <c r="E84" s="20" t="n">
        <v>-1335.23</v>
      </c>
      <c r="F84" s="20" t="n">
        <v>-0.95</v>
      </c>
      <c r="G84" s="21" t="n">
        <f aca="false">IF(C84="ACTIVO",Parámetros!$C$6,Parámetros!$C$7)</f>
        <v>1482</v>
      </c>
      <c r="H84" s="20" t="n">
        <f aca="false">IF(D84="Proveedor",E84/G84,ROUND(E84/G84,2))</f>
        <v>-0.9</v>
      </c>
      <c r="I84" s="22" t="n">
        <f aca="false">ROUND(H84-F84,2)</f>
        <v>0.05</v>
      </c>
      <c r="J84" s="23" t="str">
        <f aca="false">IF(ABS(I84)&gt;=Parámetros!$C$11,"SÍ","no")</f>
        <v>SÍ</v>
      </c>
      <c r="K84" s="24" t="str">
        <f aca="false">IF(AND(ABS(F84)&gt;0,ABS(I84)&gt;0.3*ABS(F84),ABS(I84)&gt;500),"REVISAR","")</f>
        <v/>
      </c>
    </row>
    <row r="85" customFormat="false" ht="15" hidden="false" customHeight="false" outlineLevel="0" collapsed="false">
      <c r="A85" s="14" t="s">
        <v>208</v>
      </c>
      <c r="B85" s="14" t="s">
        <v>209</v>
      </c>
      <c r="C85" s="14" t="s">
        <v>84</v>
      </c>
      <c r="D85" s="14" t="s">
        <v>43</v>
      </c>
      <c r="E85" s="15" t="n">
        <v>-772433.68</v>
      </c>
      <c r="F85" s="15" t="n">
        <v>-548.6</v>
      </c>
      <c r="G85" s="16" t="n">
        <f aca="false">IF(C85="ACTIVO",Parámetros!$C$6,Parámetros!$C$7)</f>
        <v>1482</v>
      </c>
      <c r="H85" s="15" t="n">
        <f aca="false">IF(D85="Proveedor",E85/G85,ROUND(E85/G85,2))</f>
        <v>-521.21</v>
      </c>
      <c r="I85" s="17" t="n">
        <f aca="false">ROUND(H85-F85,2)</f>
        <v>27.39</v>
      </c>
      <c r="J85" s="8" t="str">
        <f aca="false">IF(ABS(I85)&gt;=Parámetros!$C$11,"SÍ","no")</f>
        <v>SÍ</v>
      </c>
      <c r="K85" s="18" t="str">
        <f aca="false">IF(AND(ABS(F85)&gt;0,ABS(I85)&gt;0.3*ABS(F85),ABS(I85)&gt;500),"REVISAR","")</f>
        <v/>
      </c>
    </row>
    <row r="86" customFormat="false" ht="15" hidden="false" customHeight="false" outlineLevel="0" collapsed="false">
      <c r="A86" s="19" t="s">
        <v>210</v>
      </c>
      <c r="B86" s="19" t="s">
        <v>211</v>
      </c>
      <c r="C86" s="19" t="s">
        <v>84</v>
      </c>
      <c r="D86" s="19" t="s">
        <v>43</v>
      </c>
      <c r="E86" s="20" t="n">
        <v>-46874610.97</v>
      </c>
      <c r="F86" s="20" t="n">
        <v>-31854.99</v>
      </c>
      <c r="G86" s="21" t="n">
        <f aca="false">IF(C86="ACTIVO",Parámetros!$C$6,Parámetros!$C$7)</f>
        <v>1482</v>
      </c>
      <c r="H86" s="20" t="n">
        <f aca="false">IF(D86="Proveedor",E86/G86,ROUND(E86/G86,2))</f>
        <v>-31629.29</v>
      </c>
      <c r="I86" s="22" t="n">
        <f aca="false">ROUND(H86-F86,2)</f>
        <v>225.7</v>
      </c>
      <c r="J86" s="23" t="str">
        <f aca="false">IF(ABS(I86)&gt;=Parámetros!$C$11,"SÍ","no")</f>
        <v>SÍ</v>
      </c>
      <c r="K86" s="24" t="str">
        <f aca="false">IF(AND(ABS(F86)&gt;0,ABS(I86)&gt;0.3*ABS(F86),ABS(I86)&gt;500),"REVISAR","")</f>
        <v/>
      </c>
    </row>
    <row r="87" customFormat="false" ht="15" hidden="false" customHeight="false" outlineLevel="0" collapsed="false">
      <c r="A87" s="14" t="s">
        <v>212</v>
      </c>
      <c r="B87" s="14" t="s">
        <v>213</v>
      </c>
      <c r="C87" s="14" t="s">
        <v>84</v>
      </c>
      <c r="D87" s="14" t="s">
        <v>43</v>
      </c>
      <c r="E87" s="15" t="n">
        <v>-38149531.82</v>
      </c>
      <c r="F87" s="15" t="n">
        <v>-26943.56</v>
      </c>
      <c r="G87" s="16" t="n">
        <f aca="false">IF(C87="ACTIVO",Parámetros!$C$6,Parámetros!$C$7)</f>
        <v>1482</v>
      </c>
      <c r="H87" s="15" t="n">
        <f aca="false">IF(D87="Proveedor",E87/G87,ROUND(E87/G87,2))</f>
        <v>-25741.92</v>
      </c>
      <c r="I87" s="17" t="n">
        <f aca="false">ROUND(H87-F87,2)</f>
        <v>1201.64</v>
      </c>
      <c r="J87" s="8" t="str">
        <f aca="false">IF(ABS(I87)&gt;=Parámetros!$C$11,"SÍ","no")</f>
        <v>SÍ</v>
      </c>
      <c r="K87" s="18" t="str">
        <f aca="false">IF(AND(ABS(F87)&gt;0,ABS(I87)&gt;0.3*ABS(F87),ABS(I87)&gt;500),"REVISAR","")</f>
        <v/>
      </c>
    </row>
    <row r="88" customFormat="false" ht="15" hidden="false" customHeight="false" outlineLevel="0" collapsed="false">
      <c r="A88" s="19" t="s">
        <v>214</v>
      </c>
      <c r="B88" s="19" t="s">
        <v>215</v>
      </c>
      <c r="C88" s="19" t="s">
        <v>84</v>
      </c>
      <c r="D88" s="19" t="s">
        <v>43</v>
      </c>
      <c r="E88" s="20" t="n">
        <v>-39510574.15</v>
      </c>
      <c r="F88" s="20" t="n">
        <v>-27320.91</v>
      </c>
      <c r="G88" s="21" t="n">
        <f aca="false">IF(C88="ACTIVO",Parámetros!$C$6,Parámetros!$C$7)</f>
        <v>1482</v>
      </c>
      <c r="H88" s="20" t="n">
        <f aca="false">IF(D88="Proveedor",E88/G88,ROUND(E88/G88,2))</f>
        <v>-26660.31</v>
      </c>
      <c r="I88" s="22" t="n">
        <f aca="false">ROUND(H88-F88,2)</f>
        <v>660.6</v>
      </c>
      <c r="J88" s="23" t="str">
        <f aca="false">IF(ABS(I88)&gt;=Parámetros!$C$11,"SÍ","no")</f>
        <v>SÍ</v>
      </c>
      <c r="K88" s="24" t="str">
        <f aca="false">IF(AND(ABS(F88)&gt;0,ABS(I88)&gt;0.3*ABS(F88),ABS(I88)&gt;500),"REVISAR","")</f>
        <v/>
      </c>
    </row>
    <row r="89" customFormat="false" ht="15" hidden="false" customHeight="false" outlineLevel="0" collapsed="false">
      <c r="A89" s="14" t="s">
        <v>216</v>
      </c>
      <c r="B89" s="14" t="s">
        <v>217</v>
      </c>
      <c r="C89" s="14" t="s">
        <v>84</v>
      </c>
      <c r="D89" s="14" t="s">
        <v>43</v>
      </c>
      <c r="E89" s="15" t="n">
        <v>-199168357.76</v>
      </c>
      <c r="F89" s="15" t="n">
        <v>-141255.08</v>
      </c>
      <c r="G89" s="16" t="n">
        <f aca="false">IF(C89="ACTIVO",Parámetros!$C$6,Parámetros!$C$7)</f>
        <v>1482</v>
      </c>
      <c r="H89" s="15" t="n">
        <f aca="false">IF(D89="Proveedor",E89/G89,ROUND(E89/G89,2))</f>
        <v>-134391.6</v>
      </c>
      <c r="I89" s="17" t="n">
        <f aca="false">ROUND(H89-F89,2)</f>
        <v>6863.48</v>
      </c>
      <c r="J89" s="8" t="str">
        <f aca="false">IF(ABS(I89)&gt;=Parámetros!$C$11,"SÍ","no")</f>
        <v>SÍ</v>
      </c>
      <c r="K89" s="18" t="str">
        <f aca="false">IF(AND(ABS(F89)&gt;0,ABS(I89)&gt;0.3*ABS(F89),ABS(I89)&gt;500),"REVISAR","")</f>
        <v/>
      </c>
    </row>
    <row r="90" customFormat="false" ht="15" hidden="false" customHeight="false" outlineLevel="0" collapsed="false">
      <c r="A90" s="19" t="s">
        <v>218</v>
      </c>
      <c r="B90" s="19" t="s">
        <v>219</v>
      </c>
      <c r="C90" s="19" t="s">
        <v>84</v>
      </c>
      <c r="D90" s="19" t="s">
        <v>43</v>
      </c>
      <c r="E90" s="20" t="n">
        <v>-19744</v>
      </c>
      <c r="F90" s="20" t="n">
        <v>-14.02</v>
      </c>
      <c r="G90" s="21" t="n">
        <f aca="false">IF(C90="ACTIVO",Parámetros!$C$6,Parámetros!$C$7)</f>
        <v>1482</v>
      </c>
      <c r="H90" s="20" t="n">
        <f aca="false">IF(D90="Proveedor",E90/G90,ROUND(E90/G90,2))</f>
        <v>-13.32</v>
      </c>
      <c r="I90" s="22" t="n">
        <f aca="false">ROUND(H90-F90,2)</f>
        <v>0.7</v>
      </c>
      <c r="J90" s="23" t="str">
        <f aca="false">IF(ABS(I90)&gt;=Parámetros!$C$11,"SÍ","no")</f>
        <v>SÍ</v>
      </c>
      <c r="K90" s="24" t="str">
        <f aca="false">IF(AND(ABS(F90)&gt;0,ABS(I90)&gt;0.3*ABS(F90),ABS(I90)&gt;500),"REVISAR","")</f>
        <v/>
      </c>
    </row>
    <row r="91" customFormat="false" ht="15" hidden="false" customHeight="false" outlineLevel="0" collapsed="false">
      <c r="A91" s="25" t="s">
        <v>9</v>
      </c>
      <c r="B91" s="25" t="s">
        <v>220</v>
      </c>
      <c r="C91" s="25" t="s">
        <v>221</v>
      </c>
      <c r="D91" s="25" t="s">
        <v>222</v>
      </c>
      <c r="E91" s="25"/>
      <c r="F91" s="25"/>
      <c r="G91" s="25"/>
      <c r="H91" s="25"/>
      <c r="I91" s="26" t="n">
        <f aca="false">ROUND(-SUM(I3:I90),2)</f>
        <v>58374.9</v>
      </c>
      <c r="J91" s="27" t="s">
        <v>223</v>
      </c>
      <c r="K91" s="25"/>
    </row>
    <row r="93" customFormat="false" ht="15" hidden="false" customHeight="false" outlineLevel="0" collapsed="false">
      <c r="H93" s="28" t="s">
        <v>224</v>
      </c>
      <c r="I93" s="29" t="n">
        <f aca="false">ROUND(SUM(I3:I91),2)</f>
        <v>0</v>
      </c>
      <c r="J93" s="30" t="str">
        <f aca="false">IF(ABS(I93)&lt;0.005,"OK ✓","ERROR")</f>
        <v>OK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7" min="6" style="0" width="17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16"/>
  </cols>
  <sheetData>
    <row r="1" customFormat="false" ht="15" hidden="false" customHeight="false" outlineLevel="0" collapsed="false">
      <c r="A1" s="2" t="s">
        <v>225</v>
      </c>
    </row>
    <row r="2" customFormat="false" ht="35.05" hidden="false" customHeight="false" outlineLevel="0" collapsed="false">
      <c r="A2" s="13" t="s">
        <v>7</v>
      </c>
      <c r="B2" s="13" t="s">
        <v>226</v>
      </c>
      <c r="C2" s="13" t="s">
        <v>227</v>
      </c>
      <c r="D2" s="13" t="s">
        <v>228</v>
      </c>
      <c r="E2" s="13" t="s">
        <v>229</v>
      </c>
      <c r="F2" s="13" t="s">
        <v>230</v>
      </c>
      <c r="G2" s="13" t="s">
        <v>231</v>
      </c>
      <c r="H2" s="13" t="s">
        <v>232</v>
      </c>
      <c r="I2" s="13" t="s">
        <v>233</v>
      </c>
      <c r="J2" s="13" t="s">
        <v>234</v>
      </c>
      <c r="K2" s="13" t="s">
        <v>235</v>
      </c>
      <c r="L2" s="13" t="s">
        <v>236</v>
      </c>
    </row>
    <row r="3" customFormat="false" ht="15" hidden="false" customHeight="false" outlineLevel="0" collapsed="false">
      <c r="A3" s="31" t="n">
        <f aca="false">Parámetros!$C$9</f>
        <v>1</v>
      </c>
      <c r="B3" s="32" t="n">
        <v>1</v>
      </c>
      <c r="C3" s="33" t="n">
        <f aca="false">Parámetros!$C$5</f>
        <v>46203</v>
      </c>
      <c r="D3" s="34" t="str">
        <f aca="false">Parámetros!$C$8</f>
        <v>Ajuste por Conversión</v>
      </c>
      <c r="E3" s="35" t="str">
        <f aca="false">Cálculo!A3</f>
        <v>111010001</v>
      </c>
      <c r="F3" s="36" t="n">
        <v>0</v>
      </c>
      <c r="G3" s="37" t="n">
        <f aca="false">Cálculo!I3</f>
        <v>-24.51</v>
      </c>
      <c r="H3" s="34"/>
      <c r="I3" s="34"/>
      <c r="J3" s="34"/>
      <c r="K3" s="34"/>
      <c r="L3" s="34"/>
    </row>
    <row r="4" customFormat="false" ht="15" hidden="false" customHeight="false" outlineLevel="0" collapsed="false">
      <c r="A4" s="31" t="n">
        <f aca="false">Parámetros!$C$9</f>
        <v>1</v>
      </c>
      <c r="B4" s="32" t="n">
        <v>2</v>
      </c>
      <c r="C4" s="33" t="n">
        <f aca="false">Parámetros!$C$5</f>
        <v>46203</v>
      </c>
      <c r="D4" s="34" t="str">
        <f aca="false">Parámetros!$C$8</f>
        <v>Ajuste por Conversión</v>
      </c>
      <c r="E4" s="35" t="str">
        <f aca="false">Cálculo!A4</f>
        <v>111020001</v>
      </c>
      <c r="F4" s="36" t="n">
        <v>0</v>
      </c>
      <c r="G4" s="37" t="n">
        <f aca="false">Cálculo!I4</f>
        <v>-388.19</v>
      </c>
      <c r="H4" s="34"/>
      <c r="I4" s="34"/>
      <c r="J4" s="34"/>
      <c r="K4" s="34"/>
      <c r="L4" s="34"/>
    </row>
    <row r="5" customFormat="false" ht="15" hidden="false" customHeight="false" outlineLevel="0" collapsed="false">
      <c r="A5" s="31" t="n">
        <f aca="false">Parámetros!$C$9</f>
        <v>1</v>
      </c>
      <c r="B5" s="32" t="n">
        <v>3</v>
      </c>
      <c r="C5" s="33" t="n">
        <f aca="false">Parámetros!$C$5</f>
        <v>46203</v>
      </c>
      <c r="D5" s="34" t="str">
        <f aca="false">Parámetros!$C$8</f>
        <v>Ajuste por Conversión</v>
      </c>
      <c r="E5" s="35" t="str">
        <f aca="false">Cálculo!A5</f>
        <v>111020005</v>
      </c>
      <c r="F5" s="36" t="n">
        <v>0</v>
      </c>
      <c r="G5" s="37" t="n">
        <f aca="false">Cálculo!I5</f>
        <v>-39.81</v>
      </c>
      <c r="H5" s="34"/>
      <c r="I5" s="34"/>
      <c r="J5" s="34"/>
      <c r="K5" s="34"/>
      <c r="L5" s="34"/>
    </row>
    <row r="6" customFormat="false" ht="15" hidden="false" customHeight="false" outlineLevel="0" collapsed="false">
      <c r="A6" s="31" t="n">
        <f aca="false">Parámetros!$C$9</f>
        <v>1</v>
      </c>
      <c r="B6" s="32" t="n">
        <v>4</v>
      </c>
      <c r="C6" s="33" t="n">
        <f aca="false">Parámetros!$C$5</f>
        <v>46203</v>
      </c>
      <c r="D6" s="34" t="str">
        <f aca="false">Parámetros!$C$8</f>
        <v>Ajuste por Conversión</v>
      </c>
      <c r="E6" s="35" t="str">
        <f aca="false">Cálculo!A6</f>
        <v>111020006</v>
      </c>
      <c r="F6" s="36" t="n">
        <v>0</v>
      </c>
      <c r="G6" s="37" t="n">
        <f aca="false">Cálculo!I6</f>
        <v>-1.95</v>
      </c>
      <c r="H6" s="34"/>
      <c r="I6" s="34"/>
      <c r="J6" s="34"/>
      <c r="K6" s="34"/>
      <c r="L6" s="34"/>
    </row>
    <row r="7" customFormat="false" ht="15" hidden="false" customHeight="false" outlineLevel="0" collapsed="false">
      <c r="A7" s="31" t="n">
        <f aca="false">Parámetros!$C$9</f>
        <v>1</v>
      </c>
      <c r="B7" s="32" t="n">
        <v>5</v>
      </c>
      <c r="C7" s="33" t="n">
        <f aca="false">Parámetros!$C$5</f>
        <v>46203</v>
      </c>
      <c r="D7" s="34" t="str">
        <f aca="false">Parámetros!$C$8</f>
        <v>Ajuste por Conversión</v>
      </c>
      <c r="E7" s="35" t="str">
        <f aca="false">Cálculo!A7</f>
        <v>114010001</v>
      </c>
      <c r="F7" s="36" t="n">
        <v>0</v>
      </c>
      <c r="G7" s="37" t="n">
        <f aca="false">Cálculo!I7</f>
        <v>-179.93</v>
      </c>
      <c r="H7" s="34"/>
      <c r="I7" s="34"/>
      <c r="J7" s="34"/>
      <c r="K7" s="34"/>
      <c r="L7" s="34"/>
    </row>
    <row r="8" customFormat="false" ht="15" hidden="false" customHeight="false" outlineLevel="0" collapsed="false">
      <c r="A8" s="31" t="n">
        <f aca="false">Parámetros!$C$9</f>
        <v>1</v>
      </c>
      <c r="B8" s="32" t="n">
        <v>6</v>
      </c>
      <c r="C8" s="33" t="n">
        <f aca="false">Parámetros!$C$5</f>
        <v>46203</v>
      </c>
      <c r="D8" s="34" t="str">
        <f aca="false">Parámetros!$C$8</f>
        <v>Ajuste por Conversión</v>
      </c>
      <c r="E8" s="35" t="str">
        <f aca="false">Cálculo!A8</f>
        <v>114010002</v>
      </c>
      <c r="F8" s="36" t="n">
        <v>0</v>
      </c>
      <c r="G8" s="37" t="n">
        <f aca="false">Cálculo!I8</f>
        <v>-59627.3</v>
      </c>
      <c r="H8" s="34"/>
      <c r="I8" s="34"/>
      <c r="J8" s="34"/>
      <c r="K8" s="34"/>
      <c r="L8" s="34"/>
    </row>
    <row r="9" customFormat="false" ht="15" hidden="false" customHeight="false" outlineLevel="0" collapsed="false">
      <c r="A9" s="31" t="n">
        <f aca="false">Parámetros!$C$9</f>
        <v>1</v>
      </c>
      <c r="B9" s="32" t="n">
        <v>7</v>
      </c>
      <c r="C9" s="33" t="n">
        <f aca="false">Parámetros!$C$5</f>
        <v>46203</v>
      </c>
      <c r="D9" s="34" t="str">
        <f aca="false">Parámetros!$C$8</f>
        <v>Ajuste por Conversión</v>
      </c>
      <c r="E9" s="35" t="str">
        <f aca="false">Cálculo!A9</f>
        <v>114010003</v>
      </c>
      <c r="F9" s="36" t="n">
        <v>0</v>
      </c>
      <c r="G9" s="37" t="n">
        <f aca="false">Cálculo!I9</f>
        <v>-1.01</v>
      </c>
      <c r="H9" s="34"/>
      <c r="I9" s="34"/>
      <c r="J9" s="34"/>
      <c r="K9" s="34"/>
      <c r="L9" s="34"/>
    </row>
    <row r="10" customFormat="false" ht="15" hidden="false" customHeight="false" outlineLevel="0" collapsed="false">
      <c r="A10" s="31" t="n">
        <f aca="false">Parámetros!$C$9</f>
        <v>1</v>
      </c>
      <c r="B10" s="32" t="n">
        <v>8</v>
      </c>
      <c r="C10" s="33" t="n">
        <f aca="false">Parámetros!$C$5</f>
        <v>46203</v>
      </c>
      <c r="D10" s="34" t="str">
        <f aca="false">Parámetros!$C$8</f>
        <v>Ajuste por Conversión</v>
      </c>
      <c r="E10" s="35" t="str">
        <f aca="false">Cálculo!A10</f>
        <v>114010004</v>
      </c>
      <c r="F10" s="36" t="n">
        <v>0</v>
      </c>
      <c r="G10" s="37" t="n">
        <f aca="false">Cálculo!I10</f>
        <v>-0.34</v>
      </c>
      <c r="H10" s="34"/>
      <c r="I10" s="34"/>
      <c r="J10" s="34"/>
      <c r="K10" s="34"/>
      <c r="L10" s="34"/>
    </row>
    <row r="11" customFormat="false" ht="15" hidden="false" customHeight="false" outlineLevel="0" collapsed="false">
      <c r="A11" s="31" t="n">
        <f aca="false">Parámetros!$C$9</f>
        <v>1</v>
      </c>
      <c r="B11" s="32" t="n">
        <v>9</v>
      </c>
      <c r="C11" s="33" t="n">
        <f aca="false">Parámetros!$C$5</f>
        <v>46203</v>
      </c>
      <c r="D11" s="34" t="str">
        <f aca="false">Parámetros!$C$8</f>
        <v>Ajuste por Conversión</v>
      </c>
      <c r="E11" s="35" t="str">
        <f aca="false">Cálculo!A11</f>
        <v>114010005</v>
      </c>
      <c r="F11" s="36" t="n">
        <v>0</v>
      </c>
      <c r="G11" s="37" t="n">
        <f aca="false">Cálculo!I11</f>
        <v>-281.71</v>
      </c>
      <c r="H11" s="34"/>
      <c r="I11" s="34"/>
      <c r="J11" s="34"/>
      <c r="K11" s="34"/>
      <c r="L11" s="34"/>
    </row>
    <row r="12" customFormat="false" ht="15" hidden="false" customHeight="false" outlineLevel="0" collapsed="false">
      <c r="A12" s="31" t="n">
        <f aca="false">Parámetros!$C$9</f>
        <v>1</v>
      </c>
      <c r="B12" s="32" t="n">
        <v>10</v>
      </c>
      <c r="C12" s="33" t="n">
        <f aca="false">Parámetros!$C$5</f>
        <v>46203</v>
      </c>
      <c r="D12" s="34" t="str">
        <f aca="false">Parámetros!$C$8</f>
        <v>Ajuste por Conversión</v>
      </c>
      <c r="E12" s="35" t="str">
        <f aca="false">Cálculo!A12</f>
        <v>114010006</v>
      </c>
      <c r="F12" s="36" t="n">
        <v>0</v>
      </c>
      <c r="G12" s="37" t="n">
        <f aca="false">Cálculo!I12</f>
        <v>-1867.8</v>
      </c>
      <c r="H12" s="34"/>
      <c r="I12" s="34"/>
      <c r="J12" s="34"/>
      <c r="K12" s="34"/>
      <c r="L12" s="34"/>
    </row>
    <row r="13" customFormat="false" ht="15" hidden="false" customHeight="false" outlineLevel="0" collapsed="false">
      <c r="A13" s="31" t="n">
        <f aca="false">Parámetros!$C$9</f>
        <v>1</v>
      </c>
      <c r="B13" s="32" t="n">
        <v>11</v>
      </c>
      <c r="C13" s="33" t="n">
        <f aca="false">Parámetros!$C$5</f>
        <v>46203</v>
      </c>
      <c r="D13" s="34" t="str">
        <f aca="false">Parámetros!$C$8</f>
        <v>Ajuste por Conversión</v>
      </c>
      <c r="E13" s="35" t="str">
        <f aca="false">Cálculo!A13</f>
        <v>114010010</v>
      </c>
      <c r="F13" s="36" t="n">
        <v>0</v>
      </c>
      <c r="G13" s="37" t="n">
        <f aca="false">Cálculo!I13</f>
        <v>-18.99</v>
      </c>
      <c r="H13" s="34"/>
      <c r="I13" s="34"/>
      <c r="J13" s="34"/>
      <c r="K13" s="34"/>
      <c r="L13" s="34"/>
    </row>
    <row r="14" customFormat="false" ht="15" hidden="false" customHeight="false" outlineLevel="0" collapsed="false">
      <c r="A14" s="31" t="n">
        <f aca="false">Parámetros!$C$9</f>
        <v>1</v>
      </c>
      <c r="B14" s="32" t="n">
        <v>12</v>
      </c>
      <c r="C14" s="33" t="n">
        <f aca="false">Parámetros!$C$5</f>
        <v>46203</v>
      </c>
      <c r="D14" s="34" t="str">
        <f aca="false">Parámetros!$C$8</f>
        <v>Ajuste por Conversión</v>
      </c>
      <c r="E14" s="35" t="str">
        <f aca="false">Cálculo!A14</f>
        <v>114010013</v>
      </c>
      <c r="F14" s="36" t="n">
        <v>0</v>
      </c>
      <c r="G14" s="37" t="n">
        <f aca="false">Cálculo!I14</f>
        <v>-8.75</v>
      </c>
      <c r="H14" s="34"/>
      <c r="I14" s="34"/>
      <c r="J14" s="34"/>
      <c r="K14" s="34"/>
      <c r="L14" s="34"/>
    </row>
    <row r="15" customFormat="false" ht="15" hidden="false" customHeight="false" outlineLevel="0" collapsed="false">
      <c r="A15" s="31" t="n">
        <f aca="false">Parámetros!$C$9</f>
        <v>1</v>
      </c>
      <c r="B15" s="32" t="n">
        <v>13</v>
      </c>
      <c r="C15" s="33" t="n">
        <f aca="false">Parámetros!$C$5</f>
        <v>46203</v>
      </c>
      <c r="D15" s="34" t="str">
        <f aca="false">Parámetros!$C$8</f>
        <v>Ajuste por Conversión</v>
      </c>
      <c r="E15" s="35" t="str">
        <f aca="false">Cálculo!A15</f>
        <v>114010014</v>
      </c>
      <c r="F15" s="36" t="n">
        <v>0</v>
      </c>
      <c r="G15" s="37" t="n">
        <f aca="false">Cálculo!I15</f>
        <v>-7.31</v>
      </c>
      <c r="H15" s="34"/>
      <c r="I15" s="34"/>
      <c r="J15" s="34"/>
      <c r="K15" s="34"/>
      <c r="L15" s="34"/>
    </row>
    <row r="16" customFormat="false" ht="15" hidden="false" customHeight="false" outlineLevel="0" collapsed="false">
      <c r="A16" s="31" t="n">
        <f aca="false">Parámetros!$C$9</f>
        <v>1</v>
      </c>
      <c r="B16" s="32" t="n">
        <v>14</v>
      </c>
      <c r="C16" s="33" t="n">
        <f aca="false">Parámetros!$C$5</f>
        <v>46203</v>
      </c>
      <c r="D16" s="34" t="str">
        <f aca="false">Parámetros!$C$8</f>
        <v>Ajuste por Conversión</v>
      </c>
      <c r="E16" s="35" t="str">
        <f aca="false">Cálculo!A16</f>
        <v>114010018</v>
      </c>
      <c r="F16" s="36" t="n">
        <v>0</v>
      </c>
      <c r="G16" s="37" t="n">
        <f aca="false">Cálculo!I16</f>
        <v>-934.66</v>
      </c>
      <c r="H16" s="34"/>
      <c r="I16" s="34"/>
      <c r="J16" s="34"/>
      <c r="K16" s="34"/>
      <c r="L16" s="34"/>
    </row>
    <row r="17" customFormat="false" ht="15" hidden="false" customHeight="false" outlineLevel="0" collapsed="false">
      <c r="A17" s="31" t="n">
        <f aca="false">Parámetros!$C$9</f>
        <v>1</v>
      </c>
      <c r="B17" s="32" t="n">
        <v>15</v>
      </c>
      <c r="C17" s="33" t="n">
        <f aca="false">Parámetros!$C$5</f>
        <v>46203</v>
      </c>
      <c r="D17" s="34" t="str">
        <f aca="false">Parámetros!$C$8</f>
        <v>Ajuste por Conversión</v>
      </c>
      <c r="E17" s="35" t="str">
        <f aca="false">Cálculo!A17</f>
        <v>114010021</v>
      </c>
      <c r="F17" s="36" t="n">
        <v>0</v>
      </c>
      <c r="G17" s="37" t="n">
        <f aca="false">Cálculo!I17</f>
        <v>-0.32</v>
      </c>
      <c r="H17" s="34"/>
      <c r="I17" s="34"/>
      <c r="J17" s="34"/>
      <c r="K17" s="34"/>
      <c r="L17" s="34"/>
    </row>
    <row r="18" customFormat="false" ht="15" hidden="false" customHeight="false" outlineLevel="0" collapsed="false">
      <c r="A18" s="31" t="n">
        <f aca="false">Parámetros!$C$9</f>
        <v>1</v>
      </c>
      <c r="B18" s="32" t="n">
        <v>16</v>
      </c>
      <c r="C18" s="33" t="n">
        <f aca="false">Parámetros!$C$5</f>
        <v>46203</v>
      </c>
      <c r="D18" s="34" t="str">
        <f aca="false">Parámetros!$C$8</f>
        <v>Ajuste por Conversión</v>
      </c>
      <c r="E18" s="35" t="str">
        <f aca="false">Cálculo!A18</f>
        <v>114020001</v>
      </c>
      <c r="F18" s="36" t="n">
        <v>0</v>
      </c>
      <c r="G18" s="37" t="n">
        <f aca="false">Cálculo!I18</f>
        <v>-3445</v>
      </c>
      <c r="H18" s="34"/>
      <c r="I18" s="34"/>
      <c r="J18" s="34"/>
      <c r="K18" s="34"/>
      <c r="L18" s="34"/>
    </row>
    <row r="19" customFormat="false" ht="15" hidden="false" customHeight="false" outlineLevel="0" collapsed="false">
      <c r="A19" s="31" t="n">
        <f aca="false">Parámetros!$C$9</f>
        <v>1</v>
      </c>
      <c r="B19" s="32" t="n">
        <v>17</v>
      </c>
      <c r="C19" s="33" t="n">
        <f aca="false">Parámetros!$C$5</f>
        <v>46203</v>
      </c>
      <c r="D19" s="34" t="str">
        <f aca="false">Parámetros!$C$8</f>
        <v>Ajuste por Conversión</v>
      </c>
      <c r="E19" s="35" t="str">
        <f aca="false">Cálculo!A19</f>
        <v>114020002</v>
      </c>
      <c r="F19" s="36" t="n">
        <v>0</v>
      </c>
      <c r="G19" s="37" t="n">
        <f aca="false">Cálculo!I19</f>
        <v>-0.03</v>
      </c>
      <c r="H19" s="34"/>
      <c r="I19" s="34"/>
      <c r="J19" s="34"/>
      <c r="K19" s="34"/>
      <c r="L19" s="34"/>
    </row>
    <row r="20" customFormat="false" ht="15" hidden="false" customHeight="false" outlineLevel="0" collapsed="false">
      <c r="A20" s="31" t="n">
        <f aca="false">Parámetros!$C$9</f>
        <v>1</v>
      </c>
      <c r="B20" s="32" t="n">
        <v>18</v>
      </c>
      <c r="C20" s="33" t="n">
        <f aca="false">Parámetros!$C$5</f>
        <v>46203</v>
      </c>
      <c r="D20" s="34" t="str">
        <f aca="false">Parámetros!$C$8</f>
        <v>Ajuste por Conversión</v>
      </c>
      <c r="E20" s="35" t="str">
        <f aca="false">Cálculo!A20</f>
        <v>114050003</v>
      </c>
      <c r="F20" s="36" t="n">
        <v>0</v>
      </c>
      <c r="G20" s="37" t="n">
        <f aca="false">Cálculo!I20</f>
        <v>-748.61</v>
      </c>
      <c r="H20" s="34"/>
      <c r="I20" s="34"/>
      <c r="J20" s="34"/>
      <c r="K20" s="34"/>
      <c r="L20" s="34"/>
    </row>
    <row r="21" customFormat="false" ht="15" hidden="false" customHeight="false" outlineLevel="0" collapsed="false">
      <c r="A21" s="31" t="n">
        <f aca="false">Parámetros!$C$9</f>
        <v>1</v>
      </c>
      <c r="B21" s="32" t="n">
        <v>19</v>
      </c>
      <c r="C21" s="33" t="n">
        <f aca="false">Parámetros!$C$5</f>
        <v>46203</v>
      </c>
      <c r="D21" s="34" t="str">
        <f aca="false">Parámetros!$C$8</f>
        <v>Ajuste por Conversión</v>
      </c>
      <c r="E21" s="35" t="str">
        <f aca="false">Cálculo!A21</f>
        <v>114050004</v>
      </c>
      <c r="F21" s="36" t="n">
        <v>0</v>
      </c>
      <c r="G21" s="37" t="n">
        <f aca="false">Cálculo!I21</f>
        <v>-11.6</v>
      </c>
      <c r="H21" s="34"/>
      <c r="I21" s="34"/>
      <c r="J21" s="34"/>
      <c r="K21" s="34"/>
      <c r="L21" s="34"/>
    </row>
    <row r="22" customFormat="false" ht="15" hidden="false" customHeight="false" outlineLevel="0" collapsed="false">
      <c r="A22" s="31" t="n">
        <f aca="false">Parámetros!$C$9</f>
        <v>1</v>
      </c>
      <c r="B22" s="32" t="n">
        <v>20</v>
      </c>
      <c r="C22" s="33" t="n">
        <f aca="false">Parámetros!$C$5</f>
        <v>46203</v>
      </c>
      <c r="D22" s="34" t="str">
        <f aca="false">Parámetros!$C$8</f>
        <v>Ajuste por Conversión</v>
      </c>
      <c r="E22" s="35" t="str">
        <f aca="false">Cálculo!A22</f>
        <v>122010000</v>
      </c>
      <c r="F22" s="36" t="n">
        <v>0</v>
      </c>
      <c r="G22" s="37" t="n">
        <f aca="false">Cálculo!I22</f>
        <v>-3.88</v>
      </c>
      <c r="H22" s="34"/>
      <c r="I22" s="34"/>
      <c r="J22" s="34"/>
      <c r="K22" s="34"/>
      <c r="L22" s="34"/>
    </row>
    <row r="23" customFormat="false" ht="15" hidden="false" customHeight="false" outlineLevel="0" collapsed="false">
      <c r="A23" s="31" t="n">
        <f aca="false">Parámetros!$C$9</f>
        <v>1</v>
      </c>
      <c r="B23" s="32" t="n">
        <v>21</v>
      </c>
      <c r="C23" s="33" t="n">
        <f aca="false">Parámetros!$C$5</f>
        <v>46203</v>
      </c>
      <c r="D23" s="34" t="str">
        <f aca="false">Parámetros!$C$8</f>
        <v>Ajuste por Conversión</v>
      </c>
      <c r="E23" s="35" t="str">
        <f aca="false">Cálculo!A23</f>
        <v>211010004</v>
      </c>
      <c r="F23" s="36" t="n">
        <v>0</v>
      </c>
      <c r="G23" s="37" t="n">
        <f aca="false">Cálculo!I23</f>
        <v>-3.99</v>
      </c>
      <c r="H23" s="34"/>
      <c r="I23" s="34"/>
      <c r="J23" s="34"/>
      <c r="K23" s="34"/>
      <c r="L23" s="34"/>
    </row>
    <row r="24" customFormat="false" ht="15" hidden="false" customHeight="false" outlineLevel="0" collapsed="false">
      <c r="A24" s="31" t="n">
        <f aca="false">Parámetros!$C$9</f>
        <v>1</v>
      </c>
      <c r="B24" s="32" t="n">
        <v>22</v>
      </c>
      <c r="C24" s="33" t="n">
        <f aca="false">Parámetros!$C$5</f>
        <v>46203</v>
      </c>
      <c r="D24" s="34" t="str">
        <f aca="false">Parámetros!$C$8</f>
        <v>Ajuste por Conversión</v>
      </c>
      <c r="E24" s="35" t="str">
        <f aca="false">Cálculo!A24</f>
        <v>211010038</v>
      </c>
      <c r="F24" s="36" t="n">
        <v>0</v>
      </c>
      <c r="G24" s="37" t="n">
        <f aca="false">Cálculo!I24</f>
        <v>3.86</v>
      </c>
      <c r="H24" s="34"/>
      <c r="I24" s="34"/>
      <c r="J24" s="34"/>
      <c r="K24" s="34"/>
      <c r="L24" s="34"/>
    </row>
    <row r="25" customFormat="false" ht="15" hidden="false" customHeight="false" outlineLevel="0" collapsed="false">
      <c r="A25" s="31" t="n">
        <f aca="false">Parámetros!$C$9</f>
        <v>1</v>
      </c>
      <c r="B25" s="32" t="n">
        <v>23</v>
      </c>
      <c r="C25" s="33" t="n">
        <f aca="false">Parámetros!$C$5</f>
        <v>46203</v>
      </c>
      <c r="D25" s="34" t="str">
        <f aca="false">Parámetros!$C$8</f>
        <v>Ajuste por Conversión</v>
      </c>
      <c r="E25" s="35" t="str">
        <f aca="false">Cálculo!A25</f>
        <v>211010134</v>
      </c>
      <c r="F25" s="36" t="n">
        <v>0</v>
      </c>
      <c r="G25" s="37" t="n">
        <f aca="false">Cálculo!I25</f>
        <v>1.34</v>
      </c>
      <c r="H25" s="34"/>
      <c r="I25" s="34"/>
      <c r="J25" s="34"/>
      <c r="K25" s="34"/>
      <c r="L25" s="34"/>
    </row>
    <row r="26" customFormat="false" ht="15" hidden="false" customHeight="false" outlineLevel="0" collapsed="false">
      <c r="A26" s="31" t="n">
        <f aca="false">Parámetros!$C$9</f>
        <v>1</v>
      </c>
      <c r="B26" s="32" t="n">
        <v>24</v>
      </c>
      <c r="C26" s="33" t="n">
        <f aca="false">Parámetros!$C$5</f>
        <v>46203</v>
      </c>
      <c r="D26" s="34" t="str">
        <f aca="false">Parámetros!$C$8</f>
        <v>Ajuste por Conversión</v>
      </c>
      <c r="E26" s="35" t="str">
        <f aca="false">Cálculo!A26</f>
        <v>211010209</v>
      </c>
      <c r="F26" s="36" t="n">
        <v>0</v>
      </c>
      <c r="G26" s="37" t="n">
        <f aca="false">Cálculo!I26</f>
        <v>1.6</v>
      </c>
      <c r="H26" s="34"/>
      <c r="I26" s="34"/>
      <c r="J26" s="34"/>
      <c r="K26" s="34"/>
      <c r="L26" s="34"/>
    </row>
    <row r="27" customFormat="false" ht="15" hidden="false" customHeight="false" outlineLevel="0" collapsed="false">
      <c r="A27" s="31" t="n">
        <f aca="false">Parámetros!$C$9</f>
        <v>1</v>
      </c>
      <c r="B27" s="32" t="n">
        <v>25</v>
      </c>
      <c r="C27" s="33" t="n">
        <f aca="false">Parámetros!$C$5</f>
        <v>46203</v>
      </c>
      <c r="D27" s="34" t="str">
        <f aca="false">Parámetros!$C$8</f>
        <v>Ajuste por Conversión</v>
      </c>
      <c r="E27" s="35" t="str">
        <f aca="false">Cálculo!A27</f>
        <v>211010258</v>
      </c>
      <c r="F27" s="36" t="n">
        <v>0</v>
      </c>
      <c r="G27" s="37" t="n">
        <f aca="false">Cálculo!I27</f>
        <v>-13.44</v>
      </c>
      <c r="H27" s="34"/>
      <c r="I27" s="34"/>
      <c r="J27" s="34"/>
      <c r="K27" s="34"/>
      <c r="L27" s="34"/>
    </row>
    <row r="28" customFormat="false" ht="15" hidden="false" customHeight="false" outlineLevel="0" collapsed="false">
      <c r="A28" s="31" t="n">
        <f aca="false">Parámetros!$C$9</f>
        <v>1</v>
      </c>
      <c r="B28" s="32" t="n">
        <v>26</v>
      </c>
      <c r="C28" s="33" t="n">
        <f aca="false">Parámetros!$C$5</f>
        <v>46203</v>
      </c>
      <c r="D28" s="34" t="str">
        <f aca="false">Parámetros!$C$8</f>
        <v>Ajuste por Conversión</v>
      </c>
      <c r="E28" s="35" t="str">
        <f aca="false">Cálculo!A28</f>
        <v>211010309</v>
      </c>
      <c r="F28" s="36" t="n">
        <v>0</v>
      </c>
      <c r="G28" s="37" t="n">
        <f aca="false">Cálculo!I28</f>
        <v>6.3</v>
      </c>
      <c r="H28" s="34"/>
      <c r="I28" s="34"/>
      <c r="J28" s="34"/>
      <c r="K28" s="34"/>
      <c r="L28" s="34"/>
    </row>
    <row r="29" customFormat="false" ht="15" hidden="false" customHeight="false" outlineLevel="0" collapsed="false">
      <c r="A29" s="31" t="n">
        <f aca="false">Parámetros!$C$9</f>
        <v>1</v>
      </c>
      <c r="B29" s="32" t="n">
        <v>27</v>
      </c>
      <c r="C29" s="33" t="n">
        <f aca="false">Parámetros!$C$5</f>
        <v>46203</v>
      </c>
      <c r="D29" s="34" t="str">
        <f aca="false">Parámetros!$C$8</f>
        <v>Ajuste por Conversión</v>
      </c>
      <c r="E29" s="35" t="str">
        <f aca="false">Cálculo!A29</f>
        <v>211010317</v>
      </c>
      <c r="F29" s="36" t="n">
        <v>0</v>
      </c>
      <c r="G29" s="37" t="n">
        <f aca="false">Cálculo!I29</f>
        <v>1.75</v>
      </c>
      <c r="H29" s="34"/>
      <c r="I29" s="34"/>
      <c r="J29" s="34"/>
      <c r="K29" s="34"/>
      <c r="L29" s="34"/>
    </row>
    <row r="30" customFormat="false" ht="15" hidden="false" customHeight="false" outlineLevel="0" collapsed="false">
      <c r="A30" s="31" t="n">
        <f aca="false">Parámetros!$C$9</f>
        <v>1</v>
      </c>
      <c r="B30" s="32" t="n">
        <v>28</v>
      </c>
      <c r="C30" s="33" t="n">
        <f aca="false">Parámetros!$C$5</f>
        <v>46203</v>
      </c>
      <c r="D30" s="34" t="str">
        <f aca="false">Parámetros!$C$8</f>
        <v>Ajuste por Conversión</v>
      </c>
      <c r="E30" s="35" t="str">
        <f aca="false">Cálculo!A30</f>
        <v>211010329</v>
      </c>
      <c r="F30" s="36" t="n">
        <v>0</v>
      </c>
      <c r="G30" s="37" t="n">
        <f aca="false">Cálculo!I30</f>
        <v>1.77</v>
      </c>
      <c r="H30" s="34"/>
      <c r="I30" s="34"/>
      <c r="J30" s="34"/>
      <c r="K30" s="34"/>
      <c r="L30" s="34"/>
    </row>
    <row r="31" customFormat="false" ht="15" hidden="false" customHeight="false" outlineLevel="0" collapsed="false">
      <c r="A31" s="31" t="n">
        <f aca="false">Parámetros!$C$9</f>
        <v>1</v>
      </c>
      <c r="B31" s="32" t="n">
        <v>29</v>
      </c>
      <c r="C31" s="33" t="n">
        <f aca="false">Parámetros!$C$5</f>
        <v>46203</v>
      </c>
      <c r="D31" s="34" t="str">
        <f aca="false">Parámetros!$C$8</f>
        <v>Ajuste por Conversión</v>
      </c>
      <c r="E31" s="35" t="str">
        <f aca="false">Cálculo!A31</f>
        <v>211010402</v>
      </c>
      <c r="F31" s="36" t="n">
        <v>0</v>
      </c>
      <c r="G31" s="37" t="n">
        <f aca="false">Cálculo!I31</f>
        <v>0.73</v>
      </c>
      <c r="H31" s="34"/>
      <c r="I31" s="34"/>
      <c r="J31" s="34"/>
      <c r="K31" s="34"/>
      <c r="L31" s="34"/>
    </row>
    <row r="32" customFormat="false" ht="15" hidden="false" customHeight="false" outlineLevel="0" collapsed="false">
      <c r="A32" s="31" t="n">
        <f aca="false">Parámetros!$C$9</f>
        <v>1</v>
      </c>
      <c r="B32" s="32" t="n">
        <v>30</v>
      </c>
      <c r="C32" s="33" t="n">
        <f aca="false">Parámetros!$C$5</f>
        <v>46203</v>
      </c>
      <c r="D32" s="34" t="str">
        <f aca="false">Parámetros!$C$8</f>
        <v>Ajuste por Conversión</v>
      </c>
      <c r="E32" s="35" t="str">
        <f aca="false">Cálculo!A32</f>
        <v>211010404</v>
      </c>
      <c r="F32" s="36" t="n">
        <v>0</v>
      </c>
      <c r="G32" s="37" t="n">
        <f aca="false">Cálculo!I32</f>
        <v>83.41</v>
      </c>
      <c r="H32" s="34"/>
      <c r="I32" s="34"/>
      <c r="J32" s="34"/>
      <c r="K32" s="34"/>
      <c r="L32" s="34"/>
    </row>
    <row r="33" customFormat="false" ht="15" hidden="false" customHeight="false" outlineLevel="0" collapsed="false">
      <c r="A33" s="31" t="n">
        <f aca="false">Parámetros!$C$9</f>
        <v>1</v>
      </c>
      <c r="B33" s="32" t="n">
        <v>31</v>
      </c>
      <c r="C33" s="33" t="n">
        <f aca="false">Parámetros!$C$5</f>
        <v>46203</v>
      </c>
      <c r="D33" s="34" t="str">
        <f aca="false">Parámetros!$C$8</f>
        <v>Ajuste por Conversión</v>
      </c>
      <c r="E33" s="35" t="str">
        <f aca="false">Cálculo!A33</f>
        <v>211010436</v>
      </c>
      <c r="F33" s="36" t="n">
        <v>0</v>
      </c>
      <c r="G33" s="37" t="n">
        <f aca="false">Cálculo!I33</f>
        <v>3.81</v>
      </c>
      <c r="H33" s="34"/>
      <c r="I33" s="34"/>
      <c r="J33" s="34"/>
      <c r="K33" s="34"/>
      <c r="L33" s="34"/>
    </row>
    <row r="34" customFormat="false" ht="15" hidden="false" customHeight="false" outlineLevel="0" collapsed="false">
      <c r="A34" s="31" t="n">
        <f aca="false">Parámetros!$C$9</f>
        <v>1</v>
      </c>
      <c r="B34" s="32" t="n">
        <v>32</v>
      </c>
      <c r="C34" s="33" t="n">
        <f aca="false">Parámetros!$C$5</f>
        <v>46203</v>
      </c>
      <c r="D34" s="34" t="str">
        <f aca="false">Parámetros!$C$8</f>
        <v>Ajuste por Conversión</v>
      </c>
      <c r="E34" s="35" t="str">
        <f aca="false">Cálculo!A34</f>
        <v>211010448</v>
      </c>
      <c r="F34" s="36" t="n">
        <v>0</v>
      </c>
      <c r="G34" s="37" t="n">
        <f aca="false">Cálculo!I34</f>
        <v>-21.37</v>
      </c>
      <c r="H34" s="34"/>
      <c r="I34" s="34"/>
      <c r="J34" s="34"/>
      <c r="K34" s="34"/>
      <c r="L34" s="34"/>
    </row>
    <row r="35" customFormat="false" ht="15" hidden="false" customHeight="false" outlineLevel="0" collapsed="false">
      <c r="A35" s="31" t="n">
        <f aca="false">Parámetros!$C$9</f>
        <v>1</v>
      </c>
      <c r="B35" s="32" t="n">
        <v>33</v>
      </c>
      <c r="C35" s="33" t="n">
        <f aca="false">Parámetros!$C$5</f>
        <v>46203</v>
      </c>
      <c r="D35" s="34" t="str">
        <f aca="false">Parámetros!$C$8</f>
        <v>Ajuste por Conversión</v>
      </c>
      <c r="E35" s="35" t="str">
        <f aca="false">Cálculo!A35</f>
        <v>211010473</v>
      </c>
      <c r="F35" s="36" t="n">
        <v>0</v>
      </c>
      <c r="G35" s="37" t="n">
        <f aca="false">Cálculo!I35</f>
        <v>-2.06</v>
      </c>
      <c r="H35" s="34"/>
      <c r="I35" s="34"/>
      <c r="J35" s="34"/>
      <c r="K35" s="34"/>
      <c r="L35" s="34"/>
    </row>
    <row r="36" customFormat="false" ht="15" hidden="false" customHeight="false" outlineLevel="0" collapsed="false">
      <c r="A36" s="31" t="n">
        <f aca="false">Parámetros!$C$9</f>
        <v>1</v>
      </c>
      <c r="B36" s="32" t="n">
        <v>34</v>
      </c>
      <c r="C36" s="33" t="n">
        <f aca="false">Parámetros!$C$5</f>
        <v>46203</v>
      </c>
      <c r="D36" s="34" t="str">
        <f aca="false">Parámetros!$C$8</f>
        <v>Ajuste por Conversión</v>
      </c>
      <c r="E36" s="35" t="str">
        <f aca="false">Cálculo!A36</f>
        <v>211010623</v>
      </c>
      <c r="F36" s="36" t="n">
        <v>0</v>
      </c>
      <c r="G36" s="37" t="n">
        <f aca="false">Cálculo!I36</f>
        <v>1.93</v>
      </c>
      <c r="H36" s="34"/>
      <c r="I36" s="34"/>
      <c r="J36" s="34"/>
      <c r="K36" s="34"/>
      <c r="L36" s="34"/>
    </row>
    <row r="37" customFormat="false" ht="15" hidden="false" customHeight="false" outlineLevel="0" collapsed="false">
      <c r="A37" s="31" t="n">
        <f aca="false">Parámetros!$C$9</f>
        <v>1</v>
      </c>
      <c r="B37" s="32" t="n">
        <v>35</v>
      </c>
      <c r="C37" s="33" t="n">
        <f aca="false">Parámetros!$C$5</f>
        <v>46203</v>
      </c>
      <c r="D37" s="34" t="str">
        <f aca="false">Parámetros!$C$8</f>
        <v>Ajuste por Conversión</v>
      </c>
      <c r="E37" s="35" t="str">
        <f aca="false">Cálculo!A37</f>
        <v>211010631</v>
      </c>
      <c r="F37" s="36" t="n">
        <v>0</v>
      </c>
      <c r="G37" s="37" t="n">
        <f aca="false">Cálculo!I37</f>
        <v>7.28</v>
      </c>
      <c r="H37" s="34"/>
      <c r="I37" s="34"/>
      <c r="J37" s="34"/>
      <c r="K37" s="34"/>
      <c r="L37" s="34"/>
    </row>
    <row r="38" customFormat="false" ht="15" hidden="false" customHeight="false" outlineLevel="0" collapsed="false">
      <c r="A38" s="31" t="n">
        <f aca="false">Parámetros!$C$9</f>
        <v>1</v>
      </c>
      <c r="B38" s="32" t="n">
        <v>36</v>
      </c>
      <c r="C38" s="33" t="n">
        <f aca="false">Parámetros!$C$5</f>
        <v>46203</v>
      </c>
      <c r="D38" s="34" t="str">
        <f aca="false">Parámetros!$C$8</f>
        <v>Ajuste por Conversión</v>
      </c>
      <c r="E38" s="35" t="str">
        <f aca="false">Cálculo!A38</f>
        <v>211010666</v>
      </c>
      <c r="F38" s="36" t="n">
        <v>0</v>
      </c>
      <c r="G38" s="37" t="n">
        <f aca="false">Cálculo!I38</f>
        <v>13.34</v>
      </c>
      <c r="H38" s="34"/>
      <c r="I38" s="34"/>
      <c r="J38" s="34"/>
      <c r="K38" s="34"/>
      <c r="L38" s="34"/>
    </row>
    <row r="39" customFormat="false" ht="15" hidden="false" customHeight="false" outlineLevel="0" collapsed="false">
      <c r="A39" s="31" t="n">
        <f aca="false">Parámetros!$C$9</f>
        <v>1</v>
      </c>
      <c r="B39" s="32" t="n">
        <v>37</v>
      </c>
      <c r="C39" s="33" t="n">
        <f aca="false">Parámetros!$C$5</f>
        <v>46203</v>
      </c>
      <c r="D39" s="34" t="str">
        <f aca="false">Parámetros!$C$8</f>
        <v>Ajuste por Conversión</v>
      </c>
      <c r="E39" s="35" t="str">
        <f aca="false">Cálculo!A39</f>
        <v>211010721</v>
      </c>
      <c r="F39" s="36" t="n">
        <v>0</v>
      </c>
      <c r="G39" s="37" t="n">
        <f aca="false">Cálculo!I39</f>
        <v>-52.28</v>
      </c>
      <c r="H39" s="34"/>
      <c r="I39" s="34"/>
      <c r="J39" s="34"/>
      <c r="K39" s="34"/>
      <c r="L39" s="34"/>
    </row>
    <row r="40" customFormat="false" ht="15" hidden="false" customHeight="false" outlineLevel="0" collapsed="false">
      <c r="A40" s="31" t="n">
        <f aca="false">Parámetros!$C$9</f>
        <v>1</v>
      </c>
      <c r="B40" s="32" t="n">
        <v>38</v>
      </c>
      <c r="C40" s="33" t="n">
        <f aca="false">Parámetros!$C$5</f>
        <v>46203</v>
      </c>
      <c r="D40" s="34" t="str">
        <f aca="false">Parámetros!$C$8</f>
        <v>Ajuste por Conversión</v>
      </c>
      <c r="E40" s="35" t="str">
        <f aca="false">Cálculo!A40</f>
        <v>211010747</v>
      </c>
      <c r="F40" s="36" t="n">
        <v>0</v>
      </c>
      <c r="G40" s="37" t="n">
        <f aca="false">Cálculo!I40</f>
        <v>44.48</v>
      </c>
      <c r="H40" s="34"/>
      <c r="I40" s="34"/>
      <c r="J40" s="34"/>
      <c r="K40" s="34"/>
      <c r="L40" s="34"/>
    </row>
    <row r="41" customFormat="false" ht="15" hidden="false" customHeight="false" outlineLevel="0" collapsed="false">
      <c r="A41" s="31" t="n">
        <f aca="false">Parámetros!$C$9</f>
        <v>1</v>
      </c>
      <c r="B41" s="32" t="n">
        <v>39</v>
      </c>
      <c r="C41" s="33" t="n">
        <f aca="false">Parámetros!$C$5</f>
        <v>46203</v>
      </c>
      <c r="D41" s="34" t="str">
        <f aca="false">Parámetros!$C$8</f>
        <v>Ajuste por Conversión</v>
      </c>
      <c r="E41" s="35" t="str">
        <f aca="false">Cálculo!A41</f>
        <v>211010773</v>
      </c>
      <c r="F41" s="36" t="n">
        <v>0</v>
      </c>
      <c r="G41" s="37" t="n">
        <f aca="false">Cálculo!I41</f>
        <v>42.55</v>
      </c>
      <c r="H41" s="34"/>
      <c r="I41" s="34"/>
      <c r="J41" s="34"/>
      <c r="K41" s="34"/>
      <c r="L41" s="34"/>
    </row>
    <row r="42" customFormat="false" ht="15" hidden="false" customHeight="false" outlineLevel="0" collapsed="false">
      <c r="A42" s="31" t="n">
        <f aca="false">Parámetros!$C$9</f>
        <v>1</v>
      </c>
      <c r="B42" s="32" t="n">
        <v>40</v>
      </c>
      <c r="C42" s="33" t="n">
        <f aca="false">Parámetros!$C$5</f>
        <v>46203</v>
      </c>
      <c r="D42" s="34" t="str">
        <f aca="false">Parámetros!$C$8</f>
        <v>Ajuste por Conversión</v>
      </c>
      <c r="E42" s="35" t="str">
        <f aca="false">Cálculo!A42</f>
        <v>211010875</v>
      </c>
      <c r="F42" s="36" t="n">
        <v>0</v>
      </c>
      <c r="G42" s="37" t="n">
        <f aca="false">Cálculo!I42</f>
        <v>-163.21</v>
      </c>
      <c r="H42" s="34"/>
      <c r="I42" s="34"/>
      <c r="J42" s="34"/>
      <c r="K42" s="34"/>
      <c r="L42" s="34"/>
    </row>
    <row r="43" customFormat="false" ht="15" hidden="false" customHeight="false" outlineLevel="0" collapsed="false">
      <c r="A43" s="31" t="n">
        <f aca="false">Parámetros!$C$9</f>
        <v>1</v>
      </c>
      <c r="B43" s="32" t="n">
        <v>41</v>
      </c>
      <c r="C43" s="33" t="n">
        <f aca="false">Parámetros!$C$5</f>
        <v>46203</v>
      </c>
      <c r="D43" s="34" t="str">
        <f aca="false">Parámetros!$C$8</f>
        <v>Ajuste por Conversión</v>
      </c>
      <c r="E43" s="35" t="str">
        <f aca="false">Cálculo!A43</f>
        <v>211011079</v>
      </c>
      <c r="F43" s="36" t="n">
        <v>0</v>
      </c>
      <c r="G43" s="37" t="n">
        <f aca="false">Cálculo!I43</f>
        <v>17.76</v>
      </c>
      <c r="H43" s="34"/>
      <c r="I43" s="34"/>
      <c r="J43" s="34"/>
      <c r="K43" s="34"/>
      <c r="L43" s="34"/>
    </row>
    <row r="44" customFormat="false" ht="15" hidden="false" customHeight="false" outlineLevel="0" collapsed="false">
      <c r="A44" s="31" t="n">
        <f aca="false">Parámetros!$C$9</f>
        <v>1</v>
      </c>
      <c r="B44" s="32" t="n">
        <v>42</v>
      </c>
      <c r="C44" s="33" t="n">
        <f aca="false">Parámetros!$C$5</f>
        <v>46203</v>
      </c>
      <c r="D44" s="34" t="str">
        <f aca="false">Parámetros!$C$8</f>
        <v>Ajuste por Conversión</v>
      </c>
      <c r="E44" s="35" t="str">
        <f aca="false">Cálculo!A44</f>
        <v>211011142</v>
      </c>
      <c r="F44" s="36" t="n">
        <v>0</v>
      </c>
      <c r="G44" s="37" t="n">
        <f aca="false">Cálculo!I44</f>
        <v>17.93</v>
      </c>
      <c r="H44" s="34"/>
      <c r="I44" s="34"/>
      <c r="J44" s="34"/>
      <c r="K44" s="34"/>
      <c r="L44" s="34"/>
    </row>
    <row r="45" customFormat="false" ht="15" hidden="false" customHeight="false" outlineLevel="0" collapsed="false">
      <c r="A45" s="31" t="n">
        <f aca="false">Parámetros!$C$9</f>
        <v>1</v>
      </c>
      <c r="B45" s="32" t="n">
        <v>43</v>
      </c>
      <c r="C45" s="33" t="n">
        <f aca="false">Parámetros!$C$5</f>
        <v>46203</v>
      </c>
      <c r="D45" s="34" t="str">
        <f aca="false">Parámetros!$C$8</f>
        <v>Ajuste por Conversión</v>
      </c>
      <c r="E45" s="35" t="str">
        <f aca="false">Cálculo!A45</f>
        <v>211011153</v>
      </c>
      <c r="F45" s="36" t="n">
        <v>0</v>
      </c>
      <c r="G45" s="37" t="n">
        <f aca="false">Cálculo!I45</f>
        <v>-7.8</v>
      </c>
      <c r="H45" s="34"/>
      <c r="I45" s="34"/>
      <c r="J45" s="34"/>
      <c r="K45" s="34"/>
      <c r="L45" s="34"/>
    </row>
    <row r="46" customFormat="false" ht="15" hidden="false" customHeight="false" outlineLevel="0" collapsed="false">
      <c r="A46" s="31" t="n">
        <f aca="false">Parámetros!$C$9</f>
        <v>1</v>
      </c>
      <c r="B46" s="32" t="n">
        <v>44</v>
      </c>
      <c r="C46" s="33" t="n">
        <f aca="false">Parámetros!$C$5</f>
        <v>46203</v>
      </c>
      <c r="D46" s="34" t="str">
        <f aca="false">Parámetros!$C$8</f>
        <v>Ajuste por Conversión</v>
      </c>
      <c r="E46" s="35" t="str">
        <f aca="false">Cálculo!A46</f>
        <v>211011163</v>
      </c>
      <c r="F46" s="36" t="n">
        <v>0</v>
      </c>
      <c r="G46" s="37" t="n">
        <f aca="false">Cálculo!I46</f>
        <v>2.57</v>
      </c>
      <c r="H46" s="34"/>
      <c r="I46" s="34"/>
      <c r="J46" s="34"/>
      <c r="K46" s="34"/>
      <c r="L46" s="34"/>
    </row>
    <row r="47" customFormat="false" ht="15" hidden="false" customHeight="false" outlineLevel="0" collapsed="false">
      <c r="A47" s="31" t="n">
        <f aca="false">Parámetros!$C$9</f>
        <v>1</v>
      </c>
      <c r="B47" s="32" t="n">
        <v>45</v>
      </c>
      <c r="C47" s="33" t="n">
        <f aca="false">Parámetros!$C$5</f>
        <v>46203</v>
      </c>
      <c r="D47" s="34" t="str">
        <f aca="false">Parámetros!$C$8</f>
        <v>Ajuste por Conversión</v>
      </c>
      <c r="E47" s="35" t="str">
        <f aca="false">Cálculo!A47</f>
        <v>211011192</v>
      </c>
      <c r="F47" s="36" t="n">
        <v>0</v>
      </c>
      <c r="G47" s="37" t="n">
        <f aca="false">Cálculo!I47</f>
        <v>1.59</v>
      </c>
      <c r="H47" s="34"/>
      <c r="I47" s="34"/>
      <c r="J47" s="34"/>
      <c r="K47" s="34"/>
      <c r="L47" s="34"/>
    </row>
    <row r="48" customFormat="false" ht="15" hidden="false" customHeight="false" outlineLevel="0" collapsed="false">
      <c r="A48" s="31" t="n">
        <f aca="false">Parámetros!$C$9</f>
        <v>1</v>
      </c>
      <c r="B48" s="32" t="n">
        <v>46</v>
      </c>
      <c r="C48" s="33" t="n">
        <f aca="false">Parámetros!$C$5</f>
        <v>46203</v>
      </c>
      <c r="D48" s="34" t="str">
        <f aca="false">Parámetros!$C$8</f>
        <v>Ajuste por Conversión</v>
      </c>
      <c r="E48" s="35" t="str">
        <f aca="false">Cálculo!A48</f>
        <v>211011195</v>
      </c>
      <c r="F48" s="36" t="n">
        <v>0</v>
      </c>
      <c r="G48" s="37" t="n">
        <f aca="false">Cálculo!I48</f>
        <v>-20.46</v>
      </c>
      <c r="H48" s="34"/>
      <c r="I48" s="34"/>
      <c r="J48" s="34"/>
      <c r="K48" s="34"/>
      <c r="L48" s="34"/>
    </row>
    <row r="49" customFormat="false" ht="15" hidden="false" customHeight="false" outlineLevel="0" collapsed="false">
      <c r="A49" s="31" t="n">
        <f aca="false">Parámetros!$C$9</f>
        <v>1</v>
      </c>
      <c r="B49" s="32" t="n">
        <v>47</v>
      </c>
      <c r="C49" s="33" t="n">
        <f aca="false">Parámetros!$C$5</f>
        <v>46203</v>
      </c>
      <c r="D49" s="34" t="str">
        <f aca="false">Parámetros!$C$8</f>
        <v>Ajuste por Conversión</v>
      </c>
      <c r="E49" s="35" t="str">
        <f aca="false">Cálculo!A49</f>
        <v>211011225</v>
      </c>
      <c r="F49" s="36" t="n">
        <v>0</v>
      </c>
      <c r="G49" s="37" t="n">
        <f aca="false">Cálculo!I49</f>
        <v>-0.21</v>
      </c>
      <c r="H49" s="34"/>
      <c r="I49" s="34"/>
      <c r="J49" s="34"/>
      <c r="K49" s="34"/>
      <c r="L49" s="34"/>
    </row>
    <row r="50" customFormat="false" ht="15" hidden="false" customHeight="false" outlineLevel="0" collapsed="false">
      <c r="A50" s="31" t="n">
        <f aca="false">Parámetros!$C$9</f>
        <v>1</v>
      </c>
      <c r="B50" s="32" t="n">
        <v>48</v>
      </c>
      <c r="C50" s="33" t="n">
        <f aca="false">Parámetros!$C$5</f>
        <v>46203</v>
      </c>
      <c r="D50" s="34" t="str">
        <f aca="false">Parámetros!$C$8</f>
        <v>Ajuste por Conversión</v>
      </c>
      <c r="E50" s="35" t="str">
        <f aca="false">Cálculo!A50</f>
        <v>211011244</v>
      </c>
      <c r="F50" s="36" t="n">
        <v>0</v>
      </c>
      <c r="G50" s="37" t="n">
        <f aca="false">Cálculo!I50</f>
        <v>0.01</v>
      </c>
      <c r="H50" s="34"/>
      <c r="I50" s="34"/>
      <c r="J50" s="34"/>
      <c r="K50" s="34"/>
      <c r="L50" s="34"/>
    </row>
    <row r="51" customFormat="false" ht="15" hidden="false" customHeight="false" outlineLevel="0" collapsed="false">
      <c r="A51" s="31" t="n">
        <f aca="false">Parámetros!$C$9</f>
        <v>1</v>
      </c>
      <c r="B51" s="32" t="n">
        <v>49</v>
      </c>
      <c r="C51" s="33" t="n">
        <f aca="false">Parámetros!$C$5</f>
        <v>46203</v>
      </c>
      <c r="D51" s="34" t="str">
        <f aca="false">Parámetros!$C$8</f>
        <v>Ajuste por Conversión</v>
      </c>
      <c r="E51" s="35" t="str">
        <f aca="false">Cálculo!A51</f>
        <v>211011252</v>
      </c>
      <c r="F51" s="36" t="n">
        <v>0</v>
      </c>
      <c r="G51" s="37" t="n">
        <f aca="false">Cálculo!I51</f>
        <v>0.54</v>
      </c>
      <c r="H51" s="34"/>
      <c r="I51" s="34"/>
      <c r="J51" s="34"/>
      <c r="K51" s="34"/>
      <c r="L51" s="34"/>
    </row>
    <row r="52" customFormat="false" ht="15" hidden="false" customHeight="false" outlineLevel="0" collapsed="false">
      <c r="A52" s="31" t="n">
        <f aca="false">Parámetros!$C$9</f>
        <v>1</v>
      </c>
      <c r="B52" s="32" t="n">
        <v>50</v>
      </c>
      <c r="C52" s="33" t="n">
        <f aca="false">Parámetros!$C$5</f>
        <v>46203</v>
      </c>
      <c r="D52" s="34" t="str">
        <f aca="false">Parámetros!$C$8</f>
        <v>Ajuste por Conversión</v>
      </c>
      <c r="E52" s="35" t="str">
        <f aca="false">Cálculo!A52</f>
        <v>211011394</v>
      </c>
      <c r="F52" s="36" t="n">
        <v>0</v>
      </c>
      <c r="G52" s="37" t="n">
        <f aca="false">Cálculo!I52</f>
        <v>23.61</v>
      </c>
      <c r="H52" s="34"/>
      <c r="I52" s="34"/>
      <c r="J52" s="34"/>
      <c r="K52" s="34"/>
      <c r="L52" s="34"/>
    </row>
    <row r="53" customFormat="false" ht="15" hidden="false" customHeight="false" outlineLevel="0" collapsed="false">
      <c r="A53" s="31" t="n">
        <f aca="false">Parámetros!$C$9</f>
        <v>1</v>
      </c>
      <c r="B53" s="32" t="n">
        <v>51</v>
      </c>
      <c r="C53" s="33" t="n">
        <f aca="false">Parámetros!$C$5</f>
        <v>46203</v>
      </c>
      <c r="D53" s="34" t="str">
        <f aca="false">Parámetros!$C$8</f>
        <v>Ajuste por Conversión</v>
      </c>
      <c r="E53" s="35" t="str">
        <f aca="false">Cálculo!A53</f>
        <v>211011435</v>
      </c>
      <c r="F53" s="36" t="n">
        <v>0</v>
      </c>
      <c r="G53" s="37" t="n">
        <f aca="false">Cálculo!I53</f>
        <v>2.46</v>
      </c>
      <c r="H53" s="34"/>
      <c r="I53" s="34"/>
      <c r="J53" s="34"/>
      <c r="K53" s="34"/>
      <c r="L53" s="34"/>
    </row>
    <row r="54" customFormat="false" ht="15" hidden="false" customHeight="false" outlineLevel="0" collapsed="false">
      <c r="A54" s="31" t="n">
        <f aca="false">Parámetros!$C$9</f>
        <v>1</v>
      </c>
      <c r="B54" s="32" t="n">
        <v>52</v>
      </c>
      <c r="C54" s="33" t="n">
        <f aca="false">Parámetros!$C$5</f>
        <v>46203</v>
      </c>
      <c r="D54" s="34" t="str">
        <f aca="false">Parámetros!$C$8</f>
        <v>Ajuste por Conversión</v>
      </c>
      <c r="E54" s="35" t="str">
        <f aca="false">Cálculo!A54</f>
        <v>211011474</v>
      </c>
      <c r="F54" s="36" t="n">
        <v>0</v>
      </c>
      <c r="G54" s="37" t="n">
        <f aca="false">Cálculo!I54</f>
        <v>-19.58</v>
      </c>
      <c r="H54" s="34"/>
      <c r="I54" s="34"/>
      <c r="J54" s="34"/>
      <c r="K54" s="34"/>
      <c r="L54" s="34"/>
    </row>
    <row r="55" customFormat="false" ht="15" hidden="false" customHeight="false" outlineLevel="0" collapsed="false">
      <c r="A55" s="31" t="n">
        <f aca="false">Parámetros!$C$9</f>
        <v>1</v>
      </c>
      <c r="B55" s="32" t="n">
        <v>53</v>
      </c>
      <c r="C55" s="33" t="n">
        <f aca="false">Parámetros!$C$5</f>
        <v>46203</v>
      </c>
      <c r="D55" s="34" t="str">
        <f aca="false">Parámetros!$C$8</f>
        <v>Ajuste por Conversión</v>
      </c>
      <c r="E55" s="35" t="str">
        <f aca="false">Cálculo!A55</f>
        <v>211011554</v>
      </c>
      <c r="F55" s="36" t="n">
        <v>0</v>
      </c>
      <c r="G55" s="37" t="n">
        <f aca="false">Cálculo!I55</f>
        <v>36.69</v>
      </c>
      <c r="H55" s="34"/>
      <c r="I55" s="34"/>
      <c r="J55" s="34"/>
      <c r="K55" s="34"/>
      <c r="L55" s="34"/>
    </row>
    <row r="56" customFormat="false" ht="15" hidden="false" customHeight="false" outlineLevel="0" collapsed="false">
      <c r="A56" s="31" t="n">
        <f aca="false">Parámetros!$C$9</f>
        <v>1</v>
      </c>
      <c r="B56" s="32" t="n">
        <v>54</v>
      </c>
      <c r="C56" s="33" t="n">
        <f aca="false">Parámetros!$C$5</f>
        <v>46203</v>
      </c>
      <c r="D56" s="34" t="str">
        <f aca="false">Parámetros!$C$8</f>
        <v>Ajuste por Conversión</v>
      </c>
      <c r="E56" s="35" t="str">
        <f aca="false">Cálculo!A56</f>
        <v>211011615</v>
      </c>
      <c r="F56" s="36" t="n">
        <v>0</v>
      </c>
      <c r="G56" s="37" t="n">
        <f aca="false">Cálculo!I56</f>
        <v>1.45</v>
      </c>
      <c r="H56" s="34"/>
      <c r="I56" s="34"/>
      <c r="J56" s="34"/>
      <c r="K56" s="34"/>
      <c r="L56" s="34"/>
    </row>
    <row r="57" customFormat="false" ht="15" hidden="false" customHeight="false" outlineLevel="0" collapsed="false">
      <c r="A57" s="31" t="n">
        <f aca="false">Parámetros!$C$9</f>
        <v>1</v>
      </c>
      <c r="B57" s="32" t="n">
        <v>55</v>
      </c>
      <c r="C57" s="33" t="n">
        <f aca="false">Parámetros!$C$5</f>
        <v>46203</v>
      </c>
      <c r="D57" s="34" t="str">
        <f aca="false">Parámetros!$C$8</f>
        <v>Ajuste por Conversión</v>
      </c>
      <c r="E57" s="35" t="str">
        <f aca="false">Cálculo!A57</f>
        <v>211011780</v>
      </c>
      <c r="F57" s="36" t="n">
        <v>0</v>
      </c>
      <c r="G57" s="37" t="n">
        <f aca="false">Cálculo!I57</f>
        <v>20.79</v>
      </c>
      <c r="H57" s="34"/>
      <c r="I57" s="34"/>
      <c r="J57" s="34"/>
      <c r="K57" s="34"/>
      <c r="L57" s="34"/>
    </row>
    <row r="58" customFormat="false" ht="15" hidden="false" customHeight="false" outlineLevel="0" collapsed="false">
      <c r="A58" s="31" t="n">
        <f aca="false">Parámetros!$C$9</f>
        <v>1</v>
      </c>
      <c r="B58" s="32" t="n">
        <v>56</v>
      </c>
      <c r="C58" s="33" t="n">
        <f aca="false">Parámetros!$C$5</f>
        <v>46203</v>
      </c>
      <c r="D58" s="34" t="str">
        <f aca="false">Parámetros!$C$8</f>
        <v>Ajuste por Conversión</v>
      </c>
      <c r="E58" s="35" t="str">
        <f aca="false">Cálculo!A58</f>
        <v>211011819</v>
      </c>
      <c r="F58" s="36" t="n">
        <v>0</v>
      </c>
      <c r="G58" s="37" t="n">
        <f aca="false">Cálculo!I58</f>
        <v>1.35</v>
      </c>
      <c r="H58" s="34"/>
      <c r="I58" s="34"/>
      <c r="J58" s="34"/>
      <c r="K58" s="34"/>
      <c r="L58" s="34"/>
    </row>
    <row r="59" customFormat="false" ht="15" hidden="false" customHeight="false" outlineLevel="0" collapsed="false">
      <c r="A59" s="31" t="n">
        <f aca="false">Parámetros!$C$9</f>
        <v>1</v>
      </c>
      <c r="B59" s="32" t="n">
        <v>57</v>
      </c>
      <c r="C59" s="33" t="n">
        <f aca="false">Parámetros!$C$5</f>
        <v>46203</v>
      </c>
      <c r="D59" s="34" t="str">
        <f aca="false">Parámetros!$C$8</f>
        <v>Ajuste por Conversión</v>
      </c>
      <c r="E59" s="35" t="str">
        <f aca="false">Cálculo!A59</f>
        <v>211012087</v>
      </c>
      <c r="F59" s="36" t="n">
        <v>0</v>
      </c>
      <c r="G59" s="37" t="n">
        <f aca="false">Cálculo!I59</f>
        <v>-11.4</v>
      </c>
      <c r="H59" s="34"/>
      <c r="I59" s="34"/>
      <c r="J59" s="34"/>
      <c r="K59" s="34"/>
      <c r="L59" s="34"/>
    </row>
    <row r="60" customFormat="false" ht="15" hidden="false" customHeight="false" outlineLevel="0" collapsed="false">
      <c r="A60" s="31" t="n">
        <f aca="false">Parámetros!$C$9</f>
        <v>1</v>
      </c>
      <c r="B60" s="32" t="n">
        <v>58</v>
      </c>
      <c r="C60" s="33" t="n">
        <f aca="false">Parámetros!$C$5</f>
        <v>46203</v>
      </c>
      <c r="D60" s="34" t="str">
        <f aca="false">Parámetros!$C$8</f>
        <v>Ajuste por Conversión</v>
      </c>
      <c r="E60" s="35" t="str">
        <f aca="false">Cálculo!A60</f>
        <v>211012090</v>
      </c>
      <c r="F60" s="36" t="n">
        <v>0</v>
      </c>
      <c r="G60" s="37" t="n">
        <f aca="false">Cálculo!I60</f>
        <v>-2.45</v>
      </c>
      <c r="H60" s="34"/>
      <c r="I60" s="34"/>
      <c r="J60" s="34"/>
      <c r="K60" s="34"/>
      <c r="L60" s="34"/>
    </row>
    <row r="61" customFormat="false" ht="15" hidden="false" customHeight="false" outlineLevel="0" collapsed="false">
      <c r="A61" s="31" t="n">
        <f aca="false">Parámetros!$C$9</f>
        <v>1</v>
      </c>
      <c r="B61" s="32" t="n">
        <v>59</v>
      </c>
      <c r="C61" s="33" t="n">
        <f aca="false">Parámetros!$C$5</f>
        <v>46203</v>
      </c>
      <c r="D61" s="34" t="str">
        <f aca="false">Parámetros!$C$8</f>
        <v>Ajuste por Conversión</v>
      </c>
      <c r="E61" s="35" t="str">
        <f aca="false">Cálculo!A61</f>
        <v>211012103</v>
      </c>
      <c r="F61" s="36" t="n">
        <v>0</v>
      </c>
      <c r="G61" s="37" t="n">
        <f aca="false">Cálculo!I61</f>
        <v>20.27</v>
      </c>
      <c r="H61" s="34"/>
      <c r="I61" s="34"/>
      <c r="J61" s="34"/>
      <c r="K61" s="34"/>
      <c r="L61" s="34"/>
    </row>
    <row r="62" customFormat="false" ht="15" hidden="false" customHeight="false" outlineLevel="0" collapsed="false">
      <c r="A62" s="31" t="n">
        <f aca="false">Parámetros!$C$9</f>
        <v>1</v>
      </c>
      <c r="B62" s="32" t="n">
        <v>60</v>
      </c>
      <c r="C62" s="33" t="n">
        <f aca="false">Parámetros!$C$5</f>
        <v>46203</v>
      </c>
      <c r="D62" s="34" t="str">
        <f aca="false">Parámetros!$C$8</f>
        <v>Ajuste por Conversión</v>
      </c>
      <c r="E62" s="35" t="str">
        <f aca="false">Cálculo!A62</f>
        <v>211012167</v>
      </c>
      <c r="F62" s="36" t="n">
        <v>0</v>
      </c>
      <c r="G62" s="37" t="n">
        <f aca="false">Cálculo!I62</f>
        <v>0.35</v>
      </c>
      <c r="H62" s="34"/>
      <c r="I62" s="34"/>
      <c r="J62" s="34"/>
      <c r="K62" s="34"/>
      <c r="L62" s="34"/>
    </row>
    <row r="63" customFormat="false" ht="15" hidden="false" customHeight="false" outlineLevel="0" collapsed="false">
      <c r="A63" s="31" t="n">
        <f aca="false">Parámetros!$C$9</f>
        <v>1</v>
      </c>
      <c r="B63" s="32" t="n">
        <v>61</v>
      </c>
      <c r="C63" s="33" t="n">
        <f aca="false">Parámetros!$C$5</f>
        <v>46203</v>
      </c>
      <c r="D63" s="34" t="str">
        <f aca="false">Parámetros!$C$8</f>
        <v>Ajuste por Conversión</v>
      </c>
      <c r="E63" s="35" t="str">
        <f aca="false">Cálculo!A63</f>
        <v>211012224</v>
      </c>
      <c r="F63" s="36" t="n">
        <v>0</v>
      </c>
      <c r="G63" s="37" t="n">
        <f aca="false">Cálculo!I63</f>
        <v>-11.98</v>
      </c>
      <c r="H63" s="34"/>
      <c r="I63" s="34"/>
      <c r="J63" s="34"/>
      <c r="K63" s="34"/>
      <c r="L63" s="34"/>
    </row>
    <row r="64" customFormat="false" ht="15" hidden="false" customHeight="false" outlineLevel="0" collapsed="false">
      <c r="A64" s="31" t="n">
        <f aca="false">Parámetros!$C$9</f>
        <v>1</v>
      </c>
      <c r="B64" s="32" t="n">
        <v>62</v>
      </c>
      <c r="C64" s="33" t="n">
        <f aca="false">Parámetros!$C$5</f>
        <v>46203</v>
      </c>
      <c r="D64" s="34" t="str">
        <f aca="false">Parámetros!$C$8</f>
        <v>Ajuste por Conversión</v>
      </c>
      <c r="E64" s="35" t="str">
        <f aca="false">Cálculo!A64</f>
        <v>211012263</v>
      </c>
      <c r="F64" s="36" t="n">
        <v>0</v>
      </c>
      <c r="G64" s="37" t="n">
        <f aca="false">Cálculo!I64</f>
        <v>-2.27</v>
      </c>
      <c r="H64" s="34"/>
      <c r="I64" s="34"/>
      <c r="J64" s="34"/>
      <c r="K64" s="34"/>
      <c r="L64" s="34"/>
    </row>
    <row r="65" customFormat="false" ht="15" hidden="false" customHeight="false" outlineLevel="0" collapsed="false">
      <c r="A65" s="31" t="n">
        <f aca="false">Parámetros!$C$9</f>
        <v>1</v>
      </c>
      <c r="B65" s="32" t="n">
        <v>63</v>
      </c>
      <c r="C65" s="33" t="n">
        <f aca="false">Parámetros!$C$5</f>
        <v>46203</v>
      </c>
      <c r="D65" s="34" t="str">
        <f aca="false">Parámetros!$C$8</f>
        <v>Ajuste por Conversión</v>
      </c>
      <c r="E65" s="35" t="str">
        <f aca="false">Cálculo!A65</f>
        <v>211012266</v>
      </c>
      <c r="F65" s="36" t="n">
        <v>0</v>
      </c>
      <c r="G65" s="37" t="n">
        <f aca="false">Cálculo!I65</f>
        <v>29.49</v>
      </c>
      <c r="H65" s="34"/>
      <c r="I65" s="34"/>
      <c r="J65" s="34"/>
      <c r="K65" s="34"/>
      <c r="L65" s="34"/>
    </row>
    <row r="66" customFormat="false" ht="15" hidden="false" customHeight="false" outlineLevel="0" collapsed="false">
      <c r="A66" s="31" t="n">
        <f aca="false">Parámetros!$C$9</f>
        <v>1</v>
      </c>
      <c r="B66" s="32" t="n">
        <v>64</v>
      </c>
      <c r="C66" s="33" t="n">
        <f aca="false">Parámetros!$C$5</f>
        <v>46203</v>
      </c>
      <c r="D66" s="34" t="str">
        <f aca="false">Parámetros!$C$8</f>
        <v>Ajuste por Conversión</v>
      </c>
      <c r="E66" s="35" t="str">
        <f aca="false">Cálculo!A66</f>
        <v>211012297</v>
      </c>
      <c r="F66" s="36" t="n">
        <v>0</v>
      </c>
      <c r="G66" s="37" t="n">
        <f aca="false">Cálculo!I66</f>
        <v>2.05</v>
      </c>
      <c r="H66" s="34"/>
      <c r="I66" s="34"/>
      <c r="J66" s="34"/>
      <c r="K66" s="34"/>
      <c r="L66" s="34"/>
    </row>
    <row r="67" customFormat="false" ht="15" hidden="false" customHeight="false" outlineLevel="0" collapsed="false">
      <c r="A67" s="31" t="n">
        <f aca="false">Parámetros!$C$9</f>
        <v>1</v>
      </c>
      <c r="B67" s="32" t="n">
        <v>65</v>
      </c>
      <c r="C67" s="33" t="n">
        <f aca="false">Parámetros!$C$5</f>
        <v>46203</v>
      </c>
      <c r="D67" s="34" t="str">
        <f aca="false">Parámetros!$C$8</f>
        <v>Ajuste por Conversión</v>
      </c>
      <c r="E67" s="35" t="str">
        <f aca="false">Cálculo!A67</f>
        <v>211012301</v>
      </c>
      <c r="F67" s="36" t="n">
        <v>0</v>
      </c>
      <c r="G67" s="37" t="n">
        <f aca="false">Cálculo!I67</f>
        <v>4.98</v>
      </c>
      <c r="H67" s="34"/>
      <c r="I67" s="34"/>
      <c r="J67" s="34"/>
      <c r="K67" s="34"/>
      <c r="L67" s="34"/>
    </row>
    <row r="68" customFormat="false" ht="15" hidden="false" customHeight="false" outlineLevel="0" collapsed="false">
      <c r="A68" s="31" t="n">
        <f aca="false">Parámetros!$C$9</f>
        <v>1</v>
      </c>
      <c r="B68" s="32" t="n">
        <v>66</v>
      </c>
      <c r="C68" s="33" t="n">
        <f aca="false">Parámetros!$C$5</f>
        <v>46203</v>
      </c>
      <c r="D68" s="34" t="str">
        <f aca="false">Parámetros!$C$8</f>
        <v>Ajuste por Conversión</v>
      </c>
      <c r="E68" s="35" t="str">
        <f aca="false">Cálculo!A68</f>
        <v>211012333</v>
      </c>
      <c r="F68" s="36" t="n">
        <v>0</v>
      </c>
      <c r="G68" s="37" t="n">
        <f aca="false">Cálculo!I68</f>
        <v>0.01</v>
      </c>
      <c r="H68" s="34"/>
      <c r="I68" s="34"/>
      <c r="J68" s="34"/>
      <c r="K68" s="34"/>
      <c r="L68" s="34"/>
    </row>
    <row r="69" customFormat="false" ht="15" hidden="false" customHeight="false" outlineLevel="0" collapsed="false">
      <c r="A69" s="31" t="n">
        <f aca="false">Parámetros!$C$9</f>
        <v>1</v>
      </c>
      <c r="B69" s="32" t="n">
        <v>67</v>
      </c>
      <c r="C69" s="33" t="n">
        <f aca="false">Parámetros!$C$5</f>
        <v>46203</v>
      </c>
      <c r="D69" s="34" t="str">
        <f aca="false">Parámetros!$C$8</f>
        <v>Ajuste por Conversión</v>
      </c>
      <c r="E69" s="35" t="str">
        <f aca="false">Cálculo!A69</f>
        <v>211012344</v>
      </c>
      <c r="F69" s="36" t="n">
        <v>0</v>
      </c>
      <c r="G69" s="37" t="n">
        <f aca="false">Cálculo!I69</f>
        <v>0.61</v>
      </c>
      <c r="H69" s="34"/>
      <c r="I69" s="34"/>
      <c r="J69" s="34"/>
      <c r="K69" s="34"/>
      <c r="L69" s="34"/>
    </row>
    <row r="70" customFormat="false" ht="15" hidden="false" customHeight="false" outlineLevel="0" collapsed="false">
      <c r="A70" s="31" t="n">
        <f aca="false">Parámetros!$C$9</f>
        <v>1</v>
      </c>
      <c r="B70" s="32" t="n">
        <v>68</v>
      </c>
      <c r="C70" s="33" t="n">
        <f aca="false">Parámetros!$C$5</f>
        <v>46203</v>
      </c>
      <c r="D70" s="34" t="str">
        <f aca="false">Parámetros!$C$8</f>
        <v>Ajuste por Conversión</v>
      </c>
      <c r="E70" s="35" t="str">
        <f aca="false">Cálculo!A70</f>
        <v>211012409</v>
      </c>
      <c r="F70" s="36" t="n">
        <v>0</v>
      </c>
      <c r="G70" s="37" t="n">
        <f aca="false">Cálculo!I70</f>
        <v>7.44</v>
      </c>
      <c r="H70" s="34"/>
      <c r="I70" s="34"/>
      <c r="J70" s="34"/>
      <c r="K70" s="34"/>
      <c r="L70" s="34"/>
    </row>
    <row r="71" customFormat="false" ht="15" hidden="false" customHeight="false" outlineLevel="0" collapsed="false">
      <c r="A71" s="31" t="n">
        <f aca="false">Parámetros!$C$9</f>
        <v>1</v>
      </c>
      <c r="B71" s="32" t="n">
        <v>69</v>
      </c>
      <c r="C71" s="33" t="n">
        <f aca="false">Parámetros!$C$5</f>
        <v>46203</v>
      </c>
      <c r="D71" s="34" t="str">
        <f aca="false">Parámetros!$C$8</f>
        <v>Ajuste por Conversión</v>
      </c>
      <c r="E71" s="35" t="str">
        <f aca="false">Cálculo!A71</f>
        <v>211012410</v>
      </c>
      <c r="F71" s="36" t="n">
        <v>0</v>
      </c>
      <c r="G71" s="37" t="n">
        <f aca="false">Cálculo!I71</f>
        <v>24.75</v>
      </c>
      <c r="H71" s="34"/>
      <c r="I71" s="34"/>
      <c r="J71" s="34"/>
      <c r="K71" s="34"/>
      <c r="L71" s="34"/>
    </row>
    <row r="72" customFormat="false" ht="15" hidden="false" customHeight="false" outlineLevel="0" collapsed="false">
      <c r="A72" s="31" t="n">
        <f aca="false">Parámetros!$C$9</f>
        <v>1</v>
      </c>
      <c r="B72" s="32" t="n">
        <v>70</v>
      </c>
      <c r="C72" s="33" t="n">
        <f aca="false">Parámetros!$C$5</f>
        <v>46203</v>
      </c>
      <c r="D72" s="34" t="str">
        <f aca="false">Parámetros!$C$8</f>
        <v>Ajuste por Conversión</v>
      </c>
      <c r="E72" s="35" t="str">
        <f aca="false">Cálculo!A72</f>
        <v>211012412</v>
      </c>
      <c r="F72" s="36" t="n">
        <v>0</v>
      </c>
      <c r="G72" s="37" t="n">
        <f aca="false">Cálculo!I72</f>
        <v>1.65</v>
      </c>
      <c r="H72" s="34"/>
      <c r="I72" s="34"/>
      <c r="J72" s="34"/>
      <c r="K72" s="34"/>
      <c r="L72" s="34"/>
    </row>
    <row r="73" customFormat="false" ht="15" hidden="false" customHeight="false" outlineLevel="0" collapsed="false">
      <c r="A73" s="31" t="n">
        <f aca="false">Parámetros!$C$9</f>
        <v>1</v>
      </c>
      <c r="B73" s="32" t="n">
        <v>71</v>
      </c>
      <c r="C73" s="33" t="n">
        <f aca="false">Parámetros!$C$5</f>
        <v>46203</v>
      </c>
      <c r="D73" s="34" t="str">
        <f aca="false">Parámetros!$C$8</f>
        <v>Ajuste por Conversión</v>
      </c>
      <c r="E73" s="35" t="str">
        <f aca="false">Cálculo!A73</f>
        <v>211012413</v>
      </c>
      <c r="F73" s="36" t="n">
        <v>0</v>
      </c>
      <c r="G73" s="37" t="n">
        <f aca="false">Cálculo!I73</f>
        <v>0.4</v>
      </c>
      <c r="H73" s="34"/>
      <c r="I73" s="34"/>
      <c r="J73" s="34"/>
      <c r="K73" s="34"/>
      <c r="L73" s="34"/>
    </row>
    <row r="74" customFormat="false" ht="15" hidden="false" customHeight="false" outlineLevel="0" collapsed="false">
      <c r="A74" s="31" t="n">
        <f aca="false">Parámetros!$C$9</f>
        <v>1</v>
      </c>
      <c r="B74" s="32" t="n">
        <v>72</v>
      </c>
      <c r="C74" s="33" t="n">
        <f aca="false">Parámetros!$C$5</f>
        <v>46203</v>
      </c>
      <c r="D74" s="34" t="str">
        <f aca="false">Parámetros!$C$8</f>
        <v>Ajuste por Conversión</v>
      </c>
      <c r="E74" s="35" t="str">
        <f aca="false">Cálculo!A74</f>
        <v>211012429</v>
      </c>
      <c r="F74" s="36" t="n">
        <v>0</v>
      </c>
      <c r="G74" s="37" t="n">
        <f aca="false">Cálculo!I74</f>
        <v>131.21</v>
      </c>
      <c r="H74" s="34"/>
      <c r="I74" s="34"/>
      <c r="J74" s="34"/>
      <c r="K74" s="34"/>
      <c r="L74" s="34"/>
    </row>
    <row r="75" customFormat="false" ht="15" hidden="false" customHeight="false" outlineLevel="0" collapsed="false">
      <c r="A75" s="31" t="n">
        <f aca="false">Parámetros!$C$9</f>
        <v>1</v>
      </c>
      <c r="B75" s="32" t="n">
        <v>73</v>
      </c>
      <c r="C75" s="33" t="n">
        <f aca="false">Parámetros!$C$5</f>
        <v>46203</v>
      </c>
      <c r="D75" s="34" t="str">
        <f aca="false">Parámetros!$C$8</f>
        <v>Ajuste por Conversión</v>
      </c>
      <c r="E75" s="35" t="str">
        <f aca="false">Cálculo!A75</f>
        <v>211012434</v>
      </c>
      <c r="F75" s="36" t="n">
        <v>0</v>
      </c>
      <c r="G75" s="37" t="n">
        <f aca="false">Cálculo!I75</f>
        <v>1</v>
      </c>
      <c r="H75" s="34"/>
      <c r="I75" s="34"/>
      <c r="J75" s="34"/>
      <c r="K75" s="34"/>
      <c r="L75" s="34"/>
    </row>
    <row r="76" customFormat="false" ht="15" hidden="false" customHeight="false" outlineLevel="0" collapsed="false">
      <c r="A76" s="31" t="n">
        <f aca="false">Parámetros!$C$9</f>
        <v>1</v>
      </c>
      <c r="B76" s="32" t="n">
        <v>74</v>
      </c>
      <c r="C76" s="33" t="n">
        <f aca="false">Parámetros!$C$5</f>
        <v>46203</v>
      </c>
      <c r="D76" s="34" t="str">
        <f aca="false">Parámetros!$C$8</f>
        <v>Ajuste por Conversión</v>
      </c>
      <c r="E76" s="35" t="str">
        <f aca="false">Cálculo!A76</f>
        <v>211012438</v>
      </c>
      <c r="F76" s="36" t="n">
        <v>0</v>
      </c>
      <c r="G76" s="37" t="n">
        <f aca="false">Cálculo!I76</f>
        <v>0.15</v>
      </c>
      <c r="H76" s="34"/>
      <c r="I76" s="34"/>
      <c r="J76" s="34"/>
      <c r="K76" s="34"/>
      <c r="L76" s="34"/>
    </row>
    <row r="77" customFormat="false" ht="15" hidden="false" customHeight="false" outlineLevel="0" collapsed="false">
      <c r="A77" s="31" t="n">
        <f aca="false">Parámetros!$C$9</f>
        <v>1</v>
      </c>
      <c r="B77" s="32" t="n">
        <v>75</v>
      </c>
      <c r="C77" s="33" t="n">
        <f aca="false">Parámetros!$C$5</f>
        <v>46203</v>
      </c>
      <c r="D77" s="34" t="str">
        <f aca="false">Parámetros!$C$8</f>
        <v>Ajuste por Conversión</v>
      </c>
      <c r="E77" s="35" t="str">
        <f aca="false">Cálculo!A77</f>
        <v>211012459</v>
      </c>
      <c r="F77" s="36" t="n">
        <v>0</v>
      </c>
      <c r="G77" s="37" t="n">
        <f aca="false">Cálculo!I77</f>
        <v>-0.28</v>
      </c>
      <c r="H77" s="34"/>
      <c r="I77" s="34"/>
      <c r="J77" s="34"/>
      <c r="K77" s="34"/>
      <c r="L77" s="34"/>
    </row>
    <row r="78" customFormat="false" ht="15" hidden="false" customHeight="false" outlineLevel="0" collapsed="false">
      <c r="A78" s="31" t="n">
        <f aca="false">Parámetros!$C$9</f>
        <v>1</v>
      </c>
      <c r="B78" s="32" t="n">
        <v>76</v>
      </c>
      <c r="C78" s="33" t="n">
        <f aca="false">Parámetros!$C$5</f>
        <v>46203</v>
      </c>
      <c r="D78" s="34" t="str">
        <f aca="false">Parámetros!$C$8</f>
        <v>Ajuste por Conversión</v>
      </c>
      <c r="E78" s="35" t="str">
        <f aca="false">Cálculo!A78</f>
        <v>211012470</v>
      </c>
      <c r="F78" s="36" t="n">
        <v>0</v>
      </c>
      <c r="G78" s="37" t="n">
        <f aca="false">Cálculo!I78</f>
        <v>6.38</v>
      </c>
      <c r="H78" s="34"/>
      <c r="I78" s="34"/>
      <c r="J78" s="34"/>
      <c r="K78" s="34"/>
      <c r="L78" s="34"/>
    </row>
    <row r="79" customFormat="false" ht="15" hidden="false" customHeight="false" outlineLevel="0" collapsed="false">
      <c r="A79" s="31" t="n">
        <f aca="false">Parámetros!$C$9</f>
        <v>1</v>
      </c>
      <c r="B79" s="32" t="n">
        <v>77</v>
      </c>
      <c r="C79" s="33" t="n">
        <f aca="false">Parámetros!$C$5</f>
        <v>46203</v>
      </c>
      <c r="D79" s="34" t="str">
        <f aca="false">Parámetros!$C$8</f>
        <v>Ajuste por Conversión</v>
      </c>
      <c r="E79" s="35" t="str">
        <f aca="false">Cálculo!A79</f>
        <v>211012471</v>
      </c>
      <c r="F79" s="36" t="n">
        <v>0</v>
      </c>
      <c r="G79" s="37" t="n">
        <f aca="false">Cálculo!I79</f>
        <v>0.55</v>
      </c>
      <c r="H79" s="34"/>
      <c r="I79" s="34"/>
      <c r="J79" s="34"/>
      <c r="K79" s="34"/>
      <c r="L79" s="34"/>
    </row>
    <row r="80" customFormat="false" ht="15" hidden="false" customHeight="false" outlineLevel="0" collapsed="false">
      <c r="A80" s="31" t="n">
        <f aca="false">Parámetros!$C$9</f>
        <v>1</v>
      </c>
      <c r="B80" s="32" t="n">
        <v>78</v>
      </c>
      <c r="C80" s="33" t="n">
        <f aca="false">Parámetros!$C$5</f>
        <v>46203</v>
      </c>
      <c r="D80" s="34" t="str">
        <f aca="false">Parámetros!$C$8</f>
        <v>Ajuste por Conversión</v>
      </c>
      <c r="E80" s="35" t="str">
        <f aca="false">Cálculo!A80</f>
        <v>211012472</v>
      </c>
      <c r="F80" s="36" t="n">
        <v>0</v>
      </c>
      <c r="G80" s="37" t="n">
        <f aca="false">Cálculo!I80</f>
        <v>5.09</v>
      </c>
      <c r="H80" s="34"/>
      <c r="I80" s="34"/>
      <c r="J80" s="34"/>
      <c r="K80" s="34"/>
      <c r="L80" s="34"/>
    </row>
    <row r="81" customFormat="false" ht="15" hidden="false" customHeight="false" outlineLevel="0" collapsed="false">
      <c r="A81" s="31" t="n">
        <f aca="false">Parámetros!$C$9</f>
        <v>1</v>
      </c>
      <c r="B81" s="32" t="n">
        <v>79</v>
      </c>
      <c r="C81" s="33" t="n">
        <f aca="false">Parámetros!$C$5</f>
        <v>46203</v>
      </c>
      <c r="D81" s="34" t="str">
        <f aca="false">Parámetros!$C$8</f>
        <v>Ajuste por Conversión</v>
      </c>
      <c r="E81" s="35" t="str">
        <f aca="false">Cálculo!A81</f>
        <v>211012473</v>
      </c>
      <c r="F81" s="36" t="n">
        <v>0</v>
      </c>
      <c r="G81" s="37" t="n">
        <f aca="false">Cálculo!I81</f>
        <v>0.84</v>
      </c>
      <c r="H81" s="34"/>
      <c r="I81" s="34"/>
      <c r="J81" s="34"/>
      <c r="K81" s="34"/>
      <c r="L81" s="34"/>
    </row>
    <row r="82" customFormat="false" ht="15" hidden="false" customHeight="false" outlineLevel="0" collapsed="false">
      <c r="A82" s="31" t="n">
        <f aca="false">Parámetros!$C$9</f>
        <v>1</v>
      </c>
      <c r="B82" s="32" t="n">
        <v>80</v>
      </c>
      <c r="C82" s="33" t="n">
        <f aca="false">Parámetros!$C$5</f>
        <v>46203</v>
      </c>
      <c r="D82" s="34" t="str">
        <f aca="false">Parámetros!$C$8</f>
        <v>Ajuste por Conversión</v>
      </c>
      <c r="E82" s="35" t="str">
        <f aca="false">Cálculo!A82</f>
        <v>211012480</v>
      </c>
      <c r="F82" s="36" t="n">
        <v>0</v>
      </c>
      <c r="G82" s="37" t="n">
        <f aca="false">Cálculo!I82</f>
        <v>-8.27</v>
      </c>
      <c r="H82" s="34"/>
      <c r="I82" s="34"/>
      <c r="J82" s="34"/>
      <c r="K82" s="34"/>
      <c r="L82" s="34"/>
    </row>
    <row r="83" customFormat="false" ht="15" hidden="false" customHeight="false" outlineLevel="0" collapsed="false">
      <c r="A83" s="31" t="n">
        <f aca="false">Parámetros!$C$9</f>
        <v>1</v>
      </c>
      <c r="B83" s="32" t="n">
        <v>81</v>
      </c>
      <c r="C83" s="33" t="n">
        <f aca="false">Parámetros!$C$5</f>
        <v>46203</v>
      </c>
      <c r="D83" s="34" t="str">
        <f aca="false">Parámetros!$C$8</f>
        <v>Ajuste por Conversión</v>
      </c>
      <c r="E83" s="35" t="str">
        <f aca="false">Cálculo!A83</f>
        <v>211012482</v>
      </c>
      <c r="F83" s="36" t="n">
        <v>0</v>
      </c>
      <c r="G83" s="37" t="n">
        <f aca="false">Cálculo!I83</f>
        <v>0.17</v>
      </c>
      <c r="H83" s="34"/>
      <c r="I83" s="34"/>
      <c r="J83" s="34"/>
      <c r="K83" s="34"/>
      <c r="L83" s="34"/>
    </row>
    <row r="84" customFormat="false" ht="15" hidden="false" customHeight="false" outlineLevel="0" collapsed="false">
      <c r="A84" s="31" t="n">
        <f aca="false">Parámetros!$C$9</f>
        <v>1</v>
      </c>
      <c r="B84" s="32" t="n">
        <v>82</v>
      </c>
      <c r="C84" s="33" t="n">
        <f aca="false">Parámetros!$C$5</f>
        <v>46203</v>
      </c>
      <c r="D84" s="34" t="str">
        <f aca="false">Parámetros!$C$8</f>
        <v>Ajuste por Conversión</v>
      </c>
      <c r="E84" s="35" t="str">
        <f aca="false">Cálculo!A84</f>
        <v>211030000</v>
      </c>
      <c r="F84" s="36" t="n">
        <v>0</v>
      </c>
      <c r="G84" s="37" t="n">
        <f aca="false">Cálculo!I84</f>
        <v>0.05</v>
      </c>
      <c r="H84" s="34"/>
      <c r="I84" s="34"/>
      <c r="J84" s="34"/>
      <c r="K84" s="34"/>
      <c r="L84" s="34"/>
    </row>
    <row r="85" customFormat="false" ht="15" hidden="false" customHeight="false" outlineLevel="0" collapsed="false">
      <c r="A85" s="31" t="n">
        <f aca="false">Parámetros!$C$9</f>
        <v>1</v>
      </c>
      <c r="B85" s="32" t="n">
        <v>83</v>
      </c>
      <c r="C85" s="33" t="n">
        <f aca="false">Parámetros!$C$5</f>
        <v>46203</v>
      </c>
      <c r="D85" s="34" t="str">
        <f aca="false">Parámetros!$C$8</f>
        <v>Ajuste por Conversión</v>
      </c>
      <c r="E85" s="35" t="str">
        <f aca="false">Cálculo!A85</f>
        <v>211060000</v>
      </c>
      <c r="F85" s="36" t="n">
        <v>0</v>
      </c>
      <c r="G85" s="37" t="n">
        <f aca="false">Cálculo!I85</f>
        <v>27.39</v>
      </c>
      <c r="H85" s="34"/>
      <c r="I85" s="34"/>
      <c r="J85" s="34"/>
      <c r="K85" s="34"/>
      <c r="L85" s="34"/>
    </row>
    <row r="86" customFormat="false" ht="15" hidden="false" customHeight="false" outlineLevel="0" collapsed="false">
      <c r="A86" s="31" t="n">
        <f aca="false">Parámetros!$C$9</f>
        <v>1</v>
      </c>
      <c r="B86" s="32" t="n">
        <v>84</v>
      </c>
      <c r="C86" s="33" t="n">
        <f aca="false">Parámetros!$C$5</f>
        <v>46203</v>
      </c>
      <c r="D86" s="34" t="str">
        <f aca="false">Parámetros!$C$8</f>
        <v>Ajuste por Conversión</v>
      </c>
      <c r="E86" s="35" t="str">
        <f aca="false">Cálculo!A86</f>
        <v>212010001</v>
      </c>
      <c r="F86" s="36" t="n">
        <v>0</v>
      </c>
      <c r="G86" s="37" t="n">
        <f aca="false">Cálculo!I86</f>
        <v>225.7</v>
      </c>
      <c r="H86" s="34"/>
      <c r="I86" s="34"/>
      <c r="J86" s="34"/>
      <c r="K86" s="34"/>
      <c r="L86" s="34"/>
    </row>
    <row r="87" customFormat="false" ht="15" hidden="false" customHeight="false" outlineLevel="0" collapsed="false">
      <c r="A87" s="31" t="n">
        <f aca="false">Parámetros!$C$9</f>
        <v>1</v>
      </c>
      <c r="B87" s="32" t="n">
        <v>85</v>
      </c>
      <c r="C87" s="33" t="n">
        <f aca="false">Parámetros!$C$5</f>
        <v>46203</v>
      </c>
      <c r="D87" s="34" t="str">
        <f aca="false">Parámetros!$C$8</f>
        <v>Ajuste por Conversión</v>
      </c>
      <c r="E87" s="35" t="str">
        <f aca="false">Cálculo!A87</f>
        <v>212010003</v>
      </c>
      <c r="F87" s="36" t="n">
        <v>0</v>
      </c>
      <c r="G87" s="37" t="n">
        <f aca="false">Cálculo!I87</f>
        <v>1201.64</v>
      </c>
      <c r="H87" s="34"/>
      <c r="I87" s="34"/>
      <c r="J87" s="34"/>
      <c r="K87" s="34"/>
      <c r="L87" s="34"/>
    </row>
    <row r="88" customFormat="false" ht="15" hidden="false" customHeight="false" outlineLevel="0" collapsed="false">
      <c r="A88" s="31" t="n">
        <f aca="false">Parámetros!$C$9</f>
        <v>1</v>
      </c>
      <c r="B88" s="32" t="n">
        <v>86</v>
      </c>
      <c r="C88" s="33" t="n">
        <f aca="false">Parámetros!$C$5</f>
        <v>46203</v>
      </c>
      <c r="D88" s="34" t="str">
        <f aca="false">Parámetros!$C$8</f>
        <v>Ajuste por Conversión</v>
      </c>
      <c r="E88" s="35" t="str">
        <f aca="false">Cálculo!A88</f>
        <v>212020001</v>
      </c>
      <c r="F88" s="36" t="n">
        <v>0</v>
      </c>
      <c r="G88" s="37" t="n">
        <f aca="false">Cálculo!I88</f>
        <v>660.6</v>
      </c>
      <c r="H88" s="34"/>
      <c r="I88" s="34"/>
      <c r="J88" s="34"/>
      <c r="K88" s="34"/>
      <c r="L88" s="34"/>
    </row>
    <row r="89" customFormat="false" ht="15" hidden="false" customHeight="false" outlineLevel="0" collapsed="false">
      <c r="A89" s="31" t="n">
        <f aca="false">Parámetros!$C$9</f>
        <v>1</v>
      </c>
      <c r="B89" s="32" t="n">
        <v>87</v>
      </c>
      <c r="C89" s="33" t="n">
        <f aca="false">Parámetros!$C$5</f>
        <v>46203</v>
      </c>
      <c r="D89" s="34" t="str">
        <f aca="false">Parámetros!$C$8</f>
        <v>Ajuste por Conversión</v>
      </c>
      <c r="E89" s="35" t="str">
        <f aca="false">Cálculo!A89</f>
        <v>213010001</v>
      </c>
      <c r="F89" s="36" t="n">
        <v>0</v>
      </c>
      <c r="G89" s="37" t="n">
        <f aca="false">Cálculo!I89</f>
        <v>6863.48</v>
      </c>
      <c r="H89" s="34"/>
      <c r="I89" s="34"/>
      <c r="J89" s="34"/>
      <c r="K89" s="34"/>
      <c r="L89" s="34"/>
    </row>
    <row r="90" customFormat="false" ht="15" hidden="false" customHeight="false" outlineLevel="0" collapsed="false">
      <c r="A90" s="31" t="n">
        <f aca="false">Parámetros!$C$9</f>
        <v>1</v>
      </c>
      <c r="B90" s="32" t="n">
        <v>88</v>
      </c>
      <c r="C90" s="33" t="n">
        <f aca="false">Parámetros!$C$5</f>
        <v>46203</v>
      </c>
      <c r="D90" s="34" t="str">
        <f aca="false">Parámetros!$C$8</f>
        <v>Ajuste por Conversión</v>
      </c>
      <c r="E90" s="35" t="str">
        <f aca="false">Cálculo!A90</f>
        <v>213010007</v>
      </c>
      <c r="F90" s="36" t="n">
        <v>0</v>
      </c>
      <c r="G90" s="37" t="n">
        <f aca="false">Cálculo!I90</f>
        <v>0.7</v>
      </c>
      <c r="H90" s="34"/>
      <c r="I90" s="34"/>
      <c r="J90" s="34"/>
      <c r="K90" s="34"/>
      <c r="L90" s="34"/>
    </row>
    <row r="91" customFormat="false" ht="15" hidden="false" customHeight="false" outlineLevel="0" collapsed="false">
      <c r="A91" s="31" t="n">
        <f aca="false">Parámetros!$C$9</f>
        <v>1</v>
      </c>
      <c r="B91" s="32" t="n">
        <v>89</v>
      </c>
      <c r="C91" s="33" t="n">
        <f aca="false">Parámetros!$C$5</f>
        <v>46203</v>
      </c>
      <c r="D91" s="34" t="str">
        <f aca="false">Parámetros!$C$8</f>
        <v>Ajuste por Conversión</v>
      </c>
      <c r="E91" s="35" t="str">
        <f aca="false">Cálculo!A91</f>
        <v>423050000</v>
      </c>
      <c r="F91" s="36" t="n">
        <v>0</v>
      </c>
      <c r="G91" s="37" t="n">
        <f aca="false">Cálculo!I91</f>
        <v>58374.9</v>
      </c>
      <c r="H91" s="34"/>
      <c r="I91" s="34"/>
      <c r="J91" s="34"/>
      <c r="K91" s="34"/>
      <c r="L91" s="34"/>
    </row>
    <row r="92" customFormat="false" ht="15" hidden="false" customHeight="false" outlineLevel="0" collapsed="false">
      <c r="F92" s="28" t="s">
        <v>237</v>
      </c>
      <c r="G92" s="29" t="n">
        <f aca="false">ROUND(SUM(G3:G91),2)</f>
        <v>0</v>
      </c>
      <c r="H92" s="12" t="str">
        <f aca="false">IF(ABS(G92)&lt;0.005,"cierra en 0 ✓","ERROR")</f>
        <v>cierra en 0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2026-07-28T17:53:20Z</dcterms:created>
  <dc:creator>openpyxl</dc:creator>
  <dc:description/>
  <dc:language>en-US</dc:language>
  <cp:lastModifiedBy/>
  <dcterms:modified xsi:type="dcterms:W3CDTF">2026-07-28T17:53:20Z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