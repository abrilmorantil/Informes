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2" name="SyS" state="visible" r:id="rId4"/>
    <sheet sheetId="3" name="Sumas y Saldos" state="visible" r:id="rId5"/>
    <sheet sheetId="4" name="Dist.de gastos" state="visible" r:id="rId6"/>
    <sheet sheetId="5" name="Gastos Acumulados" state="visible" r:id="rId7"/>
    <sheet sheetId="6" name="Hoja2" state="hidden" r:id="rId8"/>
    <sheet sheetId="7" name="Naturaleza" state="hidden" r:id="rId9"/>
  </sheets>
  <definedNames>
    <definedName name="_xlnm._FilterDatabase">'Sumas y Saldos'!$A$6:$IV$397</definedName>
    <definedName name="_xlnm.Print_Area" localSheetId="1">'Sumas y Saldos'!$A1:$BQ399</definedName>
    <definedName name="_xlnm.Print_Area" localSheetId="2">'Dist.de gastos'!$C1:$AI104</definedName>
    <definedName name="_xlnm.Print_Area" localSheetId="3">'Gastos Acumulados'!$A1:$F84</definedName>
    <definedName name="_xlnm.Print_Area" localSheetId="5">'Naturaleza'!$B2:$X30</definedName>
  </definedNames>
  <calcPr calcId="171027" fullCalcOnLoad="1"/>
</workbook>
</file>

<file path=xl/sharedStrings.xml><?xml version="1.0" encoding="utf-8"?>
<sst xmlns="http://schemas.openxmlformats.org/spreadsheetml/2006/main" count="1137" uniqueCount="870">
  <si>
    <t>Cuenta - Denominación</t>
  </si>
  <si>
    <t>Clave (CC_Cuenta)</t>
  </si>
  <si>
    <t>1 - Oficina General</t>
  </si>
  <si>
    <t>421030000 - IVA crédito fiscal no computable</t>
  </si>
  <si>
    <t>1_421030000</t>
  </si>
  <si>
    <t>421050000 - Sueldos Adm.</t>
  </si>
  <si>
    <t>1_421050000</t>
  </si>
  <si>
    <t>421060000 - Cargas sociales Adm.</t>
  </si>
  <si>
    <t>1_421060000</t>
  </si>
  <si>
    <t>424500000 - Cargas sociales Campo</t>
  </si>
  <si>
    <t>1_424500000</t>
  </si>
  <si>
    <t>425110000 - Refrigerios Adm Gral.</t>
  </si>
  <si>
    <t>1_425110000</t>
  </si>
  <si>
    <t>425170000 - Mensajeria Adm. Gral.</t>
  </si>
  <si>
    <t>1_425170000</t>
  </si>
  <si>
    <t>425190000 - Honorarios Profesionales Adm. Gral.</t>
  </si>
  <si>
    <t>1_425190000</t>
  </si>
  <si>
    <t>425220000 - Gastos y Comisiones Bancarias Adm. Gral</t>
  </si>
  <si>
    <t>1_425220000</t>
  </si>
  <si>
    <t>425230000 - Imp. a los Débitos y Créditos Bancarios Ad. Gral.</t>
  </si>
  <si>
    <t>1_425230000</t>
  </si>
  <si>
    <t>425250000 - Amortizaciones Adm. Gral.</t>
  </si>
  <si>
    <t>1_425250000</t>
  </si>
  <si>
    <t>425300000 - Gst Varios Oficina Adm. Gral.</t>
  </si>
  <si>
    <t>1_425300000</t>
  </si>
  <si>
    <t>425310000 - Vacaciones Adm Gral.</t>
  </si>
  <si>
    <t>1_425310000</t>
  </si>
  <si>
    <t>425810000 - Tasa Municipal Adm. Gral.</t>
  </si>
  <si>
    <t>1_425810000</t>
  </si>
  <si>
    <t>426100000 - Seguros Gs Campo</t>
  </si>
  <si>
    <t>1_426100000</t>
  </si>
  <si>
    <t>426110000 - Refrigerios Gs Campo</t>
  </si>
  <si>
    <t>1_426110000</t>
  </si>
  <si>
    <t>426360000 - Vacaciones Gs Campo</t>
  </si>
  <si>
    <t>1_426360000</t>
  </si>
  <si>
    <t>433030000 - Honorarios Profesionales Adm. Gral. USD</t>
  </si>
  <si>
    <t>1_433030000</t>
  </si>
  <si>
    <t>2 - Exploración Regional</t>
  </si>
  <si>
    <t>421070000 - Movilidad y viáticos Adm.</t>
  </si>
  <si>
    <t>2_421070000</t>
  </si>
  <si>
    <t>424220000 - Comida</t>
  </si>
  <si>
    <t>2_424220000</t>
  </si>
  <si>
    <t>2_425110000</t>
  </si>
  <si>
    <t>425120000 - Movilidad y Viáticos Adm. Gral.</t>
  </si>
  <si>
    <t>2_425120000</t>
  </si>
  <si>
    <t>425150000 - Alquiler Inmueble Adm. Gral.</t>
  </si>
  <si>
    <t>2_425150000</t>
  </si>
  <si>
    <t>425180000 - Comunicaciones Adm. Gral</t>
  </si>
  <si>
    <t>2_425180000</t>
  </si>
  <si>
    <t>425200000 - Combustible Adm Gral.</t>
  </si>
  <si>
    <t>2_425200000</t>
  </si>
  <si>
    <t>2_425300000</t>
  </si>
  <si>
    <t>425400000 - Servicios Informáticos Adm. Gral.</t>
  </si>
  <si>
    <t>2_425400000</t>
  </si>
  <si>
    <t>425500000 - Servicios Públicos Adm. Gral.</t>
  </si>
  <si>
    <t>2_425500000</t>
  </si>
  <si>
    <t>425600000 - Gst Mantenimiento Adm. Gral.</t>
  </si>
  <si>
    <t>2_425600000</t>
  </si>
  <si>
    <t>425700000 - Alojamiento Adm. Gral.</t>
  </si>
  <si>
    <t>2_425700000</t>
  </si>
  <si>
    <t>2_425810000</t>
  </si>
  <si>
    <t>425920000 - Libreria y papeleria Adm Gral.</t>
  </si>
  <si>
    <t>2_425920000</t>
  </si>
  <si>
    <t>425970000 - Gs Limpieza Adm Gral.</t>
  </si>
  <si>
    <t>2_425970000</t>
  </si>
  <si>
    <t>2_426110000</t>
  </si>
  <si>
    <t>426120000 - Movilidad y Viaticos Gs Campo</t>
  </si>
  <si>
    <t>2_426120000</t>
  </si>
  <si>
    <t>426130000 - Gastos de Limpieza Gs Campo</t>
  </si>
  <si>
    <t>2_426130000</t>
  </si>
  <si>
    <t>426150000 - Servicios Públicos Gs Campo</t>
  </si>
  <si>
    <t>2_426150000</t>
  </si>
  <si>
    <t>426160000 - Comunicaciones Gst Campo</t>
  </si>
  <si>
    <t>2_426160000</t>
  </si>
  <si>
    <t>426190000 - Gst Varios Oficina Gst Campo</t>
  </si>
  <si>
    <t>2_426190000</t>
  </si>
  <si>
    <t>426210000 - Servicios Infórmaticos Gst. Campo</t>
  </si>
  <si>
    <t>2_426210000</t>
  </si>
  <si>
    <t>426220000 - Alquiler Inmueble Gst Campo</t>
  </si>
  <si>
    <t>2_426220000</t>
  </si>
  <si>
    <t>426240000 - Gst de Vehículos Gst de Campo</t>
  </si>
  <si>
    <t>2_426240000</t>
  </si>
  <si>
    <t>426260000 - Alojamiento Gst de Campo</t>
  </si>
  <si>
    <t>2_426260000</t>
  </si>
  <si>
    <t>426280000 - Gst en Personal Gst Campo</t>
  </si>
  <si>
    <t>2_426280000</t>
  </si>
  <si>
    <t>426380000 - Gastos de licitación Gst Campo</t>
  </si>
  <si>
    <t>2_426380000</t>
  </si>
  <si>
    <t>426430000 - Serv. Digitalición Gs Campo</t>
  </si>
  <si>
    <t>2_426430000</t>
  </si>
  <si>
    <t>426470000 - Librería y Papelería Gs Campo</t>
  </si>
  <si>
    <t>2_426470000</t>
  </si>
  <si>
    <t>426500000 - Tasas Ambientales Gastos de Campo</t>
  </si>
  <si>
    <t>2_426500000</t>
  </si>
  <si>
    <t>426580000 - Servicios de construccion Gs de Campo Catam.</t>
  </si>
  <si>
    <t>2_426580000</t>
  </si>
  <si>
    <t>426600000 - Gastos Computacion Gs Campo</t>
  </si>
  <si>
    <t>2_426600000</t>
  </si>
  <si>
    <t>426630000 - Honorarios profesionales Vigencia y Penalidades</t>
  </si>
  <si>
    <t>2_426630000</t>
  </si>
  <si>
    <t>426910000 - Indumentaria de Trabajo Gs campo</t>
  </si>
  <si>
    <t>2_426910000</t>
  </si>
  <si>
    <t>426950000 - Servicio de Topografía Gs de Campo</t>
  </si>
  <si>
    <t>2_426950000</t>
  </si>
  <si>
    <t>433070000 - Gst de Vehículos Gst de Campo USD</t>
  </si>
  <si>
    <t>2_433070000</t>
  </si>
  <si>
    <t>421210000 - Canon Minero - Vigencia y Penalidades</t>
  </si>
  <si>
    <t>2_421210000</t>
  </si>
  <si>
    <t>426200000 - Combustible Gst Campo</t>
  </si>
  <si>
    <t>2_426200000</t>
  </si>
  <si>
    <t>426440000 - Honorarios Profesionales Gs Campo</t>
  </si>
  <si>
    <t>2_426440000</t>
  </si>
  <si>
    <t>426880000 - Tasas Municipales Gs Campo</t>
  </si>
  <si>
    <t>2_426880000</t>
  </si>
  <si>
    <t>433060000 - Servicio de Internet Adm Catamarca.USD</t>
  </si>
  <si>
    <t>2_433060000</t>
  </si>
  <si>
    <t>2_425220000</t>
  </si>
  <si>
    <t>2_425230000</t>
  </si>
  <si>
    <t>426270000 - Gst Varios Campo Gst Campo</t>
  </si>
  <si>
    <t>2_426270000</t>
  </si>
  <si>
    <t>426960000 - Análisis de Muestras Gs de Campo</t>
  </si>
  <si>
    <t>2_426960000</t>
  </si>
  <si>
    <t>13 - Cerro Abanico</t>
  </si>
  <si>
    <t>13_426150000</t>
  </si>
  <si>
    <t>14 - Cerro La Mina</t>
  </si>
  <si>
    <t>14_426150000</t>
  </si>
  <si>
    <t>426800000 - Análisis Geoquimicos - Gtos Laboratorio Gs Campo</t>
  </si>
  <si>
    <t>14_426800000</t>
  </si>
  <si>
    <t>15 - Cañadon del Moro</t>
  </si>
  <si>
    <t>424400000 - Sueldos Campo</t>
  </si>
  <si>
    <t>15_424400000</t>
  </si>
  <si>
    <t>15_424500000</t>
  </si>
  <si>
    <t>15_425150000</t>
  </si>
  <si>
    <t>15_426220000</t>
  </si>
  <si>
    <t>16 - Los Menucos</t>
  </si>
  <si>
    <t>421410000 - Combustible Gs de campo Catamarca</t>
  </si>
  <si>
    <t>16_421410000</t>
  </si>
  <si>
    <t>16_425110000</t>
  </si>
  <si>
    <t>16_426110000</t>
  </si>
  <si>
    <t>16_426190000</t>
  </si>
  <si>
    <t>16_426200000</t>
  </si>
  <si>
    <t>16_426260000</t>
  </si>
  <si>
    <t>426590000 - Alquiler de vehículos Gs Campo</t>
  </si>
  <si>
    <t>16_426590000</t>
  </si>
  <si>
    <t>426970000 - Encomienda Gs Campo</t>
  </si>
  <si>
    <t>16_426970000</t>
  </si>
  <si>
    <t>16_433070000</t>
  </si>
  <si>
    <t>16_426270000</t>
  </si>
  <si>
    <t>17 - Esperanza</t>
  </si>
  <si>
    <t>421490000 - Alquiler Inmueble Gs. de campo Catamarca</t>
  </si>
  <si>
    <t>17_421490000</t>
  </si>
  <si>
    <t>17_424400000</t>
  </si>
  <si>
    <t>424460000 - Gastos de Perforación</t>
  </si>
  <si>
    <t>17_424460000</t>
  </si>
  <si>
    <t>17_424500000</t>
  </si>
  <si>
    <t>17_425110000</t>
  </si>
  <si>
    <t>17_425150000</t>
  </si>
  <si>
    <t>17_425200000</t>
  </si>
  <si>
    <t>17_425920000</t>
  </si>
  <si>
    <t>17_426110000</t>
  </si>
  <si>
    <t>17_426120000</t>
  </si>
  <si>
    <t>17_426130000</t>
  </si>
  <si>
    <t>17_426150000</t>
  </si>
  <si>
    <t>17_426160000</t>
  </si>
  <si>
    <t>17_426200000</t>
  </si>
  <si>
    <t>17_426220000</t>
  </si>
  <si>
    <t>426250000 - Gst de Mantenimiento Gst Campo</t>
  </si>
  <si>
    <t>17_426250000</t>
  </si>
  <si>
    <t>17_426260000</t>
  </si>
  <si>
    <t>17_426270000</t>
  </si>
  <si>
    <t>426350000 - Patentes Gst Campo</t>
  </si>
  <si>
    <t>17_426350000</t>
  </si>
  <si>
    <t>17_426430000</t>
  </si>
  <si>
    <t>17_426440000</t>
  </si>
  <si>
    <t>426450000 - Gs Ferretería Gs Campo</t>
  </si>
  <si>
    <t>17_426450000</t>
  </si>
  <si>
    <t>17_426470000</t>
  </si>
  <si>
    <t>426510000 - Materiales de Campo. Gst de Campo</t>
  </si>
  <si>
    <t>17_426510000</t>
  </si>
  <si>
    <t>17_426960000</t>
  </si>
  <si>
    <t>426990000 - Cuota Societaria Gs de Campo</t>
  </si>
  <si>
    <t>17_426990000</t>
  </si>
  <si>
    <t>429940000 - Análisis de Muestras - E. Perforación</t>
  </si>
  <si>
    <t>17_429940000</t>
  </si>
  <si>
    <t>17_433070000</t>
  </si>
  <si>
    <t>433090000 - Comunicaciones Gastos de campo USD</t>
  </si>
  <si>
    <t>17_433090000</t>
  </si>
  <si>
    <t>17_426190000</t>
  </si>
  <si>
    <t>17_426580000</t>
  </si>
  <si>
    <t>426900000 - Serv. Seguridad e Investigación Gs Campo</t>
  </si>
  <si>
    <t>17_426900000</t>
  </si>
  <si>
    <t>427120000 - Refrigerios Rel. comunitarias</t>
  </si>
  <si>
    <t>17_427120000</t>
  </si>
  <si>
    <t>19 - Proyecto Lonco Vaca- Palenque</t>
  </si>
  <si>
    <t>19_426800000</t>
  </si>
  <si>
    <t>23 - Gastos Generales</t>
  </si>
  <si>
    <t>23_426110000</t>
  </si>
  <si>
    <t>23_426200000</t>
  </si>
  <si>
    <t>23_426250000</t>
  </si>
  <si>
    <t>23_426260000</t>
  </si>
  <si>
    <t>23_426450000</t>
  </si>
  <si>
    <t>23_426470000</t>
  </si>
  <si>
    <t>426490000 - Remediación Ambiental Gs de Campo</t>
  </si>
  <si>
    <t>23_426490000</t>
  </si>
  <si>
    <t>23_426970000</t>
  </si>
  <si>
    <t>23_433070000</t>
  </si>
  <si>
    <t>433110000 - Gastos bancarios Adm general (u$s)</t>
  </si>
  <si>
    <t>1_433110000</t>
  </si>
  <si>
    <t>SOUTHERN COPPER ARGENTINA S.R.L.</t>
  </si>
  <si>
    <t>En Dólares</t>
  </si>
  <si>
    <t>OFICINA GENERAL</t>
  </si>
  <si>
    <t>EXPLORACIÓN REGIONAL</t>
  </si>
  <si>
    <t>TANQUE NEGRO</t>
  </si>
  <si>
    <t xml:space="preserve">SAMENTA </t>
  </si>
  <si>
    <t xml:space="preserve">CERRO LA MINA </t>
  </si>
  <si>
    <t>CAÑADON DEL MORO</t>
  </si>
  <si>
    <t>LOS MENUCOS</t>
  </si>
  <si>
    <t>CERRO ABANICO</t>
  </si>
  <si>
    <t>CENTRO ESPERANZA</t>
  </si>
  <si>
    <t>PROYECTO LOS MORTERITOS</t>
  </si>
  <si>
    <t>LONCO VACA - PELENQUE</t>
  </si>
  <si>
    <t>PROYECTO SOL</t>
  </si>
  <si>
    <t>GASTOS GENERALES</t>
  </si>
  <si>
    <t>TRES CONOS</t>
  </si>
  <si>
    <t>LA CHILENA</t>
  </si>
  <si>
    <t>SOL</t>
  </si>
  <si>
    <t>LOS MORTERITOS</t>
  </si>
  <si>
    <t xml:space="preserve">LAS SANTAS </t>
  </si>
  <si>
    <t>SHEYLA</t>
  </si>
  <si>
    <t>SHEYLA I</t>
  </si>
  <si>
    <t>LA HOYADA</t>
  </si>
  <si>
    <t>REGIONAL CATAMARCA</t>
  </si>
  <si>
    <t>TOTALES</t>
  </si>
  <si>
    <t>DEBE</t>
  </si>
  <si>
    <t>HABER</t>
  </si>
  <si>
    <t>SALDO</t>
  </si>
  <si>
    <t xml:space="preserve">HABER </t>
  </si>
  <si>
    <t>SALDOS</t>
  </si>
  <si>
    <t>RESULTADOS</t>
  </si>
  <si>
    <t>INGRESOS</t>
  </si>
  <si>
    <t>VENTAS</t>
  </si>
  <si>
    <t>OTROS INGRESOS</t>
  </si>
  <si>
    <t>Envío muestras Chile</t>
  </si>
  <si>
    <t>Baja bien de uso</t>
  </si>
  <si>
    <t>EGRESOS</t>
  </si>
  <si>
    <t>GASTOS DE COMERCIALIZACION</t>
  </si>
  <si>
    <t>Honorarios legales</t>
  </si>
  <si>
    <t>Honorarios profesionales</t>
  </si>
  <si>
    <t>Iva credito fiscal no computable</t>
  </si>
  <si>
    <t>Alquileres</t>
  </si>
  <si>
    <t>Sueldos Adm</t>
  </si>
  <si>
    <t>Cargas sociales Adm</t>
  </si>
  <si>
    <t>Movilidad y Viaticos Adm</t>
  </si>
  <si>
    <t>Servicios de construccion Rel. Comunit. Catamarca</t>
  </si>
  <si>
    <t>Combustible</t>
  </si>
  <si>
    <t>Eventos</t>
  </si>
  <si>
    <t>Alquiler de Equi. De Campo</t>
  </si>
  <si>
    <t>GS. LIMPIEZA</t>
  </si>
  <si>
    <t>Tasas Retributivas Minería</t>
  </si>
  <si>
    <t>Gastos Legales</t>
  </si>
  <si>
    <t>GASTOS DE ADMINISTRACION</t>
  </si>
  <si>
    <t>Imp. Bienes, Acc. y Part. Soc.</t>
  </si>
  <si>
    <t>Certificaciones</t>
  </si>
  <si>
    <t>Depreciaciones</t>
  </si>
  <si>
    <t>Sellados</t>
  </si>
  <si>
    <t>Seguridad</t>
  </si>
  <si>
    <t>Gastos Varios Campo</t>
  </si>
  <si>
    <t>Gastos de computacion</t>
  </si>
  <si>
    <t>REGALOS AL PERSONAL</t>
  </si>
  <si>
    <t>Patentes</t>
  </si>
  <si>
    <t>Gastos en tramites</t>
  </si>
  <si>
    <t>Gastos varios Oficina</t>
  </si>
  <si>
    <t>Inspecciones</t>
  </si>
  <si>
    <t>Mantenimiento Software</t>
  </si>
  <si>
    <t xml:space="preserve">Gratificaciones </t>
  </si>
  <si>
    <t>Publicaciones</t>
  </si>
  <si>
    <t>Donaciones</t>
  </si>
  <si>
    <t>MATERIALES DE CAMPO</t>
  </si>
  <si>
    <t>Alquileres Varios</t>
  </si>
  <si>
    <t>Gastos Médicos</t>
  </si>
  <si>
    <t>Mensajeria</t>
  </si>
  <si>
    <t>GASTOS DE FINANCIACION</t>
  </si>
  <si>
    <t>Gastos y comisiones bancarias</t>
  </si>
  <si>
    <t>Imp. L. 25413 s/debitos</t>
  </si>
  <si>
    <t>Impuesto 25413 No Computable Adm General (u$s)</t>
  </si>
  <si>
    <t>Imp. L. 25413 s/créditos</t>
  </si>
  <si>
    <t>INTERESES</t>
  </si>
  <si>
    <t>Diferencia de Cambio</t>
  </si>
  <si>
    <t>Aranceles Aduaneros</t>
  </si>
  <si>
    <t>Tasa Municipal Neuquén</t>
  </si>
  <si>
    <t>Multas</t>
  </si>
  <si>
    <t>II.BB. No Computable</t>
  </si>
  <si>
    <t>Impuestos Varios</t>
  </si>
  <si>
    <t>GASTOS DE EXPLORACION</t>
  </si>
  <si>
    <t>MATRICULAS</t>
  </si>
  <si>
    <t>GS.EN PERSONAL</t>
  </si>
  <si>
    <t>ALQUILER DE VEHICULOS</t>
  </si>
  <si>
    <t>CANON</t>
  </si>
  <si>
    <t>GS EXPLORACION</t>
  </si>
  <si>
    <t>CONVENIO DE CESIÓN</t>
  </si>
  <si>
    <t>ACUERDO DE INVERSIONES</t>
  </si>
  <si>
    <t>GASTOS TOPOGRAFICOS</t>
  </si>
  <si>
    <t>SERVICIOS GEOFISICOS</t>
  </si>
  <si>
    <t>MOVILIDAD Y VIATICOS Campo</t>
  </si>
  <si>
    <t>ALOJAMIENTO</t>
  </si>
  <si>
    <t>COMIDA</t>
  </si>
  <si>
    <t>PEAJES</t>
  </si>
  <si>
    <t>TRASLADOS</t>
  </si>
  <si>
    <t>COMUNICACIONES</t>
  </si>
  <si>
    <t>Comunicaciones Gst Campo</t>
  </si>
  <si>
    <t>COMBUSTIBLE</t>
  </si>
  <si>
    <t>ADQUISICIÓN INFORMACIÓN GEOLOGICA</t>
  </si>
  <si>
    <t>GS.CAPACITACION</t>
  </si>
  <si>
    <t>GS.SUSCRIPCION EDITORIAL</t>
  </si>
  <si>
    <t>ALQUILERES INMUEBLES</t>
  </si>
  <si>
    <t>ANALISIS MUESTRAS</t>
  </si>
  <si>
    <t>REPARACIONES</t>
  </si>
  <si>
    <t>GS. IMPORTACIÓN</t>
  </si>
  <si>
    <t>HABILITACIÓN COMERCIAL</t>
  </si>
  <si>
    <t>INFORMES AMBIENTALES</t>
  </si>
  <si>
    <t>ESTACIONAMIENTO</t>
  </si>
  <si>
    <t>CUOTA SOCIETARIA-CAMARA DE MINERIA</t>
  </si>
  <si>
    <t>INDUMENTARIA</t>
  </si>
  <si>
    <t>GASTOS CAMPAMENTO</t>
  </si>
  <si>
    <t>SUELDOS Campos</t>
  </si>
  <si>
    <t>ALQUILER DE MAQUINARIA</t>
  </si>
  <si>
    <t>CATERING</t>
  </si>
  <si>
    <t>FERRETERÍA</t>
  </si>
  <si>
    <t>GASTOS DE PERFORACIÓN</t>
  </si>
  <si>
    <t>CARGAS SOCIALES CAMPO</t>
  </si>
  <si>
    <t>LIBRERIA Y PAPELERIA</t>
  </si>
  <si>
    <t>SERVICIOS</t>
  </si>
  <si>
    <t>DERECHOS DE EXPLORACION</t>
  </si>
  <si>
    <t>FOTOCOPIAS</t>
  </si>
  <si>
    <t>GASTOS DE CONSTRUCCIÓN</t>
  </si>
  <si>
    <t>GS MANTENIMIENTO</t>
  </si>
  <si>
    <t>GS VARIOS</t>
  </si>
  <si>
    <t>TASAS</t>
  </si>
  <si>
    <t>GASTOS DE REPRESENTACION</t>
  </si>
  <si>
    <t>GASTOS VEHICULOS</t>
  </si>
  <si>
    <t>COMISIONES</t>
  </si>
  <si>
    <t>EXPENSAS</t>
  </si>
  <si>
    <t>GS RELAC ALQUILER</t>
  </si>
  <si>
    <t>OBRA SOCIAL</t>
  </si>
  <si>
    <t>SEGUROS</t>
  </si>
  <si>
    <t>ROBO</t>
  </si>
  <si>
    <t>PERDIDA DE MATERIALES</t>
  </si>
  <si>
    <t>Recupero de Gastos</t>
  </si>
  <si>
    <t>CONSUMOS NO REEMBOLSABLES</t>
  </si>
  <si>
    <t>TASAS AMBIENTALES</t>
  </si>
  <si>
    <t>GASTOS DE ESPECTROMETRÍA</t>
  </si>
  <si>
    <t>REMEDIACIÓN AMBIENTAL</t>
  </si>
  <si>
    <t>I - R AMBIENTAL</t>
  </si>
  <si>
    <t>TASAS AMBIENTALES I- R. AMBIENTAL</t>
  </si>
  <si>
    <t>Remediación Ambiental I- R. Ambiental</t>
  </si>
  <si>
    <t>Gastos Ferretería I -R.Ambiental</t>
  </si>
  <si>
    <t>Análisis Muestras -R. Ambiental</t>
  </si>
  <si>
    <t>Análisis Muestras I - R. Ambiental Catamarca</t>
  </si>
  <si>
    <t>Gs en personal R- Ambiental</t>
  </si>
  <si>
    <t>Honorarios profesionales - Remediación ambiental</t>
  </si>
  <si>
    <t>ADMINISTRACION GENERAL</t>
  </si>
  <si>
    <t xml:space="preserve">REFRIGERIOS ADM. GRAL. </t>
  </si>
  <si>
    <t>MOVILIDAD Y VIATICOS ADM GENERAL</t>
  </si>
  <si>
    <t>EXPENSAS DEPTO GEOLOGOS ADM GRAL</t>
  </si>
  <si>
    <t xml:space="preserve">INTERESES RESARCITORIOS ADM. GRAL. </t>
  </si>
  <si>
    <t xml:space="preserve">ALQUILER INMUEBLE ADM. GRAL. </t>
  </si>
  <si>
    <t xml:space="preserve">CUOTA SOCIETARIA MINERA ADM. GRAL. </t>
  </si>
  <si>
    <t xml:space="preserve">MENSAJERIA ADM. GRAL. </t>
  </si>
  <si>
    <t xml:space="preserve">COMUNICACIONES ADM. GRAL. </t>
  </si>
  <si>
    <t>Comunicaciones Adm. Gral USD</t>
  </si>
  <si>
    <t>HONORARIOS PROFESIONALES ADM. GRAL</t>
  </si>
  <si>
    <t>Honorarios Profesionales Adm. Gral. USD</t>
  </si>
  <si>
    <t xml:space="preserve">COMBUSTIBLE ADM. GRAL. </t>
  </si>
  <si>
    <t>GST. DE CAPACITACIÓN ADM. GRAL</t>
  </si>
  <si>
    <t>Gastos bancarios Adm general (u$s)</t>
  </si>
  <si>
    <t xml:space="preserve">GASTOS Y COMISIONES BANCARIAS ADM. GRAL. </t>
  </si>
  <si>
    <t xml:space="preserve">IMP.A LOS DÉBITOS Y CRÉDITOS BANCARIOS ADM. GRAL. </t>
  </si>
  <si>
    <t xml:space="preserve">SEGUROS ADM. GRAL. </t>
  </si>
  <si>
    <t xml:space="preserve">AMORTIZACIONES ADM. GRAL. </t>
  </si>
  <si>
    <t>GASTOS VARIOS OFICINA ADM. GRAL</t>
  </si>
  <si>
    <t>Gastos Varios de Adm Gral USD</t>
  </si>
  <si>
    <t>SERVICIOS INFORMÁTICOS ADM GRAL</t>
  </si>
  <si>
    <t>SERVICIOS PUBLICOS ADM GRAL</t>
  </si>
  <si>
    <t>GST. MANTENIMIENTO ADM GRAL.</t>
  </si>
  <si>
    <t>TASAS RETRIBUTIVAS MINERÍA ADM GRAL.</t>
  </si>
  <si>
    <t xml:space="preserve">Servicios Notariales Administracion Gral. </t>
  </si>
  <si>
    <t>ALOJAMIENTO ADM. GRAL</t>
  </si>
  <si>
    <t>SERV. CADETERÍA ADM GRAL</t>
  </si>
  <si>
    <t xml:space="preserve">GS. EN PERSONAL ADM GRAL </t>
  </si>
  <si>
    <t xml:space="preserve">PUBLICIDAD ADM GRAL </t>
  </si>
  <si>
    <t>LIBRERIA Y PAPELERIA ADM GRAL</t>
  </si>
  <si>
    <t>OBRA SOCIAL ADICIONAL ADM GRAL</t>
  </si>
  <si>
    <t>HONORARIOS LEGALES ADM. GRAL</t>
  </si>
  <si>
    <t>SEGURIDAD ADM. GRAL</t>
  </si>
  <si>
    <t>GS. LIMPIEZA ADM. GRAL</t>
  </si>
  <si>
    <t>GST. VEHICULOS ADM GRAL</t>
  </si>
  <si>
    <t>TASA MUNICIPAL ADM GRAL.</t>
  </si>
  <si>
    <t>SELLADOS ADM GRAL.</t>
  </si>
  <si>
    <t>IMPUESTOS VARIOS ADM GRAL.</t>
  </si>
  <si>
    <t xml:space="preserve"> PUBLICACIONES Adm Gral</t>
  </si>
  <si>
    <t>GS COMPUTACIÓN ADM GRAL.</t>
  </si>
  <si>
    <t>VACACIONES ADM GRAL.</t>
  </si>
  <si>
    <t>CATASTRO MINERO ADM GRAL.</t>
  </si>
  <si>
    <t>ENCOMIENDA ADM GRAL.</t>
  </si>
  <si>
    <t>Intereses Adm. Gral.</t>
  </si>
  <si>
    <t>Tasas Ambientales – Adm. General</t>
  </si>
  <si>
    <t>Impuestos País - Adm Gral.</t>
  </si>
  <si>
    <t>Refrigerios - Adm Catamarca</t>
  </si>
  <si>
    <t>Servicios Públicos - Adm Catamarca</t>
  </si>
  <si>
    <t>Seguridad - Adm Catamarca</t>
  </si>
  <si>
    <t>Seguridad e Higiene Adm Gral Catamarca</t>
  </si>
  <si>
    <t>Comunicaciones - Adm Catamarca</t>
  </si>
  <si>
    <t>Servicios Informaticos - Adm Catamarca</t>
  </si>
  <si>
    <t>Ferreteria - Adm Catamarca</t>
  </si>
  <si>
    <t>Gastos varios oficina - Adm Catamarca</t>
  </si>
  <si>
    <t>Gastos en personal - Adm Catamarca</t>
  </si>
  <si>
    <t>Honorarios Profesionales - Adm Catamarca</t>
  </si>
  <si>
    <t>Alquiler inmueble - Adm Catamarca</t>
  </si>
  <si>
    <t>Gastos de limpieza - Adm Catamarca</t>
  </si>
  <si>
    <t>Honorarios legales  Adm Catamarca</t>
  </si>
  <si>
    <t>Movilidad y Viáticos Adm Catamarca</t>
  </si>
  <si>
    <t>Remediación Ambiental Adm General</t>
  </si>
  <si>
    <t>Libreria y papeleria Adm catamarca</t>
  </si>
  <si>
    <t>Canon Minero - Adm Catamarca</t>
  </si>
  <si>
    <t xml:space="preserve"> Gastos de vehiculos Adm Catamarca</t>
  </si>
  <si>
    <t xml:space="preserve"> Gs Computación - Adm Catamarca</t>
  </si>
  <si>
    <t>Alojamiento Adm gral Catamarca</t>
  </si>
  <si>
    <t>Servicio de Internet Adm Catamarca</t>
  </si>
  <si>
    <t>Encomienda Adm Catamarca</t>
  </si>
  <si>
    <t>Alquileres varios - Adm Catamarca</t>
  </si>
  <si>
    <t>Mantenimiento Adm. Gral Catamarca</t>
  </si>
  <si>
    <t>Combustible Adm. Gral Catamarca</t>
  </si>
  <si>
    <t>Indumentaria de Trabajo Adm. Catamarca</t>
  </si>
  <si>
    <t>Tasa Municipal Adm Catamarca</t>
  </si>
  <si>
    <t>Servicio de Internet Adm Catamarca.USD</t>
  </si>
  <si>
    <t>Intereses - Adm. Catamarca</t>
  </si>
  <si>
    <t>Imp. Bienes, Acc. y Part. Soc. – Adm. General</t>
  </si>
  <si>
    <t>Intereses resarcitorios Adm Gral Catamarca</t>
  </si>
  <si>
    <t>GASTOS CAMPO</t>
  </si>
  <si>
    <t>REFRIGERIOS GST. CAMPO</t>
  </si>
  <si>
    <t>MOVILIDAD Y VIATICOS GST. CAMPO</t>
  </si>
  <si>
    <t>EXPENSAS DEPTO GEOLOGOS GST CAMPO</t>
  </si>
  <si>
    <t>SERVICIOS PUBLICOS GST. CAMPO</t>
  </si>
  <si>
    <t>Servicio de Internet USD</t>
  </si>
  <si>
    <t>ALQUILER COCHERAS GST. CAMPO</t>
  </si>
  <si>
    <t>GST CAMPAMENTO GST CAMPO</t>
  </si>
  <si>
    <t>GST VARIOS OFICINA GST CAMPO</t>
  </si>
  <si>
    <t>COMBUSTIBLE GST CAMPO</t>
  </si>
  <si>
    <t>SERVICIOS INFORMATICOS GST. CAMPO</t>
  </si>
  <si>
    <t>ALQUILER INMUEBLE GST CAMPO</t>
  </si>
  <si>
    <t>MENSAJERIA GST CAMPO</t>
  </si>
  <si>
    <t>GASTOS DE LIMPIEZA Gs CAMPO</t>
  </si>
  <si>
    <t>GST DE VEHICULOS GST. CAMPO</t>
  </si>
  <si>
    <t>GST. MANTENIMIENTO GST CAMPO</t>
  </si>
  <si>
    <t>ALOJAMIENTO GST. CAMPO</t>
  </si>
  <si>
    <t>GST VARIOS CAMPO GST. CAMPO</t>
  </si>
  <si>
    <t>GST EN PERSONAL GST. CAMPO</t>
  </si>
  <si>
    <t>CONVENIO DE ACCESO GST CAMPO</t>
  </si>
  <si>
    <t>ALQUILERES VARIOS GST CAMPO</t>
  </si>
  <si>
    <t xml:space="preserve"> CANON GST CAMPO</t>
  </si>
  <si>
    <t>CATASTRO MINERO GS CAMPO</t>
  </si>
  <si>
    <t xml:space="preserve"> INSUMOS DE CAMPO GST CAMPO</t>
  </si>
  <si>
    <t>Gastos de licitación Gst Campo</t>
  </si>
  <si>
    <t>SELLADOS GST CAMPO</t>
  </si>
  <si>
    <t>SERV. DE DIGITALIZACIÓN GST CAMPO</t>
  </si>
  <si>
    <t>HONORARIOS PROFESIONALES GST CAMPO</t>
  </si>
  <si>
    <t>GS FERRETERÍA GST CAMPO</t>
  </si>
  <si>
    <t>TRASLADOS GS CAMPO</t>
  </si>
  <si>
    <t>LIBRERÍA Y PAPELERÍA GST CAMPO</t>
  </si>
  <si>
    <t>GS Y COMISIONES BANCARIAS GS CAMPO</t>
  </si>
  <si>
    <t>ADQUISICION INF GEOLOGICA GS. CAMPO</t>
  </si>
  <si>
    <t>REMEDIACION AMBIENTAL GS CAMPO</t>
  </si>
  <si>
    <t>TASAS AMBIENTALES GS CAMPO</t>
  </si>
  <si>
    <t>ALQUILER DE VEHICULOS GS DE CAMPO</t>
  </si>
  <si>
    <t>GASTOS COMPUTACION GS CAMPO</t>
  </si>
  <si>
    <t>IMPUESTO VARIOS GS CAMPO</t>
  </si>
  <si>
    <t xml:space="preserve"> SEGUROS GS CAMPO</t>
  </si>
  <si>
    <t>ANÁLISIS GEOQUIMICOS - GTOS LABORATORIO GS CAMPO</t>
  </si>
  <si>
    <t>SERV. SEGURIDAD E INVESTIGACIÓN GS CAMPO</t>
  </si>
  <si>
    <t>MATERIALES DE CAMPO GST CAMPO</t>
  </si>
  <si>
    <t>ALQUILER EQUIPOS GST CAMPO</t>
  </si>
  <si>
    <t>GST DE CAPACITACIÓN GST CAMPO</t>
  </si>
  <si>
    <t>GASTOS EXPLORACIÓN GST.CAMPO</t>
  </si>
  <si>
    <t>PATENTES GST. CAMPO</t>
  </si>
  <si>
    <t xml:space="preserve"> Expensas Gs Campo</t>
  </si>
  <si>
    <t>INDUMENTARIA DE TRABAJO GS CAMPO</t>
  </si>
  <si>
    <t>INTERESES GST CAMPO</t>
  </si>
  <si>
    <t>INFORMES AMBIENTALES GST CAMPO</t>
  </si>
  <si>
    <t>TASAS RETRIBUTIVAS MINERÍA GST CAMPO</t>
  </si>
  <si>
    <t>VACACIONES GST CAMPO</t>
  </si>
  <si>
    <t>ANÁLISIS MUESTRAS GS CAMPO</t>
  </si>
  <si>
    <t>Encomienda Gs Campo</t>
  </si>
  <si>
    <t>Donaciones Gs de Campo</t>
  </si>
  <si>
    <t>Obra social Adicional Gst de campo</t>
  </si>
  <si>
    <t>Cuota Societaria Gs de Campo</t>
  </si>
  <si>
    <t xml:space="preserve">Impuesto Pais - Gs Campo </t>
  </si>
  <si>
    <t>Impuestos no computables - Gs de campo</t>
  </si>
  <si>
    <t>Movilidad y viáticos Adm.</t>
  </si>
  <si>
    <t>Refrigerios Gs campo Catamarca</t>
  </si>
  <si>
    <t>Alojamiento Gs de campo Catamarca</t>
  </si>
  <si>
    <t>Gtos en personal Gs. de campo Catamarca</t>
  </si>
  <si>
    <t>Combustible Gs de campo Catamarca</t>
  </si>
  <si>
    <t>Alquiler Inmueble Gs. de campo Catamarca</t>
  </si>
  <si>
    <t>Gastos Varios Gs de Campo Catamarca</t>
  </si>
  <si>
    <t>Comunicaciones Gs Campo Catamarca</t>
  </si>
  <si>
    <t>Servicio de transporte Gs Campo Catamarca</t>
  </si>
  <si>
    <t>Gs de Campamento Gs de Campo Catamarca</t>
  </si>
  <si>
    <t>Indumentaria de Trabajo Gastos de campo Catamarca</t>
  </si>
  <si>
    <t>Libreria y Papeleria Gs Campo Catamarca</t>
  </si>
  <si>
    <t>Gs Varios Oficina Gs Campo Catamarca</t>
  </si>
  <si>
    <t>Monitoreo de suelos y aguas - Gs de Campo Cat.</t>
  </si>
  <si>
    <t>Gasto de representación Gs. Campo</t>
  </si>
  <si>
    <t>Gastos de limpieza Gts campo Catam</t>
  </si>
  <si>
    <t>Servicios de construccion Gs de Campo Catam.</t>
  </si>
  <si>
    <t>Honorarios Profesionales Gs Campo Catamarca</t>
  </si>
  <si>
    <t>Adquisición de Inform. Geologica Gs de campo Cat</t>
  </si>
  <si>
    <t>Seguridad Gs Campo Catamarca</t>
  </si>
  <si>
    <t>Movilidad y viáticos Gs Campo Catamarca</t>
  </si>
  <si>
    <t>Adquisición de inform. Geofísica Gs Campo Cat</t>
  </si>
  <si>
    <t>Informes Ambientales Gs Campo Cat</t>
  </si>
  <si>
    <t>Servicio de Topografia Gs Campo Catamarca</t>
  </si>
  <si>
    <t>Mensajeria Gs Campo Catamarca</t>
  </si>
  <si>
    <t>Gastos vehiculos Gs Campo Catamarca</t>
  </si>
  <si>
    <t>Gst de Vehículos Gst de Campo USD</t>
  </si>
  <si>
    <t>Servicios de Cartografia Gs de campo Catamarca</t>
  </si>
  <si>
    <t>Insumos para muestras Gs Campo Catamarca</t>
  </si>
  <si>
    <t>Análisis de muestras Gs de Campo Catamarca</t>
  </si>
  <si>
    <t>Impuestos no computables Gs Campo Catamarca</t>
  </si>
  <si>
    <t>Alquiler de vehiculos - Gs Campo Catamarca</t>
  </si>
  <si>
    <t>Capacitaciones Gs Campo Catamarca</t>
  </si>
  <si>
    <t>Alquiler Maquinaria Gs Campo Catamarca</t>
  </si>
  <si>
    <t>Gst de Mantenimiento Gst Campo Catamarca</t>
  </si>
  <si>
    <t>Informes de evaluación económica Gs Campo</t>
  </si>
  <si>
    <t>Ferretería Gs Campo Catamarca</t>
  </si>
  <si>
    <t>Donaciones Gs de Campo Catamarca</t>
  </si>
  <si>
    <t>Servicios publicos Gs. Campo Catamarca</t>
  </si>
  <si>
    <t xml:space="preserve"> Recupero de Seguros</t>
  </si>
  <si>
    <t>Patentes Gasto Campo Catamarca</t>
  </si>
  <si>
    <t>Intereses Gs Campo Catamarca</t>
  </si>
  <si>
    <t>Adquisición de inform. Geofísica Gs Campo</t>
  </si>
  <si>
    <t>Comunicaciones Gastos de campo USD</t>
  </si>
  <si>
    <t>Servicio de Topografía Gs de Campo</t>
  </si>
  <si>
    <t>Tasas Municipales Gs Campo</t>
  </si>
  <si>
    <t>RELACIONES COMUNITARIAS</t>
  </si>
  <si>
    <t>MOVILIDAD Y VIATICOS REL. COMUNITARIAS</t>
  </si>
  <si>
    <t>REFRIGERIOS REL. COMUNITARIAS</t>
  </si>
  <si>
    <t xml:space="preserve">GASTOS DE LIMPIEZA REL. COMUNITARIAS </t>
  </si>
  <si>
    <t>ALQUILER VEHICULOS REL. COMUNITARIAS</t>
  </si>
  <si>
    <t>GASTOS Y COMISIONES BANCARIAS REL. COMUNITARIAS</t>
  </si>
  <si>
    <t>COMBUSTIBLE REL. COMUNITARIAS</t>
  </si>
  <si>
    <t>GST. FERRETERIA REL. COMUNITARIAS</t>
  </si>
  <si>
    <t>CONVENIO DE ACCESO REL. COMUNITARIAS</t>
  </si>
  <si>
    <t xml:space="preserve">ALQUILERES VARIOS REL. COMUNITARIAS </t>
  </si>
  <si>
    <t>ALOJAMIENTO REL.COMUNITARIAS</t>
  </si>
  <si>
    <t>GASTOS EN PERSONAL REL. COMUNITARIAS</t>
  </si>
  <si>
    <t>PATENTES REL. COMUNITARIAS</t>
  </si>
  <si>
    <t>Comunicaciones Rel. Comunitarias</t>
  </si>
  <si>
    <t>Gastos de vehiculos  Rel. Comunitarias</t>
  </si>
  <si>
    <t>Gastos Varios Rel. Comunitarias</t>
  </si>
  <si>
    <t>Alojamiento Rel. Comunitarias Catamarca</t>
  </si>
  <si>
    <t>Movilidad y viáticos Rel. Comunitarias Catamarca</t>
  </si>
  <si>
    <t>Servicios movimiento de suelos -Rel.Comunit. Catamarca</t>
  </si>
  <si>
    <t>Refrigerios Rel. comunitarias Catamarca</t>
  </si>
  <si>
    <t>Gastos Varios Rel. Comunitarias Catamarca</t>
  </si>
  <si>
    <t>Gs Computación - Rel. Comunitarias Catamarca</t>
  </si>
  <si>
    <t>Libreria - Rel. Comunitarias Catamarca</t>
  </si>
  <si>
    <t>Gs. en Personal Rel. Comunitarias Catamarca</t>
  </si>
  <si>
    <t>Gastos en calefacción Rel. Comunitarias</t>
  </si>
  <si>
    <t>Libreria y papeleria  Rel. Comunitarias</t>
  </si>
  <si>
    <t>Gs representación Rel. comunitarias</t>
  </si>
  <si>
    <t>Alquiler maquinaria limpieza Rel. Comun. Catamarca</t>
  </si>
  <si>
    <t>Materiales de construccion Rel. Comunit. Catam</t>
  </si>
  <si>
    <t>Honorarios Profesionales - Rel. Comunitarias</t>
  </si>
  <si>
    <t xml:space="preserve">Gastos de oficina - Relaciones Comun. </t>
  </si>
  <si>
    <t xml:space="preserve"> Comunicaciones Rel. comunitarias Catamarca</t>
  </si>
  <si>
    <t>Alquiler Inmueble Rel. Comun. Catamarca</t>
  </si>
  <si>
    <t>Servicio Notarial Rel Comunitaria Catamarca</t>
  </si>
  <si>
    <t>Honorarios profesionales Rel Comunitaria Catamarca</t>
  </si>
  <si>
    <t>Gst Vehículos Rel. comunitarias Catamarca</t>
  </si>
  <si>
    <t>Donaciones Rel. comunitarias Catamarca</t>
  </si>
  <si>
    <t>Encomienda Rel. Com. Catamarca</t>
  </si>
  <si>
    <t>Combustibles Rel. Comunitarias Catamarca</t>
  </si>
  <si>
    <t>Impuestos no computables Rel. Comunitarias</t>
  </si>
  <si>
    <t>Impuestos no computables Rel. Comunitarias Catamarca</t>
  </si>
  <si>
    <t>Gastos y comisiones bancarias Rel. comunitarias Catamarca</t>
  </si>
  <si>
    <t xml:space="preserve">MUESTREO GEOFISICO SUPERF. </t>
  </si>
  <si>
    <t>GASTOS VARIOS CAMPO MUESTREO GEOF. SUP</t>
  </si>
  <si>
    <t xml:space="preserve">MENSJAERIA MUESTREO GEOF. SUP. </t>
  </si>
  <si>
    <t>Análisis de Muestras Muestreo Geof. Sup.</t>
  </si>
  <si>
    <t>Mensajeria Muestreo Geof. Sup. Catamarca</t>
  </si>
  <si>
    <t>PERFORACIÓN</t>
  </si>
  <si>
    <t>LIBRERÍA Y PAPELERÍA E. PERFORACIÓN</t>
  </si>
  <si>
    <t>GASTOS EN PERSONAL E. PERFORACIÓN</t>
  </si>
  <si>
    <t>SERVICIO DE PERFORACIÓN E. PERFORACIÓN</t>
  </si>
  <si>
    <t>COMUNICACIONES E. PERFORACIÓN</t>
  </si>
  <si>
    <t>REFRIGERIOS E. PERFORCIÓN</t>
  </si>
  <si>
    <t>COMBUSTIBLE E PERFORACION</t>
  </si>
  <si>
    <t>SEGUROS E PERFORACIÒN</t>
  </si>
  <si>
    <t>Alquiler varios - E. Perforacion</t>
  </si>
  <si>
    <t xml:space="preserve">Movilidad y Viáticos E Perforacion </t>
  </si>
  <si>
    <t xml:space="preserve">Alojamiento E- Perforacion </t>
  </si>
  <si>
    <t>Gastos Campamento - E. Perforacion</t>
  </si>
  <si>
    <t>Ferreteria - E. Perforacion</t>
  </si>
  <si>
    <t>Remediación Ambiental E. Perforacion</t>
  </si>
  <si>
    <t>Encomiendas - E. Perforacion</t>
  </si>
  <si>
    <t>Análisis Geoquimicos - E. Perforación</t>
  </si>
  <si>
    <t>Gastos de Seguridad - E. Perforación</t>
  </si>
  <si>
    <t>Indumentaria de Trabajo - E. Perforacion</t>
  </si>
  <si>
    <t>Análisis Muestras de agua- E. Perforación.</t>
  </si>
  <si>
    <t>Gastos de vehiculos - E. Perforacion</t>
  </si>
  <si>
    <t xml:space="preserve">Tasa ambiental -E. Perforacion </t>
  </si>
  <si>
    <t xml:space="preserve">Análisis de Muestras - E. Perforacion </t>
  </si>
  <si>
    <t xml:space="preserve">Servicio de Transporte de muestras E. Perforacion </t>
  </si>
  <si>
    <t xml:space="preserve">Donación E. Perforacion </t>
  </si>
  <si>
    <t>VIGENCIA Y PENALIDADES</t>
  </si>
  <si>
    <t>Publicaciones -  Vigencia y Penalidades</t>
  </si>
  <si>
    <t>Tasas Retributivas Minería – Vigencia y Penalidades</t>
  </si>
  <si>
    <t>Publicaciones -  Vigencia y Penalidades Catamarca</t>
  </si>
  <si>
    <t>Canon Minero - Vigencia y Penalidades</t>
  </si>
  <si>
    <t>Gastos de Vehiculos - Vigencia y Penalidades</t>
  </si>
  <si>
    <t>Uso eventual de agua en proyectos - Vigencia y penalidades</t>
  </si>
  <si>
    <t>Tasas Ambientales – Vigencia y Penalidades</t>
  </si>
  <si>
    <t>Honorarios profesionales Vigencia y Penalidades</t>
  </si>
  <si>
    <t xml:space="preserve">ANALISIS QUIMICO DE PERF. </t>
  </si>
  <si>
    <t>Libreria y Papeleria-F Analisis Quimico Perf. Catamarca</t>
  </si>
  <si>
    <t>Análisis Muestras - F Analisis Quimicos de Perf.</t>
  </si>
  <si>
    <t>Análisis Muestras- F Analisis Quimicos de Perf Catamarca</t>
  </si>
  <si>
    <t>Saldo Hoja2</t>
  </si>
  <si>
    <t>Dif</t>
  </si>
  <si>
    <t>SOUTHERN COPPER CORPORATION - AGENCIA EN ARGENTINA</t>
  </si>
  <si>
    <t>DOLARES</t>
  </si>
  <si>
    <t>DISTRIBUCION DE GASTOS DEL PERIODO POR PROYECTO Y NATURALEZA DE GASTO</t>
  </si>
  <si>
    <t>DESCRIPCION</t>
  </si>
  <si>
    <t xml:space="preserve">       MOVIMIENTO MES</t>
  </si>
  <si>
    <t>OFICINA</t>
  </si>
  <si>
    <t xml:space="preserve">EXPLORACIÓN </t>
  </si>
  <si>
    <t>TANQUE</t>
  </si>
  <si>
    <t>CERRO</t>
  </si>
  <si>
    <t>CENTRO</t>
  </si>
  <si>
    <t>LOS</t>
  </si>
  <si>
    <t>CAÑADON</t>
  </si>
  <si>
    <t>LONCO VACA</t>
  </si>
  <si>
    <t xml:space="preserve">GASTOS </t>
  </si>
  <si>
    <t>PROYECTO</t>
  </si>
  <si>
    <t>CATAMARCA</t>
  </si>
  <si>
    <t>TOTAL</t>
  </si>
  <si>
    <t xml:space="preserve">TOTAL </t>
  </si>
  <si>
    <t>CHILE</t>
  </si>
  <si>
    <t>ELLIPSE</t>
  </si>
  <si>
    <t>DR</t>
  </si>
  <si>
    <t>CR</t>
  </si>
  <si>
    <t>GENERAL</t>
  </si>
  <si>
    <t>REGIONAL</t>
  </si>
  <si>
    <t>NEGRO</t>
  </si>
  <si>
    <t>LA MINA</t>
  </si>
  <si>
    <t>ABANICO</t>
  </si>
  <si>
    <t>ESPERANZA</t>
  </si>
  <si>
    <t>MORTERITOS</t>
  </si>
  <si>
    <t>MENUCOS</t>
  </si>
  <si>
    <t>DEL MORO</t>
  </si>
  <si>
    <t>PELENQUE</t>
  </si>
  <si>
    <t>GENERALES</t>
  </si>
  <si>
    <t>LAS SANTAS I</t>
  </si>
  <si>
    <t>DICIEMBRE</t>
  </si>
  <si>
    <t>NOVIEMBRE</t>
  </si>
  <si>
    <t>OCTUBRE</t>
  </si>
  <si>
    <t>SEPTIEMBRE</t>
  </si>
  <si>
    <t>AGOSTO</t>
  </si>
  <si>
    <t>JULIO</t>
  </si>
  <si>
    <t>JUNIO</t>
  </si>
  <si>
    <t>MAYO</t>
  </si>
  <si>
    <t>ABRIL</t>
  </si>
  <si>
    <t>MARZO</t>
  </si>
  <si>
    <t>FEBRERO</t>
  </si>
  <si>
    <t>ENERO</t>
  </si>
  <si>
    <t>AÑO</t>
  </si>
  <si>
    <t>30-100-01</t>
  </si>
  <si>
    <t>PATENTES</t>
  </si>
  <si>
    <t>30-100-02</t>
  </si>
  <si>
    <t>GASTOS COMPUTACIÓN</t>
  </si>
  <si>
    <t>30-100-04</t>
  </si>
  <si>
    <t>GASTOS COMUNICACIONES</t>
  </si>
  <si>
    <t>30-100-05</t>
  </si>
  <si>
    <t>GASTOS EXPLORACION</t>
  </si>
  <si>
    <t>30-100-06</t>
  </si>
  <si>
    <t>REPARAC.Y MANTENC.</t>
  </si>
  <si>
    <t>30-100-07</t>
  </si>
  <si>
    <t>HONORARIOS LEGALES</t>
  </si>
  <si>
    <t>30-100-08</t>
  </si>
  <si>
    <t>GASTOS EN TRÁMITES</t>
  </si>
  <si>
    <t>30-100-09</t>
  </si>
  <si>
    <t>GASTOS DE CAPACITACION</t>
  </si>
  <si>
    <t>30-100-12</t>
  </si>
  <si>
    <t>30-100-13</t>
  </si>
  <si>
    <t>ALQUILERES VARIOS</t>
  </si>
  <si>
    <t>30-100-15</t>
  </si>
  <si>
    <t>ALQUILERES VEHÍCULOS</t>
  </si>
  <si>
    <t>30-100-16</t>
  </si>
  <si>
    <t xml:space="preserve">GASTOS VARIOS </t>
  </si>
  <si>
    <t>TASAS RETRIBUTIVA MINERÌA</t>
  </si>
  <si>
    <t>30-100-17</t>
  </si>
  <si>
    <t>30-100-18</t>
  </si>
  <si>
    <t>ELECTRICIDAD, GAS Y AGUA</t>
  </si>
  <si>
    <t>30-100-19</t>
  </si>
  <si>
    <t>MOVILIDAD Y VIÁTICOS</t>
  </si>
  <si>
    <t>30-100-25</t>
  </si>
  <si>
    <t>30-100-35</t>
  </si>
  <si>
    <t>GASTOS PROPIEDAD MINERA</t>
  </si>
  <si>
    <t>30-100-40</t>
  </si>
  <si>
    <t>SEGURIDAD, SALUD Y MEDIO AMBIENTE</t>
  </si>
  <si>
    <t>30-120-01</t>
  </si>
  <si>
    <t>30-120-02</t>
  </si>
  <si>
    <t>SEGURO DE VEHICULOS</t>
  </si>
  <si>
    <t>30-150-10</t>
  </si>
  <si>
    <t>SUELDOS OFICINA</t>
  </si>
  <si>
    <t>30-150-30</t>
  </si>
  <si>
    <t>SUELDOS CAMPO</t>
  </si>
  <si>
    <t>30-150-50</t>
  </si>
  <si>
    <t>CARGAS SOCIALES OFICINA</t>
  </si>
  <si>
    <t>30-150-60</t>
  </si>
  <si>
    <t>30-150-75</t>
  </si>
  <si>
    <t>30-180-01</t>
  </si>
  <si>
    <t>GASTOS CONTRATACIÓN PERSONAL</t>
  </si>
  <si>
    <t>30-180-02</t>
  </si>
  <si>
    <t>HONORARIOS PROFESIONALES</t>
  </si>
  <si>
    <t>30-180-03</t>
  </si>
  <si>
    <t>HONORARIOS CAPACITACION</t>
  </si>
  <si>
    <t>30-180-04</t>
  </si>
  <si>
    <t>GASTOS Y COMISIONES BANCARIAS</t>
  </si>
  <si>
    <t>30-180-05</t>
  </si>
  <si>
    <t>GASTOS EN CONSTRUCCIÓN</t>
  </si>
  <si>
    <t>30-200-20</t>
  </si>
  <si>
    <t xml:space="preserve">MANTENIMIENTO SOFTWARE </t>
  </si>
  <si>
    <t>30-200-30</t>
  </si>
  <si>
    <t>COMISIONES, INTERESES, MULTAS</t>
  </si>
  <si>
    <t>30-300-10</t>
  </si>
  <si>
    <t>DEPRECIACION</t>
  </si>
  <si>
    <t>GRATIFICACIONES</t>
  </si>
  <si>
    <t>INSPECCIONES</t>
  </si>
  <si>
    <t>DONACIONES</t>
  </si>
  <si>
    <t>30-500-10</t>
  </si>
  <si>
    <t>30-500-20</t>
  </si>
  <si>
    <t>REFRIGERIOS</t>
  </si>
  <si>
    <t>30-500-30</t>
  </si>
  <si>
    <t>IMPUESTOS VARIOS</t>
  </si>
  <si>
    <t>30-500-40</t>
  </si>
  <si>
    <t>30-700-40</t>
  </si>
  <si>
    <t>GS SUSCRIPCIÓN EDITORIAL</t>
  </si>
  <si>
    <t>30-700-50</t>
  </si>
  <si>
    <t>GASTOS DE MUESTREOS</t>
  </si>
  <si>
    <t>30-700-55</t>
  </si>
  <si>
    <t>EVENTOS</t>
  </si>
  <si>
    <t>30-700-60</t>
  </si>
  <si>
    <t>INSUMOS Y GASTOS GEOLOGICOS</t>
  </si>
  <si>
    <t>30-700-70</t>
  </si>
  <si>
    <t>PLOTEOS</t>
  </si>
  <si>
    <t>30-700-75</t>
  </si>
  <si>
    <t>PERMISOS CATEO</t>
  </si>
  <si>
    <t>30-700-80</t>
  </si>
  <si>
    <t>DERECHOS DE EXPLORACIÓN</t>
  </si>
  <si>
    <t>30-700-85</t>
  </si>
  <si>
    <t>ARANCELES ADUANEROS</t>
  </si>
  <si>
    <t>ALQUILERES DE EQUIPOS DE CAMPO</t>
  </si>
  <si>
    <t>CERTIFICACIONES</t>
  </si>
  <si>
    <t>BAJA BIEN DE USO</t>
  </si>
  <si>
    <t>GASTOS MÉDICOS</t>
  </si>
  <si>
    <t>MATRÍCULAS</t>
  </si>
  <si>
    <t>30-700-90</t>
  </si>
  <si>
    <t>PUBLICACIONES</t>
  </si>
  <si>
    <t xml:space="preserve">HABILITACION COMERCIAL </t>
  </si>
  <si>
    <t>RECUPERO DE GASTOS</t>
  </si>
  <si>
    <t>GASTOS TOPOGRÀFICOS</t>
  </si>
  <si>
    <t>GASTOS DE REPRESENTACIÓN</t>
  </si>
  <si>
    <t>RECUPERO DE SEGUROS</t>
  </si>
  <si>
    <t>SERVICIOS DE INVESTIGACION</t>
  </si>
  <si>
    <t>GASTOS LEGALES</t>
  </si>
  <si>
    <t>VACACIONES</t>
  </si>
  <si>
    <t xml:space="preserve">MENSAJERIA </t>
  </si>
  <si>
    <t>CATASTRO MINERO</t>
  </si>
  <si>
    <t>ADQUISICIÓN DE INFORM. GEOFÍSICA</t>
  </si>
  <si>
    <t>INFORMES DE EVALUACIÓN ECONÓMICA</t>
  </si>
  <si>
    <t>TOTAL GASTOS</t>
  </si>
  <si>
    <t>Control saldo planilla</t>
  </si>
  <si>
    <t>Saldo SyS</t>
  </si>
  <si>
    <t>Verificación</t>
  </si>
  <si>
    <t>ABRIL 2026</t>
  </si>
  <si>
    <t xml:space="preserve">                                                 GASTOS CORRIENTES Y ACUMULADOS POR PROYECTOS</t>
  </si>
  <si>
    <t>ACUMULADO</t>
  </si>
  <si>
    <t>AÑO ACTUAL</t>
  </si>
  <si>
    <t>GASTOS</t>
  </si>
  <si>
    <t>AÑOS</t>
  </si>
  <si>
    <t>ENERO - MARZO</t>
  </si>
  <si>
    <t>ACUMULADOS</t>
  </si>
  <si>
    <t>ANTERIORES</t>
  </si>
  <si>
    <t xml:space="preserve"> A LA FECHA</t>
  </si>
  <si>
    <t>Oficina General</t>
  </si>
  <si>
    <t>Exploración Regional</t>
  </si>
  <si>
    <t>Proyecto Cochico</t>
  </si>
  <si>
    <t>Proyecto Colipilli</t>
  </si>
  <si>
    <t>Proyecto Caycayen</t>
  </si>
  <si>
    <t>Proyecto Samenta</t>
  </si>
  <si>
    <t>Proyecto El Pibe</t>
  </si>
  <si>
    <t>Proyecto La Voluntad</t>
  </si>
  <si>
    <t>Cerro La mina</t>
  </si>
  <si>
    <t>Cerro Abanico</t>
  </si>
  <si>
    <t>Los Menucos</t>
  </si>
  <si>
    <t>Cañadon del Moro</t>
  </si>
  <si>
    <t>Centro Esperanza</t>
  </si>
  <si>
    <t>Proyecto Marisa I</t>
  </si>
  <si>
    <t>Proyecto Lonco- Vaca pelenque</t>
  </si>
  <si>
    <t xml:space="preserve">Proyecto Los Azules </t>
  </si>
  <si>
    <t>Rincones de Arraya</t>
  </si>
  <si>
    <t>Gastos Generales</t>
  </si>
  <si>
    <t>Tanque Negro</t>
  </si>
  <si>
    <t>Proyecto Cristal</t>
  </si>
  <si>
    <t>Gonzalito</t>
  </si>
  <si>
    <t>Catamarca</t>
  </si>
  <si>
    <t>La Hoyada</t>
  </si>
  <si>
    <t>Tres Conos</t>
  </si>
  <si>
    <t>La Chilena</t>
  </si>
  <si>
    <t>Sol</t>
  </si>
  <si>
    <t>Los Morteritos</t>
  </si>
  <si>
    <t xml:space="preserve">La Santas </t>
  </si>
  <si>
    <t>Sheyla</t>
  </si>
  <si>
    <t>Sheyla I</t>
  </si>
  <si>
    <t>Southern Copper Argentina SRL (SOU)</t>
  </si>
  <si>
    <t>EJERCICIO 2025</t>
  </si>
  <si>
    <t>Balance de Sumas y Saldos por Centro de Costos</t>
  </si>
  <si>
    <t>Centro de Costos - Descripción</t>
  </si>
  <si>
    <t>Debe (u$s)</t>
  </si>
  <si>
    <t>Haber (u$s)</t>
  </si>
  <si>
    <t>Saldo (u$s)</t>
  </si>
  <si>
    <t>421140000 - Gastos varios oficina - Adm Catamarca</t>
  </si>
  <si>
    <t>425160000 - Cuota Societaria Minera Adm. Gral.</t>
  </si>
  <si>
    <t>15 - Cañad</t>
  </si>
  <si>
    <t>426180000 - Gst Campamento Gst Campo</t>
  </si>
  <si>
    <t>426290000 - Convenio de Acceso Gs de Campo</t>
  </si>
  <si>
    <t>427110000 - Movilidad y Viáticos Rel. comunitarias</t>
  </si>
  <si>
    <t>427160000 - Gastos y comisiones bancarias Rel. comunitarias</t>
  </si>
  <si>
    <t>427170000 - Combustible Rel. comunitarias</t>
  </si>
  <si>
    <t>427260000 - Gastos de vehiculos  Rel. Comunitarias</t>
  </si>
  <si>
    <t>428200000 - Análisis de Muestras Muestreo Geof. Sup.</t>
  </si>
  <si>
    <t>16 - Los M</t>
  </si>
  <si>
    <t>17 - Esper</t>
  </si>
  <si>
    <t>2 - Explor</t>
  </si>
  <si>
    <t>421440000 - Movilidad y Viáticos Adm Catamarca</t>
  </si>
  <si>
    <t>425980000 - Intereses Adm. Gral.</t>
  </si>
  <si>
    <t>426140000 - Expensas Depto Geologos Gs Campo</t>
  </si>
  <si>
    <t>23 - Gasto</t>
  </si>
  <si>
    <t>24 - Regional Catamarca</t>
  </si>
  <si>
    <t>24 - Regio</t>
  </si>
  <si>
    <t>Totales Generales:</t>
  </si>
  <si>
    <t>Totales Ge</t>
  </si>
  <si>
    <t>CUADRO COMPÓSITO</t>
  </si>
  <si>
    <t>Gastos - POR NATURALEZA Y PROYECTOS</t>
  </si>
  <si>
    <t>DESCRICPCIÓN</t>
  </si>
  <si>
    <t>La Santas I</t>
  </si>
  <si>
    <t>USD$</t>
  </si>
  <si>
    <t>Administración General</t>
  </si>
  <si>
    <t>Gastos de Campo</t>
  </si>
  <si>
    <t>Muestreo Geoquímico Superficial</t>
  </si>
  <si>
    <t>Geofísica</t>
  </si>
  <si>
    <t>E. Perforación</t>
  </si>
  <si>
    <t>Análisis químico de Perforación</t>
  </si>
  <si>
    <t>Cosntrucción de Acceso y Plataformas</t>
  </si>
  <si>
    <t>Relaciones Comunitarias</t>
  </si>
  <si>
    <t>Remediación Ambiental</t>
  </si>
  <si>
    <t>OPCIÓN DE COMPRA</t>
  </si>
  <si>
    <t>Barrenadión en Metros</t>
  </si>
  <si>
    <t>HITOS IMPORTANTES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</si>
</sst>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164" formatCode="#,##0.00_ ;[Red]-#,##0.00 "/>
    <numFmt numFmtId="165" formatCode="_ * #,##0.00_ ;_ * -#,##0.00_ ;_ * -??_ ;_ @_ "/>
    <numFmt numFmtId="166" formatCode="#,##0.00_);(#,##0.00)"/>
    <numFmt numFmtId="167" formatCode="#,##0.00_ ;-#,##0.00 "/>
    <numFmt numFmtId="168" formatCode="_-* #,##0.00_-;-* #,##0.00_-;_-* -??_-;_-@_-"/>
    <numFmt numFmtId="169" formatCode="_-* #,##0.00 _€_-;-* #,##0.00 _€_-;_-* -?? _€_-;_-@_-"/>
    <numFmt numFmtId="170" formatCode="_-* #,##0.00 _$_-;-* #,##0.00 _$_-;_-* -?? _$_-;_-@_-"/>
    <numFmt numFmtId="171" formatCode="dddd&quot;, &quot;d&quot; de &quot;mmmm&quot; de &quot;yyyy"/>
  </numFmts>
  <fonts count="47" x14ac:knownFonts="1">
    <font>
      <color theme="1"/>
      <family val="2"/>
      <scheme val="minor"/>
      <sz val="11"/>
      <name val="Calibri"/>
    </font>
    <font>
      <charset val="1"/>
      <sz val="10"/>
      <name val="Arial"/>
    </font>
    <font>
      <b/>
      <charset val="1"/>
      <sz val="10"/>
      <name val="Arial"/>
    </font>
    <font>
      <charset val="1"/>
      <color rgb="FF000000"/>
      <family val="2"/>
      <sz val="10"/>
      <name val="Arial"/>
    </font>
    <font>
      <charset val="1"/>
      <family val="2"/>
      <sz val="9"/>
      <name val="Arial"/>
    </font>
    <font>
      <b/>
      <charset val="1"/>
      <family val="2"/>
      <sz val="10"/>
      <name val="Arial"/>
    </font>
    <font>
      <b/>
      <charset val="1"/>
      <family val="2"/>
      <sz val="9"/>
      <name val="Arial"/>
    </font>
    <font>
      <charset val="1"/>
      <color rgb="FF000000"/>
      <family val="2"/>
      <sz val="9"/>
      <name val="Arial"/>
    </font>
    <font>
      <b/>
      <charset val="1"/>
      <color rgb="FF000000"/>
      <family val="2"/>
      <sz val="9"/>
      <name val="Arial"/>
    </font>
    <font>
      <charset val="1"/>
      <color theme="0"/>
      <family val="2"/>
      <sz val="9"/>
      <name val="Arial"/>
    </font>
    <font>
      <charset val="1"/>
      <color rgb="FFFF0000"/>
      <family val="2"/>
      <sz val="9"/>
      <name val="Arial"/>
    </font>
    <font>
      <b/>
      <charset val="1"/>
      <color rgb="FFFF0000"/>
      <family val="2"/>
      <sz val="9"/>
      <name val="Arial"/>
    </font>
    <font>
      <charset val="1"/>
      <color rgb="FF0000FF"/>
      <family val="2"/>
      <sz val="9"/>
      <name val="Arial"/>
    </font>
    <font>
      <b/>
      <charset val="1"/>
      <color rgb="FF800000"/>
      <family val="2"/>
      <sz val="9"/>
      <name val="Arial"/>
    </font>
    <font>
      <charset val="1"/>
      <family val="2"/>
      <sz val="10"/>
      <name val="Arial"/>
    </font>
    <font>
      <b/>
      <charset val="1"/>
      <color rgb="FF969696"/>
      <family val="2"/>
      <sz val="10"/>
      <name val="Arial"/>
    </font>
    <font>
      <b/>
      <charset val="1"/>
      <color rgb="FF000080"/>
      <family val="2"/>
      <sz val="10"/>
      <name val="Arial"/>
    </font>
    <font>
      <b/>
      <charset val="1"/>
      <color rgb="FFFFFFFF"/>
      <family val="2"/>
      <sz val="10"/>
      <name val="Arial"/>
    </font>
    <font>
      <charset val="1"/>
      <color rgb="FF000080"/>
      <family val="2"/>
      <sz val="10"/>
      <name val="Arial"/>
    </font>
    <font>
      <charset val="1"/>
      <color rgb="FF333399"/>
      <family val="2"/>
      <sz val="10"/>
      <name val="Arial"/>
    </font>
    <font>
      <charset val="1"/>
      <color rgb="FFFF6600"/>
      <family val="2"/>
      <sz val="10"/>
      <name val="Arial"/>
    </font>
    <font>
      <charset val="1"/>
      <color rgb="FF0000FF"/>
      <family val="2"/>
      <sz val="10"/>
      <name val="Arial"/>
    </font>
    <font>
      <charset val="1"/>
      <color rgb="FFFFFFFF"/>
      <family val="2"/>
      <sz val="10"/>
      <name val="Arial"/>
    </font>
    <font>
      <b/>
      <charset val="1"/>
      <color theme="1"/>
      <family val="2"/>
      <sz val="10"/>
      <name val="Arial"/>
    </font>
    <font>
      <charset val="1"/>
      <color rgb="FFFF0000"/>
      <family val="2"/>
      <sz val="10"/>
      <name val="Arial"/>
    </font>
    <font>
      <charset val="1"/>
      <color theme="0"/>
      <family val="2"/>
      <sz val="10"/>
      <name val="Arial"/>
    </font>
    <font>
      <u/>
      <charset val="1"/>
      <color theme="0"/>
      <family val="2"/>
      <sz val="10"/>
      <name val="Arial"/>
    </font>
    <font>
      <b/>
      <charset val="1"/>
      <color theme="0"/>
      <family val="2"/>
      <sz val="10"/>
      <name val="Arial"/>
    </font>
    <font>
      <charset val="1"/>
      <color theme="0"/>
      <family val="2"/>
      <sz val="10"/>
      <name val="Calibri"/>
    </font>
    <font>
      <charset val="1"/>
      <color theme="0"/>
      <family val="2"/>
      <sz val="8"/>
      <name val="Arial"/>
    </font>
    <font>
      <u/>
      <charset val="1"/>
      <family val="2"/>
      <sz val="10"/>
      <name val="Arial"/>
    </font>
    <font>
      <b/>
      <charset val="1"/>
      <color rgb="FF969696"/>
      <family val="2"/>
      <sz val="13"/>
      <name val="Arial"/>
    </font>
    <font>
      <b/>
      <charset val="1"/>
      <family val="2"/>
      <sz val="11"/>
      <name val="Arial"/>
    </font>
    <font>
      <b/>
      <charset val="1"/>
      <color rgb="FF333399"/>
      <family val="2"/>
      <sz val="10"/>
      <name val="Arial"/>
    </font>
    <font>
      <charset val="1"/>
      <color rgb="FF000000"/>
      <family val="2"/>
      <sz val="8"/>
      <name val="Arial"/>
    </font>
    <font>
      <u/>
      <charset val="1"/>
      <color rgb="FF000000"/>
      <family val="2"/>
      <sz val="16"/>
      <name val="Arial"/>
    </font>
    <font>
      <b/>
      <charset val="1"/>
      <color rgb="FF000000"/>
      <family val="2"/>
      <sz val="8"/>
      <name val="Arial"/>
    </font>
    <font>
      <b/>
      <i/>
      <charset val="1"/>
      <color rgb="FF000000"/>
      <family val="2"/>
      <sz val="8"/>
      <name val="Arial"/>
    </font>
    <font>
      <b/>
      <charset val="1"/>
      <color theme="1"/>
      <family val="2"/>
      <sz val="14"/>
      <name val="Calibri"/>
    </font>
    <font>
      <b/>
      <charset val="1"/>
      <color rgb="FFCC3300"/>
      <family val="2"/>
      <sz val="11"/>
      <name val="Calibri"/>
    </font>
    <font>
      <b/>
      <i/>
      <charset val="1"/>
      <family val="2"/>
      <sz val="10"/>
      <name val="Arial"/>
    </font>
    <font>
      <b/>
      <charset val="1"/>
      <color rgb="FFFF0000"/>
      <family val="2"/>
      <sz val="11"/>
      <name val="Calibri"/>
    </font>
    <font>
      <charset val="1"/>
      <color theme="1"/>
      <family val="2"/>
      <sz val="10"/>
      <name val="Calibri"/>
    </font>
    <font>
      <charset val="1"/>
      <family val="2"/>
      <sz val="8"/>
      <name val="Arial"/>
    </font>
    <font>
      <charset val="1"/>
      <color rgb="FFCC3300"/>
      <family val="2"/>
      <sz val="11"/>
      <name val="Calibri"/>
    </font>
    <font>
      <charset val="1"/>
      <color rgb="FF00B050"/>
      <family val="2"/>
      <sz val="11"/>
      <name val="Calibri"/>
    </font>
    <font>
      <charset val="1"/>
      <color rgb="FF0070C0"/>
      <family val="2"/>
      <sz val="10"/>
      <name val="Arial"/>
    </font>
  </fonts>
  <fills count="11">
    <fill>
      <patternFill patternType="none"/>
    </fill>
    <fill>
      <patternFill patternType="gray125"/>
    </fill>
    <fill>
      <patternFill patternType="solid">
        <fgColor rgb="FFD9D9D9"/>
        <bgColor rgb="FFE2EFDA"/>
      </patternFill>
    </fill>
    <fill>
      <patternFill patternType="solid">
        <fgColor rgb="FFFFFF00"/>
        <bgColor rgb="FFFFFF00"/>
      </patternFill>
    </fill>
    <fill>
      <patternFill patternType="solid">
        <fgColor theme="8" tint="0.5995971556749168"/>
        <bgColor rgb="FFD9D9D9"/>
      </patternFill>
    </fill>
    <fill>
      <patternFill patternType="solid">
        <fgColor rgb="FF00B050"/>
        <bgColor rgb="FF008080"/>
      </patternFill>
    </fill>
    <fill>
      <patternFill patternType="solid">
        <fgColor rgb="FFFFFFFF"/>
        <bgColor rgb="FFFFFFCC"/>
      </patternFill>
    </fill>
    <fill>
      <patternFill patternType="solid">
        <fgColor rgb="FF808080"/>
        <bgColor rgb="FF969696"/>
      </patternFill>
    </fill>
    <fill>
      <patternFill patternType="solid">
        <fgColor rgb="FFCCFFFF"/>
        <bgColor rgb="FFCCFFFF"/>
      </patternFill>
    </fill>
    <fill>
      <patternFill patternType="solid">
        <fgColor rgb="FFFFFFCC"/>
        <bgColor rgb="FFFFFFFF"/>
      </patternFill>
    </fill>
    <fill>
      <patternFill patternType="solid">
        <fgColor rgb="FFFFCC99"/>
        <bgColor rgb="FFD9D9D9"/>
      </patternFill>
    </fill>
  </fills>
  <borders count="47">
    <border>
      <left/>
      <right/>
      <top/>
      <bottom/>
      <diagonal/>
    </border>
    <border>
      <left style="medium"/>
      <right/>
      <top style="medium"/>
      <bottom style="medium"/>
      <diagonal/>
    </border>
    <border>
      <left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/>
      <right/>
      <top style="medium"/>
      <bottom style="medium"/>
      <diagonal/>
    </border>
    <border>
      <left style="medium"/>
      <right style="medium"/>
      <top style="medium"/>
      <bottom/>
      <diagonal/>
    </border>
    <border>
      <left style="medium"/>
      <right/>
      <top/>
      <bottom style="medium"/>
      <diagonal/>
    </border>
    <border>
      <left/>
      <right/>
      <top/>
      <bottom style="medium"/>
      <diagonal/>
    </border>
    <border>
      <left style="medium"/>
      <right/>
      <top/>
      <bottom/>
      <diagonal/>
    </border>
    <border>
      <left/>
      <right style="medium"/>
      <top/>
      <bottom/>
      <diagonal/>
    </border>
    <border>
      <left/>
      <right style="medium"/>
      <top/>
      <bottom style="medium"/>
      <diagonal/>
    </border>
    <border>
      <left style="medium"/>
      <right style="medium"/>
      <top/>
      <bottom style="medium"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/>
      <top style="thin"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 style="thin"/>
      <diagonal/>
    </border>
    <border>
      <left style="thin"/>
      <right/>
      <top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 style="double"/>
      <diagonal/>
    </border>
    <border>
      <left style="thin"/>
      <right/>
      <top/>
      <bottom style="double"/>
      <diagonal/>
    </border>
    <border>
      <left/>
      <right style="thin"/>
      <top style="thin"/>
      <bottom style="thin"/>
      <diagonal/>
    </border>
    <border>
      <left/>
      <right style="thin"/>
      <top/>
      <bottom style="double"/>
      <diagonal/>
    </border>
    <border>
      <left style="medium"/>
      <right/>
      <top style="medium"/>
      <bottom style="thin"/>
      <diagonal/>
    </border>
    <border>
      <left style="medium"/>
      <right style="thin"/>
      <top style="medium"/>
      <bottom style="medium"/>
      <diagonal/>
    </border>
    <border>
      <left style="thin"/>
      <right style="thin"/>
      <top style="medium"/>
      <bottom style="medium"/>
      <diagonal/>
    </border>
    <border>
      <left style="thin"/>
      <right/>
      <top style="medium"/>
      <bottom style="medium"/>
      <diagonal/>
    </border>
    <border>
      <left style="thin"/>
      <right style="medium"/>
      <top style="medium"/>
      <bottom style="medium"/>
      <diagonal/>
    </border>
    <border>
      <left/>
      <right style="medium"/>
      <top style="medium"/>
      <bottom/>
      <diagonal/>
    </border>
    <border>
      <left/>
      <right style="medium"/>
      <top style="medium"/>
      <bottom style="thin"/>
      <diagonal/>
    </border>
    <border>
      <left/>
      <right style="thin"/>
      <top/>
      <bottom style="medium"/>
      <diagonal/>
    </border>
    <border>
      <left style="thin"/>
      <right style="thin"/>
      <top/>
      <bottom style="medium"/>
      <diagonal/>
    </border>
    <border>
      <left style="thin"/>
      <right style="medium"/>
      <top/>
      <bottom style="medium"/>
      <diagonal/>
    </border>
    <border>
      <left style="thin"/>
      <right style="medium"/>
      <top style="thin"/>
      <bottom style="medium"/>
      <diagonal/>
    </border>
    <border>
      <left style="medium"/>
      <right/>
      <top style="medium"/>
      <bottom/>
      <diagonal/>
    </border>
    <border>
      <left/>
      <right/>
      <top style="medium"/>
      <bottom/>
      <diagonal/>
    </border>
    <border>
      <left style="medium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medium"/>
      <top style="thin"/>
      <bottom style="thin"/>
      <diagonal/>
    </border>
    <border>
      <left style="medium"/>
      <right style="thin"/>
      <top style="thin"/>
      <bottom style="medium"/>
      <diagonal/>
    </border>
    <border>
      <left style="thin"/>
      <right style="thin"/>
      <top style="thin"/>
      <bottom style="medium"/>
      <diagonal/>
    </border>
    <border>
      <left style="thin"/>
      <right/>
      <top style="thin"/>
      <bottom style="medium"/>
      <diagonal/>
    </border>
  </borders>
  <cellStyleXfs count="1">
    <xf numFmtId="0" fontId="0" fillId="0" borderId="0"/>
  </cellStyleXfs>
  <cellXfs count="262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left" vertical="center"/>
    </xf>
    <xf numFmtId="1" fontId="2" fillId="2" borderId="0" xfId="0" applyNumberFormat="1" applyFont="1" applyFill="1" applyAlignment="1">
      <alignment horizontal="left" vertical="center"/>
    </xf>
    <xf numFmtId="164" fontId="2" fillId="2" borderId="0" xfId="0" applyNumberFormat="1" applyFont="1" applyFill="1" applyAlignment="1">
      <alignment horizontal="left" vertical="center"/>
    </xf>
    <xf numFmtId="165" fontId="2" fillId="2" borderId="0" xfId="0" applyNumberFormat="1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1" fontId="1" fillId="2" borderId="0" xfId="0" applyNumberFormat="1" applyFont="1" applyFill="1" applyAlignment="1">
      <alignment horizontal="left" vertical="center"/>
    </xf>
    <xf numFmtId="164" fontId="1" fillId="2" borderId="0" xfId="0" applyNumberFormat="1" applyFont="1" applyFill="1" applyAlignment="1">
      <alignment horizontal="left" vertical="center"/>
    </xf>
    <xf numFmtId="165" fontId="1" fillId="2" borderId="0" xfId="0" applyNumberFormat="1" applyFont="1" applyFill="1" applyAlignment="1">
      <alignment horizontal="left" vertical="center"/>
    </xf>
    <xf numFmtId="0" fontId="3" fillId="0" borderId="0" xfId="0" applyFont="1" applyAlignment="1">
      <alignment horizontal="left" vertical="center"/>
    </xf>
    <xf numFmtId="1" fontId="1" fillId="0" borderId="0" xfId="0" applyNumberFormat="1" applyFont="1" applyAlignment="1">
      <alignment horizontal="left" vertical="center"/>
    </xf>
    <xf numFmtId="164" fontId="1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165" fontId="1" fillId="0" borderId="0" xfId="0" applyNumberFormat="1" applyFont="1" applyAlignment="1">
      <alignment horizontal="left" vertical="center"/>
    </xf>
    <xf numFmtId="166" fontId="1" fillId="0" borderId="0" xfId="0" applyNumberFormat="1" applyFont="1" applyAlignment="1">
      <alignment horizontal="left" vertical="center"/>
    </xf>
    <xf numFmtId="167" fontId="1" fillId="2" borderId="0" xfId="0" applyNumberFormat="1" applyFont="1" applyFill="1" applyAlignment="1">
      <alignment horizontal="left" vertical="center"/>
    </xf>
    <xf numFmtId="166" fontId="1" fillId="2" borderId="0" xfId="0" applyNumberFormat="1" applyFont="1" applyFill="1" applyAlignment="1">
      <alignment horizontal="left" vertical="center"/>
    </xf>
    <xf numFmtId="0" fontId="4" fillId="0" borderId="0" xfId="0" applyFont="1" applyAlignment="1">
      <alignment horizontal="left"/>
    </xf>
    <xf numFmtId="167" fontId="4" fillId="0" borderId="0" xfId="0" applyNumberFormat="1" applyFont="1"/>
    <xf numFmtId="167" fontId="4" fillId="0" borderId="0" xfId="0" applyNumberFormat="1" applyFont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left"/>
    </xf>
    <xf numFmtId="17" fontId="5" fillId="3" borderId="0" xfId="0" applyNumberFormat="1" applyFont="1" applyFill="1" applyAlignment="1">
      <alignment horizontal="left"/>
    </xf>
    <xf numFmtId="167" fontId="6" fillId="3" borderId="1" xfId="0" applyNumberFormat="1" applyFont="1" applyFill="1" applyBorder="1" applyAlignment="1">
      <alignment horizontal="center"/>
    </xf>
    <xf numFmtId="167" fontId="6" fillId="3" borderId="2" xfId="0" applyNumberFormat="1" applyFont="1" applyFill="1" applyBorder="1" applyAlignment="1">
      <alignment horizontal="center"/>
    </xf>
    <xf numFmtId="167" fontId="6" fillId="3" borderId="3" xfId="0" applyNumberFormat="1" applyFont="1" applyFill="1" applyBorder="1" applyAlignment="1">
      <alignment horizontal="center"/>
    </xf>
    <xf numFmtId="167" fontId="6" fillId="3" borderId="4" xfId="0" applyNumberFormat="1" applyFont="1" applyFill="1" applyBorder="1" applyAlignment="1">
      <alignment horizontal="center"/>
    </xf>
    <xf numFmtId="167" fontId="6" fillId="3" borderId="5" xfId="0" applyNumberFormat="1" applyFont="1" applyFill="1" applyBorder="1" applyAlignment="1">
      <alignment horizontal="center"/>
    </xf>
    <xf numFmtId="167" fontId="6" fillId="4" borderId="5" xfId="0" applyNumberFormat="1" applyFont="1" applyFill="1" applyBorder="1" applyAlignment="1">
      <alignment horizontal="center"/>
    </xf>
    <xf numFmtId="0" fontId="6" fillId="0" borderId="0" xfId="0" applyFont="1" applyAlignment="1">
      <alignment horizontal="left"/>
    </xf>
    <xf numFmtId="167" fontId="6" fillId="0" borderId="6" xfId="0" applyNumberFormat="1" applyFont="1" applyBorder="1" applyAlignment="1">
      <alignment horizontal="center"/>
    </xf>
    <xf numFmtId="167" fontId="6" fillId="0" borderId="7" xfId="0" applyNumberFormat="1" applyFont="1" applyBorder="1" applyAlignment="1">
      <alignment horizontal="center"/>
    </xf>
    <xf numFmtId="167" fontId="6" fillId="0" borderId="8" xfId="0" applyNumberFormat="1" applyFont="1" applyBorder="1" applyAlignment="1">
      <alignment horizontal="center"/>
    </xf>
    <xf numFmtId="167" fontId="6" fillId="0" borderId="0" xfId="0" applyNumberFormat="1" applyFont="1" applyAlignment="1">
      <alignment horizontal="center"/>
    </xf>
    <xf numFmtId="167" fontId="6" fillId="0" borderId="9" xfId="0" applyNumberFormat="1" applyFont="1" applyBorder="1" applyAlignment="1">
      <alignment horizontal="center"/>
    </xf>
    <xf numFmtId="167" fontId="6" fillId="0" borderId="10" xfId="0" applyNumberFormat="1" applyFont="1" applyBorder="1" applyAlignment="1">
      <alignment horizontal="center"/>
    </xf>
    <xf numFmtId="167" fontId="6" fillId="4" borderId="11" xfId="0" applyNumberFormat="1" applyFont="1" applyFill="1" applyBorder="1" applyAlignment="1">
      <alignment horizontal="center"/>
    </xf>
    <xf numFmtId="167" fontId="7" fillId="0" borderId="12" xfId="0" applyNumberFormat="1" applyFont="1" applyBorder="1" applyAlignment="1">
      <alignment horizontal="right" vertical="top"/>
    </xf>
    <xf numFmtId="167" fontId="7" fillId="0" borderId="0" xfId="0" applyNumberFormat="1" applyFont="1" applyAlignment="1">
      <alignment horizontal="right" vertical="top"/>
    </xf>
    <xf numFmtId="167" fontId="7" fillId="0" borderId="13" xfId="0" applyNumberFormat="1" applyFont="1" applyBorder="1" applyAlignment="1">
      <alignment horizontal="right" vertical="top"/>
    </xf>
    <xf numFmtId="167" fontId="7" fillId="0" borderId="14" xfId="0" applyNumberFormat="1" applyFont="1" applyBorder="1" applyAlignment="1">
      <alignment horizontal="right" vertical="top"/>
    </xf>
    <xf numFmtId="167" fontId="7" fillId="0" borderId="15" xfId="0" applyNumberFormat="1" applyFont="1" applyBorder="1" applyAlignment="1">
      <alignment horizontal="right" vertical="top"/>
    </xf>
    <xf numFmtId="167" fontId="7" fillId="0" borderId="16" xfId="0" applyNumberFormat="1" applyFont="1" applyBorder="1" applyAlignment="1">
      <alignment horizontal="right" vertical="top"/>
    </xf>
    <xf numFmtId="0" fontId="7" fillId="0" borderId="0" xfId="0" applyFont="1" applyAlignment="1">
      <alignment horizontal="left"/>
    </xf>
    <xf numFmtId="167" fontId="7" fillId="0" borderId="0" xfId="0" applyNumberFormat="1" applyFont="1" applyAlignment="1">
      <alignment horizontal="center" vertical="top"/>
    </xf>
    <xf numFmtId="0" fontId="7" fillId="0" borderId="0" xfId="0" applyFont="1" applyAlignment="1">
      <alignment horizontal="left" vertical="top"/>
    </xf>
    <xf numFmtId="0" fontId="7" fillId="0" borderId="7" xfId="0" applyFont="1" applyBorder="1" applyAlignment="1">
      <alignment horizontal="left"/>
    </xf>
    <xf numFmtId="0" fontId="8" fillId="0" borderId="7" xfId="0" applyFont="1" applyBorder="1" applyAlignment="1">
      <alignment horizontal="left"/>
    </xf>
    <xf numFmtId="0" fontId="4" fillId="0" borderId="7" xfId="0" applyFont="1" applyBorder="1" applyAlignment="1">
      <alignment horizontal="left"/>
    </xf>
    <xf numFmtId="0" fontId="6" fillId="0" borderId="7" xfId="0" applyFont="1" applyBorder="1" applyAlignment="1">
      <alignment horizontal="left"/>
    </xf>
    <xf numFmtId="1" fontId="4" fillId="0" borderId="0" xfId="0" applyNumberFormat="1" applyFont="1" applyAlignment="1">
      <alignment horizontal="left"/>
    </xf>
    <xf numFmtId="166" fontId="7" fillId="0" borderId="0" xfId="0" applyNumberFormat="1" applyFont="1" applyAlignment="1">
      <alignment horizontal="right" vertical="top"/>
    </xf>
    <xf numFmtId="167" fontId="4" fillId="0" borderId="0" xfId="0" applyNumberFormat="1" applyFont="1" applyAlignment="1">
      <alignment horizontal="right" vertical="top"/>
    </xf>
    <xf numFmtId="0" fontId="6" fillId="3" borderId="0" xfId="0" applyFont="1" applyFill="1" applyAlignment="1">
      <alignment horizontal="left"/>
    </xf>
    <xf numFmtId="167" fontId="4" fillId="5" borderId="17" xfId="0" applyNumberFormat="1" applyFont="1" applyFill="1" applyBorder="1"/>
    <xf numFmtId="0" fontId="9" fillId="0" borderId="0" xfId="0" applyFont="1"/>
    <xf numFmtId="0" fontId="9" fillId="0" borderId="0" xfId="0" applyFont="1" applyAlignment="1">
      <alignment horizontal="left"/>
    </xf>
    <xf numFmtId="167" fontId="8" fillId="0" borderId="0" xfId="0" applyNumberFormat="1" applyFont="1" applyAlignment="1">
      <alignment horizontal="right" vertical="top"/>
    </xf>
    <xf numFmtId="167" fontId="9" fillId="0" borderId="0" xfId="0" applyNumberFormat="1" applyFont="1"/>
    <xf numFmtId="167" fontId="10" fillId="0" borderId="0" xfId="0" applyNumberFormat="1" applyFont="1"/>
    <xf numFmtId="167" fontId="10" fillId="0" borderId="0" xfId="0" applyNumberFormat="1" applyFont="1" applyAlignment="1">
      <alignment horizontal="center"/>
    </xf>
    <xf numFmtId="167" fontId="6" fillId="0" borderId="0" xfId="0" applyNumberFormat="1" applyFont="1"/>
    <xf numFmtId="167" fontId="11" fillId="0" borderId="0" xfId="0" applyNumberFormat="1" applyFont="1"/>
    <xf numFmtId="167" fontId="7" fillId="0" borderId="0" xfId="0" applyNumberFormat="1" applyFont="1" applyAlignment="1">
      <alignment vertical="top"/>
    </xf>
    <xf numFmtId="167" fontId="7" fillId="0" borderId="0" xfId="0" applyNumberFormat="1" applyFont="1" applyAlignment="1">
      <alignment horizontal="left"/>
    </xf>
    <xf numFmtId="167" fontId="12" fillId="0" borderId="0" xfId="0" applyNumberFormat="1" applyFont="1"/>
    <xf numFmtId="0" fontId="11" fillId="0" borderId="0" xfId="0" applyFont="1" applyAlignment="1">
      <alignment horizontal="left"/>
    </xf>
    <xf numFmtId="0" fontId="13" fillId="0" borderId="0" xfId="0" applyFont="1" applyAlignment="1">
      <alignment horizontal="left"/>
    </xf>
    <xf numFmtId="0" fontId="12" fillId="0" borderId="0" xfId="0" applyFont="1" applyAlignment="1">
      <alignment horizontal="left"/>
    </xf>
    <xf numFmtId="167" fontId="4" fillId="0" borderId="0" xfId="0" applyNumberFormat="1" applyFont="1" applyAlignment="1">
      <alignment horizontal="right"/>
    </xf>
    <xf numFmtId="0" fontId="14" fillId="0" borderId="0" xfId="0" applyFont="1"/>
    <xf numFmtId="2" fontId="14" fillId="0" borderId="0" xfId="0" applyNumberFormat="1" applyFont="1"/>
    <xf numFmtId="167" fontId="15" fillId="6" borderId="0" xfId="0" applyNumberFormat="1" applyFont="1" applyFill="1"/>
    <xf numFmtId="2" fontId="14" fillId="6" borderId="0" xfId="0" applyNumberFormat="1" applyFont="1" applyFill="1"/>
    <xf numFmtId="49" fontId="16" fillId="6" borderId="0" xfId="0" applyNumberFormat="1" applyFont="1" applyFill="1"/>
    <xf numFmtId="0" fontId="16" fillId="6" borderId="0" xfId="0" applyFont="1" applyFill="1" applyAlignment="1">
      <alignment horizontal="left"/>
    </xf>
    <xf numFmtId="0" fontId="14" fillId="6" borderId="0" xfId="0" applyFont="1" applyFill="1"/>
    <xf numFmtId="0" fontId="14" fillId="0" borderId="18" xfId="0" applyFont="1" applyBorder="1"/>
    <xf numFmtId="0" fontId="14" fillId="6" borderId="18" xfId="0" applyFont="1" applyFill="1" applyBorder="1"/>
    <xf numFmtId="2" fontId="14" fillId="6" borderId="18" xfId="0" applyNumberFormat="1" applyFont="1" applyFill="1" applyBorder="1"/>
    <xf numFmtId="0" fontId="17" fillId="7" borderId="19" xfId="0" applyFont="1" applyFill="1" applyBorder="1" applyAlignment="1">
      <alignment horizontal="center"/>
    </xf>
    <xf numFmtId="2" fontId="17" fillId="7" borderId="0" xfId="0" applyNumberFormat="1" applyFont="1" applyFill="1"/>
    <xf numFmtId="2" fontId="17" fillId="7" borderId="16" xfId="0" applyNumberFormat="1" applyFont="1" applyFill="1" applyBorder="1"/>
    <xf numFmtId="2" fontId="17" fillId="7" borderId="14" xfId="0" applyNumberFormat="1" applyFont="1" applyFill="1" applyBorder="1" applyAlignment="1">
      <alignment horizontal="center"/>
    </xf>
    <xf numFmtId="2" fontId="17" fillId="7" borderId="20" xfId="0" applyNumberFormat="1" applyFont="1" applyFill="1" applyBorder="1" applyAlignment="1">
      <alignment horizontal="center" vertical="center"/>
    </xf>
    <xf numFmtId="2" fontId="17" fillId="7" borderId="14" xfId="0" applyNumberFormat="1" applyFont="1" applyFill="1" applyBorder="1" applyAlignment="1">
      <alignment horizontal="center" vertical="center"/>
    </xf>
    <xf numFmtId="2" fontId="17" fillId="7" borderId="19" xfId="0" applyNumberFormat="1" applyFont="1" applyFill="1" applyBorder="1" applyAlignment="1">
      <alignment horizontal="center"/>
    </xf>
    <xf numFmtId="0" fontId="17" fillId="7" borderId="21" xfId="0" applyFont="1" applyFill="1" applyBorder="1"/>
    <xf numFmtId="2" fontId="17" fillId="7" borderId="22" xfId="0" applyNumberFormat="1" applyFont="1" applyFill="1" applyBorder="1" applyAlignment="1">
      <alignment horizontal="center"/>
    </xf>
    <xf numFmtId="2" fontId="17" fillId="7" borderId="17" xfId="0" applyNumberFormat="1" applyFont="1" applyFill="1" applyBorder="1" applyAlignment="1">
      <alignment horizontal="center"/>
    </xf>
    <xf numFmtId="2" fontId="17" fillId="7" borderId="22" xfId="0" applyNumberFormat="1" applyFont="1" applyFill="1" applyBorder="1" applyAlignment="1">
      <alignment horizontal="center" vertical="center"/>
    </xf>
    <xf numFmtId="2" fontId="17" fillId="7" borderId="21" xfId="0" applyNumberFormat="1" applyFont="1" applyFill="1" applyBorder="1" applyAlignment="1">
      <alignment horizontal="center"/>
    </xf>
    <xf numFmtId="0" fontId="18" fillId="8" borderId="0" xfId="0" applyFont="1" applyFill="1"/>
    <xf numFmtId="2" fontId="14" fillId="0" borderId="23" xfId="0" applyNumberFormat="1" applyFont="1" applyBorder="1" applyAlignment="1">
      <alignment horizontal="center"/>
    </xf>
    <xf numFmtId="2" fontId="14" fillId="0" borderId="13" xfId="0" applyNumberFormat="1" applyFont="1" applyBorder="1"/>
    <xf numFmtId="2" fontId="19" fillId="8" borderId="12" xfId="0" applyNumberFormat="1" applyFont="1" applyFill="1" applyBorder="1"/>
    <xf numFmtId="2" fontId="18" fillId="8" borderId="12" xfId="0" applyNumberFormat="1" applyFont="1" applyFill="1" applyBorder="1"/>
    <xf numFmtId="2" fontId="19" fillId="8" borderId="19" xfId="0" applyNumberFormat="1" applyFont="1" applyFill="1" applyBorder="1"/>
    <xf numFmtId="2" fontId="16" fillId="8" borderId="23" xfId="0" applyNumberFormat="1" applyFont="1" applyFill="1" applyBorder="1"/>
    <xf numFmtId="165" fontId="14" fillId="0" borderId="0" xfId="0" applyNumberFormat="1" applyFont="1"/>
    <xf numFmtId="0" fontId="20" fillId="0" borderId="0" xfId="0" applyFont="1"/>
    <xf numFmtId="0" fontId="21" fillId="0" borderId="0" xfId="0" applyFont="1"/>
    <xf numFmtId="2" fontId="19" fillId="8" borderId="23" xfId="0" applyNumberFormat="1" applyFont="1" applyFill="1" applyBorder="1"/>
    <xf numFmtId="2" fontId="18" fillId="8" borderId="23" xfId="0" applyNumberFormat="1" applyFont="1" applyFill="1" applyBorder="1"/>
    <xf numFmtId="2" fontId="16" fillId="8" borderId="12" xfId="0" applyNumberFormat="1" applyFont="1" applyFill="1" applyBorder="1"/>
    <xf numFmtId="0" fontId="18" fillId="8" borderId="17" xfId="0" applyFont="1" applyFill="1" applyBorder="1"/>
    <xf numFmtId="2" fontId="14" fillId="0" borderId="18" xfId="0" applyNumberFormat="1" applyFont="1" applyBorder="1"/>
    <xf numFmtId="2" fontId="19" fillId="8" borderId="21" xfId="0" applyNumberFormat="1" applyFont="1" applyFill="1" applyBorder="1"/>
    <xf numFmtId="2" fontId="19" fillId="8" borderId="22" xfId="0" applyNumberFormat="1" applyFont="1" applyFill="1" applyBorder="1"/>
    <xf numFmtId="2" fontId="16" fillId="8" borderId="21" xfId="0" applyNumberFormat="1" applyFont="1" applyFill="1" applyBorder="1"/>
    <xf numFmtId="0" fontId="14" fillId="6" borderId="12" xfId="0" applyFont="1" applyFill="1" applyBorder="1"/>
    <xf numFmtId="2" fontId="14" fillId="0" borderId="23" xfId="0" applyNumberFormat="1" applyFont="1" applyBorder="1"/>
    <xf numFmtId="2" fontId="22" fillId="7" borderId="23" xfId="0" applyNumberFormat="1" applyFont="1" applyFill="1" applyBorder="1"/>
    <xf numFmtId="2" fontId="22" fillId="7" borderId="0" xfId="0" applyNumberFormat="1" applyFont="1" applyFill="1"/>
    <xf numFmtId="2" fontId="22" fillId="7" borderId="12" xfId="0" applyNumberFormat="1" applyFont="1" applyFill="1" applyBorder="1"/>
    <xf numFmtId="2" fontId="22" fillId="7" borderId="19" xfId="0" applyNumberFormat="1" applyFont="1" applyFill="1" applyBorder="1"/>
    <xf numFmtId="165" fontId="5" fillId="0" borderId="0" xfId="0" applyNumberFormat="1" applyFont="1"/>
    <xf numFmtId="165" fontId="5" fillId="6" borderId="12" xfId="0" applyNumberFormat="1" applyFont="1" applyFill="1" applyBorder="1"/>
    <xf numFmtId="2" fontId="5" fillId="0" borderId="23" xfId="0" applyNumberFormat="1" applyFont="1" applyBorder="1"/>
    <xf numFmtId="2" fontId="5" fillId="0" borderId="0" xfId="0" applyNumberFormat="1" applyFont="1"/>
    <xf numFmtId="2" fontId="17" fillId="7" borderId="23" xfId="0" applyNumberFormat="1" applyFont="1" applyFill="1" applyBorder="1"/>
    <xf numFmtId="2" fontId="17" fillId="7" borderId="12" xfId="0" applyNumberFormat="1" applyFont="1" applyFill="1" applyBorder="1"/>
    <xf numFmtId="0" fontId="22" fillId="0" borderId="24" xfId="0" applyFont="1" applyBorder="1"/>
    <xf numFmtId="2" fontId="22" fillId="0" borderId="24" xfId="0" applyNumberFormat="1" applyFont="1" applyBorder="1"/>
    <xf numFmtId="2" fontId="23" fillId="0" borderId="25" xfId="0" applyNumberFormat="1" applyFont="1" applyBorder="1"/>
    <xf numFmtId="2" fontId="17" fillId="7" borderId="25" xfId="0" applyNumberFormat="1" applyFont="1" applyFill="1" applyBorder="1"/>
    <xf numFmtId="2" fontId="22" fillId="7" borderId="24" xfId="0" applyNumberFormat="1" applyFont="1" applyFill="1" applyBorder="1"/>
    <xf numFmtId="2" fontId="22" fillId="7" borderId="25" xfId="0" applyNumberFormat="1" applyFont="1" applyFill="1" applyBorder="1"/>
    <xf numFmtId="0" fontId="24" fillId="0" borderId="0" xfId="0" applyFont="1"/>
    <xf numFmtId="2" fontId="24" fillId="0" borderId="0" xfId="0" applyNumberFormat="1" applyFont="1"/>
    <xf numFmtId="0" fontId="25" fillId="0" borderId="0" xfId="0" applyFont="1"/>
    <xf numFmtId="165" fontId="25" fillId="0" borderId="0" xfId="0" applyNumberFormat="1" applyFont="1"/>
    <xf numFmtId="2" fontId="25" fillId="0" borderId="0" xfId="0" applyNumberFormat="1" applyFont="1"/>
    <xf numFmtId="0" fontId="26" fillId="0" borderId="0" xfId="0" applyFont="1"/>
    <xf numFmtId="2" fontId="27" fillId="0" borderId="0" xfId="0" applyNumberFormat="1" applyFont="1"/>
    <xf numFmtId="2" fontId="25" fillId="0" borderId="0" xfId="0" applyNumberFormat="1" applyFont="1" applyAlignment="1">
      <alignment horizontal="right" vertical="top"/>
    </xf>
    <xf numFmtId="2" fontId="28" fillId="0" borderId="0" xfId="0" applyNumberFormat="1" applyFont="1"/>
    <xf numFmtId="2" fontId="29" fillId="0" borderId="0" xfId="0" applyNumberFormat="1" applyFont="1" applyAlignment="1">
      <alignment horizontal="right" vertical="top"/>
    </xf>
    <xf numFmtId="4" fontId="25" fillId="0" borderId="0" xfId="0" applyNumberFormat="1" applyFont="1"/>
    <xf numFmtId="0" fontId="30" fillId="0" borderId="0" xfId="0" applyFont="1"/>
    <xf numFmtId="2" fontId="3" fillId="0" borderId="0" xfId="0" applyNumberFormat="1" applyFont="1" applyAlignment="1">
      <alignment vertical="top"/>
    </xf>
    <xf numFmtId="0" fontId="31" fillId="6" borderId="0" xfId="0" applyFont="1" applyFill="1" applyAlignment="1">
      <alignment horizontal="center" vertical="center" wrapText="1"/>
    </xf>
    <xf numFmtId="0" fontId="1" fillId="6" borderId="0" xfId="0" applyFont="1" applyFill="1"/>
    <xf numFmtId="49" fontId="32" fillId="6" borderId="0" xfId="0" applyNumberFormat="1" applyFont="1" applyFill="1" applyAlignment="1">
      <alignment horizontal="center" vertical="top"/>
    </xf>
    <xf numFmtId="0" fontId="32" fillId="6" borderId="0" xfId="0" applyFont="1" applyFill="1" applyAlignment="1">
      <alignment horizontal="center"/>
    </xf>
    <xf numFmtId="0" fontId="5" fillId="6" borderId="0" xfId="0" applyFont="1" applyFill="1"/>
    <xf numFmtId="0" fontId="33" fillId="6" borderId="0" xfId="0" applyFont="1" applyFill="1"/>
    <xf numFmtId="0" fontId="1" fillId="6" borderId="18" xfId="0" applyFont="1" applyFill="1" applyBorder="1"/>
    <xf numFmtId="0" fontId="5" fillId="9" borderId="19" xfId="0" applyFont="1" applyFill="1" applyBorder="1"/>
    <xf numFmtId="0" fontId="4" fillId="3" borderId="19" xfId="0" applyFont="1" applyFill="1" applyBorder="1" applyAlignment="1">
      <alignment horizontal="center"/>
    </xf>
    <xf numFmtId="0" fontId="4" fillId="10" borderId="26" xfId="0" applyFont="1" applyFill="1" applyBorder="1" applyAlignment="1">
      <alignment horizontal="center"/>
    </xf>
    <xf numFmtId="0" fontId="4" fillId="3" borderId="16" xfId="0" applyFont="1" applyFill="1" applyBorder="1" applyAlignment="1">
      <alignment horizontal="center" vertical="center"/>
    </xf>
    <xf numFmtId="0" fontId="4" fillId="9" borderId="23" xfId="0" applyFont="1" applyFill="1" applyBorder="1" applyAlignment="1">
      <alignment horizontal="center"/>
    </xf>
    <xf numFmtId="0" fontId="4" fillId="3" borderId="23" xfId="0" applyFont="1" applyFill="1" applyBorder="1" applyAlignment="1">
      <alignment horizontal="center"/>
    </xf>
    <xf numFmtId="49" fontId="4" fillId="10" borderId="21" xfId="0" applyNumberFormat="1" applyFont="1" applyFill="1" applyBorder="1" applyAlignment="1">
      <alignment horizontal="center"/>
    </xf>
    <xf numFmtId="0" fontId="4" fillId="10" borderId="20" xfId="0" applyFont="1" applyFill="1" applyBorder="1" applyAlignment="1">
      <alignment horizontal="center"/>
    </xf>
    <xf numFmtId="0" fontId="4" fillId="3" borderId="13" xfId="0" applyFont="1" applyFill="1" applyBorder="1" applyAlignment="1">
      <alignment horizontal="center" vertical="center"/>
    </xf>
    <xf numFmtId="0" fontId="1" fillId="9" borderId="21" xfId="0" applyFont="1" applyFill="1" applyBorder="1"/>
    <xf numFmtId="17" fontId="4" fillId="3" borderId="21" xfId="0" applyNumberFormat="1" applyFont="1" applyFill="1" applyBorder="1" applyAlignment="1">
      <alignment horizontal="center"/>
    </xf>
    <xf numFmtId="0" fontId="4" fillId="10" borderId="21" xfId="0" applyFont="1" applyFill="1" applyBorder="1" applyAlignment="1">
      <alignment horizontal="right"/>
    </xf>
    <xf numFmtId="0" fontId="4" fillId="3" borderId="17" xfId="0" applyFont="1" applyFill="1" applyBorder="1" applyAlignment="1">
      <alignment horizontal="center" vertical="center"/>
    </xf>
    <xf numFmtId="0" fontId="14" fillId="9" borderId="23" xfId="0" applyFont="1" applyFill="1" applyBorder="1"/>
    <xf numFmtId="17" fontId="6" fillId="3" borderId="19" xfId="0" applyNumberFormat="1" applyFont="1" applyFill="1" applyBorder="1" applyAlignment="1">
      <alignment horizontal="right"/>
    </xf>
    <xf numFmtId="165" fontId="1" fillId="9" borderId="23" xfId="0" applyNumberFormat="1" applyFont="1" applyFill="1" applyBorder="1"/>
    <xf numFmtId="0" fontId="6" fillId="9" borderId="19" xfId="0" applyFont="1" applyFill="1" applyBorder="1" applyAlignment="1">
      <alignment horizontal="right"/>
    </xf>
    <xf numFmtId="0" fontId="6" fillId="3" borderId="13" xfId="0" applyFont="1" applyFill="1" applyBorder="1" applyAlignment="1">
      <alignment horizontal="right"/>
    </xf>
    <xf numFmtId="165" fontId="14" fillId="3" borderId="13" xfId="0" applyNumberFormat="1" applyFont="1" applyFill="1" applyBorder="1"/>
    <xf numFmtId="165" fontId="1" fillId="3" borderId="13" xfId="0" applyNumberFormat="1" applyFont="1" applyFill="1" applyBorder="1"/>
    <xf numFmtId="165" fontId="1" fillId="0" borderId="0" xfId="0" applyNumberFormat="1" applyFont="1"/>
    <xf numFmtId="168" fontId="1" fillId="0" borderId="0" xfId="0" applyNumberFormat="1" applyFont="1"/>
    <xf numFmtId="169" fontId="1" fillId="9" borderId="23" xfId="0" applyNumberFormat="1" applyFont="1" applyFill="1" applyBorder="1"/>
    <xf numFmtId="0" fontId="14" fillId="9" borderId="23" xfId="0" applyFont="1" applyFill="1" applyBorder="1" applyAlignment="1">
      <alignment horizontal="center"/>
    </xf>
    <xf numFmtId="165" fontId="5" fillId="3" borderId="19" xfId="0" applyNumberFormat="1" applyFont="1" applyFill="1" applyBorder="1"/>
    <xf numFmtId="165" fontId="5" fillId="10" borderId="19" xfId="0" applyNumberFormat="1" applyFont="1" applyFill="1" applyBorder="1"/>
    <xf numFmtId="165" fontId="5" fillId="3" borderId="16" xfId="0" applyNumberFormat="1" applyFont="1" applyFill="1" applyBorder="1"/>
    <xf numFmtId="169" fontId="1" fillId="0" borderId="0" xfId="0" applyNumberFormat="1" applyFont="1"/>
    <xf numFmtId="165" fontId="1" fillId="3" borderId="24" xfId="0" applyNumberFormat="1" applyFont="1" applyFill="1" applyBorder="1"/>
    <xf numFmtId="165" fontId="1" fillId="10" borderId="24" xfId="0" applyNumberFormat="1" applyFont="1" applyFill="1" applyBorder="1"/>
    <xf numFmtId="165" fontId="1" fillId="3" borderId="27" xfId="0" applyNumberFormat="1" applyFont="1" applyFill="1" applyBorder="1"/>
    <xf numFmtId="4" fontId="14" fillId="0" borderId="0" xfId="0" applyNumberFormat="1" applyFont="1"/>
    <xf numFmtId="167" fontId="1" fillId="0" borderId="0" xfId="0" applyNumberFormat="1" applyFont="1"/>
    <xf numFmtId="4" fontId="1" fillId="0" borderId="0" xfId="0" applyNumberFormat="1" applyFont="1"/>
    <xf numFmtId="170" fontId="1" fillId="0" borderId="0" xfId="0" applyNumberFormat="1" applyFont="1"/>
    <xf numFmtId="166" fontId="34" fillId="0" borderId="0" xfId="0" applyNumberFormat="1" applyFont="1" applyAlignment="1">
      <alignment horizontal="right" vertical="top"/>
    </xf>
    <xf numFmtId="0" fontId="1" fillId="0" borderId="0" xfId="0" applyFont="1" applyAlignment="1">
      <alignment vertical="top"/>
    </xf>
    <xf numFmtId="0" fontId="3" fillId="0" borderId="0" xfId="0" applyFont="1" applyAlignment="1">
      <alignment vertical="top"/>
    </xf>
    <xf numFmtId="0" fontId="35" fillId="0" borderId="0" xfId="0" applyFont="1" applyAlignment="1">
      <alignment vertical="top"/>
    </xf>
    <xf numFmtId="0" fontId="36" fillId="0" borderId="0" xfId="0" applyFont="1" applyAlignment="1">
      <alignment vertical="top"/>
    </xf>
    <xf numFmtId="0" fontId="36" fillId="0" borderId="0" xfId="0" applyFont="1" applyAlignment="1">
      <alignment horizontal="center" vertical="top"/>
    </xf>
    <xf numFmtId="0" fontId="3" fillId="6" borderId="0" xfId="0" applyFont="1" applyFill="1" applyAlignment="1">
      <alignment vertical="top"/>
    </xf>
    <xf numFmtId="0" fontId="37" fillId="6" borderId="0" xfId="0" applyFont="1" applyFill="1" applyAlignment="1">
      <alignment vertical="top"/>
    </xf>
    <xf numFmtId="0" fontId="34" fillId="0" borderId="0" xfId="0" applyFont="1" applyAlignment="1">
      <alignment vertical="top"/>
    </xf>
    <xf numFmtId="166" fontId="34" fillId="0" borderId="0" xfId="0" applyNumberFormat="1" applyFont="1" applyAlignment="1">
      <alignment vertical="top"/>
    </xf>
    <xf numFmtId="0" fontId="1" fillId="3" borderId="0" xfId="0" applyFont="1" applyFill="1" applyAlignment="1">
      <alignment vertical="top"/>
    </xf>
    <xf numFmtId="0" fontId="34" fillId="3" borderId="0" xfId="0" applyFont="1" applyFill="1" applyAlignment="1">
      <alignment vertical="top"/>
    </xf>
    <xf numFmtId="166" fontId="34" fillId="3" borderId="0" xfId="0" applyNumberFormat="1" applyFont="1" applyFill="1" applyAlignment="1">
      <alignment horizontal="right" vertical="top"/>
    </xf>
    <xf numFmtId="166" fontId="34" fillId="3" borderId="0" xfId="0" applyNumberFormat="1" applyFont="1" applyFill="1" applyAlignment="1">
      <alignment vertical="top"/>
    </xf>
    <xf numFmtId="166" fontId="36" fillId="0" borderId="0" xfId="0" applyNumberFormat="1" applyFont="1" applyAlignment="1">
      <alignment horizontal="right" vertical="top"/>
    </xf>
    <xf numFmtId="166" fontId="1" fillId="0" borderId="0" xfId="0" applyNumberFormat="1" applyFont="1" applyAlignment="1">
      <alignment vertical="top"/>
    </xf>
    <xf numFmtId="166" fontId="36" fillId="0" borderId="0" xfId="0" applyNumberFormat="1" applyFont="1" applyAlignment="1">
      <alignment vertical="top"/>
    </xf>
    <xf numFmtId="0" fontId="34" fillId="6" borderId="0" xfId="0" applyFont="1" applyFill="1" applyAlignment="1">
      <alignment vertical="top" wrapText="1" readingOrder="1"/>
    </xf>
    <xf numFmtId="166" fontId="34" fillId="6" borderId="0" xfId="0" applyNumberFormat="1" applyFont="1" applyFill="1" applyAlignment="1">
      <alignment horizontal="right" vertical="top"/>
    </xf>
    <xf numFmtId="166" fontId="34" fillId="6" borderId="0" xfId="0" applyNumberFormat="1" applyFont="1" applyFill="1" applyAlignment="1">
      <alignment vertical="top"/>
    </xf>
    <xf numFmtId="171" fontId="3" fillId="0" borderId="0" xfId="0" applyNumberFormat="1" applyFont="1" applyAlignment="1">
      <alignment vertical="top"/>
    </xf>
    <xf numFmtId="0" fontId="38" fillId="0" borderId="0" xfId="0" applyFont="1" applyAlignment="1">
      <alignment horizontal="center"/>
    </xf>
    <xf numFmtId="0" fontId="39" fillId="0" borderId="0" xfId="0" applyFont="1" applyAlignment="1">
      <alignment horizontal="center"/>
    </xf>
    <xf numFmtId="0" fontId="1" fillId="0" borderId="28" xfId="0" applyFont="1" applyBorder="1" applyAlignment="1">
      <alignment horizontal="center" vertical="center"/>
    </xf>
    <xf numFmtId="0" fontId="40" fillId="0" borderId="29" xfId="0" applyFont="1" applyBorder="1" applyAlignment="1">
      <alignment horizontal="center" vertical="center"/>
    </xf>
    <xf numFmtId="0" fontId="40" fillId="0" borderId="30" xfId="0" applyFont="1" applyBorder="1" applyAlignment="1">
      <alignment horizontal="center" vertical="center"/>
    </xf>
    <xf numFmtId="0" fontId="40" fillId="0" borderId="31" xfId="0" applyFont="1" applyBorder="1" applyAlignment="1">
      <alignment horizontal="center" vertical="center"/>
    </xf>
    <xf numFmtId="165" fontId="40" fillId="0" borderId="31" xfId="0" applyNumberFormat="1" applyFont="1" applyBorder="1" applyAlignment="1">
      <alignment horizontal="center" vertical="center"/>
    </xf>
    <xf numFmtId="165" fontId="40" fillId="0" borderId="32" xfId="0" applyNumberFormat="1" applyFont="1" applyBorder="1" applyAlignment="1">
      <alignment horizontal="center" vertical="center"/>
    </xf>
    <xf numFmtId="165" fontId="40" fillId="0" borderId="33" xfId="0" applyNumberFormat="1" applyFont="1" applyBorder="1" applyAlignment="1">
      <alignment horizontal="center" vertical="center"/>
    </xf>
    <xf numFmtId="165" fontId="41" fillId="0" borderId="34" xfId="0" applyNumberFormat="1" applyFont="1" applyBorder="1" applyAlignment="1">
      <alignment horizontal="center" vertical="center"/>
    </xf>
    <xf numFmtId="0" fontId="42" fillId="0" borderId="3" xfId="0" applyFont="1" applyBorder="1" applyAlignment="1">
      <alignment horizontal="center" vertical="center"/>
    </xf>
    <xf numFmtId="0" fontId="42" fillId="0" borderId="7" xfId="0" applyFont="1" applyBorder="1" applyAlignment="1">
      <alignment horizontal="center" vertical="center"/>
    </xf>
    <xf numFmtId="0" fontId="42" fillId="0" borderId="35" xfId="0" applyFont="1" applyBorder="1" applyAlignment="1">
      <alignment horizontal="center" vertical="center"/>
    </xf>
    <xf numFmtId="0" fontId="42" fillId="0" borderId="36" xfId="0" applyFont="1" applyBorder="1" applyAlignment="1">
      <alignment horizontal="center" vertical="center"/>
    </xf>
    <xf numFmtId="0" fontId="42" fillId="0" borderId="37" xfId="0" applyFont="1" applyBorder="1" applyAlignment="1">
      <alignment horizontal="center" vertical="center"/>
    </xf>
    <xf numFmtId="165" fontId="42" fillId="0" borderId="37" xfId="0" applyNumberFormat="1" applyFont="1" applyBorder="1" applyAlignment="1">
      <alignment horizontal="center" vertical="center"/>
    </xf>
    <xf numFmtId="165" fontId="42" fillId="0" borderId="38" xfId="0" applyNumberFormat="1" applyFont="1" applyBorder="1" applyAlignment="1">
      <alignment horizontal="center" vertical="center"/>
    </xf>
    <xf numFmtId="0" fontId="1" fillId="0" borderId="39" xfId="0" applyFont="1" applyBorder="1"/>
    <xf numFmtId="0" fontId="1" fillId="0" borderId="40" xfId="0" applyFont="1" applyBorder="1"/>
    <xf numFmtId="165" fontId="1" fillId="0" borderId="40" xfId="0" applyNumberFormat="1" applyFont="1" applyBorder="1"/>
    <xf numFmtId="165" fontId="1" fillId="0" borderId="33" xfId="0" applyNumberFormat="1" applyFont="1" applyBorder="1"/>
    <xf numFmtId="0" fontId="4" fillId="0" borderId="41" xfId="0" applyFont="1" applyBorder="1"/>
    <xf numFmtId="168" fontId="43" fillId="0" borderId="20" xfId="0" applyNumberFormat="1" applyFont="1" applyBorder="1"/>
    <xf numFmtId="168" fontId="43" fillId="0" borderId="42" xfId="0" applyNumberFormat="1" applyFont="1" applyBorder="1"/>
    <xf numFmtId="168" fontId="1" fillId="0" borderId="42" xfId="0" applyNumberFormat="1" applyFont="1" applyBorder="1"/>
    <xf numFmtId="165" fontId="43" fillId="0" borderId="42" xfId="0" applyNumberFormat="1" applyFont="1" applyBorder="1"/>
    <xf numFmtId="165" fontId="1" fillId="0" borderId="42" xfId="0" applyNumberFormat="1" applyFont="1" applyBorder="1"/>
    <xf numFmtId="165" fontId="44" fillId="0" borderId="43" xfId="0" applyNumberFormat="1" applyFont="1" applyBorder="1"/>
    <xf numFmtId="165" fontId="43" fillId="0" borderId="20" xfId="0" applyNumberFormat="1" applyFont="1" applyBorder="1"/>
    <xf numFmtId="0" fontId="43" fillId="0" borderId="20" xfId="0" applyFont="1" applyBorder="1"/>
    <xf numFmtId="165" fontId="4" fillId="0" borderId="42" xfId="0" applyNumberFormat="1" applyFont="1" applyBorder="1"/>
    <xf numFmtId="0" fontId="1" fillId="0" borderId="8" xfId="0" applyFont="1" applyBorder="1"/>
    <xf numFmtId="168" fontId="43" fillId="0" borderId="0" xfId="0" applyNumberFormat="1" applyFont="1"/>
    <xf numFmtId="0" fontId="43" fillId="0" borderId="0" xfId="0" applyFont="1"/>
    <xf numFmtId="0" fontId="1" fillId="0" borderId="41" xfId="0" applyFont="1" applyBorder="1"/>
    <xf numFmtId="168" fontId="1" fillId="0" borderId="20" xfId="0" applyNumberFormat="1" applyFont="1" applyBorder="1"/>
    <xf numFmtId="0" fontId="1" fillId="0" borderId="20" xfId="0" applyFont="1" applyBorder="1"/>
    <xf numFmtId="0" fontId="45" fillId="0" borderId="8" xfId="0" applyFont="1" applyBorder="1"/>
    <xf numFmtId="168" fontId="45" fillId="0" borderId="0" xfId="0" applyNumberFormat="1" applyFont="1"/>
    <xf numFmtId="0" fontId="45" fillId="0" borderId="0" xfId="0" applyFont="1"/>
    <xf numFmtId="165" fontId="45" fillId="0" borderId="0" xfId="0" applyNumberFormat="1" applyFont="1"/>
    <xf numFmtId="0" fontId="1" fillId="0" borderId="42" xfId="0" applyFont="1" applyBorder="1"/>
    <xf numFmtId="165" fontId="1" fillId="0" borderId="9" xfId="0" applyNumberFormat="1" applyFont="1" applyBorder="1"/>
    <xf numFmtId="0" fontId="39" fillId="0" borderId="29" xfId="0" applyFont="1" applyBorder="1" applyAlignment="1">
      <alignment horizontal="right"/>
    </xf>
    <xf numFmtId="168" fontId="39" fillId="0" borderId="30" xfId="0" applyNumberFormat="1" applyFont="1" applyBorder="1" applyAlignment="1">
      <alignment horizontal="right"/>
    </xf>
    <xf numFmtId="165" fontId="39" fillId="0" borderId="30" xfId="0" applyNumberFormat="1" applyFont="1" applyBorder="1" applyAlignment="1">
      <alignment horizontal="right"/>
    </xf>
    <xf numFmtId="165" fontId="39" fillId="0" borderId="32" xfId="0" applyNumberFormat="1" applyFont="1" applyBorder="1" applyAlignment="1">
      <alignment horizontal="right"/>
    </xf>
    <xf numFmtId="169" fontId="1" fillId="0" borderId="20" xfId="0" applyNumberFormat="1" applyFont="1" applyBorder="1"/>
    <xf numFmtId="169" fontId="1" fillId="0" borderId="42" xfId="0" applyNumberFormat="1" applyFont="1" applyBorder="1"/>
    <xf numFmtId="165" fontId="1" fillId="0" borderId="43" xfId="0" applyNumberFormat="1" applyFont="1" applyBorder="1"/>
    <xf numFmtId="0" fontId="1" fillId="0" borderId="44" xfId="0" applyFont="1" applyBorder="1"/>
    <xf numFmtId="0" fontId="1" fillId="0" borderId="45" xfId="0" applyFont="1" applyBorder="1"/>
    <xf numFmtId="0" fontId="1" fillId="0" borderId="46" xfId="0" applyFont="1" applyBorder="1"/>
    <xf numFmtId="165" fontId="1" fillId="0" borderId="46" xfId="0" applyNumberFormat="1" applyFont="1" applyBorder="1"/>
    <xf numFmtId="165" fontId="1" fillId="0" borderId="38" xfId="0" applyNumberFormat="1" applyFont="1" applyBorder="1"/>
    <xf numFmtId="169" fontId="46" fillId="0" borderId="0" xfId="0" applyNumberFormat="1" applyFont="1"/>
    <xf numFmtId="165" fontId="46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Tema de 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41"/>
  <sheetViews>
    <sheetView workbookViewId="0" zoomScale="100" zoomScaleNormal="100">
      <selection activeCell="A3" sqref="A3"/>
    </sheetView>
  </sheetViews>
  <sheetFormatPr defaultRowHeight="13.2" outlineLevelRow="0" outlineLevelCol="0" x14ac:dyDescent="0.3" defaultColWidth="10.6640625" customHeight="1"/>
  <cols>
    <col min="1" max="1" width="52" style="1" customWidth="1"/>
    <col min="2" max="2" width="16" style="1" customWidth="1"/>
    <col min="3" max="10" width="3" style="1" customWidth="1"/>
    <col min="11" max="11" width="14" style="1" customWidth="1"/>
    <col min="12" max="12" width="3" style="1" customWidth="1"/>
    <col min="13" max="13" width="14" style="1" customWidth="1"/>
    <col min="14" max="15" width="3" style="1" customWidth="1"/>
    <col min="16" max="16" width="14" style="1" customWidth="1"/>
  </cols>
  <sheetData>
    <row r="1" ht="15" customHeight="1" spans="1:16" x14ac:dyDescent="0.25">
      <c r="A1" s="2" t="s">
        <v>0</v>
      </c>
      <c r="B1" s="3" t="s">
        <v>1</v>
      </c>
      <c r="C1" s="4"/>
      <c r="D1" s="2"/>
      <c r="E1" s="5"/>
      <c r="F1" s="2"/>
      <c r="G1" s="2"/>
      <c r="H1" s="2"/>
      <c r="I1" s="2"/>
      <c r="J1" s="2"/>
      <c r="K1" s="2">
        <v>0</v>
      </c>
      <c r="L1" s="2"/>
      <c r="M1" s="2">
        <v>0</v>
      </c>
      <c r="N1" s="2"/>
      <c r="O1" s="2"/>
      <c r="P1" s="2">
        <v>0</v>
      </c>
    </row>
    <row r="2" ht="15" customHeight="1" spans="1:16" x14ac:dyDescent="0.25">
      <c r="A2" s="6" t="s">
        <v>2</v>
      </c>
      <c r="B2" s="7"/>
      <c r="C2" s="8"/>
      <c r="D2" s="6"/>
      <c r="E2" s="9"/>
      <c r="F2" s="6"/>
      <c r="G2" s="6"/>
      <c r="H2" s="6"/>
      <c r="I2" s="6"/>
      <c r="J2" s="6"/>
      <c r="K2" s="6"/>
      <c r="L2" s="6"/>
      <c r="M2" s="6"/>
      <c r="N2" s="6"/>
      <c r="O2" s="6"/>
      <c r="P2" s="6"/>
    </row>
    <row r="3" ht="15" customHeight="1" spans="1:16" x14ac:dyDescent="0.25">
      <c r="A3" s="10" t="s">
        <v>3</v>
      </c>
      <c r="B3" s="11" t="s">
        <v>4</v>
      </c>
      <c r="C3" s="12"/>
      <c r="D3" s="13"/>
      <c r="E3" s="14"/>
      <c r="F3" s="13"/>
      <c r="G3" s="13"/>
      <c r="H3" s="13"/>
      <c r="I3" s="13"/>
      <c r="J3" s="13"/>
      <c r="K3" s="13">
        <v>1238.25</v>
      </c>
      <c r="L3" s="13"/>
      <c r="M3" s="13">
        <v>0</v>
      </c>
      <c r="N3" s="13"/>
      <c r="O3" s="13"/>
      <c r="P3" s="13">
        <v>1238.25</v>
      </c>
    </row>
    <row r="4" ht="15" customHeight="1" spans="1:16" x14ac:dyDescent="0.25">
      <c r="A4" s="10" t="s">
        <v>5</v>
      </c>
      <c r="B4" s="11" t="s">
        <v>6</v>
      </c>
      <c r="C4" s="12"/>
      <c r="D4" s="13"/>
      <c r="E4" s="14"/>
      <c r="F4" s="13"/>
      <c r="G4" s="13"/>
      <c r="H4" s="13"/>
      <c r="I4" s="13"/>
      <c r="J4" s="13"/>
      <c r="K4" s="13">
        <v>8810.54</v>
      </c>
      <c r="L4" s="13"/>
      <c r="M4" s="13">
        <v>0</v>
      </c>
      <c r="N4" s="13"/>
      <c r="O4" s="13"/>
      <c r="P4" s="13">
        <v>8810.54</v>
      </c>
    </row>
    <row r="5" ht="15" customHeight="1" spans="1:16" x14ac:dyDescent="0.25">
      <c r="A5" s="10" t="s">
        <v>7</v>
      </c>
      <c r="B5" s="11" t="s">
        <v>8</v>
      </c>
      <c r="C5" s="12"/>
      <c r="D5" s="13"/>
      <c r="E5" s="14"/>
      <c r="F5" s="13"/>
      <c r="G5" s="13"/>
      <c r="H5" s="13"/>
      <c r="I5" s="13"/>
      <c r="J5" s="13"/>
      <c r="K5" s="13">
        <v>2558.21</v>
      </c>
      <c r="L5" s="13"/>
      <c r="M5" s="13">
        <v>0</v>
      </c>
      <c r="N5" s="13"/>
      <c r="O5" s="13"/>
      <c r="P5" s="13">
        <v>2558.21</v>
      </c>
    </row>
    <row r="6" ht="15" customHeight="1" spans="1:16" x14ac:dyDescent="0.25">
      <c r="A6" s="10" t="s">
        <v>9</v>
      </c>
      <c r="B6" s="11" t="s">
        <v>10</v>
      </c>
      <c r="C6" s="12"/>
      <c r="D6" s="13"/>
      <c r="E6" s="14"/>
      <c r="F6" s="13"/>
      <c r="G6" s="13"/>
      <c r="H6" s="13"/>
      <c r="I6" s="13"/>
      <c r="J6" s="13"/>
      <c r="K6" s="13">
        <v>0</v>
      </c>
      <c r="L6" s="13"/>
      <c r="M6" s="13">
        <v>0</v>
      </c>
      <c r="N6" s="13"/>
      <c r="O6" s="13"/>
      <c r="P6" s="13">
        <v>0</v>
      </c>
    </row>
    <row r="7" ht="15" customHeight="1" spans="1:16" x14ac:dyDescent="0.25">
      <c r="A7" s="10" t="s">
        <v>11</v>
      </c>
      <c r="B7" s="11" t="s">
        <v>12</v>
      </c>
      <c r="C7" s="12"/>
      <c r="D7" s="13"/>
      <c r="E7" s="14"/>
      <c r="F7" s="13"/>
      <c r="G7" s="13"/>
      <c r="H7" s="13"/>
      <c r="I7" s="13"/>
      <c r="J7" s="13"/>
      <c r="K7" s="13">
        <v>0</v>
      </c>
      <c r="L7" s="13"/>
      <c r="M7" s="13">
        <v>0</v>
      </c>
      <c r="N7" s="13"/>
      <c r="O7" s="13"/>
      <c r="P7" s="13">
        <v>0</v>
      </c>
    </row>
    <row r="8" ht="15" customHeight="1" spans="1:16" x14ac:dyDescent="0.25">
      <c r="A8" s="10" t="s">
        <v>13</v>
      </c>
      <c r="B8" s="11" t="s">
        <v>14</v>
      </c>
      <c r="C8" s="12"/>
      <c r="D8" s="13"/>
      <c r="E8" s="13"/>
      <c r="F8" s="13"/>
      <c r="G8" s="13"/>
      <c r="H8" s="13"/>
      <c r="I8" s="13"/>
      <c r="J8" s="13"/>
      <c r="K8" s="13">
        <v>0</v>
      </c>
      <c r="L8" s="13"/>
      <c r="M8" s="13">
        <v>0</v>
      </c>
      <c r="N8" s="13"/>
      <c r="O8" s="13"/>
      <c r="P8" s="13">
        <v>0</v>
      </c>
    </row>
    <row r="9" ht="15" customHeight="1" spans="1:16" x14ac:dyDescent="0.25">
      <c r="A9" s="10" t="s">
        <v>15</v>
      </c>
      <c r="B9" s="11" t="s">
        <v>16</v>
      </c>
      <c r="C9" s="12"/>
      <c r="D9" s="13"/>
      <c r="E9" s="14"/>
      <c r="F9" s="13"/>
      <c r="G9" s="13"/>
      <c r="H9" s="13"/>
      <c r="I9" s="13"/>
      <c r="J9" s="13"/>
      <c r="K9" s="13">
        <v>6000</v>
      </c>
      <c r="L9" s="13"/>
      <c r="M9" s="13">
        <v>0</v>
      </c>
      <c r="N9" s="13"/>
      <c r="O9" s="13"/>
      <c r="P9" s="13">
        <v>6000</v>
      </c>
    </row>
    <row r="10" ht="15" customHeight="1" spans="1:16" x14ac:dyDescent="0.25">
      <c r="A10" s="10" t="s">
        <v>17</v>
      </c>
      <c r="B10" s="11" t="s">
        <v>18</v>
      </c>
      <c r="C10" s="12"/>
      <c r="D10" s="13"/>
      <c r="E10" s="14"/>
      <c r="F10" s="13"/>
      <c r="G10" s="13"/>
      <c r="H10" s="13"/>
      <c r="I10" s="13"/>
      <c r="J10" s="13"/>
      <c r="K10" s="13">
        <v>176.08</v>
      </c>
      <c r="L10" s="13"/>
      <c r="M10" s="13">
        <v>0</v>
      </c>
      <c r="N10" s="13"/>
      <c r="O10" s="13"/>
      <c r="P10" s="13">
        <v>176.08</v>
      </c>
    </row>
    <row r="11" ht="15" customHeight="1" spans="1:16" x14ac:dyDescent="0.25">
      <c r="A11" s="10" t="s">
        <v>19</v>
      </c>
      <c r="B11" s="11" t="s">
        <v>20</v>
      </c>
      <c r="C11" s="15"/>
      <c r="D11" s="13"/>
      <c r="E11" s="14"/>
      <c r="F11" s="13"/>
      <c r="G11" s="13"/>
      <c r="H11" s="13"/>
      <c r="I11" s="13"/>
      <c r="J11" s="13"/>
      <c r="K11" s="13">
        <v>427.8</v>
      </c>
      <c r="L11" s="13"/>
      <c r="M11" s="13">
        <v>0</v>
      </c>
      <c r="N11" s="13"/>
      <c r="O11" s="13"/>
      <c r="P11" s="13">
        <v>427.8</v>
      </c>
    </row>
    <row r="12" ht="15" customHeight="1" spans="1:16" x14ac:dyDescent="0.25">
      <c r="A12" s="10" t="s">
        <v>21</v>
      </c>
      <c r="B12" s="11" t="s">
        <v>22</v>
      </c>
      <c r="C12" s="15"/>
      <c r="D12" s="13"/>
      <c r="E12" s="14"/>
      <c r="F12" s="13"/>
      <c r="G12" s="13"/>
      <c r="H12" s="13"/>
      <c r="I12" s="13"/>
      <c r="J12" s="13"/>
      <c r="K12" s="13">
        <v>3918.01</v>
      </c>
      <c r="L12" s="13"/>
      <c r="M12" s="13">
        <v>0</v>
      </c>
      <c r="N12" s="13"/>
      <c r="O12" s="13"/>
      <c r="P12" s="13">
        <v>3918.01</v>
      </c>
    </row>
    <row r="13" ht="15" customHeight="1" spans="1:16" x14ac:dyDescent="0.25">
      <c r="A13" s="10" t="s">
        <v>23</v>
      </c>
      <c r="B13" s="11" t="s">
        <v>24</v>
      </c>
      <c r="C13" s="15"/>
      <c r="D13" s="13"/>
      <c r="E13" s="14"/>
      <c r="F13" s="13"/>
      <c r="G13" s="13"/>
      <c r="H13" s="13"/>
      <c r="I13" s="13"/>
      <c r="J13" s="13"/>
      <c r="K13" s="13">
        <v>0</v>
      </c>
      <c r="L13" s="13"/>
      <c r="M13" s="13">
        <v>0</v>
      </c>
      <c r="N13" s="13"/>
      <c r="O13" s="13"/>
      <c r="P13" s="13">
        <v>0</v>
      </c>
    </row>
    <row r="14" ht="15" customHeight="1" spans="1:16" x14ac:dyDescent="0.25">
      <c r="A14" s="10" t="s">
        <v>25</v>
      </c>
      <c r="B14" s="11" t="s">
        <v>26</v>
      </c>
      <c r="C14" s="15"/>
      <c r="D14" s="13"/>
      <c r="E14" s="14"/>
      <c r="F14" s="13"/>
      <c r="G14" s="13"/>
      <c r="H14" s="13"/>
      <c r="I14" s="13"/>
      <c r="J14" s="13"/>
      <c r="K14" s="13">
        <v>395.49</v>
      </c>
      <c r="L14" s="13"/>
      <c r="M14" s="13">
        <v>0</v>
      </c>
      <c r="N14" s="13"/>
      <c r="O14" s="13"/>
      <c r="P14" s="13">
        <v>395.49</v>
      </c>
    </row>
    <row r="15" ht="15" customHeight="1" spans="1:16" x14ac:dyDescent="0.25">
      <c r="A15" s="10" t="s">
        <v>27</v>
      </c>
      <c r="B15" s="11" t="s">
        <v>28</v>
      </c>
      <c r="C15" s="15"/>
      <c r="D15" s="13"/>
      <c r="E15" s="14"/>
      <c r="F15" s="13"/>
      <c r="G15" s="13"/>
      <c r="H15" s="13"/>
      <c r="I15" s="13"/>
      <c r="J15" s="13"/>
      <c r="K15" s="13">
        <v>0</v>
      </c>
      <c r="L15" s="13"/>
      <c r="M15" s="13">
        <v>0</v>
      </c>
      <c r="N15" s="13"/>
      <c r="O15" s="13"/>
      <c r="P15" s="13">
        <v>0</v>
      </c>
    </row>
    <row r="16" ht="15" customHeight="1" spans="1:16" x14ac:dyDescent="0.25">
      <c r="A16" s="10" t="s">
        <v>29</v>
      </c>
      <c r="B16" s="11" t="s">
        <v>30</v>
      </c>
      <c r="C16" s="15"/>
      <c r="D16" s="13"/>
      <c r="E16" s="14"/>
      <c r="F16" s="13"/>
      <c r="G16" s="13"/>
      <c r="H16" s="13"/>
      <c r="I16" s="13"/>
      <c r="J16" s="13"/>
      <c r="K16" s="13">
        <v>559.21</v>
      </c>
      <c r="L16" s="13"/>
      <c r="M16" s="13">
        <v>0</v>
      </c>
      <c r="N16" s="13"/>
      <c r="O16" s="13"/>
      <c r="P16" s="13">
        <v>559.21</v>
      </c>
    </row>
    <row r="17" ht="15" customHeight="1" spans="1:16" x14ac:dyDescent="0.25">
      <c r="A17" s="10" t="s">
        <v>31</v>
      </c>
      <c r="B17" s="11" t="s">
        <v>32</v>
      </c>
      <c r="C17" s="15"/>
      <c r="D17" s="13"/>
      <c r="E17" s="14"/>
      <c r="F17" s="13"/>
      <c r="G17" s="13"/>
      <c r="H17" s="13"/>
      <c r="I17" s="13"/>
      <c r="J17" s="13"/>
      <c r="K17" s="13">
        <v>0</v>
      </c>
      <c r="L17" s="13"/>
      <c r="M17" s="13">
        <v>0</v>
      </c>
      <c r="N17" s="13"/>
      <c r="O17" s="13"/>
      <c r="P17" s="13">
        <v>0</v>
      </c>
    </row>
    <row r="18" ht="15" customHeight="1" spans="1:16" x14ac:dyDescent="0.25">
      <c r="A18" s="10" t="s">
        <v>33</v>
      </c>
      <c r="B18" s="11" t="s">
        <v>34</v>
      </c>
      <c r="C18" s="15"/>
      <c r="D18" s="13"/>
      <c r="E18" s="14"/>
      <c r="F18" s="13"/>
      <c r="G18" s="13"/>
      <c r="H18" s="13"/>
      <c r="I18" s="13"/>
      <c r="J18" s="13"/>
      <c r="K18" s="13">
        <v>1748.6000000000001</v>
      </c>
      <c r="L18" s="13"/>
      <c r="M18" s="13">
        <v>0</v>
      </c>
      <c r="N18" s="13"/>
      <c r="O18" s="13"/>
      <c r="P18" s="13">
        <v>1748.6000000000001</v>
      </c>
    </row>
    <row r="19" ht="15" customHeight="1" spans="1:16" x14ac:dyDescent="0.25">
      <c r="A19" s="10" t="s">
        <v>35</v>
      </c>
      <c r="B19" s="11" t="s">
        <v>36</v>
      </c>
      <c r="C19" s="15"/>
      <c r="D19" s="13"/>
      <c r="E19" s="14"/>
      <c r="F19" s="13"/>
      <c r="G19" s="13"/>
      <c r="H19" s="13"/>
      <c r="I19" s="13"/>
      <c r="J19" s="13"/>
      <c r="K19" s="13">
        <v>0</v>
      </c>
      <c r="L19" s="13"/>
      <c r="M19" s="13">
        <v>0</v>
      </c>
      <c r="N19" s="13"/>
      <c r="O19" s="13"/>
      <c r="P19" s="13">
        <v>0</v>
      </c>
    </row>
    <row r="20" ht="15" customHeight="1" spans="1:16" x14ac:dyDescent="0.25">
      <c r="A20" s="13"/>
      <c r="B20" s="11"/>
      <c r="C20" s="15"/>
      <c r="D20" s="13"/>
      <c r="E20" s="14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</row>
    <row r="21" ht="15" customHeight="1" spans="1:16" x14ac:dyDescent="0.25">
      <c r="A21" s="6" t="s">
        <v>37</v>
      </c>
      <c r="B21" s="7"/>
      <c r="C21" s="16"/>
      <c r="D21" s="8"/>
      <c r="E21" s="9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</row>
    <row r="22" ht="15" customHeight="1" spans="1:16" x14ac:dyDescent="0.25">
      <c r="A22" s="10" t="s">
        <v>38</v>
      </c>
      <c r="B22" s="11" t="s">
        <v>39</v>
      </c>
      <c r="C22" s="12"/>
      <c r="D22" s="13"/>
      <c r="E22" s="14"/>
      <c r="F22" s="13"/>
      <c r="G22" s="13"/>
      <c r="H22" s="13"/>
      <c r="I22" s="13"/>
      <c r="J22" s="13"/>
      <c r="K22" s="13">
        <v>0</v>
      </c>
      <c r="L22" s="13"/>
      <c r="M22" s="13">
        <v>0</v>
      </c>
      <c r="N22" s="13"/>
      <c r="O22" s="13"/>
      <c r="P22" s="13">
        <v>0</v>
      </c>
    </row>
    <row r="23" ht="15" customHeight="1" spans="1:16" x14ac:dyDescent="0.25">
      <c r="A23" s="10" t="s">
        <v>40</v>
      </c>
      <c r="B23" s="11" t="s">
        <v>41</v>
      </c>
      <c r="C23" s="12"/>
      <c r="D23" s="13"/>
      <c r="E23" s="14"/>
      <c r="F23" s="13"/>
      <c r="G23" s="13"/>
      <c r="H23" s="13"/>
      <c r="I23" s="13"/>
      <c r="J23" s="13"/>
      <c r="K23" s="13">
        <v>0</v>
      </c>
      <c r="L23" s="13"/>
      <c r="M23" s="13">
        <v>0</v>
      </c>
      <c r="N23" s="13"/>
      <c r="O23" s="13"/>
      <c r="P23" s="13">
        <v>0</v>
      </c>
    </row>
    <row r="24" ht="15" customHeight="1" spans="1:16" x14ac:dyDescent="0.25">
      <c r="A24" s="10" t="s">
        <v>11</v>
      </c>
      <c r="B24" s="11" t="s">
        <v>42</v>
      </c>
      <c r="C24" s="12"/>
      <c r="D24" s="13"/>
      <c r="E24" s="14"/>
      <c r="F24" s="13"/>
      <c r="G24" s="13"/>
      <c r="H24" s="13"/>
      <c r="I24" s="13"/>
      <c r="J24" s="13"/>
      <c r="K24" s="13">
        <v>634.65</v>
      </c>
      <c r="L24" s="13"/>
      <c r="M24" s="13">
        <v>0</v>
      </c>
      <c r="N24" s="13"/>
      <c r="O24" s="13"/>
      <c r="P24" s="13">
        <v>634.65</v>
      </c>
    </row>
    <row r="25" ht="15" customHeight="1" spans="1:16" x14ac:dyDescent="0.25">
      <c r="A25" s="10" t="s">
        <v>43</v>
      </c>
      <c r="B25" s="11" t="s">
        <v>44</v>
      </c>
      <c r="C25" s="12"/>
      <c r="D25" s="13"/>
      <c r="E25" s="14"/>
      <c r="F25" s="13"/>
      <c r="G25" s="13"/>
      <c r="H25" s="13"/>
      <c r="I25" s="13"/>
      <c r="J25" s="13"/>
      <c r="K25" s="13">
        <v>123.47</v>
      </c>
      <c r="L25" s="13"/>
      <c r="M25" s="13">
        <v>0</v>
      </c>
      <c r="N25" s="13"/>
      <c r="O25" s="13"/>
      <c r="P25" s="13">
        <v>123.47</v>
      </c>
    </row>
    <row r="26" ht="15" customHeight="1" spans="1:16" x14ac:dyDescent="0.25">
      <c r="A26" s="10" t="s">
        <v>45</v>
      </c>
      <c r="B26" s="11" t="s">
        <v>46</v>
      </c>
      <c r="C26" s="15"/>
      <c r="D26" s="13"/>
      <c r="E26" s="14"/>
      <c r="F26" s="13"/>
      <c r="G26" s="13"/>
      <c r="H26" s="13"/>
      <c r="I26" s="13"/>
      <c r="J26" s="13"/>
      <c r="K26" s="13">
        <v>1181.74</v>
      </c>
      <c r="L26" s="13"/>
      <c r="M26" s="13">
        <v>0</v>
      </c>
      <c r="N26" s="13"/>
      <c r="O26" s="13"/>
      <c r="P26" s="13">
        <v>1181.74</v>
      </c>
    </row>
    <row r="27" ht="15" customHeight="1" spans="1:16" x14ac:dyDescent="0.25">
      <c r="A27" s="10" t="s">
        <v>47</v>
      </c>
      <c r="B27" s="11" t="s">
        <v>48</v>
      </c>
      <c r="C27" s="12"/>
      <c r="D27" s="13"/>
      <c r="E27" s="14"/>
      <c r="F27" s="13"/>
      <c r="G27" s="13"/>
      <c r="H27" s="13"/>
      <c r="I27" s="13"/>
      <c r="J27" s="13"/>
      <c r="K27" s="13">
        <v>0</v>
      </c>
      <c r="L27" s="13"/>
      <c r="M27" s="13">
        <v>0</v>
      </c>
      <c r="N27" s="13"/>
      <c r="O27" s="13"/>
      <c r="P27" s="13">
        <v>0</v>
      </c>
    </row>
    <row r="28" ht="15" customHeight="1" spans="1:16" x14ac:dyDescent="0.25">
      <c r="A28" s="10" t="s">
        <v>49</v>
      </c>
      <c r="B28" s="11" t="s">
        <v>50</v>
      </c>
      <c r="C28" s="12"/>
      <c r="D28" s="13"/>
      <c r="E28" s="14"/>
      <c r="F28" s="13"/>
      <c r="G28" s="13"/>
      <c r="H28" s="13"/>
      <c r="I28" s="13"/>
      <c r="J28" s="13"/>
      <c r="K28" s="13">
        <v>142.21</v>
      </c>
      <c r="L28" s="13"/>
      <c r="M28" s="13">
        <v>0</v>
      </c>
      <c r="N28" s="13"/>
      <c r="O28" s="13"/>
      <c r="P28" s="13">
        <v>142.21</v>
      </c>
    </row>
    <row r="29" ht="15" customHeight="1" spans="1:16" x14ac:dyDescent="0.25">
      <c r="A29" s="10" t="s">
        <v>23</v>
      </c>
      <c r="B29" s="11" t="s">
        <v>51</v>
      </c>
      <c r="C29" s="12"/>
      <c r="D29" s="13"/>
      <c r="E29" s="14"/>
      <c r="F29" s="13"/>
      <c r="G29" s="13"/>
      <c r="H29" s="13"/>
      <c r="I29" s="13"/>
      <c r="J29" s="13"/>
      <c r="K29" s="13">
        <v>130.94</v>
      </c>
      <c r="L29" s="13"/>
      <c r="M29" s="13">
        <v>0</v>
      </c>
      <c r="N29" s="13"/>
      <c r="O29" s="13"/>
      <c r="P29" s="13">
        <v>130.94</v>
      </c>
    </row>
    <row r="30" ht="15" customHeight="1" spans="1:16" x14ac:dyDescent="0.25">
      <c r="A30" s="10" t="s">
        <v>52</v>
      </c>
      <c r="B30" s="11" t="s">
        <v>53</v>
      </c>
      <c r="C30" s="15"/>
      <c r="D30" s="15"/>
      <c r="E30" s="14"/>
      <c r="F30" s="13"/>
      <c r="G30" s="13"/>
      <c r="H30" s="13"/>
      <c r="I30" s="13"/>
      <c r="J30" s="13"/>
      <c r="K30" s="13">
        <v>0</v>
      </c>
      <c r="L30" s="13"/>
      <c r="M30" s="13">
        <v>0</v>
      </c>
      <c r="N30" s="13"/>
      <c r="O30" s="13"/>
      <c r="P30" s="13">
        <v>0</v>
      </c>
    </row>
    <row r="31" ht="15" customHeight="1" spans="1:16" x14ac:dyDescent="0.25">
      <c r="A31" s="10" t="s">
        <v>54</v>
      </c>
      <c r="B31" s="11" t="s">
        <v>55</v>
      </c>
      <c r="C31" s="15"/>
      <c r="D31" s="15"/>
      <c r="E31" s="14"/>
      <c r="F31" s="13"/>
      <c r="G31" s="13"/>
      <c r="H31" s="13"/>
      <c r="I31" s="13"/>
      <c r="J31" s="13"/>
      <c r="K31" s="13">
        <v>0</v>
      </c>
      <c r="L31" s="13"/>
      <c r="M31" s="13">
        <v>0</v>
      </c>
      <c r="N31" s="13"/>
      <c r="O31" s="13"/>
      <c r="P31" s="13">
        <v>0</v>
      </c>
    </row>
    <row r="32" ht="15" customHeight="1" spans="1:16" x14ac:dyDescent="0.25">
      <c r="A32" s="10" t="s">
        <v>56</v>
      </c>
      <c r="B32" s="11" t="s">
        <v>57</v>
      </c>
      <c r="C32" s="15"/>
      <c r="D32" s="15"/>
      <c r="E32" s="14"/>
      <c r="F32" s="13"/>
      <c r="G32" s="13"/>
      <c r="H32" s="13"/>
      <c r="I32" s="13"/>
      <c r="J32" s="13"/>
      <c r="K32" s="13">
        <v>0</v>
      </c>
      <c r="L32" s="13"/>
      <c r="M32" s="13">
        <v>0</v>
      </c>
      <c r="N32" s="13"/>
      <c r="O32" s="13"/>
      <c r="P32" s="13">
        <v>0</v>
      </c>
    </row>
    <row r="33" ht="15" customHeight="1" spans="1:16" x14ac:dyDescent="0.25">
      <c r="A33" s="10" t="s">
        <v>58</v>
      </c>
      <c r="B33" s="11" t="s">
        <v>59</v>
      </c>
      <c r="C33" s="12"/>
      <c r="D33" s="15"/>
      <c r="E33" s="14"/>
      <c r="F33" s="13"/>
      <c r="G33" s="13"/>
      <c r="H33" s="13"/>
      <c r="I33" s="13"/>
      <c r="J33" s="13"/>
      <c r="K33" s="13">
        <v>64.7</v>
      </c>
      <c r="L33" s="13"/>
      <c r="M33" s="13">
        <v>0</v>
      </c>
      <c r="N33" s="13"/>
      <c r="O33" s="13"/>
      <c r="P33" s="13">
        <v>64.7</v>
      </c>
    </row>
    <row r="34" ht="15" customHeight="1" spans="1:16" x14ac:dyDescent="0.25">
      <c r="A34" s="10" t="s">
        <v>27</v>
      </c>
      <c r="B34" s="11" t="s">
        <v>60</v>
      </c>
      <c r="C34" s="12"/>
      <c r="D34" s="13"/>
      <c r="E34" s="14"/>
      <c r="F34" s="13"/>
      <c r="G34" s="13"/>
      <c r="H34" s="13"/>
      <c r="I34" s="13"/>
      <c r="J34" s="13"/>
      <c r="K34" s="13">
        <v>0</v>
      </c>
      <c r="L34" s="13"/>
      <c r="M34" s="13">
        <v>0</v>
      </c>
      <c r="N34" s="13"/>
      <c r="O34" s="13"/>
      <c r="P34" s="13">
        <v>0</v>
      </c>
    </row>
    <row r="35" ht="15" customHeight="1" spans="1:16" x14ac:dyDescent="0.25">
      <c r="A35" s="10" t="s">
        <v>61</v>
      </c>
      <c r="B35" s="11" t="s">
        <v>62</v>
      </c>
      <c r="C35" s="12"/>
      <c r="D35" s="15"/>
      <c r="E35" s="14"/>
      <c r="F35" s="13"/>
      <c r="G35" s="13"/>
      <c r="H35" s="13"/>
      <c r="I35" s="13"/>
      <c r="J35" s="13"/>
      <c r="K35" s="13">
        <v>20.71</v>
      </c>
      <c r="L35" s="13"/>
      <c r="M35" s="13">
        <v>0</v>
      </c>
      <c r="N35" s="13"/>
      <c r="O35" s="13"/>
      <c r="P35" s="13">
        <v>20.71</v>
      </c>
    </row>
    <row r="36" ht="15" customHeight="1" spans="1:16" x14ac:dyDescent="0.25">
      <c r="A36" s="10" t="s">
        <v>63</v>
      </c>
      <c r="B36" s="11" t="s">
        <v>64</v>
      </c>
      <c r="C36" s="12"/>
      <c r="D36" s="13"/>
      <c r="E36" s="14"/>
      <c r="F36" s="13"/>
      <c r="G36" s="13"/>
      <c r="H36" s="13"/>
      <c r="I36" s="13"/>
      <c r="J36" s="13"/>
      <c r="K36" s="13">
        <v>0</v>
      </c>
      <c r="L36" s="13"/>
      <c r="M36" s="13">
        <v>0</v>
      </c>
      <c r="N36" s="13"/>
      <c r="O36" s="13"/>
      <c r="P36" s="13">
        <v>0</v>
      </c>
    </row>
    <row r="37" ht="15" customHeight="1" spans="1:16" x14ac:dyDescent="0.25">
      <c r="A37" s="10" t="s">
        <v>31</v>
      </c>
      <c r="B37" s="11" t="s">
        <v>65</v>
      </c>
      <c r="C37" s="12"/>
      <c r="D37" s="13"/>
      <c r="E37" s="14"/>
      <c r="F37" s="13"/>
      <c r="G37" s="13"/>
      <c r="H37" s="13"/>
      <c r="I37" s="13"/>
      <c r="J37" s="13"/>
      <c r="K37" s="13">
        <v>705.37</v>
      </c>
      <c r="L37" s="13"/>
      <c r="M37" s="13">
        <v>5.61</v>
      </c>
      <c r="N37" s="13"/>
      <c r="O37" s="13"/>
      <c r="P37" s="13">
        <v>699.76</v>
      </c>
    </row>
    <row r="38" ht="15" customHeight="1" spans="1:16" x14ac:dyDescent="0.25">
      <c r="A38" s="10" t="s">
        <v>66</v>
      </c>
      <c r="B38" s="11" t="s">
        <v>67</v>
      </c>
      <c r="C38" s="12"/>
      <c r="D38" s="13"/>
      <c r="E38" s="14"/>
      <c r="F38" s="13"/>
      <c r="G38" s="13"/>
      <c r="H38" s="13"/>
      <c r="I38" s="13"/>
      <c r="J38" s="13"/>
      <c r="K38" s="13">
        <v>6398.37</v>
      </c>
      <c r="L38" s="13"/>
      <c r="M38" s="13">
        <v>0</v>
      </c>
      <c r="N38" s="13"/>
      <c r="O38" s="13"/>
      <c r="P38" s="13">
        <v>6398.37</v>
      </c>
    </row>
    <row r="39" ht="15" customHeight="1" spans="1:16" x14ac:dyDescent="0.25">
      <c r="A39" s="10" t="s">
        <v>68</v>
      </c>
      <c r="B39" s="11" t="s">
        <v>69</v>
      </c>
      <c r="C39" s="12"/>
      <c r="D39" s="13"/>
      <c r="E39" s="14"/>
      <c r="F39" s="13"/>
      <c r="G39" s="13"/>
      <c r="H39" s="13"/>
      <c r="I39" s="13"/>
      <c r="J39" s="13"/>
      <c r="K39" s="13">
        <v>546.71</v>
      </c>
      <c r="L39" s="13"/>
      <c r="M39" s="13">
        <v>0</v>
      </c>
      <c r="N39" s="13"/>
      <c r="O39" s="13"/>
      <c r="P39" s="13">
        <v>546.71</v>
      </c>
    </row>
    <row r="40" ht="15" customHeight="1" spans="1:16" x14ac:dyDescent="0.25">
      <c r="A40" s="10" t="s">
        <v>70</v>
      </c>
      <c r="B40" s="11" t="s">
        <v>71</v>
      </c>
      <c r="C40" s="12"/>
      <c r="D40" s="15"/>
      <c r="E40" s="14"/>
      <c r="F40" s="13"/>
      <c r="G40" s="13"/>
      <c r="H40" s="13"/>
      <c r="I40" s="13"/>
      <c r="J40" s="13"/>
      <c r="K40" s="13">
        <v>0</v>
      </c>
      <c r="L40" s="13"/>
      <c r="M40" s="13">
        <v>0</v>
      </c>
      <c r="N40" s="13"/>
      <c r="O40" s="13"/>
      <c r="P40" s="13">
        <v>0</v>
      </c>
    </row>
    <row r="41" ht="15" customHeight="1" spans="1:16" x14ac:dyDescent="0.25">
      <c r="A41" s="10" t="s">
        <v>72</v>
      </c>
      <c r="B41" s="11" t="s">
        <v>73</v>
      </c>
      <c r="C41" s="12"/>
      <c r="D41" s="15"/>
      <c r="E41" s="13"/>
      <c r="F41" s="13"/>
      <c r="G41" s="13"/>
      <c r="H41" s="13"/>
      <c r="I41" s="13"/>
      <c r="J41" s="13"/>
      <c r="K41" s="13">
        <v>0</v>
      </c>
      <c r="L41" s="13"/>
      <c r="M41" s="13">
        <v>0</v>
      </c>
      <c r="N41" s="13"/>
      <c r="O41" s="13"/>
      <c r="P41" s="13">
        <v>0</v>
      </c>
    </row>
    <row r="42" ht="15" customHeight="1" spans="1:16" x14ac:dyDescent="0.25">
      <c r="A42" s="10" t="s">
        <v>74</v>
      </c>
      <c r="B42" s="11" t="s">
        <v>75</v>
      </c>
      <c r="C42" s="12"/>
      <c r="D42" s="15"/>
      <c r="E42" s="14"/>
      <c r="F42" s="13"/>
      <c r="G42" s="13"/>
      <c r="H42" s="13"/>
      <c r="I42" s="13"/>
      <c r="J42" s="13"/>
      <c r="K42" s="13">
        <v>0</v>
      </c>
      <c r="L42" s="13"/>
      <c r="M42" s="13">
        <v>0</v>
      </c>
      <c r="N42" s="13"/>
      <c r="O42" s="13"/>
      <c r="P42" s="13">
        <v>0</v>
      </c>
    </row>
    <row r="43" ht="15" customHeight="1" spans="1:16" x14ac:dyDescent="0.25">
      <c r="A43" s="10" t="s">
        <v>76</v>
      </c>
      <c r="B43" s="11" t="s">
        <v>77</v>
      </c>
      <c r="C43" s="12"/>
      <c r="D43" s="15"/>
      <c r="E43" s="14"/>
      <c r="F43" s="13"/>
      <c r="G43" s="13"/>
      <c r="H43" s="13"/>
      <c r="I43" s="13"/>
      <c r="J43" s="13"/>
      <c r="K43" s="13">
        <v>1767.88</v>
      </c>
      <c r="L43" s="13"/>
      <c r="M43" s="13">
        <v>0</v>
      </c>
      <c r="N43" s="13"/>
      <c r="O43" s="13"/>
      <c r="P43" s="13">
        <v>1767.88</v>
      </c>
    </row>
    <row r="44" ht="15" customHeight="1" spans="1:16" x14ac:dyDescent="0.25">
      <c r="A44" s="10" t="s">
        <v>78</v>
      </c>
      <c r="B44" s="11" t="s">
        <v>79</v>
      </c>
      <c r="C44" s="12"/>
      <c r="D44" s="15"/>
      <c r="E44" s="14"/>
      <c r="F44" s="13"/>
      <c r="G44" s="13"/>
      <c r="H44" s="13"/>
      <c r="I44" s="13"/>
      <c r="J44" s="13"/>
      <c r="K44" s="13">
        <v>4896.38</v>
      </c>
      <c r="L44" s="13"/>
      <c r="M44" s="13">
        <v>0</v>
      </c>
      <c r="N44" s="13"/>
      <c r="O44" s="13"/>
      <c r="P44" s="13">
        <v>4896.38</v>
      </c>
    </row>
    <row r="45" ht="15" customHeight="1" spans="1:16" x14ac:dyDescent="0.25">
      <c r="A45" s="10" t="s">
        <v>80</v>
      </c>
      <c r="B45" s="11" t="s">
        <v>81</v>
      </c>
      <c r="C45" s="12"/>
      <c r="D45" s="13"/>
      <c r="E45" s="14"/>
      <c r="F45" s="13"/>
      <c r="G45" s="13"/>
      <c r="H45" s="13"/>
      <c r="I45" s="13"/>
      <c r="J45" s="13"/>
      <c r="K45" s="13">
        <v>5063.900000000001</v>
      </c>
      <c r="L45" s="13"/>
      <c r="M45" s="13">
        <v>0</v>
      </c>
      <c r="N45" s="13"/>
      <c r="O45" s="13"/>
      <c r="P45" s="13">
        <v>5063.900000000001</v>
      </c>
    </row>
    <row r="46" ht="15" customHeight="1" spans="1:16" x14ac:dyDescent="0.25">
      <c r="A46" s="10" t="s">
        <v>82</v>
      </c>
      <c r="B46" s="11" t="s">
        <v>83</v>
      </c>
      <c r="C46" s="15"/>
      <c r="D46" s="13"/>
      <c r="E46" s="14"/>
      <c r="F46" s="13"/>
      <c r="G46" s="13"/>
      <c r="H46" s="13"/>
      <c r="I46" s="13"/>
      <c r="J46" s="13"/>
      <c r="K46" s="13">
        <v>3411.31</v>
      </c>
      <c r="L46" s="13"/>
      <c r="M46" s="13">
        <v>0</v>
      </c>
      <c r="N46" s="13"/>
      <c r="O46" s="13"/>
      <c r="P46" s="13">
        <v>3411.31</v>
      </c>
    </row>
    <row r="47" ht="15" customHeight="1" spans="1:16" x14ac:dyDescent="0.25">
      <c r="A47" s="10" t="s">
        <v>84</v>
      </c>
      <c r="B47" s="11" t="s">
        <v>85</v>
      </c>
      <c r="C47" s="15"/>
      <c r="D47" s="13"/>
      <c r="E47" s="14"/>
      <c r="F47" s="13"/>
      <c r="G47" s="13"/>
      <c r="H47" s="13"/>
      <c r="I47" s="13"/>
      <c r="J47" s="13"/>
      <c r="K47" s="13">
        <v>30.78</v>
      </c>
      <c r="L47" s="13"/>
      <c r="M47" s="13">
        <v>0</v>
      </c>
      <c r="N47" s="13"/>
      <c r="O47" s="13"/>
      <c r="P47" s="13">
        <v>30.78</v>
      </c>
    </row>
    <row r="48" ht="15" customHeight="1" spans="1:16" x14ac:dyDescent="0.25">
      <c r="A48" s="10" t="s">
        <v>86</v>
      </c>
      <c r="B48" s="11" t="s">
        <v>87</v>
      </c>
      <c r="C48" s="15"/>
      <c r="D48" s="13"/>
      <c r="E48" s="14"/>
      <c r="F48" s="13"/>
      <c r="G48" s="13"/>
      <c r="H48" s="13"/>
      <c r="I48" s="13"/>
      <c r="J48" s="13"/>
      <c r="K48" s="13">
        <v>0</v>
      </c>
      <c r="L48" s="13"/>
      <c r="M48" s="13">
        <v>0</v>
      </c>
      <c r="N48" s="13"/>
      <c r="O48" s="13"/>
      <c r="P48" s="13">
        <v>0</v>
      </c>
    </row>
    <row r="49" ht="15" customHeight="1" spans="1:16" x14ac:dyDescent="0.25">
      <c r="A49" s="10" t="s">
        <v>88</v>
      </c>
      <c r="B49" s="11" t="s">
        <v>89</v>
      </c>
      <c r="C49" s="15"/>
      <c r="D49" s="13"/>
      <c r="E49" s="14"/>
      <c r="F49" s="13"/>
      <c r="G49" s="13"/>
      <c r="H49" s="13"/>
      <c r="I49" s="13"/>
      <c r="J49" s="13"/>
      <c r="K49" s="13">
        <v>0</v>
      </c>
      <c r="L49" s="13"/>
      <c r="M49" s="13">
        <v>0</v>
      </c>
      <c r="N49" s="13"/>
      <c r="O49" s="13"/>
      <c r="P49" s="13">
        <v>0</v>
      </c>
    </row>
    <row r="50" ht="15" customHeight="1" spans="1:16" x14ac:dyDescent="0.25">
      <c r="A50" s="10" t="s">
        <v>90</v>
      </c>
      <c r="B50" s="11" t="s">
        <v>91</v>
      </c>
      <c r="C50" s="15"/>
      <c r="D50" s="13"/>
      <c r="E50" s="14"/>
      <c r="F50" s="13"/>
      <c r="G50" s="13"/>
      <c r="H50" s="13"/>
      <c r="I50" s="13"/>
      <c r="J50" s="13"/>
      <c r="K50" s="13">
        <v>0</v>
      </c>
      <c r="L50" s="13"/>
      <c r="M50" s="13">
        <v>0</v>
      </c>
      <c r="N50" s="13"/>
      <c r="O50" s="13"/>
      <c r="P50" s="13">
        <v>0</v>
      </c>
    </row>
    <row r="51" ht="15" customHeight="1" spans="1:16" x14ac:dyDescent="0.25">
      <c r="A51" s="10" t="s">
        <v>92</v>
      </c>
      <c r="B51" s="11" t="s">
        <v>93</v>
      </c>
      <c r="C51" s="15"/>
      <c r="D51" s="13"/>
      <c r="E51" s="14"/>
      <c r="F51" s="13"/>
      <c r="G51" s="13"/>
      <c r="H51" s="13"/>
      <c r="I51" s="13"/>
      <c r="J51" s="13"/>
      <c r="K51" s="13">
        <v>0</v>
      </c>
      <c r="L51" s="13"/>
      <c r="M51" s="13">
        <v>0</v>
      </c>
      <c r="N51" s="13"/>
      <c r="O51" s="13"/>
      <c r="P51" s="13">
        <v>0</v>
      </c>
    </row>
    <row r="52" ht="15" customHeight="1" spans="1:16" x14ac:dyDescent="0.25">
      <c r="A52" s="10" t="s">
        <v>94</v>
      </c>
      <c r="B52" s="11" t="s">
        <v>95</v>
      </c>
      <c r="C52" s="15"/>
      <c r="D52" s="13"/>
      <c r="E52" s="14"/>
      <c r="F52" s="13"/>
      <c r="G52" s="13"/>
      <c r="H52" s="13"/>
      <c r="I52" s="13"/>
      <c r="J52" s="13"/>
      <c r="K52" s="13">
        <v>0</v>
      </c>
      <c r="L52" s="13"/>
      <c r="M52" s="13">
        <v>0</v>
      </c>
      <c r="N52" s="13"/>
      <c r="O52" s="13"/>
      <c r="P52" s="13">
        <v>0</v>
      </c>
    </row>
    <row r="53" ht="15" customHeight="1" spans="1:16" x14ac:dyDescent="0.25">
      <c r="A53" s="10" t="s">
        <v>96</v>
      </c>
      <c r="B53" s="11" t="s">
        <v>97</v>
      </c>
      <c r="C53" s="15"/>
      <c r="D53" s="13"/>
      <c r="E53" s="14"/>
      <c r="F53" s="13"/>
      <c r="G53" s="13"/>
      <c r="H53" s="13"/>
      <c r="I53" s="13"/>
      <c r="J53" s="13"/>
      <c r="K53" s="13">
        <v>0</v>
      </c>
      <c r="L53" s="13"/>
      <c r="M53" s="13">
        <v>0</v>
      </c>
      <c r="N53" s="13"/>
      <c r="O53" s="13"/>
      <c r="P53" s="13">
        <v>0</v>
      </c>
    </row>
    <row r="54" ht="15" customHeight="1" spans="1:16" x14ac:dyDescent="0.25">
      <c r="A54" s="10" t="s">
        <v>98</v>
      </c>
      <c r="B54" s="11" t="s">
        <v>99</v>
      </c>
      <c r="C54" s="15"/>
      <c r="D54" s="13"/>
      <c r="E54" s="14"/>
      <c r="F54" s="13"/>
      <c r="G54" s="13"/>
      <c r="H54" s="13"/>
      <c r="I54" s="13"/>
      <c r="J54" s="13"/>
      <c r="K54" s="13">
        <v>481.67</v>
      </c>
      <c r="L54" s="13"/>
      <c r="M54" s="13">
        <v>0</v>
      </c>
      <c r="N54" s="13"/>
      <c r="O54" s="13"/>
      <c r="P54" s="13">
        <v>481.67</v>
      </c>
    </row>
    <row r="55" ht="15" customHeight="1" spans="1:16" x14ac:dyDescent="0.25">
      <c r="A55" s="10" t="s">
        <v>100</v>
      </c>
      <c r="B55" s="11" t="s">
        <v>101</v>
      </c>
      <c r="C55" s="15"/>
      <c r="D55" s="13"/>
      <c r="E55" s="14"/>
      <c r="F55" s="13"/>
      <c r="G55" s="13"/>
      <c r="H55" s="13"/>
      <c r="I55" s="13"/>
      <c r="J55" s="13"/>
      <c r="K55" s="13">
        <v>0</v>
      </c>
      <c r="L55" s="13"/>
      <c r="M55" s="13">
        <v>0</v>
      </c>
      <c r="N55" s="13"/>
      <c r="O55" s="13"/>
      <c r="P55" s="13">
        <v>0</v>
      </c>
    </row>
    <row r="56" ht="15" customHeight="1" spans="1:16" x14ac:dyDescent="0.25">
      <c r="A56" s="10" t="s">
        <v>102</v>
      </c>
      <c r="B56" s="11" t="s">
        <v>103</v>
      </c>
      <c r="C56" s="15"/>
      <c r="D56" s="13"/>
      <c r="E56" s="14"/>
      <c r="F56" s="13"/>
      <c r="G56" s="13"/>
      <c r="H56" s="13"/>
      <c r="I56" s="13"/>
      <c r="J56" s="13"/>
      <c r="K56" s="13">
        <v>0</v>
      </c>
      <c r="L56" s="13"/>
      <c r="M56" s="13">
        <v>0</v>
      </c>
      <c r="N56" s="13"/>
      <c r="O56" s="13"/>
      <c r="P56" s="13">
        <v>0</v>
      </c>
    </row>
    <row r="57" ht="15" customHeight="1" spans="1:16" x14ac:dyDescent="0.25">
      <c r="A57" s="10" t="s">
        <v>104</v>
      </c>
      <c r="B57" s="11" t="s">
        <v>105</v>
      </c>
      <c r="C57" s="15"/>
      <c r="D57" s="13"/>
      <c r="E57" s="14"/>
      <c r="F57" s="13"/>
      <c r="G57" s="13"/>
      <c r="H57" s="13"/>
      <c r="I57" s="13"/>
      <c r="J57" s="13"/>
      <c r="K57" s="13">
        <v>0</v>
      </c>
      <c r="L57" s="13"/>
      <c r="M57" s="13">
        <v>0</v>
      </c>
      <c r="N57" s="13"/>
      <c r="O57" s="13"/>
      <c r="P57" s="13">
        <v>0</v>
      </c>
    </row>
    <row r="58" ht="15" customHeight="1" spans="1:16" x14ac:dyDescent="0.25">
      <c r="A58" s="10" t="s">
        <v>106</v>
      </c>
      <c r="B58" s="13" t="s">
        <v>107</v>
      </c>
      <c r="C58" s="13"/>
      <c r="D58" s="13"/>
      <c r="E58" s="13"/>
      <c r="F58" s="13"/>
      <c r="G58" s="13"/>
      <c r="H58" s="13"/>
      <c r="I58" s="13"/>
      <c r="J58" s="13"/>
      <c r="K58" s="13">
        <v>0</v>
      </c>
      <c r="L58" s="13"/>
      <c r="M58" s="13">
        <v>0</v>
      </c>
      <c r="N58" s="13"/>
      <c r="O58" s="13"/>
      <c r="P58" s="13">
        <v>0</v>
      </c>
    </row>
    <row r="59" ht="15" customHeight="1" spans="1:16" x14ac:dyDescent="0.25">
      <c r="A59" s="10" t="s">
        <v>108</v>
      </c>
      <c r="B59" s="13" t="s">
        <v>109</v>
      </c>
      <c r="C59" s="13"/>
      <c r="D59" s="13"/>
      <c r="E59" s="13"/>
      <c r="F59" s="13"/>
      <c r="G59" s="13"/>
      <c r="H59" s="13"/>
      <c r="I59" s="13"/>
      <c r="J59" s="13"/>
      <c r="K59" s="13">
        <v>71.23</v>
      </c>
      <c r="L59" s="13"/>
      <c r="M59" s="13">
        <v>0</v>
      </c>
      <c r="N59" s="13"/>
      <c r="O59" s="13"/>
      <c r="P59" s="13">
        <v>71.23</v>
      </c>
    </row>
    <row r="60" ht="15" customHeight="1" spans="1:16" x14ac:dyDescent="0.25">
      <c r="A60" s="10" t="s">
        <v>110</v>
      </c>
      <c r="B60" s="13" t="s">
        <v>111</v>
      </c>
      <c r="C60" s="13"/>
      <c r="D60" s="13"/>
      <c r="E60" s="13"/>
      <c r="F60" s="13"/>
      <c r="G60" s="13"/>
      <c r="H60" s="13"/>
      <c r="I60" s="13"/>
      <c r="J60" s="13"/>
      <c r="K60" s="13">
        <v>0</v>
      </c>
      <c r="L60" s="13"/>
      <c r="M60" s="13">
        <v>0</v>
      </c>
      <c r="N60" s="13"/>
      <c r="O60" s="13"/>
      <c r="P60" s="13">
        <v>0</v>
      </c>
    </row>
    <row r="61" ht="15" customHeight="1" spans="1:16" x14ac:dyDescent="0.25">
      <c r="A61" s="10" t="s">
        <v>112</v>
      </c>
      <c r="B61" s="13" t="s">
        <v>113</v>
      </c>
      <c r="C61" s="13"/>
      <c r="D61" s="13"/>
      <c r="E61" s="13"/>
      <c r="F61" s="13"/>
      <c r="G61" s="13"/>
      <c r="H61" s="13"/>
      <c r="I61" s="13"/>
      <c r="J61" s="13"/>
      <c r="K61" s="13">
        <v>0</v>
      </c>
      <c r="L61" s="13"/>
      <c r="M61" s="13">
        <v>0</v>
      </c>
      <c r="N61" s="13"/>
      <c r="O61" s="13"/>
      <c r="P61" s="13">
        <v>0</v>
      </c>
    </row>
    <row r="62" ht="15" customHeight="1" spans="1:16" x14ac:dyDescent="0.25">
      <c r="A62" s="10" t="s">
        <v>114</v>
      </c>
      <c r="B62" s="13" t="s">
        <v>115</v>
      </c>
      <c r="C62" s="13"/>
      <c r="D62" s="13"/>
      <c r="E62" s="13"/>
      <c r="F62" s="13"/>
      <c r="G62" s="13"/>
      <c r="H62" s="13"/>
      <c r="I62" s="13"/>
      <c r="J62" s="13"/>
      <c r="K62" s="13">
        <v>0</v>
      </c>
      <c r="L62" s="13"/>
      <c r="M62" s="13">
        <v>0</v>
      </c>
      <c r="N62" s="13"/>
      <c r="O62" s="13"/>
      <c r="P62" s="13">
        <v>0</v>
      </c>
    </row>
    <row r="63" ht="15" customHeight="1" spans="1:16" x14ac:dyDescent="0.25">
      <c r="A63" s="13" t="s">
        <v>17</v>
      </c>
      <c r="B63" s="13" t="s">
        <v>116</v>
      </c>
      <c r="C63" s="13"/>
      <c r="D63" s="13"/>
      <c r="E63" s="13"/>
      <c r="F63" s="13"/>
      <c r="G63" s="13"/>
      <c r="H63" s="13"/>
      <c r="I63" s="13"/>
      <c r="J63" s="13"/>
      <c r="K63" s="13">
        <v>0</v>
      </c>
      <c r="L63" s="13"/>
      <c r="M63" s="13">
        <v>0</v>
      </c>
      <c r="N63" s="13"/>
      <c r="O63" s="13"/>
      <c r="P63" s="13">
        <v>0</v>
      </c>
    </row>
    <row r="64" ht="15" customHeight="1" spans="1:16" x14ac:dyDescent="0.25">
      <c r="A64" s="13" t="s">
        <v>19</v>
      </c>
      <c r="B64" s="13" t="s">
        <v>117</v>
      </c>
      <c r="C64" s="13"/>
      <c r="D64" s="13"/>
      <c r="E64" s="13"/>
      <c r="F64" s="13"/>
      <c r="G64" s="13"/>
      <c r="H64" s="13"/>
      <c r="I64" s="13"/>
      <c r="J64" s="13"/>
      <c r="K64" s="13">
        <v>3.38</v>
      </c>
      <c r="L64" s="13"/>
      <c r="M64" s="13">
        <v>0</v>
      </c>
      <c r="N64" s="13"/>
      <c r="O64" s="13"/>
      <c r="P64" s="13">
        <v>3.38</v>
      </c>
    </row>
    <row r="65" ht="15" customHeight="1" spans="1:16" x14ac:dyDescent="0.25">
      <c r="A65" s="13" t="s">
        <v>118</v>
      </c>
      <c r="B65" s="13" t="s">
        <v>119</v>
      </c>
      <c r="C65" s="13"/>
      <c r="D65" s="13"/>
      <c r="E65" s="13"/>
      <c r="F65" s="13"/>
      <c r="G65" s="13"/>
      <c r="H65" s="13"/>
      <c r="I65" s="13"/>
      <c r="J65" s="13"/>
      <c r="K65" s="13">
        <v>51.42</v>
      </c>
      <c r="L65" s="13"/>
      <c r="M65" s="13">
        <v>0</v>
      </c>
      <c r="N65" s="13"/>
      <c r="O65" s="13"/>
      <c r="P65" s="13">
        <v>51.42</v>
      </c>
    </row>
    <row r="66" ht="15" customHeight="1" spans="1:16" x14ac:dyDescent="0.25">
      <c r="A66" s="13" t="s">
        <v>120</v>
      </c>
      <c r="B66" s="13" t="s">
        <v>121</v>
      </c>
      <c r="C66" s="13"/>
      <c r="D66" s="13"/>
      <c r="E66" s="13"/>
      <c r="F66" s="13"/>
      <c r="G66" s="13"/>
      <c r="H66" s="13"/>
      <c r="I66" s="13"/>
      <c r="J66" s="13"/>
      <c r="K66" s="13">
        <v>818.52</v>
      </c>
      <c r="L66" s="13"/>
      <c r="M66" s="13">
        <v>0</v>
      </c>
      <c r="N66" s="13"/>
      <c r="O66" s="13"/>
      <c r="P66" s="13">
        <v>818.52</v>
      </c>
    </row>
    <row r="67" ht="15" customHeight="1" spans="1:16" x14ac:dyDescent="0.25">
      <c r="A67" s="13"/>
      <c r="B67" s="11"/>
      <c r="C67" s="15"/>
      <c r="D67" s="13"/>
      <c r="E67" s="14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</row>
    <row r="68" ht="15" customHeight="1" spans="1:16" x14ac:dyDescent="0.25">
      <c r="A68" s="6" t="s">
        <v>122</v>
      </c>
      <c r="B68" s="7"/>
      <c r="C68" s="17"/>
      <c r="D68" s="6"/>
      <c r="E68" s="9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</row>
    <row r="69" ht="15" customHeight="1" spans="1:16" x14ac:dyDescent="0.25">
      <c r="A69" s="10" t="s">
        <v>70</v>
      </c>
      <c r="B69" s="11" t="s">
        <v>123</v>
      </c>
      <c r="C69" s="12"/>
      <c r="D69" s="13"/>
      <c r="E69" s="14"/>
      <c r="F69" s="13"/>
      <c r="G69" s="13"/>
      <c r="H69" s="13"/>
      <c r="I69" s="13"/>
      <c r="J69" s="13"/>
      <c r="K69" s="13">
        <v>0</v>
      </c>
      <c r="L69" s="13"/>
      <c r="M69" s="13">
        <v>0</v>
      </c>
      <c r="N69" s="13"/>
      <c r="O69" s="13"/>
      <c r="P69" s="13">
        <v>0</v>
      </c>
    </row>
    <row r="70" ht="15" customHeight="1" spans="1:16" x14ac:dyDescent="0.25">
      <c r="A70" s="13"/>
      <c r="B70" s="11"/>
      <c r="C70" s="12"/>
      <c r="D70" s="13"/>
      <c r="E70" s="14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</row>
    <row r="71" ht="15" customHeight="1" spans="1:16" x14ac:dyDescent="0.25">
      <c r="A71" s="6" t="s">
        <v>124</v>
      </c>
      <c r="B71" s="7"/>
      <c r="C71" s="8"/>
      <c r="D71" s="6"/>
      <c r="E71" s="9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</row>
    <row r="72" ht="15" customHeight="1" spans="1:16" x14ac:dyDescent="0.25">
      <c r="A72" s="10" t="s">
        <v>70</v>
      </c>
      <c r="B72" s="11" t="s">
        <v>125</v>
      </c>
      <c r="C72" s="12"/>
      <c r="D72" s="15"/>
      <c r="E72" s="14"/>
      <c r="F72" s="13"/>
      <c r="G72" s="13"/>
      <c r="H72" s="13"/>
      <c r="I72" s="13"/>
      <c r="J72" s="13"/>
      <c r="K72" s="13">
        <v>0</v>
      </c>
      <c r="L72" s="13"/>
      <c r="M72" s="13">
        <v>0</v>
      </c>
      <c r="N72" s="13"/>
      <c r="O72" s="13"/>
      <c r="P72" s="13">
        <v>0</v>
      </c>
    </row>
    <row r="73" ht="15" customHeight="1" spans="1:16" x14ac:dyDescent="0.25">
      <c r="A73" s="10" t="s">
        <v>126</v>
      </c>
      <c r="B73" s="11" t="s">
        <v>127</v>
      </c>
      <c r="C73" s="12"/>
      <c r="D73" s="15"/>
      <c r="E73" s="14"/>
      <c r="F73" s="13"/>
      <c r="G73" s="13"/>
      <c r="H73" s="13"/>
      <c r="I73" s="13"/>
      <c r="J73" s="13"/>
      <c r="K73" s="13">
        <v>0</v>
      </c>
      <c r="L73" s="13"/>
      <c r="M73" s="13">
        <v>0</v>
      </c>
      <c r="N73" s="13"/>
      <c r="O73" s="13"/>
      <c r="P73" s="13">
        <v>0</v>
      </c>
    </row>
    <row r="74" ht="15" customHeight="1" spans="1:16" x14ac:dyDescent="0.25">
      <c r="A74" s="13"/>
      <c r="B74" s="11"/>
      <c r="C74" s="12"/>
      <c r="D74" s="14"/>
      <c r="E74" s="14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</row>
    <row r="75" ht="15" customHeight="1" spans="1:16" x14ac:dyDescent="0.25">
      <c r="A75" s="6" t="s">
        <v>128</v>
      </c>
      <c r="B75" s="7"/>
      <c r="C75" s="8"/>
      <c r="D75" s="17"/>
      <c r="E75" s="9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</row>
    <row r="76" ht="15" customHeight="1" spans="1:16" x14ac:dyDescent="0.25">
      <c r="A76" s="10" t="s">
        <v>129</v>
      </c>
      <c r="B76" s="11" t="s">
        <v>130</v>
      </c>
      <c r="C76" s="12"/>
      <c r="D76" s="15"/>
      <c r="E76" s="14"/>
      <c r="F76" s="13"/>
      <c r="G76" s="13"/>
      <c r="H76" s="13"/>
      <c r="I76" s="13"/>
      <c r="J76" s="13"/>
      <c r="K76" s="13">
        <v>10334.79</v>
      </c>
      <c r="L76" s="13"/>
      <c r="M76" s="13">
        <v>0</v>
      </c>
      <c r="N76" s="13"/>
      <c r="O76" s="13"/>
      <c r="P76" s="13">
        <v>10334.79</v>
      </c>
    </row>
    <row r="77" ht="15" customHeight="1" spans="1:16" x14ac:dyDescent="0.25">
      <c r="A77" s="10" t="s">
        <v>9</v>
      </c>
      <c r="B77" s="11" t="s">
        <v>131</v>
      </c>
      <c r="C77" s="12"/>
      <c r="D77" s="15"/>
      <c r="E77" s="14"/>
      <c r="F77" s="13"/>
      <c r="G77" s="13"/>
      <c r="H77" s="13"/>
      <c r="I77" s="13"/>
      <c r="J77" s="13"/>
      <c r="K77" s="13">
        <v>2716.28</v>
      </c>
      <c r="L77" s="13"/>
      <c r="M77" s="13">
        <v>0</v>
      </c>
      <c r="N77" s="13"/>
      <c r="O77" s="13"/>
      <c r="P77" s="13">
        <v>2716.28</v>
      </c>
    </row>
    <row r="78" ht="15" customHeight="1" spans="1:16" x14ac:dyDescent="0.25">
      <c r="A78" s="10" t="s">
        <v>45</v>
      </c>
      <c r="B78" s="11" t="s">
        <v>132</v>
      </c>
      <c r="C78" s="12"/>
      <c r="D78" s="15"/>
      <c r="E78" s="14"/>
      <c r="F78" s="13"/>
      <c r="G78" s="13"/>
      <c r="H78" s="13"/>
      <c r="I78" s="13"/>
      <c r="J78" s="13"/>
      <c r="K78" s="13">
        <v>1235.4</v>
      </c>
      <c r="L78" s="13"/>
      <c r="M78" s="13">
        <v>0</v>
      </c>
      <c r="N78" s="13"/>
      <c r="O78" s="13"/>
      <c r="P78" s="13">
        <v>1235.4</v>
      </c>
    </row>
    <row r="79" ht="15" customHeight="1" spans="1:16" x14ac:dyDescent="0.25">
      <c r="A79" s="10" t="s">
        <v>78</v>
      </c>
      <c r="B79" s="11" t="s">
        <v>133</v>
      </c>
      <c r="C79" s="12"/>
      <c r="D79" s="15"/>
      <c r="E79" s="14"/>
      <c r="F79" s="13"/>
      <c r="G79" s="13"/>
      <c r="H79" s="13"/>
      <c r="I79" s="13"/>
      <c r="J79" s="13"/>
      <c r="K79" s="13">
        <v>0</v>
      </c>
      <c r="L79" s="13"/>
      <c r="M79" s="13">
        <v>0</v>
      </c>
      <c r="N79" s="13"/>
      <c r="O79" s="13"/>
      <c r="P79" s="13">
        <v>0</v>
      </c>
    </row>
    <row r="80" ht="15" customHeight="1" spans="1:16" x14ac:dyDescent="0.25">
      <c r="A80" s="13"/>
      <c r="B80" s="11"/>
      <c r="C80" s="12"/>
      <c r="D80" s="15"/>
      <c r="E80" s="14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</row>
    <row r="81" ht="15" customHeight="1" spans="1:16" x14ac:dyDescent="0.25">
      <c r="A81" s="6" t="s">
        <v>134</v>
      </c>
      <c r="B81" s="7"/>
      <c r="C81" s="8"/>
      <c r="D81" s="6"/>
      <c r="E81" s="9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</row>
    <row r="82" ht="15" customHeight="1" spans="1:16" x14ac:dyDescent="0.25">
      <c r="A82" s="10" t="s">
        <v>135</v>
      </c>
      <c r="B82" s="11" t="s">
        <v>136</v>
      </c>
      <c r="C82" s="12"/>
      <c r="D82" s="13"/>
      <c r="E82" s="14"/>
      <c r="F82" s="13"/>
      <c r="G82" s="13"/>
      <c r="H82" s="13"/>
      <c r="I82" s="13"/>
      <c r="J82" s="13"/>
      <c r="K82" s="13">
        <v>0</v>
      </c>
      <c r="L82" s="13"/>
      <c r="M82" s="13">
        <v>0</v>
      </c>
      <c r="N82" s="13"/>
      <c r="O82" s="13"/>
      <c r="P82" s="13">
        <v>0</v>
      </c>
    </row>
    <row r="83" ht="15" customHeight="1" spans="1:16" x14ac:dyDescent="0.25">
      <c r="A83" s="10" t="s">
        <v>11</v>
      </c>
      <c r="B83" s="11" t="s">
        <v>137</v>
      </c>
      <c r="C83" s="15"/>
      <c r="D83" s="15"/>
      <c r="E83" s="14"/>
      <c r="F83" s="13"/>
      <c r="G83" s="13"/>
      <c r="H83" s="13"/>
      <c r="I83" s="13"/>
      <c r="J83" s="13"/>
      <c r="K83" s="13">
        <v>0</v>
      </c>
      <c r="L83" s="13"/>
      <c r="M83" s="13">
        <v>0</v>
      </c>
      <c r="N83" s="13"/>
      <c r="O83" s="13"/>
      <c r="P83" s="13">
        <v>0</v>
      </c>
    </row>
    <row r="84" ht="15" customHeight="1" spans="1:16" x14ac:dyDescent="0.25">
      <c r="A84" s="10" t="s">
        <v>31</v>
      </c>
      <c r="B84" s="11" t="s">
        <v>138</v>
      </c>
      <c r="C84" s="15"/>
      <c r="D84" s="15"/>
      <c r="E84" s="14"/>
      <c r="F84" s="13"/>
      <c r="G84" s="13"/>
      <c r="H84" s="13"/>
      <c r="I84" s="13"/>
      <c r="J84" s="13"/>
      <c r="K84" s="13">
        <v>0</v>
      </c>
      <c r="L84" s="13"/>
      <c r="M84" s="13">
        <v>0</v>
      </c>
      <c r="N84" s="13"/>
      <c r="O84" s="13"/>
      <c r="P84" s="13">
        <v>0</v>
      </c>
    </row>
    <row r="85" ht="15" customHeight="1" spans="1:16" x14ac:dyDescent="0.25">
      <c r="A85" s="10" t="s">
        <v>74</v>
      </c>
      <c r="B85" s="11" t="s">
        <v>139</v>
      </c>
      <c r="C85" s="15"/>
      <c r="D85" s="15"/>
      <c r="E85" s="14"/>
      <c r="F85" s="13"/>
      <c r="G85" s="13"/>
      <c r="H85" s="13"/>
      <c r="I85" s="13"/>
      <c r="J85" s="13"/>
      <c r="K85" s="13">
        <v>0</v>
      </c>
      <c r="L85" s="13"/>
      <c r="M85" s="13">
        <v>0</v>
      </c>
      <c r="N85" s="13"/>
      <c r="O85" s="13"/>
      <c r="P85" s="13">
        <v>0</v>
      </c>
    </row>
    <row r="86" ht="15" customHeight="1" spans="1:16" x14ac:dyDescent="0.25">
      <c r="A86" s="10" t="s">
        <v>108</v>
      </c>
      <c r="B86" s="11" t="s">
        <v>140</v>
      </c>
      <c r="C86" s="15"/>
      <c r="D86" s="15"/>
      <c r="E86" s="14"/>
      <c r="F86" s="13"/>
      <c r="G86" s="13"/>
      <c r="H86" s="13"/>
      <c r="I86" s="13"/>
      <c r="J86" s="13"/>
      <c r="K86" s="13">
        <v>0</v>
      </c>
      <c r="L86" s="13"/>
      <c r="M86" s="13">
        <v>0</v>
      </c>
      <c r="N86" s="13"/>
      <c r="O86" s="13"/>
      <c r="P86" s="13">
        <v>0</v>
      </c>
    </row>
    <row r="87" ht="15" customHeight="1" spans="1:16" x14ac:dyDescent="0.25">
      <c r="A87" s="10" t="s">
        <v>82</v>
      </c>
      <c r="B87" s="11" t="s">
        <v>141</v>
      </c>
      <c r="C87" s="15"/>
      <c r="D87" s="15"/>
      <c r="E87" s="14"/>
      <c r="F87" s="13"/>
      <c r="G87" s="13"/>
      <c r="H87" s="13"/>
      <c r="I87" s="13"/>
      <c r="J87" s="13"/>
      <c r="K87" s="13">
        <v>0</v>
      </c>
      <c r="L87" s="13"/>
      <c r="M87" s="13">
        <v>0</v>
      </c>
      <c r="N87" s="13"/>
      <c r="O87" s="13"/>
      <c r="P87" s="13">
        <v>0</v>
      </c>
    </row>
    <row r="88" ht="15" customHeight="1" spans="1:16" x14ac:dyDescent="0.25">
      <c r="A88" s="10" t="s">
        <v>142</v>
      </c>
      <c r="B88" s="11" t="s">
        <v>143</v>
      </c>
      <c r="C88" s="15"/>
      <c r="D88" s="15"/>
      <c r="E88" s="14"/>
      <c r="F88" s="13"/>
      <c r="G88" s="13"/>
      <c r="H88" s="13"/>
      <c r="I88" s="13"/>
      <c r="J88" s="13"/>
      <c r="K88" s="13">
        <v>0</v>
      </c>
      <c r="L88" s="13"/>
      <c r="M88" s="13">
        <v>0</v>
      </c>
      <c r="N88" s="13"/>
      <c r="O88" s="13"/>
      <c r="P88" s="13">
        <v>0</v>
      </c>
    </row>
    <row r="89" ht="15" customHeight="1" spans="1:16" x14ac:dyDescent="0.25">
      <c r="A89" s="10" t="s">
        <v>144</v>
      </c>
      <c r="B89" s="11" t="s">
        <v>145</v>
      </c>
      <c r="C89" s="15"/>
      <c r="D89" s="15"/>
      <c r="E89" s="14"/>
      <c r="F89" s="13"/>
      <c r="G89" s="13"/>
      <c r="H89" s="13"/>
      <c r="I89" s="13"/>
      <c r="J89" s="13"/>
      <c r="K89" s="13">
        <v>0</v>
      </c>
      <c r="L89" s="13"/>
      <c r="M89" s="13">
        <v>0</v>
      </c>
      <c r="N89" s="13"/>
      <c r="O89" s="13"/>
      <c r="P89" s="13">
        <v>0</v>
      </c>
    </row>
    <row r="90" ht="15" customHeight="1" spans="1:16" x14ac:dyDescent="0.25">
      <c r="A90" s="10" t="s">
        <v>104</v>
      </c>
      <c r="B90" s="11" t="s">
        <v>146</v>
      </c>
      <c r="C90" s="15"/>
      <c r="D90" s="15"/>
      <c r="E90" s="14"/>
      <c r="F90" s="13"/>
      <c r="G90" s="13"/>
      <c r="H90" s="13"/>
      <c r="I90" s="13"/>
      <c r="J90" s="13"/>
      <c r="K90" s="13">
        <v>0</v>
      </c>
      <c r="L90" s="13"/>
      <c r="M90" s="13">
        <v>0</v>
      </c>
      <c r="N90" s="13"/>
      <c r="O90" s="13"/>
      <c r="P90" s="13">
        <v>0</v>
      </c>
    </row>
    <row r="91" ht="15" customHeight="1" spans="1:16" x14ac:dyDescent="0.25">
      <c r="A91" s="10" t="s">
        <v>118</v>
      </c>
      <c r="B91" s="13" t="s">
        <v>147</v>
      </c>
      <c r="C91" s="13"/>
      <c r="D91" s="13"/>
      <c r="E91" s="13"/>
      <c r="F91" s="13"/>
      <c r="G91" s="13"/>
      <c r="H91" s="13"/>
      <c r="I91" s="13"/>
      <c r="J91" s="13"/>
      <c r="K91" s="13">
        <v>0</v>
      </c>
      <c r="L91" s="13"/>
      <c r="M91" s="13">
        <v>0</v>
      </c>
      <c r="N91" s="13"/>
      <c r="O91" s="13"/>
      <c r="P91" s="13">
        <v>0</v>
      </c>
    </row>
    <row r="92" ht="15" customHeight="1" spans="1:16" x14ac:dyDescent="0.25">
      <c r="A92" s="13"/>
      <c r="B92" s="11"/>
      <c r="C92" s="15"/>
      <c r="D92" s="15"/>
      <c r="E92" s="14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</row>
    <row r="93" ht="15" customHeight="1" spans="1:16" x14ac:dyDescent="0.25">
      <c r="A93" s="6" t="s">
        <v>148</v>
      </c>
      <c r="B93" s="7"/>
      <c r="C93" s="17"/>
      <c r="D93" s="17"/>
      <c r="E93" s="9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</row>
    <row r="94" ht="15" customHeight="1" spans="1:16" x14ac:dyDescent="0.25">
      <c r="A94" s="10" t="s">
        <v>149</v>
      </c>
      <c r="B94" s="11" t="s">
        <v>150</v>
      </c>
      <c r="C94" s="15"/>
      <c r="D94" s="15"/>
      <c r="E94" s="14"/>
      <c r="F94" s="13"/>
      <c r="G94" s="13"/>
      <c r="H94" s="13"/>
      <c r="I94" s="13"/>
      <c r="J94" s="13"/>
      <c r="K94" s="13">
        <v>0</v>
      </c>
      <c r="L94" s="13"/>
      <c r="M94" s="13">
        <v>0</v>
      </c>
      <c r="N94" s="13"/>
      <c r="O94" s="13"/>
      <c r="P94" s="13">
        <v>0</v>
      </c>
    </row>
    <row r="95" ht="15" customHeight="1" spans="1:16" x14ac:dyDescent="0.25">
      <c r="A95" s="10" t="s">
        <v>129</v>
      </c>
      <c r="B95" s="11" t="s">
        <v>151</v>
      </c>
      <c r="C95" s="15"/>
      <c r="D95" s="15"/>
      <c r="E95" s="14"/>
      <c r="F95" s="13"/>
      <c r="G95" s="13"/>
      <c r="H95" s="13"/>
      <c r="I95" s="13"/>
      <c r="J95" s="13"/>
      <c r="K95" s="13">
        <v>7812.34</v>
      </c>
      <c r="L95" s="13"/>
      <c r="M95" s="13">
        <v>0</v>
      </c>
      <c r="N95" s="13"/>
      <c r="O95" s="13"/>
      <c r="P95" s="13">
        <v>7812.34</v>
      </c>
    </row>
    <row r="96" ht="15" customHeight="1" spans="1:16" x14ac:dyDescent="0.25">
      <c r="A96" s="10" t="s">
        <v>152</v>
      </c>
      <c r="B96" s="11" t="s">
        <v>153</v>
      </c>
      <c r="C96" s="15"/>
      <c r="D96" s="15"/>
      <c r="E96" s="14"/>
      <c r="F96" s="13"/>
      <c r="G96" s="13"/>
      <c r="H96" s="13"/>
      <c r="I96" s="13"/>
      <c r="J96" s="13"/>
      <c r="K96" s="13">
        <v>0</v>
      </c>
      <c r="L96" s="13"/>
      <c r="M96" s="13">
        <v>0</v>
      </c>
      <c r="N96" s="13"/>
      <c r="O96" s="13"/>
      <c r="P96" s="13">
        <v>0</v>
      </c>
    </row>
    <row r="97" ht="15" customHeight="1" spans="1:16" x14ac:dyDescent="0.25">
      <c r="A97" s="10" t="s">
        <v>9</v>
      </c>
      <c r="B97" s="11" t="s">
        <v>154</v>
      </c>
      <c r="C97" s="15"/>
      <c r="D97" s="15"/>
      <c r="E97" s="14"/>
      <c r="F97" s="13"/>
      <c r="G97" s="13"/>
      <c r="H97" s="13"/>
      <c r="I97" s="13"/>
      <c r="J97" s="13"/>
      <c r="K97" s="13">
        <v>2552.94</v>
      </c>
      <c r="L97" s="13"/>
      <c r="M97" s="13">
        <v>0</v>
      </c>
      <c r="N97" s="13"/>
      <c r="O97" s="13"/>
      <c r="P97" s="13">
        <v>2552.94</v>
      </c>
    </row>
    <row r="98" ht="15" customHeight="1" spans="1:16" x14ac:dyDescent="0.25">
      <c r="A98" s="10" t="s">
        <v>11</v>
      </c>
      <c r="B98" s="11" t="s">
        <v>155</v>
      </c>
      <c r="C98" s="15"/>
      <c r="D98" s="15"/>
      <c r="E98" s="14"/>
      <c r="F98" s="13"/>
      <c r="G98" s="13"/>
      <c r="H98" s="13"/>
      <c r="I98" s="13"/>
      <c r="J98" s="13"/>
      <c r="K98" s="13">
        <v>0</v>
      </c>
      <c r="L98" s="13"/>
      <c r="M98" s="13">
        <v>0</v>
      </c>
      <c r="N98" s="13"/>
      <c r="O98" s="13"/>
      <c r="P98" s="13">
        <v>0</v>
      </c>
    </row>
    <row r="99" ht="15" customHeight="1" spans="1:16" x14ac:dyDescent="0.25">
      <c r="A99" s="10" t="s">
        <v>45</v>
      </c>
      <c r="B99" s="11" t="s">
        <v>156</v>
      </c>
      <c r="C99" s="15"/>
      <c r="D99" s="15"/>
      <c r="E99" s="14"/>
      <c r="F99" s="13"/>
      <c r="G99" s="13"/>
      <c r="H99" s="13"/>
      <c r="I99" s="13"/>
      <c r="J99" s="13"/>
      <c r="K99" s="13">
        <v>0</v>
      </c>
      <c r="L99" s="13"/>
      <c r="M99" s="13">
        <v>0</v>
      </c>
      <c r="N99" s="13"/>
      <c r="O99" s="13"/>
      <c r="P99" s="13">
        <v>0</v>
      </c>
    </row>
    <row r="100" ht="15" customHeight="1" spans="1:16" x14ac:dyDescent="0.25">
      <c r="A100" s="10" t="s">
        <v>49</v>
      </c>
      <c r="B100" s="11" t="s">
        <v>157</v>
      </c>
      <c r="C100" s="15"/>
      <c r="D100" s="15"/>
      <c r="E100" s="14"/>
      <c r="F100" s="13"/>
      <c r="G100" s="13"/>
      <c r="H100" s="13"/>
      <c r="I100" s="13"/>
      <c r="J100" s="13"/>
      <c r="K100" s="13">
        <v>0</v>
      </c>
      <c r="L100" s="13"/>
      <c r="M100" s="13">
        <v>0</v>
      </c>
      <c r="N100" s="13"/>
      <c r="O100" s="13"/>
      <c r="P100" s="13">
        <v>0</v>
      </c>
    </row>
    <row r="101" ht="15" customHeight="1" spans="1:16" x14ac:dyDescent="0.25">
      <c r="A101" s="10" t="s">
        <v>61</v>
      </c>
      <c r="B101" s="11" t="s">
        <v>158</v>
      </c>
      <c r="C101" s="15"/>
      <c r="D101" s="15"/>
      <c r="E101" s="14"/>
      <c r="F101" s="13"/>
      <c r="G101" s="13"/>
      <c r="H101" s="13"/>
      <c r="I101" s="13"/>
      <c r="J101" s="13"/>
      <c r="K101" s="13">
        <v>0</v>
      </c>
      <c r="L101" s="13"/>
      <c r="M101" s="13">
        <v>0</v>
      </c>
      <c r="N101" s="13"/>
      <c r="O101" s="13"/>
      <c r="P101" s="13">
        <v>0</v>
      </c>
    </row>
    <row r="102" ht="15" customHeight="1" spans="1:16" x14ac:dyDescent="0.25">
      <c r="A102" s="10" t="s">
        <v>31</v>
      </c>
      <c r="B102" s="11" t="s">
        <v>159</v>
      </c>
      <c r="C102" s="15"/>
      <c r="D102" s="15"/>
      <c r="E102" s="14"/>
      <c r="F102" s="13"/>
      <c r="G102" s="13"/>
      <c r="H102" s="13"/>
      <c r="I102" s="13"/>
      <c r="J102" s="13"/>
      <c r="K102" s="13">
        <v>1238.03</v>
      </c>
      <c r="L102" s="13"/>
      <c r="M102" s="13">
        <v>0</v>
      </c>
      <c r="N102" s="13"/>
      <c r="O102" s="13"/>
      <c r="P102" s="13">
        <v>1238.03</v>
      </c>
    </row>
    <row r="103" ht="15" customHeight="1" spans="1:16" x14ac:dyDescent="0.25">
      <c r="A103" s="10" t="s">
        <v>66</v>
      </c>
      <c r="B103" s="11" t="s">
        <v>160</v>
      </c>
      <c r="C103" s="15"/>
      <c r="D103" s="15"/>
      <c r="E103" s="14"/>
      <c r="F103" s="13"/>
      <c r="G103" s="13"/>
      <c r="H103" s="13"/>
      <c r="I103" s="13"/>
      <c r="J103" s="13"/>
      <c r="K103" s="13">
        <v>110.95</v>
      </c>
      <c r="L103" s="13"/>
      <c r="M103" s="13">
        <v>0</v>
      </c>
      <c r="N103" s="13"/>
      <c r="O103" s="13"/>
      <c r="P103" s="13">
        <v>110.95</v>
      </c>
    </row>
    <row r="104" ht="15" customHeight="1" spans="1:16" x14ac:dyDescent="0.25">
      <c r="A104" s="10" t="s">
        <v>68</v>
      </c>
      <c r="B104" s="11" t="s">
        <v>161</v>
      </c>
      <c r="C104" s="15"/>
      <c r="D104" s="13"/>
      <c r="E104" s="14"/>
      <c r="F104" s="13"/>
      <c r="G104" s="13"/>
      <c r="H104" s="13"/>
      <c r="I104" s="13"/>
      <c r="J104" s="13"/>
      <c r="K104" s="13">
        <v>62.26</v>
      </c>
      <c r="L104" s="13"/>
      <c r="M104" s="13">
        <v>0</v>
      </c>
      <c r="N104" s="13"/>
      <c r="O104" s="13"/>
      <c r="P104" s="13">
        <v>62.26</v>
      </c>
    </row>
    <row r="105" ht="15" customHeight="1" spans="1:16" x14ac:dyDescent="0.25">
      <c r="A105" s="10" t="s">
        <v>70</v>
      </c>
      <c r="B105" s="11" t="s">
        <v>162</v>
      </c>
      <c r="C105" s="15"/>
      <c r="D105" s="13"/>
      <c r="E105" s="14"/>
      <c r="F105" s="13"/>
      <c r="G105" s="13"/>
      <c r="H105" s="13"/>
      <c r="I105" s="13"/>
      <c r="J105" s="13"/>
      <c r="K105" s="13">
        <v>0</v>
      </c>
      <c r="L105" s="13"/>
      <c r="M105" s="13">
        <v>0</v>
      </c>
      <c r="N105" s="13"/>
      <c r="O105" s="13"/>
      <c r="P105" s="13">
        <v>0</v>
      </c>
    </row>
    <row r="106" ht="15" customHeight="1" spans="1:16" x14ac:dyDescent="0.25">
      <c r="A106" s="10" t="s">
        <v>72</v>
      </c>
      <c r="B106" s="11" t="s">
        <v>163</v>
      </c>
      <c r="C106" s="15"/>
      <c r="D106" s="13"/>
      <c r="E106" s="14"/>
      <c r="F106" s="13"/>
      <c r="G106" s="13"/>
      <c r="H106" s="13"/>
      <c r="I106" s="13"/>
      <c r="J106" s="13"/>
      <c r="K106" s="13">
        <v>0</v>
      </c>
      <c r="L106" s="13"/>
      <c r="M106" s="13">
        <v>0</v>
      </c>
      <c r="N106" s="13"/>
      <c r="O106" s="13"/>
      <c r="P106" s="13">
        <v>0</v>
      </c>
    </row>
    <row r="107" ht="15" customHeight="1" spans="1:16" x14ac:dyDescent="0.25">
      <c r="A107" s="10" t="s">
        <v>108</v>
      </c>
      <c r="B107" s="11" t="s">
        <v>164</v>
      </c>
      <c r="C107" s="15"/>
      <c r="D107" s="13"/>
      <c r="E107" s="14"/>
      <c r="F107" s="13"/>
      <c r="G107" s="13"/>
      <c r="H107" s="13"/>
      <c r="I107" s="13"/>
      <c r="J107" s="13"/>
      <c r="K107" s="13">
        <v>657.97</v>
      </c>
      <c r="L107" s="13"/>
      <c r="M107" s="13">
        <v>0</v>
      </c>
      <c r="N107" s="13"/>
      <c r="O107" s="13"/>
      <c r="P107" s="13">
        <v>657.97</v>
      </c>
    </row>
    <row r="108" ht="15" customHeight="1" spans="1:16" x14ac:dyDescent="0.25">
      <c r="A108" s="10" t="s">
        <v>78</v>
      </c>
      <c r="B108" s="11" t="s">
        <v>165</v>
      </c>
      <c r="C108" s="15"/>
      <c r="D108" s="13"/>
      <c r="E108" s="14"/>
      <c r="F108" s="13"/>
      <c r="G108" s="13"/>
      <c r="H108" s="13"/>
      <c r="I108" s="13"/>
      <c r="J108" s="13"/>
      <c r="K108" s="13">
        <v>807.88</v>
      </c>
      <c r="L108" s="13"/>
      <c r="M108" s="13">
        <v>0</v>
      </c>
      <c r="N108" s="13"/>
      <c r="O108" s="13"/>
      <c r="P108" s="13">
        <v>807.88</v>
      </c>
    </row>
    <row r="109" ht="15" customHeight="1" spans="1:16" x14ac:dyDescent="0.25">
      <c r="A109" s="10" t="s">
        <v>166</v>
      </c>
      <c r="B109" s="11" t="s">
        <v>167</v>
      </c>
      <c r="C109" s="12"/>
      <c r="D109" s="15"/>
      <c r="E109" s="14"/>
      <c r="F109" s="13"/>
      <c r="G109" s="13"/>
      <c r="H109" s="13"/>
      <c r="I109" s="13"/>
      <c r="J109" s="13"/>
      <c r="K109" s="13">
        <v>0</v>
      </c>
      <c r="L109" s="13"/>
      <c r="M109" s="13">
        <v>0</v>
      </c>
      <c r="N109" s="13"/>
      <c r="O109" s="13"/>
      <c r="P109" s="13">
        <v>0</v>
      </c>
    </row>
    <row r="110" ht="15" customHeight="1" spans="1:16" x14ac:dyDescent="0.25">
      <c r="A110" s="10" t="s">
        <v>82</v>
      </c>
      <c r="B110" s="11" t="s">
        <v>168</v>
      </c>
      <c r="C110" s="12"/>
      <c r="D110" s="15"/>
      <c r="E110" s="14"/>
      <c r="F110" s="13"/>
      <c r="G110" s="13"/>
      <c r="H110" s="13"/>
      <c r="I110" s="13"/>
      <c r="J110" s="13"/>
      <c r="K110" s="13">
        <v>1120.94</v>
      </c>
      <c r="L110" s="13"/>
      <c r="M110" s="13">
        <v>0</v>
      </c>
      <c r="N110" s="13"/>
      <c r="O110" s="13"/>
      <c r="P110" s="13">
        <v>1120.94</v>
      </c>
    </row>
    <row r="111" ht="15" customHeight="1" spans="1:16" x14ac:dyDescent="0.25">
      <c r="A111" s="10" t="s">
        <v>118</v>
      </c>
      <c r="B111" s="11" t="s">
        <v>169</v>
      </c>
      <c r="C111" s="12"/>
      <c r="D111" s="13"/>
      <c r="E111" s="14"/>
      <c r="F111" s="13"/>
      <c r="G111" s="13"/>
      <c r="H111" s="13"/>
      <c r="I111" s="13"/>
      <c r="J111" s="13"/>
      <c r="K111" s="13">
        <v>0</v>
      </c>
      <c r="L111" s="13"/>
      <c r="M111" s="13">
        <v>0</v>
      </c>
      <c r="N111" s="13"/>
      <c r="O111" s="13"/>
      <c r="P111" s="13">
        <v>0</v>
      </c>
    </row>
    <row r="112" ht="15" customHeight="1" spans="1:16" x14ac:dyDescent="0.25">
      <c r="A112" s="10" t="s">
        <v>170</v>
      </c>
      <c r="B112" s="11" t="s">
        <v>171</v>
      </c>
      <c r="C112" s="15"/>
      <c r="D112" s="15"/>
      <c r="E112" s="14"/>
      <c r="F112" s="13"/>
      <c r="G112" s="13"/>
      <c r="H112" s="13"/>
      <c r="I112" s="13"/>
      <c r="J112" s="13"/>
      <c r="K112" s="13">
        <v>243.71</v>
      </c>
      <c r="L112" s="13"/>
      <c r="M112" s="13">
        <v>0</v>
      </c>
      <c r="N112" s="13"/>
      <c r="O112" s="13"/>
      <c r="P112" s="13">
        <v>243.71</v>
      </c>
    </row>
    <row r="113" ht="15" customHeight="1" spans="1:16" x14ac:dyDescent="0.25">
      <c r="A113" s="10" t="s">
        <v>88</v>
      </c>
      <c r="B113" s="11" t="s">
        <v>172</v>
      </c>
      <c r="C113" s="15"/>
      <c r="D113" s="15"/>
      <c r="E113" s="14"/>
      <c r="F113" s="13"/>
      <c r="G113" s="13"/>
      <c r="H113" s="13"/>
      <c r="I113" s="13"/>
      <c r="J113" s="13"/>
      <c r="K113" s="13">
        <v>0</v>
      </c>
      <c r="L113" s="13"/>
      <c r="M113" s="13">
        <v>0</v>
      </c>
      <c r="N113" s="13"/>
      <c r="O113" s="13"/>
      <c r="P113" s="13">
        <v>0</v>
      </c>
    </row>
    <row r="114" ht="15" customHeight="1" spans="1:16" x14ac:dyDescent="0.25">
      <c r="A114" s="10" t="s">
        <v>110</v>
      </c>
      <c r="B114" s="11" t="s">
        <v>173</v>
      </c>
      <c r="C114" s="15"/>
      <c r="D114" s="15"/>
      <c r="E114" s="14"/>
      <c r="F114" s="13"/>
      <c r="G114" s="13"/>
      <c r="H114" s="13"/>
      <c r="I114" s="13"/>
      <c r="J114" s="13"/>
      <c r="K114" s="13">
        <v>0</v>
      </c>
      <c r="L114" s="13"/>
      <c r="M114" s="13">
        <v>0</v>
      </c>
      <c r="N114" s="13"/>
      <c r="O114" s="13"/>
      <c r="P114" s="13">
        <v>0</v>
      </c>
    </row>
    <row r="115" ht="15" customHeight="1" spans="1:16" x14ac:dyDescent="0.25">
      <c r="A115" s="10" t="s">
        <v>174</v>
      </c>
      <c r="B115" s="11" t="s">
        <v>175</v>
      </c>
      <c r="C115" s="15"/>
      <c r="D115" s="15"/>
      <c r="E115" s="14"/>
      <c r="F115" s="13"/>
      <c r="G115" s="13"/>
      <c r="H115" s="13"/>
      <c r="I115" s="13"/>
      <c r="J115" s="13"/>
      <c r="K115" s="13">
        <v>1.07</v>
      </c>
      <c r="L115" s="13"/>
      <c r="M115" s="13">
        <v>0</v>
      </c>
      <c r="N115" s="13"/>
      <c r="O115" s="13"/>
      <c r="P115" s="13">
        <v>1.07</v>
      </c>
    </row>
    <row r="116" ht="15" customHeight="1" spans="1:16" x14ac:dyDescent="0.25">
      <c r="A116" s="10" t="s">
        <v>90</v>
      </c>
      <c r="B116" s="11" t="s">
        <v>176</v>
      </c>
      <c r="C116" s="15"/>
      <c r="D116" s="15"/>
      <c r="E116" s="14"/>
      <c r="F116" s="13"/>
      <c r="G116" s="13"/>
      <c r="H116" s="13"/>
      <c r="I116" s="13"/>
      <c r="J116" s="13"/>
      <c r="K116" s="13">
        <v>1.08</v>
      </c>
      <c r="L116" s="13"/>
      <c r="M116" s="13">
        <v>0</v>
      </c>
      <c r="N116" s="13"/>
      <c r="O116" s="13"/>
      <c r="P116" s="13">
        <v>1.08</v>
      </c>
    </row>
    <row r="117" ht="15" customHeight="1" spans="1:16" x14ac:dyDescent="0.25">
      <c r="A117" s="10" t="s">
        <v>177</v>
      </c>
      <c r="B117" s="11" t="s">
        <v>178</v>
      </c>
      <c r="C117" s="15"/>
      <c r="D117" s="15"/>
      <c r="E117" s="14"/>
      <c r="F117" s="13"/>
      <c r="G117" s="13"/>
      <c r="H117" s="13"/>
      <c r="I117" s="13"/>
      <c r="J117" s="13"/>
      <c r="K117" s="13">
        <v>20.08</v>
      </c>
      <c r="L117" s="13"/>
      <c r="M117" s="13">
        <v>0</v>
      </c>
      <c r="N117" s="13"/>
      <c r="O117" s="13"/>
      <c r="P117" s="13">
        <v>20.08</v>
      </c>
    </row>
    <row r="118" ht="15" customHeight="1" spans="1:16" x14ac:dyDescent="0.25">
      <c r="A118" s="10" t="s">
        <v>120</v>
      </c>
      <c r="B118" s="11" t="s">
        <v>179</v>
      </c>
      <c r="C118" s="15"/>
      <c r="D118" s="15"/>
      <c r="E118" s="14"/>
      <c r="F118" s="13"/>
      <c r="G118" s="13"/>
      <c r="H118" s="13"/>
      <c r="I118" s="13"/>
      <c r="J118" s="13"/>
      <c r="K118" s="13">
        <v>0</v>
      </c>
      <c r="L118" s="13"/>
      <c r="M118" s="13">
        <v>0</v>
      </c>
      <c r="N118" s="13"/>
      <c r="O118" s="13"/>
      <c r="P118" s="13">
        <v>0</v>
      </c>
    </row>
    <row r="119" ht="15" customHeight="1" spans="1:16" x14ac:dyDescent="0.25">
      <c r="A119" s="10" t="s">
        <v>180</v>
      </c>
      <c r="B119" s="11" t="s">
        <v>181</v>
      </c>
      <c r="C119" s="12"/>
      <c r="D119" s="15"/>
      <c r="E119" s="14"/>
      <c r="F119" s="13"/>
      <c r="G119" s="13"/>
      <c r="H119" s="13"/>
      <c r="I119" s="13"/>
      <c r="J119" s="13"/>
      <c r="K119" s="13">
        <v>1773.44</v>
      </c>
      <c r="L119" s="13"/>
      <c r="M119" s="13">
        <v>0</v>
      </c>
      <c r="N119" s="13"/>
      <c r="O119" s="13"/>
      <c r="P119" s="13">
        <v>1773.44</v>
      </c>
    </row>
    <row r="120" ht="15" customHeight="1" spans="1:16" x14ac:dyDescent="0.25">
      <c r="A120" s="10" t="s">
        <v>182</v>
      </c>
      <c r="B120" s="11" t="s">
        <v>183</v>
      </c>
      <c r="C120" s="12"/>
      <c r="D120" s="15"/>
      <c r="E120" s="14"/>
      <c r="F120" s="13"/>
      <c r="G120" s="13"/>
      <c r="H120" s="13"/>
      <c r="I120" s="13"/>
      <c r="J120" s="13"/>
      <c r="K120" s="13">
        <v>0</v>
      </c>
      <c r="L120" s="13"/>
      <c r="M120" s="13">
        <v>0</v>
      </c>
      <c r="N120" s="13"/>
      <c r="O120" s="13"/>
      <c r="P120" s="13">
        <v>0</v>
      </c>
    </row>
    <row r="121" ht="15" customHeight="1" spans="1:16" x14ac:dyDescent="0.25">
      <c r="A121" s="10" t="s">
        <v>104</v>
      </c>
      <c r="B121" s="11" t="s">
        <v>184</v>
      </c>
      <c r="C121" s="12"/>
      <c r="D121" s="13"/>
      <c r="E121" s="14"/>
      <c r="F121" s="13"/>
      <c r="G121" s="13"/>
      <c r="H121" s="13"/>
      <c r="I121" s="13"/>
      <c r="J121" s="13"/>
      <c r="K121" s="13">
        <v>21.64</v>
      </c>
      <c r="L121" s="13"/>
      <c r="M121" s="13">
        <v>0</v>
      </c>
      <c r="N121" s="13"/>
      <c r="O121" s="13"/>
      <c r="P121" s="13">
        <v>21.64</v>
      </c>
    </row>
    <row r="122" ht="15" customHeight="1" spans="1:16" x14ac:dyDescent="0.25">
      <c r="A122" s="10" t="s">
        <v>185</v>
      </c>
      <c r="B122" s="11" t="s">
        <v>186</v>
      </c>
      <c r="C122" s="12"/>
      <c r="D122" s="13"/>
      <c r="E122" s="14"/>
      <c r="F122" s="13"/>
      <c r="G122" s="13"/>
      <c r="H122" s="13"/>
      <c r="I122" s="13"/>
      <c r="J122" s="13"/>
      <c r="K122" s="13">
        <v>359.96</v>
      </c>
      <c r="L122" s="13"/>
      <c r="M122" s="13">
        <v>0</v>
      </c>
      <c r="N122" s="13"/>
      <c r="O122" s="13"/>
      <c r="P122" s="13">
        <v>359.96</v>
      </c>
    </row>
    <row r="123" ht="15" customHeight="1" spans="1:16" x14ac:dyDescent="0.25">
      <c r="A123" s="10" t="s">
        <v>74</v>
      </c>
      <c r="B123" s="13" t="s">
        <v>187</v>
      </c>
      <c r="C123" s="13"/>
      <c r="D123" s="13"/>
      <c r="E123" s="13"/>
      <c r="F123" s="13"/>
      <c r="G123" s="13"/>
      <c r="H123" s="13"/>
      <c r="I123" s="13"/>
      <c r="J123" s="13"/>
      <c r="K123" s="13">
        <v>0</v>
      </c>
      <c r="L123" s="13"/>
      <c r="M123" s="13">
        <v>0</v>
      </c>
      <c r="N123" s="13"/>
      <c r="O123" s="13"/>
      <c r="P123" s="13">
        <v>0</v>
      </c>
    </row>
    <row r="124" ht="15" customHeight="1" spans="1:16" x14ac:dyDescent="0.25">
      <c r="A124" s="10" t="s">
        <v>94</v>
      </c>
      <c r="B124" s="13" t="s">
        <v>188</v>
      </c>
      <c r="C124" s="13"/>
      <c r="D124" s="13"/>
      <c r="E124" s="13"/>
      <c r="F124" s="13"/>
      <c r="G124" s="13"/>
      <c r="H124" s="13"/>
      <c r="I124" s="13"/>
      <c r="J124" s="13"/>
      <c r="K124" s="13">
        <v>0</v>
      </c>
      <c r="L124" s="13"/>
      <c r="M124" s="13">
        <v>0</v>
      </c>
      <c r="N124" s="13"/>
      <c r="O124" s="13"/>
      <c r="P124" s="13">
        <v>0</v>
      </c>
    </row>
    <row r="125" ht="15" customHeight="1" spans="1:16" x14ac:dyDescent="0.25">
      <c r="A125" s="10" t="s">
        <v>189</v>
      </c>
      <c r="B125" s="13" t="s">
        <v>190</v>
      </c>
      <c r="C125" s="13"/>
      <c r="D125" s="13"/>
      <c r="E125" s="13"/>
      <c r="F125" s="13"/>
      <c r="G125" s="13"/>
      <c r="H125" s="13"/>
      <c r="I125" s="13"/>
      <c r="J125" s="13"/>
      <c r="K125" s="13">
        <v>0</v>
      </c>
      <c r="L125" s="13"/>
      <c r="M125" s="13">
        <v>0</v>
      </c>
      <c r="N125" s="13"/>
      <c r="O125" s="13"/>
      <c r="P125" s="13">
        <v>0</v>
      </c>
    </row>
    <row r="126" ht="12.75" customHeight="1" spans="1:16" x14ac:dyDescent="0.25">
      <c r="A126" s="10" t="s">
        <v>191</v>
      </c>
      <c r="B126" s="13" t="s">
        <v>192</v>
      </c>
      <c r="C126" s="13"/>
      <c r="D126" s="13"/>
      <c r="E126" s="13"/>
      <c r="F126" s="13"/>
      <c r="G126" s="13"/>
      <c r="H126" s="13"/>
      <c r="I126" s="13"/>
      <c r="J126" s="13"/>
      <c r="K126" s="13">
        <v>0</v>
      </c>
      <c r="L126" s="13"/>
      <c r="M126" s="13">
        <v>0</v>
      </c>
      <c r="N126" s="13"/>
      <c r="O126" s="13"/>
      <c r="P126" s="13">
        <v>0</v>
      </c>
    </row>
    <row r="127" ht="12.75" customHeight="1" spans="1:16" x14ac:dyDescent="0.25">
      <c r="A127" s="13"/>
      <c r="B127" s="11"/>
      <c r="C127" s="12"/>
      <c r="D127" s="13"/>
      <c r="E127" s="14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</row>
    <row r="128" ht="12.75" customHeight="1" spans="1:16" x14ac:dyDescent="0.25">
      <c r="A128" s="6" t="s">
        <v>193</v>
      </c>
      <c r="B128" s="7"/>
      <c r="C128" s="8"/>
      <c r="D128" s="6"/>
      <c r="E128" s="9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</row>
    <row r="129" ht="12.75" customHeight="1" spans="1:16" x14ac:dyDescent="0.25">
      <c r="A129" s="10" t="s">
        <v>126</v>
      </c>
      <c r="B129" s="11" t="s">
        <v>194</v>
      </c>
      <c r="C129" s="12"/>
      <c r="D129" s="13"/>
      <c r="E129" s="14"/>
      <c r="F129" s="13"/>
      <c r="G129" s="13"/>
      <c r="H129" s="13"/>
      <c r="I129" s="13"/>
      <c r="J129" s="13"/>
      <c r="K129" s="13">
        <v>0</v>
      </c>
      <c r="L129" s="13"/>
      <c r="M129" s="13">
        <v>0</v>
      </c>
      <c r="N129" s="13"/>
      <c r="O129" s="13"/>
      <c r="P129" s="13">
        <v>0</v>
      </c>
    </row>
    <row r="130" ht="12.75" customHeight="1" spans="1:16" x14ac:dyDescent="0.25">
      <c r="A130" s="13"/>
      <c r="B130" s="11"/>
      <c r="C130" s="12"/>
      <c r="D130" s="13"/>
      <c r="E130" s="14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</row>
    <row r="131" ht="12.75" customHeight="1" spans="1:16" x14ac:dyDescent="0.25">
      <c r="A131" s="6" t="s">
        <v>195</v>
      </c>
      <c r="B131" s="7"/>
      <c r="C131" s="8"/>
      <c r="D131" s="6"/>
      <c r="E131" s="9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</row>
    <row r="132" ht="12.75" customHeight="1" spans="1:16" x14ac:dyDescent="0.25">
      <c r="A132" s="10" t="s">
        <v>31</v>
      </c>
      <c r="B132" s="11" t="s">
        <v>196</v>
      </c>
      <c r="C132" s="12"/>
      <c r="D132" s="13"/>
      <c r="E132" s="14"/>
      <c r="F132" s="13"/>
      <c r="G132" s="13"/>
      <c r="H132" s="13"/>
      <c r="I132" s="13"/>
      <c r="J132" s="13"/>
      <c r="K132" s="13">
        <v>0</v>
      </c>
      <c r="L132" s="13"/>
      <c r="M132" s="13">
        <v>0</v>
      </c>
      <c r="N132" s="13"/>
      <c r="O132" s="13"/>
      <c r="P132" s="13">
        <v>0</v>
      </c>
    </row>
    <row r="133" ht="12.75" customHeight="1" spans="1:16" x14ac:dyDescent="0.25">
      <c r="A133" s="10" t="s">
        <v>108</v>
      </c>
      <c r="B133" s="11" t="s">
        <v>197</v>
      </c>
      <c r="C133" s="12"/>
      <c r="D133" s="13"/>
      <c r="E133" s="14"/>
      <c r="F133" s="13"/>
      <c r="G133" s="13"/>
      <c r="H133" s="13"/>
      <c r="I133" s="13"/>
      <c r="J133" s="13"/>
      <c r="K133" s="13">
        <v>0</v>
      </c>
      <c r="L133" s="13"/>
      <c r="M133" s="13">
        <v>0</v>
      </c>
      <c r="N133" s="13"/>
      <c r="O133" s="13"/>
      <c r="P133" s="13">
        <v>0</v>
      </c>
    </row>
    <row r="134" ht="12.75" customHeight="1" spans="1:16" x14ac:dyDescent="0.25">
      <c r="A134" s="10" t="s">
        <v>166</v>
      </c>
      <c r="B134" s="11" t="s">
        <v>198</v>
      </c>
      <c r="C134" s="12"/>
      <c r="D134" s="13"/>
      <c r="E134" s="14"/>
      <c r="F134" s="13"/>
      <c r="G134" s="13"/>
      <c r="H134" s="13"/>
      <c r="I134" s="13"/>
      <c r="J134" s="13"/>
      <c r="K134" s="13">
        <v>0</v>
      </c>
      <c r="L134" s="13"/>
      <c r="M134" s="13">
        <v>0</v>
      </c>
      <c r="N134" s="13"/>
      <c r="O134" s="13"/>
      <c r="P134" s="13">
        <v>0</v>
      </c>
    </row>
    <row r="135" ht="12.75" customHeight="1" spans="1:16" x14ac:dyDescent="0.25">
      <c r="A135" s="10" t="s">
        <v>82</v>
      </c>
      <c r="B135" s="11" t="s">
        <v>199</v>
      </c>
      <c r="C135" s="12"/>
      <c r="D135" s="13"/>
      <c r="E135" s="14"/>
      <c r="F135" s="13"/>
      <c r="G135" s="13"/>
      <c r="H135" s="13"/>
      <c r="I135" s="13"/>
      <c r="J135" s="13"/>
      <c r="K135" s="13">
        <v>0</v>
      </c>
      <c r="L135" s="13"/>
      <c r="M135" s="13">
        <v>0</v>
      </c>
      <c r="N135" s="13"/>
      <c r="O135" s="13"/>
      <c r="P135" s="13">
        <v>0</v>
      </c>
    </row>
    <row r="136" ht="12.75" customHeight="1" spans="1:16" x14ac:dyDescent="0.25">
      <c r="A136" s="10" t="s">
        <v>174</v>
      </c>
      <c r="B136" s="13" t="s">
        <v>200</v>
      </c>
      <c r="C136" s="13"/>
      <c r="D136" s="13"/>
      <c r="E136" s="13"/>
      <c r="F136" s="13"/>
      <c r="G136" s="13"/>
      <c r="H136" s="13"/>
      <c r="I136" s="13"/>
      <c r="J136" s="13"/>
      <c r="K136" s="13">
        <v>0</v>
      </c>
      <c r="L136" s="13"/>
      <c r="M136" s="13">
        <v>0</v>
      </c>
      <c r="N136" s="13"/>
      <c r="O136" s="13"/>
      <c r="P136" s="13">
        <v>0</v>
      </c>
    </row>
    <row r="137" ht="14.4" customHeight="1" spans="1:16" x14ac:dyDescent="0.25">
      <c r="A137" s="10" t="s">
        <v>90</v>
      </c>
      <c r="B137" s="13" t="s">
        <v>201</v>
      </c>
      <c r="C137" s="13"/>
      <c r="D137" s="13"/>
      <c r="E137" s="13"/>
      <c r="F137" s="13"/>
      <c r="G137" s="13"/>
      <c r="H137" s="13"/>
      <c r="I137" s="13"/>
      <c r="J137" s="13"/>
      <c r="K137" s="13">
        <v>0</v>
      </c>
      <c r="L137" s="13"/>
      <c r="M137" s="13">
        <v>0</v>
      </c>
      <c r="N137" s="13"/>
      <c r="O137" s="13"/>
      <c r="P137" s="13">
        <v>0</v>
      </c>
    </row>
    <row r="138" ht="14.4" customHeight="1" spans="1:16" x14ac:dyDescent="0.25">
      <c r="A138" s="10" t="s">
        <v>202</v>
      </c>
      <c r="B138" s="13" t="s">
        <v>203</v>
      </c>
      <c r="C138" s="13"/>
      <c r="D138" s="13"/>
      <c r="E138" s="13"/>
      <c r="F138" s="13"/>
      <c r="G138" s="13"/>
      <c r="H138" s="13"/>
      <c r="I138" s="13"/>
      <c r="J138" s="13"/>
      <c r="K138" s="13">
        <v>0</v>
      </c>
      <c r="L138" s="13"/>
      <c r="M138" s="13">
        <v>0</v>
      </c>
      <c r="N138" s="13"/>
      <c r="O138" s="13"/>
      <c r="P138" s="13">
        <v>0</v>
      </c>
    </row>
    <row r="139" ht="14.4" customHeight="1" spans="1:16" x14ac:dyDescent="0.25">
      <c r="A139" s="10" t="s">
        <v>144</v>
      </c>
      <c r="B139" s="13" t="s">
        <v>204</v>
      </c>
      <c r="C139" s="13"/>
      <c r="D139" s="13"/>
      <c r="E139" s="13"/>
      <c r="F139" s="13"/>
      <c r="G139" s="13"/>
      <c r="H139" s="13"/>
      <c r="I139" s="13"/>
      <c r="J139" s="13"/>
      <c r="K139" s="13">
        <v>0</v>
      </c>
      <c r="L139" s="13"/>
      <c r="M139" s="13">
        <v>0</v>
      </c>
      <c r="N139" s="13"/>
      <c r="O139" s="13"/>
      <c r="P139" s="13">
        <v>0</v>
      </c>
    </row>
    <row r="140" ht="14.4" customHeight="1" spans="1:16" x14ac:dyDescent="0.25">
      <c r="A140" s="10" t="s">
        <v>104</v>
      </c>
      <c r="B140" s="13" t="s">
        <v>205</v>
      </c>
      <c r="C140" s="13"/>
      <c r="D140" s="13"/>
      <c r="E140" s="13"/>
      <c r="F140" s="13"/>
      <c r="G140" s="13"/>
      <c r="H140" s="13"/>
      <c r="I140" s="13"/>
      <c r="J140" s="13"/>
      <c r="K140" s="13">
        <v>0</v>
      </c>
      <c r="L140" s="13"/>
      <c r="M140" s="13">
        <v>0</v>
      </c>
      <c r="N140" s="13"/>
      <c r="O140" s="13"/>
      <c r="P140" s="13">
        <v>0</v>
      </c>
    </row>
    <row r="141" ht="14.4" customHeight="1" spans="1:16" x14ac:dyDescent="0.25">
      <c r="A141" s="1" t="s">
        <v>206</v>
      </c>
      <c r="B141" s="1" t="s">
        <v>207</v>
      </c>
      <c r="C141" s="1"/>
      <c r="D141" s="1"/>
      <c r="E141" s="1"/>
      <c r="F141" s="1"/>
      <c r="G141" s="1"/>
      <c r="H141" s="1"/>
      <c r="I141" s="1"/>
      <c r="J141" s="1"/>
      <c r="K141" s="1">
        <v>18</v>
      </c>
      <c r="L141" s="1"/>
      <c r="M141" s="1">
        <v>0</v>
      </c>
      <c r="N141" s="1"/>
      <c r="O141" s="1"/>
      <c r="P141" s="1">
        <v>18</v>
      </c>
    </row>
  </sheetData>
  <pageMargins left="0.7" right="0.7" top="0.75" bottom="0.75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S487"/>
  <sheetViews>
    <sheetView workbookViewId="0" zoomScale="90" zoomScaleNormal="90">
      <pane xSplit="2" ySplit="6" topLeftCell="C376" activePane="bottomRight" state="frozen"/>
      <selection pane="bottomRight" activeCell="D374" sqref="D374"/>
    </sheetView>
  </sheetViews>
  <sheetFormatPr defaultRowHeight="11.4" outlineLevelRow="0" outlineLevelCol="0" x14ac:dyDescent="0.2" defaultColWidth="9.109375" customHeight="1"/>
  <cols>
    <col min="1" max="1" width="13.109375" style="18" customWidth="1"/>
    <col min="2" max="2" width="38.6640625" style="18" customWidth="1"/>
    <col min="3" max="3" width="11.5546875" style="19" customWidth="1"/>
    <col min="4" max="4" width="10.44140625" style="19" customWidth="1"/>
    <col min="5" max="5" width="11" style="19" customWidth="1"/>
    <col min="6" max="6" width="15.21875" style="19" customWidth="1"/>
    <col min="7" max="7" width="11.33203125" style="19" customWidth="1"/>
    <col min="8" max="8" width="41.5546875" style="19" customWidth="1"/>
    <col min="9" max="9" width="0.109375" style="19" hidden="1" customWidth="1"/>
    <col min="10" max="10" width="0.33203125" style="19" hidden="1" customWidth="1"/>
    <col min="11" max="11" width="22.44140625" style="19" hidden="1" customWidth="1"/>
    <col min="12" max="13" width="24.44140625" style="19" hidden="1" customWidth="1"/>
    <col min="14" max="14" width="17" style="19" hidden="1" customWidth="1"/>
    <col min="15" max="15" width="8.44140625" style="19" customWidth="1"/>
    <col min="16" max="16" width="7.109375" style="19" customWidth="1"/>
    <col min="17" max="17" width="8.33203125" style="19" customWidth="1"/>
    <col min="18" max="18" width="8.6640625" style="19" customWidth="1"/>
    <col min="19" max="19" width="6.6640625" style="19" customWidth="1"/>
    <col min="20" max="20" width="8.6640625" style="19" customWidth="1"/>
    <col min="21" max="21" width="5.33203125" style="19" hidden="1" customWidth="1"/>
    <col min="22" max="22" width="13.109375" style="19" hidden="1" customWidth="1"/>
    <col min="23" max="23" width="6.6640625" style="19" hidden="1" customWidth="1"/>
    <col min="24" max="24" width="8.33203125" style="19" hidden="1" customWidth="1"/>
    <col min="25" max="25" width="6.5546875" style="19" hidden="1" customWidth="1"/>
    <col min="26" max="26" width="8.33203125" style="19" hidden="1" customWidth="1"/>
    <col min="27" max="27" width="9.21875" style="19" customWidth="1"/>
    <col min="28" max="28" width="9.77734375" style="19" hidden="1" customWidth="1"/>
    <col min="29" max="29" width="53.109375" style="19" customWidth="1"/>
    <col min="30" max="30" width="19.88671875" style="19" customWidth="1"/>
    <col min="31" max="31" width="25.6640625" style="19" customWidth="1"/>
    <col min="32" max="32" width="22" style="19" customWidth="1"/>
    <col min="33" max="33" width="25.33203125" style="19" customWidth="1"/>
    <col min="34" max="34" width="24.109375" style="19" customWidth="1"/>
    <col min="35" max="35" width="23" style="19" customWidth="1"/>
    <col min="36" max="36" width="20.33203125" style="19" customWidth="1"/>
    <col min="37" max="37" width="16.44140625" style="19" customWidth="1"/>
    <col min="38" max="38" width="12.109375" style="19" customWidth="1"/>
    <col min="39" max="39" width="8.6640625" style="19" customWidth="1"/>
    <col min="40" max="40" width="7.109375" style="19" customWidth="1"/>
    <col min="41" max="41" width="8.6640625" style="19" customWidth="1"/>
    <col min="42" max="42" width="5.33203125" style="19" hidden="1" customWidth="1"/>
    <col min="43" max="43" width="7" style="19" hidden="1" customWidth="1"/>
    <col min="44" max="44" width="6.6640625" style="19" hidden="1" customWidth="1"/>
    <col min="45" max="45" width="5.33203125" style="19" hidden="1" customWidth="1"/>
    <col min="46" max="46" width="7" style="19" hidden="1" customWidth="1"/>
    <col min="47" max="47" width="6.6640625" style="19" hidden="1" customWidth="1"/>
    <col min="48" max="48" width="5.33203125" style="19" hidden="1" customWidth="1"/>
    <col min="49" max="49" width="7" style="19" hidden="1" customWidth="1"/>
    <col min="50" max="50" width="6.6640625" style="19" hidden="1" customWidth="1"/>
    <col min="51" max="51" width="5.33203125" style="19" hidden="1" customWidth="1"/>
    <col min="52" max="52" width="7" style="19" hidden="1" customWidth="1"/>
    <col min="53" max="53" width="6.6640625" style="19" hidden="1" customWidth="1"/>
    <col min="54" max="54" width="5.33203125" style="19" hidden="1" customWidth="1"/>
    <col min="55" max="55" width="7" style="19" hidden="1" customWidth="1"/>
    <col min="56" max="56" width="6.6640625" style="19" hidden="1" customWidth="1"/>
    <col min="57" max="57" width="5.33203125" style="19" hidden="1" customWidth="1"/>
    <col min="58" max="58" width="7" style="19" hidden="1" customWidth="1"/>
    <col min="59" max="59" width="6.6640625" style="19" hidden="1" customWidth="1"/>
    <col min="60" max="60" width="5.33203125" style="19" hidden="1" customWidth="1"/>
    <col min="61" max="61" width="7" style="19" hidden="1" customWidth="1"/>
    <col min="62" max="62" width="6.6640625" style="19" hidden="1" customWidth="1"/>
    <col min="63" max="63" width="5.33203125" style="19" hidden="1" customWidth="1"/>
    <col min="64" max="64" width="7" style="19" hidden="1" customWidth="1"/>
    <col min="65" max="65" width="6.6640625" style="19" hidden="1" customWidth="1"/>
    <col min="66" max="66" width="18.109375" style="19" hidden="1" customWidth="1"/>
    <col min="67" max="67" width="10.109375" style="19" hidden="1" customWidth="1"/>
    <col min="68" max="68" width="12.109375" style="19" hidden="1" customWidth="1"/>
    <col min="69" max="69" width="13.77734375" style="20" customWidth="1"/>
    <col min="70" max="70" width="11.33203125" style="19" customWidth="1"/>
    <col min="71" max="73" width="9.109375" style="19" customWidth="1"/>
    <col min="74" max="74" width="10.33203125" style="19" customWidth="1"/>
    <col min="75" max="83" width="9.109375" style="19" customWidth="1"/>
    <col min="84" max="16384" width="9.109375" style="21" customWidth="1"/>
  </cols>
  <sheetData>
    <row r="1" ht="12.75" customHeight="1" spans="1:1" x14ac:dyDescent="0.25">
      <c r="A1" s="22" t="s">
        <v>208</v>
      </c>
    </row>
    <row r="2" ht="12.75" customHeight="1" spans="1:1" x14ac:dyDescent="0.25">
      <c r="A2" s="23">
        <v>46113</v>
      </c>
    </row>
    <row r="3" ht="13.5" customHeight="1" spans="1:1" x14ac:dyDescent="0.25">
      <c r="A3" s="22" t="s">
        <v>209</v>
      </c>
    </row>
    <row r="4" ht="12" customHeight="1" spans="1:69" x14ac:dyDescent="0.25">
      <c r="A4" s="18"/>
      <c r="B4" s="18"/>
      <c r="C4" s="24" t="s">
        <v>210</v>
      </c>
      <c r="D4" s="24"/>
      <c r="E4" s="24"/>
      <c r="F4" s="24" t="s">
        <v>211</v>
      </c>
      <c r="G4" s="24"/>
      <c r="H4" s="24"/>
      <c r="I4" s="25" t="s">
        <v>212</v>
      </c>
      <c r="J4" s="25"/>
      <c r="K4" s="25"/>
      <c r="L4" s="26" t="s">
        <v>213</v>
      </c>
      <c r="M4" s="26"/>
      <c r="N4" s="26"/>
      <c r="O4" s="26" t="s">
        <v>214</v>
      </c>
      <c r="P4" s="26"/>
      <c r="Q4" s="26"/>
      <c r="R4" s="26" t="s">
        <v>215</v>
      </c>
      <c r="S4" s="26"/>
      <c r="T4" s="26"/>
      <c r="U4" s="27"/>
      <c r="V4" s="27" t="s">
        <v>216</v>
      </c>
      <c r="W4" s="27"/>
      <c r="X4" s="26" t="s">
        <v>217</v>
      </c>
      <c r="Y4" s="26"/>
      <c r="Z4" s="26"/>
      <c r="AA4" s="26" t="s">
        <v>218</v>
      </c>
      <c r="AB4" s="26"/>
      <c r="AC4" s="26"/>
      <c r="AD4" s="26" t="s">
        <v>219</v>
      </c>
      <c r="AE4" s="26"/>
      <c r="AF4" s="26"/>
      <c r="AG4" s="26" t="s">
        <v>220</v>
      </c>
      <c r="AH4" s="26"/>
      <c r="AI4" s="26"/>
      <c r="AJ4" s="26" t="s">
        <v>221</v>
      </c>
      <c r="AK4" s="26"/>
      <c r="AL4" s="26"/>
      <c r="AM4" s="26" t="s">
        <v>222</v>
      </c>
      <c r="AN4" s="26"/>
      <c r="AO4" s="26"/>
      <c r="AP4" s="26" t="s">
        <v>223</v>
      </c>
      <c r="AQ4" s="26"/>
      <c r="AR4" s="26"/>
      <c r="AS4" s="26" t="s">
        <v>224</v>
      </c>
      <c r="AT4" s="26"/>
      <c r="AU4" s="26"/>
      <c r="AV4" s="26" t="s">
        <v>225</v>
      </c>
      <c r="AW4" s="26"/>
      <c r="AX4" s="26"/>
      <c r="AY4" s="26" t="s">
        <v>226</v>
      </c>
      <c r="AZ4" s="26"/>
      <c r="BA4" s="26"/>
      <c r="BB4" s="26" t="s">
        <v>227</v>
      </c>
      <c r="BC4" s="26"/>
      <c r="BD4" s="26"/>
      <c r="BE4" s="26" t="s">
        <v>228</v>
      </c>
      <c r="BF4" s="26"/>
      <c r="BG4" s="26"/>
      <c r="BH4" s="26" t="s">
        <v>229</v>
      </c>
      <c r="BI4" s="26"/>
      <c r="BJ4" s="26"/>
      <c r="BK4" s="26" t="s">
        <v>230</v>
      </c>
      <c r="BL4" s="26"/>
      <c r="BM4" s="26"/>
      <c r="BN4" s="28" t="s">
        <v>231</v>
      </c>
      <c r="BO4" s="28"/>
      <c r="BP4" s="28"/>
      <c r="BQ4" s="29" t="s">
        <v>232</v>
      </c>
    </row>
    <row r="5" ht="12" customHeight="1" spans="1:69" x14ac:dyDescent="0.25">
      <c r="A5" s="18"/>
      <c r="B5" s="30"/>
      <c r="C5" s="31" t="s">
        <v>233</v>
      </c>
      <c r="D5" s="32" t="s">
        <v>234</v>
      </c>
      <c r="E5" s="32" t="s">
        <v>235</v>
      </c>
      <c r="F5" s="31" t="s">
        <v>233</v>
      </c>
      <c r="G5" s="32" t="s">
        <v>234</v>
      </c>
      <c r="H5" s="32" t="s">
        <v>235</v>
      </c>
      <c r="I5" s="31" t="s">
        <v>233</v>
      </c>
      <c r="J5" s="32" t="s">
        <v>234</v>
      </c>
      <c r="K5" s="32" t="s">
        <v>235</v>
      </c>
      <c r="L5" s="31" t="s">
        <v>233</v>
      </c>
      <c r="M5" s="32" t="s">
        <v>234</v>
      </c>
      <c r="N5" s="32" t="s">
        <v>235</v>
      </c>
      <c r="O5" s="33" t="s">
        <v>233</v>
      </c>
      <c r="P5" s="34" t="s">
        <v>234</v>
      </c>
      <c r="Q5" s="35" t="s">
        <v>235</v>
      </c>
      <c r="R5" s="33" t="s">
        <v>233</v>
      </c>
      <c r="S5" s="34" t="s">
        <v>234</v>
      </c>
      <c r="T5" s="35" t="s">
        <v>235</v>
      </c>
      <c r="U5" s="34" t="s">
        <v>233</v>
      </c>
      <c r="V5" s="34" t="s">
        <v>234</v>
      </c>
      <c r="W5" s="34" t="s">
        <v>235</v>
      </c>
      <c r="X5" s="33" t="s">
        <v>233</v>
      </c>
      <c r="Y5" s="34" t="s">
        <v>234</v>
      </c>
      <c r="Z5" s="35" t="s">
        <v>235</v>
      </c>
      <c r="AA5" s="31" t="s">
        <v>233</v>
      </c>
      <c r="AB5" s="32" t="s">
        <v>234</v>
      </c>
      <c r="AC5" s="36" t="s">
        <v>235</v>
      </c>
      <c r="AD5" s="31" t="s">
        <v>233</v>
      </c>
      <c r="AE5" s="32" t="s">
        <v>234</v>
      </c>
      <c r="AF5" s="32" t="s">
        <v>235</v>
      </c>
      <c r="AG5" s="31" t="s">
        <v>233</v>
      </c>
      <c r="AH5" s="32" t="s">
        <v>234</v>
      </c>
      <c r="AI5" s="36" t="s">
        <v>235</v>
      </c>
      <c r="AJ5" s="31" t="s">
        <v>233</v>
      </c>
      <c r="AK5" s="32" t="s">
        <v>236</v>
      </c>
      <c r="AL5" s="32" t="s">
        <v>235</v>
      </c>
      <c r="AM5" s="31" t="s">
        <v>233</v>
      </c>
      <c r="AN5" s="32" t="s">
        <v>236</v>
      </c>
      <c r="AO5" s="36" t="s">
        <v>235</v>
      </c>
      <c r="AP5" s="31" t="s">
        <v>233</v>
      </c>
      <c r="AQ5" s="32" t="s">
        <v>236</v>
      </c>
      <c r="AR5" s="36" t="s">
        <v>235</v>
      </c>
      <c r="AS5" s="31" t="s">
        <v>233</v>
      </c>
      <c r="AT5" s="32" t="s">
        <v>236</v>
      </c>
      <c r="AU5" s="36" t="s">
        <v>235</v>
      </c>
      <c r="AV5" s="31" t="s">
        <v>233</v>
      </c>
      <c r="AW5" s="32" t="s">
        <v>236</v>
      </c>
      <c r="AX5" s="36" t="s">
        <v>235</v>
      </c>
      <c r="AY5" s="31" t="s">
        <v>233</v>
      </c>
      <c r="AZ5" s="32" t="s">
        <v>236</v>
      </c>
      <c r="BA5" s="36" t="s">
        <v>235</v>
      </c>
      <c r="BB5" s="31" t="s">
        <v>233</v>
      </c>
      <c r="BC5" s="32" t="s">
        <v>236</v>
      </c>
      <c r="BD5" s="36" t="s">
        <v>235</v>
      </c>
      <c r="BE5" s="32" t="s">
        <v>233</v>
      </c>
      <c r="BF5" s="32" t="s">
        <v>236</v>
      </c>
      <c r="BG5" s="36" t="s">
        <v>235</v>
      </c>
      <c r="BH5" s="32" t="s">
        <v>233</v>
      </c>
      <c r="BI5" s="32" t="s">
        <v>236</v>
      </c>
      <c r="BJ5" s="36" t="s">
        <v>235</v>
      </c>
      <c r="BK5" s="31" t="s">
        <v>233</v>
      </c>
      <c r="BL5" s="32" t="s">
        <v>236</v>
      </c>
      <c r="BM5" s="32" t="s">
        <v>235</v>
      </c>
      <c r="BN5" s="31" t="s">
        <v>233</v>
      </c>
      <c r="BO5" s="32" t="s">
        <v>236</v>
      </c>
      <c r="BP5" s="36" t="s">
        <v>235</v>
      </c>
      <c r="BQ5" s="37" t="s">
        <v>237</v>
      </c>
    </row>
    <row r="6" ht="13.5" customHeight="1" spans="1:67" x14ac:dyDescent="0.25">
      <c r="A6" s="18"/>
      <c r="B6" s="18"/>
      <c r="C6" s="38"/>
      <c r="D6" s="39"/>
      <c r="E6" s="39"/>
      <c r="F6" s="38"/>
      <c r="G6" s="39"/>
      <c r="H6" s="40"/>
      <c r="I6" s="39"/>
      <c r="J6" s="39"/>
      <c r="K6" s="39">
        <v>0</v>
      </c>
      <c r="L6" s="39"/>
      <c r="M6" s="39"/>
      <c r="N6" s="39"/>
      <c r="O6" s="41"/>
      <c r="P6" s="42"/>
      <c r="Q6" s="43"/>
      <c r="R6" s="41"/>
      <c r="S6" s="42"/>
      <c r="T6" s="43"/>
      <c r="U6" s="41"/>
      <c r="V6" s="42"/>
      <c r="W6" s="43"/>
      <c r="X6" s="41"/>
      <c r="Y6" s="42"/>
      <c r="Z6" s="43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</row>
    <row r="7" ht="11.25" customHeight="1" spans="1:69" x14ac:dyDescent="0.25">
      <c r="A7" s="44">
        <v>40000000</v>
      </c>
      <c r="B7" s="44" t="s">
        <v>238</v>
      </c>
      <c r="C7" s="38">
        <f>IFERROR(VLOOKUP("1_"&amp;A7,SyS!$B:$P,10,FALSE()),0)</f>
        <v>0</v>
      </c>
      <c r="D7" s="39">
        <f>IFERROR(VLOOKUP("1_"&amp;A7,SyS!$B:$P,12,FALSE()),0)</f>
        <v>0</v>
      </c>
      <c r="E7" s="39">
        <f>+C7-D7</f>
        <v>0</v>
      </c>
      <c r="F7" s="38">
        <f>IFERROR(VLOOKUP("2_"&amp;A7,SyS!$B:$P,10,FALSE()),0)</f>
        <v>0</v>
      </c>
      <c r="G7" s="39">
        <f>IFERROR(VLOOKUP("2_"&amp;A7,SyS!$B:$P,12,FALSE()),0)</f>
        <v>0</v>
      </c>
      <c r="H7" s="40">
        <f>+F7-G7</f>
        <v>0</v>
      </c>
      <c r="I7" s="39"/>
      <c r="J7" s="39"/>
      <c r="K7" s="39"/>
      <c r="L7" s="39"/>
      <c r="M7" s="39"/>
      <c r="N7" s="39"/>
      <c r="O7" s="38">
        <f>IFERROR(VLOOKUP("14_"&amp;A7,SyS!$B:$P,10,FALSE()),0)</f>
        <v>0</v>
      </c>
      <c r="P7" s="39">
        <f>IFERROR(VLOOKUP("14_"&amp;A7,SyS!$B:$P,12,FALSE()),0)</f>
        <v>0</v>
      </c>
      <c r="Q7" s="40">
        <f>+O7-P7</f>
        <v>0</v>
      </c>
      <c r="R7" s="38">
        <f>IFERROR(VLOOKUP("15_"&amp;A7,SyS!$B:$P,10,FALSE()),0)</f>
        <v>0</v>
      </c>
      <c r="S7" s="39">
        <f>IFERROR(VLOOKUP("15_"&amp;A7,SyS!$B:$P,12,FALSE()),0)</f>
        <v>0</v>
      </c>
      <c r="T7" s="40">
        <f>+R7-S7</f>
        <v>0</v>
      </c>
      <c r="U7" s="38">
        <f>IFERROR(VLOOKUP("16_"&amp;A7,SyS!$B:$P,10,FALSE()),0)</f>
        <v>0</v>
      </c>
      <c r="V7" s="39">
        <f>IFERROR(VLOOKUP("16_"&amp;A7,SyS!$B:$P,12,FALSE()),0)</f>
        <v>0</v>
      </c>
      <c r="W7" s="40">
        <f>+U7-V7</f>
        <v>0</v>
      </c>
      <c r="X7" s="38">
        <f>IFERROR(VLOOKUP("13_"&amp;A7,SyS!$B:$P,10,FALSE()),0)</f>
        <v>0</v>
      </c>
      <c r="Y7" s="39">
        <f>IFERROR(VLOOKUP("13_"&amp;A7,SyS!$B:$P,12,FALSE()),0)</f>
        <v>0</v>
      </c>
      <c r="Z7" s="40">
        <f>+X7-Y7</f>
        <v>0</v>
      </c>
      <c r="AA7" s="41">
        <f>IFERROR(VLOOKUP("17_"&amp;A7,SyS!$B:$P,10,FALSE()),0)</f>
        <v>0</v>
      </c>
      <c r="AB7" s="42">
        <f>IFERROR(VLOOKUP("17_"&amp;A7,SyS!$B:$P,12,FALSE()),0)</f>
        <v>0</v>
      </c>
      <c r="AC7" s="43">
        <f>+AA7-AB7</f>
        <v>0</v>
      </c>
      <c r="AD7" s="39"/>
      <c r="AE7" s="39"/>
      <c r="AF7" s="39"/>
      <c r="AG7" s="39">
        <f>IFERROR(VLOOKUP("19_"&amp;A7,SyS!$B:$P,10,FALSE()),0)</f>
        <v>0</v>
      </c>
      <c r="AH7" s="39">
        <f>IFERROR(VLOOKUP("19_"&amp;A7,SyS!$B:$P,12,FALSE()),0)</f>
        <v>0</v>
      </c>
      <c r="AI7" s="39">
        <f>+AG7-AH7</f>
        <v>0</v>
      </c>
      <c r="AJ7" s="39"/>
      <c r="AK7" s="39"/>
      <c r="AL7" s="39"/>
      <c r="AM7" s="39">
        <f>IFERROR(VLOOKUP("23_"&amp;A7,SyS!$B:$P,10,FALSE()),0)</f>
        <v>0</v>
      </c>
      <c r="AN7" s="42">
        <f>IFERROR(VLOOKUP("23_"&amp;A7,SyS!$B:$P,12,FALSE()),0)</f>
        <v>0</v>
      </c>
      <c r="AO7" s="43">
        <f>+AM7-AN7</f>
        <v>0</v>
      </c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>
        <f>IFERROR(VLOOKUP("29_"&amp;A7,SyS!$B:$P,10,FALSE()),0)</f>
        <v>0</v>
      </c>
      <c r="BL7" s="39">
        <f>IFERROR(VLOOKUP("29_"&amp;A7,SyS!$B:$P,12,FALSE()),0)</f>
        <v>0</v>
      </c>
      <c r="BM7" s="39">
        <f>+BK7-BL7</f>
        <v>0</v>
      </c>
      <c r="BN7" s="41">
        <f>IFERROR(VLOOKUP("30_"&amp;A7,SyS!$B:$P,10,FALSE()),0)</f>
        <v>0</v>
      </c>
      <c r="BO7" s="42">
        <f>IFERROR(VLOOKUP("30_"&amp;A7,SyS!$B:$P,12,FALSE()),0)</f>
        <v>0</v>
      </c>
      <c r="BP7" s="43">
        <f>+BN7-BO7</f>
        <v>0</v>
      </c>
      <c r="BQ7" s="45">
        <f>+E7+H7+K7+Q7+T7+W7+Z7+AC7+AF7+AI7+AL7+AO7+AR7+AU7+AX7+BA7+BD7+BG7+BJ7+BM7+BP7</f>
        <v>0</v>
      </c>
    </row>
    <row r="8" ht="11.25" customHeight="1" spans="1:69" x14ac:dyDescent="0.25">
      <c r="A8" s="44">
        <v>41000000</v>
      </c>
      <c r="B8" s="44" t="s">
        <v>239</v>
      </c>
      <c r="C8" s="38">
        <f>IFERROR(VLOOKUP("1_"&amp;A8,SyS!$B:$P,10,FALSE()),0)</f>
        <v>0</v>
      </c>
      <c r="D8" s="39">
        <f>IFERROR(VLOOKUP("1_"&amp;A8,SyS!$B:$P,12,FALSE()),0)</f>
        <v>0</v>
      </c>
      <c r="E8" s="39">
        <f>+C8-D8</f>
        <v>0</v>
      </c>
      <c r="F8" s="38">
        <f>IFERROR(VLOOKUP("2_"&amp;A8,SyS!$B:$P,10,FALSE()),0)</f>
        <v>0</v>
      </c>
      <c r="G8" s="39">
        <f>IFERROR(VLOOKUP("2_"&amp;A8,SyS!$B:$P,12,FALSE()),0)</f>
        <v>0</v>
      </c>
      <c r="H8" s="40">
        <f>+F8-G8</f>
        <v>0</v>
      </c>
      <c r="I8" s="39"/>
      <c r="J8" s="39"/>
      <c r="K8" s="39"/>
      <c r="L8" s="39"/>
      <c r="M8" s="39"/>
      <c r="N8" s="39"/>
      <c r="O8" s="38">
        <f>IFERROR(VLOOKUP("14_"&amp;A8,SyS!$B:$P,10,FALSE()),0)</f>
        <v>0</v>
      </c>
      <c r="P8" s="39">
        <f>IFERROR(VLOOKUP("14_"&amp;A8,SyS!$B:$P,12,FALSE()),0)</f>
        <v>0</v>
      </c>
      <c r="Q8" s="40">
        <f>+O8-P8</f>
        <v>0</v>
      </c>
      <c r="R8" s="38">
        <f>IFERROR(VLOOKUP("15_"&amp;A8,SyS!$B:$P,10,FALSE()),0)</f>
        <v>0</v>
      </c>
      <c r="S8" s="39">
        <f>IFERROR(VLOOKUP("15_"&amp;A8,SyS!$B:$P,12,FALSE()),0)</f>
        <v>0</v>
      </c>
      <c r="T8" s="40">
        <f>+R8-S8</f>
        <v>0</v>
      </c>
      <c r="U8" s="38">
        <f>IFERROR(VLOOKUP("16_"&amp;A8,SyS!$B:$P,10,FALSE()),0)</f>
        <v>0</v>
      </c>
      <c r="V8" s="39">
        <f>IFERROR(VLOOKUP("16_"&amp;A8,SyS!$B:$P,12,FALSE()),0)</f>
        <v>0</v>
      </c>
      <c r="W8" s="40">
        <f>+U8-V8</f>
        <v>0</v>
      </c>
      <c r="X8" s="38">
        <f>IFERROR(VLOOKUP("13_"&amp;A8,SyS!$B:$P,10,FALSE()),0)</f>
        <v>0</v>
      </c>
      <c r="Y8" s="39">
        <f>IFERROR(VLOOKUP("13_"&amp;A8,SyS!$B:$P,12,FALSE()),0)</f>
        <v>0</v>
      </c>
      <c r="Z8" s="40">
        <f>+X8-Y8</f>
        <v>0</v>
      </c>
      <c r="AA8" s="38">
        <f>IFERROR(VLOOKUP("17_"&amp;A8,SyS!$B:$P,10,FALSE()),0)</f>
        <v>0</v>
      </c>
      <c r="AB8" s="39">
        <f>IFERROR(VLOOKUP("17_"&amp;A8,SyS!$B:$P,12,FALSE()),0)</f>
        <v>0</v>
      </c>
      <c r="AC8" s="40">
        <f>+AA8-AB8</f>
        <v>0</v>
      </c>
      <c r="AD8" s="39"/>
      <c r="AE8" s="39"/>
      <c r="AF8" s="39"/>
      <c r="AG8" s="39">
        <f>IFERROR(VLOOKUP("19_"&amp;A8,SyS!$B:$P,10,FALSE()),0)</f>
        <v>0</v>
      </c>
      <c r="AH8" s="39">
        <f>IFERROR(VLOOKUP("19_"&amp;A8,SyS!$B:$P,12,FALSE()),0)</f>
        <v>0</v>
      </c>
      <c r="AI8" s="39">
        <f>+AG8-AH8</f>
        <v>0</v>
      </c>
      <c r="AJ8" s="39"/>
      <c r="AK8" s="39"/>
      <c r="AL8" s="39"/>
      <c r="AM8" s="39">
        <f>IFERROR(VLOOKUP("23_"&amp;A8,SyS!$B:$P,10,FALSE()),0)</f>
        <v>0</v>
      </c>
      <c r="AN8" s="39">
        <f>IFERROR(VLOOKUP("23_"&amp;A8,SyS!$B:$P,12,FALSE()),0)</f>
        <v>0</v>
      </c>
      <c r="AO8" s="40">
        <f>+AM8-AN8</f>
        <v>0</v>
      </c>
      <c r="AP8" s="39"/>
      <c r="AQ8" s="39"/>
      <c r="AR8" s="39"/>
      <c r="AS8" s="39"/>
      <c r="AT8" s="39"/>
      <c r="AU8" s="39"/>
      <c r="AV8" s="39"/>
      <c r="AW8" s="39"/>
      <c r="AX8" s="39"/>
      <c r="AY8" s="39"/>
      <c r="AZ8" s="39"/>
      <c r="BA8" s="39"/>
      <c r="BB8" s="39"/>
      <c r="BC8" s="39"/>
      <c r="BD8" s="39"/>
      <c r="BE8" s="39"/>
      <c r="BF8" s="39"/>
      <c r="BG8" s="39"/>
      <c r="BH8" s="39"/>
      <c r="BI8" s="39"/>
      <c r="BJ8" s="39"/>
      <c r="BK8" s="39">
        <f>IFERROR(VLOOKUP("29_"&amp;A8,SyS!$B:$P,10,FALSE()),0)</f>
        <v>0</v>
      </c>
      <c r="BL8" s="39">
        <f>IFERROR(VLOOKUP("29_"&amp;A8,SyS!$B:$P,12,FALSE()),0)</f>
        <v>0</v>
      </c>
      <c r="BM8" s="39">
        <f>+BK8-BL8</f>
        <v>0</v>
      </c>
      <c r="BN8" s="38">
        <f>IFERROR(VLOOKUP("30_"&amp;A8,SyS!$B:$P,10,FALSE()),0)</f>
        <v>0</v>
      </c>
      <c r="BO8" s="39">
        <f>IFERROR(VLOOKUP("30_"&amp;A8,SyS!$B:$P,12,FALSE()),0)</f>
        <v>0</v>
      </c>
      <c r="BP8" s="40">
        <f>+BN8-BO8</f>
        <v>0</v>
      </c>
      <c r="BQ8" s="45">
        <f>+E8+H8+K8+Q8+T8+W8+Z8+AC8+AF8+AI8+AL8+AO8+AR8+AU8+AX8+BA8+BD8+BG8+BJ8+BM8+BP8</f>
        <v>0</v>
      </c>
    </row>
    <row r="9" ht="11.25" customHeight="1" spans="1:69" x14ac:dyDescent="0.25">
      <c r="A9" s="44">
        <v>41100000</v>
      </c>
      <c r="B9" s="44" t="s">
        <v>240</v>
      </c>
      <c r="C9" s="38">
        <f>IFERROR(VLOOKUP("1_"&amp;A9,SyS!$B:$P,10,FALSE()),0)</f>
        <v>0</v>
      </c>
      <c r="D9" s="39">
        <f>IFERROR(VLOOKUP("1_"&amp;A9,SyS!$B:$P,12,FALSE()),0)</f>
        <v>0</v>
      </c>
      <c r="E9" s="39">
        <f>+C9-D9</f>
        <v>0</v>
      </c>
      <c r="F9" s="38">
        <f>IFERROR(VLOOKUP("2_"&amp;A9,SyS!$B:$P,10,FALSE()),0)</f>
        <v>0</v>
      </c>
      <c r="G9" s="39">
        <f>IFERROR(VLOOKUP("2_"&amp;A9,SyS!$B:$P,12,FALSE()),0)</f>
        <v>0</v>
      </c>
      <c r="H9" s="40">
        <f>+F9-G9</f>
        <v>0</v>
      </c>
      <c r="I9" s="39"/>
      <c r="J9" s="39"/>
      <c r="K9" s="39"/>
      <c r="L9" s="39"/>
      <c r="M9" s="39"/>
      <c r="N9" s="39"/>
      <c r="O9" s="38">
        <f>IFERROR(VLOOKUP("14_"&amp;A9,SyS!$B:$P,10,FALSE()),0)</f>
        <v>0</v>
      </c>
      <c r="P9" s="39">
        <f>IFERROR(VLOOKUP("14_"&amp;A9,SyS!$B:$P,12,FALSE()),0)</f>
        <v>0</v>
      </c>
      <c r="Q9" s="40">
        <f>+O9-P9</f>
        <v>0</v>
      </c>
      <c r="R9" s="38">
        <f>IFERROR(VLOOKUP("15_"&amp;A9,SyS!$B:$P,10,FALSE()),0)</f>
        <v>0</v>
      </c>
      <c r="S9" s="39">
        <f>IFERROR(VLOOKUP("15_"&amp;A9,SyS!$B:$P,12,FALSE()),0)</f>
        <v>0</v>
      </c>
      <c r="T9" s="40">
        <f>+R9-S9</f>
        <v>0</v>
      </c>
      <c r="U9" s="38">
        <f>IFERROR(VLOOKUP("16_"&amp;A9,SyS!$B:$P,10,FALSE()),0)</f>
        <v>0</v>
      </c>
      <c r="V9" s="39">
        <f>IFERROR(VLOOKUP("16_"&amp;A9,SyS!$B:$P,12,FALSE()),0)</f>
        <v>0</v>
      </c>
      <c r="W9" s="40">
        <f>+U9-V9</f>
        <v>0</v>
      </c>
      <c r="X9" s="38">
        <f>IFERROR(VLOOKUP("13_"&amp;A9,SyS!$B:$P,10,FALSE()),0)</f>
        <v>0</v>
      </c>
      <c r="Y9" s="39">
        <f>IFERROR(VLOOKUP("13_"&amp;A9,SyS!$B:$P,12,FALSE()),0)</f>
        <v>0</v>
      </c>
      <c r="Z9" s="40">
        <f>+X9-Y9</f>
        <v>0</v>
      </c>
      <c r="AA9" s="38">
        <f>IFERROR(VLOOKUP("17_"&amp;A9,SyS!$B:$P,10,FALSE()),0)</f>
        <v>0</v>
      </c>
      <c r="AB9" s="39">
        <f>IFERROR(VLOOKUP("17_"&amp;A9,SyS!$B:$P,12,FALSE()),0)</f>
        <v>0</v>
      </c>
      <c r="AC9" s="40">
        <f>+AA9-AB9</f>
        <v>0</v>
      </c>
      <c r="AD9" s="39"/>
      <c r="AE9" s="39"/>
      <c r="AF9" s="39"/>
      <c r="AG9" s="39">
        <f>IFERROR(VLOOKUP("19_"&amp;A9,SyS!$B:$P,10,FALSE()),0)</f>
        <v>0</v>
      </c>
      <c r="AH9" s="39">
        <f>IFERROR(VLOOKUP("19_"&amp;A9,SyS!$B:$P,12,FALSE()),0)</f>
        <v>0</v>
      </c>
      <c r="AI9" s="39">
        <f>+AG9-AH9</f>
        <v>0</v>
      </c>
      <c r="AJ9" s="39"/>
      <c r="AK9" s="39"/>
      <c r="AL9" s="39"/>
      <c r="AM9" s="39">
        <f>IFERROR(VLOOKUP("23_"&amp;A9,SyS!$B:$P,10,FALSE()),0)</f>
        <v>0</v>
      </c>
      <c r="AN9" s="39">
        <f>IFERROR(VLOOKUP("23_"&amp;A9,SyS!$B:$P,12,FALSE()),0)</f>
        <v>0</v>
      </c>
      <c r="AO9" s="40">
        <f>+AM9-AN9</f>
        <v>0</v>
      </c>
      <c r="AP9" s="39"/>
      <c r="AQ9" s="39"/>
      <c r="AR9" s="39"/>
      <c r="AS9" s="39"/>
      <c r="AT9" s="39"/>
      <c r="AU9" s="39"/>
      <c r="AV9" s="39"/>
      <c r="AW9" s="39"/>
      <c r="AX9" s="39"/>
      <c r="AY9" s="39"/>
      <c r="AZ9" s="39"/>
      <c r="BA9" s="39"/>
      <c r="BB9" s="39"/>
      <c r="BC9" s="39"/>
      <c r="BD9" s="39"/>
      <c r="BE9" s="39"/>
      <c r="BF9" s="39"/>
      <c r="BG9" s="39"/>
      <c r="BH9" s="39"/>
      <c r="BI9" s="39"/>
      <c r="BJ9" s="39"/>
      <c r="BK9" s="39">
        <f>IFERROR(VLOOKUP("29_"&amp;A9,SyS!$B:$P,10,FALSE()),0)</f>
        <v>0</v>
      </c>
      <c r="BL9" s="39">
        <f>IFERROR(VLOOKUP("29_"&amp;A9,SyS!$B:$P,12,FALSE()),0)</f>
        <v>0</v>
      </c>
      <c r="BM9" s="39">
        <f>+BK9-BL9</f>
        <v>0</v>
      </c>
      <c r="BN9" s="38">
        <f>IFERROR(VLOOKUP("30_"&amp;A9,SyS!$B:$P,10,FALSE()),0)</f>
        <v>0</v>
      </c>
      <c r="BO9" s="39">
        <f>IFERROR(VLOOKUP("30_"&amp;A9,SyS!$B:$P,12,FALSE()),0)</f>
        <v>0</v>
      </c>
      <c r="BP9" s="40">
        <f>+BN9-BO9</f>
        <v>0</v>
      </c>
      <c r="BQ9" s="45">
        <f>+E9+H9+K9+Q9+T9+W9+Z9+AC9+AF9+AI9+AL9+AO9+AR9+AU9+AX9+BA9+BD9+BG9+BJ9+BM9+BP9</f>
        <v>0</v>
      </c>
    </row>
    <row r="10" ht="11.25" customHeight="1" spans="1:69" x14ac:dyDescent="0.25">
      <c r="A10" s="44">
        <v>41200000</v>
      </c>
      <c r="B10" s="44" t="s">
        <v>241</v>
      </c>
      <c r="C10" s="38">
        <f>IFERROR(VLOOKUP("1_"&amp;A10,SyS!$B:$P,10,FALSE()),0)</f>
        <v>0</v>
      </c>
      <c r="D10" s="39">
        <f>IFERROR(VLOOKUP("1_"&amp;A10,SyS!$B:$P,12,FALSE()),0)</f>
        <v>0</v>
      </c>
      <c r="E10" s="39">
        <f>+C10-D10</f>
        <v>0</v>
      </c>
      <c r="F10" s="38">
        <f>IFERROR(VLOOKUP("2_"&amp;A10,SyS!$B:$P,10,FALSE()),0)</f>
        <v>0</v>
      </c>
      <c r="G10" s="39">
        <f>IFERROR(VLOOKUP("2_"&amp;A10,SyS!$B:$P,12,FALSE()),0)</f>
        <v>0</v>
      </c>
      <c r="H10" s="40">
        <f>+F10-G10</f>
        <v>0</v>
      </c>
      <c r="I10" s="39"/>
      <c r="J10" s="39"/>
      <c r="K10" s="39"/>
      <c r="L10" s="39"/>
      <c r="M10" s="39"/>
      <c r="N10" s="39"/>
      <c r="O10" s="38">
        <f>IFERROR(VLOOKUP("14_"&amp;A10,SyS!$B:$P,10,FALSE()),0)</f>
        <v>0</v>
      </c>
      <c r="P10" s="39">
        <f>IFERROR(VLOOKUP("14_"&amp;A10,SyS!$B:$P,12,FALSE()),0)</f>
        <v>0</v>
      </c>
      <c r="Q10" s="40">
        <f>+O10-P10</f>
        <v>0</v>
      </c>
      <c r="R10" s="38">
        <f>IFERROR(VLOOKUP("15_"&amp;A10,SyS!$B:$P,10,FALSE()),0)</f>
        <v>0</v>
      </c>
      <c r="S10" s="39">
        <f>IFERROR(VLOOKUP("15_"&amp;A10,SyS!$B:$P,12,FALSE()),0)</f>
        <v>0</v>
      </c>
      <c r="T10" s="40">
        <f>+R10-S10</f>
        <v>0</v>
      </c>
      <c r="U10" s="38">
        <f>IFERROR(VLOOKUP("16_"&amp;A10,SyS!$B:$P,10,FALSE()),0)</f>
        <v>0</v>
      </c>
      <c r="V10" s="39">
        <f>IFERROR(VLOOKUP("16_"&amp;A10,SyS!$B:$P,12,FALSE()),0)</f>
        <v>0</v>
      </c>
      <c r="W10" s="40">
        <f>+U10-V10</f>
        <v>0</v>
      </c>
      <c r="X10" s="38">
        <f>IFERROR(VLOOKUP("13_"&amp;A10,SyS!$B:$P,10,FALSE()),0)</f>
        <v>0</v>
      </c>
      <c r="Y10" s="39">
        <f>IFERROR(VLOOKUP("13_"&amp;A10,SyS!$B:$P,12,FALSE()),0)</f>
        <v>0</v>
      </c>
      <c r="Z10" s="40">
        <f>+X10-Y10</f>
        <v>0</v>
      </c>
      <c r="AA10" s="38">
        <f>IFERROR(VLOOKUP("17_"&amp;A10,SyS!$B:$P,10,FALSE()),0)</f>
        <v>0</v>
      </c>
      <c r="AB10" s="39">
        <f>IFERROR(VLOOKUP("17_"&amp;A10,SyS!$B:$P,12,FALSE()),0)</f>
        <v>0</v>
      </c>
      <c r="AC10" s="40">
        <f>+AA10-AB10</f>
        <v>0</v>
      </c>
      <c r="AD10" s="39"/>
      <c r="AE10" s="39"/>
      <c r="AF10" s="39"/>
      <c r="AG10" s="39">
        <f>IFERROR(VLOOKUP("19_"&amp;A10,SyS!$B:$P,10,FALSE()),0)</f>
        <v>0</v>
      </c>
      <c r="AH10" s="39">
        <f>IFERROR(VLOOKUP("19_"&amp;A10,SyS!$B:$P,12,FALSE()),0)</f>
        <v>0</v>
      </c>
      <c r="AI10" s="39">
        <f>+AG10-AH10</f>
        <v>0</v>
      </c>
      <c r="AJ10" s="39"/>
      <c r="AK10" s="39"/>
      <c r="AL10" s="39"/>
      <c r="AM10" s="39">
        <f>IFERROR(VLOOKUP("23_"&amp;A10,SyS!$B:$P,10,FALSE()),0)</f>
        <v>0</v>
      </c>
      <c r="AN10" s="39">
        <f>IFERROR(VLOOKUP("23_"&amp;A10,SyS!$B:$P,12,FALSE()),0)</f>
        <v>0</v>
      </c>
      <c r="AO10" s="40">
        <f>+AM10-AN10</f>
        <v>0</v>
      </c>
      <c r="AP10" s="39"/>
      <c r="AQ10" s="39"/>
      <c r="AR10" s="39"/>
      <c r="AS10" s="39"/>
      <c r="AT10" s="39"/>
      <c r="AU10" s="39"/>
      <c r="AV10" s="39"/>
      <c r="AW10" s="39"/>
      <c r="AX10" s="39"/>
      <c r="AY10" s="39"/>
      <c r="AZ10" s="39"/>
      <c r="BA10" s="39"/>
      <c r="BB10" s="39"/>
      <c r="BC10" s="39"/>
      <c r="BD10" s="39"/>
      <c r="BE10" s="39"/>
      <c r="BF10" s="39"/>
      <c r="BG10" s="39"/>
      <c r="BH10" s="39"/>
      <c r="BI10" s="39"/>
      <c r="BJ10" s="39"/>
      <c r="BK10" s="39">
        <f>IFERROR(VLOOKUP("29_"&amp;A10,SyS!$B:$P,10,FALSE()),0)</f>
        <v>0</v>
      </c>
      <c r="BL10" s="39">
        <f>IFERROR(VLOOKUP("29_"&amp;A10,SyS!$B:$P,12,FALSE()),0)</f>
        <v>0</v>
      </c>
      <c r="BM10" s="39">
        <f>+BK10-BL10</f>
        <v>0</v>
      </c>
      <c r="BN10" s="38">
        <f>IFERROR(VLOOKUP("30_"&amp;A10,SyS!$B:$P,10,FALSE()),0)</f>
        <v>0</v>
      </c>
      <c r="BO10" s="39">
        <f>IFERROR(VLOOKUP("30_"&amp;A10,SyS!$B:$P,12,FALSE()),0)</f>
        <v>0</v>
      </c>
      <c r="BP10" s="40">
        <f>+BN10-BO10</f>
        <v>0</v>
      </c>
      <c r="BQ10" s="45">
        <f>+E10+H10+K10+Q10+T10+W10+Z10+AC10+AF10+AI10+AL10+AO10+AR10+AU10+AX10+BA10+BD10+BG10+BJ10+BM10+BP10</f>
        <v>0</v>
      </c>
    </row>
    <row r="11" ht="11.25" customHeight="1" spans="1:69" x14ac:dyDescent="0.25">
      <c r="A11" s="44">
        <v>41230000</v>
      </c>
      <c r="B11" s="44" t="s">
        <v>242</v>
      </c>
      <c r="C11" s="38">
        <f>IFERROR(VLOOKUP("1_"&amp;A11,SyS!$B:$P,10,FALSE()),0)</f>
        <v>0</v>
      </c>
      <c r="D11" s="39">
        <f>IFERROR(VLOOKUP("1_"&amp;A11,SyS!$B:$P,12,FALSE()),0)</f>
        <v>0</v>
      </c>
      <c r="E11" s="39">
        <f>+C11-D11</f>
        <v>0</v>
      </c>
      <c r="F11" s="38">
        <f>IFERROR(VLOOKUP("2_"&amp;A11,SyS!$B:$P,10,FALSE()),0)</f>
        <v>0</v>
      </c>
      <c r="G11" s="39">
        <f>IFERROR(VLOOKUP("2_"&amp;A11,SyS!$B:$P,12,FALSE()),0)</f>
        <v>0</v>
      </c>
      <c r="H11" s="40">
        <f>+F11-G11</f>
        <v>0</v>
      </c>
      <c r="I11" s="39"/>
      <c r="J11" s="39"/>
      <c r="K11" s="39"/>
      <c r="L11" s="39"/>
      <c r="M11" s="39"/>
      <c r="N11" s="39"/>
      <c r="O11" s="38">
        <f>IFERROR(VLOOKUP("14_"&amp;A11,SyS!$B:$P,10,FALSE()),0)</f>
        <v>0</v>
      </c>
      <c r="P11" s="39">
        <f>IFERROR(VLOOKUP("14_"&amp;A11,SyS!$B:$P,12,FALSE()),0)</f>
        <v>0</v>
      </c>
      <c r="Q11" s="40">
        <f>+O11-P11</f>
        <v>0</v>
      </c>
      <c r="R11" s="38">
        <f>IFERROR(VLOOKUP("15_"&amp;A11,SyS!$B:$P,10,FALSE()),0)</f>
        <v>0</v>
      </c>
      <c r="S11" s="39">
        <f>IFERROR(VLOOKUP("15_"&amp;A11,SyS!$B:$P,12,FALSE()),0)</f>
        <v>0</v>
      </c>
      <c r="T11" s="40">
        <f>+R11-S11</f>
        <v>0</v>
      </c>
      <c r="U11" s="38">
        <f>IFERROR(VLOOKUP("16_"&amp;A11,SyS!$B:$P,10,FALSE()),0)</f>
        <v>0</v>
      </c>
      <c r="V11" s="39">
        <f>IFERROR(VLOOKUP("16_"&amp;A11,SyS!$B:$P,12,FALSE()),0)</f>
        <v>0</v>
      </c>
      <c r="W11" s="40">
        <f>+U11-V11</f>
        <v>0</v>
      </c>
      <c r="X11" s="38">
        <f>IFERROR(VLOOKUP("13_"&amp;A11,SyS!$B:$P,10,FALSE()),0)</f>
        <v>0</v>
      </c>
      <c r="Y11" s="39">
        <f>IFERROR(VLOOKUP("13_"&amp;A11,SyS!$B:$P,12,FALSE()),0)</f>
        <v>0</v>
      </c>
      <c r="Z11" s="40">
        <f>+X11-Y11</f>
        <v>0</v>
      </c>
      <c r="AA11" s="38">
        <f>IFERROR(VLOOKUP("17_"&amp;A11,SyS!$B:$P,10,FALSE()),0)</f>
        <v>0</v>
      </c>
      <c r="AB11" s="39">
        <f>IFERROR(VLOOKUP("17_"&amp;A11,SyS!$B:$P,12,FALSE()),0)</f>
        <v>0</v>
      </c>
      <c r="AC11" s="40">
        <f>+AA11-AB11</f>
        <v>0</v>
      </c>
      <c r="AD11" s="39"/>
      <c r="AE11" s="39"/>
      <c r="AF11" s="39"/>
      <c r="AG11" s="39">
        <f>IFERROR(VLOOKUP("19_"&amp;A11,SyS!$B:$P,10,FALSE()),0)</f>
        <v>0</v>
      </c>
      <c r="AH11" s="39">
        <f>IFERROR(VLOOKUP("19_"&amp;A11,SyS!$B:$P,12,FALSE()),0)</f>
        <v>0</v>
      </c>
      <c r="AI11" s="39">
        <f>+AG11-AH11</f>
        <v>0</v>
      </c>
      <c r="AJ11" s="39"/>
      <c r="AK11" s="39"/>
      <c r="AL11" s="39"/>
      <c r="AM11" s="39">
        <f>IFERROR(VLOOKUP("23_"&amp;A11,SyS!$B:$P,10,FALSE()),0)</f>
        <v>0</v>
      </c>
      <c r="AN11" s="39">
        <f>IFERROR(VLOOKUP("23_"&amp;A11,SyS!$B:$P,12,FALSE()),0)</f>
        <v>0</v>
      </c>
      <c r="AO11" s="40">
        <f>+AM11-AN11</f>
        <v>0</v>
      </c>
      <c r="AP11" s="39"/>
      <c r="AQ11" s="39"/>
      <c r="AR11" s="39"/>
      <c r="AS11" s="39"/>
      <c r="AT11" s="39"/>
      <c r="AU11" s="39"/>
      <c r="AV11" s="39"/>
      <c r="AW11" s="39"/>
      <c r="AX11" s="39"/>
      <c r="AY11" s="39"/>
      <c r="AZ11" s="39"/>
      <c r="BA11" s="39"/>
      <c r="BB11" s="39"/>
      <c r="BC11" s="39"/>
      <c r="BD11" s="39"/>
      <c r="BE11" s="39"/>
      <c r="BF11" s="39"/>
      <c r="BG11" s="39"/>
      <c r="BH11" s="39"/>
      <c r="BI11" s="39"/>
      <c r="BJ11" s="39"/>
      <c r="BK11" s="39">
        <f>IFERROR(VLOOKUP("29_"&amp;A11,SyS!$B:$P,10,FALSE()),0)</f>
        <v>0</v>
      </c>
      <c r="BL11" s="39">
        <f>IFERROR(VLOOKUP("29_"&amp;A11,SyS!$B:$P,12,FALSE()),0)</f>
        <v>0</v>
      </c>
      <c r="BM11" s="39">
        <f>+BK11-BL11</f>
        <v>0</v>
      </c>
      <c r="BN11" s="38">
        <f>IFERROR(VLOOKUP("30_"&amp;A11,SyS!$B:$P,10,FALSE()),0)</f>
        <v>0</v>
      </c>
      <c r="BO11" s="39">
        <f>IFERROR(VLOOKUP("30_"&amp;A11,SyS!$B:$P,12,FALSE()),0)</f>
        <v>0</v>
      </c>
      <c r="BP11" s="40">
        <f>+BN11-BO11</f>
        <v>0</v>
      </c>
      <c r="BQ11" s="45">
        <f>+E11+H11+K11+Q11+T11+W11+Z11+AC11+AF11+AI11+AL11+AO11+AR11+AU11+AX11+BA11+BD11+BG11+BJ11+BM11+BP11</f>
        <v>0</v>
      </c>
    </row>
    <row r="12" ht="11.25" customHeight="1" spans="1:69" x14ac:dyDescent="0.25">
      <c r="A12" s="44">
        <v>41210000</v>
      </c>
      <c r="B12" s="44" t="s">
        <v>243</v>
      </c>
      <c r="C12" s="38">
        <f>IFERROR(VLOOKUP("1_"&amp;A12,SyS!$B:$P,10,FALSE()),0)</f>
        <v>0</v>
      </c>
      <c r="D12" s="39">
        <f>IFERROR(VLOOKUP("1_"&amp;A12,SyS!$B:$P,12,FALSE()),0)</f>
        <v>0</v>
      </c>
      <c r="E12" s="39">
        <f>+C12-D12</f>
        <v>0</v>
      </c>
      <c r="F12" s="38">
        <f>IFERROR(VLOOKUP("2_"&amp;A12,SyS!$B:$P,10,FALSE()),0)</f>
        <v>0</v>
      </c>
      <c r="G12" s="39">
        <f>IFERROR(VLOOKUP("2_"&amp;A12,SyS!$B:$P,12,FALSE()),0)</f>
        <v>0</v>
      </c>
      <c r="H12" s="40">
        <f>+F12-G12</f>
        <v>0</v>
      </c>
      <c r="I12" s="39"/>
      <c r="J12" s="39"/>
      <c r="K12" s="39"/>
      <c r="L12" s="39"/>
      <c r="M12" s="39"/>
      <c r="N12" s="39"/>
      <c r="O12" s="38">
        <f>IFERROR(VLOOKUP("14_"&amp;A12,SyS!$B:$P,10,FALSE()),0)</f>
        <v>0</v>
      </c>
      <c r="P12" s="39">
        <f>IFERROR(VLOOKUP("14_"&amp;A12,SyS!$B:$P,12,FALSE()),0)</f>
        <v>0</v>
      </c>
      <c r="Q12" s="40">
        <f>+O12-P12</f>
        <v>0</v>
      </c>
      <c r="R12" s="38">
        <f>IFERROR(VLOOKUP("15_"&amp;A12,SyS!$B:$P,10,FALSE()),0)</f>
        <v>0</v>
      </c>
      <c r="S12" s="39">
        <f>IFERROR(VLOOKUP("15_"&amp;A12,SyS!$B:$P,12,FALSE()),0)</f>
        <v>0</v>
      </c>
      <c r="T12" s="40">
        <f>+R12-S12</f>
        <v>0</v>
      </c>
      <c r="U12" s="38">
        <f>IFERROR(VLOOKUP("16_"&amp;A12,SyS!$B:$P,10,FALSE()),0)</f>
        <v>0</v>
      </c>
      <c r="V12" s="39">
        <f>IFERROR(VLOOKUP("16_"&amp;A12,SyS!$B:$P,12,FALSE()),0)</f>
        <v>0</v>
      </c>
      <c r="W12" s="40">
        <f>+U12-V12</f>
        <v>0</v>
      </c>
      <c r="X12" s="38">
        <f>IFERROR(VLOOKUP("13_"&amp;A12,SyS!$B:$P,10,FALSE()),0)</f>
        <v>0</v>
      </c>
      <c r="Y12" s="39">
        <f>IFERROR(VLOOKUP("13_"&amp;A12,SyS!$B:$P,12,FALSE()),0)</f>
        <v>0</v>
      </c>
      <c r="Z12" s="40">
        <f>+X12-Y12</f>
        <v>0</v>
      </c>
      <c r="AA12" s="38">
        <f>IFERROR(VLOOKUP("17_"&amp;A12,SyS!$B:$P,10,FALSE()),0)</f>
        <v>0</v>
      </c>
      <c r="AB12" s="39">
        <f>IFERROR(VLOOKUP("17_"&amp;A12,SyS!$B:$P,12,FALSE()),0)</f>
        <v>0</v>
      </c>
      <c r="AC12" s="40">
        <f>+AA12-AB12</f>
        <v>0</v>
      </c>
      <c r="AD12" s="39"/>
      <c r="AE12" s="39"/>
      <c r="AF12" s="39"/>
      <c r="AG12" s="39">
        <f>IFERROR(VLOOKUP("19_"&amp;A12,SyS!$B:$P,10,FALSE()),0)</f>
        <v>0</v>
      </c>
      <c r="AH12" s="39">
        <f>IFERROR(VLOOKUP("19_"&amp;A12,SyS!$B:$P,12,FALSE()),0)</f>
        <v>0</v>
      </c>
      <c r="AI12" s="39">
        <f>+AG12-AH12</f>
        <v>0</v>
      </c>
      <c r="AJ12" s="39"/>
      <c r="AK12" s="39"/>
      <c r="AL12" s="39"/>
      <c r="AM12" s="39">
        <f>IFERROR(VLOOKUP("23_"&amp;A12,SyS!$B:$P,10,FALSE()),0)</f>
        <v>0</v>
      </c>
      <c r="AN12" s="39">
        <f>IFERROR(VLOOKUP("23_"&amp;A12,SyS!$B:$P,12,FALSE()),0)</f>
        <v>0</v>
      </c>
      <c r="AO12" s="40">
        <f>+AM12-AN12</f>
        <v>0</v>
      </c>
      <c r="AP12" s="39"/>
      <c r="AQ12" s="39"/>
      <c r="AR12" s="39"/>
      <c r="AS12" s="39"/>
      <c r="AT12" s="39"/>
      <c r="AU12" s="39"/>
      <c r="AV12" s="39"/>
      <c r="AW12" s="39"/>
      <c r="AX12" s="39"/>
      <c r="AY12" s="39"/>
      <c r="AZ12" s="39"/>
      <c r="BA12" s="39"/>
      <c r="BB12" s="39"/>
      <c r="BC12" s="39"/>
      <c r="BD12" s="39"/>
      <c r="BE12" s="39"/>
      <c r="BF12" s="39"/>
      <c r="BG12" s="39"/>
      <c r="BH12" s="39"/>
      <c r="BI12" s="39"/>
      <c r="BJ12" s="39"/>
      <c r="BK12" s="39">
        <f>IFERROR(VLOOKUP("29_"&amp;A12,SyS!$B:$P,10,FALSE()),0)</f>
        <v>0</v>
      </c>
      <c r="BL12" s="39">
        <f>IFERROR(VLOOKUP("29_"&amp;A12,SyS!$B:$P,12,FALSE()),0)</f>
        <v>0</v>
      </c>
      <c r="BM12" s="39">
        <f>+BK12-BL12</f>
        <v>0</v>
      </c>
      <c r="BN12" s="38">
        <f>IFERROR(VLOOKUP("30_"&amp;A12,SyS!$B:$P,10,FALSE()),0)</f>
        <v>0</v>
      </c>
      <c r="BO12" s="39">
        <f>IFERROR(VLOOKUP("30_"&amp;A12,SyS!$B:$P,12,FALSE()),0)</f>
        <v>0</v>
      </c>
      <c r="BP12" s="40">
        <f>+BN12-BO12</f>
        <v>0</v>
      </c>
      <c r="BQ12" s="45">
        <f>+E12+H12+K12+Q12+T12+W12+Z12+AC12+AF12+AI12+AL12+AO12+AR12+AU12+AX12+BA12+BD12+BG12+BJ12+BM12+BP12</f>
        <v>0</v>
      </c>
    </row>
    <row r="13" ht="11.25" customHeight="1" spans="1:69" x14ac:dyDescent="0.25">
      <c r="A13" s="44">
        <v>42000000</v>
      </c>
      <c r="B13" s="44" t="s">
        <v>244</v>
      </c>
      <c r="C13" s="38">
        <f>IFERROR(VLOOKUP("1_"&amp;A13,SyS!$B:$P,10,FALSE()),0)</f>
        <v>0</v>
      </c>
      <c r="D13" s="39">
        <f>IFERROR(VLOOKUP("1_"&amp;A13,SyS!$B:$P,12,FALSE()),0)</f>
        <v>0</v>
      </c>
      <c r="E13" s="39">
        <f>+C13-D13</f>
        <v>0</v>
      </c>
      <c r="F13" s="38">
        <f>IFERROR(VLOOKUP("2_"&amp;A13,SyS!$B:$P,10,FALSE()),0)</f>
        <v>0</v>
      </c>
      <c r="G13" s="39">
        <f>IFERROR(VLOOKUP("2_"&amp;A13,SyS!$B:$P,12,FALSE()),0)</f>
        <v>0</v>
      </c>
      <c r="H13" s="40">
        <f>+F13-G13</f>
        <v>0</v>
      </c>
      <c r="I13" s="39"/>
      <c r="J13" s="39"/>
      <c r="K13" s="39"/>
      <c r="L13" s="39"/>
      <c r="M13" s="39"/>
      <c r="N13" s="39"/>
      <c r="O13" s="38">
        <f>IFERROR(VLOOKUP("14_"&amp;A13,SyS!$B:$P,10,FALSE()),0)</f>
        <v>0</v>
      </c>
      <c r="P13" s="39">
        <f>IFERROR(VLOOKUP("14_"&amp;A13,SyS!$B:$P,12,FALSE()),0)</f>
        <v>0</v>
      </c>
      <c r="Q13" s="40">
        <f>+O13-P13</f>
        <v>0</v>
      </c>
      <c r="R13" s="38">
        <f>IFERROR(VLOOKUP("15_"&amp;A13,SyS!$B:$P,10,FALSE()),0)</f>
        <v>0</v>
      </c>
      <c r="S13" s="39">
        <f>IFERROR(VLOOKUP("15_"&amp;A13,SyS!$B:$P,12,FALSE()),0)</f>
        <v>0</v>
      </c>
      <c r="T13" s="40">
        <f>+R13-S13</f>
        <v>0</v>
      </c>
      <c r="U13" s="38">
        <f>IFERROR(VLOOKUP("16_"&amp;A13,SyS!$B:$P,10,FALSE()),0)</f>
        <v>0</v>
      </c>
      <c r="V13" s="39">
        <f>IFERROR(VLOOKUP("16_"&amp;A13,SyS!$B:$P,12,FALSE()),0)</f>
        <v>0</v>
      </c>
      <c r="W13" s="40">
        <f>+U13-V13</f>
        <v>0</v>
      </c>
      <c r="X13" s="38">
        <f>IFERROR(VLOOKUP("13_"&amp;A13,SyS!$B:$P,10,FALSE()),0)</f>
        <v>0</v>
      </c>
      <c r="Y13" s="39">
        <f>IFERROR(VLOOKUP("13_"&amp;A13,SyS!$B:$P,12,FALSE()),0)</f>
        <v>0</v>
      </c>
      <c r="Z13" s="40">
        <f>+X13-Y13</f>
        <v>0</v>
      </c>
      <c r="AA13" s="38">
        <f>IFERROR(VLOOKUP("17_"&amp;A13,SyS!$B:$P,10,FALSE()),0)</f>
        <v>0</v>
      </c>
      <c r="AB13" s="39">
        <f>IFERROR(VLOOKUP("17_"&amp;A13,SyS!$B:$P,12,FALSE()),0)</f>
        <v>0</v>
      </c>
      <c r="AC13" s="40">
        <f>+AA13-AB13</f>
        <v>0</v>
      </c>
      <c r="AD13" s="39"/>
      <c r="AE13" s="39"/>
      <c r="AF13" s="39"/>
      <c r="AG13" s="39">
        <f>IFERROR(VLOOKUP("19_"&amp;A13,SyS!$B:$P,10,FALSE()),0)</f>
        <v>0</v>
      </c>
      <c r="AH13" s="39">
        <f>IFERROR(VLOOKUP("19_"&amp;A13,SyS!$B:$P,12,FALSE()),0)</f>
        <v>0</v>
      </c>
      <c r="AI13" s="39">
        <f>+AG13-AH13</f>
        <v>0</v>
      </c>
      <c r="AJ13" s="39"/>
      <c r="AK13" s="39"/>
      <c r="AL13" s="39"/>
      <c r="AM13" s="39">
        <f>IFERROR(VLOOKUP("23_"&amp;A13,SyS!$B:$P,10,FALSE()),0)</f>
        <v>0</v>
      </c>
      <c r="AN13" s="39">
        <f>IFERROR(VLOOKUP("23_"&amp;A13,SyS!$B:$P,12,FALSE()),0)</f>
        <v>0</v>
      </c>
      <c r="AO13" s="40">
        <f>+AM13-AN13</f>
        <v>0</v>
      </c>
      <c r="AP13" s="39"/>
      <c r="AQ13" s="39"/>
      <c r="AR13" s="39"/>
      <c r="AS13" s="39"/>
      <c r="AT13" s="39"/>
      <c r="AU13" s="39"/>
      <c r="AV13" s="39"/>
      <c r="AW13" s="39"/>
      <c r="AX13" s="39"/>
      <c r="AY13" s="39"/>
      <c r="AZ13" s="39"/>
      <c r="BA13" s="39"/>
      <c r="BB13" s="39"/>
      <c r="BC13" s="39"/>
      <c r="BD13" s="39"/>
      <c r="BE13" s="39"/>
      <c r="BF13" s="39"/>
      <c r="BG13" s="39"/>
      <c r="BH13" s="39"/>
      <c r="BI13" s="39"/>
      <c r="BJ13" s="39"/>
      <c r="BK13" s="39">
        <f>IFERROR(VLOOKUP("29_"&amp;A13,SyS!$B:$P,10,FALSE()),0)</f>
        <v>0</v>
      </c>
      <c r="BL13" s="39">
        <f>IFERROR(VLOOKUP("29_"&amp;A13,SyS!$B:$P,12,FALSE()),0)</f>
        <v>0</v>
      </c>
      <c r="BM13" s="39">
        <f>+BK13-BL13</f>
        <v>0</v>
      </c>
      <c r="BN13" s="38">
        <f>IFERROR(VLOOKUP("30_"&amp;A13,SyS!$B:$P,10,FALSE()),0)</f>
        <v>0</v>
      </c>
      <c r="BO13" s="39">
        <f>IFERROR(VLOOKUP("30_"&amp;A13,SyS!$B:$P,12,FALSE()),0)</f>
        <v>0</v>
      </c>
      <c r="BP13" s="40">
        <f>+BN13-BO13</f>
        <v>0</v>
      </c>
      <c r="BQ13" s="45">
        <f>+E13+H13+K13+Q13+T13+W13+Z13+AC13+AF13+AI13+AL13+AO13+AR13+AU13+AX13+BA13+BD13+BG13+BJ13+BM13+BP13</f>
        <v>0</v>
      </c>
    </row>
    <row r="14" ht="11.25" customHeight="1" spans="1:69" x14ac:dyDescent="0.25">
      <c r="A14" s="44">
        <v>42100000</v>
      </c>
      <c r="B14" s="44" t="s">
        <v>245</v>
      </c>
      <c r="C14" s="38">
        <f>IFERROR(VLOOKUP("1_"&amp;A14,SyS!$B:$P,10,FALSE()),0)</f>
        <v>0</v>
      </c>
      <c r="D14" s="39">
        <f>IFERROR(VLOOKUP("1_"&amp;A14,SyS!$B:$P,12,FALSE()),0)</f>
        <v>0</v>
      </c>
      <c r="E14" s="39">
        <f>+C14-D14</f>
        <v>0</v>
      </c>
      <c r="F14" s="38">
        <f>IFERROR(VLOOKUP("2_"&amp;A14,SyS!$B:$P,10,FALSE()),0)</f>
        <v>0</v>
      </c>
      <c r="G14" s="39">
        <f>IFERROR(VLOOKUP("2_"&amp;A14,SyS!$B:$P,12,FALSE()),0)</f>
        <v>0</v>
      </c>
      <c r="H14" s="40">
        <f>+F14-G14</f>
        <v>0</v>
      </c>
      <c r="I14" s="39"/>
      <c r="J14" s="39"/>
      <c r="K14" s="39"/>
      <c r="L14" s="39"/>
      <c r="M14" s="39"/>
      <c r="N14" s="39"/>
      <c r="O14" s="38">
        <f>IFERROR(VLOOKUP("14_"&amp;A14,SyS!$B:$P,10,FALSE()),0)</f>
        <v>0</v>
      </c>
      <c r="P14" s="39">
        <f>IFERROR(VLOOKUP("14_"&amp;A14,SyS!$B:$P,12,FALSE()),0)</f>
        <v>0</v>
      </c>
      <c r="Q14" s="40">
        <f>+O14-P14</f>
        <v>0</v>
      </c>
      <c r="R14" s="38">
        <f>IFERROR(VLOOKUP("15_"&amp;A14,SyS!$B:$P,10,FALSE()),0)</f>
        <v>0</v>
      </c>
      <c r="S14" s="39">
        <f>IFERROR(VLOOKUP("15_"&amp;A14,SyS!$B:$P,12,FALSE()),0)</f>
        <v>0</v>
      </c>
      <c r="T14" s="40">
        <f>+R14-S14</f>
        <v>0</v>
      </c>
      <c r="U14" s="38">
        <f>IFERROR(VLOOKUP("16_"&amp;A14,SyS!$B:$P,10,FALSE()),0)</f>
        <v>0</v>
      </c>
      <c r="V14" s="39">
        <f>IFERROR(VLOOKUP("16_"&amp;A14,SyS!$B:$P,12,FALSE()),0)</f>
        <v>0</v>
      </c>
      <c r="W14" s="40">
        <f>+U14-V14</f>
        <v>0</v>
      </c>
      <c r="X14" s="38">
        <f>IFERROR(VLOOKUP("13_"&amp;A14,SyS!$B:$P,10,FALSE()),0)</f>
        <v>0</v>
      </c>
      <c r="Y14" s="39">
        <f>IFERROR(VLOOKUP("13_"&amp;A14,SyS!$B:$P,12,FALSE()),0)</f>
        <v>0</v>
      </c>
      <c r="Z14" s="40">
        <f>+X14-Y14</f>
        <v>0</v>
      </c>
      <c r="AA14" s="38">
        <f>IFERROR(VLOOKUP("17_"&amp;A14,SyS!$B:$P,10,FALSE()),0)</f>
        <v>0</v>
      </c>
      <c r="AB14" s="39">
        <f>IFERROR(VLOOKUP("17_"&amp;A14,SyS!$B:$P,12,FALSE()),0)</f>
        <v>0</v>
      </c>
      <c r="AC14" s="40">
        <f>+AA14-AB14</f>
        <v>0</v>
      </c>
      <c r="AD14" s="39"/>
      <c r="AE14" s="39"/>
      <c r="AF14" s="39"/>
      <c r="AG14" s="39">
        <f>IFERROR(VLOOKUP("19_"&amp;A14,SyS!$B:$P,10,FALSE()),0)</f>
        <v>0</v>
      </c>
      <c r="AH14" s="39">
        <f>IFERROR(VLOOKUP("19_"&amp;A14,SyS!$B:$P,12,FALSE()),0)</f>
        <v>0</v>
      </c>
      <c r="AI14" s="39">
        <f>+AG14-AH14</f>
        <v>0</v>
      </c>
      <c r="AJ14" s="39"/>
      <c r="AK14" s="39"/>
      <c r="AL14" s="39"/>
      <c r="AM14" s="39">
        <f>IFERROR(VLOOKUP("23_"&amp;A14,SyS!$B:$P,10,FALSE()),0)</f>
        <v>0</v>
      </c>
      <c r="AN14" s="39">
        <f>IFERROR(VLOOKUP("23_"&amp;A14,SyS!$B:$P,12,FALSE()),0)</f>
        <v>0</v>
      </c>
      <c r="AO14" s="40">
        <f>+AM14-AN14</f>
        <v>0</v>
      </c>
      <c r="AP14" s="39"/>
      <c r="AQ14" s="39"/>
      <c r="AR14" s="39"/>
      <c r="AS14" s="39"/>
      <c r="AT14" s="39"/>
      <c r="AU14" s="39"/>
      <c r="AV14" s="39"/>
      <c r="AW14" s="39"/>
      <c r="AX14" s="39"/>
      <c r="AY14" s="39"/>
      <c r="AZ14" s="39"/>
      <c r="BA14" s="39"/>
      <c r="BB14" s="39"/>
      <c r="BC14" s="39"/>
      <c r="BD14" s="39"/>
      <c r="BE14" s="39"/>
      <c r="BF14" s="39"/>
      <c r="BG14" s="39"/>
      <c r="BH14" s="39"/>
      <c r="BI14" s="39"/>
      <c r="BJ14" s="39"/>
      <c r="BK14" s="39">
        <f>IFERROR(VLOOKUP("29_"&amp;A14,SyS!$B:$P,10,FALSE()),0)</f>
        <v>0</v>
      </c>
      <c r="BL14" s="39">
        <f>IFERROR(VLOOKUP("29_"&amp;A14,SyS!$B:$P,12,FALSE()),0)</f>
        <v>0</v>
      </c>
      <c r="BM14" s="39">
        <f>+BK14-BL14</f>
        <v>0</v>
      </c>
      <c r="BN14" s="38">
        <f>IFERROR(VLOOKUP("30_"&amp;A14,SyS!$B:$P,10,FALSE()),0)</f>
        <v>0</v>
      </c>
      <c r="BO14" s="39">
        <f>IFERROR(VLOOKUP("30_"&amp;A14,SyS!$B:$P,12,FALSE()),0)</f>
        <v>0</v>
      </c>
      <c r="BP14" s="40">
        <f>+BN14-BO14</f>
        <v>0</v>
      </c>
      <c r="BQ14" s="45">
        <f>+E14+H14+K14+Q14+T14+W14+Z14+AC14+AF14+AI14+AL14+AO14+AR14+AU14+AX14+BA14+BD14+BG14+BJ14+BM14+BP14</f>
        <v>0</v>
      </c>
    </row>
    <row r="15" ht="11.25" customHeight="1" spans="1:69" x14ac:dyDescent="0.25">
      <c r="A15" s="44">
        <v>42101000</v>
      </c>
      <c r="B15" s="44" t="s">
        <v>246</v>
      </c>
      <c r="C15" s="38">
        <f>IFERROR(VLOOKUP("1_"&amp;A15,SyS!$B:$P,10,FALSE()),0)</f>
        <v>0</v>
      </c>
      <c r="D15" s="39">
        <f>IFERROR(VLOOKUP("1_"&amp;A15,SyS!$B:$P,12,FALSE()),0)</f>
        <v>0</v>
      </c>
      <c r="E15" s="39">
        <f>+C15-D15</f>
        <v>0</v>
      </c>
      <c r="F15" s="38">
        <f>IFERROR(VLOOKUP("2_"&amp;A15,SyS!$B:$P,10,FALSE()),0)</f>
        <v>0</v>
      </c>
      <c r="G15" s="39">
        <f>IFERROR(VLOOKUP("2_"&amp;A15,SyS!$B:$P,12,FALSE()),0)</f>
        <v>0</v>
      </c>
      <c r="H15" s="40">
        <f>+F15-G15</f>
        <v>0</v>
      </c>
      <c r="I15" s="39"/>
      <c r="J15" s="39"/>
      <c r="K15" s="39"/>
      <c r="L15" s="39"/>
      <c r="M15" s="39"/>
      <c r="N15" s="39"/>
      <c r="O15" s="38">
        <f>IFERROR(VLOOKUP("14_"&amp;A15,SyS!$B:$P,10,FALSE()),0)</f>
        <v>0</v>
      </c>
      <c r="P15" s="39">
        <f>IFERROR(VLOOKUP("14_"&amp;A15,SyS!$B:$P,12,FALSE()),0)</f>
        <v>0</v>
      </c>
      <c r="Q15" s="40">
        <f>+O15-P15</f>
        <v>0</v>
      </c>
      <c r="R15" s="38">
        <f>IFERROR(VLOOKUP("15_"&amp;A15,SyS!$B:$P,10,FALSE()),0)</f>
        <v>0</v>
      </c>
      <c r="S15" s="39">
        <f>IFERROR(VLOOKUP("15_"&amp;A15,SyS!$B:$P,12,FALSE()),0)</f>
        <v>0</v>
      </c>
      <c r="T15" s="40">
        <f>+R15-S15</f>
        <v>0</v>
      </c>
      <c r="U15" s="38">
        <f>IFERROR(VLOOKUP("16_"&amp;A15,SyS!$B:$P,10,FALSE()),0)</f>
        <v>0</v>
      </c>
      <c r="V15" s="39">
        <f>IFERROR(VLOOKUP("16_"&amp;A15,SyS!$B:$P,12,FALSE()),0)</f>
        <v>0</v>
      </c>
      <c r="W15" s="40">
        <f>+U15-V15</f>
        <v>0</v>
      </c>
      <c r="X15" s="38">
        <f>IFERROR(VLOOKUP("13_"&amp;A15,SyS!$B:$P,10,FALSE()),0)</f>
        <v>0</v>
      </c>
      <c r="Y15" s="39">
        <f>IFERROR(VLOOKUP("13_"&amp;A15,SyS!$B:$P,12,FALSE()),0)</f>
        <v>0</v>
      </c>
      <c r="Z15" s="40">
        <f>+X15-Y15</f>
        <v>0</v>
      </c>
      <c r="AA15" s="38">
        <f>IFERROR(VLOOKUP("17_"&amp;A15,SyS!$B:$P,10,FALSE()),0)</f>
        <v>0</v>
      </c>
      <c r="AB15" s="39">
        <f>IFERROR(VLOOKUP("17_"&amp;A15,SyS!$B:$P,12,FALSE()),0)</f>
        <v>0</v>
      </c>
      <c r="AC15" s="40">
        <f>+AA15-AB15</f>
        <v>0</v>
      </c>
      <c r="AD15" s="39"/>
      <c r="AE15" s="39"/>
      <c r="AF15" s="39"/>
      <c r="AG15" s="39">
        <f>IFERROR(VLOOKUP("19_"&amp;A15,SyS!$B:$P,10,FALSE()),0)</f>
        <v>0</v>
      </c>
      <c r="AH15" s="39">
        <f>IFERROR(VLOOKUP("19_"&amp;A15,SyS!$B:$P,12,FALSE()),0)</f>
        <v>0</v>
      </c>
      <c r="AI15" s="39">
        <f>+AG15-AH15</f>
        <v>0</v>
      </c>
      <c r="AJ15" s="39"/>
      <c r="AK15" s="39"/>
      <c r="AL15" s="39"/>
      <c r="AM15" s="39">
        <f>IFERROR(VLOOKUP("23_"&amp;A15,SyS!$B:$P,10,FALSE()),0)</f>
        <v>0</v>
      </c>
      <c r="AN15" s="39">
        <f>IFERROR(VLOOKUP("23_"&amp;A15,SyS!$B:$P,12,FALSE()),0)</f>
        <v>0</v>
      </c>
      <c r="AO15" s="40">
        <f>+AM15-AN15</f>
        <v>0</v>
      </c>
      <c r="AP15" s="39"/>
      <c r="AQ15" s="39"/>
      <c r="AR15" s="39"/>
      <c r="AS15" s="39"/>
      <c r="AT15" s="39"/>
      <c r="AU15" s="39"/>
      <c r="AV15" s="39"/>
      <c r="AW15" s="39"/>
      <c r="AX15" s="39"/>
      <c r="AY15" s="39"/>
      <c r="AZ15" s="39"/>
      <c r="BA15" s="39"/>
      <c r="BB15" s="39"/>
      <c r="BC15" s="39"/>
      <c r="BD15" s="39"/>
      <c r="BE15" s="39"/>
      <c r="BF15" s="39"/>
      <c r="BG15" s="39"/>
      <c r="BH15" s="39"/>
      <c r="BI15" s="39"/>
      <c r="BJ15" s="39"/>
      <c r="BK15" s="39">
        <f>IFERROR(VLOOKUP("29_"&amp;A15,SyS!$B:$P,10,FALSE()),0)</f>
        <v>0</v>
      </c>
      <c r="BL15" s="39">
        <f>IFERROR(VLOOKUP("29_"&amp;A15,SyS!$B:$P,12,FALSE()),0)</f>
        <v>0</v>
      </c>
      <c r="BM15" s="39">
        <f>+BK15-BL15</f>
        <v>0</v>
      </c>
      <c r="BN15" s="38">
        <f>IFERROR(VLOOKUP("30_"&amp;A15,SyS!$B:$P,10,FALSE()),0)</f>
        <v>0</v>
      </c>
      <c r="BO15" s="39">
        <f>IFERROR(VLOOKUP("30_"&amp;A15,SyS!$B:$P,12,FALSE()),0)</f>
        <v>0</v>
      </c>
      <c r="BP15" s="40">
        <f>+BN15-BO15</f>
        <v>0</v>
      </c>
      <c r="BQ15" s="45">
        <f>+E15+H15+K15+Q15+T15+W15+Z15+AC15+AF15+AI15+AL15+AO15+AR15+AU15+AX15+BA15+BD15+BG15+BJ15+BM15+BP15</f>
        <v>0</v>
      </c>
    </row>
    <row r="16" ht="11.25" customHeight="1" spans="1:69" x14ac:dyDescent="0.25">
      <c r="A16" s="44">
        <v>42102000</v>
      </c>
      <c r="B16" s="44" t="s">
        <v>247</v>
      </c>
      <c r="C16" s="38">
        <f>IFERROR(VLOOKUP("1_"&amp;A16,SyS!$B:$P,10,FALSE()),0)</f>
        <v>0</v>
      </c>
      <c r="D16" s="39">
        <f>IFERROR(VLOOKUP("1_"&amp;A16,SyS!$B:$P,12,FALSE()),0)</f>
        <v>0</v>
      </c>
      <c r="E16" s="39">
        <f>+C16-D16</f>
        <v>0</v>
      </c>
      <c r="F16" s="38">
        <f>IFERROR(VLOOKUP("2_"&amp;A16,SyS!$B:$P,10,FALSE()),0)</f>
        <v>0</v>
      </c>
      <c r="G16" s="39">
        <f>IFERROR(VLOOKUP("2_"&amp;A16,SyS!$B:$P,12,FALSE()),0)</f>
        <v>0</v>
      </c>
      <c r="H16" s="40">
        <f>+F16-G16</f>
        <v>0</v>
      </c>
      <c r="I16" s="39"/>
      <c r="J16" s="39"/>
      <c r="K16" s="39"/>
      <c r="L16" s="39"/>
      <c r="M16" s="39"/>
      <c r="N16" s="39"/>
      <c r="O16" s="38">
        <f>IFERROR(VLOOKUP("14_"&amp;A16,SyS!$B:$P,10,FALSE()),0)</f>
        <v>0</v>
      </c>
      <c r="P16" s="39">
        <f>IFERROR(VLOOKUP("14_"&amp;A16,SyS!$B:$P,12,FALSE()),0)</f>
        <v>0</v>
      </c>
      <c r="Q16" s="40">
        <f>+O16-P16</f>
        <v>0</v>
      </c>
      <c r="R16" s="38">
        <f>IFERROR(VLOOKUP("15_"&amp;A16,SyS!$B:$P,10,FALSE()),0)</f>
        <v>0</v>
      </c>
      <c r="S16" s="39">
        <f>IFERROR(VLOOKUP("15_"&amp;A16,SyS!$B:$P,12,FALSE()),0)</f>
        <v>0</v>
      </c>
      <c r="T16" s="40">
        <f>+R16-S16</f>
        <v>0</v>
      </c>
      <c r="U16" s="38">
        <f>IFERROR(VLOOKUP("16_"&amp;A16,SyS!$B:$P,10,FALSE()),0)</f>
        <v>0</v>
      </c>
      <c r="V16" s="39">
        <f>IFERROR(VLOOKUP("16_"&amp;A16,SyS!$B:$P,12,FALSE()),0)</f>
        <v>0</v>
      </c>
      <c r="W16" s="40">
        <f>+U16-V16</f>
        <v>0</v>
      </c>
      <c r="X16" s="38">
        <f>IFERROR(VLOOKUP("13_"&amp;A16,SyS!$B:$P,10,FALSE()),0)</f>
        <v>0</v>
      </c>
      <c r="Y16" s="39">
        <f>IFERROR(VLOOKUP("13_"&amp;A16,SyS!$B:$P,12,FALSE()),0)</f>
        <v>0</v>
      </c>
      <c r="Z16" s="40">
        <f>+X16-Y16</f>
        <v>0</v>
      </c>
      <c r="AA16" s="38">
        <f>IFERROR(VLOOKUP("17_"&amp;A16,SyS!$B:$P,10,FALSE()),0)</f>
        <v>0</v>
      </c>
      <c r="AB16" s="39">
        <f>IFERROR(VLOOKUP("17_"&amp;A16,SyS!$B:$P,12,FALSE()),0)</f>
        <v>0</v>
      </c>
      <c r="AC16" s="40">
        <f>+AA16-AB16</f>
        <v>0</v>
      </c>
      <c r="AD16" s="39"/>
      <c r="AE16" s="39"/>
      <c r="AF16" s="39"/>
      <c r="AG16" s="39">
        <f>IFERROR(VLOOKUP("19_"&amp;A16,SyS!$B:$P,10,FALSE()),0)</f>
        <v>0</v>
      </c>
      <c r="AH16" s="39">
        <f>IFERROR(VLOOKUP("19_"&amp;A16,SyS!$B:$P,12,FALSE()),0)</f>
        <v>0</v>
      </c>
      <c r="AI16" s="39">
        <f>+AG16-AH16</f>
        <v>0</v>
      </c>
      <c r="AJ16" s="39"/>
      <c r="AK16" s="39"/>
      <c r="AL16" s="39"/>
      <c r="AM16" s="39">
        <f>IFERROR(VLOOKUP("23_"&amp;A16,SyS!$B:$P,10,FALSE()),0)</f>
        <v>0</v>
      </c>
      <c r="AN16" s="39">
        <f>IFERROR(VLOOKUP("23_"&amp;A16,SyS!$B:$P,12,FALSE()),0)</f>
        <v>0</v>
      </c>
      <c r="AO16" s="40">
        <f>+AM16-AN16</f>
        <v>0</v>
      </c>
      <c r="AP16" s="39"/>
      <c r="AQ16" s="39"/>
      <c r="AR16" s="39"/>
      <c r="AS16" s="39"/>
      <c r="AT16" s="39"/>
      <c r="AU16" s="39"/>
      <c r="AV16" s="39"/>
      <c r="AW16" s="39"/>
      <c r="AX16" s="39"/>
      <c r="AY16" s="39"/>
      <c r="AZ16" s="39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>
        <f>IFERROR(VLOOKUP("29_"&amp;A16,SyS!$B:$P,10,FALSE()),0)</f>
        <v>0</v>
      </c>
      <c r="BL16" s="39">
        <f>IFERROR(VLOOKUP("29_"&amp;A16,SyS!$B:$P,12,FALSE()),0)</f>
        <v>0</v>
      </c>
      <c r="BM16" s="39">
        <f>+BK16-BL16</f>
        <v>0</v>
      </c>
      <c r="BN16" s="38">
        <f>IFERROR(VLOOKUP("30_"&amp;A16,SyS!$B:$P,10,FALSE()),0)</f>
        <v>0</v>
      </c>
      <c r="BO16" s="39">
        <f>IFERROR(VLOOKUP("30_"&amp;A16,SyS!$B:$P,12,FALSE()),0)</f>
        <v>0</v>
      </c>
      <c r="BP16" s="40">
        <f>+BN16-BO16</f>
        <v>0</v>
      </c>
      <c r="BQ16" s="45">
        <f>+E16+H16+K16+Q16+T16+W16+Z16+AC16+AF16+AI16+AL16+AO16+AR16+AU16+AX16+BA16+BD16+BG16+BJ16+BM16+BP16</f>
        <v>0</v>
      </c>
    </row>
    <row r="17" ht="11.25" customHeight="1" spans="1:69" x14ac:dyDescent="0.25">
      <c r="A17" s="44">
        <v>421030000</v>
      </c>
      <c r="B17" s="44" t="s">
        <v>248</v>
      </c>
      <c r="C17" s="38">
        <f>IFERROR(VLOOKUP("1_"&amp;A17,SyS!$B:$P,10,FALSE()),0)</f>
        <v>1238.25</v>
      </c>
      <c r="D17" s="39">
        <f>IFERROR(VLOOKUP("1_"&amp;A17,SyS!$B:$P,12,FALSE()),0)</f>
        <v>0</v>
      </c>
      <c r="E17" s="39">
        <f>+C17-D17</f>
        <v>1238.25</v>
      </c>
      <c r="F17" s="38">
        <f>IFERROR(VLOOKUP("2_"&amp;A17,SyS!$B:$P,10,FALSE()),0)</f>
        <v>0</v>
      </c>
      <c r="G17" s="39">
        <f>IFERROR(VLOOKUP("2_"&amp;A17,SyS!$B:$P,12,FALSE()),0)</f>
        <v>0</v>
      </c>
      <c r="H17" s="40">
        <f>+F17-G17</f>
        <v>0</v>
      </c>
      <c r="I17" s="39"/>
      <c r="J17" s="39"/>
      <c r="K17" s="39"/>
      <c r="L17" s="39"/>
      <c r="M17" s="39"/>
      <c r="N17" s="39"/>
      <c r="O17" s="38">
        <f>IFERROR(VLOOKUP("14_"&amp;A17,SyS!$B:$P,10,FALSE()),0)</f>
        <v>0</v>
      </c>
      <c r="P17" s="39">
        <f>IFERROR(VLOOKUP("14_"&amp;A17,SyS!$B:$P,12,FALSE()),0)</f>
        <v>0</v>
      </c>
      <c r="Q17" s="40">
        <f>+O17-P17</f>
        <v>0</v>
      </c>
      <c r="R17" s="38">
        <f>IFERROR(VLOOKUP("15_"&amp;A17,SyS!$B:$P,10,FALSE()),0)</f>
        <v>0</v>
      </c>
      <c r="S17" s="39">
        <f>IFERROR(VLOOKUP("15_"&amp;A17,SyS!$B:$P,12,FALSE()),0)</f>
        <v>0</v>
      </c>
      <c r="T17" s="40">
        <f>+R17-S17</f>
        <v>0</v>
      </c>
      <c r="U17" s="38">
        <f>IFERROR(VLOOKUP("16_"&amp;A17,SyS!$B:$P,10,FALSE()),0)</f>
        <v>0</v>
      </c>
      <c r="V17" s="39">
        <f>IFERROR(VLOOKUP("16_"&amp;A17,SyS!$B:$P,12,FALSE()),0)</f>
        <v>0</v>
      </c>
      <c r="W17" s="40">
        <f>+U17-V17</f>
        <v>0</v>
      </c>
      <c r="X17" s="38">
        <f>IFERROR(VLOOKUP("13_"&amp;A17,SyS!$B:$P,10,FALSE()),0)</f>
        <v>0</v>
      </c>
      <c r="Y17" s="39">
        <f>IFERROR(VLOOKUP("13_"&amp;A17,SyS!$B:$P,12,FALSE()),0)</f>
        <v>0</v>
      </c>
      <c r="Z17" s="40">
        <f>+X17-Y17</f>
        <v>0</v>
      </c>
      <c r="AA17" s="38">
        <f>IFERROR(VLOOKUP("17_"&amp;A17,SyS!$B:$P,10,FALSE()),0)</f>
        <v>0</v>
      </c>
      <c r="AB17" s="39">
        <f>IFERROR(VLOOKUP("17_"&amp;A17,SyS!$B:$P,12,FALSE()),0)</f>
        <v>0</v>
      </c>
      <c r="AC17" s="40">
        <f>+AA17-AB17</f>
        <v>0</v>
      </c>
      <c r="AD17" s="39"/>
      <c r="AE17" s="39"/>
      <c r="AF17" s="39"/>
      <c r="AG17" s="39">
        <f>IFERROR(VLOOKUP("19_"&amp;A17,SyS!$B:$P,10,FALSE()),0)</f>
        <v>0</v>
      </c>
      <c r="AH17" s="39">
        <f>IFERROR(VLOOKUP("19_"&amp;A17,SyS!$B:$P,12,FALSE()),0)</f>
        <v>0</v>
      </c>
      <c r="AI17" s="39">
        <f>+AG17-AH17</f>
        <v>0</v>
      </c>
      <c r="AJ17" s="39"/>
      <c r="AK17" s="39"/>
      <c r="AL17" s="39"/>
      <c r="AM17" s="39">
        <f>IFERROR(VLOOKUP("23_"&amp;A17,SyS!$B:$P,10,FALSE()),0)</f>
        <v>0</v>
      </c>
      <c r="AN17" s="39">
        <f>IFERROR(VLOOKUP("23_"&amp;A17,SyS!$B:$P,12,FALSE()),0)</f>
        <v>0</v>
      </c>
      <c r="AO17" s="40">
        <f>+AM17-AN17</f>
        <v>0</v>
      </c>
      <c r="AP17" s="39"/>
      <c r="AQ17" s="39"/>
      <c r="AR17" s="39"/>
      <c r="AS17" s="39"/>
      <c r="AT17" s="39"/>
      <c r="AU17" s="39"/>
      <c r="AV17" s="39"/>
      <c r="AW17" s="39"/>
      <c r="AX17" s="39"/>
      <c r="AY17" s="39"/>
      <c r="AZ17" s="39"/>
      <c r="BA17" s="39"/>
      <c r="BB17" s="39"/>
      <c r="BC17" s="39"/>
      <c r="BD17" s="39"/>
      <c r="BE17" s="39"/>
      <c r="BF17" s="39"/>
      <c r="BG17" s="39"/>
      <c r="BH17" s="39"/>
      <c r="BI17" s="39"/>
      <c r="BJ17" s="39"/>
      <c r="BK17" s="39">
        <f>IFERROR(VLOOKUP("29_"&amp;A17,SyS!$B:$P,10,FALSE()),0)</f>
        <v>0</v>
      </c>
      <c r="BL17" s="39">
        <f>IFERROR(VLOOKUP("29_"&amp;A17,SyS!$B:$P,12,FALSE()),0)</f>
        <v>0</v>
      </c>
      <c r="BM17" s="39">
        <f>+BK17-BL17</f>
        <v>0</v>
      </c>
      <c r="BN17" s="38">
        <f>IFERROR(VLOOKUP("30_"&amp;A17,SyS!$B:$P,10,FALSE()),0)</f>
        <v>0</v>
      </c>
      <c r="BO17" s="39">
        <f>IFERROR(VLOOKUP("30_"&amp;A17,SyS!$B:$P,12,FALSE()),0)</f>
        <v>0</v>
      </c>
      <c r="BP17" s="40">
        <f>+BN17-BO17</f>
        <v>0</v>
      </c>
      <c r="BQ17" s="45">
        <f>+E17+H17+K17+Q17+T17+W17+Z17+AC17+AF17+AI17+AL17+AO17+AR17+AU17+AX17+BA17+BD17+BG17+BJ17+BM17+BP17</f>
        <v>1238.25</v>
      </c>
    </row>
    <row r="18" ht="11.25" customHeight="1" spans="1:69" x14ac:dyDescent="0.25">
      <c r="A18" s="44">
        <v>42104000</v>
      </c>
      <c r="B18" s="44" t="s">
        <v>249</v>
      </c>
      <c r="C18" s="38">
        <f>IFERROR(VLOOKUP("1_"&amp;A18,SyS!$B:$P,10,FALSE()),0)</f>
        <v>0</v>
      </c>
      <c r="D18" s="39">
        <f>IFERROR(VLOOKUP("1_"&amp;A18,SyS!$B:$P,12,FALSE()),0)</f>
        <v>0</v>
      </c>
      <c r="E18" s="39">
        <f>+C18-D18</f>
        <v>0</v>
      </c>
      <c r="F18" s="38">
        <f>IFERROR(VLOOKUP("2_"&amp;A18,SyS!$B:$P,10,FALSE()),0)</f>
        <v>0</v>
      </c>
      <c r="G18" s="39">
        <f>IFERROR(VLOOKUP("2_"&amp;A18,SyS!$B:$P,12,FALSE()),0)</f>
        <v>0</v>
      </c>
      <c r="H18" s="40">
        <f>+F18-G18</f>
        <v>0</v>
      </c>
      <c r="I18" s="39"/>
      <c r="J18" s="39"/>
      <c r="K18" s="39"/>
      <c r="L18" s="39"/>
      <c r="M18" s="39"/>
      <c r="N18" s="39"/>
      <c r="O18" s="38">
        <f>IFERROR(VLOOKUP("14_"&amp;A18,SyS!$B:$P,10,FALSE()),0)</f>
        <v>0</v>
      </c>
      <c r="P18" s="39">
        <f>IFERROR(VLOOKUP("14_"&amp;A18,SyS!$B:$P,12,FALSE()),0)</f>
        <v>0</v>
      </c>
      <c r="Q18" s="40">
        <f>+O18-P18</f>
        <v>0</v>
      </c>
      <c r="R18" s="38">
        <f>IFERROR(VLOOKUP("15_"&amp;A18,SyS!$B:$P,10,FALSE()),0)</f>
        <v>0</v>
      </c>
      <c r="S18" s="39">
        <f>IFERROR(VLOOKUP("15_"&amp;A18,SyS!$B:$P,12,FALSE()),0)</f>
        <v>0</v>
      </c>
      <c r="T18" s="40">
        <f>+R18-S18</f>
        <v>0</v>
      </c>
      <c r="U18" s="38">
        <f>IFERROR(VLOOKUP("16_"&amp;A18,SyS!$B:$P,10,FALSE()),0)</f>
        <v>0</v>
      </c>
      <c r="V18" s="39">
        <f>IFERROR(VLOOKUP("16_"&amp;A18,SyS!$B:$P,12,FALSE()),0)</f>
        <v>0</v>
      </c>
      <c r="W18" s="40">
        <f>+U18-V18</f>
        <v>0</v>
      </c>
      <c r="X18" s="38">
        <f>IFERROR(VLOOKUP("13_"&amp;A18,SyS!$B:$P,10,FALSE()),0)</f>
        <v>0</v>
      </c>
      <c r="Y18" s="39">
        <f>IFERROR(VLOOKUP("13_"&amp;A18,SyS!$B:$P,12,FALSE()),0)</f>
        <v>0</v>
      </c>
      <c r="Z18" s="40">
        <f>+X18-Y18</f>
        <v>0</v>
      </c>
      <c r="AA18" s="38">
        <f>IFERROR(VLOOKUP("17_"&amp;A18,SyS!$B:$P,10,FALSE()),0)</f>
        <v>0</v>
      </c>
      <c r="AB18" s="39">
        <f>IFERROR(VLOOKUP("17_"&amp;A18,SyS!$B:$P,12,FALSE()),0)</f>
        <v>0</v>
      </c>
      <c r="AC18" s="40">
        <f>+AA18-AB18</f>
        <v>0</v>
      </c>
      <c r="AD18" s="39"/>
      <c r="AE18" s="39"/>
      <c r="AF18" s="39"/>
      <c r="AG18" s="39">
        <f>IFERROR(VLOOKUP("19_"&amp;A18,SyS!$B:$P,10,FALSE()),0)</f>
        <v>0</v>
      </c>
      <c r="AH18" s="39">
        <f>IFERROR(VLOOKUP("19_"&amp;A18,SyS!$B:$P,12,FALSE()),0)</f>
        <v>0</v>
      </c>
      <c r="AI18" s="39">
        <f>+AG18-AH18</f>
        <v>0</v>
      </c>
      <c r="AJ18" s="39"/>
      <c r="AK18" s="39"/>
      <c r="AL18" s="39"/>
      <c r="AM18" s="39">
        <f>IFERROR(VLOOKUP("23_"&amp;A18,SyS!$B:$P,10,FALSE()),0)</f>
        <v>0</v>
      </c>
      <c r="AN18" s="39">
        <f>IFERROR(VLOOKUP("23_"&amp;A18,SyS!$B:$P,12,FALSE()),0)</f>
        <v>0</v>
      </c>
      <c r="AO18" s="40">
        <f>+AM18-AN18</f>
        <v>0</v>
      </c>
      <c r="AP18" s="39"/>
      <c r="AQ18" s="39"/>
      <c r="AR18" s="39"/>
      <c r="AS18" s="39"/>
      <c r="AT18" s="39"/>
      <c r="AU18" s="39"/>
      <c r="AV18" s="39"/>
      <c r="AW18" s="39"/>
      <c r="AX18" s="39"/>
      <c r="AY18" s="39"/>
      <c r="AZ18" s="39"/>
      <c r="BA18" s="39"/>
      <c r="BB18" s="39"/>
      <c r="BC18" s="39"/>
      <c r="BD18" s="39"/>
      <c r="BE18" s="39"/>
      <c r="BF18" s="39"/>
      <c r="BG18" s="39"/>
      <c r="BH18" s="39"/>
      <c r="BI18" s="39"/>
      <c r="BJ18" s="39"/>
      <c r="BK18" s="39">
        <f>IFERROR(VLOOKUP("29_"&amp;A18,SyS!$B:$P,10,FALSE()),0)</f>
        <v>0</v>
      </c>
      <c r="BL18" s="39">
        <f>IFERROR(VLOOKUP("29_"&amp;A18,SyS!$B:$P,12,FALSE()),0)</f>
        <v>0</v>
      </c>
      <c r="BM18" s="39">
        <f>+BK18-BL18</f>
        <v>0</v>
      </c>
      <c r="BN18" s="38">
        <f>IFERROR(VLOOKUP("30_"&amp;A18,SyS!$B:$P,10,FALSE()),0)</f>
        <v>0</v>
      </c>
      <c r="BO18" s="39">
        <f>IFERROR(VLOOKUP("30_"&amp;A18,SyS!$B:$P,12,FALSE()),0)</f>
        <v>0</v>
      </c>
      <c r="BP18" s="40">
        <f>+BN18-BO18</f>
        <v>0</v>
      </c>
      <c r="BQ18" s="45">
        <f>+E18+H18+K18+Q18+T18+W18+Z18+AC18+AF18+AI18+AL18+AO18+AR18+AU18+AX18+BA18+BD18+BG18+BJ18+BM18+BP18</f>
        <v>0</v>
      </c>
    </row>
    <row r="19" ht="11.25" customHeight="1" spans="1:69" x14ac:dyDescent="0.25">
      <c r="A19" s="44">
        <v>421050000</v>
      </c>
      <c r="B19" s="44" t="s">
        <v>250</v>
      </c>
      <c r="C19" s="38">
        <f>IFERROR(VLOOKUP("1_"&amp;A19,SyS!$B:$P,10,FALSE()),0)</f>
        <v>8810.54</v>
      </c>
      <c r="D19" s="39">
        <f>IFERROR(VLOOKUP("1_"&amp;A19,SyS!$B:$P,12,FALSE()),0)</f>
        <v>0</v>
      </c>
      <c r="E19" s="39">
        <f>+C19-D19</f>
        <v>8810.54</v>
      </c>
      <c r="F19" s="38">
        <f>IFERROR(VLOOKUP("2_"&amp;A19,SyS!$B:$P,10,FALSE()),0)</f>
        <v>0</v>
      </c>
      <c r="G19" s="39">
        <f>IFERROR(VLOOKUP("2_"&amp;A19,SyS!$B:$P,12,FALSE()),0)</f>
        <v>0</v>
      </c>
      <c r="H19" s="40">
        <f>+F19-G19</f>
        <v>0</v>
      </c>
      <c r="I19" s="39"/>
      <c r="J19" s="39"/>
      <c r="K19" s="39"/>
      <c r="L19" s="39"/>
      <c r="M19" s="39"/>
      <c r="N19" s="39"/>
      <c r="O19" s="38">
        <f>IFERROR(VLOOKUP("14_"&amp;A19,SyS!$B:$P,10,FALSE()),0)</f>
        <v>0</v>
      </c>
      <c r="P19" s="39">
        <f>IFERROR(VLOOKUP("14_"&amp;A19,SyS!$B:$P,12,FALSE()),0)</f>
        <v>0</v>
      </c>
      <c r="Q19" s="40">
        <f>+O19-P19</f>
        <v>0</v>
      </c>
      <c r="R19" s="38">
        <f>IFERROR(VLOOKUP("15_"&amp;A19,SyS!$B:$P,10,FALSE()),0)</f>
        <v>0</v>
      </c>
      <c r="S19" s="39">
        <f>IFERROR(VLOOKUP("15_"&amp;A19,SyS!$B:$P,12,FALSE()),0)</f>
        <v>0</v>
      </c>
      <c r="T19" s="40">
        <f>+R19-S19</f>
        <v>0</v>
      </c>
      <c r="U19" s="38">
        <f>IFERROR(VLOOKUP("16_"&amp;A19,SyS!$B:$P,10,FALSE()),0)</f>
        <v>0</v>
      </c>
      <c r="V19" s="39">
        <f>IFERROR(VLOOKUP("16_"&amp;A19,SyS!$B:$P,12,FALSE()),0)</f>
        <v>0</v>
      </c>
      <c r="W19" s="40">
        <f>+U19-V19</f>
        <v>0</v>
      </c>
      <c r="X19" s="38">
        <f>IFERROR(VLOOKUP("13_"&amp;A19,SyS!$B:$P,10,FALSE()),0)</f>
        <v>0</v>
      </c>
      <c r="Y19" s="39">
        <f>IFERROR(VLOOKUP("13_"&amp;A19,SyS!$B:$P,12,FALSE()),0)</f>
        <v>0</v>
      </c>
      <c r="Z19" s="40">
        <f>+X19-Y19</f>
        <v>0</v>
      </c>
      <c r="AA19" s="38">
        <f>IFERROR(VLOOKUP("17_"&amp;A19,SyS!$B:$P,10,FALSE()),0)</f>
        <v>0</v>
      </c>
      <c r="AB19" s="39">
        <f>IFERROR(VLOOKUP("17_"&amp;A19,SyS!$B:$P,12,FALSE()),0)</f>
        <v>0</v>
      </c>
      <c r="AC19" s="40">
        <f>+AA19-AB19</f>
        <v>0</v>
      </c>
      <c r="AD19" s="39"/>
      <c r="AE19" s="39"/>
      <c r="AF19" s="39"/>
      <c r="AG19" s="39">
        <f>IFERROR(VLOOKUP("19_"&amp;A19,SyS!$B:$P,10,FALSE()),0)</f>
        <v>0</v>
      </c>
      <c r="AH19" s="39">
        <f>IFERROR(VLOOKUP("19_"&amp;A19,SyS!$B:$P,12,FALSE()),0)</f>
        <v>0</v>
      </c>
      <c r="AI19" s="39">
        <f>+AG19-AH19</f>
        <v>0</v>
      </c>
      <c r="AJ19" s="39"/>
      <c r="AK19" s="39"/>
      <c r="AL19" s="39"/>
      <c r="AM19" s="39">
        <f>IFERROR(VLOOKUP("23_"&amp;A19,SyS!$B:$P,10,FALSE()),0)</f>
        <v>0</v>
      </c>
      <c r="AN19" s="39">
        <f>IFERROR(VLOOKUP("23_"&amp;A19,SyS!$B:$P,12,FALSE()),0)</f>
        <v>0</v>
      </c>
      <c r="AO19" s="40">
        <f>+AM19-AN19</f>
        <v>0</v>
      </c>
      <c r="AP19" s="39"/>
      <c r="AQ19" s="39"/>
      <c r="AR19" s="39"/>
      <c r="AS19" s="39"/>
      <c r="AT19" s="39"/>
      <c r="AU19" s="39"/>
      <c r="AV19" s="39"/>
      <c r="AW19" s="39"/>
      <c r="AX19" s="39"/>
      <c r="AY19" s="39"/>
      <c r="AZ19" s="39"/>
      <c r="BA19" s="39"/>
      <c r="BB19" s="39"/>
      <c r="BC19" s="39"/>
      <c r="BD19" s="39"/>
      <c r="BE19" s="39"/>
      <c r="BF19" s="39"/>
      <c r="BG19" s="39"/>
      <c r="BH19" s="39"/>
      <c r="BI19" s="39"/>
      <c r="BJ19" s="39"/>
      <c r="BK19" s="39">
        <f>IFERROR(VLOOKUP("29_"&amp;A19,SyS!$B:$P,10,FALSE()),0)</f>
        <v>0</v>
      </c>
      <c r="BL19" s="39">
        <f>IFERROR(VLOOKUP("29_"&amp;A19,SyS!$B:$P,12,FALSE()),0)</f>
        <v>0</v>
      </c>
      <c r="BM19" s="39">
        <f>+BK19-BL19</f>
        <v>0</v>
      </c>
      <c r="BN19" s="38">
        <f>IFERROR(VLOOKUP("30_"&amp;A19,SyS!$B:$P,10,FALSE()),0)</f>
        <v>0</v>
      </c>
      <c r="BO19" s="39">
        <f>IFERROR(VLOOKUP("30_"&amp;A19,SyS!$B:$P,12,FALSE()),0)</f>
        <v>0</v>
      </c>
      <c r="BP19" s="40">
        <f>+BN19-BO19</f>
        <v>0</v>
      </c>
      <c r="BQ19" s="45">
        <f>+E19+H19+K19+Q19+T19+W19+Z19+AC19+AF19+AI19+AL19+AO19+AR19+AU19+AX19+BA19+BD19+BG19+BJ19+BM19+BP19</f>
        <v>8810.54</v>
      </c>
    </row>
    <row r="20" ht="11.25" customHeight="1" spans="1:69" x14ac:dyDescent="0.25">
      <c r="A20" s="44">
        <v>421060000</v>
      </c>
      <c r="B20" s="44" t="s">
        <v>251</v>
      </c>
      <c r="C20" s="38">
        <f>IFERROR(VLOOKUP("1_"&amp;A20,SyS!$B:$P,10,FALSE()),0)</f>
        <v>2558.21</v>
      </c>
      <c r="D20" s="39">
        <f>IFERROR(VLOOKUP("1_"&amp;A20,SyS!$B:$P,12,FALSE()),0)</f>
        <v>0</v>
      </c>
      <c r="E20" s="39">
        <f>+C20-D20</f>
        <v>2558.21</v>
      </c>
      <c r="F20" s="38">
        <f>IFERROR(VLOOKUP("2_"&amp;A20,SyS!$B:$P,10,FALSE()),0)</f>
        <v>0</v>
      </c>
      <c r="G20" s="39">
        <f>IFERROR(VLOOKUP("2_"&amp;A20,SyS!$B:$P,12,FALSE()),0)</f>
        <v>0</v>
      </c>
      <c r="H20" s="40">
        <f>+F20-G20</f>
        <v>0</v>
      </c>
      <c r="I20" s="39"/>
      <c r="J20" s="39"/>
      <c r="K20" s="39"/>
      <c r="L20" s="39"/>
      <c r="M20" s="39"/>
      <c r="N20" s="39"/>
      <c r="O20" s="38">
        <f>IFERROR(VLOOKUP("14_"&amp;A20,SyS!$B:$P,10,FALSE()),0)</f>
        <v>0</v>
      </c>
      <c r="P20" s="39">
        <f>IFERROR(VLOOKUP("14_"&amp;A20,SyS!$B:$P,12,FALSE()),0)</f>
        <v>0</v>
      </c>
      <c r="Q20" s="40">
        <f>+O20-P20</f>
        <v>0</v>
      </c>
      <c r="R20" s="38">
        <f>IFERROR(VLOOKUP("15_"&amp;A20,SyS!$B:$P,10,FALSE()),0)</f>
        <v>0</v>
      </c>
      <c r="S20" s="39">
        <f>IFERROR(VLOOKUP("15_"&amp;A20,SyS!$B:$P,12,FALSE()),0)</f>
        <v>0</v>
      </c>
      <c r="T20" s="40">
        <f>+R20-S20</f>
        <v>0</v>
      </c>
      <c r="U20" s="38">
        <f>IFERROR(VLOOKUP("16_"&amp;A20,SyS!$B:$P,10,FALSE()),0)</f>
        <v>0</v>
      </c>
      <c r="V20" s="39">
        <f>IFERROR(VLOOKUP("16_"&amp;A20,SyS!$B:$P,12,FALSE()),0)</f>
        <v>0</v>
      </c>
      <c r="W20" s="40">
        <f>+U20-V20</f>
        <v>0</v>
      </c>
      <c r="X20" s="38">
        <f>IFERROR(VLOOKUP("13_"&amp;A20,SyS!$B:$P,10,FALSE()),0)</f>
        <v>0</v>
      </c>
      <c r="Y20" s="39">
        <f>IFERROR(VLOOKUP("13_"&amp;A20,SyS!$B:$P,12,FALSE()),0)</f>
        <v>0</v>
      </c>
      <c r="Z20" s="40">
        <f>+X20-Y20</f>
        <v>0</v>
      </c>
      <c r="AA20" s="38">
        <f>IFERROR(VLOOKUP("17_"&amp;A20,SyS!$B:$P,10,FALSE()),0)</f>
        <v>0</v>
      </c>
      <c r="AB20" s="39">
        <f>IFERROR(VLOOKUP("17_"&amp;A20,SyS!$B:$P,12,FALSE()),0)</f>
        <v>0</v>
      </c>
      <c r="AC20" s="40">
        <f>+AA20-AB20</f>
        <v>0</v>
      </c>
      <c r="AD20" s="39"/>
      <c r="AE20" s="39"/>
      <c r="AF20" s="39"/>
      <c r="AG20" s="39">
        <f>IFERROR(VLOOKUP("19_"&amp;A20,SyS!$B:$P,10,FALSE()),0)</f>
        <v>0</v>
      </c>
      <c r="AH20" s="39">
        <f>IFERROR(VLOOKUP("19_"&amp;A20,SyS!$B:$P,12,FALSE()),0)</f>
        <v>0</v>
      </c>
      <c r="AI20" s="39">
        <f>+AG20-AH20</f>
        <v>0</v>
      </c>
      <c r="AJ20" s="39"/>
      <c r="AK20" s="39"/>
      <c r="AL20" s="39"/>
      <c r="AM20" s="39">
        <f>IFERROR(VLOOKUP("23_"&amp;A20,SyS!$B:$P,10,FALSE()),0)</f>
        <v>0</v>
      </c>
      <c r="AN20" s="39">
        <f>IFERROR(VLOOKUP("23_"&amp;A20,SyS!$B:$P,12,FALSE()),0)</f>
        <v>0</v>
      </c>
      <c r="AO20" s="40">
        <f>+AM20-AN20</f>
        <v>0</v>
      </c>
      <c r="AP20" s="39"/>
      <c r="AQ20" s="39"/>
      <c r="AR20" s="39"/>
      <c r="AS20" s="39"/>
      <c r="AT20" s="39"/>
      <c r="AU20" s="39"/>
      <c r="AV20" s="39"/>
      <c r="AW20" s="39"/>
      <c r="AX20" s="39"/>
      <c r="AY20" s="39"/>
      <c r="AZ20" s="39"/>
      <c r="BA20" s="39"/>
      <c r="BB20" s="39"/>
      <c r="BC20" s="39"/>
      <c r="BD20" s="39"/>
      <c r="BE20" s="39"/>
      <c r="BF20" s="39"/>
      <c r="BG20" s="39"/>
      <c r="BH20" s="39"/>
      <c r="BI20" s="39"/>
      <c r="BJ20" s="39"/>
      <c r="BK20" s="39">
        <f>IFERROR(VLOOKUP("29_"&amp;A20,SyS!$B:$P,10,FALSE()),0)</f>
        <v>0</v>
      </c>
      <c r="BL20" s="39">
        <f>IFERROR(VLOOKUP("29_"&amp;A20,SyS!$B:$P,12,FALSE()),0)</f>
        <v>0</v>
      </c>
      <c r="BM20" s="39">
        <f>+BK20-BL20</f>
        <v>0</v>
      </c>
      <c r="BN20" s="38">
        <f>IFERROR(VLOOKUP("30_"&amp;A20,SyS!$B:$P,10,FALSE()),0)</f>
        <v>0</v>
      </c>
      <c r="BO20" s="39">
        <f>IFERROR(VLOOKUP("30_"&amp;A20,SyS!$B:$P,12,FALSE()),0)</f>
        <v>0</v>
      </c>
      <c r="BP20" s="40">
        <f>+BN20-BO20</f>
        <v>0</v>
      </c>
      <c r="BQ20" s="45">
        <f>+E20+H20+K20+Q20+T20+W20+Z20+AC20+AF20+AI20+AL20+AO20+AR20+AU20+AX20+BA20+BD20+BG20+BJ20+BM20+BP20</f>
        <v>2558.21</v>
      </c>
    </row>
    <row r="21" ht="11.25" customHeight="1" spans="1:69" x14ac:dyDescent="0.25">
      <c r="A21" s="44">
        <v>42107000</v>
      </c>
      <c r="B21" s="44" t="s">
        <v>252</v>
      </c>
      <c r="C21" s="38">
        <f>IFERROR(VLOOKUP("1_"&amp;A21,SyS!$B:$P,10,FALSE()),0)</f>
        <v>0</v>
      </c>
      <c r="D21" s="39">
        <f>IFERROR(VLOOKUP("1_"&amp;A21,SyS!$B:$P,12,FALSE()),0)</f>
        <v>0</v>
      </c>
      <c r="E21" s="39">
        <f>+C21-D21</f>
        <v>0</v>
      </c>
      <c r="F21" s="38">
        <f>IFERROR(VLOOKUP("2_"&amp;A21,SyS!$B:$P,10,FALSE()),0)</f>
        <v>0</v>
      </c>
      <c r="G21" s="39">
        <f>IFERROR(VLOOKUP("2_"&amp;A21,SyS!$B:$P,12,FALSE()),0)</f>
        <v>0</v>
      </c>
      <c r="H21" s="40">
        <f>+F21-G21</f>
        <v>0</v>
      </c>
      <c r="I21" s="39"/>
      <c r="J21" s="39"/>
      <c r="K21" s="39"/>
      <c r="L21" s="39"/>
      <c r="M21" s="39"/>
      <c r="N21" s="39"/>
      <c r="O21" s="38">
        <f>IFERROR(VLOOKUP("14_"&amp;A21,SyS!$B:$P,10,FALSE()),0)</f>
        <v>0</v>
      </c>
      <c r="P21" s="39">
        <f>IFERROR(VLOOKUP("14_"&amp;A21,SyS!$B:$P,12,FALSE()),0)</f>
        <v>0</v>
      </c>
      <c r="Q21" s="40">
        <f>+O21-P21</f>
        <v>0</v>
      </c>
      <c r="R21" s="38">
        <f>IFERROR(VLOOKUP("15_"&amp;A21,SyS!$B:$P,10,FALSE()),0)</f>
        <v>0</v>
      </c>
      <c r="S21" s="39">
        <f>IFERROR(VLOOKUP("15_"&amp;A21,SyS!$B:$P,12,FALSE()),0)</f>
        <v>0</v>
      </c>
      <c r="T21" s="40">
        <f>+R21-S21</f>
        <v>0</v>
      </c>
      <c r="U21" s="38">
        <f>IFERROR(VLOOKUP("16_"&amp;A21,SyS!$B:$P,10,FALSE()),0)</f>
        <v>0</v>
      </c>
      <c r="V21" s="39">
        <f>IFERROR(VLOOKUP("16_"&amp;A21,SyS!$B:$P,12,FALSE()),0)</f>
        <v>0</v>
      </c>
      <c r="W21" s="40">
        <f>+U21-V21</f>
        <v>0</v>
      </c>
      <c r="X21" s="38">
        <f>IFERROR(VLOOKUP("13_"&amp;A21,SyS!$B:$P,10,FALSE()),0)</f>
        <v>0</v>
      </c>
      <c r="Y21" s="39">
        <f>IFERROR(VLOOKUP("13_"&amp;A21,SyS!$B:$P,12,FALSE()),0)</f>
        <v>0</v>
      </c>
      <c r="Z21" s="40">
        <f>+X21-Y21</f>
        <v>0</v>
      </c>
      <c r="AA21" s="38">
        <f>IFERROR(VLOOKUP("17_"&amp;A21,SyS!$B:$P,10,FALSE()),0)</f>
        <v>0</v>
      </c>
      <c r="AB21" s="39">
        <f>IFERROR(VLOOKUP("17_"&amp;A21,SyS!$B:$P,12,FALSE()),0)</f>
        <v>0</v>
      </c>
      <c r="AC21" s="40">
        <f>+AA21-AB21</f>
        <v>0</v>
      </c>
      <c r="AD21" s="39"/>
      <c r="AE21" s="39"/>
      <c r="AF21" s="39"/>
      <c r="AG21" s="39">
        <f>IFERROR(VLOOKUP("19_"&amp;A21,SyS!$B:$P,10,FALSE()),0)</f>
        <v>0</v>
      </c>
      <c r="AH21" s="39">
        <f>IFERROR(VLOOKUP("19_"&amp;A21,SyS!$B:$P,12,FALSE()),0)</f>
        <v>0</v>
      </c>
      <c r="AI21" s="39">
        <f>+AG21-AH21</f>
        <v>0</v>
      </c>
      <c r="AJ21" s="39"/>
      <c r="AK21" s="39"/>
      <c r="AL21" s="39"/>
      <c r="AM21" s="39">
        <f>IFERROR(VLOOKUP("23_"&amp;A21,SyS!$B:$P,10,FALSE()),0)</f>
        <v>0</v>
      </c>
      <c r="AN21" s="39">
        <f>IFERROR(VLOOKUP("23_"&amp;A21,SyS!$B:$P,12,FALSE()),0)</f>
        <v>0</v>
      </c>
      <c r="AO21" s="40">
        <f>+AM21-AN21</f>
        <v>0</v>
      </c>
      <c r="AP21" s="39"/>
      <c r="AQ21" s="39"/>
      <c r="AR21" s="39"/>
      <c r="AS21" s="39"/>
      <c r="AT21" s="39"/>
      <c r="AU21" s="39"/>
      <c r="AV21" s="39"/>
      <c r="AW21" s="39"/>
      <c r="AX21" s="39"/>
      <c r="AY21" s="39"/>
      <c r="AZ21" s="39"/>
      <c r="BA21" s="39"/>
      <c r="BB21" s="39"/>
      <c r="BC21" s="39"/>
      <c r="BD21" s="39"/>
      <c r="BE21" s="39"/>
      <c r="BF21" s="39"/>
      <c r="BG21" s="39"/>
      <c r="BH21" s="39"/>
      <c r="BI21" s="39"/>
      <c r="BJ21" s="39"/>
      <c r="BK21" s="39">
        <f>IFERROR(VLOOKUP("29_"&amp;A21,SyS!$B:$P,10,FALSE()),0)</f>
        <v>0</v>
      </c>
      <c r="BL21" s="39">
        <f>IFERROR(VLOOKUP("29_"&amp;A21,SyS!$B:$P,12,FALSE()),0)</f>
        <v>0</v>
      </c>
      <c r="BM21" s="39">
        <f>+BK21-BL21</f>
        <v>0</v>
      </c>
      <c r="BN21" s="38">
        <f>IFERROR(VLOOKUP("30_"&amp;A21,SyS!$B:$P,10,FALSE()),0)</f>
        <v>0</v>
      </c>
      <c r="BO21" s="39">
        <f>IFERROR(VLOOKUP("30_"&amp;A21,SyS!$B:$P,12,FALSE()),0)</f>
        <v>0</v>
      </c>
      <c r="BP21" s="40">
        <f>+BN21-BO21</f>
        <v>0</v>
      </c>
      <c r="BQ21" s="45">
        <f>+E21+H21+K21+Q21+T21+W21+Z21+AC21+AF21+AI21+AL21+AO21+AR21+AU21+AX21+BA21+BD21+BG21+BJ21+BM21+BP21</f>
        <v>0</v>
      </c>
    </row>
    <row r="22" ht="11.25" customHeight="1" spans="1:69" x14ac:dyDescent="0.25">
      <c r="A22" s="44">
        <v>42108000</v>
      </c>
      <c r="B22" s="46" t="s">
        <v>253</v>
      </c>
      <c r="C22" s="38">
        <f>IFERROR(VLOOKUP("1_"&amp;A22,SyS!$B:$P,10,FALSE()),0)</f>
        <v>0</v>
      </c>
      <c r="D22" s="39">
        <f>IFERROR(VLOOKUP("1_"&amp;A22,SyS!$B:$P,12,FALSE()),0)</f>
        <v>0</v>
      </c>
      <c r="E22" s="39">
        <f>+C22-D22</f>
        <v>0</v>
      </c>
      <c r="F22" s="38">
        <f>IFERROR(VLOOKUP("2_"&amp;A22,SyS!$B:$P,10,FALSE()),0)</f>
        <v>0</v>
      </c>
      <c r="G22" s="39">
        <f>IFERROR(VLOOKUP("2_"&amp;A22,SyS!$B:$P,12,FALSE()),0)</f>
        <v>0</v>
      </c>
      <c r="H22" s="40">
        <f>+F22-G22</f>
        <v>0</v>
      </c>
      <c r="I22" s="39"/>
      <c r="J22" s="39"/>
      <c r="K22" s="39"/>
      <c r="L22" s="39"/>
      <c r="M22" s="39"/>
      <c r="N22" s="39"/>
      <c r="O22" s="38">
        <f>IFERROR(VLOOKUP("14_"&amp;A22,SyS!$B:$P,10,FALSE()),0)</f>
        <v>0</v>
      </c>
      <c r="P22" s="39">
        <f>IFERROR(VLOOKUP("14_"&amp;A22,SyS!$B:$P,12,FALSE()),0)</f>
        <v>0</v>
      </c>
      <c r="Q22" s="40">
        <f>+O22-P22</f>
        <v>0</v>
      </c>
      <c r="R22" s="38">
        <f>IFERROR(VLOOKUP("15_"&amp;A22,SyS!$B:$P,10,FALSE()),0)</f>
        <v>0</v>
      </c>
      <c r="S22" s="39">
        <f>IFERROR(VLOOKUP("15_"&amp;A22,SyS!$B:$P,12,FALSE()),0)</f>
        <v>0</v>
      </c>
      <c r="T22" s="40">
        <f>+R22-S22</f>
        <v>0</v>
      </c>
      <c r="U22" s="38">
        <f>IFERROR(VLOOKUP("16_"&amp;A22,SyS!$B:$P,10,FALSE()),0)</f>
        <v>0</v>
      </c>
      <c r="V22" s="39">
        <f>IFERROR(VLOOKUP("16_"&amp;A22,SyS!$B:$P,12,FALSE()),0)</f>
        <v>0</v>
      </c>
      <c r="W22" s="40">
        <f>+U22-V22</f>
        <v>0</v>
      </c>
      <c r="X22" s="38">
        <f>IFERROR(VLOOKUP("13_"&amp;A22,SyS!$B:$P,10,FALSE()),0)</f>
        <v>0</v>
      </c>
      <c r="Y22" s="39">
        <f>IFERROR(VLOOKUP("13_"&amp;A22,SyS!$B:$P,12,FALSE()),0)</f>
        <v>0</v>
      </c>
      <c r="Z22" s="40">
        <f>+X22-Y22</f>
        <v>0</v>
      </c>
      <c r="AA22" s="38">
        <f>IFERROR(VLOOKUP("17_"&amp;A22,SyS!$B:$P,10,FALSE()),0)</f>
        <v>0</v>
      </c>
      <c r="AB22" s="39">
        <f>IFERROR(VLOOKUP("17_"&amp;A22,SyS!$B:$P,12,FALSE()),0)</f>
        <v>0</v>
      </c>
      <c r="AC22" s="40">
        <f>+AA22-AB22</f>
        <v>0</v>
      </c>
      <c r="AD22" s="39"/>
      <c r="AE22" s="39"/>
      <c r="AF22" s="39"/>
      <c r="AG22" s="39">
        <f>IFERROR(VLOOKUP("19_"&amp;A22,SyS!$B:$P,10,FALSE()),0)</f>
        <v>0</v>
      </c>
      <c r="AH22" s="39">
        <f>IFERROR(VLOOKUP("19_"&amp;A22,SyS!$B:$P,12,FALSE()),0)</f>
        <v>0</v>
      </c>
      <c r="AI22" s="39">
        <f>+AG22-AH22</f>
        <v>0</v>
      </c>
      <c r="AJ22" s="39"/>
      <c r="AK22" s="39"/>
      <c r="AL22" s="39"/>
      <c r="AM22" s="39">
        <f>IFERROR(VLOOKUP("23_"&amp;A22,SyS!$B:$P,10,FALSE()),0)</f>
        <v>0</v>
      </c>
      <c r="AN22" s="39">
        <f>IFERROR(VLOOKUP("23_"&amp;A22,SyS!$B:$P,12,FALSE()),0)</f>
        <v>0</v>
      </c>
      <c r="AO22" s="40">
        <f>+AM22-AN22</f>
        <v>0</v>
      </c>
      <c r="AP22" s="39"/>
      <c r="AQ22" s="39"/>
      <c r="AR22" s="39"/>
      <c r="AS22" s="39"/>
      <c r="AT22" s="39"/>
      <c r="AU22" s="39"/>
      <c r="AV22" s="39"/>
      <c r="AW22" s="39"/>
      <c r="AX22" s="39"/>
      <c r="AY22" s="39"/>
      <c r="AZ22" s="39"/>
      <c r="BA22" s="39"/>
      <c r="BB22" s="39"/>
      <c r="BC22" s="39"/>
      <c r="BD22" s="39"/>
      <c r="BE22" s="39"/>
      <c r="BF22" s="39"/>
      <c r="BG22" s="39"/>
      <c r="BH22" s="39"/>
      <c r="BI22" s="39"/>
      <c r="BJ22" s="39"/>
      <c r="BK22" s="39">
        <f>IFERROR(VLOOKUP("29_"&amp;A22,SyS!$B:$P,10,FALSE()),0)</f>
        <v>0</v>
      </c>
      <c r="BL22" s="39">
        <f>IFERROR(VLOOKUP("29_"&amp;A22,SyS!$B:$P,12,FALSE()),0)</f>
        <v>0</v>
      </c>
      <c r="BM22" s="39">
        <f>+BK22-BL22</f>
        <v>0</v>
      </c>
      <c r="BN22" s="38">
        <f>IFERROR(VLOOKUP("30_"&amp;A22,SyS!$B:$P,10,FALSE()),0)</f>
        <v>0</v>
      </c>
      <c r="BO22" s="39">
        <f>IFERROR(VLOOKUP("30_"&amp;A22,SyS!$B:$P,12,FALSE()),0)</f>
        <v>0</v>
      </c>
      <c r="BP22" s="40">
        <f>+BN22-BO22</f>
        <v>0</v>
      </c>
      <c r="BQ22" s="45">
        <f>+E22+H22+K22+Q22+T22+W22+Z22+AC22+AF22+AI22+AL22+AO22+AR22+AU22+AX22+BA22+BD22+BG22+BJ22+BM22+BP22</f>
        <v>0</v>
      </c>
    </row>
    <row r="23" ht="11.25" customHeight="1" spans="1:69" x14ac:dyDescent="0.25">
      <c r="A23" s="44">
        <v>42109000</v>
      </c>
      <c r="B23" s="44" t="s">
        <v>254</v>
      </c>
      <c r="C23" s="38">
        <f>IFERROR(VLOOKUP("1_"&amp;A23,SyS!$B:$P,10,FALSE()),0)</f>
        <v>0</v>
      </c>
      <c r="D23" s="39">
        <f>IFERROR(VLOOKUP("1_"&amp;A23,SyS!$B:$P,12,FALSE()),0)</f>
        <v>0</v>
      </c>
      <c r="E23" s="39">
        <f>+C23-D23</f>
        <v>0</v>
      </c>
      <c r="F23" s="38">
        <f>IFERROR(VLOOKUP("2_"&amp;A23,SyS!$B:$P,10,FALSE()),0)</f>
        <v>0</v>
      </c>
      <c r="G23" s="39">
        <f>IFERROR(VLOOKUP("2_"&amp;A23,SyS!$B:$P,12,FALSE()),0)</f>
        <v>0</v>
      </c>
      <c r="H23" s="40">
        <f>+F23-G23</f>
        <v>0</v>
      </c>
      <c r="I23" s="39"/>
      <c r="J23" s="39"/>
      <c r="K23" s="39"/>
      <c r="L23" s="39"/>
      <c r="M23" s="39"/>
      <c r="N23" s="39"/>
      <c r="O23" s="38">
        <f>IFERROR(VLOOKUP("14_"&amp;A23,SyS!$B:$P,10,FALSE()),0)</f>
        <v>0</v>
      </c>
      <c r="P23" s="39">
        <f>IFERROR(VLOOKUP("14_"&amp;A23,SyS!$B:$P,12,FALSE()),0)</f>
        <v>0</v>
      </c>
      <c r="Q23" s="40">
        <f>+O23-P23</f>
        <v>0</v>
      </c>
      <c r="R23" s="38">
        <f>IFERROR(VLOOKUP("15_"&amp;A23,SyS!$B:$P,10,FALSE()),0)</f>
        <v>0</v>
      </c>
      <c r="S23" s="39">
        <f>IFERROR(VLOOKUP("15_"&amp;A23,SyS!$B:$P,12,FALSE()),0)</f>
        <v>0</v>
      </c>
      <c r="T23" s="40">
        <f>+R23-S23</f>
        <v>0</v>
      </c>
      <c r="U23" s="38">
        <f>IFERROR(VLOOKUP("16_"&amp;A23,SyS!$B:$P,10,FALSE()),0)</f>
        <v>0</v>
      </c>
      <c r="V23" s="39">
        <f>IFERROR(VLOOKUP("16_"&amp;A23,SyS!$B:$P,12,FALSE()),0)</f>
        <v>0</v>
      </c>
      <c r="W23" s="40">
        <f>+U23-V23</f>
        <v>0</v>
      </c>
      <c r="X23" s="38">
        <f>IFERROR(VLOOKUP("13_"&amp;A23,SyS!$B:$P,10,FALSE()),0)</f>
        <v>0</v>
      </c>
      <c r="Y23" s="39">
        <f>IFERROR(VLOOKUP("13_"&amp;A23,SyS!$B:$P,12,FALSE()),0)</f>
        <v>0</v>
      </c>
      <c r="Z23" s="40">
        <f>+X23-Y23</f>
        <v>0</v>
      </c>
      <c r="AA23" s="38">
        <f>IFERROR(VLOOKUP("17_"&amp;A23,SyS!$B:$P,10,FALSE()),0)</f>
        <v>0</v>
      </c>
      <c r="AB23" s="39">
        <f>IFERROR(VLOOKUP("17_"&amp;A23,SyS!$B:$P,12,FALSE()),0)</f>
        <v>0</v>
      </c>
      <c r="AC23" s="40">
        <f>+AA23-AB23</f>
        <v>0</v>
      </c>
      <c r="AD23" s="39"/>
      <c r="AE23" s="39"/>
      <c r="AF23" s="39"/>
      <c r="AG23" s="39">
        <f>IFERROR(VLOOKUP("19_"&amp;A23,SyS!$B:$P,10,FALSE()),0)</f>
        <v>0</v>
      </c>
      <c r="AH23" s="39">
        <f>IFERROR(VLOOKUP("19_"&amp;A23,SyS!$B:$P,12,FALSE()),0)</f>
        <v>0</v>
      </c>
      <c r="AI23" s="39">
        <f>+AG23-AH23</f>
        <v>0</v>
      </c>
      <c r="AJ23" s="39"/>
      <c r="AK23" s="39"/>
      <c r="AL23" s="39"/>
      <c r="AM23" s="39">
        <f>IFERROR(VLOOKUP("23_"&amp;A23,SyS!$B:$P,10,FALSE()),0)</f>
        <v>0</v>
      </c>
      <c r="AN23" s="39">
        <f>IFERROR(VLOOKUP("23_"&amp;A23,SyS!$B:$P,12,FALSE()),0)</f>
        <v>0</v>
      </c>
      <c r="AO23" s="40">
        <f>+AM23-AN23</f>
        <v>0</v>
      </c>
      <c r="AP23" s="39"/>
      <c r="AQ23" s="39"/>
      <c r="AR23" s="39"/>
      <c r="AS23" s="39"/>
      <c r="AT23" s="39"/>
      <c r="AU23" s="39"/>
      <c r="AV23" s="39"/>
      <c r="AW23" s="39"/>
      <c r="AX23" s="39"/>
      <c r="AY23" s="39"/>
      <c r="AZ23" s="39"/>
      <c r="BA23" s="39"/>
      <c r="BB23" s="39"/>
      <c r="BC23" s="39"/>
      <c r="BD23" s="39"/>
      <c r="BE23" s="39"/>
      <c r="BF23" s="39"/>
      <c r="BG23" s="39"/>
      <c r="BH23" s="39"/>
      <c r="BI23" s="39"/>
      <c r="BJ23" s="39"/>
      <c r="BK23" s="39">
        <f>IFERROR(VLOOKUP("29_"&amp;A23,SyS!$B:$P,10,FALSE()),0)</f>
        <v>0</v>
      </c>
      <c r="BL23" s="39">
        <f>IFERROR(VLOOKUP("29_"&amp;A23,SyS!$B:$P,12,FALSE()),0)</f>
        <v>0</v>
      </c>
      <c r="BM23" s="39">
        <f>+BK23-BL23</f>
        <v>0</v>
      </c>
      <c r="BN23" s="38">
        <f>IFERROR(VLOOKUP("30_"&amp;A23,SyS!$B:$P,10,FALSE()),0)</f>
        <v>0</v>
      </c>
      <c r="BO23" s="39">
        <f>IFERROR(VLOOKUP("30_"&amp;A23,SyS!$B:$P,12,FALSE()),0)</f>
        <v>0</v>
      </c>
      <c r="BP23" s="40">
        <f>+BN23-BO23</f>
        <v>0</v>
      </c>
      <c r="BQ23" s="45">
        <f>+E23+H23+K23+Q23+T23+W23+Z23+AC23+AF23+AI23+AL23+AO23+AR23+AU23+AX23+BA23+BD23+BG23+BJ23+BM23+BP23</f>
        <v>0</v>
      </c>
    </row>
    <row r="24" ht="11.25" customHeight="1" spans="1:69" x14ac:dyDescent="0.25">
      <c r="A24" s="44">
        <v>42110000</v>
      </c>
      <c r="B24" s="44" t="s">
        <v>255</v>
      </c>
      <c r="C24" s="38">
        <f>IFERROR(VLOOKUP("1_"&amp;A24,SyS!$B:$P,10,FALSE()),0)</f>
        <v>0</v>
      </c>
      <c r="D24" s="39">
        <f>IFERROR(VLOOKUP("1_"&amp;A24,SyS!$B:$P,12,FALSE()),0)</f>
        <v>0</v>
      </c>
      <c r="E24" s="39">
        <f>+C24-D24</f>
        <v>0</v>
      </c>
      <c r="F24" s="38">
        <f>IFERROR(VLOOKUP("2_"&amp;A24,SyS!$B:$P,10,FALSE()),0)</f>
        <v>0</v>
      </c>
      <c r="G24" s="39">
        <f>IFERROR(VLOOKUP("2_"&amp;A24,SyS!$B:$P,12,FALSE()),0)</f>
        <v>0</v>
      </c>
      <c r="H24" s="40">
        <f>+F24-G24</f>
        <v>0</v>
      </c>
      <c r="I24" s="39"/>
      <c r="J24" s="39"/>
      <c r="K24" s="39"/>
      <c r="L24" s="39"/>
      <c r="M24" s="39"/>
      <c r="N24" s="39"/>
      <c r="O24" s="38">
        <f>IFERROR(VLOOKUP("14_"&amp;A24,SyS!$B:$P,10,FALSE()),0)</f>
        <v>0</v>
      </c>
      <c r="P24" s="39">
        <f>IFERROR(VLOOKUP("14_"&amp;A24,SyS!$B:$P,12,FALSE()),0)</f>
        <v>0</v>
      </c>
      <c r="Q24" s="40">
        <f>+O24-P24</f>
        <v>0</v>
      </c>
      <c r="R24" s="38">
        <f>IFERROR(VLOOKUP("15_"&amp;A24,SyS!$B:$P,10,FALSE()),0)</f>
        <v>0</v>
      </c>
      <c r="S24" s="39">
        <f>IFERROR(VLOOKUP("15_"&amp;A24,SyS!$B:$P,12,FALSE()),0)</f>
        <v>0</v>
      </c>
      <c r="T24" s="40">
        <f>+R24-S24</f>
        <v>0</v>
      </c>
      <c r="U24" s="38">
        <f>IFERROR(VLOOKUP("16_"&amp;A24,SyS!$B:$P,10,FALSE()),0)</f>
        <v>0</v>
      </c>
      <c r="V24" s="39">
        <f>IFERROR(VLOOKUP("16_"&amp;A24,SyS!$B:$P,12,FALSE()),0)</f>
        <v>0</v>
      </c>
      <c r="W24" s="40">
        <f>+U24-V24</f>
        <v>0</v>
      </c>
      <c r="X24" s="38">
        <f>IFERROR(VLOOKUP("13_"&amp;A24,SyS!$B:$P,10,FALSE()),0)</f>
        <v>0</v>
      </c>
      <c r="Y24" s="39">
        <f>IFERROR(VLOOKUP("13_"&amp;A24,SyS!$B:$P,12,FALSE()),0)</f>
        <v>0</v>
      </c>
      <c r="Z24" s="40">
        <f>+X24-Y24</f>
        <v>0</v>
      </c>
      <c r="AA24" s="38">
        <f>IFERROR(VLOOKUP("17_"&amp;A24,SyS!$B:$P,10,FALSE()),0)</f>
        <v>0</v>
      </c>
      <c r="AB24" s="39">
        <f>IFERROR(VLOOKUP("17_"&amp;A24,SyS!$B:$P,12,FALSE()),0)</f>
        <v>0</v>
      </c>
      <c r="AC24" s="40">
        <f>+AA24-AB24</f>
        <v>0</v>
      </c>
      <c r="AD24" s="39"/>
      <c r="AE24" s="39"/>
      <c r="AF24" s="39"/>
      <c r="AG24" s="39">
        <f>IFERROR(VLOOKUP("19_"&amp;A24,SyS!$B:$P,10,FALSE()),0)</f>
        <v>0</v>
      </c>
      <c r="AH24" s="39">
        <f>IFERROR(VLOOKUP("19_"&amp;A24,SyS!$B:$P,12,FALSE()),0)</f>
        <v>0</v>
      </c>
      <c r="AI24" s="39">
        <f>+AG24-AH24</f>
        <v>0</v>
      </c>
      <c r="AJ24" s="39"/>
      <c r="AK24" s="39"/>
      <c r="AL24" s="39"/>
      <c r="AM24" s="39">
        <f>IFERROR(VLOOKUP("23_"&amp;A24,SyS!$B:$P,10,FALSE()),0)</f>
        <v>0</v>
      </c>
      <c r="AN24" s="39">
        <f>IFERROR(VLOOKUP("23_"&amp;A24,SyS!$B:$P,12,FALSE()),0)</f>
        <v>0</v>
      </c>
      <c r="AO24" s="40">
        <f>+AM24-AN24</f>
        <v>0</v>
      </c>
      <c r="AP24" s="39"/>
      <c r="AQ24" s="39"/>
      <c r="AR24" s="39"/>
      <c r="AS24" s="39"/>
      <c r="AT24" s="39"/>
      <c r="AU24" s="39"/>
      <c r="AV24" s="39"/>
      <c r="AW24" s="39"/>
      <c r="AX24" s="39"/>
      <c r="AY24" s="39"/>
      <c r="AZ24" s="39"/>
      <c r="BA24" s="39"/>
      <c r="BB24" s="39"/>
      <c r="BC24" s="39"/>
      <c r="BD24" s="39"/>
      <c r="BE24" s="39"/>
      <c r="BF24" s="39"/>
      <c r="BG24" s="39"/>
      <c r="BH24" s="39"/>
      <c r="BI24" s="39"/>
      <c r="BJ24" s="39"/>
      <c r="BK24" s="39">
        <f>IFERROR(VLOOKUP("29_"&amp;A24,SyS!$B:$P,10,FALSE()),0)</f>
        <v>0</v>
      </c>
      <c r="BL24" s="39">
        <f>IFERROR(VLOOKUP("29_"&amp;A24,SyS!$B:$P,12,FALSE()),0)</f>
        <v>0</v>
      </c>
      <c r="BM24" s="39">
        <f>+BK24-BL24</f>
        <v>0</v>
      </c>
      <c r="BN24" s="38">
        <f>IFERROR(VLOOKUP("30_"&amp;A24,SyS!$B:$P,10,FALSE()),0)</f>
        <v>0</v>
      </c>
      <c r="BO24" s="39">
        <f>IFERROR(VLOOKUP("30_"&amp;A24,SyS!$B:$P,12,FALSE()),0)</f>
        <v>0</v>
      </c>
      <c r="BP24" s="40">
        <f>+BN24-BO24</f>
        <v>0</v>
      </c>
      <c r="BQ24" s="45">
        <f>+E24+H24+K24+Q24+T24+W24+Z24+AC24+AF24+AI24+AL24+AO24+AR24+AU24+AX24+BA24+BD24+BG24+BJ24+BM24+BP24</f>
        <v>0</v>
      </c>
    </row>
    <row r="25" ht="11.25" customHeight="1" spans="1:69" x14ac:dyDescent="0.25">
      <c r="A25" s="44">
        <v>42111000</v>
      </c>
      <c r="B25" s="44" t="s">
        <v>256</v>
      </c>
      <c r="C25" s="38">
        <f>IFERROR(VLOOKUP("1_"&amp;A25,SyS!$B:$P,10,FALSE()),0)</f>
        <v>0</v>
      </c>
      <c r="D25" s="39">
        <f>IFERROR(VLOOKUP("1_"&amp;A25,SyS!$B:$P,12,FALSE()),0)</f>
        <v>0</v>
      </c>
      <c r="E25" s="39">
        <f>+C25-D25</f>
        <v>0</v>
      </c>
      <c r="F25" s="38">
        <f>IFERROR(VLOOKUP("2_"&amp;A25,SyS!$B:$P,10,FALSE()),0)</f>
        <v>0</v>
      </c>
      <c r="G25" s="39">
        <f>IFERROR(VLOOKUP("2_"&amp;A25,SyS!$B:$P,12,FALSE()),0)</f>
        <v>0</v>
      </c>
      <c r="H25" s="40">
        <f>+F25-G25</f>
        <v>0</v>
      </c>
      <c r="I25" s="39"/>
      <c r="J25" s="39"/>
      <c r="K25" s="39"/>
      <c r="L25" s="39"/>
      <c r="M25" s="39"/>
      <c r="N25" s="39"/>
      <c r="O25" s="38">
        <f>IFERROR(VLOOKUP("14_"&amp;A25,SyS!$B:$P,10,FALSE()),0)</f>
        <v>0</v>
      </c>
      <c r="P25" s="39">
        <f>IFERROR(VLOOKUP("14_"&amp;A25,SyS!$B:$P,12,FALSE()),0)</f>
        <v>0</v>
      </c>
      <c r="Q25" s="40">
        <f>+O25-P25</f>
        <v>0</v>
      </c>
      <c r="R25" s="38">
        <f>IFERROR(VLOOKUP("15_"&amp;A25,SyS!$B:$P,10,FALSE()),0)</f>
        <v>0</v>
      </c>
      <c r="S25" s="39">
        <f>IFERROR(VLOOKUP("15_"&amp;A25,SyS!$B:$P,12,FALSE()),0)</f>
        <v>0</v>
      </c>
      <c r="T25" s="40">
        <f>+R25-S25</f>
        <v>0</v>
      </c>
      <c r="U25" s="38">
        <f>IFERROR(VLOOKUP("16_"&amp;A25,SyS!$B:$P,10,FALSE()),0)</f>
        <v>0</v>
      </c>
      <c r="V25" s="39">
        <f>IFERROR(VLOOKUP("16_"&amp;A25,SyS!$B:$P,12,FALSE()),0)</f>
        <v>0</v>
      </c>
      <c r="W25" s="40">
        <f>+U25-V25</f>
        <v>0</v>
      </c>
      <c r="X25" s="38">
        <f>IFERROR(VLOOKUP("13_"&amp;A25,SyS!$B:$P,10,FALSE()),0)</f>
        <v>0</v>
      </c>
      <c r="Y25" s="39">
        <f>IFERROR(VLOOKUP("13_"&amp;A25,SyS!$B:$P,12,FALSE()),0)</f>
        <v>0</v>
      </c>
      <c r="Z25" s="40">
        <f>+X25-Y25</f>
        <v>0</v>
      </c>
      <c r="AA25" s="38">
        <f>IFERROR(VLOOKUP("17_"&amp;A25,SyS!$B:$P,10,FALSE()),0)</f>
        <v>0</v>
      </c>
      <c r="AB25" s="39">
        <f>IFERROR(VLOOKUP("17_"&amp;A25,SyS!$B:$P,12,FALSE()),0)</f>
        <v>0</v>
      </c>
      <c r="AC25" s="40">
        <f>+AA25-AB25</f>
        <v>0</v>
      </c>
      <c r="AD25" s="39"/>
      <c r="AE25" s="39"/>
      <c r="AF25" s="39"/>
      <c r="AG25" s="39">
        <f>IFERROR(VLOOKUP("19_"&amp;A25,SyS!$B:$P,10,FALSE()),0)</f>
        <v>0</v>
      </c>
      <c r="AH25" s="39">
        <f>IFERROR(VLOOKUP("19_"&amp;A25,SyS!$B:$P,12,FALSE()),0)</f>
        <v>0</v>
      </c>
      <c r="AI25" s="39">
        <f>+AG25-AH25</f>
        <v>0</v>
      </c>
      <c r="AJ25" s="39"/>
      <c r="AK25" s="39"/>
      <c r="AL25" s="39"/>
      <c r="AM25" s="39">
        <f>IFERROR(VLOOKUP("23_"&amp;A25,SyS!$B:$P,10,FALSE()),0)</f>
        <v>0</v>
      </c>
      <c r="AN25" s="39">
        <f>IFERROR(VLOOKUP("23_"&amp;A25,SyS!$B:$P,12,FALSE()),0)</f>
        <v>0</v>
      </c>
      <c r="AO25" s="40">
        <f>+AM25-AN25</f>
        <v>0</v>
      </c>
      <c r="AP25" s="39"/>
      <c r="AQ25" s="39"/>
      <c r="AR25" s="39"/>
      <c r="AS25" s="39"/>
      <c r="AT25" s="39"/>
      <c r="AU25" s="39"/>
      <c r="AV25" s="39"/>
      <c r="AW25" s="39"/>
      <c r="AX25" s="39"/>
      <c r="AY25" s="39"/>
      <c r="AZ25" s="39"/>
      <c r="BA25" s="39"/>
      <c r="BB25" s="39"/>
      <c r="BC25" s="39"/>
      <c r="BD25" s="39"/>
      <c r="BE25" s="39"/>
      <c r="BF25" s="39"/>
      <c r="BG25" s="39"/>
      <c r="BH25" s="39"/>
      <c r="BI25" s="39"/>
      <c r="BJ25" s="39"/>
      <c r="BK25" s="39">
        <f>IFERROR(VLOOKUP("29_"&amp;A25,SyS!$B:$P,10,FALSE()),0)</f>
        <v>0</v>
      </c>
      <c r="BL25" s="39">
        <f>IFERROR(VLOOKUP("29_"&amp;A25,SyS!$B:$P,12,FALSE()),0)</f>
        <v>0</v>
      </c>
      <c r="BM25" s="39">
        <f>+BK25-BL25</f>
        <v>0</v>
      </c>
      <c r="BN25" s="38">
        <f>IFERROR(VLOOKUP("30_"&amp;A25,SyS!$B:$P,10,FALSE()),0)</f>
        <v>0</v>
      </c>
      <c r="BO25" s="39">
        <f>IFERROR(VLOOKUP("30_"&amp;A25,SyS!$B:$P,12,FALSE()),0)</f>
        <v>0</v>
      </c>
      <c r="BP25" s="40">
        <f>+BN25-BO25</f>
        <v>0</v>
      </c>
      <c r="BQ25" s="45">
        <f>+E25+H25+K25+Q25+T25+W25+Z25+AC25+AF25+AI25+AL25+AO25+AR25+AU25+AX25+BA25+BD25+BG25+BJ25+BM25+BP25</f>
        <v>0</v>
      </c>
    </row>
    <row r="26" ht="11.25" customHeight="1" spans="1:69" x14ac:dyDescent="0.25">
      <c r="A26" s="44">
        <v>42112000</v>
      </c>
      <c r="B26" s="44" t="s">
        <v>257</v>
      </c>
      <c r="C26" s="38">
        <f>IFERROR(VLOOKUP("1_"&amp;A26,SyS!$B:$P,10,FALSE()),0)</f>
        <v>0</v>
      </c>
      <c r="D26" s="39">
        <f>IFERROR(VLOOKUP("1_"&amp;A26,SyS!$B:$P,12,FALSE()),0)</f>
        <v>0</v>
      </c>
      <c r="E26" s="39">
        <f>+C26-D26</f>
        <v>0</v>
      </c>
      <c r="F26" s="38">
        <f>IFERROR(VLOOKUP("2_"&amp;A26,SyS!$B:$P,10,FALSE()),0)</f>
        <v>0</v>
      </c>
      <c r="G26" s="39">
        <f>IFERROR(VLOOKUP("2_"&amp;A26,SyS!$B:$P,12,FALSE()),0)</f>
        <v>0</v>
      </c>
      <c r="H26" s="40">
        <f>+F26-G26</f>
        <v>0</v>
      </c>
      <c r="I26" s="39"/>
      <c r="J26" s="39"/>
      <c r="K26" s="39"/>
      <c r="L26" s="39"/>
      <c r="M26" s="39"/>
      <c r="N26" s="39"/>
      <c r="O26" s="38">
        <f>IFERROR(VLOOKUP("14_"&amp;A26,SyS!$B:$P,10,FALSE()),0)</f>
        <v>0</v>
      </c>
      <c r="P26" s="39">
        <f>IFERROR(VLOOKUP("14_"&amp;A26,SyS!$B:$P,12,FALSE()),0)</f>
        <v>0</v>
      </c>
      <c r="Q26" s="40">
        <f>+O26-P26</f>
        <v>0</v>
      </c>
      <c r="R26" s="38">
        <f>IFERROR(VLOOKUP("15_"&amp;A26,SyS!$B:$P,10,FALSE()),0)</f>
        <v>0</v>
      </c>
      <c r="S26" s="39">
        <f>IFERROR(VLOOKUP("15_"&amp;A26,SyS!$B:$P,12,FALSE()),0)</f>
        <v>0</v>
      </c>
      <c r="T26" s="40">
        <f>+R26-S26</f>
        <v>0</v>
      </c>
      <c r="U26" s="38">
        <f>IFERROR(VLOOKUP("16_"&amp;A26,SyS!$B:$P,10,FALSE()),0)</f>
        <v>0</v>
      </c>
      <c r="V26" s="39">
        <f>IFERROR(VLOOKUP("16_"&amp;A26,SyS!$B:$P,12,FALSE()),0)</f>
        <v>0</v>
      </c>
      <c r="W26" s="40">
        <f>+U26-V26</f>
        <v>0</v>
      </c>
      <c r="X26" s="38">
        <f>IFERROR(VLOOKUP("13_"&amp;A26,SyS!$B:$P,10,FALSE()),0)</f>
        <v>0</v>
      </c>
      <c r="Y26" s="39">
        <f>IFERROR(VLOOKUP("13_"&amp;A26,SyS!$B:$P,12,FALSE()),0)</f>
        <v>0</v>
      </c>
      <c r="Z26" s="40">
        <f>+X26-Y26</f>
        <v>0</v>
      </c>
      <c r="AA26" s="38">
        <f>IFERROR(VLOOKUP("17_"&amp;A26,SyS!$B:$P,10,FALSE()),0)</f>
        <v>0</v>
      </c>
      <c r="AB26" s="39">
        <f>IFERROR(VLOOKUP("17_"&amp;A26,SyS!$B:$P,12,FALSE()),0)</f>
        <v>0</v>
      </c>
      <c r="AC26" s="40">
        <f>+AA26-AB26</f>
        <v>0</v>
      </c>
      <c r="AD26" s="39"/>
      <c r="AE26" s="39"/>
      <c r="AF26" s="39"/>
      <c r="AG26" s="39">
        <f>IFERROR(VLOOKUP("19_"&amp;A26,SyS!$B:$P,10,FALSE()),0)</f>
        <v>0</v>
      </c>
      <c r="AH26" s="39">
        <f>IFERROR(VLOOKUP("19_"&amp;A26,SyS!$B:$P,12,FALSE()),0)</f>
        <v>0</v>
      </c>
      <c r="AI26" s="39">
        <f>+AG26-AH26</f>
        <v>0</v>
      </c>
      <c r="AJ26" s="39"/>
      <c r="AK26" s="39"/>
      <c r="AL26" s="39"/>
      <c r="AM26" s="39">
        <f>IFERROR(VLOOKUP("23_"&amp;A26,SyS!$B:$P,10,FALSE()),0)</f>
        <v>0</v>
      </c>
      <c r="AN26" s="39">
        <f>IFERROR(VLOOKUP("23_"&amp;A26,SyS!$B:$P,12,FALSE()),0)</f>
        <v>0</v>
      </c>
      <c r="AO26" s="40">
        <f>+AM26-AN26</f>
        <v>0</v>
      </c>
      <c r="AP26" s="39"/>
      <c r="AQ26" s="39"/>
      <c r="AR26" s="39"/>
      <c r="AS26" s="39"/>
      <c r="AT26" s="39"/>
      <c r="AU26" s="39"/>
      <c r="AV26" s="39"/>
      <c r="AW26" s="39"/>
      <c r="AX26" s="39"/>
      <c r="AY26" s="39"/>
      <c r="AZ26" s="39"/>
      <c r="BA26" s="39"/>
      <c r="BB26" s="39"/>
      <c r="BC26" s="39"/>
      <c r="BD26" s="39"/>
      <c r="BE26" s="39"/>
      <c r="BF26" s="39"/>
      <c r="BG26" s="39"/>
      <c r="BH26" s="39"/>
      <c r="BI26" s="39"/>
      <c r="BJ26" s="39"/>
      <c r="BK26" s="39">
        <f>IFERROR(VLOOKUP("29_"&amp;A26,SyS!$B:$P,10,FALSE()),0)</f>
        <v>0</v>
      </c>
      <c r="BL26" s="39">
        <f>IFERROR(VLOOKUP("29_"&amp;A26,SyS!$B:$P,12,FALSE()),0)</f>
        <v>0</v>
      </c>
      <c r="BM26" s="39">
        <f>+BK26-BL26</f>
        <v>0</v>
      </c>
      <c r="BN26" s="38">
        <f>IFERROR(VLOOKUP("30_"&amp;A26,SyS!$B:$P,10,FALSE()),0)</f>
        <v>0</v>
      </c>
      <c r="BO26" s="39">
        <f>IFERROR(VLOOKUP("30_"&amp;A26,SyS!$B:$P,12,FALSE()),0)</f>
        <v>0</v>
      </c>
      <c r="BP26" s="40">
        <f>+BN26-BO26</f>
        <v>0</v>
      </c>
      <c r="BQ26" s="45">
        <f>+E26+H26+K26+Q26+T26+W26+Z26+AC26+AF26+AI26+AL26+AO26+AR26+AU26+AX26+BA26+BD26+BG26+BJ26+BM26+BP26</f>
        <v>0</v>
      </c>
    </row>
    <row r="27" ht="11.25" customHeight="1" spans="1:69" x14ac:dyDescent="0.25">
      <c r="A27" s="44">
        <v>42113000</v>
      </c>
      <c r="B27" s="44" t="s">
        <v>258</v>
      </c>
      <c r="C27" s="38">
        <f>IFERROR(VLOOKUP("1_"&amp;A27,SyS!$B:$P,10,FALSE()),0)</f>
        <v>0</v>
      </c>
      <c r="D27" s="39">
        <f>IFERROR(VLOOKUP("1_"&amp;A27,SyS!$B:$P,12,FALSE()),0)</f>
        <v>0</v>
      </c>
      <c r="E27" s="39">
        <f>+C27-D27</f>
        <v>0</v>
      </c>
      <c r="F27" s="38">
        <f>IFERROR(VLOOKUP("2_"&amp;A27,SyS!$B:$P,10,FALSE()),0)</f>
        <v>0</v>
      </c>
      <c r="G27" s="39">
        <f>IFERROR(VLOOKUP("2_"&amp;A27,SyS!$B:$P,12,FALSE()),0)</f>
        <v>0</v>
      </c>
      <c r="H27" s="40">
        <f>+F27-G27</f>
        <v>0</v>
      </c>
      <c r="I27" s="39"/>
      <c r="J27" s="39"/>
      <c r="K27" s="39"/>
      <c r="L27" s="39"/>
      <c r="M27" s="39"/>
      <c r="N27" s="39"/>
      <c r="O27" s="38">
        <f>IFERROR(VLOOKUP("14_"&amp;A27,SyS!$B:$P,10,FALSE()),0)</f>
        <v>0</v>
      </c>
      <c r="P27" s="39">
        <f>IFERROR(VLOOKUP("14_"&amp;A27,SyS!$B:$P,12,FALSE()),0)</f>
        <v>0</v>
      </c>
      <c r="Q27" s="40">
        <f>+O27-P27</f>
        <v>0</v>
      </c>
      <c r="R27" s="38">
        <f>IFERROR(VLOOKUP("15_"&amp;A27,SyS!$B:$P,10,FALSE()),0)</f>
        <v>0</v>
      </c>
      <c r="S27" s="39">
        <f>IFERROR(VLOOKUP("15_"&amp;A27,SyS!$B:$P,12,FALSE()),0)</f>
        <v>0</v>
      </c>
      <c r="T27" s="40">
        <f>+R27-S27</f>
        <v>0</v>
      </c>
      <c r="U27" s="38">
        <f>IFERROR(VLOOKUP("16_"&amp;A27,SyS!$B:$P,10,FALSE()),0)</f>
        <v>0</v>
      </c>
      <c r="V27" s="39">
        <f>IFERROR(VLOOKUP("16_"&amp;A27,SyS!$B:$P,12,FALSE()),0)</f>
        <v>0</v>
      </c>
      <c r="W27" s="40">
        <f>+U27-V27</f>
        <v>0</v>
      </c>
      <c r="X27" s="38">
        <f>IFERROR(VLOOKUP("13_"&amp;A27,SyS!$B:$P,10,FALSE()),0)</f>
        <v>0</v>
      </c>
      <c r="Y27" s="39">
        <f>IFERROR(VLOOKUP("13_"&amp;A27,SyS!$B:$P,12,FALSE()),0)</f>
        <v>0</v>
      </c>
      <c r="Z27" s="40">
        <f>+X27-Y27</f>
        <v>0</v>
      </c>
      <c r="AA27" s="38">
        <f>IFERROR(VLOOKUP("17_"&amp;A27,SyS!$B:$P,10,FALSE()),0)</f>
        <v>0</v>
      </c>
      <c r="AB27" s="39">
        <f>IFERROR(VLOOKUP("17_"&amp;A27,SyS!$B:$P,12,FALSE()),0)</f>
        <v>0</v>
      </c>
      <c r="AC27" s="40">
        <f>+AA27-AB27</f>
        <v>0</v>
      </c>
      <c r="AD27" s="39"/>
      <c r="AE27" s="39"/>
      <c r="AF27" s="39"/>
      <c r="AG27" s="39">
        <f>IFERROR(VLOOKUP("19_"&amp;A27,SyS!$B:$P,10,FALSE()),0)</f>
        <v>0</v>
      </c>
      <c r="AH27" s="39">
        <f>IFERROR(VLOOKUP("19_"&amp;A27,SyS!$B:$P,12,FALSE()),0)</f>
        <v>0</v>
      </c>
      <c r="AI27" s="39">
        <f>+AG27-AH27</f>
        <v>0</v>
      </c>
      <c r="AJ27" s="39"/>
      <c r="AK27" s="39"/>
      <c r="AL27" s="39"/>
      <c r="AM27" s="39">
        <f>IFERROR(VLOOKUP("23_"&amp;A27,SyS!$B:$P,10,FALSE()),0)</f>
        <v>0</v>
      </c>
      <c r="AN27" s="39">
        <f>IFERROR(VLOOKUP("23_"&amp;A27,SyS!$B:$P,12,FALSE()),0)</f>
        <v>0</v>
      </c>
      <c r="AO27" s="40">
        <f>+AM27-AN27</f>
        <v>0</v>
      </c>
      <c r="AP27" s="39"/>
      <c r="AQ27" s="39"/>
      <c r="AR27" s="39"/>
      <c r="AS27" s="39"/>
      <c r="AT27" s="39"/>
      <c r="AU27" s="39"/>
      <c r="AV27" s="39"/>
      <c r="AW27" s="39"/>
      <c r="AX27" s="39"/>
      <c r="AY27" s="39"/>
      <c r="AZ27" s="39"/>
      <c r="BA27" s="39"/>
      <c r="BB27" s="39"/>
      <c r="BC27" s="39"/>
      <c r="BD27" s="39"/>
      <c r="BE27" s="39"/>
      <c r="BF27" s="39"/>
      <c r="BG27" s="39"/>
      <c r="BH27" s="39"/>
      <c r="BI27" s="39"/>
      <c r="BJ27" s="39"/>
      <c r="BK27" s="39">
        <f>IFERROR(VLOOKUP("29_"&amp;A27,SyS!$B:$P,10,FALSE()),0)</f>
        <v>0</v>
      </c>
      <c r="BL27" s="39">
        <f>IFERROR(VLOOKUP("29_"&amp;A27,SyS!$B:$P,12,FALSE()),0)</f>
        <v>0</v>
      </c>
      <c r="BM27" s="39">
        <f>+BK27-BL27</f>
        <v>0</v>
      </c>
      <c r="BN27" s="38">
        <f>IFERROR(VLOOKUP("30_"&amp;A27,SyS!$B:$P,10,FALSE()),0)</f>
        <v>0</v>
      </c>
      <c r="BO27" s="39">
        <f>IFERROR(VLOOKUP("30_"&amp;A27,SyS!$B:$P,12,FALSE()),0)</f>
        <v>0</v>
      </c>
      <c r="BP27" s="40">
        <f>+BN27-BO27</f>
        <v>0</v>
      </c>
      <c r="BQ27" s="45">
        <f>+E27+H27+K27+Q27+T27+W27+Z27+AC27+AF27+AI27+AL27+AO27+AR27+AU27+AX27+BA27+BD27+BG27+BJ27+BM27+BP27</f>
        <v>0</v>
      </c>
    </row>
    <row r="28" ht="11.25" customHeight="1" spans="1:69" x14ac:dyDescent="0.25">
      <c r="A28" s="44">
        <v>421170000</v>
      </c>
      <c r="B28" s="44" t="s">
        <v>259</v>
      </c>
      <c r="C28" s="38">
        <f>IFERROR(VLOOKUP("1_"&amp;A28,SyS!$B:$P,10,FALSE()),0)</f>
        <v>0</v>
      </c>
      <c r="D28" s="39">
        <f>IFERROR(VLOOKUP("1_"&amp;A28,SyS!$B:$P,12,FALSE()),0)</f>
        <v>0</v>
      </c>
      <c r="E28" s="39">
        <f>+C28-D28</f>
        <v>0</v>
      </c>
      <c r="F28" s="38">
        <f>IFERROR(VLOOKUP("2_"&amp;A28,SyS!$B:$P,10,FALSE()),0)</f>
        <v>0</v>
      </c>
      <c r="G28" s="39">
        <f>IFERROR(VLOOKUP("2_"&amp;A28,SyS!$B:$P,12,FALSE()),0)</f>
        <v>0</v>
      </c>
      <c r="H28" s="40">
        <f>+F28-G28</f>
        <v>0</v>
      </c>
      <c r="I28" s="39"/>
      <c r="J28" s="39"/>
      <c r="K28" s="39"/>
      <c r="L28" s="39"/>
      <c r="M28" s="39"/>
      <c r="N28" s="39"/>
      <c r="O28" s="38">
        <f>IFERROR(VLOOKUP("14_"&amp;A28,SyS!$B:$P,10,FALSE()),0)</f>
        <v>0</v>
      </c>
      <c r="P28" s="39">
        <f>IFERROR(VLOOKUP("14_"&amp;A28,SyS!$B:$P,12,FALSE()),0)</f>
        <v>0</v>
      </c>
      <c r="Q28" s="40">
        <f>+O28-P28</f>
        <v>0</v>
      </c>
      <c r="R28" s="38">
        <f>IFERROR(VLOOKUP("15_"&amp;A28,SyS!$B:$P,10,FALSE()),0)</f>
        <v>0</v>
      </c>
      <c r="S28" s="39">
        <f>IFERROR(VLOOKUP("15_"&amp;A28,SyS!$B:$P,12,FALSE()),0)</f>
        <v>0</v>
      </c>
      <c r="T28" s="40">
        <f>+R28-S28</f>
        <v>0</v>
      </c>
      <c r="U28" s="38">
        <f>IFERROR(VLOOKUP("16_"&amp;A28,SyS!$B:$P,10,FALSE()),0)</f>
        <v>0</v>
      </c>
      <c r="V28" s="39">
        <f>IFERROR(VLOOKUP("16_"&amp;A28,SyS!$B:$P,12,FALSE()),0)</f>
        <v>0</v>
      </c>
      <c r="W28" s="40">
        <f>+U28-V28</f>
        <v>0</v>
      </c>
      <c r="X28" s="38">
        <f>IFERROR(VLOOKUP("13_"&amp;A28,SyS!$B:$P,10,FALSE()),0)</f>
        <v>0</v>
      </c>
      <c r="Y28" s="39">
        <f>IFERROR(VLOOKUP("13_"&amp;A28,SyS!$B:$P,12,FALSE()),0)</f>
        <v>0</v>
      </c>
      <c r="Z28" s="40">
        <f>+X28-Y28</f>
        <v>0</v>
      </c>
      <c r="AA28" s="38">
        <f>IFERROR(VLOOKUP("17_"&amp;A28,SyS!$B:$P,10,FALSE()),0)</f>
        <v>0</v>
      </c>
      <c r="AB28" s="39">
        <f>IFERROR(VLOOKUP("17_"&amp;A28,SyS!$B:$P,12,FALSE()),0)</f>
        <v>0</v>
      </c>
      <c r="AC28" s="40">
        <f>+AA28-AB28</f>
        <v>0</v>
      </c>
      <c r="AD28" s="39"/>
      <c r="AE28" s="39"/>
      <c r="AF28" s="39"/>
      <c r="AG28" s="39">
        <f>IFERROR(VLOOKUP("19_"&amp;A28,SyS!$B:$P,10,FALSE()),0)</f>
        <v>0</v>
      </c>
      <c r="AH28" s="39">
        <f>IFERROR(VLOOKUP("19_"&amp;A28,SyS!$B:$P,12,FALSE()),0)</f>
        <v>0</v>
      </c>
      <c r="AI28" s="39">
        <f>+AG28-AH28</f>
        <v>0</v>
      </c>
      <c r="AJ28" s="39"/>
      <c r="AK28" s="39"/>
      <c r="AL28" s="39"/>
      <c r="AM28" s="39">
        <f>IFERROR(VLOOKUP("23_"&amp;A28,SyS!$B:$P,10,FALSE()),0)</f>
        <v>0</v>
      </c>
      <c r="AN28" s="39">
        <f>IFERROR(VLOOKUP("23_"&amp;A28,SyS!$B:$P,12,FALSE()),0)</f>
        <v>0</v>
      </c>
      <c r="AO28" s="40">
        <f>+AM28-AN28</f>
        <v>0</v>
      </c>
      <c r="AP28" s="39"/>
      <c r="AQ28" s="39"/>
      <c r="AR28" s="39"/>
      <c r="AS28" s="39"/>
      <c r="AT28" s="39"/>
      <c r="AU28" s="39"/>
      <c r="AV28" s="39"/>
      <c r="AW28" s="39"/>
      <c r="AX28" s="39"/>
      <c r="AY28" s="39"/>
      <c r="AZ28" s="39"/>
      <c r="BA28" s="39"/>
      <c r="BB28" s="39"/>
      <c r="BC28" s="39"/>
      <c r="BD28" s="39"/>
      <c r="BE28" s="39"/>
      <c r="BF28" s="39"/>
      <c r="BG28" s="39"/>
      <c r="BH28" s="39"/>
      <c r="BI28" s="39"/>
      <c r="BJ28" s="39"/>
      <c r="BK28" s="39">
        <f>IFERROR(VLOOKUP("29_"&amp;A28,SyS!$B:$P,10,FALSE()),0)</f>
        <v>0</v>
      </c>
      <c r="BL28" s="39">
        <f>IFERROR(VLOOKUP("29_"&amp;A28,SyS!$B:$P,12,FALSE()),0)</f>
        <v>0</v>
      </c>
      <c r="BM28" s="39">
        <f>+BK28-BL28</f>
        <v>0</v>
      </c>
      <c r="BN28" s="38">
        <f>IFERROR(VLOOKUP("30_"&amp;A28,SyS!$B:$P,10,FALSE()),0)</f>
        <v>0</v>
      </c>
      <c r="BO28" s="39">
        <f>IFERROR(VLOOKUP("30_"&amp;A28,SyS!$B:$P,12,FALSE()),0)</f>
        <v>0</v>
      </c>
      <c r="BP28" s="40">
        <f>+BN28-BO28</f>
        <v>0</v>
      </c>
      <c r="BQ28" s="45">
        <f>+E28+H28+K28+Q28+T28+W28+Z28+AC28+AF28+AI28+AL28+AO28+AR28+AU28+AX28+BA28+BD28+BG28+BJ28+BM28+BP28</f>
        <v>0</v>
      </c>
    </row>
    <row r="29" ht="11.25" customHeight="1" spans="1:69" x14ac:dyDescent="0.25">
      <c r="A29" s="44">
        <v>42200000</v>
      </c>
      <c r="B29" s="44" t="s">
        <v>260</v>
      </c>
      <c r="C29" s="38">
        <f>IFERROR(VLOOKUP("1_"&amp;A29,SyS!$B:$P,10,FALSE()),0)</f>
        <v>0</v>
      </c>
      <c r="D29" s="39">
        <f>IFERROR(VLOOKUP("1_"&amp;A29,SyS!$B:$P,12,FALSE()),0)</f>
        <v>0</v>
      </c>
      <c r="E29" s="39">
        <f>+C29-D29</f>
        <v>0</v>
      </c>
      <c r="F29" s="38">
        <f>IFERROR(VLOOKUP("2_"&amp;A29,SyS!$B:$P,10,FALSE()),0)</f>
        <v>0</v>
      </c>
      <c r="G29" s="39">
        <f>IFERROR(VLOOKUP("2_"&amp;A29,SyS!$B:$P,12,FALSE()),0)</f>
        <v>0</v>
      </c>
      <c r="H29" s="40">
        <f>+F29-G29</f>
        <v>0</v>
      </c>
      <c r="I29" s="39"/>
      <c r="J29" s="39"/>
      <c r="K29" s="39"/>
      <c r="L29" s="39"/>
      <c r="M29" s="39"/>
      <c r="N29" s="39"/>
      <c r="O29" s="38">
        <f>IFERROR(VLOOKUP("14_"&amp;A29,SyS!$B:$P,10,FALSE()),0)</f>
        <v>0</v>
      </c>
      <c r="P29" s="39">
        <f>IFERROR(VLOOKUP("14_"&amp;A29,SyS!$B:$P,12,FALSE()),0)</f>
        <v>0</v>
      </c>
      <c r="Q29" s="40">
        <f>+O29-P29</f>
        <v>0</v>
      </c>
      <c r="R29" s="38">
        <f>IFERROR(VLOOKUP("15_"&amp;A29,SyS!$B:$P,10,FALSE()),0)</f>
        <v>0</v>
      </c>
      <c r="S29" s="39">
        <f>IFERROR(VLOOKUP("15_"&amp;A29,SyS!$B:$P,12,FALSE()),0)</f>
        <v>0</v>
      </c>
      <c r="T29" s="40">
        <f>+R29-S29</f>
        <v>0</v>
      </c>
      <c r="U29" s="38">
        <f>IFERROR(VLOOKUP("16_"&amp;A29,SyS!$B:$P,10,FALSE()),0)</f>
        <v>0</v>
      </c>
      <c r="V29" s="39">
        <f>IFERROR(VLOOKUP("16_"&amp;A29,SyS!$B:$P,12,FALSE()),0)</f>
        <v>0</v>
      </c>
      <c r="W29" s="40">
        <f>+U29-V29</f>
        <v>0</v>
      </c>
      <c r="X29" s="38">
        <f>IFERROR(VLOOKUP("13_"&amp;A29,SyS!$B:$P,10,FALSE()),0)</f>
        <v>0</v>
      </c>
      <c r="Y29" s="39">
        <f>IFERROR(VLOOKUP("13_"&amp;A29,SyS!$B:$P,12,FALSE()),0)</f>
        <v>0</v>
      </c>
      <c r="Z29" s="40">
        <f>+X29-Y29</f>
        <v>0</v>
      </c>
      <c r="AA29" s="38">
        <f>IFERROR(VLOOKUP("17_"&amp;A29,SyS!$B:$P,10,FALSE()),0)</f>
        <v>0</v>
      </c>
      <c r="AB29" s="39">
        <f>IFERROR(VLOOKUP("17_"&amp;A29,SyS!$B:$P,12,FALSE()),0)</f>
        <v>0</v>
      </c>
      <c r="AC29" s="40">
        <f>+AA29-AB29</f>
        <v>0</v>
      </c>
      <c r="AD29" s="39"/>
      <c r="AE29" s="39"/>
      <c r="AF29" s="39"/>
      <c r="AG29" s="39">
        <f>IFERROR(VLOOKUP("19_"&amp;A29,SyS!$B:$P,10,FALSE()),0)</f>
        <v>0</v>
      </c>
      <c r="AH29" s="39">
        <f>IFERROR(VLOOKUP("19_"&amp;A29,SyS!$B:$P,12,FALSE()),0)</f>
        <v>0</v>
      </c>
      <c r="AI29" s="39">
        <f>+AG29-AH29</f>
        <v>0</v>
      </c>
      <c r="AJ29" s="39"/>
      <c r="AK29" s="39"/>
      <c r="AL29" s="39"/>
      <c r="AM29" s="39">
        <f>IFERROR(VLOOKUP("23_"&amp;A29,SyS!$B:$P,10,FALSE()),0)</f>
        <v>0</v>
      </c>
      <c r="AN29" s="39">
        <f>IFERROR(VLOOKUP("23_"&amp;A29,SyS!$B:$P,12,FALSE()),0)</f>
        <v>0</v>
      </c>
      <c r="AO29" s="40">
        <f>+AM29-AN29</f>
        <v>0</v>
      </c>
      <c r="AP29" s="39"/>
      <c r="AQ29" s="39"/>
      <c r="AR29" s="39"/>
      <c r="AS29" s="39"/>
      <c r="AT29" s="39"/>
      <c r="AU29" s="39"/>
      <c r="AV29" s="39"/>
      <c r="AW29" s="39"/>
      <c r="AX29" s="39"/>
      <c r="AY29" s="39"/>
      <c r="AZ29" s="39"/>
      <c r="BA29" s="39"/>
      <c r="BB29" s="39"/>
      <c r="BC29" s="39"/>
      <c r="BD29" s="39"/>
      <c r="BE29" s="39"/>
      <c r="BF29" s="39"/>
      <c r="BG29" s="39"/>
      <c r="BH29" s="39"/>
      <c r="BI29" s="39"/>
      <c r="BJ29" s="39"/>
      <c r="BK29" s="39">
        <f>IFERROR(VLOOKUP("29_"&amp;A29,SyS!$B:$P,10,FALSE()),0)</f>
        <v>0</v>
      </c>
      <c r="BL29" s="39">
        <f>IFERROR(VLOOKUP("29_"&amp;A29,SyS!$B:$P,12,FALSE()),0)</f>
        <v>0</v>
      </c>
      <c r="BM29" s="39">
        <f>+BK29-BL29</f>
        <v>0</v>
      </c>
      <c r="BN29" s="38">
        <f>IFERROR(VLOOKUP("30_"&amp;A29,SyS!$B:$P,10,FALSE()),0)</f>
        <v>0</v>
      </c>
      <c r="BO29" s="39">
        <f>IFERROR(VLOOKUP("30_"&amp;A29,SyS!$B:$P,12,FALSE()),0)</f>
        <v>0</v>
      </c>
      <c r="BP29" s="40">
        <f>+BN29-BO29</f>
        <v>0</v>
      </c>
      <c r="BQ29" s="45">
        <f>+E29+H29+K29+Q29+T29+W29+Z29+AC29+AF29+AI29+AL29+AO29+AR29+AU29+AX29+BA29+BD29+BG29+BJ29+BM29+BP29</f>
        <v>0</v>
      </c>
    </row>
    <row r="30" ht="11.25" customHeight="1" spans="1:69" x14ac:dyDescent="0.25">
      <c r="A30" s="44">
        <v>42201000</v>
      </c>
      <c r="B30" s="44" t="s">
        <v>261</v>
      </c>
      <c r="C30" s="38">
        <f>IFERROR(VLOOKUP("1_"&amp;A30,SyS!$B:$P,10,FALSE()),0)</f>
        <v>0</v>
      </c>
      <c r="D30" s="39">
        <f>IFERROR(VLOOKUP("1_"&amp;A30,SyS!$B:$P,12,FALSE()),0)</f>
        <v>0</v>
      </c>
      <c r="E30" s="39">
        <f>+C30-D30</f>
        <v>0</v>
      </c>
      <c r="F30" s="38">
        <f>IFERROR(VLOOKUP("2_"&amp;A30,SyS!$B:$P,10,FALSE()),0)</f>
        <v>0</v>
      </c>
      <c r="G30" s="39">
        <f>IFERROR(VLOOKUP("2_"&amp;A30,SyS!$B:$P,12,FALSE()),0)</f>
        <v>0</v>
      </c>
      <c r="H30" s="40">
        <f>+F30-G30</f>
        <v>0</v>
      </c>
      <c r="I30" s="39"/>
      <c r="J30" s="39"/>
      <c r="K30" s="39"/>
      <c r="L30" s="39"/>
      <c r="M30" s="39"/>
      <c r="N30" s="39"/>
      <c r="O30" s="38">
        <f>IFERROR(VLOOKUP("14_"&amp;A30,SyS!$B:$P,10,FALSE()),0)</f>
        <v>0</v>
      </c>
      <c r="P30" s="39">
        <f>IFERROR(VLOOKUP("14_"&amp;A30,SyS!$B:$P,12,FALSE()),0)</f>
        <v>0</v>
      </c>
      <c r="Q30" s="40">
        <f>+O30-P30</f>
        <v>0</v>
      </c>
      <c r="R30" s="38">
        <f>IFERROR(VLOOKUP("15_"&amp;A30,SyS!$B:$P,10,FALSE()),0)</f>
        <v>0</v>
      </c>
      <c r="S30" s="39">
        <f>IFERROR(VLOOKUP("15_"&amp;A30,SyS!$B:$P,12,FALSE()),0)</f>
        <v>0</v>
      </c>
      <c r="T30" s="40">
        <f>+R30-S30</f>
        <v>0</v>
      </c>
      <c r="U30" s="38">
        <f>IFERROR(VLOOKUP("16_"&amp;A30,SyS!$B:$P,10,FALSE()),0)</f>
        <v>0</v>
      </c>
      <c r="V30" s="39">
        <f>IFERROR(VLOOKUP("16_"&amp;A30,SyS!$B:$P,12,FALSE()),0)</f>
        <v>0</v>
      </c>
      <c r="W30" s="40">
        <f>+U30-V30</f>
        <v>0</v>
      </c>
      <c r="X30" s="38">
        <f>IFERROR(VLOOKUP("13_"&amp;A30,SyS!$B:$P,10,FALSE()),0)</f>
        <v>0</v>
      </c>
      <c r="Y30" s="39">
        <f>IFERROR(VLOOKUP("13_"&amp;A30,SyS!$B:$P,12,FALSE()),0)</f>
        <v>0</v>
      </c>
      <c r="Z30" s="40">
        <f>+X30-Y30</f>
        <v>0</v>
      </c>
      <c r="AA30" s="38">
        <f>IFERROR(VLOOKUP("17_"&amp;A30,SyS!$B:$P,10,FALSE()),0)</f>
        <v>0</v>
      </c>
      <c r="AB30" s="39">
        <f>IFERROR(VLOOKUP("17_"&amp;A30,SyS!$B:$P,12,FALSE()),0)</f>
        <v>0</v>
      </c>
      <c r="AC30" s="40">
        <f>+AA30-AB30</f>
        <v>0</v>
      </c>
      <c r="AD30" s="39"/>
      <c r="AE30" s="39"/>
      <c r="AF30" s="39"/>
      <c r="AG30" s="39">
        <f>IFERROR(VLOOKUP("19_"&amp;A30,SyS!$B:$P,10,FALSE()),0)</f>
        <v>0</v>
      </c>
      <c r="AH30" s="39">
        <f>IFERROR(VLOOKUP("19_"&amp;A30,SyS!$B:$P,12,FALSE()),0)</f>
        <v>0</v>
      </c>
      <c r="AI30" s="39">
        <f>+AG30-AH30</f>
        <v>0</v>
      </c>
      <c r="AJ30" s="39"/>
      <c r="AK30" s="39"/>
      <c r="AL30" s="39"/>
      <c r="AM30" s="39">
        <f>IFERROR(VLOOKUP("23_"&amp;A30,SyS!$B:$P,10,FALSE()),0)</f>
        <v>0</v>
      </c>
      <c r="AN30" s="39">
        <f>IFERROR(VLOOKUP("23_"&amp;A30,SyS!$B:$P,12,FALSE()),0)</f>
        <v>0</v>
      </c>
      <c r="AO30" s="40">
        <f>+AM30-AN30</f>
        <v>0</v>
      </c>
      <c r="AP30" s="39"/>
      <c r="AQ30" s="39"/>
      <c r="AR30" s="39"/>
      <c r="AS30" s="39"/>
      <c r="AT30" s="39"/>
      <c r="AU30" s="39"/>
      <c r="AV30" s="39"/>
      <c r="AW30" s="39"/>
      <c r="AX30" s="39"/>
      <c r="AY30" s="39"/>
      <c r="AZ30" s="39"/>
      <c r="BA30" s="39"/>
      <c r="BB30" s="39"/>
      <c r="BC30" s="39"/>
      <c r="BD30" s="39"/>
      <c r="BE30" s="39"/>
      <c r="BF30" s="39"/>
      <c r="BG30" s="39"/>
      <c r="BH30" s="39"/>
      <c r="BI30" s="39"/>
      <c r="BJ30" s="39"/>
      <c r="BK30" s="39">
        <f>IFERROR(VLOOKUP("29_"&amp;A30,SyS!$B:$P,10,FALSE()),0)</f>
        <v>0</v>
      </c>
      <c r="BL30" s="39">
        <f>IFERROR(VLOOKUP("29_"&amp;A30,SyS!$B:$P,12,FALSE()),0)</f>
        <v>0</v>
      </c>
      <c r="BM30" s="39">
        <f>+BK30-BL30</f>
        <v>0</v>
      </c>
      <c r="BN30" s="38">
        <f>IFERROR(VLOOKUP("30_"&amp;A30,SyS!$B:$P,10,FALSE()),0)</f>
        <v>0</v>
      </c>
      <c r="BO30" s="39">
        <f>IFERROR(VLOOKUP("30_"&amp;A30,SyS!$B:$P,12,FALSE()),0)</f>
        <v>0</v>
      </c>
      <c r="BP30" s="40">
        <f>+BN30-BO30</f>
        <v>0</v>
      </c>
      <c r="BQ30" s="45">
        <f>+E30+H30+K30+Q30+T30+W30+Z30+AC30+AF30+AI30+AL30+AO30+AR30+AU30+AX30+BA30+BD30+BG30+BJ30+BM30+BP30</f>
        <v>0</v>
      </c>
    </row>
    <row r="31" ht="11.25" customHeight="1" spans="1:69" x14ac:dyDescent="0.25">
      <c r="A31" s="44">
        <v>42202000</v>
      </c>
      <c r="B31" s="44" t="s">
        <v>262</v>
      </c>
      <c r="C31" s="38">
        <f>IFERROR(VLOOKUP("1_"&amp;A31,SyS!$B:$P,10,FALSE()),0)</f>
        <v>0</v>
      </c>
      <c r="D31" s="39">
        <f>IFERROR(VLOOKUP("1_"&amp;A31,SyS!$B:$P,12,FALSE()),0)</f>
        <v>0</v>
      </c>
      <c r="E31" s="39">
        <f>+C31-D31</f>
        <v>0</v>
      </c>
      <c r="F31" s="38">
        <f>IFERROR(VLOOKUP("2_"&amp;A31,SyS!$B:$P,10,FALSE()),0)</f>
        <v>0</v>
      </c>
      <c r="G31" s="39">
        <f>IFERROR(VLOOKUP("2_"&amp;A31,SyS!$B:$P,12,FALSE()),0)</f>
        <v>0</v>
      </c>
      <c r="H31" s="40">
        <f>+F31-G31</f>
        <v>0</v>
      </c>
      <c r="I31" s="39"/>
      <c r="J31" s="39"/>
      <c r="K31" s="39"/>
      <c r="L31" s="39"/>
      <c r="M31" s="39"/>
      <c r="N31" s="39"/>
      <c r="O31" s="38">
        <f>IFERROR(VLOOKUP("14_"&amp;A31,SyS!$B:$P,10,FALSE()),0)</f>
        <v>0</v>
      </c>
      <c r="P31" s="39">
        <f>IFERROR(VLOOKUP("14_"&amp;A31,SyS!$B:$P,12,FALSE()),0)</f>
        <v>0</v>
      </c>
      <c r="Q31" s="40">
        <f>+O31-P31</f>
        <v>0</v>
      </c>
      <c r="R31" s="38">
        <f>IFERROR(VLOOKUP("15_"&amp;A31,SyS!$B:$P,10,FALSE()),0)</f>
        <v>0</v>
      </c>
      <c r="S31" s="39">
        <f>IFERROR(VLOOKUP("15_"&amp;A31,SyS!$B:$P,12,FALSE()),0)</f>
        <v>0</v>
      </c>
      <c r="T31" s="40">
        <f>+R31-S31</f>
        <v>0</v>
      </c>
      <c r="U31" s="38">
        <f>IFERROR(VLOOKUP("16_"&amp;A31,SyS!$B:$P,10,FALSE()),0)</f>
        <v>0</v>
      </c>
      <c r="V31" s="39">
        <f>IFERROR(VLOOKUP("16_"&amp;A31,SyS!$B:$P,12,FALSE()),0)</f>
        <v>0</v>
      </c>
      <c r="W31" s="40">
        <f>+U31-V31</f>
        <v>0</v>
      </c>
      <c r="X31" s="38">
        <f>IFERROR(VLOOKUP("13_"&amp;A31,SyS!$B:$P,10,FALSE()),0)</f>
        <v>0</v>
      </c>
      <c r="Y31" s="39">
        <f>IFERROR(VLOOKUP("13_"&amp;A31,SyS!$B:$P,12,FALSE()),0)</f>
        <v>0</v>
      </c>
      <c r="Z31" s="40">
        <f>+X31-Y31</f>
        <v>0</v>
      </c>
      <c r="AA31" s="38">
        <f>IFERROR(VLOOKUP("17_"&amp;A31,SyS!$B:$P,10,FALSE()),0)</f>
        <v>0</v>
      </c>
      <c r="AB31" s="39">
        <f>IFERROR(VLOOKUP("17_"&amp;A31,SyS!$B:$P,12,FALSE()),0)</f>
        <v>0</v>
      </c>
      <c r="AC31" s="40">
        <f>+AA31-AB31</f>
        <v>0</v>
      </c>
      <c r="AD31" s="39"/>
      <c r="AE31" s="39"/>
      <c r="AF31" s="39"/>
      <c r="AG31" s="39">
        <f>IFERROR(VLOOKUP("19_"&amp;A31,SyS!$B:$P,10,FALSE()),0)</f>
        <v>0</v>
      </c>
      <c r="AH31" s="39">
        <f>IFERROR(VLOOKUP("19_"&amp;A31,SyS!$B:$P,12,FALSE()),0)</f>
        <v>0</v>
      </c>
      <c r="AI31" s="39">
        <f>+AG31-AH31</f>
        <v>0</v>
      </c>
      <c r="AJ31" s="39"/>
      <c r="AK31" s="39"/>
      <c r="AL31" s="39"/>
      <c r="AM31" s="39">
        <f>IFERROR(VLOOKUP("23_"&amp;A31,SyS!$B:$P,10,FALSE()),0)</f>
        <v>0</v>
      </c>
      <c r="AN31" s="39">
        <f>IFERROR(VLOOKUP("23_"&amp;A31,SyS!$B:$P,12,FALSE()),0)</f>
        <v>0</v>
      </c>
      <c r="AO31" s="40">
        <f>+AM31-AN31</f>
        <v>0</v>
      </c>
      <c r="AP31" s="39"/>
      <c r="AQ31" s="39"/>
      <c r="AR31" s="39"/>
      <c r="AS31" s="39"/>
      <c r="AT31" s="39"/>
      <c r="AU31" s="39"/>
      <c r="AV31" s="39"/>
      <c r="AW31" s="39"/>
      <c r="AX31" s="39"/>
      <c r="AY31" s="39"/>
      <c r="AZ31" s="39"/>
      <c r="BA31" s="39"/>
      <c r="BB31" s="39"/>
      <c r="BC31" s="39"/>
      <c r="BD31" s="39"/>
      <c r="BE31" s="39"/>
      <c r="BF31" s="39"/>
      <c r="BG31" s="39"/>
      <c r="BH31" s="39"/>
      <c r="BI31" s="39"/>
      <c r="BJ31" s="39"/>
      <c r="BK31" s="39">
        <f>IFERROR(VLOOKUP("29_"&amp;A31,SyS!$B:$P,10,FALSE()),0)</f>
        <v>0</v>
      </c>
      <c r="BL31" s="39">
        <f>IFERROR(VLOOKUP("29_"&amp;A31,SyS!$B:$P,12,FALSE()),0)</f>
        <v>0</v>
      </c>
      <c r="BM31" s="39">
        <f>+BK31-BL31</f>
        <v>0</v>
      </c>
      <c r="BN31" s="38">
        <f>IFERROR(VLOOKUP("30_"&amp;A31,SyS!$B:$P,10,FALSE()),0)</f>
        <v>0</v>
      </c>
      <c r="BO31" s="39">
        <f>IFERROR(VLOOKUP("30_"&amp;A31,SyS!$B:$P,12,FALSE()),0)</f>
        <v>0</v>
      </c>
      <c r="BP31" s="40">
        <f>+BN31-BO31</f>
        <v>0</v>
      </c>
      <c r="BQ31" s="45">
        <f>+E31+H31+K31+Q31+T31+W31+Z31+AC31+AF31+AI31+AL31+AO31+AR31+AU31+AX31+BA31+BD31+BG31+BJ31+BM31+BP31</f>
        <v>0</v>
      </c>
    </row>
    <row r="32" ht="11.25" customHeight="1" spans="1:69" x14ac:dyDescent="0.25">
      <c r="A32" s="44">
        <v>42203000</v>
      </c>
      <c r="B32" s="44" t="s">
        <v>263</v>
      </c>
      <c r="C32" s="38">
        <f>IFERROR(VLOOKUP("1_"&amp;A32,SyS!$B:$P,10,FALSE()),0)</f>
        <v>0</v>
      </c>
      <c r="D32" s="39">
        <f>IFERROR(VLOOKUP("1_"&amp;A32,SyS!$B:$P,12,FALSE()),0)</f>
        <v>0</v>
      </c>
      <c r="E32" s="39">
        <f>+C32-D32</f>
        <v>0</v>
      </c>
      <c r="F32" s="38">
        <f>IFERROR(VLOOKUP("2_"&amp;A32,SyS!$B:$P,10,FALSE()),0)</f>
        <v>0</v>
      </c>
      <c r="G32" s="39">
        <f>IFERROR(VLOOKUP("2_"&amp;A32,SyS!$B:$P,12,FALSE()),0)</f>
        <v>0</v>
      </c>
      <c r="H32" s="40">
        <f>+F32-G32</f>
        <v>0</v>
      </c>
      <c r="I32" s="39"/>
      <c r="J32" s="39"/>
      <c r="K32" s="39"/>
      <c r="L32" s="39"/>
      <c r="M32" s="39"/>
      <c r="N32" s="39"/>
      <c r="O32" s="38">
        <f>IFERROR(VLOOKUP("14_"&amp;A32,SyS!$B:$P,10,FALSE()),0)</f>
        <v>0</v>
      </c>
      <c r="P32" s="39">
        <f>IFERROR(VLOOKUP("14_"&amp;A32,SyS!$B:$P,12,FALSE()),0)</f>
        <v>0</v>
      </c>
      <c r="Q32" s="40">
        <f>+O32-P32</f>
        <v>0</v>
      </c>
      <c r="R32" s="38">
        <f>IFERROR(VLOOKUP("15_"&amp;A32,SyS!$B:$P,10,FALSE()),0)</f>
        <v>0</v>
      </c>
      <c r="S32" s="39">
        <f>IFERROR(VLOOKUP("15_"&amp;A32,SyS!$B:$P,12,FALSE()),0)</f>
        <v>0</v>
      </c>
      <c r="T32" s="40">
        <f>+R32-S32</f>
        <v>0</v>
      </c>
      <c r="U32" s="38">
        <f>IFERROR(VLOOKUP("16_"&amp;A32,SyS!$B:$P,10,FALSE()),0)</f>
        <v>0</v>
      </c>
      <c r="V32" s="39">
        <f>IFERROR(VLOOKUP("16_"&amp;A32,SyS!$B:$P,12,FALSE()),0)</f>
        <v>0</v>
      </c>
      <c r="W32" s="40">
        <f>+U32-V32</f>
        <v>0</v>
      </c>
      <c r="X32" s="38">
        <f>IFERROR(VLOOKUP("13_"&amp;A32,SyS!$B:$P,10,FALSE()),0)</f>
        <v>0</v>
      </c>
      <c r="Y32" s="39">
        <f>IFERROR(VLOOKUP("13_"&amp;A32,SyS!$B:$P,12,FALSE()),0)</f>
        <v>0</v>
      </c>
      <c r="Z32" s="40">
        <f>+X32-Y32</f>
        <v>0</v>
      </c>
      <c r="AA32" s="38">
        <f>IFERROR(VLOOKUP("17_"&amp;A32,SyS!$B:$P,10,FALSE()),0)</f>
        <v>0</v>
      </c>
      <c r="AB32" s="39">
        <f>IFERROR(VLOOKUP("17_"&amp;A32,SyS!$B:$P,12,FALSE()),0)</f>
        <v>0</v>
      </c>
      <c r="AC32" s="40">
        <f>+AA32-AB32</f>
        <v>0</v>
      </c>
      <c r="AD32" s="39"/>
      <c r="AE32" s="39"/>
      <c r="AF32" s="39"/>
      <c r="AG32" s="39">
        <f>IFERROR(VLOOKUP("19_"&amp;A32,SyS!$B:$P,10,FALSE()),0)</f>
        <v>0</v>
      </c>
      <c r="AH32" s="39">
        <f>IFERROR(VLOOKUP("19_"&amp;A32,SyS!$B:$P,12,FALSE()),0)</f>
        <v>0</v>
      </c>
      <c r="AI32" s="39">
        <f>+AG32-AH32</f>
        <v>0</v>
      </c>
      <c r="AJ32" s="39"/>
      <c r="AK32" s="39"/>
      <c r="AL32" s="39"/>
      <c r="AM32" s="39">
        <f>IFERROR(VLOOKUP("23_"&amp;A32,SyS!$B:$P,10,FALSE()),0)</f>
        <v>0</v>
      </c>
      <c r="AN32" s="39">
        <f>IFERROR(VLOOKUP("23_"&amp;A32,SyS!$B:$P,12,FALSE()),0)</f>
        <v>0</v>
      </c>
      <c r="AO32" s="40">
        <f>+AM32-AN32</f>
        <v>0</v>
      </c>
      <c r="AP32" s="39"/>
      <c r="AQ32" s="39"/>
      <c r="AR32" s="39"/>
      <c r="AS32" s="39"/>
      <c r="AT32" s="39"/>
      <c r="AU32" s="39"/>
      <c r="AV32" s="39"/>
      <c r="AW32" s="39"/>
      <c r="AX32" s="39"/>
      <c r="AY32" s="39"/>
      <c r="AZ32" s="39"/>
      <c r="BA32" s="39"/>
      <c r="BB32" s="39"/>
      <c r="BC32" s="39"/>
      <c r="BD32" s="39"/>
      <c r="BE32" s="39"/>
      <c r="BF32" s="39"/>
      <c r="BG32" s="39"/>
      <c r="BH32" s="39"/>
      <c r="BI32" s="39"/>
      <c r="BJ32" s="39"/>
      <c r="BK32" s="39">
        <f>IFERROR(VLOOKUP("29_"&amp;A32,SyS!$B:$P,10,FALSE()),0)</f>
        <v>0</v>
      </c>
      <c r="BL32" s="39">
        <f>IFERROR(VLOOKUP("29_"&amp;A32,SyS!$B:$P,12,FALSE()),0)</f>
        <v>0</v>
      </c>
      <c r="BM32" s="39">
        <f>+BK32-BL32</f>
        <v>0</v>
      </c>
      <c r="BN32" s="38">
        <f>IFERROR(VLOOKUP("30_"&amp;A32,SyS!$B:$P,10,FALSE()),0)</f>
        <v>0</v>
      </c>
      <c r="BO32" s="39">
        <f>IFERROR(VLOOKUP("30_"&amp;A32,SyS!$B:$P,12,FALSE()),0)</f>
        <v>0</v>
      </c>
      <c r="BP32" s="40">
        <f>+BN32-BO32</f>
        <v>0</v>
      </c>
      <c r="BQ32" s="45">
        <f>+E32+H32+K32+Q32+T32+W32+Z32+AC32+AF32+AI32+AL32+AO32+AR32+AU32+AX32+BA32+BD32+BG32+BJ32+BM32+BP32</f>
        <v>0</v>
      </c>
    </row>
    <row r="33" ht="11.25" customHeight="1" spans="1:69" x14ac:dyDescent="0.25">
      <c r="A33" s="44">
        <v>42204000</v>
      </c>
      <c r="B33" s="44" t="s">
        <v>264</v>
      </c>
      <c r="C33" s="38">
        <f>IFERROR(VLOOKUP("1_"&amp;A33,SyS!$B:$P,10,FALSE()),0)</f>
        <v>0</v>
      </c>
      <c r="D33" s="39">
        <f>IFERROR(VLOOKUP("1_"&amp;A33,SyS!$B:$P,12,FALSE()),0)</f>
        <v>0</v>
      </c>
      <c r="E33" s="39">
        <f>+C33-D33</f>
        <v>0</v>
      </c>
      <c r="F33" s="38">
        <f>IFERROR(VLOOKUP("2_"&amp;A33,SyS!$B:$P,10,FALSE()),0)</f>
        <v>0</v>
      </c>
      <c r="G33" s="39">
        <f>IFERROR(VLOOKUP("2_"&amp;A33,SyS!$B:$P,12,FALSE()),0)</f>
        <v>0</v>
      </c>
      <c r="H33" s="40">
        <f>+F33-G33</f>
        <v>0</v>
      </c>
      <c r="I33" s="39"/>
      <c r="J33" s="39"/>
      <c r="K33" s="39"/>
      <c r="L33" s="39"/>
      <c r="M33" s="39"/>
      <c r="N33" s="39"/>
      <c r="O33" s="38">
        <f>IFERROR(VLOOKUP("14_"&amp;A33,SyS!$B:$P,10,FALSE()),0)</f>
        <v>0</v>
      </c>
      <c r="P33" s="39">
        <f>IFERROR(VLOOKUP("14_"&amp;A33,SyS!$B:$P,12,FALSE()),0)</f>
        <v>0</v>
      </c>
      <c r="Q33" s="40">
        <f>+O33-P33</f>
        <v>0</v>
      </c>
      <c r="R33" s="38">
        <f>IFERROR(VLOOKUP("15_"&amp;A33,SyS!$B:$P,10,FALSE()),0)</f>
        <v>0</v>
      </c>
      <c r="S33" s="39">
        <f>IFERROR(VLOOKUP("15_"&amp;A33,SyS!$B:$P,12,FALSE()),0)</f>
        <v>0</v>
      </c>
      <c r="T33" s="40">
        <f>+R33-S33</f>
        <v>0</v>
      </c>
      <c r="U33" s="38">
        <f>IFERROR(VLOOKUP("16_"&amp;A33,SyS!$B:$P,10,FALSE()),0)</f>
        <v>0</v>
      </c>
      <c r="V33" s="39">
        <f>IFERROR(VLOOKUP("16_"&amp;A33,SyS!$B:$P,12,FALSE()),0)</f>
        <v>0</v>
      </c>
      <c r="W33" s="40">
        <f>+U33-V33</f>
        <v>0</v>
      </c>
      <c r="X33" s="38">
        <f>IFERROR(VLOOKUP("13_"&amp;A33,SyS!$B:$P,10,FALSE()),0)</f>
        <v>0</v>
      </c>
      <c r="Y33" s="39">
        <f>IFERROR(VLOOKUP("13_"&amp;A33,SyS!$B:$P,12,FALSE()),0)</f>
        <v>0</v>
      </c>
      <c r="Z33" s="40">
        <f>+X33-Y33</f>
        <v>0</v>
      </c>
      <c r="AA33" s="38">
        <f>IFERROR(VLOOKUP("17_"&amp;A33,SyS!$B:$P,10,FALSE()),0)</f>
        <v>0</v>
      </c>
      <c r="AB33" s="39">
        <f>IFERROR(VLOOKUP("17_"&amp;A33,SyS!$B:$P,12,FALSE()),0)</f>
        <v>0</v>
      </c>
      <c r="AC33" s="40">
        <f>+AA33-AB33</f>
        <v>0</v>
      </c>
      <c r="AD33" s="39"/>
      <c r="AE33" s="39"/>
      <c r="AF33" s="39"/>
      <c r="AG33" s="39">
        <f>IFERROR(VLOOKUP("19_"&amp;A33,SyS!$B:$P,10,FALSE()),0)</f>
        <v>0</v>
      </c>
      <c r="AH33" s="39">
        <f>IFERROR(VLOOKUP("19_"&amp;A33,SyS!$B:$P,12,FALSE()),0)</f>
        <v>0</v>
      </c>
      <c r="AI33" s="39">
        <f>+AG33-AH33</f>
        <v>0</v>
      </c>
      <c r="AJ33" s="39"/>
      <c r="AK33" s="39"/>
      <c r="AL33" s="39"/>
      <c r="AM33" s="39">
        <f>IFERROR(VLOOKUP("23_"&amp;A33,SyS!$B:$P,10,FALSE()),0)</f>
        <v>0</v>
      </c>
      <c r="AN33" s="39">
        <f>IFERROR(VLOOKUP("23_"&amp;A33,SyS!$B:$P,12,FALSE()),0)</f>
        <v>0</v>
      </c>
      <c r="AO33" s="40">
        <f>+AM33-AN33</f>
        <v>0</v>
      </c>
      <c r="AP33" s="39"/>
      <c r="AQ33" s="39"/>
      <c r="AR33" s="39"/>
      <c r="AS33" s="39"/>
      <c r="AT33" s="39"/>
      <c r="AU33" s="39"/>
      <c r="AV33" s="39"/>
      <c r="AW33" s="39"/>
      <c r="AX33" s="39"/>
      <c r="AY33" s="39"/>
      <c r="AZ33" s="39"/>
      <c r="BA33" s="39"/>
      <c r="BB33" s="39"/>
      <c r="BC33" s="39"/>
      <c r="BD33" s="39"/>
      <c r="BE33" s="39"/>
      <c r="BF33" s="39"/>
      <c r="BG33" s="39"/>
      <c r="BH33" s="39"/>
      <c r="BI33" s="39"/>
      <c r="BJ33" s="39"/>
      <c r="BK33" s="39">
        <f>IFERROR(VLOOKUP("29_"&amp;A33,SyS!$B:$P,10,FALSE()),0)</f>
        <v>0</v>
      </c>
      <c r="BL33" s="39">
        <f>IFERROR(VLOOKUP("29_"&amp;A33,SyS!$B:$P,12,FALSE()),0)</f>
        <v>0</v>
      </c>
      <c r="BM33" s="39">
        <f>+BK33-BL33</f>
        <v>0</v>
      </c>
      <c r="BN33" s="38">
        <f>IFERROR(VLOOKUP("30_"&amp;A33,SyS!$B:$P,10,FALSE()),0)</f>
        <v>0</v>
      </c>
      <c r="BO33" s="39">
        <f>IFERROR(VLOOKUP("30_"&amp;A33,SyS!$B:$P,12,FALSE()),0)</f>
        <v>0</v>
      </c>
      <c r="BP33" s="40">
        <f>+BN33-BO33</f>
        <v>0</v>
      </c>
      <c r="BQ33" s="45">
        <f>+E33+H33+K33+Q33+T33+W33+Z33+AC33+AF33+AI33+AL33+AO33+AR33+AU33+AX33+BA33+BD33+BG33+BJ33+BM33+BP33</f>
        <v>0</v>
      </c>
    </row>
    <row r="34" ht="11.25" customHeight="1" spans="1:69" x14ac:dyDescent="0.25">
      <c r="A34" s="44">
        <v>42207000</v>
      </c>
      <c r="B34" s="44" t="s">
        <v>265</v>
      </c>
      <c r="C34" s="38">
        <f>IFERROR(VLOOKUP("1_"&amp;A34,SyS!$B:$P,10,FALSE()),0)</f>
        <v>0</v>
      </c>
      <c r="D34" s="39">
        <f>IFERROR(VLOOKUP("1_"&amp;A34,SyS!$B:$P,12,FALSE()),0)</f>
        <v>0</v>
      </c>
      <c r="E34" s="39">
        <f>+C34-D34</f>
        <v>0</v>
      </c>
      <c r="F34" s="38">
        <f>IFERROR(VLOOKUP("2_"&amp;A34,SyS!$B:$P,10,FALSE()),0)</f>
        <v>0</v>
      </c>
      <c r="G34" s="39">
        <f>IFERROR(VLOOKUP("2_"&amp;A34,SyS!$B:$P,12,FALSE()),0)</f>
        <v>0</v>
      </c>
      <c r="H34" s="40">
        <f>+F34-G34</f>
        <v>0</v>
      </c>
      <c r="I34" s="39"/>
      <c r="J34" s="39"/>
      <c r="K34" s="39"/>
      <c r="L34" s="39"/>
      <c r="M34" s="39"/>
      <c r="N34" s="39"/>
      <c r="O34" s="38">
        <f>IFERROR(VLOOKUP("14_"&amp;A34,SyS!$B:$P,10,FALSE()),0)</f>
        <v>0</v>
      </c>
      <c r="P34" s="39">
        <f>IFERROR(VLOOKUP("14_"&amp;A34,SyS!$B:$P,12,FALSE()),0)</f>
        <v>0</v>
      </c>
      <c r="Q34" s="40">
        <f>+O34-P34</f>
        <v>0</v>
      </c>
      <c r="R34" s="38">
        <f>IFERROR(VLOOKUP("15_"&amp;A34,SyS!$B:$P,10,FALSE()),0)</f>
        <v>0</v>
      </c>
      <c r="S34" s="39">
        <f>IFERROR(VLOOKUP("15_"&amp;A34,SyS!$B:$P,12,FALSE()),0)</f>
        <v>0</v>
      </c>
      <c r="T34" s="40">
        <f>+R34-S34</f>
        <v>0</v>
      </c>
      <c r="U34" s="38">
        <f>IFERROR(VLOOKUP("16_"&amp;A34,SyS!$B:$P,10,FALSE()),0)</f>
        <v>0</v>
      </c>
      <c r="V34" s="39">
        <f>IFERROR(VLOOKUP("16_"&amp;A34,SyS!$B:$P,12,FALSE()),0)</f>
        <v>0</v>
      </c>
      <c r="W34" s="40">
        <f>+U34-V34</f>
        <v>0</v>
      </c>
      <c r="X34" s="38">
        <f>IFERROR(VLOOKUP("13_"&amp;A34,SyS!$B:$P,10,FALSE()),0)</f>
        <v>0</v>
      </c>
      <c r="Y34" s="39">
        <f>IFERROR(VLOOKUP("13_"&amp;A34,SyS!$B:$P,12,FALSE()),0)</f>
        <v>0</v>
      </c>
      <c r="Z34" s="40">
        <f>+X34-Y34</f>
        <v>0</v>
      </c>
      <c r="AA34" s="38">
        <f>IFERROR(VLOOKUP("17_"&amp;A34,SyS!$B:$P,10,FALSE()),0)</f>
        <v>0</v>
      </c>
      <c r="AB34" s="39">
        <f>IFERROR(VLOOKUP("17_"&amp;A34,SyS!$B:$P,12,FALSE()),0)</f>
        <v>0</v>
      </c>
      <c r="AC34" s="40">
        <f>+AA34-AB34</f>
        <v>0</v>
      </c>
      <c r="AD34" s="39"/>
      <c r="AE34" s="39"/>
      <c r="AF34" s="39"/>
      <c r="AG34" s="39">
        <f>IFERROR(VLOOKUP("19_"&amp;A34,SyS!$B:$P,10,FALSE()),0)</f>
        <v>0</v>
      </c>
      <c r="AH34" s="39">
        <f>IFERROR(VLOOKUP("19_"&amp;A34,SyS!$B:$P,12,FALSE()),0)</f>
        <v>0</v>
      </c>
      <c r="AI34" s="39">
        <f>+AG34-AH34</f>
        <v>0</v>
      </c>
      <c r="AJ34" s="39"/>
      <c r="AK34" s="39"/>
      <c r="AL34" s="39"/>
      <c r="AM34" s="39">
        <f>IFERROR(VLOOKUP("23_"&amp;A34,SyS!$B:$P,10,FALSE()),0)</f>
        <v>0</v>
      </c>
      <c r="AN34" s="39">
        <f>IFERROR(VLOOKUP("23_"&amp;A34,SyS!$B:$P,12,FALSE()),0)</f>
        <v>0</v>
      </c>
      <c r="AO34" s="40">
        <f>+AM34-AN34</f>
        <v>0</v>
      </c>
      <c r="AP34" s="39"/>
      <c r="AQ34" s="39"/>
      <c r="AR34" s="39"/>
      <c r="AS34" s="39"/>
      <c r="AT34" s="39"/>
      <c r="AU34" s="39"/>
      <c r="AV34" s="39"/>
      <c r="AW34" s="39"/>
      <c r="AX34" s="39"/>
      <c r="AY34" s="39"/>
      <c r="AZ34" s="39"/>
      <c r="BA34" s="39"/>
      <c r="BB34" s="39"/>
      <c r="BC34" s="39"/>
      <c r="BD34" s="39"/>
      <c r="BE34" s="39"/>
      <c r="BF34" s="39"/>
      <c r="BG34" s="39"/>
      <c r="BH34" s="39"/>
      <c r="BI34" s="39"/>
      <c r="BJ34" s="39"/>
      <c r="BK34" s="39">
        <f>IFERROR(VLOOKUP("29_"&amp;A34,SyS!$B:$P,10,FALSE()),0)</f>
        <v>0</v>
      </c>
      <c r="BL34" s="39">
        <f>IFERROR(VLOOKUP("29_"&amp;A34,SyS!$B:$P,12,FALSE()),0)</f>
        <v>0</v>
      </c>
      <c r="BM34" s="39">
        <f>+BK34-BL34</f>
        <v>0</v>
      </c>
      <c r="BN34" s="38">
        <f>IFERROR(VLOOKUP("30_"&amp;A34,SyS!$B:$P,10,FALSE()),0)</f>
        <v>0</v>
      </c>
      <c r="BO34" s="39">
        <f>IFERROR(VLOOKUP("30_"&amp;A34,SyS!$B:$P,12,FALSE()),0)</f>
        <v>0</v>
      </c>
      <c r="BP34" s="40">
        <f>+BN34-BO34</f>
        <v>0</v>
      </c>
      <c r="BQ34" s="45">
        <f>+E34+H34+K34+Q34+T34+W34+Z34+AC34+AF34+AI34+AL34+AO34+AR34+AU34+AX34+BA34+BD34+BG34+BJ34+BM34+BP34</f>
        <v>0</v>
      </c>
    </row>
    <row r="35" ht="11.25" customHeight="1" spans="1:69" x14ac:dyDescent="0.25">
      <c r="A35" s="44">
        <v>42208000</v>
      </c>
      <c r="B35" s="44" t="s">
        <v>266</v>
      </c>
      <c r="C35" s="38">
        <f>IFERROR(VLOOKUP("1_"&amp;A35,SyS!$B:$P,10,FALSE()),0)</f>
        <v>0</v>
      </c>
      <c r="D35" s="39">
        <f>IFERROR(VLOOKUP("1_"&amp;A35,SyS!$B:$P,12,FALSE()),0)</f>
        <v>0</v>
      </c>
      <c r="E35" s="39">
        <f>+C35-D35</f>
        <v>0</v>
      </c>
      <c r="F35" s="38">
        <f>IFERROR(VLOOKUP("2_"&amp;A35,SyS!$B:$P,10,FALSE()),0)</f>
        <v>0</v>
      </c>
      <c r="G35" s="39">
        <f>IFERROR(VLOOKUP("2_"&amp;A35,SyS!$B:$P,12,FALSE()),0)</f>
        <v>0</v>
      </c>
      <c r="H35" s="40">
        <f>+F35-G35</f>
        <v>0</v>
      </c>
      <c r="I35" s="39"/>
      <c r="J35" s="39"/>
      <c r="K35" s="39"/>
      <c r="L35" s="39"/>
      <c r="M35" s="39"/>
      <c r="N35" s="39"/>
      <c r="O35" s="38">
        <f>IFERROR(VLOOKUP("14_"&amp;A35,SyS!$B:$P,10,FALSE()),0)</f>
        <v>0</v>
      </c>
      <c r="P35" s="39">
        <f>IFERROR(VLOOKUP("14_"&amp;A35,SyS!$B:$P,12,FALSE()),0)</f>
        <v>0</v>
      </c>
      <c r="Q35" s="40">
        <f>+O35-P35</f>
        <v>0</v>
      </c>
      <c r="R35" s="38">
        <f>IFERROR(VLOOKUP("15_"&amp;A35,SyS!$B:$P,10,FALSE()),0)</f>
        <v>0</v>
      </c>
      <c r="S35" s="39">
        <f>IFERROR(VLOOKUP("15_"&amp;A35,SyS!$B:$P,12,FALSE()),0)</f>
        <v>0</v>
      </c>
      <c r="T35" s="40">
        <f>+R35-S35</f>
        <v>0</v>
      </c>
      <c r="U35" s="38">
        <f>IFERROR(VLOOKUP("16_"&amp;A35,SyS!$B:$P,10,FALSE()),0)</f>
        <v>0</v>
      </c>
      <c r="V35" s="39">
        <f>IFERROR(VLOOKUP("16_"&amp;A35,SyS!$B:$P,12,FALSE()),0)</f>
        <v>0</v>
      </c>
      <c r="W35" s="40">
        <f>+U35-V35</f>
        <v>0</v>
      </c>
      <c r="X35" s="38">
        <f>IFERROR(VLOOKUP("13_"&amp;A35,SyS!$B:$P,10,FALSE()),0)</f>
        <v>0</v>
      </c>
      <c r="Y35" s="39">
        <f>IFERROR(VLOOKUP("13_"&amp;A35,SyS!$B:$P,12,FALSE()),0)</f>
        <v>0</v>
      </c>
      <c r="Z35" s="40">
        <f>+X35-Y35</f>
        <v>0</v>
      </c>
      <c r="AA35" s="38">
        <f>IFERROR(VLOOKUP("17_"&amp;A35,SyS!$B:$P,10,FALSE()),0)</f>
        <v>0</v>
      </c>
      <c r="AB35" s="39">
        <f>IFERROR(VLOOKUP("17_"&amp;A35,SyS!$B:$P,12,FALSE()),0)</f>
        <v>0</v>
      </c>
      <c r="AC35" s="40">
        <f>+AA35-AB35</f>
        <v>0</v>
      </c>
      <c r="AD35" s="39"/>
      <c r="AE35" s="39"/>
      <c r="AF35" s="39"/>
      <c r="AG35" s="39">
        <f>IFERROR(VLOOKUP("19_"&amp;A35,SyS!$B:$P,10,FALSE()),0)</f>
        <v>0</v>
      </c>
      <c r="AH35" s="39">
        <f>IFERROR(VLOOKUP("19_"&amp;A35,SyS!$B:$P,12,FALSE()),0)</f>
        <v>0</v>
      </c>
      <c r="AI35" s="39">
        <f>+AG35-AH35</f>
        <v>0</v>
      </c>
      <c r="AJ35" s="39"/>
      <c r="AK35" s="39"/>
      <c r="AL35" s="39"/>
      <c r="AM35" s="39">
        <f>IFERROR(VLOOKUP("23_"&amp;A35,SyS!$B:$P,10,FALSE()),0)</f>
        <v>0</v>
      </c>
      <c r="AN35" s="39">
        <f>IFERROR(VLOOKUP("23_"&amp;A35,SyS!$B:$P,12,FALSE()),0)</f>
        <v>0</v>
      </c>
      <c r="AO35" s="40">
        <f>+AM35-AN35</f>
        <v>0</v>
      </c>
      <c r="AP35" s="39"/>
      <c r="AQ35" s="39"/>
      <c r="AR35" s="39"/>
      <c r="AS35" s="39"/>
      <c r="AT35" s="39"/>
      <c r="AU35" s="39"/>
      <c r="AV35" s="39"/>
      <c r="AW35" s="39"/>
      <c r="AX35" s="39"/>
      <c r="AY35" s="39"/>
      <c r="AZ35" s="39"/>
      <c r="BA35" s="39"/>
      <c r="BB35" s="39"/>
      <c r="BC35" s="39"/>
      <c r="BD35" s="39"/>
      <c r="BE35" s="39"/>
      <c r="BF35" s="39"/>
      <c r="BG35" s="39"/>
      <c r="BH35" s="39"/>
      <c r="BI35" s="39"/>
      <c r="BJ35" s="39"/>
      <c r="BK35" s="39">
        <f>IFERROR(VLOOKUP("29_"&amp;A35,SyS!$B:$P,10,FALSE()),0)</f>
        <v>0</v>
      </c>
      <c r="BL35" s="39">
        <f>IFERROR(VLOOKUP("29_"&amp;A35,SyS!$B:$P,12,FALSE()),0)</f>
        <v>0</v>
      </c>
      <c r="BM35" s="39">
        <f>+BK35-BL35</f>
        <v>0</v>
      </c>
      <c r="BN35" s="38">
        <f>IFERROR(VLOOKUP("30_"&amp;A35,SyS!$B:$P,10,FALSE()),0)</f>
        <v>0</v>
      </c>
      <c r="BO35" s="39">
        <f>IFERROR(VLOOKUP("30_"&amp;A35,SyS!$B:$P,12,FALSE()),0)</f>
        <v>0</v>
      </c>
      <c r="BP35" s="40">
        <f>+BN35-BO35</f>
        <v>0</v>
      </c>
      <c r="BQ35" s="45">
        <f>+E35+H35+K35+Q35+T35+W35+Z35+AC35+AF35+AI35+AL35+AO35+AR35+AU35+AX35+BA35+BD35+BG35+BJ35+BM35+BP35</f>
        <v>0</v>
      </c>
    </row>
    <row r="36" ht="11.25" customHeight="1" spans="1:69" x14ac:dyDescent="0.25">
      <c r="A36" s="44">
        <v>42209000</v>
      </c>
      <c r="B36" s="44" t="s">
        <v>267</v>
      </c>
      <c r="C36" s="38">
        <f>IFERROR(VLOOKUP("1_"&amp;A36,SyS!$B:$P,10,FALSE()),0)</f>
        <v>0</v>
      </c>
      <c r="D36" s="39">
        <f>IFERROR(VLOOKUP("1_"&amp;A36,SyS!$B:$P,12,FALSE()),0)</f>
        <v>0</v>
      </c>
      <c r="E36" s="39">
        <f>+C36-D36</f>
        <v>0</v>
      </c>
      <c r="F36" s="38">
        <f>IFERROR(VLOOKUP("2_"&amp;A36,SyS!$B:$P,10,FALSE()),0)</f>
        <v>0</v>
      </c>
      <c r="G36" s="39">
        <f>IFERROR(VLOOKUP("2_"&amp;A36,SyS!$B:$P,12,FALSE()),0)</f>
        <v>0</v>
      </c>
      <c r="H36" s="40">
        <f>+F36-G36</f>
        <v>0</v>
      </c>
      <c r="I36" s="39"/>
      <c r="J36" s="39"/>
      <c r="K36" s="39"/>
      <c r="L36" s="39"/>
      <c r="M36" s="39"/>
      <c r="N36" s="39"/>
      <c r="O36" s="38">
        <f>IFERROR(VLOOKUP("14_"&amp;A36,SyS!$B:$P,10,FALSE()),0)</f>
        <v>0</v>
      </c>
      <c r="P36" s="39">
        <f>IFERROR(VLOOKUP("14_"&amp;A36,SyS!$B:$P,12,FALSE()),0)</f>
        <v>0</v>
      </c>
      <c r="Q36" s="40">
        <f>+O36-P36</f>
        <v>0</v>
      </c>
      <c r="R36" s="38">
        <f>IFERROR(VLOOKUP("15_"&amp;A36,SyS!$B:$P,10,FALSE()),0)</f>
        <v>0</v>
      </c>
      <c r="S36" s="39">
        <f>IFERROR(VLOOKUP("15_"&amp;A36,SyS!$B:$P,12,FALSE()),0)</f>
        <v>0</v>
      </c>
      <c r="T36" s="40">
        <f>+R36-S36</f>
        <v>0</v>
      </c>
      <c r="U36" s="38">
        <f>IFERROR(VLOOKUP("16_"&amp;A36,SyS!$B:$P,10,FALSE()),0)</f>
        <v>0</v>
      </c>
      <c r="V36" s="39">
        <f>IFERROR(VLOOKUP("16_"&amp;A36,SyS!$B:$P,12,FALSE()),0)</f>
        <v>0</v>
      </c>
      <c r="W36" s="40">
        <f>+U36-V36</f>
        <v>0</v>
      </c>
      <c r="X36" s="38">
        <f>IFERROR(VLOOKUP("13_"&amp;A36,SyS!$B:$P,10,FALSE()),0)</f>
        <v>0</v>
      </c>
      <c r="Y36" s="39">
        <f>IFERROR(VLOOKUP("13_"&amp;A36,SyS!$B:$P,12,FALSE()),0)</f>
        <v>0</v>
      </c>
      <c r="Z36" s="40">
        <f>+X36-Y36</f>
        <v>0</v>
      </c>
      <c r="AA36" s="38">
        <f>IFERROR(VLOOKUP("17_"&amp;A36,SyS!$B:$P,10,FALSE()),0)</f>
        <v>0</v>
      </c>
      <c r="AB36" s="39">
        <f>IFERROR(VLOOKUP("17_"&amp;A36,SyS!$B:$P,12,FALSE()),0)</f>
        <v>0</v>
      </c>
      <c r="AC36" s="40">
        <f>+AA36-AB36</f>
        <v>0</v>
      </c>
      <c r="AD36" s="39"/>
      <c r="AE36" s="39"/>
      <c r="AF36" s="39"/>
      <c r="AG36" s="39">
        <f>IFERROR(VLOOKUP("19_"&amp;A36,SyS!$B:$P,10,FALSE()),0)</f>
        <v>0</v>
      </c>
      <c r="AH36" s="39">
        <f>IFERROR(VLOOKUP("19_"&amp;A36,SyS!$B:$P,12,FALSE()),0)</f>
        <v>0</v>
      </c>
      <c r="AI36" s="39">
        <f>+AG36-AH36</f>
        <v>0</v>
      </c>
      <c r="AJ36" s="39"/>
      <c r="AK36" s="39"/>
      <c r="AL36" s="39"/>
      <c r="AM36" s="39">
        <f>IFERROR(VLOOKUP("23_"&amp;A36,SyS!$B:$P,10,FALSE()),0)</f>
        <v>0</v>
      </c>
      <c r="AN36" s="39">
        <f>IFERROR(VLOOKUP("23_"&amp;A36,SyS!$B:$P,12,FALSE()),0)</f>
        <v>0</v>
      </c>
      <c r="AO36" s="40">
        <f>+AM36-AN36</f>
        <v>0</v>
      </c>
      <c r="AP36" s="39"/>
      <c r="AQ36" s="39"/>
      <c r="AR36" s="39"/>
      <c r="AS36" s="39"/>
      <c r="AT36" s="39"/>
      <c r="AU36" s="39"/>
      <c r="AV36" s="39"/>
      <c r="AW36" s="39"/>
      <c r="AX36" s="39"/>
      <c r="AY36" s="39"/>
      <c r="AZ36" s="39"/>
      <c r="BA36" s="39"/>
      <c r="BB36" s="39"/>
      <c r="BC36" s="39"/>
      <c r="BD36" s="39"/>
      <c r="BE36" s="39"/>
      <c r="BF36" s="39"/>
      <c r="BG36" s="39"/>
      <c r="BH36" s="39"/>
      <c r="BI36" s="39"/>
      <c r="BJ36" s="39"/>
      <c r="BK36" s="39">
        <f>IFERROR(VLOOKUP("29_"&amp;A36,SyS!$B:$P,10,FALSE()),0)</f>
        <v>0</v>
      </c>
      <c r="BL36" s="39">
        <f>IFERROR(VLOOKUP("29_"&amp;A36,SyS!$B:$P,12,FALSE()),0)</f>
        <v>0</v>
      </c>
      <c r="BM36" s="39">
        <f>+BK36-BL36</f>
        <v>0</v>
      </c>
      <c r="BN36" s="38">
        <f>IFERROR(VLOOKUP("30_"&amp;A36,SyS!$B:$P,10,FALSE()),0)</f>
        <v>0</v>
      </c>
      <c r="BO36" s="39">
        <f>IFERROR(VLOOKUP("30_"&amp;A36,SyS!$B:$P,12,FALSE()),0)</f>
        <v>0</v>
      </c>
      <c r="BP36" s="40">
        <f>+BN36-BO36</f>
        <v>0</v>
      </c>
      <c r="BQ36" s="45">
        <f>+E36+H36+K36+Q36+T36+W36+Z36+AC36+AF36+AI36+AL36+AO36+AR36+AU36+AX36+BA36+BD36+BG36+BJ36+BM36+BP36</f>
        <v>0</v>
      </c>
    </row>
    <row r="37" ht="11.25" customHeight="1" spans="1:69" x14ac:dyDescent="0.25">
      <c r="A37" s="44">
        <v>42221000</v>
      </c>
      <c r="B37" s="44" t="s">
        <v>268</v>
      </c>
      <c r="C37" s="38">
        <f>IFERROR(VLOOKUP("1_"&amp;A37,SyS!$B:$P,10,FALSE()),0)</f>
        <v>0</v>
      </c>
      <c r="D37" s="39">
        <f>IFERROR(VLOOKUP("1_"&amp;A37,SyS!$B:$P,12,FALSE()),0)</f>
        <v>0</v>
      </c>
      <c r="E37" s="39">
        <f>+C37-D37</f>
        <v>0</v>
      </c>
      <c r="F37" s="38">
        <f>IFERROR(VLOOKUP("2_"&amp;A37,SyS!$B:$P,10,FALSE()),0)</f>
        <v>0</v>
      </c>
      <c r="G37" s="39">
        <f>IFERROR(VLOOKUP("2_"&amp;A37,SyS!$B:$P,12,FALSE()),0)</f>
        <v>0</v>
      </c>
      <c r="H37" s="40">
        <f>+F37-G37</f>
        <v>0</v>
      </c>
      <c r="I37" s="39"/>
      <c r="J37" s="39"/>
      <c r="K37" s="39"/>
      <c r="L37" s="39"/>
      <c r="M37" s="39"/>
      <c r="N37" s="39"/>
      <c r="O37" s="38">
        <f>IFERROR(VLOOKUP("14_"&amp;A37,SyS!$B:$P,10,FALSE()),0)</f>
        <v>0</v>
      </c>
      <c r="P37" s="39">
        <f>IFERROR(VLOOKUP("14_"&amp;A37,SyS!$B:$P,12,FALSE()),0)</f>
        <v>0</v>
      </c>
      <c r="Q37" s="40">
        <f>+O37-P37</f>
        <v>0</v>
      </c>
      <c r="R37" s="38">
        <f>IFERROR(VLOOKUP("15_"&amp;A37,SyS!$B:$P,10,FALSE()),0)</f>
        <v>0</v>
      </c>
      <c r="S37" s="39">
        <f>IFERROR(VLOOKUP("15_"&amp;A37,SyS!$B:$P,12,FALSE()),0)</f>
        <v>0</v>
      </c>
      <c r="T37" s="40">
        <f>+R37-S37</f>
        <v>0</v>
      </c>
      <c r="U37" s="38">
        <f>IFERROR(VLOOKUP("16_"&amp;A37,SyS!$B:$P,10,FALSE()),0)</f>
        <v>0</v>
      </c>
      <c r="V37" s="39">
        <f>IFERROR(VLOOKUP("16_"&amp;A37,SyS!$B:$P,12,FALSE()),0)</f>
        <v>0</v>
      </c>
      <c r="W37" s="40">
        <f>+U37-V37</f>
        <v>0</v>
      </c>
      <c r="X37" s="38">
        <f>IFERROR(VLOOKUP("13_"&amp;A37,SyS!$B:$P,10,FALSE()),0)</f>
        <v>0</v>
      </c>
      <c r="Y37" s="39">
        <f>IFERROR(VLOOKUP("13_"&amp;A37,SyS!$B:$P,12,FALSE()),0)</f>
        <v>0</v>
      </c>
      <c r="Z37" s="40">
        <f>+X37-Y37</f>
        <v>0</v>
      </c>
      <c r="AA37" s="38">
        <f>IFERROR(VLOOKUP("17_"&amp;A37,SyS!$B:$P,10,FALSE()),0)</f>
        <v>0</v>
      </c>
      <c r="AB37" s="39">
        <f>IFERROR(VLOOKUP("17_"&amp;A37,SyS!$B:$P,12,FALSE()),0)</f>
        <v>0</v>
      </c>
      <c r="AC37" s="40">
        <f>+AA37-AB37</f>
        <v>0</v>
      </c>
      <c r="AD37" s="39"/>
      <c r="AE37" s="39"/>
      <c r="AF37" s="39"/>
      <c r="AG37" s="39">
        <f>IFERROR(VLOOKUP("19_"&amp;A37,SyS!$B:$P,10,FALSE()),0)</f>
        <v>0</v>
      </c>
      <c r="AH37" s="39">
        <f>IFERROR(VLOOKUP("19_"&amp;A37,SyS!$B:$P,12,FALSE()),0)</f>
        <v>0</v>
      </c>
      <c r="AI37" s="39">
        <f>+AG37-AH37</f>
        <v>0</v>
      </c>
      <c r="AJ37" s="39"/>
      <c r="AK37" s="39"/>
      <c r="AL37" s="39"/>
      <c r="AM37" s="39">
        <f>IFERROR(VLOOKUP("23_"&amp;A37,SyS!$B:$P,10,FALSE()),0)</f>
        <v>0</v>
      </c>
      <c r="AN37" s="39">
        <f>IFERROR(VLOOKUP("23_"&amp;A37,SyS!$B:$P,12,FALSE()),0)</f>
        <v>0</v>
      </c>
      <c r="AO37" s="40">
        <f>+AM37-AN37</f>
        <v>0</v>
      </c>
      <c r="AP37" s="39"/>
      <c r="AQ37" s="39"/>
      <c r="AR37" s="39"/>
      <c r="AS37" s="39"/>
      <c r="AT37" s="39"/>
      <c r="AU37" s="39"/>
      <c r="AV37" s="39"/>
      <c r="AW37" s="39"/>
      <c r="AX37" s="39"/>
      <c r="AY37" s="39"/>
      <c r="AZ37" s="39"/>
      <c r="BA37" s="39"/>
      <c r="BB37" s="39"/>
      <c r="BC37" s="39"/>
      <c r="BD37" s="39"/>
      <c r="BE37" s="39"/>
      <c r="BF37" s="39"/>
      <c r="BG37" s="39"/>
      <c r="BH37" s="39"/>
      <c r="BI37" s="39"/>
      <c r="BJ37" s="39"/>
      <c r="BK37" s="39">
        <f>IFERROR(VLOOKUP("29_"&amp;A37,SyS!$B:$P,10,FALSE()),0)</f>
        <v>0</v>
      </c>
      <c r="BL37" s="39">
        <f>IFERROR(VLOOKUP("29_"&amp;A37,SyS!$B:$P,12,FALSE()),0)</f>
        <v>0</v>
      </c>
      <c r="BM37" s="39">
        <f>+BK37-BL37</f>
        <v>0</v>
      </c>
      <c r="BN37" s="38">
        <f>IFERROR(VLOOKUP("30_"&amp;A37,SyS!$B:$P,10,FALSE()),0)</f>
        <v>0</v>
      </c>
      <c r="BO37" s="39">
        <f>IFERROR(VLOOKUP("30_"&amp;A37,SyS!$B:$P,12,FALSE()),0)</f>
        <v>0</v>
      </c>
      <c r="BP37" s="40">
        <f>+BN37-BO37</f>
        <v>0</v>
      </c>
      <c r="BQ37" s="45">
        <f>+E37+H37+K37+Q37+T37+W37+Z37+AC37+AF37+AI37+AL37+AO37+AR37+AU37+AX37+BA37+BD37+BG37+BJ37+BM37+BP37</f>
        <v>0</v>
      </c>
    </row>
    <row r="38" ht="11.25" customHeight="1" spans="1:69" x14ac:dyDescent="0.25">
      <c r="A38" s="44">
        <v>42211000</v>
      </c>
      <c r="B38" s="44" t="s">
        <v>269</v>
      </c>
      <c r="C38" s="38">
        <f>IFERROR(VLOOKUP("1_"&amp;A38,SyS!$B:$P,10,FALSE()),0)</f>
        <v>0</v>
      </c>
      <c r="D38" s="39">
        <f>IFERROR(VLOOKUP("1_"&amp;A38,SyS!$B:$P,12,FALSE()),0)</f>
        <v>0</v>
      </c>
      <c r="E38" s="39">
        <f>+C38-D38</f>
        <v>0</v>
      </c>
      <c r="F38" s="38">
        <f>IFERROR(VLOOKUP("2_"&amp;A38,SyS!$B:$P,10,FALSE()),0)</f>
        <v>0</v>
      </c>
      <c r="G38" s="39">
        <f>IFERROR(VLOOKUP("2_"&amp;A38,SyS!$B:$P,12,FALSE()),0)</f>
        <v>0</v>
      </c>
      <c r="H38" s="40">
        <f>+F38-G38</f>
        <v>0</v>
      </c>
      <c r="I38" s="39"/>
      <c r="J38" s="39"/>
      <c r="K38" s="39"/>
      <c r="L38" s="39"/>
      <c r="M38" s="39"/>
      <c r="N38" s="39"/>
      <c r="O38" s="38">
        <f>IFERROR(VLOOKUP("14_"&amp;A38,SyS!$B:$P,10,FALSE()),0)</f>
        <v>0</v>
      </c>
      <c r="P38" s="39">
        <f>IFERROR(VLOOKUP("14_"&amp;A38,SyS!$B:$P,12,FALSE()),0)</f>
        <v>0</v>
      </c>
      <c r="Q38" s="40">
        <f>+O38-P38</f>
        <v>0</v>
      </c>
      <c r="R38" s="38">
        <f>IFERROR(VLOOKUP("15_"&amp;A38,SyS!$B:$P,10,FALSE()),0)</f>
        <v>0</v>
      </c>
      <c r="S38" s="39">
        <f>IFERROR(VLOOKUP("15_"&amp;A38,SyS!$B:$P,12,FALSE()),0)</f>
        <v>0</v>
      </c>
      <c r="T38" s="40">
        <f>+R38-S38</f>
        <v>0</v>
      </c>
      <c r="U38" s="38">
        <f>IFERROR(VLOOKUP("16_"&amp;A38,SyS!$B:$P,10,FALSE()),0)</f>
        <v>0</v>
      </c>
      <c r="V38" s="39">
        <f>IFERROR(VLOOKUP("16_"&amp;A38,SyS!$B:$P,12,FALSE()),0)</f>
        <v>0</v>
      </c>
      <c r="W38" s="40">
        <f>+U38-V38</f>
        <v>0</v>
      </c>
      <c r="X38" s="38">
        <f>IFERROR(VLOOKUP("13_"&amp;A38,SyS!$B:$P,10,FALSE()),0)</f>
        <v>0</v>
      </c>
      <c r="Y38" s="39">
        <f>IFERROR(VLOOKUP("13_"&amp;A38,SyS!$B:$P,12,FALSE()),0)</f>
        <v>0</v>
      </c>
      <c r="Z38" s="40">
        <f>+X38-Y38</f>
        <v>0</v>
      </c>
      <c r="AA38" s="38">
        <f>IFERROR(VLOOKUP("17_"&amp;A38,SyS!$B:$P,10,FALSE()),0)</f>
        <v>0</v>
      </c>
      <c r="AB38" s="39">
        <f>IFERROR(VLOOKUP("17_"&amp;A38,SyS!$B:$P,12,FALSE()),0)</f>
        <v>0</v>
      </c>
      <c r="AC38" s="40">
        <f>+AA38-AB38</f>
        <v>0</v>
      </c>
      <c r="AD38" s="39"/>
      <c r="AE38" s="39"/>
      <c r="AF38" s="39"/>
      <c r="AG38" s="39">
        <f>IFERROR(VLOOKUP("19_"&amp;A38,SyS!$B:$P,10,FALSE()),0)</f>
        <v>0</v>
      </c>
      <c r="AH38" s="39">
        <f>IFERROR(VLOOKUP("19_"&amp;A38,SyS!$B:$P,12,FALSE()),0)</f>
        <v>0</v>
      </c>
      <c r="AI38" s="39">
        <f>+AG38-AH38</f>
        <v>0</v>
      </c>
      <c r="AJ38" s="39"/>
      <c r="AK38" s="39"/>
      <c r="AL38" s="39"/>
      <c r="AM38" s="39">
        <f>IFERROR(VLOOKUP("23_"&amp;A38,SyS!$B:$P,10,FALSE()),0)</f>
        <v>0</v>
      </c>
      <c r="AN38" s="39">
        <f>IFERROR(VLOOKUP("23_"&amp;A38,SyS!$B:$P,12,FALSE()),0)</f>
        <v>0</v>
      </c>
      <c r="AO38" s="40">
        <f>+AM38-AN38</f>
        <v>0</v>
      </c>
      <c r="AP38" s="39"/>
      <c r="AQ38" s="39"/>
      <c r="AR38" s="39"/>
      <c r="AS38" s="39"/>
      <c r="AT38" s="39"/>
      <c r="AU38" s="39"/>
      <c r="AV38" s="39"/>
      <c r="AW38" s="39"/>
      <c r="AX38" s="39"/>
      <c r="AY38" s="39"/>
      <c r="AZ38" s="39"/>
      <c r="BA38" s="39"/>
      <c r="BB38" s="39"/>
      <c r="BC38" s="39"/>
      <c r="BD38" s="39"/>
      <c r="BE38" s="39"/>
      <c r="BF38" s="39"/>
      <c r="BG38" s="39"/>
      <c r="BH38" s="39"/>
      <c r="BI38" s="39"/>
      <c r="BJ38" s="39"/>
      <c r="BK38" s="39">
        <f>IFERROR(VLOOKUP("29_"&amp;A38,SyS!$B:$P,10,FALSE()),0)</f>
        <v>0</v>
      </c>
      <c r="BL38" s="39">
        <f>IFERROR(VLOOKUP("29_"&amp;A38,SyS!$B:$P,12,FALSE()),0)</f>
        <v>0</v>
      </c>
      <c r="BM38" s="39">
        <f>+BK38-BL38</f>
        <v>0</v>
      </c>
      <c r="BN38" s="38">
        <f>IFERROR(VLOOKUP("30_"&amp;A38,SyS!$B:$P,10,FALSE()),0)</f>
        <v>0</v>
      </c>
      <c r="BO38" s="39">
        <f>IFERROR(VLOOKUP("30_"&amp;A38,SyS!$B:$P,12,FALSE()),0)</f>
        <v>0</v>
      </c>
      <c r="BP38" s="40">
        <f>+BN38-BO38</f>
        <v>0</v>
      </c>
      <c r="BQ38" s="45">
        <f>+E38+H38+K38+Q38+T38+W38+Z38+AC38+AF38+AI38+AL38+AO38+AR38+AU38+AX38+BA38+BD38+BG38+BJ38+BM38+BP38</f>
        <v>0</v>
      </c>
    </row>
    <row r="39" ht="11.25" customHeight="1" spans="1:69" x14ac:dyDescent="0.25">
      <c r="A39" s="44">
        <v>42213000</v>
      </c>
      <c r="B39" s="44" t="s">
        <v>270</v>
      </c>
      <c r="C39" s="38">
        <f>IFERROR(VLOOKUP("1_"&amp;A39,SyS!$B:$P,10,FALSE()),0)</f>
        <v>0</v>
      </c>
      <c r="D39" s="39">
        <f>IFERROR(VLOOKUP("1_"&amp;A39,SyS!$B:$P,12,FALSE()),0)</f>
        <v>0</v>
      </c>
      <c r="E39" s="39">
        <f>+C39-D39</f>
        <v>0</v>
      </c>
      <c r="F39" s="38">
        <f>IFERROR(VLOOKUP("2_"&amp;A39,SyS!$B:$P,10,FALSE()),0)</f>
        <v>0</v>
      </c>
      <c r="G39" s="39">
        <f>IFERROR(VLOOKUP("2_"&amp;A39,SyS!$B:$P,12,FALSE()),0)</f>
        <v>0</v>
      </c>
      <c r="H39" s="40">
        <f>+F39-G39</f>
        <v>0</v>
      </c>
      <c r="I39" s="39"/>
      <c r="J39" s="39"/>
      <c r="K39" s="39"/>
      <c r="L39" s="39"/>
      <c r="M39" s="39"/>
      <c r="N39" s="39"/>
      <c r="O39" s="38">
        <f>IFERROR(VLOOKUP("14_"&amp;A39,SyS!$B:$P,10,FALSE()),0)</f>
        <v>0</v>
      </c>
      <c r="P39" s="39">
        <f>IFERROR(VLOOKUP("14_"&amp;A39,SyS!$B:$P,12,FALSE()),0)</f>
        <v>0</v>
      </c>
      <c r="Q39" s="40">
        <f>+O39-P39</f>
        <v>0</v>
      </c>
      <c r="R39" s="38">
        <f>IFERROR(VLOOKUP("15_"&amp;A39,SyS!$B:$P,10,FALSE()),0)</f>
        <v>0</v>
      </c>
      <c r="S39" s="39">
        <f>IFERROR(VLOOKUP("15_"&amp;A39,SyS!$B:$P,12,FALSE()),0)</f>
        <v>0</v>
      </c>
      <c r="T39" s="40">
        <f>+R39-S39</f>
        <v>0</v>
      </c>
      <c r="U39" s="38">
        <f>IFERROR(VLOOKUP("16_"&amp;A39,SyS!$B:$P,10,FALSE()),0)</f>
        <v>0</v>
      </c>
      <c r="V39" s="39">
        <f>IFERROR(VLOOKUP("16_"&amp;A39,SyS!$B:$P,12,FALSE()),0)</f>
        <v>0</v>
      </c>
      <c r="W39" s="40">
        <f>+U39-V39</f>
        <v>0</v>
      </c>
      <c r="X39" s="38">
        <f>IFERROR(VLOOKUP("13_"&amp;A39,SyS!$B:$P,10,FALSE()),0)</f>
        <v>0</v>
      </c>
      <c r="Y39" s="39">
        <f>IFERROR(VLOOKUP("13_"&amp;A39,SyS!$B:$P,12,FALSE()),0)</f>
        <v>0</v>
      </c>
      <c r="Z39" s="40">
        <f>+X39-Y39</f>
        <v>0</v>
      </c>
      <c r="AA39" s="38">
        <f>IFERROR(VLOOKUP("17_"&amp;A39,SyS!$B:$P,10,FALSE()),0)</f>
        <v>0</v>
      </c>
      <c r="AB39" s="39">
        <f>IFERROR(VLOOKUP("17_"&amp;A39,SyS!$B:$P,12,FALSE()),0)</f>
        <v>0</v>
      </c>
      <c r="AC39" s="40">
        <f>+AA39-AB39</f>
        <v>0</v>
      </c>
      <c r="AD39" s="39"/>
      <c r="AE39" s="39"/>
      <c r="AF39" s="39"/>
      <c r="AG39" s="39">
        <f>IFERROR(VLOOKUP("19_"&amp;A39,SyS!$B:$P,10,FALSE()),0)</f>
        <v>0</v>
      </c>
      <c r="AH39" s="39">
        <f>IFERROR(VLOOKUP("19_"&amp;A39,SyS!$B:$P,12,FALSE()),0)</f>
        <v>0</v>
      </c>
      <c r="AI39" s="39">
        <f>+AG39-AH39</f>
        <v>0</v>
      </c>
      <c r="AJ39" s="39"/>
      <c r="AK39" s="39"/>
      <c r="AL39" s="39"/>
      <c r="AM39" s="39">
        <f>IFERROR(VLOOKUP("23_"&amp;A39,SyS!$B:$P,10,FALSE()),0)</f>
        <v>0</v>
      </c>
      <c r="AN39" s="39">
        <f>IFERROR(VLOOKUP("23_"&amp;A39,SyS!$B:$P,12,FALSE()),0)</f>
        <v>0</v>
      </c>
      <c r="AO39" s="40">
        <f>+AM39-AN39</f>
        <v>0</v>
      </c>
      <c r="AP39" s="39"/>
      <c r="AQ39" s="39"/>
      <c r="AR39" s="39"/>
      <c r="AS39" s="39"/>
      <c r="AT39" s="39"/>
      <c r="AU39" s="39"/>
      <c r="AV39" s="39"/>
      <c r="AW39" s="39"/>
      <c r="AX39" s="39"/>
      <c r="AY39" s="39"/>
      <c r="AZ39" s="39"/>
      <c r="BA39" s="39"/>
      <c r="BB39" s="39"/>
      <c r="BC39" s="39"/>
      <c r="BD39" s="39"/>
      <c r="BE39" s="39"/>
      <c r="BF39" s="39"/>
      <c r="BG39" s="39"/>
      <c r="BH39" s="39"/>
      <c r="BI39" s="39"/>
      <c r="BJ39" s="39"/>
      <c r="BK39" s="39">
        <f>IFERROR(VLOOKUP("29_"&amp;A39,SyS!$B:$P,10,FALSE()),0)</f>
        <v>0</v>
      </c>
      <c r="BL39" s="39">
        <f>IFERROR(VLOOKUP("29_"&amp;A39,SyS!$B:$P,12,FALSE()),0)</f>
        <v>0</v>
      </c>
      <c r="BM39" s="39">
        <f>+BK39-BL39</f>
        <v>0</v>
      </c>
      <c r="BN39" s="38">
        <f>IFERROR(VLOOKUP("30_"&amp;A39,SyS!$B:$P,10,FALSE()),0)</f>
        <v>0</v>
      </c>
      <c r="BO39" s="39">
        <f>IFERROR(VLOOKUP("30_"&amp;A39,SyS!$B:$P,12,FALSE()),0)</f>
        <v>0</v>
      </c>
      <c r="BP39" s="40">
        <f>+BN39-BO39</f>
        <v>0</v>
      </c>
      <c r="BQ39" s="45">
        <f>+E39+H39+K39+Q39+T39+W39+Z39+AC39+AF39+AI39+AL39+AO39+AR39+AU39+AX39+BA39+BD39+BG39+BJ39+BM39+BP39</f>
        <v>0</v>
      </c>
    </row>
    <row r="40" ht="11.25" customHeight="1" spans="1:69" x14ac:dyDescent="0.25">
      <c r="A40" s="44">
        <v>42114000</v>
      </c>
      <c r="B40" s="44" t="s">
        <v>271</v>
      </c>
      <c r="C40" s="38">
        <f>IFERROR(VLOOKUP("1_"&amp;A40,SyS!$B:$P,10,FALSE()),0)</f>
        <v>0</v>
      </c>
      <c r="D40" s="39">
        <f>IFERROR(VLOOKUP("1_"&amp;A40,SyS!$B:$P,12,FALSE()),0)</f>
        <v>0</v>
      </c>
      <c r="E40" s="39">
        <f>+C40-D40</f>
        <v>0</v>
      </c>
      <c r="F40" s="38">
        <f>IFERROR(VLOOKUP("2_"&amp;A40,SyS!$B:$P,10,FALSE()),0)</f>
        <v>0</v>
      </c>
      <c r="G40" s="39">
        <f>IFERROR(VLOOKUP("2_"&amp;A40,SyS!$B:$P,12,FALSE()),0)</f>
        <v>0</v>
      </c>
      <c r="H40" s="40">
        <f>+F40-G40</f>
        <v>0</v>
      </c>
      <c r="I40" s="39"/>
      <c r="J40" s="39"/>
      <c r="K40" s="39"/>
      <c r="L40" s="39"/>
      <c r="M40" s="39"/>
      <c r="N40" s="39"/>
      <c r="O40" s="38">
        <f>IFERROR(VLOOKUP("14_"&amp;A40,SyS!$B:$P,10,FALSE()),0)</f>
        <v>0</v>
      </c>
      <c r="P40" s="39">
        <f>IFERROR(VLOOKUP("14_"&amp;A40,SyS!$B:$P,12,FALSE()),0)</f>
        <v>0</v>
      </c>
      <c r="Q40" s="40">
        <f>+O40-P40</f>
        <v>0</v>
      </c>
      <c r="R40" s="38">
        <f>IFERROR(VLOOKUP("15_"&amp;A40,SyS!$B:$P,10,FALSE()),0)</f>
        <v>0</v>
      </c>
      <c r="S40" s="39">
        <f>IFERROR(VLOOKUP("15_"&amp;A40,SyS!$B:$P,12,FALSE()),0)</f>
        <v>0</v>
      </c>
      <c r="T40" s="40">
        <f>+R40-S40</f>
        <v>0</v>
      </c>
      <c r="U40" s="38">
        <f>IFERROR(VLOOKUP("16_"&amp;A40,SyS!$B:$P,10,FALSE()),0)</f>
        <v>0</v>
      </c>
      <c r="V40" s="39">
        <f>IFERROR(VLOOKUP("16_"&amp;A40,SyS!$B:$P,12,FALSE()),0)</f>
        <v>0</v>
      </c>
      <c r="W40" s="40">
        <f>+U40-V40</f>
        <v>0</v>
      </c>
      <c r="X40" s="38">
        <f>IFERROR(VLOOKUP("13_"&amp;A40,SyS!$B:$P,10,FALSE()),0)</f>
        <v>0</v>
      </c>
      <c r="Y40" s="39">
        <f>IFERROR(VLOOKUP("13_"&amp;A40,SyS!$B:$P,12,FALSE()),0)</f>
        <v>0</v>
      </c>
      <c r="Z40" s="40">
        <f>+X40-Y40</f>
        <v>0</v>
      </c>
      <c r="AA40" s="38">
        <f>IFERROR(VLOOKUP("17_"&amp;A40,SyS!$B:$P,10,FALSE()),0)</f>
        <v>0</v>
      </c>
      <c r="AB40" s="39">
        <f>IFERROR(VLOOKUP("17_"&amp;A40,SyS!$B:$P,12,FALSE()),0)</f>
        <v>0</v>
      </c>
      <c r="AC40" s="40">
        <f>+AA40-AB40</f>
        <v>0</v>
      </c>
      <c r="AD40" s="39"/>
      <c r="AE40" s="39"/>
      <c r="AF40" s="39"/>
      <c r="AG40" s="39">
        <f>IFERROR(VLOOKUP("19_"&amp;A40,SyS!$B:$P,10,FALSE()),0)</f>
        <v>0</v>
      </c>
      <c r="AH40" s="39">
        <f>IFERROR(VLOOKUP("19_"&amp;A40,SyS!$B:$P,12,FALSE()),0)</f>
        <v>0</v>
      </c>
      <c r="AI40" s="39">
        <f>+AG40-AH40</f>
        <v>0</v>
      </c>
      <c r="AJ40" s="39"/>
      <c r="AK40" s="39"/>
      <c r="AL40" s="39"/>
      <c r="AM40" s="39">
        <f>IFERROR(VLOOKUP("23_"&amp;A40,SyS!$B:$P,10,FALSE()),0)</f>
        <v>0</v>
      </c>
      <c r="AN40" s="39">
        <f>IFERROR(VLOOKUP("23_"&amp;A40,SyS!$B:$P,12,FALSE()),0)</f>
        <v>0</v>
      </c>
      <c r="AO40" s="40">
        <f>+AM40-AN40</f>
        <v>0</v>
      </c>
      <c r="AP40" s="39"/>
      <c r="AQ40" s="39"/>
      <c r="AR40" s="39"/>
      <c r="AS40" s="39"/>
      <c r="AT40" s="39"/>
      <c r="AU40" s="39"/>
      <c r="AV40" s="39"/>
      <c r="AW40" s="39"/>
      <c r="AX40" s="39"/>
      <c r="AY40" s="39"/>
      <c r="AZ40" s="39"/>
      <c r="BA40" s="39"/>
      <c r="BB40" s="39"/>
      <c r="BC40" s="39"/>
      <c r="BD40" s="39"/>
      <c r="BE40" s="39"/>
      <c r="BF40" s="39"/>
      <c r="BG40" s="39"/>
      <c r="BH40" s="39"/>
      <c r="BI40" s="39"/>
      <c r="BJ40" s="39"/>
      <c r="BK40" s="39">
        <f>IFERROR(VLOOKUP("29_"&amp;A40,SyS!$B:$P,10,FALSE()),0)</f>
        <v>0</v>
      </c>
      <c r="BL40" s="39">
        <f>IFERROR(VLOOKUP("29_"&amp;A40,SyS!$B:$P,12,FALSE()),0)</f>
        <v>0</v>
      </c>
      <c r="BM40" s="39">
        <f>+BK40-BL40</f>
        <v>0</v>
      </c>
      <c r="BN40" s="38">
        <f>IFERROR(VLOOKUP("30_"&amp;A40,SyS!$B:$P,10,FALSE()),0)</f>
        <v>0</v>
      </c>
      <c r="BO40" s="39">
        <f>IFERROR(VLOOKUP("30_"&amp;A40,SyS!$B:$P,12,FALSE()),0)</f>
        <v>0</v>
      </c>
      <c r="BP40" s="40">
        <f>+BN40-BO40</f>
        <v>0</v>
      </c>
      <c r="BQ40" s="45">
        <f>+E40+H40+K40+Q40+T40+W40+Z40+AC40+AF40+AI40+AL40+AO40+AR40+AU40+AX40+BA40+BD40+BG40+BJ40+BM40+BP40</f>
        <v>0</v>
      </c>
    </row>
    <row r="41" ht="11.25" customHeight="1" spans="1:69" x14ac:dyDescent="0.25">
      <c r="A41" s="44">
        <v>42115000</v>
      </c>
      <c r="B41" s="44" t="s">
        <v>272</v>
      </c>
      <c r="C41" s="38">
        <f>IFERROR(VLOOKUP("1_"&amp;A41,SyS!$B:$P,10,FALSE()),0)</f>
        <v>0</v>
      </c>
      <c r="D41" s="39">
        <f>IFERROR(VLOOKUP("1_"&amp;A41,SyS!$B:$P,12,FALSE()),0)</f>
        <v>0</v>
      </c>
      <c r="E41" s="39">
        <f>+C41-D41</f>
        <v>0</v>
      </c>
      <c r="F41" s="38">
        <f>IFERROR(VLOOKUP("2_"&amp;A41,SyS!$B:$P,10,FALSE()),0)</f>
        <v>0</v>
      </c>
      <c r="G41" s="39">
        <f>IFERROR(VLOOKUP("2_"&amp;A41,SyS!$B:$P,12,FALSE()),0)</f>
        <v>0</v>
      </c>
      <c r="H41" s="40">
        <f>+F41-G41</f>
        <v>0</v>
      </c>
      <c r="I41" s="39"/>
      <c r="J41" s="39"/>
      <c r="K41" s="39"/>
      <c r="L41" s="39"/>
      <c r="M41" s="39"/>
      <c r="N41" s="39"/>
      <c r="O41" s="38">
        <f>IFERROR(VLOOKUP("14_"&amp;A41,SyS!$B:$P,10,FALSE()),0)</f>
        <v>0</v>
      </c>
      <c r="P41" s="39">
        <f>IFERROR(VLOOKUP("14_"&amp;A41,SyS!$B:$P,12,FALSE()),0)</f>
        <v>0</v>
      </c>
      <c r="Q41" s="40">
        <f>+O41-P41</f>
        <v>0</v>
      </c>
      <c r="R41" s="38">
        <f>IFERROR(VLOOKUP("15_"&amp;A41,SyS!$B:$P,10,FALSE()),0)</f>
        <v>0</v>
      </c>
      <c r="S41" s="39">
        <f>IFERROR(VLOOKUP("15_"&amp;A41,SyS!$B:$P,12,FALSE()),0)</f>
        <v>0</v>
      </c>
      <c r="T41" s="40">
        <f>+R41-S41</f>
        <v>0</v>
      </c>
      <c r="U41" s="38">
        <f>IFERROR(VLOOKUP("16_"&amp;A41,SyS!$B:$P,10,FALSE()),0)</f>
        <v>0</v>
      </c>
      <c r="V41" s="39">
        <f>IFERROR(VLOOKUP("16_"&amp;A41,SyS!$B:$P,12,FALSE()),0)</f>
        <v>0</v>
      </c>
      <c r="W41" s="40">
        <f>+U41-V41</f>
        <v>0</v>
      </c>
      <c r="X41" s="38">
        <f>IFERROR(VLOOKUP("13_"&amp;A41,SyS!$B:$P,10,FALSE()),0)</f>
        <v>0</v>
      </c>
      <c r="Y41" s="39">
        <f>IFERROR(VLOOKUP("13_"&amp;A41,SyS!$B:$P,12,FALSE()),0)</f>
        <v>0</v>
      </c>
      <c r="Z41" s="40">
        <f>+X41-Y41</f>
        <v>0</v>
      </c>
      <c r="AA41" s="38">
        <f>IFERROR(VLOOKUP("17_"&amp;A41,SyS!$B:$P,10,FALSE()),0)</f>
        <v>0</v>
      </c>
      <c r="AB41" s="39">
        <f>IFERROR(VLOOKUP("17_"&amp;A41,SyS!$B:$P,12,FALSE()),0)</f>
        <v>0</v>
      </c>
      <c r="AC41" s="40">
        <f>+AA41-AB41</f>
        <v>0</v>
      </c>
      <c r="AD41" s="39"/>
      <c r="AE41" s="39"/>
      <c r="AF41" s="39"/>
      <c r="AG41" s="39">
        <f>IFERROR(VLOOKUP("19_"&amp;A41,SyS!$B:$P,10,FALSE()),0)</f>
        <v>0</v>
      </c>
      <c r="AH41" s="39">
        <f>IFERROR(VLOOKUP("19_"&amp;A41,SyS!$B:$P,12,FALSE()),0)</f>
        <v>0</v>
      </c>
      <c r="AI41" s="39">
        <f>+AG41-AH41</f>
        <v>0</v>
      </c>
      <c r="AJ41" s="39"/>
      <c r="AK41" s="39"/>
      <c r="AL41" s="39"/>
      <c r="AM41" s="39">
        <f>IFERROR(VLOOKUP("23_"&amp;A41,SyS!$B:$P,10,FALSE()),0)</f>
        <v>0</v>
      </c>
      <c r="AN41" s="39">
        <f>IFERROR(VLOOKUP("23_"&amp;A41,SyS!$B:$P,12,FALSE()),0)</f>
        <v>0</v>
      </c>
      <c r="AO41" s="40">
        <f>+AM41-AN41</f>
        <v>0</v>
      </c>
      <c r="AP41" s="39"/>
      <c r="AQ41" s="39"/>
      <c r="AR41" s="39"/>
      <c r="AS41" s="39"/>
      <c r="AT41" s="39"/>
      <c r="AU41" s="39"/>
      <c r="AV41" s="39"/>
      <c r="AW41" s="39"/>
      <c r="AX41" s="39"/>
      <c r="AY41" s="39"/>
      <c r="AZ41" s="39"/>
      <c r="BA41" s="39"/>
      <c r="BB41" s="39"/>
      <c r="BC41" s="39"/>
      <c r="BD41" s="39"/>
      <c r="BE41" s="39"/>
      <c r="BF41" s="39"/>
      <c r="BG41" s="39"/>
      <c r="BH41" s="39"/>
      <c r="BI41" s="39"/>
      <c r="BJ41" s="39"/>
      <c r="BK41" s="39">
        <f>IFERROR(VLOOKUP("29_"&amp;A41,SyS!$B:$P,10,FALSE()),0)</f>
        <v>0</v>
      </c>
      <c r="BL41" s="39">
        <f>IFERROR(VLOOKUP("29_"&amp;A41,SyS!$B:$P,12,FALSE()),0)</f>
        <v>0</v>
      </c>
      <c r="BM41" s="39">
        <f>+BK41-BL41</f>
        <v>0</v>
      </c>
      <c r="BN41" s="38">
        <f>IFERROR(VLOOKUP("30_"&amp;A41,SyS!$B:$P,10,FALSE()),0)</f>
        <v>0</v>
      </c>
      <c r="BO41" s="39">
        <f>IFERROR(VLOOKUP("30_"&amp;A41,SyS!$B:$P,12,FALSE()),0)</f>
        <v>0</v>
      </c>
      <c r="BP41" s="40">
        <f>+BN41-BO41</f>
        <v>0</v>
      </c>
      <c r="BQ41" s="45">
        <f>+E41+H41+K41+Q41+T41+W41+Z41+AC41+AF41+AI41+AL41+AO41+AR41+AU41+AX41+BA41+BD41+BG41+BJ41+BM41+BP41</f>
        <v>0</v>
      </c>
    </row>
    <row r="42" ht="11.25" customHeight="1" spans="1:69" x14ac:dyDescent="0.25">
      <c r="A42" s="44">
        <v>42215000</v>
      </c>
      <c r="B42" s="44" t="s">
        <v>273</v>
      </c>
      <c r="C42" s="38">
        <f>IFERROR(VLOOKUP("1_"&amp;A42,SyS!$B:$P,10,FALSE()),0)</f>
        <v>0</v>
      </c>
      <c r="D42" s="39">
        <f>IFERROR(VLOOKUP("1_"&amp;A42,SyS!$B:$P,12,FALSE()),0)</f>
        <v>0</v>
      </c>
      <c r="E42" s="39">
        <f>+C42-D42</f>
        <v>0</v>
      </c>
      <c r="F42" s="38">
        <f>IFERROR(VLOOKUP("2_"&amp;A42,SyS!$B:$P,10,FALSE()),0)</f>
        <v>0</v>
      </c>
      <c r="G42" s="39">
        <f>IFERROR(VLOOKUP("2_"&amp;A42,SyS!$B:$P,12,FALSE()),0)</f>
        <v>0</v>
      </c>
      <c r="H42" s="40">
        <f>+F42-G42</f>
        <v>0</v>
      </c>
      <c r="I42" s="39"/>
      <c r="J42" s="39"/>
      <c r="K42" s="39"/>
      <c r="L42" s="39"/>
      <c r="M42" s="39"/>
      <c r="N42" s="39"/>
      <c r="O42" s="38">
        <f>IFERROR(VLOOKUP("14_"&amp;A42,SyS!$B:$P,10,FALSE()),0)</f>
        <v>0</v>
      </c>
      <c r="P42" s="39">
        <f>IFERROR(VLOOKUP("14_"&amp;A42,SyS!$B:$P,12,FALSE()),0)</f>
        <v>0</v>
      </c>
      <c r="Q42" s="40">
        <f>+O42-P42</f>
        <v>0</v>
      </c>
      <c r="R42" s="38">
        <f>IFERROR(VLOOKUP("15_"&amp;A42,SyS!$B:$P,10,FALSE()),0)</f>
        <v>0</v>
      </c>
      <c r="S42" s="39">
        <f>IFERROR(VLOOKUP("15_"&amp;A42,SyS!$B:$P,12,FALSE()),0)</f>
        <v>0</v>
      </c>
      <c r="T42" s="40">
        <f>+R42-S42</f>
        <v>0</v>
      </c>
      <c r="U42" s="38">
        <f>IFERROR(VLOOKUP("16_"&amp;A42,SyS!$B:$P,10,FALSE()),0)</f>
        <v>0</v>
      </c>
      <c r="V42" s="39">
        <f>IFERROR(VLOOKUP("16_"&amp;A42,SyS!$B:$P,12,FALSE()),0)</f>
        <v>0</v>
      </c>
      <c r="W42" s="40">
        <f>+U42-V42</f>
        <v>0</v>
      </c>
      <c r="X42" s="38">
        <f>IFERROR(VLOOKUP("13_"&amp;A42,SyS!$B:$P,10,FALSE()),0)</f>
        <v>0</v>
      </c>
      <c r="Y42" s="39">
        <f>IFERROR(VLOOKUP("13_"&amp;A42,SyS!$B:$P,12,FALSE()),0)</f>
        <v>0</v>
      </c>
      <c r="Z42" s="40">
        <f>+X42-Y42</f>
        <v>0</v>
      </c>
      <c r="AA42" s="38">
        <f>IFERROR(VLOOKUP("17_"&amp;A42,SyS!$B:$P,10,FALSE()),0)</f>
        <v>0</v>
      </c>
      <c r="AB42" s="39">
        <f>IFERROR(VLOOKUP("17_"&amp;A42,SyS!$B:$P,12,FALSE()),0)</f>
        <v>0</v>
      </c>
      <c r="AC42" s="40">
        <f>+AA42-AB42</f>
        <v>0</v>
      </c>
      <c r="AD42" s="39"/>
      <c r="AE42" s="39"/>
      <c r="AF42" s="39"/>
      <c r="AG42" s="39">
        <f>IFERROR(VLOOKUP("19_"&amp;A42,SyS!$B:$P,10,FALSE()),0)</f>
        <v>0</v>
      </c>
      <c r="AH42" s="39">
        <f>IFERROR(VLOOKUP("19_"&amp;A42,SyS!$B:$P,12,FALSE()),0)</f>
        <v>0</v>
      </c>
      <c r="AI42" s="39">
        <f>+AG42-AH42</f>
        <v>0</v>
      </c>
      <c r="AJ42" s="39"/>
      <c r="AK42" s="39"/>
      <c r="AL42" s="39"/>
      <c r="AM42" s="39">
        <f>IFERROR(VLOOKUP("23_"&amp;A42,SyS!$B:$P,10,FALSE()),0)</f>
        <v>0</v>
      </c>
      <c r="AN42" s="39">
        <f>IFERROR(VLOOKUP("23_"&amp;A42,SyS!$B:$P,12,FALSE()),0)</f>
        <v>0</v>
      </c>
      <c r="AO42" s="40">
        <f>+AM42-AN42</f>
        <v>0</v>
      </c>
      <c r="AP42" s="39"/>
      <c r="AQ42" s="39"/>
      <c r="AR42" s="39"/>
      <c r="AS42" s="39"/>
      <c r="AT42" s="39"/>
      <c r="AU42" s="39"/>
      <c r="AV42" s="39"/>
      <c r="AW42" s="39"/>
      <c r="AX42" s="39"/>
      <c r="AY42" s="39"/>
      <c r="AZ42" s="39"/>
      <c r="BA42" s="39"/>
      <c r="BB42" s="39"/>
      <c r="BC42" s="39"/>
      <c r="BD42" s="39"/>
      <c r="BE42" s="39"/>
      <c r="BF42" s="39"/>
      <c r="BG42" s="39"/>
      <c r="BH42" s="39"/>
      <c r="BI42" s="39"/>
      <c r="BJ42" s="39"/>
      <c r="BK42" s="39">
        <f>IFERROR(VLOOKUP("29_"&amp;A42,SyS!$B:$P,10,FALSE()),0)</f>
        <v>0</v>
      </c>
      <c r="BL42" s="39">
        <f>IFERROR(VLOOKUP("29_"&amp;A42,SyS!$B:$P,12,FALSE()),0)</f>
        <v>0</v>
      </c>
      <c r="BM42" s="39">
        <f>+BK42-BL42</f>
        <v>0</v>
      </c>
      <c r="BN42" s="38">
        <f>IFERROR(VLOOKUP("30_"&amp;A42,SyS!$B:$P,10,FALSE()),0)</f>
        <v>0</v>
      </c>
      <c r="BO42" s="39">
        <f>IFERROR(VLOOKUP("30_"&amp;A42,SyS!$B:$P,12,FALSE()),0)</f>
        <v>0</v>
      </c>
      <c r="BP42" s="40">
        <f>+BN42-BO42</f>
        <v>0</v>
      </c>
      <c r="BQ42" s="45">
        <f>+E42+H42+K42+Q42+T42+W42+Z42+AC42+AF42+AI42+AL42+AO42+AR42+AU42+AX42+BA42+BD42+BG42+BJ42+BM42+BP42</f>
        <v>0</v>
      </c>
    </row>
    <row r="43" ht="11.25" customHeight="1" spans="1:69" x14ac:dyDescent="0.25">
      <c r="A43" s="44">
        <v>42216000</v>
      </c>
      <c r="B43" s="44" t="s">
        <v>274</v>
      </c>
      <c r="C43" s="38">
        <f>IFERROR(VLOOKUP("1_"&amp;A43,SyS!$B:$P,10,FALSE()),0)</f>
        <v>0</v>
      </c>
      <c r="D43" s="39">
        <f>IFERROR(VLOOKUP("1_"&amp;A43,SyS!$B:$P,12,FALSE()),0)</f>
        <v>0</v>
      </c>
      <c r="E43" s="39">
        <f>+C43-D43</f>
        <v>0</v>
      </c>
      <c r="F43" s="38">
        <f>IFERROR(VLOOKUP("2_"&amp;A43,SyS!$B:$P,10,FALSE()),0)</f>
        <v>0</v>
      </c>
      <c r="G43" s="39">
        <f>IFERROR(VLOOKUP("2_"&amp;A43,SyS!$B:$P,12,FALSE()),0)</f>
        <v>0</v>
      </c>
      <c r="H43" s="40">
        <f>+F43-G43</f>
        <v>0</v>
      </c>
      <c r="I43" s="39"/>
      <c r="J43" s="39"/>
      <c r="K43" s="39"/>
      <c r="L43" s="39"/>
      <c r="M43" s="39"/>
      <c r="N43" s="39"/>
      <c r="O43" s="38">
        <f>IFERROR(VLOOKUP("14_"&amp;A43,SyS!$B:$P,10,FALSE()),0)</f>
        <v>0</v>
      </c>
      <c r="P43" s="39">
        <f>IFERROR(VLOOKUP("14_"&amp;A43,SyS!$B:$P,12,FALSE()),0)</f>
        <v>0</v>
      </c>
      <c r="Q43" s="40">
        <f>+O43-P43</f>
        <v>0</v>
      </c>
      <c r="R43" s="38">
        <f>IFERROR(VLOOKUP("15_"&amp;A43,SyS!$B:$P,10,FALSE()),0)</f>
        <v>0</v>
      </c>
      <c r="S43" s="39">
        <f>IFERROR(VLOOKUP("15_"&amp;A43,SyS!$B:$P,12,FALSE()),0)</f>
        <v>0</v>
      </c>
      <c r="T43" s="40">
        <f>+R43-S43</f>
        <v>0</v>
      </c>
      <c r="U43" s="38">
        <f>IFERROR(VLOOKUP("16_"&amp;A43,SyS!$B:$P,10,FALSE()),0)</f>
        <v>0</v>
      </c>
      <c r="V43" s="39">
        <f>IFERROR(VLOOKUP("16_"&amp;A43,SyS!$B:$P,12,FALSE()),0)</f>
        <v>0</v>
      </c>
      <c r="W43" s="40">
        <f>+U43-V43</f>
        <v>0</v>
      </c>
      <c r="X43" s="38">
        <f>IFERROR(VLOOKUP("13_"&amp;A43,SyS!$B:$P,10,FALSE()),0)</f>
        <v>0</v>
      </c>
      <c r="Y43" s="39">
        <f>IFERROR(VLOOKUP("13_"&amp;A43,SyS!$B:$P,12,FALSE()),0)</f>
        <v>0</v>
      </c>
      <c r="Z43" s="40">
        <f>+X43-Y43</f>
        <v>0</v>
      </c>
      <c r="AA43" s="38">
        <f>IFERROR(VLOOKUP("17_"&amp;A43,SyS!$B:$P,10,FALSE()),0)</f>
        <v>0</v>
      </c>
      <c r="AB43" s="39">
        <f>IFERROR(VLOOKUP("17_"&amp;A43,SyS!$B:$P,12,FALSE()),0)</f>
        <v>0</v>
      </c>
      <c r="AC43" s="40">
        <f>+AA43-AB43</f>
        <v>0</v>
      </c>
      <c r="AD43" s="39"/>
      <c r="AE43" s="39"/>
      <c r="AF43" s="39"/>
      <c r="AG43" s="39">
        <f>IFERROR(VLOOKUP("19_"&amp;A43,SyS!$B:$P,10,FALSE()),0)</f>
        <v>0</v>
      </c>
      <c r="AH43" s="39">
        <f>IFERROR(VLOOKUP("19_"&amp;A43,SyS!$B:$P,12,FALSE()),0)</f>
        <v>0</v>
      </c>
      <c r="AI43" s="39">
        <f>+AG43-AH43</f>
        <v>0</v>
      </c>
      <c r="AJ43" s="39"/>
      <c r="AK43" s="39"/>
      <c r="AL43" s="39"/>
      <c r="AM43" s="39">
        <f>IFERROR(VLOOKUP("23_"&amp;A43,SyS!$B:$P,10,FALSE()),0)</f>
        <v>0</v>
      </c>
      <c r="AN43" s="39">
        <f>IFERROR(VLOOKUP("23_"&amp;A43,SyS!$B:$P,12,FALSE()),0)</f>
        <v>0</v>
      </c>
      <c r="AO43" s="40">
        <f>+AM43-AN43</f>
        <v>0</v>
      </c>
      <c r="AP43" s="39"/>
      <c r="AQ43" s="39"/>
      <c r="AR43" s="39"/>
      <c r="AS43" s="39"/>
      <c r="AT43" s="39"/>
      <c r="AU43" s="39"/>
      <c r="AV43" s="39"/>
      <c r="AW43" s="39"/>
      <c r="AX43" s="39"/>
      <c r="AY43" s="39"/>
      <c r="AZ43" s="39"/>
      <c r="BA43" s="39"/>
      <c r="BB43" s="39"/>
      <c r="BC43" s="39"/>
      <c r="BD43" s="39"/>
      <c r="BE43" s="39"/>
      <c r="BF43" s="39"/>
      <c r="BG43" s="39"/>
      <c r="BH43" s="39"/>
      <c r="BI43" s="39"/>
      <c r="BJ43" s="39"/>
      <c r="BK43" s="39">
        <f>IFERROR(VLOOKUP("29_"&amp;A43,SyS!$B:$P,10,FALSE()),0)</f>
        <v>0</v>
      </c>
      <c r="BL43" s="39">
        <f>IFERROR(VLOOKUP("29_"&amp;A43,SyS!$B:$P,12,FALSE()),0)</f>
        <v>0</v>
      </c>
      <c r="BM43" s="39">
        <f>+BK43-BL43</f>
        <v>0</v>
      </c>
      <c r="BN43" s="38">
        <f>IFERROR(VLOOKUP("30_"&amp;A43,SyS!$B:$P,10,FALSE()),0)</f>
        <v>0</v>
      </c>
      <c r="BO43" s="39">
        <f>IFERROR(VLOOKUP("30_"&amp;A43,SyS!$B:$P,12,FALSE()),0)</f>
        <v>0</v>
      </c>
      <c r="BP43" s="40">
        <f>+BN43-BO43</f>
        <v>0</v>
      </c>
      <c r="BQ43" s="45">
        <f>+E43+H43+K43+Q43+T43+W43+Z43+AC43+AF43+AI43+AL43+AO43+AR43+AU43+AX43+BA43+BD43+BG43+BJ43+BM43+BP43</f>
        <v>0</v>
      </c>
    </row>
    <row r="44" ht="11.25" customHeight="1" spans="1:69" x14ac:dyDescent="0.25">
      <c r="A44" s="44">
        <v>42217000</v>
      </c>
      <c r="B44" s="44" t="s">
        <v>275</v>
      </c>
      <c r="C44" s="38">
        <f>IFERROR(VLOOKUP("1_"&amp;A44,SyS!$B:$P,10,FALSE()),0)</f>
        <v>0</v>
      </c>
      <c r="D44" s="39">
        <f>IFERROR(VLOOKUP("1_"&amp;A44,SyS!$B:$P,12,FALSE()),0)</f>
        <v>0</v>
      </c>
      <c r="E44" s="39">
        <f>+C44-D44</f>
        <v>0</v>
      </c>
      <c r="F44" s="38">
        <f>IFERROR(VLOOKUP("2_"&amp;A44,SyS!$B:$P,10,FALSE()),0)</f>
        <v>0</v>
      </c>
      <c r="G44" s="39">
        <f>IFERROR(VLOOKUP("2_"&amp;A44,SyS!$B:$P,12,FALSE()),0)</f>
        <v>0</v>
      </c>
      <c r="H44" s="40">
        <f>+F44-G44</f>
        <v>0</v>
      </c>
      <c r="I44" s="39"/>
      <c r="J44" s="39"/>
      <c r="K44" s="39"/>
      <c r="L44" s="39"/>
      <c r="M44" s="39"/>
      <c r="N44" s="39"/>
      <c r="O44" s="38">
        <f>IFERROR(VLOOKUP("14_"&amp;A44,SyS!$B:$P,10,FALSE()),0)</f>
        <v>0</v>
      </c>
      <c r="P44" s="39">
        <f>IFERROR(VLOOKUP("14_"&amp;A44,SyS!$B:$P,12,FALSE()),0)</f>
        <v>0</v>
      </c>
      <c r="Q44" s="40">
        <f>+O44-P44</f>
        <v>0</v>
      </c>
      <c r="R44" s="38">
        <f>IFERROR(VLOOKUP("15_"&amp;A44,SyS!$B:$P,10,FALSE()),0)</f>
        <v>0</v>
      </c>
      <c r="S44" s="39">
        <f>IFERROR(VLOOKUP("15_"&amp;A44,SyS!$B:$P,12,FALSE()),0)</f>
        <v>0</v>
      </c>
      <c r="T44" s="40">
        <f>+R44-S44</f>
        <v>0</v>
      </c>
      <c r="U44" s="38">
        <f>IFERROR(VLOOKUP("16_"&amp;A44,SyS!$B:$P,10,FALSE()),0)</f>
        <v>0</v>
      </c>
      <c r="V44" s="39">
        <f>IFERROR(VLOOKUP("16_"&amp;A44,SyS!$B:$P,12,FALSE()),0)</f>
        <v>0</v>
      </c>
      <c r="W44" s="40">
        <f>+U44-V44</f>
        <v>0</v>
      </c>
      <c r="X44" s="38">
        <f>IFERROR(VLOOKUP("13_"&amp;A44,SyS!$B:$P,10,FALSE()),0)</f>
        <v>0</v>
      </c>
      <c r="Y44" s="39">
        <f>IFERROR(VLOOKUP("13_"&amp;A44,SyS!$B:$P,12,FALSE()),0)</f>
        <v>0</v>
      </c>
      <c r="Z44" s="40">
        <f>+X44-Y44</f>
        <v>0</v>
      </c>
      <c r="AA44" s="38">
        <f>IFERROR(VLOOKUP("17_"&amp;A44,SyS!$B:$P,10,FALSE()),0)</f>
        <v>0</v>
      </c>
      <c r="AB44" s="39">
        <f>IFERROR(VLOOKUP("17_"&amp;A44,SyS!$B:$P,12,FALSE()),0)</f>
        <v>0</v>
      </c>
      <c r="AC44" s="40">
        <f>+AA44-AB44</f>
        <v>0</v>
      </c>
      <c r="AD44" s="39"/>
      <c r="AE44" s="39"/>
      <c r="AF44" s="39"/>
      <c r="AG44" s="39">
        <f>IFERROR(VLOOKUP("19_"&amp;A44,SyS!$B:$P,10,FALSE()),0)</f>
        <v>0</v>
      </c>
      <c r="AH44" s="39">
        <f>IFERROR(VLOOKUP("19_"&amp;A44,SyS!$B:$P,12,FALSE()),0)</f>
        <v>0</v>
      </c>
      <c r="AI44" s="39">
        <f>+AG44-AH44</f>
        <v>0</v>
      </c>
      <c r="AJ44" s="39"/>
      <c r="AK44" s="39"/>
      <c r="AL44" s="39"/>
      <c r="AM44" s="39">
        <f>IFERROR(VLOOKUP("23_"&amp;A44,SyS!$B:$P,10,FALSE()),0)</f>
        <v>0</v>
      </c>
      <c r="AN44" s="39">
        <f>IFERROR(VLOOKUP("23_"&amp;A44,SyS!$B:$P,12,FALSE()),0)</f>
        <v>0</v>
      </c>
      <c r="AO44" s="40">
        <f>+AM44-AN44</f>
        <v>0</v>
      </c>
      <c r="AP44" s="39"/>
      <c r="AQ44" s="39"/>
      <c r="AR44" s="39"/>
      <c r="AS44" s="39"/>
      <c r="AT44" s="39"/>
      <c r="AU44" s="39"/>
      <c r="AV44" s="39"/>
      <c r="AW44" s="39"/>
      <c r="AX44" s="39"/>
      <c r="AY44" s="39"/>
      <c r="AZ44" s="39"/>
      <c r="BA44" s="39"/>
      <c r="BB44" s="39"/>
      <c r="BC44" s="39"/>
      <c r="BD44" s="39"/>
      <c r="BE44" s="39"/>
      <c r="BF44" s="39"/>
      <c r="BG44" s="39"/>
      <c r="BH44" s="39"/>
      <c r="BI44" s="39"/>
      <c r="BJ44" s="39"/>
      <c r="BK44" s="39">
        <f>IFERROR(VLOOKUP("29_"&amp;A44,SyS!$B:$P,10,FALSE()),0)</f>
        <v>0</v>
      </c>
      <c r="BL44" s="39">
        <f>IFERROR(VLOOKUP("29_"&amp;A44,SyS!$B:$P,12,FALSE()),0)</f>
        <v>0</v>
      </c>
      <c r="BM44" s="39">
        <f>+BK44-BL44</f>
        <v>0</v>
      </c>
      <c r="BN44" s="38">
        <f>IFERROR(VLOOKUP("30_"&amp;A44,SyS!$B:$P,10,FALSE()),0)</f>
        <v>0</v>
      </c>
      <c r="BO44" s="39">
        <f>IFERROR(VLOOKUP("30_"&amp;A44,SyS!$B:$P,12,FALSE()),0)</f>
        <v>0</v>
      </c>
      <c r="BP44" s="40">
        <f>+BN44-BO44</f>
        <v>0</v>
      </c>
      <c r="BQ44" s="45">
        <f>+E44+H44+K44+Q44+T44+W44+Z44+AC44+AF44+AI44+AL44+AO44+AR44+AU44+AX44+BA44+BD44+BG44+BJ44+BM44+BP44</f>
        <v>0</v>
      </c>
    </row>
    <row r="45" ht="11.25" customHeight="1" spans="1:69" x14ac:dyDescent="0.25">
      <c r="A45" s="44">
        <v>42219000</v>
      </c>
      <c r="B45" s="44" t="s">
        <v>276</v>
      </c>
      <c r="C45" s="38">
        <f>IFERROR(VLOOKUP("1_"&amp;A45,SyS!$B:$P,10,FALSE()),0)</f>
        <v>0</v>
      </c>
      <c r="D45" s="39">
        <f>IFERROR(VLOOKUP("1_"&amp;A45,SyS!$B:$P,12,FALSE()),0)</f>
        <v>0</v>
      </c>
      <c r="E45" s="39">
        <f>+C45-D45</f>
        <v>0</v>
      </c>
      <c r="F45" s="38">
        <f>IFERROR(VLOOKUP("2_"&amp;A45,SyS!$B:$P,10,FALSE()),0)</f>
        <v>0</v>
      </c>
      <c r="G45" s="39">
        <f>IFERROR(VLOOKUP("2_"&amp;A45,SyS!$B:$P,12,FALSE()),0)</f>
        <v>0</v>
      </c>
      <c r="H45" s="40">
        <f>+F45-G45</f>
        <v>0</v>
      </c>
      <c r="I45" s="39"/>
      <c r="J45" s="39"/>
      <c r="K45" s="39"/>
      <c r="L45" s="39"/>
      <c r="M45" s="39"/>
      <c r="N45" s="39"/>
      <c r="O45" s="38">
        <f>IFERROR(VLOOKUP("14_"&amp;A45,SyS!$B:$P,10,FALSE()),0)</f>
        <v>0</v>
      </c>
      <c r="P45" s="39">
        <f>IFERROR(VLOOKUP("14_"&amp;A45,SyS!$B:$P,12,FALSE()),0)</f>
        <v>0</v>
      </c>
      <c r="Q45" s="40">
        <f>+O45-P45</f>
        <v>0</v>
      </c>
      <c r="R45" s="38">
        <f>IFERROR(VLOOKUP("15_"&amp;A45,SyS!$B:$P,10,FALSE()),0)</f>
        <v>0</v>
      </c>
      <c r="S45" s="39">
        <f>IFERROR(VLOOKUP("15_"&amp;A45,SyS!$B:$P,12,FALSE()),0)</f>
        <v>0</v>
      </c>
      <c r="T45" s="40">
        <f>+R45-S45</f>
        <v>0</v>
      </c>
      <c r="U45" s="38">
        <f>IFERROR(VLOOKUP("16_"&amp;A45,SyS!$B:$P,10,FALSE()),0)</f>
        <v>0</v>
      </c>
      <c r="V45" s="39">
        <f>IFERROR(VLOOKUP("16_"&amp;A45,SyS!$B:$P,12,FALSE()),0)</f>
        <v>0</v>
      </c>
      <c r="W45" s="40">
        <f>+U45-V45</f>
        <v>0</v>
      </c>
      <c r="X45" s="38">
        <f>IFERROR(VLOOKUP("13_"&amp;A45,SyS!$B:$P,10,FALSE()),0)</f>
        <v>0</v>
      </c>
      <c r="Y45" s="39">
        <f>IFERROR(VLOOKUP("13_"&amp;A45,SyS!$B:$P,12,FALSE()),0)</f>
        <v>0</v>
      </c>
      <c r="Z45" s="40">
        <f>+X45-Y45</f>
        <v>0</v>
      </c>
      <c r="AA45" s="38">
        <f>IFERROR(VLOOKUP("17_"&amp;A45,SyS!$B:$P,10,FALSE()),0)</f>
        <v>0</v>
      </c>
      <c r="AB45" s="39">
        <f>IFERROR(VLOOKUP("17_"&amp;A45,SyS!$B:$P,12,FALSE()),0)</f>
        <v>0</v>
      </c>
      <c r="AC45" s="40">
        <f>+AA45-AB45</f>
        <v>0</v>
      </c>
      <c r="AD45" s="39"/>
      <c r="AE45" s="39"/>
      <c r="AF45" s="39"/>
      <c r="AG45" s="39">
        <f>IFERROR(VLOOKUP("19_"&amp;A45,SyS!$B:$P,10,FALSE()),0)</f>
        <v>0</v>
      </c>
      <c r="AH45" s="39">
        <f>IFERROR(VLOOKUP("19_"&amp;A45,SyS!$B:$P,12,FALSE()),0)</f>
        <v>0</v>
      </c>
      <c r="AI45" s="39">
        <f>+AG45-AH45</f>
        <v>0</v>
      </c>
      <c r="AJ45" s="39"/>
      <c r="AK45" s="39"/>
      <c r="AL45" s="39"/>
      <c r="AM45" s="39">
        <f>IFERROR(VLOOKUP("23_"&amp;A45,SyS!$B:$P,10,FALSE()),0)</f>
        <v>0</v>
      </c>
      <c r="AN45" s="39">
        <f>IFERROR(VLOOKUP("23_"&amp;A45,SyS!$B:$P,12,FALSE()),0)</f>
        <v>0</v>
      </c>
      <c r="AO45" s="40">
        <f>+AM45-AN45</f>
        <v>0</v>
      </c>
      <c r="AP45" s="39"/>
      <c r="AQ45" s="39"/>
      <c r="AR45" s="39"/>
      <c r="AS45" s="39"/>
      <c r="AT45" s="39"/>
      <c r="AU45" s="39"/>
      <c r="AV45" s="39"/>
      <c r="AW45" s="39"/>
      <c r="AX45" s="39"/>
      <c r="AY45" s="39"/>
      <c r="AZ45" s="39"/>
      <c r="BA45" s="39"/>
      <c r="BB45" s="39"/>
      <c r="BC45" s="39"/>
      <c r="BD45" s="39"/>
      <c r="BE45" s="39"/>
      <c r="BF45" s="39"/>
      <c r="BG45" s="39"/>
      <c r="BH45" s="39"/>
      <c r="BI45" s="39"/>
      <c r="BJ45" s="39"/>
      <c r="BK45" s="39">
        <f>IFERROR(VLOOKUP("29_"&amp;A45,SyS!$B:$P,10,FALSE()),0)</f>
        <v>0</v>
      </c>
      <c r="BL45" s="39">
        <f>IFERROR(VLOOKUP("29_"&amp;A45,SyS!$B:$P,12,FALSE()),0)</f>
        <v>0</v>
      </c>
      <c r="BM45" s="39">
        <f>+BK45-BL45</f>
        <v>0</v>
      </c>
      <c r="BN45" s="38">
        <f>IFERROR(VLOOKUP("30_"&amp;A45,SyS!$B:$P,10,FALSE()),0)</f>
        <v>0</v>
      </c>
      <c r="BO45" s="39">
        <f>IFERROR(VLOOKUP("30_"&amp;A45,SyS!$B:$P,12,FALSE()),0)</f>
        <v>0</v>
      </c>
      <c r="BP45" s="40">
        <f>+BN45-BO45</f>
        <v>0</v>
      </c>
      <c r="BQ45" s="45">
        <f>+E45+H45+K45+Q45+T45+W45+Z45+AC45+AF45+AI45+AL45+AO45+AR45+AU45+AX45+BA45+BD45+BG45+BJ45+BM45+BP45</f>
        <v>0</v>
      </c>
    </row>
    <row r="46" ht="11.25" customHeight="1" spans="1:69" x14ac:dyDescent="0.25">
      <c r="A46" s="44">
        <v>42220000</v>
      </c>
      <c r="B46" s="44" t="s">
        <v>277</v>
      </c>
      <c r="C46" s="38">
        <f>IFERROR(VLOOKUP("1_"&amp;A46,SyS!$B:$P,10,FALSE()),0)</f>
        <v>0</v>
      </c>
      <c r="D46" s="39">
        <f>IFERROR(VLOOKUP("1_"&amp;A46,SyS!$B:$P,12,FALSE()),0)</f>
        <v>0</v>
      </c>
      <c r="E46" s="39">
        <f>+C46-D46</f>
        <v>0</v>
      </c>
      <c r="F46" s="38">
        <f>IFERROR(VLOOKUP("2_"&amp;A46,SyS!$B:$P,10,FALSE()),0)</f>
        <v>0</v>
      </c>
      <c r="G46" s="39">
        <f>IFERROR(VLOOKUP("2_"&amp;A46,SyS!$B:$P,12,FALSE()),0)</f>
        <v>0</v>
      </c>
      <c r="H46" s="40">
        <f>+F46-G46</f>
        <v>0</v>
      </c>
      <c r="I46" s="39"/>
      <c r="J46" s="39"/>
      <c r="K46" s="39"/>
      <c r="L46" s="39"/>
      <c r="M46" s="39"/>
      <c r="N46" s="39"/>
      <c r="O46" s="38">
        <f>IFERROR(VLOOKUP("14_"&amp;A46,SyS!$B:$P,10,FALSE()),0)</f>
        <v>0</v>
      </c>
      <c r="P46" s="39">
        <f>IFERROR(VLOOKUP("14_"&amp;A46,SyS!$B:$P,12,FALSE()),0)</f>
        <v>0</v>
      </c>
      <c r="Q46" s="40">
        <f>+O46-P46</f>
        <v>0</v>
      </c>
      <c r="R46" s="38">
        <f>IFERROR(VLOOKUP("15_"&amp;A46,SyS!$B:$P,10,FALSE()),0)</f>
        <v>0</v>
      </c>
      <c r="S46" s="39">
        <f>IFERROR(VLOOKUP("15_"&amp;A46,SyS!$B:$P,12,FALSE()),0)</f>
        <v>0</v>
      </c>
      <c r="T46" s="40">
        <f>+R46-S46</f>
        <v>0</v>
      </c>
      <c r="U46" s="38">
        <f>IFERROR(VLOOKUP("16_"&amp;A46,SyS!$B:$P,10,FALSE()),0)</f>
        <v>0</v>
      </c>
      <c r="V46" s="39">
        <f>IFERROR(VLOOKUP("16_"&amp;A46,SyS!$B:$P,12,FALSE()),0)</f>
        <v>0</v>
      </c>
      <c r="W46" s="40">
        <f>+U46-V46</f>
        <v>0</v>
      </c>
      <c r="X46" s="38">
        <f>IFERROR(VLOOKUP("13_"&amp;A46,SyS!$B:$P,10,FALSE()),0)</f>
        <v>0</v>
      </c>
      <c r="Y46" s="39">
        <f>IFERROR(VLOOKUP("13_"&amp;A46,SyS!$B:$P,12,FALSE()),0)</f>
        <v>0</v>
      </c>
      <c r="Z46" s="40">
        <f>+X46-Y46</f>
        <v>0</v>
      </c>
      <c r="AA46" s="38">
        <f>IFERROR(VLOOKUP("17_"&amp;A46,SyS!$B:$P,10,FALSE()),0)</f>
        <v>0</v>
      </c>
      <c r="AB46" s="39">
        <f>IFERROR(VLOOKUP("17_"&amp;A46,SyS!$B:$P,12,FALSE()),0)</f>
        <v>0</v>
      </c>
      <c r="AC46" s="40">
        <f>+AA46-AB46</f>
        <v>0</v>
      </c>
      <c r="AD46" s="39"/>
      <c r="AE46" s="39"/>
      <c r="AF46" s="39"/>
      <c r="AG46" s="39">
        <f>IFERROR(VLOOKUP("19_"&amp;A46,SyS!$B:$P,10,FALSE()),0)</f>
        <v>0</v>
      </c>
      <c r="AH46" s="39">
        <f>IFERROR(VLOOKUP("19_"&amp;A46,SyS!$B:$P,12,FALSE()),0)</f>
        <v>0</v>
      </c>
      <c r="AI46" s="39">
        <f>+AG46-AH46</f>
        <v>0</v>
      </c>
      <c r="AJ46" s="39"/>
      <c r="AK46" s="39"/>
      <c r="AL46" s="39"/>
      <c r="AM46" s="39">
        <f>IFERROR(VLOOKUP("23_"&amp;A46,SyS!$B:$P,10,FALSE()),0)</f>
        <v>0</v>
      </c>
      <c r="AN46" s="39">
        <f>IFERROR(VLOOKUP("23_"&amp;A46,SyS!$B:$P,12,FALSE()),0)</f>
        <v>0</v>
      </c>
      <c r="AO46" s="40">
        <f>+AM46-AN46</f>
        <v>0</v>
      </c>
      <c r="AP46" s="39"/>
      <c r="AQ46" s="39"/>
      <c r="AR46" s="39"/>
      <c r="AS46" s="39"/>
      <c r="AT46" s="39"/>
      <c r="AU46" s="39"/>
      <c r="AV46" s="39"/>
      <c r="AW46" s="39"/>
      <c r="AX46" s="39"/>
      <c r="AY46" s="39"/>
      <c r="AZ46" s="39"/>
      <c r="BA46" s="39"/>
      <c r="BB46" s="39"/>
      <c r="BC46" s="39"/>
      <c r="BD46" s="39"/>
      <c r="BE46" s="39"/>
      <c r="BF46" s="39"/>
      <c r="BG46" s="39"/>
      <c r="BH46" s="39"/>
      <c r="BI46" s="39"/>
      <c r="BJ46" s="39"/>
      <c r="BK46" s="39">
        <f>IFERROR(VLOOKUP("29_"&amp;A46,SyS!$B:$P,10,FALSE()),0)</f>
        <v>0</v>
      </c>
      <c r="BL46" s="39">
        <f>IFERROR(VLOOKUP("29_"&amp;A46,SyS!$B:$P,12,FALSE()),0)</f>
        <v>0</v>
      </c>
      <c r="BM46" s="39">
        <f>+BK46-BL46</f>
        <v>0</v>
      </c>
      <c r="BN46" s="38">
        <f>IFERROR(VLOOKUP("30_"&amp;A46,SyS!$B:$P,10,FALSE()),0)</f>
        <v>0</v>
      </c>
      <c r="BO46" s="39">
        <f>IFERROR(VLOOKUP("30_"&amp;A46,SyS!$B:$P,12,FALSE()),0)</f>
        <v>0</v>
      </c>
      <c r="BP46" s="40">
        <f>+BN46-BO46</f>
        <v>0</v>
      </c>
      <c r="BQ46" s="45">
        <f>+E46+H46+K46+Q46+T46+W46+Z46+AC46+AF46+AI46+AL46+AO46+AR46+AU46+AX46+BA46+BD46+BG46+BJ46+BM46+BP46</f>
        <v>0</v>
      </c>
    </row>
    <row r="47" ht="11.25" customHeight="1" spans="1:69" x14ac:dyDescent="0.25">
      <c r="A47" s="44">
        <v>42230000</v>
      </c>
      <c r="B47" s="44" t="s">
        <v>278</v>
      </c>
      <c r="C47" s="38">
        <f>IFERROR(VLOOKUP("1_"&amp;A47,SyS!$B:$P,10,FALSE()),0)</f>
        <v>0</v>
      </c>
      <c r="D47" s="39">
        <f>IFERROR(VLOOKUP("1_"&amp;A47,SyS!$B:$P,12,FALSE()),0)</f>
        <v>0</v>
      </c>
      <c r="E47" s="39">
        <f>+C47-D47</f>
        <v>0</v>
      </c>
      <c r="F47" s="38">
        <f>IFERROR(VLOOKUP("2_"&amp;A47,SyS!$B:$P,10,FALSE()),0)</f>
        <v>0</v>
      </c>
      <c r="G47" s="39">
        <f>IFERROR(VLOOKUP("2_"&amp;A47,SyS!$B:$P,12,FALSE()),0)</f>
        <v>0</v>
      </c>
      <c r="H47" s="40">
        <f>+F47-G47</f>
        <v>0</v>
      </c>
      <c r="I47" s="39"/>
      <c r="J47" s="39"/>
      <c r="K47" s="39"/>
      <c r="L47" s="39"/>
      <c r="M47" s="39"/>
      <c r="N47" s="39"/>
      <c r="O47" s="38">
        <f>IFERROR(VLOOKUP("14_"&amp;A47,SyS!$B:$P,10,FALSE()),0)</f>
        <v>0</v>
      </c>
      <c r="P47" s="39">
        <f>IFERROR(VLOOKUP("14_"&amp;A47,SyS!$B:$P,12,FALSE()),0)</f>
        <v>0</v>
      </c>
      <c r="Q47" s="40">
        <f>+O47-P47</f>
        <v>0</v>
      </c>
      <c r="R47" s="38">
        <f>IFERROR(VLOOKUP("15_"&amp;A47,SyS!$B:$P,10,FALSE()),0)</f>
        <v>0</v>
      </c>
      <c r="S47" s="39">
        <f>IFERROR(VLOOKUP("15_"&amp;A47,SyS!$B:$P,12,FALSE()),0)</f>
        <v>0</v>
      </c>
      <c r="T47" s="40">
        <f>+R47-S47</f>
        <v>0</v>
      </c>
      <c r="U47" s="38">
        <f>IFERROR(VLOOKUP("16_"&amp;A47,SyS!$B:$P,10,FALSE()),0)</f>
        <v>0</v>
      </c>
      <c r="V47" s="39">
        <f>IFERROR(VLOOKUP("16_"&amp;A47,SyS!$B:$P,12,FALSE()),0)</f>
        <v>0</v>
      </c>
      <c r="W47" s="40">
        <f>+U47-V47</f>
        <v>0</v>
      </c>
      <c r="X47" s="38">
        <f>IFERROR(VLOOKUP("13_"&amp;A47,SyS!$B:$P,10,FALSE()),0)</f>
        <v>0</v>
      </c>
      <c r="Y47" s="39">
        <f>IFERROR(VLOOKUP("13_"&amp;A47,SyS!$B:$P,12,FALSE()),0)</f>
        <v>0</v>
      </c>
      <c r="Z47" s="40">
        <f>+X47-Y47</f>
        <v>0</v>
      </c>
      <c r="AA47" s="38">
        <f>IFERROR(VLOOKUP("17_"&amp;A47,SyS!$B:$P,10,FALSE()),0)</f>
        <v>0</v>
      </c>
      <c r="AB47" s="39">
        <f>IFERROR(VLOOKUP("17_"&amp;A47,SyS!$B:$P,12,FALSE()),0)</f>
        <v>0</v>
      </c>
      <c r="AC47" s="40">
        <f>+AA47-AB47</f>
        <v>0</v>
      </c>
      <c r="AD47" s="39"/>
      <c r="AE47" s="39"/>
      <c r="AF47" s="39"/>
      <c r="AG47" s="39">
        <f>IFERROR(VLOOKUP("19_"&amp;A47,SyS!$B:$P,10,FALSE()),0)</f>
        <v>0</v>
      </c>
      <c r="AH47" s="39">
        <f>IFERROR(VLOOKUP("19_"&amp;A47,SyS!$B:$P,12,FALSE()),0)</f>
        <v>0</v>
      </c>
      <c r="AI47" s="39">
        <f>+AG47-AH47</f>
        <v>0</v>
      </c>
      <c r="AJ47" s="39"/>
      <c r="AK47" s="39"/>
      <c r="AL47" s="39"/>
      <c r="AM47" s="39">
        <f>IFERROR(VLOOKUP("23_"&amp;A47,SyS!$B:$P,10,FALSE()),0)</f>
        <v>0</v>
      </c>
      <c r="AN47" s="39">
        <f>IFERROR(VLOOKUP("23_"&amp;A47,SyS!$B:$P,12,FALSE()),0)</f>
        <v>0</v>
      </c>
      <c r="AO47" s="40">
        <f>+AM47-AN47</f>
        <v>0</v>
      </c>
      <c r="AP47" s="39"/>
      <c r="AQ47" s="39"/>
      <c r="AR47" s="39"/>
      <c r="AS47" s="39"/>
      <c r="AT47" s="39"/>
      <c r="AU47" s="39"/>
      <c r="AV47" s="39"/>
      <c r="AW47" s="39"/>
      <c r="AX47" s="39"/>
      <c r="AY47" s="39"/>
      <c r="AZ47" s="39"/>
      <c r="BA47" s="39"/>
      <c r="BB47" s="39"/>
      <c r="BC47" s="39"/>
      <c r="BD47" s="39"/>
      <c r="BE47" s="39"/>
      <c r="BF47" s="39"/>
      <c r="BG47" s="39"/>
      <c r="BH47" s="39"/>
      <c r="BI47" s="39"/>
      <c r="BJ47" s="39"/>
      <c r="BK47" s="39">
        <f>IFERROR(VLOOKUP("29_"&amp;A47,SyS!$B:$P,10,FALSE()),0)</f>
        <v>0</v>
      </c>
      <c r="BL47" s="39">
        <f>IFERROR(VLOOKUP("29_"&amp;A47,SyS!$B:$P,12,FALSE()),0)</f>
        <v>0</v>
      </c>
      <c r="BM47" s="39">
        <f>+BK47-BL47</f>
        <v>0</v>
      </c>
      <c r="BN47" s="38">
        <f>IFERROR(VLOOKUP("30_"&amp;A47,SyS!$B:$P,10,FALSE()),0)</f>
        <v>0</v>
      </c>
      <c r="BO47" s="39">
        <f>IFERROR(VLOOKUP("30_"&amp;A47,SyS!$B:$P,12,FALSE()),0)</f>
        <v>0</v>
      </c>
      <c r="BP47" s="40">
        <f>+BN47-BO47</f>
        <v>0</v>
      </c>
      <c r="BQ47" s="45">
        <f>+E47+H47+K47+Q47+T47+W47+Z47+AC47+AF47+AI47+AL47+AO47+AR47+AU47+AX47+BA47+BD47+BG47+BJ47+BM47+BP47</f>
        <v>0</v>
      </c>
    </row>
    <row r="48" ht="11.25" customHeight="1" spans="1:69" x14ac:dyDescent="0.25">
      <c r="A48" s="44">
        <v>42218000</v>
      </c>
      <c r="B48" s="44" t="s">
        <v>279</v>
      </c>
      <c r="C48" s="38">
        <f>IFERROR(VLOOKUP("1_"&amp;A48,SyS!$B:$P,10,FALSE()),0)</f>
        <v>0</v>
      </c>
      <c r="D48" s="39">
        <f>IFERROR(VLOOKUP("1_"&amp;A48,SyS!$B:$P,12,FALSE()),0)</f>
        <v>0</v>
      </c>
      <c r="E48" s="39">
        <f>+C48-D48</f>
        <v>0</v>
      </c>
      <c r="F48" s="38">
        <f>IFERROR(VLOOKUP("2_"&amp;A48,SyS!$B:$P,10,FALSE()),0)</f>
        <v>0</v>
      </c>
      <c r="G48" s="39">
        <f>IFERROR(VLOOKUP("2_"&amp;A48,SyS!$B:$P,12,FALSE()),0)</f>
        <v>0</v>
      </c>
      <c r="H48" s="40">
        <f>+F48-G48</f>
        <v>0</v>
      </c>
      <c r="I48" s="39"/>
      <c r="J48" s="39"/>
      <c r="K48" s="39"/>
      <c r="L48" s="39"/>
      <c r="M48" s="39"/>
      <c r="N48" s="39"/>
      <c r="O48" s="38">
        <f>IFERROR(VLOOKUP("14_"&amp;A48,SyS!$B:$P,10,FALSE()),0)</f>
        <v>0</v>
      </c>
      <c r="P48" s="39">
        <f>IFERROR(VLOOKUP("14_"&amp;A48,SyS!$B:$P,12,FALSE()),0)</f>
        <v>0</v>
      </c>
      <c r="Q48" s="40">
        <f>+O48-P48</f>
        <v>0</v>
      </c>
      <c r="R48" s="38">
        <f>IFERROR(VLOOKUP("15_"&amp;A48,SyS!$B:$P,10,FALSE()),0)</f>
        <v>0</v>
      </c>
      <c r="S48" s="39">
        <f>IFERROR(VLOOKUP("15_"&amp;A48,SyS!$B:$P,12,FALSE()),0)</f>
        <v>0</v>
      </c>
      <c r="T48" s="40">
        <f>+R48-S48</f>
        <v>0</v>
      </c>
      <c r="U48" s="38">
        <f>IFERROR(VLOOKUP("16_"&amp;A48,SyS!$B:$P,10,FALSE()),0)</f>
        <v>0</v>
      </c>
      <c r="V48" s="39">
        <f>IFERROR(VLOOKUP("16_"&amp;A48,SyS!$B:$P,12,FALSE()),0)</f>
        <v>0</v>
      </c>
      <c r="W48" s="40">
        <f>+U48-V48</f>
        <v>0</v>
      </c>
      <c r="X48" s="38">
        <f>IFERROR(VLOOKUP("13_"&amp;A48,SyS!$B:$P,10,FALSE()),0)</f>
        <v>0</v>
      </c>
      <c r="Y48" s="39">
        <f>IFERROR(VLOOKUP("13_"&amp;A48,SyS!$B:$P,12,FALSE()),0)</f>
        <v>0</v>
      </c>
      <c r="Z48" s="40">
        <f>+X48-Y48</f>
        <v>0</v>
      </c>
      <c r="AA48" s="38">
        <f>IFERROR(VLOOKUP("17_"&amp;A48,SyS!$B:$P,10,FALSE()),0)</f>
        <v>0</v>
      </c>
      <c r="AB48" s="39">
        <f>IFERROR(VLOOKUP("17_"&amp;A48,SyS!$B:$P,12,FALSE()),0)</f>
        <v>0</v>
      </c>
      <c r="AC48" s="40">
        <f>+AA48-AB48</f>
        <v>0</v>
      </c>
      <c r="AD48" s="39"/>
      <c r="AE48" s="39"/>
      <c r="AF48" s="39"/>
      <c r="AG48" s="39">
        <f>IFERROR(VLOOKUP("19_"&amp;A48,SyS!$B:$P,10,FALSE()),0)</f>
        <v>0</v>
      </c>
      <c r="AH48" s="39">
        <f>IFERROR(VLOOKUP("19_"&amp;A48,SyS!$B:$P,12,FALSE()),0)</f>
        <v>0</v>
      </c>
      <c r="AI48" s="39">
        <f>+AG48-AH48</f>
        <v>0</v>
      </c>
      <c r="AJ48" s="39"/>
      <c r="AK48" s="39"/>
      <c r="AL48" s="39"/>
      <c r="AM48" s="39">
        <f>IFERROR(VLOOKUP("23_"&amp;A48,SyS!$B:$P,10,FALSE()),0)</f>
        <v>0</v>
      </c>
      <c r="AN48" s="39">
        <f>IFERROR(VLOOKUP("23_"&amp;A48,SyS!$B:$P,12,FALSE()),0)</f>
        <v>0</v>
      </c>
      <c r="AO48" s="40">
        <f>+AM48-AN48</f>
        <v>0</v>
      </c>
      <c r="AP48" s="39"/>
      <c r="AQ48" s="39"/>
      <c r="AR48" s="39"/>
      <c r="AS48" s="39"/>
      <c r="AT48" s="39"/>
      <c r="AU48" s="39"/>
      <c r="AV48" s="39"/>
      <c r="AW48" s="39"/>
      <c r="AX48" s="39"/>
      <c r="AY48" s="39"/>
      <c r="AZ48" s="39"/>
      <c r="BA48" s="39"/>
      <c r="BB48" s="39"/>
      <c r="BC48" s="39"/>
      <c r="BD48" s="39"/>
      <c r="BE48" s="39"/>
      <c r="BF48" s="39"/>
      <c r="BG48" s="39"/>
      <c r="BH48" s="39"/>
      <c r="BI48" s="39"/>
      <c r="BJ48" s="39"/>
      <c r="BK48" s="39">
        <f>IFERROR(VLOOKUP("29_"&amp;A48,SyS!$B:$P,10,FALSE()),0)</f>
        <v>0</v>
      </c>
      <c r="BL48" s="39">
        <f>IFERROR(VLOOKUP("29_"&amp;A48,SyS!$B:$P,12,FALSE()),0)</f>
        <v>0</v>
      </c>
      <c r="BM48" s="39">
        <f>+BK48-BL48</f>
        <v>0</v>
      </c>
      <c r="BN48" s="38">
        <f>IFERROR(VLOOKUP("30_"&amp;A48,SyS!$B:$P,10,FALSE()),0)</f>
        <v>0</v>
      </c>
      <c r="BO48" s="39">
        <f>IFERROR(VLOOKUP("30_"&amp;A48,SyS!$B:$P,12,FALSE()),0)</f>
        <v>0</v>
      </c>
      <c r="BP48" s="40">
        <f>+BN48-BO48</f>
        <v>0</v>
      </c>
      <c r="BQ48" s="45">
        <f>+E48+H48+K48+Q48+T48+W48+Z48+AC48+AF48+AI48+AL48+AO48+AR48+AU48+AX48+BA48+BD48+BG48+BJ48+BM48+BP48</f>
        <v>0</v>
      </c>
    </row>
    <row r="49" ht="11.25" customHeight="1" spans="1:69" x14ac:dyDescent="0.25">
      <c r="A49" s="44">
        <v>42222000</v>
      </c>
      <c r="B49" s="44" t="s">
        <v>280</v>
      </c>
      <c r="C49" s="38">
        <f>IFERROR(VLOOKUP("1_"&amp;A49,SyS!$B:$P,10,FALSE()),0)</f>
        <v>0</v>
      </c>
      <c r="D49" s="39">
        <f>IFERROR(VLOOKUP("1_"&amp;A49,SyS!$B:$P,12,FALSE()),0)</f>
        <v>0</v>
      </c>
      <c r="E49" s="39">
        <f>+C49-D49</f>
        <v>0</v>
      </c>
      <c r="F49" s="38">
        <f>IFERROR(VLOOKUP("2_"&amp;A49,SyS!$B:$P,10,FALSE()),0)</f>
        <v>0</v>
      </c>
      <c r="G49" s="39">
        <f>IFERROR(VLOOKUP("2_"&amp;A49,SyS!$B:$P,12,FALSE()),0)</f>
        <v>0</v>
      </c>
      <c r="H49" s="40">
        <f>+F49-G49</f>
        <v>0</v>
      </c>
      <c r="I49" s="39"/>
      <c r="J49" s="39"/>
      <c r="K49" s="39"/>
      <c r="L49" s="39"/>
      <c r="M49" s="39"/>
      <c r="N49" s="39"/>
      <c r="O49" s="38">
        <f>IFERROR(VLOOKUP("14_"&amp;A49,SyS!$B:$P,10,FALSE()),0)</f>
        <v>0</v>
      </c>
      <c r="P49" s="39">
        <f>IFERROR(VLOOKUP("14_"&amp;A49,SyS!$B:$P,12,FALSE()),0)</f>
        <v>0</v>
      </c>
      <c r="Q49" s="40">
        <f>+O49-P49</f>
        <v>0</v>
      </c>
      <c r="R49" s="38">
        <f>IFERROR(VLOOKUP("15_"&amp;A49,SyS!$B:$P,10,FALSE()),0)</f>
        <v>0</v>
      </c>
      <c r="S49" s="39">
        <f>IFERROR(VLOOKUP("15_"&amp;A49,SyS!$B:$P,12,FALSE()),0)</f>
        <v>0</v>
      </c>
      <c r="T49" s="40">
        <f>+R49-S49</f>
        <v>0</v>
      </c>
      <c r="U49" s="38">
        <f>IFERROR(VLOOKUP("16_"&amp;A49,SyS!$B:$P,10,FALSE()),0)</f>
        <v>0</v>
      </c>
      <c r="V49" s="39">
        <f>IFERROR(VLOOKUP("16_"&amp;A49,SyS!$B:$P,12,FALSE()),0)</f>
        <v>0</v>
      </c>
      <c r="W49" s="40">
        <f>+U49-V49</f>
        <v>0</v>
      </c>
      <c r="X49" s="38">
        <f>IFERROR(VLOOKUP("13_"&amp;A49,SyS!$B:$P,10,FALSE()),0)</f>
        <v>0</v>
      </c>
      <c r="Y49" s="39">
        <f>IFERROR(VLOOKUP("13_"&amp;A49,SyS!$B:$P,12,FALSE()),0)</f>
        <v>0</v>
      </c>
      <c r="Z49" s="40">
        <f>+X49-Y49</f>
        <v>0</v>
      </c>
      <c r="AA49" s="38">
        <f>IFERROR(VLOOKUP("17_"&amp;A49,SyS!$B:$P,10,FALSE()),0)</f>
        <v>0</v>
      </c>
      <c r="AB49" s="39">
        <f>IFERROR(VLOOKUP("17_"&amp;A49,SyS!$B:$P,12,FALSE()),0)</f>
        <v>0</v>
      </c>
      <c r="AC49" s="40">
        <f>+AA49-AB49</f>
        <v>0</v>
      </c>
      <c r="AD49" s="39"/>
      <c r="AE49" s="39"/>
      <c r="AF49" s="39"/>
      <c r="AG49" s="39">
        <f>IFERROR(VLOOKUP("19_"&amp;A49,SyS!$B:$P,10,FALSE()),0)</f>
        <v>0</v>
      </c>
      <c r="AH49" s="39">
        <f>IFERROR(VLOOKUP("19_"&amp;A49,SyS!$B:$P,12,FALSE()),0)</f>
        <v>0</v>
      </c>
      <c r="AI49" s="39">
        <f>+AG49-AH49</f>
        <v>0</v>
      </c>
      <c r="AJ49" s="39"/>
      <c r="AK49" s="39"/>
      <c r="AL49" s="39"/>
      <c r="AM49" s="39">
        <f>IFERROR(VLOOKUP("23_"&amp;A49,SyS!$B:$P,10,FALSE()),0)</f>
        <v>0</v>
      </c>
      <c r="AN49" s="39">
        <f>IFERROR(VLOOKUP("23_"&amp;A49,SyS!$B:$P,12,FALSE()),0)</f>
        <v>0</v>
      </c>
      <c r="AO49" s="40">
        <f>+AM49-AN49</f>
        <v>0</v>
      </c>
      <c r="AP49" s="39"/>
      <c r="AQ49" s="39"/>
      <c r="AR49" s="39"/>
      <c r="AS49" s="39"/>
      <c r="AT49" s="39"/>
      <c r="AU49" s="39"/>
      <c r="AV49" s="39"/>
      <c r="AW49" s="39"/>
      <c r="AX49" s="39"/>
      <c r="AY49" s="39"/>
      <c r="AZ49" s="39"/>
      <c r="BA49" s="39"/>
      <c r="BB49" s="39"/>
      <c r="BC49" s="39"/>
      <c r="BD49" s="39"/>
      <c r="BE49" s="39"/>
      <c r="BF49" s="39"/>
      <c r="BG49" s="39"/>
      <c r="BH49" s="39"/>
      <c r="BI49" s="39"/>
      <c r="BJ49" s="39"/>
      <c r="BK49" s="39">
        <f>IFERROR(VLOOKUP("29_"&amp;A49,SyS!$B:$P,10,FALSE()),0)</f>
        <v>0</v>
      </c>
      <c r="BL49" s="39">
        <f>IFERROR(VLOOKUP("29_"&amp;A49,SyS!$B:$P,12,FALSE()),0)</f>
        <v>0</v>
      </c>
      <c r="BM49" s="39">
        <f>+BK49-BL49</f>
        <v>0</v>
      </c>
      <c r="BN49" s="38">
        <f>IFERROR(VLOOKUP("30_"&amp;A49,SyS!$B:$P,10,FALSE()),0)</f>
        <v>0</v>
      </c>
      <c r="BO49" s="39">
        <f>IFERROR(VLOOKUP("30_"&amp;A49,SyS!$B:$P,12,FALSE()),0)</f>
        <v>0</v>
      </c>
      <c r="BP49" s="40">
        <f>+BN49-BO49</f>
        <v>0</v>
      </c>
      <c r="BQ49" s="45">
        <f>+E49+H49+K49+Q49+T49+W49+Z49+AC49+AF49+AI49+AL49+AO49+AR49+AU49+AX49+BA49+BD49+BG49+BJ49+BM49+BP49</f>
        <v>0</v>
      </c>
    </row>
    <row r="50" ht="11.25" customHeight="1" spans="1:69" x14ac:dyDescent="0.25">
      <c r="A50" s="44">
        <v>42300000</v>
      </c>
      <c r="B50" s="44" t="s">
        <v>281</v>
      </c>
      <c r="C50" s="38">
        <f>IFERROR(VLOOKUP("1_"&amp;A50,SyS!$B:$P,10,FALSE()),0)</f>
        <v>0</v>
      </c>
      <c r="D50" s="39">
        <f>IFERROR(VLOOKUP("1_"&amp;A50,SyS!$B:$P,12,FALSE()),0)</f>
        <v>0</v>
      </c>
      <c r="E50" s="39">
        <f>+C50-D50</f>
        <v>0</v>
      </c>
      <c r="F50" s="38">
        <f>IFERROR(VLOOKUP("2_"&amp;A50,SyS!$B:$P,10,FALSE()),0)</f>
        <v>0</v>
      </c>
      <c r="G50" s="39">
        <f>IFERROR(VLOOKUP("2_"&amp;A50,SyS!$B:$P,12,FALSE()),0)</f>
        <v>0</v>
      </c>
      <c r="H50" s="40">
        <f>+F50-G50</f>
        <v>0</v>
      </c>
      <c r="I50" s="39"/>
      <c r="J50" s="39"/>
      <c r="K50" s="39"/>
      <c r="L50" s="39"/>
      <c r="M50" s="39"/>
      <c r="N50" s="39"/>
      <c r="O50" s="38">
        <f>IFERROR(VLOOKUP("14_"&amp;A50,SyS!$B:$P,10,FALSE()),0)</f>
        <v>0</v>
      </c>
      <c r="P50" s="39">
        <f>IFERROR(VLOOKUP("14_"&amp;A50,SyS!$B:$P,12,FALSE()),0)</f>
        <v>0</v>
      </c>
      <c r="Q50" s="40">
        <f>+O50-P50</f>
        <v>0</v>
      </c>
      <c r="R50" s="38">
        <f>IFERROR(VLOOKUP("15_"&amp;A50,SyS!$B:$P,10,FALSE()),0)</f>
        <v>0</v>
      </c>
      <c r="S50" s="39">
        <f>IFERROR(VLOOKUP("15_"&amp;A50,SyS!$B:$P,12,FALSE()),0)</f>
        <v>0</v>
      </c>
      <c r="T50" s="40">
        <f>+R50-S50</f>
        <v>0</v>
      </c>
      <c r="U50" s="38">
        <f>IFERROR(VLOOKUP("16_"&amp;A50,SyS!$B:$P,10,FALSE()),0)</f>
        <v>0</v>
      </c>
      <c r="V50" s="39">
        <f>IFERROR(VLOOKUP("16_"&amp;A50,SyS!$B:$P,12,FALSE()),0)</f>
        <v>0</v>
      </c>
      <c r="W50" s="40">
        <f>+U50-V50</f>
        <v>0</v>
      </c>
      <c r="X50" s="38">
        <f>IFERROR(VLOOKUP("13_"&amp;A50,SyS!$B:$P,10,FALSE()),0)</f>
        <v>0</v>
      </c>
      <c r="Y50" s="39">
        <f>IFERROR(VLOOKUP("13_"&amp;A50,SyS!$B:$P,12,FALSE()),0)</f>
        <v>0</v>
      </c>
      <c r="Z50" s="40">
        <f>+X50-Y50</f>
        <v>0</v>
      </c>
      <c r="AA50" s="38">
        <f>IFERROR(VLOOKUP("17_"&amp;A50,SyS!$B:$P,10,FALSE()),0)</f>
        <v>0</v>
      </c>
      <c r="AB50" s="39">
        <f>IFERROR(VLOOKUP("17_"&amp;A50,SyS!$B:$P,12,FALSE()),0)</f>
        <v>0</v>
      </c>
      <c r="AC50" s="40">
        <f>+AA50-AB50</f>
        <v>0</v>
      </c>
      <c r="AD50" s="39"/>
      <c r="AE50" s="39"/>
      <c r="AF50" s="39"/>
      <c r="AG50" s="39">
        <f>IFERROR(VLOOKUP("19_"&amp;A50,SyS!$B:$P,10,FALSE()),0)</f>
        <v>0</v>
      </c>
      <c r="AH50" s="39">
        <f>IFERROR(VLOOKUP("19_"&amp;A50,SyS!$B:$P,12,FALSE()),0)</f>
        <v>0</v>
      </c>
      <c r="AI50" s="39">
        <f>+AG50-AH50</f>
        <v>0</v>
      </c>
      <c r="AJ50" s="39"/>
      <c r="AK50" s="39"/>
      <c r="AL50" s="39"/>
      <c r="AM50" s="39">
        <f>IFERROR(VLOOKUP("23_"&amp;A50,SyS!$B:$P,10,FALSE()),0)</f>
        <v>0</v>
      </c>
      <c r="AN50" s="39">
        <f>IFERROR(VLOOKUP("23_"&amp;A50,SyS!$B:$P,12,FALSE()),0)</f>
        <v>0</v>
      </c>
      <c r="AO50" s="40">
        <f>+AM50-AN50</f>
        <v>0</v>
      </c>
      <c r="AP50" s="39"/>
      <c r="AQ50" s="39"/>
      <c r="AR50" s="39"/>
      <c r="AS50" s="39"/>
      <c r="AT50" s="39"/>
      <c r="AU50" s="39"/>
      <c r="AV50" s="39"/>
      <c r="AW50" s="39"/>
      <c r="AX50" s="39"/>
      <c r="AY50" s="39"/>
      <c r="AZ50" s="39"/>
      <c r="BA50" s="39"/>
      <c r="BB50" s="39"/>
      <c r="BC50" s="39"/>
      <c r="BD50" s="39"/>
      <c r="BE50" s="39"/>
      <c r="BF50" s="39"/>
      <c r="BG50" s="39"/>
      <c r="BH50" s="39"/>
      <c r="BI50" s="39"/>
      <c r="BJ50" s="39"/>
      <c r="BK50" s="39">
        <f>IFERROR(VLOOKUP("29_"&amp;A50,SyS!$B:$P,10,FALSE()),0)</f>
        <v>0</v>
      </c>
      <c r="BL50" s="39">
        <f>IFERROR(VLOOKUP("29_"&amp;A50,SyS!$B:$P,12,FALSE()),0)</f>
        <v>0</v>
      </c>
      <c r="BM50" s="39">
        <f>+BK50-BL50</f>
        <v>0</v>
      </c>
      <c r="BN50" s="38">
        <f>IFERROR(VLOOKUP("30_"&amp;A50,SyS!$B:$P,10,FALSE()),0)</f>
        <v>0</v>
      </c>
      <c r="BO50" s="39">
        <f>IFERROR(VLOOKUP("30_"&amp;A50,SyS!$B:$P,12,FALSE()),0)</f>
        <v>0</v>
      </c>
      <c r="BP50" s="40">
        <f>+BN50-BO50</f>
        <v>0</v>
      </c>
      <c r="BQ50" s="45">
        <f>+E50+H50+K50+Q50+T50+W50+Z50+AC50+AF50+AI50+AL50+AO50+AR50+AU50+AX50+BA50+BD50+BG50+BJ50+BM50+BP50</f>
        <v>0</v>
      </c>
    </row>
    <row r="51" ht="11.25" customHeight="1" spans="1:69" x14ac:dyDescent="0.25">
      <c r="A51" s="44">
        <v>42301000</v>
      </c>
      <c r="B51" s="44" t="s">
        <v>282</v>
      </c>
      <c r="C51" s="38">
        <f>IFERROR(VLOOKUP("1_"&amp;A51,SyS!$B:$P,10,FALSE()),0)</f>
        <v>0</v>
      </c>
      <c r="D51" s="39">
        <f>IFERROR(VLOOKUP("1_"&amp;A51,SyS!$B:$P,12,FALSE()),0)</f>
        <v>0</v>
      </c>
      <c r="E51" s="39">
        <f>+C51-D51</f>
        <v>0</v>
      </c>
      <c r="F51" s="38">
        <f>IFERROR(VLOOKUP("2_"&amp;A51,SyS!$B:$P,10,FALSE()),0)</f>
        <v>0</v>
      </c>
      <c r="G51" s="39">
        <f>IFERROR(VLOOKUP("2_"&amp;A51,SyS!$B:$P,12,FALSE()),0)</f>
        <v>0</v>
      </c>
      <c r="H51" s="40">
        <f>+F51-G51</f>
        <v>0</v>
      </c>
      <c r="I51" s="39"/>
      <c r="J51" s="39"/>
      <c r="K51" s="39"/>
      <c r="L51" s="39"/>
      <c r="M51" s="39"/>
      <c r="N51" s="39"/>
      <c r="O51" s="38">
        <f>IFERROR(VLOOKUP("14_"&amp;A51,SyS!$B:$P,10,FALSE()),0)</f>
        <v>0</v>
      </c>
      <c r="P51" s="39">
        <f>IFERROR(VLOOKUP("14_"&amp;A51,SyS!$B:$P,12,FALSE()),0)</f>
        <v>0</v>
      </c>
      <c r="Q51" s="40">
        <f>+O51-P51</f>
        <v>0</v>
      </c>
      <c r="R51" s="38">
        <f>IFERROR(VLOOKUP("15_"&amp;A51,SyS!$B:$P,10,FALSE()),0)</f>
        <v>0</v>
      </c>
      <c r="S51" s="39">
        <f>IFERROR(VLOOKUP("15_"&amp;A51,SyS!$B:$P,12,FALSE()),0)</f>
        <v>0</v>
      </c>
      <c r="T51" s="40">
        <f>+R51-S51</f>
        <v>0</v>
      </c>
      <c r="U51" s="38">
        <f>IFERROR(VLOOKUP("16_"&amp;A51,SyS!$B:$P,10,FALSE()),0)</f>
        <v>0</v>
      </c>
      <c r="V51" s="39">
        <f>IFERROR(VLOOKUP("16_"&amp;A51,SyS!$B:$P,12,FALSE()),0)</f>
        <v>0</v>
      </c>
      <c r="W51" s="40">
        <f>+U51-V51</f>
        <v>0</v>
      </c>
      <c r="X51" s="38">
        <f>IFERROR(VLOOKUP("13_"&amp;A51,SyS!$B:$P,10,FALSE()),0)</f>
        <v>0</v>
      </c>
      <c r="Y51" s="39">
        <f>IFERROR(VLOOKUP("13_"&amp;A51,SyS!$B:$P,12,FALSE()),0)</f>
        <v>0</v>
      </c>
      <c r="Z51" s="40">
        <f>+X51-Y51</f>
        <v>0</v>
      </c>
      <c r="AA51" s="38">
        <f>IFERROR(VLOOKUP("17_"&amp;A51,SyS!$B:$P,10,FALSE()),0)</f>
        <v>0</v>
      </c>
      <c r="AB51" s="39">
        <f>IFERROR(VLOOKUP("17_"&amp;A51,SyS!$B:$P,12,FALSE()),0)</f>
        <v>0</v>
      </c>
      <c r="AC51" s="40">
        <f>+AA51-AB51</f>
        <v>0</v>
      </c>
      <c r="AD51" s="39"/>
      <c r="AE51" s="39"/>
      <c r="AF51" s="39"/>
      <c r="AG51" s="39">
        <f>IFERROR(VLOOKUP("19_"&amp;A51,SyS!$B:$P,10,FALSE()),0)</f>
        <v>0</v>
      </c>
      <c r="AH51" s="39">
        <f>IFERROR(VLOOKUP("19_"&amp;A51,SyS!$B:$P,12,FALSE()),0)</f>
        <v>0</v>
      </c>
      <c r="AI51" s="39">
        <f>+AG51-AH51</f>
        <v>0</v>
      </c>
      <c r="AJ51" s="39"/>
      <c r="AK51" s="39"/>
      <c r="AL51" s="39"/>
      <c r="AM51" s="39">
        <f>IFERROR(VLOOKUP("23_"&amp;A51,SyS!$B:$P,10,FALSE()),0)</f>
        <v>0</v>
      </c>
      <c r="AN51" s="39">
        <f>IFERROR(VLOOKUP("23_"&amp;A51,SyS!$B:$P,12,FALSE()),0)</f>
        <v>0</v>
      </c>
      <c r="AO51" s="40">
        <f>+AM51-AN51</f>
        <v>0</v>
      </c>
      <c r="AP51" s="39"/>
      <c r="AQ51" s="39"/>
      <c r="AR51" s="39"/>
      <c r="AS51" s="39"/>
      <c r="AT51" s="39"/>
      <c r="AU51" s="39"/>
      <c r="AV51" s="39"/>
      <c r="AW51" s="39"/>
      <c r="AX51" s="39"/>
      <c r="AY51" s="39"/>
      <c r="AZ51" s="39"/>
      <c r="BA51" s="39"/>
      <c r="BB51" s="39"/>
      <c r="BC51" s="39"/>
      <c r="BD51" s="39"/>
      <c r="BE51" s="39"/>
      <c r="BF51" s="39"/>
      <c r="BG51" s="39"/>
      <c r="BH51" s="39"/>
      <c r="BI51" s="39"/>
      <c r="BJ51" s="39"/>
      <c r="BK51" s="39">
        <f>IFERROR(VLOOKUP("29_"&amp;A51,SyS!$B:$P,10,FALSE()),0)</f>
        <v>0</v>
      </c>
      <c r="BL51" s="39">
        <f>IFERROR(VLOOKUP("29_"&amp;A51,SyS!$B:$P,12,FALSE()),0)</f>
        <v>0</v>
      </c>
      <c r="BM51" s="39">
        <f>+BK51-BL51</f>
        <v>0</v>
      </c>
      <c r="BN51" s="38">
        <f>IFERROR(VLOOKUP("30_"&amp;A51,SyS!$B:$P,10,FALSE()),0)</f>
        <v>0</v>
      </c>
      <c r="BO51" s="39">
        <f>IFERROR(VLOOKUP("30_"&amp;A51,SyS!$B:$P,12,FALSE()),0)</f>
        <v>0</v>
      </c>
      <c r="BP51" s="40">
        <f>+BN51-BO51</f>
        <v>0</v>
      </c>
      <c r="BQ51" s="45">
        <f>+E51+H51+K51+Q51+T51+W51+Z51+AC51+AF51+AI51+AL51+AO51+AR51+AU51+AX51+BA51+BD51+BG51+BJ51+BM51+BP51</f>
        <v>0</v>
      </c>
    </row>
    <row r="52" ht="11.25" customHeight="1" spans="1:69" x14ac:dyDescent="0.25">
      <c r="A52" s="44">
        <v>42302000</v>
      </c>
      <c r="B52" s="44" t="s">
        <v>283</v>
      </c>
      <c r="C52" s="38">
        <f>IFERROR(VLOOKUP("1_"&amp;A52,SyS!$B:$P,10,FALSE()),0)</f>
        <v>0</v>
      </c>
      <c r="D52" s="39">
        <f>IFERROR(VLOOKUP("1_"&amp;A52,SyS!$B:$P,12,FALSE()),0)</f>
        <v>0</v>
      </c>
      <c r="E52" s="39">
        <f>+C52-D52</f>
        <v>0</v>
      </c>
      <c r="F52" s="38">
        <f>IFERROR(VLOOKUP("2_"&amp;A52,SyS!$B:$P,10,FALSE()),0)</f>
        <v>0</v>
      </c>
      <c r="G52" s="39">
        <f>IFERROR(VLOOKUP("2_"&amp;A52,SyS!$B:$P,12,FALSE()),0)</f>
        <v>0</v>
      </c>
      <c r="H52" s="40">
        <f>+F52-G52</f>
        <v>0</v>
      </c>
      <c r="I52" s="39"/>
      <c r="J52" s="39"/>
      <c r="K52" s="39"/>
      <c r="L52" s="39"/>
      <c r="M52" s="39"/>
      <c r="N52" s="39"/>
      <c r="O52" s="38">
        <f>IFERROR(VLOOKUP("14_"&amp;A52,SyS!$B:$P,10,FALSE()),0)</f>
        <v>0</v>
      </c>
      <c r="P52" s="39">
        <f>IFERROR(VLOOKUP("14_"&amp;A52,SyS!$B:$P,12,FALSE()),0)</f>
        <v>0</v>
      </c>
      <c r="Q52" s="40">
        <f>+O52-P52</f>
        <v>0</v>
      </c>
      <c r="R52" s="38">
        <f>IFERROR(VLOOKUP("15_"&amp;A52,SyS!$B:$P,10,FALSE()),0)</f>
        <v>0</v>
      </c>
      <c r="S52" s="39">
        <f>IFERROR(VLOOKUP("15_"&amp;A52,SyS!$B:$P,12,FALSE()),0)</f>
        <v>0</v>
      </c>
      <c r="T52" s="40">
        <f>+R52-S52</f>
        <v>0</v>
      </c>
      <c r="U52" s="38">
        <f>IFERROR(VLOOKUP("16_"&amp;A52,SyS!$B:$P,10,FALSE()),0)</f>
        <v>0</v>
      </c>
      <c r="V52" s="39">
        <f>IFERROR(VLOOKUP("16_"&amp;A52,SyS!$B:$P,12,FALSE()),0)</f>
        <v>0</v>
      </c>
      <c r="W52" s="40">
        <f>+U52-V52</f>
        <v>0</v>
      </c>
      <c r="X52" s="38">
        <f>IFERROR(VLOOKUP("13_"&amp;A52,SyS!$B:$P,10,FALSE()),0)</f>
        <v>0</v>
      </c>
      <c r="Y52" s="39">
        <f>IFERROR(VLOOKUP("13_"&amp;A52,SyS!$B:$P,12,FALSE()),0)</f>
        <v>0</v>
      </c>
      <c r="Z52" s="40">
        <f>+X52-Y52</f>
        <v>0</v>
      </c>
      <c r="AA52" s="38">
        <f>IFERROR(VLOOKUP("17_"&amp;A52,SyS!$B:$P,10,FALSE()),0)</f>
        <v>0</v>
      </c>
      <c r="AB52" s="39">
        <f>IFERROR(VLOOKUP("17_"&amp;A52,SyS!$B:$P,12,FALSE()),0)</f>
        <v>0</v>
      </c>
      <c r="AC52" s="40">
        <f>+AA52-AB52</f>
        <v>0</v>
      </c>
      <c r="AD52" s="39"/>
      <c r="AE52" s="39"/>
      <c r="AF52" s="39"/>
      <c r="AG52" s="39">
        <f>IFERROR(VLOOKUP("19_"&amp;A52,SyS!$B:$P,10,FALSE()),0)</f>
        <v>0</v>
      </c>
      <c r="AH52" s="39">
        <f>IFERROR(VLOOKUP("19_"&amp;A52,SyS!$B:$P,12,FALSE()),0)</f>
        <v>0</v>
      </c>
      <c r="AI52" s="39">
        <f>+AG52-AH52</f>
        <v>0</v>
      </c>
      <c r="AJ52" s="39"/>
      <c r="AK52" s="39"/>
      <c r="AL52" s="39"/>
      <c r="AM52" s="39">
        <f>IFERROR(VLOOKUP("23_"&amp;A52,SyS!$B:$P,10,FALSE()),0)</f>
        <v>0</v>
      </c>
      <c r="AN52" s="39">
        <f>IFERROR(VLOOKUP("23_"&amp;A52,SyS!$B:$P,12,FALSE()),0)</f>
        <v>0</v>
      </c>
      <c r="AO52" s="40">
        <f>+AM52-AN52</f>
        <v>0</v>
      </c>
      <c r="AP52" s="39"/>
      <c r="AQ52" s="39"/>
      <c r="AR52" s="39"/>
      <c r="AS52" s="39"/>
      <c r="AT52" s="39"/>
      <c r="AU52" s="39"/>
      <c r="AV52" s="39"/>
      <c r="AW52" s="39"/>
      <c r="AX52" s="39"/>
      <c r="AY52" s="39"/>
      <c r="AZ52" s="39"/>
      <c r="BA52" s="39"/>
      <c r="BB52" s="39"/>
      <c r="BC52" s="39"/>
      <c r="BD52" s="39"/>
      <c r="BE52" s="39"/>
      <c r="BF52" s="39"/>
      <c r="BG52" s="39"/>
      <c r="BH52" s="39"/>
      <c r="BI52" s="39"/>
      <c r="BJ52" s="39"/>
      <c r="BK52" s="39">
        <f>IFERROR(VLOOKUP("29_"&amp;A52,SyS!$B:$P,10,FALSE()),0)</f>
        <v>0</v>
      </c>
      <c r="BL52" s="39">
        <f>IFERROR(VLOOKUP("29_"&amp;A52,SyS!$B:$P,12,FALSE()),0)</f>
        <v>0</v>
      </c>
      <c r="BM52" s="39">
        <f>+BK52-BL52</f>
        <v>0</v>
      </c>
      <c r="BN52" s="38">
        <f>IFERROR(VLOOKUP("30_"&amp;A52,SyS!$B:$P,10,FALSE()),0)</f>
        <v>0</v>
      </c>
      <c r="BO52" s="39">
        <f>IFERROR(VLOOKUP("30_"&amp;A52,SyS!$B:$P,12,FALSE()),0)</f>
        <v>0</v>
      </c>
      <c r="BP52" s="40">
        <f>+BN52-BO52</f>
        <v>0</v>
      </c>
      <c r="BQ52" s="45">
        <f>+E52+H52+K52+Q52+T52+W52+Z52+AC52+AF52+AI52+AL52+AO52+AR52+AU52+AX52+BA52+BD52+BG52+BJ52+BM52+BP52</f>
        <v>0</v>
      </c>
    </row>
    <row r="53" ht="11.25" customHeight="1" spans="1:69" x14ac:dyDescent="0.25">
      <c r="A53" s="44">
        <v>433100000</v>
      </c>
      <c r="B53" s="44" t="s">
        <v>284</v>
      </c>
      <c r="C53" s="38">
        <f>IFERROR(VLOOKUP("1_"&amp;A53,SyS!$B:$P,10,FALSE()),0)</f>
        <v>0</v>
      </c>
      <c r="D53" s="39">
        <f>IFERROR(VLOOKUP("1_"&amp;A53,SyS!$B:$P,12,FALSE()),0)</f>
        <v>0</v>
      </c>
      <c r="E53" s="39">
        <f>+C53-D53</f>
        <v>0</v>
      </c>
      <c r="F53" s="38">
        <f>IFERROR(VLOOKUP("2_"&amp;A53,SyS!$B:$P,10,FALSE()),0)</f>
        <v>0</v>
      </c>
      <c r="G53" s="39">
        <f>IFERROR(VLOOKUP("2_"&amp;A53,SyS!$B:$P,12,FALSE()),0)</f>
        <v>0</v>
      </c>
      <c r="H53" s="40">
        <f>+F53-G53</f>
        <v>0</v>
      </c>
      <c r="I53" s="39"/>
      <c r="J53" s="39"/>
      <c r="K53" s="39"/>
      <c r="L53" s="39"/>
      <c r="M53" s="39"/>
      <c r="N53" s="39"/>
      <c r="O53" s="38">
        <f>IFERROR(VLOOKUP("14_"&amp;A53,SyS!$B:$P,10,FALSE()),0)</f>
        <v>0</v>
      </c>
      <c r="P53" s="39">
        <f>IFERROR(VLOOKUP("14_"&amp;A53,SyS!$B:$P,12,FALSE()),0)</f>
        <v>0</v>
      </c>
      <c r="Q53" s="40">
        <f>+O53-P53</f>
        <v>0</v>
      </c>
      <c r="R53" s="38">
        <f>IFERROR(VLOOKUP("15_"&amp;A53,SyS!$B:$P,10,FALSE()),0)</f>
        <v>0</v>
      </c>
      <c r="S53" s="39">
        <f>IFERROR(VLOOKUP("15_"&amp;A53,SyS!$B:$P,12,FALSE()),0)</f>
        <v>0</v>
      </c>
      <c r="T53" s="40">
        <f>+R53-S53</f>
        <v>0</v>
      </c>
      <c r="U53" s="38">
        <f>IFERROR(VLOOKUP("16_"&amp;A53,SyS!$B:$P,10,FALSE()),0)</f>
        <v>0</v>
      </c>
      <c r="V53" s="39">
        <f>IFERROR(VLOOKUP("16_"&amp;A53,SyS!$B:$P,12,FALSE()),0)</f>
        <v>0</v>
      </c>
      <c r="W53" s="40">
        <f>+U53-V53</f>
        <v>0</v>
      </c>
      <c r="X53" s="38">
        <f>IFERROR(VLOOKUP("13_"&amp;A53,SyS!$B:$P,10,FALSE()),0)</f>
        <v>0</v>
      </c>
      <c r="Y53" s="39">
        <f>IFERROR(VLOOKUP("13_"&amp;A53,SyS!$B:$P,12,FALSE()),0)</f>
        <v>0</v>
      </c>
      <c r="Z53" s="40">
        <f>+X53-Y53</f>
        <v>0</v>
      </c>
      <c r="AA53" s="38">
        <f>IFERROR(VLOOKUP("17_"&amp;A53,SyS!$B:$P,10,FALSE()),0)</f>
        <v>0</v>
      </c>
      <c r="AB53" s="39">
        <f>IFERROR(VLOOKUP("17_"&amp;A53,SyS!$B:$P,12,FALSE()),0)</f>
        <v>0</v>
      </c>
      <c r="AC53" s="40">
        <f>+AA53-AB53</f>
        <v>0</v>
      </c>
      <c r="AD53" s="39"/>
      <c r="AE53" s="39"/>
      <c r="AF53" s="39"/>
      <c r="AG53" s="39">
        <f>IFERROR(VLOOKUP("19_"&amp;A53,SyS!$B:$P,10,FALSE()),0)</f>
        <v>0</v>
      </c>
      <c r="AH53" s="39">
        <f>IFERROR(VLOOKUP("19_"&amp;A53,SyS!$B:$P,12,FALSE()),0)</f>
        <v>0</v>
      </c>
      <c r="AI53" s="39">
        <f>+AG53-AH53</f>
        <v>0</v>
      </c>
      <c r="AJ53" s="39"/>
      <c r="AK53" s="39"/>
      <c r="AL53" s="39"/>
      <c r="AM53" s="39">
        <f>IFERROR(VLOOKUP("23_"&amp;A53,SyS!$B:$P,10,FALSE()),0)</f>
        <v>0</v>
      </c>
      <c r="AN53" s="39">
        <f>IFERROR(VLOOKUP("23_"&amp;A53,SyS!$B:$P,12,FALSE()),0)</f>
        <v>0</v>
      </c>
      <c r="AO53" s="40">
        <f>+AM53-AN53</f>
        <v>0</v>
      </c>
      <c r="AP53" s="39"/>
      <c r="AQ53" s="39"/>
      <c r="AR53" s="39"/>
      <c r="AS53" s="39"/>
      <c r="AT53" s="39"/>
      <c r="AU53" s="39"/>
      <c r="AV53" s="39"/>
      <c r="AW53" s="39"/>
      <c r="AX53" s="39"/>
      <c r="AY53" s="39"/>
      <c r="AZ53" s="39"/>
      <c r="BA53" s="39"/>
      <c r="BB53" s="39"/>
      <c r="BC53" s="39"/>
      <c r="BD53" s="39"/>
      <c r="BE53" s="39"/>
      <c r="BF53" s="39"/>
      <c r="BG53" s="39"/>
      <c r="BH53" s="39"/>
      <c r="BI53" s="39"/>
      <c r="BJ53" s="39"/>
      <c r="BK53" s="39">
        <f>IFERROR(VLOOKUP("29_"&amp;A53,SyS!$B:$P,10,FALSE()),0)</f>
        <v>0</v>
      </c>
      <c r="BL53" s="39">
        <f>IFERROR(VLOOKUP("29_"&amp;A53,SyS!$B:$P,12,FALSE()),0)</f>
        <v>0</v>
      </c>
      <c r="BM53" s="39">
        <f>+BK53-BL53</f>
        <v>0</v>
      </c>
      <c r="BN53" s="38">
        <f>IFERROR(VLOOKUP("30_"&amp;A53,SyS!$B:$P,10,FALSE()),0)</f>
        <v>0</v>
      </c>
      <c r="BO53" s="39">
        <f>IFERROR(VLOOKUP("30_"&amp;A53,SyS!$B:$P,12,FALSE()),0)</f>
        <v>0</v>
      </c>
      <c r="BP53" s="40">
        <f>+BN53-BO53</f>
        <v>0</v>
      </c>
      <c r="BQ53" s="45">
        <f>+E53+H53+K53+Q53+T53+W53+Z53+AC53+AF53+AI53+AL53+AO53+AR53+AU53+AX53+BA53+BD53+BG53+BJ53+BM53+BP53</f>
        <v>0</v>
      </c>
    </row>
    <row r="54" ht="11.25" customHeight="1" spans="1:69" x14ac:dyDescent="0.25">
      <c r="A54" s="44">
        <v>42303000</v>
      </c>
      <c r="B54" s="44" t="s">
        <v>285</v>
      </c>
      <c r="C54" s="38">
        <f>IFERROR(VLOOKUP("1_"&amp;A54,SyS!$B:$P,10,FALSE()),0)</f>
        <v>0</v>
      </c>
      <c r="D54" s="39">
        <f>IFERROR(VLOOKUP("1_"&amp;A54,SyS!$B:$P,12,FALSE()),0)</f>
        <v>0</v>
      </c>
      <c r="E54" s="39">
        <f>+C54-D54</f>
        <v>0</v>
      </c>
      <c r="F54" s="38">
        <f>IFERROR(VLOOKUP("2_"&amp;A54,SyS!$B:$P,10,FALSE()),0)</f>
        <v>0</v>
      </c>
      <c r="G54" s="39">
        <f>IFERROR(VLOOKUP("2_"&amp;A54,SyS!$B:$P,12,FALSE()),0)</f>
        <v>0</v>
      </c>
      <c r="H54" s="40">
        <f>+F54-G54</f>
        <v>0</v>
      </c>
      <c r="I54" s="39"/>
      <c r="J54" s="39"/>
      <c r="K54" s="39"/>
      <c r="L54" s="39"/>
      <c r="M54" s="39"/>
      <c r="N54" s="39"/>
      <c r="O54" s="38">
        <f>IFERROR(VLOOKUP("14_"&amp;A54,SyS!$B:$P,10,FALSE()),0)</f>
        <v>0</v>
      </c>
      <c r="P54" s="39">
        <f>IFERROR(VLOOKUP("14_"&amp;A54,SyS!$B:$P,12,FALSE()),0)</f>
        <v>0</v>
      </c>
      <c r="Q54" s="40">
        <f>+O54-P54</f>
        <v>0</v>
      </c>
      <c r="R54" s="38">
        <f>IFERROR(VLOOKUP("15_"&amp;A54,SyS!$B:$P,10,FALSE()),0)</f>
        <v>0</v>
      </c>
      <c r="S54" s="39">
        <f>IFERROR(VLOOKUP("15_"&amp;A54,SyS!$B:$P,12,FALSE()),0)</f>
        <v>0</v>
      </c>
      <c r="T54" s="40">
        <f>+R54-S54</f>
        <v>0</v>
      </c>
      <c r="U54" s="38">
        <f>IFERROR(VLOOKUP("16_"&amp;A54,SyS!$B:$P,10,FALSE()),0)</f>
        <v>0</v>
      </c>
      <c r="V54" s="39">
        <f>IFERROR(VLOOKUP("16_"&amp;A54,SyS!$B:$P,12,FALSE()),0)</f>
        <v>0</v>
      </c>
      <c r="W54" s="40">
        <f>+U54-V54</f>
        <v>0</v>
      </c>
      <c r="X54" s="38">
        <f>IFERROR(VLOOKUP("13_"&amp;A54,SyS!$B:$P,10,FALSE()),0)</f>
        <v>0</v>
      </c>
      <c r="Y54" s="39">
        <f>IFERROR(VLOOKUP("13_"&amp;A54,SyS!$B:$P,12,FALSE()),0)</f>
        <v>0</v>
      </c>
      <c r="Z54" s="40">
        <f>+X54-Y54</f>
        <v>0</v>
      </c>
      <c r="AA54" s="38">
        <f>IFERROR(VLOOKUP("17_"&amp;A54,SyS!$B:$P,10,FALSE()),0)</f>
        <v>0</v>
      </c>
      <c r="AB54" s="39">
        <f>IFERROR(VLOOKUP("17_"&amp;A54,SyS!$B:$P,12,FALSE()),0)</f>
        <v>0</v>
      </c>
      <c r="AC54" s="40">
        <f>+AA54-AB54</f>
        <v>0</v>
      </c>
      <c r="AD54" s="39"/>
      <c r="AE54" s="39"/>
      <c r="AF54" s="39"/>
      <c r="AG54" s="39">
        <f>IFERROR(VLOOKUP("19_"&amp;A54,SyS!$B:$P,10,FALSE()),0)</f>
        <v>0</v>
      </c>
      <c r="AH54" s="39">
        <f>IFERROR(VLOOKUP("19_"&amp;A54,SyS!$B:$P,12,FALSE()),0)</f>
        <v>0</v>
      </c>
      <c r="AI54" s="39">
        <f>+AG54-AH54</f>
        <v>0</v>
      </c>
      <c r="AJ54" s="39"/>
      <c r="AK54" s="39"/>
      <c r="AL54" s="39"/>
      <c r="AM54" s="39">
        <f>IFERROR(VLOOKUP("23_"&amp;A54,SyS!$B:$P,10,FALSE()),0)</f>
        <v>0</v>
      </c>
      <c r="AN54" s="39">
        <f>IFERROR(VLOOKUP("23_"&amp;A54,SyS!$B:$P,12,FALSE()),0)</f>
        <v>0</v>
      </c>
      <c r="AO54" s="40">
        <f>+AM54-AN54</f>
        <v>0</v>
      </c>
      <c r="AP54" s="39"/>
      <c r="AQ54" s="39"/>
      <c r="AR54" s="39"/>
      <c r="AS54" s="39"/>
      <c r="AT54" s="39"/>
      <c r="AU54" s="39"/>
      <c r="AV54" s="39"/>
      <c r="AW54" s="39"/>
      <c r="AX54" s="39"/>
      <c r="AY54" s="39"/>
      <c r="AZ54" s="39"/>
      <c r="BA54" s="39"/>
      <c r="BB54" s="39"/>
      <c r="BC54" s="39"/>
      <c r="BD54" s="39"/>
      <c r="BE54" s="39"/>
      <c r="BF54" s="39"/>
      <c r="BG54" s="39"/>
      <c r="BH54" s="39"/>
      <c r="BI54" s="39"/>
      <c r="BJ54" s="39"/>
      <c r="BK54" s="39">
        <f>IFERROR(VLOOKUP("29_"&amp;A54,SyS!$B:$P,10,FALSE()),0)</f>
        <v>0</v>
      </c>
      <c r="BL54" s="39">
        <f>IFERROR(VLOOKUP("29_"&amp;A54,SyS!$B:$P,12,FALSE()),0)</f>
        <v>0</v>
      </c>
      <c r="BM54" s="39">
        <f>+BK54-BL54</f>
        <v>0</v>
      </c>
      <c r="BN54" s="38">
        <f>IFERROR(VLOOKUP("30_"&amp;A54,SyS!$B:$P,10,FALSE()),0)</f>
        <v>0</v>
      </c>
      <c r="BO54" s="39">
        <f>IFERROR(VLOOKUP("30_"&amp;A54,SyS!$B:$P,12,FALSE()),0)</f>
        <v>0</v>
      </c>
      <c r="BP54" s="40">
        <f>+BN54-BO54</f>
        <v>0</v>
      </c>
      <c r="BQ54" s="45">
        <f>+E54+H54+K54+Q54+T54+W54+Z54+AC54+AF54+AI54+AL54+AO54+AR54+AU54+AX54+BA54+BD54+BG54+BJ54+BM54+BP54</f>
        <v>0</v>
      </c>
    </row>
    <row r="55" ht="11.25" customHeight="1" spans="1:69" x14ac:dyDescent="0.25">
      <c r="A55" s="44">
        <v>423040000</v>
      </c>
      <c r="B55" s="44" t="s">
        <v>286</v>
      </c>
      <c r="C55" s="38">
        <f>IFERROR(VLOOKUP("1_"&amp;A55,SyS!$B:$P,10,FALSE()),0)</f>
        <v>0</v>
      </c>
      <c r="D55" s="39">
        <f>IFERROR(VLOOKUP("1_"&amp;A55,SyS!$B:$P,12,FALSE()),0)</f>
        <v>0</v>
      </c>
      <c r="E55" s="39">
        <f>+C55-D55</f>
        <v>0</v>
      </c>
      <c r="F55" s="38">
        <f>IFERROR(VLOOKUP("2_"&amp;A55,SyS!$B:$P,10,FALSE()),0)</f>
        <v>0</v>
      </c>
      <c r="G55" s="39">
        <f>IFERROR(VLOOKUP("2_"&amp;A55,SyS!$B:$P,12,FALSE()),0)</f>
        <v>0</v>
      </c>
      <c r="H55" s="40">
        <f>+F55-G55</f>
        <v>0</v>
      </c>
      <c r="I55" s="39"/>
      <c r="J55" s="39"/>
      <c r="K55" s="39"/>
      <c r="L55" s="39"/>
      <c r="M55" s="39"/>
      <c r="N55" s="39"/>
      <c r="O55" s="38">
        <f>IFERROR(VLOOKUP("14_"&amp;A55,SyS!$B:$P,10,FALSE()),0)</f>
        <v>0</v>
      </c>
      <c r="P55" s="39">
        <f>IFERROR(VLOOKUP("14_"&amp;A55,SyS!$B:$P,12,FALSE()),0)</f>
        <v>0</v>
      </c>
      <c r="Q55" s="40">
        <f>+O55-P55</f>
        <v>0</v>
      </c>
      <c r="R55" s="38">
        <f>IFERROR(VLOOKUP("15_"&amp;A55,SyS!$B:$P,10,FALSE()),0)</f>
        <v>0</v>
      </c>
      <c r="S55" s="39">
        <f>IFERROR(VLOOKUP("15_"&amp;A55,SyS!$B:$P,12,FALSE()),0)</f>
        <v>0</v>
      </c>
      <c r="T55" s="40">
        <f>+R55-S55</f>
        <v>0</v>
      </c>
      <c r="U55" s="38">
        <f>IFERROR(VLOOKUP("16_"&amp;A55,SyS!$B:$P,10,FALSE()),0)</f>
        <v>0</v>
      </c>
      <c r="V55" s="39">
        <f>IFERROR(VLOOKUP("16_"&amp;A55,SyS!$B:$P,12,FALSE()),0)</f>
        <v>0</v>
      </c>
      <c r="W55" s="40">
        <f>+U55-V55</f>
        <v>0</v>
      </c>
      <c r="X55" s="38">
        <f>IFERROR(VLOOKUP("13_"&amp;A55,SyS!$B:$P,10,FALSE()),0)</f>
        <v>0</v>
      </c>
      <c r="Y55" s="39">
        <f>IFERROR(VLOOKUP("13_"&amp;A55,SyS!$B:$P,12,FALSE()),0)</f>
        <v>0</v>
      </c>
      <c r="Z55" s="40">
        <f>+X55-Y55</f>
        <v>0</v>
      </c>
      <c r="AA55" s="38">
        <f>IFERROR(VLOOKUP("17_"&amp;A55,SyS!$B:$P,10,FALSE()),0)</f>
        <v>0</v>
      </c>
      <c r="AB55" s="39">
        <f>IFERROR(VLOOKUP("17_"&amp;A55,SyS!$B:$P,12,FALSE()),0)</f>
        <v>0</v>
      </c>
      <c r="AC55" s="40">
        <f>+AA55-AB55</f>
        <v>0</v>
      </c>
      <c r="AD55" s="39"/>
      <c r="AE55" s="39"/>
      <c r="AF55" s="39"/>
      <c r="AG55" s="39">
        <f>IFERROR(VLOOKUP("19_"&amp;A55,SyS!$B:$P,10,FALSE()),0)</f>
        <v>0</v>
      </c>
      <c r="AH55" s="39">
        <f>IFERROR(VLOOKUP("19_"&amp;A55,SyS!$B:$P,12,FALSE()),0)</f>
        <v>0</v>
      </c>
      <c r="AI55" s="39">
        <f>+AG55-AH55</f>
        <v>0</v>
      </c>
      <c r="AJ55" s="39"/>
      <c r="AK55" s="39"/>
      <c r="AL55" s="39"/>
      <c r="AM55" s="39">
        <f>IFERROR(VLOOKUP("23_"&amp;A55,SyS!$B:$P,10,FALSE()),0)</f>
        <v>0</v>
      </c>
      <c r="AN55" s="39">
        <f>IFERROR(VLOOKUP("23_"&amp;A55,SyS!$B:$P,12,FALSE()),0)</f>
        <v>0</v>
      </c>
      <c r="AO55" s="40">
        <f>+AM55-AN55</f>
        <v>0</v>
      </c>
      <c r="AP55" s="39"/>
      <c r="AQ55" s="39"/>
      <c r="AR55" s="39"/>
      <c r="AS55" s="39"/>
      <c r="AT55" s="39"/>
      <c r="AU55" s="39"/>
      <c r="AV55" s="39"/>
      <c r="AW55" s="39"/>
      <c r="AX55" s="39"/>
      <c r="AY55" s="39"/>
      <c r="AZ55" s="39"/>
      <c r="BA55" s="39"/>
      <c r="BB55" s="39"/>
      <c r="BC55" s="39"/>
      <c r="BD55" s="39"/>
      <c r="BE55" s="39"/>
      <c r="BF55" s="39"/>
      <c r="BG55" s="39"/>
      <c r="BH55" s="39"/>
      <c r="BI55" s="39"/>
      <c r="BJ55" s="39"/>
      <c r="BK55" s="39">
        <f>IFERROR(VLOOKUP("29_"&amp;A55,SyS!$B:$P,10,FALSE()),0)</f>
        <v>0</v>
      </c>
      <c r="BL55" s="39">
        <f>IFERROR(VLOOKUP("29_"&amp;A55,SyS!$B:$P,12,FALSE()),0)</f>
        <v>0</v>
      </c>
      <c r="BM55" s="39">
        <f>+BK55-BL55</f>
        <v>0</v>
      </c>
      <c r="BN55" s="38">
        <f>IFERROR(VLOOKUP("30_"&amp;A55,SyS!$B:$P,10,FALSE()),0)</f>
        <v>0</v>
      </c>
      <c r="BO55" s="39">
        <f>IFERROR(VLOOKUP("30_"&amp;A55,SyS!$B:$P,12,FALSE()),0)</f>
        <v>0</v>
      </c>
      <c r="BP55" s="40">
        <f>+BN55-BO55</f>
        <v>0</v>
      </c>
      <c r="BQ55" s="45">
        <f>+E55+H55+K55+Q55+T55+W55+Z55+AC55+AF55+AI55+AL55+AO55+AR55+AU55+AX55+BA55+BD55+BG55+BJ55+BM55+BP55</f>
        <v>0</v>
      </c>
    </row>
    <row r="56" ht="11.25" customHeight="1" spans="1:69" x14ac:dyDescent="0.25">
      <c r="A56" s="44">
        <v>42305000</v>
      </c>
      <c r="B56" s="44" t="s">
        <v>287</v>
      </c>
      <c r="C56" s="38">
        <f>IFERROR(VLOOKUP("1_"&amp;A56,SyS!$B:$P,10,FALSE()),0)</f>
        <v>0</v>
      </c>
      <c r="D56" s="39">
        <f>IFERROR(VLOOKUP("1_"&amp;A56,SyS!$B:$P,12,FALSE()),0)</f>
        <v>0</v>
      </c>
      <c r="E56" s="39">
        <f>+C56-D56</f>
        <v>0</v>
      </c>
      <c r="F56" s="38">
        <f>IFERROR(VLOOKUP("2_"&amp;A56,SyS!$B:$P,10,FALSE()),0)</f>
        <v>0</v>
      </c>
      <c r="G56" s="39">
        <f>IFERROR(VLOOKUP("2_"&amp;A56,SyS!$B:$P,12,FALSE()),0)</f>
        <v>0</v>
      </c>
      <c r="H56" s="40">
        <f>+F56-G56</f>
        <v>0</v>
      </c>
      <c r="I56" s="39"/>
      <c r="J56" s="39"/>
      <c r="K56" s="39"/>
      <c r="L56" s="39"/>
      <c r="M56" s="39"/>
      <c r="N56" s="39"/>
      <c r="O56" s="38">
        <f>IFERROR(VLOOKUP("14_"&amp;A56,SyS!$B:$P,10,FALSE()),0)</f>
        <v>0</v>
      </c>
      <c r="P56" s="39">
        <f>IFERROR(VLOOKUP("14_"&amp;A56,SyS!$B:$P,12,FALSE()),0)</f>
        <v>0</v>
      </c>
      <c r="Q56" s="40">
        <f>+O56-P56</f>
        <v>0</v>
      </c>
      <c r="R56" s="38">
        <f>IFERROR(VLOOKUP("15_"&amp;A56,SyS!$B:$P,10,FALSE()),0)</f>
        <v>0</v>
      </c>
      <c r="S56" s="39">
        <f>IFERROR(VLOOKUP("15_"&amp;A56,SyS!$B:$P,12,FALSE()),0)</f>
        <v>0</v>
      </c>
      <c r="T56" s="40">
        <f>+R56-S56</f>
        <v>0</v>
      </c>
      <c r="U56" s="38">
        <f>IFERROR(VLOOKUP("16_"&amp;A56,SyS!$B:$P,10,FALSE()),0)</f>
        <v>0</v>
      </c>
      <c r="V56" s="39">
        <f>IFERROR(VLOOKUP("16_"&amp;A56,SyS!$B:$P,12,FALSE()),0)</f>
        <v>0</v>
      </c>
      <c r="W56" s="40">
        <f>+U56-V56</f>
        <v>0</v>
      </c>
      <c r="X56" s="38">
        <f>IFERROR(VLOOKUP("13_"&amp;A56,SyS!$B:$P,10,FALSE()),0)</f>
        <v>0</v>
      </c>
      <c r="Y56" s="39">
        <f>IFERROR(VLOOKUP("13_"&amp;A56,SyS!$B:$P,12,FALSE()),0)</f>
        <v>0</v>
      </c>
      <c r="Z56" s="40">
        <f>+X56-Y56</f>
        <v>0</v>
      </c>
      <c r="AA56" s="38">
        <f>IFERROR(VLOOKUP("17_"&amp;A56,SyS!$B:$P,10,FALSE()),0)</f>
        <v>0</v>
      </c>
      <c r="AB56" s="39">
        <f>IFERROR(VLOOKUP("17_"&amp;A56,SyS!$B:$P,12,FALSE()),0)</f>
        <v>0</v>
      </c>
      <c r="AC56" s="40">
        <f>+AA56-AB56</f>
        <v>0</v>
      </c>
      <c r="AD56" s="39"/>
      <c r="AE56" s="39"/>
      <c r="AF56" s="39"/>
      <c r="AG56" s="39">
        <f>IFERROR(VLOOKUP("19_"&amp;A56,SyS!$B:$P,10,FALSE()),0)</f>
        <v>0</v>
      </c>
      <c r="AH56" s="39">
        <f>IFERROR(VLOOKUP("19_"&amp;A56,SyS!$B:$P,12,FALSE()),0)</f>
        <v>0</v>
      </c>
      <c r="AI56" s="39">
        <f>+AG56-AH56</f>
        <v>0</v>
      </c>
      <c r="AJ56" s="39"/>
      <c r="AK56" s="39"/>
      <c r="AL56" s="39"/>
      <c r="AM56" s="39">
        <f>IFERROR(VLOOKUP("23_"&amp;A56,SyS!$B:$P,10,FALSE()),0)</f>
        <v>0</v>
      </c>
      <c r="AN56" s="39">
        <f>IFERROR(VLOOKUP("23_"&amp;A56,SyS!$B:$P,12,FALSE()),0)</f>
        <v>0</v>
      </c>
      <c r="AO56" s="40">
        <f>+AM56-AN56</f>
        <v>0</v>
      </c>
      <c r="AP56" s="39"/>
      <c r="AQ56" s="39"/>
      <c r="AR56" s="39"/>
      <c r="AS56" s="39"/>
      <c r="AT56" s="39"/>
      <c r="AU56" s="39"/>
      <c r="AV56" s="39"/>
      <c r="AW56" s="39"/>
      <c r="AX56" s="39"/>
      <c r="AY56" s="39"/>
      <c r="AZ56" s="39"/>
      <c r="BA56" s="39"/>
      <c r="BB56" s="39"/>
      <c r="BC56" s="39"/>
      <c r="BD56" s="39"/>
      <c r="BE56" s="39"/>
      <c r="BF56" s="39"/>
      <c r="BG56" s="39"/>
      <c r="BH56" s="39"/>
      <c r="BI56" s="39"/>
      <c r="BJ56" s="39"/>
      <c r="BK56" s="39">
        <f>IFERROR(VLOOKUP("29_"&amp;A56,SyS!$B:$P,10,FALSE()),0)</f>
        <v>0</v>
      </c>
      <c r="BL56" s="39">
        <f>IFERROR(VLOOKUP("29_"&amp;A56,SyS!$B:$P,12,FALSE()),0)</f>
        <v>0</v>
      </c>
      <c r="BM56" s="39">
        <f>+BK56-BL56</f>
        <v>0</v>
      </c>
      <c r="BN56" s="38">
        <f>IFERROR(VLOOKUP("30_"&amp;A56,SyS!$B:$P,10,FALSE()),0)</f>
        <v>0</v>
      </c>
      <c r="BO56" s="39">
        <f>IFERROR(VLOOKUP("30_"&amp;A56,SyS!$B:$P,12,FALSE()),0)</f>
        <v>0</v>
      </c>
      <c r="BP56" s="40">
        <f>+BN56-BO56</f>
        <v>0</v>
      </c>
      <c r="BQ56" s="45">
        <f>+E56+H56+K56+Q56+T56+W56+Z56+AC56+AF56+AI56+AL56+AO56+AR56+AU56+AX56+BA56+BD56+BG56+BJ56+BM56+BP56</f>
        <v>0</v>
      </c>
    </row>
    <row r="57" ht="11.25" customHeight="1" spans="1:69" x14ac:dyDescent="0.25">
      <c r="A57" s="44">
        <v>42307000</v>
      </c>
      <c r="B57" s="44" t="s">
        <v>288</v>
      </c>
      <c r="C57" s="38">
        <f>IFERROR(VLOOKUP("1_"&amp;A57,SyS!$B:$P,10,FALSE()),0)</f>
        <v>0</v>
      </c>
      <c r="D57" s="39">
        <f>IFERROR(VLOOKUP("1_"&amp;A57,SyS!$B:$P,12,FALSE()),0)</f>
        <v>0</v>
      </c>
      <c r="E57" s="39">
        <f>+C57-D57</f>
        <v>0</v>
      </c>
      <c r="F57" s="38">
        <f>IFERROR(VLOOKUP("2_"&amp;A57,SyS!$B:$P,10,FALSE()),0)</f>
        <v>0</v>
      </c>
      <c r="G57" s="39">
        <f>IFERROR(VLOOKUP("2_"&amp;A57,SyS!$B:$P,12,FALSE()),0)</f>
        <v>0</v>
      </c>
      <c r="H57" s="40">
        <f>+F57-G57</f>
        <v>0</v>
      </c>
      <c r="I57" s="39"/>
      <c r="J57" s="39"/>
      <c r="K57" s="39"/>
      <c r="L57" s="39"/>
      <c r="M57" s="39"/>
      <c r="N57" s="39"/>
      <c r="O57" s="38">
        <f>IFERROR(VLOOKUP("14_"&amp;A57,SyS!$B:$P,10,FALSE()),0)</f>
        <v>0</v>
      </c>
      <c r="P57" s="39">
        <f>IFERROR(VLOOKUP("14_"&amp;A57,SyS!$B:$P,12,FALSE()),0)</f>
        <v>0</v>
      </c>
      <c r="Q57" s="40">
        <f>+O57-P57</f>
        <v>0</v>
      </c>
      <c r="R57" s="38">
        <f>IFERROR(VLOOKUP("15_"&amp;A57,SyS!$B:$P,10,FALSE()),0)</f>
        <v>0</v>
      </c>
      <c r="S57" s="39">
        <f>IFERROR(VLOOKUP("15_"&amp;A57,SyS!$B:$P,12,FALSE()),0)</f>
        <v>0</v>
      </c>
      <c r="T57" s="40">
        <f>+R57-S57</f>
        <v>0</v>
      </c>
      <c r="U57" s="38">
        <f>IFERROR(VLOOKUP("16_"&amp;A57,SyS!$B:$P,10,FALSE()),0)</f>
        <v>0</v>
      </c>
      <c r="V57" s="39">
        <f>IFERROR(VLOOKUP("16_"&amp;A57,SyS!$B:$P,12,FALSE()),0)</f>
        <v>0</v>
      </c>
      <c r="W57" s="40">
        <f>+U57-V57</f>
        <v>0</v>
      </c>
      <c r="X57" s="38">
        <f>IFERROR(VLOOKUP("13_"&amp;A57,SyS!$B:$P,10,FALSE()),0)</f>
        <v>0</v>
      </c>
      <c r="Y57" s="39">
        <f>IFERROR(VLOOKUP("13_"&amp;A57,SyS!$B:$P,12,FALSE()),0)</f>
        <v>0</v>
      </c>
      <c r="Z57" s="40">
        <f>+X57-Y57</f>
        <v>0</v>
      </c>
      <c r="AA57" s="38">
        <f>IFERROR(VLOOKUP("17_"&amp;A57,SyS!$B:$P,10,FALSE()),0)</f>
        <v>0</v>
      </c>
      <c r="AB57" s="39">
        <f>IFERROR(VLOOKUP("17_"&amp;A57,SyS!$B:$P,12,FALSE()),0)</f>
        <v>0</v>
      </c>
      <c r="AC57" s="40">
        <f>+AA57-AB57</f>
        <v>0</v>
      </c>
      <c r="AD57" s="39"/>
      <c r="AE57" s="39"/>
      <c r="AF57" s="39"/>
      <c r="AG57" s="39">
        <f>IFERROR(VLOOKUP("19_"&amp;A57,SyS!$B:$P,10,FALSE()),0)</f>
        <v>0</v>
      </c>
      <c r="AH57" s="39">
        <f>IFERROR(VLOOKUP("19_"&amp;A57,SyS!$B:$P,12,FALSE()),0)</f>
        <v>0</v>
      </c>
      <c r="AI57" s="39">
        <f>+AG57-AH57</f>
        <v>0</v>
      </c>
      <c r="AJ57" s="39"/>
      <c r="AK57" s="39"/>
      <c r="AL57" s="39"/>
      <c r="AM57" s="39">
        <f>IFERROR(VLOOKUP("23_"&amp;A57,SyS!$B:$P,10,FALSE()),0)</f>
        <v>0</v>
      </c>
      <c r="AN57" s="39">
        <f>IFERROR(VLOOKUP("23_"&amp;A57,SyS!$B:$P,12,FALSE()),0)</f>
        <v>0</v>
      </c>
      <c r="AO57" s="40">
        <f>+AM57-AN57</f>
        <v>0</v>
      </c>
      <c r="AP57" s="39"/>
      <c r="AQ57" s="39"/>
      <c r="AR57" s="39"/>
      <c r="AS57" s="39"/>
      <c r="AT57" s="39"/>
      <c r="AU57" s="39"/>
      <c r="AV57" s="39"/>
      <c r="AW57" s="39"/>
      <c r="AX57" s="39"/>
      <c r="AY57" s="39"/>
      <c r="AZ57" s="39"/>
      <c r="BA57" s="39"/>
      <c r="BB57" s="39"/>
      <c r="BC57" s="39"/>
      <c r="BD57" s="39"/>
      <c r="BE57" s="39"/>
      <c r="BF57" s="39"/>
      <c r="BG57" s="39"/>
      <c r="BH57" s="39"/>
      <c r="BI57" s="39"/>
      <c r="BJ57" s="39"/>
      <c r="BK57" s="39">
        <f>IFERROR(VLOOKUP("29_"&amp;A57,SyS!$B:$P,10,FALSE()),0)</f>
        <v>0</v>
      </c>
      <c r="BL57" s="39">
        <f>IFERROR(VLOOKUP("29_"&amp;A57,SyS!$B:$P,12,FALSE()),0)</f>
        <v>0</v>
      </c>
      <c r="BM57" s="39">
        <f>+BK57-BL57</f>
        <v>0</v>
      </c>
      <c r="BN57" s="38">
        <f>IFERROR(VLOOKUP("30_"&amp;A57,SyS!$B:$P,10,FALSE()),0)</f>
        <v>0</v>
      </c>
      <c r="BO57" s="39">
        <f>IFERROR(VLOOKUP("30_"&amp;A57,SyS!$B:$P,12,FALSE()),0)</f>
        <v>0</v>
      </c>
      <c r="BP57" s="40">
        <f>+BN57-BO57</f>
        <v>0</v>
      </c>
      <c r="BQ57" s="45">
        <f>+E57+H57+K57+Q57+T57+W57+Z57+AC57+AF57+AI57+AL57+AO57+AR57+AU57+AX57+BA57+BD57+BG57+BJ57+BM57+BP57</f>
        <v>0</v>
      </c>
    </row>
    <row r="58" ht="11.25" customHeight="1" spans="1:69" x14ac:dyDescent="0.25">
      <c r="A58" s="44">
        <v>42308000</v>
      </c>
      <c r="B58" s="44" t="s">
        <v>289</v>
      </c>
      <c r="C58" s="38">
        <f>IFERROR(VLOOKUP("1_"&amp;A58,SyS!$B:$P,10,FALSE()),0)</f>
        <v>0</v>
      </c>
      <c r="D58" s="39">
        <f>IFERROR(VLOOKUP("1_"&amp;A58,SyS!$B:$P,12,FALSE()),0)</f>
        <v>0</v>
      </c>
      <c r="E58" s="39">
        <f>+C58-D58</f>
        <v>0</v>
      </c>
      <c r="F58" s="38">
        <f>IFERROR(VLOOKUP("2_"&amp;A58,SyS!$B:$P,10,FALSE()),0)</f>
        <v>0</v>
      </c>
      <c r="G58" s="39">
        <f>IFERROR(VLOOKUP("2_"&amp;A58,SyS!$B:$P,12,FALSE()),0)</f>
        <v>0</v>
      </c>
      <c r="H58" s="40">
        <f>+F58-G58</f>
        <v>0</v>
      </c>
      <c r="I58" s="39"/>
      <c r="J58" s="39"/>
      <c r="K58" s="39"/>
      <c r="L58" s="39"/>
      <c r="M58" s="39"/>
      <c r="N58" s="39"/>
      <c r="O58" s="38">
        <f>IFERROR(VLOOKUP("14_"&amp;A58,SyS!$B:$P,10,FALSE()),0)</f>
        <v>0</v>
      </c>
      <c r="P58" s="39">
        <f>IFERROR(VLOOKUP("14_"&amp;A58,SyS!$B:$P,12,FALSE()),0)</f>
        <v>0</v>
      </c>
      <c r="Q58" s="40">
        <f>+O58-P58</f>
        <v>0</v>
      </c>
      <c r="R58" s="38">
        <f>IFERROR(VLOOKUP("15_"&amp;A58,SyS!$B:$P,10,FALSE()),0)</f>
        <v>0</v>
      </c>
      <c r="S58" s="39">
        <f>IFERROR(VLOOKUP("15_"&amp;A58,SyS!$B:$P,12,FALSE()),0)</f>
        <v>0</v>
      </c>
      <c r="T58" s="40">
        <f>+R58-S58</f>
        <v>0</v>
      </c>
      <c r="U58" s="38">
        <f>IFERROR(VLOOKUP("16_"&amp;A58,SyS!$B:$P,10,FALSE()),0)</f>
        <v>0</v>
      </c>
      <c r="V58" s="39">
        <f>IFERROR(VLOOKUP("16_"&amp;A58,SyS!$B:$P,12,FALSE()),0)</f>
        <v>0</v>
      </c>
      <c r="W58" s="40">
        <f>+U58-V58</f>
        <v>0</v>
      </c>
      <c r="X58" s="38">
        <f>IFERROR(VLOOKUP("13_"&amp;A58,SyS!$B:$P,10,FALSE()),0)</f>
        <v>0</v>
      </c>
      <c r="Y58" s="39">
        <f>IFERROR(VLOOKUP("13_"&amp;A58,SyS!$B:$P,12,FALSE()),0)</f>
        <v>0</v>
      </c>
      <c r="Z58" s="40">
        <f>+X58-Y58</f>
        <v>0</v>
      </c>
      <c r="AA58" s="38">
        <f>IFERROR(VLOOKUP("17_"&amp;A58,SyS!$B:$P,10,FALSE()),0)</f>
        <v>0</v>
      </c>
      <c r="AB58" s="39">
        <f>IFERROR(VLOOKUP("17_"&amp;A58,SyS!$B:$P,12,FALSE()),0)</f>
        <v>0</v>
      </c>
      <c r="AC58" s="40">
        <f>+AA58-AB58</f>
        <v>0</v>
      </c>
      <c r="AD58" s="39"/>
      <c r="AE58" s="39"/>
      <c r="AF58" s="39"/>
      <c r="AG58" s="39">
        <f>IFERROR(VLOOKUP("19_"&amp;A58,SyS!$B:$P,10,FALSE()),0)</f>
        <v>0</v>
      </c>
      <c r="AH58" s="39">
        <f>IFERROR(VLOOKUP("19_"&amp;A58,SyS!$B:$P,12,FALSE()),0)</f>
        <v>0</v>
      </c>
      <c r="AI58" s="39">
        <f>+AG58-AH58</f>
        <v>0</v>
      </c>
      <c r="AJ58" s="39"/>
      <c r="AK58" s="39"/>
      <c r="AL58" s="39"/>
      <c r="AM58" s="39">
        <f>IFERROR(VLOOKUP("23_"&amp;A58,SyS!$B:$P,10,FALSE()),0)</f>
        <v>0</v>
      </c>
      <c r="AN58" s="39">
        <f>IFERROR(VLOOKUP("23_"&amp;A58,SyS!$B:$P,12,FALSE()),0)</f>
        <v>0</v>
      </c>
      <c r="AO58" s="40">
        <f>+AM58-AN58</f>
        <v>0</v>
      </c>
      <c r="AP58" s="39"/>
      <c r="AQ58" s="39"/>
      <c r="AR58" s="39"/>
      <c r="AS58" s="39"/>
      <c r="AT58" s="39"/>
      <c r="AU58" s="39"/>
      <c r="AV58" s="39"/>
      <c r="AW58" s="39"/>
      <c r="AX58" s="39"/>
      <c r="AY58" s="39"/>
      <c r="AZ58" s="39"/>
      <c r="BA58" s="39"/>
      <c r="BB58" s="39"/>
      <c r="BC58" s="39"/>
      <c r="BD58" s="39"/>
      <c r="BE58" s="39"/>
      <c r="BF58" s="39"/>
      <c r="BG58" s="39"/>
      <c r="BH58" s="39"/>
      <c r="BI58" s="39"/>
      <c r="BJ58" s="39"/>
      <c r="BK58" s="39">
        <f>IFERROR(VLOOKUP("29_"&amp;A58,SyS!$B:$P,10,FALSE()),0)</f>
        <v>0</v>
      </c>
      <c r="BL58" s="39">
        <f>IFERROR(VLOOKUP("29_"&amp;A58,SyS!$B:$P,12,FALSE()),0)</f>
        <v>0</v>
      </c>
      <c r="BM58" s="39">
        <f>+BK58-BL58</f>
        <v>0</v>
      </c>
      <c r="BN58" s="38">
        <f>IFERROR(VLOOKUP("30_"&amp;A58,SyS!$B:$P,10,FALSE()),0)</f>
        <v>0</v>
      </c>
      <c r="BO58" s="39">
        <f>IFERROR(VLOOKUP("30_"&amp;A58,SyS!$B:$P,12,FALSE()),0)</f>
        <v>0</v>
      </c>
      <c r="BP58" s="40">
        <f>+BN58-BO58</f>
        <v>0</v>
      </c>
      <c r="BQ58" s="45">
        <f>+E58+H58+K58+Q58+T58+W58+Z58+AC58+AF58+AI58+AL58+AO58+AR58+AU58+AX58+BA58+BD58+BG58+BJ58+BM58+BP58</f>
        <v>0</v>
      </c>
    </row>
    <row r="59" ht="11.25" customHeight="1" spans="1:69" x14ac:dyDescent="0.25">
      <c r="A59" s="44">
        <v>42309000</v>
      </c>
      <c r="B59" s="44" t="s">
        <v>290</v>
      </c>
      <c r="C59" s="38">
        <f>IFERROR(VLOOKUP("1_"&amp;A59,SyS!$B:$P,10,FALSE()),0)</f>
        <v>0</v>
      </c>
      <c r="D59" s="39">
        <f>IFERROR(VLOOKUP("1_"&amp;A59,SyS!$B:$P,12,FALSE()),0)</f>
        <v>0</v>
      </c>
      <c r="E59" s="39">
        <f>+C59-D59</f>
        <v>0</v>
      </c>
      <c r="F59" s="38">
        <f>IFERROR(VLOOKUP("2_"&amp;A59,SyS!$B:$P,10,FALSE()),0)</f>
        <v>0</v>
      </c>
      <c r="G59" s="39">
        <f>IFERROR(VLOOKUP("2_"&amp;A59,SyS!$B:$P,12,FALSE()),0)</f>
        <v>0</v>
      </c>
      <c r="H59" s="40">
        <f>+F59-G59</f>
        <v>0</v>
      </c>
      <c r="I59" s="39"/>
      <c r="J59" s="39"/>
      <c r="K59" s="39"/>
      <c r="L59" s="39"/>
      <c r="M59" s="39"/>
      <c r="N59" s="39"/>
      <c r="O59" s="38">
        <f>IFERROR(VLOOKUP("14_"&amp;A59,SyS!$B:$P,10,FALSE()),0)</f>
        <v>0</v>
      </c>
      <c r="P59" s="39">
        <f>IFERROR(VLOOKUP("14_"&amp;A59,SyS!$B:$P,12,FALSE()),0)</f>
        <v>0</v>
      </c>
      <c r="Q59" s="40">
        <f>+O59-P59</f>
        <v>0</v>
      </c>
      <c r="R59" s="38">
        <f>IFERROR(VLOOKUP("15_"&amp;A59,SyS!$B:$P,10,FALSE()),0)</f>
        <v>0</v>
      </c>
      <c r="S59" s="39">
        <f>IFERROR(VLOOKUP("15_"&amp;A59,SyS!$B:$P,12,FALSE()),0)</f>
        <v>0</v>
      </c>
      <c r="T59" s="40">
        <f>+R59-S59</f>
        <v>0</v>
      </c>
      <c r="U59" s="38">
        <f>IFERROR(VLOOKUP("16_"&amp;A59,SyS!$B:$P,10,FALSE()),0)</f>
        <v>0</v>
      </c>
      <c r="V59" s="39">
        <f>IFERROR(VLOOKUP("16_"&amp;A59,SyS!$B:$P,12,FALSE()),0)</f>
        <v>0</v>
      </c>
      <c r="W59" s="40">
        <f>+U59-V59</f>
        <v>0</v>
      </c>
      <c r="X59" s="38">
        <f>IFERROR(VLOOKUP("13_"&amp;A59,SyS!$B:$P,10,FALSE()),0)</f>
        <v>0</v>
      </c>
      <c r="Y59" s="39">
        <f>IFERROR(VLOOKUP("13_"&amp;A59,SyS!$B:$P,12,FALSE()),0)</f>
        <v>0</v>
      </c>
      <c r="Z59" s="40">
        <f>+X59-Y59</f>
        <v>0</v>
      </c>
      <c r="AA59" s="38">
        <f>IFERROR(VLOOKUP("17_"&amp;A59,SyS!$B:$P,10,FALSE()),0)</f>
        <v>0</v>
      </c>
      <c r="AB59" s="39">
        <f>IFERROR(VLOOKUP("17_"&amp;A59,SyS!$B:$P,12,FALSE()),0)</f>
        <v>0</v>
      </c>
      <c r="AC59" s="40">
        <f>+AA59-AB59</f>
        <v>0</v>
      </c>
      <c r="AD59" s="39"/>
      <c r="AE59" s="39"/>
      <c r="AF59" s="39"/>
      <c r="AG59" s="39">
        <f>IFERROR(VLOOKUP("19_"&amp;A59,SyS!$B:$P,10,FALSE()),0)</f>
        <v>0</v>
      </c>
      <c r="AH59" s="39">
        <f>IFERROR(VLOOKUP("19_"&amp;A59,SyS!$B:$P,12,FALSE()),0)</f>
        <v>0</v>
      </c>
      <c r="AI59" s="39">
        <f>+AG59-AH59</f>
        <v>0</v>
      </c>
      <c r="AJ59" s="39"/>
      <c r="AK59" s="39"/>
      <c r="AL59" s="39"/>
      <c r="AM59" s="39">
        <f>IFERROR(VLOOKUP("23_"&amp;A59,SyS!$B:$P,10,FALSE()),0)</f>
        <v>0</v>
      </c>
      <c r="AN59" s="39">
        <f>IFERROR(VLOOKUP("23_"&amp;A59,SyS!$B:$P,12,FALSE()),0)</f>
        <v>0</v>
      </c>
      <c r="AO59" s="40">
        <f>+AM59-AN59</f>
        <v>0</v>
      </c>
      <c r="AP59" s="39"/>
      <c r="AQ59" s="39"/>
      <c r="AR59" s="39"/>
      <c r="AS59" s="39"/>
      <c r="AT59" s="39"/>
      <c r="AU59" s="39"/>
      <c r="AV59" s="39"/>
      <c r="AW59" s="39"/>
      <c r="AX59" s="39"/>
      <c r="AY59" s="39"/>
      <c r="AZ59" s="39"/>
      <c r="BA59" s="39"/>
      <c r="BB59" s="39"/>
      <c r="BC59" s="39"/>
      <c r="BD59" s="39"/>
      <c r="BE59" s="39"/>
      <c r="BF59" s="39"/>
      <c r="BG59" s="39"/>
      <c r="BH59" s="39"/>
      <c r="BI59" s="39"/>
      <c r="BJ59" s="39"/>
      <c r="BK59" s="39">
        <f>IFERROR(VLOOKUP("29_"&amp;A59,SyS!$B:$P,10,FALSE()),0)</f>
        <v>0</v>
      </c>
      <c r="BL59" s="39">
        <f>IFERROR(VLOOKUP("29_"&amp;A59,SyS!$B:$P,12,FALSE()),0)</f>
        <v>0</v>
      </c>
      <c r="BM59" s="39">
        <f>+BK59-BL59</f>
        <v>0</v>
      </c>
      <c r="BN59" s="38">
        <f>IFERROR(VLOOKUP("30_"&amp;A59,SyS!$B:$P,10,FALSE()),0)</f>
        <v>0</v>
      </c>
      <c r="BO59" s="39">
        <f>IFERROR(VLOOKUP("30_"&amp;A59,SyS!$B:$P,12,FALSE()),0)</f>
        <v>0</v>
      </c>
      <c r="BP59" s="40">
        <f>+BN59-BO59</f>
        <v>0</v>
      </c>
      <c r="BQ59" s="45">
        <f>+E59+H59+K59+Q59+T59+W59+Z59+AC59+AF59+AI59+AL59+AO59+AR59+AU59+AX59+BA59+BD59+BG59+BJ59+BM59+BP59</f>
        <v>0</v>
      </c>
    </row>
    <row r="60" ht="11.25" customHeight="1" spans="1:69" x14ac:dyDescent="0.25">
      <c r="A60" s="44">
        <v>423100000</v>
      </c>
      <c r="B60" s="44" t="s">
        <v>291</v>
      </c>
      <c r="C60" s="38">
        <f>IFERROR(VLOOKUP("1_"&amp;A60,SyS!$B:$P,10,FALSE()),0)</f>
        <v>0</v>
      </c>
      <c r="D60" s="39">
        <f>IFERROR(VLOOKUP("1_"&amp;A60,SyS!$B:$P,12,FALSE()),0)</f>
        <v>0</v>
      </c>
      <c r="E60" s="39">
        <f>+C60-D60</f>
        <v>0</v>
      </c>
      <c r="F60" s="38">
        <f>IFERROR(VLOOKUP("2_"&amp;A60,SyS!$B:$P,10,FALSE()),0)</f>
        <v>0</v>
      </c>
      <c r="G60" s="39">
        <f>IFERROR(VLOOKUP("2_"&amp;A60,SyS!$B:$P,12,FALSE()),0)</f>
        <v>0</v>
      </c>
      <c r="H60" s="40">
        <f>+F60-G60</f>
        <v>0</v>
      </c>
      <c r="I60" s="39"/>
      <c r="J60" s="39"/>
      <c r="K60" s="39"/>
      <c r="L60" s="39"/>
      <c r="M60" s="39"/>
      <c r="N60" s="39"/>
      <c r="O60" s="38">
        <f>IFERROR(VLOOKUP("14_"&amp;A60,SyS!$B:$P,10,FALSE()),0)</f>
        <v>0</v>
      </c>
      <c r="P60" s="39">
        <f>IFERROR(VLOOKUP("14_"&amp;A60,SyS!$B:$P,12,FALSE()),0)</f>
        <v>0</v>
      </c>
      <c r="Q60" s="40">
        <f>+O60-P60</f>
        <v>0</v>
      </c>
      <c r="R60" s="38">
        <f>IFERROR(VLOOKUP("15_"&amp;A60,SyS!$B:$P,10,FALSE()),0)</f>
        <v>0</v>
      </c>
      <c r="S60" s="39">
        <f>IFERROR(VLOOKUP("15_"&amp;A60,SyS!$B:$P,12,FALSE()),0)</f>
        <v>0</v>
      </c>
      <c r="T60" s="40">
        <f>+R60-S60</f>
        <v>0</v>
      </c>
      <c r="U60" s="38">
        <f>IFERROR(VLOOKUP("16_"&amp;A60,SyS!$B:$P,10,FALSE()),0)</f>
        <v>0</v>
      </c>
      <c r="V60" s="39">
        <f>IFERROR(VLOOKUP("16_"&amp;A60,SyS!$B:$P,12,FALSE()),0)</f>
        <v>0</v>
      </c>
      <c r="W60" s="40">
        <f>+U60-V60</f>
        <v>0</v>
      </c>
      <c r="X60" s="38">
        <f>IFERROR(VLOOKUP("13_"&amp;A60,SyS!$B:$P,10,FALSE()),0)</f>
        <v>0</v>
      </c>
      <c r="Y60" s="39">
        <f>IFERROR(VLOOKUP("13_"&amp;A60,SyS!$B:$P,12,FALSE()),0)</f>
        <v>0</v>
      </c>
      <c r="Z60" s="40">
        <f>+X60-Y60</f>
        <v>0</v>
      </c>
      <c r="AA60" s="38">
        <f>IFERROR(VLOOKUP("17_"&amp;A60,SyS!$B:$P,10,FALSE()),0)</f>
        <v>0</v>
      </c>
      <c r="AB60" s="39">
        <f>IFERROR(VLOOKUP("17_"&amp;A60,SyS!$B:$P,12,FALSE()),0)</f>
        <v>0</v>
      </c>
      <c r="AC60" s="40">
        <f>+AA60-AB60</f>
        <v>0</v>
      </c>
      <c r="AD60" s="39"/>
      <c r="AE60" s="39"/>
      <c r="AF60" s="39"/>
      <c r="AG60" s="39">
        <f>IFERROR(VLOOKUP("19_"&amp;A60,SyS!$B:$P,10,FALSE()),0)</f>
        <v>0</v>
      </c>
      <c r="AH60" s="39">
        <f>IFERROR(VLOOKUP("19_"&amp;A60,SyS!$B:$P,12,FALSE()),0)</f>
        <v>0</v>
      </c>
      <c r="AI60" s="39">
        <f>+AG60-AH60</f>
        <v>0</v>
      </c>
      <c r="AJ60" s="39"/>
      <c r="AK60" s="39"/>
      <c r="AL60" s="39"/>
      <c r="AM60" s="39">
        <f>IFERROR(VLOOKUP("23_"&amp;A60,SyS!$B:$P,10,FALSE()),0)</f>
        <v>0</v>
      </c>
      <c r="AN60" s="39">
        <f>IFERROR(VLOOKUP("23_"&amp;A60,SyS!$B:$P,12,FALSE()),0)</f>
        <v>0</v>
      </c>
      <c r="AO60" s="40">
        <f>+AM60-AN60</f>
        <v>0</v>
      </c>
      <c r="AP60" s="39"/>
      <c r="AQ60" s="39"/>
      <c r="AR60" s="39"/>
      <c r="AS60" s="39"/>
      <c r="AT60" s="39"/>
      <c r="AU60" s="39"/>
      <c r="AV60" s="39"/>
      <c r="AW60" s="39"/>
      <c r="AX60" s="39"/>
      <c r="AY60" s="39"/>
      <c r="AZ60" s="39"/>
      <c r="BA60" s="39"/>
      <c r="BB60" s="39"/>
      <c r="BC60" s="39"/>
      <c r="BD60" s="39"/>
      <c r="BE60" s="39"/>
      <c r="BF60" s="39"/>
      <c r="BG60" s="39"/>
      <c r="BH60" s="39"/>
      <c r="BI60" s="39"/>
      <c r="BJ60" s="39"/>
      <c r="BK60" s="39">
        <f>IFERROR(VLOOKUP("29_"&amp;A60,SyS!$B:$P,10,FALSE()),0)</f>
        <v>0</v>
      </c>
      <c r="BL60" s="39">
        <f>IFERROR(VLOOKUP("29_"&amp;A60,SyS!$B:$P,12,FALSE()),0)</f>
        <v>0</v>
      </c>
      <c r="BM60" s="39">
        <f>+BK60-BL60</f>
        <v>0</v>
      </c>
      <c r="BN60" s="38">
        <f>IFERROR(VLOOKUP("30_"&amp;A60,SyS!$B:$P,10,FALSE()),0)</f>
        <v>0</v>
      </c>
      <c r="BO60" s="39">
        <f>IFERROR(VLOOKUP("30_"&amp;A60,SyS!$B:$P,12,FALSE()),0)</f>
        <v>0</v>
      </c>
      <c r="BP60" s="40">
        <f>+BN60-BO60</f>
        <v>0</v>
      </c>
      <c r="BQ60" s="45">
        <f>+E60+H60+K60+Q60+T60+W60+Z60+AC60+AF60+AI60+AL60+AO60+AR60+AU60+AX60+BA60+BD60+BG60+BJ60+BM60+BP60</f>
        <v>0</v>
      </c>
    </row>
    <row r="61" ht="11.25" customHeight="1" spans="1:69" x14ac:dyDescent="0.25">
      <c r="A61" s="44">
        <v>42311000</v>
      </c>
      <c r="B61" s="44" t="s">
        <v>292</v>
      </c>
      <c r="C61" s="38">
        <f>IFERROR(VLOOKUP("1_"&amp;A61,SyS!$B:$P,10,FALSE()),0)</f>
        <v>0</v>
      </c>
      <c r="D61" s="39">
        <f>IFERROR(VLOOKUP("1_"&amp;A61,SyS!$B:$P,12,FALSE()),0)</f>
        <v>0</v>
      </c>
      <c r="E61" s="39">
        <f>+C61-D61</f>
        <v>0</v>
      </c>
      <c r="F61" s="38">
        <f>IFERROR(VLOOKUP("2_"&amp;A61,SyS!$B:$P,10,FALSE()),0)</f>
        <v>0</v>
      </c>
      <c r="G61" s="39">
        <f>IFERROR(VLOOKUP("2_"&amp;A61,SyS!$B:$P,12,FALSE()),0)</f>
        <v>0</v>
      </c>
      <c r="H61" s="40">
        <f>+F61-G61</f>
        <v>0</v>
      </c>
      <c r="I61" s="39"/>
      <c r="J61" s="39"/>
      <c r="K61" s="39"/>
      <c r="L61" s="39"/>
      <c r="M61" s="39"/>
      <c r="N61" s="39"/>
      <c r="O61" s="38">
        <f>IFERROR(VLOOKUP("14_"&amp;A61,SyS!$B:$P,10,FALSE()),0)</f>
        <v>0</v>
      </c>
      <c r="P61" s="39">
        <f>IFERROR(VLOOKUP("14_"&amp;A61,SyS!$B:$P,12,FALSE()),0)</f>
        <v>0</v>
      </c>
      <c r="Q61" s="40">
        <f>+O61-P61</f>
        <v>0</v>
      </c>
      <c r="R61" s="38">
        <f>IFERROR(VLOOKUP("15_"&amp;A61,SyS!$B:$P,10,FALSE()),0)</f>
        <v>0</v>
      </c>
      <c r="S61" s="39">
        <f>IFERROR(VLOOKUP("15_"&amp;A61,SyS!$B:$P,12,FALSE()),0)</f>
        <v>0</v>
      </c>
      <c r="T61" s="40">
        <f>+R61-S61</f>
        <v>0</v>
      </c>
      <c r="U61" s="38">
        <f>IFERROR(VLOOKUP("16_"&amp;A61,SyS!$B:$P,10,FALSE()),0)</f>
        <v>0</v>
      </c>
      <c r="V61" s="39">
        <f>IFERROR(VLOOKUP("16_"&amp;A61,SyS!$B:$P,12,FALSE()),0)</f>
        <v>0</v>
      </c>
      <c r="W61" s="40">
        <f>+U61-V61</f>
        <v>0</v>
      </c>
      <c r="X61" s="38">
        <f>IFERROR(VLOOKUP("13_"&amp;A61,SyS!$B:$P,10,FALSE()),0)</f>
        <v>0</v>
      </c>
      <c r="Y61" s="39">
        <f>IFERROR(VLOOKUP("13_"&amp;A61,SyS!$B:$P,12,FALSE()),0)</f>
        <v>0</v>
      </c>
      <c r="Z61" s="40">
        <f>+X61-Y61</f>
        <v>0</v>
      </c>
      <c r="AA61" s="38">
        <f>IFERROR(VLOOKUP("17_"&amp;A61,SyS!$B:$P,10,FALSE()),0)</f>
        <v>0</v>
      </c>
      <c r="AB61" s="39">
        <f>IFERROR(VLOOKUP("17_"&amp;A61,SyS!$B:$P,12,FALSE()),0)</f>
        <v>0</v>
      </c>
      <c r="AC61" s="40">
        <f>+AA61-AB61</f>
        <v>0</v>
      </c>
      <c r="AD61" s="39"/>
      <c r="AE61" s="39"/>
      <c r="AF61" s="39"/>
      <c r="AG61" s="39">
        <f>IFERROR(VLOOKUP("19_"&amp;A61,SyS!$B:$P,10,FALSE()),0)</f>
        <v>0</v>
      </c>
      <c r="AH61" s="39">
        <f>IFERROR(VLOOKUP("19_"&amp;A61,SyS!$B:$P,12,FALSE()),0)</f>
        <v>0</v>
      </c>
      <c r="AI61" s="39">
        <f>+AG61-AH61</f>
        <v>0</v>
      </c>
      <c r="AJ61" s="39"/>
      <c r="AK61" s="39"/>
      <c r="AL61" s="39"/>
      <c r="AM61" s="39">
        <f>IFERROR(VLOOKUP("23_"&amp;A61,SyS!$B:$P,10,FALSE()),0)</f>
        <v>0</v>
      </c>
      <c r="AN61" s="39">
        <f>IFERROR(VLOOKUP("23_"&amp;A61,SyS!$B:$P,12,FALSE()),0)</f>
        <v>0</v>
      </c>
      <c r="AO61" s="40">
        <f>+AM61-AN61</f>
        <v>0</v>
      </c>
      <c r="AP61" s="39"/>
      <c r="AQ61" s="39"/>
      <c r="AR61" s="39"/>
      <c r="AS61" s="39"/>
      <c r="AT61" s="39"/>
      <c r="AU61" s="39"/>
      <c r="AV61" s="39"/>
      <c r="AW61" s="39"/>
      <c r="AX61" s="39"/>
      <c r="AY61" s="39"/>
      <c r="AZ61" s="39"/>
      <c r="BA61" s="39"/>
      <c r="BB61" s="39"/>
      <c r="BC61" s="39"/>
      <c r="BD61" s="39"/>
      <c r="BE61" s="39"/>
      <c r="BF61" s="39"/>
      <c r="BG61" s="39"/>
      <c r="BH61" s="39"/>
      <c r="BI61" s="39"/>
      <c r="BJ61" s="39"/>
      <c r="BK61" s="39">
        <f>IFERROR(VLOOKUP("29_"&amp;A61,SyS!$B:$P,10,FALSE()),0)</f>
        <v>0</v>
      </c>
      <c r="BL61" s="39">
        <f>IFERROR(VLOOKUP("29_"&amp;A61,SyS!$B:$P,12,FALSE()),0)</f>
        <v>0</v>
      </c>
      <c r="BM61" s="39">
        <f>+BK61-BL61</f>
        <v>0</v>
      </c>
      <c r="BN61" s="38">
        <f>IFERROR(VLOOKUP("30_"&amp;A61,SyS!$B:$P,10,FALSE()),0)</f>
        <v>0</v>
      </c>
      <c r="BO61" s="39">
        <f>IFERROR(VLOOKUP("30_"&amp;A61,SyS!$B:$P,12,FALSE()),0)</f>
        <v>0</v>
      </c>
      <c r="BP61" s="40">
        <f>+BN61-BO61</f>
        <v>0</v>
      </c>
      <c r="BQ61" s="45">
        <f>+E61+H61+K61+Q61+T61+W61+Z61+AC61+AF61+AI61+AL61+AO61+AR61+AU61+AX61+BA61+BD61+BG61+BJ61+BM61+BP61</f>
        <v>0</v>
      </c>
    </row>
    <row r="62" ht="11.25" customHeight="1" spans="1:69" x14ac:dyDescent="0.25">
      <c r="A62" s="44">
        <v>42400000</v>
      </c>
      <c r="B62" s="44" t="s">
        <v>293</v>
      </c>
      <c r="C62" s="38">
        <f>IFERROR(VLOOKUP("1_"&amp;A62,SyS!$B:$P,10,FALSE()),0)</f>
        <v>0</v>
      </c>
      <c r="D62" s="39">
        <f>IFERROR(VLOOKUP("1_"&amp;A62,SyS!$B:$P,12,FALSE()),0)</f>
        <v>0</v>
      </c>
      <c r="E62" s="39">
        <f>+C62-D62</f>
        <v>0</v>
      </c>
      <c r="F62" s="38">
        <f>IFERROR(VLOOKUP("2_"&amp;A62,SyS!$B:$P,10,FALSE()),0)</f>
        <v>0</v>
      </c>
      <c r="G62" s="39">
        <f>IFERROR(VLOOKUP("2_"&amp;A62,SyS!$B:$P,12,FALSE()),0)</f>
        <v>0</v>
      </c>
      <c r="H62" s="40">
        <f>+F62-G62</f>
        <v>0</v>
      </c>
      <c r="I62" s="39"/>
      <c r="J62" s="39"/>
      <c r="K62" s="39"/>
      <c r="L62" s="39"/>
      <c r="M62" s="39"/>
      <c r="N62" s="39"/>
      <c r="O62" s="38">
        <f>IFERROR(VLOOKUP("14_"&amp;A62,SyS!$B:$P,10,FALSE()),0)</f>
        <v>0</v>
      </c>
      <c r="P62" s="39">
        <f>IFERROR(VLOOKUP("14_"&amp;A62,SyS!$B:$P,12,FALSE()),0)</f>
        <v>0</v>
      </c>
      <c r="Q62" s="40">
        <f>+O62-P62</f>
        <v>0</v>
      </c>
      <c r="R62" s="38">
        <f>IFERROR(VLOOKUP("15_"&amp;A62,SyS!$B:$P,10,FALSE()),0)</f>
        <v>0</v>
      </c>
      <c r="S62" s="39">
        <f>IFERROR(VLOOKUP("15_"&amp;A62,SyS!$B:$P,12,FALSE()),0)</f>
        <v>0</v>
      </c>
      <c r="T62" s="40">
        <f>+R62-S62</f>
        <v>0</v>
      </c>
      <c r="U62" s="38">
        <f>IFERROR(VLOOKUP("16_"&amp;A62,SyS!$B:$P,10,FALSE()),0)</f>
        <v>0</v>
      </c>
      <c r="V62" s="39">
        <f>IFERROR(VLOOKUP("16_"&amp;A62,SyS!$B:$P,12,FALSE()),0)</f>
        <v>0</v>
      </c>
      <c r="W62" s="40">
        <f>+U62-V62</f>
        <v>0</v>
      </c>
      <c r="X62" s="38">
        <f>IFERROR(VLOOKUP("13_"&amp;A62,SyS!$B:$P,10,FALSE()),0)</f>
        <v>0</v>
      </c>
      <c r="Y62" s="39">
        <f>IFERROR(VLOOKUP("13_"&amp;A62,SyS!$B:$P,12,FALSE()),0)</f>
        <v>0</v>
      </c>
      <c r="Z62" s="40">
        <f>+X62-Y62</f>
        <v>0</v>
      </c>
      <c r="AA62" s="38">
        <f>IFERROR(VLOOKUP("17_"&amp;A62,SyS!$B:$P,10,FALSE()),0)</f>
        <v>0</v>
      </c>
      <c r="AB62" s="39">
        <f>IFERROR(VLOOKUP("17_"&amp;A62,SyS!$B:$P,12,FALSE()),0)</f>
        <v>0</v>
      </c>
      <c r="AC62" s="40">
        <f>+AA62-AB62</f>
        <v>0</v>
      </c>
      <c r="AD62" s="39"/>
      <c r="AE62" s="39"/>
      <c r="AF62" s="39"/>
      <c r="AG62" s="39">
        <f>IFERROR(VLOOKUP("19_"&amp;A62,SyS!$B:$P,10,FALSE()),0)</f>
        <v>0</v>
      </c>
      <c r="AH62" s="39">
        <f>IFERROR(VLOOKUP("19_"&amp;A62,SyS!$B:$P,12,FALSE()),0)</f>
        <v>0</v>
      </c>
      <c r="AI62" s="39">
        <f>+AG62-AH62</f>
        <v>0</v>
      </c>
      <c r="AJ62" s="39"/>
      <c r="AK62" s="39"/>
      <c r="AL62" s="39"/>
      <c r="AM62" s="39">
        <f>IFERROR(VLOOKUP("23_"&amp;A62,SyS!$B:$P,10,FALSE()),0)</f>
        <v>0</v>
      </c>
      <c r="AN62" s="39">
        <f>IFERROR(VLOOKUP("23_"&amp;A62,SyS!$B:$P,12,FALSE()),0)</f>
        <v>0</v>
      </c>
      <c r="AO62" s="40">
        <f>+AM62-AN62</f>
        <v>0</v>
      </c>
      <c r="AP62" s="39"/>
      <c r="AQ62" s="39"/>
      <c r="AR62" s="39"/>
      <c r="AS62" s="39"/>
      <c r="AT62" s="39"/>
      <c r="AU62" s="39"/>
      <c r="AV62" s="39"/>
      <c r="AW62" s="39"/>
      <c r="AX62" s="39"/>
      <c r="AY62" s="39"/>
      <c r="AZ62" s="39"/>
      <c r="BA62" s="39"/>
      <c r="BB62" s="39"/>
      <c r="BC62" s="39"/>
      <c r="BD62" s="39"/>
      <c r="BE62" s="39"/>
      <c r="BF62" s="39"/>
      <c r="BG62" s="39"/>
      <c r="BH62" s="39"/>
      <c r="BI62" s="39"/>
      <c r="BJ62" s="39"/>
      <c r="BK62" s="39">
        <f>IFERROR(VLOOKUP("29_"&amp;A62,SyS!$B:$P,10,FALSE()),0)</f>
        <v>0</v>
      </c>
      <c r="BL62" s="39">
        <f>IFERROR(VLOOKUP("29_"&amp;A62,SyS!$B:$P,12,FALSE()),0)</f>
        <v>0</v>
      </c>
      <c r="BM62" s="39">
        <f>+BK62-BL62</f>
        <v>0</v>
      </c>
      <c r="BN62" s="38">
        <f>IFERROR(VLOOKUP("30_"&amp;A62,SyS!$B:$P,10,FALSE()),0)</f>
        <v>0</v>
      </c>
      <c r="BO62" s="39">
        <f>IFERROR(VLOOKUP("30_"&amp;A62,SyS!$B:$P,12,FALSE()),0)</f>
        <v>0</v>
      </c>
      <c r="BP62" s="40">
        <f>+BN62-BO62</f>
        <v>0</v>
      </c>
      <c r="BQ62" s="45">
        <f>+E62+H62+K62+Q62+T62+W62+Z62+AC62+AF62+AI62+AL62+AO62+AR62+AU62+AX62+BA62+BD62+BG62+BJ62+BM62+BP62</f>
        <v>0</v>
      </c>
    </row>
    <row r="63" ht="11.25" customHeight="1" spans="1:69" x14ac:dyDescent="0.25">
      <c r="A63" s="44">
        <v>42411000</v>
      </c>
      <c r="B63" s="44" t="s">
        <v>294</v>
      </c>
      <c r="C63" s="38">
        <f>IFERROR(VLOOKUP("1_"&amp;A63,SyS!$B:$P,10,FALSE()),0)</f>
        <v>0</v>
      </c>
      <c r="D63" s="39">
        <f>IFERROR(VLOOKUP("1_"&amp;A63,SyS!$B:$P,12,FALSE()),0)</f>
        <v>0</v>
      </c>
      <c r="E63" s="39">
        <f>+C63-D63</f>
        <v>0</v>
      </c>
      <c r="F63" s="38">
        <f>IFERROR(VLOOKUP("2_"&amp;A63,SyS!$B:$P,10,FALSE()),0)</f>
        <v>0</v>
      </c>
      <c r="G63" s="39">
        <f>IFERROR(VLOOKUP("2_"&amp;A63,SyS!$B:$P,12,FALSE()),0)</f>
        <v>0</v>
      </c>
      <c r="H63" s="40">
        <f>+F63-G63</f>
        <v>0</v>
      </c>
      <c r="I63" s="39"/>
      <c r="J63" s="39"/>
      <c r="K63" s="39"/>
      <c r="L63" s="39"/>
      <c r="M63" s="39"/>
      <c r="N63" s="39"/>
      <c r="O63" s="38">
        <f>IFERROR(VLOOKUP("14_"&amp;A63,SyS!$B:$P,10,FALSE()),0)</f>
        <v>0</v>
      </c>
      <c r="P63" s="39">
        <f>IFERROR(VLOOKUP("14_"&amp;A63,SyS!$B:$P,12,FALSE()),0)</f>
        <v>0</v>
      </c>
      <c r="Q63" s="40">
        <f>+O63-P63</f>
        <v>0</v>
      </c>
      <c r="R63" s="38">
        <f>IFERROR(VLOOKUP("15_"&amp;A63,SyS!$B:$P,10,FALSE()),0)</f>
        <v>0</v>
      </c>
      <c r="S63" s="39">
        <f>IFERROR(VLOOKUP("15_"&amp;A63,SyS!$B:$P,12,FALSE()),0)</f>
        <v>0</v>
      </c>
      <c r="T63" s="40">
        <f>+R63-S63</f>
        <v>0</v>
      </c>
      <c r="U63" s="38">
        <f>IFERROR(VLOOKUP("16_"&amp;A63,SyS!$B:$P,10,FALSE()),0)</f>
        <v>0</v>
      </c>
      <c r="V63" s="39">
        <f>IFERROR(VLOOKUP("16_"&amp;A63,SyS!$B:$P,12,FALSE()),0)</f>
        <v>0</v>
      </c>
      <c r="W63" s="40">
        <f>+U63-V63</f>
        <v>0</v>
      </c>
      <c r="X63" s="38">
        <f>IFERROR(VLOOKUP("13_"&amp;A63,SyS!$B:$P,10,FALSE()),0)</f>
        <v>0</v>
      </c>
      <c r="Y63" s="39">
        <f>IFERROR(VLOOKUP("13_"&amp;A63,SyS!$B:$P,12,FALSE()),0)</f>
        <v>0</v>
      </c>
      <c r="Z63" s="40">
        <f>+X63-Y63</f>
        <v>0</v>
      </c>
      <c r="AA63" s="38">
        <f>IFERROR(VLOOKUP("17_"&amp;A63,SyS!$B:$P,10,FALSE()),0)</f>
        <v>0</v>
      </c>
      <c r="AB63" s="39">
        <f>IFERROR(VLOOKUP("17_"&amp;A63,SyS!$B:$P,12,FALSE()),0)</f>
        <v>0</v>
      </c>
      <c r="AC63" s="40">
        <f>+AA63-AB63</f>
        <v>0</v>
      </c>
      <c r="AD63" s="39"/>
      <c r="AE63" s="39"/>
      <c r="AF63" s="39"/>
      <c r="AG63" s="39">
        <f>IFERROR(VLOOKUP("19_"&amp;A63,SyS!$B:$P,10,FALSE()),0)</f>
        <v>0</v>
      </c>
      <c r="AH63" s="39">
        <f>IFERROR(VLOOKUP("19_"&amp;A63,SyS!$B:$P,12,FALSE()),0)</f>
        <v>0</v>
      </c>
      <c r="AI63" s="39">
        <f>+AG63-AH63</f>
        <v>0</v>
      </c>
      <c r="AJ63" s="39"/>
      <c r="AK63" s="39"/>
      <c r="AL63" s="39"/>
      <c r="AM63" s="39">
        <f>IFERROR(VLOOKUP("23_"&amp;A63,SyS!$B:$P,10,FALSE()),0)</f>
        <v>0</v>
      </c>
      <c r="AN63" s="39">
        <f>IFERROR(VLOOKUP("23_"&amp;A63,SyS!$B:$P,12,FALSE()),0)</f>
        <v>0</v>
      </c>
      <c r="AO63" s="40">
        <f>+AM63-AN63</f>
        <v>0</v>
      </c>
      <c r="AP63" s="39"/>
      <c r="AQ63" s="39"/>
      <c r="AR63" s="39"/>
      <c r="AS63" s="39"/>
      <c r="AT63" s="39"/>
      <c r="AU63" s="39"/>
      <c r="AV63" s="39"/>
      <c r="AW63" s="39"/>
      <c r="AX63" s="39"/>
      <c r="AY63" s="39"/>
      <c r="AZ63" s="39"/>
      <c r="BA63" s="39"/>
      <c r="BB63" s="39"/>
      <c r="BC63" s="39"/>
      <c r="BD63" s="39"/>
      <c r="BE63" s="39"/>
      <c r="BF63" s="39"/>
      <c r="BG63" s="39"/>
      <c r="BH63" s="39"/>
      <c r="BI63" s="39"/>
      <c r="BJ63" s="39"/>
      <c r="BK63" s="39">
        <f>IFERROR(VLOOKUP("29_"&amp;A63,SyS!$B:$P,10,FALSE()),0)</f>
        <v>0</v>
      </c>
      <c r="BL63" s="39">
        <f>IFERROR(VLOOKUP("29_"&amp;A63,SyS!$B:$P,12,FALSE()),0)</f>
        <v>0</v>
      </c>
      <c r="BM63" s="39">
        <f>+BK63-BL63</f>
        <v>0</v>
      </c>
      <c r="BN63" s="38">
        <f>IFERROR(VLOOKUP("30_"&amp;A63,SyS!$B:$P,10,FALSE()),0)</f>
        <v>0</v>
      </c>
      <c r="BO63" s="39">
        <f>IFERROR(VLOOKUP("30_"&amp;A63,SyS!$B:$P,12,FALSE()),0)</f>
        <v>0</v>
      </c>
      <c r="BP63" s="40">
        <f>+BN63-BO63</f>
        <v>0</v>
      </c>
      <c r="BQ63" s="45">
        <f>+E63+H63+K63+Q63+T63+W63+Z63+AC63+AF63+AI63+AL63+AO63+AR63+AU63+AX63+BA63+BD63+BG63+BJ63+BM63+BP63</f>
        <v>0</v>
      </c>
    </row>
    <row r="64" ht="11.25" customHeight="1" spans="1:69" x14ac:dyDescent="0.25">
      <c r="A64" s="44">
        <v>42412000</v>
      </c>
      <c r="B64" s="44" t="s">
        <v>295</v>
      </c>
      <c r="C64" s="38">
        <f>IFERROR(VLOOKUP("1_"&amp;A64,SyS!$B:$P,10,FALSE()),0)</f>
        <v>0</v>
      </c>
      <c r="D64" s="39">
        <f>IFERROR(VLOOKUP("1_"&amp;A64,SyS!$B:$P,12,FALSE()),0)</f>
        <v>0</v>
      </c>
      <c r="E64" s="39">
        <f>+C64-D64</f>
        <v>0</v>
      </c>
      <c r="F64" s="38">
        <f>IFERROR(VLOOKUP("2_"&amp;A64,SyS!$B:$P,10,FALSE()),0)</f>
        <v>0</v>
      </c>
      <c r="G64" s="39">
        <f>IFERROR(VLOOKUP("2_"&amp;A64,SyS!$B:$P,12,FALSE()),0)</f>
        <v>0</v>
      </c>
      <c r="H64" s="40">
        <f>+F64-G64</f>
        <v>0</v>
      </c>
      <c r="I64" s="39"/>
      <c r="J64" s="39"/>
      <c r="K64" s="39"/>
      <c r="L64" s="39"/>
      <c r="M64" s="39"/>
      <c r="N64" s="39"/>
      <c r="O64" s="38">
        <f>IFERROR(VLOOKUP("14_"&amp;A64,SyS!$B:$P,10,FALSE()),0)</f>
        <v>0</v>
      </c>
      <c r="P64" s="39">
        <f>IFERROR(VLOOKUP("14_"&amp;A64,SyS!$B:$P,12,FALSE()),0)</f>
        <v>0</v>
      </c>
      <c r="Q64" s="40">
        <f>+O64-P64</f>
        <v>0</v>
      </c>
      <c r="R64" s="38">
        <f>IFERROR(VLOOKUP("15_"&amp;A64,SyS!$B:$P,10,FALSE()),0)</f>
        <v>0</v>
      </c>
      <c r="S64" s="39">
        <f>IFERROR(VLOOKUP("15_"&amp;A64,SyS!$B:$P,12,FALSE()),0)</f>
        <v>0</v>
      </c>
      <c r="T64" s="40">
        <f>+R64-S64</f>
        <v>0</v>
      </c>
      <c r="U64" s="38">
        <f>IFERROR(VLOOKUP("16_"&amp;A64,SyS!$B:$P,10,FALSE()),0)</f>
        <v>0</v>
      </c>
      <c r="V64" s="39">
        <f>IFERROR(VLOOKUP("16_"&amp;A64,SyS!$B:$P,12,FALSE()),0)</f>
        <v>0</v>
      </c>
      <c r="W64" s="40">
        <f>+U64-V64</f>
        <v>0</v>
      </c>
      <c r="X64" s="38">
        <f>IFERROR(VLOOKUP("13_"&amp;A64,SyS!$B:$P,10,FALSE()),0)</f>
        <v>0</v>
      </c>
      <c r="Y64" s="39">
        <f>IFERROR(VLOOKUP("13_"&amp;A64,SyS!$B:$P,12,FALSE()),0)</f>
        <v>0</v>
      </c>
      <c r="Z64" s="40">
        <f>+X64-Y64</f>
        <v>0</v>
      </c>
      <c r="AA64" s="38">
        <f>IFERROR(VLOOKUP("17_"&amp;A64,SyS!$B:$P,10,FALSE()),0)</f>
        <v>0</v>
      </c>
      <c r="AB64" s="39">
        <f>IFERROR(VLOOKUP("17_"&amp;A64,SyS!$B:$P,12,FALSE()),0)</f>
        <v>0</v>
      </c>
      <c r="AC64" s="40">
        <f>+AA64-AB64</f>
        <v>0</v>
      </c>
      <c r="AD64" s="39"/>
      <c r="AE64" s="39"/>
      <c r="AF64" s="39"/>
      <c r="AG64" s="39">
        <f>IFERROR(VLOOKUP("19_"&amp;A64,SyS!$B:$P,10,FALSE()),0)</f>
        <v>0</v>
      </c>
      <c r="AH64" s="39">
        <f>IFERROR(VLOOKUP("19_"&amp;A64,SyS!$B:$P,12,FALSE()),0)</f>
        <v>0</v>
      </c>
      <c r="AI64" s="39">
        <f>+AG64-AH64</f>
        <v>0</v>
      </c>
      <c r="AJ64" s="39"/>
      <c r="AK64" s="39"/>
      <c r="AL64" s="39"/>
      <c r="AM64" s="39">
        <f>IFERROR(VLOOKUP("23_"&amp;A64,SyS!$B:$P,10,FALSE()),0)</f>
        <v>0</v>
      </c>
      <c r="AN64" s="39">
        <f>IFERROR(VLOOKUP("23_"&amp;A64,SyS!$B:$P,12,FALSE()),0)</f>
        <v>0</v>
      </c>
      <c r="AO64" s="40">
        <f>+AM64-AN64</f>
        <v>0</v>
      </c>
      <c r="AP64" s="39"/>
      <c r="AQ64" s="39"/>
      <c r="AR64" s="39"/>
      <c r="AS64" s="39"/>
      <c r="AT64" s="39"/>
      <c r="AU64" s="39"/>
      <c r="AV64" s="39"/>
      <c r="AW64" s="39"/>
      <c r="AX64" s="39"/>
      <c r="AY64" s="39"/>
      <c r="AZ64" s="39"/>
      <c r="BA64" s="39"/>
      <c r="BB64" s="39"/>
      <c r="BC64" s="39"/>
      <c r="BD64" s="39"/>
      <c r="BE64" s="39"/>
      <c r="BF64" s="39"/>
      <c r="BG64" s="39"/>
      <c r="BH64" s="39"/>
      <c r="BI64" s="39"/>
      <c r="BJ64" s="39"/>
      <c r="BK64" s="39">
        <f>IFERROR(VLOOKUP("29_"&amp;A64,SyS!$B:$P,10,FALSE()),0)</f>
        <v>0</v>
      </c>
      <c r="BL64" s="39">
        <f>IFERROR(VLOOKUP("29_"&amp;A64,SyS!$B:$P,12,FALSE()),0)</f>
        <v>0</v>
      </c>
      <c r="BM64" s="39">
        <f>+BK64-BL64</f>
        <v>0</v>
      </c>
      <c r="BN64" s="38">
        <f>IFERROR(VLOOKUP("30_"&amp;A64,SyS!$B:$P,10,FALSE()),0)</f>
        <v>0</v>
      </c>
      <c r="BO64" s="39">
        <f>IFERROR(VLOOKUP("30_"&amp;A64,SyS!$B:$P,12,FALSE()),0)</f>
        <v>0</v>
      </c>
      <c r="BP64" s="40">
        <f>+BN64-BO64</f>
        <v>0</v>
      </c>
      <c r="BQ64" s="45">
        <f>+E64+H64+K64+Q64+T64+W64+Z64+AC64+AF64+AI64+AL64+AO64+AR64+AU64+AX64+BA64+BD64+BG64+BJ64+BM64+BP64</f>
        <v>0</v>
      </c>
    </row>
    <row r="65" ht="11.25" customHeight="1" spans="1:69" x14ac:dyDescent="0.25">
      <c r="A65" s="44">
        <v>42413000</v>
      </c>
      <c r="B65" s="44" t="s">
        <v>296</v>
      </c>
      <c r="C65" s="38">
        <f>IFERROR(VLOOKUP("1_"&amp;A65,SyS!$B:$P,10,FALSE()),0)</f>
        <v>0</v>
      </c>
      <c r="D65" s="39">
        <f>IFERROR(VLOOKUP("1_"&amp;A65,SyS!$B:$P,12,FALSE()),0)</f>
        <v>0</v>
      </c>
      <c r="E65" s="39">
        <f>+C65-D65</f>
        <v>0</v>
      </c>
      <c r="F65" s="38">
        <f>IFERROR(VLOOKUP("2_"&amp;A65,SyS!$B:$P,10,FALSE()),0)</f>
        <v>0</v>
      </c>
      <c r="G65" s="39">
        <f>IFERROR(VLOOKUP("2_"&amp;A65,SyS!$B:$P,12,FALSE()),0)</f>
        <v>0</v>
      </c>
      <c r="H65" s="40">
        <f>+F65-G65</f>
        <v>0</v>
      </c>
      <c r="I65" s="39"/>
      <c r="J65" s="39"/>
      <c r="K65" s="39"/>
      <c r="L65" s="39"/>
      <c r="M65" s="39"/>
      <c r="N65" s="39"/>
      <c r="O65" s="38">
        <f>IFERROR(VLOOKUP("14_"&amp;A65,SyS!$B:$P,10,FALSE()),0)</f>
        <v>0</v>
      </c>
      <c r="P65" s="39">
        <f>IFERROR(VLOOKUP("14_"&amp;A65,SyS!$B:$P,12,FALSE()),0)</f>
        <v>0</v>
      </c>
      <c r="Q65" s="40">
        <f>+O65-P65</f>
        <v>0</v>
      </c>
      <c r="R65" s="38">
        <f>IFERROR(VLOOKUP("15_"&amp;A65,SyS!$B:$P,10,FALSE()),0)</f>
        <v>0</v>
      </c>
      <c r="S65" s="39">
        <f>IFERROR(VLOOKUP("15_"&amp;A65,SyS!$B:$P,12,FALSE()),0)</f>
        <v>0</v>
      </c>
      <c r="T65" s="40">
        <f>+R65-S65</f>
        <v>0</v>
      </c>
      <c r="U65" s="38">
        <f>IFERROR(VLOOKUP("16_"&amp;A65,SyS!$B:$P,10,FALSE()),0)</f>
        <v>0</v>
      </c>
      <c r="V65" s="39">
        <f>IFERROR(VLOOKUP("16_"&amp;A65,SyS!$B:$P,12,FALSE()),0)</f>
        <v>0</v>
      </c>
      <c r="W65" s="40">
        <f>+U65-V65</f>
        <v>0</v>
      </c>
      <c r="X65" s="38">
        <f>IFERROR(VLOOKUP("13_"&amp;A65,SyS!$B:$P,10,FALSE()),0)</f>
        <v>0</v>
      </c>
      <c r="Y65" s="39">
        <f>IFERROR(VLOOKUP("13_"&amp;A65,SyS!$B:$P,12,FALSE()),0)</f>
        <v>0</v>
      </c>
      <c r="Z65" s="40">
        <f>+X65-Y65</f>
        <v>0</v>
      </c>
      <c r="AA65" s="38">
        <f>IFERROR(VLOOKUP("17_"&amp;A65,SyS!$B:$P,10,FALSE()),0)</f>
        <v>0</v>
      </c>
      <c r="AB65" s="39">
        <f>IFERROR(VLOOKUP("17_"&amp;A65,SyS!$B:$P,12,FALSE()),0)</f>
        <v>0</v>
      </c>
      <c r="AC65" s="40">
        <f>+AA65-AB65</f>
        <v>0</v>
      </c>
      <c r="AD65" s="39"/>
      <c r="AE65" s="39"/>
      <c r="AF65" s="39"/>
      <c r="AG65" s="39">
        <f>IFERROR(VLOOKUP("19_"&amp;A65,SyS!$B:$P,10,FALSE()),0)</f>
        <v>0</v>
      </c>
      <c r="AH65" s="39">
        <f>IFERROR(VLOOKUP("19_"&amp;A65,SyS!$B:$P,12,FALSE()),0)</f>
        <v>0</v>
      </c>
      <c r="AI65" s="39">
        <f>+AG65-AH65</f>
        <v>0</v>
      </c>
      <c r="AJ65" s="39"/>
      <c r="AK65" s="39"/>
      <c r="AL65" s="39"/>
      <c r="AM65" s="39">
        <f>IFERROR(VLOOKUP("23_"&amp;A65,SyS!$B:$P,10,FALSE()),0)</f>
        <v>0</v>
      </c>
      <c r="AN65" s="39">
        <f>IFERROR(VLOOKUP("23_"&amp;A65,SyS!$B:$P,12,FALSE()),0)</f>
        <v>0</v>
      </c>
      <c r="AO65" s="40">
        <f>+AM65-AN65</f>
        <v>0</v>
      </c>
      <c r="AP65" s="39"/>
      <c r="AQ65" s="39"/>
      <c r="AR65" s="39"/>
      <c r="AS65" s="39"/>
      <c r="AT65" s="39"/>
      <c r="AU65" s="39"/>
      <c r="AV65" s="39"/>
      <c r="AW65" s="39"/>
      <c r="AX65" s="39"/>
      <c r="AY65" s="39"/>
      <c r="AZ65" s="39"/>
      <c r="BA65" s="39"/>
      <c r="BB65" s="39"/>
      <c r="BC65" s="39"/>
      <c r="BD65" s="39"/>
      <c r="BE65" s="39"/>
      <c r="BF65" s="39"/>
      <c r="BG65" s="39"/>
      <c r="BH65" s="39"/>
      <c r="BI65" s="39"/>
      <c r="BJ65" s="39"/>
      <c r="BK65" s="39">
        <f>IFERROR(VLOOKUP("29_"&amp;A65,SyS!$B:$P,10,FALSE()),0)</f>
        <v>0</v>
      </c>
      <c r="BL65" s="39">
        <f>IFERROR(VLOOKUP("29_"&amp;A65,SyS!$B:$P,12,FALSE()),0)</f>
        <v>0</v>
      </c>
      <c r="BM65" s="39">
        <f>+BK65-BL65</f>
        <v>0</v>
      </c>
      <c r="BN65" s="38">
        <f>IFERROR(VLOOKUP("30_"&amp;A65,SyS!$B:$P,10,FALSE()),0)</f>
        <v>0</v>
      </c>
      <c r="BO65" s="39">
        <f>IFERROR(VLOOKUP("30_"&amp;A65,SyS!$B:$P,12,FALSE()),0)</f>
        <v>0</v>
      </c>
      <c r="BP65" s="40">
        <f>+BN65-BO65</f>
        <v>0</v>
      </c>
      <c r="BQ65" s="45">
        <f>+E65+H65+K65+Q65+T65+W65+Z65+AC65+AF65+AI65+AL65+AO65+AR65+AU65+AX65+BA65+BD65+BG65+BJ65+BM65+BP65</f>
        <v>0</v>
      </c>
    </row>
    <row r="66" ht="11.25" customHeight="1" spans="1:69" x14ac:dyDescent="0.25">
      <c r="A66" s="44">
        <v>42414000</v>
      </c>
      <c r="B66" s="44" t="s">
        <v>297</v>
      </c>
      <c r="C66" s="38">
        <f>IFERROR(VLOOKUP("1_"&amp;A66,SyS!$B:$P,10,FALSE()),0)</f>
        <v>0</v>
      </c>
      <c r="D66" s="39">
        <f>IFERROR(VLOOKUP("1_"&amp;A66,SyS!$B:$P,12,FALSE()),0)</f>
        <v>0</v>
      </c>
      <c r="E66" s="39">
        <f>+C66-D66</f>
        <v>0</v>
      </c>
      <c r="F66" s="38">
        <f>IFERROR(VLOOKUP("2_"&amp;A66,SyS!$B:$P,10,FALSE()),0)</f>
        <v>0</v>
      </c>
      <c r="G66" s="39">
        <f>IFERROR(VLOOKUP("2_"&amp;A66,SyS!$B:$P,12,FALSE()),0)</f>
        <v>0</v>
      </c>
      <c r="H66" s="40">
        <f>+F66-G66</f>
        <v>0</v>
      </c>
      <c r="I66" s="39"/>
      <c r="J66" s="39"/>
      <c r="K66" s="39"/>
      <c r="L66" s="39"/>
      <c r="M66" s="39"/>
      <c r="N66" s="39"/>
      <c r="O66" s="38">
        <f>IFERROR(VLOOKUP("14_"&amp;A66,SyS!$B:$P,10,FALSE()),0)</f>
        <v>0</v>
      </c>
      <c r="P66" s="39">
        <f>IFERROR(VLOOKUP("14_"&amp;A66,SyS!$B:$P,12,FALSE()),0)</f>
        <v>0</v>
      </c>
      <c r="Q66" s="40">
        <f>+O66-P66</f>
        <v>0</v>
      </c>
      <c r="R66" s="38">
        <f>IFERROR(VLOOKUP("15_"&amp;A66,SyS!$B:$P,10,FALSE()),0)</f>
        <v>0</v>
      </c>
      <c r="S66" s="39">
        <f>IFERROR(VLOOKUP("15_"&amp;A66,SyS!$B:$P,12,FALSE()),0)</f>
        <v>0</v>
      </c>
      <c r="T66" s="40">
        <f>+R66-S66</f>
        <v>0</v>
      </c>
      <c r="U66" s="38">
        <f>IFERROR(VLOOKUP("16_"&amp;A66,SyS!$B:$P,10,FALSE()),0)</f>
        <v>0</v>
      </c>
      <c r="V66" s="39">
        <f>IFERROR(VLOOKUP("16_"&amp;A66,SyS!$B:$P,12,FALSE()),0)</f>
        <v>0</v>
      </c>
      <c r="W66" s="40">
        <f>+U66-V66</f>
        <v>0</v>
      </c>
      <c r="X66" s="38">
        <f>IFERROR(VLOOKUP("13_"&amp;A66,SyS!$B:$P,10,FALSE()),0)</f>
        <v>0</v>
      </c>
      <c r="Y66" s="39">
        <f>IFERROR(VLOOKUP("13_"&amp;A66,SyS!$B:$P,12,FALSE()),0)</f>
        <v>0</v>
      </c>
      <c r="Z66" s="40">
        <f>+X66-Y66</f>
        <v>0</v>
      </c>
      <c r="AA66" s="38">
        <f>IFERROR(VLOOKUP("17_"&amp;A66,SyS!$B:$P,10,FALSE()),0)</f>
        <v>0</v>
      </c>
      <c r="AB66" s="39">
        <f>IFERROR(VLOOKUP("17_"&amp;A66,SyS!$B:$P,12,FALSE()),0)</f>
        <v>0</v>
      </c>
      <c r="AC66" s="40">
        <f>+AA66-AB66</f>
        <v>0</v>
      </c>
      <c r="AD66" s="39"/>
      <c r="AE66" s="39"/>
      <c r="AF66" s="39"/>
      <c r="AG66" s="39">
        <f>IFERROR(VLOOKUP("19_"&amp;A66,SyS!$B:$P,10,FALSE()),0)</f>
        <v>0</v>
      </c>
      <c r="AH66" s="39">
        <f>IFERROR(VLOOKUP("19_"&amp;A66,SyS!$B:$P,12,FALSE()),0)</f>
        <v>0</v>
      </c>
      <c r="AI66" s="39">
        <f>+AG66-AH66</f>
        <v>0</v>
      </c>
      <c r="AJ66" s="39"/>
      <c r="AK66" s="39"/>
      <c r="AL66" s="39"/>
      <c r="AM66" s="39">
        <f>IFERROR(VLOOKUP("23_"&amp;A66,SyS!$B:$P,10,FALSE()),0)</f>
        <v>0</v>
      </c>
      <c r="AN66" s="39">
        <f>IFERROR(VLOOKUP("23_"&amp;A66,SyS!$B:$P,12,FALSE()),0)</f>
        <v>0</v>
      </c>
      <c r="AO66" s="40">
        <f>+AM66-AN66</f>
        <v>0</v>
      </c>
      <c r="AP66" s="39"/>
      <c r="AQ66" s="39"/>
      <c r="AR66" s="39"/>
      <c r="AS66" s="39"/>
      <c r="AT66" s="39"/>
      <c r="AU66" s="39"/>
      <c r="AV66" s="39"/>
      <c r="AW66" s="39"/>
      <c r="AX66" s="39"/>
      <c r="AY66" s="39"/>
      <c r="AZ66" s="39"/>
      <c r="BA66" s="39"/>
      <c r="BB66" s="39"/>
      <c r="BC66" s="39"/>
      <c r="BD66" s="39"/>
      <c r="BE66" s="39"/>
      <c r="BF66" s="39"/>
      <c r="BG66" s="39"/>
      <c r="BH66" s="39"/>
      <c r="BI66" s="39"/>
      <c r="BJ66" s="39"/>
      <c r="BK66" s="39">
        <f>IFERROR(VLOOKUP("29_"&amp;A66,SyS!$B:$P,10,FALSE()),0)</f>
        <v>0</v>
      </c>
      <c r="BL66" s="39">
        <f>IFERROR(VLOOKUP("29_"&amp;A66,SyS!$B:$P,12,FALSE()),0)</f>
        <v>0</v>
      </c>
      <c r="BM66" s="39">
        <f>+BK66-BL66</f>
        <v>0</v>
      </c>
      <c r="BN66" s="38">
        <f>IFERROR(VLOOKUP("30_"&amp;A66,SyS!$B:$P,10,FALSE()),0)</f>
        <v>0</v>
      </c>
      <c r="BO66" s="39">
        <f>IFERROR(VLOOKUP("30_"&amp;A66,SyS!$B:$P,12,FALSE()),0)</f>
        <v>0</v>
      </c>
      <c r="BP66" s="40">
        <f>+BN66-BO66</f>
        <v>0</v>
      </c>
      <c r="BQ66" s="45">
        <f>+E66+H66+K66+Q66+T66+W66+Z66+AC66+AF66+AI66+AL66+AO66+AR66+AU66+AX66+BA66+BD66+BG66+BJ66+BM66+BP66</f>
        <v>0</v>
      </c>
    </row>
    <row r="67" ht="11.25" customHeight="1" spans="1:69" x14ac:dyDescent="0.25">
      <c r="A67" s="44">
        <v>42415000</v>
      </c>
      <c r="B67" s="44" t="s">
        <v>298</v>
      </c>
      <c r="C67" s="38">
        <f>IFERROR(VLOOKUP("1_"&amp;A67,SyS!$B:$P,10,FALSE()),0)</f>
        <v>0</v>
      </c>
      <c r="D67" s="39">
        <f>IFERROR(VLOOKUP("1_"&amp;A67,SyS!$B:$P,12,FALSE()),0)</f>
        <v>0</v>
      </c>
      <c r="E67" s="39">
        <f>+C67-D67</f>
        <v>0</v>
      </c>
      <c r="F67" s="38">
        <f>IFERROR(VLOOKUP("2_"&amp;A67,SyS!$B:$P,10,FALSE()),0)</f>
        <v>0</v>
      </c>
      <c r="G67" s="39">
        <f>IFERROR(VLOOKUP("2_"&amp;A67,SyS!$B:$P,12,FALSE()),0)</f>
        <v>0</v>
      </c>
      <c r="H67" s="40">
        <f>+F67-G67</f>
        <v>0</v>
      </c>
      <c r="I67" s="39"/>
      <c r="J67" s="39"/>
      <c r="K67" s="39"/>
      <c r="L67" s="39"/>
      <c r="M67" s="39"/>
      <c r="N67" s="39"/>
      <c r="O67" s="38">
        <f>IFERROR(VLOOKUP("14_"&amp;A67,SyS!$B:$P,10,FALSE()),0)</f>
        <v>0</v>
      </c>
      <c r="P67" s="39">
        <f>IFERROR(VLOOKUP("14_"&amp;A67,SyS!$B:$P,12,FALSE()),0)</f>
        <v>0</v>
      </c>
      <c r="Q67" s="40">
        <f>+O67-P67</f>
        <v>0</v>
      </c>
      <c r="R67" s="38">
        <f>IFERROR(VLOOKUP("15_"&amp;A67,SyS!$B:$P,10,FALSE()),0)</f>
        <v>0</v>
      </c>
      <c r="S67" s="39">
        <f>IFERROR(VLOOKUP("15_"&amp;A67,SyS!$B:$P,12,FALSE()),0)</f>
        <v>0</v>
      </c>
      <c r="T67" s="40">
        <f>+R67-S67</f>
        <v>0</v>
      </c>
      <c r="U67" s="38">
        <f>IFERROR(VLOOKUP("16_"&amp;A67,SyS!$B:$P,10,FALSE()),0)</f>
        <v>0</v>
      </c>
      <c r="V67" s="39">
        <f>IFERROR(VLOOKUP("16_"&amp;A67,SyS!$B:$P,12,FALSE()),0)</f>
        <v>0</v>
      </c>
      <c r="W67" s="40">
        <f>+U67-V67</f>
        <v>0</v>
      </c>
      <c r="X67" s="38">
        <f>IFERROR(VLOOKUP("13_"&amp;A67,SyS!$B:$P,10,FALSE()),0)</f>
        <v>0</v>
      </c>
      <c r="Y67" s="39">
        <f>IFERROR(VLOOKUP("13_"&amp;A67,SyS!$B:$P,12,FALSE()),0)</f>
        <v>0</v>
      </c>
      <c r="Z67" s="40">
        <f>+X67-Y67</f>
        <v>0</v>
      </c>
      <c r="AA67" s="38">
        <f>IFERROR(VLOOKUP("17_"&amp;A67,SyS!$B:$P,10,FALSE()),0)</f>
        <v>0</v>
      </c>
      <c r="AB67" s="39">
        <f>IFERROR(VLOOKUP("17_"&amp;A67,SyS!$B:$P,12,FALSE()),0)</f>
        <v>0</v>
      </c>
      <c r="AC67" s="40">
        <f>+AA67-AB67</f>
        <v>0</v>
      </c>
      <c r="AD67" s="39"/>
      <c r="AE67" s="39"/>
      <c r="AF67" s="39"/>
      <c r="AG67" s="39">
        <f>IFERROR(VLOOKUP("19_"&amp;A67,SyS!$B:$P,10,FALSE()),0)</f>
        <v>0</v>
      </c>
      <c r="AH67" s="39">
        <f>IFERROR(VLOOKUP("19_"&amp;A67,SyS!$B:$P,12,FALSE()),0)</f>
        <v>0</v>
      </c>
      <c r="AI67" s="39">
        <f>+AG67-AH67</f>
        <v>0</v>
      </c>
      <c r="AJ67" s="39"/>
      <c r="AK67" s="39"/>
      <c r="AL67" s="39"/>
      <c r="AM67" s="39">
        <f>IFERROR(VLOOKUP("23_"&amp;A67,SyS!$B:$P,10,FALSE()),0)</f>
        <v>0</v>
      </c>
      <c r="AN67" s="39">
        <f>IFERROR(VLOOKUP("23_"&amp;A67,SyS!$B:$P,12,FALSE()),0)</f>
        <v>0</v>
      </c>
      <c r="AO67" s="40">
        <f>+AM67-AN67</f>
        <v>0</v>
      </c>
      <c r="AP67" s="39"/>
      <c r="AQ67" s="39"/>
      <c r="AR67" s="39"/>
      <c r="AS67" s="39"/>
      <c r="AT67" s="39"/>
      <c r="AU67" s="39"/>
      <c r="AV67" s="39"/>
      <c r="AW67" s="39"/>
      <c r="AX67" s="39"/>
      <c r="AY67" s="39"/>
      <c r="AZ67" s="39"/>
      <c r="BA67" s="39"/>
      <c r="BB67" s="39"/>
      <c r="BC67" s="39"/>
      <c r="BD67" s="39"/>
      <c r="BE67" s="39"/>
      <c r="BF67" s="39"/>
      <c r="BG67" s="39"/>
      <c r="BH67" s="39"/>
      <c r="BI67" s="39"/>
      <c r="BJ67" s="39"/>
      <c r="BK67" s="39">
        <f>IFERROR(VLOOKUP("29_"&amp;A67,SyS!$B:$P,10,FALSE()),0)</f>
        <v>0</v>
      </c>
      <c r="BL67" s="39">
        <f>IFERROR(VLOOKUP("29_"&amp;A67,SyS!$B:$P,12,FALSE()),0)</f>
        <v>0</v>
      </c>
      <c r="BM67" s="39">
        <f>+BK67-BL67</f>
        <v>0</v>
      </c>
      <c r="BN67" s="38">
        <f>IFERROR(VLOOKUP("30_"&amp;A67,SyS!$B:$P,10,FALSE()),0)</f>
        <v>0</v>
      </c>
      <c r="BO67" s="39">
        <f>IFERROR(VLOOKUP("30_"&amp;A67,SyS!$B:$P,12,FALSE()),0)</f>
        <v>0</v>
      </c>
      <c r="BP67" s="40">
        <f>+BN67-BO67</f>
        <v>0</v>
      </c>
      <c r="BQ67" s="45">
        <f>+E67+H67+K67+Q67+T67+W67+Z67+AC67+AF67+AI67+AL67+AO67+AR67+AU67+AX67+BA67+BD67+BG67+BJ67+BM67+BP67</f>
        <v>0</v>
      </c>
    </row>
    <row r="68" ht="11.25" customHeight="1" spans="1:69" x14ac:dyDescent="0.25">
      <c r="A68" s="44">
        <v>42416000</v>
      </c>
      <c r="B68" s="44" t="s">
        <v>299</v>
      </c>
      <c r="C68" s="38">
        <f>IFERROR(VLOOKUP("1_"&amp;A68,SyS!$B:$P,10,FALSE()),0)</f>
        <v>0</v>
      </c>
      <c r="D68" s="39">
        <f>IFERROR(VLOOKUP("1_"&amp;A68,SyS!$B:$P,12,FALSE()),0)</f>
        <v>0</v>
      </c>
      <c r="E68" s="39">
        <f>+C68-D68</f>
        <v>0</v>
      </c>
      <c r="F68" s="38">
        <f>IFERROR(VLOOKUP("2_"&amp;A68,SyS!$B:$P,10,FALSE()),0)</f>
        <v>0</v>
      </c>
      <c r="G68" s="39">
        <f>IFERROR(VLOOKUP("2_"&amp;A68,SyS!$B:$P,12,FALSE()),0)</f>
        <v>0</v>
      </c>
      <c r="H68" s="40">
        <f>+F68-G68</f>
        <v>0</v>
      </c>
      <c r="I68" s="39"/>
      <c r="J68" s="39"/>
      <c r="K68" s="39"/>
      <c r="L68" s="39"/>
      <c r="M68" s="39"/>
      <c r="N68" s="39"/>
      <c r="O68" s="38">
        <f>IFERROR(VLOOKUP("14_"&amp;A68,SyS!$B:$P,10,FALSE()),0)</f>
        <v>0</v>
      </c>
      <c r="P68" s="39">
        <f>IFERROR(VLOOKUP("14_"&amp;A68,SyS!$B:$P,12,FALSE()),0)</f>
        <v>0</v>
      </c>
      <c r="Q68" s="40">
        <f>+O68-P68</f>
        <v>0</v>
      </c>
      <c r="R68" s="38">
        <f>IFERROR(VLOOKUP("15_"&amp;A68,SyS!$B:$P,10,FALSE()),0)</f>
        <v>0</v>
      </c>
      <c r="S68" s="39">
        <f>IFERROR(VLOOKUP("15_"&amp;A68,SyS!$B:$P,12,FALSE()),0)</f>
        <v>0</v>
      </c>
      <c r="T68" s="40">
        <f>+R68-S68</f>
        <v>0</v>
      </c>
      <c r="U68" s="38">
        <f>IFERROR(VLOOKUP("16_"&amp;A68,SyS!$B:$P,10,FALSE()),0)</f>
        <v>0</v>
      </c>
      <c r="V68" s="39">
        <f>IFERROR(VLOOKUP("16_"&amp;A68,SyS!$B:$P,12,FALSE()),0)</f>
        <v>0</v>
      </c>
      <c r="W68" s="40">
        <f>+U68-V68</f>
        <v>0</v>
      </c>
      <c r="X68" s="38">
        <f>IFERROR(VLOOKUP("13_"&amp;A68,SyS!$B:$P,10,FALSE()),0)</f>
        <v>0</v>
      </c>
      <c r="Y68" s="39">
        <f>IFERROR(VLOOKUP("13_"&amp;A68,SyS!$B:$P,12,FALSE()),0)</f>
        <v>0</v>
      </c>
      <c r="Z68" s="40">
        <f>+X68-Y68</f>
        <v>0</v>
      </c>
      <c r="AA68" s="38">
        <f>IFERROR(VLOOKUP("17_"&amp;A68,SyS!$B:$P,10,FALSE()),0)</f>
        <v>0</v>
      </c>
      <c r="AB68" s="39">
        <f>IFERROR(VLOOKUP("17_"&amp;A68,SyS!$B:$P,12,FALSE()),0)</f>
        <v>0</v>
      </c>
      <c r="AC68" s="40">
        <f>+AA68-AB68</f>
        <v>0</v>
      </c>
      <c r="AD68" s="39"/>
      <c r="AE68" s="39"/>
      <c r="AF68" s="39"/>
      <c r="AG68" s="39">
        <f>IFERROR(VLOOKUP("19_"&amp;A68,SyS!$B:$P,10,FALSE()),0)</f>
        <v>0</v>
      </c>
      <c r="AH68" s="39">
        <f>IFERROR(VLOOKUP("19_"&amp;A68,SyS!$B:$P,12,FALSE()),0)</f>
        <v>0</v>
      </c>
      <c r="AI68" s="39">
        <f>+AG68-AH68</f>
        <v>0</v>
      </c>
      <c r="AJ68" s="39"/>
      <c r="AK68" s="39"/>
      <c r="AL68" s="39"/>
      <c r="AM68" s="39">
        <f>IFERROR(VLOOKUP("23_"&amp;A68,SyS!$B:$P,10,FALSE()),0)</f>
        <v>0</v>
      </c>
      <c r="AN68" s="39">
        <f>IFERROR(VLOOKUP("23_"&amp;A68,SyS!$B:$P,12,FALSE()),0)</f>
        <v>0</v>
      </c>
      <c r="AO68" s="40">
        <f>+AM68-AN68</f>
        <v>0</v>
      </c>
      <c r="AP68" s="39"/>
      <c r="AQ68" s="39"/>
      <c r="AR68" s="39"/>
      <c r="AS68" s="39"/>
      <c r="AT68" s="39"/>
      <c r="AU68" s="39"/>
      <c r="AV68" s="39"/>
      <c r="AW68" s="39"/>
      <c r="AX68" s="39"/>
      <c r="AY68" s="39"/>
      <c r="AZ68" s="39"/>
      <c r="BA68" s="39"/>
      <c r="BB68" s="39"/>
      <c r="BC68" s="39"/>
      <c r="BD68" s="39"/>
      <c r="BE68" s="39"/>
      <c r="BF68" s="39"/>
      <c r="BG68" s="39"/>
      <c r="BH68" s="39"/>
      <c r="BI68" s="39"/>
      <c r="BJ68" s="39"/>
      <c r="BK68" s="39">
        <f>IFERROR(VLOOKUP("29_"&amp;A68,SyS!$B:$P,10,FALSE()),0)</f>
        <v>0</v>
      </c>
      <c r="BL68" s="39">
        <f>IFERROR(VLOOKUP("29_"&amp;A68,SyS!$B:$P,12,FALSE()),0)</f>
        <v>0</v>
      </c>
      <c r="BM68" s="39">
        <f>+BK68-BL68</f>
        <v>0</v>
      </c>
      <c r="BN68" s="38">
        <f>IFERROR(VLOOKUP("30_"&amp;A68,SyS!$B:$P,10,FALSE()),0)</f>
        <v>0</v>
      </c>
      <c r="BO68" s="39">
        <f>IFERROR(VLOOKUP("30_"&amp;A68,SyS!$B:$P,12,FALSE()),0)</f>
        <v>0</v>
      </c>
      <c r="BP68" s="40">
        <f>+BN68-BO68</f>
        <v>0</v>
      </c>
      <c r="BQ68" s="45">
        <f>+E68+H68+K68+Q68+T68+W68+Z68+AC68+AF68+AI68+AL68+AO68+AR68+AU68+AX68+BA68+BD68+BG68+BJ68+BM68+BP68</f>
        <v>0</v>
      </c>
    </row>
    <row r="69" ht="11.25" customHeight="1" spans="1:69" x14ac:dyDescent="0.25">
      <c r="A69" s="44">
        <v>42417000</v>
      </c>
      <c r="B69" s="44" t="s">
        <v>300</v>
      </c>
      <c r="C69" s="38">
        <f>IFERROR(VLOOKUP("1_"&amp;A69,SyS!$B:$P,10,FALSE()),0)</f>
        <v>0</v>
      </c>
      <c r="D69" s="39">
        <f>IFERROR(VLOOKUP("1_"&amp;A69,SyS!$B:$P,12,FALSE()),0)</f>
        <v>0</v>
      </c>
      <c r="E69" s="39">
        <f>+C69-D69</f>
        <v>0</v>
      </c>
      <c r="F69" s="38">
        <f>IFERROR(VLOOKUP("2_"&amp;A69,SyS!$B:$P,10,FALSE()),0)</f>
        <v>0</v>
      </c>
      <c r="G69" s="39">
        <f>IFERROR(VLOOKUP("2_"&amp;A69,SyS!$B:$P,12,FALSE()),0)</f>
        <v>0</v>
      </c>
      <c r="H69" s="40">
        <f>+F69-G69</f>
        <v>0</v>
      </c>
      <c r="I69" s="39"/>
      <c r="J69" s="39"/>
      <c r="K69" s="39"/>
      <c r="L69" s="39"/>
      <c r="M69" s="39"/>
      <c r="N69" s="39"/>
      <c r="O69" s="38">
        <f>IFERROR(VLOOKUP("14_"&amp;A69,SyS!$B:$P,10,FALSE()),0)</f>
        <v>0</v>
      </c>
      <c r="P69" s="39">
        <f>IFERROR(VLOOKUP("14_"&amp;A69,SyS!$B:$P,12,FALSE()),0)</f>
        <v>0</v>
      </c>
      <c r="Q69" s="40">
        <f>+O69-P69</f>
        <v>0</v>
      </c>
      <c r="R69" s="38">
        <f>IFERROR(VLOOKUP("15_"&amp;A69,SyS!$B:$P,10,FALSE()),0)</f>
        <v>0</v>
      </c>
      <c r="S69" s="39">
        <f>IFERROR(VLOOKUP("15_"&amp;A69,SyS!$B:$P,12,FALSE()),0)</f>
        <v>0</v>
      </c>
      <c r="T69" s="40">
        <f>+R69-S69</f>
        <v>0</v>
      </c>
      <c r="U69" s="38">
        <f>IFERROR(VLOOKUP("16_"&amp;A69,SyS!$B:$P,10,FALSE()),0)</f>
        <v>0</v>
      </c>
      <c r="V69" s="39">
        <f>IFERROR(VLOOKUP("16_"&amp;A69,SyS!$B:$P,12,FALSE()),0)</f>
        <v>0</v>
      </c>
      <c r="W69" s="40">
        <f>+U69-V69</f>
        <v>0</v>
      </c>
      <c r="X69" s="38">
        <f>IFERROR(VLOOKUP("13_"&amp;A69,SyS!$B:$P,10,FALSE()),0)</f>
        <v>0</v>
      </c>
      <c r="Y69" s="39">
        <f>IFERROR(VLOOKUP("13_"&amp;A69,SyS!$B:$P,12,FALSE()),0)</f>
        <v>0</v>
      </c>
      <c r="Z69" s="40">
        <f>+X69-Y69</f>
        <v>0</v>
      </c>
      <c r="AA69" s="38">
        <f>IFERROR(VLOOKUP("17_"&amp;A69,SyS!$B:$P,10,FALSE()),0)</f>
        <v>0</v>
      </c>
      <c r="AB69" s="39">
        <f>IFERROR(VLOOKUP("17_"&amp;A69,SyS!$B:$P,12,FALSE()),0)</f>
        <v>0</v>
      </c>
      <c r="AC69" s="40">
        <f>+AA69-AB69</f>
        <v>0</v>
      </c>
      <c r="AD69" s="39"/>
      <c r="AE69" s="39"/>
      <c r="AF69" s="39"/>
      <c r="AG69" s="39">
        <f>IFERROR(VLOOKUP("19_"&amp;A69,SyS!$B:$P,10,FALSE()),0)</f>
        <v>0</v>
      </c>
      <c r="AH69" s="39">
        <f>IFERROR(VLOOKUP("19_"&amp;A69,SyS!$B:$P,12,FALSE()),0)</f>
        <v>0</v>
      </c>
      <c r="AI69" s="39">
        <f>+AG69-AH69</f>
        <v>0</v>
      </c>
      <c r="AJ69" s="39"/>
      <c r="AK69" s="39"/>
      <c r="AL69" s="39"/>
      <c r="AM69" s="39">
        <f>IFERROR(VLOOKUP("23_"&amp;A69,SyS!$B:$P,10,FALSE()),0)</f>
        <v>0</v>
      </c>
      <c r="AN69" s="39">
        <f>IFERROR(VLOOKUP("23_"&amp;A69,SyS!$B:$P,12,FALSE()),0)</f>
        <v>0</v>
      </c>
      <c r="AO69" s="40">
        <f>+AM69-AN69</f>
        <v>0</v>
      </c>
      <c r="AP69" s="39"/>
      <c r="AQ69" s="39"/>
      <c r="AR69" s="39"/>
      <c r="AS69" s="39"/>
      <c r="AT69" s="39"/>
      <c r="AU69" s="39"/>
      <c r="AV69" s="39"/>
      <c r="AW69" s="39"/>
      <c r="AX69" s="39"/>
      <c r="AY69" s="39"/>
      <c r="AZ69" s="39"/>
      <c r="BA69" s="39"/>
      <c r="BB69" s="39"/>
      <c r="BC69" s="39"/>
      <c r="BD69" s="39"/>
      <c r="BE69" s="39"/>
      <c r="BF69" s="39"/>
      <c r="BG69" s="39"/>
      <c r="BH69" s="39"/>
      <c r="BI69" s="39"/>
      <c r="BJ69" s="39"/>
      <c r="BK69" s="39">
        <f>IFERROR(VLOOKUP("29_"&amp;A69,SyS!$B:$P,10,FALSE()),0)</f>
        <v>0</v>
      </c>
      <c r="BL69" s="39">
        <f>IFERROR(VLOOKUP("29_"&amp;A69,SyS!$B:$P,12,FALSE()),0)</f>
        <v>0</v>
      </c>
      <c r="BM69" s="39">
        <f>+BK69-BL69</f>
        <v>0</v>
      </c>
      <c r="BN69" s="38">
        <f>IFERROR(VLOOKUP("30_"&amp;A69,SyS!$B:$P,10,FALSE()),0)</f>
        <v>0</v>
      </c>
      <c r="BO69" s="39">
        <f>IFERROR(VLOOKUP("30_"&amp;A69,SyS!$B:$P,12,FALSE()),0)</f>
        <v>0</v>
      </c>
      <c r="BP69" s="40">
        <f>+BN69-BO69</f>
        <v>0</v>
      </c>
      <c r="BQ69" s="45">
        <f>+E69+H69+K69+Q69+T69+W69+Z69+AC69+AF69+AI69+AL69+AO69+AR69+AU69+AX69+BA69+BD69+BG69+BJ69+BM69+BP69</f>
        <v>0</v>
      </c>
    </row>
    <row r="70" ht="11.25" customHeight="1" spans="1:69" x14ac:dyDescent="0.25">
      <c r="A70" s="44">
        <v>42418000</v>
      </c>
      <c r="B70" s="44" t="s">
        <v>301</v>
      </c>
      <c r="C70" s="38">
        <f>IFERROR(VLOOKUP("1_"&amp;A70,SyS!$B:$P,10,FALSE()),0)</f>
        <v>0</v>
      </c>
      <c r="D70" s="39">
        <f>IFERROR(VLOOKUP("1_"&amp;A70,SyS!$B:$P,12,FALSE()),0)</f>
        <v>0</v>
      </c>
      <c r="E70" s="39">
        <f>+C70-D70</f>
        <v>0</v>
      </c>
      <c r="F70" s="38">
        <f>IFERROR(VLOOKUP("2_"&amp;A70,SyS!$B:$P,10,FALSE()),0)</f>
        <v>0</v>
      </c>
      <c r="G70" s="39">
        <f>IFERROR(VLOOKUP("2_"&amp;A70,SyS!$B:$P,12,FALSE()),0)</f>
        <v>0</v>
      </c>
      <c r="H70" s="40">
        <f>+F70-G70</f>
        <v>0</v>
      </c>
      <c r="I70" s="39"/>
      <c r="J70" s="39"/>
      <c r="K70" s="39"/>
      <c r="L70" s="39"/>
      <c r="M70" s="39"/>
      <c r="N70" s="39"/>
      <c r="O70" s="38">
        <f>IFERROR(VLOOKUP("14_"&amp;A70,SyS!$B:$P,10,FALSE()),0)</f>
        <v>0</v>
      </c>
      <c r="P70" s="39">
        <f>IFERROR(VLOOKUP("14_"&amp;A70,SyS!$B:$P,12,FALSE()),0)</f>
        <v>0</v>
      </c>
      <c r="Q70" s="40">
        <f>+O70-P70</f>
        <v>0</v>
      </c>
      <c r="R70" s="38">
        <f>IFERROR(VLOOKUP("15_"&amp;A70,SyS!$B:$P,10,FALSE()),0)</f>
        <v>0</v>
      </c>
      <c r="S70" s="39">
        <f>IFERROR(VLOOKUP("15_"&amp;A70,SyS!$B:$P,12,FALSE()),0)</f>
        <v>0</v>
      </c>
      <c r="T70" s="40">
        <f>+R70-S70</f>
        <v>0</v>
      </c>
      <c r="U70" s="38">
        <f>IFERROR(VLOOKUP("16_"&amp;A70,SyS!$B:$P,10,FALSE()),0)</f>
        <v>0</v>
      </c>
      <c r="V70" s="39">
        <f>IFERROR(VLOOKUP("16_"&amp;A70,SyS!$B:$P,12,FALSE()),0)</f>
        <v>0</v>
      </c>
      <c r="W70" s="40">
        <f>+U70-V70</f>
        <v>0</v>
      </c>
      <c r="X70" s="38">
        <f>IFERROR(VLOOKUP("13_"&amp;A70,SyS!$B:$P,10,FALSE()),0)</f>
        <v>0</v>
      </c>
      <c r="Y70" s="39">
        <f>IFERROR(VLOOKUP("13_"&amp;A70,SyS!$B:$P,12,FALSE()),0)</f>
        <v>0</v>
      </c>
      <c r="Z70" s="40">
        <f>+X70-Y70</f>
        <v>0</v>
      </c>
      <c r="AA70" s="38">
        <f>IFERROR(VLOOKUP("17_"&amp;A70,SyS!$B:$P,10,FALSE()),0)</f>
        <v>0</v>
      </c>
      <c r="AB70" s="39">
        <f>IFERROR(VLOOKUP("17_"&amp;A70,SyS!$B:$P,12,FALSE()),0)</f>
        <v>0</v>
      </c>
      <c r="AC70" s="40">
        <f>+AA70-AB70</f>
        <v>0</v>
      </c>
      <c r="AD70" s="39"/>
      <c r="AE70" s="39"/>
      <c r="AF70" s="39"/>
      <c r="AG70" s="39">
        <f>IFERROR(VLOOKUP("19_"&amp;A70,SyS!$B:$P,10,FALSE()),0)</f>
        <v>0</v>
      </c>
      <c r="AH70" s="39">
        <f>IFERROR(VLOOKUP("19_"&amp;A70,SyS!$B:$P,12,FALSE()),0)</f>
        <v>0</v>
      </c>
      <c r="AI70" s="39">
        <f>+AG70-AH70</f>
        <v>0</v>
      </c>
      <c r="AJ70" s="39"/>
      <c r="AK70" s="39"/>
      <c r="AL70" s="39"/>
      <c r="AM70" s="39">
        <f>IFERROR(VLOOKUP("23_"&amp;A70,SyS!$B:$P,10,FALSE()),0)</f>
        <v>0</v>
      </c>
      <c r="AN70" s="39">
        <f>IFERROR(VLOOKUP("23_"&amp;A70,SyS!$B:$P,12,FALSE()),0)</f>
        <v>0</v>
      </c>
      <c r="AO70" s="40">
        <f>+AM70-AN70</f>
        <v>0</v>
      </c>
      <c r="AP70" s="39"/>
      <c r="AQ70" s="39"/>
      <c r="AR70" s="39"/>
      <c r="AS70" s="39"/>
      <c r="AT70" s="39"/>
      <c r="AU70" s="39"/>
      <c r="AV70" s="39"/>
      <c r="AW70" s="39"/>
      <c r="AX70" s="39"/>
      <c r="AY70" s="39"/>
      <c r="AZ70" s="39"/>
      <c r="BA70" s="39"/>
      <c r="BB70" s="39"/>
      <c r="BC70" s="39"/>
      <c r="BD70" s="39"/>
      <c r="BE70" s="39"/>
      <c r="BF70" s="39"/>
      <c r="BG70" s="39"/>
      <c r="BH70" s="39"/>
      <c r="BI70" s="39"/>
      <c r="BJ70" s="39"/>
      <c r="BK70" s="39">
        <f>IFERROR(VLOOKUP("29_"&amp;A70,SyS!$B:$P,10,FALSE()),0)</f>
        <v>0</v>
      </c>
      <c r="BL70" s="39">
        <f>IFERROR(VLOOKUP("29_"&amp;A70,SyS!$B:$P,12,FALSE()),0)</f>
        <v>0</v>
      </c>
      <c r="BM70" s="39">
        <f>+BK70-BL70</f>
        <v>0</v>
      </c>
      <c r="BN70" s="38">
        <f>IFERROR(VLOOKUP("30_"&amp;A70,SyS!$B:$P,10,FALSE()),0)</f>
        <v>0</v>
      </c>
      <c r="BO70" s="39">
        <f>IFERROR(VLOOKUP("30_"&amp;A70,SyS!$B:$P,12,FALSE()),0)</f>
        <v>0</v>
      </c>
      <c r="BP70" s="40">
        <f>+BN70-BO70</f>
        <v>0</v>
      </c>
      <c r="BQ70" s="45">
        <f>+E70+H70+K70+Q70+T70+W70+Z70+AC70+AF70+AI70+AL70+AO70+AR70+AU70+AX70+BA70+BD70+BG70+BJ70+BM70+BP70</f>
        <v>0</v>
      </c>
    </row>
    <row r="71" ht="11.25" customHeight="1" spans="1:69" x14ac:dyDescent="0.25">
      <c r="A71" s="44">
        <v>42419000</v>
      </c>
      <c r="B71" s="44" t="s">
        <v>302</v>
      </c>
      <c r="C71" s="38">
        <f>IFERROR(VLOOKUP("1_"&amp;A71,SyS!$B:$P,10,FALSE()),0)</f>
        <v>0</v>
      </c>
      <c r="D71" s="39">
        <f>IFERROR(VLOOKUP("1_"&amp;A71,SyS!$B:$P,12,FALSE()),0)</f>
        <v>0</v>
      </c>
      <c r="E71" s="39">
        <f>+C71-D71</f>
        <v>0</v>
      </c>
      <c r="F71" s="38">
        <f>IFERROR(VLOOKUP("2_"&amp;A71,SyS!$B:$P,10,FALSE()),0)</f>
        <v>0</v>
      </c>
      <c r="G71" s="39">
        <f>IFERROR(VLOOKUP("2_"&amp;A71,SyS!$B:$P,12,FALSE()),0)</f>
        <v>0</v>
      </c>
      <c r="H71" s="40">
        <f>+F71-G71</f>
        <v>0</v>
      </c>
      <c r="I71" s="39"/>
      <c r="J71" s="39"/>
      <c r="K71" s="39"/>
      <c r="L71" s="39"/>
      <c r="M71" s="39"/>
      <c r="N71" s="39"/>
      <c r="O71" s="38">
        <f>IFERROR(VLOOKUP("14_"&amp;A71,SyS!$B:$P,10,FALSE()),0)</f>
        <v>0</v>
      </c>
      <c r="P71" s="39">
        <f>IFERROR(VLOOKUP("14_"&amp;A71,SyS!$B:$P,12,FALSE()),0)</f>
        <v>0</v>
      </c>
      <c r="Q71" s="40">
        <f>+O71-P71</f>
        <v>0</v>
      </c>
      <c r="R71" s="38">
        <f>IFERROR(VLOOKUP("15_"&amp;A71,SyS!$B:$P,10,FALSE()),0)</f>
        <v>0</v>
      </c>
      <c r="S71" s="39">
        <f>IFERROR(VLOOKUP("15_"&amp;A71,SyS!$B:$P,12,FALSE()),0)</f>
        <v>0</v>
      </c>
      <c r="T71" s="40">
        <f>+R71-S71</f>
        <v>0</v>
      </c>
      <c r="U71" s="38">
        <f>IFERROR(VLOOKUP("16_"&amp;A71,SyS!$B:$P,10,FALSE()),0)</f>
        <v>0</v>
      </c>
      <c r="V71" s="39">
        <f>IFERROR(VLOOKUP("16_"&amp;A71,SyS!$B:$P,12,FALSE()),0)</f>
        <v>0</v>
      </c>
      <c r="W71" s="40">
        <f>+U71-V71</f>
        <v>0</v>
      </c>
      <c r="X71" s="38">
        <f>IFERROR(VLOOKUP("13_"&amp;A71,SyS!$B:$P,10,FALSE()),0)</f>
        <v>0</v>
      </c>
      <c r="Y71" s="39">
        <f>IFERROR(VLOOKUP("13_"&amp;A71,SyS!$B:$P,12,FALSE()),0)</f>
        <v>0</v>
      </c>
      <c r="Z71" s="40">
        <f>+X71-Y71</f>
        <v>0</v>
      </c>
      <c r="AA71" s="38">
        <f>IFERROR(VLOOKUP("17_"&amp;A71,SyS!$B:$P,10,FALSE()),0)</f>
        <v>0</v>
      </c>
      <c r="AB71" s="39">
        <f>IFERROR(VLOOKUP("17_"&amp;A71,SyS!$B:$P,12,FALSE()),0)</f>
        <v>0</v>
      </c>
      <c r="AC71" s="40">
        <f>+AA71-AB71</f>
        <v>0</v>
      </c>
      <c r="AD71" s="39"/>
      <c r="AE71" s="39"/>
      <c r="AF71" s="39"/>
      <c r="AG71" s="39">
        <f>IFERROR(VLOOKUP("19_"&amp;A71,SyS!$B:$P,10,FALSE()),0)</f>
        <v>0</v>
      </c>
      <c r="AH71" s="39">
        <f>IFERROR(VLOOKUP("19_"&amp;A71,SyS!$B:$P,12,FALSE()),0)</f>
        <v>0</v>
      </c>
      <c r="AI71" s="39">
        <f>+AG71-AH71</f>
        <v>0</v>
      </c>
      <c r="AJ71" s="39"/>
      <c r="AK71" s="39"/>
      <c r="AL71" s="39"/>
      <c r="AM71" s="39">
        <f>IFERROR(VLOOKUP("23_"&amp;A71,SyS!$B:$P,10,FALSE()),0)</f>
        <v>0</v>
      </c>
      <c r="AN71" s="39">
        <f>IFERROR(VLOOKUP("23_"&amp;A71,SyS!$B:$P,12,FALSE()),0)</f>
        <v>0</v>
      </c>
      <c r="AO71" s="40">
        <f>+AM71-AN71</f>
        <v>0</v>
      </c>
      <c r="AP71" s="39"/>
      <c r="AQ71" s="39"/>
      <c r="AR71" s="39"/>
      <c r="AS71" s="39"/>
      <c r="AT71" s="39"/>
      <c r="AU71" s="39"/>
      <c r="AV71" s="39"/>
      <c r="AW71" s="39"/>
      <c r="AX71" s="39"/>
      <c r="AY71" s="39"/>
      <c r="AZ71" s="39"/>
      <c r="BA71" s="39"/>
      <c r="BB71" s="39"/>
      <c r="BC71" s="39"/>
      <c r="BD71" s="39"/>
      <c r="BE71" s="39"/>
      <c r="BF71" s="39"/>
      <c r="BG71" s="39"/>
      <c r="BH71" s="39"/>
      <c r="BI71" s="39"/>
      <c r="BJ71" s="39"/>
      <c r="BK71" s="39">
        <f>IFERROR(VLOOKUP("29_"&amp;A71,SyS!$B:$P,10,FALSE()),0)</f>
        <v>0</v>
      </c>
      <c r="BL71" s="39">
        <f>IFERROR(VLOOKUP("29_"&amp;A71,SyS!$B:$P,12,FALSE()),0)</f>
        <v>0</v>
      </c>
      <c r="BM71" s="39">
        <f>+BK71-BL71</f>
        <v>0</v>
      </c>
      <c r="BN71" s="38">
        <f>IFERROR(VLOOKUP("30_"&amp;A71,SyS!$B:$P,10,FALSE()),0)</f>
        <v>0</v>
      </c>
      <c r="BO71" s="39">
        <f>IFERROR(VLOOKUP("30_"&amp;A71,SyS!$B:$P,12,FALSE()),0)</f>
        <v>0</v>
      </c>
      <c r="BP71" s="40">
        <f>+BN71-BO71</f>
        <v>0</v>
      </c>
      <c r="BQ71" s="45">
        <f>+E71+H71+K71+Q71+T71+W71+Z71+AC71+AF71+AI71+AL71+AO71+AR71+AU71+AX71+BA71+BD71+BG71+BJ71+BM71+BP71</f>
        <v>0</v>
      </c>
    </row>
    <row r="72" ht="11.25" customHeight="1" spans="1:69" x14ac:dyDescent="0.25">
      <c r="A72" s="44">
        <v>42420000</v>
      </c>
      <c r="B72" s="44" t="s">
        <v>303</v>
      </c>
      <c r="C72" s="38">
        <f>IFERROR(VLOOKUP("1_"&amp;A72,SyS!$B:$P,10,FALSE()),0)</f>
        <v>0</v>
      </c>
      <c r="D72" s="39">
        <f>IFERROR(VLOOKUP("1_"&amp;A72,SyS!$B:$P,12,FALSE()),0)</f>
        <v>0</v>
      </c>
      <c r="E72" s="39">
        <f>+C72-D72</f>
        <v>0</v>
      </c>
      <c r="F72" s="38">
        <f>IFERROR(VLOOKUP("2_"&amp;A72,SyS!$B:$P,10,FALSE()),0)</f>
        <v>0</v>
      </c>
      <c r="G72" s="39">
        <f>IFERROR(VLOOKUP("2_"&amp;A72,SyS!$B:$P,12,FALSE()),0)</f>
        <v>0</v>
      </c>
      <c r="H72" s="40">
        <f>+F72-G72</f>
        <v>0</v>
      </c>
      <c r="I72" s="39"/>
      <c r="J72" s="39"/>
      <c r="K72" s="39"/>
      <c r="L72" s="39"/>
      <c r="M72" s="39"/>
      <c r="N72" s="39"/>
      <c r="O72" s="38">
        <f>IFERROR(VLOOKUP("14_"&amp;A72,SyS!$B:$P,10,FALSE()),0)</f>
        <v>0</v>
      </c>
      <c r="P72" s="39">
        <f>IFERROR(VLOOKUP("14_"&amp;A72,SyS!$B:$P,12,FALSE()),0)</f>
        <v>0</v>
      </c>
      <c r="Q72" s="40">
        <f>+O72-P72</f>
        <v>0</v>
      </c>
      <c r="R72" s="38">
        <f>IFERROR(VLOOKUP("15_"&amp;A72,SyS!$B:$P,10,FALSE()),0)</f>
        <v>0</v>
      </c>
      <c r="S72" s="39">
        <f>IFERROR(VLOOKUP("15_"&amp;A72,SyS!$B:$P,12,FALSE()),0)</f>
        <v>0</v>
      </c>
      <c r="T72" s="40">
        <f>+R72-S72</f>
        <v>0</v>
      </c>
      <c r="U72" s="38">
        <f>IFERROR(VLOOKUP("16_"&amp;A72,SyS!$B:$P,10,FALSE()),0)</f>
        <v>0</v>
      </c>
      <c r="V72" s="39">
        <f>IFERROR(VLOOKUP("16_"&amp;A72,SyS!$B:$P,12,FALSE()),0)</f>
        <v>0</v>
      </c>
      <c r="W72" s="40">
        <f>+U72-V72</f>
        <v>0</v>
      </c>
      <c r="X72" s="38">
        <f>IFERROR(VLOOKUP("13_"&amp;A72,SyS!$B:$P,10,FALSE()),0)</f>
        <v>0</v>
      </c>
      <c r="Y72" s="39">
        <f>IFERROR(VLOOKUP("13_"&amp;A72,SyS!$B:$P,12,FALSE()),0)</f>
        <v>0</v>
      </c>
      <c r="Z72" s="40">
        <f>+X72-Y72</f>
        <v>0</v>
      </c>
      <c r="AA72" s="38">
        <f>IFERROR(VLOOKUP("17_"&amp;A72,SyS!$B:$P,10,FALSE()),0)</f>
        <v>0</v>
      </c>
      <c r="AB72" s="39">
        <f>IFERROR(VLOOKUP("17_"&amp;A72,SyS!$B:$P,12,FALSE()),0)</f>
        <v>0</v>
      </c>
      <c r="AC72" s="40">
        <f>+AA72-AB72</f>
        <v>0</v>
      </c>
      <c r="AD72" s="39"/>
      <c r="AE72" s="39"/>
      <c r="AF72" s="39"/>
      <c r="AG72" s="39">
        <f>IFERROR(VLOOKUP("19_"&amp;A72,SyS!$B:$P,10,FALSE()),0)</f>
        <v>0</v>
      </c>
      <c r="AH72" s="39">
        <f>IFERROR(VLOOKUP("19_"&amp;A72,SyS!$B:$P,12,FALSE()),0)</f>
        <v>0</v>
      </c>
      <c r="AI72" s="39">
        <f>+AG72-AH72</f>
        <v>0</v>
      </c>
      <c r="AJ72" s="39"/>
      <c r="AK72" s="39"/>
      <c r="AL72" s="39"/>
      <c r="AM72" s="39">
        <f>IFERROR(VLOOKUP("23_"&amp;A72,SyS!$B:$P,10,FALSE()),0)</f>
        <v>0</v>
      </c>
      <c r="AN72" s="39">
        <f>IFERROR(VLOOKUP("23_"&amp;A72,SyS!$B:$P,12,FALSE()),0)</f>
        <v>0</v>
      </c>
      <c r="AO72" s="40">
        <f>+AM72-AN72</f>
        <v>0</v>
      </c>
      <c r="AP72" s="39"/>
      <c r="AQ72" s="39"/>
      <c r="AR72" s="39"/>
      <c r="AS72" s="39"/>
      <c r="AT72" s="39"/>
      <c r="AU72" s="39"/>
      <c r="AV72" s="39"/>
      <c r="AW72" s="39"/>
      <c r="AX72" s="39"/>
      <c r="AY72" s="39"/>
      <c r="AZ72" s="39"/>
      <c r="BA72" s="39"/>
      <c r="BB72" s="39"/>
      <c r="BC72" s="39"/>
      <c r="BD72" s="39"/>
      <c r="BE72" s="39"/>
      <c r="BF72" s="39"/>
      <c r="BG72" s="39"/>
      <c r="BH72" s="39"/>
      <c r="BI72" s="39"/>
      <c r="BJ72" s="39"/>
      <c r="BK72" s="39">
        <f>IFERROR(VLOOKUP("29_"&amp;A72,SyS!$B:$P,10,FALSE()),0)</f>
        <v>0</v>
      </c>
      <c r="BL72" s="39">
        <f>IFERROR(VLOOKUP("29_"&amp;A72,SyS!$B:$P,12,FALSE()),0)</f>
        <v>0</v>
      </c>
      <c r="BM72" s="39">
        <f>+BK72-BL72</f>
        <v>0</v>
      </c>
      <c r="BN72" s="38">
        <f>IFERROR(VLOOKUP("30_"&amp;A72,SyS!$B:$P,10,FALSE()),0)</f>
        <v>0</v>
      </c>
      <c r="BO72" s="39">
        <f>IFERROR(VLOOKUP("30_"&amp;A72,SyS!$B:$P,12,FALSE()),0)</f>
        <v>0</v>
      </c>
      <c r="BP72" s="40">
        <f>+BN72-BO72</f>
        <v>0</v>
      </c>
      <c r="BQ72" s="45">
        <f>+E72+H72+K72+Q72+T72+W72+Z72+AC72+AF72+AI72+AL72+AO72+AR72+AU72+AX72+BA72+BD72+BG72+BJ72+BM72+BP72</f>
        <v>0</v>
      </c>
    </row>
    <row r="73" ht="11.25" customHeight="1" spans="1:69" x14ac:dyDescent="0.25">
      <c r="A73" s="44">
        <v>42421000</v>
      </c>
      <c r="B73" s="44" t="s">
        <v>304</v>
      </c>
      <c r="C73" s="38">
        <f>IFERROR(VLOOKUP("1_"&amp;A73,SyS!$B:$P,10,FALSE()),0)</f>
        <v>0</v>
      </c>
      <c r="D73" s="39">
        <f>IFERROR(VLOOKUP("1_"&amp;A73,SyS!$B:$P,12,FALSE()),0)</f>
        <v>0</v>
      </c>
      <c r="E73" s="39">
        <f>+C73-D73</f>
        <v>0</v>
      </c>
      <c r="F73" s="38">
        <f>IFERROR(VLOOKUP("2_"&amp;A73,SyS!$B:$P,10,FALSE()),0)</f>
        <v>0</v>
      </c>
      <c r="G73" s="39">
        <f>IFERROR(VLOOKUP("2_"&amp;A73,SyS!$B:$P,12,FALSE()),0)</f>
        <v>0</v>
      </c>
      <c r="H73" s="40">
        <f>+F73-G73</f>
        <v>0</v>
      </c>
      <c r="I73" s="39"/>
      <c r="J73" s="39"/>
      <c r="K73" s="39"/>
      <c r="L73" s="39"/>
      <c r="M73" s="39"/>
      <c r="N73" s="39"/>
      <c r="O73" s="38">
        <f>IFERROR(VLOOKUP("14_"&amp;A73,SyS!$B:$P,10,FALSE()),0)</f>
        <v>0</v>
      </c>
      <c r="P73" s="39">
        <f>IFERROR(VLOOKUP("14_"&amp;A73,SyS!$B:$P,12,FALSE()),0)</f>
        <v>0</v>
      </c>
      <c r="Q73" s="40">
        <f>+O73-P73</f>
        <v>0</v>
      </c>
      <c r="R73" s="38">
        <f>IFERROR(VLOOKUP("15_"&amp;A73,SyS!$B:$P,10,FALSE()),0)</f>
        <v>0</v>
      </c>
      <c r="S73" s="39">
        <f>IFERROR(VLOOKUP("15_"&amp;A73,SyS!$B:$P,12,FALSE()),0)</f>
        <v>0</v>
      </c>
      <c r="T73" s="40">
        <f>+R73-S73</f>
        <v>0</v>
      </c>
      <c r="U73" s="38">
        <f>IFERROR(VLOOKUP("16_"&amp;A73,SyS!$B:$P,10,FALSE()),0)</f>
        <v>0</v>
      </c>
      <c r="V73" s="39">
        <f>IFERROR(VLOOKUP("16_"&amp;A73,SyS!$B:$P,12,FALSE()),0)</f>
        <v>0</v>
      </c>
      <c r="W73" s="40">
        <f>+U73-V73</f>
        <v>0</v>
      </c>
      <c r="X73" s="38">
        <f>IFERROR(VLOOKUP("13_"&amp;A73,SyS!$B:$P,10,FALSE()),0)</f>
        <v>0</v>
      </c>
      <c r="Y73" s="39">
        <f>IFERROR(VLOOKUP("13_"&amp;A73,SyS!$B:$P,12,FALSE()),0)</f>
        <v>0</v>
      </c>
      <c r="Z73" s="40">
        <f>+X73-Y73</f>
        <v>0</v>
      </c>
      <c r="AA73" s="38">
        <f>IFERROR(VLOOKUP("17_"&amp;A73,SyS!$B:$P,10,FALSE()),0)</f>
        <v>0</v>
      </c>
      <c r="AB73" s="39">
        <f>IFERROR(VLOOKUP("17_"&amp;A73,SyS!$B:$P,12,FALSE()),0)</f>
        <v>0</v>
      </c>
      <c r="AC73" s="40">
        <f>+AA73-AB73</f>
        <v>0</v>
      </c>
      <c r="AD73" s="39"/>
      <c r="AE73" s="39"/>
      <c r="AF73" s="39"/>
      <c r="AG73" s="39">
        <f>IFERROR(VLOOKUP("19_"&amp;A73,SyS!$B:$P,10,FALSE()),0)</f>
        <v>0</v>
      </c>
      <c r="AH73" s="39">
        <f>IFERROR(VLOOKUP("19_"&amp;A73,SyS!$B:$P,12,FALSE()),0)</f>
        <v>0</v>
      </c>
      <c r="AI73" s="39">
        <f>+AG73-AH73</f>
        <v>0</v>
      </c>
      <c r="AJ73" s="39"/>
      <c r="AK73" s="39"/>
      <c r="AL73" s="39"/>
      <c r="AM73" s="39">
        <f>IFERROR(VLOOKUP("23_"&amp;A73,SyS!$B:$P,10,FALSE()),0)</f>
        <v>0</v>
      </c>
      <c r="AN73" s="39">
        <f>IFERROR(VLOOKUP("23_"&amp;A73,SyS!$B:$P,12,FALSE()),0)</f>
        <v>0</v>
      </c>
      <c r="AO73" s="40">
        <f>+AM73-AN73</f>
        <v>0</v>
      </c>
      <c r="AP73" s="39"/>
      <c r="AQ73" s="39"/>
      <c r="AR73" s="39"/>
      <c r="AS73" s="39"/>
      <c r="AT73" s="39"/>
      <c r="AU73" s="39"/>
      <c r="AV73" s="39"/>
      <c r="AW73" s="39"/>
      <c r="AX73" s="39"/>
      <c r="AY73" s="39"/>
      <c r="AZ73" s="39"/>
      <c r="BA73" s="39"/>
      <c r="BB73" s="39"/>
      <c r="BC73" s="39"/>
      <c r="BD73" s="39"/>
      <c r="BE73" s="39"/>
      <c r="BF73" s="39"/>
      <c r="BG73" s="39"/>
      <c r="BH73" s="39"/>
      <c r="BI73" s="39"/>
      <c r="BJ73" s="39"/>
      <c r="BK73" s="39">
        <f>IFERROR(VLOOKUP("29_"&amp;A73,SyS!$B:$P,10,FALSE()),0)</f>
        <v>0</v>
      </c>
      <c r="BL73" s="39">
        <f>IFERROR(VLOOKUP("29_"&amp;A73,SyS!$B:$P,12,FALSE()),0)</f>
        <v>0</v>
      </c>
      <c r="BM73" s="39">
        <f>+BK73-BL73</f>
        <v>0</v>
      </c>
      <c r="BN73" s="38">
        <f>IFERROR(VLOOKUP("30_"&amp;A73,SyS!$B:$P,10,FALSE()),0)</f>
        <v>0</v>
      </c>
      <c r="BO73" s="39">
        <f>IFERROR(VLOOKUP("30_"&amp;A73,SyS!$B:$P,12,FALSE()),0)</f>
        <v>0</v>
      </c>
      <c r="BP73" s="40">
        <f>+BN73-BO73</f>
        <v>0</v>
      </c>
      <c r="BQ73" s="45">
        <f>+E73+H73+K73+Q73+T73+W73+Z73+AC73+AF73+AI73+AL73+AO73+AR73+AU73+AX73+BA73+BD73+BG73+BJ73+BM73+BP73</f>
        <v>0</v>
      </c>
    </row>
    <row r="74" ht="11.25" customHeight="1" spans="1:69" x14ac:dyDescent="0.25">
      <c r="A74" s="44">
        <v>424220000</v>
      </c>
      <c r="B74" s="44" t="s">
        <v>305</v>
      </c>
      <c r="C74" s="38">
        <f>IFERROR(VLOOKUP("1_"&amp;A74,SyS!$B:$P,10,FALSE()),0)</f>
        <v>0</v>
      </c>
      <c r="D74" s="39">
        <f>IFERROR(VLOOKUP("1_"&amp;A74,SyS!$B:$P,12,FALSE()),0)</f>
        <v>0</v>
      </c>
      <c r="E74" s="39">
        <f>+C74-D74</f>
        <v>0</v>
      </c>
      <c r="F74" s="38">
        <f>IFERROR(VLOOKUP("2_"&amp;A74,SyS!$B:$P,10,FALSE()),0)</f>
        <v>0</v>
      </c>
      <c r="G74" s="39">
        <f>IFERROR(VLOOKUP("2_"&amp;A74,SyS!$B:$P,12,FALSE()),0)</f>
        <v>0</v>
      </c>
      <c r="H74" s="40">
        <f>+F74-G74</f>
        <v>0</v>
      </c>
      <c r="I74" s="39"/>
      <c r="J74" s="39"/>
      <c r="K74" s="39"/>
      <c r="L74" s="39"/>
      <c r="M74" s="39"/>
      <c r="N74" s="39"/>
      <c r="O74" s="38">
        <f>IFERROR(VLOOKUP("14_"&amp;A74,SyS!$B:$P,10,FALSE()),0)</f>
        <v>0</v>
      </c>
      <c r="P74" s="39">
        <f>IFERROR(VLOOKUP("14_"&amp;A74,SyS!$B:$P,12,FALSE()),0)</f>
        <v>0</v>
      </c>
      <c r="Q74" s="40">
        <f>+O74-P74</f>
        <v>0</v>
      </c>
      <c r="R74" s="38">
        <f>IFERROR(VLOOKUP("15_"&amp;A74,SyS!$B:$P,10,FALSE()),0)</f>
        <v>0</v>
      </c>
      <c r="S74" s="39">
        <f>IFERROR(VLOOKUP("15_"&amp;A74,SyS!$B:$P,12,FALSE()),0)</f>
        <v>0</v>
      </c>
      <c r="T74" s="40">
        <f>+R74-S74</f>
        <v>0</v>
      </c>
      <c r="U74" s="38">
        <f>IFERROR(VLOOKUP("16_"&amp;A74,SyS!$B:$P,10,FALSE()),0)</f>
        <v>0</v>
      </c>
      <c r="V74" s="39">
        <f>IFERROR(VLOOKUP("16_"&amp;A74,SyS!$B:$P,12,FALSE()),0)</f>
        <v>0</v>
      </c>
      <c r="W74" s="40">
        <f>+U74-V74</f>
        <v>0</v>
      </c>
      <c r="X74" s="38">
        <f>IFERROR(VLOOKUP("13_"&amp;A74,SyS!$B:$P,10,FALSE()),0)</f>
        <v>0</v>
      </c>
      <c r="Y74" s="39">
        <f>IFERROR(VLOOKUP("13_"&amp;A74,SyS!$B:$P,12,FALSE()),0)</f>
        <v>0</v>
      </c>
      <c r="Z74" s="40">
        <f>+X74-Y74</f>
        <v>0</v>
      </c>
      <c r="AA74" s="38">
        <f>IFERROR(VLOOKUP("17_"&amp;A74,SyS!$B:$P,10,FALSE()),0)</f>
        <v>0</v>
      </c>
      <c r="AB74" s="39">
        <f>IFERROR(VLOOKUP("17_"&amp;A74,SyS!$B:$P,12,FALSE()),0)</f>
        <v>0</v>
      </c>
      <c r="AC74" s="40">
        <f>+AA74-AB74</f>
        <v>0</v>
      </c>
      <c r="AD74" s="39"/>
      <c r="AE74" s="39"/>
      <c r="AF74" s="39"/>
      <c r="AG74" s="39">
        <f>IFERROR(VLOOKUP("19_"&amp;A74,SyS!$B:$P,10,FALSE()),0)</f>
        <v>0</v>
      </c>
      <c r="AH74" s="39">
        <f>IFERROR(VLOOKUP("19_"&amp;A74,SyS!$B:$P,12,FALSE()),0)</f>
        <v>0</v>
      </c>
      <c r="AI74" s="39">
        <f>+AG74-AH74</f>
        <v>0</v>
      </c>
      <c r="AJ74" s="39"/>
      <c r="AK74" s="39"/>
      <c r="AL74" s="39"/>
      <c r="AM74" s="39">
        <f>IFERROR(VLOOKUP("23_"&amp;A74,SyS!$B:$P,10,FALSE()),0)</f>
        <v>0</v>
      </c>
      <c r="AN74" s="39">
        <f>IFERROR(VLOOKUP("23_"&amp;A74,SyS!$B:$P,12,FALSE()),0)</f>
        <v>0</v>
      </c>
      <c r="AO74" s="40">
        <f>+AM74-AN74</f>
        <v>0</v>
      </c>
      <c r="AP74" s="39"/>
      <c r="AQ74" s="39"/>
      <c r="AR74" s="39"/>
      <c r="AS74" s="39"/>
      <c r="AT74" s="39"/>
      <c r="AU74" s="39"/>
      <c r="AV74" s="39"/>
      <c r="AW74" s="39"/>
      <c r="AX74" s="39"/>
      <c r="AY74" s="39"/>
      <c r="AZ74" s="39"/>
      <c r="BA74" s="39"/>
      <c r="BB74" s="39"/>
      <c r="BC74" s="39"/>
      <c r="BD74" s="39"/>
      <c r="BE74" s="39"/>
      <c r="BF74" s="39"/>
      <c r="BG74" s="39"/>
      <c r="BH74" s="39"/>
      <c r="BI74" s="39"/>
      <c r="BJ74" s="39"/>
      <c r="BK74" s="39">
        <f>IFERROR(VLOOKUP("29_"&amp;A74,SyS!$B:$P,10,FALSE()),0)</f>
        <v>0</v>
      </c>
      <c r="BL74" s="39">
        <f>IFERROR(VLOOKUP("29_"&amp;A74,SyS!$B:$P,12,FALSE()),0)</f>
        <v>0</v>
      </c>
      <c r="BM74" s="39">
        <f>+BK74-BL74</f>
        <v>0</v>
      </c>
      <c r="BN74" s="38">
        <f>IFERROR(VLOOKUP("30_"&amp;A74,SyS!$B:$P,10,FALSE()),0)</f>
        <v>0</v>
      </c>
      <c r="BO74" s="39">
        <f>IFERROR(VLOOKUP("30_"&amp;A74,SyS!$B:$P,12,FALSE()),0)</f>
        <v>0</v>
      </c>
      <c r="BP74" s="40">
        <f>+BN74-BO74</f>
        <v>0</v>
      </c>
      <c r="BQ74" s="45">
        <f>+E74+H74+K74+Q74+T74+W74+Z74+AC74+AF74+AI74+AL74+AO74+AR74+AU74+AX74+BA74+BD74+BG74+BJ74+BM74+BP74</f>
        <v>0</v>
      </c>
    </row>
    <row r="75" ht="11.25" customHeight="1" spans="1:69" x14ac:dyDescent="0.25">
      <c r="A75" s="44">
        <v>42423000</v>
      </c>
      <c r="B75" s="44" t="s">
        <v>306</v>
      </c>
      <c r="C75" s="38">
        <f>IFERROR(VLOOKUP("1_"&amp;A75,SyS!$B:$P,10,FALSE()),0)</f>
        <v>0</v>
      </c>
      <c r="D75" s="39">
        <f>IFERROR(VLOOKUP("1_"&amp;A75,SyS!$B:$P,12,FALSE()),0)</f>
        <v>0</v>
      </c>
      <c r="E75" s="39">
        <f>+C75-D75</f>
        <v>0</v>
      </c>
      <c r="F75" s="38">
        <f>IFERROR(VLOOKUP("2_"&amp;A75,SyS!$B:$P,10,FALSE()),0)</f>
        <v>0</v>
      </c>
      <c r="G75" s="39">
        <f>IFERROR(VLOOKUP("2_"&amp;A75,SyS!$B:$P,12,FALSE()),0)</f>
        <v>0</v>
      </c>
      <c r="H75" s="40">
        <f>+F75-G75</f>
        <v>0</v>
      </c>
      <c r="I75" s="39"/>
      <c r="J75" s="39"/>
      <c r="K75" s="39"/>
      <c r="L75" s="39"/>
      <c r="M75" s="39"/>
      <c r="N75" s="39"/>
      <c r="O75" s="38">
        <f>IFERROR(VLOOKUP("14_"&amp;A75,SyS!$B:$P,10,FALSE()),0)</f>
        <v>0</v>
      </c>
      <c r="P75" s="39">
        <f>IFERROR(VLOOKUP("14_"&amp;A75,SyS!$B:$P,12,FALSE()),0)</f>
        <v>0</v>
      </c>
      <c r="Q75" s="40">
        <f>+O75-P75</f>
        <v>0</v>
      </c>
      <c r="R75" s="38">
        <f>IFERROR(VLOOKUP("15_"&amp;A75,SyS!$B:$P,10,FALSE()),0)</f>
        <v>0</v>
      </c>
      <c r="S75" s="39">
        <f>IFERROR(VLOOKUP("15_"&amp;A75,SyS!$B:$P,12,FALSE()),0)</f>
        <v>0</v>
      </c>
      <c r="T75" s="40">
        <f>+R75-S75</f>
        <v>0</v>
      </c>
      <c r="U75" s="38">
        <f>IFERROR(VLOOKUP("16_"&amp;A75,SyS!$B:$P,10,FALSE()),0)</f>
        <v>0</v>
      </c>
      <c r="V75" s="39">
        <f>IFERROR(VLOOKUP("16_"&amp;A75,SyS!$B:$P,12,FALSE()),0)</f>
        <v>0</v>
      </c>
      <c r="W75" s="40">
        <f>+U75-V75</f>
        <v>0</v>
      </c>
      <c r="X75" s="38">
        <f>IFERROR(VLOOKUP("13_"&amp;A75,SyS!$B:$P,10,FALSE()),0)</f>
        <v>0</v>
      </c>
      <c r="Y75" s="39">
        <f>IFERROR(VLOOKUP("13_"&amp;A75,SyS!$B:$P,12,FALSE()),0)</f>
        <v>0</v>
      </c>
      <c r="Z75" s="40">
        <f>+X75-Y75</f>
        <v>0</v>
      </c>
      <c r="AA75" s="38">
        <f>IFERROR(VLOOKUP("17_"&amp;A75,SyS!$B:$P,10,FALSE()),0)</f>
        <v>0</v>
      </c>
      <c r="AB75" s="39">
        <f>IFERROR(VLOOKUP("17_"&amp;A75,SyS!$B:$P,12,FALSE()),0)</f>
        <v>0</v>
      </c>
      <c r="AC75" s="40">
        <f>+AA75-AB75</f>
        <v>0</v>
      </c>
      <c r="AD75" s="39"/>
      <c r="AE75" s="39"/>
      <c r="AF75" s="39"/>
      <c r="AG75" s="39">
        <f>IFERROR(VLOOKUP("19_"&amp;A75,SyS!$B:$P,10,FALSE()),0)</f>
        <v>0</v>
      </c>
      <c r="AH75" s="39">
        <f>IFERROR(VLOOKUP("19_"&amp;A75,SyS!$B:$P,12,FALSE()),0)</f>
        <v>0</v>
      </c>
      <c r="AI75" s="39">
        <f>+AG75-AH75</f>
        <v>0</v>
      </c>
      <c r="AJ75" s="39"/>
      <c r="AK75" s="39"/>
      <c r="AL75" s="39"/>
      <c r="AM75" s="39">
        <f>IFERROR(VLOOKUP("23_"&amp;A75,SyS!$B:$P,10,FALSE()),0)</f>
        <v>0</v>
      </c>
      <c r="AN75" s="39">
        <f>IFERROR(VLOOKUP("23_"&amp;A75,SyS!$B:$P,12,FALSE()),0)</f>
        <v>0</v>
      </c>
      <c r="AO75" s="40">
        <f>+AM75-AN75</f>
        <v>0</v>
      </c>
      <c r="AP75" s="39"/>
      <c r="AQ75" s="39"/>
      <c r="AR75" s="39"/>
      <c r="AS75" s="39"/>
      <c r="AT75" s="39"/>
      <c r="AU75" s="39"/>
      <c r="AV75" s="39"/>
      <c r="AW75" s="39"/>
      <c r="AX75" s="39"/>
      <c r="AY75" s="39"/>
      <c r="AZ75" s="39"/>
      <c r="BA75" s="39"/>
      <c r="BB75" s="39"/>
      <c r="BC75" s="39"/>
      <c r="BD75" s="39"/>
      <c r="BE75" s="39"/>
      <c r="BF75" s="39"/>
      <c r="BG75" s="39"/>
      <c r="BH75" s="39"/>
      <c r="BI75" s="39"/>
      <c r="BJ75" s="39"/>
      <c r="BK75" s="39">
        <f>IFERROR(VLOOKUP("29_"&amp;A75,SyS!$B:$P,10,FALSE()),0)</f>
        <v>0</v>
      </c>
      <c r="BL75" s="39">
        <f>IFERROR(VLOOKUP("29_"&amp;A75,SyS!$B:$P,12,FALSE()),0)</f>
        <v>0</v>
      </c>
      <c r="BM75" s="39">
        <f>+BK75-BL75</f>
        <v>0</v>
      </c>
      <c r="BN75" s="38">
        <f>IFERROR(VLOOKUP("30_"&amp;A75,SyS!$B:$P,10,FALSE()),0)</f>
        <v>0</v>
      </c>
      <c r="BO75" s="39">
        <f>IFERROR(VLOOKUP("30_"&amp;A75,SyS!$B:$P,12,FALSE()),0)</f>
        <v>0</v>
      </c>
      <c r="BP75" s="40">
        <f>+BN75-BO75</f>
        <v>0</v>
      </c>
      <c r="BQ75" s="45">
        <f>+E75+H75+K75+Q75+T75+W75+Z75+AC75+AF75+AI75+AL75+AO75+AR75+AU75+AX75+BA75+BD75+BG75+BJ75+BM75+BP75</f>
        <v>0</v>
      </c>
    </row>
    <row r="76" ht="11.25" customHeight="1" spans="1:69" x14ac:dyDescent="0.25">
      <c r="A76" s="44">
        <v>42424000</v>
      </c>
      <c r="B76" s="44" t="s">
        <v>307</v>
      </c>
      <c r="C76" s="38">
        <f>IFERROR(VLOOKUP("1_"&amp;A76,SyS!$B:$P,10,FALSE()),0)</f>
        <v>0</v>
      </c>
      <c r="D76" s="39">
        <f>IFERROR(VLOOKUP("1_"&amp;A76,SyS!$B:$P,12,FALSE()),0)</f>
        <v>0</v>
      </c>
      <c r="E76" s="39">
        <f>+C76-D76</f>
        <v>0</v>
      </c>
      <c r="F76" s="38">
        <f>IFERROR(VLOOKUP("2_"&amp;A76,SyS!$B:$P,10,FALSE()),0)</f>
        <v>0</v>
      </c>
      <c r="G76" s="39">
        <f>IFERROR(VLOOKUP("2_"&amp;A76,SyS!$B:$P,12,FALSE()),0)</f>
        <v>0</v>
      </c>
      <c r="H76" s="40">
        <f>+F76-G76</f>
        <v>0</v>
      </c>
      <c r="I76" s="39"/>
      <c r="J76" s="39"/>
      <c r="K76" s="39"/>
      <c r="L76" s="39"/>
      <c r="M76" s="39"/>
      <c r="N76" s="39"/>
      <c r="O76" s="38">
        <f>IFERROR(VLOOKUP("14_"&amp;A76,SyS!$B:$P,10,FALSE()),0)</f>
        <v>0</v>
      </c>
      <c r="P76" s="39">
        <f>IFERROR(VLOOKUP("14_"&amp;A76,SyS!$B:$P,12,FALSE()),0)</f>
        <v>0</v>
      </c>
      <c r="Q76" s="40">
        <f>+O76-P76</f>
        <v>0</v>
      </c>
      <c r="R76" s="38">
        <f>IFERROR(VLOOKUP("15_"&amp;A76,SyS!$B:$P,10,FALSE()),0)</f>
        <v>0</v>
      </c>
      <c r="S76" s="39">
        <f>IFERROR(VLOOKUP("15_"&amp;A76,SyS!$B:$P,12,FALSE()),0)</f>
        <v>0</v>
      </c>
      <c r="T76" s="40">
        <f>+R76-S76</f>
        <v>0</v>
      </c>
      <c r="U76" s="38">
        <f>IFERROR(VLOOKUP("16_"&amp;A76,SyS!$B:$P,10,FALSE()),0)</f>
        <v>0</v>
      </c>
      <c r="V76" s="39">
        <f>IFERROR(VLOOKUP("16_"&amp;A76,SyS!$B:$P,12,FALSE()),0)</f>
        <v>0</v>
      </c>
      <c r="W76" s="40">
        <f>+U76-V76</f>
        <v>0</v>
      </c>
      <c r="X76" s="38">
        <f>IFERROR(VLOOKUP("13_"&amp;A76,SyS!$B:$P,10,FALSE()),0)</f>
        <v>0</v>
      </c>
      <c r="Y76" s="39">
        <f>IFERROR(VLOOKUP("13_"&amp;A76,SyS!$B:$P,12,FALSE()),0)</f>
        <v>0</v>
      </c>
      <c r="Z76" s="40">
        <f>+X76-Y76</f>
        <v>0</v>
      </c>
      <c r="AA76" s="38">
        <f>IFERROR(VLOOKUP("17_"&amp;A76,SyS!$B:$P,10,FALSE()),0)</f>
        <v>0</v>
      </c>
      <c r="AB76" s="39">
        <f>IFERROR(VLOOKUP("17_"&amp;A76,SyS!$B:$P,12,FALSE()),0)</f>
        <v>0</v>
      </c>
      <c r="AC76" s="40">
        <f>+AA76-AB76</f>
        <v>0</v>
      </c>
      <c r="AD76" s="39"/>
      <c r="AE76" s="39"/>
      <c r="AF76" s="39"/>
      <c r="AG76" s="39">
        <f>IFERROR(VLOOKUP("19_"&amp;A76,SyS!$B:$P,10,FALSE()),0)</f>
        <v>0</v>
      </c>
      <c r="AH76" s="39">
        <f>IFERROR(VLOOKUP("19_"&amp;A76,SyS!$B:$P,12,FALSE()),0)</f>
        <v>0</v>
      </c>
      <c r="AI76" s="39">
        <f>+AG76-AH76</f>
        <v>0</v>
      </c>
      <c r="AJ76" s="39"/>
      <c r="AK76" s="39"/>
      <c r="AL76" s="39"/>
      <c r="AM76" s="39">
        <f>IFERROR(VLOOKUP("23_"&amp;A76,SyS!$B:$P,10,FALSE()),0)</f>
        <v>0</v>
      </c>
      <c r="AN76" s="39">
        <f>IFERROR(VLOOKUP("23_"&amp;A76,SyS!$B:$P,12,FALSE()),0)</f>
        <v>0</v>
      </c>
      <c r="AO76" s="40">
        <f>+AM76-AN76</f>
        <v>0</v>
      </c>
      <c r="AP76" s="39"/>
      <c r="AQ76" s="39"/>
      <c r="AR76" s="39"/>
      <c r="AS76" s="39"/>
      <c r="AT76" s="39"/>
      <c r="AU76" s="39"/>
      <c r="AV76" s="39"/>
      <c r="AW76" s="39"/>
      <c r="AX76" s="39"/>
      <c r="AY76" s="39"/>
      <c r="AZ76" s="39"/>
      <c r="BA76" s="39"/>
      <c r="BB76" s="39"/>
      <c r="BC76" s="39"/>
      <c r="BD76" s="39"/>
      <c r="BE76" s="39"/>
      <c r="BF76" s="39"/>
      <c r="BG76" s="39"/>
      <c r="BH76" s="39"/>
      <c r="BI76" s="39"/>
      <c r="BJ76" s="39"/>
      <c r="BK76" s="39">
        <f>IFERROR(VLOOKUP("29_"&amp;A76,SyS!$B:$P,10,FALSE()),0)</f>
        <v>0</v>
      </c>
      <c r="BL76" s="39">
        <f>IFERROR(VLOOKUP("29_"&amp;A76,SyS!$B:$P,12,FALSE()),0)</f>
        <v>0</v>
      </c>
      <c r="BM76" s="39">
        <f>+BK76-BL76</f>
        <v>0</v>
      </c>
      <c r="BN76" s="38">
        <f>IFERROR(VLOOKUP("30_"&amp;A76,SyS!$B:$P,10,FALSE()),0)</f>
        <v>0</v>
      </c>
      <c r="BO76" s="39">
        <f>IFERROR(VLOOKUP("30_"&amp;A76,SyS!$B:$P,12,FALSE()),0)</f>
        <v>0</v>
      </c>
      <c r="BP76" s="40">
        <f>+BN76-BO76</f>
        <v>0</v>
      </c>
      <c r="BQ76" s="45">
        <f>+E76+H76+K76+Q76+T76+W76+Z76+AC76+AF76+AI76+AL76+AO76+AR76+AU76+AX76+BA76+BD76+BG76+BJ76+BM76+BP76</f>
        <v>0</v>
      </c>
    </row>
    <row r="77" ht="11.25" customHeight="1" spans="1:69" x14ac:dyDescent="0.25">
      <c r="A77" s="44">
        <v>42425000</v>
      </c>
      <c r="B77" s="44" t="s">
        <v>308</v>
      </c>
      <c r="C77" s="38">
        <f>IFERROR(VLOOKUP("1_"&amp;A77,SyS!$B:$P,10,FALSE()),0)</f>
        <v>0</v>
      </c>
      <c r="D77" s="39">
        <f>IFERROR(VLOOKUP("1_"&amp;A77,SyS!$B:$P,12,FALSE()),0)</f>
        <v>0</v>
      </c>
      <c r="E77" s="39">
        <f>+C77-D77</f>
        <v>0</v>
      </c>
      <c r="F77" s="38">
        <f>IFERROR(VLOOKUP("2_"&amp;A77,SyS!$B:$P,10,FALSE()),0)</f>
        <v>0</v>
      </c>
      <c r="G77" s="39">
        <f>IFERROR(VLOOKUP("2_"&amp;A77,SyS!$B:$P,12,FALSE()),0)</f>
        <v>0</v>
      </c>
      <c r="H77" s="40">
        <f>+F77-G77</f>
        <v>0</v>
      </c>
      <c r="I77" s="39"/>
      <c r="J77" s="39"/>
      <c r="K77" s="39"/>
      <c r="L77" s="39"/>
      <c r="M77" s="39"/>
      <c r="N77" s="39"/>
      <c r="O77" s="38">
        <f>IFERROR(VLOOKUP("14_"&amp;A77,SyS!$B:$P,10,FALSE()),0)</f>
        <v>0</v>
      </c>
      <c r="P77" s="39">
        <f>IFERROR(VLOOKUP("14_"&amp;A77,SyS!$B:$P,12,FALSE()),0)</f>
        <v>0</v>
      </c>
      <c r="Q77" s="40">
        <f>+O77-P77</f>
        <v>0</v>
      </c>
      <c r="R77" s="38">
        <f>IFERROR(VLOOKUP("15_"&amp;A77,SyS!$B:$P,10,FALSE()),0)</f>
        <v>0</v>
      </c>
      <c r="S77" s="39">
        <f>IFERROR(VLOOKUP("15_"&amp;A77,SyS!$B:$P,12,FALSE()),0)</f>
        <v>0</v>
      </c>
      <c r="T77" s="40">
        <f>+R77-S77</f>
        <v>0</v>
      </c>
      <c r="U77" s="38">
        <f>IFERROR(VLOOKUP("16_"&amp;A77,SyS!$B:$P,10,FALSE()),0)</f>
        <v>0</v>
      </c>
      <c r="V77" s="39">
        <f>IFERROR(VLOOKUP("16_"&amp;A77,SyS!$B:$P,12,FALSE()),0)</f>
        <v>0</v>
      </c>
      <c r="W77" s="40">
        <f>+U77-V77</f>
        <v>0</v>
      </c>
      <c r="X77" s="38">
        <f>IFERROR(VLOOKUP("13_"&amp;A77,SyS!$B:$P,10,FALSE()),0)</f>
        <v>0</v>
      </c>
      <c r="Y77" s="39">
        <f>IFERROR(VLOOKUP("13_"&amp;A77,SyS!$B:$P,12,FALSE()),0)</f>
        <v>0</v>
      </c>
      <c r="Z77" s="40">
        <f>+X77-Y77</f>
        <v>0</v>
      </c>
      <c r="AA77" s="38">
        <f>IFERROR(VLOOKUP("17_"&amp;A77,SyS!$B:$P,10,FALSE()),0)</f>
        <v>0</v>
      </c>
      <c r="AB77" s="39">
        <f>IFERROR(VLOOKUP("17_"&amp;A77,SyS!$B:$P,12,FALSE()),0)</f>
        <v>0</v>
      </c>
      <c r="AC77" s="40">
        <f>+AA77-AB77</f>
        <v>0</v>
      </c>
      <c r="AD77" s="39"/>
      <c r="AE77" s="39"/>
      <c r="AF77" s="39"/>
      <c r="AG77" s="39">
        <f>IFERROR(VLOOKUP("19_"&amp;A77,SyS!$B:$P,10,FALSE()),0)</f>
        <v>0</v>
      </c>
      <c r="AH77" s="39">
        <f>IFERROR(VLOOKUP("19_"&amp;A77,SyS!$B:$P,12,FALSE()),0)</f>
        <v>0</v>
      </c>
      <c r="AI77" s="39">
        <f>+AG77-AH77</f>
        <v>0</v>
      </c>
      <c r="AJ77" s="39"/>
      <c r="AK77" s="39"/>
      <c r="AL77" s="39"/>
      <c r="AM77" s="39">
        <f>IFERROR(VLOOKUP("23_"&amp;A77,SyS!$B:$P,10,FALSE()),0)</f>
        <v>0</v>
      </c>
      <c r="AN77" s="39">
        <f>IFERROR(VLOOKUP("23_"&amp;A77,SyS!$B:$P,12,FALSE()),0)</f>
        <v>0</v>
      </c>
      <c r="AO77" s="40">
        <f>+AM77-AN77</f>
        <v>0</v>
      </c>
      <c r="AP77" s="39"/>
      <c r="AQ77" s="39"/>
      <c r="AR77" s="39"/>
      <c r="AS77" s="39"/>
      <c r="AT77" s="39"/>
      <c r="AU77" s="39"/>
      <c r="AV77" s="39"/>
      <c r="AW77" s="39"/>
      <c r="AX77" s="39"/>
      <c r="AY77" s="39"/>
      <c r="AZ77" s="39"/>
      <c r="BA77" s="39"/>
      <c r="BB77" s="39"/>
      <c r="BC77" s="39"/>
      <c r="BD77" s="39"/>
      <c r="BE77" s="39"/>
      <c r="BF77" s="39"/>
      <c r="BG77" s="39"/>
      <c r="BH77" s="39"/>
      <c r="BI77" s="39"/>
      <c r="BJ77" s="39"/>
      <c r="BK77" s="39">
        <f>IFERROR(VLOOKUP("29_"&amp;A77,SyS!$B:$P,10,FALSE()),0)</f>
        <v>0</v>
      </c>
      <c r="BL77" s="39">
        <f>IFERROR(VLOOKUP("29_"&amp;A77,SyS!$B:$P,12,FALSE()),0)</f>
        <v>0</v>
      </c>
      <c r="BM77" s="39">
        <f>+BK77-BL77</f>
        <v>0</v>
      </c>
      <c r="BN77" s="38">
        <f>IFERROR(VLOOKUP("30_"&amp;A77,SyS!$B:$P,10,FALSE()),0)</f>
        <v>0</v>
      </c>
      <c r="BO77" s="39">
        <f>IFERROR(VLOOKUP("30_"&amp;A77,SyS!$B:$P,12,FALSE()),0)</f>
        <v>0</v>
      </c>
      <c r="BP77" s="40">
        <f>+BN77-BO77</f>
        <v>0</v>
      </c>
      <c r="BQ77" s="45">
        <f>+E77+H77+K77+Q77+T77+W77+Z77+AC77+AF77+AI77+AL77+AO77+AR77+AU77+AX77+BA77+BD77+BG77+BJ77+BM77+BP77</f>
        <v>0</v>
      </c>
    </row>
    <row r="78" ht="11.25" customHeight="1" spans="1:69" x14ac:dyDescent="0.25">
      <c r="A78" s="44">
        <v>426160000</v>
      </c>
      <c r="B78" s="44" t="s">
        <v>309</v>
      </c>
      <c r="C78" s="38">
        <f>IFERROR(VLOOKUP("1_"&amp;A78,SyS!$B:$P,10,FALSE()),0)</f>
        <v>0</v>
      </c>
      <c r="D78" s="39">
        <f>IFERROR(VLOOKUP("1_"&amp;A78,SyS!$B:$P,12,FALSE()),0)</f>
        <v>0</v>
      </c>
      <c r="E78" s="39">
        <f>+C78-D78</f>
        <v>0</v>
      </c>
      <c r="F78" s="38">
        <f>IFERROR(VLOOKUP("2_"&amp;A78,SyS!$B:$P,10,FALSE()),0)</f>
        <v>0</v>
      </c>
      <c r="G78" s="39">
        <f>IFERROR(VLOOKUP("2_"&amp;A78,SyS!$B:$P,12,FALSE()),0)</f>
        <v>0</v>
      </c>
      <c r="H78" s="40">
        <f>+F78-G78</f>
        <v>0</v>
      </c>
      <c r="I78" s="39"/>
      <c r="J78" s="39"/>
      <c r="K78" s="39"/>
      <c r="L78" s="39"/>
      <c r="M78" s="39"/>
      <c r="N78" s="39"/>
      <c r="O78" s="38">
        <f>IFERROR(VLOOKUP("14_"&amp;A78,SyS!$B:$P,10,FALSE()),0)</f>
        <v>0</v>
      </c>
      <c r="P78" s="39">
        <f>IFERROR(VLOOKUP("14_"&amp;A78,SyS!$B:$P,12,FALSE()),0)</f>
        <v>0</v>
      </c>
      <c r="Q78" s="40">
        <f>+O78-P78</f>
        <v>0</v>
      </c>
      <c r="R78" s="38">
        <f>IFERROR(VLOOKUP("15_"&amp;A78,SyS!$B:$P,10,FALSE()),0)</f>
        <v>0</v>
      </c>
      <c r="S78" s="39">
        <f>IFERROR(VLOOKUP("15_"&amp;A78,SyS!$B:$P,12,FALSE()),0)</f>
        <v>0</v>
      </c>
      <c r="T78" s="40">
        <f>+R78-S78</f>
        <v>0</v>
      </c>
      <c r="U78" s="38">
        <f>IFERROR(VLOOKUP("16_"&amp;A78,SyS!$B:$P,10,FALSE()),0)</f>
        <v>0</v>
      </c>
      <c r="V78" s="39">
        <f>IFERROR(VLOOKUP("16_"&amp;A78,SyS!$B:$P,12,FALSE()),0)</f>
        <v>0</v>
      </c>
      <c r="W78" s="40">
        <f>+U78-V78</f>
        <v>0</v>
      </c>
      <c r="X78" s="38">
        <f>IFERROR(VLOOKUP("13_"&amp;A78,SyS!$B:$P,10,FALSE()),0)</f>
        <v>0</v>
      </c>
      <c r="Y78" s="39">
        <f>IFERROR(VLOOKUP("13_"&amp;A78,SyS!$B:$P,12,FALSE()),0)</f>
        <v>0</v>
      </c>
      <c r="Z78" s="40">
        <f>+X78-Y78</f>
        <v>0</v>
      </c>
      <c r="AA78" s="38">
        <f>IFERROR(VLOOKUP("17_"&amp;A78,SyS!$B:$P,10,FALSE()),0)</f>
        <v>0</v>
      </c>
      <c r="AB78" s="39">
        <f>IFERROR(VLOOKUP("17_"&amp;A78,SyS!$B:$P,12,FALSE()),0)</f>
        <v>0</v>
      </c>
      <c r="AC78" s="40">
        <f>+AA78-AB78</f>
        <v>0</v>
      </c>
      <c r="AD78" s="39"/>
      <c r="AE78" s="39"/>
      <c r="AF78" s="39"/>
      <c r="AG78" s="39">
        <f>IFERROR(VLOOKUP("19_"&amp;A78,SyS!$B:$P,10,FALSE()),0)</f>
        <v>0</v>
      </c>
      <c r="AH78" s="39">
        <f>IFERROR(VLOOKUP("19_"&amp;A78,SyS!$B:$P,12,FALSE()),0)</f>
        <v>0</v>
      </c>
      <c r="AI78" s="39">
        <f>+AG78-AH78</f>
        <v>0</v>
      </c>
      <c r="AJ78" s="39"/>
      <c r="AK78" s="39"/>
      <c r="AL78" s="39"/>
      <c r="AM78" s="39">
        <f>IFERROR(VLOOKUP("23_"&amp;A78,SyS!$B:$P,10,FALSE()),0)</f>
        <v>0</v>
      </c>
      <c r="AN78" s="39">
        <f>IFERROR(VLOOKUP("23_"&amp;A78,SyS!$B:$P,12,FALSE()),0)</f>
        <v>0</v>
      </c>
      <c r="AO78" s="40">
        <f>+AM78-AN78</f>
        <v>0</v>
      </c>
      <c r="AP78" s="39"/>
      <c r="AQ78" s="39"/>
      <c r="AR78" s="39"/>
      <c r="AS78" s="39"/>
      <c r="AT78" s="39"/>
      <c r="AU78" s="39"/>
      <c r="AV78" s="39"/>
      <c r="AW78" s="39"/>
      <c r="AX78" s="39"/>
      <c r="AY78" s="39"/>
      <c r="AZ78" s="39"/>
      <c r="BA78" s="39"/>
      <c r="BB78" s="39"/>
      <c r="BC78" s="39"/>
      <c r="BD78" s="39"/>
      <c r="BE78" s="39"/>
      <c r="BF78" s="39"/>
      <c r="BG78" s="39"/>
      <c r="BH78" s="39"/>
      <c r="BI78" s="39"/>
      <c r="BJ78" s="39"/>
      <c r="BK78" s="39">
        <f>IFERROR(VLOOKUP("29_"&amp;A78,SyS!$B:$P,10,FALSE()),0)</f>
        <v>0</v>
      </c>
      <c r="BL78" s="39">
        <f>IFERROR(VLOOKUP("29_"&amp;A78,SyS!$B:$P,12,FALSE()),0)</f>
        <v>0</v>
      </c>
      <c r="BM78" s="39">
        <f>+BK78-BL78</f>
        <v>0</v>
      </c>
      <c r="BN78" s="38">
        <f>IFERROR(VLOOKUP("30_"&amp;A78,SyS!$B:$P,10,FALSE()),0)</f>
        <v>0</v>
      </c>
      <c r="BO78" s="39">
        <f>IFERROR(VLOOKUP("30_"&amp;A78,SyS!$B:$P,12,FALSE()),0)</f>
        <v>0</v>
      </c>
      <c r="BP78" s="40">
        <f>+BN78-BO78</f>
        <v>0</v>
      </c>
      <c r="BQ78" s="45">
        <f>+E78+H78+K78+Q78+T78+W78+Z78+AC78+AF78+AI78+AL78+AO78+AR78+AU78+AX78+BA78+BD78+BG78+BJ78+BM78+BP78</f>
        <v>0</v>
      </c>
    </row>
    <row r="79" ht="11.25" customHeight="1" spans="1:69" x14ac:dyDescent="0.25">
      <c r="A79" s="44">
        <v>42426000</v>
      </c>
      <c r="B79" s="44" t="s">
        <v>310</v>
      </c>
      <c r="C79" s="38">
        <f>IFERROR(VLOOKUP("1_"&amp;A79,SyS!$B:$P,10,FALSE()),0)</f>
        <v>0</v>
      </c>
      <c r="D79" s="39">
        <f>IFERROR(VLOOKUP("1_"&amp;A79,SyS!$B:$P,12,FALSE()),0)</f>
        <v>0</v>
      </c>
      <c r="E79" s="39">
        <f>+C79-D79</f>
        <v>0</v>
      </c>
      <c r="F79" s="38">
        <f>IFERROR(VLOOKUP("2_"&amp;A79,SyS!$B:$P,10,FALSE()),0)</f>
        <v>0</v>
      </c>
      <c r="G79" s="39">
        <f>IFERROR(VLOOKUP("2_"&amp;A79,SyS!$B:$P,12,FALSE()),0)</f>
        <v>0</v>
      </c>
      <c r="H79" s="40">
        <f>+F79-G79</f>
        <v>0</v>
      </c>
      <c r="I79" s="39"/>
      <c r="J79" s="39"/>
      <c r="K79" s="39"/>
      <c r="L79" s="39"/>
      <c r="M79" s="39"/>
      <c r="N79" s="39"/>
      <c r="O79" s="38">
        <f>IFERROR(VLOOKUP("14_"&amp;A79,SyS!$B:$P,10,FALSE()),0)</f>
        <v>0</v>
      </c>
      <c r="P79" s="39">
        <f>IFERROR(VLOOKUP("14_"&amp;A79,SyS!$B:$P,12,FALSE()),0)</f>
        <v>0</v>
      </c>
      <c r="Q79" s="40">
        <f>+O79-P79</f>
        <v>0</v>
      </c>
      <c r="R79" s="38">
        <f>IFERROR(VLOOKUP("15_"&amp;A79,SyS!$B:$P,10,FALSE()),0)</f>
        <v>0</v>
      </c>
      <c r="S79" s="39">
        <f>IFERROR(VLOOKUP("15_"&amp;A79,SyS!$B:$P,12,FALSE()),0)</f>
        <v>0</v>
      </c>
      <c r="T79" s="40">
        <f>+R79-S79</f>
        <v>0</v>
      </c>
      <c r="U79" s="38">
        <f>IFERROR(VLOOKUP("16_"&amp;A79,SyS!$B:$P,10,FALSE()),0)</f>
        <v>0</v>
      </c>
      <c r="V79" s="39">
        <f>IFERROR(VLOOKUP("16_"&amp;A79,SyS!$B:$P,12,FALSE()),0)</f>
        <v>0</v>
      </c>
      <c r="W79" s="40">
        <f>+U79-V79</f>
        <v>0</v>
      </c>
      <c r="X79" s="38">
        <f>IFERROR(VLOOKUP("13_"&amp;A79,SyS!$B:$P,10,FALSE()),0)</f>
        <v>0</v>
      </c>
      <c r="Y79" s="39">
        <f>IFERROR(VLOOKUP("13_"&amp;A79,SyS!$B:$P,12,FALSE()),0)</f>
        <v>0</v>
      </c>
      <c r="Z79" s="40">
        <f>+X79-Y79</f>
        <v>0</v>
      </c>
      <c r="AA79" s="38">
        <f>IFERROR(VLOOKUP("17_"&amp;A79,SyS!$B:$P,10,FALSE()),0)</f>
        <v>0</v>
      </c>
      <c r="AB79" s="39">
        <f>IFERROR(VLOOKUP("17_"&amp;A79,SyS!$B:$P,12,FALSE()),0)</f>
        <v>0</v>
      </c>
      <c r="AC79" s="40">
        <f>+AA79-AB79</f>
        <v>0</v>
      </c>
      <c r="AD79" s="39"/>
      <c r="AE79" s="39"/>
      <c r="AF79" s="39"/>
      <c r="AG79" s="39">
        <f>IFERROR(VLOOKUP("19_"&amp;A79,SyS!$B:$P,10,FALSE()),0)</f>
        <v>0</v>
      </c>
      <c r="AH79" s="39">
        <f>IFERROR(VLOOKUP("19_"&amp;A79,SyS!$B:$P,12,FALSE()),0)</f>
        <v>0</v>
      </c>
      <c r="AI79" s="39">
        <f>+AG79-AH79</f>
        <v>0</v>
      </c>
      <c r="AJ79" s="39"/>
      <c r="AK79" s="39"/>
      <c r="AL79" s="39"/>
      <c r="AM79" s="39">
        <f>IFERROR(VLOOKUP("23_"&amp;A79,SyS!$B:$P,10,FALSE()),0)</f>
        <v>0</v>
      </c>
      <c r="AN79" s="39">
        <f>IFERROR(VLOOKUP("23_"&amp;A79,SyS!$B:$P,12,FALSE()),0)</f>
        <v>0</v>
      </c>
      <c r="AO79" s="40">
        <f>+AM79-AN79</f>
        <v>0</v>
      </c>
      <c r="AP79" s="39"/>
      <c r="AQ79" s="39"/>
      <c r="AR79" s="39"/>
      <c r="AS79" s="39"/>
      <c r="AT79" s="39"/>
      <c r="AU79" s="39"/>
      <c r="AV79" s="39"/>
      <c r="AW79" s="39"/>
      <c r="AX79" s="39"/>
      <c r="AY79" s="39"/>
      <c r="AZ79" s="39"/>
      <c r="BA79" s="39"/>
      <c r="BB79" s="39"/>
      <c r="BC79" s="39"/>
      <c r="BD79" s="39"/>
      <c r="BE79" s="39"/>
      <c r="BF79" s="39"/>
      <c r="BG79" s="39"/>
      <c r="BH79" s="39"/>
      <c r="BI79" s="39"/>
      <c r="BJ79" s="39"/>
      <c r="BK79" s="39">
        <f>IFERROR(VLOOKUP("29_"&amp;A79,SyS!$B:$P,10,FALSE()),0)</f>
        <v>0</v>
      </c>
      <c r="BL79" s="39">
        <f>IFERROR(VLOOKUP("29_"&amp;A79,SyS!$B:$P,12,FALSE()),0)</f>
        <v>0</v>
      </c>
      <c r="BM79" s="39">
        <f>+BK79-BL79</f>
        <v>0</v>
      </c>
      <c r="BN79" s="38">
        <f>IFERROR(VLOOKUP("30_"&amp;A79,SyS!$B:$P,10,FALSE()),0)</f>
        <v>0</v>
      </c>
      <c r="BO79" s="39">
        <f>IFERROR(VLOOKUP("30_"&amp;A79,SyS!$B:$P,12,FALSE()),0)</f>
        <v>0</v>
      </c>
      <c r="BP79" s="40">
        <f>+BN79-BO79</f>
        <v>0</v>
      </c>
      <c r="BQ79" s="45">
        <f>+E79+H79+K79+Q79+T79+W79+Z79+AC79+AF79+AI79+AL79+AO79+AR79+AU79+AX79+BA79+BD79+BG79+BJ79+BM79+BP79</f>
        <v>0</v>
      </c>
    </row>
    <row r="80" ht="11.25" customHeight="1" spans="1:69" x14ac:dyDescent="0.25">
      <c r="A80" s="44">
        <v>42427000</v>
      </c>
      <c r="B80" s="44" t="s">
        <v>311</v>
      </c>
      <c r="C80" s="38">
        <f>IFERROR(VLOOKUP("1_"&amp;A80,SyS!$B:$P,10,FALSE()),0)</f>
        <v>0</v>
      </c>
      <c r="D80" s="39">
        <f>IFERROR(VLOOKUP("1_"&amp;A80,SyS!$B:$P,12,FALSE()),0)</f>
        <v>0</v>
      </c>
      <c r="E80" s="39">
        <f>+C80-D80</f>
        <v>0</v>
      </c>
      <c r="F80" s="38">
        <f>IFERROR(VLOOKUP("2_"&amp;A80,SyS!$B:$P,10,FALSE()),0)</f>
        <v>0</v>
      </c>
      <c r="G80" s="39">
        <f>IFERROR(VLOOKUP("2_"&amp;A80,SyS!$B:$P,12,FALSE()),0)</f>
        <v>0</v>
      </c>
      <c r="H80" s="40">
        <f>+F80-G80</f>
        <v>0</v>
      </c>
      <c r="I80" s="39"/>
      <c r="J80" s="39"/>
      <c r="K80" s="39"/>
      <c r="L80" s="39"/>
      <c r="M80" s="39"/>
      <c r="N80" s="39"/>
      <c r="O80" s="38">
        <f>IFERROR(VLOOKUP("14_"&amp;A80,SyS!$B:$P,10,FALSE()),0)</f>
        <v>0</v>
      </c>
      <c r="P80" s="39">
        <f>IFERROR(VLOOKUP("14_"&amp;A80,SyS!$B:$P,12,FALSE()),0)</f>
        <v>0</v>
      </c>
      <c r="Q80" s="40">
        <f>+O80-P80</f>
        <v>0</v>
      </c>
      <c r="R80" s="38">
        <f>IFERROR(VLOOKUP("15_"&amp;A80,SyS!$B:$P,10,FALSE()),0)</f>
        <v>0</v>
      </c>
      <c r="S80" s="39">
        <f>IFERROR(VLOOKUP("15_"&amp;A80,SyS!$B:$P,12,FALSE()),0)</f>
        <v>0</v>
      </c>
      <c r="T80" s="40">
        <f>+R80-S80</f>
        <v>0</v>
      </c>
      <c r="U80" s="38">
        <f>IFERROR(VLOOKUP("16_"&amp;A80,SyS!$B:$P,10,FALSE()),0)</f>
        <v>0</v>
      </c>
      <c r="V80" s="39">
        <f>IFERROR(VLOOKUP("16_"&amp;A80,SyS!$B:$P,12,FALSE()),0)</f>
        <v>0</v>
      </c>
      <c r="W80" s="40">
        <f>+U80-V80</f>
        <v>0</v>
      </c>
      <c r="X80" s="38">
        <f>IFERROR(VLOOKUP("13_"&amp;A80,SyS!$B:$P,10,FALSE()),0)</f>
        <v>0</v>
      </c>
      <c r="Y80" s="39">
        <f>IFERROR(VLOOKUP("13_"&amp;A80,SyS!$B:$P,12,FALSE()),0)</f>
        <v>0</v>
      </c>
      <c r="Z80" s="40">
        <f>+X80-Y80</f>
        <v>0</v>
      </c>
      <c r="AA80" s="38">
        <f>IFERROR(VLOOKUP("17_"&amp;A80,SyS!$B:$P,10,FALSE()),0)</f>
        <v>0</v>
      </c>
      <c r="AB80" s="39">
        <f>IFERROR(VLOOKUP("17_"&amp;A80,SyS!$B:$P,12,FALSE()),0)</f>
        <v>0</v>
      </c>
      <c r="AC80" s="40">
        <f>+AA80-AB80</f>
        <v>0</v>
      </c>
      <c r="AD80" s="39"/>
      <c r="AE80" s="39"/>
      <c r="AF80" s="39"/>
      <c r="AG80" s="39">
        <f>IFERROR(VLOOKUP("19_"&amp;A80,SyS!$B:$P,10,FALSE()),0)</f>
        <v>0</v>
      </c>
      <c r="AH80" s="39">
        <f>IFERROR(VLOOKUP("19_"&amp;A80,SyS!$B:$P,12,FALSE()),0)</f>
        <v>0</v>
      </c>
      <c r="AI80" s="39">
        <f>+AG80-AH80</f>
        <v>0</v>
      </c>
      <c r="AJ80" s="39"/>
      <c r="AK80" s="39"/>
      <c r="AL80" s="39"/>
      <c r="AM80" s="39">
        <f>IFERROR(VLOOKUP("23_"&amp;A80,SyS!$B:$P,10,FALSE()),0)</f>
        <v>0</v>
      </c>
      <c r="AN80" s="39">
        <f>IFERROR(VLOOKUP("23_"&amp;A80,SyS!$B:$P,12,FALSE()),0)</f>
        <v>0</v>
      </c>
      <c r="AO80" s="40">
        <f>+AM80-AN80</f>
        <v>0</v>
      </c>
      <c r="AP80" s="39"/>
      <c r="AQ80" s="39"/>
      <c r="AR80" s="39"/>
      <c r="AS80" s="39"/>
      <c r="AT80" s="39"/>
      <c r="AU80" s="39"/>
      <c r="AV80" s="39"/>
      <c r="AW80" s="39"/>
      <c r="AX80" s="39"/>
      <c r="AY80" s="39"/>
      <c r="AZ80" s="39"/>
      <c r="BA80" s="39"/>
      <c r="BB80" s="39"/>
      <c r="BC80" s="39"/>
      <c r="BD80" s="39"/>
      <c r="BE80" s="39"/>
      <c r="BF80" s="39"/>
      <c r="BG80" s="39"/>
      <c r="BH80" s="39"/>
      <c r="BI80" s="39"/>
      <c r="BJ80" s="39"/>
      <c r="BK80" s="39">
        <f>IFERROR(VLOOKUP("29_"&amp;A80,SyS!$B:$P,10,FALSE()),0)</f>
        <v>0</v>
      </c>
      <c r="BL80" s="39">
        <f>IFERROR(VLOOKUP("29_"&amp;A80,SyS!$B:$P,12,FALSE()),0)</f>
        <v>0</v>
      </c>
      <c r="BM80" s="39">
        <f>+BK80-BL80</f>
        <v>0</v>
      </c>
      <c r="BN80" s="38">
        <f>IFERROR(VLOOKUP("30_"&amp;A80,SyS!$B:$P,10,FALSE()),0)</f>
        <v>0</v>
      </c>
      <c r="BO80" s="39">
        <f>IFERROR(VLOOKUP("30_"&amp;A80,SyS!$B:$P,12,FALSE()),0)</f>
        <v>0</v>
      </c>
      <c r="BP80" s="40">
        <f>+BN80-BO80</f>
        <v>0</v>
      </c>
      <c r="BQ80" s="45">
        <f>+E80+H80+K80+Q80+T80+W80+Z80+AC80+AF80+AI80+AL80+AO80+AR80+AU80+AX80+BA80+BD80+BG80+BJ80+BM80+BP80</f>
        <v>0</v>
      </c>
    </row>
    <row r="81" ht="11.25" customHeight="1" spans="1:69" x14ac:dyDescent="0.25">
      <c r="A81" s="44">
        <v>42428000</v>
      </c>
      <c r="B81" s="44" t="s">
        <v>312</v>
      </c>
      <c r="C81" s="38">
        <f>IFERROR(VLOOKUP("1_"&amp;A81,SyS!$B:$P,10,FALSE()),0)</f>
        <v>0</v>
      </c>
      <c r="D81" s="39">
        <f>IFERROR(VLOOKUP("1_"&amp;A81,SyS!$B:$P,12,FALSE()),0)</f>
        <v>0</v>
      </c>
      <c r="E81" s="39">
        <f>+C81-D81</f>
        <v>0</v>
      </c>
      <c r="F81" s="38">
        <f>IFERROR(VLOOKUP("2_"&amp;A81,SyS!$B:$P,10,FALSE()),0)</f>
        <v>0</v>
      </c>
      <c r="G81" s="39">
        <f>IFERROR(VLOOKUP("2_"&amp;A81,SyS!$B:$P,12,FALSE()),0)</f>
        <v>0</v>
      </c>
      <c r="H81" s="40">
        <f>+F81-G81</f>
        <v>0</v>
      </c>
      <c r="I81" s="39"/>
      <c r="J81" s="39"/>
      <c r="K81" s="39"/>
      <c r="L81" s="39"/>
      <c r="M81" s="39"/>
      <c r="N81" s="39"/>
      <c r="O81" s="38">
        <f>IFERROR(VLOOKUP("14_"&amp;A81,SyS!$B:$P,10,FALSE()),0)</f>
        <v>0</v>
      </c>
      <c r="P81" s="39">
        <f>IFERROR(VLOOKUP("14_"&amp;A81,SyS!$B:$P,12,FALSE()),0)</f>
        <v>0</v>
      </c>
      <c r="Q81" s="40">
        <f>+O81-P81</f>
        <v>0</v>
      </c>
      <c r="R81" s="38">
        <f>IFERROR(VLOOKUP("15_"&amp;A81,SyS!$B:$P,10,FALSE()),0)</f>
        <v>0</v>
      </c>
      <c r="S81" s="39">
        <f>IFERROR(VLOOKUP("15_"&amp;A81,SyS!$B:$P,12,FALSE()),0)</f>
        <v>0</v>
      </c>
      <c r="T81" s="40">
        <f>+R81-S81</f>
        <v>0</v>
      </c>
      <c r="U81" s="38">
        <f>IFERROR(VLOOKUP("16_"&amp;A81,SyS!$B:$P,10,FALSE()),0)</f>
        <v>0</v>
      </c>
      <c r="V81" s="39">
        <f>IFERROR(VLOOKUP("16_"&amp;A81,SyS!$B:$P,12,FALSE()),0)</f>
        <v>0</v>
      </c>
      <c r="W81" s="40">
        <f>+U81-V81</f>
        <v>0</v>
      </c>
      <c r="X81" s="38">
        <f>IFERROR(VLOOKUP("13_"&amp;A81,SyS!$B:$P,10,FALSE()),0)</f>
        <v>0</v>
      </c>
      <c r="Y81" s="39">
        <f>IFERROR(VLOOKUP("13_"&amp;A81,SyS!$B:$P,12,FALSE()),0)</f>
        <v>0</v>
      </c>
      <c r="Z81" s="40">
        <f>+X81-Y81</f>
        <v>0</v>
      </c>
      <c r="AA81" s="38">
        <f>IFERROR(VLOOKUP("17_"&amp;A81,SyS!$B:$P,10,FALSE()),0)</f>
        <v>0</v>
      </c>
      <c r="AB81" s="39">
        <f>IFERROR(VLOOKUP("17_"&amp;A81,SyS!$B:$P,12,FALSE()),0)</f>
        <v>0</v>
      </c>
      <c r="AC81" s="40">
        <f>+AA81-AB81</f>
        <v>0</v>
      </c>
      <c r="AD81" s="39"/>
      <c r="AE81" s="39"/>
      <c r="AF81" s="39"/>
      <c r="AG81" s="39">
        <f>IFERROR(VLOOKUP("19_"&amp;A81,SyS!$B:$P,10,FALSE()),0)</f>
        <v>0</v>
      </c>
      <c r="AH81" s="39">
        <f>IFERROR(VLOOKUP("19_"&amp;A81,SyS!$B:$P,12,FALSE()),0)</f>
        <v>0</v>
      </c>
      <c r="AI81" s="39">
        <f>+AG81-AH81</f>
        <v>0</v>
      </c>
      <c r="AJ81" s="39"/>
      <c r="AK81" s="39"/>
      <c r="AL81" s="39"/>
      <c r="AM81" s="39">
        <f>IFERROR(VLOOKUP("23_"&amp;A81,SyS!$B:$P,10,FALSE()),0)</f>
        <v>0</v>
      </c>
      <c r="AN81" s="39">
        <f>IFERROR(VLOOKUP("23_"&amp;A81,SyS!$B:$P,12,FALSE()),0)</f>
        <v>0</v>
      </c>
      <c r="AO81" s="40">
        <f>+AM81-AN81</f>
        <v>0</v>
      </c>
      <c r="AP81" s="39"/>
      <c r="AQ81" s="39"/>
      <c r="AR81" s="39"/>
      <c r="AS81" s="39"/>
      <c r="AT81" s="39"/>
      <c r="AU81" s="39"/>
      <c r="AV81" s="39"/>
      <c r="AW81" s="39"/>
      <c r="AX81" s="39"/>
      <c r="AY81" s="39"/>
      <c r="AZ81" s="39"/>
      <c r="BA81" s="39"/>
      <c r="BB81" s="39"/>
      <c r="BC81" s="39"/>
      <c r="BD81" s="39"/>
      <c r="BE81" s="39"/>
      <c r="BF81" s="39"/>
      <c r="BG81" s="39"/>
      <c r="BH81" s="39"/>
      <c r="BI81" s="39"/>
      <c r="BJ81" s="39"/>
      <c r="BK81" s="39">
        <f>IFERROR(VLOOKUP("29_"&amp;A81,SyS!$B:$P,10,FALSE()),0)</f>
        <v>0</v>
      </c>
      <c r="BL81" s="39">
        <f>IFERROR(VLOOKUP("29_"&amp;A81,SyS!$B:$P,12,FALSE()),0)</f>
        <v>0</v>
      </c>
      <c r="BM81" s="39">
        <f>+BK81-BL81</f>
        <v>0</v>
      </c>
      <c r="BN81" s="38">
        <f>IFERROR(VLOOKUP("30_"&amp;A81,SyS!$B:$P,10,FALSE()),0)</f>
        <v>0</v>
      </c>
      <c r="BO81" s="39">
        <f>IFERROR(VLOOKUP("30_"&amp;A81,SyS!$B:$P,12,FALSE()),0)</f>
        <v>0</v>
      </c>
      <c r="BP81" s="40">
        <f>+BN81-BO81</f>
        <v>0</v>
      </c>
      <c r="BQ81" s="45">
        <f>+E81+H81+K81+Q81+T81+W81+Z81+AC81+AF81+AI81+AL81+AO81+AR81+AU81+AX81+BA81+BD81+BG81+BJ81+BM81+BP81</f>
        <v>0</v>
      </c>
    </row>
    <row r="82" ht="11.25" customHeight="1" spans="1:69" x14ac:dyDescent="0.25">
      <c r="A82" s="44">
        <v>42429000</v>
      </c>
      <c r="B82" s="44" t="s">
        <v>313</v>
      </c>
      <c r="C82" s="38">
        <f>IFERROR(VLOOKUP("1_"&amp;A82,SyS!$B:$P,10,FALSE()),0)</f>
        <v>0</v>
      </c>
      <c r="D82" s="39">
        <f>IFERROR(VLOOKUP("1_"&amp;A82,SyS!$B:$P,12,FALSE()),0)</f>
        <v>0</v>
      </c>
      <c r="E82" s="39">
        <f>+C82-D82</f>
        <v>0</v>
      </c>
      <c r="F82" s="38">
        <f>IFERROR(VLOOKUP("2_"&amp;A82,SyS!$B:$P,10,FALSE()),0)</f>
        <v>0</v>
      </c>
      <c r="G82" s="39">
        <f>IFERROR(VLOOKUP("2_"&amp;A82,SyS!$B:$P,12,FALSE()),0)</f>
        <v>0</v>
      </c>
      <c r="H82" s="40">
        <f>+F82-G82</f>
        <v>0</v>
      </c>
      <c r="I82" s="39"/>
      <c r="J82" s="39"/>
      <c r="K82" s="39"/>
      <c r="L82" s="39"/>
      <c r="M82" s="39"/>
      <c r="N82" s="39"/>
      <c r="O82" s="38">
        <f>IFERROR(VLOOKUP("14_"&amp;A82,SyS!$B:$P,10,FALSE()),0)</f>
        <v>0</v>
      </c>
      <c r="P82" s="39">
        <f>IFERROR(VLOOKUP("14_"&amp;A82,SyS!$B:$P,12,FALSE()),0)</f>
        <v>0</v>
      </c>
      <c r="Q82" s="40">
        <f>+O82-P82</f>
        <v>0</v>
      </c>
      <c r="R82" s="38">
        <f>IFERROR(VLOOKUP("15_"&amp;A82,SyS!$B:$P,10,FALSE()),0)</f>
        <v>0</v>
      </c>
      <c r="S82" s="39">
        <f>IFERROR(VLOOKUP("15_"&amp;A82,SyS!$B:$P,12,FALSE()),0)</f>
        <v>0</v>
      </c>
      <c r="T82" s="40">
        <f>+R82-S82</f>
        <v>0</v>
      </c>
      <c r="U82" s="38">
        <f>IFERROR(VLOOKUP("16_"&amp;A82,SyS!$B:$P,10,FALSE()),0)</f>
        <v>0</v>
      </c>
      <c r="V82" s="39">
        <f>IFERROR(VLOOKUP("16_"&amp;A82,SyS!$B:$P,12,FALSE()),0)</f>
        <v>0</v>
      </c>
      <c r="W82" s="40">
        <f>+U82-V82</f>
        <v>0</v>
      </c>
      <c r="X82" s="38">
        <f>IFERROR(VLOOKUP("13_"&amp;A82,SyS!$B:$P,10,FALSE()),0)</f>
        <v>0</v>
      </c>
      <c r="Y82" s="39">
        <f>IFERROR(VLOOKUP("13_"&amp;A82,SyS!$B:$P,12,FALSE()),0)</f>
        <v>0</v>
      </c>
      <c r="Z82" s="40">
        <f>+X82-Y82</f>
        <v>0</v>
      </c>
      <c r="AA82" s="38">
        <f>IFERROR(VLOOKUP("17_"&amp;A82,SyS!$B:$P,10,FALSE()),0)</f>
        <v>0</v>
      </c>
      <c r="AB82" s="39">
        <f>IFERROR(VLOOKUP("17_"&amp;A82,SyS!$B:$P,12,FALSE()),0)</f>
        <v>0</v>
      </c>
      <c r="AC82" s="40">
        <f>+AA82-AB82</f>
        <v>0</v>
      </c>
      <c r="AD82" s="39"/>
      <c r="AE82" s="39"/>
      <c r="AF82" s="39"/>
      <c r="AG82" s="39">
        <f>IFERROR(VLOOKUP("19_"&amp;A82,SyS!$B:$P,10,FALSE()),0)</f>
        <v>0</v>
      </c>
      <c r="AH82" s="39">
        <f>IFERROR(VLOOKUP("19_"&amp;A82,SyS!$B:$P,12,FALSE()),0)</f>
        <v>0</v>
      </c>
      <c r="AI82" s="39">
        <f>+AG82-AH82</f>
        <v>0</v>
      </c>
      <c r="AJ82" s="39"/>
      <c r="AK82" s="39"/>
      <c r="AL82" s="39"/>
      <c r="AM82" s="39">
        <f>IFERROR(VLOOKUP("23_"&amp;A82,SyS!$B:$P,10,FALSE()),0)</f>
        <v>0</v>
      </c>
      <c r="AN82" s="39">
        <f>IFERROR(VLOOKUP("23_"&amp;A82,SyS!$B:$P,12,FALSE()),0)</f>
        <v>0</v>
      </c>
      <c r="AO82" s="40">
        <f>+AM82-AN82</f>
        <v>0</v>
      </c>
      <c r="AP82" s="39"/>
      <c r="AQ82" s="39"/>
      <c r="AR82" s="39"/>
      <c r="AS82" s="39"/>
      <c r="AT82" s="39"/>
      <c r="AU82" s="39"/>
      <c r="AV82" s="39"/>
      <c r="AW82" s="39"/>
      <c r="AX82" s="39"/>
      <c r="AY82" s="39"/>
      <c r="AZ82" s="39"/>
      <c r="BA82" s="39"/>
      <c r="BB82" s="39"/>
      <c r="BC82" s="39"/>
      <c r="BD82" s="39"/>
      <c r="BE82" s="39"/>
      <c r="BF82" s="39"/>
      <c r="BG82" s="39"/>
      <c r="BH82" s="39"/>
      <c r="BI82" s="39"/>
      <c r="BJ82" s="39"/>
      <c r="BK82" s="39">
        <f>IFERROR(VLOOKUP("29_"&amp;A82,SyS!$B:$P,10,FALSE()),0)</f>
        <v>0</v>
      </c>
      <c r="BL82" s="39">
        <f>IFERROR(VLOOKUP("29_"&amp;A82,SyS!$B:$P,12,FALSE()),0)</f>
        <v>0</v>
      </c>
      <c r="BM82" s="39">
        <f>+BK82-BL82</f>
        <v>0</v>
      </c>
      <c r="BN82" s="38">
        <f>IFERROR(VLOOKUP("30_"&amp;A82,SyS!$B:$P,10,FALSE()),0)</f>
        <v>0</v>
      </c>
      <c r="BO82" s="39">
        <f>IFERROR(VLOOKUP("30_"&amp;A82,SyS!$B:$P,12,FALSE()),0)</f>
        <v>0</v>
      </c>
      <c r="BP82" s="40">
        <f>+BN82-BO82</f>
        <v>0</v>
      </c>
      <c r="BQ82" s="45">
        <f>+E82+H82+K82+Q82+T82+W82+Z82+AC82+AF82+AI82+AL82+AO82+AR82+AU82+AX82+BA82+BD82+BG82+BJ82+BM82+BP82</f>
        <v>0</v>
      </c>
    </row>
    <row r="83" ht="11.25" customHeight="1" spans="1:69" x14ac:dyDescent="0.25">
      <c r="A83" s="44">
        <v>42430000</v>
      </c>
      <c r="B83" s="44" t="s">
        <v>314</v>
      </c>
      <c r="C83" s="38">
        <f>IFERROR(VLOOKUP("1_"&amp;A83,SyS!$B:$P,10,FALSE()),0)</f>
        <v>0</v>
      </c>
      <c r="D83" s="39">
        <f>IFERROR(VLOOKUP("1_"&amp;A83,SyS!$B:$P,12,FALSE()),0)</f>
        <v>0</v>
      </c>
      <c r="E83" s="39">
        <f>+C83-D83</f>
        <v>0</v>
      </c>
      <c r="F83" s="38">
        <f>IFERROR(VLOOKUP("2_"&amp;A83,SyS!$B:$P,10,FALSE()),0)</f>
        <v>0</v>
      </c>
      <c r="G83" s="39">
        <f>IFERROR(VLOOKUP("2_"&amp;A83,SyS!$B:$P,12,FALSE()),0)</f>
        <v>0</v>
      </c>
      <c r="H83" s="40">
        <f>+F83-G83</f>
        <v>0</v>
      </c>
      <c r="I83" s="39"/>
      <c r="J83" s="39"/>
      <c r="K83" s="39"/>
      <c r="L83" s="39"/>
      <c r="M83" s="39"/>
      <c r="N83" s="39"/>
      <c r="O83" s="38">
        <f>IFERROR(VLOOKUP("14_"&amp;A83,SyS!$B:$P,10,FALSE()),0)</f>
        <v>0</v>
      </c>
      <c r="P83" s="39">
        <f>IFERROR(VLOOKUP("14_"&amp;A83,SyS!$B:$P,12,FALSE()),0)</f>
        <v>0</v>
      </c>
      <c r="Q83" s="40">
        <f>+O83-P83</f>
        <v>0</v>
      </c>
      <c r="R83" s="38">
        <f>IFERROR(VLOOKUP("15_"&amp;A83,SyS!$B:$P,10,FALSE()),0)</f>
        <v>0</v>
      </c>
      <c r="S83" s="39">
        <f>IFERROR(VLOOKUP("15_"&amp;A83,SyS!$B:$P,12,FALSE()),0)</f>
        <v>0</v>
      </c>
      <c r="T83" s="40">
        <f>+R83-S83</f>
        <v>0</v>
      </c>
      <c r="U83" s="38">
        <f>IFERROR(VLOOKUP("16_"&amp;A83,SyS!$B:$P,10,FALSE()),0)</f>
        <v>0</v>
      </c>
      <c r="V83" s="39">
        <f>IFERROR(VLOOKUP("16_"&amp;A83,SyS!$B:$P,12,FALSE()),0)</f>
        <v>0</v>
      </c>
      <c r="W83" s="40">
        <f>+U83-V83</f>
        <v>0</v>
      </c>
      <c r="X83" s="38">
        <f>IFERROR(VLOOKUP("13_"&amp;A83,SyS!$B:$P,10,FALSE()),0)</f>
        <v>0</v>
      </c>
      <c r="Y83" s="39">
        <f>IFERROR(VLOOKUP("13_"&amp;A83,SyS!$B:$P,12,FALSE()),0)</f>
        <v>0</v>
      </c>
      <c r="Z83" s="40">
        <f>+X83-Y83</f>
        <v>0</v>
      </c>
      <c r="AA83" s="38">
        <f>IFERROR(VLOOKUP("17_"&amp;A83,SyS!$B:$P,10,FALSE()),0)</f>
        <v>0</v>
      </c>
      <c r="AB83" s="39">
        <f>IFERROR(VLOOKUP("17_"&amp;A83,SyS!$B:$P,12,FALSE()),0)</f>
        <v>0</v>
      </c>
      <c r="AC83" s="40">
        <f>+AA83-AB83</f>
        <v>0</v>
      </c>
      <c r="AD83" s="39"/>
      <c r="AE83" s="39"/>
      <c r="AF83" s="39"/>
      <c r="AG83" s="39">
        <f>IFERROR(VLOOKUP("19_"&amp;A83,SyS!$B:$P,10,FALSE()),0)</f>
        <v>0</v>
      </c>
      <c r="AH83" s="39">
        <f>IFERROR(VLOOKUP("19_"&amp;A83,SyS!$B:$P,12,FALSE()),0)</f>
        <v>0</v>
      </c>
      <c r="AI83" s="39">
        <f>+AG83-AH83</f>
        <v>0</v>
      </c>
      <c r="AJ83" s="39"/>
      <c r="AK83" s="39"/>
      <c r="AL83" s="39"/>
      <c r="AM83" s="39">
        <f>IFERROR(VLOOKUP("23_"&amp;A83,SyS!$B:$P,10,FALSE()),0)</f>
        <v>0</v>
      </c>
      <c r="AN83" s="39">
        <f>IFERROR(VLOOKUP("23_"&amp;A83,SyS!$B:$P,12,FALSE()),0)</f>
        <v>0</v>
      </c>
      <c r="AO83" s="40">
        <f>+AM83-AN83</f>
        <v>0</v>
      </c>
      <c r="AP83" s="39"/>
      <c r="AQ83" s="39"/>
      <c r="AR83" s="39"/>
      <c r="AS83" s="39"/>
      <c r="AT83" s="39"/>
      <c r="AU83" s="39"/>
      <c r="AV83" s="39"/>
      <c r="AW83" s="39"/>
      <c r="AX83" s="39"/>
      <c r="AY83" s="39"/>
      <c r="AZ83" s="39"/>
      <c r="BA83" s="39"/>
      <c r="BB83" s="39"/>
      <c r="BC83" s="39"/>
      <c r="BD83" s="39"/>
      <c r="BE83" s="39"/>
      <c r="BF83" s="39"/>
      <c r="BG83" s="39"/>
      <c r="BH83" s="39"/>
      <c r="BI83" s="39"/>
      <c r="BJ83" s="39"/>
      <c r="BK83" s="39">
        <f>IFERROR(VLOOKUP("29_"&amp;A83,SyS!$B:$P,10,FALSE()),0)</f>
        <v>0</v>
      </c>
      <c r="BL83" s="39">
        <f>IFERROR(VLOOKUP("29_"&amp;A83,SyS!$B:$P,12,FALSE()),0)</f>
        <v>0</v>
      </c>
      <c r="BM83" s="39">
        <f>+BK83-BL83</f>
        <v>0</v>
      </c>
      <c r="BN83" s="38">
        <f>IFERROR(VLOOKUP("30_"&amp;A83,SyS!$B:$P,10,FALSE()),0)</f>
        <v>0</v>
      </c>
      <c r="BO83" s="39">
        <f>IFERROR(VLOOKUP("30_"&amp;A83,SyS!$B:$P,12,FALSE()),0)</f>
        <v>0</v>
      </c>
      <c r="BP83" s="40">
        <f>+BN83-BO83</f>
        <v>0</v>
      </c>
      <c r="BQ83" s="45">
        <f>+E83+H83+K83+Q83+T83+W83+Z83+AC83+AF83+AI83+AL83+AO83+AR83+AU83+AX83+BA83+BD83+BG83+BJ83+BM83+BP83</f>
        <v>0</v>
      </c>
    </row>
    <row r="84" ht="11.25" customHeight="1" spans="1:69" x14ac:dyDescent="0.25">
      <c r="A84" s="44">
        <v>42431000</v>
      </c>
      <c r="B84" s="44" t="s">
        <v>315</v>
      </c>
      <c r="C84" s="38">
        <f>IFERROR(VLOOKUP("1_"&amp;A84,SyS!$B:$P,10,FALSE()),0)</f>
        <v>0</v>
      </c>
      <c r="D84" s="39">
        <f>IFERROR(VLOOKUP("1_"&amp;A84,SyS!$B:$P,12,FALSE()),0)</f>
        <v>0</v>
      </c>
      <c r="E84" s="39">
        <f>+C84-D84</f>
        <v>0</v>
      </c>
      <c r="F84" s="38">
        <f>IFERROR(VLOOKUP("2_"&amp;A84,SyS!$B:$P,10,FALSE()),0)</f>
        <v>0</v>
      </c>
      <c r="G84" s="39">
        <f>IFERROR(VLOOKUP("2_"&amp;A84,SyS!$B:$P,12,FALSE()),0)</f>
        <v>0</v>
      </c>
      <c r="H84" s="40">
        <f>+F84-G84</f>
        <v>0</v>
      </c>
      <c r="I84" s="39"/>
      <c r="J84" s="39"/>
      <c r="K84" s="39"/>
      <c r="L84" s="39"/>
      <c r="M84" s="39"/>
      <c r="N84" s="39"/>
      <c r="O84" s="38">
        <f>IFERROR(VLOOKUP("14_"&amp;A84,SyS!$B:$P,10,FALSE()),0)</f>
        <v>0</v>
      </c>
      <c r="P84" s="39">
        <f>IFERROR(VLOOKUP("14_"&amp;A84,SyS!$B:$P,12,FALSE()),0)</f>
        <v>0</v>
      </c>
      <c r="Q84" s="40">
        <f>+O84-P84</f>
        <v>0</v>
      </c>
      <c r="R84" s="38">
        <f>IFERROR(VLOOKUP("15_"&amp;A84,SyS!$B:$P,10,FALSE()),0)</f>
        <v>0</v>
      </c>
      <c r="S84" s="39">
        <f>IFERROR(VLOOKUP("15_"&amp;A84,SyS!$B:$P,12,FALSE()),0)</f>
        <v>0</v>
      </c>
      <c r="T84" s="40">
        <f>+R84-S84</f>
        <v>0</v>
      </c>
      <c r="U84" s="38">
        <f>IFERROR(VLOOKUP("16_"&amp;A84,SyS!$B:$P,10,FALSE()),0)</f>
        <v>0</v>
      </c>
      <c r="V84" s="39">
        <f>IFERROR(VLOOKUP("16_"&amp;A84,SyS!$B:$P,12,FALSE()),0)</f>
        <v>0</v>
      </c>
      <c r="W84" s="40">
        <f>+U84-V84</f>
        <v>0</v>
      </c>
      <c r="X84" s="38">
        <f>IFERROR(VLOOKUP("13_"&amp;A84,SyS!$B:$P,10,FALSE()),0)</f>
        <v>0</v>
      </c>
      <c r="Y84" s="39">
        <f>IFERROR(VLOOKUP("13_"&amp;A84,SyS!$B:$P,12,FALSE()),0)</f>
        <v>0</v>
      </c>
      <c r="Z84" s="40">
        <f>+X84-Y84</f>
        <v>0</v>
      </c>
      <c r="AA84" s="38">
        <f>IFERROR(VLOOKUP("17_"&amp;A84,SyS!$B:$P,10,FALSE()),0)</f>
        <v>0</v>
      </c>
      <c r="AB84" s="39">
        <f>IFERROR(VLOOKUP("17_"&amp;A84,SyS!$B:$P,12,FALSE()),0)</f>
        <v>0</v>
      </c>
      <c r="AC84" s="40">
        <f>+AA84-AB84</f>
        <v>0</v>
      </c>
      <c r="AD84" s="39"/>
      <c r="AE84" s="39"/>
      <c r="AF84" s="39"/>
      <c r="AG84" s="39">
        <f>IFERROR(VLOOKUP("19_"&amp;A84,SyS!$B:$P,10,FALSE()),0)</f>
        <v>0</v>
      </c>
      <c r="AH84" s="39">
        <f>IFERROR(VLOOKUP("19_"&amp;A84,SyS!$B:$P,12,FALSE()),0)</f>
        <v>0</v>
      </c>
      <c r="AI84" s="39">
        <f>+AG84-AH84</f>
        <v>0</v>
      </c>
      <c r="AJ84" s="39"/>
      <c r="AK84" s="39"/>
      <c r="AL84" s="39"/>
      <c r="AM84" s="39">
        <f>IFERROR(VLOOKUP("23_"&amp;A84,SyS!$B:$P,10,FALSE()),0)</f>
        <v>0</v>
      </c>
      <c r="AN84" s="39">
        <f>IFERROR(VLOOKUP("23_"&amp;A84,SyS!$B:$P,12,FALSE()),0)</f>
        <v>0</v>
      </c>
      <c r="AO84" s="40">
        <f>+AM84-AN84</f>
        <v>0</v>
      </c>
      <c r="AP84" s="39"/>
      <c r="AQ84" s="39"/>
      <c r="AR84" s="39"/>
      <c r="AS84" s="39"/>
      <c r="AT84" s="39"/>
      <c r="AU84" s="39"/>
      <c r="AV84" s="39"/>
      <c r="AW84" s="39"/>
      <c r="AX84" s="39"/>
      <c r="AY84" s="39"/>
      <c r="AZ84" s="39"/>
      <c r="BA84" s="39"/>
      <c r="BB84" s="39"/>
      <c r="BC84" s="39"/>
      <c r="BD84" s="39"/>
      <c r="BE84" s="39"/>
      <c r="BF84" s="39"/>
      <c r="BG84" s="39"/>
      <c r="BH84" s="39"/>
      <c r="BI84" s="39"/>
      <c r="BJ84" s="39"/>
      <c r="BK84" s="39">
        <f>IFERROR(VLOOKUP("29_"&amp;A84,SyS!$B:$P,10,FALSE()),0)</f>
        <v>0</v>
      </c>
      <c r="BL84" s="39">
        <f>IFERROR(VLOOKUP("29_"&amp;A84,SyS!$B:$P,12,FALSE()),0)</f>
        <v>0</v>
      </c>
      <c r="BM84" s="39">
        <f>+BK84-BL84</f>
        <v>0</v>
      </c>
      <c r="BN84" s="38">
        <f>IFERROR(VLOOKUP("30_"&amp;A84,SyS!$B:$P,10,FALSE()),0)</f>
        <v>0</v>
      </c>
      <c r="BO84" s="39">
        <f>IFERROR(VLOOKUP("30_"&amp;A84,SyS!$B:$P,12,FALSE()),0)</f>
        <v>0</v>
      </c>
      <c r="BP84" s="40">
        <f>+BN84-BO84</f>
        <v>0</v>
      </c>
      <c r="BQ84" s="45">
        <f>+E84+H84+K84+Q84+T84+W84+Z84+AC84+AF84+AI84+AL84+AO84+AR84+AU84+AX84+BA84+BD84+BG84+BJ84+BM84+BP84</f>
        <v>0</v>
      </c>
    </row>
    <row r="85" ht="11.25" customHeight="1" spans="1:69" x14ac:dyDescent="0.25">
      <c r="A85" s="44">
        <v>42432000</v>
      </c>
      <c r="B85" s="44" t="s">
        <v>316</v>
      </c>
      <c r="C85" s="38">
        <f>IFERROR(VLOOKUP("1_"&amp;A85,SyS!$B:$P,10,FALSE()),0)</f>
        <v>0</v>
      </c>
      <c r="D85" s="39">
        <f>IFERROR(VLOOKUP("1_"&amp;A85,SyS!$B:$P,12,FALSE()),0)</f>
        <v>0</v>
      </c>
      <c r="E85" s="39">
        <f>+C85-D85</f>
        <v>0</v>
      </c>
      <c r="F85" s="38">
        <f>IFERROR(VLOOKUP("2_"&amp;A85,SyS!$B:$P,10,FALSE()),0)</f>
        <v>0</v>
      </c>
      <c r="G85" s="39">
        <f>IFERROR(VLOOKUP("2_"&amp;A85,SyS!$B:$P,12,FALSE()),0)</f>
        <v>0</v>
      </c>
      <c r="H85" s="40">
        <f>+F85-G85</f>
        <v>0</v>
      </c>
      <c r="I85" s="39"/>
      <c r="J85" s="39"/>
      <c r="K85" s="39"/>
      <c r="L85" s="39"/>
      <c r="M85" s="39"/>
      <c r="N85" s="39"/>
      <c r="O85" s="38">
        <f>IFERROR(VLOOKUP("14_"&amp;A85,SyS!$B:$P,10,FALSE()),0)</f>
        <v>0</v>
      </c>
      <c r="P85" s="39">
        <f>IFERROR(VLOOKUP("14_"&amp;A85,SyS!$B:$P,12,FALSE()),0)</f>
        <v>0</v>
      </c>
      <c r="Q85" s="40">
        <f>+O85-P85</f>
        <v>0</v>
      </c>
      <c r="R85" s="38">
        <f>IFERROR(VLOOKUP("15_"&amp;A85,SyS!$B:$P,10,FALSE()),0)</f>
        <v>0</v>
      </c>
      <c r="S85" s="39">
        <f>IFERROR(VLOOKUP("15_"&amp;A85,SyS!$B:$P,12,FALSE()),0)</f>
        <v>0</v>
      </c>
      <c r="T85" s="40">
        <f>+R85-S85</f>
        <v>0</v>
      </c>
      <c r="U85" s="38">
        <f>IFERROR(VLOOKUP("16_"&amp;A85,SyS!$B:$P,10,FALSE()),0)</f>
        <v>0</v>
      </c>
      <c r="V85" s="39">
        <f>IFERROR(VLOOKUP("16_"&amp;A85,SyS!$B:$P,12,FALSE()),0)</f>
        <v>0</v>
      </c>
      <c r="W85" s="40">
        <f>+U85-V85</f>
        <v>0</v>
      </c>
      <c r="X85" s="38">
        <f>IFERROR(VLOOKUP("13_"&amp;A85,SyS!$B:$P,10,FALSE()),0)</f>
        <v>0</v>
      </c>
      <c r="Y85" s="39">
        <f>IFERROR(VLOOKUP("13_"&amp;A85,SyS!$B:$P,12,FALSE()),0)</f>
        <v>0</v>
      </c>
      <c r="Z85" s="40">
        <f>+X85-Y85</f>
        <v>0</v>
      </c>
      <c r="AA85" s="38">
        <f>IFERROR(VLOOKUP("17_"&amp;A85,SyS!$B:$P,10,FALSE()),0)</f>
        <v>0</v>
      </c>
      <c r="AB85" s="39">
        <f>IFERROR(VLOOKUP("17_"&amp;A85,SyS!$B:$P,12,FALSE()),0)</f>
        <v>0</v>
      </c>
      <c r="AC85" s="40">
        <f>+AA85-AB85</f>
        <v>0</v>
      </c>
      <c r="AD85" s="39"/>
      <c r="AE85" s="39"/>
      <c r="AF85" s="39"/>
      <c r="AG85" s="39">
        <f>IFERROR(VLOOKUP("19_"&amp;A85,SyS!$B:$P,10,FALSE()),0)</f>
        <v>0</v>
      </c>
      <c r="AH85" s="39">
        <f>IFERROR(VLOOKUP("19_"&amp;A85,SyS!$B:$P,12,FALSE()),0)</f>
        <v>0</v>
      </c>
      <c r="AI85" s="39">
        <f>+AG85-AH85</f>
        <v>0</v>
      </c>
      <c r="AJ85" s="39"/>
      <c r="AK85" s="39"/>
      <c r="AL85" s="39"/>
      <c r="AM85" s="39">
        <f>IFERROR(VLOOKUP("23_"&amp;A85,SyS!$B:$P,10,FALSE()),0)</f>
        <v>0</v>
      </c>
      <c r="AN85" s="39">
        <f>IFERROR(VLOOKUP("23_"&amp;A85,SyS!$B:$P,12,FALSE()),0)</f>
        <v>0</v>
      </c>
      <c r="AO85" s="40">
        <f>+AM85-AN85</f>
        <v>0</v>
      </c>
      <c r="AP85" s="39"/>
      <c r="AQ85" s="39"/>
      <c r="AR85" s="39"/>
      <c r="AS85" s="39"/>
      <c r="AT85" s="39"/>
      <c r="AU85" s="39"/>
      <c r="AV85" s="39"/>
      <c r="AW85" s="39"/>
      <c r="AX85" s="39"/>
      <c r="AY85" s="39"/>
      <c r="AZ85" s="39"/>
      <c r="BA85" s="39"/>
      <c r="BB85" s="39"/>
      <c r="BC85" s="39"/>
      <c r="BD85" s="39"/>
      <c r="BE85" s="39"/>
      <c r="BF85" s="39"/>
      <c r="BG85" s="39"/>
      <c r="BH85" s="39"/>
      <c r="BI85" s="39"/>
      <c r="BJ85" s="39"/>
      <c r="BK85" s="39">
        <f>IFERROR(VLOOKUP("29_"&amp;A85,SyS!$B:$P,10,FALSE()),0)</f>
        <v>0</v>
      </c>
      <c r="BL85" s="39">
        <f>IFERROR(VLOOKUP("29_"&amp;A85,SyS!$B:$P,12,FALSE()),0)</f>
        <v>0</v>
      </c>
      <c r="BM85" s="39">
        <f>+BK85-BL85</f>
        <v>0</v>
      </c>
      <c r="BN85" s="38">
        <f>IFERROR(VLOOKUP("30_"&amp;A85,SyS!$B:$P,10,FALSE()),0)</f>
        <v>0</v>
      </c>
      <c r="BO85" s="39">
        <f>IFERROR(VLOOKUP("30_"&amp;A85,SyS!$B:$P,12,FALSE()),0)</f>
        <v>0</v>
      </c>
      <c r="BP85" s="40">
        <f>+BN85-BO85</f>
        <v>0</v>
      </c>
      <c r="BQ85" s="45">
        <f>+E85+H85+K85+Q85+T85+W85+Z85+AC85+AF85+AI85+AL85+AO85+AR85+AU85+AX85+BA85+BD85+BG85+BJ85+BM85+BP85</f>
        <v>0</v>
      </c>
    </row>
    <row r="86" ht="11.25" customHeight="1" spans="1:69" x14ac:dyDescent="0.25">
      <c r="A86" s="44">
        <v>42433000</v>
      </c>
      <c r="B86" s="44" t="s">
        <v>317</v>
      </c>
      <c r="C86" s="38">
        <f>IFERROR(VLOOKUP("1_"&amp;A86,SyS!$B:$P,10,FALSE()),0)</f>
        <v>0</v>
      </c>
      <c r="D86" s="39">
        <f>IFERROR(VLOOKUP("1_"&amp;A86,SyS!$B:$P,12,FALSE()),0)</f>
        <v>0</v>
      </c>
      <c r="E86" s="39">
        <f>+C86-D86</f>
        <v>0</v>
      </c>
      <c r="F86" s="38">
        <f>IFERROR(VLOOKUP("2_"&amp;A86,SyS!$B:$P,10,FALSE()),0)</f>
        <v>0</v>
      </c>
      <c r="G86" s="39">
        <f>IFERROR(VLOOKUP("2_"&amp;A86,SyS!$B:$P,12,FALSE()),0)</f>
        <v>0</v>
      </c>
      <c r="H86" s="40">
        <f>+F86-G86</f>
        <v>0</v>
      </c>
      <c r="I86" s="39"/>
      <c r="J86" s="39"/>
      <c r="K86" s="39"/>
      <c r="L86" s="39"/>
      <c r="M86" s="39"/>
      <c r="N86" s="39"/>
      <c r="O86" s="38">
        <f>IFERROR(VLOOKUP("14_"&amp;A86,SyS!$B:$P,10,FALSE()),0)</f>
        <v>0</v>
      </c>
      <c r="P86" s="39">
        <f>IFERROR(VLOOKUP("14_"&amp;A86,SyS!$B:$P,12,FALSE()),0)</f>
        <v>0</v>
      </c>
      <c r="Q86" s="40">
        <f>+O86-P86</f>
        <v>0</v>
      </c>
      <c r="R86" s="38">
        <f>IFERROR(VLOOKUP("15_"&amp;A86,SyS!$B:$P,10,FALSE()),0)</f>
        <v>0</v>
      </c>
      <c r="S86" s="39">
        <f>IFERROR(VLOOKUP("15_"&amp;A86,SyS!$B:$P,12,FALSE()),0)</f>
        <v>0</v>
      </c>
      <c r="T86" s="40">
        <f>+R86-S86</f>
        <v>0</v>
      </c>
      <c r="U86" s="38">
        <f>IFERROR(VLOOKUP("16_"&amp;A86,SyS!$B:$P,10,FALSE()),0)</f>
        <v>0</v>
      </c>
      <c r="V86" s="39">
        <f>IFERROR(VLOOKUP("16_"&amp;A86,SyS!$B:$P,12,FALSE()),0)</f>
        <v>0</v>
      </c>
      <c r="W86" s="40">
        <f>+U86-V86</f>
        <v>0</v>
      </c>
      <c r="X86" s="38">
        <f>IFERROR(VLOOKUP("13_"&amp;A86,SyS!$B:$P,10,FALSE()),0)</f>
        <v>0</v>
      </c>
      <c r="Y86" s="39">
        <f>IFERROR(VLOOKUP("13_"&amp;A86,SyS!$B:$P,12,FALSE()),0)</f>
        <v>0</v>
      </c>
      <c r="Z86" s="40">
        <f>+X86-Y86</f>
        <v>0</v>
      </c>
      <c r="AA86" s="38">
        <f>IFERROR(VLOOKUP("17_"&amp;A86,SyS!$B:$P,10,FALSE()),0)</f>
        <v>0</v>
      </c>
      <c r="AB86" s="39">
        <f>IFERROR(VLOOKUP("17_"&amp;A86,SyS!$B:$P,12,FALSE()),0)</f>
        <v>0</v>
      </c>
      <c r="AC86" s="40">
        <f>+AA86-AB86</f>
        <v>0</v>
      </c>
      <c r="AD86" s="39"/>
      <c r="AE86" s="39"/>
      <c r="AF86" s="39"/>
      <c r="AG86" s="39">
        <f>IFERROR(VLOOKUP("19_"&amp;A86,SyS!$B:$P,10,FALSE()),0)</f>
        <v>0</v>
      </c>
      <c r="AH86" s="39">
        <f>IFERROR(VLOOKUP("19_"&amp;A86,SyS!$B:$P,12,FALSE()),0)</f>
        <v>0</v>
      </c>
      <c r="AI86" s="39">
        <f>+AG86-AH86</f>
        <v>0</v>
      </c>
      <c r="AJ86" s="39"/>
      <c r="AK86" s="39"/>
      <c r="AL86" s="39"/>
      <c r="AM86" s="39">
        <f>IFERROR(VLOOKUP("23_"&amp;A86,SyS!$B:$P,10,FALSE()),0)</f>
        <v>0</v>
      </c>
      <c r="AN86" s="39">
        <f>IFERROR(VLOOKUP("23_"&amp;A86,SyS!$B:$P,12,FALSE()),0)</f>
        <v>0</v>
      </c>
      <c r="AO86" s="40">
        <f>+AM86-AN86</f>
        <v>0</v>
      </c>
      <c r="AP86" s="39"/>
      <c r="AQ86" s="39"/>
      <c r="AR86" s="39"/>
      <c r="AS86" s="39"/>
      <c r="AT86" s="39"/>
      <c r="AU86" s="39"/>
      <c r="AV86" s="39"/>
      <c r="AW86" s="39"/>
      <c r="AX86" s="39"/>
      <c r="AY86" s="39"/>
      <c r="AZ86" s="39"/>
      <c r="BA86" s="39"/>
      <c r="BB86" s="39"/>
      <c r="BC86" s="39"/>
      <c r="BD86" s="39"/>
      <c r="BE86" s="39"/>
      <c r="BF86" s="39"/>
      <c r="BG86" s="39"/>
      <c r="BH86" s="39"/>
      <c r="BI86" s="39"/>
      <c r="BJ86" s="39"/>
      <c r="BK86" s="39">
        <f>IFERROR(VLOOKUP("29_"&amp;A86,SyS!$B:$P,10,FALSE()),0)</f>
        <v>0</v>
      </c>
      <c r="BL86" s="39">
        <f>IFERROR(VLOOKUP("29_"&amp;A86,SyS!$B:$P,12,FALSE()),0)</f>
        <v>0</v>
      </c>
      <c r="BM86" s="39">
        <f>+BK86-BL86</f>
        <v>0</v>
      </c>
      <c r="BN86" s="38">
        <f>IFERROR(VLOOKUP("30_"&amp;A86,SyS!$B:$P,10,FALSE()),0)</f>
        <v>0</v>
      </c>
      <c r="BO86" s="39">
        <f>IFERROR(VLOOKUP("30_"&amp;A86,SyS!$B:$P,12,FALSE()),0)</f>
        <v>0</v>
      </c>
      <c r="BP86" s="40">
        <f>+BN86-BO86</f>
        <v>0</v>
      </c>
      <c r="BQ86" s="45">
        <f>+E86+H86+K86+Q86+T86+W86+Z86+AC86+AF86+AI86+AL86+AO86+AR86+AU86+AX86+BA86+BD86+BG86+BJ86+BM86+BP86</f>
        <v>0</v>
      </c>
    </row>
    <row r="87" ht="11.25" customHeight="1" spans="1:69" x14ac:dyDescent="0.25">
      <c r="A87" s="44">
        <v>42434000</v>
      </c>
      <c r="B87" s="44" t="s">
        <v>318</v>
      </c>
      <c r="C87" s="38">
        <f>IFERROR(VLOOKUP("1_"&amp;A87,SyS!$B:$P,10,FALSE()),0)</f>
        <v>0</v>
      </c>
      <c r="D87" s="39">
        <f>IFERROR(VLOOKUP("1_"&amp;A87,SyS!$B:$P,12,FALSE()),0)</f>
        <v>0</v>
      </c>
      <c r="E87" s="39">
        <f>+C87-D87</f>
        <v>0</v>
      </c>
      <c r="F87" s="38">
        <f>IFERROR(VLOOKUP("2_"&amp;A87,SyS!$B:$P,10,FALSE()),0)</f>
        <v>0</v>
      </c>
      <c r="G87" s="39">
        <f>IFERROR(VLOOKUP("2_"&amp;A87,SyS!$B:$P,12,FALSE()),0)</f>
        <v>0</v>
      </c>
      <c r="H87" s="40">
        <f>+F87-G87</f>
        <v>0</v>
      </c>
      <c r="I87" s="39"/>
      <c r="J87" s="39"/>
      <c r="K87" s="39"/>
      <c r="L87" s="39"/>
      <c r="M87" s="39"/>
      <c r="N87" s="39"/>
      <c r="O87" s="38">
        <f>IFERROR(VLOOKUP("14_"&amp;A87,SyS!$B:$P,10,FALSE()),0)</f>
        <v>0</v>
      </c>
      <c r="P87" s="39">
        <f>IFERROR(VLOOKUP("14_"&amp;A87,SyS!$B:$P,12,FALSE()),0)</f>
        <v>0</v>
      </c>
      <c r="Q87" s="40">
        <f>+O87-P87</f>
        <v>0</v>
      </c>
      <c r="R87" s="38">
        <f>IFERROR(VLOOKUP("15_"&amp;A87,SyS!$B:$P,10,FALSE()),0)</f>
        <v>0</v>
      </c>
      <c r="S87" s="39">
        <f>IFERROR(VLOOKUP("15_"&amp;A87,SyS!$B:$P,12,FALSE()),0)</f>
        <v>0</v>
      </c>
      <c r="T87" s="40">
        <f>+R87-S87</f>
        <v>0</v>
      </c>
      <c r="U87" s="38">
        <f>IFERROR(VLOOKUP("16_"&amp;A87,SyS!$B:$P,10,FALSE()),0)</f>
        <v>0</v>
      </c>
      <c r="V87" s="39">
        <f>IFERROR(VLOOKUP("16_"&amp;A87,SyS!$B:$P,12,FALSE()),0)</f>
        <v>0</v>
      </c>
      <c r="W87" s="40">
        <f>+U87-V87</f>
        <v>0</v>
      </c>
      <c r="X87" s="38">
        <f>IFERROR(VLOOKUP("13_"&amp;A87,SyS!$B:$P,10,FALSE()),0)</f>
        <v>0</v>
      </c>
      <c r="Y87" s="39">
        <f>IFERROR(VLOOKUP("13_"&amp;A87,SyS!$B:$P,12,FALSE()),0)</f>
        <v>0</v>
      </c>
      <c r="Z87" s="40">
        <f>+X87-Y87</f>
        <v>0</v>
      </c>
      <c r="AA87" s="38">
        <f>IFERROR(VLOOKUP("17_"&amp;A87,SyS!$B:$P,10,FALSE()),0)</f>
        <v>0</v>
      </c>
      <c r="AB87" s="39">
        <f>IFERROR(VLOOKUP("17_"&amp;A87,SyS!$B:$P,12,FALSE()),0)</f>
        <v>0</v>
      </c>
      <c r="AC87" s="40">
        <f>+AA87-AB87</f>
        <v>0</v>
      </c>
      <c r="AD87" s="39"/>
      <c r="AE87" s="39"/>
      <c r="AF87" s="39"/>
      <c r="AG87" s="39">
        <f>IFERROR(VLOOKUP("19_"&amp;A87,SyS!$B:$P,10,FALSE()),0)</f>
        <v>0</v>
      </c>
      <c r="AH87" s="39">
        <f>IFERROR(VLOOKUP("19_"&amp;A87,SyS!$B:$P,12,FALSE()),0)</f>
        <v>0</v>
      </c>
      <c r="AI87" s="39">
        <f>+AG87-AH87</f>
        <v>0</v>
      </c>
      <c r="AJ87" s="39"/>
      <c r="AK87" s="39"/>
      <c r="AL87" s="39"/>
      <c r="AM87" s="39">
        <f>IFERROR(VLOOKUP("23_"&amp;A87,SyS!$B:$P,10,FALSE()),0)</f>
        <v>0</v>
      </c>
      <c r="AN87" s="39">
        <f>IFERROR(VLOOKUP("23_"&amp;A87,SyS!$B:$P,12,FALSE()),0)</f>
        <v>0</v>
      </c>
      <c r="AO87" s="40">
        <f>+AM87-AN87</f>
        <v>0</v>
      </c>
      <c r="AP87" s="39"/>
      <c r="AQ87" s="39"/>
      <c r="AR87" s="39"/>
      <c r="AS87" s="39"/>
      <c r="AT87" s="39"/>
      <c r="AU87" s="39"/>
      <c r="AV87" s="39"/>
      <c r="AW87" s="39"/>
      <c r="AX87" s="39"/>
      <c r="AY87" s="39"/>
      <c r="AZ87" s="39"/>
      <c r="BA87" s="39"/>
      <c r="BB87" s="39"/>
      <c r="BC87" s="39"/>
      <c r="BD87" s="39"/>
      <c r="BE87" s="39"/>
      <c r="BF87" s="39"/>
      <c r="BG87" s="39"/>
      <c r="BH87" s="39"/>
      <c r="BI87" s="39"/>
      <c r="BJ87" s="39"/>
      <c r="BK87" s="39">
        <f>IFERROR(VLOOKUP("29_"&amp;A87,SyS!$B:$P,10,FALSE()),0)</f>
        <v>0</v>
      </c>
      <c r="BL87" s="39">
        <f>IFERROR(VLOOKUP("29_"&amp;A87,SyS!$B:$P,12,FALSE()),0)</f>
        <v>0</v>
      </c>
      <c r="BM87" s="39">
        <f>+BK87-BL87</f>
        <v>0</v>
      </c>
      <c r="BN87" s="38">
        <f>IFERROR(VLOOKUP("30_"&amp;A87,SyS!$B:$P,10,FALSE()),0)</f>
        <v>0</v>
      </c>
      <c r="BO87" s="39">
        <f>IFERROR(VLOOKUP("30_"&amp;A87,SyS!$B:$P,12,FALSE()),0)</f>
        <v>0</v>
      </c>
      <c r="BP87" s="40">
        <f>+BN87-BO87</f>
        <v>0</v>
      </c>
      <c r="BQ87" s="45">
        <f>+E87+H87+K87+Q87+T87+W87+Z87+AC87+AF87+AI87+AL87+AO87+AR87+AU87+AX87+BA87+BD87+BG87+BJ87+BM87+BP87</f>
        <v>0</v>
      </c>
    </row>
    <row r="88" ht="11.25" customHeight="1" spans="1:69" x14ac:dyDescent="0.25">
      <c r="A88" s="44">
        <v>42435000</v>
      </c>
      <c r="B88" s="44" t="s">
        <v>319</v>
      </c>
      <c r="C88" s="38">
        <f>IFERROR(VLOOKUP("1_"&amp;A88,SyS!$B:$P,10,FALSE()),0)</f>
        <v>0</v>
      </c>
      <c r="D88" s="39">
        <f>IFERROR(VLOOKUP("1_"&amp;A88,SyS!$B:$P,12,FALSE()),0)</f>
        <v>0</v>
      </c>
      <c r="E88" s="39">
        <f>+C88-D88</f>
        <v>0</v>
      </c>
      <c r="F88" s="38">
        <f>IFERROR(VLOOKUP("2_"&amp;A88,SyS!$B:$P,10,FALSE()),0)</f>
        <v>0</v>
      </c>
      <c r="G88" s="39">
        <f>IFERROR(VLOOKUP("2_"&amp;A88,SyS!$B:$P,12,FALSE()),0)</f>
        <v>0</v>
      </c>
      <c r="H88" s="40">
        <f>+F88-G88</f>
        <v>0</v>
      </c>
      <c r="I88" s="39"/>
      <c r="J88" s="39"/>
      <c r="K88" s="39"/>
      <c r="L88" s="39"/>
      <c r="M88" s="39"/>
      <c r="N88" s="39"/>
      <c r="O88" s="38">
        <f>IFERROR(VLOOKUP("14_"&amp;A88,SyS!$B:$P,10,FALSE()),0)</f>
        <v>0</v>
      </c>
      <c r="P88" s="39">
        <f>IFERROR(VLOOKUP("14_"&amp;A88,SyS!$B:$P,12,FALSE()),0)</f>
        <v>0</v>
      </c>
      <c r="Q88" s="40">
        <f>+O88-P88</f>
        <v>0</v>
      </c>
      <c r="R88" s="38">
        <f>IFERROR(VLOOKUP("15_"&amp;A88,SyS!$B:$P,10,FALSE()),0)</f>
        <v>0</v>
      </c>
      <c r="S88" s="39">
        <f>IFERROR(VLOOKUP("15_"&amp;A88,SyS!$B:$P,12,FALSE()),0)</f>
        <v>0</v>
      </c>
      <c r="T88" s="40">
        <f>+R88-S88</f>
        <v>0</v>
      </c>
      <c r="U88" s="38">
        <f>IFERROR(VLOOKUP("16_"&amp;A88,SyS!$B:$P,10,FALSE()),0)</f>
        <v>0</v>
      </c>
      <c r="V88" s="39">
        <f>IFERROR(VLOOKUP("16_"&amp;A88,SyS!$B:$P,12,FALSE()),0)</f>
        <v>0</v>
      </c>
      <c r="W88" s="40">
        <f>+U88-V88</f>
        <v>0</v>
      </c>
      <c r="X88" s="38">
        <f>IFERROR(VLOOKUP("13_"&amp;A88,SyS!$B:$P,10,FALSE()),0)</f>
        <v>0</v>
      </c>
      <c r="Y88" s="39">
        <f>IFERROR(VLOOKUP("13_"&amp;A88,SyS!$B:$P,12,FALSE()),0)</f>
        <v>0</v>
      </c>
      <c r="Z88" s="40">
        <f>+X88-Y88</f>
        <v>0</v>
      </c>
      <c r="AA88" s="38">
        <f>IFERROR(VLOOKUP("17_"&amp;A88,SyS!$B:$P,10,FALSE()),0)</f>
        <v>0</v>
      </c>
      <c r="AB88" s="39">
        <f>IFERROR(VLOOKUP("17_"&amp;A88,SyS!$B:$P,12,FALSE()),0)</f>
        <v>0</v>
      </c>
      <c r="AC88" s="40">
        <f>+AA88-AB88</f>
        <v>0</v>
      </c>
      <c r="AD88" s="39"/>
      <c r="AE88" s="39"/>
      <c r="AF88" s="39"/>
      <c r="AG88" s="39">
        <f>IFERROR(VLOOKUP("19_"&amp;A88,SyS!$B:$P,10,FALSE()),0)</f>
        <v>0</v>
      </c>
      <c r="AH88" s="39">
        <f>IFERROR(VLOOKUP("19_"&amp;A88,SyS!$B:$P,12,FALSE()),0)</f>
        <v>0</v>
      </c>
      <c r="AI88" s="39">
        <f>+AG88-AH88</f>
        <v>0</v>
      </c>
      <c r="AJ88" s="39"/>
      <c r="AK88" s="39"/>
      <c r="AL88" s="39"/>
      <c r="AM88" s="39">
        <f>IFERROR(VLOOKUP("23_"&amp;A88,SyS!$B:$P,10,FALSE()),0)</f>
        <v>0</v>
      </c>
      <c r="AN88" s="39">
        <f>IFERROR(VLOOKUP("23_"&amp;A88,SyS!$B:$P,12,FALSE()),0)</f>
        <v>0</v>
      </c>
      <c r="AO88" s="40">
        <f>+AM88-AN88</f>
        <v>0</v>
      </c>
      <c r="AP88" s="39"/>
      <c r="AQ88" s="39"/>
      <c r="AR88" s="39"/>
      <c r="AS88" s="39"/>
      <c r="AT88" s="39"/>
      <c r="AU88" s="39"/>
      <c r="AV88" s="39"/>
      <c r="AW88" s="39"/>
      <c r="AX88" s="39"/>
      <c r="AY88" s="39"/>
      <c r="AZ88" s="39"/>
      <c r="BA88" s="39"/>
      <c r="BB88" s="39"/>
      <c r="BC88" s="39"/>
      <c r="BD88" s="39"/>
      <c r="BE88" s="39"/>
      <c r="BF88" s="39"/>
      <c r="BG88" s="39"/>
      <c r="BH88" s="39"/>
      <c r="BI88" s="39"/>
      <c r="BJ88" s="39"/>
      <c r="BK88" s="39">
        <f>IFERROR(VLOOKUP("29_"&amp;A88,SyS!$B:$P,10,FALSE()),0)</f>
        <v>0</v>
      </c>
      <c r="BL88" s="39">
        <f>IFERROR(VLOOKUP("29_"&amp;A88,SyS!$B:$P,12,FALSE()),0)</f>
        <v>0</v>
      </c>
      <c r="BM88" s="39">
        <f>+BK88-BL88</f>
        <v>0</v>
      </c>
      <c r="BN88" s="38">
        <f>IFERROR(VLOOKUP("30_"&amp;A88,SyS!$B:$P,10,FALSE()),0)</f>
        <v>0</v>
      </c>
      <c r="BO88" s="39">
        <f>IFERROR(VLOOKUP("30_"&amp;A88,SyS!$B:$P,12,FALSE()),0)</f>
        <v>0</v>
      </c>
      <c r="BP88" s="40">
        <f>+BN88-BO88</f>
        <v>0</v>
      </c>
      <c r="BQ88" s="45">
        <f>+E88+H88+K88+Q88+T88+W88+Z88+AC88+AF88+AI88+AL88+AO88+AR88+AU88+AX88+BA88+BD88+BG88+BJ88+BM88+BP88</f>
        <v>0</v>
      </c>
    </row>
    <row r="89" ht="11.25" customHeight="1" spans="1:69" x14ac:dyDescent="0.25">
      <c r="A89" s="44">
        <v>42436000</v>
      </c>
      <c r="B89" s="44" t="s">
        <v>320</v>
      </c>
      <c r="C89" s="38">
        <f>IFERROR(VLOOKUP("1_"&amp;A89,SyS!$B:$P,10,FALSE()),0)</f>
        <v>0</v>
      </c>
      <c r="D89" s="39">
        <f>IFERROR(VLOOKUP("1_"&amp;A89,SyS!$B:$P,12,FALSE()),0)</f>
        <v>0</v>
      </c>
      <c r="E89" s="39">
        <f>+C89-D89</f>
        <v>0</v>
      </c>
      <c r="F89" s="38">
        <f>IFERROR(VLOOKUP("2_"&amp;A89,SyS!$B:$P,10,FALSE()),0)</f>
        <v>0</v>
      </c>
      <c r="G89" s="39">
        <f>IFERROR(VLOOKUP("2_"&amp;A89,SyS!$B:$P,12,FALSE()),0)</f>
        <v>0</v>
      </c>
      <c r="H89" s="40">
        <f>+F89-G89</f>
        <v>0</v>
      </c>
      <c r="I89" s="39"/>
      <c r="J89" s="39"/>
      <c r="K89" s="39"/>
      <c r="L89" s="39"/>
      <c r="M89" s="39"/>
      <c r="N89" s="39"/>
      <c r="O89" s="38">
        <f>IFERROR(VLOOKUP("14_"&amp;A89,SyS!$B:$P,10,FALSE()),0)</f>
        <v>0</v>
      </c>
      <c r="P89" s="39">
        <f>IFERROR(VLOOKUP("14_"&amp;A89,SyS!$B:$P,12,FALSE()),0)</f>
        <v>0</v>
      </c>
      <c r="Q89" s="40">
        <f>+O89-P89</f>
        <v>0</v>
      </c>
      <c r="R89" s="38">
        <f>IFERROR(VLOOKUP("15_"&amp;A89,SyS!$B:$P,10,FALSE()),0)</f>
        <v>0</v>
      </c>
      <c r="S89" s="39">
        <f>IFERROR(VLOOKUP("15_"&amp;A89,SyS!$B:$P,12,FALSE()),0)</f>
        <v>0</v>
      </c>
      <c r="T89" s="40">
        <f>+R89-S89</f>
        <v>0</v>
      </c>
      <c r="U89" s="38">
        <f>IFERROR(VLOOKUP("16_"&amp;A89,SyS!$B:$P,10,FALSE()),0)</f>
        <v>0</v>
      </c>
      <c r="V89" s="39">
        <f>IFERROR(VLOOKUP("16_"&amp;A89,SyS!$B:$P,12,FALSE()),0)</f>
        <v>0</v>
      </c>
      <c r="W89" s="40">
        <f>+U89-V89</f>
        <v>0</v>
      </c>
      <c r="X89" s="38">
        <f>IFERROR(VLOOKUP("13_"&amp;A89,SyS!$B:$P,10,FALSE()),0)</f>
        <v>0</v>
      </c>
      <c r="Y89" s="39">
        <f>IFERROR(VLOOKUP("13_"&amp;A89,SyS!$B:$P,12,FALSE()),0)</f>
        <v>0</v>
      </c>
      <c r="Z89" s="40">
        <f>+X89-Y89</f>
        <v>0</v>
      </c>
      <c r="AA89" s="38">
        <f>IFERROR(VLOOKUP("17_"&amp;A89,SyS!$B:$P,10,FALSE()),0)</f>
        <v>0</v>
      </c>
      <c r="AB89" s="39">
        <f>IFERROR(VLOOKUP("17_"&amp;A89,SyS!$B:$P,12,FALSE()),0)</f>
        <v>0</v>
      </c>
      <c r="AC89" s="40">
        <f>+AA89-AB89</f>
        <v>0</v>
      </c>
      <c r="AD89" s="39"/>
      <c r="AE89" s="39"/>
      <c r="AF89" s="39"/>
      <c r="AG89" s="39">
        <f>IFERROR(VLOOKUP("19_"&amp;A89,SyS!$B:$P,10,FALSE()),0)</f>
        <v>0</v>
      </c>
      <c r="AH89" s="39">
        <f>IFERROR(VLOOKUP("19_"&amp;A89,SyS!$B:$P,12,FALSE()),0)</f>
        <v>0</v>
      </c>
      <c r="AI89" s="39">
        <f>+AG89-AH89</f>
        <v>0</v>
      </c>
      <c r="AJ89" s="39"/>
      <c r="AK89" s="39"/>
      <c r="AL89" s="39"/>
      <c r="AM89" s="39">
        <f>IFERROR(VLOOKUP("23_"&amp;A89,SyS!$B:$P,10,FALSE()),0)</f>
        <v>0</v>
      </c>
      <c r="AN89" s="39">
        <f>IFERROR(VLOOKUP("23_"&amp;A89,SyS!$B:$P,12,FALSE()),0)</f>
        <v>0</v>
      </c>
      <c r="AO89" s="40">
        <f>+AM89-AN89</f>
        <v>0</v>
      </c>
      <c r="AP89" s="39"/>
      <c r="AQ89" s="39"/>
      <c r="AR89" s="39"/>
      <c r="AS89" s="39"/>
      <c r="AT89" s="39"/>
      <c r="AU89" s="39"/>
      <c r="AV89" s="39"/>
      <c r="AW89" s="39"/>
      <c r="AX89" s="39"/>
      <c r="AY89" s="39"/>
      <c r="AZ89" s="39"/>
      <c r="BA89" s="39"/>
      <c r="BB89" s="39"/>
      <c r="BC89" s="39"/>
      <c r="BD89" s="39"/>
      <c r="BE89" s="39"/>
      <c r="BF89" s="39"/>
      <c r="BG89" s="39"/>
      <c r="BH89" s="39"/>
      <c r="BI89" s="39"/>
      <c r="BJ89" s="39"/>
      <c r="BK89" s="39">
        <f>IFERROR(VLOOKUP("29_"&amp;A89,SyS!$B:$P,10,FALSE()),0)</f>
        <v>0</v>
      </c>
      <c r="BL89" s="39">
        <f>IFERROR(VLOOKUP("29_"&amp;A89,SyS!$B:$P,12,FALSE()),0)</f>
        <v>0</v>
      </c>
      <c r="BM89" s="39">
        <f>+BK89-BL89</f>
        <v>0</v>
      </c>
      <c r="BN89" s="38">
        <f>IFERROR(VLOOKUP("30_"&amp;A89,SyS!$B:$P,10,FALSE()),0)</f>
        <v>0</v>
      </c>
      <c r="BO89" s="39">
        <f>IFERROR(VLOOKUP("30_"&amp;A89,SyS!$B:$P,12,FALSE()),0)</f>
        <v>0</v>
      </c>
      <c r="BP89" s="40">
        <f>+BN89-BO89</f>
        <v>0</v>
      </c>
      <c r="BQ89" s="45">
        <f>+E89+H89+K89+Q89+T89+W89+Z89+AC89+AF89+AI89+AL89+AO89+AR89+AU89+AX89+BA89+BD89+BG89+BJ89+BM89+BP89</f>
        <v>0</v>
      </c>
    </row>
    <row r="90" ht="11.25" customHeight="1" spans="1:69" x14ac:dyDescent="0.25">
      <c r="A90" s="44">
        <v>42437000</v>
      </c>
      <c r="B90" s="44" t="s">
        <v>321</v>
      </c>
      <c r="C90" s="38">
        <f>IFERROR(VLOOKUP("1_"&amp;A90,SyS!$B:$P,10,FALSE()),0)</f>
        <v>0</v>
      </c>
      <c r="D90" s="39">
        <f>IFERROR(VLOOKUP("1_"&amp;A90,SyS!$B:$P,12,FALSE()),0)</f>
        <v>0</v>
      </c>
      <c r="E90" s="39">
        <f>+C90-D90</f>
        <v>0</v>
      </c>
      <c r="F90" s="38">
        <f>IFERROR(VLOOKUP("2_"&amp;A90,SyS!$B:$P,10,FALSE()),0)</f>
        <v>0</v>
      </c>
      <c r="G90" s="39">
        <f>IFERROR(VLOOKUP("2_"&amp;A90,SyS!$B:$P,12,FALSE()),0)</f>
        <v>0</v>
      </c>
      <c r="H90" s="40">
        <f>+F90-G90</f>
        <v>0</v>
      </c>
      <c r="I90" s="39"/>
      <c r="J90" s="39"/>
      <c r="K90" s="39"/>
      <c r="L90" s="39"/>
      <c r="M90" s="39"/>
      <c r="N90" s="39"/>
      <c r="O90" s="38">
        <f>IFERROR(VLOOKUP("14_"&amp;A90,SyS!$B:$P,10,FALSE()),0)</f>
        <v>0</v>
      </c>
      <c r="P90" s="39">
        <f>IFERROR(VLOOKUP("14_"&amp;A90,SyS!$B:$P,12,FALSE()),0)</f>
        <v>0</v>
      </c>
      <c r="Q90" s="40">
        <f>+O90-P90</f>
        <v>0</v>
      </c>
      <c r="R90" s="38">
        <f>IFERROR(VLOOKUP("15_"&amp;A90,SyS!$B:$P,10,FALSE()),0)</f>
        <v>0</v>
      </c>
      <c r="S90" s="39">
        <f>IFERROR(VLOOKUP("15_"&amp;A90,SyS!$B:$P,12,FALSE()),0)</f>
        <v>0</v>
      </c>
      <c r="T90" s="40">
        <f>+R90-S90</f>
        <v>0</v>
      </c>
      <c r="U90" s="38">
        <f>IFERROR(VLOOKUP("16_"&amp;A90,SyS!$B:$P,10,FALSE()),0)</f>
        <v>0</v>
      </c>
      <c r="V90" s="39">
        <f>IFERROR(VLOOKUP("16_"&amp;A90,SyS!$B:$P,12,FALSE()),0)</f>
        <v>0</v>
      </c>
      <c r="W90" s="40">
        <f>+U90-V90</f>
        <v>0</v>
      </c>
      <c r="X90" s="38">
        <f>IFERROR(VLOOKUP("13_"&amp;A90,SyS!$B:$P,10,FALSE()),0)</f>
        <v>0</v>
      </c>
      <c r="Y90" s="39">
        <f>IFERROR(VLOOKUP("13_"&amp;A90,SyS!$B:$P,12,FALSE()),0)</f>
        <v>0</v>
      </c>
      <c r="Z90" s="40">
        <f>+X90-Y90</f>
        <v>0</v>
      </c>
      <c r="AA90" s="38">
        <f>IFERROR(VLOOKUP("17_"&amp;A90,SyS!$B:$P,10,FALSE()),0)</f>
        <v>0</v>
      </c>
      <c r="AB90" s="39">
        <f>IFERROR(VLOOKUP("17_"&amp;A90,SyS!$B:$P,12,FALSE()),0)</f>
        <v>0</v>
      </c>
      <c r="AC90" s="40">
        <f>+AA90-AB90</f>
        <v>0</v>
      </c>
      <c r="AD90" s="39"/>
      <c r="AE90" s="39"/>
      <c r="AF90" s="39"/>
      <c r="AG90" s="39">
        <f>IFERROR(VLOOKUP("19_"&amp;A90,SyS!$B:$P,10,FALSE()),0)</f>
        <v>0</v>
      </c>
      <c r="AH90" s="39">
        <f>IFERROR(VLOOKUP("19_"&amp;A90,SyS!$B:$P,12,FALSE()),0)</f>
        <v>0</v>
      </c>
      <c r="AI90" s="39">
        <f>+AG90-AH90</f>
        <v>0</v>
      </c>
      <c r="AJ90" s="39"/>
      <c r="AK90" s="39"/>
      <c r="AL90" s="39"/>
      <c r="AM90" s="39">
        <f>IFERROR(VLOOKUP("23_"&amp;A90,SyS!$B:$P,10,FALSE()),0)</f>
        <v>0</v>
      </c>
      <c r="AN90" s="39">
        <f>IFERROR(VLOOKUP("23_"&amp;A90,SyS!$B:$P,12,FALSE()),0)</f>
        <v>0</v>
      </c>
      <c r="AO90" s="40">
        <f>+AM90-AN90</f>
        <v>0</v>
      </c>
      <c r="AP90" s="39"/>
      <c r="AQ90" s="39"/>
      <c r="AR90" s="39"/>
      <c r="AS90" s="39"/>
      <c r="AT90" s="39"/>
      <c r="AU90" s="39"/>
      <c r="AV90" s="39"/>
      <c r="AW90" s="39"/>
      <c r="AX90" s="39"/>
      <c r="AY90" s="39"/>
      <c r="AZ90" s="39"/>
      <c r="BA90" s="39"/>
      <c r="BB90" s="39"/>
      <c r="BC90" s="39"/>
      <c r="BD90" s="39"/>
      <c r="BE90" s="39"/>
      <c r="BF90" s="39"/>
      <c r="BG90" s="39"/>
      <c r="BH90" s="39"/>
      <c r="BI90" s="39"/>
      <c r="BJ90" s="39"/>
      <c r="BK90" s="39">
        <f>IFERROR(VLOOKUP("29_"&amp;A90,SyS!$B:$P,10,FALSE()),0)</f>
        <v>0</v>
      </c>
      <c r="BL90" s="39">
        <f>IFERROR(VLOOKUP("29_"&amp;A90,SyS!$B:$P,12,FALSE()),0)</f>
        <v>0</v>
      </c>
      <c r="BM90" s="39">
        <f>+BK90-BL90</f>
        <v>0</v>
      </c>
      <c r="BN90" s="38">
        <f>IFERROR(VLOOKUP("30_"&amp;A90,SyS!$B:$P,10,FALSE()),0)</f>
        <v>0</v>
      </c>
      <c r="BO90" s="39">
        <f>IFERROR(VLOOKUP("30_"&amp;A90,SyS!$B:$P,12,FALSE()),0)</f>
        <v>0</v>
      </c>
      <c r="BP90" s="40">
        <f>+BN90-BO90</f>
        <v>0</v>
      </c>
      <c r="BQ90" s="45">
        <f>+E90+H90+K90+Q90+T90+W90+Z90+AC90+AF90+AI90+AL90+AO90+AR90+AU90+AX90+BA90+BD90+BG90+BJ90+BM90+BP90</f>
        <v>0</v>
      </c>
    </row>
    <row r="91" ht="11.25" customHeight="1" spans="1:69" x14ac:dyDescent="0.25">
      <c r="A91" s="44">
        <v>42438000</v>
      </c>
      <c r="B91" s="44" t="s">
        <v>322</v>
      </c>
      <c r="C91" s="38">
        <f>IFERROR(VLOOKUP("1_"&amp;A91,SyS!$B:$P,10,FALSE()),0)</f>
        <v>0</v>
      </c>
      <c r="D91" s="39">
        <f>IFERROR(VLOOKUP("1_"&amp;A91,SyS!$B:$P,12,FALSE()),0)</f>
        <v>0</v>
      </c>
      <c r="E91" s="39">
        <f>+C91-D91</f>
        <v>0</v>
      </c>
      <c r="F91" s="38">
        <f>IFERROR(VLOOKUP("2_"&amp;A91,SyS!$B:$P,10,FALSE()),0)</f>
        <v>0</v>
      </c>
      <c r="G91" s="39">
        <f>IFERROR(VLOOKUP("2_"&amp;A91,SyS!$B:$P,12,FALSE()),0)</f>
        <v>0</v>
      </c>
      <c r="H91" s="40">
        <f>+F91-G91</f>
        <v>0</v>
      </c>
      <c r="I91" s="39"/>
      <c r="J91" s="39"/>
      <c r="K91" s="39"/>
      <c r="L91" s="39"/>
      <c r="M91" s="39"/>
      <c r="N91" s="39"/>
      <c r="O91" s="38">
        <f>IFERROR(VLOOKUP("14_"&amp;A91,SyS!$B:$P,10,FALSE()),0)</f>
        <v>0</v>
      </c>
      <c r="P91" s="39">
        <f>IFERROR(VLOOKUP("14_"&amp;A91,SyS!$B:$P,12,FALSE()),0)</f>
        <v>0</v>
      </c>
      <c r="Q91" s="40">
        <f>+O91-P91</f>
        <v>0</v>
      </c>
      <c r="R91" s="38">
        <f>IFERROR(VLOOKUP("15_"&amp;A91,SyS!$B:$P,10,FALSE()),0)</f>
        <v>0</v>
      </c>
      <c r="S91" s="39">
        <f>IFERROR(VLOOKUP("15_"&amp;A91,SyS!$B:$P,12,FALSE()),0)</f>
        <v>0</v>
      </c>
      <c r="T91" s="40">
        <f>+R91-S91</f>
        <v>0</v>
      </c>
      <c r="U91" s="38">
        <f>IFERROR(VLOOKUP("16_"&amp;A91,SyS!$B:$P,10,FALSE()),0)</f>
        <v>0</v>
      </c>
      <c r="V91" s="39">
        <f>IFERROR(VLOOKUP("16_"&amp;A91,SyS!$B:$P,12,FALSE()),0)</f>
        <v>0</v>
      </c>
      <c r="W91" s="40">
        <f>+U91-V91</f>
        <v>0</v>
      </c>
      <c r="X91" s="38">
        <f>IFERROR(VLOOKUP("13_"&amp;A91,SyS!$B:$P,10,FALSE()),0)</f>
        <v>0</v>
      </c>
      <c r="Y91" s="39">
        <f>IFERROR(VLOOKUP("13_"&amp;A91,SyS!$B:$P,12,FALSE()),0)</f>
        <v>0</v>
      </c>
      <c r="Z91" s="40">
        <f>+X91-Y91</f>
        <v>0</v>
      </c>
      <c r="AA91" s="38">
        <f>IFERROR(VLOOKUP("17_"&amp;A91,SyS!$B:$P,10,FALSE()),0)</f>
        <v>0</v>
      </c>
      <c r="AB91" s="39">
        <f>IFERROR(VLOOKUP("17_"&amp;A91,SyS!$B:$P,12,FALSE()),0)</f>
        <v>0</v>
      </c>
      <c r="AC91" s="40">
        <f>+AA91-AB91</f>
        <v>0</v>
      </c>
      <c r="AD91" s="39"/>
      <c r="AE91" s="39"/>
      <c r="AF91" s="39"/>
      <c r="AG91" s="39">
        <f>IFERROR(VLOOKUP("19_"&amp;A91,SyS!$B:$P,10,FALSE()),0)</f>
        <v>0</v>
      </c>
      <c r="AH91" s="39">
        <f>IFERROR(VLOOKUP("19_"&amp;A91,SyS!$B:$P,12,FALSE()),0)</f>
        <v>0</v>
      </c>
      <c r="AI91" s="39">
        <f>+AG91-AH91</f>
        <v>0</v>
      </c>
      <c r="AJ91" s="39"/>
      <c r="AK91" s="39"/>
      <c r="AL91" s="39"/>
      <c r="AM91" s="39">
        <f>IFERROR(VLOOKUP("23_"&amp;A91,SyS!$B:$P,10,FALSE()),0)</f>
        <v>0</v>
      </c>
      <c r="AN91" s="39">
        <f>IFERROR(VLOOKUP("23_"&amp;A91,SyS!$B:$P,12,FALSE()),0)</f>
        <v>0</v>
      </c>
      <c r="AO91" s="40">
        <f>+AM91-AN91</f>
        <v>0</v>
      </c>
      <c r="AP91" s="39"/>
      <c r="AQ91" s="39"/>
      <c r="AR91" s="39"/>
      <c r="AS91" s="39"/>
      <c r="AT91" s="39"/>
      <c r="AU91" s="39"/>
      <c r="AV91" s="39"/>
      <c r="AW91" s="39"/>
      <c r="AX91" s="39"/>
      <c r="AY91" s="39"/>
      <c r="AZ91" s="39"/>
      <c r="BA91" s="39"/>
      <c r="BB91" s="39"/>
      <c r="BC91" s="39"/>
      <c r="BD91" s="39"/>
      <c r="BE91" s="39"/>
      <c r="BF91" s="39"/>
      <c r="BG91" s="39"/>
      <c r="BH91" s="39"/>
      <c r="BI91" s="39"/>
      <c r="BJ91" s="39"/>
      <c r="BK91" s="39">
        <f>IFERROR(VLOOKUP("29_"&amp;A91,SyS!$B:$P,10,FALSE()),0)</f>
        <v>0</v>
      </c>
      <c r="BL91" s="39">
        <f>IFERROR(VLOOKUP("29_"&amp;A91,SyS!$B:$P,12,FALSE()),0)</f>
        <v>0</v>
      </c>
      <c r="BM91" s="39">
        <f>+BK91-BL91</f>
        <v>0</v>
      </c>
      <c r="BN91" s="38">
        <f>IFERROR(VLOOKUP("30_"&amp;A91,SyS!$B:$P,10,FALSE()),0)</f>
        <v>0</v>
      </c>
      <c r="BO91" s="39">
        <f>IFERROR(VLOOKUP("30_"&amp;A91,SyS!$B:$P,12,FALSE()),0)</f>
        <v>0</v>
      </c>
      <c r="BP91" s="40">
        <f>+BN91-BO91</f>
        <v>0</v>
      </c>
      <c r="BQ91" s="45">
        <f>+E91+H91+K91+Q91+T91+W91+Z91+AC91+AF91+AI91+AL91+AO91+AR91+AU91+AX91+BA91+BD91+BG91+BJ91+BM91+BP91</f>
        <v>0</v>
      </c>
    </row>
    <row r="92" ht="11.25" customHeight="1" spans="1:69" x14ac:dyDescent="0.25">
      <c r="A92" s="44">
        <v>42439000</v>
      </c>
      <c r="B92" s="44" t="s">
        <v>323</v>
      </c>
      <c r="C92" s="38">
        <f>IFERROR(VLOOKUP("1_"&amp;A92,SyS!$B:$P,10,FALSE()),0)</f>
        <v>0</v>
      </c>
      <c r="D92" s="39">
        <f>IFERROR(VLOOKUP("1_"&amp;A92,SyS!$B:$P,12,FALSE()),0)</f>
        <v>0</v>
      </c>
      <c r="E92" s="39">
        <f>+C92-D92</f>
        <v>0</v>
      </c>
      <c r="F92" s="38">
        <f>IFERROR(VLOOKUP("2_"&amp;A92,SyS!$B:$P,10,FALSE()),0)</f>
        <v>0</v>
      </c>
      <c r="G92" s="39">
        <f>IFERROR(VLOOKUP("2_"&amp;A92,SyS!$B:$P,12,FALSE()),0)</f>
        <v>0</v>
      </c>
      <c r="H92" s="40">
        <f>+F92-G92</f>
        <v>0</v>
      </c>
      <c r="I92" s="39"/>
      <c r="J92" s="39"/>
      <c r="K92" s="39"/>
      <c r="L92" s="39"/>
      <c r="M92" s="39"/>
      <c r="N92" s="39"/>
      <c r="O92" s="38">
        <f>IFERROR(VLOOKUP("14_"&amp;A92,SyS!$B:$P,10,FALSE()),0)</f>
        <v>0</v>
      </c>
      <c r="P92" s="39">
        <f>IFERROR(VLOOKUP("14_"&amp;A92,SyS!$B:$P,12,FALSE()),0)</f>
        <v>0</v>
      </c>
      <c r="Q92" s="40">
        <f>+O92-P92</f>
        <v>0</v>
      </c>
      <c r="R92" s="38">
        <f>IFERROR(VLOOKUP("15_"&amp;A92,SyS!$B:$P,10,FALSE()),0)</f>
        <v>0</v>
      </c>
      <c r="S92" s="39">
        <f>IFERROR(VLOOKUP("15_"&amp;A92,SyS!$B:$P,12,FALSE()),0)</f>
        <v>0</v>
      </c>
      <c r="T92" s="40">
        <f>+R92-S92</f>
        <v>0</v>
      </c>
      <c r="U92" s="38">
        <f>IFERROR(VLOOKUP("16_"&amp;A92,SyS!$B:$P,10,FALSE()),0)</f>
        <v>0</v>
      </c>
      <c r="V92" s="39">
        <f>IFERROR(VLOOKUP("16_"&amp;A92,SyS!$B:$P,12,FALSE()),0)</f>
        <v>0</v>
      </c>
      <c r="W92" s="40">
        <f>+U92-V92</f>
        <v>0</v>
      </c>
      <c r="X92" s="38">
        <f>IFERROR(VLOOKUP("13_"&amp;A92,SyS!$B:$P,10,FALSE()),0)</f>
        <v>0</v>
      </c>
      <c r="Y92" s="39">
        <f>IFERROR(VLOOKUP("13_"&amp;A92,SyS!$B:$P,12,FALSE()),0)</f>
        <v>0</v>
      </c>
      <c r="Z92" s="40">
        <f>+X92-Y92</f>
        <v>0</v>
      </c>
      <c r="AA92" s="38">
        <f>IFERROR(VLOOKUP("17_"&amp;A92,SyS!$B:$P,10,FALSE()),0)</f>
        <v>0</v>
      </c>
      <c r="AB92" s="39">
        <f>IFERROR(VLOOKUP("17_"&amp;A92,SyS!$B:$P,12,FALSE()),0)</f>
        <v>0</v>
      </c>
      <c r="AC92" s="40">
        <f>+AA92-AB92</f>
        <v>0</v>
      </c>
      <c r="AD92" s="39"/>
      <c r="AE92" s="39"/>
      <c r="AF92" s="39"/>
      <c r="AG92" s="39">
        <f>IFERROR(VLOOKUP("19_"&amp;A92,SyS!$B:$P,10,FALSE()),0)</f>
        <v>0</v>
      </c>
      <c r="AH92" s="39">
        <f>IFERROR(VLOOKUP("19_"&amp;A92,SyS!$B:$P,12,FALSE()),0)</f>
        <v>0</v>
      </c>
      <c r="AI92" s="39">
        <f>+AG92-AH92</f>
        <v>0</v>
      </c>
      <c r="AJ92" s="39"/>
      <c r="AK92" s="39"/>
      <c r="AL92" s="39"/>
      <c r="AM92" s="39">
        <f>IFERROR(VLOOKUP("23_"&amp;A92,SyS!$B:$P,10,FALSE()),0)</f>
        <v>0</v>
      </c>
      <c r="AN92" s="39">
        <f>IFERROR(VLOOKUP("23_"&amp;A92,SyS!$B:$P,12,FALSE()),0)</f>
        <v>0</v>
      </c>
      <c r="AO92" s="40">
        <f>+AM92-AN92</f>
        <v>0</v>
      </c>
      <c r="AP92" s="39"/>
      <c r="AQ92" s="39"/>
      <c r="AR92" s="39"/>
      <c r="AS92" s="39"/>
      <c r="AT92" s="39"/>
      <c r="AU92" s="39"/>
      <c r="AV92" s="39"/>
      <c r="AW92" s="39"/>
      <c r="AX92" s="39"/>
      <c r="AY92" s="39"/>
      <c r="AZ92" s="39"/>
      <c r="BA92" s="39"/>
      <c r="BB92" s="39"/>
      <c r="BC92" s="39"/>
      <c r="BD92" s="39"/>
      <c r="BE92" s="39"/>
      <c r="BF92" s="39"/>
      <c r="BG92" s="39"/>
      <c r="BH92" s="39"/>
      <c r="BI92" s="39"/>
      <c r="BJ92" s="39"/>
      <c r="BK92" s="39">
        <f>IFERROR(VLOOKUP("29_"&amp;A92,SyS!$B:$P,10,FALSE()),0)</f>
        <v>0</v>
      </c>
      <c r="BL92" s="39">
        <f>IFERROR(VLOOKUP("29_"&amp;A92,SyS!$B:$P,12,FALSE()),0)</f>
        <v>0</v>
      </c>
      <c r="BM92" s="39">
        <f>+BK92-BL92</f>
        <v>0</v>
      </c>
      <c r="BN92" s="38">
        <f>IFERROR(VLOOKUP("30_"&amp;A92,SyS!$B:$P,10,FALSE()),0)</f>
        <v>0</v>
      </c>
      <c r="BO92" s="39">
        <f>IFERROR(VLOOKUP("30_"&amp;A92,SyS!$B:$P,12,FALSE()),0)</f>
        <v>0</v>
      </c>
      <c r="BP92" s="40">
        <f>+BN92-BO92</f>
        <v>0</v>
      </c>
      <c r="BQ92" s="45">
        <f>+E92+H92+K92+Q92+T92+W92+Z92+AC92+AF92+AI92+AL92+AO92+AR92+AU92+AX92+BA92+BD92+BG92+BJ92+BM92+BP92</f>
        <v>0</v>
      </c>
    </row>
    <row r="93" ht="11.25" customHeight="1" spans="1:69" x14ac:dyDescent="0.25">
      <c r="A93" s="44">
        <v>424400000</v>
      </c>
      <c r="B93" s="44" t="s">
        <v>324</v>
      </c>
      <c r="C93" s="38">
        <f>IFERROR(VLOOKUP("1_"&amp;A93,SyS!$B:$P,10,FALSE()),0)</f>
        <v>0</v>
      </c>
      <c r="D93" s="39">
        <f>IFERROR(VLOOKUP("1_"&amp;A93,SyS!$B:$P,12,FALSE()),0)</f>
        <v>0</v>
      </c>
      <c r="E93" s="39">
        <f>+C93-D93</f>
        <v>0</v>
      </c>
      <c r="F93" s="38">
        <f>IFERROR(VLOOKUP("2_"&amp;A93,SyS!$B:$P,10,FALSE()),0)</f>
        <v>0</v>
      </c>
      <c r="G93" s="39">
        <f>IFERROR(VLOOKUP("2_"&amp;A93,SyS!$B:$P,12,FALSE()),0)</f>
        <v>0</v>
      </c>
      <c r="H93" s="40">
        <f>+F93-G93</f>
        <v>0</v>
      </c>
      <c r="I93" s="39"/>
      <c r="J93" s="39"/>
      <c r="K93" s="39"/>
      <c r="L93" s="39"/>
      <c r="M93" s="39"/>
      <c r="N93" s="39"/>
      <c r="O93" s="38">
        <f>IFERROR(VLOOKUP("14_"&amp;A93,SyS!$B:$P,10,FALSE()),0)</f>
        <v>0</v>
      </c>
      <c r="P93" s="39">
        <f>IFERROR(VLOOKUP("14_"&amp;A93,SyS!$B:$P,12,FALSE()),0)</f>
        <v>0</v>
      </c>
      <c r="Q93" s="40">
        <f>+O93-P93</f>
        <v>0</v>
      </c>
      <c r="R93" s="38">
        <f>IFERROR(VLOOKUP("15_"&amp;A93,SyS!$B:$P,10,FALSE()),0)</f>
        <v>10334.79</v>
      </c>
      <c r="S93" s="39">
        <f>IFERROR(VLOOKUP("15_"&amp;A93,SyS!$B:$P,12,FALSE()),0)</f>
        <v>0</v>
      </c>
      <c r="T93" s="40">
        <f>+R93-S93</f>
        <v>10334.79</v>
      </c>
      <c r="U93" s="38">
        <f>IFERROR(VLOOKUP("16_"&amp;A93,SyS!$B:$P,10,FALSE()),0)</f>
        <v>0</v>
      </c>
      <c r="V93" s="39">
        <f>IFERROR(VLOOKUP("16_"&amp;A93,SyS!$B:$P,12,FALSE()),0)</f>
        <v>0</v>
      </c>
      <c r="W93" s="40">
        <f>+U93-V93</f>
        <v>0</v>
      </c>
      <c r="X93" s="38">
        <f>IFERROR(VLOOKUP("13_"&amp;A93,SyS!$B:$P,10,FALSE()),0)</f>
        <v>0</v>
      </c>
      <c r="Y93" s="39">
        <f>IFERROR(VLOOKUP("13_"&amp;A93,SyS!$B:$P,12,FALSE()),0)</f>
        <v>0</v>
      </c>
      <c r="Z93" s="40">
        <f>+X93-Y93</f>
        <v>0</v>
      </c>
      <c r="AA93" s="38">
        <f>IFERROR(VLOOKUP("17_"&amp;A93,SyS!$B:$P,10,FALSE()),0)</f>
        <v>7812.34</v>
      </c>
      <c r="AB93" s="39">
        <f>IFERROR(VLOOKUP("17_"&amp;A93,SyS!$B:$P,12,FALSE()),0)</f>
        <v>0</v>
      </c>
      <c r="AC93" s="40">
        <f>+AA93-AB93</f>
        <v>7812.34</v>
      </c>
      <c r="AD93" s="39"/>
      <c r="AE93" s="39"/>
      <c r="AF93" s="39"/>
      <c r="AG93" s="39">
        <f>IFERROR(VLOOKUP("19_"&amp;A93,SyS!$B:$P,10,FALSE()),0)</f>
        <v>0</v>
      </c>
      <c r="AH93" s="39">
        <f>IFERROR(VLOOKUP("19_"&amp;A93,SyS!$B:$P,12,FALSE()),0)</f>
        <v>0</v>
      </c>
      <c r="AI93" s="39">
        <f>+AG93-AH93</f>
        <v>0</v>
      </c>
      <c r="AJ93" s="39"/>
      <c r="AK93" s="39"/>
      <c r="AL93" s="39"/>
      <c r="AM93" s="39">
        <f>IFERROR(VLOOKUP("23_"&amp;A93,SyS!$B:$P,10,FALSE()),0)</f>
        <v>0</v>
      </c>
      <c r="AN93" s="39">
        <f>IFERROR(VLOOKUP("23_"&amp;A93,SyS!$B:$P,12,FALSE()),0)</f>
        <v>0</v>
      </c>
      <c r="AO93" s="40">
        <f>+AM93-AN93</f>
        <v>0</v>
      </c>
      <c r="AP93" s="39"/>
      <c r="AQ93" s="39"/>
      <c r="AR93" s="39"/>
      <c r="AS93" s="39"/>
      <c r="AT93" s="39"/>
      <c r="AU93" s="39"/>
      <c r="AV93" s="39"/>
      <c r="AW93" s="39"/>
      <c r="AX93" s="39"/>
      <c r="AY93" s="39"/>
      <c r="AZ93" s="39"/>
      <c r="BA93" s="39"/>
      <c r="BB93" s="39"/>
      <c r="BC93" s="39"/>
      <c r="BD93" s="39"/>
      <c r="BE93" s="39"/>
      <c r="BF93" s="39"/>
      <c r="BG93" s="39"/>
      <c r="BH93" s="39"/>
      <c r="BI93" s="39"/>
      <c r="BJ93" s="39"/>
      <c r="BK93" s="39">
        <f>IFERROR(VLOOKUP("29_"&amp;A93,SyS!$B:$P,10,FALSE()),0)</f>
        <v>0</v>
      </c>
      <c r="BL93" s="39">
        <f>IFERROR(VLOOKUP("29_"&amp;A93,SyS!$B:$P,12,FALSE()),0)</f>
        <v>0</v>
      </c>
      <c r="BM93" s="39">
        <f>+BK93-BL93</f>
        <v>0</v>
      </c>
      <c r="BN93" s="38">
        <f>IFERROR(VLOOKUP("30_"&amp;A93,SyS!$B:$P,10,FALSE()),0)</f>
        <v>0</v>
      </c>
      <c r="BO93" s="39">
        <f>IFERROR(VLOOKUP("30_"&amp;A93,SyS!$B:$P,12,FALSE()),0)</f>
        <v>0</v>
      </c>
      <c r="BP93" s="40">
        <f>+BN93-BO93</f>
        <v>0</v>
      </c>
      <c r="BQ93" s="45">
        <f>+E93+H93+K93+Q93+T93+W93+Z93+AC93+AF93+AI93+AL93+AO93+AR93+AU93+AX93+BA93+BD93+BG93+BJ93+BM93+BP93</f>
        <v>18147.13</v>
      </c>
    </row>
    <row r="94" ht="11.25" customHeight="1" spans="1:69" x14ac:dyDescent="0.25">
      <c r="A94" s="44">
        <v>42441000</v>
      </c>
      <c r="B94" s="44" t="s">
        <v>325</v>
      </c>
      <c r="C94" s="38">
        <f>IFERROR(VLOOKUP("1_"&amp;A94,SyS!$B:$P,10,FALSE()),0)</f>
        <v>0</v>
      </c>
      <c r="D94" s="39">
        <f>IFERROR(VLOOKUP("1_"&amp;A94,SyS!$B:$P,12,FALSE()),0)</f>
        <v>0</v>
      </c>
      <c r="E94" s="39">
        <f>+C94-D94</f>
        <v>0</v>
      </c>
      <c r="F94" s="38">
        <f>IFERROR(VLOOKUP("2_"&amp;A94,SyS!$B:$P,10,FALSE()),0)</f>
        <v>0</v>
      </c>
      <c r="G94" s="39">
        <f>IFERROR(VLOOKUP("2_"&amp;A94,SyS!$B:$P,12,FALSE()),0)</f>
        <v>0</v>
      </c>
      <c r="H94" s="40">
        <f>+F94-G94</f>
        <v>0</v>
      </c>
      <c r="I94" s="39"/>
      <c r="J94" s="39"/>
      <c r="K94" s="39"/>
      <c r="L94" s="39"/>
      <c r="M94" s="39"/>
      <c r="N94" s="39"/>
      <c r="O94" s="38">
        <f>IFERROR(VLOOKUP("14_"&amp;A94,SyS!$B:$P,10,FALSE()),0)</f>
        <v>0</v>
      </c>
      <c r="P94" s="39">
        <f>IFERROR(VLOOKUP("14_"&amp;A94,SyS!$B:$P,12,FALSE()),0)</f>
        <v>0</v>
      </c>
      <c r="Q94" s="40">
        <f>+O94-P94</f>
        <v>0</v>
      </c>
      <c r="R94" s="38">
        <f>IFERROR(VLOOKUP("15_"&amp;A94,SyS!$B:$P,10,FALSE()),0)</f>
        <v>0</v>
      </c>
      <c r="S94" s="39">
        <f>IFERROR(VLOOKUP("15_"&amp;A94,SyS!$B:$P,12,FALSE()),0)</f>
        <v>0</v>
      </c>
      <c r="T94" s="40">
        <f>+R94-S94</f>
        <v>0</v>
      </c>
      <c r="U94" s="38">
        <f>IFERROR(VLOOKUP("16_"&amp;A94,SyS!$B:$P,10,FALSE()),0)</f>
        <v>0</v>
      </c>
      <c r="V94" s="39">
        <f>IFERROR(VLOOKUP("16_"&amp;A94,SyS!$B:$P,12,FALSE()),0)</f>
        <v>0</v>
      </c>
      <c r="W94" s="40">
        <f>+U94-V94</f>
        <v>0</v>
      </c>
      <c r="X94" s="38">
        <f>IFERROR(VLOOKUP("13_"&amp;A94,SyS!$B:$P,10,FALSE()),0)</f>
        <v>0</v>
      </c>
      <c r="Y94" s="39">
        <f>IFERROR(VLOOKUP("13_"&amp;A94,SyS!$B:$P,12,FALSE()),0)</f>
        <v>0</v>
      </c>
      <c r="Z94" s="40">
        <f>+X94-Y94</f>
        <v>0</v>
      </c>
      <c r="AA94" s="38">
        <f>IFERROR(VLOOKUP("17_"&amp;A94,SyS!$B:$P,10,FALSE()),0)</f>
        <v>0</v>
      </c>
      <c r="AB94" s="39">
        <f>IFERROR(VLOOKUP("17_"&amp;A94,SyS!$B:$P,12,FALSE()),0)</f>
        <v>0</v>
      </c>
      <c r="AC94" s="40">
        <f>+AA94-AB94</f>
        <v>0</v>
      </c>
      <c r="AD94" s="39"/>
      <c r="AE94" s="39"/>
      <c r="AF94" s="39"/>
      <c r="AG94" s="39">
        <f>IFERROR(VLOOKUP("19_"&amp;A94,SyS!$B:$P,10,FALSE()),0)</f>
        <v>0</v>
      </c>
      <c r="AH94" s="39">
        <f>IFERROR(VLOOKUP("19_"&amp;A94,SyS!$B:$P,12,FALSE()),0)</f>
        <v>0</v>
      </c>
      <c r="AI94" s="39">
        <f>+AG94-AH94</f>
        <v>0</v>
      </c>
      <c r="AJ94" s="39"/>
      <c r="AK94" s="39"/>
      <c r="AL94" s="39"/>
      <c r="AM94" s="39">
        <f>IFERROR(VLOOKUP("23_"&amp;A94,SyS!$B:$P,10,FALSE()),0)</f>
        <v>0</v>
      </c>
      <c r="AN94" s="39">
        <f>IFERROR(VLOOKUP("23_"&amp;A94,SyS!$B:$P,12,FALSE()),0)</f>
        <v>0</v>
      </c>
      <c r="AO94" s="40">
        <f>+AM94-AN94</f>
        <v>0</v>
      </c>
      <c r="AP94" s="39"/>
      <c r="AQ94" s="39"/>
      <c r="AR94" s="39"/>
      <c r="AS94" s="39"/>
      <c r="AT94" s="39"/>
      <c r="AU94" s="39"/>
      <c r="AV94" s="39"/>
      <c r="AW94" s="39"/>
      <c r="AX94" s="39"/>
      <c r="AY94" s="39"/>
      <c r="AZ94" s="39"/>
      <c r="BA94" s="39"/>
      <c r="BB94" s="39"/>
      <c r="BC94" s="39"/>
      <c r="BD94" s="39"/>
      <c r="BE94" s="39"/>
      <c r="BF94" s="39"/>
      <c r="BG94" s="39"/>
      <c r="BH94" s="39"/>
      <c r="BI94" s="39"/>
      <c r="BJ94" s="39"/>
      <c r="BK94" s="39">
        <f>IFERROR(VLOOKUP("29_"&amp;A94,SyS!$B:$P,10,FALSE()),0)</f>
        <v>0</v>
      </c>
      <c r="BL94" s="39">
        <f>IFERROR(VLOOKUP("29_"&amp;A94,SyS!$B:$P,12,FALSE()),0)</f>
        <v>0</v>
      </c>
      <c r="BM94" s="39">
        <f>+BK94-BL94</f>
        <v>0</v>
      </c>
      <c r="BN94" s="38">
        <f>IFERROR(VLOOKUP("30_"&amp;A94,SyS!$B:$P,10,FALSE()),0)</f>
        <v>0</v>
      </c>
      <c r="BO94" s="39">
        <f>IFERROR(VLOOKUP("30_"&amp;A94,SyS!$B:$P,12,FALSE()),0)</f>
        <v>0</v>
      </c>
      <c r="BP94" s="40">
        <f>+BN94-BO94</f>
        <v>0</v>
      </c>
      <c r="BQ94" s="45">
        <f>+E94+H94+K94+Q94+T94+W94+Z94+AC94+AF94+AI94+AL94+AO94+AR94+AU94+AX94+BA94+BD94+BG94+BJ94+BM94+BP94</f>
        <v>0</v>
      </c>
    </row>
    <row r="95" ht="11.25" customHeight="1" spans="1:69" x14ac:dyDescent="0.25">
      <c r="A95" s="44">
        <v>42442000</v>
      </c>
      <c r="B95" s="44" t="s">
        <v>326</v>
      </c>
      <c r="C95" s="38">
        <f>IFERROR(VLOOKUP("1_"&amp;A95,SyS!$B:$P,10,FALSE()),0)</f>
        <v>0</v>
      </c>
      <c r="D95" s="39">
        <f>IFERROR(VLOOKUP("1_"&amp;A95,SyS!$B:$P,12,FALSE()),0)</f>
        <v>0</v>
      </c>
      <c r="E95" s="39">
        <f>+C95-D95</f>
        <v>0</v>
      </c>
      <c r="F95" s="38">
        <f>IFERROR(VLOOKUP("2_"&amp;A95,SyS!$B:$P,10,FALSE()),0)</f>
        <v>0</v>
      </c>
      <c r="G95" s="39">
        <f>IFERROR(VLOOKUP("2_"&amp;A95,SyS!$B:$P,12,FALSE()),0)</f>
        <v>0</v>
      </c>
      <c r="H95" s="40">
        <f>+F95-G95</f>
        <v>0</v>
      </c>
      <c r="I95" s="39"/>
      <c r="J95" s="39"/>
      <c r="K95" s="39"/>
      <c r="L95" s="39"/>
      <c r="M95" s="39"/>
      <c r="N95" s="39"/>
      <c r="O95" s="38">
        <f>IFERROR(VLOOKUP("14_"&amp;A95,SyS!$B:$P,10,FALSE()),0)</f>
        <v>0</v>
      </c>
      <c r="P95" s="39">
        <f>IFERROR(VLOOKUP("14_"&amp;A95,SyS!$B:$P,12,FALSE()),0)</f>
        <v>0</v>
      </c>
      <c r="Q95" s="40">
        <f>+O95-P95</f>
        <v>0</v>
      </c>
      <c r="R95" s="38">
        <f>IFERROR(VLOOKUP("15_"&amp;A95,SyS!$B:$P,10,FALSE()),0)</f>
        <v>0</v>
      </c>
      <c r="S95" s="39">
        <f>IFERROR(VLOOKUP("15_"&amp;A95,SyS!$B:$P,12,FALSE()),0)</f>
        <v>0</v>
      </c>
      <c r="T95" s="40">
        <f>+R95-S95</f>
        <v>0</v>
      </c>
      <c r="U95" s="38">
        <f>IFERROR(VLOOKUP("16_"&amp;A95,SyS!$B:$P,10,FALSE()),0)</f>
        <v>0</v>
      </c>
      <c r="V95" s="39">
        <f>IFERROR(VLOOKUP("16_"&amp;A95,SyS!$B:$P,12,FALSE()),0)</f>
        <v>0</v>
      </c>
      <c r="W95" s="40">
        <f>+U95-V95</f>
        <v>0</v>
      </c>
      <c r="X95" s="38">
        <f>IFERROR(VLOOKUP("13_"&amp;A95,SyS!$B:$P,10,FALSE()),0)</f>
        <v>0</v>
      </c>
      <c r="Y95" s="39">
        <f>IFERROR(VLOOKUP("13_"&amp;A95,SyS!$B:$P,12,FALSE()),0)</f>
        <v>0</v>
      </c>
      <c r="Z95" s="40">
        <f>+X95-Y95</f>
        <v>0</v>
      </c>
      <c r="AA95" s="38">
        <f>IFERROR(VLOOKUP("17_"&amp;A95,SyS!$B:$P,10,FALSE()),0)</f>
        <v>0</v>
      </c>
      <c r="AB95" s="39">
        <f>IFERROR(VLOOKUP("17_"&amp;A95,SyS!$B:$P,12,FALSE()),0)</f>
        <v>0</v>
      </c>
      <c r="AC95" s="40">
        <f>+AA95-AB95</f>
        <v>0</v>
      </c>
      <c r="AD95" s="39"/>
      <c r="AE95" s="39"/>
      <c r="AF95" s="39"/>
      <c r="AG95" s="39">
        <f>IFERROR(VLOOKUP("19_"&amp;A95,SyS!$B:$P,10,FALSE()),0)</f>
        <v>0</v>
      </c>
      <c r="AH95" s="39">
        <f>IFERROR(VLOOKUP("19_"&amp;A95,SyS!$B:$P,12,FALSE()),0)</f>
        <v>0</v>
      </c>
      <c r="AI95" s="39">
        <f>+AG95-AH95</f>
        <v>0</v>
      </c>
      <c r="AJ95" s="39"/>
      <c r="AK95" s="39"/>
      <c r="AL95" s="39"/>
      <c r="AM95" s="39">
        <f>IFERROR(VLOOKUP("23_"&amp;A95,SyS!$B:$P,10,FALSE()),0)</f>
        <v>0</v>
      </c>
      <c r="AN95" s="39">
        <f>IFERROR(VLOOKUP("23_"&amp;A95,SyS!$B:$P,12,FALSE()),0)</f>
        <v>0</v>
      </c>
      <c r="AO95" s="40">
        <f>+AM95-AN95</f>
        <v>0</v>
      </c>
      <c r="AP95" s="39"/>
      <c r="AQ95" s="39"/>
      <c r="AR95" s="39"/>
      <c r="AS95" s="39"/>
      <c r="AT95" s="39"/>
      <c r="AU95" s="39"/>
      <c r="AV95" s="39"/>
      <c r="AW95" s="39"/>
      <c r="AX95" s="39"/>
      <c r="AY95" s="39"/>
      <c r="AZ95" s="39"/>
      <c r="BA95" s="39"/>
      <c r="BB95" s="39"/>
      <c r="BC95" s="39"/>
      <c r="BD95" s="39"/>
      <c r="BE95" s="39"/>
      <c r="BF95" s="39"/>
      <c r="BG95" s="39"/>
      <c r="BH95" s="39"/>
      <c r="BI95" s="39"/>
      <c r="BJ95" s="39"/>
      <c r="BK95" s="39">
        <f>IFERROR(VLOOKUP("29_"&amp;A95,SyS!$B:$P,10,FALSE()),0)</f>
        <v>0</v>
      </c>
      <c r="BL95" s="39">
        <f>IFERROR(VLOOKUP("29_"&amp;A95,SyS!$B:$P,12,FALSE()),0)</f>
        <v>0</v>
      </c>
      <c r="BM95" s="39">
        <f>+BK95-BL95</f>
        <v>0</v>
      </c>
      <c r="BN95" s="38">
        <f>IFERROR(VLOOKUP("30_"&amp;A95,SyS!$B:$P,10,FALSE()),0)</f>
        <v>0</v>
      </c>
      <c r="BO95" s="39">
        <f>IFERROR(VLOOKUP("30_"&amp;A95,SyS!$B:$P,12,FALSE()),0)</f>
        <v>0</v>
      </c>
      <c r="BP95" s="40">
        <f>+BN95-BO95</f>
        <v>0</v>
      </c>
      <c r="BQ95" s="45">
        <f>+E95+H95+K95+Q95+T95+W95+Z95+AC95+AF95+AI95+AL95+AO95+AR95+AU95+AX95+BA95+BD95+BG95+BJ95+BM95+BP95</f>
        <v>0</v>
      </c>
    </row>
    <row r="96" ht="11.25" customHeight="1" spans="1:69" x14ac:dyDescent="0.25">
      <c r="A96" s="44">
        <v>42443000</v>
      </c>
      <c r="B96" s="44" t="s">
        <v>327</v>
      </c>
      <c r="C96" s="38">
        <f>IFERROR(VLOOKUP("1_"&amp;A96,SyS!$B:$P,10,FALSE()),0)</f>
        <v>0</v>
      </c>
      <c r="D96" s="39">
        <f>IFERROR(VLOOKUP("1_"&amp;A96,SyS!$B:$P,12,FALSE()),0)</f>
        <v>0</v>
      </c>
      <c r="E96" s="39">
        <f>+C96-D96</f>
        <v>0</v>
      </c>
      <c r="F96" s="38">
        <f>IFERROR(VLOOKUP("2_"&amp;A96,SyS!$B:$P,10,FALSE()),0)</f>
        <v>0</v>
      </c>
      <c r="G96" s="39">
        <f>IFERROR(VLOOKUP("2_"&amp;A96,SyS!$B:$P,12,FALSE()),0)</f>
        <v>0</v>
      </c>
      <c r="H96" s="40">
        <f>+F96-G96</f>
        <v>0</v>
      </c>
      <c r="I96" s="39"/>
      <c r="J96" s="39"/>
      <c r="K96" s="39"/>
      <c r="L96" s="39"/>
      <c r="M96" s="39"/>
      <c r="N96" s="39"/>
      <c r="O96" s="38">
        <f>IFERROR(VLOOKUP("14_"&amp;A96,SyS!$B:$P,10,FALSE()),0)</f>
        <v>0</v>
      </c>
      <c r="P96" s="39">
        <f>IFERROR(VLOOKUP("14_"&amp;A96,SyS!$B:$P,12,FALSE()),0)</f>
        <v>0</v>
      </c>
      <c r="Q96" s="40">
        <f>+O96-P96</f>
        <v>0</v>
      </c>
      <c r="R96" s="38">
        <f>IFERROR(VLOOKUP("15_"&amp;A96,SyS!$B:$P,10,FALSE()),0)</f>
        <v>0</v>
      </c>
      <c r="S96" s="39">
        <f>IFERROR(VLOOKUP("15_"&amp;A96,SyS!$B:$P,12,FALSE()),0)</f>
        <v>0</v>
      </c>
      <c r="T96" s="40">
        <f>+R96-S96</f>
        <v>0</v>
      </c>
      <c r="U96" s="38">
        <f>IFERROR(VLOOKUP("16_"&amp;A96,SyS!$B:$P,10,FALSE()),0)</f>
        <v>0</v>
      </c>
      <c r="V96" s="39">
        <f>IFERROR(VLOOKUP("16_"&amp;A96,SyS!$B:$P,12,FALSE()),0)</f>
        <v>0</v>
      </c>
      <c r="W96" s="40">
        <f>+U96-V96</f>
        <v>0</v>
      </c>
      <c r="X96" s="38">
        <f>IFERROR(VLOOKUP("13_"&amp;A96,SyS!$B:$P,10,FALSE()),0)</f>
        <v>0</v>
      </c>
      <c r="Y96" s="39">
        <f>IFERROR(VLOOKUP("13_"&amp;A96,SyS!$B:$P,12,FALSE()),0)</f>
        <v>0</v>
      </c>
      <c r="Z96" s="40">
        <f>+X96-Y96</f>
        <v>0</v>
      </c>
      <c r="AA96" s="38">
        <f>IFERROR(VLOOKUP("17_"&amp;A96,SyS!$B:$P,10,FALSE()),0)</f>
        <v>0</v>
      </c>
      <c r="AB96" s="39">
        <f>IFERROR(VLOOKUP("17_"&amp;A96,SyS!$B:$P,12,FALSE()),0)</f>
        <v>0</v>
      </c>
      <c r="AC96" s="40">
        <f>+AA96-AB96</f>
        <v>0</v>
      </c>
      <c r="AD96" s="39"/>
      <c r="AE96" s="39"/>
      <c r="AF96" s="39"/>
      <c r="AG96" s="39">
        <f>IFERROR(VLOOKUP("19_"&amp;A96,SyS!$B:$P,10,FALSE()),0)</f>
        <v>0</v>
      </c>
      <c r="AH96" s="39">
        <f>IFERROR(VLOOKUP("19_"&amp;A96,SyS!$B:$P,12,FALSE()),0)</f>
        <v>0</v>
      </c>
      <c r="AI96" s="39">
        <f>+AG96-AH96</f>
        <v>0</v>
      </c>
      <c r="AJ96" s="39"/>
      <c r="AK96" s="39"/>
      <c r="AL96" s="39"/>
      <c r="AM96" s="39">
        <f>IFERROR(VLOOKUP("23_"&amp;A96,SyS!$B:$P,10,FALSE()),0)</f>
        <v>0</v>
      </c>
      <c r="AN96" s="39">
        <f>IFERROR(VLOOKUP("23_"&amp;A96,SyS!$B:$P,12,FALSE()),0)</f>
        <v>0</v>
      </c>
      <c r="AO96" s="40">
        <f>+AM96-AN96</f>
        <v>0</v>
      </c>
      <c r="AP96" s="39"/>
      <c r="AQ96" s="39"/>
      <c r="AR96" s="39"/>
      <c r="AS96" s="39"/>
      <c r="AT96" s="39"/>
      <c r="AU96" s="39"/>
      <c r="AV96" s="39"/>
      <c r="AW96" s="39"/>
      <c r="AX96" s="39"/>
      <c r="AY96" s="39"/>
      <c r="AZ96" s="39"/>
      <c r="BA96" s="39"/>
      <c r="BB96" s="39"/>
      <c r="BC96" s="39"/>
      <c r="BD96" s="39"/>
      <c r="BE96" s="39"/>
      <c r="BF96" s="39"/>
      <c r="BG96" s="39"/>
      <c r="BH96" s="39"/>
      <c r="BI96" s="39"/>
      <c r="BJ96" s="39"/>
      <c r="BK96" s="39">
        <f>IFERROR(VLOOKUP("29_"&amp;A96,SyS!$B:$P,10,FALSE()),0)</f>
        <v>0</v>
      </c>
      <c r="BL96" s="39">
        <f>IFERROR(VLOOKUP("29_"&amp;A96,SyS!$B:$P,12,FALSE()),0)</f>
        <v>0</v>
      </c>
      <c r="BM96" s="39">
        <f>+BK96-BL96</f>
        <v>0</v>
      </c>
      <c r="BN96" s="38">
        <f>IFERROR(VLOOKUP("30_"&amp;A96,SyS!$B:$P,10,FALSE()),0)</f>
        <v>0</v>
      </c>
      <c r="BO96" s="39">
        <f>IFERROR(VLOOKUP("30_"&amp;A96,SyS!$B:$P,12,FALSE()),0)</f>
        <v>0</v>
      </c>
      <c r="BP96" s="40">
        <f>+BN96-BO96</f>
        <v>0</v>
      </c>
      <c r="BQ96" s="45">
        <f>+E96+H96+K96+Q96+T96+W96+Z96+AC96+AF96+AI96+AL96+AO96+AR96+AU96+AX96+BA96+BD96+BG96+BJ96+BM96+BP96</f>
        <v>0</v>
      </c>
    </row>
    <row r="97" ht="11.25" customHeight="1" spans="1:69" x14ac:dyDescent="0.25">
      <c r="A97" s="44">
        <v>424460000</v>
      </c>
      <c r="B97" s="44" t="s">
        <v>328</v>
      </c>
      <c r="C97" s="38">
        <f>IFERROR(VLOOKUP("1_"&amp;A97,SyS!$B:$P,10,FALSE()),0)</f>
        <v>0</v>
      </c>
      <c r="D97" s="39">
        <f>IFERROR(VLOOKUP("1_"&amp;A97,SyS!$B:$P,12,FALSE()),0)</f>
        <v>0</v>
      </c>
      <c r="E97" s="39">
        <f>+C97-D97</f>
        <v>0</v>
      </c>
      <c r="F97" s="38">
        <f>IFERROR(VLOOKUP("2_"&amp;A97,SyS!$B:$P,10,FALSE()),0)</f>
        <v>0</v>
      </c>
      <c r="G97" s="39">
        <f>IFERROR(VLOOKUP("2_"&amp;A97,SyS!$B:$P,12,FALSE()),0)</f>
        <v>0</v>
      </c>
      <c r="H97" s="40">
        <f>+F97-G97</f>
        <v>0</v>
      </c>
      <c r="I97" s="39"/>
      <c r="J97" s="39"/>
      <c r="K97" s="39"/>
      <c r="L97" s="39"/>
      <c r="M97" s="39"/>
      <c r="N97" s="39"/>
      <c r="O97" s="38">
        <f>IFERROR(VLOOKUP("14_"&amp;A97,SyS!$B:$P,10,FALSE()),0)</f>
        <v>0</v>
      </c>
      <c r="P97" s="39">
        <f>IFERROR(VLOOKUP("14_"&amp;A97,SyS!$B:$P,12,FALSE()),0)</f>
        <v>0</v>
      </c>
      <c r="Q97" s="40">
        <f>+O97-P97</f>
        <v>0</v>
      </c>
      <c r="R97" s="38">
        <f>IFERROR(VLOOKUP("15_"&amp;A97,SyS!$B:$P,10,FALSE()),0)</f>
        <v>0</v>
      </c>
      <c r="S97" s="39">
        <f>IFERROR(VLOOKUP("15_"&amp;A97,SyS!$B:$P,12,FALSE()),0)</f>
        <v>0</v>
      </c>
      <c r="T97" s="40">
        <f>+R97-S97</f>
        <v>0</v>
      </c>
      <c r="U97" s="38">
        <f>IFERROR(VLOOKUP("16_"&amp;A97,SyS!$B:$P,10,FALSE()),0)</f>
        <v>0</v>
      </c>
      <c r="V97" s="39">
        <f>IFERROR(VLOOKUP("16_"&amp;A97,SyS!$B:$P,12,FALSE()),0)</f>
        <v>0</v>
      </c>
      <c r="W97" s="40">
        <f>+U97-V97</f>
        <v>0</v>
      </c>
      <c r="X97" s="38">
        <f>IFERROR(VLOOKUP("13_"&amp;A97,SyS!$B:$P,10,FALSE()),0)</f>
        <v>0</v>
      </c>
      <c r="Y97" s="39">
        <f>IFERROR(VLOOKUP("13_"&amp;A97,SyS!$B:$P,12,FALSE()),0)</f>
        <v>0</v>
      </c>
      <c r="Z97" s="40">
        <f>+X97-Y97</f>
        <v>0</v>
      </c>
      <c r="AA97" s="38">
        <f>IFERROR(VLOOKUP("17_"&amp;A97,SyS!$B:$P,10,FALSE()),0)</f>
        <v>0</v>
      </c>
      <c r="AB97" s="39">
        <f>IFERROR(VLOOKUP("17_"&amp;A97,SyS!$B:$P,12,FALSE()),0)</f>
        <v>0</v>
      </c>
      <c r="AC97" s="40">
        <f>+AA97-AB97</f>
        <v>0</v>
      </c>
      <c r="AD97" s="39"/>
      <c r="AE97" s="39"/>
      <c r="AF97" s="39"/>
      <c r="AG97" s="39">
        <f>IFERROR(VLOOKUP("19_"&amp;A97,SyS!$B:$P,10,FALSE()),0)</f>
        <v>0</v>
      </c>
      <c r="AH97" s="39">
        <f>IFERROR(VLOOKUP("19_"&amp;A97,SyS!$B:$P,12,FALSE()),0)</f>
        <v>0</v>
      </c>
      <c r="AI97" s="39">
        <f>+AG97-AH97</f>
        <v>0</v>
      </c>
      <c r="AJ97" s="39"/>
      <c r="AK97" s="39"/>
      <c r="AL97" s="39"/>
      <c r="AM97" s="39">
        <f>IFERROR(VLOOKUP("23_"&amp;A97,SyS!$B:$P,10,FALSE()),0)</f>
        <v>0</v>
      </c>
      <c r="AN97" s="39">
        <f>IFERROR(VLOOKUP("23_"&amp;A97,SyS!$B:$P,12,FALSE()),0)</f>
        <v>0</v>
      </c>
      <c r="AO97" s="40">
        <f>+AM97-AN97</f>
        <v>0</v>
      </c>
      <c r="AP97" s="39"/>
      <c r="AQ97" s="39"/>
      <c r="AR97" s="39"/>
      <c r="AS97" s="39"/>
      <c r="AT97" s="39"/>
      <c r="AU97" s="39"/>
      <c r="AV97" s="39"/>
      <c r="AW97" s="39"/>
      <c r="AX97" s="39"/>
      <c r="AY97" s="39"/>
      <c r="AZ97" s="39"/>
      <c r="BA97" s="39"/>
      <c r="BB97" s="39"/>
      <c r="BC97" s="39"/>
      <c r="BD97" s="39"/>
      <c r="BE97" s="39"/>
      <c r="BF97" s="39"/>
      <c r="BG97" s="39"/>
      <c r="BH97" s="39"/>
      <c r="BI97" s="39"/>
      <c r="BJ97" s="39"/>
      <c r="BK97" s="39">
        <f>IFERROR(VLOOKUP("29_"&amp;A97,SyS!$B:$P,10,FALSE()),0)</f>
        <v>0</v>
      </c>
      <c r="BL97" s="39">
        <f>IFERROR(VLOOKUP("29_"&amp;A97,SyS!$B:$P,12,FALSE()),0)</f>
        <v>0</v>
      </c>
      <c r="BM97" s="39">
        <f>+BK97-BL97</f>
        <v>0</v>
      </c>
      <c r="BN97" s="38">
        <f>IFERROR(VLOOKUP("30_"&amp;A97,SyS!$B:$P,10,FALSE()),0)</f>
        <v>0</v>
      </c>
      <c r="BO97" s="39">
        <f>IFERROR(VLOOKUP("30_"&amp;A97,SyS!$B:$P,12,FALSE()),0)</f>
        <v>0</v>
      </c>
      <c r="BP97" s="40">
        <f>+BN97-BO97</f>
        <v>0</v>
      </c>
      <c r="BQ97" s="45">
        <f>+E97+H97+K97+Q97+T97+W97+Z97+AC97+AF97+AI97+AL97+AO97+AR97+AU97+AX97+BA97+BD97+BG97+BJ97+BM97+BP97</f>
        <v>0</v>
      </c>
    </row>
    <row r="98" ht="11.25" customHeight="1" spans="1:69" x14ac:dyDescent="0.25">
      <c r="A98" s="44">
        <v>424500000</v>
      </c>
      <c r="B98" s="44" t="s">
        <v>329</v>
      </c>
      <c r="C98" s="38">
        <f>IFERROR(VLOOKUP("1_"&amp;A98,SyS!$B:$P,10,FALSE()),0)</f>
        <v>0</v>
      </c>
      <c r="D98" s="39">
        <f>IFERROR(VLOOKUP("1_"&amp;A98,SyS!$B:$P,12,FALSE()),0)</f>
        <v>0</v>
      </c>
      <c r="E98" s="39">
        <f>+C98-D98</f>
        <v>0</v>
      </c>
      <c r="F98" s="38">
        <f>IFERROR(VLOOKUP("2_"&amp;A98,SyS!$B:$P,10,FALSE()),0)</f>
        <v>0</v>
      </c>
      <c r="G98" s="39">
        <f>IFERROR(VLOOKUP("2_"&amp;A98,SyS!$B:$P,12,FALSE()),0)</f>
        <v>0</v>
      </c>
      <c r="H98" s="40">
        <f>+F98-G98</f>
        <v>0</v>
      </c>
      <c r="I98" s="39"/>
      <c r="J98" s="39"/>
      <c r="K98" s="39"/>
      <c r="L98" s="39"/>
      <c r="M98" s="39"/>
      <c r="N98" s="39"/>
      <c r="O98" s="38">
        <f>IFERROR(VLOOKUP("14_"&amp;A98,SyS!$B:$P,10,FALSE()),0)</f>
        <v>0</v>
      </c>
      <c r="P98" s="39">
        <f>IFERROR(VLOOKUP("14_"&amp;A98,SyS!$B:$P,12,FALSE()),0)</f>
        <v>0</v>
      </c>
      <c r="Q98" s="40">
        <f>+O98-P98</f>
        <v>0</v>
      </c>
      <c r="R98" s="38">
        <f>IFERROR(VLOOKUP("15_"&amp;A98,SyS!$B:$P,10,FALSE()),0)</f>
        <v>2716.28</v>
      </c>
      <c r="S98" s="39">
        <f>IFERROR(VLOOKUP("15_"&amp;A98,SyS!$B:$P,12,FALSE()),0)</f>
        <v>0</v>
      </c>
      <c r="T98" s="40">
        <f>+R98-S98</f>
        <v>2716.28</v>
      </c>
      <c r="U98" s="38">
        <f>IFERROR(VLOOKUP("16_"&amp;A98,SyS!$B:$P,10,FALSE()),0)</f>
        <v>0</v>
      </c>
      <c r="V98" s="39">
        <f>IFERROR(VLOOKUP("16_"&amp;A98,SyS!$B:$P,12,FALSE()),0)</f>
        <v>0</v>
      </c>
      <c r="W98" s="40">
        <f>+U98-V98</f>
        <v>0</v>
      </c>
      <c r="X98" s="38">
        <f>IFERROR(VLOOKUP("13_"&amp;A98,SyS!$B:$P,10,FALSE()),0)</f>
        <v>0</v>
      </c>
      <c r="Y98" s="39">
        <f>IFERROR(VLOOKUP("13_"&amp;A98,SyS!$B:$P,12,FALSE()),0)</f>
        <v>0</v>
      </c>
      <c r="Z98" s="40">
        <f>+X98-Y98</f>
        <v>0</v>
      </c>
      <c r="AA98" s="38">
        <f>IFERROR(VLOOKUP("17_"&amp;A98,SyS!$B:$P,10,FALSE()),0)</f>
        <v>2552.94</v>
      </c>
      <c r="AB98" s="39">
        <f>IFERROR(VLOOKUP("17_"&amp;A98,SyS!$B:$P,12,FALSE()),0)</f>
        <v>0</v>
      </c>
      <c r="AC98" s="40">
        <f>+AA98-AB98</f>
        <v>2552.94</v>
      </c>
      <c r="AD98" s="39"/>
      <c r="AE98" s="39"/>
      <c r="AF98" s="39"/>
      <c r="AG98" s="39">
        <f>IFERROR(VLOOKUP("19_"&amp;A98,SyS!$B:$P,10,FALSE()),0)</f>
        <v>0</v>
      </c>
      <c r="AH98" s="39">
        <f>IFERROR(VLOOKUP("19_"&amp;A98,SyS!$B:$P,12,FALSE()),0)</f>
        <v>0</v>
      </c>
      <c r="AI98" s="39">
        <f>+AG98-AH98</f>
        <v>0</v>
      </c>
      <c r="AJ98" s="39"/>
      <c r="AK98" s="39"/>
      <c r="AL98" s="39"/>
      <c r="AM98" s="39">
        <f>IFERROR(VLOOKUP("23_"&amp;A98,SyS!$B:$P,10,FALSE()),0)</f>
        <v>0</v>
      </c>
      <c r="AN98" s="39">
        <f>IFERROR(VLOOKUP("23_"&amp;A98,SyS!$B:$P,12,FALSE()),0)</f>
        <v>0</v>
      </c>
      <c r="AO98" s="40">
        <f>+AM98-AN98</f>
        <v>0</v>
      </c>
      <c r="AP98" s="39"/>
      <c r="AQ98" s="39"/>
      <c r="AR98" s="39"/>
      <c r="AS98" s="39"/>
      <c r="AT98" s="39"/>
      <c r="AU98" s="39"/>
      <c r="AV98" s="39"/>
      <c r="AW98" s="39"/>
      <c r="AX98" s="39"/>
      <c r="AY98" s="39"/>
      <c r="AZ98" s="39"/>
      <c r="BA98" s="39"/>
      <c r="BB98" s="39"/>
      <c r="BC98" s="39"/>
      <c r="BD98" s="39"/>
      <c r="BE98" s="39"/>
      <c r="BF98" s="39"/>
      <c r="BG98" s="39"/>
      <c r="BH98" s="39"/>
      <c r="BI98" s="39"/>
      <c r="BJ98" s="39"/>
      <c r="BK98" s="39">
        <f>IFERROR(VLOOKUP("29_"&amp;A98,SyS!$B:$P,10,FALSE()),0)</f>
        <v>0</v>
      </c>
      <c r="BL98" s="39">
        <f>IFERROR(VLOOKUP("29_"&amp;A98,SyS!$B:$P,12,FALSE()),0)</f>
        <v>0</v>
      </c>
      <c r="BM98" s="39">
        <f>+BK98-BL98</f>
        <v>0</v>
      </c>
      <c r="BN98" s="38">
        <f>IFERROR(VLOOKUP("30_"&amp;A98,SyS!$B:$P,10,FALSE()),0)</f>
        <v>0</v>
      </c>
      <c r="BO98" s="39">
        <f>IFERROR(VLOOKUP("30_"&amp;A98,SyS!$B:$P,12,FALSE()),0)</f>
        <v>0</v>
      </c>
      <c r="BP98" s="40">
        <f>+BN98-BO98</f>
        <v>0</v>
      </c>
      <c r="BQ98" s="45">
        <f>+E98+H98+K98+Q98+T98+W98+Z98+AC98+AF98+AI98+AL98+AO98+AR98+AU98+AX98+BA98+BD98+BG98+BJ98+BM98+BP98</f>
        <v>5269.22</v>
      </c>
    </row>
    <row r="99" ht="11.25" customHeight="1" spans="1:69" x14ac:dyDescent="0.25">
      <c r="A99" s="44">
        <v>42460000</v>
      </c>
      <c r="B99" s="44" t="s">
        <v>330</v>
      </c>
      <c r="C99" s="38">
        <f>IFERROR(VLOOKUP("1_"&amp;A99,SyS!$B:$P,10,FALSE()),0)</f>
        <v>0</v>
      </c>
      <c r="D99" s="39">
        <f>IFERROR(VLOOKUP("1_"&amp;A99,SyS!$B:$P,12,FALSE()),0)</f>
        <v>0</v>
      </c>
      <c r="E99" s="39">
        <f>+C99-D99</f>
        <v>0</v>
      </c>
      <c r="F99" s="38">
        <f>IFERROR(VLOOKUP("2_"&amp;A99,SyS!$B:$P,10,FALSE()),0)</f>
        <v>0</v>
      </c>
      <c r="G99" s="39">
        <f>IFERROR(VLOOKUP("2_"&amp;A99,SyS!$B:$P,12,FALSE()),0)</f>
        <v>0</v>
      </c>
      <c r="H99" s="40">
        <f>+F99-G99</f>
        <v>0</v>
      </c>
      <c r="I99" s="39"/>
      <c r="J99" s="39"/>
      <c r="K99" s="39"/>
      <c r="L99" s="39"/>
      <c r="M99" s="39"/>
      <c r="N99" s="39"/>
      <c r="O99" s="38">
        <f>IFERROR(VLOOKUP("14_"&amp;A99,SyS!$B:$P,10,FALSE()),0)</f>
        <v>0</v>
      </c>
      <c r="P99" s="39">
        <f>IFERROR(VLOOKUP("14_"&amp;A99,SyS!$B:$P,12,FALSE()),0)</f>
        <v>0</v>
      </c>
      <c r="Q99" s="40">
        <f>+O99-P99</f>
        <v>0</v>
      </c>
      <c r="R99" s="38">
        <f>IFERROR(VLOOKUP("15_"&amp;A99,SyS!$B:$P,10,FALSE()),0)</f>
        <v>0</v>
      </c>
      <c r="S99" s="39">
        <f>IFERROR(VLOOKUP("15_"&amp;A99,SyS!$B:$P,12,FALSE()),0)</f>
        <v>0</v>
      </c>
      <c r="T99" s="40">
        <f>+R99-S99</f>
        <v>0</v>
      </c>
      <c r="U99" s="38">
        <f>IFERROR(VLOOKUP("16_"&amp;A99,SyS!$B:$P,10,FALSE()),0)</f>
        <v>0</v>
      </c>
      <c r="V99" s="39">
        <f>IFERROR(VLOOKUP("16_"&amp;A99,SyS!$B:$P,12,FALSE()),0)</f>
        <v>0</v>
      </c>
      <c r="W99" s="40">
        <f>+U99-V99</f>
        <v>0</v>
      </c>
      <c r="X99" s="38">
        <f>IFERROR(VLOOKUP("13_"&amp;A99,SyS!$B:$P,10,FALSE()),0)</f>
        <v>0</v>
      </c>
      <c r="Y99" s="39">
        <f>IFERROR(VLOOKUP("13_"&amp;A99,SyS!$B:$P,12,FALSE()),0)</f>
        <v>0</v>
      </c>
      <c r="Z99" s="40">
        <f>+X99-Y99</f>
        <v>0</v>
      </c>
      <c r="AA99" s="38">
        <f>IFERROR(VLOOKUP("17_"&amp;A99,SyS!$B:$P,10,FALSE()),0)</f>
        <v>0</v>
      </c>
      <c r="AB99" s="39">
        <f>IFERROR(VLOOKUP("17_"&amp;A99,SyS!$B:$P,12,FALSE()),0)</f>
        <v>0</v>
      </c>
      <c r="AC99" s="40">
        <f>+AA99-AB99</f>
        <v>0</v>
      </c>
      <c r="AD99" s="39"/>
      <c r="AE99" s="39"/>
      <c r="AF99" s="39"/>
      <c r="AG99" s="39">
        <f>IFERROR(VLOOKUP("19_"&amp;A99,SyS!$B:$P,10,FALSE()),0)</f>
        <v>0</v>
      </c>
      <c r="AH99" s="39">
        <f>IFERROR(VLOOKUP("19_"&amp;A99,SyS!$B:$P,12,FALSE()),0)</f>
        <v>0</v>
      </c>
      <c r="AI99" s="39">
        <f>+AG99-AH99</f>
        <v>0</v>
      </c>
      <c r="AJ99" s="39"/>
      <c r="AK99" s="39"/>
      <c r="AL99" s="39"/>
      <c r="AM99" s="39">
        <f>IFERROR(VLOOKUP("23_"&amp;A99,SyS!$B:$P,10,FALSE()),0)</f>
        <v>0</v>
      </c>
      <c r="AN99" s="39">
        <f>IFERROR(VLOOKUP("23_"&amp;A99,SyS!$B:$P,12,FALSE()),0)</f>
        <v>0</v>
      </c>
      <c r="AO99" s="40">
        <f>+AM99-AN99</f>
        <v>0</v>
      </c>
      <c r="AP99" s="39"/>
      <c r="AQ99" s="39"/>
      <c r="AR99" s="39"/>
      <c r="AS99" s="39"/>
      <c r="AT99" s="39"/>
      <c r="AU99" s="39"/>
      <c r="AV99" s="39"/>
      <c r="AW99" s="39"/>
      <c r="AX99" s="39"/>
      <c r="AY99" s="39"/>
      <c r="AZ99" s="39"/>
      <c r="BA99" s="39"/>
      <c r="BB99" s="39"/>
      <c r="BC99" s="39"/>
      <c r="BD99" s="39"/>
      <c r="BE99" s="39"/>
      <c r="BF99" s="39"/>
      <c r="BG99" s="39"/>
      <c r="BH99" s="39"/>
      <c r="BI99" s="39"/>
      <c r="BJ99" s="39"/>
      <c r="BK99" s="39">
        <f>IFERROR(VLOOKUP("29_"&amp;A99,SyS!$B:$P,10,FALSE()),0)</f>
        <v>0</v>
      </c>
      <c r="BL99" s="39">
        <f>IFERROR(VLOOKUP("29_"&amp;A99,SyS!$B:$P,12,FALSE()),0)</f>
        <v>0</v>
      </c>
      <c r="BM99" s="39">
        <f>+BK99-BL99</f>
        <v>0</v>
      </c>
      <c r="BN99" s="38">
        <f>IFERROR(VLOOKUP("30_"&amp;A99,SyS!$B:$P,10,FALSE()),0)</f>
        <v>0</v>
      </c>
      <c r="BO99" s="39">
        <f>IFERROR(VLOOKUP("30_"&amp;A99,SyS!$B:$P,12,FALSE()),0)</f>
        <v>0</v>
      </c>
      <c r="BP99" s="40">
        <f>+BN99-BO99</f>
        <v>0</v>
      </c>
      <c r="BQ99" s="45">
        <f>+E99+H99+K99+Q99+T99+W99+Z99+AC99+AF99+AI99+AL99+AO99+AR99+AU99+AX99+BA99+BD99+BG99+BJ99+BM99+BP99</f>
        <v>0</v>
      </c>
    </row>
    <row r="100" ht="11.25" customHeight="1" spans="1:69" x14ac:dyDescent="0.25">
      <c r="A100" s="44">
        <v>42470000</v>
      </c>
      <c r="B100" s="44" t="s">
        <v>331</v>
      </c>
      <c r="C100" s="38">
        <f>IFERROR(VLOOKUP("1_"&amp;A100,SyS!$B:$P,10,FALSE()),0)</f>
        <v>0</v>
      </c>
      <c r="D100" s="39">
        <f>IFERROR(VLOOKUP("1_"&amp;A100,SyS!$B:$P,12,FALSE()),0)</f>
        <v>0</v>
      </c>
      <c r="E100" s="39">
        <f>+C100-D100</f>
        <v>0</v>
      </c>
      <c r="F100" s="38">
        <f>IFERROR(VLOOKUP("2_"&amp;A100,SyS!$B:$P,10,FALSE()),0)</f>
        <v>0</v>
      </c>
      <c r="G100" s="39">
        <f>IFERROR(VLOOKUP("2_"&amp;A100,SyS!$B:$P,12,FALSE()),0)</f>
        <v>0</v>
      </c>
      <c r="H100" s="40">
        <f>+F100-G100</f>
        <v>0</v>
      </c>
      <c r="I100" s="39"/>
      <c r="J100" s="39"/>
      <c r="K100" s="39"/>
      <c r="L100" s="39"/>
      <c r="M100" s="39"/>
      <c r="N100" s="39"/>
      <c r="O100" s="38">
        <f>IFERROR(VLOOKUP("14_"&amp;A100,SyS!$B:$P,10,FALSE()),0)</f>
        <v>0</v>
      </c>
      <c r="P100" s="39">
        <f>IFERROR(VLOOKUP("14_"&amp;A100,SyS!$B:$P,12,FALSE()),0)</f>
        <v>0</v>
      </c>
      <c r="Q100" s="40">
        <f>+O100-P100</f>
        <v>0</v>
      </c>
      <c r="R100" s="38">
        <f>IFERROR(VLOOKUP("15_"&amp;A100,SyS!$B:$P,10,FALSE()),0)</f>
        <v>0</v>
      </c>
      <c r="S100" s="39">
        <f>IFERROR(VLOOKUP("15_"&amp;A100,SyS!$B:$P,12,FALSE()),0)</f>
        <v>0</v>
      </c>
      <c r="T100" s="40">
        <f>+R100-S100</f>
        <v>0</v>
      </c>
      <c r="U100" s="38">
        <f>IFERROR(VLOOKUP("16_"&amp;A100,SyS!$B:$P,10,FALSE()),0)</f>
        <v>0</v>
      </c>
      <c r="V100" s="39">
        <f>IFERROR(VLOOKUP("16_"&amp;A100,SyS!$B:$P,12,FALSE()),0)</f>
        <v>0</v>
      </c>
      <c r="W100" s="40">
        <f>+U100-V100</f>
        <v>0</v>
      </c>
      <c r="X100" s="38">
        <f>IFERROR(VLOOKUP("13_"&amp;A100,SyS!$B:$P,10,FALSE()),0)</f>
        <v>0</v>
      </c>
      <c r="Y100" s="39">
        <f>IFERROR(VLOOKUP("13_"&amp;A100,SyS!$B:$P,12,FALSE()),0)</f>
        <v>0</v>
      </c>
      <c r="Z100" s="40">
        <f>+X100-Y100</f>
        <v>0</v>
      </c>
      <c r="AA100" s="38">
        <f>IFERROR(VLOOKUP("17_"&amp;A100,SyS!$B:$P,10,FALSE()),0)</f>
        <v>0</v>
      </c>
      <c r="AB100" s="39">
        <f>IFERROR(VLOOKUP("17_"&amp;A100,SyS!$B:$P,12,FALSE()),0)</f>
        <v>0</v>
      </c>
      <c r="AC100" s="40">
        <f>+AA100-AB100</f>
        <v>0</v>
      </c>
      <c r="AD100" s="39"/>
      <c r="AE100" s="39"/>
      <c r="AF100" s="39"/>
      <c r="AG100" s="39">
        <f>IFERROR(VLOOKUP("19_"&amp;A100,SyS!$B:$P,10,FALSE()),0)</f>
        <v>0</v>
      </c>
      <c r="AH100" s="39">
        <f>IFERROR(VLOOKUP("19_"&amp;A100,SyS!$B:$P,12,FALSE()),0)</f>
        <v>0</v>
      </c>
      <c r="AI100" s="39">
        <f>+AG100-AH100</f>
        <v>0</v>
      </c>
      <c r="AJ100" s="39"/>
      <c r="AK100" s="39"/>
      <c r="AL100" s="39"/>
      <c r="AM100" s="39">
        <f>IFERROR(VLOOKUP("23_"&amp;A100,SyS!$B:$P,10,FALSE()),0)</f>
        <v>0</v>
      </c>
      <c r="AN100" s="39">
        <f>IFERROR(VLOOKUP("23_"&amp;A100,SyS!$B:$P,12,FALSE()),0)</f>
        <v>0</v>
      </c>
      <c r="AO100" s="40">
        <f>+AM100-AN100</f>
        <v>0</v>
      </c>
      <c r="AP100" s="39"/>
      <c r="AQ100" s="39"/>
      <c r="AR100" s="39"/>
      <c r="AS100" s="39"/>
      <c r="AT100" s="39"/>
      <c r="AU100" s="39"/>
      <c r="AV100" s="39"/>
      <c r="AW100" s="39"/>
      <c r="AX100" s="39"/>
      <c r="AY100" s="39"/>
      <c r="AZ100" s="39"/>
      <c r="BA100" s="39"/>
      <c r="BB100" s="39"/>
      <c r="BC100" s="39"/>
      <c r="BD100" s="39"/>
      <c r="BE100" s="39"/>
      <c r="BF100" s="39"/>
      <c r="BG100" s="39"/>
      <c r="BH100" s="39"/>
      <c r="BI100" s="39"/>
      <c r="BJ100" s="39"/>
      <c r="BK100" s="39">
        <f>IFERROR(VLOOKUP("29_"&amp;A100,SyS!$B:$P,10,FALSE()),0)</f>
        <v>0</v>
      </c>
      <c r="BL100" s="39">
        <f>IFERROR(VLOOKUP("29_"&amp;A100,SyS!$B:$P,12,FALSE()),0)</f>
        <v>0</v>
      </c>
      <c r="BM100" s="39">
        <f>+BK100-BL100</f>
        <v>0</v>
      </c>
      <c r="BN100" s="38">
        <f>IFERROR(VLOOKUP("30_"&amp;A100,SyS!$B:$P,10,FALSE()),0)</f>
        <v>0</v>
      </c>
      <c r="BO100" s="39">
        <f>IFERROR(VLOOKUP("30_"&amp;A100,SyS!$B:$P,12,FALSE()),0)</f>
        <v>0</v>
      </c>
      <c r="BP100" s="40">
        <f>+BN100-BO100</f>
        <v>0</v>
      </c>
      <c r="BQ100" s="45">
        <f>+E100+H100+K100+Q100+T100+W100+Z100+AC100+AF100+AI100+AL100+AO100+AR100+AU100+AX100+BA100+BD100+BG100+BJ100+BM100+BP100</f>
        <v>0</v>
      </c>
    </row>
    <row r="101" ht="11.25" customHeight="1" spans="1:69" x14ac:dyDescent="0.25">
      <c r="A101" s="44">
        <v>42480000</v>
      </c>
      <c r="B101" s="44" t="s">
        <v>332</v>
      </c>
      <c r="C101" s="38">
        <f>IFERROR(VLOOKUP("1_"&amp;A101,SyS!$B:$P,10,FALSE()),0)</f>
        <v>0</v>
      </c>
      <c r="D101" s="39">
        <f>IFERROR(VLOOKUP("1_"&amp;A101,SyS!$B:$P,12,FALSE()),0)</f>
        <v>0</v>
      </c>
      <c r="E101" s="39">
        <f>+C101-D101</f>
        <v>0</v>
      </c>
      <c r="F101" s="38">
        <f>IFERROR(VLOOKUP("2_"&amp;A101,SyS!$B:$P,10,FALSE()),0)</f>
        <v>0</v>
      </c>
      <c r="G101" s="39">
        <f>IFERROR(VLOOKUP("2_"&amp;A101,SyS!$B:$P,12,FALSE()),0)</f>
        <v>0</v>
      </c>
      <c r="H101" s="40">
        <f>+F101-G101</f>
        <v>0</v>
      </c>
      <c r="I101" s="39"/>
      <c r="J101" s="39"/>
      <c r="K101" s="39"/>
      <c r="L101" s="39"/>
      <c r="M101" s="39"/>
      <c r="N101" s="39"/>
      <c r="O101" s="38">
        <f>IFERROR(VLOOKUP("14_"&amp;A101,SyS!$B:$P,10,FALSE()),0)</f>
        <v>0</v>
      </c>
      <c r="P101" s="39">
        <f>IFERROR(VLOOKUP("14_"&amp;A101,SyS!$B:$P,12,FALSE()),0)</f>
        <v>0</v>
      </c>
      <c r="Q101" s="40">
        <f>+O101-P101</f>
        <v>0</v>
      </c>
      <c r="R101" s="38">
        <f>IFERROR(VLOOKUP("15_"&amp;A101,SyS!$B:$P,10,FALSE()),0)</f>
        <v>0</v>
      </c>
      <c r="S101" s="39">
        <f>IFERROR(VLOOKUP("15_"&amp;A101,SyS!$B:$P,12,FALSE()),0)</f>
        <v>0</v>
      </c>
      <c r="T101" s="40">
        <f>+R101-S101</f>
        <v>0</v>
      </c>
      <c r="U101" s="38">
        <f>IFERROR(VLOOKUP("16_"&amp;A101,SyS!$B:$P,10,FALSE()),0)</f>
        <v>0</v>
      </c>
      <c r="V101" s="39">
        <f>IFERROR(VLOOKUP("16_"&amp;A101,SyS!$B:$P,12,FALSE()),0)</f>
        <v>0</v>
      </c>
      <c r="W101" s="40">
        <f>+U101-V101</f>
        <v>0</v>
      </c>
      <c r="X101" s="38">
        <f>IFERROR(VLOOKUP("13_"&amp;A101,SyS!$B:$P,10,FALSE()),0)</f>
        <v>0</v>
      </c>
      <c r="Y101" s="39">
        <f>IFERROR(VLOOKUP("13_"&amp;A101,SyS!$B:$P,12,FALSE()),0)</f>
        <v>0</v>
      </c>
      <c r="Z101" s="40">
        <f>+X101-Y101</f>
        <v>0</v>
      </c>
      <c r="AA101" s="38">
        <f>IFERROR(VLOOKUP("17_"&amp;A101,SyS!$B:$P,10,FALSE()),0)</f>
        <v>0</v>
      </c>
      <c r="AB101" s="39">
        <f>IFERROR(VLOOKUP("17_"&amp;A101,SyS!$B:$P,12,FALSE()),0)</f>
        <v>0</v>
      </c>
      <c r="AC101" s="40">
        <f>+AA101-AB101</f>
        <v>0</v>
      </c>
      <c r="AD101" s="39"/>
      <c r="AE101" s="39"/>
      <c r="AF101" s="39"/>
      <c r="AG101" s="39">
        <f>IFERROR(VLOOKUP("19_"&amp;A101,SyS!$B:$P,10,FALSE()),0)</f>
        <v>0</v>
      </c>
      <c r="AH101" s="39">
        <f>IFERROR(VLOOKUP("19_"&amp;A101,SyS!$B:$P,12,FALSE()),0)</f>
        <v>0</v>
      </c>
      <c r="AI101" s="39">
        <f>+AG101-AH101</f>
        <v>0</v>
      </c>
      <c r="AJ101" s="39"/>
      <c r="AK101" s="39"/>
      <c r="AL101" s="39"/>
      <c r="AM101" s="39">
        <f>IFERROR(VLOOKUP("23_"&amp;A101,SyS!$B:$P,10,FALSE()),0)</f>
        <v>0</v>
      </c>
      <c r="AN101" s="39">
        <f>IFERROR(VLOOKUP("23_"&amp;A101,SyS!$B:$P,12,FALSE()),0)</f>
        <v>0</v>
      </c>
      <c r="AO101" s="40">
        <f>+AM101-AN101</f>
        <v>0</v>
      </c>
      <c r="AP101" s="39"/>
      <c r="AQ101" s="39"/>
      <c r="AR101" s="39"/>
      <c r="AS101" s="39"/>
      <c r="AT101" s="39"/>
      <c r="AU101" s="39"/>
      <c r="AV101" s="39"/>
      <c r="AW101" s="39"/>
      <c r="AX101" s="39"/>
      <c r="AY101" s="39"/>
      <c r="AZ101" s="39"/>
      <c r="BA101" s="39"/>
      <c r="BB101" s="39"/>
      <c r="BC101" s="39"/>
      <c r="BD101" s="39"/>
      <c r="BE101" s="39"/>
      <c r="BF101" s="39"/>
      <c r="BG101" s="39"/>
      <c r="BH101" s="39"/>
      <c r="BI101" s="39"/>
      <c r="BJ101" s="39"/>
      <c r="BK101" s="39">
        <f>IFERROR(VLOOKUP("29_"&amp;A101,SyS!$B:$P,10,FALSE()),0)</f>
        <v>0</v>
      </c>
      <c r="BL101" s="39">
        <f>IFERROR(VLOOKUP("29_"&amp;A101,SyS!$B:$P,12,FALSE()),0)</f>
        <v>0</v>
      </c>
      <c r="BM101" s="39">
        <f>+BK101-BL101</f>
        <v>0</v>
      </c>
      <c r="BN101" s="38">
        <f>IFERROR(VLOOKUP("30_"&amp;A101,SyS!$B:$P,10,FALSE()),0)</f>
        <v>0</v>
      </c>
      <c r="BO101" s="39">
        <f>IFERROR(VLOOKUP("30_"&amp;A101,SyS!$B:$P,12,FALSE()),0)</f>
        <v>0</v>
      </c>
      <c r="BP101" s="40">
        <f>+BN101-BO101</f>
        <v>0</v>
      </c>
      <c r="BQ101" s="45">
        <f>+E101+H101+K101+Q101+T101+W101+Z101+AC101+AF101+AI101+AL101+AO101+AR101+AU101+AX101+BA101+BD101+BG101+BJ101+BM101+BP101</f>
        <v>0</v>
      </c>
    </row>
    <row r="102" ht="11.25" customHeight="1" spans="1:69" x14ac:dyDescent="0.25">
      <c r="A102" s="44">
        <v>42488000</v>
      </c>
      <c r="B102" s="44" t="s">
        <v>333</v>
      </c>
      <c r="C102" s="38">
        <f>IFERROR(VLOOKUP("1_"&amp;A102,SyS!$B:$P,10,FALSE()),0)</f>
        <v>0</v>
      </c>
      <c r="D102" s="39">
        <f>IFERROR(VLOOKUP("1_"&amp;A102,SyS!$B:$P,12,FALSE()),0)</f>
        <v>0</v>
      </c>
      <c r="E102" s="39">
        <f>+C102-D102</f>
        <v>0</v>
      </c>
      <c r="F102" s="38">
        <f>IFERROR(VLOOKUP("2_"&amp;A102,SyS!$B:$P,10,FALSE()),0)</f>
        <v>0</v>
      </c>
      <c r="G102" s="39">
        <f>IFERROR(VLOOKUP("2_"&amp;A102,SyS!$B:$P,12,FALSE()),0)</f>
        <v>0</v>
      </c>
      <c r="H102" s="40">
        <f>+F102-G102</f>
        <v>0</v>
      </c>
      <c r="I102" s="39"/>
      <c r="J102" s="39"/>
      <c r="K102" s="39"/>
      <c r="L102" s="39"/>
      <c r="M102" s="39"/>
      <c r="N102" s="39"/>
      <c r="O102" s="38">
        <f>IFERROR(VLOOKUP("14_"&amp;A102,SyS!$B:$P,10,FALSE()),0)</f>
        <v>0</v>
      </c>
      <c r="P102" s="39">
        <f>IFERROR(VLOOKUP("14_"&amp;A102,SyS!$B:$P,12,FALSE()),0)</f>
        <v>0</v>
      </c>
      <c r="Q102" s="40">
        <f>+O102-P102</f>
        <v>0</v>
      </c>
      <c r="R102" s="38">
        <f>IFERROR(VLOOKUP("15_"&amp;A102,SyS!$B:$P,10,FALSE()),0)</f>
        <v>0</v>
      </c>
      <c r="S102" s="39">
        <f>IFERROR(VLOOKUP("15_"&amp;A102,SyS!$B:$P,12,FALSE()),0)</f>
        <v>0</v>
      </c>
      <c r="T102" s="40">
        <f>+R102-S102</f>
        <v>0</v>
      </c>
      <c r="U102" s="38">
        <f>IFERROR(VLOOKUP("16_"&amp;A102,SyS!$B:$P,10,FALSE()),0)</f>
        <v>0</v>
      </c>
      <c r="V102" s="39">
        <f>IFERROR(VLOOKUP("16_"&amp;A102,SyS!$B:$P,12,FALSE()),0)</f>
        <v>0</v>
      </c>
      <c r="W102" s="40">
        <f>+U102-V102</f>
        <v>0</v>
      </c>
      <c r="X102" s="38">
        <f>IFERROR(VLOOKUP("13_"&amp;A102,SyS!$B:$P,10,FALSE()),0)</f>
        <v>0</v>
      </c>
      <c r="Y102" s="39">
        <f>IFERROR(VLOOKUP("13_"&amp;A102,SyS!$B:$P,12,FALSE()),0)</f>
        <v>0</v>
      </c>
      <c r="Z102" s="40">
        <f>+X102-Y102</f>
        <v>0</v>
      </c>
      <c r="AA102" s="38">
        <f>IFERROR(VLOOKUP("17_"&amp;A102,SyS!$B:$P,10,FALSE()),0)</f>
        <v>0</v>
      </c>
      <c r="AB102" s="39">
        <f>IFERROR(VLOOKUP("17_"&amp;A102,SyS!$B:$P,12,FALSE()),0)</f>
        <v>0</v>
      </c>
      <c r="AC102" s="40">
        <f>+AA102-AB102</f>
        <v>0</v>
      </c>
      <c r="AD102" s="39"/>
      <c r="AE102" s="39"/>
      <c r="AF102" s="39"/>
      <c r="AG102" s="39">
        <f>IFERROR(VLOOKUP("19_"&amp;A102,SyS!$B:$P,10,FALSE()),0)</f>
        <v>0</v>
      </c>
      <c r="AH102" s="39">
        <f>IFERROR(VLOOKUP("19_"&amp;A102,SyS!$B:$P,12,FALSE()),0)</f>
        <v>0</v>
      </c>
      <c r="AI102" s="39">
        <f>+AG102-AH102</f>
        <v>0</v>
      </c>
      <c r="AJ102" s="39"/>
      <c r="AK102" s="39"/>
      <c r="AL102" s="39"/>
      <c r="AM102" s="39">
        <f>IFERROR(VLOOKUP("23_"&amp;A102,SyS!$B:$P,10,FALSE()),0)</f>
        <v>0</v>
      </c>
      <c r="AN102" s="39">
        <f>IFERROR(VLOOKUP("23_"&amp;A102,SyS!$B:$P,12,FALSE()),0)</f>
        <v>0</v>
      </c>
      <c r="AO102" s="40">
        <f>+AM102-AN102</f>
        <v>0</v>
      </c>
      <c r="AP102" s="39"/>
      <c r="AQ102" s="39"/>
      <c r="AR102" s="39"/>
      <c r="AS102" s="39"/>
      <c r="AT102" s="39"/>
      <c r="AU102" s="39"/>
      <c r="AV102" s="39"/>
      <c r="AW102" s="39"/>
      <c r="AX102" s="39"/>
      <c r="AY102" s="39"/>
      <c r="AZ102" s="39"/>
      <c r="BA102" s="39"/>
      <c r="BB102" s="39"/>
      <c r="BC102" s="39"/>
      <c r="BD102" s="39"/>
      <c r="BE102" s="39"/>
      <c r="BF102" s="39"/>
      <c r="BG102" s="39"/>
      <c r="BH102" s="39"/>
      <c r="BI102" s="39"/>
      <c r="BJ102" s="39"/>
      <c r="BK102" s="39">
        <f>IFERROR(VLOOKUP("29_"&amp;A102,SyS!$B:$P,10,FALSE()),0)</f>
        <v>0</v>
      </c>
      <c r="BL102" s="39">
        <f>IFERROR(VLOOKUP("29_"&amp;A102,SyS!$B:$P,12,FALSE()),0)</f>
        <v>0</v>
      </c>
      <c r="BM102" s="39">
        <f>+BK102-BL102</f>
        <v>0</v>
      </c>
      <c r="BN102" s="38">
        <f>IFERROR(VLOOKUP("30_"&amp;A102,SyS!$B:$P,10,FALSE()),0)</f>
        <v>0</v>
      </c>
      <c r="BO102" s="39">
        <f>IFERROR(VLOOKUP("30_"&amp;A102,SyS!$B:$P,12,FALSE()),0)</f>
        <v>0</v>
      </c>
      <c r="BP102" s="40">
        <f>+BN102-BO102</f>
        <v>0</v>
      </c>
      <c r="BQ102" s="45">
        <f>+E102+H102+K102+Q102+T102+W102+Z102+AC102+AF102+AI102+AL102+AO102+AR102+AU102+AX102+BA102+BD102+BG102+BJ102+BM102+BP102</f>
        <v>0</v>
      </c>
    </row>
    <row r="103" ht="11.25" customHeight="1" spans="1:69" x14ac:dyDescent="0.25">
      <c r="A103" s="44">
        <v>42489000</v>
      </c>
      <c r="B103" s="44" t="s">
        <v>334</v>
      </c>
      <c r="C103" s="38">
        <f>IFERROR(VLOOKUP("1_"&amp;A103,SyS!$B:$P,10,FALSE()),0)</f>
        <v>0</v>
      </c>
      <c r="D103" s="39">
        <f>IFERROR(VLOOKUP("1_"&amp;A103,SyS!$B:$P,12,FALSE()),0)</f>
        <v>0</v>
      </c>
      <c r="E103" s="39">
        <f>+C103-D103</f>
        <v>0</v>
      </c>
      <c r="F103" s="38">
        <f>IFERROR(VLOOKUP("2_"&amp;A103,SyS!$B:$P,10,FALSE()),0)</f>
        <v>0</v>
      </c>
      <c r="G103" s="39">
        <f>IFERROR(VLOOKUP("2_"&amp;A103,SyS!$B:$P,12,FALSE()),0)</f>
        <v>0</v>
      </c>
      <c r="H103" s="40">
        <f>+F103-G103</f>
        <v>0</v>
      </c>
      <c r="I103" s="39"/>
      <c r="J103" s="39"/>
      <c r="K103" s="39"/>
      <c r="L103" s="39"/>
      <c r="M103" s="39"/>
      <c r="N103" s="39"/>
      <c r="O103" s="38">
        <f>IFERROR(VLOOKUP("14_"&amp;A103,SyS!$B:$P,10,FALSE()),0)</f>
        <v>0</v>
      </c>
      <c r="P103" s="39">
        <f>IFERROR(VLOOKUP("14_"&amp;A103,SyS!$B:$P,12,FALSE()),0)</f>
        <v>0</v>
      </c>
      <c r="Q103" s="40">
        <f>+O103-P103</f>
        <v>0</v>
      </c>
      <c r="R103" s="38">
        <f>IFERROR(VLOOKUP("15_"&amp;A103,SyS!$B:$P,10,FALSE()),0)</f>
        <v>0</v>
      </c>
      <c r="S103" s="39">
        <f>IFERROR(VLOOKUP("15_"&amp;A103,SyS!$B:$P,12,FALSE()),0)</f>
        <v>0</v>
      </c>
      <c r="T103" s="40">
        <f>+R103-S103</f>
        <v>0</v>
      </c>
      <c r="U103" s="38">
        <f>IFERROR(VLOOKUP("16_"&amp;A103,SyS!$B:$P,10,FALSE()),0)</f>
        <v>0</v>
      </c>
      <c r="V103" s="39">
        <f>IFERROR(VLOOKUP("16_"&amp;A103,SyS!$B:$P,12,FALSE()),0)</f>
        <v>0</v>
      </c>
      <c r="W103" s="40">
        <f>+U103-V103</f>
        <v>0</v>
      </c>
      <c r="X103" s="38">
        <f>IFERROR(VLOOKUP("13_"&amp;A103,SyS!$B:$P,10,FALSE()),0)</f>
        <v>0</v>
      </c>
      <c r="Y103" s="39">
        <f>IFERROR(VLOOKUP("13_"&amp;A103,SyS!$B:$P,12,FALSE()),0)</f>
        <v>0</v>
      </c>
      <c r="Z103" s="40">
        <f>+X103-Y103</f>
        <v>0</v>
      </c>
      <c r="AA103" s="38">
        <f>IFERROR(VLOOKUP("17_"&amp;A103,SyS!$B:$P,10,FALSE()),0)</f>
        <v>0</v>
      </c>
      <c r="AB103" s="39">
        <f>IFERROR(VLOOKUP("17_"&amp;A103,SyS!$B:$P,12,FALSE()),0)</f>
        <v>0</v>
      </c>
      <c r="AC103" s="40">
        <f>+AA103-AB103</f>
        <v>0</v>
      </c>
      <c r="AD103" s="39"/>
      <c r="AE103" s="39"/>
      <c r="AF103" s="39"/>
      <c r="AG103" s="39">
        <f>IFERROR(VLOOKUP("19_"&amp;A103,SyS!$B:$P,10,FALSE()),0)</f>
        <v>0</v>
      </c>
      <c r="AH103" s="39">
        <f>IFERROR(VLOOKUP("19_"&amp;A103,SyS!$B:$P,12,FALSE()),0)</f>
        <v>0</v>
      </c>
      <c r="AI103" s="39">
        <f>+AG103-AH103</f>
        <v>0</v>
      </c>
      <c r="AJ103" s="39"/>
      <c r="AK103" s="39"/>
      <c r="AL103" s="39"/>
      <c r="AM103" s="39">
        <f>IFERROR(VLOOKUP("23_"&amp;A103,SyS!$B:$P,10,FALSE()),0)</f>
        <v>0</v>
      </c>
      <c r="AN103" s="39">
        <f>IFERROR(VLOOKUP("23_"&amp;A103,SyS!$B:$P,12,FALSE()),0)</f>
        <v>0</v>
      </c>
      <c r="AO103" s="40">
        <f>+AM103-AN103</f>
        <v>0</v>
      </c>
      <c r="AP103" s="39"/>
      <c r="AQ103" s="39"/>
      <c r="AR103" s="39"/>
      <c r="AS103" s="39"/>
      <c r="AT103" s="39"/>
      <c r="AU103" s="39"/>
      <c r="AV103" s="39"/>
      <c r="AW103" s="39"/>
      <c r="AX103" s="39"/>
      <c r="AY103" s="39"/>
      <c r="AZ103" s="39"/>
      <c r="BA103" s="39"/>
      <c r="BB103" s="39"/>
      <c r="BC103" s="39"/>
      <c r="BD103" s="39"/>
      <c r="BE103" s="39"/>
      <c r="BF103" s="39"/>
      <c r="BG103" s="39"/>
      <c r="BH103" s="39"/>
      <c r="BI103" s="39"/>
      <c r="BJ103" s="39"/>
      <c r="BK103" s="39">
        <f>IFERROR(VLOOKUP("29_"&amp;A103,SyS!$B:$P,10,FALSE()),0)</f>
        <v>0</v>
      </c>
      <c r="BL103" s="39">
        <f>IFERROR(VLOOKUP("29_"&amp;A103,SyS!$B:$P,12,FALSE()),0)</f>
        <v>0</v>
      </c>
      <c r="BM103" s="39">
        <f>+BK103-BL103</f>
        <v>0</v>
      </c>
      <c r="BN103" s="38">
        <f>IFERROR(VLOOKUP("30_"&amp;A103,SyS!$B:$P,10,FALSE()),0)</f>
        <v>0</v>
      </c>
      <c r="BO103" s="39">
        <f>IFERROR(VLOOKUP("30_"&amp;A103,SyS!$B:$P,12,FALSE()),0)</f>
        <v>0</v>
      </c>
      <c r="BP103" s="40">
        <f>+BN103-BO103</f>
        <v>0</v>
      </c>
      <c r="BQ103" s="45">
        <f>+E103+H103+K103+Q103+T103+W103+Z103+AC103+AF103+AI103+AL103+AO103+AR103+AU103+AX103+BA103+BD103+BG103+BJ103+BM103+BP103</f>
        <v>0</v>
      </c>
    </row>
    <row r="104" ht="11.25" customHeight="1" spans="1:69" x14ac:dyDescent="0.25">
      <c r="A104" s="44">
        <v>42490000</v>
      </c>
      <c r="B104" s="44" t="s">
        <v>335</v>
      </c>
      <c r="C104" s="38">
        <f>IFERROR(VLOOKUP("1_"&amp;A104,SyS!$B:$P,10,FALSE()),0)</f>
        <v>0</v>
      </c>
      <c r="D104" s="39">
        <f>IFERROR(VLOOKUP("1_"&amp;A104,SyS!$B:$P,12,FALSE()),0)</f>
        <v>0</v>
      </c>
      <c r="E104" s="39">
        <f>+C104-D104</f>
        <v>0</v>
      </c>
      <c r="F104" s="38">
        <f>IFERROR(VLOOKUP("2_"&amp;A104,SyS!$B:$P,10,FALSE()),0)</f>
        <v>0</v>
      </c>
      <c r="G104" s="39">
        <f>IFERROR(VLOOKUP("2_"&amp;A104,SyS!$B:$P,12,FALSE()),0)</f>
        <v>0</v>
      </c>
      <c r="H104" s="40">
        <f>+F104-G104</f>
        <v>0</v>
      </c>
      <c r="I104" s="39"/>
      <c r="J104" s="39"/>
      <c r="K104" s="39"/>
      <c r="L104" s="39"/>
      <c r="M104" s="39"/>
      <c r="N104" s="39"/>
      <c r="O104" s="38">
        <f>IFERROR(VLOOKUP("14_"&amp;A104,SyS!$B:$P,10,FALSE()),0)</f>
        <v>0</v>
      </c>
      <c r="P104" s="39">
        <f>IFERROR(VLOOKUP("14_"&amp;A104,SyS!$B:$P,12,FALSE()),0)</f>
        <v>0</v>
      </c>
      <c r="Q104" s="40">
        <f>+O104-P104</f>
        <v>0</v>
      </c>
      <c r="R104" s="38">
        <f>IFERROR(VLOOKUP("15_"&amp;A104,SyS!$B:$P,10,FALSE()),0)</f>
        <v>0</v>
      </c>
      <c r="S104" s="39">
        <f>IFERROR(VLOOKUP("15_"&amp;A104,SyS!$B:$P,12,FALSE()),0)</f>
        <v>0</v>
      </c>
      <c r="T104" s="40">
        <f>+R104-S104</f>
        <v>0</v>
      </c>
      <c r="U104" s="38">
        <f>IFERROR(VLOOKUP("16_"&amp;A104,SyS!$B:$P,10,FALSE()),0)</f>
        <v>0</v>
      </c>
      <c r="V104" s="39">
        <f>IFERROR(VLOOKUP("16_"&amp;A104,SyS!$B:$P,12,FALSE()),0)</f>
        <v>0</v>
      </c>
      <c r="W104" s="40">
        <f>+U104-V104</f>
        <v>0</v>
      </c>
      <c r="X104" s="38">
        <f>IFERROR(VLOOKUP("13_"&amp;A104,SyS!$B:$P,10,FALSE()),0)</f>
        <v>0</v>
      </c>
      <c r="Y104" s="39">
        <f>IFERROR(VLOOKUP("13_"&amp;A104,SyS!$B:$P,12,FALSE()),0)</f>
        <v>0</v>
      </c>
      <c r="Z104" s="40">
        <f>+X104-Y104</f>
        <v>0</v>
      </c>
      <c r="AA104" s="38">
        <f>IFERROR(VLOOKUP("17_"&amp;A104,SyS!$B:$P,10,FALSE()),0)</f>
        <v>0</v>
      </c>
      <c r="AB104" s="39">
        <f>IFERROR(VLOOKUP("17_"&amp;A104,SyS!$B:$P,12,FALSE()),0)</f>
        <v>0</v>
      </c>
      <c r="AC104" s="40">
        <f>+AA104-AB104</f>
        <v>0</v>
      </c>
      <c r="AD104" s="39"/>
      <c r="AE104" s="39"/>
      <c r="AF104" s="39"/>
      <c r="AG104" s="39">
        <f>IFERROR(VLOOKUP("19_"&amp;A104,SyS!$B:$P,10,FALSE()),0)</f>
        <v>0</v>
      </c>
      <c r="AH104" s="39">
        <f>IFERROR(VLOOKUP("19_"&amp;A104,SyS!$B:$P,12,FALSE()),0)</f>
        <v>0</v>
      </c>
      <c r="AI104" s="39">
        <f>+AG104-AH104</f>
        <v>0</v>
      </c>
      <c r="AJ104" s="39"/>
      <c r="AK104" s="39"/>
      <c r="AL104" s="39"/>
      <c r="AM104" s="39">
        <f>IFERROR(VLOOKUP("23_"&amp;A104,SyS!$B:$P,10,FALSE()),0)</f>
        <v>0</v>
      </c>
      <c r="AN104" s="39">
        <f>IFERROR(VLOOKUP("23_"&amp;A104,SyS!$B:$P,12,FALSE()),0)</f>
        <v>0</v>
      </c>
      <c r="AO104" s="40">
        <f>+AM104-AN104</f>
        <v>0</v>
      </c>
      <c r="AP104" s="39"/>
      <c r="AQ104" s="39"/>
      <c r="AR104" s="39"/>
      <c r="AS104" s="39"/>
      <c r="AT104" s="39"/>
      <c r="AU104" s="39"/>
      <c r="AV104" s="39"/>
      <c r="AW104" s="39"/>
      <c r="AX104" s="39"/>
      <c r="AY104" s="39"/>
      <c r="AZ104" s="39"/>
      <c r="BA104" s="39"/>
      <c r="BB104" s="39"/>
      <c r="BC104" s="39"/>
      <c r="BD104" s="39"/>
      <c r="BE104" s="39"/>
      <c r="BF104" s="39"/>
      <c r="BG104" s="39"/>
      <c r="BH104" s="39"/>
      <c r="BI104" s="39"/>
      <c r="BJ104" s="39"/>
      <c r="BK104" s="39">
        <f>IFERROR(VLOOKUP("29_"&amp;A104,SyS!$B:$P,10,FALSE()),0)</f>
        <v>0</v>
      </c>
      <c r="BL104" s="39">
        <f>IFERROR(VLOOKUP("29_"&amp;A104,SyS!$B:$P,12,FALSE()),0)</f>
        <v>0</v>
      </c>
      <c r="BM104" s="39">
        <f>+BK104-BL104</f>
        <v>0</v>
      </c>
      <c r="BN104" s="38">
        <f>IFERROR(VLOOKUP("30_"&amp;A104,SyS!$B:$P,10,FALSE()),0)</f>
        <v>0</v>
      </c>
      <c r="BO104" s="39">
        <f>IFERROR(VLOOKUP("30_"&amp;A104,SyS!$B:$P,12,FALSE()),0)</f>
        <v>0</v>
      </c>
      <c r="BP104" s="40">
        <f>+BN104-BO104</f>
        <v>0</v>
      </c>
      <c r="BQ104" s="45">
        <f>+E104+H104+K104+Q104+T104+W104+Z104+AC104+AF104+AI104+AL104+AO104+AR104+AU104+AX104+BA104+BD104+BG104+BJ104+BM104+BP104</f>
        <v>0</v>
      </c>
    </row>
    <row r="105" ht="11.25" customHeight="1" spans="1:69" x14ac:dyDescent="0.25">
      <c r="A105" s="44">
        <v>42491000</v>
      </c>
      <c r="B105" s="44" t="s">
        <v>336</v>
      </c>
      <c r="C105" s="38">
        <f>IFERROR(VLOOKUP("1_"&amp;A105,SyS!$B:$P,10,FALSE()),0)</f>
        <v>0</v>
      </c>
      <c r="D105" s="39">
        <f>IFERROR(VLOOKUP("1_"&amp;A105,SyS!$B:$P,12,FALSE()),0)</f>
        <v>0</v>
      </c>
      <c r="E105" s="39">
        <f>+C105-D105</f>
        <v>0</v>
      </c>
      <c r="F105" s="38">
        <f>IFERROR(VLOOKUP("2_"&amp;A105,SyS!$B:$P,10,FALSE()),0)</f>
        <v>0</v>
      </c>
      <c r="G105" s="39">
        <f>IFERROR(VLOOKUP("2_"&amp;A105,SyS!$B:$P,12,FALSE()),0)</f>
        <v>0</v>
      </c>
      <c r="H105" s="40">
        <f>+F105-G105</f>
        <v>0</v>
      </c>
      <c r="I105" s="39"/>
      <c r="J105" s="39"/>
      <c r="K105" s="39"/>
      <c r="L105" s="39"/>
      <c r="M105" s="39"/>
      <c r="N105" s="39"/>
      <c r="O105" s="38">
        <f>IFERROR(VLOOKUP("14_"&amp;A105,SyS!$B:$P,10,FALSE()),0)</f>
        <v>0</v>
      </c>
      <c r="P105" s="39">
        <f>IFERROR(VLOOKUP("14_"&amp;A105,SyS!$B:$P,12,FALSE()),0)</f>
        <v>0</v>
      </c>
      <c r="Q105" s="40">
        <f>+O105-P105</f>
        <v>0</v>
      </c>
      <c r="R105" s="38">
        <f>IFERROR(VLOOKUP("15_"&amp;A105,SyS!$B:$P,10,FALSE()),0)</f>
        <v>0</v>
      </c>
      <c r="S105" s="39">
        <f>IFERROR(VLOOKUP("15_"&amp;A105,SyS!$B:$P,12,FALSE()),0)</f>
        <v>0</v>
      </c>
      <c r="T105" s="40">
        <f>+R105-S105</f>
        <v>0</v>
      </c>
      <c r="U105" s="38">
        <f>IFERROR(VLOOKUP("16_"&amp;A105,SyS!$B:$P,10,FALSE()),0)</f>
        <v>0</v>
      </c>
      <c r="V105" s="39">
        <f>IFERROR(VLOOKUP("16_"&amp;A105,SyS!$B:$P,12,FALSE()),0)</f>
        <v>0</v>
      </c>
      <c r="W105" s="40">
        <f>+U105-V105</f>
        <v>0</v>
      </c>
      <c r="X105" s="38">
        <f>IFERROR(VLOOKUP("13_"&amp;A105,SyS!$B:$P,10,FALSE()),0)</f>
        <v>0</v>
      </c>
      <c r="Y105" s="39">
        <f>IFERROR(VLOOKUP("13_"&amp;A105,SyS!$B:$P,12,FALSE()),0)</f>
        <v>0</v>
      </c>
      <c r="Z105" s="40">
        <f>+X105-Y105</f>
        <v>0</v>
      </c>
      <c r="AA105" s="38">
        <f>IFERROR(VLOOKUP("17_"&amp;A105,SyS!$B:$P,10,FALSE()),0)</f>
        <v>0</v>
      </c>
      <c r="AB105" s="39">
        <f>IFERROR(VLOOKUP("17_"&amp;A105,SyS!$B:$P,12,FALSE()),0)</f>
        <v>0</v>
      </c>
      <c r="AC105" s="40">
        <f>+AA105-AB105</f>
        <v>0</v>
      </c>
      <c r="AD105" s="39"/>
      <c r="AE105" s="39"/>
      <c r="AF105" s="39"/>
      <c r="AG105" s="39">
        <f>IFERROR(VLOOKUP("19_"&amp;A105,SyS!$B:$P,10,FALSE()),0)</f>
        <v>0</v>
      </c>
      <c r="AH105" s="39">
        <f>IFERROR(VLOOKUP("19_"&amp;A105,SyS!$B:$P,12,FALSE()),0)</f>
        <v>0</v>
      </c>
      <c r="AI105" s="39">
        <f>+AG105-AH105</f>
        <v>0</v>
      </c>
      <c r="AJ105" s="39"/>
      <c r="AK105" s="39"/>
      <c r="AL105" s="39"/>
      <c r="AM105" s="39">
        <f>IFERROR(VLOOKUP("23_"&amp;A105,SyS!$B:$P,10,FALSE()),0)</f>
        <v>0</v>
      </c>
      <c r="AN105" s="39">
        <f>IFERROR(VLOOKUP("23_"&amp;A105,SyS!$B:$P,12,FALSE()),0)</f>
        <v>0</v>
      </c>
      <c r="AO105" s="40">
        <f>+AM105-AN105</f>
        <v>0</v>
      </c>
      <c r="AP105" s="39"/>
      <c r="AQ105" s="39"/>
      <c r="AR105" s="39"/>
      <c r="AS105" s="39"/>
      <c r="AT105" s="39"/>
      <c r="AU105" s="39"/>
      <c r="AV105" s="39"/>
      <c r="AW105" s="39"/>
      <c r="AX105" s="39"/>
      <c r="AY105" s="39"/>
      <c r="AZ105" s="39"/>
      <c r="BA105" s="39"/>
      <c r="BB105" s="39"/>
      <c r="BC105" s="39"/>
      <c r="BD105" s="39"/>
      <c r="BE105" s="39"/>
      <c r="BF105" s="39"/>
      <c r="BG105" s="39"/>
      <c r="BH105" s="39"/>
      <c r="BI105" s="39"/>
      <c r="BJ105" s="39"/>
      <c r="BK105" s="39">
        <f>IFERROR(VLOOKUP("29_"&amp;A105,SyS!$B:$P,10,FALSE()),0)</f>
        <v>0</v>
      </c>
      <c r="BL105" s="39">
        <f>IFERROR(VLOOKUP("29_"&amp;A105,SyS!$B:$P,12,FALSE()),0)</f>
        <v>0</v>
      </c>
      <c r="BM105" s="39">
        <f>+BK105-BL105</f>
        <v>0</v>
      </c>
      <c r="BN105" s="38">
        <f>IFERROR(VLOOKUP("30_"&amp;A105,SyS!$B:$P,10,FALSE()),0)</f>
        <v>0</v>
      </c>
      <c r="BO105" s="39">
        <f>IFERROR(VLOOKUP("30_"&amp;A105,SyS!$B:$P,12,FALSE()),0)</f>
        <v>0</v>
      </c>
      <c r="BP105" s="40">
        <f>+BN105-BO105</f>
        <v>0</v>
      </c>
      <c r="BQ105" s="45">
        <f>+E105+H105+K105+Q105+T105+W105+Z105+AC105+AF105+AI105+AL105+AO105+AR105+AU105+AX105+BA105+BD105+BG105+BJ105+BM105+BP105</f>
        <v>0</v>
      </c>
    </row>
    <row r="106" ht="11.25" customHeight="1" spans="1:69" x14ac:dyDescent="0.25">
      <c r="A106" s="44">
        <v>42492000</v>
      </c>
      <c r="B106" s="44" t="s">
        <v>337</v>
      </c>
      <c r="C106" s="38">
        <f>IFERROR(VLOOKUP("1_"&amp;A106,SyS!$B:$P,10,FALSE()),0)</f>
        <v>0</v>
      </c>
      <c r="D106" s="39">
        <f>IFERROR(VLOOKUP("1_"&amp;A106,SyS!$B:$P,12,FALSE()),0)</f>
        <v>0</v>
      </c>
      <c r="E106" s="39">
        <f>+C106-D106</f>
        <v>0</v>
      </c>
      <c r="F106" s="38">
        <f>IFERROR(VLOOKUP("2_"&amp;A106,SyS!$B:$P,10,FALSE()),0)</f>
        <v>0</v>
      </c>
      <c r="G106" s="39">
        <f>IFERROR(VLOOKUP("2_"&amp;A106,SyS!$B:$P,12,FALSE()),0)</f>
        <v>0</v>
      </c>
      <c r="H106" s="40">
        <f>+F106-G106</f>
        <v>0</v>
      </c>
      <c r="I106" s="39"/>
      <c r="J106" s="39"/>
      <c r="K106" s="39"/>
      <c r="L106" s="39"/>
      <c r="M106" s="39"/>
      <c r="N106" s="39"/>
      <c r="O106" s="38">
        <f>IFERROR(VLOOKUP("14_"&amp;A106,SyS!$B:$P,10,FALSE()),0)</f>
        <v>0</v>
      </c>
      <c r="P106" s="39">
        <f>IFERROR(VLOOKUP("14_"&amp;A106,SyS!$B:$P,12,FALSE()),0)</f>
        <v>0</v>
      </c>
      <c r="Q106" s="40">
        <f>+O106-P106</f>
        <v>0</v>
      </c>
      <c r="R106" s="38">
        <f>IFERROR(VLOOKUP("15_"&amp;A106,SyS!$B:$P,10,FALSE()),0)</f>
        <v>0</v>
      </c>
      <c r="S106" s="39">
        <f>IFERROR(VLOOKUP("15_"&amp;A106,SyS!$B:$P,12,FALSE()),0)</f>
        <v>0</v>
      </c>
      <c r="T106" s="40">
        <f>+R106-S106</f>
        <v>0</v>
      </c>
      <c r="U106" s="38">
        <f>IFERROR(VLOOKUP("16_"&amp;A106,SyS!$B:$P,10,FALSE()),0)</f>
        <v>0</v>
      </c>
      <c r="V106" s="39">
        <f>IFERROR(VLOOKUP("16_"&amp;A106,SyS!$B:$P,12,FALSE()),0)</f>
        <v>0</v>
      </c>
      <c r="W106" s="40">
        <f>+U106-V106</f>
        <v>0</v>
      </c>
      <c r="X106" s="38">
        <f>IFERROR(VLOOKUP("13_"&amp;A106,SyS!$B:$P,10,FALSE()),0)</f>
        <v>0</v>
      </c>
      <c r="Y106" s="39">
        <f>IFERROR(VLOOKUP("13_"&amp;A106,SyS!$B:$P,12,FALSE()),0)</f>
        <v>0</v>
      </c>
      <c r="Z106" s="40">
        <f>+X106-Y106</f>
        <v>0</v>
      </c>
      <c r="AA106" s="38">
        <f>IFERROR(VLOOKUP("17_"&amp;A106,SyS!$B:$P,10,FALSE()),0)</f>
        <v>0</v>
      </c>
      <c r="AB106" s="39">
        <f>IFERROR(VLOOKUP("17_"&amp;A106,SyS!$B:$P,12,FALSE()),0)</f>
        <v>0</v>
      </c>
      <c r="AC106" s="40">
        <f>+AA106-AB106</f>
        <v>0</v>
      </c>
      <c r="AD106" s="39"/>
      <c r="AE106" s="39"/>
      <c r="AF106" s="39"/>
      <c r="AG106" s="39">
        <f>IFERROR(VLOOKUP("19_"&amp;A106,SyS!$B:$P,10,FALSE()),0)</f>
        <v>0</v>
      </c>
      <c r="AH106" s="39">
        <f>IFERROR(VLOOKUP("19_"&amp;A106,SyS!$B:$P,12,FALSE()),0)</f>
        <v>0</v>
      </c>
      <c r="AI106" s="39">
        <f>+AG106-AH106</f>
        <v>0</v>
      </c>
      <c r="AJ106" s="39"/>
      <c r="AK106" s="39"/>
      <c r="AL106" s="39"/>
      <c r="AM106" s="39">
        <f>IFERROR(VLOOKUP("23_"&amp;A106,SyS!$B:$P,10,FALSE()),0)</f>
        <v>0</v>
      </c>
      <c r="AN106" s="39">
        <f>IFERROR(VLOOKUP("23_"&amp;A106,SyS!$B:$P,12,FALSE()),0)</f>
        <v>0</v>
      </c>
      <c r="AO106" s="40">
        <f>+AM106-AN106</f>
        <v>0</v>
      </c>
      <c r="AP106" s="39"/>
      <c r="AQ106" s="39"/>
      <c r="AR106" s="39"/>
      <c r="AS106" s="39"/>
      <c r="AT106" s="39"/>
      <c r="AU106" s="39"/>
      <c r="AV106" s="39"/>
      <c r="AW106" s="39"/>
      <c r="AX106" s="39"/>
      <c r="AY106" s="39"/>
      <c r="AZ106" s="39"/>
      <c r="BA106" s="39"/>
      <c r="BB106" s="39"/>
      <c r="BC106" s="39"/>
      <c r="BD106" s="39"/>
      <c r="BE106" s="39"/>
      <c r="BF106" s="39"/>
      <c r="BG106" s="39"/>
      <c r="BH106" s="39"/>
      <c r="BI106" s="39"/>
      <c r="BJ106" s="39"/>
      <c r="BK106" s="39">
        <f>IFERROR(VLOOKUP("29_"&amp;A106,SyS!$B:$P,10,FALSE()),0)</f>
        <v>0</v>
      </c>
      <c r="BL106" s="39">
        <f>IFERROR(VLOOKUP("29_"&amp;A106,SyS!$B:$P,12,FALSE()),0)</f>
        <v>0</v>
      </c>
      <c r="BM106" s="39">
        <f>+BK106-BL106</f>
        <v>0</v>
      </c>
      <c r="BN106" s="38">
        <f>IFERROR(VLOOKUP("30_"&amp;A106,SyS!$B:$P,10,FALSE()),0)</f>
        <v>0</v>
      </c>
      <c r="BO106" s="39">
        <f>IFERROR(VLOOKUP("30_"&amp;A106,SyS!$B:$P,12,FALSE()),0)</f>
        <v>0</v>
      </c>
      <c r="BP106" s="40">
        <f>+BN106-BO106</f>
        <v>0</v>
      </c>
      <c r="BQ106" s="45">
        <f>+E106+H106+K106+Q106+T106+W106+Z106+AC106+AF106+AI106+AL106+AO106+AR106+AU106+AX106+BA106+BD106+BG106+BJ106+BM106+BP106</f>
        <v>0</v>
      </c>
    </row>
    <row r="107" ht="11.25" customHeight="1" spans="1:69" x14ac:dyDescent="0.25">
      <c r="A107" s="44">
        <v>42493000</v>
      </c>
      <c r="B107" s="44" t="s">
        <v>338</v>
      </c>
      <c r="C107" s="38">
        <f>IFERROR(VLOOKUP("1_"&amp;A107,SyS!$B:$P,10,FALSE()),0)</f>
        <v>0</v>
      </c>
      <c r="D107" s="39">
        <f>IFERROR(VLOOKUP("1_"&amp;A107,SyS!$B:$P,12,FALSE()),0)</f>
        <v>0</v>
      </c>
      <c r="E107" s="39">
        <f>+C107-D107</f>
        <v>0</v>
      </c>
      <c r="F107" s="38">
        <f>IFERROR(VLOOKUP("2_"&amp;A107,SyS!$B:$P,10,FALSE()),0)</f>
        <v>0</v>
      </c>
      <c r="G107" s="39">
        <f>IFERROR(VLOOKUP("2_"&amp;A107,SyS!$B:$P,12,FALSE()),0)</f>
        <v>0</v>
      </c>
      <c r="H107" s="40">
        <f>+F107-G107</f>
        <v>0</v>
      </c>
      <c r="I107" s="39"/>
      <c r="J107" s="39"/>
      <c r="K107" s="39"/>
      <c r="L107" s="39"/>
      <c r="M107" s="39"/>
      <c r="N107" s="39"/>
      <c r="O107" s="38">
        <f>IFERROR(VLOOKUP("14_"&amp;A107,SyS!$B:$P,10,FALSE()),0)</f>
        <v>0</v>
      </c>
      <c r="P107" s="39">
        <f>IFERROR(VLOOKUP("14_"&amp;A107,SyS!$B:$P,12,FALSE()),0)</f>
        <v>0</v>
      </c>
      <c r="Q107" s="40">
        <f>+O107-P107</f>
        <v>0</v>
      </c>
      <c r="R107" s="38">
        <f>IFERROR(VLOOKUP("15_"&amp;A107,SyS!$B:$P,10,FALSE()),0)</f>
        <v>0</v>
      </c>
      <c r="S107" s="39">
        <f>IFERROR(VLOOKUP("15_"&amp;A107,SyS!$B:$P,12,FALSE()),0)</f>
        <v>0</v>
      </c>
      <c r="T107" s="40">
        <f>+R107-S107</f>
        <v>0</v>
      </c>
      <c r="U107" s="38">
        <f>IFERROR(VLOOKUP("16_"&amp;A107,SyS!$B:$P,10,FALSE()),0)</f>
        <v>0</v>
      </c>
      <c r="V107" s="39">
        <f>IFERROR(VLOOKUP("16_"&amp;A107,SyS!$B:$P,12,FALSE()),0)</f>
        <v>0</v>
      </c>
      <c r="W107" s="40">
        <f>+U107-V107</f>
        <v>0</v>
      </c>
      <c r="X107" s="38">
        <f>IFERROR(VLOOKUP("13_"&amp;A107,SyS!$B:$P,10,FALSE()),0)</f>
        <v>0</v>
      </c>
      <c r="Y107" s="39">
        <f>IFERROR(VLOOKUP("13_"&amp;A107,SyS!$B:$P,12,FALSE()),0)</f>
        <v>0</v>
      </c>
      <c r="Z107" s="40">
        <f>+X107-Y107</f>
        <v>0</v>
      </c>
      <c r="AA107" s="38">
        <f>IFERROR(VLOOKUP("17_"&amp;A107,SyS!$B:$P,10,FALSE()),0)</f>
        <v>0</v>
      </c>
      <c r="AB107" s="39">
        <f>IFERROR(VLOOKUP("17_"&amp;A107,SyS!$B:$P,12,FALSE()),0)</f>
        <v>0</v>
      </c>
      <c r="AC107" s="40">
        <f>+AA107-AB107</f>
        <v>0</v>
      </c>
      <c r="AD107" s="39"/>
      <c r="AE107" s="39"/>
      <c r="AF107" s="39"/>
      <c r="AG107" s="39">
        <f>IFERROR(VLOOKUP("19_"&amp;A107,SyS!$B:$P,10,FALSE()),0)</f>
        <v>0</v>
      </c>
      <c r="AH107" s="39">
        <f>IFERROR(VLOOKUP("19_"&amp;A107,SyS!$B:$P,12,FALSE()),0)</f>
        <v>0</v>
      </c>
      <c r="AI107" s="39">
        <f>+AG107-AH107</f>
        <v>0</v>
      </c>
      <c r="AJ107" s="39"/>
      <c r="AK107" s="39"/>
      <c r="AL107" s="39"/>
      <c r="AM107" s="39">
        <f>IFERROR(VLOOKUP("23_"&amp;A107,SyS!$B:$P,10,FALSE()),0)</f>
        <v>0</v>
      </c>
      <c r="AN107" s="39">
        <f>IFERROR(VLOOKUP("23_"&amp;A107,SyS!$B:$P,12,FALSE()),0)</f>
        <v>0</v>
      </c>
      <c r="AO107" s="40">
        <f>+AM107-AN107</f>
        <v>0</v>
      </c>
      <c r="AP107" s="39"/>
      <c r="AQ107" s="39"/>
      <c r="AR107" s="39"/>
      <c r="AS107" s="39"/>
      <c r="AT107" s="39"/>
      <c r="AU107" s="39"/>
      <c r="AV107" s="39"/>
      <c r="AW107" s="39"/>
      <c r="AX107" s="39"/>
      <c r="AY107" s="39"/>
      <c r="AZ107" s="39"/>
      <c r="BA107" s="39"/>
      <c r="BB107" s="39"/>
      <c r="BC107" s="39"/>
      <c r="BD107" s="39"/>
      <c r="BE107" s="39"/>
      <c r="BF107" s="39"/>
      <c r="BG107" s="39"/>
      <c r="BH107" s="39"/>
      <c r="BI107" s="39"/>
      <c r="BJ107" s="39"/>
      <c r="BK107" s="39">
        <f>IFERROR(VLOOKUP("29_"&amp;A107,SyS!$B:$P,10,FALSE()),0)</f>
        <v>0</v>
      </c>
      <c r="BL107" s="39">
        <f>IFERROR(VLOOKUP("29_"&amp;A107,SyS!$B:$P,12,FALSE()),0)</f>
        <v>0</v>
      </c>
      <c r="BM107" s="39">
        <f>+BK107-BL107</f>
        <v>0</v>
      </c>
      <c r="BN107" s="38">
        <f>IFERROR(VLOOKUP("30_"&amp;A107,SyS!$B:$P,10,FALSE()),0)</f>
        <v>0</v>
      </c>
      <c r="BO107" s="39">
        <f>IFERROR(VLOOKUP("30_"&amp;A107,SyS!$B:$P,12,FALSE()),0)</f>
        <v>0</v>
      </c>
      <c r="BP107" s="40">
        <f>+BN107-BO107</f>
        <v>0</v>
      </c>
      <c r="BQ107" s="45">
        <f>+E107+H107+K107+Q107+T107+W107+Z107+AC107+AF107+AI107+AL107+AO107+AR107+AU107+AX107+BA107+BD107+BG107+BJ107+BM107+BP107</f>
        <v>0</v>
      </c>
    </row>
    <row r="108" ht="11.25" customHeight="1" spans="1:69" x14ac:dyDescent="0.25">
      <c r="A108" s="44">
        <v>42494000</v>
      </c>
      <c r="B108" s="44" t="s">
        <v>339</v>
      </c>
      <c r="C108" s="38">
        <f>IFERROR(VLOOKUP("1_"&amp;A108,SyS!$B:$P,10,FALSE()),0)</f>
        <v>0</v>
      </c>
      <c r="D108" s="39">
        <f>IFERROR(VLOOKUP("1_"&amp;A108,SyS!$B:$P,12,FALSE()),0)</f>
        <v>0</v>
      </c>
      <c r="E108" s="39">
        <f>+C108-D108</f>
        <v>0</v>
      </c>
      <c r="F108" s="38">
        <f>IFERROR(VLOOKUP("2_"&amp;A108,SyS!$B:$P,10,FALSE()),0)</f>
        <v>0</v>
      </c>
      <c r="G108" s="39">
        <f>IFERROR(VLOOKUP("2_"&amp;A108,SyS!$B:$P,12,FALSE()),0)</f>
        <v>0</v>
      </c>
      <c r="H108" s="40">
        <f>+F108-G108</f>
        <v>0</v>
      </c>
      <c r="I108" s="39"/>
      <c r="J108" s="39"/>
      <c r="K108" s="39"/>
      <c r="L108" s="39"/>
      <c r="M108" s="39"/>
      <c r="N108" s="39"/>
      <c r="O108" s="38">
        <f>IFERROR(VLOOKUP("14_"&amp;A108,SyS!$B:$P,10,FALSE()),0)</f>
        <v>0</v>
      </c>
      <c r="P108" s="39">
        <f>IFERROR(VLOOKUP("14_"&amp;A108,SyS!$B:$P,12,FALSE()),0)</f>
        <v>0</v>
      </c>
      <c r="Q108" s="40">
        <f>+O108-P108</f>
        <v>0</v>
      </c>
      <c r="R108" s="38">
        <f>IFERROR(VLOOKUP("15_"&amp;A108,SyS!$B:$P,10,FALSE()),0)</f>
        <v>0</v>
      </c>
      <c r="S108" s="39">
        <f>IFERROR(VLOOKUP("15_"&amp;A108,SyS!$B:$P,12,FALSE()),0)</f>
        <v>0</v>
      </c>
      <c r="T108" s="40">
        <f>+R108-S108</f>
        <v>0</v>
      </c>
      <c r="U108" s="38">
        <f>IFERROR(VLOOKUP("16_"&amp;A108,SyS!$B:$P,10,FALSE()),0)</f>
        <v>0</v>
      </c>
      <c r="V108" s="39">
        <f>IFERROR(VLOOKUP("16_"&amp;A108,SyS!$B:$P,12,FALSE()),0)</f>
        <v>0</v>
      </c>
      <c r="W108" s="40">
        <f>+U108-V108</f>
        <v>0</v>
      </c>
      <c r="X108" s="38">
        <f>IFERROR(VLOOKUP("13_"&amp;A108,SyS!$B:$P,10,FALSE()),0)</f>
        <v>0</v>
      </c>
      <c r="Y108" s="39">
        <f>IFERROR(VLOOKUP("13_"&amp;A108,SyS!$B:$P,12,FALSE()),0)</f>
        <v>0</v>
      </c>
      <c r="Z108" s="40">
        <f>+X108-Y108</f>
        <v>0</v>
      </c>
      <c r="AA108" s="38">
        <f>IFERROR(VLOOKUP("17_"&amp;A108,SyS!$B:$P,10,FALSE()),0)</f>
        <v>0</v>
      </c>
      <c r="AB108" s="39">
        <f>IFERROR(VLOOKUP("17_"&amp;A108,SyS!$B:$P,12,FALSE()),0)</f>
        <v>0</v>
      </c>
      <c r="AC108" s="40">
        <f>+AA108-AB108</f>
        <v>0</v>
      </c>
      <c r="AD108" s="39"/>
      <c r="AE108" s="39"/>
      <c r="AF108" s="39"/>
      <c r="AG108" s="39">
        <f>IFERROR(VLOOKUP("19_"&amp;A108,SyS!$B:$P,10,FALSE()),0)</f>
        <v>0</v>
      </c>
      <c r="AH108" s="39">
        <f>IFERROR(VLOOKUP("19_"&amp;A108,SyS!$B:$P,12,FALSE()),0)</f>
        <v>0</v>
      </c>
      <c r="AI108" s="39">
        <f>+AG108-AH108</f>
        <v>0</v>
      </c>
      <c r="AJ108" s="39"/>
      <c r="AK108" s="39"/>
      <c r="AL108" s="39"/>
      <c r="AM108" s="39">
        <f>IFERROR(VLOOKUP("23_"&amp;A108,SyS!$B:$P,10,FALSE()),0)</f>
        <v>0</v>
      </c>
      <c r="AN108" s="39">
        <f>IFERROR(VLOOKUP("23_"&amp;A108,SyS!$B:$P,12,FALSE()),0)</f>
        <v>0</v>
      </c>
      <c r="AO108" s="40">
        <f>+AM108-AN108</f>
        <v>0</v>
      </c>
      <c r="AP108" s="39"/>
      <c r="AQ108" s="39"/>
      <c r="AR108" s="39"/>
      <c r="AS108" s="39"/>
      <c r="AT108" s="39"/>
      <c r="AU108" s="39"/>
      <c r="AV108" s="39"/>
      <c r="AW108" s="39"/>
      <c r="AX108" s="39"/>
      <c r="AY108" s="39"/>
      <c r="AZ108" s="39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>
        <f>IFERROR(VLOOKUP("29_"&amp;A108,SyS!$B:$P,10,FALSE()),0)</f>
        <v>0</v>
      </c>
      <c r="BL108" s="39">
        <f>IFERROR(VLOOKUP("29_"&amp;A108,SyS!$B:$P,12,FALSE()),0)</f>
        <v>0</v>
      </c>
      <c r="BM108" s="39">
        <f>+BK108-BL108</f>
        <v>0</v>
      </c>
      <c r="BN108" s="38">
        <f>IFERROR(VLOOKUP("30_"&amp;A108,SyS!$B:$P,10,FALSE()),0)</f>
        <v>0</v>
      </c>
      <c r="BO108" s="39">
        <f>IFERROR(VLOOKUP("30_"&amp;A108,SyS!$B:$P,12,FALSE()),0)</f>
        <v>0</v>
      </c>
      <c r="BP108" s="40">
        <f>+BN108-BO108</f>
        <v>0</v>
      </c>
      <c r="BQ108" s="45">
        <f>+E108+H108+K108+Q108+T108+W108+Z108+AC108+AF108+AI108+AL108+AO108+AR108+AU108+AX108+BA108+BD108+BG108+BJ108+BM108+BP108</f>
        <v>0</v>
      </c>
    </row>
    <row r="109" ht="11.25" customHeight="1" spans="1:69" x14ac:dyDescent="0.25">
      <c r="A109" s="44">
        <v>42495000</v>
      </c>
      <c r="B109" s="44" t="s">
        <v>340</v>
      </c>
      <c r="C109" s="38">
        <f>IFERROR(VLOOKUP("1_"&amp;A109,SyS!$B:$P,10,FALSE()),0)</f>
        <v>0</v>
      </c>
      <c r="D109" s="39">
        <f>IFERROR(VLOOKUP("1_"&amp;A109,SyS!$B:$P,12,FALSE()),0)</f>
        <v>0</v>
      </c>
      <c r="E109" s="39">
        <f>+C109-D109</f>
        <v>0</v>
      </c>
      <c r="F109" s="38">
        <f>IFERROR(VLOOKUP("2_"&amp;A109,SyS!$B:$P,10,FALSE()),0)</f>
        <v>0</v>
      </c>
      <c r="G109" s="39">
        <f>IFERROR(VLOOKUP("2_"&amp;A109,SyS!$B:$P,12,FALSE()),0)</f>
        <v>0</v>
      </c>
      <c r="H109" s="40">
        <f>+F109-G109</f>
        <v>0</v>
      </c>
      <c r="I109" s="39"/>
      <c r="J109" s="39"/>
      <c r="K109" s="39"/>
      <c r="L109" s="39"/>
      <c r="M109" s="39"/>
      <c r="N109" s="39"/>
      <c r="O109" s="38">
        <f>IFERROR(VLOOKUP("14_"&amp;A109,SyS!$B:$P,10,FALSE()),0)</f>
        <v>0</v>
      </c>
      <c r="P109" s="39">
        <f>IFERROR(VLOOKUP("14_"&amp;A109,SyS!$B:$P,12,FALSE()),0)</f>
        <v>0</v>
      </c>
      <c r="Q109" s="40">
        <f>+O109-P109</f>
        <v>0</v>
      </c>
      <c r="R109" s="38">
        <f>IFERROR(VLOOKUP("15_"&amp;A109,SyS!$B:$P,10,FALSE()),0)</f>
        <v>0</v>
      </c>
      <c r="S109" s="39">
        <f>IFERROR(VLOOKUP("15_"&amp;A109,SyS!$B:$P,12,FALSE()),0)</f>
        <v>0</v>
      </c>
      <c r="T109" s="40">
        <f>+R109-S109</f>
        <v>0</v>
      </c>
      <c r="U109" s="38">
        <f>IFERROR(VLOOKUP("16_"&amp;A109,SyS!$B:$P,10,FALSE()),0)</f>
        <v>0</v>
      </c>
      <c r="V109" s="39">
        <f>IFERROR(VLOOKUP("16_"&amp;A109,SyS!$B:$P,12,FALSE()),0)</f>
        <v>0</v>
      </c>
      <c r="W109" s="40">
        <f>+U109-V109</f>
        <v>0</v>
      </c>
      <c r="X109" s="38">
        <f>IFERROR(VLOOKUP("13_"&amp;A109,SyS!$B:$P,10,FALSE()),0)</f>
        <v>0</v>
      </c>
      <c r="Y109" s="39">
        <f>IFERROR(VLOOKUP("13_"&amp;A109,SyS!$B:$P,12,FALSE()),0)</f>
        <v>0</v>
      </c>
      <c r="Z109" s="40">
        <f>+X109-Y109</f>
        <v>0</v>
      </c>
      <c r="AA109" s="38">
        <f>IFERROR(VLOOKUP("17_"&amp;A109,SyS!$B:$P,10,FALSE()),0)</f>
        <v>0</v>
      </c>
      <c r="AB109" s="39">
        <f>IFERROR(VLOOKUP("17_"&amp;A109,SyS!$B:$P,12,FALSE()),0)</f>
        <v>0</v>
      </c>
      <c r="AC109" s="40">
        <f>+AA109-AB109</f>
        <v>0</v>
      </c>
      <c r="AD109" s="39"/>
      <c r="AE109" s="39"/>
      <c r="AF109" s="39"/>
      <c r="AG109" s="39">
        <f>IFERROR(VLOOKUP("19_"&amp;A109,SyS!$B:$P,10,FALSE()),0)</f>
        <v>0</v>
      </c>
      <c r="AH109" s="39">
        <f>IFERROR(VLOOKUP("19_"&amp;A109,SyS!$B:$P,12,FALSE()),0)</f>
        <v>0</v>
      </c>
      <c r="AI109" s="39">
        <f>+AG109-AH109</f>
        <v>0</v>
      </c>
      <c r="AJ109" s="39"/>
      <c r="AK109" s="39"/>
      <c r="AL109" s="39"/>
      <c r="AM109" s="39">
        <f>IFERROR(VLOOKUP("23_"&amp;A109,SyS!$B:$P,10,FALSE()),0)</f>
        <v>0</v>
      </c>
      <c r="AN109" s="39">
        <f>IFERROR(VLOOKUP("23_"&amp;A109,SyS!$B:$P,12,FALSE()),0)</f>
        <v>0</v>
      </c>
      <c r="AO109" s="40">
        <f>+AM109-AN109</f>
        <v>0</v>
      </c>
      <c r="AP109" s="39"/>
      <c r="AQ109" s="39"/>
      <c r="AR109" s="39"/>
      <c r="AS109" s="39"/>
      <c r="AT109" s="39"/>
      <c r="AU109" s="39"/>
      <c r="AV109" s="39"/>
      <c r="AW109" s="39"/>
      <c r="AX109" s="39"/>
      <c r="AY109" s="39"/>
      <c r="AZ109" s="39"/>
      <c r="BA109" s="39"/>
      <c r="BB109" s="39"/>
      <c r="BC109" s="39"/>
      <c r="BD109" s="39"/>
      <c r="BE109" s="39"/>
      <c r="BF109" s="39"/>
      <c r="BG109" s="39"/>
      <c r="BH109" s="39"/>
      <c r="BI109" s="39"/>
      <c r="BJ109" s="39"/>
      <c r="BK109" s="39">
        <f>IFERROR(VLOOKUP("29_"&amp;A109,SyS!$B:$P,10,FALSE()),0)</f>
        <v>0</v>
      </c>
      <c r="BL109" s="39">
        <f>IFERROR(VLOOKUP("29_"&amp;A109,SyS!$B:$P,12,FALSE()),0)</f>
        <v>0</v>
      </c>
      <c r="BM109" s="39">
        <f>+BK109-BL109</f>
        <v>0</v>
      </c>
      <c r="BN109" s="38">
        <f>IFERROR(VLOOKUP("30_"&amp;A109,SyS!$B:$P,10,FALSE()),0)</f>
        <v>0</v>
      </c>
      <c r="BO109" s="39">
        <f>IFERROR(VLOOKUP("30_"&amp;A109,SyS!$B:$P,12,FALSE()),0)</f>
        <v>0</v>
      </c>
      <c r="BP109" s="40">
        <f>+BN109-BO109</f>
        <v>0</v>
      </c>
      <c r="BQ109" s="45">
        <f>+E109+H109+K109+Q109+T109+W109+Z109+AC109+AF109+AI109+AL109+AO109+AR109+AU109+AX109+BA109+BD109+BG109+BJ109+BM109+BP109</f>
        <v>0</v>
      </c>
    </row>
    <row r="110" ht="11.25" customHeight="1" spans="1:69" x14ac:dyDescent="0.25">
      <c r="A110" s="44">
        <v>42496000</v>
      </c>
      <c r="B110" s="44" t="s">
        <v>341</v>
      </c>
      <c r="C110" s="38">
        <f>IFERROR(VLOOKUP("1_"&amp;A110,SyS!$B:$P,10,FALSE()),0)</f>
        <v>0</v>
      </c>
      <c r="D110" s="39">
        <f>IFERROR(VLOOKUP("1_"&amp;A110,SyS!$B:$P,12,FALSE()),0)</f>
        <v>0</v>
      </c>
      <c r="E110" s="39">
        <f>+C110-D110</f>
        <v>0</v>
      </c>
      <c r="F110" s="38">
        <f>IFERROR(VLOOKUP("2_"&amp;A110,SyS!$B:$P,10,FALSE()),0)</f>
        <v>0</v>
      </c>
      <c r="G110" s="39">
        <f>IFERROR(VLOOKUP("2_"&amp;A110,SyS!$B:$P,12,FALSE()),0)</f>
        <v>0</v>
      </c>
      <c r="H110" s="40">
        <f>+F110-G110</f>
        <v>0</v>
      </c>
      <c r="I110" s="39"/>
      <c r="J110" s="39"/>
      <c r="K110" s="39"/>
      <c r="L110" s="39"/>
      <c r="M110" s="39"/>
      <c r="N110" s="39"/>
      <c r="O110" s="38">
        <f>IFERROR(VLOOKUP("14_"&amp;A110,SyS!$B:$P,10,FALSE()),0)</f>
        <v>0</v>
      </c>
      <c r="P110" s="39">
        <f>IFERROR(VLOOKUP("14_"&amp;A110,SyS!$B:$P,12,FALSE()),0)</f>
        <v>0</v>
      </c>
      <c r="Q110" s="40">
        <f>+O110-P110</f>
        <v>0</v>
      </c>
      <c r="R110" s="38">
        <f>IFERROR(VLOOKUP("15_"&amp;A110,SyS!$B:$P,10,FALSE()),0)</f>
        <v>0</v>
      </c>
      <c r="S110" s="39">
        <f>IFERROR(VLOOKUP("15_"&amp;A110,SyS!$B:$P,12,FALSE()),0)</f>
        <v>0</v>
      </c>
      <c r="T110" s="40">
        <f>+R110-S110</f>
        <v>0</v>
      </c>
      <c r="U110" s="38">
        <f>IFERROR(VLOOKUP("16_"&amp;A110,SyS!$B:$P,10,FALSE()),0)</f>
        <v>0</v>
      </c>
      <c r="V110" s="39">
        <f>IFERROR(VLOOKUP("16_"&amp;A110,SyS!$B:$P,12,FALSE()),0)</f>
        <v>0</v>
      </c>
      <c r="W110" s="40">
        <f>+U110-V110</f>
        <v>0</v>
      </c>
      <c r="X110" s="38">
        <f>IFERROR(VLOOKUP("13_"&amp;A110,SyS!$B:$P,10,FALSE()),0)</f>
        <v>0</v>
      </c>
      <c r="Y110" s="39">
        <f>IFERROR(VLOOKUP("13_"&amp;A110,SyS!$B:$P,12,FALSE()),0)</f>
        <v>0</v>
      </c>
      <c r="Z110" s="40">
        <f>+X110-Y110</f>
        <v>0</v>
      </c>
      <c r="AA110" s="38">
        <f>IFERROR(VLOOKUP("17_"&amp;A110,SyS!$B:$P,10,FALSE()),0)</f>
        <v>0</v>
      </c>
      <c r="AB110" s="39">
        <f>IFERROR(VLOOKUP("17_"&amp;A110,SyS!$B:$P,12,FALSE()),0)</f>
        <v>0</v>
      </c>
      <c r="AC110" s="40">
        <f>+AA110-AB110</f>
        <v>0</v>
      </c>
      <c r="AD110" s="39"/>
      <c r="AE110" s="39"/>
      <c r="AF110" s="39"/>
      <c r="AG110" s="39">
        <f>IFERROR(VLOOKUP("19_"&amp;A110,SyS!$B:$P,10,FALSE()),0)</f>
        <v>0</v>
      </c>
      <c r="AH110" s="39">
        <f>IFERROR(VLOOKUP("19_"&amp;A110,SyS!$B:$P,12,FALSE()),0)</f>
        <v>0</v>
      </c>
      <c r="AI110" s="39">
        <f>+AG110-AH110</f>
        <v>0</v>
      </c>
      <c r="AJ110" s="39"/>
      <c r="AK110" s="39"/>
      <c r="AL110" s="39"/>
      <c r="AM110" s="39">
        <f>IFERROR(VLOOKUP("23_"&amp;A110,SyS!$B:$P,10,FALSE()),0)</f>
        <v>0</v>
      </c>
      <c r="AN110" s="39">
        <f>IFERROR(VLOOKUP("23_"&amp;A110,SyS!$B:$P,12,FALSE()),0)</f>
        <v>0</v>
      </c>
      <c r="AO110" s="40">
        <f>+AM110-AN110</f>
        <v>0</v>
      </c>
      <c r="AP110" s="39"/>
      <c r="AQ110" s="39"/>
      <c r="AR110" s="39"/>
      <c r="AS110" s="39"/>
      <c r="AT110" s="39"/>
      <c r="AU110" s="39"/>
      <c r="AV110" s="39"/>
      <c r="AW110" s="39"/>
      <c r="AX110" s="39"/>
      <c r="AY110" s="39"/>
      <c r="AZ110" s="39"/>
      <c r="BA110" s="39"/>
      <c r="BB110" s="39"/>
      <c r="BC110" s="39"/>
      <c r="BD110" s="39"/>
      <c r="BE110" s="39"/>
      <c r="BF110" s="39"/>
      <c r="BG110" s="39"/>
      <c r="BH110" s="39"/>
      <c r="BI110" s="39"/>
      <c r="BJ110" s="39"/>
      <c r="BK110" s="39">
        <f>IFERROR(VLOOKUP("29_"&amp;A110,SyS!$B:$P,10,FALSE()),0)</f>
        <v>0</v>
      </c>
      <c r="BL110" s="39">
        <f>IFERROR(VLOOKUP("29_"&amp;A110,SyS!$B:$P,12,FALSE()),0)</f>
        <v>0</v>
      </c>
      <c r="BM110" s="39">
        <f>+BK110-BL110</f>
        <v>0</v>
      </c>
      <c r="BN110" s="38">
        <f>IFERROR(VLOOKUP("30_"&amp;A110,SyS!$B:$P,10,FALSE()),0)</f>
        <v>0</v>
      </c>
      <c r="BO110" s="39">
        <f>IFERROR(VLOOKUP("30_"&amp;A110,SyS!$B:$P,12,FALSE()),0)</f>
        <v>0</v>
      </c>
      <c r="BP110" s="40">
        <f>+BN110-BO110</f>
        <v>0</v>
      </c>
      <c r="BQ110" s="45">
        <f>+E110+H110+K110+Q110+T110+W110+Z110+AC110+AF110+AI110+AL110+AO110+AR110+AU110+AX110+BA110+BD110+BG110+BJ110+BM110+BP110</f>
        <v>0</v>
      </c>
    </row>
    <row r="111" ht="11.25" customHeight="1" spans="1:69" x14ac:dyDescent="0.25">
      <c r="A111" s="44">
        <v>42497000</v>
      </c>
      <c r="B111" s="44" t="s">
        <v>342</v>
      </c>
      <c r="C111" s="38">
        <f>IFERROR(VLOOKUP("1_"&amp;A111,SyS!$B:$P,10,FALSE()),0)</f>
        <v>0</v>
      </c>
      <c r="D111" s="39">
        <f>IFERROR(VLOOKUP("1_"&amp;A111,SyS!$B:$P,12,FALSE()),0)</f>
        <v>0</v>
      </c>
      <c r="E111" s="39">
        <f>+C111-D111</f>
        <v>0</v>
      </c>
      <c r="F111" s="38">
        <f>IFERROR(VLOOKUP("2_"&amp;A111,SyS!$B:$P,10,FALSE()),0)</f>
        <v>0</v>
      </c>
      <c r="G111" s="39">
        <f>IFERROR(VLOOKUP("2_"&amp;A111,SyS!$B:$P,12,FALSE()),0)</f>
        <v>0</v>
      </c>
      <c r="H111" s="40">
        <f>+F111-G111</f>
        <v>0</v>
      </c>
      <c r="I111" s="39"/>
      <c r="J111" s="39"/>
      <c r="K111" s="39"/>
      <c r="L111" s="39"/>
      <c r="M111" s="39"/>
      <c r="N111" s="39"/>
      <c r="O111" s="38">
        <f>IFERROR(VLOOKUP("14_"&amp;A111,SyS!$B:$P,10,FALSE()),0)</f>
        <v>0</v>
      </c>
      <c r="P111" s="39">
        <f>IFERROR(VLOOKUP("14_"&amp;A111,SyS!$B:$P,12,FALSE()),0)</f>
        <v>0</v>
      </c>
      <c r="Q111" s="40">
        <f>+O111-P111</f>
        <v>0</v>
      </c>
      <c r="R111" s="38">
        <f>IFERROR(VLOOKUP("15_"&amp;A111,SyS!$B:$P,10,FALSE()),0)</f>
        <v>0</v>
      </c>
      <c r="S111" s="39">
        <f>IFERROR(VLOOKUP("15_"&amp;A111,SyS!$B:$P,12,FALSE()),0)</f>
        <v>0</v>
      </c>
      <c r="T111" s="40">
        <f>+R111-S111</f>
        <v>0</v>
      </c>
      <c r="U111" s="38">
        <f>IFERROR(VLOOKUP("16_"&amp;A111,SyS!$B:$P,10,FALSE()),0)</f>
        <v>0</v>
      </c>
      <c r="V111" s="39">
        <f>IFERROR(VLOOKUP("16_"&amp;A111,SyS!$B:$P,12,FALSE()),0)</f>
        <v>0</v>
      </c>
      <c r="W111" s="40">
        <f>+U111-V111</f>
        <v>0</v>
      </c>
      <c r="X111" s="38">
        <f>IFERROR(VLOOKUP("13_"&amp;A111,SyS!$B:$P,10,FALSE()),0)</f>
        <v>0</v>
      </c>
      <c r="Y111" s="39">
        <f>IFERROR(VLOOKUP("13_"&amp;A111,SyS!$B:$P,12,FALSE()),0)</f>
        <v>0</v>
      </c>
      <c r="Z111" s="40">
        <f>+X111-Y111</f>
        <v>0</v>
      </c>
      <c r="AA111" s="38">
        <f>IFERROR(VLOOKUP("17_"&amp;A111,SyS!$B:$P,10,FALSE()),0)</f>
        <v>0</v>
      </c>
      <c r="AB111" s="39">
        <f>IFERROR(VLOOKUP("17_"&amp;A111,SyS!$B:$P,12,FALSE()),0)</f>
        <v>0</v>
      </c>
      <c r="AC111" s="40">
        <f>+AA111-AB111</f>
        <v>0</v>
      </c>
      <c r="AD111" s="39"/>
      <c r="AE111" s="39"/>
      <c r="AF111" s="39"/>
      <c r="AG111" s="39">
        <f>IFERROR(VLOOKUP("19_"&amp;A111,SyS!$B:$P,10,FALSE()),0)</f>
        <v>0</v>
      </c>
      <c r="AH111" s="39">
        <f>IFERROR(VLOOKUP("19_"&amp;A111,SyS!$B:$P,12,FALSE()),0)</f>
        <v>0</v>
      </c>
      <c r="AI111" s="39">
        <f>+AG111-AH111</f>
        <v>0</v>
      </c>
      <c r="AJ111" s="39"/>
      <c r="AK111" s="39"/>
      <c r="AL111" s="39"/>
      <c r="AM111" s="39">
        <f>IFERROR(VLOOKUP("23_"&amp;A111,SyS!$B:$P,10,FALSE()),0)</f>
        <v>0</v>
      </c>
      <c r="AN111" s="39">
        <f>IFERROR(VLOOKUP("23_"&amp;A111,SyS!$B:$P,12,FALSE()),0)</f>
        <v>0</v>
      </c>
      <c r="AO111" s="40">
        <f>+AM111-AN111</f>
        <v>0</v>
      </c>
      <c r="AP111" s="39"/>
      <c r="AQ111" s="39"/>
      <c r="AR111" s="39"/>
      <c r="AS111" s="39"/>
      <c r="AT111" s="39"/>
      <c r="AU111" s="39"/>
      <c r="AV111" s="39"/>
      <c r="AW111" s="39"/>
      <c r="AX111" s="39"/>
      <c r="AY111" s="39"/>
      <c r="AZ111" s="39"/>
      <c r="BA111" s="39"/>
      <c r="BB111" s="39"/>
      <c r="BC111" s="39"/>
      <c r="BD111" s="39"/>
      <c r="BE111" s="39"/>
      <c r="BF111" s="39"/>
      <c r="BG111" s="39"/>
      <c r="BH111" s="39"/>
      <c r="BI111" s="39"/>
      <c r="BJ111" s="39"/>
      <c r="BK111" s="39">
        <f>IFERROR(VLOOKUP("29_"&amp;A111,SyS!$B:$P,10,FALSE()),0)</f>
        <v>0</v>
      </c>
      <c r="BL111" s="39">
        <f>IFERROR(VLOOKUP("29_"&amp;A111,SyS!$B:$P,12,FALSE()),0)</f>
        <v>0</v>
      </c>
      <c r="BM111" s="39">
        <f>+BK111-BL111</f>
        <v>0</v>
      </c>
      <c r="BN111" s="38">
        <f>IFERROR(VLOOKUP("30_"&amp;A111,SyS!$B:$P,10,FALSE()),0)</f>
        <v>0</v>
      </c>
      <c r="BO111" s="39">
        <f>IFERROR(VLOOKUP("30_"&amp;A111,SyS!$B:$P,12,FALSE()),0)</f>
        <v>0</v>
      </c>
      <c r="BP111" s="40">
        <f>+BN111-BO111</f>
        <v>0</v>
      </c>
      <c r="BQ111" s="45">
        <f>+E111+H111+K111+Q111+T111+W111+Z111+AC111+AF111+AI111+AL111+AO111+AR111+AU111+AX111+BA111+BD111+BG111+BJ111+BM111+BP111</f>
        <v>0</v>
      </c>
    </row>
    <row r="112" ht="11.25" customHeight="1" spans="1:69" x14ac:dyDescent="0.25">
      <c r="A112" s="44">
        <v>42498000</v>
      </c>
      <c r="B112" s="44" t="s">
        <v>343</v>
      </c>
      <c r="C112" s="38">
        <f>IFERROR(VLOOKUP("1_"&amp;A112,SyS!$B:$P,10,FALSE()),0)</f>
        <v>0</v>
      </c>
      <c r="D112" s="39">
        <f>IFERROR(VLOOKUP("1_"&amp;A112,SyS!$B:$P,12,FALSE()),0)</f>
        <v>0</v>
      </c>
      <c r="E112" s="39">
        <f>+C112-D112</f>
        <v>0</v>
      </c>
      <c r="F112" s="38">
        <f>IFERROR(VLOOKUP("2_"&amp;A112,SyS!$B:$P,10,FALSE()),0)</f>
        <v>0</v>
      </c>
      <c r="G112" s="39">
        <f>IFERROR(VLOOKUP("2_"&amp;A112,SyS!$B:$P,12,FALSE()),0)</f>
        <v>0</v>
      </c>
      <c r="H112" s="40">
        <f>+F112-G112</f>
        <v>0</v>
      </c>
      <c r="I112" s="39"/>
      <c r="J112" s="39"/>
      <c r="K112" s="39"/>
      <c r="L112" s="39"/>
      <c r="M112" s="39"/>
      <c r="N112" s="39"/>
      <c r="O112" s="38">
        <f>IFERROR(VLOOKUP("14_"&amp;A112,SyS!$B:$P,10,FALSE()),0)</f>
        <v>0</v>
      </c>
      <c r="P112" s="39">
        <f>IFERROR(VLOOKUP("14_"&amp;A112,SyS!$B:$P,12,FALSE()),0)</f>
        <v>0</v>
      </c>
      <c r="Q112" s="40">
        <f>+O112-P112</f>
        <v>0</v>
      </c>
      <c r="R112" s="38">
        <f>IFERROR(VLOOKUP("15_"&amp;A112,SyS!$B:$P,10,FALSE()),0)</f>
        <v>0</v>
      </c>
      <c r="S112" s="39">
        <f>IFERROR(VLOOKUP("15_"&amp;A112,SyS!$B:$P,12,FALSE()),0)</f>
        <v>0</v>
      </c>
      <c r="T112" s="40">
        <f>+R112-S112</f>
        <v>0</v>
      </c>
      <c r="U112" s="38">
        <f>IFERROR(VLOOKUP("16_"&amp;A112,SyS!$B:$P,10,FALSE()),0)</f>
        <v>0</v>
      </c>
      <c r="V112" s="39">
        <f>IFERROR(VLOOKUP("16_"&amp;A112,SyS!$B:$P,12,FALSE()),0)</f>
        <v>0</v>
      </c>
      <c r="W112" s="40">
        <f>+U112-V112</f>
        <v>0</v>
      </c>
      <c r="X112" s="38">
        <f>IFERROR(VLOOKUP("13_"&amp;A112,SyS!$B:$P,10,FALSE()),0)</f>
        <v>0</v>
      </c>
      <c r="Y112" s="39">
        <f>IFERROR(VLOOKUP("13_"&amp;A112,SyS!$B:$P,12,FALSE()),0)</f>
        <v>0</v>
      </c>
      <c r="Z112" s="40">
        <f>+X112-Y112</f>
        <v>0</v>
      </c>
      <c r="AA112" s="38">
        <f>IFERROR(VLOOKUP("17_"&amp;A112,SyS!$B:$P,10,FALSE()),0)</f>
        <v>0</v>
      </c>
      <c r="AB112" s="39">
        <f>IFERROR(VLOOKUP("17_"&amp;A112,SyS!$B:$P,12,FALSE()),0)</f>
        <v>0</v>
      </c>
      <c r="AC112" s="40">
        <f>+AA112-AB112</f>
        <v>0</v>
      </c>
      <c r="AD112" s="39"/>
      <c r="AE112" s="39"/>
      <c r="AF112" s="39"/>
      <c r="AG112" s="39">
        <f>IFERROR(VLOOKUP("19_"&amp;A112,SyS!$B:$P,10,FALSE()),0)</f>
        <v>0</v>
      </c>
      <c r="AH112" s="39">
        <f>IFERROR(VLOOKUP("19_"&amp;A112,SyS!$B:$P,12,FALSE()),0)</f>
        <v>0</v>
      </c>
      <c r="AI112" s="39">
        <f>+AG112-AH112</f>
        <v>0</v>
      </c>
      <c r="AJ112" s="39"/>
      <c r="AK112" s="39"/>
      <c r="AL112" s="39"/>
      <c r="AM112" s="39">
        <f>IFERROR(VLOOKUP("23_"&amp;A112,SyS!$B:$P,10,FALSE()),0)</f>
        <v>0</v>
      </c>
      <c r="AN112" s="39">
        <f>IFERROR(VLOOKUP("23_"&amp;A112,SyS!$B:$P,12,FALSE()),0)</f>
        <v>0</v>
      </c>
      <c r="AO112" s="40">
        <f>+AM112-AN112</f>
        <v>0</v>
      </c>
      <c r="AP112" s="39"/>
      <c r="AQ112" s="39"/>
      <c r="AR112" s="39"/>
      <c r="AS112" s="39"/>
      <c r="AT112" s="39"/>
      <c r="AU112" s="39"/>
      <c r="AV112" s="39"/>
      <c r="AW112" s="39"/>
      <c r="AX112" s="39"/>
      <c r="AY112" s="39"/>
      <c r="AZ112" s="39"/>
      <c r="BA112" s="39"/>
      <c r="BB112" s="39"/>
      <c r="BC112" s="39"/>
      <c r="BD112" s="39"/>
      <c r="BE112" s="39"/>
      <c r="BF112" s="39"/>
      <c r="BG112" s="39"/>
      <c r="BH112" s="39"/>
      <c r="BI112" s="39"/>
      <c r="BJ112" s="39"/>
      <c r="BK112" s="39">
        <f>IFERROR(VLOOKUP("29_"&amp;A112,SyS!$B:$P,10,FALSE()),0)</f>
        <v>0</v>
      </c>
      <c r="BL112" s="39">
        <f>IFERROR(VLOOKUP("29_"&amp;A112,SyS!$B:$P,12,FALSE()),0)</f>
        <v>0</v>
      </c>
      <c r="BM112" s="39">
        <f>+BK112-BL112</f>
        <v>0</v>
      </c>
      <c r="BN112" s="38">
        <f>IFERROR(VLOOKUP("30_"&amp;A112,SyS!$B:$P,10,FALSE()),0)</f>
        <v>0</v>
      </c>
      <c r="BO112" s="39">
        <f>IFERROR(VLOOKUP("30_"&amp;A112,SyS!$B:$P,12,FALSE()),0)</f>
        <v>0</v>
      </c>
      <c r="BP112" s="40">
        <f>+BN112-BO112</f>
        <v>0</v>
      </c>
      <c r="BQ112" s="45">
        <f>+E112+H112+K112+Q112+T112+W112+Z112+AC112+AF112+AI112+AL112+AO112+AR112+AU112+AX112+BA112+BD112+BG112+BJ112+BM112+BP112</f>
        <v>0</v>
      </c>
    </row>
    <row r="113" ht="11.25" customHeight="1" spans="1:69" x14ac:dyDescent="0.25">
      <c r="A113" s="44">
        <v>42499000</v>
      </c>
      <c r="B113" s="44" t="s">
        <v>344</v>
      </c>
      <c r="C113" s="38">
        <f>IFERROR(VLOOKUP("1_"&amp;A113,SyS!$B:$P,10,FALSE()),0)</f>
        <v>0</v>
      </c>
      <c r="D113" s="39">
        <f>IFERROR(VLOOKUP("1_"&amp;A113,SyS!$B:$P,12,FALSE()),0)</f>
        <v>0</v>
      </c>
      <c r="E113" s="39">
        <f>+C113-D113</f>
        <v>0</v>
      </c>
      <c r="F113" s="38">
        <f>IFERROR(VLOOKUP("2_"&amp;A113,SyS!$B:$P,10,FALSE()),0)</f>
        <v>0</v>
      </c>
      <c r="G113" s="39">
        <f>IFERROR(VLOOKUP("2_"&amp;A113,SyS!$B:$P,12,FALSE()),0)</f>
        <v>0</v>
      </c>
      <c r="H113" s="40">
        <f>+F113-G113</f>
        <v>0</v>
      </c>
      <c r="I113" s="39"/>
      <c r="J113" s="39"/>
      <c r="K113" s="39"/>
      <c r="L113" s="39"/>
      <c r="M113" s="39"/>
      <c r="N113" s="39"/>
      <c r="O113" s="38">
        <f>IFERROR(VLOOKUP("14_"&amp;A113,SyS!$B:$P,10,FALSE()),0)</f>
        <v>0</v>
      </c>
      <c r="P113" s="39">
        <f>IFERROR(VLOOKUP("14_"&amp;A113,SyS!$B:$P,12,FALSE()),0)</f>
        <v>0</v>
      </c>
      <c r="Q113" s="40">
        <f>+O113-P113</f>
        <v>0</v>
      </c>
      <c r="R113" s="38">
        <f>IFERROR(VLOOKUP("15_"&amp;A113,SyS!$B:$P,10,FALSE()),0)</f>
        <v>0</v>
      </c>
      <c r="S113" s="39">
        <f>IFERROR(VLOOKUP("15_"&amp;A113,SyS!$B:$P,12,FALSE()),0)</f>
        <v>0</v>
      </c>
      <c r="T113" s="40">
        <f>+R113-S113</f>
        <v>0</v>
      </c>
      <c r="U113" s="38">
        <f>IFERROR(VLOOKUP("16_"&amp;A113,SyS!$B:$P,10,FALSE()),0)</f>
        <v>0</v>
      </c>
      <c r="V113" s="39">
        <f>IFERROR(VLOOKUP("16_"&amp;A113,SyS!$B:$P,12,FALSE()),0)</f>
        <v>0</v>
      </c>
      <c r="W113" s="40">
        <f>+U113-V113</f>
        <v>0</v>
      </c>
      <c r="X113" s="38">
        <f>IFERROR(VLOOKUP("13_"&amp;A113,SyS!$B:$P,10,FALSE()),0)</f>
        <v>0</v>
      </c>
      <c r="Y113" s="39">
        <f>IFERROR(VLOOKUP("13_"&amp;A113,SyS!$B:$P,12,FALSE()),0)</f>
        <v>0</v>
      </c>
      <c r="Z113" s="40">
        <f>+X113-Y113</f>
        <v>0</v>
      </c>
      <c r="AA113" s="38">
        <f>IFERROR(VLOOKUP("17_"&amp;A113,SyS!$B:$P,10,FALSE()),0)</f>
        <v>0</v>
      </c>
      <c r="AB113" s="39">
        <f>IFERROR(VLOOKUP("17_"&amp;A113,SyS!$B:$P,12,FALSE()),0)</f>
        <v>0</v>
      </c>
      <c r="AC113" s="40">
        <f>+AA113-AB113</f>
        <v>0</v>
      </c>
      <c r="AD113" s="39"/>
      <c r="AE113" s="39"/>
      <c r="AF113" s="39"/>
      <c r="AG113" s="39">
        <f>IFERROR(VLOOKUP("19_"&amp;A113,SyS!$B:$P,10,FALSE()),0)</f>
        <v>0</v>
      </c>
      <c r="AH113" s="39">
        <f>IFERROR(VLOOKUP("19_"&amp;A113,SyS!$B:$P,12,FALSE()),0)</f>
        <v>0</v>
      </c>
      <c r="AI113" s="39">
        <f>+AG113-AH113</f>
        <v>0</v>
      </c>
      <c r="AJ113" s="39"/>
      <c r="AK113" s="39"/>
      <c r="AL113" s="39"/>
      <c r="AM113" s="39">
        <f>IFERROR(VLOOKUP("23_"&amp;A113,SyS!$B:$P,10,FALSE()),0)</f>
        <v>0</v>
      </c>
      <c r="AN113" s="39">
        <f>IFERROR(VLOOKUP("23_"&amp;A113,SyS!$B:$P,12,FALSE()),0)</f>
        <v>0</v>
      </c>
      <c r="AO113" s="40">
        <f>+AM113-AN113</f>
        <v>0</v>
      </c>
      <c r="AP113" s="39"/>
      <c r="AQ113" s="39"/>
      <c r="AR113" s="39"/>
      <c r="AS113" s="39"/>
      <c r="AT113" s="39"/>
      <c r="AU113" s="39"/>
      <c r="AV113" s="39"/>
      <c r="AW113" s="39"/>
      <c r="AX113" s="39"/>
      <c r="AY113" s="39"/>
      <c r="AZ113" s="39"/>
      <c r="BA113" s="39"/>
      <c r="BB113" s="39"/>
      <c r="BC113" s="39"/>
      <c r="BD113" s="39"/>
      <c r="BE113" s="39"/>
      <c r="BF113" s="39"/>
      <c r="BG113" s="39"/>
      <c r="BH113" s="39"/>
      <c r="BI113" s="39"/>
      <c r="BJ113" s="39"/>
      <c r="BK113" s="39">
        <f>IFERROR(VLOOKUP("29_"&amp;A113,SyS!$B:$P,10,FALSE()),0)</f>
        <v>0</v>
      </c>
      <c r="BL113" s="39">
        <f>IFERROR(VLOOKUP("29_"&amp;A113,SyS!$B:$P,12,FALSE()),0)</f>
        <v>0</v>
      </c>
      <c r="BM113" s="39">
        <f>+BK113-BL113</f>
        <v>0</v>
      </c>
      <c r="BN113" s="38">
        <f>IFERROR(VLOOKUP("30_"&amp;A113,SyS!$B:$P,10,FALSE()),0)</f>
        <v>0</v>
      </c>
      <c r="BO113" s="39">
        <f>IFERROR(VLOOKUP("30_"&amp;A113,SyS!$B:$P,12,FALSE()),0)</f>
        <v>0</v>
      </c>
      <c r="BP113" s="40">
        <f>+BN113-BO113</f>
        <v>0</v>
      </c>
      <c r="BQ113" s="45">
        <f>+E113+H113+K113+Q113+T113+W113+Z113+AC113+AF113+AI113+AL113+AO113+AR113+AU113+AX113+BA113+BD113+BG113+BJ113+BM113+BP113</f>
        <v>0</v>
      </c>
    </row>
    <row r="114" ht="11.25" customHeight="1" spans="1:69" x14ac:dyDescent="0.25">
      <c r="A114" s="44">
        <v>43100000</v>
      </c>
      <c r="B114" s="44" t="s">
        <v>345</v>
      </c>
      <c r="C114" s="38">
        <f>IFERROR(VLOOKUP("1_"&amp;A114,SyS!$B:$P,10,FALSE()),0)</f>
        <v>0</v>
      </c>
      <c r="D114" s="39">
        <f>IFERROR(VLOOKUP("1_"&amp;A114,SyS!$B:$P,12,FALSE()),0)</f>
        <v>0</v>
      </c>
      <c r="E114" s="39">
        <f>+C114-D114</f>
        <v>0</v>
      </c>
      <c r="F114" s="38">
        <f>IFERROR(VLOOKUP("2_"&amp;A114,SyS!$B:$P,10,FALSE()),0)</f>
        <v>0</v>
      </c>
      <c r="G114" s="39">
        <f>IFERROR(VLOOKUP("2_"&amp;A114,SyS!$B:$P,12,FALSE()),0)</f>
        <v>0</v>
      </c>
      <c r="H114" s="40">
        <f>+F114-G114</f>
        <v>0</v>
      </c>
      <c r="I114" s="39"/>
      <c r="J114" s="39"/>
      <c r="K114" s="39"/>
      <c r="L114" s="39"/>
      <c r="M114" s="39"/>
      <c r="N114" s="39"/>
      <c r="O114" s="38">
        <f>IFERROR(VLOOKUP("14_"&amp;A114,SyS!$B:$P,10,FALSE()),0)</f>
        <v>0</v>
      </c>
      <c r="P114" s="39">
        <f>IFERROR(VLOOKUP("14_"&amp;A114,SyS!$B:$P,12,FALSE()),0)</f>
        <v>0</v>
      </c>
      <c r="Q114" s="40">
        <f>+O114-P114</f>
        <v>0</v>
      </c>
      <c r="R114" s="38">
        <f>IFERROR(VLOOKUP("15_"&amp;A114,SyS!$B:$P,10,FALSE()),0)</f>
        <v>0</v>
      </c>
      <c r="S114" s="39">
        <f>IFERROR(VLOOKUP("15_"&amp;A114,SyS!$B:$P,12,FALSE()),0)</f>
        <v>0</v>
      </c>
      <c r="T114" s="40">
        <f>+R114-S114</f>
        <v>0</v>
      </c>
      <c r="U114" s="38">
        <f>IFERROR(VLOOKUP("16_"&amp;A114,SyS!$B:$P,10,FALSE()),0)</f>
        <v>0</v>
      </c>
      <c r="V114" s="39">
        <f>IFERROR(VLOOKUP("16_"&amp;A114,SyS!$B:$P,12,FALSE()),0)</f>
        <v>0</v>
      </c>
      <c r="W114" s="40">
        <f>+U114-V114</f>
        <v>0</v>
      </c>
      <c r="X114" s="38">
        <f>IFERROR(VLOOKUP("13_"&amp;A114,SyS!$B:$P,10,FALSE()),0)</f>
        <v>0</v>
      </c>
      <c r="Y114" s="39">
        <f>IFERROR(VLOOKUP("13_"&amp;A114,SyS!$B:$P,12,FALSE()),0)</f>
        <v>0</v>
      </c>
      <c r="Z114" s="40">
        <f>+X114-Y114</f>
        <v>0</v>
      </c>
      <c r="AA114" s="38">
        <f>IFERROR(VLOOKUP("17_"&amp;A114,SyS!$B:$P,10,FALSE()),0)</f>
        <v>0</v>
      </c>
      <c r="AB114" s="39">
        <f>IFERROR(VLOOKUP("17_"&amp;A114,SyS!$B:$P,12,FALSE()),0)</f>
        <v>0</v>
      </c>
      <c r="AC114" s="40">
        <f>+AA114-AB114</f>
        <v>0</v>
      </c>
      <c r="AD114" s="39"/>
      <c r="AE114" s="39"/>
      <c r="AF114" s="39"/>
      <c r="AG114" s="39">
        <f>IFERROR(VLOOKUP("19_"&amp;A114,SyS!$B:$P,10,FALSE()),0)</f>
        <v>0</v>
      </c>
      <c r="AH114" s="39">
        <f>IFERROR(VLOOKUP("19_"&amp;A114,SyS!$B:$P,12,FALSE()),0)</f>
        <v>0</v>
      </c>
      <c r="AI114" s="39">
        <f>+AG114-AH114</f>
        <v>0</v>
      </c>
      <c r="AJ114" s="39"/>
      <c r="AK114" s="39"/>
      <c r="AL114" s="39"/>
      <c r="AM114" s="39">
        <f>IFERROR(VLOOKUP("23_"&amp;A114,SyS!$B:$P,10,FALSE()),0)</f>
        <v>0</v>
      </c>
      <c r="AN114" s="39">
        <f>IFERROR(VLOOKUP("23_"&amp;A114,SyS!$B:$P,12,FALSE()),0)</f>
        <v>0</v>
      </c>
      <c r="AO114" s="40">
        <f>+AM114-AN114</f>
        <v>0</v>
      </c>
      <c r="AP114" s="39"/>
      <c r="AQ114" s="39"/>
      <c r="AR114" s="39"/>
      <c r="AS114" s="39"/>
      <c r="AT114" s="39"/>
      <c r="AU114" s="39"/>
      <c r="AV114" s="39"/>
      <c r="AW114" s="39"/>
      <c r="AX114" s="39"/>
      <c r="AY114" s="39"/>
      <c r="AZ114" s="39"/>
      <c r="BA114" s="39"/>
      <c r="BB114" s="39"/>
      <c r="BC114" s="39"/>
      <c r="BD114" s="39"/>
      <c r="BE114" s="39"/>
      <c r="BF114" s="39"/>
      <c r="BG114" s="39"/>
      <c r="BH114" s="39"/>
      <c r="BI114" s="39"/>
      <c r="BJ114" s="39"/>
      <c r="BK114" s="39">
        <f>IFERROR(VLOOKUP("29_"&amp;A114,SyS!$B:$P,10,FALSE()),0)</f>
        <v>0</v>
      </c>
      <c r="BL114" s="39">
        <f>IFERROR(VLOOKUP("29_"&amp;A114,SyS!$B:$P,12,FALSE()),0)</f>
        <v>0</v>
      </c>
      <c r="BM114" s="39">
        <f>+BK114-BL114</f>
        <v>0</v>
      </c>
      <c r="BN114" s="38">
        <f>IFERROR(VLOOKUP("30_"&amp;A114,SyS!$B:$P,10,FALSE()),0)</f>
        <v>0</v>
      </c>
      <c r="BO114" s="39">
        <f>IFERROR(VLOOKUP("30_"&amp;A114,SyS!$B:$P,12,FALSE()),0)</f>
        <v>0</v>
      </c>
      <c r="BP114" s="40">
        <f>+BN114-BO114</f>
        <v>0</v>
      </c>
      <c r="BQ114" s="45">
        <f>+E114+H114+K114+Q114+T114+W114+Z114+AC114+AF114+AI114+AL114+AO114+AR114+AU114+AX114+BA114+BD114+BG114+BJ114+BM114+BP114</f>
        <v>0</v>
      </c>
    </row>
    <row r="115" ht="11.25" customHeight="1" spans="1:69" x14ac:dyDescent="0.25">
      <c r="A115" s="44">
        <v>43200000</v>
      </c>
      <c r="B115" s="44" t="s">
        <v>346</v>
      </c>
      <c r="C115" s="38">
        <f>IFERROR(VLOOKUP("1_"&amp;A115,SyS!$B:$P,10,FALSE()),0)</f>
        <v>0</v>
      </c>
      <c r="D115" s="39">
        <f>IFERROR(VLOOKUP("1_"&amp;A115,SyS!$B:$P,12,FALSE()),0)</f>
        <v>0</v>
      </c>
      <c r="E115" s="39">
        <f>+C115-D115</f>
        <v>0</v>
      </c>
      <c r="F115" s="38">
        <f>IFERROR(VLOOKUP("2_"&amp;A115,SyS!$B:$P,10,FALSE()),0)</f>
        <v>0</v>
      </c>
      <c r="G115" s="39">
        <f>IFERROR(VLOOKUP("2_"&amp;A115,SyS!$B:$P,12,FALSE()),0)</f>
        <v>0</v>
      </c>
      <c r="H115" s="40">
        <f>+F115-G115</f>
        <v>0</v>
      </c>
      <c r="I115" s="39"/>
      <c r="J115" s="39"/>
      <c r="K115" s="39"/>
      <c r="L115" s="39"/>
      <c r="M115" s="39"/>
      <c r="N115" s="39"/>
      <c r="O115" s="38">
        <f>IFERROR(VLOOKUP("14_"&amp;A115,SyS!$B:$P,10,FALSE()),0)</f>
        <v>0</v>
      </c>
      <c r="P115" s="39">
        <f>IFERROR(VLOOKUP("14_"&amp;A115,SyS!$B:$P,12,FALSE()),0)</f>
        <v>0</v>
      </c>
      <c r="Q115" s="40">
        <f>+O115-P115</f>
        <v>0</v>
      </c>
      <c r="R115" s="38">
        <f>IFERROR(VLOOKUP("15_"&amp;A115,SyS!$B:$P,10,FALSE()),0)</f>
        <v>0</v>
      </c>
      <c r="S115" s="39">
        <f>IFERROR(VLOOKUP("15_"&amp;A115,SyS!$B:$P,12,FALSE()),0)</f>
        <v>0</v>
      </c>
      <c r="T115" s="40">
        <f>+R115-S115</f>
        <v>0</v>
      </c>
      <c r="U115" s="38">
        <f>IFERROR(VLOOKUP("16_"&amp;A115,SyS!$B:$P,10,FALSE()),0)</f>
        <v>0</v>
      </c>
      <c r="V115" s="39">
        <f>IFERROR(VLOOKUP("16_"&amp;A115,SyS!$B:$P,12,FALSE()),0)</f>
        <v>0</v>
      </c>
      <c r="W115" s="40">
        <f>+U115-V115</f>
        <v>0</v>
      </c>
      <c r="X115" s="38">
        <f>IFERROR(VLOOKUP("13_"&amp;A115,SyS!$B:$P,10,FALSE()),0)</f>
        <v>0</v>
      </c>
      <c r="Y115" s="39">
        <f>IFERROR(VLOOKUP("13_"&amp;A115,SyS!$B:$P,12,FALSE()),0)</f>
        <v>0</v>
      </c>
      <c r="Z115" s="40">
        <f>+X115-Y115</f>
        <v>0</v>
      </c>
      <c r="AA115" s="38">
        <f>IFERROR(VLOOKUP("17_"&amp;A115,SyS!$B:$P,10,FALSE()),0)</f>
        <v>0</v>
      </c>
      <c r="AB115" s="39">
        <f>IFERROR(VLOOKUP("17_"&amp;A115,SyS!$B:$P,12,FALSE()),0)</f>
        <v>0</v>
      </c>
      <c r="AC115" s="40">
        <f>+AA115-AB115</f>
        <v>0</v>
      </c>
      <c r="AD115" s="39"/>
      <c r="AE115" s="39"/>
      <c r="AF115" s="39"/>
      <c r="AG115" s="39">
        <f>IFERROR(VLOOKUP("19_"&amp;A115,SyS!$B:$P,10,FALSE()),0)</f>
        <v>0</v>
      </c>
      <c r="AH115" s="39">
        <f>IFERROR(VLOOKUP("19_"&amp;A115,SyS!$B:$P,12,FALSE()),0)</f>
        <v>0</v>
      </c>
      <c r="AI115" s="39">
        <f>+AG115-AH115</f>
        <v>0</v>
      </c>
      <c r="AJ115" s="39"/>
      <c r="AK115" s="39"/>
      <c r="AL115" s="39"/>
      <c r="AM115" s="39">
        <f>IFERROR(VLOOKUP("23_"&amp;A115,SyS!$B:$P,10,FALSE()),0)</f>
        <v>0</v>
      </c>
      <c r="AN115" s="39">
        <f>IFERROR(VLOOKUP("23_"&amp;A115,SyS!$B:$P,12,FALSE()),0)</f>
        <v>0</v>
      </c>
      <c r="AO115" s="40">
        <f>+AM115-AN115</f>
        <v>0</v>
      </c>
      <c r="AP115" s="39"/>
      <c r="AQ115" s="39"/>
      <c r="AR115" s="39"/>
      <c r="AS115" s="39"/>
      <c r="AT115" s="39"/>
      <c r="AU115" s="39"/>
      <c r="AV115" s="39"/>
      <c r="AW115" s="39"/>
      <c r="AX115" s="39"/>
      <c r="AY115" s="39"/>
      <c r="AZ115" s="39"/>
      <c r="BA115" s="39"/>
      <c r="BB115" s="39"/>
      <c r="BC115" s="39"/>
      <c r="BD115" s="39"/>
      <c r="BE115" s="39"/>
      <c r="BF115" s="39"/>
      <c r="BG115" s="39"/>
      <c r="BH115" s="39"/>
      <c r="BI115" s="39"/>
      <c r="BJ115" s="39"/>
      <c r="BK115" s="39">
        <f>IFERROR(VLOOKUP("29_"&amp;A115,SyS!$B:$P,10,FALSE()),0)</f>
        <v>0</v>
      </c>
      <c r="BL115" s="39">
        <f>IFERROR(VLOOKUP("29_"&amp;A115,SyS!$B:$P,12,FALSE()),0)</f>
        <v>0</v>
      </c>
      <c r="BM115" s="39">
        <f>+BK115-BL115</f>
        <v>0</v>
      </c>
      <c r="BN115" s="38">
        <f>IFERROR(VLOOKUP("30_"&amp;A115,SyS!$B:$P,10,FALSE()),0)</f>
        <v>0</v>
      </c>
      <c r="BO115" s="39">
        <f>IFERROR(VLOOKUP("30_"&amp;A115,SyS!$B:$P,12,FALSE()),0)</f>
        <v>0</v>
      </c>
      <c r="BP115" s="40">
        <f>+BN115-BO115</f>
        <v>0</v>
      </c>
      <c r="BQ115" s="45">
        <f>+E115+H115+K115+Q115+T115+W115+Z115+AC115+AF115+AI115+AL115+AO115+AR115+AU115+AX115+BA115+BD115+BG115+BJ115+BM115+BP115</f>
        <v>0</v>
      </c>
    </row>
    <row r="116" ht="11.25" customHeight="1" spans="1:69" x14ac:dyDescent="0.25">
      <c r="A116" s="44">
        <v>42225000</v>
      </c>
      <c r="B116" s="44" t="s">
        <v>347</v>
      </c>
      <c r="C116" s="38">
        <f>IFERROR(VLOOKUP("1_"&amp;A116,SyS!$B:$P,10,FALSE()),0)</f>
        <v>0</v>
      </c>
      <c r="D116" s="39">
        <f>IFERROR(VLOOKUP("1_"&amp;A116,SyS!$B:$P,12,FALSE()),0)</f>
        <v>0</v>
      </c>
      <c r="E116" s="39">
        <f>+C116-D116</f>
        <v>0</v>
      </c>
      <c r="F116" s="38">
        <f>IFERROR(VLOOKUP("2_"&amp;A116,SyS!$B:$P,10,FALSE()),0)</f>
        <v>0</v>
      </c>
      <c r="G116" s="39">
        <f>IFERROR(VLOOKUP("2_"&amp;A116,SyS!$B:$P,12,FALSE()),0)</f>
        <v>0</v>
      </c>
      <c r="H116" s="40">
        <f>+F116-G116</f>
        <v>0</v>
      </c>
      <c r="I116" s="39"/>
      <c r="J116" s="39"/>
      <c r="K116" s="39"/>
      <c r="L116" s="39"/>
      <c r="M116" s="39"/>
      <c r="N116" s="39"/>
      <c r="O116" s="38">
        <f>IFERROR(VLOOKUP("14_"&amp;A116,SyS!$B:$P,10,FALSE()),0)</f>
        <v>0</v>
      </c>
      <c r="P116" s="39">
        <f>IFERROR(VLOOKUP("14_"&amp;A116,SyS!$B:$P,12,FALSE()),0)</f>
        <v>0</v>
      </c>
      <c r="Q116" s="40">
        <f>+O116-P116</f>
        <v>0</v>
      </c>
      <c r="R116" s="38">
        <f>IFERROR(VLOOKUP("15_"&amp;A116,SyS!$B:$P,10,FALSE()),0)</f>
        <v>0</v>
      </c>
      <c r="S116" s="39">
        <f>IFERROR(VLOOKUP("15_"&amp;A116,SyS!$B:$P,12,FALSE()),0)</f>
        <v>0</v>
      </c>
      <c r="T116" s="40">
        <f>+R116-S116</f>
        <v>0</v>
      </c>
      <c r="U116" s="38">
        <f>IFERROR(VLOOKUP("16_"&amp;A116,SyS!$B:$P,10,FALSE()),0)</f>
        <v>0</v>
      </c>
      <c r="V116" s="39">
        <f>IFERROR(VLOOKUP("16_"&amp;A116,SyS!$B:$P,12,FALSE()),0)</f>
        <v>0</v>
      </c>
      <c r="W116" s="40">
        <f>+U116-V116</f>
        <v>0</v>
      </c>
      <c r="X116" s="38">
        <f>IFERROR(VLOOKUP("13_"&amp;A116,SyS!$B:$P,10,FALSE()),0)</f>
        <v>0</v>
      </c>
      <c r="Y116" s="39">
        <f>IFERROR(VLOOKUP("13_"&amp;A116,SyS!$B:$P,12,FALSE()),0)</f>
        <v>0</v>
      </c>
      <c r="Z116" s="40">
        <f>+X116-Y116</f>
        <v>0</v>
      </c>
      <c r="AA116" s="38">
        <f>IFERROR(VLOOKUP("17_"&amp;A116,SyS!$B:$P,10,FALSE()),0)</f>
        <v>0</v>
      </c>
      <c r="AB116" s="39">
        <f>IFERROR(VLOOKUP("17_"&amp;A116,SyS!$B:$P,12,FALSE()),0)</f>
        <v>0</v>
      </c>
      <c r="AC116" s="40">
        <f>+AA116-AB116</f>
        <v>0</v>
      </c>
      <c r="AD116" s="39"/>
      <c r="AE116" s="39"/>
      <c r="AF116" s="39"/>
      <c r="AG116" s="39">
        <f>IFERROR(VLOOKUP("19_"&amp;A116,SyS!$B:$P,10,FALSE()),0)</f>
        <v>0</v>
      </c>
      <c r="AH116" s="39">
        <f>IFERROR(VLOOKUP("19_"&amp;A116,SyS!$B:$P,12,FALSE()),0)</f>
        <v>0</v>
      </c>
      <c r="AI116" s="39">
        <f>+AG116-AH116</f>
        <v>0</v>
      </c>
      <c r="AJ116" s="39"/>
      <c r="AK116" s="39"/>
      <c r="AL116" s="39"/>
      <c r="AM116" s="39">
        <f>IFERROR(VLOOKUP("23_"&amp;A116,SyS!$B:$P,10,FALSE()),0)</f>
        <v>0</v>
      </c>
      <c r="AN116" s="39">
        <f>IFERROR(VLOOKUP("23_"&amp;A116,SyS!$B:$P,12,FALSE()),0)</f>
        <v>0</v>
      </c>
      <c r="AO116" s="40">
        <f>+AM116-AN116</f>
        <v>0</v>
      </c>
      <c r="AP116" s="39"/>
      <c r="AQ116" s="39"/>
      <c r="AR116" s="39"/>
      <c r="AS116" s="39"/>
      <c r="AT116" s="39"/>
      <c r="AU116" s="39"/>
      <c r="AV116" s="39"/>
      <c r="AW116" s="39"/>
      <c r="AX116" s="39"/>
      <c r="AY116" s="39"/>
      <c r="AZ116" s="39"/>
      <c r="BA116" s="39"/>
      <c r="BB116" s="39"/>
      <c r="BC116" s="39"/>
      <c r="BD116" s="39"/>
      <c r="BE116" s="39"/>
      <c r="BF116" s="39"/>
      <c r="BG116" s="39"/>
      <c r="BH116" s="39"/>
      <c r="BI116" s="39"/>
      <c r="BJ116" s="39"/>
      <c r="BK116" s="39">
        <f>IFERROR(VLOOKUP("29_"&amp;A116,SyS!$B:$P,10,FALSE()),0)</f>
        <v>0</v>
      </c>
      <c r="BL116" s="39">
        <f>IFERROR(VLOOKUP("29_"&amp;A116,SyS!$B:$P,12,FALSE()),0)</f>
        <v>0</v>
      </c>
      <c r="BM116" s="39">
        <f>+BK116-BL116</f>
        <v>0</v>
      </c>
      <c r="BN116" s="38">
        <f>IFERROR(VLOOKUP("30_"&amp;A116,SyS!$B:$P,10,FALSE()),0)</f>
        <v>0</v>
      </c>
      <c r="BO116" s="39">
        <f>IFERROR(VLOOKUP("30_"&amp;A116,SyS!$B:$P,12,FALSE()),0)</f>
        <v>0</v>
      </c>
      <c r="BP116" s="40">
        <f>+BN116-BO116</f>
        <v>0</v>
      </c>
      <c r="BQ116" s="45">
        <f>+E116+H116+K116+Q116+T116+W116+Z116+AC116+AF116+AI116+AL116+AO116+AR116+AU116+AX116+BA116+BD116+BG116+BJ116+BM116+BP116</f>
        <v>0</v>
      </c>
    </row>
    <row r="117" ht="11.25" customHeight="1" spans="1:69" x14ac:dyDescent="0.25">
      <c r="A117" s="44">
        <v>43300000</v>
      </c>
      <c r="B117" s="44" t="s">
        <v>348</v>
      </c>
      <c r="C117" s="38">
        <f>IFERROR(VLOOKUP("1_"&amp;A117,SyS!$B:$P,10,FALSE()),0)</f>
        <v>0</v>
      </c>
      <c r="D117" s="39">
        <f>IFERROR(VLOOKUP("1_"&amp;A117,SyS!$B:$P,12,FALSE()),0)</f>
        <v>0</v>
      </c>
      <c r="E117" s="39">
        <f>+C117-D117</f>
        <v>0</v>
      </c>
      <c r="F117" s="38">
        <f>IFERROR(VLOOKUP("2_"&amp;A117,SyS!$B:$P,10,FALSE()),0)</f>
        <v>0</v>
      </c>
      <c r="G117" s="39">
        <f>IFERROR(VLOOKUP("2_"&amp;A117,SyS!$B:$P,12,FALSE()),0)</f>
        <v>0</v>
      </c>
      <c r="H117" s="40">
        <f>+F117-G117</f>
        <v>0</v>
      </c>
      <c r="I117" s="39"/>
      <c r="J117" s="39"/>
      <c r="K117" s="39"/>
      <c r="L117" s="39"/>
      <c r="M117" s="39"/>
      <c r="N117" s="39"/>
      <c r="O117" s="38">
        <f>IFERROR(VLOOKUP("14_"&amp;A117,SyS!$B:$P,10,FALSE()),0)</f>
        <v>0</v>
      </c>
      <c r="P117" s="39">
        <f>IFERROR(VLOOKUP("14_"&amp;A117,SyS!$B:$P,12,FALSE()),0)</f>
        <v>0</v>
      </c>
      <c r="Q117" s="40">
        <f>+O117-P117</f>
        <v>0</v>
      </c>
      <c r="R117" s="38">
        <f>IFERROR(VLOOKUP("15_"&amp;A117,SyS!$B:$P,10,FALSE()),0)</f>
        <v>0</v>
      </c>
      <c r="S117" s="39">
        <f>IFERROR(VLOOKUP("15_"&amp;A117,SyS!$B:$P,12,FALSE()),0)</f>
        <v>0</v>
      </c>
      <c r="T117" s="40">
        <f>+R117-S117</f>
        <v>0</v>
      </c>
      <c r="U117" s="38">
        <f>IFERROR(VLOOKUP("16_"&amp;A117,SyS!$B:$P,10,FALSE()),0)</f>
        <v>0</v>
      </c>
      <c r="V117" s="39">
        <f>IFERROR(VLOOKUP("16_"&amp;A117,SyS!$B:$P,12,FALSE()),0)</f>
        <v>0</v>
      </c>
      <c r="W117" s="40">
        <f>+U117-V117</f>
        <v>0</v>
      </c>
      <c r="X117" s="38">
        <f>IFERROR(VLOOKUP("13_"&amp;A117,SyS!$B:$P,10,FALSE()),0)</f>
        <v>0</v>
      </c>
      <c r="Y117" s="39">
        <f>IFERROR(VLOOKUP("13_"&amp;A117,SyS!$B:$P,12,FALSE()),0)</f>
        <v>0</v>
      </c>
      <c r="Z117" s="40">
        <f>+X117-Y117</f>
        <v>0</v>
      </c>
      <c r="AA117" s="38">
        <f>IFERROR(VLOOKUP("17_"&amp;A117,SyS!$B:$P,10,FALSE()),0)</f>
        <v>0</v>
      </c>
      <c r="AB117" s="39">
        <f>IFERROR(VLOOKUP("17_"&amp;A117,SyS!$B:$P,12,FALSE()),0)</f>
        <v>0</v>
      </c>
      <c r="AC117" s="40">
        <f>+AA117-AB117</f>
        <v>0</v>
      </c>
      <c r="AD117" s="39"/>
      <c r="AE117" s="39"/>
      <c r="AF117" s="39"/>
      <c r="AG117" s="39">
        <f>IFERROR(VLOOKUP("19_"&amp;A117,SyS!$B:$P,10,FALSE()),0)</f>
        <v>0</v>
      </c>
      <c r="AH117" s="39">
        <f>IFERROR(VLOOKUP("19_"&amp;A117,SyS!$B:$P,12,FALSE()),0)</f>
        <v>0</v>
      </c>
      <c r="AI117" s="39">
        <f>+AG117-AH117</f>
        <v>0</v>
      </c>
      <c r="AJ117" s="39"/>
      <c r="AK117" s="39"/>
      <c r="AL117" s="39"/>
      <c r="AM117" s="39">
        <f>IFERROR(VLOOKUP("23_"&amp;A117,SyS!$B:$P,10,FALSE()),0)</f>
        <v>0</v>
      </c>
      <c r="AN117" s="39">
        <f>IFERROR(VLOOKUP("23_"&amp;A117,SyS!$B:$P,12,FALSE()),0)</f>
        <v>0</v>
      </c>
      <c r="AO117" s="40">
        <f>+AM117-AN117</f>
        <v>0</v>
      </c>
      <c r="AP117" s="39"/>
      <c r="AQ117" s="39"/>
      <c r="AR117" s="39"/>
      <c r="AS117" s="39"/>
      <c r="AT117" s="39"/>
      <c r="AU117" s="39"/>
      <c r="AV117" s="39"/>
      <c r="AW117" s="39"/>
      <c r="AX117" s="39"/>
      <c r="AY117" s="39"/>
      <c r="AZ117" s="39"/>
      <c r="BA117" s="39"/>
      <c r="BB117" s="39"/>
      <c r="BC117" s="39"/>
      <c r="BD117" s="39"/>
      <c r="BE117" s="39"/>
      <c r="BF117" s="39"/>
      <c r="BG117" s="39"/>
      <c r="BH117" s="39"/>
      <c r="BI117" s="39"/>
      <c r="BJ117" s="39"/>
      <c r="BK117" s="39">
        <f>IFERROR(VLOOKUP("29_"&amp;A117,SyS!$B:$P,10,FALSE()),0)</f>
        <v>0</v>
      </c>
      <c r="BL117" s="39">
        <f>IFERROR(VLOOKUP("29_"&amp;A117,SyS!$B:$P,12,FALSE()),0)</f>
        <v>0</v>
      </c>
      <c r="BM117" s="39">
        <f>+BK117-BL117</f>
        <v>0</v>
      </c>
      <c r="BN117" s="38">
        <f>IFERROR(VLOOKUP("30_"&amp;A117,SyS!$B:$P,10,FALSE()),0)</f>
        <v>0</v>
      </c>
      <c r="BO117" s="39">
        <f>IFERROR(VLOOKUP("30_"&amp;A117,SyS!$B:$P,12,FALSE()),0)</f>
        <v>0</v>
      </c>
      <c r="BP117" s="40">
        <f>+BN117-BO117</f>
        <v>0</v>
      </c>
      <c r="BQ117" s="45">
        <f>+E117+H117+K117+Q117+T117+W117+Z117+AC117+AF117+AI117+AL117+AO117+AR117+AU117+AX117+BA117+BD117+BG117+BJ117+BM117+BP117</f>
        <v>0</v>
      </c>
    </row>
    <row r="118" ht="11.25" customHeight="1" spans="1:69" x14ac:dyDescent="0.25">
      <c r="A118" s="44">
        <v>42445000</v>
      </c>
      <c r="B118" s="44" t="s">
        <v>349</v>
      </c>
      <c r="C118" s="38">
        <f>IFERROR(VLOOKUP("1_"&amp;A118,SyS!$B:$P,10,FALSE()),0)</f>
        <v>0</v>
      </c>
      <c r="D118" s="39">
        <f>IFERROR(VLOOKUP("1_"&amp;A118,SyS!$B:$P,12,FALSE()),0)</f>
        <v>0</v>
      </c>
      <c r="E118" s="39">
        <f>+C118-D118</f>
        <v>0</v>
      </c>
      <c r="F118" s="38">
        <f>IFERROR(VLOOKUP("2_"&amp;A118,SyS!$B:$P,10,FALSE()),0)</f>
        <v>0</v>
      </c>
      <c r="G118" s="39">
        <f>IFERROR(VLOOKUP("2_"&amp;A118,SyS!$B:$P,12,FALSE()),0)</f>
        <v>0</v>
      </c>
      <c r="H118" s="40">
        <f>+F118-G118</f>
        <v>0</v>
      </c>
      <c r="I118" s="39"/>
      <c r="J118" s="39"/>
      <c r="K118" s="39"/>
      <c r="L118" s="39"/>
      <c r="M118" s="39"/>
      <c r="N118" s="39"/>
      <c r="O118" s="38">
        <f>IFERROR(VLOOKUP("14_"&amp;A118,SyS!$B:$P,10,FALSE()),0)</f>
        <v>0</v>
      </c>
      <c r="P118" s="39">
        <f>IFERROR(VLOOKUP("14_"&amp;A118,SyS!$B:$P,12,FALSE()),0)</f>
        <v>0</v>
      </c>
      <c r="Q118" s="40">
        <f>+O118-P118</f>
        <v>0</v>
      </c>
      <c r="R118" s="38">
        <f>IFERROR(VLOOKUP("15_"&amp;A118,SyS!$B:$P,10,FALSE()),0)</f>
        <v>0</v>
      </c>
      <c r="S118" s="39">
        <f>IFERROR(VLOOKUP("15_"&amp;A118,SyS!$B:$P,12,FALSE()),0)</f>
        <v>0</v>
      </c>
      <c r="T118" s="40">
        <f>+R118-S118</f>
        <v>0</v>
      </c>
      <c r="U118" s="38">
        <f>IFERROR(VLOOKUP("16_"&amp;A118,SyS!$B:$P,10,FALSE()),0)</f>
        <v>0</v>
      </c>
      <c r="V118" s="39">
        <f>IFERROR(VLOOKUP("16_"&amp;A118,SyS!$B:$P,12,FALSE()),0)</f>
        <v>0</v>
      </c>
      <c r="W118" s="40">
        <f>+U118-V118</f>
        <v>0</v>
      </c>
      <c r="X118" s="38">
        <f>IFERROR(VLOOKUP("13_"&amp;A118,SyS!$B:$P,10,FALSE()),0)</f>
        <v>0</v>
      </c>
      <c r="Y118" s="39">
        <f>IFERROR(VLOOKUP("13_"&amp;A118,SyS!$B:$P,12,FALSE()),0)</f>
        <v>0</v>
      </c>
      <c r="Z118" s="40">
        <f>+X118-Y118</f>
        <v>0</v>
      </c>
      <c r="AA118" s="38">
        <f>IFERROR(VLOOKUP("17_"&amp;A118,SyS!$B:$P,10,FALSE()),0)</f>
        <v>0</v>
      </c>
      <c r="AB118" s="39">
        <f>IFERROR(VLOOKUP("17_"&amp;A118,SyS!$B:$P,12,FALSE()),0)</f>
        <v>0</v>
      </c>
      <c r="AC118" s="40">
        <f>+AA118-AB118</f>
        <v>0</v>
      </c>
      <c r="AD118" s="39"/>
      <c r="AE118" s="39"/>
      <c r="AF118" s="39"/>
      <c r="AG118" s="39">
        <f>IFERROR(VLOOKUP("19_"&amp;A118,SyS!$B:$P,10,FALSE()),0)</f>
        <v>0</v>
      </c>
      <c r="AH118" s="39">
        <f>IFERROR(VLOOKUP("19_"&amp;A118,SyS!$B:$P,12,FALSE()),0)</f>
        <v>0</v>
      </c>
      <c r="AI118" s="39">
        <f>+AG118-AH118</f>
        <v>0</v>
      </c>
      <c r="AJ118" s="39"/>
      <c r="AK118" s="39"/>
      <c r="AL118" s="39"/>
      <c r="AM118" s="39">
        <f>IFERROR(VLOOKUP("23_"&amp;A118,SyS!$B:$P,10,FALSE()),0)</f>
        <v>0</v>
      </c>
      <c r="AN118" s="39">
        <f>IFERROR(VLOOKUP("23_"&amp;A118,SyS!$B:$P,12,FALSE()),0)</f>
        <v>0</v>
      </c>
      <c r="AO118" s="40">
        <f>+AM118-AN118</f>
        <v>0</v>
      </c>
      <c r="AP118" s="39"/>
      <c r="AQ118" s="39"/>
      <c r="AR118" s="39"/>
      <c r="AS118" s="39"/>
      <c r="AT118" s="39"/>
      <c r="AU118" s="39"/>
      <c r="AV118" s="39"/>
      <c r="AW118" s="39"/>
      <c r="AX118" s="39"/>
      <c r="AY118" s="39"/>
      <c r="AZ118" s="39"/>
      <c r="BA118" s="39"/>
      <c r="BB118" s="39"/>
      <c r="BC118" s="39"/>
      <c r="BD118" s="39"/>
      <c r="BE118" s="39"/>
      <c r="BF118" s="39"/>
      <c r="BG118" s="39"/>
      <c r="BH118" s="39"/>
      <c r="BI118" s="39"/>
      <c r="BJ118" s="39"/>
      <c r="BK118" s="39">
        <f>IFERROR(VLOOKUP("29_"&amp;A118,SyS!$B:$P,10,FALSE()),0)</f>
        <v>0</v>
      </c>
      <c r="BL118" s="39">
        <f>IFERROR(VLOOKUP("29_"&amp;A118,SyS!$B:$P,12,FALSE()),0)</f>
        <v>0</v>
      </c>
      <c r="BM118" s="39">
        <f>+BK118-BL118</f>
        <v>0</v>
      </c>
      <c r="BN118" s="38">
        <f>IFERROR(VLOOKUP("30_"&amp;A118,SyS!$B:$P,10,FALSE()),0)</f>
        <v>0</v>
      </c>
      <c r="BO118" s="39">
        <f>IFERROR(VLOOKUP("30_"&amp;A118,SyS!$B:$P,12,FALSE()),0)</f>
        <v>0</v>
      </c>
      <c r="BP118" s="40">
        <f>+BN118-BO118</f>
        <v>0</v>
      </c>
      <c r="BQ118" s="45">
        <f>+E118+H118+K118+Q118+T118+W118+Z118+AC118+AF118+AI118+AL118+AO118+AR118+AU118+AX118+BA118+BD118+BG118+BJ118+BM118+BP118</f>
        <v>0</v>
      </c>
    </row>
    <row r="119" ht="11.25" customHeight="1" spans="1:69" x14ac:dyDescent="0.25">
      <c r="A119" s="44">
        <v>422240000</v>
      </c>
      <c r="B119" s="44" t="s">
        <v>350</v>
      </c>
      <c r="C119" s="38">
        <f>IFERROR(VLOOKUP("1_"&amp;A119,SyS!$B:$P,10,FALSE()),0)</f>
        <v>0</v>
      </c>
      <c r="D119" s="39">
        <f>IFERROR(VLOOKUP("1_"&amp;A119,SyS!$B:$P,12,FALSE()),0)</f>
        <v>0</v>
      </c>
      <c r="E119" s="39">
        <f>+C119-D119</f>
        <v>0</v>
      </c>
      <c r="F119" s="38">
        <f>IFERROR(VLOOKUP("2_"&amp;A119,SyS!$B:$P,10,FALSE()),0)</f>
        <v>0</v>
      </c>
      <c r="G119" s="39">
        <f>IFERROR(VLOOKUP("2_"&amp;A119,SyS!$B:$P,12,FALSE()),0)</f>
        <v>0</v>
      </c>
      <c r="H119" s="40">
        <f>+F119-G119</f>
        <v>0</v>
      </c>
      <c r="I119" s="39"/>
      <c r="J119" s="39"/>
      <c r="K119" s="39"/>
      <c r="L119" s="39"/>
      <c r="M119" s="39"/>
      <c r="N119" s="39"/>
      <c r="O119" s="38">
        <f>IFERROR(VLOOKUP("14_"&amp;A119,SyS!$B:$P,10,FALSE()),0)</f>
        <v>0</v>
      </c>
      <c r="P119" s="39">
        <f>IFERROR(VLOOKUP("14_"&amp;A119,SyS!$B:$P,12,FALSE()),0)</f>
        <v>0</v>
      </c>
      <c r="Q119" s="40">
        <f>+O119-P119</f>
        <v>0</v>
      </c>
      <c r="R119" s="38">
        <f>IFERROR(VLOOKUP("15_"&amp;A119,SyS!$B:$P,10,FALSE()),0)</f>
        <v>0</v>
      </c>
      <c r="S119" s="39">
        <f>IFERROR(VLOOKUP("15_"&amp;A119,SyS!$B:$P,12,FALSE()),0)</f>
        <v>0</v>
      </c>
      <c r="T119" s="40">
        <f>+R119-S119</f>
        <v>0</v>
      </c>
      <c r="U119" s="38">
        <f>IFERROR(VLOOKUP("16_"&amp;A119,SyS!$B:$P,10,FALSE()),0)</f>
        <v>0</v>
      </c>
      <c r="V119" s="39">
        <f>IFERROR(VLOOKUP("16_"&amp;A119,SyS!$B:$P,12,FALSE()),0)</f>
        <v>0</v>
      </c>
      <c r="W119" s="40">
        <f>+U119-V119</f>
        <v>0</v>
      </c>
      <c r="X119" s="38">
        <f>IFERROR(VLOOKUP("13_"&amp;A119,SyS!$B:$P,10,FALSE()),0)</f>
        <v>0</v>
      </c>
      <c r="Y119" s="39">
        <f>IFERROR(VLOOKUP("13_"&amp;A119,SyS!$B:$P,12,FALSE()),0)</f>
        <v>0</v>
      </c>
      <c r="Z119" s="40">
        <f>+X119-Y119</f>
        <v>0</v>
      </c>
      <c r="AA119" s="38">
        <f>IFERROR(VLOOKUP("17_"&amp;A119,SyS!$B:$P,10,FALSE()),0)</f>
        <v>0</v>
      </c>
      <c r="AB119" s="39">
        <f>IFERROR(VLOOKUP("17_"&amp;A119,SyS!$B:$P,12,FALSE()),0)</f>
        <v>0</v>
      </c>
      <c r="AC119" s="40">
        <f>+AA119-AB119</f>
        <v>0</v>
      </c>
      <c r="AD119" s="39"/>
      <c r="AE119" s="39"/>
      <c r="AF119" s="39"/>
      <c r="AG119" s="39">
        <f>IFERROR(VLOOKUP("19_"&amp;A119,SyS!$B:$P,10,FALSE()),0)</f>
        <v>0</v>
      </c>
      <c r="AH119" s="39">
        <f>IFERROR(VLOOKUP("19_"&amp;A119,SyS!$B:$P,12,FALSE()),0)</f>
        <v>0</v>
      </c>
      <c r="AI119" s="39">
        <f>+AG119-AH119</f>
        <v>0</v>
      </c>
      <c r="AJ119" s="39"/>
      <c r="AK119" s="39"/>
      <c r="AL119" s="39"/>
      <c r="AM119" s="39">
        <f>IFERROR(VLOOKUP("23_"&amp;A119,SyS!$B:$P,10,FALSE()),0)</f>
        <v>0</v>
      </c>
      <c r="AN119" s="39">
        <f>IFERROR(VLOOKUP("23_"&amp;A119,SyS!$B:$P,12,FALSE()),0)</f>
        <v>0</v>
      </c>
      <c r="AO119" s="40">
        <f>+AM119-AN119</f>
        <v>0</v>
      </c>
      <c r="AP119" s="39"/>
      <c r="AQ119" s="39"/>
      <c r="AR119" s="39"/>
      <c r="AS119" s="39"/>
      <c r="AT119" s="39"/>
      <c r="AU119" s="39"/>
      <c r="AV119" s="39"/>
      <c r="AW119" s="39"/>
      <c r="AX119" s="39"/>
      <c r="AY119" s="39"/>
      <c r="AZ119" s="39"/>
      <c r="BA119" s="39"/>
      <c r="BB119" s="39"/>
      <c r="BC119" s="39"/>
      <c r="BD119" s="39"/>
      <c r="BE119" s="39"/>
      <c r="BF119" s="39"/>
      <c r="BG119" s="39"/>
      <c r="BH119" s="39"/>
      <c r="BI119" s="39"/>
      <c r="BJ119" s="39"/>
      <c r="BK119" s="39">
        <f>IFERROR(VLOOKUP("29_"&amp;A119,SyS!$B:$P,10,FALSE()),0)</f>
        <v>0</v>
      </c>
      <c r="BL119" s="39">
        <f>IFERROR(VLOOKUP("29_"&amp;A119,SyS!$B:$P,12,FALSE()),0)</f>
        <v>0</v>
      </c>
      <c r="BM119" s="39">
        <f>+BK119-BL119</f>
        <v>0</v>
      </c>
      <c r="BN119" s="38">
        <f>IFERROR(VLOOKUP("30_"&amp;A119,SyS!$B:$P,10,FALSE()),0)</f>
        <v>0</v>
      </c>
      <c r="BO119" s="39">
        <f>IFERROR(VLOOKUP("30_"&amp;A119,SyS!$B:$P,12,FALSE()),0)</f>
        <v>0</v>
      </c>
      <c r="BP119" s="40">
        <f>+BN119-BO119</f>
        <v>0</v>
      </c>
      <c r="BQ119" s="45">
        <f>+E119+H119+K119+Q119+T119+W119+Z119+AC119+AF119+AI119+AL119+AO119+AR119+AU119+AX119+BA119+BD119+BG119+BJ119+BM119+BP119</f>
        <v>0</v>
      </c>
    </row>
    <row r="120" ht="11.25" customHeight="1" spans="1:69" x14ac:dyDescent="0.25">
      <c r="A120" s="44">
        <v>424820000</v>
      </c>
      <c r="B120" s="44" t="s">
        <v>351</v>
      </c>
      <c r="C120" s="38">
        <f>IFERROR(VLOOKUP("1_"&amp;A120,SyS!$B:$P,10,FALSE()),0)</f>
        <v>0</v>
      </c>
      <c r="D120" s="39">
        <f>IFERROR(VLOOKUP("1_"&amp;A120,SyS!$B:$P,12,FALSE()),0)</f>
        <v>0</v>
      </c>
      <c r="E120" s="39">
        <f>+C120-D120</f>
        <v>0</v>
      </c>
      <c r="F120" s="38">
        <f>IFERROR(VLOOKUP("2_"&amp;A120,SyS!$B:$P,10,FALSE()),0)</f>
        <v>0</v>
      </c>
      <c r="G120" s="39">
        <f>IFERROR(VLOOKUP("2_"&amp;A120,SyS!$B:$P,12,FALSE()),0)</f>
        <v>0</v>
      </c>
      <c r="H120" s="40">
        <f>+F120-G120</f>
        <v>0</v>
      </c>
      <c r="I120" s="39"/>
      <c r="J120" s="39"/>
      <c r="K120" s="39"/>
      <c r="L120" s="39"/>
      <c r="M120" s="39"/>
      <c r="N120" s="39"/>
      <c r="O120" s="38">
        <f>IFERROR(VLOOKUP("14_"&amp;A120,SyS!$B:$P,10,FALSE()),0)</f>
        <v>0</v>
      </c>
      <c r="P120" s="39">
        <f>IFERROR(VLOOKUP("14_"&amp;A120,SyS!$B:$P,12,FALSE()),0)</f>
        <v>0</v>
      </c>
      <c r="Q120" s="40">
        <f>+O120-P120</f>
        <v>0</v>
      </c>
      <c r="R120" s="38">
        <f>IFERROR(VLOOKUP("15_"&amp;A120,SyS!$B:$P,10,FALSE()),0)</f>
        <v>0</v>
      </c>
      <c r="S120" s="39">
        <f>IFERROR(VLOOKUP("15_"&amp;A120,SyS!$B:$P,12,FALSE()),0)</f>
        <v>0</v>
      </c>
      <c r="T120" s="40">
        <f>+R120-S120</f>
        <v>0</v>
      </c>
      <c r="U120" s="38">
        <f>IFERROR(VLOOKUP("16_"&amp;A120,SyS!$B:$P,10,FALSE()),0)</f>
        <v>0</v>
      </c>
      <c r="V120" s="39">
        <f>IFERROR(VLOOKUP("16_"&amp;A120,SyS!$B:$P,12,FALSE()),0)</f>
        <v>0</v>
      </c>
      <c r="W120" s="40">
        <f>+U120-V120</f>
        <v>0</v>
      </c>
      <c r="X120" s="38">
        <f>IFERROR(VLOOKUP("13_"&amp;A120,SyS!$B:$P,10,FALSE()),0)</f>
        <v>0</v>
      </c>
      <c r="Y120" s="39">
        <f>IFERROR(VLOOKUP("13_"&amp;A120,SyS!$B:$P,12,FALSE()),0)</f>
        <v>0</v>
      </c>
      <c r="Z120" s="40">
        <f>+X120-Y120</f>
        <v>0</v>
      </c>
      <c r="AA120" s="38">
        <f>IFERROR(VLOOKUP("17_"&amp;A120,SyS!$B:$P,10,FALSE()),0)</f>
        <v>0</v>
      </c>
      <c r="AB120" s="39">
        <f>IFERROR(VLOOKUP("17_"&amp;A120,SyS!$B:$P,12,FALSE()),0)</f>
        <v>0</v>
      </c>
      <c r="AC120" s="40">
        <f>+AA120-AB120</f>
        <v>0</v>
      </c>
      <c r="AD120" s="39"/>
      <c r="AE120" s="39"/>
      <c r="AF120" s="39"/>
      <c r="AG120" s="39">
        <f>IFERROR(VLOOKUP("19_"&amp;A120,SyS!$B:$P,10,FALSE()),0)</f>
        <v>0</v>
      </c>
      <c r="AH120" s="39">
        <f>IFERROR(VLOOKUP("19_"&amp;A120,SyS!$B:$P,12,FALSE()),0)</f>
        <v>0</v>
      </c>
      <c r="AI120" s="39">
        <f>+AG120-AH120</f>
        <v>0</v>
      </c>
      <c r="AJ120" s="39"/>
      <c r="AK120" s="39"/>
      <c r="AL120" s="39"/>
      <c r="AM120" s="39">
        <f>IFERROR(VLOOKUP("23_"&amp;A120,SyS!$B:$P,10,FALSE()),0)</f>
        <v>0</v>
      </c>
      <c r="AN120" s="39">
        <f>IFERROR(VLOOKUP("23_"&amp;A120,SyS!$B:$P,12,FALSE()),0)</f>
        <v>0</v>
      </c>
      <c r="AO120" s="40">
        <f>+AM120-AN120</f>
        <v>0</v>
      </c>
      <c r="AP120" s="39"/>
      <c r="AQ120" s="39"/>
      <c r="AR120" s="39"/>
      <c r="AS120" s="39"/>
      <c r="AT120" s="39"/>
      <c r="AU120" s="39"/>
      <c r="AV120" s="39"/>
      <c r="AW120" s="39"/>
      <c r="AX120" s="39"/>
      <c r="AY120" s="39"/>
      <c r="AZ120" s="39"/>
      <c r="BA120" s="39"/>
      <c r="BB120" s="39"/>
      <c r="BC120" s="39"/>
      <c r="BD120" s="39"/>
      <c r="BE120" s="39"/>
      <c r="BF120" s="39"/>
      <c r="BG120" s="39"/>
      <c r="BH120" s="39"/>
      <c r="BI120" s="39"/>
      <c r="BJ120" s="39"/>
      <c r="BK120" s="39">
        <f>IFERROR(VLOOKUP("29_"&amp;A120,SyS!$B:$P,10,FALSE()),0)</f>
        <v>0</v>
      </c>
      <c r="BL120" s="39">
        <f>IFERROR(VLOOKUP("29_"&amp;A120,SyS!$B:$P,12,FALSE()),0)</f>
        <v>0</v>
      </c>
      <c r="BM120" s="39">
        <f>+BK120-BL120</f>
        <v>0</v>
      </c>
      <c r="BN120" s="38">
        <f>IFERROR(VLOOKUP("30_"&amp;A120,SyS!$B:$P,10,FALSE()),0)</f>
        <v>0</v>
      </c>
      <c r="BO120" s="39">
        <f>IFERROR(VLOOKUP("30_"&amp;A120,SyS!$B:$P,12,FALSE()),0)</f>
        <v>0</v>
      </c>
      <c r="BP120" s="40">
        <f>+BN120-BO120</f>
        <v>0</v>
      </c>
      <c r="BQ120" s="45">
        <f>+E120+H120+K120+Q120+T120+W120+Z120+AC120+AF120+AI120+AL120+AO120+AR120+AU120+AX120+BA120+BD120+BG120+BJ120+BM120+BP120</f>
        <v>0</v>
      </c>
    </row>
    <row r="121" ht="12" customHeight="1" spans="1:69" x14ac:dyDescent="0.25">
      <c r="A121" s="44">
        <v>432010000</v>
      </c>
      <c r="B121" s="44" t="s">
        <v>345</v>
      </c>
      <c r="C121" s="38">
        <f>IFERROR(VLOOKUP("1_"&amp;A121,SyS!$B:$P,10,FALSE()),0)</f>
        <v>0</v>
      </c>
      <c r="D121" s="39">
        <f>IFERROR(VLOOKUP("1_"&amp;A121,SyS!$B:$P,12,FALSE()),0)</f>
        <v>0</v>
      </c>
      <c r="E121" s="39">
        <f>+C121-D121</f>
        <v>0</v>
      </c>
      <c r="F121" s="38">
        <f>IFERROR(VLOOKUP("2_"&amp;A121,SyS!$B:$P,10,FALSE()),0)</f>
        <v>0</v>
      </c>
      <c r="G121" s="39">
        <f>IFERROR(VLOOKUP("2_"&amp;A121,SyS!$B:$P,12,FALSE()),0)</f>
        <v>0</v>
      </c>
      <c r="H121" s="40">
        <f>+F121-G121</f>
        <v>0</v>
      </c>
      <c r="I121" s="39"/>
      <c r="J121" s="39"/>
      <c r="K121" s="39"/>
      <c r="L121" s="39"/>
      <c r="M121" s="39"/>
      <c r="N121" s="39"/>
      <c r="O121" s="38">
        <f>IFERROR(VLOOKUP("14_"&amp;A121,SyS!$B:$P,10,FALSE()),0)</f>
        <v>0</v>
      </c>
      <c r="P121" s="39">
        <f>IFERROR(VLOOKUP("14_"&amp;A121,SyS!$B:$P,12,FALSE()),0)</f>
        <v>0</v>
      </c>
      <c r="Q121" s="40">
        <f>+O121-P121</f>
        <v>0</v>
      </c>
      <c r="R121" s="38">
        <f>IFERROR(VLOOKUP("15_"&amp;A121,SyS!$B:$P,10,FALSE()),0)</f>
        <v>0</v>
      </c>
      <c r="S121" s="39">
        <f>IFERROR(VLOOKUP("15_"&amp;A121,SyS!$B:$P,12,FALSE()),0)</f>
        <v>0</v>
      </c>
      <c r="T121" s="40">
        <f>+R121-S121</f>
        <v>0</v>
      </c>
      <c r="U121" s="38">
        <f>IFERROR(VLOOKUP("16_"&amp;A121,SyS!$B:$P,10,FALSE()),0)</f>
        <v>0</v>
      </c>
      <c r="V121" s="39">
        <f>IFERROR(VLOOKUP("16_"&amp;A121,SyS!$B:$P,12,FALSE()),0)</f>
        <v>0</v>
      </c>
      <c r="W121" s="40">
        <f>+U121-V121</f>
        <v>0</v>
      </c>
      <c r="X121" s="38">
        <f>IFERROR(VLOOKUP("13_"&amp;A121,SyS!$B:$P,10,FALSE()),0)</f>
        <v>0</v>
      </c>
      <c r="Y121" s="39">
        <f>IFERROR(VLOOKUP("13_"&amp;A121,SyS!$B:$P,12,FALSE()),0)</f>
        <v>0</v>
      </c>
      <c r="Z121" s="40">
        <f>+X121-Y121</f>
        <v>0</v>
      </c>
      <c r="AA121" s="38">
        <f>IFERROR(VLOOKUP("17_"&amp;A121,SyS!$B:$P,10,FALSE()),0)</f>
        <v>0</v>
      </c>
      <c r="AB121" s="39">
        <f>IFERROR(VLOOKUP("17_"&amp;A121,SyS!$B:$P,12,FALSE()),0)</f>
        <v>0</v>
      </c>
      <c r="AC121" s="40">
        <f>+AA121-AB121</f>
        <v>0</v>
      </c>
      <c r="AD121" s="39"/>
      <c r="AE121" s="39"/>
      <c r="AF121" s="39"/>
      <c r="AG121" s="39">
        <f>IFERROR(VLOOKUP("19_"&amp;A121,SyS!$B:$P,10,FALSE()),0)</f>
        <v>0</v>
      </c>
      <c r="AH121" s="39">
        <f>IFERROR(VLOOKUP("19_"&amp;A121,SyS!$B:$P,12,FALSE()),0)</f>
        <v>0</v>
      </c>
      <c r="AI121" s="39">
        <f>+AG121-AH121</f>
        <v>0</v>
      </c>
      <c r="AJ121" s="39"/>
      <c r="AK121" s="39"/>
      <c r="AL121" s="39"/>
      <c r="AM121" s="39">
        <f>IFERROR(VLOOKUP("23_"&amp;A121,SyS!$B:$P,10,FALSE()),0)</f>
        <v>0</v>
      </c>
      <c r="AN121" s="39">
        <f>IFERROR(VLOOKUP("23_"&amp;A121,SyS!$B:$P,12,FALSE()),0)</f>
        <v>0</v>
      </c>
      <c r="AO121" s="40">
        <f>+AM121-AN121</f>
        <v>0</v>
      </c>
      <c r="AP121" s="39"/>
      <c r="AQ121" s="39"/>
      <c r="AR121" s="39"/>
      <c r="AS121" s="39"/>
      <c r="AT121" s="39"/>
      <c r="AU121" s="39"/>
      <c r="AV121" s="39"/>
      <c r="AW121" s="39"/>
      <c r="AX121" s="39"/>
      <c r="AY121" s="39"/>
      <c r="AZ121" s="39"/>
      <c r="BA121" s="39"/>
      <c r="BB121" s="39"/>
      <c r="BC121" s="39"/>
      <c r="BD121" s="39"/>
      <c r="BE121" s="39"/>
      <c r="BF121" s="39"/>
      <c r="BG121" s="39"/>
      <c r="BH121" s="39"/>
      <c r="BI121" s="39"/>
      <c r="BJ121" s="39"/>
      <c r="BK121" s="39">
        <f>IFERROR(VLOOKUP("29_"&amp;A121,SyS!$B:$P,10,FALSE()),0)</f>
        <v>0</v>
      </c>
      <c r="BL121" s="39">
        <f>IFERROR(VLOOKUP("29_"&amp;A121,SyS!$B:$P,12,FALSE()),0)</f>
        <v>0</v>
      </c>
      <c r="BM121" s="39">
        <f>+BK121-BL121</f>
        <v>0</v>
      </c>
      <c r="BN121" s="38">
        <f>IFERROR(VLOOKUP("30_"&amp;A121,SyS!$B:$P,10,FALSE()),0)</f>
        <v>0</v>
      </c>
      <c r="BO121" s="39">
        <f>IFERROR(VLOOKUP("30_"&amp;A121,SyS!$B:$P,12,FALSE()),0)</f>
        <v>0</v>
      </c>
      <c r="BP121" s="40">
        <f>+BN121-BO121</f>
        <v>0</v>
      </c>
      <c r="BQ121" s="45">
        <f>+E121+H121+K121+Q121+T121+W121+Z121+AC121+AF121+AI121+AL121+AO121+AR121+AU121+AX121+BA121+BD121+BG121+BJ121+BM121+BP121</f>
        <v>0</v>
      </c>
    </row>
    <row r="122" ht="11.25" customHeight="1" spans="1:69" x14ac:dyDescent="0.25">
      <c r="A122" s="47"/>
      <c r="B122" s="48" t="s">
        <v>352</v>
      </c>
      <c r="C122" s="38">
        <f>IFERROR(VLOOKUP("1_"&amp;A122,SyS!$B:$P,10,FALSE()),0)</f>
        <v>0</v>
      </c>
      <c r="D122" s="39">
        <f>IFERROR(VLOOKUP("1_"&amp;A122,SyS!$B:$P,12,FALSE()),0)</f>
        <v>0</v>
      </c>
      <c r="E122" s="39">
        <f>+C122-D122</f>
        <v>0</v>
      </c>
      <c r="F122" s="38"/>
      <c r="G122" s="39"/>
      <c r="H122" s="40"/>
      <c r="I122" s="39"/>
      <c r="J122" s="39"/>
      <c r="K122" s="39"/>
      <c r="L122" s="39"/>
      <c r="M122" s="39"/>
      <c r="N122" s="39"/>
      <c r="O122" s="38"/>
      <c r="P122" s="39"/>
      <c r="Q122" s="40"/>
      <c r="R122" s="38"/>
      <c r="S122" s="39"/>
      <c r="T122" s="40"/>
      <c r="U122" s="38"/>
      <c r="V122" s="39"/>
      <c r="W122" s="40"/>
      <c r="X122" s="38"/>
      <c r="Y122" s="39"/>
      <c r="Z122" s="40"/>
      <c r="AA122" s="38"/>
      <c r="AB122" s="39"/>
      <c r="AC122" s="40"/>
      <c r="AD122" s="39"/>
      <c r="AE122" s="39"/>
      <c r="AF122" s="39"/>
      <c r="AG122" s="39"/>
      <c r="AH122" s="39"/>
      <c r="AI122" s="39"/>
      <c r="AJ122" s="39"/>
      <c r="AK122" s="39"/>
      <c r="AL122" s="39"/>
      <c r="AM122" s="38"/>
      <c r="AN122" s="39"/>
      <c r="AO122" s="40"/>
      <c r="AP122" s="39"/>
      <c r="AQ122" s="39"/>
      <c r="AR122" s="39"/>
      <c r="AS122" s="39"/>
      <c r="AT122" s="39"/>
      <c r="AU122" s="39"/>
      <c r="AV122" s="39"/>
      <c r="AW122" s="39"/>
      <c r="AX122" s="39"/>
      <c r="AY122" s="39"/>
      <c r="AZ122" s="39"/>
      <c r="BA122" s="39"/>
      <c r="BB122" s="39"/>
      <c r="BC122" s="39"/>
      <c r="BD122" s="39"/>
      <c r="BE122" s="39"/>
      <c r="BF122" s="39"/>
      <c r="BG122" s="39"/>
      <c r="BH122" s="39"/>
      <c r="BI122" s="39"/>
      <c r="BJ122" s="39"/>
      <c r="BK122" s="39"/>
      <c r="BL122" s="39"/>
      <c r="BM122" s="39"/>
      <c r="BN122" s="38"/>
      <c r="BO122" s="39"/>
      <c r="BP122" s="40"/>
      <c r="BQ122" s="45"/>
    </row>
    <row r="123" ht="11.25" customHeight="1" spans="1:69" x14ac:dyDescent="0.25">
      <c r="A123" s="44">
        <v>422010000</v>
      </c>
      <c r="B123" s="44" t="s">
        <v>353</v>
      </c>
      <c r="C123" s="38">
        <f>IFERROR(VLOOKUP("1_"&amp;A123,SyS!$B:$P,10,FALSE()),0)</f>
        <v>0</v>
      </c>
      <c r="D123" s="39">
        <f>IFERROR(VLOOKUP("1_"&amp;A123,SyS!$B:$P,12,FALSE()),0)</f>
        <v>0</v>
      </c>
      <c r="E123" s="39">
        <f>+C123-D123</f>
        <v>0</v>
      </c>
      <c r="F123" s="38">
        <f>IFERROR(VLOOKUP("2_"&amp;A123,SyS!$B:$P,10,FALSE()),0)</f>
        <v>0</v>
      </c>
      <c r="G123" s="39">
        <f>IFERROR(VLOOKUP("2_"&amp;A123,SyS!$B:$P,12,FALSE()),0)</f>
        <v>0</v>
      </c>
      <c r="H123" s="40">
        <f>+F123-G123</f>
        <v>0</v>
      </c>
      <c r="I123" s="39"/>
      <c r="J123" s="39"/>
      <c r="K123" s="39"/>
      <c r="L123" s="39"/>
      <c r="M123" s="39"/>
      <c r="N123" s="39"/>
      <c r="O123" s="38">
        <f>IFERROR(VLOOKUP("14_"&amp;A123,SyS!$B:$P,10,FALSE()),0)</f>
        <v>0</v>
      </c>
      <c r="P123" s="39">
        <f>IFERROR(VLOOKUP("14_"&amp;A123,SyS!$B:$P,12,FALSE()),0)</f>
        <v>0</v>
      </c>
      <c r="Q123" s="40">
        <f>+O123-P123</f>
        <v>0</v>
      </c>
      <c r="R123" s="38">
        <f>IFERROR(VLOOKUP("15_"&amp;A123,SyS!$B:$P,10,FALSE()),0)</f>
        <v>0</v>
      </c>
      <c r="S123" s="39">
        <f>IFERROR(VLOOKUP("15_"&amp;A123,SyS!$B:$P,12,FALSE()),0)</f>
        <v>0</v>
      </c>
      <c r="T123" s="40">
        <f>+R123-S123</f>
        <v>0</v>
      </c>
      <c r="U123" s="38">
        <f>IFERROR(VLOOKUP("16_"&amp;A123,SyS!$B:$P,10,FALSE()),0)</f>
        <v>0</v>
      </c>
      <c r="V123" s="39">
        <f>IFERROR(VLOOKUP("16_"&amp;A123,SyS!$B:$P,12,FALSE()),0)</f>
        <v>0</v>
      </c>
      <c r="W123" s="40">
        <f>+U123-V123</f>
        <v>0</v>
      </c>
      <c r="X123" s="38">
        <f>IFERROR(VLOOKUP("13_"&amp;A123,SyS!$B:$P,10,FALSE()),0)</f>
        <v>0</v>
      </c>
      <c r="Y123" s="39">
        <f>IFERROR(VLOOKUP("13_"&amp;A123,SyS!$B:$P,12,FALSE()),0)</f>
        <v>0</v>
      </c>
      <c r="Z123" s="40">
        <f>+X123-Y123</f>
        <v>0</v>
      </c>
      <c r="AA123" s="38">
        <f>IFERROR(VLOOKUP("17_"&amp;A123,SyS!$B:$P,10,FALSE()),0)</f>
        <v>0</v>
      </c>
      <c r="AB123" s="39">
        <f>IFERROR(VLOOKUP("17_"&amp;A123,SyS!$B:$P,12,FALSE()),0)</f>
        <v>0</v>
      </c>
      <c r="AC123" s="40">
        <f>+AA123-AB123</f>
        <v>0</v>
      </c>
      <c r="AD123" s="39"/>
      <c r="AE123" s="39"/>
      <c r="AF123" s="39"/>
      <c r="AG123" s="39">
        <f>IFERROR(VLOOKUP("19_"&amp;A123,SyS!$B:$P,10,FALSE()),0)</f>
        <v>0</v>
      </c>
      <c r="AH123" s="39">
        <f>IFERROR(VLOOKUP("19_"&amp;A123,SyS!$B:$P,12,FALSE()),0)</f>
        <v>0</v>
      </c>
      <c r="AI123" s="39">
        <f>+AG123-AH123</f>
        <v>0</v>
      </c>
      <c r="AJ123" s="39"/>
      <c r="AK123" s="39"/>
      <c r="AL123" s="39"/>
      <c r="AM123" s="38">
        <f>IFERROR(VLOOKUP("23_"&amp;A123,SyS!$B:$P,10,FALSE()),0)</f>
        <v>0</v>
      </c>
      <c r="AN123" s="39">
        <f>IFERROR(VLOOKUP("23_"&amp;A123,SyS!$B:$P,12,FALSE()),0)</f>
        <v>0</v>
      </c>
      <c r="AO123" s="40">
        <f>+AM123-AN123</f>
        <v>0</v>
      </c>
      <c r="AP123" s="39"/>
      <c r="AQ123" s="39"/>
      <c r="AR123" s="39"/>
      <c r="AS123" s="39"/>
      <c r="AT123" s="39"/>
      <c r="AU123" s="39"/>
      <c r="AV123" s="39"/>
      <c r="AW123" s="39"/>
      <c r="AX123" s="39"/>
      <c r="AY123" s="39"/>
      <c r="AZ123" s="39"/>
      <c r="BA123" s="39"/>
      <c r="BB123" s="39"/>
      <c r="BC123" s="39"/>
      <c r="BD123" s="39"/>
      <c r="BE123" s="39"/>
      <c r="BF123" s="39"/>
      <c r="BG123" s="39"/>
      <c r="BH123" s="39"/>
      <c r="BI123" s="39"/>
      <c r="BJ123" s="39"/>
      <c r="BK123" s="39">
        <f>IFERROR(VLOOKUP("29_"&amp;A123,SyS!$B:$P,10,FALSE()),0)</f>
        <v>0</v>
      </c>
      <c r="BL123" s="39">
        <f>IFERROR(VLOOKUP("29_"&amp;A123,SyS!$B:$P,12,FALSE()),0)</f>
        <v>0</v>
      </c>
      <c r="BM123" s="39">
        <f>+BK123-BL123</f>
        <v>0</v>
      </c>
      <c r="BN123" s="38">
        <f>IFERROR(VLOOKUP("30_"&amp;A123,SyS!$B:$P,10,FALSE()),0)</f>
        <v>0</v>
      </c>
      <c r="BO123" s="39">
        <f>IFERROR(VLOOKUP("30_"&amp;A123,SyS!$B:$P,12,FALSE()),0)</f>
        <v>0</v>
      </c>
      <c r="BP123" s="40">
        <f>+BN123-BO123</f>
        <v>0</v>
      </c>
      <c r="BQ123" s="45">
        <f>+E123+H123+K123+Q123+T123+W123+Z123+AC123+AF123+AI123+AL123+AO123+AR123+AU123+AX123+BA123+BD123+BG123+BJ123+BM123+BP123</f>
        <v>0</v>
      </c>
    </row>
    <row r="124" ht="11.25" customHeight="1" spans="1:69" x14ac:dyDescent="0.25">
      <c r="A124" s="44">
        <v>422020000</v>
      </c>
      <c r="B124" s="44" t="s">
        <v>354</v>
      </c>
      <c r="C124" s="38">
        <f>IFERROR(VLOOKUP("1_"&amp;A124,SyS!$B:$P,10,FALSE()),0)</f>
        <v>0</v>
      </c>
      <c r="D124" s="39">
        <f>IFERROR(VLOOKUP("1_"&amp;A124,SyS!$B:$P,12,FALSE()),0)</f>
        <v>0</v>
      </c>
      <c r="E124" s="39">
        <f>+C124-D124</f>
        <v>0</v>
      </c>
      <c r="F124" s="38">
        <f>IFERROR(VLOOKUP("2_"&amp;A124,SyS!$B:$P,10,FALSE()),0)</f>
        <v>0</v>
      </c>
      <c r="G124" s="39">
        <f>IFERROR(VLOOKUP("2_"&amp;A124,SyS!$B:$P,12,FALSE()),0)</f>
        <v>0</v>
      </c>
      <c r="H124" s="40">
        <f>+F124-G124</f>
        <v>0</v>
      </c>
      <c r="I124" s="39"/>
      <c r="J124" s="39"/>
      <c r="K124" s="39"/>
      <c r="L124" s="39"/>
      <c r="M124" s="39"/>
      <c r="N124" s="39"/>
      <c r="O124" s="38">
        <f>IFERROR(VLOOKUP("14_"&amp;A124,SyS!$B:$P,10,FALSE()),0)</f>
        <v>0</v>
      </c>
      <c r="P124" s="39">
        <f>IFERROR(VLOOKUP("14_"&amp;A124,SyS!$B:$P,12,FALSE()),0)</f>
        <v>0</v>
      </c>
      <c r="Q124" s="40">
        <f>+O124-P124</f>
        <v>0</v>
      </c>
      <c r="R124" s="38">
        <f>IFERROR(VLOOKUP("15_"&amp;A124,SyS!$B:$P,10,FALSE()),0)</f>
        <v>0</v>
      </c>
      <c r="S124" s="39">
        <f>IFERROR(VLOOKUP("15_"&amp;A124,SyS!$B:$P,12,FALSE()),0)</f>
        <v>0</v>
      </c>
      <c r="T124" s="40">
        <f>+R124-S124</f>
        <v>0</v>
      </c>
      <c r="U124" s="38">
        <f>IFERROR(VLOOKUP("16_"&amp;A124,SyS!$B:$P,10,FALSE()),0)</f>
        <v>0</v>
      </c>
      <c r="V124" s="39">
        <f>IFERROR(VLOOKUP("16_"&amp;A124,SyS!$B:$P,12,FALSE()),0)</f>
        <v>0</v>
      </c>
      <c r="W124" s="40">
        <f>+U124-V124</f>
        <v>0</v>
      </c>
      <c r="X124" s="38">
        <f>IFERROR(VLOOKUP("13_"&amp;A124,SyS!$B:$P,10,FALSE()),0)</f>
        <v>0</v>
      </c>
      <c r="Y124" s="39">
        <f>IFERROR(VLOOKUP("13_"&amp;A124,SyS!$B:$P,12,FALSE()),0)</f>
        <v>0</v>
      </c>
      <c r="Z124" s="40">
        <f>+X124-Y124</f>
        <v>0</v>
      </c>
      <c r="AA124" s="38">
        <f>IFERROR(VLOOKUP("17_"&amp;A124,SyS!$B:$P,10,FALSE()),0)</f>
        <v>0</v>
      </c>
      <c r="AB124" s="39">
        <f>IFERROR(VLOOKUP("17_"&amp;A124,SyS!$B:$P,12,FALSE()),0)</f>
        <v>0</v>
      </c>
      <c r="AC124" s="40">
        <f>+AA124-AB124</f>
        <v>0</v>
      </c>
      <c r="AD124" s="39"/>
      <c r="AE124" s="39"/>
      <c r="AF124" s="39"/>
      <c r="AG124" s="39">
        <f>IFERROR(VLOOKUP("19_"&amp;A124,SyS!$B:$P,10,FALSE()),0)</f>
        <v>0</v>
      </c>
      <c r="AH124" s="39">
        <f>IFERROR(VLOOKUP("19_"&amp;A124,SyS!$B:$P,12,FALSE()),0)</f>
        <v>0</v>
      </c>
      <c r="AI124" s="39">
        <f>+AG124-AH124</f>
        <v>0</v>
      </c>
      <c r="AJ124" s="39"/>
      <c r="AK124" s="39"/>
      <c r="AL124" s="39"/>
      <c r="AM124" s="38">
        <f>IFERROR(VLOOKUP("23_"&amp;A124,SyS!$B:$P,10,FALSE()),0)</f>
        <v>0</v>
      </c>
      <c r="AN124" s="39">
        <f>IFERROR(VLOOKUP("23_"&amp;A124,SyS!$B:$P,12,FALSE()),0)</f>
        <v>0</v>
      </c>
      <c r="AO124" s="40">
        <f>+AM124-AN124</f>
        <v>0</v>
      </c>
      <c r="AP124" s="39"/>
      <c r="AQ124" s="39"/>
      <c r="AR124" s="39"/>
      <c r="AS124" s="39"/>
      <c r="AT124" s="39"/>
      <c r="AU124" s="39"/>
      <c r="AV124" s="39"/>
      <c r="AW124" s="39"/>
      <c r="AX124" s="39"/>
      <c r="AY124" s="39"/>
      <c r="AZ124" s="39"/>
      <c r="BA124" s="39"/>
      <c r="BB124" s="39"/>
      <c r="BC124" s="39"/>
      <c r="BD124" s="39"/>
      <c r="BE124" s="39"/>
      <c r="BF124" s="39"/>
      <c r="BG124" s="39"/>
      <c r="BH124" s="39"/>
      <c r="BI124" s="39"/>
      <c r="BJ124" s="39"/>
      <c r="BK124" s="39">
        <f>IFERROR(VLOOKUP("29_"&amp;A124,SyS!$B:$P,10,FALSE()),0)</f>
        <v>0</v>
      </c>
      <c r="BL124" s="39">
        <f>IFERROR(VLOOKUP("29_"&amp;A124,SyS!$B:$P,12,FALSE()),0)</f>
        <v>0</v>
      </c>
      <c r="BM124" s="39">
        <f>+BK124-BL124</f>
        <v>0</v>
      </c>
      <c r="BN124" s="38">
        <f>IFERROR(VLOOKUP("30_"&amp;A124,SyS!$B:$P,10,FALSE()),0)</f>
        <v>0</v>
      </c>
      <c r="BO124" s="39">
        <f>IFERROR(VLOOKUP("30_"&amp;A124,SyS!$B:$P,12,FALSE()),0)</f>
        <v>0</v>
      </c>
      <c r="BP124" s="40">
        <f>+BN124-BO124</f>
        <v>0</v>
      </c>
      <c r="BQ124" s="45">
        <f>+E124+H124+K124+Q124+T124+W124+Z124+AC124+AF124+AI124+AL124+AO124+AR124+AU124+AX124+BA124+BD124+BG124+BJ124+BM124+BP124</f>
        <v>0</v>
      </c>
    </row>
    <row r="125" ht="11.25" customHeight="1" spans="1:69" x14ac:dyDescent="0.25">
      <c r="A125" s="44">
        <v>422080000</v>
      </c>
      <c r="B125" s="44" t="s">
        <v>355</v>
      </c>
      <c r="C125" s="38">
        <f>IFERROR(VLOOKUP("1_"&amp;A125,SyS!$B:$P,10,FALSE()),0)</f>
        <v>0</v>
      </c>
      <c r="D125" s="39">
        <f>IFERROR(VLOOKUP("1_"&amp;A125,SyS!$B:$P,12,FALSE()),0)</f>
        <v>0</v>
      </c>
      <c r="E125" s="39">
        <f>+C125-D125</f>
        <v>0</v>
      </c>
      <c r="F125" s="38">
        <f>IFERROR(VLOOKUP("2_"&amp;A125,SyS!$B:$P,10,FALSE()),0)</f>
        <v>0</v>
      </c>
      <c r="G125" s="39">
        <f>IFERROR(VLOOKUP("2_"&amp;A125,SyS!$B:$P,12,FALSE()),0)</f>
        <v>0</v>
      </c>
      <c r="H125" s="40">
        <f>+F125-G125</f>
        <v>0</v>
      </c>
      <c r="I125" s="39"/>
      <c r="J125" s="39"/>
      <c r="K125" s="39"/>
      <c r="L125" s="39"/>
      <c r="M125" s="39"/>
      <c r="N125" s="39"/>
      <c r="O125" s="38">
        <f>IFERROR(VLOOKUP("14_"&amp;A125,SyS!$B:$P,10,FALSE()),0)</f>
        <v>0</v>
      </c>
      <c r="P125" s="39">
        <f>IFERROR(VLOOKUP("14_"&amp;A125,SyS!$B:$P,12,FALSE()),0)</f>
        <v>0</v>
      </c>
      <c r="Q125" s="40">
        <f>+O125-P125</f>
        <v>0</v>
      </c>
      <c r="R125" s="38">
        <f>IFERROR(VLOOKUP("15_"&amp;A125,SyS!$B:$P,10,FALSE()),0)</f>
        <v>0</v>
      </c>
      <c r="S125" s="39">
        <f>IFERROR(VLOOKUP("15_"&amp;A125,SyS!$B:$P,12,FALSE()),0)</f>
        <v>0</v>
      </c>
      <c r="T125" s="40">
        <f>+R125-S125</f>
        <v>0</v>
      </c>
      <c r="U125" s="38">
        <f>IFERROR(VLOOKUP("16_"&amp;A125,SyS!$B:$P,10,FALSE()),0)</f>
        <v>0</v>
      </c>
      <c r="V125" s="39">
        <f>IFERROR(VLOOKUP("16_"&amp;A125,SyS!$B:$P,12,FALSE()),0)</f>
        <v>0</v>
      </c>
      <c r="W125" s="40">
        <f>+U125-V125</f>
        <v>0</v>
      </c>
      <c r="X125" s="38">
        <f>IFERROR(VLOOKUP("13_"&amp;A125,SyS!$B:$P,10,FALSE()),0)</f>
        <v>0</v>
      </c>
      <c r="Y125" s="39">
        <f>IFERROR(VLOOKUP("13_"&amp;A125,SyS!$B:$P,12,FALSE()),0)</f>
        <v>0</v>
      </c>
      <c r="Z125" s="40">
        <f>+X125-Y125</f>
        <v>0</v>
      </c>
      <c r="AA125" s="38">
        <f>IFERROR(VLOOKUP("17_"&amp;A125,SyS!$B:$P,10,FALSE()),0)</f>
        <v>0</v>
      </c>
      <c r="AB125" s="39">
        <f>IFERROR(VLOOKUP("17_"&amp;A125,SyS!$B:$P,12,FALSE()),0)</f>
        <v>0</v>
      </c>
      <c r="AC125" s="40">
        <f>+AA125-AB125</f>
        <v>0</v>
      </c>
      <c r="AD125" s="39"/>
      <c r="AE125" s="39"/>
      <c r="AF125" s="39"/>
      <c r="AG125" s="39">
        <f>IFERROR(VLOOKUP("19_"&amp;A125,SyS!$B:$P,10,FALSE()),0)</f>
        <v>0</v>
      </c>
      <c r="AH125" s="39">
        <f>IFERROR(VLOOKUP("19_"&amp;A125,SyS!$B:$P,12,FALSE()),0)</f>
        <v>0</v>
      </c>
      <c r="AI125" s="39">
        <f>+AG125-AH125</f>
        <v>0</v>
      </c>
      <c r="AJ125" s="39"/>
      <c r="AK125" s="39"/>
      <c r="AL125" s="39"/>
      <c r="AM125" s="38">
        <f>IFERROR(VLOOKUP("23_"&amp;A125,SyS!$B:$P,10,FALSE()),0)</f>
        <v>0</v>
      </c>
      <c r="AN125" s="39">
        <f>IFERROR(VLOOKUP("23_"&amp;A125,SyS!$B:$P,12,FALSE()),0)</f>
        <v>0</v>
      </c>
      <c r="AO125" s="40">
        <f>+AM125-AN125</f>
        <v>0</v>
      </c>
      <c r="AP125" s="39"/>
      <c r="AQ125" s="39"/>
      <c r="AR125" s="39"/>
      <c r="AS125" s="39"/>
      <c r="AT125" s="39"/>
      <c r="AU125" s="39"/>
      <c r="AV125" s="39"/>
      <c r="AW125" s="39"/>
      <c r="AX125" s="39"/>
      <c r="AY125" s="39"/>
      <c r="AZ125" s="39"/>
      <c r="BA125" s="39"/>
      <c r="BB125" s="39"/>
      <c r="BC125" s="39"/>
      <c r="BD125" s="39"/>
      <c r="BE125" s="39"/>
      <c r="BF125" s="39"/>
      <c r="BG125" s="39"/>
      <c r="BH125" s="39"/>
      <c r="BI125" s="39"/>
      <c r="BJ125" s="39"/>
      <c r="BK125" s="39">
        <f>IFERROR(VLOOKUP("29_"&amp;A125,SyS!$B:$P,10,FALSE()),0)</f>
        <v>0</v>
      </c>
      <c r="BL125" s="39">
        <f>IFERROR(VLOOKUP("29_"&amp;A125,SyS!$B:$P,12,FALSE()),0)</f>
        <v>0</v>
      </c>
      <c r="BM125" s="39">
        <f>+BK125-BL125</f>
        <v>0</v>
      </c>
      <c r="BN125" s="38">
        <f>IFERROR(VLOOKUP("30_"&amp;A125,SyS!$B:$P,10,FALSE()),0)</f>
        <v>0</v>
      </c>
      <c r="BO125" s="39">
        <f>IFERROR(VLOOKUP("30_"&amp;A125,SyS!$B:$P,12,FALSE()),0)</f>
        <v>0</v>
      </c>
      <c r="BP125" s="40">
        <f>+BN125-BO125</f>
        <v>0</v>
      </c>
      <c r="BQ125" s="45">
        <f>+E125+H125+K125+Q125+T125+W125+Z125+AC125+AF125+AI125+AL125+AO125+AR125+AU125+AX125+BA125+BD125+BG125+BJ125+BM125+BP125</f>
        <v>0</v>
      </c>
    </row>
    <row r="126" ht="11.25" customHeight="1" spans="1:69" x14ac:dyDescent="0.25">
      <c r="A126" s="44">
        <v>422220000</v>
      </c>
      <c r="B126" s="44" t="s">
        <v>356</v>
      </c>
      <c r="C126" s="38">
        <f>IFERROR(VLOOKUP("1_"&amp;A126,SyS!$B:$P,10,FALSE()),0)</f>
        <v>0</v>
      </c>
      <c r="D126" s="39">
        <f>IFERROR(VLOOKUP("1_"&amp;A126,SyS!$B:$P,12,FALSE()),0)</f>
        <v>0</v>
      </c>
      <c r="E126" s="39">
        <f>+C126-D126</f>
        <v>0</v>
      </c>
      <c r="F126" s="38">
        <f>IFERROR(VLOOKUP("2_"&amp;A126,SyS!$B:$P,10,FALSE()),0)</f>
        <v>0</v>
      </c>
      <c r="G126" s="39">
        <f>IFERROR(VLOOKUP("2_"&amp;A126,SyS!$B:$P,12,FALSE()),0)</f>
        <v>0</v>
      </c>
      <c r="H126" s="40">
        <f>+F126-G126</f>
        <v>0</v>
      </c>
      <c r="I126" s="39"/>
      <c r="J126" s="39"/>
      <c r="K126" s="39"/>
      <c r="L126" s="39"/>
      <c r="M126" s="39"/>
      <c r="N126" s="39"/>
      <c r="O126" s="38">
        <f>IFERROR(VLOOKUP("14_"&amp;A126,SyS!$B:$P,10,FALSE()),0)</f>
        <v>0</v>
      </c>
      <c r="P126" s="39">
        <f>IFERROR(VLOOKUP("14_"&amp;A126,SyS!$B:$P,12,FALSE()),0)</f>
        <v>0</v>
      </c>
      <c r="Q126" s="40">
        <f>+O126-P126</f>
        <v>0</v>
      </c>
      <c r="R126" s="38">
        <f>IFERROR(VLOOKUP("15_"&amp;A126,SyS!$B:$P,10,FALSE()),0)</f>
        <v>0</v>
      </c>
      <c r="S126" s="39">
        <f>IFERROR(VLOOKUP("15_"&amp;A126,SyS!$B:$P,12,FALSE()),0)</f>
        <v>0</v>
      </c>
      <c r="T126" s="40">
        <f>+R126-S126</f>
        <v>0</v>
      </c>
      <c r="U126" s="38">
        <f>IFERROR(VLOOKUP("16_"&amp;A126,SyS!$B:$P,10,FALSE()),0)</f>
        <v>0</v>
      </c>
      <c r="V126" s="39">
        <f>IFERROR(VLOOKUP("16_"&amp;A126,SyS!$B:$P,12,FALSE()),0)</f>
        <v>0</v>
      </c>
      <c r="W126" s="40">
        <f>+U126-V126</f>
        <v>0</v>
      </c>
      <c r="X126" s="38">
        <f>IFERROR(VLOOKUP("13_"&amp;A126,SyS!$B:$P,10,FALSE()),0)</f>
        <v>0</v>
      </c>
      <c r="Y126" s="39">
        <f>IFERROR(VLOOKUP("13_"&amp;A126,SyS!$B:$P,12,FALSE()),0)</f>
        <v>0</v>
      </c>
      <c r="Z126" s="40">
        <f>+X126-Y126</f>
        <v>0</v>
      </c>
      <c r="AA126" s="38">
        <f>IFERROR(VLOOKUP("17_"&amp;A126,SyS!$B:$P,10,FALSE()),0)</f>
        <v>0</v>
      </c>
      <c r="AB126" s="39">
        <f>IFERROR(VLOOKUP("17_"&amp;A126,SyS!$B:$P,12,FALSE()),0)</f>
        <v>0</v>
      </c>
      <c r="AC126" s="40">
        <f>+AA126-AB126</f>
        <v>0</v>
      </c>
      <c r="AD126" s="39"/>
      <c r="AE126" s="39"/>
      <c r="AF126" s="39"/>
      <c r="AG126" s="39">
        <f>IFERROR(VLOOKUP("19_"&amp;A126,SyS!$B:$P,10,FALSE()),0)</f>
        <v>0</v>
      </c>
      <c r="AH126" s="39">
        <f>IFERROR(VLOOKUP("19_"&amp;A126,SyS!$B:$P,12,FALSE()),0)</f>
        <v>0</v>
      </c>
      <c r="AI126" s="39">
        <f>+AG126-AH126</f>
        <v>0</v>
      </c>
      <c r="AJ126" s="39"/>
      <c r="AK126" s="39"/>
      <c r="AL126" s="39"/>
      <c r="AM126" s="38">
        <f>IFERROR(VLOOKUP("23_"&amp;A126,SyS!$B:$P,10,FALSE()),0)</f>
        <v>0</v>
      </c>
      <c r="AN126" s="39">
        <f>IFERROR(VLOOKUP("23_"&amp;A126,SyS!$B:$P,12,FALSE()),0)</f>
        <v>0</v>
      </c>
      <c r="AO126" s="40">
        <f>+AM126-AN126</f>
        <v>0</v>
      </c>
      <c r="AP126" s="39"/>
      <c r="AQ126" s="39"/>
      <c r="AR126" s="39"/>
      <c r="AS126" s="39"/>
      <c r="AT126" s="39"/>
      <c r="AU126" s="39"/>
      <c r="AV126" s="39"/>
      <c r="AW126" s="39"/>
      <c r="AX126" s="39"/>
      <c r="AY126" s="39"/>
      <c r="AZ126" s="39"/>
      <c r="BA126" s="39"/>
      <c r="BB126" s="39"/>
      <c r="BC126" s="39"/>
      <c r="BD126" s="39"/>
      <c r="BE126" s="39"/>
      <c r="BF126" s="39"/>
      <c r="BG126" s="39"/>
      <c r="BH126" s="39"/>
      <c r="BI126" s="39"/>
      <c r="BJ126" s="39"/>
      <c r="BK126" s="39">
        <f>IFERROR(VLOOKUP("29_"&amp;A126,SyS!$B:$P,10,FALSE()),0)</f>
        <v>0</v>
      </c>
      <c r="BL126" s="39">
        <f>IFERROR(VLOOKUP("29_"&amp;A126,SyS!$B:$P,12,FALSE()),0)</f>
        <v>0</v>
      </c>
      <c r="BM126" s="39">
        <f>+BK126-BL126</f>
        <v>0</v>
      </c>
      <c r="BN126" s="38">
        <f>IFERROR(VLOOKUP("30_"&amp;A126,SyS!$B:$P,10,FALSE()),0)</f>
        <v>0</v>
      </c>
      <c r="BO126" s="39">
        <f>IFERROR(VLOOKUP("30_"&amp;A126,SyS!$B:$P,12,FALSE()),0)</f>
        <v>0</v>
      </c>
      <c r="BP126" s="40">
        <f>+BN126-BO126</f>
        <v>0</v>
      </c>
      <c r="BQ126" s="45">
        <f>+E126+H126+K126+Q126+T126+W126+Z126+AC126+AF126+AI126+AL126+AO126+AR126+AU126+AX126+BA126+BD126+BG126+BJ126+BM126+BP126</f>
        <v>0</v>
      </c>
    </row>
    <row r="127" ht="11.25" customHeight="1" spans="1:69" x14ac:dyDescent="0.25">
      <c r="A127" s="44">
        <v>421470000</v>
      </c>
      <c r="B127" s="44" t="s">
        <v>357</v>
      </c>
      <c r="C127" s="38">
        <f>IFERROR(VLOOKUP("1_"&amp;A127,SyS!$B:$P,10,FALSE()),0)</f>
        <v>0</v>
      </c>
      <c r="D127" s="39">
        <f>IFERROR(VLOOKUP("1_"&amp;A127,SyS!$B:$P,12,FALSE()),0)</f>
        <v>0</v>
      </c>
      <c r="E127" s="39">
        <f>+C127-D127</f>
        <v>0</v>
      </c>
      <c r="F127" s="38">
        <f>IFERROR(VLOOKUP("2_"&amp;A127,SyS!$B:$P,10,FALSE()),0)</f>
        <v>0</v>
      </c>
      <c r="G127" s="39">
        <f>IFERROR(VLOOKUP("2_"&amp;A127,SyS!$B:$P,12,FALSE()),0)</f>
        <v>0</v>
      </c>
      <c r="H127" s="40">
        <f>+F127-G127</f>
        <v>0</v>
      </c>
      <c r="I127" s="39"/>
      <c r="J127" s="39"/>
      <c r="K127" s="39"/>
      <c r="L127" s="39"/>
      <c r="M127" s="39"/>
      <c r="N127" s="39"/>
      <c r="O127" s="38">
        <f>IFERROR(VLOOKUP("14_"&amp;A127,SyS!$B:$P,10,FALSE()),0)</f>
        <v>0</v>
      </c>
      <c r="P127" s="39">
        <f>IFERROR(VLOOKUP("14_"&amp;A127,SyS!$B:$P,12,FALSE()),0)</f>
        <v>0</v>
      </c>
      <c r="Q127" s="40">
        <f>+O127-P127</f>
        <v>0</v>
      </c>
      <c r="R127" s="38">
        <f>IFERROR(VLOOKUP("15_"&amp;A127,SyS!$B:$P,10,FALSE()),0)</f>
        <v>0</v>
      </c>
      <c r="S127" s="39">
        <f>IFERROR(VLOOKUP("15_"&amp;A127,SyS!$B:$P,12,FALSE()),0)</f>
        <v>0</v>
      </c>
      <c r="T127" s="40">
        <f>+R127-S127</f>
        <v>0</v>
      </c>
      <c r="U127" s="38">
        <f>IFERROR(VLOOKUP("16_"&amp;A127,SyS!$B:$P,10,FALSE()),0)</f>
        <v>0</v>
      </c>
      <c r="V127" s="39">
        <f>IFERROR(VLOOKUP("16_"&amp;A127,SyS!$B:$P,12,FALSE()),0)</f>
        <v>0</v>
      </c>
      <c r="W127" s="40">
        <f>+U127-V127</f>
        <v>0</v>
      </c>
      <c r="X127" s="38">
        <f>IFERROR(VLOOKUP("13_"&amp;A127,SyS!$B:$P,10,FALSE()),0)</f>
        <v>0</v>
      </c>
      <c r="Y127" s="39">
        <f>IFERROR(VLOOKUP("13_"&amp;A127,SyS!$B:$P,12,FALSE()),0)</f>
        <v>0</v>
      </c>
      <c r="Z127" s="40">
        <f>+X127-Y127</f>
        <v>0</v>
      </c>
      <c r="AA127" s="38">
        <f>IFERROR(VLOOKUP("17_"&amp;A127,SyS!$B:$P,10,FALSE()),0)</f>
        <v>0</v>
      </c>
      <c r="AB127" s="39">
        <f>IFERROR(VLOOKUP("17_"&amp;A127,SyS!$B:$P,12,FALSE()),0)</f>
        <v>0</v>
      </c>
      <c r="AC127" s="40">
        <f>+AA127-AB127</f>
        <v>0</v>
      </c>
      <c r="AD127" s="39"/>
      <c r="AE127" s="39"/>
      <c r="AF127" s="39"/>
      <c r="AG127" s="39">
        <f>IFERROR(VLOOKUP("19_"&amp;A127,SyS!$B:$P,10,FALSE()),0)</f>
        <v>0</v>
      </c>
      <c r="AH127" s="39">
        <f>IFERROR(VLOOKUP("19_"&amp;A127,SyS!$B:$P,12,FALSE()),0)</f>
        <v>0</v>
      </c>
      <c r="AI127" s="39">
        <f>+AG127-AH127</f>
        <v>0</v>
      </c>
      <c r="AJ127" s="39"/>
      <c r="AK127" s="39"/>
      <c r="AL127" s="39"/>
      <c r="AM127" s="38">
        <f>IFERROR(VLOOKUP("23_"&amp;A127,SyS!$B:$P,10,FALSE()),0)</f>
        <v>0</v>
      </c>
      <c r="AN127" s="39">
        <f>IFERROR(VLOOKUP("23_"&amp;A127,SyS!$B:$P,12,FALSE()),0)</f>
        <v>0</v>
      </c>
      <c r="AO127" s="40">
        <f>+AM127-AN127</f>
        <v>0</v>
      </c>
      <c r="AP127" s="39"/>
      <c r="AQ127" s="39"/>
      <c r="AR127" s="39"/>
      <c r="AS127" s="39"/>
      <c r="AT127" s="39"/>
      <c r="AU127" s="39"/>
      <c r="AV127" s="39"/>
      <c r="AW127" s="39"/>
      <c r="AX127" s="39"/>
      <c r="AY127" s="39"/>
      <c r="AZ127" s="39"/>
      <c r="BA127" s="39"/>
      <c r="BB127" s="39"/>
      <c r="BC127" s="39"/>
      <c r="BD127" s="39"/>
      <c r="BE127" s="39"/>
      <c r="BF127" s="39"/>
      <c r="BG127" s="39"/>
      <c r="BH127" s="39"/>
      <c r="BI127" s="39"/>
      <c r="BJ127" s="39"/>
      <c r="BK127" s="39">
        <f>IFERROR(VLOOKUP("29_"&amp;A127,SyS!$B:$P,10,FALSE()),0)</f>
        <v>0</v>
      </c>
      <c r="BL127" s="39">
        <f>IFERROR(VLOOKUP("29_"&amp;A127,SyS!$B:$P,12,FALSE()),0)</f>
        <v>0</v>
      </c>
      <c r="BM127" s="39">
        <f>+BK127-BL127</f>
        <v>0</v>
      </c>
      <c r="BN127" s="38">
        <f>IFERROR(VLOOKUP("30_"&amp;A127,SyS!$B:$P,10,FALSE()),0)</f>
        <v>0</v>
      </c>
      <c r="BO127" s="39">
        <f>IFERROR(VLOOKUP("30_"&amp;A127,SyS!$B:$P,12,FALSE()),0)</f>
        <v>0</v>
      </c>
      <c r="BP127" s="40">
        <f>+BN127-BO127</f>
        <v>0</v>
      </c>
      <c r="BQ127" s="45">
        <f>+E127+H127+K127+Q127+T127+W127+Z127+AC127+AF127+AI127+AL127+AO127+AR127+AU127+AX127+BA127+BD127+BG127+BJ127+BM127+BP127</f>
        <v>0</v>
      </c>
    </row>
    <row r="128" ht="11.25" customHeight="1" spans="1:69" x14ac:dyDescent="0.25">
      <c r="A128" s="44">
        <v>422090000</v>
      </c>
      <c r="B128" s="44" t="s">
        <v>358</v>
      </c>
      <c r="C128" s="38">
        <f>IFERROR(VLOOKUP("1_"&amp;A128,SyS!$B:$P,10,FALSE()),0)</f>
        <v>0</v>
      </c>
      <c r="D128" s="39">
        <f>IFERROR(VLOOKUP("1_"&amp;A128,SyS!$B:$P,12,FALSE()),0)</f>
        <v>0</v>
      </c>
      <c r="E128" s="39">
        <f>+C128-D128</f>
        <v>0</v>
      </c>
      <c r="F128" s="38">
        <f>IFERROR(VLOOKUP("2_"&amp;A128,SyS!$B:$P,10,FALSE()),0)</f>
        <v>0</v>
      </c>
      <c r="G128" s="39">
        <f>IFERROR(VLOOKUP("2_"&amp;A128,SyS!$B:$P,12,FALSE()),0)</f>
        <v>0</v>
      </c>
      <c r="H128" s="40">
        <f>+F128-G128</f>
        <v>0</v>
      </c>
      <c r="I128" s="39"/>
      <c r="J128" s="39"/>
      <c r="K128" s="39"/>
      <c r="L128" s="39"/>
      <c r="M128" s="39"/>
      <c r="N128" s="39"/>
      <c r="O128" s="38">
        <f>IFERROR(VLOOKUP("14_"&amp;A128,SyS!$B:$P,10,FALSE()),0)</f>
        <v>0</v>
      </c>
      <c r="P128" s="39">
        <f>IFERROR(VLOOKUP("14_"&amp;A128,SyS!$B:$P,12,FALSE()),0)</f>
        <v>0</v>
      </c>
      <c r="Q128" s="40">
        <f>+O128-P128</f>
        <v>0</v>
      </c>
      <c r="R128" s="38">
        <f>IFERROR(VLOOKUP("15_"&amp;A128,SyS!$B:$P,10,FALSE()),0)</f>
        <v>0</v>
      </c>
      <c r="S128" s="39">
        <f>IFERROR(VLOOKUP("15_"&amp;A128,SyS!$B:$P,12,FALSE()),0)</f>
        <v>0</v>
      </c>
      <c r="T128" s="40">
        <f>+R128-S128</f>
        <v>0</v>
      </c>
      <c r="U128" s="38">
        <f>IFERROR(VLOOKUP("16_"&amp;A128,SyS!$B:$P,10,FALSE()),0)</f>
        <v>0</v>
      </c>
      <c r="V128" s="39">
        <f>IFERROR(VLOOKUP("16_"&amp;A128,SyS!$B:$P,12,FALSE()),0)</f>
        <v>0</v>
      </c>
      <c r="W128" s="40">
        <f>+U128-V128</f>
        <v>0</v>
      </c>
      <c r="X128" s="38">
        <f>IFERROR(VLOOKUP("13_"&amp;A128,SyS!$B:$P,10,FALSE()),0)</f>
        <v>0</v>
      </c>
      <c r="Y128" s="39">
        <f>IFERROR(VLOOKUP("13_"&amp;A128,SyS!$B:$P,12,FALSE()),0)</f>
        <v>0</v>
      </c>
      <c r="Z128" s="40">
        <f>+X128-Y128</f>
        <v>0</v>
      </c>
      <c r="AA128" s="38">
        <f>IFERROR(VLOOKUP("17_"&amp;A128,SyS!$B:$P,10,FALSE()),0)</f>
        <v>0</v>
      </c>
      <c r="AB128" s="39">
        <f>IFERROR(VLOOKUP("17_"&amp;A128,SyS!$B:$P,12,FALSE()),0)</f>
        <v>0</v>
      </c>
      <c r="AC128" s="40">
        <f>+AA128-AB128</f>
        <v>0</v>
      </c>
      <c r="AD128" s="39"/>
      <c r="AE128" s="39"/>
      <c r="AF128" s="39"/>
      <c r="AG128" s="39">
        <f>IFERROR(VLOOKUP("19_"&amp;A128,SyS!$B:$P,10,FALSE()),0)</f>
        <v>0</v>
      </c>
      <c r="AH128" s="39">
        <f>IFERROR(VLOOKUP("19_"&amp;A128,SyS!$B:$P,12,FALSE()),0)</f>
        <v>0</v>
      </c>
      <c r="AI128" s="39">
        <f>+AG128-AH128</f>
        <v>0</v>
      </c>
      <c r="AJ128" s="39"/>
      <c r="AK128" s="39"/>
      <c r="AL128" s="39"/>
      <c r="AM128" s="38">
        <f>IFERROR(VLOOKUP("23_"&amp;A128,SyS!$B:$P,10,FALSE()),0)</f>
        <v>0</v>
      </c>
      <c r="AN128" s="39">
        <f>IFERROR(VLOOKUP("23_"&amp;A128,SyS!$B:$P,12,FALSE()),0)</f>
        <v>0</v>
      </c>
      <c r="AO128" s="40">
        <f>+AM128-AN128</f>
        <v>0</v>
      </c>
      <c r="AP128" s="39"/>
      <c r="AQ128" s="39"/>
      <c r="AR128" s="39"/>
      <c r="AS128" s="39"/>
      <c r="AT128" s="39"/>
      <c r="AU128" s="39"/>
      <c r="AV128" s="39"/>
      <c r="AW128" s="39"/>
      <c r="AX128" s="39"/>
      <c r="AY128" s="39"/>
      <c r="AZ128" s="39"/>
      <c r="BA128" s="39"/>
      <c r="BB128" s="39"/>
      <c r="BC128" s="39"/>
      <c r="BD128" s="39"/>
      <c r="BE128" s="39"/>
      <c r="BF128" s="39"/>
      <c r="BG128" s="39"/>
      <c r="BH128" s="39"/>
      <c r="BI128" s="39"/>
      <c r="BJ128" s="39"/>
      <c r="BK128" s="39">
        <f>IFERROR(VLOOKUP("29_"&amp;A128,SyS!$B:$P,10,FALSE()),0)</f>
        <v>0</v>
      </c>
      <c r="BL128" s="39">
        <f>IFERROR(VLOOKUP("29_"&amp;A128,SyS!$B:$P,12,FALSE()),0)</f>
        <v>0</v>
      </c>
      <c r="BM128" s="39">
        <f>+BK128-BL128</f>
        <v>0</v>
      </c>
      <c r="BN128" s="38">
        <f>IFERROR(VLOOKUP("30_"&amp;A128,SyS!$B:$P,10,FALSE()),0)</f>
        <v>0</v>
      </c>
      <c r="BO128" s="39">
        <f>IFERROR(VLOOKUP("30_"&amp;A128,SyS!$B:$P,12,FALSE()),0)</f>
        <v>0</v>
      </c>
      <c r="BP128" s="40">
        <f>+BN128-BO128</f>
        <v>0</v>
      </c>
      <c r="BQ128" s="45">
        <f>+E128+H128+K128+Q128+T128+W128+Z128+AC128+AF128+AI128+AL128+AO128+AR128+AU128+AX128+BA128+BD128+BG128+BJ128+BM128+BP128</f>
        <v>0</v>
      </c>
    </row>
    <row r="129" ht="12" customHeight="1" spans="1:69" x14ac:dyDescent="0.25">
      <c r="A129" s="44">
        <v>422240000</v>
      </c>
      <c r="B129" s="44" t="s">
        <v>359</v>
      </c>
      <c r="C129" s="38">
        <f>IFERROR(VLOOKUP("1_"&amp;A129,SyS!$B:$P,10,FALSE()),0)</f>
        <v>0</v>
      </c>
      <c r="D129" s="39">
        <f>IFERROR(VLOOKUP("1_"&amp;A129,SyS!$B:$P,12,FALSE()),0)</f>
        <v>0</v>
      </c>
      <c r="E129" s="39">
        <f>+C129-D129</f>
        <v>0</v>
      </c>
      <c r="F129" s="38">
        <f>IFERROR(VLOOKUP("2_"&amp;A129,SyS!$B:$P,10,FALSE()),0)</f>
        <v>0</v>
      </c>
      <c r="G129" s="39">
        <f>IFERROR(VLOOKUP("2_"&amp;A129,SyS!$B:$P,12,FALSE()),0)</f>
        <v>0</v>
      </c>
      <c r="H129" s="40">
        <f>+F129-G129</f>
        <v>0</v>
      </c>
      <c r="I129" s="39"/>
      <c r="J129" s="39"/>
      <c r="K129" s="39"/>
      <c r="L129" s="39"/>
      <c r="M129" s="39"/>
      <c r="N129" s="39"/>
      <c r="O129" s="38">
        <f>IFERROR(VLOOKUP("14_"&amp;A129,SyS!$B:$P,10,FALSE()),0)</f>
        <v>0</v>
      </c>
      <c r="P129" s="39">
        <f>IFERROR(VLOOKUP("14_"&amp;A129,SyS!$B:$P,12,FALSE()),0)</f>
        <v>0</v>
      </c>
      <c r="Q129" s="40">
        <f>+O129-P129</f>
        <v>0</v>
      </c>
      <c r="R129" s="38">
        <f>IFERROR(VLOOKUP("15_"&amp;A129,SyS!$B:$P,10,FALSE()),0)</f>
        <v>0</v>
      </c>
      <c r="S129" s="39">
        <f>IFERROR(VLOOKUP("15_"&amp;A129,SyS!$B:$P,12,FALSE()),0)</f>
        <v>0</v>
      </c>
      <c r="T129" s="40">
        <f>+R129-S129</f>
        <v>0</v>
      </c>
      <c r="U129" s="38">
        <f>IFERROR(VLOOKUP("16_"&amp;A129,SyS!$B:$P,10,FALSE()),0)</f>
        <v>0</v>
      </c>
      <c r="V129" s="39">
        <f>IFERROR(VLOOKUP("16_"&amp;A129,SyS!$B:$P,12,FALSE()),0)</f>
        <v>0</v>
      </c>
      <c r="W129" s="40">
        <f>+U129-V129</f>
        <v>0</v>
      </c>
      <c r="X129" s="38">
        <f>IFERROR(VLOOKUP("13_"&amp;A129,SyS!$B:$P,10,FALSE()),0)</f>
        <v>0</v>
      </c>
      <c r="Y129" s="39">
        <f>IFERROR(VLOOKUP("13_"&amp;A129,SyS!$B:$P,12,FALSE()),0)</f>
        <v>0</v>
      </c>
      <c r="Z129" s="40">
        <f>+X129-Y129</f>
        <v>0</v>
      </c>
      <c r="AA129" s="38">
        <f>IFERROR(VLOOKUP("17_"&amp;A129,SyS!$B:$P,10,FALSE()),0)</f>
        <v>0</v>
      </c>
      <c r="AB129" s="39">
        <f>IFERROR(VLOOKUP("17_"&amp;A129,SyS!$B:$P,12,FALSE()),0)</f>
        <v>0</v>
      </c>
      <c r="AC129" s="40">
        <f>+AA129-AB129</f>
        <v>0</v>
      </c>
      <c r="AD129" s="39"/>
      <c r="AE129" s="39"/>
      <c r="AF129" s="39"/>
      <c r="AG129" s="39">
        <f>IFERROR(VLOOKUP("19_"&amp;A129,SyS!$B:$P,10,FALSE()),0)</f>
        <v>0</v>
      </c>
      <c r="AH129" s="39">
        <f>IFERROR(VLOOKUP("19_"&amp;A129,SyS!$B:$P,12,FALSE()),0)</f>
        <v>0</v>
      </c>
      <c r="AI129" s="39">
        <f>+AG129-AH129</f>
        <v>0</v>
      </c>
      <c r="AJ129" s="39"/>
      <c r="AK129" s="39"/>
      <c r="AL129" s="39"/>
      <c r="AM129" s="38">
        <f>IFERROR(VLOOKUP("23_"&amp;A129,SyS!$B:$P,10,FALSE()),0)</f>
        <v>0</v>
      </c>
      <c r="AN129" s="39">
        <f>IFERROR(VLOOKUP("23_"&amp;A129,SyS!$B:$P,12,FALSE()),0)</f>
        <v>0</v>
      </c>
      <c r="AO129" s="40">
        <f>+AM129-AN129</f>
        <v>0</v>
      </c>
      <c r="AP129" s="39"/>
      <c r="AQ129" s="39"/>
      <c r="AR129" s="39"/>
      <c r="AS129" s="39"/>
      <c r="AT129" s="39"/>
      <c r="AU129" s="39"/>
      <c r="AV129" s="39"/>
      <c r="AW129" s="39"/>
      <c r="AX129" s="39"/>
      <c r="AY129" s="39"/>
      <c r="AZ129" s="39"/>
      <c r="BA129" s="39"/>
      <c r="BB129" s="39"/>
      <c r="BC129" s="39"/>
      <c r="BD129" s="39"/>
      <c r="BE129" s="39"/>
      <c r="BF129" s="39"/>
      <c r="BG129" s="39"/>
      <c r="BH129" s="39"/>
      <c r="BI129" s="39"/>
      <c r="BJ129" s="39"/>
      <c r="BK129" s="39">
        <f>IFERROR(VLOOKUP("29_"&amp;A129,SyS!$B:$P,10,FALSE()),0)</f>
        <v>0</v>
      </c>
      <c r="BL129" s="39">
        <f>IFERROR(VLOOKUP("29_"&amp;A129,SyS!$B:$P,12,FALSE()),0)</f>
        <v>0</v>
      </c>
      <c r="BM129" s="39">
        <f>+BK129-BL129</f>
        <v>0</v>
      </c>
      <c r="BN129" s="38">
        <f>IFERROR(VLOOKUP("30_"&amp;A129,SyS!$B:$P,10,FALSE()),0)</f>
        <v>0</v>
      </c>
      <c r="BO129" s="39">
        <f>IFERROR(VLOOKUP("30_"&amp;A129,SyS!$B:$P,12,FALSE()),0)</f>
        <v>0</v>
      </c>
      <c r="BP129" s="40">
        <f>+BN129-BO129</f>
        <v>0</v>
      </c>
      <c r="BQ129" s="45">
        <f>+E129+H129+K129+Q129+T129+W129+Z129+AC129+AF129+AI129+AL129+AO129+AR129+AU129+AX129+BA129+BD129+BG129+BJ129+BM129+BP129</f>
        <v>0</v>
      </c>
    </row>
    <row r="130" ht="11.25" customHeight="1" spans="1:69" x14ac:dyDescent="0.25">
      <c r="A130" s="47"/>
      <c r="B130" s="48" t="s">
        <v>360</v>
      </c>
      <c r="C130" s="38">
        <f>IFERROR(VLOOKUP("1_"&amp;A130,SyS!$B:$P,10,FALSE()),0)</f>
        <v>0</v>
      </c>
      <c r="D130" s="39">
        <f>IFERROR(VLOOKUP("1_"&amp;A130,SyS!$B:$P,12,FALSE()),0)</f>
        <v>0</v>
      </c>
      <c r="E130" s="39">
        <f>+C130-D130</f>
        <v>0</v>
      </c>
      <c r="F130" s="38"/>
      <c r="G130" s="39"/>
      <c r="H130" s="40"/>
      <c r="I130" s="39"/>
      <c r="J130" s="39"/>
      <c r="K130" s="39"/>
      <c r="L130" s="39"/>
      <c r="M130" s="39"/>
      <c r="N130" s="39"/>
      <c r="O130" s="38"/>
      <c r="P130" s="39"/>
      <c r="Q130" s="40"/>
      <c r="R130" s="38"/>
      <c r="S130" s="39"/>
      <c r="T130" s="40"/>
      <c r="U130" s="38"/>
      <c r="V130" s="39"/>
      <c r="W130" s="40"/>
      <c r="X130" s="38"/>
      <c r="Y130" s="39"/>
      <c r="Z130" s="40"/>
      <c r="AA130" s="38"/>
      <c r="AB130" s="39"/>
      <c r="AC130" s="40"/>
      <c r="AD130" s="39"/>
      <c r="AE130" s="39"/>
      <c r="AF130" s="39"/>
      <c r="AG130" s="39"/>
      <c r="AH130" s="39"/>
      <c r="AI130" s="39"/>
      <c r="AJ130" s="39"/>
      <c r="AK130" s="39"/>
      <c r="AL130" s="39"/>
      <c r="AM130" s="38"/>
      <c r="AN130" s="39"/>
      <c r="AO130" s="40"/>
      <c r="AP130" s="39"/>
      <c r="AQ130" s="39"/>
      <c r="AR130" s="39"/>
      <c r="AS130" s="39"/>
      <c r="AT130" s="39"/>
      <c r="AU130" s="39"/>
      <c r="AV130" s="39"/>
      <c r="AW130" s="39"/>
      <c r="AX130" s="39"/>
      <c r="AY130" s="39"/>
      <c r="AZ130" s="39"/>
      <c r="BA130" s="39"/>
      <c r="BB130" s="39"/>
      <c r="BC130" s="39"/>
      <c r="BD130" s="39"/>
      <c r="BE130" s="39"/>
      <c r="BF130" s="39"/>
      <c r="BG130" s="39"/>
      <c r="BH130" s="39"/>
      <c r="BI130" s="39"/>
      <c r="BJ130" s="39"/>
      <c r="BK130" s="39"/>
      <c r="BL130" s="39"/>
      <c r="BM130" s="39"/>
      <c r="BN130" s="38"/>
      <c r="BO130" s="39"/>
      <c r="BP130" s="40"/>
      <c r="BQ130" s="45"/>
    </row>
    <row r="131" ht="11.25" customHeight="1" spans="1:69" x14ac:dyDescent="0.25">
      <c r="A131" s="44">
        <v>425110000</v>
      </c>
      <c r="B131" s="46" t="s">
        <v>361</v>
      </c>
      <c r="C131" s="38">
        <f>IFERROR(VLOOKUP("1_"&amp;A131,SyS!$B:$P,10,FALSE()),0)</f>
        <v>0</v>
      </c>
      <c r="D131" s="39">
        <f>IFERROR(VLOOKUP("1_"&amp;A131,SyS!$B:$P,12,FALSE()),0)</f>
        <v>0</v>
      </c>
      <c r="E131" s="39">
        <f>+C131-D131</f>
        <v>0</v>
      </c>
      <c r="F131" s="38">
        <f>IFERROR(VLOOKUP("2_"&amp;A131,SyS!$B:$P,10,FALSE()),0)</f>
        <v>634.65</v>
      </c>
      <c r="G131" s="39">
        <f>IFERROR(VLOOKUP("2_"&amp;A131,SyS!$B:$P,12,FALSE()),0)</f>
        <v>0</v>
      </c>
      <c r="H131" s="40">
        <f>+F131-G131</f>
        <v>634.65</v>
      </c>
      <c r="I131" s="39"/>
      <c r="J131" s="39"/>
      <c r="K131" s="39"/>
      <c r="L131" s="39"/>
      <c r="M131" s="39"/>
      <c r="N131" s="39"/>
      <c r="O131" s="38">
        <f>IFERROR(VLOOKUP("14_"&amp;A131,SyS!$B:$P,10,FALSE()),0)</f>
        <v>0</v>
      </c>
      <c r="P131" s="39">
        <f>IFERROR(VLOOKUP("14_"&amp;A131,SyS!$B:$P,12,FALSE()),0)</f>
        <v>0</v>
      </c>
      <c r="Q131" s="40">
        <f>+O131-P131</f>
        <v>0</v>
      </c>
      <c r="R131" s="38">
        <f>IFERROR(VLOOKUP("15_"&amp;A131,SyS!$B:$P,10,FALSE()),0)</f>
        <v>0</v>
      </c>
      <c r="S131" s="39">
        <f>IFERROR(VLOOKUP("15_"&amp;A131,SyS!$B:$P,12,FALSE()),0)</f>
        <v>0</v>
      </c>
      <c r="T131" s="40">
        <f>+R131-S131</f>
        <v>0</v>
      </c>
      <c r="U131" s="38">
        <f>IFERROR(VLOOKUP("16_"&amp;A131,SyS!$B:$P,10,FALSE()),0)</f>
        <v>0</v>
      </c>
      <c r="V131" s="39">
        <f>IFERROR(VLOOKUP("16_"&amp;A131,SyS!$B:$P,12,FALSE()),0)</f>
        <v>0</v>
      </c>
      <c r="W131" s="40">
        <f>+U131-V131</f>
        <v>0</v>
      </c>
      <c r="X131" s="38">
        <f>IFERROR(VLOOKUP("13_"&amp;A131,SyS!$B:$P,10,FALSE()),0)</f>
        <v>0</v>
      </c>
      <c r="Y131" s="39">
        <f>IFERROR(VLOOKUP("13_"&amp;A131,SyS!$B:$P,12,FALSE()),0)</f>
        <v>0</v>
      </c>
      <c r="Z131" s="40">
        <f>+X131-Y131</f>
        <v>0</v>
      </c>
      <c r="AA131" s="38">
        <f>IFERROR(VLOOKUP("17_"&amp;A131,SyS!$B:$P,10,FALSE()),0)</f>
        <v>0</v>
      </c>
      <c r="AB131" s="39">
        <f>IFERROR(VLOOKUP("17_"&amp;A131,SyS!$B:$P,12,FALSE()),0)</f>
        <v>0</v>
      </c>
      <c r="AC131" s="40">
        <f>+AA131-AB131</f>
        <v>0</v>
      </c>
      <c r="AD131" s="39"/>
      <c r="AE131" s="39"/>
      <c r="AF131" s="39"/>
      <c r="AG131" s="39">
        <f>IFERROR(VLOOKUP("19_"&amp;A131,SyS!$B:$P,10,FALSE()),0)</f>
        <v>0</v>
      </c>
      <c r="AH131" s="39">
        <f>IFERROR(VLOOKUP("19_"&amp;A131,SyS!$B:$P,12,FALSE()),0)</f>
        <v>0</v>
      </c>
      <c r="AI131" s="39">
        <f>+AG131-AH131</f>
        <v>0</v>
      </c>
      <c r="AJ131" s="39"/>
      <c r="AK131" s="39"/>
      <c r="AL131" s="39"/>
      <c r="AM131" s="38">
        <f>IFERROR(VLOOKUP("23_"&amp;A131,SyS!$B:$P,10,FALSE()),0)</f>
        <v>0</v>
      </c>
      <c r="AN131" s="39">
        <f>IFERROR(VLOOKUP("23_"&amp;A131,SyS!$B:$P,12,FALSE()),0)</f>
        <v>0</v>
      </c>
      <c r="AO131" s="40">
        <f>+AM131-AN131</f>
        <v>0</v>
      </c>
      <c r="AP131" s="39"/>
      <c r="AQ131" s="39"/>
      <c r="AR131" s="39"/>
      <c r="AS131" s="39"/>
      <c r="AT131" s="39"/>
      <c r="AU131" s="39"/>
      <c r="AV131" s="39"/>
      <c r="AW131" s="39"/>
      <c r="AX131" s="39"/>
      <c r="AY131" s="39"/>
      <c r="AZ131" s="39"/>
      <c r="BA131" s="39"/>
      <c r="BB131" s="39"/>
      <c r="BC131" s="39"/>
      <c r="BD131" s="39"/>
      <c r="BE131" s="39"/>
      <c r="BF131" s="39"/>
      <c r="BG131" s="39"/>
      <c r="BH131" s="39"/>
      <c r="BI131" s="39"/>
      <c r="BJ131" s="39"/>
      <c r="BK131" s="39">
        <f>IFERROR(VLOOKUP("29_"&amp;A131,SyS!$B:$P,10,FALSE()),0)</f>
        <v>0</v>
      </c>
      <c r="BL131" s="39">
        <f>IFERROR(VLOOKUP("29_"&amp;A131,SyS!$B:$P,12,FALSE()),0)</f>
        <v>0</v>
      </c>
      <c r="BM131" s="39">
        <f>+BK131-BL131</f>
        <v>0</v>
      </c>
      <c r="BN131" s="38">
        <f>IFERROR(VLOOKUP("30_"&amp;A131,SyS!$B:$P,10,FALSE()),0)</f>
        <v>0</v>
      </c>
      <c r="BO131" s="39">
        <f>IFERROR(VLOOKUP("30_"&amp;A131,SyS!$B:$P,12,FALSE()),0)</f>
        <v>0</v>
      </c>
      <c r="BP131" s="40">
        <f>+BN131-BO131</f>
        <v>0</v>
      </c>
      <c r="BQ131" s="45">
        <f>+E131+H131+K131+Q131+T131+W131+Z131+AC131+AF131+AI131+AL131+AO131+AR131+AU131+AX131+BA131+BD131+BG131+BJ131+BM131+BP131</f>
        <v>634.65</v>
      </c>
    </row>
    <row r="132" ht="11.25" customHeight="1" spans="1:69" x14ac:dyDescent="0.25">
      <c r="A132" s="44">
        <v>425120000</v>
      </c>
      <c r="B132" s="44" t="s">
        <v>362</v>
      </c>
      <c r="C132" s="38">
        <f>IFERROR(VLOOKUP("1_"&amp;A132,SyS!$B:$P,10,FALSE()),0)</f>
        <v>0</v>
      </c>
      <c r="D132" s="39">
        <f>IFERROR(VLOOKUP("1_"&amp;A132,SyS!$B:$P,12,FALSE()),0)</f>
        <v>0</v>
      </c>
      <c r="E132" s="39">
        <f>+C132-D132</f>
        <v>0</v>
      </c>
      <c r="F132" s="38">
        <f>IFERROR(VLOOKUP("2_"&amp;A132,SyS!$B:$P,10,FALSE()),0)</f>
        <v>123.47</v>
      </c>
      <c r="G132" s="39">
        <f>IFERROR(VLOOKUP("2_"&amp;A132,SyS!$B:$P,12,FALSE()),0)</f>
        <v>0</v>
      </c>
      <c r="H132" s="40">
        <f>+F132-G132</f>
        <v>123.47</v>
      </c>
      <c r="I132" s="39"/>
      <c r="J132" s="39"/>
      <c r="K132" s="39"/>
      <c r="L132" s="39"/>
      <c r="M132" s="39"/>
      <c r="N132" s="39"/>
      <c r="O132" s="38">
        <f>IFERROR(VLOOKUP("14_"&amp;A132,SyS!$B:$P,10,FALSE()),0)</f>
        <v>0</v>
      </c>
      <c r="P132" s="39">
        <f>IFERROR(VLOOKUP("14_"&amp;A132,SyS!$B:$P,12,FALSE()),0)</f>
        <v>0</v>
      </c>
      <c r="Q132" s="40">
        <f>+O132-P132</f>
        <v>0</v>
      </c>
      <c r="R132" s="38">
        <f>IFERROR(VLOOKUP("15_"&amp;A132,SyS!$B:$P,10,FALSE()),0)</f>
        <v>0</v>
      </c>
      <c r="S132" s="39">
        <f>IFERROR(VLOOKUP("15_"&amp;A132,SyS!$B:$P,12,FALSE()),0)</f>
        <v>0</v>
      </c>
      <c r="T132" s="40">
        <f>+R132-S132</f>
        <v>0</v>
      </c>
      <c r="U132" s="38">
        <f>IFERROR(VLOOKUP("16_"&amp;A132,SyS!$B:$P,10,FALSE()),0)</f>
        <v>0</v>
      </c>
      <c r="V132" s="39">
        <f>IFERROR(VLOOKUP("16_"&amp;A132,SyS!$B:$P,12,FALSE()),0)</f>
        <v>0</v>
      </c>
      <c r="W132" s="40">
        <f>+U132-V132</f>
        <v>0</v>
      </c>
      <c r="X132" s="38">
        <f>IFERROR(VLOOKUP("13_"&amp;A132,SyS!$B:$P,10,FALSE()),0)</f>
        <v>0</v>
      </c>
      <c r="Y132" s="39">
        <f>IFERROR(VLOOKUP("13_"&amp;A132,SyS!$B:$P,12,FALSE()),0)</f>
        <v>0</v>
      </c>
      <c r="Z132" s="40">
        <f>+X132-Y132</f>
        <v>0</v>
      </c>
      <c r="AA132" s="38">
        <f>IFERROR(VLOOKUP("17_"&amp;A132,SyS!$B:$P,10,FALSE()),0)</f>
        <v>0</v>
      </c>
      <c r="AB132" s="39">
        <f>IFERROR(VLOOKUP("17_"&amp;A132,SyS!$B:$P,12,FALSE()),0)</f>
        <v>0</v>
      </c>
      <c r="AC132" s="40">
        <f>+AA132-AB132</f>
        <v>0</v>
      </c>
      <c r="AD132" s="39"/>
      <c r="AE132" s="39"/>
      <c r="AF132" s="39"/>
      <c r="AG132" s="39">
        <f>IFERROR(VLOOKUP("19_"&amp;A132,SyS!$B:$P,10,FALSE()),0)</f>
        <v>0</v>
      </c>
      <c r="AH132" s="39">
        <f>IFERROR(VLOOKUP("19_"&amp;A132,SyS!$B:$P,12,FALSE()),0)</f>
        <v>0</v>
      </c>
      <c r="AI132" s="39">
        <f>+AG132-AH132</f>
        <v>0</v>
      </c>
      <c r="AJ132" s="39"/>
      <c r="AK132" s="39"/>
      <c r="AL132" s="39"/>
      <c r="AM132" s="38">
        <f>IFERROR(VLOOKUP("23_"&amp;A132,SyS!$B:$P,10,FALSE()),0)</f>
        <v>0</v>
      </c>
      <c r="AN132" s="39">
        <f>IFERROR(VLOOKUP("23_"&amp;A132,SyS!$B:$P,12,FALSE()),0)</f>
        <v>0</v>
      </c>
      <c r="AO132" s="40">
        <f>+AM132-AN132</f>
        <v>0</v>
      </c>
      <c r="AP132" s="39"/>
      <c r="AQ132" s="39"/>
      <c r="AR132" s="39"/>
      <c r="AS132" s="39"/>
      <c r="AT132" s="39"/>
      <c r="AU132" s="39"/>
      <c r="AV132" s="39"/>
      <c r="AW132" s="39"/>
      <c r="AX132" s="39"/>
      <c r="AY132" s="39"/>
      <c r="AZ132" s="39"/>
      <c r="BA132" s="39"/>
      <c r="BB132" s="39"/>
      <c r="BC132" s="39"/>
      <c r="BD132" s="39"/>
      <c r="BE132" s="39"/>
      <c r="BF132" s="39"/>
      <c r="BG132" s="39"/>
      <c r="BH132" s="39"/>
      <c r="BI132" s="39"/>
      <c r="BJ132" s="39"/>
      <c r="BK132" s="39">
        <f>IFERROR(VLOOKUP("29_"&amp;A132,SyS!$B:$P,10,FALSE()),0)</f>
        <v>0</v>
      </c>
      <c r="BL132" s="39">
        <f>IFERROR(VLOOKUP("29_"&amp;A132,SyS!$B:$P,12,FALSE()),0)</f>
        <v>0</v>
      </c>
      <c r="BM132" s="39">
        <f>+BK132-BL132</f>
        <v>0</v>
      </c>
      <c r="BN132" s="38">
        <f>IFERROR(VLOOKUP("30_"&amp;A132,SyS!$B:$P,10,FALSE()),0)</f>
        <v>0</v>
      </c>
      <c r="BO132" s="39">
        <f>IFERROR(VLOOKUP("30_"&amp;A132,SyS!$B:$P,12,FALSE()),0)</f>
        <v>0</v>
      </c>
      <c r="BP132" s="40">
        <f>+BN132-BO132</f>
        <v>0</v>
      </c>
      <c r="BQ132" s="45">
        <f>+E132+H132+K132+Q132+T132+W132+Z132+AC132+AF132+AI132+AL132+AO132+AR132+AU132+AX132+BA132+BD132+BG132+BJ132+BM132+BP132</f>
        <v>123.47</v>
      </c>
    </row>
    <row r="133" ht="11.25" customHeight="1" spans="1:69" x14ac:dyDescent="0.25">
      <c r="A133" s="44">
        <v>425130000</v>
      </c>
      <c r="B133" s="44" t="s">
        <v>363</v>
      </c>
      <c r="C133" s="38">
        <f>IFERROR(VLOOKUP("1_"&amp;A133,SyS!$B:$P,10,FALSE()),0)</f>
        <v>0</v>
      </c>
      <c r="D133" s="39">
        <f>IFERROR(VLOOKUP("1_"&amp;A133,SyS!$B:$P,12,FALSE()),0)</f>
        <v>0</v>
      </c>
      <c r="E133" s="39">
        <f>+C133-D133</f>
        <v>0</v>
      </c>
      <c r="F133" s="38">
        <f>IFERROR(VLOOKUP("2_"&amp;A133,SyS!$B:$P,10,FALSE()),0)</f>
        <v>0</v>
      </c>
      <c r="G133" s="39">
        <f>IFERROR(VLOOKUP("2_"&amp;A133,SyS!$B:$P,12,FALSE()),0)</f>
        <v>0</v>
      </c>
      <c r="H133" s="40">
        <f>+F133-G133</f>
        <v>0</v>
      </c>
      <c r="I133" s="39"/>
      <c r="J133" s="39"/>
      <c r="K133" s="39"/>
      <c r="L133" s="39"/>
      <c r="M133" s="39"/>
      <c r="N133" s="39"/>
      <c r="O133" s="38">
        <f>IFERROR(VLOOKUP("14_"&amp;A133,SyS!$B:$P,10,FALSE()),0)</f>
        <v>0</v>
      </c>
      <c r="P133" s="39">
        <f>IFERROR(VLOOKUP("14_"&amp;A133,SyS!$B:$P,12,FALSE()),0)</f>
        <v>0</v>
      </c>
      <c r="Q133" s="40">
        <f>+O133-P133</f>
        <v>0</v>
      </c>
      <c r="R133" s="38">
        <f>IFERROR(VLOOKUP("15_"&amp;A133,SyS!$B:$P,10,FALSE()),0)</f>
        <v>0</v>
      </c>
      <c r="S133" s="39">
        <f>IFERROR(VLOOKUP("15_"&amp;A133,SyS!$B:$P,12,FALSE()),0)</f>
        <v>0</v>
      </c>
      <c r="T133" s="40">
        <f>+R133-S133</f>
        <v>0</v>
      </c>
      <c r="U133" s="38">
        <f>IFERROR(VLOOKUP("16_"&amp;A133,SyS!$B:$P,10,FALSE()),0)</f>
        <v>0</v>
      </c>
      <c r="V133" s="39">
        <f>IFERROR(VLOOKUP("16_"&amp;A133,SyS!$B:$P,12,FALSE()),0)</f>
        <v>0</v>
      </c>
      <c r="W133" s="40">
        <f>+U133-V133</f>
        <v>0</v>
      </c>
      <c r="X133" s="38">
        <f>IFERROR(VLOOKUP("13_"&amp;A133,SyS!$B:$P,10,FALSE()),0)</f>
        <v>0</v>
      </c>
      <c r="Y133" s="39">
        <f>IFERROR(VLOOKUP("13_"&amp;A133,SyS!$B:$P,12,FALSE()),0)</f>
        <v>0</v>
      </c>
      <c r="Z133" s="40">
        <f>+X133-Y133</f>
        <v>0</v>
      </c>
      <c r="AA133" s="38">
        <f>IFERROR(VLOOKUP("17_"&amp;A133,SyS!$B:$P,10,FALSE()),0)</f>
        <v>0</v>
      </c>
      <c r="AB133" s="39">
        <f>IFERROR(VLOOKUP("17_"&amp;A133,SyS!$B:$P,12,FALSE()),0)</f>
        <v>0</v>
      </c>
      <c r="AC133" s="40">
        <f>+AA133-AB133</f>
        <v>0</v>
      </c>
      <c r="AD133" s="39"/>
      <c r="AE133" s="39"/>
      <c r="AF133" s="39"/>
      <c r="AG133" s="39">
        <f>IFERROR(VLOOKUP("19_"&amp;A133,SyS!$B:$P,10,FALSE()),0)</f>
        <v>0</v>
      </c>
      <c r="AH133" s="39">
        <f>IFERROR(VLOOKUP("19_"&amp;A133,SyS!$B:$P,12,FALSE()),0)</f>
        <v>0</v>
      </c>
      <c r="AI133" s="39">
        <f>+AG133-AH133</f>
        <v>0</v>
      </c>
      <c r="AJ133" s="39"/>
      <c r="AK133" s="39"/>
      <c r="AL133" s="39"/>
      <c r="AM133" s="38">
        <f>IFERROR(VLOOKUP("23_"&amp;A133,SyS!$B:$P,10,FALSE()),0)</f>
        <v>0</v>
      </c>
      <c r="AN133" s="39">
        <f>IFERROR(VLOOKUP("23_"&amp;A133,SyS!$B:$P,12,FALSE()),0)</f>
        <v>0</v>
      </c>
      <c r="AO133" s="40">
        <f>+AM133-AN133</f>
        <v>0</v>
      </c>
      <c r="AP133" s="39"/>
      <c r="AQ133" s="39"/>
      <c r="AR133" s="39"/>
      <c r="AS133" s="39"/>
      <c r="AT133" s="39"/>
      <c r="AU133" s="39"/>
      <c r="AV133" s="39"/>
      <c r="AW133" s="39"/>
      <c r="AX133" s="39"/>
      <c r="AY133" s="39"/>
      <c r="AZ133" s="39"/>
      <c r="BA133" s="39"/>
      <c r="BB133" s="39"/>
      <c r="BC133" s="39"/>
      <c r="BD133" s="39"/>
      <c r="BE133" s="39"/>
      <c r="BF133" s="39"/>
      <c r="BG133" s="39"/>
      <c r="BH133" s="39"/>
      <c r="BI133" s="39"/>
      <c r="BJ133" s="39"/>
      <c r="BK133" s="39">
        <f>IFERROR(VLOOKUP("29_"&amp;A133,SyS!$B:$P,10,FALSE()),0)</f>
        <v>0</v>
      </c>
      <c r="BL133" s="39">
        <f>IFERROR(VLOOKUP("29_"&amp;A133,SyS!$B:$P,12,FALSE()),0)</f>
        <v>0</v>
      </c>
      <c r="BM133" s="39">
        <f>+BK133-BL133</f>
        <v>0</v>
      </c>
      <c r="BN133" s="38">
        <f>IFERROR(VLOOKUP("30_"&amp;A133,SyS!$B:$P,10,FALSE()),0)</f>
        <v>0</v>
      </c>
      <c r="BO133" s="39">
        <f>IFERROR(VLOOKUP("30_"&amp;A133,SyS!$B:$P,12,FALSE()),0)</f>
        <v>0</v>
      </c>
      <c r="BP133" s="40">
        <f>+BN133-BO133</f>
        <v>0</v>
      </c>
      <c r="BQ133" s="45">
        <f>+E133+H133+K133+Q133+T133+W133+Z133+AC133+AF133+AI133+AL133+AO133+AR133+AU133+AX133+BA133+BD133+BG133+BJ133+BM133+BP133</f>
        <v>0</v>
      </c>
    </row>
    <row r="134" ht="11.25" customHeight="1" spans="1:69" x14ac:dyDescent="0.25">
      <c r="A134" s="44">
        <v>425140000</v>
      </c>
      <c r="B134" s="44" t="s">
        <v>364</v>
      </c>
      <c r="C134" s="38">
        <f>IFERROR(VLOOKUP("1_"&amp;A134,SyS!$B:$P,10,FALSE()),0)</f>
        <v>0</v>
      </c>
      <c r="D134" s="39">
        <f>IFERROR(VLOOKUP("1_"&amp;A134,SyS!$B:$P,12,FALSE()),0)</f>
        <v>0</v>
      </c>
      <c r="E134" s="39">
        <f>+C134-D134</f>
        <v>0</v>
      </c>
      <c r="F134" s="38">
        <f>IFERROR(VLOOKUP("2_"&amp;A134,SyS!$B:$P,10,FALSE()),0)</f>
        <v>0</v>
      </c>
      <c r="G134" s="39">
        <f>IFERROR(VLOOKUP("2_"&amp;A134,SyS!$B:$P,12,FALSE()),0)</f>
        <v>0</v>
      </c>
      <c r="H134" s="40">
        <f>+F134-G134</f>
        <v>0</v>
      </c>
      <c r="I134" s="39"/>
      <c r="J134" s="39"/>
      <c r="K134" s="39"/>
      <c r="L134" s="39"/>
      <c r="M134" s="39"/>
      <c r="N134" s="39"/>
      <c r="O134" s="38">
        <f>IFERROR(VLOOKUP("14_"&amp;A134,SyS!$B:$P,10,FALSE()),0)</f>
        <v>0</v>
      </c>
      <c r="P134" s="39">
        <f>IFERROR(VLOOKUP("14_"&amp;A134,SyS!$B:$P,12,FALSE()),0)</f>
        <v>0</v>
      </c>
      <c r="Q134" s="40">
        <f>+O134-P134</f>
        <v>0</v>
      </c>
      <c r="R134" s="38">
        <f>IFERROR(VLOOKUP("15_"&amp;A134,SyS!$B:$P,10,FALSE()),0)</f>
        <v>0</v>
      </c>
      <c r="S134" s="39">
        <f>IFERROR(VLOOKUP("15_"&amp;A134,SyS!$B:$P,12,FALSE()),0)</f>
        <v>0</v>
      </c>
      <c r="T134" s="40">
        <f>+R134-S134</f>
        <v>0</v>
      </c>
      <c r="U134" s="38">
        <f>IFERROR(VLOOKUP("16_"&amp;A134,SyS!$B:$P,10,FALSE()),0)</f>
        <v>0</v>
      </c>
      <c r="V134" s="39">
        <f>IFERROR(VLOOKUP("16_"&amp;A134,SyS!$B:$P,12,FALSE()),0)</f>
        <v>0</v>
      </c>
      <c r="W134" s="40">
        <f>+U134-V134</f>
        <v>0</v>
      </c>
      <c r="X134" s="38">
        <f>IFERROR(VLOOKUP("13_"&amp;A134,SyS!$B:$P,10,FALSE()),0)</f>
        <v>0</v>
      </c>
      <c r="Y134" s="39">
        <f>IFERROR(VLOOKUP("13_"&amp;A134,SyS!$B:$P,12,FALSE()),0)</f>
        <v>0</v>
      </c>
      <c r="Z134" s="40">
        <f>+X134-Y134</f>
        <v>0</v>
      </c>
      <c r="AA134" s="38">
        <f>IFERROR(VLOOKUP("17_"&amp;A134,SyS!$B:$P,10,FALSE()),0)</f>
        <v>0</v>
      </c>
      <c r="AB134" s="39">
        <f>IFERROR(VLOOKUP("17_"&amp;A134,SyS!$B:$P,12,FALSE()),0)</f>
        <v>0</v>
      </c>
      <c r="AC134" s="40">
        <f>+AA134-AB134</f>
        <v>0</v>
      </c>
      <c r="AD134" s="39"/>
      <c r="AE134" s="39"/>
      <c r="AF134" s="39"/>
      <c r="AG134" s="39">
        <f>IFERROR(VLOOKUP("19_"&amp;A134,SyS!$B:$P,10,FALSE()),0)</f>
        <v>0</v>
      </c>
      <c r="AH134" s="39">
        <f>IFERROR(VLOOKUP("19_"&amp;A134,SyS!$B:$P,12,FALSE()),0)</f>
        <v>0</v>
      </c>
      <c r="AI134" s="39">
        <f>+AG134-AH134</f>
        <v>0</v>
      </c>
      <c r="AJ134" s="39"/>
      <c r="AK134" s="39"/>
      <c r="AL134" s="39"/>
      <c r="AM134" s="38">
        <f>IFERROR(VLOOKUP("23_"&amp;A134,SyS!$B:$P,10,FALSE()),0)</f>
        <v>0</v>
      </c>
      <c r="AN134" s="39">
        <f>IFERROR(VLOOKUP("23_"&amp;A134,SyS!$B:$P,12,FALSE()),0)</f>
        <v>0</v>
      </c>
      <c r="AO134" s="40">
        <f>+AM134-AN134</f>
        <v>0</v>
      </c>
      <c r="AP134" s="39"/>
      <c r="AQ134" s="39"/>
      <c r="AR134" s="39"/>
      <c r="AS134" s="39"/>
      <c r="AT134" s="39"/>
      <c r="AU134" s="39"/>
      <c r="AV134" s="39"/>
      <c r="AW134" s="39"/>
      <c r="AX134" s="39"/>
      <c r="AY134" s="39"/>
      <c r="AZ134" s="39"/>
      <c r="BA134" s="39"/>
      <c r="BB134" s="39"/>
      <c r="BC134" s="39"/>
      <c r="BD134" s="39"/>
      <c r="BE134" s="39"/>
      <c r="BF134" s="39"/>
      <c r="BG134" s="39"/>
      <c r="BH134" s="39"/>
      <c r="BI134" s="39"/>
      <c r="BJ134" s="39"/>
      <c r="BK134" s="39">
        <f>IFERROR(VLOOKUP("29_"&amp;A134,SyS!$B:$P,10,FALSE()),0)</f>
        <v>0</v>
      </c>
      <c r="BL134" s="39">
        <f>IFERROR(VLOOKUP("29_"&amp;A134,SyS!$B:$P,12,FALSE()),0)</f>
        <v>0</v>
      </c>
      <c r="BM134" s="39">
        <f>+BK134-BL134</f>
        <v>0</v>
      </c>
      <c r="BN134" s="38">
        <f>IFERROR(VLOOKUP("30_"&amp;A134,SyS!$B:$P,10,FALSE()),0)</f>
        <v>0</v>
      </c>
      <c r="BO134" s="39">
        <f>IFERROR(VLOOKUP("30_"&amp;A134,SyS!$B:$P,12,FALSE()),0)</f>
        <v>0</v>
      </c>
      <c r="BP134" s="40">
        <f>+BN134-BO134</f>
        <v>0</v>
      </c>
      <c r="BQ134" s="45">
        <f>+E134+H134+K134+Q134+T134+W134+Z134+AC134+AF134+AI134+AL134+AO134+AR134+AU134+AX134+BA134+BD134+BG134+BJ134+BM134+BP134</f>
        <v>0</v>
      </c>
    </row>
    <row r="135" ht="11.25" customHeight="1" spans="1:69" x14ac:dyDescent="0.25">
      <c r="A135" s="44">
        <v>425150000</v>
      </c>
      <c r="B135" s="44" t="s">
        <v>365</v>
      </c>
      <c r="C135" s="38">
        <f>IFERROR(VLOOKUP("1_"&amp;A135,SyS!$B:$P,10,FALSE()),0)</f>
        <v>0</v>
      </c>
      <c r="D135" s="39">
        <f>IFERROR(VLOOKUP("1_"&amp;A135,SyS!$B:$P,12,FALSE()),0)</f>
        <v>0</v>
      </c>
      <c r="E135" s="39">
        <f>+C135-D135</f>
        <v>0</v>
      </c>
      <c r="F135" s="38">
        <f>IFERROR(VLOOKUP("2_"&amp;A135,SyS!$B:$P,10,FALSE()),0)</f>
        <v>1181.74</v>
      </c>
      <c r="G135" s="39">
        <f>IFERROR(VLOOKUP("2_"&amp;A135,SyS!$B:$P,12,FALSE()),0)</f>
        <v>0</v>
      </c>
      <c r="H135" s="40">
        <f>+F135-G135</f>
        <v>1181.74</v>
      </c>
      <c r="I135" s="39"/>
      <c r="J135" s="39"/>
      <c r="K135" s="39"/>
      <c r="L135" s="39"/>
      <c r="M135" s="39"/>
      <c r="N135" s="39"/>
      <c r="O135" s="38">
        <f>IFERROR(VLOOKUP("14_"&amp;A135,SyS!$B:$P,10,FALSE()),0)</f>
        <v>0</v>
      </c>
      <c r="P135" s="39">
        <f>IFERROR(VLOOKUP("14_"&amp;A135,SyS!$B:$P,12,FALSE()),0)</f>
        <v>0</v>
      </c>
      <c r="Q135" s="40">
        <f>+O135-P135</f>
        <v>0</v>
      </c>
      <c r="R135" s="38">
        <f>IFERROR(VLOOKUP("15_"&amp;A135,SyS!$B:$P,10,FALSE()),0)</f>
        <v>1235.4</v>
      </c>
      <c r="S135" s="39">
        <f>IFERROR(VLOOKUP("15_"&amp;A135,SyS!$B:$P,12,FALSE()),0)</f>
        <v>0</v>
      </c>
      <c r="T135" s="40">
        <f>+R135-S135</f>
        <v>1235.4</v>
      </c>
      <c r="U135" s="38">
        <f>IFERROR(VLOOKUP("16_"&amp;A135,SyS!$B:$P,10,FALSE()),0)</f>
        <v>0</v>
      </c>
      <c r="V135" s="39">
        <f>IFERROR(VLOOKUP("16_"&amp;A135,SyS!$B:$P,12,FALSE()),0)</f>
        <v>0</v>
      </c>
      <c r="W135" s="40">
        <f>+U135-V135</f>
        <v>0</v>
      </c>
      <c r="X135" s="38">
        <f>IFERROR(VLOOKUP("13_"&amp;A135,SyS!$B:$P,10,FALSE()),0)</f>
        <v>0</v>
      </c>
      <c r="Y135" s="39">
        <f>IFERROR(VLOOKUP("13_"&amp;A135,SyS!$B:$P,12,FALSE()),0)</f>
        <v>0</v>
      </c>
      <c r="Z135" s="40">
        <f>+X135-Y135</f>
        <v>0</v>
      </c>
      <c r="AA135" s="38">
        <f>IFERROR(VLOOKUP("17_"&amp;A135,SyS!$B:$P,10,FALSE()),0)</f>
        <v>0</v>
      </c>
      <c r="AB135" s="39">
        <f>IFERROR(VLOOKUP("17_"&amp;A135,SyS!$B:$P,12,FALSE()),0)</f>
        <v>0</v>
      </c>
      <c r="AC135" s="40">
        <f>+AA135-AB135</f>
        <v>0</v>
      </c>
      <c r="AD135" s="39"/>
      <c r="AE135" s="39"/>
      <c r="AF135" s="39"/>
      <c r="AG135" s="39">
        <f>IFERROR(VLOOKUP("19_"&amp;A135,SyS!$B:$P,10,FALSE()),0)</f>
        <v>0</v>
      </c>
      <c r="AH135" s="39">
        <f>IFERROR(VLOOKUP("19_"&amp;A135,SyS!$B:$P,12,FALSE()),0)</f>
        <v>0</v>
      </c>
      <c r="AI135" s="39">
        <f>+AG135-AH135</f>
        <v>0</v>
      </c>
      <c r="AJ135" s="39"/>
      <c r="AK135" s="39"/>
      <c r="AL135" s="39"/>
      <c r="AM135" s="38">
        <f>IFERROR(VLOOKUP("23_"&amp;A135,SyS!$B:$P,10,FALSE()),0)</f>
        <v>0</v>
      </c>
      <c r="AN135" s="39">
        <f>IFERROR(VLOOKUP("23_"&amp;A135,SyS!$B:$P,12,FALSE()),0)</f>
        <v>0</v>
      </c>
      <c r="AO135" s="40">
        <f>+AM135-AN135</f>
        <v>0</v>
      </c>
      <c r="AP135" s="39"/>
      <c r="AQ135" s="39"/>
      <c r="AR135" s="39"/>
      <c r="AS135" s="39"/>
      <c r="AT135" s="39"/>
      <c r="AU135" s="39"/>
      <c r="AV135" s="39"/>
      <c r="AW135" s="39"/>
      <c r="AX135" s="39"/>
      <c r="AY135" s="39"/>
      <c r="AZ135" s="39"/>
      <c r="BA135" s="39"/>
      <c r="BB135" s="39"/>
      <c r="BC135" s="39"/>
      <c r="BD135" s="39"/>
      <c r="BE135" s="39"/>
      <c r="BF135" s="39"/>
      <c r="BG135" s="39"/>
      <c r="BH135" s="39"/>
      <c r="BI135" s="39"/>
      <c r="BJ135" s="39"/>
      <c r="BK135" s="39">
        <f>IFERROR(VLOOKUP("29_"&amp;A135,SyS!$B:$P,10,FALSE()),0)</f>
        <v>0</v>
      </c>
      <c r="BL135" s="39">
        <f>IFERROR(VLOOKUP("29_"&amp;A135,SyS!$B:$P,12,FALSE()),0)</f>
        <v>0</v>
      </c>
      <c r="BM135" s="39">
        <f>+BK135-BL135</f>
        <v>0</v>
      </c>
      <c r="BN135" s="38">
        <f>IFERROR(VLOOKUP("30_"&amp;A135,SyS!$B:$P,10,FALSE()),0)</f>
        <v>0</v>
      </c>
      <c r="BO135" s="39">
        <f>IFERROR(VLOOKUP("30_"&amp;A135,SyS!$B:$P,12,FALSE()),0)</f>
        <v>0</v>
      </c>
      <c r="BP135" s="40">
        <f>+BN135-BO135</f>
        <v>0</v>
      </c>
      <c r="BQ135" s="45">
        <f>+E135+H135+K135+Q135+T135+W135+Z135+AC135+AF135+AI135+AL135+AO135+AR135+AU135+AX135+BA135+BD135+BG135+BJ135+BM135+BP135</f>
        <v>2417.1400000000003</v>
      </c>
    </row>
    <row r="136" ht="11.25" customHeight="1" spans="1:69" x14ac:dyDescent="0.25">
      <c r="A136" s="44">
        <v>425160000</v>
      </c>
      <c r="B136" s="44" t="s">
        <v>366</v>
      </c>
      <c r="C136" s="38">
        <f>IFERROR(VLOOKUP("1_"&amp;A136,SyS!$B:$P,10,FALSE()),0)</f>
        <v>0</v>
      </c>
      <c r="D136" s="39">
        <f>IFERROR(VLOOKUP("1_"&amp;A136,SyS!$B:$P,12,FALSE()),0)</f>
        <v>0</v>
      </c>
      <c r="E136" s="39">
        <f>+C136-D136</f>
        <v>0</v>
      </c>
      <c r="F136" s="38">
        <f>IFERROR(VLOOKUP("2_"&amp;A136,SyS!$B:$P,10,FALSE()),0)</f>
        <v>0</v>
      </c>
      <c r="G136" s="39">
        <f>IFERROR(VLOOKUP("2_"&amp;A136,SyS!$B:$P,12,FALSE()),0)</f>
        <v>0</v>
      </c>
      <c r="H136" s="40">
        <f>+F136-G136</f>
        <v>0</v>
      </c>
      <c r="I136" s="39"/>
      <c r="J136" s="39"/>
      <c r="K136" s="39"/>
      <c r="L136" s="39"/>
      <c r="M136" s="39"/>
      <c r="N136" s="39"/>
      <c r="O136" s="38">
        <f>IFERROR(VLOOKUP("14_"&amp;A136,SyS!$B:$P,10,FALSE()),0)</f>
        <v>0</v>
      </c>
      <c r="P136" s="39">
        <f>IFERROR(VLOOKUP("14_"&amp;A136,SyS!$B:$P,12,FALSE()),0)</f>
        <v>0</v>
      </c>
      <c r="Q136" s="40">
        <f>+O136-P136</f>
        <v>0</v>
      </c>
      <c r="R136" s="38">
        <f>IFERROR(VLOOKUP("15_"&amp;A136,SyS!$B:$P,10,FALSE()),0)</f>
        <v>0</v>
      </c>
      <c r="S136" s="39">
        <f>IFERROR(VLOOKUP("15_"&amp;A136,SyS!$B:$P,12,FALSE()),0)</f>
        <v>0</v>
      </c>
      <c r="T136" s="40">
        <f>+R136-S136</f>
        <v>0</v>
      </c>
      <c r="U136" s="38">
        <f>IFERROR(VLOOKUP("16_"&amp;A136,SyS!$B:$P,10,FALSE()),0)</f>
        <v>0</v>
      </c>
      <c r="V136" s="39">
        <f>IFERROR(VLOOKUP("16_"&amp;A136,SyS!$B:$P,12,FALSE()),0)</f>
        <v>0</v>
      </c>
      <c r="W136" s="40">
        <f>+U136-V136</f>
        <v>0</v>
      </c>
      <c r="X136" s="38">
        <f>IFERROR(VLOOKUP("13_"&amp;A136,SyS!$B:$P,10,FALSE()),0)</f>
        <v>0</v>
      </c>
      <c r="Y136" s="39">
        <f>IFERROR(VLOOKUP("13_"&amp;A136,SyS!$B:$P,12,FALSE()),0)</f>
        <v>0</v>
      </c>
      <c r="Z136" s="40">
        <f>+X136-Y136</f>
        <v>0</v>
      </c>
      <c r="AA136" s="38">
        <f>IFERROR(VLOOKUP("17_"&amp;A136,SyS!$B:$P,10,FALSE()),0)</f>
        <v>0</v>
      </c>
      <c r="AB136" s="39">
        <f>IFERROR(VLOOKUP("17_"&amp;A136,SyS!$B:$P,12,FALSE()),0)</f>
        <v>0</v>
      </c>
      <c r="AC136" s="40">
        <f>+AA136-AB136</f>
        <v>0</v>
      </c>
      <c r="AD136" s="39"/>
      <c r="AE136" s="39"/>
      <c r="AF136" s="39"/>
      <c r="AG136" s="39">
        <f>IFERROR(VLOOKUP("19_"&amp;A136,SyS!$B:$P,10,FALSE()),0)</f>
        <v>0</v>
      </c>
      <c r="AH136" s="39">
        <f>IFERROR(VLOOKUP("19_"&amp;A136,SyS!$B:$P,12,FALSE()),0)</f>
        <v>0</v>
      </c>
      <c r="AI136" s="39">
        <f>+AG136-AH136</f>
        <v>0</v>
      </c>
      <c r="AJ136" s="39"/>
      <c r="AK136" s="39"/>
      <c r="AL136" s="39"/>
      <c r="AM136" s="38">
        <f>IFERROR(VLOOKUP("23_"&amp;A136,SyS!$B:$P,10,FALSE()),0)</f>
        <v>0</v>
      </c>
      <c r="AN136" s="39">
        <f>IFERROR(VLOOKUP("23_"&amp;A136,SyS!$B:$P,12,FALSE()),0)</f>
        <v>0</v>
      </c>
      <c r="AO136" s="40">
        <f>+AM136-AN136</f>
        <v>0</v>
      </c>
      <c r="AP136" s="39"/>
      <c r="AQ136" s="39"/>
      <c r="AR136" s="39"/>
      <c r="AS136" s="39"/>
      <c r="AT136" s="39"/>
      <c r="AU136" s="39"/>
      <c r="AV136" s="39"/>
      <c r="AW136" s="39"/>
      <c r="AX136" s="39"/>
      <c r="AY136" s="39"/>
      <c r="AZ136" s="39"/>
      <c r="BA136" s="39"/>
      <c r="BB136" s="39"/>
      <c r="BC136" s="39"/>
      <c r="BD136" s="39"/>
      <c r="BE136" s="39"/>
      <c r="BF136" s="39"/>
      <c r="BG136" s="39"/>
      <c r="BH136" s="39"/>
      <c r="BI136" s="39"/>
      <c r="BJ136" s="39"/>
      <c r="BK136" s="39">
        <f>IFERROR(VLOOKUP("29_"&amp;A136,SyS!$B:$P,10,FALSE()),0)</f>
        <v>0</v>
      </c>
      <c r="BL136" s="39">
        <f>IFERROR(VLOOKUP("29_"&amp;A136,SyS!$B:$P,12,FALSE()),0)</f>
        <v>0</v>
      </c>
      <c r="BM136" s="39">
        <f>+BK136-BL136</f>
        <v>0</v>
      </c>
      <c r="BN136" s="38">
        <f>IFERROR(VLOOKUP("30_"&amp;A136,SyS!$B:$P,10,FALSE()),0)</f>
        <v>0</v>
      </c>
      <c r="BO136" s="39">
        <f>IFERROR(VLOOKUP("30_"&amp;A136,SyS!$B:$P,12,FALSE()),0)</f>
        <v>0</v>
      </c>
      <c r="BP136" s="40">
        <f>+BN136-BO136</f>
        <v>0</v>
      </c>
      <c r="BQ136" s="45">
        <f>+E136+H136+K136+Q136+T136+W136+Z136+AC136+AF136+AI136+AL136+AO136+AR136+AU136+AX136+BA136+BD136+BG136+BJ136+BM136+BP136</f>
        <v>0</v>
      </c>
    </row>
    <row r="137" ht="11.25" customHeight="1" spans="1:69" x14ac:dyDescent="0.25">
      <c r="A137" s="44">
        <v>425170000</v>
      </c>
      <c r="B137" s="44" t="s">
        <v>367</v>
      </c>
      <c r="C137" s="38">
        <f>IFERROR(VLOOKUP("1_"&amp;A137,SyS!$B:$P,10,FALSE()),0)</f>
        <v>0</v>
      </c>
      <c r="D137" s="39">
        <f>IFERROR(VLOOKUP("1_"&amp;A137,SyS!$B:$P,12,FALSE()),0)</f>
        <v>0</v>
      </c>
      <c r="E137" s="39">
        <f>+C137-D137</f>
        <v>0</v>
      </c>
      <c r="F137" s="38">
        <f>IFERROR(VLOOKUP("2_"&amp;A137,SyS!$B:$P,10,FALSE()),0)</f>
        <v>0</v>
      </c>
      <c r="G137" s="39">
        <f>IFERROR(VLOOKUP("2_"&amp;A137,SyS!$B:$P,12,FALSE()),0)</f>
        <v>0</v>
      </c>
      <c r="H137" s="40">
        <f>+F137-G137</f>
        <v>0</v>
      </c>
      <c r="I137" s="39"/>
      <c r="J137" s="39"/>
      <c r="K137" s="39"/>
      <c r="L137" s="39"/>
      <c r="M137" s="39"/>
      <c r="N137" s="39"/>
      <c r="O137" s="38">
        <f>IFERROR(VLOOKUP("14_"&amp;A137,SyS!$B:$P,10,FALSE()),0)</f>
        <v>0</v>
      </c>
      <c r="P137" s="39">
        <f>IFERROR(VLOOKUP("14_"&amp;A137,SyS!$B:$P,12,FALSE()),0)</f>
        <v>0</v>
      </c>
      <c r="Q137" s="40">
        <f>+O137-P137</f>
        <v>0</v>
      </c>
      <c r="R137" s="38">
        <f>IFERROR(VLOOKUP("15_"&amp;A137,SyS!$B:$P,10,FALSE()),0)</f>
        <v>0</v>
      </c>
      <c r="S137" s="39">
        <f>IFERROR(VLOOKUP("15_"&amp;A137,SyS!$B:$P,12,FALSE()),0)</f>
        <v>0</v>
      </c>
      <c r="T137" s="40">
        <f>+R137-S137</f>
        <v>0</v>
      </c>
      <c r="U137" s="38">
        <f>IFERROR(VLOOKUP("16_"&amp;A137,SyS!$B:$P,10,FALSE()),0)</f>
        <v>0</v>
      </c>
      <c r="V137" s="39">
        <f>IFERROR(VLOOKUP("16_"&amp;A137,SyS!$B:$P,12,FALSE()),0)</f>
        <v>0</v>
      </c>
      <c r="W137" s="40">
        <f>+U137-V137</f>
        <v>0</v>
      </c>
      <c r="X137" s="38">
        <f>IFERROR(VLOOKUP("13_"&amp;A137,SyS!$B:$P,10,FALSE()),0)</f>
        <v>0</v>
      </c>
      <c r="Y137" s="39">
        <f>IFERROR(VLOOKUP("13_"&amp;A137,SyS!$B:$P,12,FALSE()),0)</f>
        <v>0</v>
      </c>
      <c r="Z137" s="40">
        <f>+X137-Y137</f>
        <v>0</v>
      </c>
      <c r="AA137" s="38">
        <f>IFERROR(VLOOKUP("17_"&amp;A137,SyS!$B:$P,10,FALSE()),0)</f>
        <v>0</v>
      </c>
      <c r="AB137" s="39">
        <f>IFERROR(VLOOKUP("17_"&amp;A137,SyS!$B:$P,12,FALSE()),0)</f>
        <v>0</v>
      </c>
      <c r="AC137" s="40">
        <f>+AA137-AB137</f>
        <v>0</v>
      </c>
      <c r="AD137" s="39"/>
      <c r="AE137" s="39"/>
      <c r="AF137" s="39"/>
      <c r="AG137" s="39">
        <f>IFERROR(VLOOKUP("19_"&amp;A137,SyS!$B:$P,10,FALSE()),0)</f>
        <v>0</v>
      </c>
      <c r="AH137" s="39">
        <f>IFERROR(VLOOKUP("19_"&amp;A137,SyS!$B:$P,12,FALSE()),0)</f>
        <v>0</v>
      </c>
      <c r="AI137" s="39">
        <f>+AG137-AH137</f>
        <v>0</v>
      </c>
      <c r="AJ137" s="39"/>
      <c r="AK137" s="39"/>
      <c r="AL137" s="39"/>
      <c r="AM137" s="38">
        <f>IFERROR(VLOOKUP("23_"&amp;A137,SyS!$B:$P,10,FALSE()),0)</f>
        <v>0</v>
      </c>
      <c r="AN137" s="39">
        <f>IFERROR(VLOOKUP("23_"&amp;A137,SyS!$B:$P,12,FALSE()),0)</f>
        <v>0</v>
      </c>
      <c r="AO137" s="40">
        <f>+AM137-AN137</f>
        <v>0</v>
      </c>
      <c r="AP137" s="39"/>
      <c r="AQ137" s="39"/>
      <c r="AR137" s="39"/>
      <c r="AS137" s="39"/>
      <c r="AT137" s="39"/>
      <c r="AU137" s="39"/>
      <c r="AV137" s="39"/>
      <c r="AW137" s="39"/>
      <c r="AX137" s="39"/>
      <c r="AY137" s="39"/>
      <c r="AZ137" s="39"/>
      <c r="BA137" s="39"/>
      <c r="BB137" s="39"/>
      <c r="BC137" s="39"/>
      <c r="BD137" s="39"/>
      <c r="BE137" s="39"/>
      <c r="BF137" s="39"/>
      <c r="BG137" s="39"/>
      <c r="BH137" s="39"/>
      <c r="BI137" s="39"/>
      <c r="BJ137" s="39"/>
      <c r="BK137" s="39">
        <f>IFERROR(VLOOKUP("29_"&amp;A137,SyS!$B:$P,10,FALSE()),0)</f>
        <v>0</v>
      </c>
      <c r="BL137" s="39">
        <f>IFERROR(VLOOKUP("29_"&amp;A137,SyS!$B:$P,12,FALSE()),0)</f>
        <v>0</v>
      </c>
      <c r="BM137" s="39">
        <f>+BK137-BL137</f>
        <v>0</v>
      </c>
      <c r="BN137" s="38">
        <f>IFERROR(VLOOKUP("30_"&amp;A137,SyS!$B:$P,10,FALSE()),0)</f>
        <v>0</v>
      </c>
      <c r="BO137" s="39">
        <f>IFERROR(VLOOKUP("30_"&amp;A137,SyS!$B:$P,12,FALSE()),0)</f>
        <v>0</v>
      </c>
      <c r="BP137" s="40">
        <f>+BN137-BO137</f>
        <v>0</v>
      </c>
      <c r="BQ137" s="45">
        <f>+E137+H137+K137+Q137+T137+W137+Z137+AC137+AF137+AI137+AL137+AO137+AR137+AU137+AX137+BA137+BD137+BG137+BJ137+BM137+BP137</f>
        <v>0</v>
      </c>
    </row>
    <row r="138" ht="11.25" customHeight="1" spans="1:69" x14ac:dyDescent="0.25">
      <c r="A138" s="44">
        <v>425180000</v>
      </c>
      <c r="B138" s="44" t="s">
        <v>368</v>
      </c>
      <c r="C138" s="38">
        <f>IFERROR(VLOOKUP("1_"&amp;A138,SyS!$B:$P,10,FALSE()),0)</f>
        <v>0</v>
      </c>
      <c r="D138" s="39">
        <f>IFERROR(VLOOKUP("1_"&amp;A138,SyS!$B:$P,12,FALSE()),0)</f>
        <v>0</v>
      </c>
      <c r="E138" s="39">
        <f>+C138-D138</f>
        <v>0</v>
      </c>
      <c r="F138" s="38">
        <f>IFERROR(VLOOKUP("2_"&amp;A138,SyS!$B:$P,10,FALSE()),0)</f>
        <v>0</v>
      </c>
      <c r="G138" s="39">
        <f>IFERROR(VLOOKUP("2_"&amp;A138,SyS!$B:$P,12,FALSE()),0)</f>
        <v>0</v>
      </c>
      <c r="H138" s="40">
        <f>+F138-G138</f>
        <v>0</v>
      </c>
      <c r="I138" s="39"/>
      <c r="J138" s="39"/>
      <c r="K138" s="39"/>
      <c r="L138" s="39"/>
      <c r="M138" s="39"/>
      <c r="N138" s="39"/>
      <c r="O138" s="38">
        <f>IFERROR(VLOOKUP("14_"&amp;A138,SyS!$B:$P,10,FALSE()),0)</f>
        <v>0</v>
      </c>
      <c r="P138" s="39">
        <f>IFERROR(VLOOKUP("14_"&amp;A138,SyS!$B:$P,12,FALSE()),0)</f>
        <v>0</v>
      </c>
      <c r="Q138" s="40">
        <f>+O138-P138</f>
        <v>0</v>
      </c>
      <c r="R138" s="38">
        <f>IFERROR(VLOOKUP("15_"&amp;A138,SyS!$B:$P,10,FALSE()),0)</f>
        <v>0</v>
      </c>
      <c r="S138" s="39">
        <f>IFERROR(VLOOKUP("15_"&amp;A138,SyS!$B:$P,12,FALSE()),0)</f>
        <v>0</v>
      </c>
      <c r="T138" s="40">
        <f>+R138-S138</f>
        <v>0</v>
      </c>
      <c r="U138" s="38">
        <f>IFERROR(VLOOKUP("16_"&amp;A138,SyS!$B:$P,10,FALSE()),0)</f>
        <v>0</v>
      </c>
      <c r="V138" s="39">
        <f>IFERROR(VLOOKUP("16_"&amp;A138,SyS!$B:$P,12,FALSE()),0)</f>
        <v>0</v>
      </c>
      <c r="W138" s="40">
        <f>+U138-V138</f>
        <v>0</v>
      </c>
      <c r="X138" s="38">
        <f>IFERROR(VLOOKUP("13_"&amp;A138,SyS!$B:$P,10,FALSE()),0)</f>
        <v>0</v>
      </c>
      <c r="Y138" s="39">
        <f>IFERROR(VLOOKUP("13_"&amp;A138,SyS!$B:$P,12,FALSE()),0)</f>
        <v>0</v>
      </c>
      <c r="Z138" s="40">
        <f>+X138-Y138</f>
        <v>0</v>
      </c>
      <c r="AA138" s="38">
        <f>IFERROR(VLOOKUP("17_"&amp;A138,SyS!$B:$P,10,FALSE()),0)</f>
        <v>0</v>
      </c>
      <c r="AB138" s="39">
        <f>IFERROR(VLOOKUP("17_"&amp;A138,SyS!$B:$P,12,FALSE()),0)</f>
        <v>0</v>
      </c>
      <c r="AC138" s="40">
        <f>+AA138-AB138</f>
        <v>0</v>
      </c>
      <c r="AD138" s="39"/>
      <c r="AE138" s="39"/>
      <c r="AF138" s="39"/>
      <c r="AG138" s="39">
        <f>IFERROR(VLOOKUP("19_"&amp;A138,SyS!$B:$P,10,FALSE()),0)</f>
        <v>0</v>
      </c>
      <c r="AH138" s="39">
        <f>IFERROR(VLOOKUP("19_"&amp;A138,SyS!$B:$P,12,FALSE()),0)</f>
        <v>0</v>
      </c>
      <c r="AI138" s="39">
        <f>+AG138-AH138</f>
        <v>0</v>
      </c>
      <c r="AJ138" s="39"/>
      <c r="AK138" s="39"/>
      <c r="AL138" s="39"/>
      <c r="AM138" s="38">
        <f>IFERROR(VLOOKUP("23_"&amp;A138,SyS!$B:$P,10,FALSE()),0)</f>
        <v>0</v>
      </c>
      <c r="AN138" s="39">
        <f>IFERROR(VLOOKUP("23_"&amp;A138,SyS!$B:$P,12,FALSE()),0)</f>
        <v>0</v>
      </c>
      <c r="AO138" s="40">
        <f>+AM138-AN138</f>
        <v>0</v>
      </c>
      <c r="AP138" s="39"/>
      <c r="AQ138" s="39"/>
      <c r="AR138" s="39"/>
      <c r="AS138" s="39"/>
      <c r="AT138" s="39"/>
      <c r="AU138" s="39"/>
      <c r="AV138" s="39"/>
      <c r="AW138" s="39"/>
      <c r="AX138" s="39"/>
      <c r="AY138" s="39"/>
      <c r="AZ138" s="39"/>
      <c r="BA138" s="39"/>
      <c r="BB138" s="39"/>
      <c r="BC138" s="39"/>
      <c r="BD138" s="39"/>
      <c r="BE138" s="39"/>
      <c r="BF138" s="39"/>
      <c r="BG138" s="39"/>
      <c r="BH138" s="39"/>
      <c r="BI138" s="39"/>
      <c r="BJ138" s="39"/>
      <c r="BK138" s="39">
        <f>IFERROR(VLOOKUP("29_"&amp;A138,SyS!$B:$P,10,FALSE()),0)</f>
        <v>0</v>
      </c>
      <c r="BL138" s="39">
        <f>IFERROR(VLOOKUP("29_"&amp;A138,SyS!$B:$P,12,FALSE()),0)</f>
        <v>0</v>
      </c>
      <c r="BM138" s="39">
        <f>+BK138-BL138</f>
        <v>0</v>
      </c>
      <c r="BN138" s="38">
        <f>IFERROR(VLOOKUP("30_"&amp;A138,SyS!$B:$P,10,FALSE()),0)</f>
        <v>0</v>
      </c>
      <c r="BO138" s="39">
        <f>IFERROR(VLOOKUP("30_"&amp;A138,SyS!$B:$P,12,FALSE()),0)</f>
        <v>0</v>
      </c>
      <c r="BP138" s="40">
        <f>+BN138-BO138</f>
        <v>0</v>
      </c>
      <c r="BQ138" s="45">
        <f>+E138+H138+K138+Q138+T138+W138+Z138+AC138+AF138+AI138+AL138+AO138+AR138+AU138+AX138+BA138+BD138+BG138+BJ138+BM138+BP138</f>
        <v>0</v>
      </c>
    </row>
    <row r="139" ht="11.25" customHeight="1" spans="1:69" x14ac:dyDescent="0.25">
      <c r="A139" s="44">
        <v>433050000</v>
      </c>
      <c r="B139" s="44" t="s">
        <v>369</v>
      </c>
      <c r="C139" s="38">
        <f>IFERROR(VLOOKUP("1_"&amp;A139,SyS!$B:$P,10,FALSE()),0)</f>
        <v>0</v>
      </c>
      <c r="D139" s="39">
        <f>IFERROR(VLOOKUP("1_"&amp;A139,SyS!$B:$P,12,FALSE()),0)</f>
        <v>0</v>
      </c>
      <c r="E139" s="39">
        <f>+C139-D139</f>
        <v>0</v>
      </c>
      <c r="F139" s="38">
        <f>IFERROR(VLOOKUP("2_"&amp;A139,SyS!$B:$P,10,FALSE()),0)</f>
        <v>0</v>
      </c>
      <c r="G139" s="39">
        <f>IFERROR(VLOOKUP("2_"&amp;A139,SyS!$B:$P,12,FALSE()),0)</f>
        <v>0</v>
      </c>
      <c r="H139" s="40">
        <f>+F139-G139</f>
        <v>0</v>
      </c>
      <c r="I139" s="39"/>
      <c r="J139" s="39"/>
      <c r="K139" s="39"/>
      <c r="L139" s="39"/>
      <c r="M139" s="39"/>
      <c r="N139" s="39"/>
      <c r="O139" s="38">
        <f>IFERROR(VLOOKUP("14_"&amp;A139,SyS!$B:$P,10,FALSE()),0)</f>
        <v>0</v>
      </c>
      <c r="P139" s="39">
        <f>IFERROR(VLOOKUP("14_"&amp;A139,SyS!$B:$P,12,FALSE()),0)</f>
        <v>0</v>
      </c>
      <c r="Q139" s="40">
        <f>+O139-P139</f>
        <v>0</v>
      </c>
      <c r="R139" s="38">
        <f>IFERROR(VLOOKUP("15_"&amp;A139,SyS!$B:$P,10,FALSE()),0)</f>
        <v>0</v>
      </c>
      <c r="S139" s="39">
        <f>IFERROR(VLOOKUP("15_"&amp;A139,SyS!$B:$P,12,FALSE()),0)</f>
        <v>0</v>
      </c>
      <c r="T139" s="40">
        <f>+R139-S139</f>
        <v>0</v>
      </c>
      <c r="U139" s="38">
        <f>IFERROR(VLOOKUP("16_"&amp;A139,SyS!$B:$P,10,FALSE()),0)</f>
        <v>0</v>
      </c>
      <c r="V139" s="39">
        <f>IFERROR(VLOOKUP("16_"&amp;A139,SyS!$B:$P,12,FALSE()),0)</f>
        <v>0</v>
      </c>
      <c r="W139" s="40">
        <f>+U139-V139</f>
        <v>0</v>
      </c>
      <c r="X139" s="38">
        <f>IFERROR(VLOOKUP("13_"&amp;A139,SyS!$B:$P,10,FALSE()),0)</f>
        <v>0</v>
      </c>
      <c r="Y139" s="39">
        <f>IFERROR(VLOOKUP("13_"&amp;A139,SyS!$B:$P,12,FALSE()),0)</f>
        <v>0</v>
      </c>
      <c r="Z139" s="40">
        <f>+X139-Y139</f>
        <v>0</v>
      </c>
      <c r="AA139" s="38">
        <f>IFERROR(VLOOKUP("17_"&amp;A139,SyS!$B:$P,10,FALSE()),0)</f>
        <v>0</v>
      </c>
      <c r="AB139" s="39">
        <f>IFERROR(VLOOKUP("17_"&amp;A139,SyS!$B:$P,12,FALSE()),0)</f>
        <v>0</v>
      </c>
      <c r="AC139" s="40">
        <f>+AA139-AB139</f>
        <v>0</v>
      </c>
      <c r="AD139" s="39"/>
      <c r="AE139" s="39"/>
      <c r="AF139" s="39"/>
      <c r="AG139" s="39">
        <f>IFERROR(VLOOKUP("19_"&amp;A139,SyS!$B:$P,10,FALSE()),0)</f>
        <v>0</v>
      </c>
      <c r="AH139" s="39">
        <f>IFERROR(VLOOKUP("19_"&amp;A139,SyS!$B:$P,12,FALSE()),0)</f>
        <v>0</v>
      </c>
      <c r="AI139" s="39">
        <f>+AG139-AH139</f>
        <v>0</v>
      </c>
      <c r="AJ139" s="39"/>
      <c r="AK139" s="39"/>
      <c r="AL139" s="39"/>
      <c r="AM139" s="38">
        <f>IFERROR(VLOOKUP("23_"&amp;A139,SyS!$B:$P,10,FALSE()),0)</f>
        <v>0</v>
      </c>
      <c r="AN139" s="39">
        <f>IFERROR(VLOOKUP("23_"&amp;A139,SyS!$B:$P,12,FALSE()),0)</f>
        <v>0</v>
      </c>
      <c r="AO139" s="40">
        <f>+AM139-AN139</f>
        <v>0</v>
      </c>
      <c r="AP139" s="39"/>
      <c r="AQ139" s="39"/>
      <c r="AR139" s="39"/>
      <c r="AS139" s="39"/>
      <c r="AT139" s="39"/>
      <c r="AU139" s="39"/>
      <c r="AV139" s="39"/>
      <c r="AW139" s="39"/>
      <c r="AX139" s="39"/>
      <c r="AY139" s="39"/>
      <c r="AZ139" s="39"/>
      <c r="BA139" s="39"/>
      <c r="BB139" s="39"/>
      <c r="BC139" s="39"/>
      <c r="BD139" s="39"/>
      <c r="BE139" s="39"/>
      <c r="BF139" s="39"/>
      <c r="BG139" s="39"/>
      <c r="BH139" s="39"/>
      <c r="BI139" s="39"/>
      <c r="BJ139" s="39"/>
      <c r="BK139" s="39">
        <f>IFERROR(VLOOKUP("29_"&amp;A139,SyS!$B:$P,10,FALSE()),0)</f>
        <v>0</v>
      </c>
      <c r="BL139" s="39">
        <f>IFERROR(VLOOKUP("29_"&amp;A139,SyS!$B:$P,12,FALSE()),0)</f>
        <v>0</v>
      </c>
      <c r="BM139" s="39">
        <f>+BK139-BL139</f>
        <v>0</v>
      </c>
      <c r="BN139" s="38">
        <f>IFERROR(VLOOKUP("30_"&amp;A139,SyS!$B:$P,10,FALSE()),0)</f>
        <v>0</v>
      </c>
      <c r="BO139" s="39">
        <f>IFERROR(VLOOKUP("30_"&amp;A139,SyS!$B:$P,12,FALSE()),0)</f>
        <v>0</v>
      </c>
      <c r="BP139" s="40">
        <f>+BN139-BO139</f>
        <v>0</v>
      </c>
      <c r="BQ139" s="45">
        <f>+E139+H139+K139+Q139+T139+W139+Z139+AC139+AF139+AI139+AL139+AO139+AR139+AU139+AX139+BA139+BD139+BG139+BJ139+BM139+BP139</f>
        <v>0</v>
      </c>
    </row>
    <row r="140" ht="11.25" customHeight="1" spans="1:69" x14ac:dyDescent="0.25">
      <c r="A140" s="44">
        <v>425190000</v>
      </c>
      <c r="B140" s="44" t="s">
        <v>370</v>
      </c>
      <c r="C140" s="38">
        <f>IFERROR(VLOOKUP("1_"&amp;A140,SyS!$B:$P,10,FALSE()),0)</f>
        <v>6000</v>
      </c>
      <c r="D140" s="39">
        <f>IFERROR(VLOOKUP("1_"&amp;A140,SyS!$B:$P,12,FALSE()),0)</f>
        <v>0</v>
      </c>
      <c r="E140" s="39">
        <f>+C140-D140</f>
        <v>6000</v>
      </c>
      <c r="F140" s="38">
        <f>IFERROR(VLOOKUP("2_"&amp;A140,SyS!$B:$P,10,FALSE()),0)</f>
        <v>0</v>
      </c>
      <c r="G140" s="39">
        <f>IFERROR(VLOOKUP("2_"&amp;A140,SyS!$B:$P,12,FALSE()),0)</f>
        <v>0</v>
      </c>
      <c r="H140" s="40">
        <f>+F140-G140</f>
        <v>0</v>
      </c>
      <c r="I140" s="39"/>
      <c r="J140" s="39"/>
      <c r="K140" s="39"/>
      <c r="L140" s="39"/>
      <c r="M140" s="39"/>
      <c r="N140" s="39"/>
      <c r="O140" s="38">
        <f>IFERROR(VLOOKUP("14_"&amp;A140,SyS!$B:$P,10,FALSE()),0)</f>
        <v>0</v>
      </c>
      <c r="P140" s="39">
        <f>IFERROR(VLOOKUP("14_"&amp;A140,SyS!$B:$P,12,FALSE()),0)</f>
        <v>0</v>
      </c>
      <c r="Q140" s="40">
        <f>+O140-P140</f>
        <v>0</v>
      </c>
      <c r="R140" s="38">
        <f>IFERROR(VLOOKUP("15_"&amp;A140,SyS!$B:$P,10,FALSE()),0)</f>
        <v>0</v>
      </c>
      <c r="S140" s="39">
        <f>IFERROR(VLOOKUP("15_"&amp;A140,SyS!$B:$P,12,FALSE()),0)</f>
        <v>0</v>
      </c>
      <c r="T140" s="40">
        <f>+R140-S140</f>
        <v>0</v>
      </c>
      <c r="U140" s="38">
        <f>IFERROR(VLOOKUP("16_"&amp;A140,SyS!$B:$P,10,FALSE()),0)</f>
        <v>0</v>
      </c>
      <c r="V140" s="39">
        <f>IFERROR(VLOOKUP("16_"&amp;A140,SyS!$B:$P,12,FALSE()),0)</f>
        <v>0</v>
      </c>
      <c r="W140" s="40">
        <f>+U140-V140</f>
        <v>0</v>
      </c>
      <c r="X140" s="38">
        <f>IFERROR(VLOOKUP("13_"&amp;A140,SyS!$B:$P,10,FALSE()),0)</f>
        <v>0</v>
      </c>
      <c r="Y140" s="39">
        <f>IFERROR(VLOOKUP("13_"&amp;A140,SyS!$B:$P,12,FALSE()),0)</f>
        <v>0</v>
      </c>
      <c r="Z140" s="40">
        <f>+X140-Y140</f>
        <v>0</v>
      </c>
      <c r="AA140" s="38">
        <f>IFERROR(VLOOKUP("17_"&amp;A140,SyS!$B:$P,10,FALSE()),0)</f>
        <v>0</v>
      </c>
      <c r="AB140" s="39">
        <f>IFERROR(VLOOKUP("17_"&amp;A140,SyS!$B:$P,12,FALSE()),0)</f>
        <v>0</v>
      </c>
      <c r="AC140" s="40">
        <f>+AA140-AB140</f>
        <v>0</v>
      </c>
      <c r="AD140" s="39"/>
      <c r="AE140" s="39"/>
      <c r="AF140" s="39"/>
      <c r="AG140" s="39">
        <f>IFERROR(VLOOKUP("19_"&amp;A140,SyS!$B:$P,10,FALSE()),0)</f>
        <v>0</v>
      </c>
      <c r="AH140" s="39">
        <f>IFERROR(VLOOKUP("19_"&amp;A140,SyS!$B:$P,12,FALSE()),0)</f>
        <v>0</v>
      </c>
      <c r="AI140" s="39">
        <f>+AG140-AH140</f>
        <v>0</v>
      </c>
      <c r="AJ140" s="39"/>
      <c r="AK140" s="39"/>
      <c r="AL140" s="39"/>
      <c r="AM140" s="38">
        <f>IFERROR(VLOOKUP("23_"&amp;A140,SyS!$B:$P,10,FALSE()),0)</f>
        <v>0</v>
      </c>
      <c r="AN140" s="39">
        <f>IFERROR(VLOOKUP("23_"&amp;A140,SyS!$B:$P,12,FALSE()),0)</f>
        <v>0</v>
      </c>
      <c r="AO140" s="40">
        <f>+AM140-AN140</f>
        <v>0</v>
      </c>
      <c r="AP140" s="39"/>
      <c r="AQ140" s="39"/>
      <c r="AR140" s="39"/>
      <c r="AS140" s="39"/>
      <c r="AT140" s="39"/>
      <c r="AU140" s="39"/>
      <c r="AV140" s="39"/>
      <c r="AW140" s="39"/>
      <c r="AX140" s="39"/>
      <c r="AY140" s="39"/>
      <c r="AZ140" s="39"/>
      <c r="BA140" s="39"/>
      <c r="BB140" s="39"/>
      <c r="BC140" s="39"/>
      <c r="BD140" s="39"/>
      <c r="BE140" s="39"/>
      <c r="BF140" s="39"/>
      <c r="BG140" s="39"/>
      <c r="BH140" s="39"/>
      <c r="BI140" s="39"/>
      <c r="BJ140" s="39"/>
      <c r="BK140" s="39">
        <f>IFERROR(VLOOKUP("29_"&amp;A140,SyS!$B:$P,10,FALSE()),0)</f>
        <v>0</v>
      </c>
      <c r="BL140" s="39">
        <f>IFERROR(VLOOKUP("29_"&amp;A140,SyS!$B:$P,12,FALSE()),0)</f>
        <v>0</v>
      </c>
      <c r="BM140" s="39">
        <f>+BK140-BL140</f>
        <v>0</v>
      </c>
      <c r="BN140" s="38">
        <f>IFERROR(VLOOKUP("30_"&amp;A140,SyS!$B:$P,10,FALSE()),0)</f>
        <v>0</v>
      </c>
      <c r="BO140" s="39">
        <f>IFERROR(VLOOKUP("30_"&amp;A140,SyS!$B:$P,12,FALSE()),0)</f>
        <v>0</v>
      </c>
      <c r="BP140" s="40">
        <f>+BN140-BO140</f>
        <v>0</v>
      </c>
      <c r="BQ140" s="45">
        <f>+E140+H140+K140+Q140+T140+W140+Z140+AC140+AF140+AI140+AL140+AO140+AR140+AU140+AX140+BA140+BD140+BG140+BJ140+BM140+BP140</f>
        <v>6000</v>
      </c>
    </row>
    <row r="141" ht="11.25" customHeight="1" spans="1:69" x14ac:dyDescent="0.25">
      <c r="A141" s="44">
        <v>433030000</v>
      </c>
      <c r="B141" s="44" t="s">
        <v>371</v>
      </c>
      <c r="C141" s="38">
        <f>IFERROR(VLOOKUP("1_"&amp;A141,SyS!$B:$P,10,FALSE()),0)</f>
        <v>0</v>
      </c>
      <c r="D141" s="39">
        <f>IFERROR(VLOOKUP("1_"&amp;A141,SyS!$B:$P,12,FALSE()),0)</f>
        <v>0</v>
      </c>
      <c r="E141" s="39">
        <f>+C141-D141</f>
        <v>0</v>
      </c>
      <c r="F141" s="38">
        <f>IFERROR(VLOOKUP("2_"&amp;A141,SyS!$B:$P,10,FALSE()),0)</f>
        <v>0</v>
      </c>
      <c r="G141" s="39">
        <f>IFERROR(VLOOKUP("2_"&amp;A141,SyS!$B:$P,12,FALSE()),0)</f>
        <v>0</v>
      </c>
      <c r="H141" s="40">
        <f>+F141-G141</f>
        <v>0</v>
      </c>
      <c r="I141" s="39"/>
      <c r="J141" s="39"/>
      <c r="K141" s="39"/>
      <c r="L141" s="39"/>
      <c r="M141" s="39"/>
      <c r="N141" s="39"/>
      <c r="O141" s="38">
        <f>IFERROR(VLOOKUP("14_"&amp;A141,SyS!$B:$P,10,FALSE()),0)</f>
        <v>0</v>
      </c>
      <c r="P141" s="39">
        <f>IFERROR(VLOOKUP("14_"&amp;A141,SyS!$B:$P,12,FALSE()),0)</f>
        <v>0</v>
      </c>
      <c r="Q141" s="40">
        <f>+O141-P141</f>
        <v>0</v>
      </c>
      <c r="R141" s="38">
        <f>IFERROR(VLOOKUP("15_"&amp;A141,SyS!$B:$P,10,FALSE()),0)</f>
        <v>0</v>
      </c>
      <c r="S141" s="39">
        <f>IFERROR(VLOOKUP("15_"&amp;A141,SyS!$B:$P,12,FALSE()),0)</f>
        <v>0</v>
      </c>
      <c r="T141" s="40">
        <f>+R141-S141</f>
        <v>0</v>
      </c>
      <c r="U141" s="38">
        <f>IFERROR(VLOOKUP("16_"&amp;A141,SyS!$B:$P,10,FALSE()),0)</f>
        <v>0</v>
      </c>
      <c r="V141" s="39">
        <f>IFERROR(VLOOKUP("16_"&amp;A141,SyS!$B:$P,12,FALSE()),0)</f>
        <v>0</v>
      </c>
      <c r="W141" s="40">
        <f>+U141-V141</f>
        <v>0</v>
      </c>
      <c r="X141" s="38">
        <f>IFERROR(VLOOKUP("13_"&amp;A141,SyS!$B:$P,10,FALSE()),0)</f>
        <v>0</v>
      </c>
      <c r="Y141" s="39">
        <f>IFERROR(VLOOKUP("13_"&amp;A141,SyS!$B:$P,12,FALSE()),0)</f>
        <v>0</v>
      </c>
      <c r="Z141" s="40">
        <f>+X141-Y141</f>
        <v>0</v>
      </c>
      <c r="AA141" s="38">
        <f>IFERROR(VLOOKUP("17_"&amp;A141,SyS!$B:$P,10,FALSE()),0)</f>
        <v>0</v>
      </c>
      <c r="AB141" s="39">
        <f>IFERROR(VLOOKUP("17_"&amp;A141,SyS!$B:$P,12,FALSE()),0)</f>
        <v>0</v>
      </c>
      <c r="AC141" s="40">
        <f>+AA141-AB141</f>
        <v>0</v>
      </c>
      <c r="AD141" s="39"/>
      <c r="AE141" s="39"/>
      <c r="AF141" s="39"/>
      <c r="AG141" s="39">
        <f>IFERROR(VLOOKUP("19_"&amp;A141,SyS!$B:$P,10,FALSE()),0)</f>
        <v>0</v>
      </c>
      <c r="AH141" s="39">
        <f>IFERROR(VLOOKUP("19_"&amp;A141,SyS!$B:$P,12,FALSE()),0)</f>
        <v>0</v>
      </c>
      <c r="AI141" s="39">
        <f>+AG141-AH141</f>
        <v>0</v>
      </c>
      <c r="AJ141" s="39"/>
      <c r="AK141" s="39"/>
      <c r="AL141" s="39"/>
      <c r="AM141" s="38">
        <f>IFERROR(VLOOKUP("23_"&amp;A141,SyS!$B:$P,10,FALSE()),0)</f>
        <v>0</v>
      </c>
      <c r="AN141" s="39">
        <f>IFERROR(VLOOKUP("23_"&amp;A141,SyS!$B:$P,12,FALSE()),0)</f>
        <v>0</v>
      </c>
      <c r="AO141" s="40">
        <f>+AM141-AN141</f>
        <v>0</v>
      </c>
      <c r="AP141" s="39"/>
      <c r="AQ141" s="39"/>
      <c r="AR141" s="39"/>
      <c r="AS141" s="39"/>
      <c r="AT141" s="39"/>
      <c r="AU141" s="39"/>
      <c r="AV141" s="39"/>
      <c r="AW141" s="39"/>
      <c r="AX141" s="39"/>
      <c r="AY141" s="39"/>
      <c r="AZ141" s="39"/>
      <c r="BA141" s="39"/>
      <c r="BB141" s="39"/>
      <c r="BC141" s="39"/>
      <c r="BD141" s="39"/>
      <c r="BE141" s="39"/>
      <c r="BF141" s="39"/>
      <c r="BG141" s="39"/>
      <c r="BH141" s="39"/>
      <c r="BI141" s="39"/>
      <c r="BJ141" s="39"/>
      <c r="BK141" s="39">
        <f>IFERROR(VLOOKUP("29_"&amp;A141,SyS!$B:$P,10,FALSE()),0)</f>
        <v>0</v>
      </c>
      <c r="BL141" s="39">
        <f>IFERROR(VLOOKUP("29_"&amp;A141,SyS!$B:$P,12,FALSE()),0)</f>
        <v>0</v>
      </c>
      <c r="BM141" s="39">
        <f>+BK141-BL141</f>
        <v>0</v>
      </c>
      <c r="BN141" s="38">
        <f>IFERROR(VLOOKUP("30_"&amp;A141,SyS!$B:$P,10,FALSE()),0)</f>
        <v>0</v>
      </c>
      <c r="BO141" s="39">
        <f>IFERROR(VLOOKUP("30_"&amp;A141,SyS!$B:$P,12,FALSE()),0)</f>
        <v>0</v>
      </c>
      <c r="BP141" s="40">
        <f>+BN141-BO141</f>
        <v>0</v>
      </c>
      <c r="BQ141" s="45">
        <f>+E141+H141+K141+Q141+T141+W141+Z141+AC141+AF141+AI141+AL141+AO141+AR141+AU141+AX141+BA141+BD141+BG141+BJ141+BM141+BP141</f>
        <v>0</v>
      </c>
    </row>
    <row r="142" ht="11.25" customHeight="1" spans="1:69" x14ac:dyDescent="0.25">
      <c r="A142" s="44">
        <v>425200000</v>
      </c>
      <c r="B142" s="44" t="s">
        <v>372</v>
      </c>
      <c r="C142" s="38">
        <f>IFERROR(VLOOKUP("1_"&amp;A142,SyS!$B:$P,10,FALSE()),0)</f>
        <v>0</v>
      </c>
      <c r="D142" s="39">
        <f>IFERROR(VLOOKUP("1_"&amp;A142,SyS!$B:$P,12,FALSE()),0)</f>
        <v>0</v>
      </c>
      <c r="E142" s="39">
        <f>+C142-D142</f>
        <v>0</v>
      </c>
      <c r="F142" s="38">
        <f>IFERROR(VLOOKUP("2_"&amp;A142,SyS!$B:$P,10,FALSE()),0)</f>
        <v>142.21</v>
      </c>
      <c r="G142" s="39">
        <f>IFERROR(VLOOKUP("2_"&amp;A142,SyS!$B:$P,12,FALSE()),0)</f>
        <v>0</v>
      </c>
      <c r="H142" s="40">
        <f>+F142-G142</f>
        <v>142.21</v>
      </c>
      <c r="I142" s="39"/>
      <c r="J142" s="39"/>
      <c r="K142" s="39"/>
      <c r="L142" s="39"/>
      <c r="M142" s="39"/>
      <c r="N142" s="39"/>
      <c r="O142" s="38">
        <f>IFERROR(VLOOKUP("14_"&amp;A142,SyS!$B:$P,10,FALSE()),0)</f>
        <v>0</v>
      </c>
      <c r="P142" s="39">
        <f>IFERROR(VLOOKUP("14_"&amp;A142,SyS!$B:$P,12,FALSE()),0)</f>
        <v>0</v>
      </c>
      <c r="Q142" s="40">
        <f>+O142-P142</f>
        <v>0</v>
      </c>
      <c r="R142" s="38">
        <f>IFERROR(VLOOKUP("15_"&amp;A142,SyS!$B:$P,10,FALSE()),0)</f>
        <v>0</v>
      </c>
      <c r="S142" s="39">
        <f>IFERROR(VLOOKUP("15_"&amp;A142,SyS!$B:$P,12,FALSE()),0)</f>
        <v>0</v>
      </c>
      <c r="T142" s="40">
        <f>+R142-S142</f>
        <v>0</v>
      </c>
      <c r="U142" s="38">
        <f>IFERROR(VLOOKUP("16_"&amp;A142,SyS!$B:$P,10,FALSE()),0)</f>
        <v>0</v>
      </c>
      <c r="V142" s="39">
        <f>IFERROR(VLOOKUP("16_"&amp;A142,SyS!$B:$P,12,FALSE()),0)</f>
        <v>0</v>
      </c>
      <c r="W142" s="40">
        <f>+U142-V142</f>
        <v>0</v>
      </c>
      <c r="X142" s="38">
        <f>IFERROR(VLOOKUP("13_"&amp;A142,SyS!$B:$P,10,FALSE()),0)</f>
        <v>0</v>
      </c>
      <c r="Y142" s="39">
        <f>IFERROR(VLOOKUP("13_"&amp;A142,SyS!$B:$P,12,FALSE()),0)</f>
        <v>0</v>
      </c>
      <c r="Z142" s="40">
        <f>+X142-Y142</f>
        <v>0</v>
      </c>
      <c r="AA142" s="38">
        <f>IFERROR(VLOOKUP("17_"&amp;A142,SyS!$B:$P,10,FALSE()),0)</f>
        <v>0</v>
      </c>
      <c r="AB142" s="39">
        <f>IFERROR(VLOOKUP("17_"&amp;A142,SyS!$B:$P,12,FALSE()),0)</f>
        <v>0</v>
      </c>
      <c r="AC142" s="40">
        <f>+AA142-AB142</f>
        <v>0</v>
      </c>
      <c r="AD142" s="39"/>
      <c r="AE142" s="39"/>
      <c r="AF142" s="39"/>
      <c r="AG142" s="39">
        <f>IFERROR(VLOOKUP("19_"&amp;A142,SyS!$B:$P,10,FALSE()),0)</f>
        <v>0</v>
      </c>
      <c r="AH142" s="39">
        <f>IFERROR(VLOOKUP("19_"&amp;A142,SyS!$B:$P,12,FALSE()),0)</f>
        <v>0</v>
      </c>
      <c r="AI142" s="39">
        <f>+AG142-AH142</f>
        <v>0</v>
      </c>
      <c r="AJ142" s="39"/>
      <c r="AK142" s="39"/>
      <c r="AL142" s="39"/>
      <c r="AM142" s="38">
        <f>IFERROR(VLOOKUP("23_"&amp;A142,SyS!$B:$P,10,FALSE()),0)</f>
        <v>0</v>
      </c>
      <c r="AN142" s="39">
        <f>IFERROR(VLOOKUP("23_"&amp;A142,SyS!$B:$P,12,FALSE()),0)</f>
        <v>0</v>
      </c>
      <c r="AO142" s="40">
        <f>+AM142-AN142</f>
        <v>0</v>
      </c>
      <c r="AP142" s="39"/>
      <c r="AQ142" s="39"/>
      <c r="AR142" s="39"/>
      <c r="AS142" s="39"/>
      <c r="AT142" s="39"/>
      <c r="AU142" s="39"/>
      <c r="AV142" s="39"/>
      <c r="AW142" s="39"/>
      <c r="AX142" s="39"/>
      <c r="AY142" s="39"/>
      <c r="AZ142" s="39"/>
      <c r="BA142" s="39"/>
      <c r="BB142" s="39"/>
      <c r="BC142" s="39"/>
      <c r="BD142" s="39"/>
      <c r="BE142" s="39"/>
      <c r="BF142" s="39"/>
      <c r="BG142" s="39"/>
      <c r="BH142" s="39"/>
      <c r="BI142" s="39"/>
      <c r="BJ142" s="39"/>
      <c r="BK142" s="39">
        <f>IFERROR(VLOOKUP("29_"&amp;A142,SyS!$B:$P,10,FALSE()),0)</f>
        <v>0</v>
      </c>
      <c r="BL142" s="39">
        <f>IFERROR(VLOOKUP("29_"&amp;A142,SyS!$B:$P,12,FALSE()),0)</f>
        <v>0</v>
      </c>
      <c r="BM142" s="39">
        <f>+BK142-BL142</f>
        <v>0</v>
      </c>
      <c r="BN142" s="38">
        <f>IFERROR(VLOOKUP("30_"&amp;A142,SyS!$B:$P,10,FALSE()),0)</f>
        <v>0</v>
      </c>
      <c r="BO142" s="39">
        <f>IFERROR(VLOOKUP("30_"&amp;A142,SyS!$B:$P,12,FALSE()),0)</f>
        <v>0</v>
      </c>
      <c r="BP142" s="40">
        <f>+BN142-BO142</f>
        <v>0</v>
      </c>
      <c r="BQ142" s="45">
        <f>+E142+H142+K142+Q142+T142+W142+Z142+AC142+AF142+AI142+AL142+AO142+AR142+AU142+AX142+BA142+BD142+BG142+BJ142+BM142+BP142</f>
        <v>142.21</v>
      </c>
    </row>
    <row r="143" ht="11.25" customHeight="1" spans="1:69" x14ac:dyDescent="0.25">
      <c r="A143" s="44">
        <v>425210000</v>
      </c>
      <c r="B143" s="44" t="s">
        <v>373</v>
      </c>
      <c r="C143" s="38">
        <f>IFERROR(VLOOKUP("1_"&amp;A143,SyS!$B:$P,10,FALSE()),0)</f>
        <v>0</v>
      </c>
      <c r="D143" s="39">
        <f>IFERROR(VLOOKUP("1_"&amp;A143,SyS!$B:$P,12,FALSE()),0)</f>
        <v>0</v>
      </c>
      <c r="E143" s="39">
        <f>+C143-D143</f>
        <v>0</v>
      </c>
      <c r="F143" s="38">
        <f>IFERROR(VLOOKUP("2_"&amp;A143,SyS!$B:$P,10,FALSE()),0)</f>
        <v>0</v>
      </c>
      <c r="G143" s="39">
        <f>IFERROR(VLOOKUP("2_"&amp;A143,SyS!$B:$P,12,FALSE()),0)</f>
        <v>0</v>
      </c>
      <c r="H143" s="40">
        <f>+F143-G143</f>
        <v>0</v>
      </c>
      <c r="I143" s="39"/>
      <c r="J143" s="39"/>
      <c r="K143" s="39"/>
      <c r="L143" s="39"/>
      <c r="M143" s="39"/>
      <c r="N143" s="39"/>
      <c r="O143" s="38">
        <f>IFERROR(VLOOKUP("14_"&amp;A143,SyS!$B:$P,10,FALSE()),0)</f>
        <v>0</v>
      </c>
      <c r="P143" s="39">
        <f>IFERROR(VLOOKUP("14_"&amp;A143,SyS!$B:$P,12,FALSE()),0)</f>
        <v>0</v>
      </c>
      <c r="Q143" s="40">
        <f>+O143-P143</f>
        <v>0</v>
      </c>
      <c r="R143" s="38">
        <f>IFERROR(VLOOKUP("15_"&amp;A143,SyS!$B:$P,10,FALSE()),0)</f>
        <v>0</v>
      </c>
      <c r="S143" s="39">
        <f>IFERROR(VLOOKUP("15_"&amp;A143,SyS!$B:$P,12,FALSE()),0)</f>
        <v>0</v>
      </c>
      <c r="T143" s="40">
        <f>+R143-S143</f>
        <v>0</v>
      </c>
      <c r="U143" s="38">
        <f>IFERROR(VLOOKUP("16_"&amp;A143,SyS!$B:$P,10,FALSE()),0)</f>
        <v>0</v>
      </c>
      <c r="V143" s="39">
        <f>IFERROR(VLOOKUP("16_"&amp;A143,SyS!$B:$P,12,FALSE()),0)</f>
        <v>0</v>
      </c>
      <c r="W143" s="40">
        <f>+U143-V143</f>
        <v>0</v>
      </c>
      <c r="X143" s="38">
        <f>IFERROR(VLOOKUP("13_"&amp;A143,SyS!$B:$P,10,FALSE()),0)</f>
        <v>0</v>
      </c>
      <c r="Y143" s="39">
        <f>IFERROR(VLOOKUP("13_"&amp;A143,SyS!$B:$P,12,FALSE()),0)</f>
        <v>0</v>
      </c>
      <c r="Z143" s="40">
        <f>+X143-Y143</f>
        <v>0</v>
      </c>
      <c r="AA143" s="38">
        <f>IFERROR(VLOOKUP("17_"&amp;A143,SyS!$B:$P,10,FALSE()),0)</f>
        <v>0</v>
      </c>
      <c r="AB143" s="39">
        <f>IFERROR(VLOOKUP("17_"&amp;A143,SyS!$B:$P,12,FALSE()),0)</f>
        <v>0</v>
      </c>
      <c r="AC143" s="40">
        <f>+AA143-AB143</f>
        <v>0</v>
      </c>
      <c r="AD143" s="39"/>
      <c r="AE143" s="39"/>
      <c r="AF143" s="39"/>
      <c r="AG143" s="39">
        <f>IFERROR(VLOOKUP("19_"&amp;A143,SyS!$B:$P,10,FALSE()),0)</f>
        <v>0</v>
      </c>
      <c r="AH143" s="39">
        <f>IFERROR(VLOOKUP("19_"&amp;A143,SyS!$B:$P,12,FALSE()),0)</f>
        <v>0</v>
      </c>
      <c r="AI143" s="39">
        <f>+AG143-AH143</f>
        <v>0</v>
      </c>
      <c r="AJ143" s="39"/>
      <c r="AK143" s="39"/>
      <c r="AL143" s="39"/>
      <c r="AM143" s="38">
        <f>IFERROR(VLOOKUP("23_"&amp;A143,SyS!$B:$P,10,FALSE()),0)</f>
        <v>0</v>
      </c>
      <c r="AN143" s="39">
        <f>IFERROR(VLOOKUP("23_"&amp;A143,SyS!$B:$P,12,FALSE()),0)</f>
        <v>0</v>
      </c>
      <c r="AO143" s="40">
        <f>+AM143-AN143</f>
        <v>0</v>
      </c>
      <c r="AP143" s="39"/>
      <c r="AQ143" s="39"/>
      <c r="AR143" s="39"/>
      <c r="AS143" s="39"/>
      <c r="AT143" s="39"/>
      <c r="AU143" s="39"/>
      <c r="AV143" s="39"/>
      <c r="AW143" s="39"/>
      <c r="AX143" s="39"/>
      <c r="AY143" s="39"/>
      <c r="AZ143" s="39"/>
      <c r="BA143" s="39"/>
      <c r="BB143" s="39"/>
      <c r="BC143" s="39"/>
      <c r="BD143" s="39"/>
      <c r="BE143" s="39"/>
      <c r="BF143" s="39"/>
      <c r="BG143" s="39"/>
      <c r="BH143" s="39"/>
      <c r="BI143" s="39"/>
      <c r="BJ143" s="39"/>
      <c r="BK143" s="39">
        <f>IFERROR(VLOOKUP("29_"&amp;A143,SyS!$B:$P,10,FALSE()),0)</f>
        <v>0</v>
      </c>
      <c r="BL143" s="39">
        <f>IFERROR(VLOOKUP("29_"&amp;A143,SyS!$B:$P,12,FALSE()),0)</f>
        <v>0</v>
      </c>
      <c r="BM143" s="39">
        <f>+BK143-BL143</f>
        <v>0</v>
      </c>
      <c r="BN143" s="38">
        <f>IFERROR(VLOOKUP("30_"&amp;A143,SyS!$B:$P,10,FALSE()),0)</f>
        <v>0</v>
      </c>
      <c r="BO143" s="39">
        <f>IFERROR(VLOOKUP("30_"&amp;A143,SyS!$B:$P,12,FALSE()),0)</f>
        <v>0</v>
      </c>
      <c r="BP143" s="40">
        <f>+BN143-BO143</f>
        <v>0</v>
      </c>
      <c r="BQ143" s="45">
        <f>+E143+H143+K143+Q143+T143+W143+Z143+AC143+AF143+AI143+AL143+AO143+AR143+AU143+AX143+BA143+BD143+BG143+BJ143+BM143+BP143</f>
        <v>0</v>
      </c>
    </row>
    <row r="144" ht="11.25" customHeight="1" spans="1:69" x14ac:dyDescent="0.25">
      <c r="A144" s="44">
        <v>433110000</v>
      </c>
      <c r="B144" s="44" t="s">
        <v>374</v>
      </c>
      <c r="C144" s="38">
        <f>IFERROR(VLOOKUP("1_"&amp;A144,SyS!$B:$P,10,FALSE()),0)</f>
        <v>18</v>
      </c>
      <c r="D144" s="39">
        <f>IFERROR(VLOOKUP("1_"&amp;A144,SyS!$B:$P,12,FALSE()),0)</f>
        <v>0</v>
      </c>
      <c r="E144" s="39">
        <f>+C144-D144</f>
        <v>18</v>
      </c>
      <c r="F144" s="38">
        <f>IFERROR(VLOOKUP("2_"&amp;A144,SyS!$B:$P,10,FALSE()),0)</f>
        <v>0</v>
      </c>
      <c r="G144" s="39">
        <f>IFERROR(VLOOKUP("2_"&amp;A144,SyS!$B:$P,12,FALSE()),0)</f>
        <v>0</v>
      </c>
      <c r="H144" s="40">
        <f>+F144-G144</f>
        <v>0</v>
      </c>
      <c r="I144" s="39"/>
      <c r="J144" s="39"/>
      <c r="K144" s="39"/>
      <c r="L144" s="39"/>
      <c r="M144" s="39"/>
      <c r="N144" s="39"/>
      <c r="O144" s="38">
        <f>IFERROR(VLOOKUP("14_"&amp;A144,SyS!$B:$P,10,FALSE()),0)</f>
        <v>0</v>
      </c>
      <c r="P144" s="39">
        <f>IFERROR(VLOOKUP("14_"&amp;A144,SyS!$B:$P,12,FALSE()),0)</f>
        <v>0</v>
      </c>
      <c r="Q144" s="40">
        <f>+O144-P144</f>
        <v>0</v>
      </c>
      <c r="R144" s="38">
        <f>IFERROR(VLOOKUP("15_"&amp;A144,SyS!$B:$P,10,FALSE()),0)</f>
        <v>0</v>
      </c>
      <c r="S144" s="39">
        <f>IFERROR(VLOOKUP("15_"&amp;A144,SyS!$B:$P,12,FALSE()),0)</f>
        <v>0</v>
      </c>
      <c r="T144" s="40">
        <f>+R144-S144</f>
        <v>0</v>
      </c>
      <c r="U144" s="38">
        <f>IFERROR(VLOOKUP("16_"&amp;A144,SyS!$B:$P,10,FALSE()),0)</f>
        <v>0</v>
      </c>
      <c r="V144" s="39">
        <f>IFERROR(VLOOKUP("16_"&amp;A144,SyS!$B:$P,12,FALSE()),0)</f>
        <v>0</v>
      </c>
      <c r="W144" s="40"/>
      <c r="X144" s="38">
        <f>IFERROR(VLOOKUP("13_"&amp;A144,SyS!$B:$P,10,FALSE()),0)</f>
        <v>0</v>
      </c>
      <c r="Y144" s="39">
        <f>IFERROR(VLOOKUP("13_"&amp;A144,SyS!$B:$P,12,FALSE()),0)</f>
        <v>0</v>
      </c>
      <c r="Z144" s="40">
        <f>+X144-Y144</f>
        <v>0</v>
      </c>
      <c r="AA144" s="38">
        <f>IFERROR(VLOOKUP("17_"&amp;A144,SyS!$B:$P,10,FALSE()),0)</f>
        <v>0</v>
      </c>
      <c r="AB144" s="39">
        <f>IFERROR(VLOOKUP("17_"&amp;A144,SyS!$B:$P,12,FALSE()),0)</f>
        <v>0</v>
      </c>
      <c r="AC144" s="40">
        <f>+AA144-AB144</f>
        <v>0</v>
      </c>
      <c r="AD144" s="39"/>
      <c r="AE144" s="39"/>
      <c r="AF144" s="39"/>
      <c r="AG144" s="39">
        <f>IFERROR(VLOOKUP("19_"&amp;A144,SyS!$B:$P,10,FALSE()),0)</f>
        <v>0</v>
      </c>
      <c r="AH144" s="39">
        <f>IFERROR(VLOOKUP("19_"&amp;A144,SyS!$B:$P,12,FALSE()),0)</f>
        <v>0</v>
      </c>
      <c r="AI144" s="39">
        <f>+AG144-AH144</f>
        <v>0</v>
      </c>
      <c r="AJ144" s="39"/>
      <c r="AK144" s="39"/>
      <c r="AL144" s="39"/>
      <c r="AM144" s="38">
        <f>IFERROR(VLOOKUP("23_"&amp;A144,SyS!$B:$P,10,FALSE()),0)</f>
        <v>0</v>
      </c>
      <c r="AN144" s="39">
        <f>IFERROR(VLOOKUP("23_"&amp;A144,SyS!$B:$P,12,FALSE()),0)</f>
        <v>0</v>
      </c>
      <c r="AO144" s="40">
        <f>+AM144-AN144</f>
        <v>0</v>
      </c>
      <c r="AP144" s="39"/>
      <c r="AQ144" s="39"/>
      <c r="AR144" s="39"/>
      <c r="AS144" s="39"/>
      <c r="AT144" s="39"/>
      <c r="AU144" s="39"/>
      <c r="AV144" s="39"/>
      <c r="AW144" s="39"/>
      <c r="AX144" s="39"/>
      <c r="AY144" s="39"/>
      <c r="AZ144" s="39"/>
      <c r="BA144" s="39"/>
      <c r="BB144" s="39"/>
      <c r="BC144" s="39"/>
      <c r="BD144" s="39"/>
      <c r="BE144" s="39"/>
      <c r="BF144" s="39"/>
      <c r="BG144" s="39"/>
      <c r="BH144" s="39"/>
      <c r="BI144" s="39"/>
      <c r="BJ144" s="39"/>
      <c r="BK144" s="39">
        <f>IFERROR(VLOOKUP("29_"&amp;A144,SyS!$B:$P,10,FALSE()),0)</f>
        <v>0</v>
      </c>
      <c r="BL144" s="39">
        <f>IFERROR(VLOOKUP("29_"&amp;A144,SyS!$B:$P,12,FALSE()),0)</f>
        <v>0</v>
      </c>
      <c r="BM144" s="39">
        <f>+BK144-BL144</f>
        <v>0</v>
      </c>
      <c r="BN144" s="38">
        <f>IFERROR(VLOOKUP("30_"&amp;A144,SyS!$B:$P,10,FALSE()),0)</f>
        <v>0</v>
      </c>
      <c r="BO144" s="39">
        <f>IFERROR(VLOOKUP("30_"&amp;A144,SyS!$B:$P,12,FALSE()),0)</f>
        <v>0</v>
      </c>
      <c r="BP144" s="40">
        <f>+BN144-BO144</f>
        <v>0</v>
      </c>
      <c r="BQ144" s="45">
        <f>+E144+H144+K144+Q144+T144+W144+Z144+AC144+AF144+AI144+AL144+AO144+AR144+AU144+AX144+BA144+BD144+BG144+BJ144+BM144+BP144</f>
        <v>18</v>
      </c>
    </row>
    <row r="145" ht="11.25" customHeight="1" spans="1:69" x14ac:dyDescent="0.25">
      <c r="A145" s="44">
        <v>425220000</v>
      </c>
      <c r="B145" s="44" t="s">
        <v>375</v>
      </c>
      <c r="C145" s="38">
        <f>IFERROR(VLOOKUP("1_"&amp;A145,SyS!$B:$P,10,FALSE()),0)</f>
        <v>176.08</v>
      </c>
      <c r="D145" s="39">
        <f>IFERROR(VLOOKUP("1_"&amp;A145,SyS!$B:$P,12,FALSE()),0)</f>
        <v>0</v>
      </c>
      <c r="E145" s="39">
        <f>+C145-D145</f>
        <v>176.08</v>
      </c>
      <c r="F145" s="38">
        <f>IFERROR(VLOOKUP("2_"&amp;A145,SyS!$B:$P,10,FALSE()),0)</f>
        <v>0</v>
      </c>
      <c r="G145" s="39">
        <f>IFERROR(VLOOKUP("2_"&amp;A145,SyS!$B:$P,12,FALSE()),0)</f>
        <v>0</v>
      </c>
      <c r="H145" s="40">
        <f>+F145-G145</f>
        <v>0</v>
      </c>
      <c r="I145" s="39"/>
      <c r="J145" s="39"/>
      <c r="K145" s="39"/>
      <c r="L145" s="39"/>
      <c r="M145" s="39"/>
      <c r="N145" s="39"/>
      <c r="O145" s="38">
        <f>IFERROR(VLOOKUP("14_"&amp;A145,SyS!$B:$P,10,FALSE()),0)</f>
        <v>0</v>
      </c>
      <c r="P145" s="39">
        <f>IFERROR(VLOOKUP("14_"&amp;A145,SyS!$B:$P,12,FALSE()),0)</f>
        <v>0</v>
      </c>
      <c r="Q145" s="40">
        <f>+O145-P145</f>
        <v>0</v>
      </c>
      <c r="R145" s="38">
        <f>IFERROR(VLOOKUP("15_"&amp;A145,SyS!$B:$P,10,FALSE()),0)</f>
        <v>0</v>
      </c>
      <c r="S145" s="39">
        <f>IFERROR(VLOOKUP("15_"&amp;A145,SyS!$B:$P,12,FALSE()),0)</f>
        <v>0</v>
      </c>
      <c r="T145" s="40">
        <f>+R145-S145</f>
        <v>0</v>
      </c>
      <c r="U145" s="38">
        <f>IFERROR(VLOOKUP("16_"&amp;A145,SyS!$B:$P,10,FALSE()),0)</f>
        <v>0</v>
      </c>
      <c r="V145" s="39">
        <f>IFERROR(VLOOKUP("16_"&amp;A145,SyS!$B:$P,12,FALSE()),0)</f>
        <v>0</v>
      </c>
      <c r="W145" s="40">
        <f>+U145-V145</f>
        <v>0</v>
      </c>
      <c r="X145" s="38">
        <f>IFERROR(VLOOKUP("13_"&amp;A145,SyS!$B:$P,10,FALSE()),0)</f>
        <v>0</v>
      </c>
      <c r="Y145" s="39">
        <f>IFERROR(VLOOKUP("13_"&amp;A145,SyS!$B:$P,12,FALSE()),0)</f>
        <v>0</v>
      </c>
      <c r="Z145" s="40">
        <f>+X145-Y145</f>
        <v>0</v>
      </c>
      <c r="AA145" s="38">
        <f>IFERROR(VLOOKUP("17_"&amp;A145,SyS!$B:$P,10,FALSE()),0)</f>
        <v>0</v>
      </c>
      <c r="AB145" s="39">
        <f>IFERROR(VLOOKUP("17_"&amp;A145,SyS!$B:$P,12,FALSE()),0)</f>
        <v>0</v>
      </c>
      <c r="AC145" s="40">
        <f>+AA145-AB145</f>
        <v>0</v>
      </c>
      <c r="AD145" s="39"/>
      <c r="AE145" s="39"/>
      <c r="AF145" s="39"/>
      <c r="AG145" s="39">
        <f>IFERROR(VLOOKUP("19_"&amp;A145,SyS!$B:$P,10,FALSE()),0)</f>
        <v>0</v>
      </c>
      <c r="AH145" s="39">
        <f>IFERROR(VLOOKUP("19_"&amp;A145,SyS!$B:$P,12,FALSE()),0)</f>
        <v>0</v>
      </c>
      <c r="AI145" s="39">
        <f>+AG145-AH145</f>
        <v>0</v>
      </c>
      <c r="AJ145" s="39"/>
      <c r="AK145" s="39"/>
      <c r="AL145" s="39"/>
      <c r="AM145" s="38">
        <f>IFERROR(VLOOKUP("23_"&amp;A145,SyS!$B:$P,10,FALSE()),0)</f>
        <v>0</v>
      </c>
      <c r="AN145" s="39">
        <f>IFERROR(VLOOKUP("23_"&amp;A145,SyS!$B:$P,12,FALSE()),0)</f>
        <v>0</v>
      </c>
      <c r="AO145" s="40">
        <f>+AM145-AN145</f>
        <v>0</v>
      </c>
      <c r="AP145" s="39"/>
      <c r="AQ145" s="39"/>
      <c r="AR145" s="39"/>
      <c r="AS145" s="39"/>
      <c r="AT145" s="39"/>
      <c r="AU145" s="39"/>
      <c r="AV145" s="39"/>
      <c r="AW145" s="39"/>
      <c r="AX145" s="39"/>
      <c r="AY145" s="39"/>
      <c r="AZ145" s="39"/>
      <c r="BA145" s="39"/>
      <c r="BB145" s="39"/>
      <c r="BC145" s="39"/>
      <c r="BD145" s="39"/>
      <c r="BE145" s="39"/>
      <c r="BF145" s="39"/>
      <c r="BG145" s="39"/>
      <c r="BH145" s="39"/>
      <c r="BI145" s="39"/>
      <c r="BJ145" s="39"/>
      <c r="BK145" s="39">
        <f>IFERROR(VLOOKUP("29_"&amp;A145,SyS!$B:$P,10,FALSE()),0)</f>
        <v>0</v>
      </c>
      <c r="BL145" s="39">
        <f>IFERROR(VLOOKUP("29_"&amp;A145,SyS!$B:$P,12,FALSE()),0)</f>
        <v>0</v>
      </c>
      <c r="BM145" s="39">
        <f>+BK145-BL145</f>
        <v>0</v>
      </c>
      <c r="BN145" s="38">
        <f>IFERROR(VLOOKUP("30_"&amp;A145,SyS!$B:$P,10,FALSE()),0)</f>
        <v>0</v>
      </c>
      <c r="BO145" s="39">
        <f>IFERROR(VLOOKUP("30_"&amp;A145,SyS!$B:$P,12,FALSE()),0)</f>
        <v>0</v>
      </c>
      <c r="BP145" s="40">
        <f>+BN145-BO145</f>
        <v>0</v>
      </c>
      <c r="BQ145" s="45">
        <f>+E145+H145+K145+Q145+T145+W145+Z145+AC145+AF145+AI145+AL145+AO145+AR145+AU145+AX145+BA145+BD145+BG145+BJ145+BM145+BP145</f>
        <v>176.08</v>
      </c>
    </row>
    <row r="146" ht="11.25" customHeight="1" spans="1:69" x14ac:dyDescent="0.25">
      <c r="A146" s="44">
        <v>423010000</v>
      </c>
      <c r="B146" s="44" t="s">
        <v>282</v>
      </c>
      <c r="C146" s="38">
        <f>IFERROR(VLOOKUP("1_"&amp;A146,SyS!$B:$P,10,FALSE()),0)</f>
        <v>0</v>
      </c>
      <c r="D146" s="39">
        <f>IFERROR(VLOOKUP("1_"&amp;A146,SyS!$B:$P,12,FALSE()),0)</f>
        <v>0</v>
      </c>
      <c r="E146" s="39">
        <f>+C146-D146</f>
        <v>0</v>
      </c>
      <c r="F146" s="38">
        <f>IFERROR(VLOOKUP("2_"&amp;A146,SyS!$B:$P,10,FALSE()),0)</f>
        <v>0</v>
      </c>
      <c r="G146" s="39">
        <f>IFERROR(VLOOKUP("2_"&amp;A146,SyS!$B:$P,12,FALSE()),0)</f>
        <v>0</v>
      </c>
      <c r="H146" s="40">
        <f>+F146-G146</f>
        <v>0</v>
      </c>
      <c r="I146" s="39"/>
      <c r="J146" s="39"/>
      <c r="K146" s="39"/>
      <c r="L146" s="39"/>
      <c r="M146" s="39"/>
      <c r="N146" s="39"/>
      <c r="O146" s="38">
        <f>IFERROR(VLOOKUP("14_"&amp;A146,SyS!$B:$P,10,FALSE()),0)</f>
        <v>0</v>
      </c>
      <c r="P146" s="39">
        <f>IFERROR(VLOOKUP("14_"&amp;A146,SyS!$B:$P,12,FALSE()),0)</f>
        <v>0</v>
      </c>
      <c r="Q146" s="40">
        <f>+O146-P146</f>
        <v>0</v>
      </c>
      <c r="R146" s="38">
        <f>IFERROR(VLOOKUP("15_"&amp;A146,SyS!$B:$P,10,FALSE()),0)</f>
        <v>0</v>
      </c>
      <c r="S146" s="39">
        <f>IFERROR(VLOOKUP("15_"&amp;A146,SyS!$B:$P,12,FALSE()),0)</f>
        <v>0</v>
      </c>
      <c r="T146" s="40">
        <f>+R146-S146</f>
        <v>0</v>
      </c>
      <c r="U146" s="38">
        <f>IFERROR(VLOOKUP("16_"&amp;A146,SyS!$B:$P,10,FALSE()),0)</f>
        <v>0</v>
      </c>
      <c r="V146" s="39">
        <f>IFERROR(VLOOKUP("16_"&amp;A146,SyS!$B:$P,12,FALSE()),0)</f>
        <v>0</v>
      </c>
      <c r="W146" s="40">
        <f>+U146-V146</f>
        <v>0</v>
      </c>
      <c r="X146" s="38">
        <f>IFERROR(VLOOKUP("13_"&amp;A146,SyS!$B:$P,10,FALSE()),0)</f>
        <v>0</v>
      </c>
      <c r="Y146" s="39">
        <f>IFERROR(VLOOKUP("13_"&amp;A146,SyS!$B:$P,12,FALSE()),0)</f>
        <v>0</v>
      </c>
      <c r="Z146" s="40">
        <f>+X146-Y146</f>
        <v>0</v>
      </c>
      <c r="AA146" s="38">
        <f>IFERROR(VLOOKUP("17_"&amp;A146,SyS!$B:$P,10,FALSE()),0)</f>
        <v>0</v>
      </c>
      <c r="AB146" s="39">
        <f>IFERROR(VLOOKUP("17_"&amp;A146,SyS!$B:$P,12,FALSE()),0)</f>
        <v>0</v>
      </c>
      <c r="AC146" s="40">
        <f>+AA146-AB146</f>
        <v>0</v>
      </c>
      <c r="AD146" s="39"/>
      <c r="AE146" s="39"/>
      <c r="AF146" s="39"/>
      <c r="AG146" s="39">
        <f>IFERROR(VLOOKUP("19_"&amp;A146,SyS!$B:$P,10,FALSE()),0)</f>
        <v>0</v>
      </c>
      <c r="AH146" s="39">
        <f>IFERROR(VLOOKUP("19_"&amp;A146,SyS!$B:$P,12,FALSE()),0)</f>
        <v>0</v>
      </c>
      <c r="AI146" s="39">
        <f>+AG146-AH146</f>
        <v>0</v>
      </c>
      <c r="AJ146" s="39"/>
      <c r="AK146" s="39"/>
      <c r="AL146" s="39"/>
      <c r="AM146" s="38">
        <f>IFERROR(VLOOKUP("23_"&amp;A146,SyS!$B:$P,10,FALSE()),0)</f>
        <v>0</v>
      </c>
      <c r="AN146" s="39">
        <f>IFERROR(VLOOKUP("23_"&amp;A146,SyS!$B:$P,12,FALSE()),0)</f>
        <v>0</v>
      </c>
      <c r="AO146" s="40">
        <f>+AM146-AN146</f>
        <v>0</v>
      </c>
      <c r="AP146" s="39"/>
      <c r="AQ146" s="39"/>
      <c r="AR146" s="39"/>
      <c r="AS146" s="39"/>
      <c r="AT146" s="39"/>
      <c r="AU146" s="39"/>
      <c r="AV146" s="39"/>
      <c r="AW146" s="39"/>
      <c r="AX146" s="39"/>
      <c r="AY146" s="39"/>
      <c r="AZ146" s="39"/>
      <c r="BA146" s="39"/>
      <c r="BB146" s="39"/>
      <c r="BC146" s="39"/>
      <c r="BD146" s="39"/>
      <c r="BE146" s="39"/>
      <c r="BF146" s="39"/>
      <c r="BG146" s="39"/>
      <c r="BH146" s="39"/>
      <c r="BI146" s="39"/>
      <c r="BJ146" s="39"/>
      <c r="BK146" s="39">
        <f>IFERROR(VLOOKUP("29_"&amp;A146,SyS!$B:$P,10,FALSE()),0)</f>
        <v>0</v>
      </c>
      <c r="BL146" s="39">
        <f>IFERROR(VLOOKUP("29_"&amp;A146,SyS!$B:$P,12,FALSE()),0)</f>
        <v>0</v>
      </c>
      <c r="BM146" s="39">
        <f>+BK146-BL146</f>
        <v>0</v>
      </c>
      <c r="BN146" s="38">
        <f>IFERROR(VLOOKUP("30_"&amp;A146,SyS!$B:$P,10,FALSE()),0)</f>
        <v>0</v>
      </c>
      <c r="BO146" s="39">
        <f>IFERROR(VLOOKUP("30_"&amp;A146,SyS!$B:$P,12,FALSE()),0)</f>
        <v>0</v>
      </c>
      <c r="BP146" s="40">
        <f>+BN146-BO146</f>
        <v>0</v>
      </c>
      <c r="BQ146" s="45">
        <f>+E146+H146+K146+Q146+T146+W146+Z146+AC146+AF146+AI146+AL146+AO146+AR146+AU146+AX146+BA146+BD146+BG146+BJ146+BM146+BP146</f>
        <v>0</v>
      </c>
    </row>
    <row r="147" ht="11.25" customHeight="1" spans="1:69" x14ac:dyDescent="0.25">
      <c r="A147" s="44">
        <v>425230000</v>
      </c>
      <c r="B147" s="44" t="s">
        <v>376</v>
      </c>
      <c r="C147" s="38">
        <f>IFERROR(VLOOKUP("1_"&amp;A147,SyS!$B:$P,10,FALSE()),0)</f>
        <v>427.8</v>
      </c>
      <c r="D147" s="39">
        <f>IFERROR(VLOOKUP("1_"&amp;A147,SyS!$B:$P,12,FALSE()),0)</f>
        <v>0</v>
      </c>
      <c r="E147" s="39">
        <f>+C147-D147</f>
        <v>427.8</v>
      </c>
      <c r="F147" s="38">
        <f>IFERROR(VLOOKUP("2_"&amp;A147,SyS!$B:$P,10,FALSE()),0)</f>
        <v>3.38</v>
      </c>
      <c r="G147" s="39">
        <f>IFERROR(VLOOKUP("2_"&amp;A147,SyS!$B:$P,12,FALSE()),0)</f>
        <v>0</v>
      </c>
      <c r="H147" s="40">
        <f>+F147-G147</f>
        <v>3.38</v>
      </c>
      <c r="I147" s="39"/>
      <c r="J147" s="39"/>
      <c r="K147" s="39"/>
      <c r="L147" s="39"/>
      <c r="M147" s="39"/>
      <c r="N147" s="39"/>
      <c r="O147" s="38">
        <f>IFERROR(VLOOKUP("14_"&amp;A147,SyS!$B:$P,10,FALSE()),0)</f>
        <v>0</v>
      </c>
      <c r="P147" s="39">
        <f>IFERROR(VLOOKUP("14_"&amp;A147,SyS!$B:$P,12,FALSE()),0)</f>
        <v>0</v>
      </c>
      <c r="Q147" s="40">
        <f>+O147-P147</f>
        <v>0</v>
      </c>
      <c r="R147" s="38">
        <f>IFERROR(VLOOKUP("15_"&amp;A147,SyS!$B:$P,10,FALSE()),0)</f>
        <v>0</v>
      </c>
      <c r="S147" s="39">
        <f>IFERROR(VLOOKUP("15_"&amp;A147,SyS!$B:$P,12,FALSE()),0)</f>
        <v>0</v>
      </c>
      <c r="T147" s="40">
        <f>+R147-S147</f>
        <v>0</v>
      </c>
      <c r="U147" s="38">
        <f>IFERROR(VLOOKUP("16_"&amp;A147,SyS!$B:$P,10,FALSE()),0)</f>
        <v>0</v>
      </c>
      <c r="V147" s="39">
        <f>IFERROR(VLOOKUP("16_"&amp;A147,SyS!$B:$P,12,FALSE()),0)</f>
        <v>0</v>
      </c>
      <c r="W147" s="40">
        <f>+U147-V147</f>
        <v>0</v>
      </c>
      <c r="X147" s="38">
        <f>IFERROR(VLOOKUP("13_"&amp;A147,SyS!$B:$P,10,FALSE()),0)</f>
        <v>0</v>
      </c>
      <c r="Y147" s="39">
        <f>IFERROR(VLOOKUP("13_"&amp;A147,SyS!$B:$P,12,FALSE()),0)</f>
        <v>0</v>
      </c>
      <c r="Z147" s="40">
        <f>+X147-Y147</f>
        <v>0</v>
      </c>
      <c r="AA147" s="38">
        <f>IFERROR(VLOOKUP("17_"&amp;A147,SyS!$B:$P,10,FALSE()),0)</f>
        <v>0</v>
      </c>
      <c r="AB147" s="39">
        <f>IFERROR(VLOOKUP("17_"&amp;A147,SyS!$B:$P,12,FALSE()),0)</f>
        <v>0</v>
      </c>
      <c r="AC147" s="40">
        <f>+AA147-AB147</f>
        <v>0</v>
      </c>
      <c r="AD147" s="39"/>
      <c r="AE147" s="39"/>
      <c r="AF147" s="39"/>
      <c r="AG147" s="39">
        <f>IFERROR(VLOOKUP("19_"&amp;A147,SyS!$B:$P,10,FALSE()),0)</f>
        <v>0</v>
      </c>
      <c r="AH147" s="39">
        <f>IFERROR(VLOOKUP("19_"&amp;A147,SyS!$B:$P,12,FALSE()),0)</f>
        <v>0</v>
      </c>
      <c r="AI147" s="39">
        <f>+AG147-AH147</f>
        <v>0</v>
      </c>
      <c r="AJ147" s="39"/>
      <c r="AK147" s="39"/>
      <c r="AL147" s="39"/>
      <c r="AM147" s="38">
        <f>IFERROR(VLOOKUP("23_"&amp;A147,SyS!$B:$P,10,FALSE()),0)</f>
        <v>0</v>
      </c>
      <c r="AN147" s="39">
        <f>IFERROR(VLOOKUP("23_"&amp;A147,SyS!$B:$P,12,FALSE()),0)</f>
        <v>0</v>
      </c>
      <c r="AO147" s="40">
        <f>+AM147-AN147</f>
        <v>0</v>
      </c>
      <c r="AP147" s="39"/>
      <c r="AQ147" s="39"/>
      <c r="AR147" s="39"/>
      <c r="AS147" s="39"/>
      <c r="AT147" s="39"/>
      <c r="AU147" s="39"/>
      <c r="AV147" s="39"/>
      <c r="AW147" s="39"/>
      <c r="AX147" s="39"/>
      <c r="AY147" s="39"/>
      <c r="AZ147" s="39"/>
      <c r="BA147" s="39"/>
      <c r="BB147" s="39"/>
      <c r="BC147" s="39"/>
      <c r="BD147" s="39"/>
      <c r="BE147" s="39"/>
      <c r="BF147" s="39"/>
      <c r="BG147" s="39"/>
      <c r="BH147" s="39"/>
      <c r="BI147" s="39"/>
      <c r="BJ147" s="39"/>
      <c r="BK147" s="39">
        <f>IFERROR(VLOOKUP("29_"&amp;A147,SyS!$B:$P,10,FALSE()),0)</f>
        <v>0</v>
      </c>
      <c r="BL147" s="39">
        <f>IFERROR(VLOOKUP("29_"&amp;A147,SyS!$B:$P,12,FALSE()),0)</f>
        <v>0</v>
      </c>
      <c r="BM147" s="39">
        <f>+BK147-BL147</f>
        <v>0</v>
      </c>
      <c r="BN147" s="38">
        <f>IFERROR(VLOOKUP("30_"&amp;A147,SyS!$B:$P,10,FALSE()),0)</f>
        <v>0</v>
      </c>
      <c r="BO147" s="39">
        <f>IFERROR(VLOOKUP("30_"&amp;A147,SyS!$B:$P,12,FALSE()),0)</f>
        <v>0</v>
      </c>
      <c r="BP147" s="40">
        <f>+BN147-BO147</f>
        <v>0</v>
      </c>
      <c r="BQ147" s="45">
        <f>+E147+H147+K147+Q147+T147+W147+Z147+AC147+AF147+AI147+AL147+AO147+AR147+AU147+AX147+BA147+BD147+BG147+BJ147+BM147+BP147</f>
        <v>431.18</v>
      </c>
    </row>
    <row r="148" ht="11.25" customHeight="1" spans="1:69" x14ac:dyDescent="0.25">
      <c r="A148" s="44">
        <v>425240000</v>
      </c>
      <c r="B148" s="44" t="s">
        <v>377</v>
      </c>
      <c r="C148" s="38">
        <f>IFERROR(VLOOKUP("1_"&amp;A148,SyS!$B:$P,10,FALSE()),0)</f>
        <v>0</v>
      </c>
      <c r="D148" s="39">
        <f>IFERROR(VLOOKUP("1_"&amp;A148,SyS!$B:$P,12,FALSE()),0)</f>
        <v>0</v>
      </c>
      <c r="E148" s="39">
        <f>+C148-D148</f>
        <v>0</v>
      </c>
      <c r="F148" s="38">
        <f>IFERROR(VLOOKUP("2_"&amp;A148,SyS!$B:$P,10,FALSE()),0)</f>
        <v>0</v>
      </c>
      <c r="G148" s="39">
        <f>IFERROR(VLOOKUP("2_"&amp;A148,SyS!$B:$P,12,FALSE()),0)</f>
        <v>0</v>
      </c>
      <c r="H148" s="40">
        <f>+F148-G148</f>
        <v>0</v>
      </c>
      <c r="I148" s="39"/>
      <c r="J148" s="39"/>
      <c r="K148" s="39"/>
      <c r="L148" s="39"/>
      <c r="M148" s="39"/>
      <c r="N148" s="39"/>
      <c r="O148" s="38">
        <f>IFERROR(VLOOKUP("14_"&amp;A148,SyS!$B:$P,10,FALSE()),0)</f>
        <v>0</v>
      </c>
      <c r="P148" s="39">
        <f>IFERROR(VLOOKUP("14_"&amp;A148,SyS!$B:$P,12,FALSE()),0)</f>
        <v>0</v>
      </c>
      <c r="Q148" s="40">
        <f>+O148-P148</f>
        <v>0</v>
      </c>
      <c r="R148" s="38">
        <f>IFERROR(VLOOKUP("15_"&amp;A148,SyS!$B:$P,10,FALSE()),0)</f>
        <v>0</v>
      </c>
      <c r="S148" s="39">
        <f>IFERROR(VLOOKUP("15_"&amp;A148,SyS!$B:$P,12,FALSE()),0)</f>
        <v>0</v>
      </c>
      <c r="T148" s="40">
        <f>+R148-S148</f>
        <v>0</v>
      </c>
      <c r="U148" s="38">
        <f>IFERROR(VLOOKUP("16_"&amp;A148,SyS!$B:$P,10,FALSE()),0)</f>
        <v>0</v>
      </c>
      <c r="V148" s="39">
        <f>IFERROR(VLOOKUP("16_"&amp;A148,SyS!$B:$P,12,FALSE()),0)</f>
        <v>0</v>
      </c>
      <c r="W148" s="40">
        <f>+U148-V148</f>
        <v>0</v>
      </c>
      <c r="X148" s="38">
        <f>IFERROR(VLOOKUP("13_"&amp;A148,SyS!$B:$P,10,FALSE()),0)</f>
        <v>0</v>
      </c>
      <c r="Y148" s="39">
        <f>IFERROR(VLOOKUP("13_"&amp;A148,SyS!$B:$P,12,FALSE()),0)</f>
        <v>0</v>
      </c>
      <c r="Z148" s="40">
        <f>+X148-Y148</f>
        <v>0</v>
      </c>
      <c r="AA148" s="38">
        <f>IFERROR(VLOOKUP("17_"&amp;A148,SyS!$B:$P,10,FALSE()),0)</f>
        <v>0</v>
      </c>
      <c r="AB148" s="39">
        <f>IFERROR(VLOOKUP("17_"&amp;A148,SyS!$B:$P,12,FALSE()),0)</f>
        <v>0</v>
      </c>
      <c r="AC148" s="40">
        <f>+AA148-AB148</f>
        <v>0</v>
      </c>
      <c r="AD148" s="39"/>
      <c r="AE148" s="39"/>
      <c r="AF148" s="39"/>
      <c r="AG148" s="39">
        <f>IFERROR(VLOOKUP("19_"&amp;A148,SyS!$B:$P,10,FALSE()),0)</f>
        <v>0</v>
      </c>
      <c r="AH148" s="39">
        <f>IFERROR(VLOOKUP("19_"&amp;A148,SyS!$B:$P,12,FALSE()),0)</f>
        <v>0</v>
      </c>
      <c r="AI148" s="39">
        <f>+AG148-AH148</f>
        <v>0</v>
      </c>
      <c r="AJ148" s="39"/>
      <c r="AK148" s="39"/>
      <c r="AL148" s="39"/>
      <c r="AM148" s="38">
        <f>IFERROR(VLOOKUP("23_"&amp;A148,SyS!$B:$P,10,FALSE()),0)</f>
        <v>0</v>
      </c>
      <c r="AN148" s="39">
        <f>IFERROR(VLOOKUP("23_"&amp;A148,SyS!$B:$P,12,FALSE()),0)</f>
        <v>0</v>
      </c>
      <c r="AO148" s="40">
        <f>+AM148-AN148</f>
        <v>0</v>
      </c>
      <c r="AP148" s="39"/>
      <c r="AQ148" s="39"/>
      <c r="AR148" s="39"/>
      <c r="AS148" s="39"/>
      <c r="AT148" s="39"/>
      <c r="AU148" s="39"/>
      <c r="AV148" s="39"/>
      <c r="AW148" s="39"/>
      <c r="AX148" s="39"/>
      <c r="AY148" s="39"/>
      <c r="AZ148" s="39"/>
      <c r="BA148" s="39"/>
      <c r="BB148" s="39"/>
      <c r="BC148" s="39"/>
      <c r="BD148" s="39"/>
      <c r="BE148" s="39"/>
      <c r="BF148" s="39"/>
      <c r="BG148" s="39"/>
      <c r="BH148" s="39"/>
      <c r="BI148" s="39"/>
      <c r="BJ148" s="39"/>
      <c r="BK148" s="39">
        <f>IFERROR(VLOOKUP("29_"&amp;A148,SyS!$B:$P,10,FALSE()),0)</f>
        <v>0</v>
      </c>
      <c r="BL148" s="39">
        <f>IFERROR(VLOOKUP("29_"&amp;A148,SyS!$B:$P,12,FALSE()),0)</f>
        <v>0</v>
      </c>
      <c r="BM148" s="39">
        <f>+BK148-BL148</f>
        <v>0</v>
      </c>
      <c r="BN148" s="38">
        <f>IFERROR(VLOOKUP("30_"&amp;A148,SyS!$B:$P,10,FALSE()),0)</f>
        <v>0</v>
      </c>
      <c r="BO148" s="39">
        <f>IFERROR(VLOOKUP("30_"&amp;A148,SyS!$B:$P,12,FALSE()),0)</f>
        <v>0</v>
      </c>
      <c r="BP148" s="40">
        <f>+BN148-BO148</f>
        <v>0</v>
      </c>
      <c r="BQ148" s="45">
        <f>+E148+H148+K148+Q148+T148+W148+Z148+AC148+AF148+AI148+AL148+AO148+AR148+AU148+AX148+BA148+BD148+BG148+BJ148+BM148+BP148</f>
        <v>0</v>
      </c>
    </row>
    <row r="149" ht="11.25" customHeight="1" spans="1:69" x14ac:dyDescent="0.25">
      <c r="A149" s="44">
        <v>425250000</v>
      </c>
      <c r="B149" s="44" t="s">
        <v>378</v>
      </c>
      <c r="C149" s="38">
        <f>IFERROR(VLOOKUP("1_"&amp;A149,SyS!$B:$P,10,FALSE()),0)</f>
        <v>3918.01</v>
      </c>
      <c r="D149" s="39">
        <f>IFERROR(VLOOKUP("1_"&amp;A149,SyS!$B:$P,12,FALSE()),0)</f>
        <v>0</v>
      </c>
      <c r="E149" s="39">
        <f>+C149-D149</f>
        <v>3918.01</v>
      </c>
      <c r="F149" s="38">
        <f>IFERROR(VLOOKUP("2_"&amp;A149,SyS!$B:$P,10,FALSE()),0)</f>
        <v>0</v>
      </c>
      <c r="G149" s="39">
        <f>IFERROR(VLOOKUP("2_"&amp;A149,SyS!$B:$P,12,FALSE()),0)</f>
        <v>0</v>
      </c>
      <c r="H149" s="40">
        <f>+F149-G149</f>
        <v>0</v>
      </c>
      <c r="I149" s="39"/>
      <c r="J149" s="39"/>
      <c r="K149" s="39"/>
      <c r="L149" s="39"/>
      <c r="M149" s="39"/>
      <c r="N149" s="39"/>
      <c r="O149" s="38">
        <f>IFERROR(VLOOKUP("14_"&amp;A149,SyS!$B:$P,10,FALSE()),0)</f>
        <v>0</v>
      </c>
      <c r="P149" s="39">
        <f>IFERROR(VLOOKUP("14_"&amp;A149,SyS!$B:$P,12,FALSE()),0)</f>
        <v>0</v>
      </c>
      <c r="Q149" s="40">
        <f>+O149-P149</f>
        <v>0</v>
      </c>
      <c r="R149" s="38">
        <f>IFERROR(VLOOKUP("15_"&amp;A149,SyS!$B:$P,10,FALSE()),0)</f>
        <v>0</v>
      </c>
      <c r="S149" s="39">
        <f>IFERROR(VLOOKUP("15_"&amp;A149,SyS!$B:$P,12,FALSE()),0)</f>
        <v>0</v>
      </c>
      <c r="T149" s="40">
        <f>+R149-S149</f>
        <v>0</v>
      </c>
      <c r="U149" s="38">
        <f>IFERROR(VLOOKUP("16_"&amp;A149,SyS!$B:$P,10,FALSE()),0)</f>
        <v>0</v>
      </c>
      <c r="V149" s="39">
        <f>IFERROR(VLOOKUP("16_"&amp;A149,SyS!$B:$P,12,FALSE()),0)</f>
        <v>0</v>
      </c>
      <c r="W149" s="40">
        <f>+U149-V149</f>
        <v>0</v>
      </c>
      <c r="X149" s="38">
        <f>IFERROR(VLOOKUP("13_"&amp;A149,SyS!$B:$P,10,FALSE()),0)</f>
        <v>0</v>
      </c>
      <c r="Y149" s="39">
        <f>IFERROR(VLOOKUP("13_"&amp;A149,SyS!$B:$P,12,FALSE()),0)</f>
        <v>0</v>
      </c>
      <c r="Z149" s="40">
        <f>+X149-Y149</f>
        <v>0</v>
      </c>
      <c r="AA149" s="38">
        <f>IFERROR(VLOOKUP("17_"&amp;A149,SyS!$B:$P,10,FALSE()),0)</f>
        <v>0</v>
      </c>
      <c r="AB149" s="39">
        <f>IFERROR(VLOOKUP("17_"&amp;A149,SyS!$B:$P,12,FALSE()),0)</f>
        <v>0</v>
      </c>
      <c r="AC149" s="40">
        <f>+AA149-AB149</f>
        <v>0</v>
      </c>
      <c r="AD149" s="39"/>
      <c r="AE149" s="39"/>
      <c r="AF149" s="39"/>
      <c r="AG149" s="39">
        <f>IFERROR(VLOOKUP("19_"&amp;A149,SyS!$B:$P,10,FALSE()),0)</f>
        <v>0</v>
      </c>
      <c r="AH149" s="39">
        <f>IFERROR(VLOOKUP("19_"&amp;A149,SyS!$B:$P,12,FALSE()),0)</f>
        <v>0</v>
      </c>
      <c r="AI149" s="39">
        <f>+AG149-AH149</f>
        <v>0</v>
      </c>
      <c r="AJ149" s="39"/>
      <c r="AK149" s="39"/>
      <c r="AL149" s="39"/>
      <c r="AM149" s="38">
        <f>IFERROR(VLOOKUP("23_"&amp;A149,SyS!$B:$P,10,FALSE()),0)</f>
        <v>0</v>
      </c>
      <c r="AN149" s="39">
        <f>IFERROR(VLOOKUP("23_"&amp;A149,SyS!$B:$P,12,FALSE()),0)</f>
        <v>0</v>
      </c>
      <c r="AO149" s="40">
        <f>+AM149-AN149</f>
        <v>0</v>
      </c>
      <c r="AP149" s="39"/>
      <c r="AQ149" s="39"/>
      <c r="AR149" s="39"/>
      <c r="AS149" s="39"/>
      <c r="AT149" s="39"/>
      <c r="AU149" s="39"/>
      <c r="AV149" s="39"/>
      <c r="AW149" s="39"/>
      <c r="AX149" s="39"/>
      <c r="AY149" s="39"/>
      <c r="AZ149" s="39"/>
      <c r="BA149" s="39"/>
      <c r="BB149" s="39"/>
      <c r="BC149" s="39"/>
      <c r="BD149" s="39"/>
      <c r="BE149" s="39"/>
      <c r="BF149" s="39"/>
      <c r="BG149" s="39"/>
      <c r="BH149" s="39"/>
      <c r="BI149" s="39"/>
      <c r="BJ149" s="39"/>
      <c r="BK149" s="39">
        <f>IFERROR(VLOOKUP("29_"&amp;A149,SyS!$B:$P,10,FALSE()),0)</f>
        <v>0</v>
      </c>
      <c r="BL149" s="39">
        <f>IFERROR(VLOOKUP("29_"&amp;A149,SyS!$B:$P,12,FALSE()),0)</f>
        <v>0</v>
      </c>
      <c r="BM149" s="39">
        <f>+BK149-BL149</f>
        <v>0</v>
      </c>
      <c r="BN149" s="38">
        <f>IFERROR(VLOOKUP("30_"&amp;A149,SyS!$B:$P,10,FALSE()),0)</f>
        <v>0</v>
      </c>
      <c r="BO149" s="39">
        <f>IFERROR(VLOOKUP("30_"&amp;A149,SyS!$B:$P,12,FALSE()),0)</f>
        <v>0</v>
      </c>
      <c r="BP149" s="40">
        <f>+BN149-BO149</f>
        <v>0</v>
      </c>
      <c r="BQ149" s="45">
        <f>+E149+H149+K149+Q149+T149+W149+Z149+AC149+AF149+AI149+AL149+AO149+AR149+AU149+AX149+BA149+BD149+BG149+BJ149+BM149+BP149</f>
        <v>3918.01</v>
      </c>
    </row>
    <row r="150" ht="11.25" customHeight="1" spans="1:69" x14ac:dyDescent="0.25">
      <c r="A150" s="44">
        <v>425300000</v>
      </c>
      <c r="B150" s="44" t="s">
        <v>379</v>
      </c>
      <c r="C150" s="38">
        <f>IFERROR(VLOOKUP("1_"&amp;A150,SyS!$B:$P,10,FALSE()),0)</f>
        <v>0</v>
      </c>
      <c r="D150" s="39">
        <f>IFERROR(VLOOKUP("1_"&amp;A150,SyS!$B:$P,12,FALSE()),0)</f>
        <v>0</v>
      </c>
      <c r="E150" s="39">
        <f>+C150-D150</f>
        <v>0</v>
      </c>
      <c r="F150" s="38">
        <f>IFERROR(VLOOKUP("2_"&amp;A150,SyS!$B:$P,10,FALSE()),0)</f>
        <v>130.94</v>
      </c>
      <c r="G150" s="39">
        <f>IFERROR(VLOOKUP("2_"&amp;A150,SyS!$B:$P,12,FALSE()),0)</f>
        <v>0</v>
      </c>
      <c r="H150" s="40">
        <f>+F150-G150</f>
        <v>130.94</v>
      </c>
      <c r="I150" s="39"/>
      <c r="J150" s="39"/>
      <c r="K150" s="39"/>
      <c r="L150" s="39"/>
      <c r="M150" s="39"/>
      <c r="N150" s="39"/>
      <c r="O150" s="38">
        <f>IFERROR(VLOOKUP("14_"&amp;A150,SyS!$B:$P,10,FALSE()),0)</f>
        <v>0</v>
      </c>
      <c r="P150" s="39">
        <f>IFERROR(VLOOKUP("14_"&amp;A150,SyS!$B:$P,12,FALSE()),0)</f>
        <v>0</v>
      </c>
      <c r="Q150" s="40">
        <f>+O150-P150</f>
        <v>0</v>
      </c>
      <c r="R150" s="38">
        <f>IFERROR(VLOOKUP("15_"&amp;A150,SyS!$B:$P,10,FALSE()),0)</f>
        <v>0</v>
      </c>
      <c r="S150" s="39">
        <f>IFERROR(VLOOKUP("15_"&amp;A150,SyS!$B:$P,12,FALSE()),0)</f>
        <v>0</v>
      </c>
      <c r="T150" s="40">
        <f>+R150-S150</f>
        <v>0</v>
      </c>
      <c r="U150" s="38">
        <f>IFERROR(VLOOKUP("16_"&amp;A150,SyS!$B:$P,10,FALSE()),0)</f>
        <v>0</v>
      </c>
      <c r="V150" s="39">
        <f>IFERROR(VLOOKUP("16_"&amp;A150,SyS!$B:$P,12,FALSE()),0)</f>
        <v>0</v>
      </c>
      <c r="W150" s="40">
        <f>+U150-V150</f>
        <v>0</v>
      </c>
      <c r="X150" s="38">
        <f>IFERROR(VLOOKUP("13_"&amp;A150,SyS!$B:$P,10,FALSE()),0)</f>
        <v>0</v>
      </c>
      <c r="Y150" s="39">
        <f>IFERROR(VLOOKUP("13_"&amp;A150,SyS!$B:$P,12,FALSE()),0)</f>
        <v>0</v>
      </c>
      <c r="Z150" s="40">
        <f>+X150-Y150</f>
        <v>0</v>
      </c>
      <c r="AA150" s="38">
        <f>IFERROR(VLOOKUP("17_"&amp;A150,SyS!$B:$P,10,FALSE()),0)</f>
        <v>0</v>
      </c>
      <c r="AB150" s="39">
        <f>IFERROR(VLOOKUP("17_"&amp;A150,SyS!$B:$P,12,FALSE()),0)</f>
        <v>0</v>
      </c>
      <c r="AC150" s="40">
        <f>+AA150-AB150</f>
        <v>0</v>
      </c>
      <c r="AD150" s="39"/>
      <c r="AE150" s="39"/>
      <c r="AF150" s="39"/>
      <c r="AG150" s="39">
        <f>IFERROR(VLOOKUP("19_"&amp;A150,SyS!$B:$P,10,FALSE()),0)</f>
        <v>0</v>
      </c>
      <c r="AH150" s="39">
        <f>IFERROR(VLOOKUP("19_"&amp;A150,SyS!$B:$P,12,FALSE()),0)</f>
        <v>0</v>
      </c>
      <c r="AI150" s="39">
        <f>+AG150-AH150</f>
        <v>0</v>
      </c>
      <c r="AJ150" s="39"/>
      <c r="AK150" s="39"/>
      <c r="AL150" s="39"/>
      <c r="AM150" s="38">
        <f>IFERROR(VLOOKUP("23_"&amp;A150,SyS!$B:$P,10,FALSE()),0)</f>
        <v>0</v>
      </c>
      <c r="AN150" s="39">
        <f>IFERROR(VLOOKUP("23_"&amp;A150,SyS!$B:$P,12,FALSE()),0)</f>
        <v>0</v>
      </c>
      <c r="AO150" s="40">
        <f>+AM150-AN150</f>
        <v>0</v>
      </c>
      <c r="AP150" s="39"/>
      <c r="AQ150" s="39"/>
      <c r="AR150" s="39"/>
      <c r="AS150" s="39"/>
      <c r="AT150" s="39"/>
      <c r="AU150" s="39"/>
      <c r="AV150" s="39"/>
      <c r="AW150" s="39"/>
      <c r="AX150" s="39"/>
      <c r="AY150" s="39"/>
      <c r="AZ150" s="39"/>
      <c r="BA150" s="39"/>
      <c r="BB150" s="39"/>
      <c r="BC150" s="39"/>
      <c r="BD150" s="39"/>
      <c r="BE150" s="39"/>
      <c r="BF150" s="39"/>
      <c r="BG150" s="39"/>
      <c r="BH150" s="39"/>
      <c r="BI150" s="39"/>
      <c r="BJ150" s="39"/>
      <c r="BK150" s="39">
        <f>IFERROR(VLOOKUP("29_"&amp;A150,SyS!$B:$P,10,FALSE()),0)</f>
        <v>0</v>
      </c>
      <c r="BL150" s="39">
        <f>IFERROR(VLOOKUP("29_"&amp;A150,SyS!$B:$P,12,FALSE()),0)</f>
        <v>0</v>
      </c>
      <c r="BM150" s="39">
        <f>+BK150-BL150</f>
        <v>0</v>
      </c>
      <c r="BN150" s="38">
        <f>IFERROR(VLOOKUP("30_"&amp;A150,SyS!$B:$P,10,FALSE()),0)</f>
        <v>0</v>
      </c>
      <c r="BO150" s="39">
        <f>IFERROR(VLOOKUP("30_"&amp;A150,SyS!$B:$P,12,FALSE()),0)</f>
        <v>0</v>
      </c>
      <c r="BP150" s="40">
        <f>+BN150-BO150</f>
        <v>0</v>
      </c>
      <c r="BQ150" s="45">
        <f>+E150+H150+K150+Q150+T150+W150+Z150+AC150+AF150+AI150+AL150+AO150+AR150+AU150+AX150+BA150+BD150+BG150+BJ150+BM150+BP150</f>
        <v>130.94</v>
      </c>
    </row>
    <row r="151" ht="11.25" customHeight="1" spans="1:69" x14ac:dyDescent="0.25">
      <c r="A151" s="44">
        <v>433080000</v>
      </c>
      <c r="B151" s="44" t="s">
        <v>380</v>
      </c>
      <c r="C151" s="38">
        <f>IFERROR(VLOOKUP("1_"&amp;A151,SyS!$B:$P,10,FALSE()),0)</f>
        <v>0</v>
      </c>
      <c r="D151" s="39">
        <f>IFERROR(VLOOKUP("1_"&amp;A151,SyS!$B:$P,12,FALSE()),0)</f>
        <v>0</v>
      </c>
      <c r="E151" s="39">
        <f>+C151-D151</f>
        <v>0</v>
      </c>
      <c r="F151" s="38">
        <f>IFERROR(VLOOKUP("2_"&amp;A151,SyS!$B:$P,10,FALSE()),0)</f>
        <v>0</v>
      </c>
      <c r="G151" s="39">
        <f>IFERROR(VLOOKUP("2_"&amp;A151,SyS!$B:$P,12,FALSE()),0)</f>
        <v>0</v>
      </c>
      <c r="H151" s="40">
        <f>+F151-G151</f>
        <v>0</v>
      </c>
      <c r="I151" s="39"/>
      <c r="J151" s="39"/>
      <c r="K151" s="39"/>
      <c r="L151" s="39"/>
      <c r="M151" s="39"/>
      <c r="N151" s="39"/>
      <c r="O151" s="38">
        <f>IFERROR(VLOOKUP("14_"&amp;A151,SyS!$B:$P,10,FALSE()),0)</f>
        <v>0</v>
      </c>
      <c r="P151" s="39">
        <f>IFERROR(VLOOKUP("14_"&amp;A151,SyS!$B:$P,12,FALSE()),0)</f>
        <v>0</v>
      </c>
      <c r="Q151" s="40">
        <f>+O151-P151</f>
        <v>0</v>
      </c>
      <c r="R151" s="38">
        <f>IFERROR(VLOOKUP("15_"&amp;A151,SyS!$B:$P,10,FALSE()),0)</f>
        <v>0</v>
      </c>
      <c r="S151" s="39">
        <f>IFERROR(VLOOKUP("15_"&amp;A151,SyS!$B:$P,12,FALSE()),0)</f>
        <v>0</v>
      </c>
      <c r="T151" s="40">
        <f>+R151-S151</f>
        <v>0</v>
      </c>
      <c r="U151" s="38">
        <f>IFERROR(VLOOKUP("16_"&amp;A151,SyS!$B:$P,10,FALSE()),0)</f>
        <v>0</v>
      </c>
      <c r="V151" s="39">
        <f>IFERROR(VLOOKUP("16_"&amp;A151,SyS!$B:$P,12,FALSE()),0)</f>
        <v>0</v>
      </c>
      <c r="W151" s="40">
        <f>+U151-V151</f>
        <v>0</v>
      </c>
      <c r="X151" s="38">
        <f>IFERROR(VLOOKUP("13_"&amp;A151,SyS!$B:$P,10,FALSE()),0)</f>
        <v>0</v>
      </c>
      <c r="Y151" s="39">
        <f>IFERROR(VLOOKUP("13_"&amp;A151,SyS!$B:$P,12,FALSE()),0)</f>
        <v>0</v>
      </c>
      <c r="Z151" s="40">
        <f>+X151-Y151</f>
        <v>0</v>
      </c>
      <c r="AA151" s="38">
        <f>IFERROR(VLOOKUP("17_"&amp;A151,SyS!$B:$P,10,FALSE()),0)</f>
        <v>0</v>
      </c>
      <c r="AB151" s="39">
        <f>IFERROR(VLOOKUP("17_"&amp;A151,SyS!$B:$P,12,FALSE()),0)</f>
        <v>0</v>
      </c>
      <c r="AC151" s="40">
        <f>+AA151-AB151</f>
        <v>0</v>
      </c>
      <c r="AD151" s="39"/>
      <c r="AE151" s="39"/>
      <c r="AF151" s="39"/>
      <c r="AG151" s="39">
        <f>IFERROR(VLOOKUP("19_"&amp;A151,SyS!$B:$P,10,FALSE()),0)</f>
        <v>0</v>
      </c>
      <c r="AH151" s="39">
        <f>IFERROR(VLOOKUP("19_"&amp;A151,SyS!$B:$P,12,FALSE()),0)</f>
        <v>0</v>
      </c>
      <c r="AI151" s="39">
        <f>+AG151-AH151</f>
        <v>0</v>
      </c>
      <c r="AJ151" s="39"/>
      <c r="AK151" s="39"/>
      <c r="AL151" s="39"/>
      <c r="AM151" s="38">
        <f>IFERROR(VLOOKUP("23_"&amp;A151,SyS!$B:$P,10,FALSE()),0)</f>
        <v>0</v>
      </c>
      <c r="AN151" s="39">
        <f>IFERROR(VLOOKUP("23_"&amp;A151,SyS!$B:$P,12,FALSE()),0)</f>
        <v>0</v>
      </c>
      <c r="AO151" s="40">
        <f>+AM151-AN151</f>
        <v>0</v>
      </c>
      <c r="AP151" s="39"/>
      <c r="AQ151" s="39"/>
      <c r="AR151" s="39"/>
      <c r="AS151" s="39"/>
      <c r="AT151" s="39"/>
      <c r="AU151" s="39"/>
      <c r="AV151" s="39"/>
      <c r="AW151" s="39"/>
      <c r="AX151" s="39"/>
      <c r="AY151" s="39"/>
      <c r="AZ151" s="39"/>
      <c r="BA151" s="39"/>
      <c r="BB151" s="39"/>
      <c r="BC151" s="39"/>
      <c r="BD151" s="39"/>
      <c r="BE151" s="39"/>
      <c r="BF151" s="39"/>
      <c r="BG151" s="39"/>
      <c r="BH151" s="39"/>
      <c r="BI151" s="39"/>
      <c r="BJ151" s="39"/>
      <c r="BK151" s="39">
        <f>IFERROR(VLOOKUP("29_"&amp;A151,SyS!$B:$P,10,FALSE()),0)</f>
        <v>0</v>
      </c>
      <c r="BL151" s="39">
        <f>IFERROR(VLOOKUP("29_"&amp;A151,SyS!$B:$P,12,FALSE()),0)</f>
        <v>0</v>
      </c>
      <c r="BM151" s="39">
        <f>+BK151-BL151</f>
        <v>0</v>
      </c>
      <c r="BN151" s="38">
        <f>IFERROR(VLOOKUP("30_"&amp;A151,SyS!$B:$P,10,FALSE()),0)</f>
        <v>0</v>
      </c>
      <c r="BO151" s="39">
        <f>IFERROR(VLOOKUP("30_"&amp;A151,SyS!$B:$P,12,FALSE()),0)</f>
        <v>0</v>
      </c>
      <c r="BP151" s="40">
        <f>+BN151-BO151</f>
        <v>0</v>
      </c>
      <c r="BQ151" s="45">
        <f>+E151+H151+K151+Q151+T151+W151+Z151+AC151+AF151+AI151+AL151+AO151+AR151+AU151+AX151+BA151+BD151+BG151+BJ151+BM151+BP151</f>
        <v>0</v>
      </c>
    </row>
    <row r="152" ht="11.25" customHeight="1" spans="1:69" x14ac:dyDescent="0.25">
      <c r="A152" s="44">
        <v>425400000</v>
      </c>
      <c r="B152" s="44" t="s">
        <v>381</v>
      </c>
      <c r="C152" s="38">
        <f>IFERROR(VLOOKUP("1_"&amp;A152,SyS!$B:$P,10,FALSE()),0)</f>
        <v>0</v>
      </c>
      <c r="D152" s="39">
        <f>IFERROR(VLOOKUP("1_"&amp;A152,SyS!$B:$P,12,FALSE()),0)</f>
        <v>0</v>
      </c>
      <c r="E152" s="39">
        <f>+C152-D152</f>
        <v>0</v>
      </c>
      <c r="F152" s="38">
        <f>IFERROR(VLOOKUP("2_"&amp;A152,SyS!$B:$P,10,FALSE()),0)</f>
        <v>0</v>
      </c>
      <c r="G152" s="39">
        <f>IFERROR(VLOOKUP("2_"&amp;A152,SyS!$B:$P,12,FALSE()),0)</f>
        <v>0</v>
      </c>
      <c r="H152" s="40">
        <f>+F152-G152</f>
        <v>0</v>
      </c>
      <c r="I152" s="39"/>
      <c r="J152" s="39"/>
      <c r="K152" s="39"/>
      <c r="L152" s="39"/>
      <c r="M152" s="39"/>
      <c r="N152" s="39"/>
      <c r="O152" s="38">
        <f>IFERROR(VLOOKUP("14_"&amp;A152,SyS!$B:$P,10,FALSE()),0)</f>
        <v>0</v>
      </c>
      <c r="P152" s="39">
        <f>IFERROR(VLOOKUP("14_"&amp;A152,SyS!$B:$P,12,FALSE()),0)</f>
        <v>0</v>
      </c>
      <c r="Q152" s="40">
        <f>+O152-P152</f>
        <v>0</v>
      </c>
      <c r="R152" s="38">
        <f>IFERROR(VLOOKUP("15_"&amp;A152,SyS!$B:$P,10,FALSE()),0)</f>
        <v>0</v>
      </c>
      <c r="S152" s="39">
        <f>IFERROR(VLOOKUP("15_"&amp;A152,SyS!$B:$P,12,FALSE()),0)</f>
        <v>0</v>
      </c>
      <c r="T152" s="40">
        <f>+R152-S152</f>
        <v>0</v>
      </c>
      <c r="U152" s="38">
        <f>IFERROR(VLOOKUP("16_"&amp;A152,SyS!$B:$P,10,FALSE()),0)</f>
        <v>0</v>
      </c>
      <c r="V152" s="39">
        <f>IFERROR(VLOOKUP("16_"&amp;A152,SyS!$B:$P,12,FALSE()),0)</f>
        <v>0</v>
      </c>
      <c r="W152" s="40">
        <f>+U152-V152</f>
        <v>0</v>
      </c>
      <c r="X152" s="38">
        <f>IFERROR(VLOOKUP("13_"&amp;A152,SyS!$B:$P,10,FALSE()),0)</f>
        <v>0</v>
      </c>
      <c r="Y152" s="39">
        <f>IFERROR(VLOOKUP("13_"&amp;A152,SyS!$B:$P,12,FALSE()),0)</f>
        <v>0</v>
      </c>
      <c r="Z152" s="40">
        <f>+X152-Y152</f>
        <v>0</v>
      </c>
      <c r="AA152" s="38">
        <f>IFERROR(VLOOKUP("17_"&amp;A152,SyS!$B:$P,10,FALSE()),0)</f>
        <v>0</v>
      </c>
      <c r="AB152" s="39">
        <f>IFERROR(VLOOKUP("17_"&amp;A152,SyS!$B:$P,12,FALSE()),0)</f>
        <v>0</v>
      </c>
      <c r="AC152" s="40">
        <f>+AA152-AB152</f>
        <v>0</v>
      </c>
      <c r="AD152" s="39"/>
      <c r="AE152" s="39"/>
      <c r="AF152" s="39"/>
      <c r="AG152" s="39">
        <f>IFERROR(VLOOKUP("19_"&amp;A152,SyS!$B:$P,10,FALSE()),0)</f>
        <v>0</v>
      </c>
      <c r="AH152" s="39">
        <f>IFERROR(VLOOKUP("19_"&amp;A152,SyS!$B:$P,12,FALSE()),0)</f>
        <v>0</v>
      </c>
      <c r="AI152" s="39">
        <f>+AG152-AH152</f>
        <v>0</v>
      </c>
      <c r="AJ152" s="39"/>
      <c r="AK152" s="39"/>
      <c r="AL152" s="39"/>
      <c r="AM152" s="38">
        <f>IFERROR(VLOOKUP("23_"&amp;A152,SyS!$B:$P,10,FALSE()),0)</f>
        <v>0</v>
      </c>
      <c r="AN152" s="39">
        <f>IFERROR(VLOOKUP("23_"&amp;A152,SyS!$B:$P,12,FALSE()),0)</f>
        <v>0</v>
      </c>
      <c r="AO152" s="40">
        <f>+AM152-AN152</f>
        <v>0</v>
      </c>
      <c r="AP152" s="39"/>
      <c r="AQ152" s="39"/>
      <c r="AR152" s="39"/>
      <c r="AS152" s="39"/>
      <c r="AT152" s="39"/>
      <c r="AU152" s="39"/>
      <c r="AV152" s="39"/>
      <c r="AW152" s="39"/>
      <c r="AX152" s="39"/>
      <c r="AY152" s="39"/>
      <c r="AZ152" s="39"/>
      <c r="BA152" s="39"/>
      <c r="BB152" s="39"/>
      <c r="BC152" s="39"/>
      <c r="BD152" s="39"/>
      <c r="BE152" s="39"/>
      <c r="BF152" s="39"/>
      <c r="BG152" s="39"/>
      <c r="BH152" s="39"/>
      <c r="BI152" s="39"/>
      <c r="BJ152" s="39"/>
      <c r="BK152" s="39">
        <f>IFERROR(VLOOKUP("29_"&amp;A152,SyS!$B:$P,10,FALSE()),0)</f>
        <v>0</v>
      </c>
      <c r="BL152" s="39">
        <f>IFERROR(VLOOKUP("29_"&amp;A152,SyS!$B:$P,12,FALSE()),0)</f>
        <v>0</v>
      </c>
      <c r="BM152" s="39">
        <f>+BK152-BL152</f>
        <v>0</v>
      </c>
      <c r="BN152" s="38">
        <f>IFERROR(VLOOKUP("30_"&amp;A152,SyS!$B:$P,10,FALSE()),0)</f>
        <v>0</v>
      </c>
      <c r="BO152" s="39">
        <f>IFERROR(VLOOKUP("30_"&amp;A152,SyS!$B:$P,12,FALSE()),0)</f>
        <v>0</v>
      </c>
      <c r="BP152" s="40">
        <f>+BN152-BO152</f>
        <v>0</v>
      </c>
      <c r="BQ152" s="45">
        <f>+E152+H152+K152+Q152+T152+W152+Z152+AC152+AF152+AI152+AL152+AO152+AR152+AU152+AX152+BA152+BD152+BG152+BJ152+BM152+BP152</f>
        <v>0</v>
      </c>
    </row>
    <row r="153" ht="11.25" customHeight="1" spans="1:69" x14ac:dyDescent="0.25">
      <c r="A153" s="44">
        <v>425500000</v>
      </c>
      <c r="B153" s="44" t="s">
        <v>382</v>
      </c>
      <c r="C153" s="38">
        <f>IFERROR(VLOOKUP("1_"&amp;A153,SyS!$B:$P,10,FALSE()),0)</f>
        <v>0</v>
      </c>
      <c r="D153" s="39">
        <f>IFERROR(VLOOKUP("1_"&amp;A153,SyS!$B:$P,12,FALSE()),0)</f>
        <v>0</v>
      </c>
      <c r="E153" s="39">
        <f>+C153-D153</f>
        <v>0</v>
      </c>
      <c r="F153" s="38">
        <f>IFERROR(VLOOKUP("2_"&amp;A153,SyS!$B:$P,10,FALSE()),0)</f>
        <v>0</v>
      </c>
      <c r="G153" s="39">
        <f>IFERROR(VLOOKUP("2_"&amp;A153,SyS!$B:$P,12,FALSE()),0)</f>
        <v>0</v>
      </c>
      <c r="H153" s="40">
        <f>+F153-G153</f>
        <v>0</v>
      </c>
      <c r="I153" s="39"/>
      <c r="J153" s="39"/>
      <c r="K153" s="39"/>
      <c r="L153" s="39"/>
      <c r="M153" s="39"/>
      <c r="N153" s="39"/>
      <c r="O153" s="38">
        <f>IFERROR(VLOOKUP("14_"&amp;A153,SyS!$B:$P,10,FALSE()),0)</f>
        <v>0</v>
      </c>
      <c r="P153" s="39">
        <f>IFERROR(VLOOKUP("14_"&amp;A153,SyS!$B:$P,12,FALSE()),0)</f>
        <v>0</v>
      </c>
      <c r="Q153" s="40">
        <f>+O153-P153</f>
        <v>0</v>
      </c>
      <c r="R153" s="38">
        <f>IFERROR(VLOOKUP("15_"&amp;A153,SyS!$B:$P,10,FALSE()),0)</f>
        <v>0</v>
      </c>
      <c r="S153" s="39">
        <f>IFERROR(VLOOKUP("15_"&amp;A153,SyS!$B:$P,12,FALSE()),0)</f>
        <v>0</v>
      </c>
      <c r="T153" s="40">
        <f>+R153-S153</f>
        <v>0</v>
      </c>
      <c r="U153" s="38">
        <f>IFERROR(VLOOKUP("16_"&amp;A153,SyS!$B:$P,10,FALSE()),0)</f>
        <v>0</v>
      </c>
      <c r="V153" s="39">
        <f>IFERROR(VLOOKUP("16_"&amp;A153,SyS!$B:$P,12,FALSE()),0)</f>
        <v>0</v>
      </c>
      <c r="W153" s="40">
        <f>+U153-V153</f>
        <v>0</v>
      </c>
      <c r="X153" s="38">
        <f>IFERROR(VLOOKUP("13_"&amp;A153,SyS!$B:$P,10,FALSE()),0)</f>
        <v>0</v>
      </c>
      <c r="Y153" s="39">
        <f>IFERROR(VLOOKUP("13_"&amp;A153,SyS!$B:$P,12,FALSE()),0)</f>
        <v>0</v>
      </c>
      <c r="Z153" s="40">
        <f>+X153-Y153</f>
        <v>0</v>
      </c>
      <c r="AA153" s="38">
        <f>IFERROR(VLOOKUP("17_"&amp;A153,SyS!$B:$P,10,FALSE()),0)</f>
        <v>0</v>
      </c>
      <c r="AB153" s="39">
        <f>IFERROR(VLOOKUP("17_"&amp;A153,SyS!$B:$P,12,FALSE()),0)</f>
        <v>0</v>
      </c>
      <c r="AC153" s="40">
        <f>+AA153-AB153</f>
        <v>0</v>
      </c>
      <c r="AD153" s="39"/>
      <c r="AE153" s="39"/>
      <c r="AF153" s="39"/>
      <c r="AG153" s="39">
        <f>IFERROR(VLOOKUP("19_"&amp;A153,SyS!$B:$P,10,FALSE()),0)</f>
        <v>0</v>
      </c>
      <c r="AH153" s="39">
        <f>IFERROR(VLOOKUP("19_"&amp;A153,SyS!$B:$P,12,FALSE()),0)</f>
        <v>0</v>
      </c>
      <c r="AI153" s="39">
        <f>+AG153-AH153</f>
        <v>0</v>
      </c>
      <c r="AJ153" s="39"/>
      <c r="AK153" s="39"/>
      <c r="AL153" s="39"/>
      <c r="AM153" s="38">
        <f>IFERROR(VLOOKUP("23_"&amp;A153,SyS!$B:$P,10,FALSE()),0)</f>
        <v>0</v>
      </c>
      <c r="AN153" s="39">
        <f>IFERROR(VLOOKUP("23_"&amp;A153,SyS!$B:$P,12,FALSE()),0)</f>
        <v>0</v>
      </c>
      <c r="AO153" s="40">
        <f>+AM153-AN153</f>
        <v>0</v>
      </c>
      <c r="AP153" s="39"/>
      <c r="AQ153" s="39"/>
      <c r="AR153" s="39"/>
      <c r="AS153" s="39"/>
      <c r="AT153" s="39"/>
      <c r="AU153" s="39"/>
      <c r="AV153" s="39"/>
      <c r="AW153" s="39"/>
      <c r="AX153" s="39"/>
      <c r="AY153" s="39"/>
      <c r="AZ153" s="39"/>
      <c r="BA153" s="39"/>
      <c r="BB153" s="39"/>
      <c r="BC153" s="39"/>
      <c r="BD153" s="39"/>
      <c r="BE153" s="39"/>
      <c r="BF153" s="39"/>
      <c r="BG153" s="39"/>
      <c r="BH153" s="39"/>
      <c r="BI153" s="39"/>
      <c r="BJ153" s="39"/>
      <c r="BK153" s="39">
        <f>IFERROR(VLOOKUP("29_"&amp;A153,SyS!$B:$P,10,FALSE()),0)</f>
        <v>0</v>
      </c>
      <c r="BL153" s="39">
        <f>IFERROR(VLOOKUP("29_"&amp;A153,SyS!$B:$P,12,FALSE()),0)</f>
        <v>0</v>
      </c>
      <c r="BM153" s="39">
        <f>+BK153-BL153</f>
        <v>0</v>
      </c>
      <c r="BN153" s="38">
        <f>IFERROR(VLOOKUP("30_"&amp;A153,SyS!$B:$P,10,FALSE()),0)</f>
        <v>0</v>
      </c>
      <c r="BO153" s="39">
        <f>IFERROR(VLOOKUP("30_"&amp;A153,SyS!$B:$P,12,FALSE()),0)</f>
        <v>0</v>
      </c>
      <c r="BP153" s="40">
        <f>+BN153-BO153</f>
        <v>0</v>
      </c>
      <c r="BQ153" s="45">
        <f>+E153+H153+K153+Q153+T153+W153+Z153+AC153+AF153+AI153+AL153+AO153+AR153+AU153+AX153+BA153+BD153+BG153+BJ153+BM153+BP153</f>
        <v>0</v>
      </c>
    </row>
    <row r="154" ht="11.25" customHeight="1" spans="1:69" x14ac:dyDescent="0.25">
      <c r="A154" s="44">
        <v>425600000</v>
      </c>
      <c r="B154" s="44" t="s">
        <v>383</v>
      </c>
      <c r="C154" s="38">
        <f>IFERROR(VLOOKUP("1_"&amp;A154,SyS!$B:$P,10,FALSE()),0)</f>
        <v>0</v>
      </c>
      <c r="D154" s="39">
        <f>IFERROR(VLOOKUP("1_"&amp;A154,SyS!$B:$P,12,FALSE()),0)</f>
        <v>0</v>
      </c>
      <c r="E154" s="39">
        <f>+C154-D154</f>
        <v>0</v>
      </c>
      <c r="F154" s="38">
        <f>IFERROR(VLOOKUP("2_"&amp;A154,SyS!$B:$P,10,FALSE()),0)</f>
        <v>0</v>
      </c>
      <c r="G154" s="39">
        <f>IFERROR(VLOOKUP("2_"&amp;A154,SyS!$B:$P,12,FALSE()),0)</f>
        <v>0</v>
      </c>
      <c r="H154" s="40">
        <f>+F154-G154</f>
        <v>0</v>
      </c>
      <c r="I154" s="39"/>
      <c r="J154" s="39"/>
      <c r="K154" s="39"/>
      <c r="L154" s="39"/>
      <c r="M154" s="39"/>
      <c r="N154" s="39"/>
      <c r="O154" s="38">
        <f>IFERROR(VLOOKUP("14_"&amp;A154,SyS!$B:$P,10,FALSE()),0)</f>
        <v>0</v>
      </c>
      <c r="P154" s="39">
        <f>IFERROR(VLOOKUP("14_"&amp;A154,SyS!$B:$P,12,FALSE()),0)</f>
        <v>0</v>
      </c>
      <c r="Q154" s="40">
        <f>+O154-P154</f>
        <v>0</v>
      </c>
      <c r="R154" s="38">
        <f>IFERROR(VLOOKUP("15_"&amp;A154,SyS!$B:$P,10,FALSE()),0)</f>
        <v>0</v>
      </c>
      <c r="S154" s="39">
        <f>IFERROR(VLOOKUP("15_"&amp;A154,SyS!$B:$P,12,FALSE()),0)</f>
        <v>0</v>
      </c>
      <c r="T154" s="40">
        <f>+R154-S154</f>
        <v>0</v>
      </c>
      <c r="U154" s="38">
        <f>IFERROR(VLOOKUP("16_"&amp;A154,SyS!$B:$P,10,FALSE()),0)</f>
        <v>0</v>
      </c>
      <c r="V154" s="39">
        <f>IFERROR(VLOOKUP("16_"&amp;A154,SyS!$B:$P,12,FALSE()),0)</f>
        <v>0</v>
      </c>
      <c r="W154" s="40">
        <f>+U154-V154</f>
        <v>0</v>
      </c>
      <c r="X154" s="38">
        <f>IFERROR(VLOOKUP("13_"&amp;A154,SyS!$B:$P,10,FALSE()),0)</f>
        <v>0</v>
      </c>
      <c r="Y154" s="39">
        <f>IFERROR(VLOOKUP("13_"&amp;A154,SyS!$B:$P,12,FALSE()),0)</f>
        <v>0</v>
      </c>
      <c r="Z154" s="40">
        <f>+X154-Y154</f>
        <v>0</v>
      </c>
      <c r="AA154" s="38">
        <f>IFERROR(VLOOKUP("17_"&amp;A154,SyS!$B:$P,10,FALSE()),0)</f>
        <v>0</v>
      </c>
      <c r="AB154" s="39">
        <f>IFERROR(VLOOKUP("17_"&amp;A154,SyS!$B:$P,12,FALSE()),0)</f>
        <v>0</v>
      </c>
      <c r="AC154" s="40">
        <f>+AA154-AB154</f>
        <v>0</v>
      </c>
      <c r="AD154" s="39"/>
      <c r="AE154" s="39"/>
      <c r="AF154" s="39"/>
      <c r="AG154" s="39">
        <f>IFERROR(VLOOKUP("19_"&amp;A154,SyS!$B:$P,10,FALSE()),0)</f>
        <v>0</v>
      </c>
      <c r="AH154" s="39">
        <f>IFERROR(VLOOKUP("19_"&amp;A154,SyS!$B:$P,12,FALSE()),0)</f>
        <v>0</v>
      </c>
      <c r="AI154" s="39">
        <f>+AG154-AH154</f>
        <v>0</v>
      </c>
      <c r="AJ154" s="39"/>
      <c r="AK154" s="39"/>
      <c r="AL154" s="39"/>
      <c r="AM154" s="38">
        <f>IFERROR(VLOOKUP("23_"&amp;A154,SyS!$B:$P,10,FALSE()),0)</f>
        <v>0</v>
      </c>
      <c r="AN154" s="39">
        <f>IFERROR(VLOOKUP("23_"&amp;A154,SyS!$B:$P,12,FALSE()),0)</f>
        <v>0</v>
      </c>
      <c r="AO154" s="40">
        <f>+AM154-AN154</f>
        <v>0</v>
      </c>
      <c r="AP154" s="39"/>
      <c r="AQ154" s="39"/>
      <c r="AR154" s="39"/>
      <c r="AS154" s="39"/>
      <c r="AT154" s="39"/>
      <c r="AU154" s="39"/>
      <c r="AV154" s="39"/>
      <c r="AW154" s="39"/>
      <c r="AX154" s="39"/>
      <c r="AY154" s="39"/>
      <c r="AZ154" s="39"/>
      <c r="BA154" s="39"/>
      <c r="BB154" s="39"/>
      <c r="BC154" s="39"/>
      <c r="BD154" s="39"/>
      <c r="BE154" s="39"/>
      <c r="BF154" s="39"/>
      <c r="BG154" s="39"/>
      <c r="BH154" s="39"/>
      <c r="BI154" s="39"/>
      <c r="BJ154" s="39"/>
      <c r="BK154" s="39">
        <f>IFERROR(VLOOKUP("29_"&amp;A154,SyS!$B:$P,10,FALSE()),0)</f>
        <v>0</v>
      </c>
      <c r="BL154" s="39">
        <f>IFERROR(VLOOKUP("29_"&amp;A154,SyS!$B:$P,12,FALSE()),0)</f>
        <v>0</v>
      </c>
      <c r="BM154" s="39">
        <f>+BK154-BL154</f>
        <v>0</v>
      </c>
      <c r="BN154" s="38">
        <f>IFERROR(VLOOKUP("30_"&amp;A154,SyS!$B:$P,10,FALSE()),0)</f>
        <v>0</v>
      </c>
      <c r="BO154" s="39">
        <f>IFERROR(VLOOKUP("30_"&amp;A154,SyS!$B:$P,12,FALSE()),0)</f>
        <v>0</v>
      </c>
      <c r="BP154" s="40">
        <f>+BN154-BO154</f>
        <v>0</v>
      </c>
      <c r="BQ154" s="45">
        <f>+E154+H154+K154+Q154+T154+W154+Z154+AC154+AF154+AI154+AL154+AO154+AR154+AU154+AX154+BA154+BD154+BG154+BJ154+BM154+BP154</f>
        <v>0</v>
      </c>
    </row>
    <row r="155" ht="11.25" customHeight="1" spans="1:69" x14ac:dyDescent="0.25">
      <c r="A155" s="44">
        <v>425820000</v>
      </c>
      <c r="B155" s="44" t="s">
        <v>384</v>
      </c>
      <c r="C155" s="38">
        <f>IFERROR(VLOOKUP("1_"&amp;A155,SyS!$B:$P,10,FALSE()),0)</f>
        <v>0</v>
      </c>
      <c r="D155" s="39">
        <f>IFERROR(VLOOKUP("1_"&amp;A155,SyS!$B:$P,12,FALSE()),0)</f>
        <v>0</v>
      </c>
      <c r="E155" s="39">
        <f>+C155-D155</f>
        <v>0</v>
      </c>
      <c r="F155" s="38">
        <f>IFERROR(VLOOKUP("2_"&amp;A155,SyS!$B:$P,10,FALSE()),0)</f>
        <v>0</v>
      </c>
      <c r="G155" s="39">
        <f>IFERROR(VLOOKUP("2_"&amp;A155,SyS!$B:$P,12,FALSE()),0)</f>
        <v>0</v>
      </c>
      <c r="H155" s="40">
        <f>+F155-G155</f>
        <v>0</v>
      </c>
      <c r="I155" s="39"/>
      <c r="J155" s="39"/>
      <c r="K155" s="39"/>
      <c r="L155" s="39"/>
      <c r="M155" s="39"/>
      <c r="N155" s="39"/>
      <c r="O155" s="38">
        <f>IFERROR(VLOOKUP("14_"&amp;A155,SyS!$B:$P,10,FALSE()),0)</f>
        <v>0</v>
      </c>
      <c r="P155" s="39">
        <f>IFERROR(VLOOKUP("14_"&amp;A155,SyS!$B:$P,12,FALSE()),0)</f>
        <v>0</v>
      </c>
      <c r="Q155" s="40">
        <f>+O155-P155</f>
        <v>0</v>
      </c>
      <c r="R155" s="38">
        <f>IFERROR(VLOOKUP("15_"&amp;A155,SyS!$B:$P,10,FALSE()),0)</f>
        <v>0</v>
      </c>
      <c r="S155" s="39">
        <f>IFERROR(VLOOKUP("15_"&amp;A155,SyS!$B:$P,12,FALSE()),0)</f>
        <v>0</v>
      </c>
      <c r="T155" s="40">
        <f>+R155-S155</f>
        <v>0</v>
      </c>
      <c r="U155" s="38">
        <f>IFERROR(VLOOKUP("16_"&amp;A155,SyS!$B:$P,10,FALSE()),0)</f>
        <v>0</v>
      </c>
      <c r="V155" s="39">
        <f>IFERROR(VLOOKUP("16_"&amp;A155,SyS!$B:$P,12,FALSE()),0)</f>
        <v>0</v>
      </c>
      <c r="W155" s="40">
        <f>+U155-V155</f>
        <v>0</v>
      </c>
      <c r="X155" s="38">
        <f>IFERROR(VLOOKUP("13_"&amp;A155,SyS!$B:$P,10,FALSE()),0)</f>
        <v>0</v>
      </c>
      <c r="Y155" s="39">
        <f>IFERROR(VLOOKUP("13_"&amp;A155,SyS!$B:$P,12,FALSE()),0)</f>
        <v>0</v>
      </c>
      <c r="Z155" s="40">
        <f>+X155-Y155</f>
        <v>0</v>
      </c>
      <c r="AA155" s="38">
        <f>IFERROR(VLOOKUP("17_"&amp;A155,SyS!$B:$P,10,FALSE()),0)</f>
        <v>0</v>
      </c>
      <c r="AB155" s="39">
        <f>IFERROR(VLOOKUP("17_"&amp;A155,SyS!$B:$P,12,FALSE()),0)</f>
        <v>0</v>
      </c>
      <c r="AC155" s="40">
        <f>+AA155-AB155</f>
        <v>0</v>
      </c>
      <c r="AD155" s="39"/>
      <c r="AE155" s="39"/>
      <c r="AF155" s="39"/>
      <c r="AG155" s="39">
        <f>IFERROR(VLOOKUP("19_"&amp;A155,SyS!$B:$P,10,FALSE()),0)</f>
        <v>0</v>
      </c>
      <c r="AH155" s="39">
        <f>IFERROR(VLOOKUP("19_"&amp;A155,SyS!$B:$P,12,FALSE()),0)</f>
        <v>0</v>
      </c>
      <c r="AI155" s="39">
        <f>+AG155-AH155</f>
        <v>0</v>
      </c>
      <c r="AJ155" s="39"/>
      <c r="AK155" s="39"/>
      <c r="AL155" s="39"/>
      <c r="AM155" s="38">
        <f>IFERROR(VLOOKUP("23_"&amp;A155,SyS!$B:$P,10,FALSE()),0)</f>
        <v>0</v>
      </c>
      <c r="AN155" s="39">
        <f>IFERROR(VLOOKUP("23_"&amp;A155,SyS!$B:$P,12,FALSE()),0)</f>
        <v>0</v>
      </c>
      <c r="AO155" s="40">
        <f>+AM155-AN155</f>
        <v>0</v>
      </c>
      <c r="AP155" s="39"/>
      <c r="AQ155" s="39"/>
      <c r="AR155" s="39"/>
      <c r="AS155" s="39"/>
      <c r="AT155" s="39"/>
      <c r="AU155" s="39"/>
      <c r="AV155" s="39"/>
      <c r="AW155" s="39"/>
      <c r="AX155" s="39"/>
      <c r="AY155" s="39"/>
      <c r="AZ155" s="39"/>
      <c r="BA155" s="39"/>
      <c r="BB155" s="39"/>
      <c r="BC155" s="39"/>
      <c r="BD155" s="39"/>
      <c r="BE155" s="39"/>
      <c r="BF155" s="39"/>
      <c r="BG155" s="39"/>
      <c r="BH155" s="39"/>
      <c r="BI155" s="39"/>
      <c r="BJ155" s="39"/>
      <c r="BK155" s="39">
        <f>IFERROR(VLOOKUP("29_"&amp;A155,SyS!$B:$P,10,FALSE()),0)</f>
        <v>0</v>
      </c>
      <c r="BL155" s="39">
        <f>IFERROR(VLOOKUP("29_"&amp;A155,SyS!$B:$P,12,FALSE()),0)</f>
        <v>0</v>
      </c>
      <c r="BM155" s="39">
        <f>+BK155-BL155</f>
        <v>0</v>
      </c>
      <c r="BN155" s="38">
        <f>IFERROR(VLOOKUP("30_"&amp;A155,SyS!$B:$P,10,FALSE()),0)</f>
        <v>0</v>
      </c>
      <c r="BO155" s="39">
        <f>IFERROR(VLOOKUP("30_"&amp;A155,SyS!$B:$P,12,FALSE()),0)</f>
        <v>0</v>
      </c>
      <c r="BP155" s="40">
        <f>+BN155-BO155</f>
        <v>0</v>
      </c>
      <c r="BQ155" s="45">
        <f>+E155+H155+K155+Q155+T155+W155+Z155+AC155+AF155+AI155+AL155+AO155+AR155+AU155+AX155+BA155+BD155+BG155+BJ155+BM155+BP155</f>
        <v>0</v>
      </c>
    </row>
    <row r="156" ht="11.25" customHeight="1" spans="1:69" x14ac:dyDescent="0.25">
      <c r="A156" s="44">
        <v>425840000</v>
      </c>
      <c r="B156" s="44" t="s">
        <v>385</v>
      </c>
      <c r="C156" s="38">
        <f>IFERROR(VLOOKUP("1_"&amp;A156,SyS!$B:$P,10,FALSE()),0)</f>
        <v>0</v>
      </c>
      <c r="D156" s="39">
        <f>IFERROR(VLOOKUP("1_"&amp;A156,SyS!$B:$P,12,FALSE()),0)</f>
        <v>0</v>
      </c>
      <c r="E156" s="39">
        <f>+C156-D156</f>
        <v>0</v>
      </c>
      <c r="F156" s="38">
        <f>IFERROR(VLOOKUP("2_"&amp;A156,SyS!$B:$P,10,FALSE()),0)</f>
        <v>0</v>
      </c>
      <c r="G156" s="39">
        <f>IFERROR(VLOOKUP("2_"&amp;A156,SyS!$B:$P,12,FALSE()),0)</f>
        <v>0</v>
      </c>
      <c r="H156" s="40">
        <f>+F156-G156</f>
        <v>0</v>
      </c>
      <c r="I156" s="39"/>
      <c r="J156" s="39"/>
      <c r="K156" s="39"/>
      <c r="L156" s="39"/>
      <c r="M156" s="39"/>
      <c r="N156" s="39"/>
      <c r="O156" s="38">
        <f>IFERROR(VLOOKUP("14_"&amp;A156,SyS!$B:$P,10,FALSE()),0)</f>
        <v>0</v>
      </c>
      <c r="P156" s="39">
        <f>IFERROR(VLOOKUP("14_"&amp;A156,SyS!$B:$P,12,FALSE()),0)</f>
        <v>0</v>
      </c>
      <c r="Q156" s="40">
        <f>+O156-P156</f>
        <v>0</v>
      </c>
      <c r="R156" s="38">
        <f>IFERROR(VLOOKUP("15_"&amp;A156,SyS!$B:$P,10,FALSE()),0)</f>
        <v>0</v>
      </c>
      <c r="S156" s="39">
        <f>IFERROR(VLOOKUP("15_"&amp;A156,SyS!$B:$P,12,FALSE()),0)</f>
        <v>0</v>
      </c>
      <c r="T156" s="40">
        <f>+R156-S156</f>
        <v>0</v>
      </c>
      <c r="U156" s="38">
        <f>IFERROR(VLOOKUP("16_"&amp;A156,SyS!$B:$P,10,FALSE()),0)</f>
        <v>0</v>
      </c>
      <c r="V156" s="39">
        <f>IFERROR(VLOOKUP("16_"&amp;A156,SyS!$B:$P,12,FALSE()),0)</f>
        <v>0</v>
      </c>
      <c r="W156" s="40">
        <f>+U156-V156</f>
        <v>0</v>
      </c>
      <c r="X156" s="38">
        <f>IFERROR(VLOOKUP("13_"&amp;A156,SyS!$B:$P,10,FALSE()),0)</f>
        <v>0</v>
      </c>
      <c r="Y156" s="39">
        <f>IFERROR(VLOOKUP("13_"&amp;A156,SyS!$B:$P,12,FALSE()),0)</f>
        <v>0</v>
      </c>
      <c r="Z156" s="40">
        <f>+X156-Y156</f>
        <v>0</v>
      </c>
      <c r="AA156" s="38">
        <f>IFERROR(VLOOKUP("17_"&amp;A156,SyS!$B:$P,10,FALSE()),0)</f>
        <v>0</v>
      </c>
      <c r="AB156" s="39">
        <f>IFERROR(VLOOKUP("17_"&amp;A156,SyS!$B:$P,12,FALSE()),0)</f>
        <v>0</v>
      </c>
      <c r="AC156" s="40">
        <f>+AA156-AB156</f>
        <v>0</v>
      </c>
      <c r="AD156" s="39"/>
      <c r="AE156" s="39"/>
      <c r="AF156" s="39"/>
      <c r="AG156" s="39">
        <f>IFERROR(VLOOKUP("19_"&amp;A156,SyS!$B:$P,10,FALSE()),0)</f>
        <v>0</v>
      </c>
      <c r="AH156" s="39">
        <f>IFERROR(VLOOKUP("19_"&amp;A156,SyS!$B:$P,12,FALSE()),0)</f>
        <v>0</v>
      </c>
      <c r="AI156" s="39">
        <f>+AG156-AH156</f>
        <v>0</v>
      </c>
      <c r="AJ156" s="39"/>
      <c r="AK156" s="39"/>
      <c r="AL156" s="39"/>
      <c r="AM156" s="38">
        <f>IFERROR(VLOOKUP("23_"&amp;A156,SyS!$B:$P,10,FALSE()),0)</f>
        <v>0</v>
      </c>
      <c r="AN156" s="39">
        <f>IFERROR(VLOOKUP("23_"&amp;A156,SyS!$B:$P,12,FALSE()),0)</f>
        <v>0</v>
      </c>
      <c r="AO156" s="40">
        <f>+AM156-AN156</f>
        <v>0</v>
      </c>
      <c r="AP156" s="39"/>
      <c r="AQ156" s="39"/>
      <c r="AR156" s="39"/>
      <c r="AS156" s="39"/>
      <c r="AT156" s="39"/>
      <c r="AU156" s="39"/>
      <c r="AV156" s="39"/>
      <c r="AW156" s="39"/>
      <c r="AX156" s="39"/>
      <c r="AY156" s="39"/>
      <c r="AZ156" s="39"/>
      <c r="BA156" s="39"/>
      <c r="BB156" s="39"/>
      <c r="BC156" s="39"/>
      <c r="BD156" s="39"/>
      <c r="BE156" s="39"/>
      <c r="BF156" s="39"/>
      <c r="BG156" s="39"/>
      <c r="BH156" s="39"/>
      <c r="BI156" s="39"/>
      <c r="BJ156" s="39"/>
      <c r="BK156" s="39">
        <f>IFERROR(VLOOKUP("29_"&amp;A156,SyS!$B:$P,10,FALSE()),0)</f>
        <v>0</v>
      </c>
      <c r="BL156" s="39">
        <f>IFERROR(VLOOKUP("29_"&amp;A156,SyS!$B:$P,12,FALSE()),0)</f>
        <v>0</v>
      </c>
      <c r="BM156" s="39">
        <f>+BK156-BL156</f>
        <v>0</v>
      </c>
      <c r="BN156" s="38">
        <f>IFERROR(VLOOKUP("30_"&amp;A156,SyS!$B:$P,10,FALSE()),0)</f>
        <v>0</v>
      </c>
      <c r="BO156" s="39">
        <f>IFERROR(VLOOKUP("30_"&amp;A156,SyS!$B:$P,12,FALSE()),0)</f>
        <v>0</v>
      </c>
      <c r="BP156" s="40">
        <f>+BN156-BO156</f>
        <v>0</v>
      </c>
      <c r="BQ156" s="45">
        <f>+E156+H156+K156+Q156+T156+W156+Z156+AC156+AF156+AI156+AL156+AO156+AR156+AU156+AX156+BA156+BD156+BG156+BJ156+BM156+BP156</f>
        <v>0</v>
      </c>
    </row>
    <row r="157" ht="11.25" customHeight="1" spans="1:69" x14ac:dyDescent="0.25">
      <c r="A157" s="44">
        <v>425700000</v>
      </c>
      <c r="B157" s="44" t="s">
        <v>386</v>
      </c>
      <c r="C157" s="38">
        <f>IFERROR(VLOOKUP("1_"&amp;A157,SyS!$B:$P,10,FALSE()),0)</f>
        <v>0</v>
      </c>
      <c r="D157" s="39">
        <f>IFERROR(VLOOKUP("1_"&amp;A157,SyS!$B:$P,12,FALSE()),0)</f>
        <v>0</v>
      </c>
      <c r="E157" s="39">
        <f>+C157-D157</f>
        <v>0</v>
      </c>
      <c r="F157" s="38">
        <f>IFERROR(VLOOKUP("2_"&amp;A157,SyS!$B:$P,10,FALSE()),0)</f>
        <v>64.7</v>
      </c>
      <c r="G157" s="39">
        <f>IFERROR(VLOOKUP("2_"&amp;A157,SyS!$B:$P,12,FALSE()),0)</f>
        <v>0</v>
      </c>
      <c r="H157" s="40">
        <f>+F157-G157</f>
        <v>64.7</v>
      </c>
      <c r="I157" s="39"/>
      <c r="J157" s="39"/>
      <c r="K157" s="39"/>
      <c r="L157" s="39"/>
      <c r="M157" s="39"/>
      <c r="N157" s="39"/>
      <c r="O157" s="38">
        <f>IFERROR(VLOOKUP("14_"&amp;A157,SyS!$B:$P,10,FALSE()),0)</f>
        <v>0</v>
      </c>
      <c r="P157" s="39">
        <f>IFERROR(VLOOKUP("14_"&amp;A157,SyS!$B:$P,12,FALSE()),0)</f>
        <v>0</v>
      </c>
      <c r="Q157" s="40">
        <f>+O157-P157</f>
        <v>0</v>
      </c>
      <c r="R157" s="38">
        <f>IFERROR(VLOOKUP("15_"&amp;A157,SyS!$B:$P,10,FALSE()),0)</f>
        <v>0</v>
      </c>
      <c r="S157" s="39">
        <f>IFERROR(VLOOKUP("15_"&amp;A157,SyS!$B:$P,12,FALSE()),0)</f>
        <v>0</v>
      </c>
      <c r="T157" s="40">
        <f>+R157-S157</f>
        <v>0</v>
      </c>
      <c r="U157" s="38">
        <f>IFERROR(VLOOKUP("16_"&amp;A157,SyS!$B:$P,10,FALSE()),0)</f>
        <v>0</v>
      </c>
      <c r="V157" s="39">
        <f>IFERROR(VLOOKUP("16_"&amp;A157,SyS!$B:$P,12,FALSE()),0)</f>
        <v>0</v>
      </c>
      <c r="W157" s="40">
        <f>+U157-V157</f>
        <v>0</v>
      </c>
      <c r="X157" s="38">
        <f>IFERROR(VLOOKUP("13_"&amp;A157,SyS!$B:$P,10,FALSE()),0)</f>
        <v>0</v>
      </c>
      <c r="Y157" s="39">
        <f>IFERROR(VLOOKUP("13_"&amp;A157,SyS!$B:$P,12,FALSE()),0)</f>
        <v>0</v>
      </c>
      <c r="Z157" s="40">
        <f>+X157-Y157</f>
        <v>0</v>
      </c>
      <c r="AA157" s="38">
        <f>IFERROR(VLOOKUP("17_"&amp;A157,SyS!$B:$P,10,FALSE()),0)</f>
        <v>0</v>
      </c>
      <c r="AB157" s="39">
        <f>IFERROR(VLOOKUP("17_"&amp;A157,SyS!$B:$P,12,FALSE()),0)</f>
        <v>0</v>
      </c>
      <c r="AC157" s="40">
        <f>+AA157-AB157</f>
        <v>0</v>
      </c>
      <c r="AD157" s="39"/>
      <c r="AE157" s="39"/>
      <c r="AF157" s="39"/>
      <c r="AG157" s="39">
        <f>IFERROR(VLOOKUP("19_"&amp;A157,SyS!$B:$P,10,FALSE()),0)</f>
        <v>0</v>
      </c>
      <c r="AH157" s="39">
        <f>IFERROR(VLOOKUP("19_"&amp;A157,SyS!$B:$P,12,FALSE()),0)</f>
        <v>0</v>
      </c>
      <c r="AI157" s="39">
        <f>+AG157-AH157</f>
        <v>0</v>
      </c>
      <c r="AJ157" s="39"/>
      <c r="AK157" s="39"/>
      <c r="AL157" s="39"/>
      <c r="AM157" s="38">
        <f>IFERROR(VLOOKUP("23_"&amp;A157,SyS!$B:$P,10,FALSE()),0)</f>
        <v>0</v>
      </c>
      <c r="AN157" s="39">
        <f>IFERROR(VLOOKUP("23_"&amp;A157,SyS!$B:$P,12,FALSE()),0)</f>
        <v>0</v>
      </c>
      <c r="AO157" s="40">
        <f>+AM157-AN157</f>
        <v>0</v>
      </c>
      <c r="AP157" s="39"/>
      <c r="AQ157" s="39"/>
      <c r="AR157" s="39"/>
      <c r="AS157" s="39"/>
      <c r="AT157" s="39"/>
      <c r="AU157" s="39"/>
      <c r="AV157" s="39"/>
      <c r="AW157" s="39"/>
      <c r="AX157" s="39"/>
      <c r="AY157" s="39"/>
      <c r="AZ157" s="39"/>
      <c r="BA157" s="39"/>
      <c r="BB157" s="39"/>
      <c r="BC157" s="39"/>
      <c r="BD157" s="39"/>
      <c r="BE157" s="39"/>
      <c r="BF157" s="39"/>
      <c r="BG157" s="39"/>
      <c r="BH157" s="39"/>
      <c r="BI157" s="39"/>
      <c r="BJ157" s="39"/>
      <c r="BK157" s="39">
        <f>IFERROR(VLOOKUP("29_"&amp;A157,SyS!$B:$P,10,FALSE()),0)</f>
        <v>0</v>
      </c>
      <c r="BL157" s="39">
        <f>IFERROR(VLOOKUP("29_"&amp;A157,SyS!$B:$P,12,FALSE()),0)</f>
        <v>0</v>
      </c>
      <c r="BM157" s="39">
        <f>+BK157-BL157</f>
        <v>0</v>
      </c>
      <c r="BN157" s="38">
        <f>IFERROR(VLOOKUP("30_"&amp;A157,SyS!$B:$P,10,FALSE()),0)</f>
        <v>0</v>
      </c>
      <c r="BO157" s="39">
        <f>IFERROR(VLOOKUP("30_"&amp;A157,SyS!$B:$P,12,FALSE()),0)</f>
        <v>0</v>
      </c>
      <c r="BP157" s="40">
        <f>+BN157-BO157</f>
        <v>0</v>
      </c>
      <c r="BQ157" s="45">
        <f>+E157+H157+K157+Q157+T157+W157+Z157+AC157+AF157+AI157+AL157+AO157+AR157+AU157+AX157+BA157+BD157+BG157+BJ157+BM157+BP157</f>
        <v>64.7</v>
      </c>
    </row>
    <row r="158" ht="11.25" customHeight="1" spans="1:69" x14ac:dyDescent="0.25">
      <c r="A158" s="44">
        <v>425800000</v>
      </c>
      <c r="B158" s="44" t="s">
        <v>387</v>
      </c>
      <c r="C158" s="38">
        <f>IFERROR(VLOOKUP("1_"&amp;A158,SyS!$B:$P,10,FALSE()),0)</f>
        <v>0</v>
      </c>
      <c r="D158" s="39">
        <f>IFERROR(VLOOKUP("1_"&amp;A158,SyS!$B:$P,12,FALSE()),0)</f>
        <v>0</v>
      </c>
      <c r="E158" s="39">
        <f>+C158-D158</f>
        <v>0</v>
      </c>
      <c r="F158" s="38">
        <f>IFERROR(VLOOKUP("2_"&amp;A158,SyS!$B:$P,10,FALSE()),0)</f>
        <v>0</v>
      </c>
      <c r="G158" s="39">
        <f>IFERROR(VLOOKUP("2_"&amp;A158,SyS!$B:$P,12,FALSE()),0)</f>
        <v>0</v>
      </c>
      <c r="H158" s="40">
        <f>+F158-G158</f>
        <v>0</v>
      </c>
      <c r="I158" s="39"/>
      <c r="J158" s="39"/>
      <c r="K158" s="39"/>
      <c r="L158" s="39"/>
      <c r="M158" s="39"/>
      <c r="N158" s="39"/>
      <c r="O158" s="38">
        <f>IFERROR(VLOOKUP("14_"&amp;A158,SyS!$B:$P,10,FALSE()),0)</f>
        <v>0</v>
      </c>
      <c r="P158" s="39">
        <f>IFERROR(VLOOKUP("14_"&amp;A158,SyS!$B:$P,12,FALSE()),0)</f>
        <v>0</v>
      </c>
      <c r="Q158" s="40">
        <f>+O158-P158</f>
        <v>0</v>
      </c>
      <c r="R158" s="38">
        <f>IFERROR(VLOOKUP("15_"&amp;A158,SyS!$B:$P,10,FALSE()),0)</f>
        <v>0</v>
      </c>
      <c r="S158" s="39">
        <f>IFERROR(VLOOKUP("15_"&amp;A158,SyS!$B:$P,12,FALSE()),0)</f>
        <v>0</v>
      </c>
      <c r="T158" s="40">
        <f>+R158-S158</f>
        <v>0</v>
      </c>
      <c r="U158" s="38">
        <f>IFERROR(VLOOKUP("16_"&amp;A158,SyS!$B:$P,10,FALSE()),0)</f>
        <v>0</v>
      </c>
      <c r="V158" s="39">
        <f>IFERROR(VLOOKUP("16_"&amp;A158,SyS!$B:$P,12,FALSE()),0)</f>
        <v>0</v>
      </c>
      <c r="W158" s="40">
        <f>+U158-V158</f>
        <v>0</v>
      </c>
      <c r="X158" s="38">
        <f>IFERROR(VLOOKUP("13_"&amp;A158,SyS!$B:$P,10,FALSE()),0)</f>
        <v>0</v>
      </c>
      <c r="Y158" s="39">
        <f>IFERROR(VLOOKUP("13_"&amp;A158,SyS!$B:$P,12,FALSE()),0)</f>
        <v>0</v>
      </c>
      <c r="Z158" s="40">
        <f>+X158-Y158</f>
        <v>0</v>
      </c>
      <c r="AA158" s="38">
        <f>IFERROR(VLOOKUP("17_"&amp;A158,SyS!$B:$P,10,FALSE()),0)</f>
        <v>0</v>
      </c>
      <c r="AB158" s="39">
        <f>IFERROR(VLOOKUP("17_"&amp;A158,SyS!$B:$P,12,FALSE()),0)</f>
        <v>0</v>
      </c>
      <c r="AC158" s="40">
        <f>+AA158-AB158</f>
        <v>0</v>
      </c>
      <c r="AD158" s="39"/>
      <c r="AE158" s="39"/>
      <c r="AF158" s="39"/>
      <c r="AG158" s="39">
        <f>IFERROR(VLOOKUP("19_"&amp;A158,SyS!$B:$P,10,FALSE()),0)</f>
        <v>0</v>
      </c>
      <c r="AH158" s="39">
        <f>IFERROR(VLOOKUP("19_"&amp;A158,SyS!$B:$P,12,FALSE()),0)</f>
        <v>0</v>
      </c>
      <c r="AI158" s="39">
        <f>+AG158-AH158</f>
        <v>0</v>
      </c>
      <c r="AJ158" s="39"/>
      <c r="AK158" s="39"/>
      <c r="AL158" s="39"/>
      <c r="AM158" s="38">
        <f>IFERROR(VLOOKUP("23_"&amp;A158,SyS!$B:$P,10,FALSE()),0)</f>
        <v>0</v>
      </c>
      <c r="AN158" s="39">
        <f>IFERROR(VLOOKUP("23_"&amp;A158,SyS!$B:$P,12,FALSE()),0)</f>
        <v>0</v>
      </c>
      <c r="AO158" s="40">
        <f>+AM158-AN158</f>
        <v>0</v>
      </c>
      <c r="AP158" s="39"/>
      <c r="AQ158" s="39"/>
      <c r="AR158" s="39"/>
      <c r="AS158" s="39"/>
      <c r="AT158" s="39"/>
      <c r="AU158" s="39"/>
      <c r="AV158" s="39"/>
      <c r="AW158" s="39"/>
      <c r="AX158" s="39"/>
      <c r="AY158" s="39"/>
      <c r="AZ158" s="39"/>
      <c r="BA158" s="39"/>
      <c r="BB158" s="39"/>
      <c r="BC158" s="39"/>
      <c r="BD158" s="39"/>
      <c r="BE158" s="39"/>
      <c r="BF158" s="39"/>
      <c r="BG158" s="39"/>
      <c r="BH158" s="39"/>
      <c r="BI158" s="39"/>
      <c r="BJ158" s="39"/>
      <c r="BK158" s="39">
        <f>IFERROR(VLOOKUP("29_"&amp;A158,SyS!$B:$P,10,FALSE()),0)</f>
        <v>0</v>
      </c>
      <c r="BL158" s="39">
        <f>IFERROR(VLOOKUP("29_"&amp;A158,SyS!$B:$P,12,FALSE()),0)</f>
        <v>0</v>
      </c>
      <c r="BM158" s="39">
        <f>+BK158-BL158</f>
        <v>0</v>
      </c>
      <c r="BN158" s="38">
        <f>IFERROR(VLOOKUP("30_"&amp;A158,SyS!$B:$P,10,FALSE()),0)</f>
        <v>0</v>
      </c>
      <c r="BO158" s="39">
        <f>IFERROR(VLOOKUP("30_"&amp;A158,SyS!$B:$P,12,FALSE()),0)</f>
        <v>0</v>
      </c>
      <c r="BP158" s="40">
        <f>+BN158-BO158</f>
        <v>0</v>
      </c>
      <c r="BQ158" s="45">
        <f>+E158+H158+K158+Q158+T158+W158+Z158+AC158+AF158+AI158+AL158+AO158+AR158+AU158+AX158+BA158+BD158+BG158+BJ158+BM158+BP158</f>
        <v>0</v>
      </c>
    </row>
    <row r="159" ht="11.25" customHeight="1" spans="1:69" x14ac:dyDescent="0.25">
      <c r="A159" s="44">
        <v>425900000</v>
      </c>
      <c r="B159" s="44" t="s">
        <v>388</v>
      </c>
      <c r="C159" s="38">
        <f>IFERROR(VLOOKUP("1_"&amp;A159,SyS!$B:$P,10,FALSE()),0)</f>
        <v>0</v>
      </c>
      <c r="D159" s="39">
        <f>IFERROR(VLOOKUP("1_"&amp;A159,SyS!$B:$P,12,FALSE()),0)</f>
        <v>0</v>
      </c>
      <c r="E159" s="39">
        <f>+C159-D159</f>
        <v>0</v>
      </c>
      <c r="F159" s="38">
        <f>IFERROR(VLOOKUP("2_"&amp;A159,SyS!$B:$P,10,FALSE()),0)</f>
        <v>0</v>
      </c>
      <c r="G159" s="39">
        <f>IFERROR(VLOOKUP("2_"&amp;A159,SyS!$B:$P,12,FALSE()),0)</f>
        <v>0</v>
      </c>
      <c r="H159" s="40">
        <f>+F159-G159</f>
        <v>0</v>
      </c>
      <c r="I159" s="39"/>
      <c r="J159" s="39"/>
      <c r="K159" s="39"/>
      <c r="L159" s="39"/>
      <c r="M159" s="39"/>
      <c r="N159" s="39"/>
      <c r="O159" s="38">
        <f>IFERROR(VLOOKUP("14_"&amp;A159,SyS!$B:$P,10,FALSE()),0)</f>
        <v>0</v>
      </c>
      <c r="P159" s="39">
        <f>IFERROR(VLOOKUP("14_"&amp;A159,SyS!$B:$P,12,FALSE()),0)</f>
        <v>0</v>
      </c>
      <c r="Q159" s="40">
        <f>+O159-P159</f>
        <v>0</v>
      </c>
      <c r="R159" s="38">
        <f>IFERROR(VLOOKUP("15_"&amp;A159,SyS!$B:$P,10,FALSE()),0)</f>
        <v>0</v>
      </c>
      <c r="S159" s="39">
        <f>IFERROR(VLOOKUP("15_"&amp;A159,SyS!$B:$P,12,FALSE()),0)</f>
        <v>0</v>
      </c>
      <c r="T159" s="40">
        <f>+R159-S159</f>
        <v>0</v>
      </c>
      <c r="U159" s="38">
        <f>IFERROR(VLOOKUP("16_"&amp;A159,SyS!$B:$P,10,FALSE()),0)</f>
        <v>0</v>
      </c>
      <c r="V159" s="39">
        <f>IFERROR(VLOOKUP("16_"&amp;A159,SyS!$B:$P,12,FALSE()),0)</f>
        <v>0</v>
      </c>
      <c r="W159" s="40">
        <f>+U159-V159</f>
        <v>0</v>
      </c>
      <c r="X159" s="38">
        <f>IFERROR(VLOOKUP("13_"&amp;A159,SyS!$B:$P,10,FALSE()),0)</f>
        <v>0</v>
      </c>
      <c r="Y159" s="39">
        <f>IFERROR(VLOOKUP("13_"&amp;A159,SyS!$B:$P,12,FALSE()),0)</f>
        <v>0</v>
      </c>
      <c r="Z159" s="40">
        <f>+X159-Y159</f>
        <v>0</v>
      </c>
      <c r="AA159" s="38">
        <f>IFERROR(VLOOKUP("17_"&amp;A159,SyS!$B:$P,10,FALSE()),0)</f>
        <v>0</v>
      </c>
      <c r="AB159" s="39">
        <f>IFERROR(VLOOKUP("17_"&amp;A159,SyS!$B:$P,12,FALSE()),0)</f>
        <v>0</v>
      </c>
      <c r="AC159" s="40">
        <f>+AA159-AB159</f>
        <v>0</v>
      </c>
      <c r="AD159" s="39"/>
      <c r="AE159" s="39"/>
      <c r="AF159" s="39"/>
      <c r="AG159" s="39">
        <f>IFERROR(VLOOKUP("19_"&amp;A159,SyS!$B:$P,10,FALSE()),0)</f>
        <v>0</v>
      </c>
      <c r="AH159" s="39">
        <f>IFERROR(VLOOKUP("19_"&amp;A159,SyS!$B:$P,12,FALSE()),0)</f>
        <v>0</v>
      </c>
      <c r="AI159" s="39">
        <f>+AG159-AH159</f>
        <v>0</v>
      </c>
      <c r="AJ159" s="39"/>
      <c r="AK159" s="39"/>
      <c r="AL159" s="39"/>
      <c r="AM159" s="38">
        <f>IFERROR(VLOOKUP("23_"&amp;A159,SyS!$B:$P,10,FALSE()),0)</f>
        <v>0</v>
      </c>
      <c r="AN159" s="39">
        <f>IFERROR(VLOOKUP("23_"&amp;A159,SyS!$B:$P,12,FALSE()),0)</f>
        <v>0</v>
      </c>
      <c r="AO159" s="40">
        <f>+AM159-AN159</f>
        <v>0</v>
      </c>
      <c r="AP159" s="39"/>
      <c r="AQ159" s="39"/>
      <c r="AR159" s="39"/>
      <c r="AS159" s="39"/>
      <c r="AT159" s="39"/>
      <c r="AU159" s="39"/>
      <c r="AV159" s="39"/>
      <c r="AW159" s="39"/>
      <c r="AX159" s="39"/>
      <c r="AY159" s="39"/>
      <c r="AZ159" s="39"/>
      <c r="BA159" s="39"/>
      <c r="BB159" s="39"/>
      <c r="BC159" s="39"/>
      <c r="BD159" s="39"/>
      <c r="BE159" s="39"/>
      <c r="BF159" s="39"/>
      <c r="BG159" s="39"/>
      <c r="BH159" s="39"/>
      <c r="BI159" s="39"/>
      <c r="BJ159" s="39"/>
      <c r="BK159" s="39">
        <f>IFERROR(VLOOKUP("29_"&amp;A159,SyS!$B:$P,10,FALSE()),0)</f>
        <v>0</v>
      </c>
      <c r="BL159" s="39">
        <f>IFERROR(VLOOKUP("29_"&amp;A159,SyS!$B:$P,12,FALSE()),0)</f>
        <v>0</v>
      </c>
      <c r="BM159" s="39">
        <f>+BK159-BL159</f>
        <v>0</v>
      </c>
      <c r="BN159" s="38">
        <f>IFERROR(VLOOKUP("30_"&amp;A159,SyS!$B:$P,10,FALSE()),0)</f>
        <v>0</v>
      </c>
      <c r="BO159" s="39">
        <f>IFERROR(VLOOKUP("30_"&amp;A159,SyS!$B:$P,12,FALSE()),0)</f>
        <v>0</v>
      </c>
      <c r="BP159" s="40">
        <f>+BN159-BO159</f>
        <v>0</v>
      </c>
      <c r="BQ159" s="45">
        <f>+E159+H159+K159+Q159+T159+W159+Z159+AC159+AF159+AI159+AL159+AO159+AR159+AU159+AX159+BA159+BD159+BG159+BJ159+BM159+BP159</f>
        <v>0</v>
      </c>
    </row>
    <row r="160" ht="11.25" customHeight="1" spans="1:69" x14ac:dyDescent="0.25">
      <c r="A160" s="44">
        <v>425910000</v>
      </c>
      <c r="B160" s="44" t="s">
        <v>389</v>
      </c>
      <c r="C160" s="38">
        <f>IFERROR(VLOOKUP("1_"&amp;A160,SyS!$B:$P,10,FALSE()),0)</f>
        <v>0</v>
      </c>
      <c r="D160" s="39">
        <f>IFERROR(VLOOKUP("1_"&amp;A160,SyS!$B:$P,12,FALSE()),0)</f>
        <v>0</v>
      </c>
      <c r="E160" s="39">
        <f>+C160-D160</f>
        <v>0</v>
      </c>
      <c r="F160" s="38">
        <f>IFERROR(VLOOKUP("2_"&amp;A160,SyS!$B:$P,10,FALSE()),0)</f>
        <v>0</v>
      </c>
      <c r="G160" s="39">
        <f>IFERROR(VLOOKUP("2_"&amp;A160,SyS!$B:$P,12,FALSE()),0)</f>
        <v>0</v>
      </c>
      <c r="H160" s="40">
        <f>+F160-G160</f>
        <v>0</v>
      </c>
      <c r="I160" s="39"/>
      <c r="J160" s="39"/>
      <c r="K160" s="39"/>
      <c r="L160" s="39"/>
      <c r="M160" s="39"/>
      <c r="N160" s="39"/>
      <c r="O160" s="38">
        <f>IFERROR(VLOOKUP("14_"&amp;A160,SyS!$B:$P,10,FALSE()),0)</f>
        <v>0</v>
      </c>
      <c r="P160" s="39">
        <f>IFERROR(VLOOKUP("14_"&amp;A160,SyS!$B:$P,12,FALSE()),0)</f>
        <v>0</v>
      </c>
      <c r="Q160" s="40">
        <f>+O160-P160</f>
        <v>0</v>
      </c>
      <c r="R160" s="38">
        <f>IFERROR(VLOOKUP("15_"&amp;A160,SyS!$B:$P,10,FALSE()),0)</f>
        <v>0</v>
      </c>
      <c r="S160" s="39">
        <f>IFERROR(VLOOKUP("15_"&amp;A160,SyS!$B:$P,12,FALSE()),0)</f>
        <v>0</v>
      </c>
      <c r="T160" s="40">
        <f>+R160-S160</f>
        <v>0</v>
      </c>
      <c r="U160" s="38">
        <f>IFERROR(VLOOKUP("16_"&amp;A160,SyS!$B:$P,10,FALSE()),0)</f>
        <v>0</v>
      </c>
      <c r="V160" s="39">
        <f>IFERROR(VLOOKUP("16_"&amp;A160,SyS!$B:$P,12,FALSE()),0)</f>
        <v>0</v>
      </c>
      <c r="W160" s="40">
        <f>+U160-V160</f>
        <v>0</v>
      </c>
      <c r="X160" s="38">
        <f>IFERROR(VLOOKUP("13_"&amp;A160,SyS!$B:$P,10,FALSE()),0)</f>
        <v>0</v>
      </c>
      <c r="Y160" s="39">
        <f>IFERROR(VLOOKUP("13_"&amp;A160,SyS!$B:$P,12,FALSE()),0)</f>
        <v>0</v>
      </c>
      <c r="Z160" s="40">
        <f>+X160-Y160</f>
        <v>0</v>
      </c>
      <c r="AA160" s="38">
        <f>IFERROR(VLOOKUP("17_"&amp;A160,SyS!$B:$P,10,FALSE()),0)</f>
        <v>0</v>
      </c>
      <c r="AB160" s="39">
        <f>IFERROR(VLOOKUP("17_"&amp;A160,SyS!$B:$P,12,FALSE()),0)</f>
        <v>0</v>
      </c>
      <c r="AC160" s="40">
        <f>+AA160-AB160</f>
        <v>0</v>
      </c>
      <c r="AD160" s="39"/>
      <c r="AE160" s="39"/>
      <c r="AF160" s="39"/>
      <c r="AG160" s="39">
        <f>IFERROR(VLOOKUP("19_"&amp;A160,SyS!$B:$P,10,FALSE()),0)</f>
        <v>0</v>
      </c>
      <c r="AH160" s="39">
        <f>IFERROR(VLOOKUP("19_"&amp;A160,SyS!$B:$P,12,FALSE()),0)</f>
        <v>0</v>
      </c>
      <c r="AI160" s="39">
        <f>+AG160-AH160</f>
        <v>0</v>
      </c>
      <c r="AJ160" s="39"/>
      <c r="AK160" s="39"/>
      <c r="AL160" s="39"/>
      <c r="AM160" s="38">
        <f>IFERROR(VLOOKUP("23_"&amp;A160,SyS!$B:$P,10,FALSE()),0)</f>
        <v>0</v>
      </c>
      <c r="AN160" s="39">
        <f>IFERROR(VLOOKUP("23_"&amp;A160,SyS!$B:$P,12,FALSE()),0)</f>
        <v>0</v>
      </c>
      <c r="AO160" s="40">
        <f>+AM160-AN160</f>
        <v>0</v>
      </c>
      <c r="AP160" s="39"/>
      <c r="AQ160" s="39"/>
      <c r="AR160" s="39"/>
      <c r="AS160" s="39"/>
      <c r="AT160" s="39"/>
      <c r="AU160" s="39"/>
      <c r="AV160" s="39"/>
      <c r="AW160" s="39"/>
      <c r="AX160" s="39"/>
      <c r="AY160" s="39"/>
      <c r="AZ160" s="39"/>
      <c r="BA160" s="39"/>
      <c r="BB160" s="39"/>
      <c r="BC160" s="39"/>
      <c r="BD160" s="39"/>
      <c r="BE160" s="39"/>
      <c r="BF160" s="39"/>
      <c r="BG160" s="39"/>
      <c r="BH160" s="39"/>
      <c r="BI160" s="39"/>
      <c r="BJ160" s="39"/>
      <c r="BK160" s="39">
        <f>IFERROR(VLOOKUP("29_"&amp;A160,SyS!$B:$P,10,FALSE()),0)</f>
        <v>0</v>
      </c>
      <c r="BL160" s="39">
        <f>IFERROR(VLOOKUP("29_"&amp;A160,SyS!$B:$P,12,FALSE()),0)</f>
        <v>0</v>
      </c>
      <c r="BM160" s="39">
        <f>+BK160-BL160</f>
        <v>0</v>
      </c>
      <c r="BN160" s="38">
        <f>IFERROR(VLOOKUP("30_"&amp;A160,SyS!$B:$P,10,FALSE()),0)</f>
        <v>0</v>
      </c>
      <c r="BO160" s="39">
        <f>IFERROR(VLOOKUP("30_"&amp;A160,SyS!$B:$P,12,FALSE()),0)</f>
        <v>0</v>
      </c>
      <c r="BP160" s="40">
        <f>+BN160-BO160</f>
        <v>0</v>
      </c>
      <c r="BQ160" s="45">
        <f>+E160+H160+K160+Q160+T160+W160+Z160+AC160+AF160+AI160+AL160+AO160+AR160+AU160+AX160+BA160+BD160+BG160+BJ160+BM160+BP160</f>
        <v>0</v>
      </c>
    </row>
    <row r="161" ht="11.25" customHeight="1" spans="1:69" x14ac:dyDescent="0.25">
      <c r="A161" s="44">
        <v>425920000</v>
      </c>
      <c r="B161" s="44" t="s">
        <v>390</v>
      </c>
      <c r="C161" s="38">
        <f>IFERROR(VLOOKUP("1_"&amp;A161,SyS!$B:$P,10,FALSE()),0)</f>
        <v>0</v>
      </c>
      <c r="D161" s="39">
        <f>IFERROR(VLOOKUP("1_"&amp;A161,SyS!$B:$P,12,FALSE()),0)</f>
        <v>0</v>
      </c>
      <c r="E161" s="39">
        <f>+C161-D161</f>
        <v>0</v>
      </c>
      <c r="F161" s="38">
        <f>IFERROR(VLOOKUP("2_"&amp;A161,SyS!$B:$P,10,FALSE()),0)</f>
        <v>20.71</v>
      </c>
      <c r="G161" s="39">
        <f>IFERROR(VLOOKUP("2_"&amp;A161,SyS!$B:$P,12,FALSE()),0)</f>
        <v>0</v>
      </c>
      <c r="H161" s="40">
        <f>+F161-G161</f>
        <v>20.71</v>
      </c>
      <c r="I161" s="39"/>
      <c r="J161" s="39"/>
      <c r="K161" s="39"/>
      <c r="L161" s="39"/>
      <c r="M161" s="39"/>
      <c r="N161" s="39"/>
      <c r="O161" s="38">
        <f>IFERROR(VLOOKUP("14_"&amp;A161,SyS!$B:$P,10,FALSE()),0)</f>
        <v>0</v>
      </c>
      <c r="P161" s="39">
        <f>IFERROR(VLOOKUP("14_"&amp;A161,SyS!$B:$P,12,FALSE()),0)</f>
        <v>0</v>
      </c>
      <c r="Q161" s="40">
        <f>+O161-P161</f>
        <v>0</v>
      </c>
      <c r="R161" s="38">
        <f>IFERROR(VLOOKUP("15_"&amp;A161,SyS!$B:$P,10,FALSE()),0)</f>
        <v>0</v>
      </c>
      <c r="S161" s="39">
        <f>IFERROR(VLOOKUP("15_"&amp;A161,SyS!$B:$P,12,FALSE()),0)</f>
        <v>0</v>
      </c>
      <c r="T161" s="40">
        <f>+R161-S161</f>
        <v>0</v>
      </c>
      <c r="U161" s="38">
        <f>IFERROR(VLOOKUP("16_"&amp;A161,SyS!$B:$P,10,FALSE()),0)</f>
        <v>0</v>
      </c>
      <c r="V161" s="39">
        <f>IFERROR(VLOOKUP("16_"&amp;A161,SyS!$B:$P,12,FALSE()),0)</f>
        <v>0</v>
      </c>
      <c r="W161" s="40">
        <f>+U161-V161</f>
        <v>0</v>
      </c>
      <c r="X161" s="38">
        <f>IFERROR(VLOOKUP("13_"&amp;A161,SyS!$B:$P,10,FALSE()),0)</f>
        <v>0</v>
      </c>
      <c r="Y161" s="39">
        <f>IFERROR(VLOOKUP("13_"&amp;A161,SyS!$B:$P,12,FALSE()),0)</f>
        <v>0</v>
      </c>
      <c r="Z161" s="40">
        <f>+X161-Y161</f>
        <v>0</v>
      </c>
      <c r="AA161" s="38">
        <f>IFERROR(VLOOKUP("17_"&amp;A161,SyS!$B:$P,10,FALSE()),0)</f>
        <v>0</v>
      </c>
      <c r="AB161" s="39">
        <f>IFERROR(VLOOKUP("17_"&amp;A161,SyS!$B:$P,12,FALSE()),0)</f>
        <v>0</v>
      </c>
      <c r="AC161" s="40">
        <f>+AA161-AB161</f>
        <v>0</v>
      </c>
      <c r="AD161" s="39"/>
      <c r="AE161" s="39"/>
      <c r="AF161" s="39"/>
      <c r="AG161" s="39">
        <f>IFERROR(VLOOKUP("19_"&amp;A161,SyS!$B:$P,10,FALSE()),0)</f>
        <v>0</v>
      </c>
      <c r="AH161" s="39">
        <f>IFERROR(VLOOKUP("19_"&amp;A161,SyS!$B:$P,12,FALSE()),0)</f>
        <v>0</v>
      </c>
      <c r="AI161" s="39">
        <f>+AG161-AH161</f>
        <v>0</v>
      </c>
      <c r="AJ161" s="39"/>
      <c r="AK161" s="39"/>
      <c r="AL161" s="39"/>
      <c r="AM161" s="38">
        <f>IFERROR(VLOOKUP("23_"&amp;A161,SyS!$B:$P,10,FALSE()),0)</f>
        <v>0</v>
      </c>
      <c r="AN161" s="39">
        <f>IFERROR(VLOOKUP("23_"&amp;A161,SyS!$B:$P,12,FALSE()),0)</f>
        <v>0</v>
      </c>
      <c r="AO161" s="40">
        <f>+AM161-AN161</f>
        <v>0</v>
      </c>
      <c r="AP161" s="39"/>
      <c r="AQ161" s="39"/>
      <c r="AR161" s="39"/>
      <c r="AS161" s="39"/>
      <c r="AT161" s="39"/>
      <c r="AU161" s="39"/>
      <c r="AV161" s="39"/>
      <c r="AW161" s="39"/>
      <c r="AX161" s="39"/>
      <c r="AY161" s="39"/>
      <c r="AZ161" s="39"/>
      <c r="BA161" s="39"/>
      <c r="BB161" s="39"/>
      <c r="BC161" s="39"/>
      <c r="BD161" s="39"/>
      <c r="BE161" s="39"/>
      <c r="BF161" s="39"/>
      <c r="BG161" s="39"/>
      <c r="BH161" s="39"/>
      <c r="BI161" s="39"/>
      <c r="BJ161" s="39"/>
      <c r="BK161" s="39">
        <f>IFERROR(VLOOKUP("29_"&amp;A161,SyS!$B:$P,10,FALSE()),0)</f>
        <v>0</v>
      </c>
      <c r="BL161" s="39">
        <f>IFERROR(VLOOKUP("29_"&amp;A161,SyS!$B:$P,12,FALSE()),0)</f>
        <v>0</v>
      </c>
      <c r="BM161" s="39">
        <f>+BK161-BL161</f>
        <v>0</v>
      </c>
      <c r="BN161" s="38">
        <f>IFERROR(VLOOKUP("30_"&amp;A161,SyS!$B:$P,10,FALSE()),0)</f>
        <v>0</v>
      </c>
      <c r="BO161" s="39">
        <f>IFERROR(VLOOKUP("30_"&amp;A161,SyS!$B:$P,12,FALSE()),0)</f>
        <v>0</v>
      </c>
      <c r="BP161" s="40">
        <f>+BN161-BO161</f>
        <v>0</v>
      </c>
      <c r="BQ161" s="45">
        <f>+E161+H161+K161+Q161+T161+W161+Z161+AC161+AF161+AI161+AL161+AO161+AR161+AU161+AX161+BA161+BD161+BG161+BJ161+BM161+BP161</f>
        <v>20.71</v>
      </c>
    </row>
    <row r="162" ht="11.25" customHeight="1" spans="1:69" x14ac:dyDescent="0.25">
      <c r="A162" s="44">
        <v>425930000</v>
      </c>
      <c r="B162" s="44" t="s">
        <v>391</v>
      </c>
      <c r="C162" s="38">
        <f>IFERROR(VLOOKUP("1_"&amp;A162,SyS!$B:$P,10,FALSE()),0)</f>
        <v>0</v>
      </c>
      <c r="D162" s="39">
        <f>IFERROR(VLOOKUP("1_"&amp;A162,SyS!$B:$P,12,FALSE()),0)</f>
        <v>0</v>
      </c>
      <c r="E162" s="39">
        <f>+C162-D162</f>
        <v>0</v>
      </c>
      <c r="F162" s="38">
        <f>IFERROR(VLOOKUP("2_"&amp;A162,SyS!$B:$P,10,FALSE()),0)</f>
        <v>0</v>
      </c>
      <c r="G162" s="39">
        <f>IFERROR(VLOOKUP("2_"&amp;A162,SyS!$B:$P,12,FALSE()),0)</f>
        <v>0</v>
      </c>
      <c r="H162" s="40">
        <f>+F162-G162</f>
        <v>0</v>
      </c>
      <c r="I162" s="39"/>
      <c r="J162" s="39"/>
      <c r="K162" s="39"/>
      <c r="L162" s="39"/>
      <c r="M162" s="39"/>
      <c r="N162" s="39"/>
      <c r="O162" s="38">
        <f>IFERROR(VLOOKUP("14_"&amp;A162,SyS!$B:$P,10,FALSE()),0)</f>
        <v>0</v>
      </c>
      <c r="P162" s="39">
        <f>IFERROR(VLOOKUP("14_"&amp;A162,SyS!$B:$P,12,FALSE()),0)</f>
        <v>0</v>
      </c>
      <c r="Q162" s="40">
        <f>+O162-P162</f>
        <v>0</v>
      </c>
      <c r="R162" s="38">
        <f>IFERROR(VLOOKUP("15_"&amp;A162,SyS!$B:$P,10,FALSE()),0)</f>
        <v>0</v>
      </c>
      <c r="S162" s="39">
        <f>IFERROR(VLOOKUP("15_"&amp;A162,SyS!$B:$P,12,FALSE()),0)</f>
        <v>0</v>
      </c>
      <c r="T162" s="40">
        <f>+R162-S162</f>
        <v>0</v>
      </c>
      <c r="U162" s="38">
        <f>IFERROR(VLOOKUP("16_"&amp;A162,SyS!$B:$P,10,FALSE()),0)</f>
        <v>0</v>
      </c>
      <c r="V162" s="39">
        <f>IFERROR(VLOOKUP("16_"&amp;A162,SyS!$B:$P,12,FALSE()),0)</f>
        <v>0</v>
      </c>
      <c r="W162" s="40">
        <f>+U162-V162</f>
        <v>0</v>
      </c>
      <c r="X162" s="38">
        <f>IFERROR(VLOOKUP("13_"&amp;A162,SyS!$B:$P,10,FALSE()),0)</f>
        <v>0</v>
      </c>
      <c r="Y162" s="39">
        <f>IFERROR(VLOOKUP("13_"&amp;A162,SyS!$B:$P,12,FALSE()),0)</f>
        <v>0</v>
      </c>
      <c r="Z162" s="40">
        <f>+X162-Y162</f>
        <v>0</v>
      </c>
      <c r="AA162" s="38">
        <f>IFERROR(VLOOKUP("17_"&amp;A162,SyS!$B:$P,10,FALSE()),0)</f>
        <v>0</v>
      </c>
      <c r="AB162" s="39">
        <f>IFERROR(VLOOKUP("17_"&amp;A162,SyS!$B:$P,12,FALSE()),0)</f>
        <v>0</v>
      </c>
      <c r="AC162" s="40">
        <f>+AA162-AB162</f>
        <v>0</v>
      </c>
      <c r="AD162" s="39"/>
      <c r="AE162" s="39"/>
      <c r="AF162" s="39"/>
      <c r="AG162" s="39">
        <f>IFERROR(VLOOKUP("19_"&amp;A162,SyS!$B:$P,10,FALSE()),0)</f>
        <v>0</v>
      </c>
      <c r="AH162" s="39">
        <f>IFERROR(VLOOKUP("19_"&amp;A162,SyS!$B:$P,12,FALSE()),0)</f>
        <v>0</v>
      </c>
      <c r="AI162" s="39">
        <f>+AG162-AH162</f>
        <v>0</v>
      </c>
      <c r="AJ162" s="39"/>
      <c r="AK162" s="39"/>
      <c r="AL162" s="39"/>
      <c r="AM162" s="38">
        <f>IFERROR(VLOOKUP("23_"&amp;A162,SyS!$B:$P,10,FALSE()),0)</f>
        <v>0</v>
      </c>
      <c r="AN162" s="39">
        <f>IFERROR(VLOOKUP("23_"&amp;A162,SyS!$B:$P,12,FALSE()),0)</f>
        <v>0</v>
      </c>
      <c r="AO162" s="40">
        <f>+AM162-AN162</f>
        <v>0</v>
      </c>
      <c r="AP162" s="39"/>
      <c r="AQ162" s="39"/>
      <c r="AR162" s="39"/>
      <c r="AS162" s="39"/>
      <c r="AT162" s="39"/>
      <c r="AU162" s="39"/>
      <c r="AV162" s="39"/>
      <c r="AW162" s="39"/>
      <c r="AX162" s="39"/>
      <c r="AY162" s="39"/>
      <c r="AZ162" s="39"/>
      <c r="BA162" s="39"/>
      <c r="BB162" s="39"/>
      <c r="BC162" s="39"/>
      <c r="BD162" s="39"/>
      <c r="BE162" s="39"/>
      <c r="BF162" s="39"/>
      <c r="BG162" s="39"/>
      <c r="BH162" s="39"/>
      <c r="BI162" s="39"/>
      <c r="BJ162" s="39"/>
      <c r="BK162" s="39">
        <f>IFERROR(VLOOKUP("29_"&amp;A162,SyS!$B:$P,10,FALSE()),0)</f>
        <v>0</v>
      </c>
      <c r="BL162" s="39">
        <f>IFERROR(VLOOKUP("29_"&amp;A162,SyS!$B:$P,12,FALSE()),0)</f>
        <v>0</v>
      </c>
      <c r="BM162" s="39">
        <f>+BK162-BL162</f>
        <v>0</v>
      </c>
      <c r="BN162" s="38">
        <f>IFERROR(VLOOKUP("30_"&amp;A162,SyS!$B:$P,10,FALSE()),0)</f>
        <v>0</v>
      </c>
      <c r="BO162" s="39">
        <f>IFERROR(VLOOKUP("30_"&amp;A162,SyS!$B:$P,12,FALSE()),0)</f>
        <v>0</v>
      </c>
      <c r="BP162" s="40">
        <f>+BN162-BO162</f>
        <v>0</v>
      </c>
      <c r="BQ162" s="45">
        <f>+E162+H162+K162+Q162+T162+W162+Z162+AC162+AF162+AI162+AL162+AO162+AR162+AU162+AX162+BA162+BD162+BG162+BJ162+BM162+BP162</f>
        <v>0</v>
      </c>
    </row>
    <row r="163" ht="11.25" customHeight="1" spans="1:69" x14ac:dyDescent="0.25">
      <c r="A163" s="44">
        <v>425940000</v>
      </c>
      <c r="B163" s="44" t="s">
        <v>392</v>
      </c>
      <c r="C163" s="38">
        <f>IFERROR(VLOOKUP("1_"&amp;A163,SyS!$B:$P,10,FALSE()),0)</f>
        <v>0</v>
      </c>
      <c r="D163" s="39">
        <f>IFERROR(VLOOKUP("1_"&amp;A163,SyS!$B:$P,12,FALSE()),0)</f>
        <v>0</v>
      </c>
      <c r="E163" s="39">
        <f>+C163-D163</f>
        <v>0</v>
      </c>
      <c r="F163" s="38">
        <f>IFERROR(VLOOKUP("2_"&amp;A163,SyS!$B:$P,10,FALSE()),0)</f>
        <v>0</v>
      </c>
      <c r="G163" s="39">
        <f>IFERROR(VLOOKUP("2_"&amp;A163,SyS!$B:$P,12,FALSE()),0)</f>
        <v>0</v>
      </c>
      <c r="H163" s="40">
        <f>+F163-G163</f>
        <v>0</v>
      </c>
      <c r="I163" s="39"/>
      <c r="J163" s="39"/>
      <c r="K163" s="39"/>
      <c r="L163" s="39"/>
      <c r="M163" s="39"/>
      <c r="N163" s="39"/>
      <c r="O163" s="38">
        <f>IFERROR(VLOOKUP("14_"&amp;A163,SyS!$B:$P,10,FALSE()),0)</f>
        <v>0</v>
      </c>
      <c r="P163" s="39">
        <f>IFERROR(VLOOKUP("14_"&amp;A163,SyS!$B:$P,12,FALSE()),0)</f>
        <v>0</v>
      </c>
      <c r="Q163" s="40">
        <f>+O163-P163</f>
        <v>0</v>
      </c>
      <c r="R163" s="38">
        <f>IFERROR(VLOOKUP("15_"&amp;A163,SyS!$B:$P,10,FALSE()),0)</f>
        <v>0</v>
      </c>
      <c r="S163" s="39">
        <f>IFERROR(VLOOKUP("15_"&amp;A163,SyS!$B:$P,12,FALSE()),0)</f>
        <v>0</v>
      </c>
      <c r="T163" s="40">
        <f>+R163-S163</f>
        <v>0</v>
      </c>
      <c r="U163" s="38">
        <f>IFERROR(VLOOKUP("16_"&amp;A163,SyS!$B:$P,10,FALSE()),0)</f>
        <v>0</v>
      </c>
      <c r="V163" s="39">
        <f>IFERROR(VLOOKUP("16_"&amp;A163,SyS!$B:$P,12,FALSE()),0)</f>
        <v>0</v>
      </c>
      <c r="W163" s="40">
        <f>+U163-V163</f>
        <v>0</v>
      </c>
      <c r="X163" s="38">
        <f>IFERROR(VLOOKUP("13_"&amp;A163,SyS!$B:$P,10,FALSE()),0)</f>
        <v>0</v>
      </c>
      <c r="Y163" s="39">
        <f>IFERROR(VLOOKUP("13_"&amp;A163,SyS!$B:$P,12,FALSE()),0)</f>
        <v>0</v>
      </c>
      <c r="Z163" s="40">
        <f>+X163-Y163</f>
        <v>0</v>
      </c>
      <c r="AA163" s="38">
        <f>IFERROR(VLOOKUP("17_"&amp;A163,SyS!$B:$P,10,FALSE()),0)</f>
        <v>0</v>
      </c>
      <c r="AB163" s="39">
        <f>IFERROR(VLOOKUP("17_"&amp;A163,SyS!$B:$P,12,FALSE()),0)</f>
        <v>0</v>
      </c>
      <c r="AC163" s="40">
        <f>+AA163-AB163</f>
        <v>0</v>
      </c>
      <c r="AD163" s="39"/>
      <c r="AE163" s="39"/>
      <c r="AF163" s="39"/>
      <c r="AG163" s="39">
        <f>IFERROR(VLOOKUP("19_"&amp;A163,SyS!$B:$P,10,FALSE()),0)</f>
        <v>0</v>
      </c>
      <c r="AH163" s="39">
        <f>IFERROR(VLOOKUP("19_"&amp;A163,SyS!$B:$P,12,FALSE()),0)</f>
        <v>0</v>
      </c>
      <c r="AI163" s="39">
        <f>+AG163-AH163</f>
        <v>0</v>
      </c>
      <c r="AJ163" s="39"/>
      <c r="AK163" s="39"/>
      <c r="AL163" s="39"/>
      <c r="AM163" s="38">
        <f>IFERROR(VLOOKUP("23_"&amp;A163,SyS!$B:$P,10,FALSE()),0)</f>
        <v>0</v>
      </c>
      <c r="AN163" s="39">
        <f>IFERROR(VLOOKUP("23_"&amp;A163,SyS!$B:$P,12,FALSE()),0)</f>
        <v>0</v>
      </c>
      <c r="AO163" s="40">
        <f>+AM163-AN163</f>
        <v>0</v>
      </c>
      <c r="AP163" s="39"/>
      <c r="AQ163" s="39"/>
      <c r="AR163" s="39"/>
      <c r="AS163" s="39"/>
      <c r="AT163" s="39"/>
      <c r="AU163" s="39"/>
      <c r="AV163" s="39"/>
      <c r="AW163" s="39"/>
      <c r="AX163" s="39"/>
      <c r="AY163" s="39"/>
      <c r="AZ163" s="39"/>
      <c r="BA163" s="39"/>
      <c r="BB163" s="39"/>
      <c r="BC163" s="39"/>
      <c r="BD163" s="39"/>
      <c r="BE163" s="39"/>
      <c r="BF163" s="39"/>
      <c r="BG163" s="39"/>
      <c r="BH163" s="39"/>
      <c r="BI163" s="39"/>
      <c r="BJ163" s="39"/>
      <c r="BK163" s="39">
        <f>IFERROR(VLOOKUP("29_"&amp;A163,SyS!$B:$P,10,FALSE()),0)</f>
        <v>0</v>
      </c>
      <c r="BL163" s="39">
        <f>IFERROR(VLOOKUP("29_"&amp;A163,SyS!$B:$P,12,FALSE()),0)</f>
        <v>0</v>
      </c>
      <c r="BM163" s="39">
        <f>+BK163-BL163</f>
        <v>0</v>
      </c>
      <c r="BN163" s="38">
        <f>IFERROR(VLOOKUP("30_"&amp;A163,SyS!$B:$P,10,FALSE()),0)</f>
        <v>0</v>
      </c>
      <c r="BO163" s="39">
        <f>IFERROR(VLOOKUP("30_"&amp;A163,SyS!$B:$P,12,FALSE()),0)</f>
        <v>0</v>
      </c>
      <c r="BP163" s="40">
        <f>+BN163-BO163</f>
        <v>0</v>
      </c>
      <c r="BQ163" s="45">
        <f>+E163+H163+K163+Q163+T163+W163+Z163+AC163+AF163+AI163+AL163+AO163+AR163+AU163+AX163+BA163+BD163+BG163+BJ163+BM163+BP163</f>
        <v>0</v>
      </c>
    </row>
    <row r="164" ht="11.25" customHeight="1" spans="1:69" x14ac:dyDescent="0.25">
      <c r="A164" s="44">
        <v>425950000</v>
      </c>
      <c r="B164" s="44" t="s">
        <v>393</v>
      </c>
      <c r="C164" s="38">
        <f>IFERROR(VLOOKUP("1_"&amp;A164,SyS!$B:$P,10,FALSE()),0)</f>
        <v>0</v>
      </c>
      <c r="D164" s="39">
        <f>IFERROR(VLOOKUP("1_"&amp;A164,SyS!$B:$P,12,FALSE()),0)</f>
        <v>0</v>
      </c>
      <c r="E164" s="39">
        <f>+C164-D164</f>
        <v>0</v>
      </c>
      <c r="F164" s="38">
        <f>IFERROR(VLOOKUP("2_"&amp;A164,SyS!$B:$P,10,FALSE()),0)</f>
        <v>0</v>
      </c>
      <c r="G164" s="39">
        <f>IFERROR(VLOOKUP("2_"&amp;A164,SyS!$B:$P,12,FALSE()),0)</f>
        <v>0</v>
      </c>
      <c r="H164" s="40">
        <f>+F164-G164</f>
        <v>0</v>
      </c>
      <c r="I164" s="39"/>
      <c r="J164" s="39"/>
      <c r="K164" s="39"/>
      <c r="L164" s="39"/>
      <c r="M164" s="39"/>
      <c r="N164" s="39"/>
      <c r="O164" s="38">
        <f>IFERROR(VLOOKUP("14_"&amp;A164,SyS!$B:$P,10,FALSE()),0)</f>
        <v>0</v>
      </c>
      <c r="P164" s="39">
        <f>IFERROR(VLOOKUP("14_"&amp;A164,SyS!$B:$P,12,FALSE()),0)</f>
        <v>0</v>
      </c>
      <c r="Q164" s="40">
        <f>+O164-P164</f>
        <v>0</v>
      </c>
      <c r="R164" s="38">
        <f>IFERROR(VLOOKUP("15_"&amp;A164,SyS!$B:$P,10,FALSE()),0)</f>
        <v>0</v>
      </c>
      <c r="S164" s="39">
        <f>IFERROR(VLOOKUP("15_"&amp;A164,SyS!$B:$P,12,FALSE()),0)</f>
        <v>0</v>
      </c>
      <c r="T164" s="40">
        <f>+R164-S164</f>
        <v>0</v>
      </c>
      <c r="U164" s="38">
        <f>IFERROR(VLOOKUP("16_"&amp;A164,SyS!$B:$P,10,FALSE()),0)</f>
        <v>0</v>
      </c>
      <c r="V164" s="39">
        <f>IFERROR(VLOOKUP("16_"&amp;A164,SyS!$B:$P,12,FALSE()),0)</f>
        <v>0</v>
      </c>
      <c r="W164" s="40">
        <f>+U164-V164</f>
        <v>0</v>
      </c>
      <c r="X164" s="38">
        <f>IFERROR(VLOOKUP("13_"&amp;A164,SyS!$B:$P,10,FALSE()),0)</f>
        <v>0</v>
      </c>
      <c r="Y164" s="39">
        <f>IFERROR(VLOOKUP("13_"&amp;A164,SyS!$B:$P,12,FALSE()),0)</f>
        <v>0</v>
      </c>
      <c r="Z164" s="40">
        <f>+X164-Y164</f>
        <v>0</v>
      </c>
      <c r="AA164" s="38">
        <f>IFERROR(VLOOKUP("17_"&amp;A164,SyS!$B:$P,10,FALSE()),0)</f>
        <v>0</v>
      </c>
      <c r="AB164" s="39">
        <f>IFERROR(VLOOKUP("17_"&amp;A164,SyS!$B:$P,12,FALSE()),0)</f>
        <v>0</v>
      </c>
      <c r="AC164" s="40">
        <f>+AA164-AB164</f>
        <v>0</v>
      </c>
      <c r="AD164" s="39"/>
      <c r="AE164" s="39"/>
      <c r="AF164" s="39"/>
      <c r="AG164" s="39">
        <f>IFERROR(VLOOKUP("19_"&amp;A164,SyS!$B:$P,10,FALSE()),0)</f>
        <v>0</v>
      </c>
      <c r="AH164" s="39">
        <f>IFERROR(VLOOKUP("19_"&amp;A164,SyS!$B:$P,12,FALSE()),0)</f>
        <v>0</v>
      </c>
      <c r="AI164" s="39">
        <f>+AG164-AH164</f>
        <v>0</v>
      </c>
      <c r="AJ164" s="39"/>
      <c r="AK164" s="39"/>
      <c r="AL164" s="39"/>
      <c r="AM164" s="38">
        <f>IFERROR(VLOOKUP("23_"&amp;A164,SyS!$B:$P,10,FALSE()),0)</f>
        <v>0</v>
      </c>
      <c r="AN164" s="39">
        <f>IFERROR(VLOOKUP("23_"&amp;A164,SyS!$B:$P,12,FALSE()),0)</f>
        <v>0</v>
      </c>
      <c r="AO164" s="40">
        <f>+AM164-AN164</f>
        <v>0</v>
      </c>
      <c r="AP164" s="39"/>
      <c r="AQ164" s="39"/>
      <c r="AR164" s="39"/>
      <c r="AS164" s="39"/>
      <c r="AT164" s="39"/>
      <c r="AU164" s="39"/>
      <c r="AV164" s="39"/>
      <c r="AW164" s="39"/>
      <c r="AX164" s="39"/>
      <c r="AY164" s="39"/>
      <c r="AZ164" s="39"/>
      <c r="BA164" s="39"/>
      <c r="BB164" s="39"/>
      <c r="BC164" s="39"/>
      <c r="BD164" s="39"/>
      <c r="BE164" s="39"/>
      <c r="BF164" s="39"/>
      <c r="BG164" s="39"/>
      <c r="BH164" s="39"/>
      <c r="BI164" s="39"/>
      <c r="BJ164" s="39"/>
      <c r="BK164" s="39">
        <f>IFERROR(VLOOKUP("29_"&amp;A164,SyS!$B:$P,10,FALSE()),0)</f>
        <v>0</v>
      </c>
      <c r="BL164" s="39">
        <f>IFERROR(VLOOKUP("29_"&amp;A164,SyS!$B:$P,12,FALSE()),0)</f>
        <v>0</v>
      </c>
      <c r="BM164" s="39">
        <f>+BK164-BL164</f>
        <v>0</v>
      </c>
      <c r="BN164" s="38">
        <f>IFERROR(VLOOKUP("30_"&amp;A164,SyS!$B:$P,10,FALSE()),0)</f>
        <v>0</v>
      </c>
      <c r="BO164" s="39">
        <f>IFERROR(VLOOKUP("30_"&amp;A164,SyS!$B:$P,12,FALSE()),0)</f>
        <v>0</v>
      </c>
      <c r="BP164" s="40">
        <f>+BN164-BO164</f>
        <v>0</v>
      </c>
      <c r="BQ164" s="45">
        <f>+E164+H164+K164+Q164+T164+W164+Z164+AC164+AF164+AI164+AL164+AO164+AR164+AU164+AX164+BA164+BD164+BG164+BJ164+BM164+BP164</f>
        <v>0</v>
      </c>
    </row>
    <row r="165" ht="11.25" customHeight="1" spans="1:69" x14ac:dyDescent="0.25">
      <c r="A165" s="44">
        <v>425970000</v>
      </c>
      <c r="B165" s="44" t="s">
        <v>394</v>
      </c>
      <c r="C165" s="38">
        <f>IFERROR(VLOOKUP("1_"&amp;A165,SyS!$B:$P,10,FALSE()),0)</f>
        <v>0</v>
      </c>
      <c r="D165" s="39">
        <f>IFERROR(VLOOKUP("1_"&amp;A165,SyS!$B:$P,12,FALSE()),0)</f>
        <v>0</v>
      </c>
      <c r="E165" s="39">
        <f>+C165-D165</f>
        <v>0</v>
      </c>
      <c r="F165" s="38">
        <f>IFERROR(VLOOKUP("2_"&amp;A165,SyS!$B:$P,10,FALSE()),0)</f>
        <v>0</v>
      </c>
      <c r="G165" s="39">
        <f>IFERROR(VLOOKUP("2_"&amp;A165,SyS!$B:$P,12,FALSE()),0)</f>
        <v>0</v>
      </c>
      <c r="H165" s="40">
        <f>+F165-G165</f>
        <v>0</v>
      </c>
      <c r="I165" s="39"/>
      <c r="J165" s="39"/>
      <c r="K165" s="39"/>
      <c r="L165" s="39"/>
      <c r="M165" s="39"/>
      <c r="N165" s="39"/>
      <c r="O165" s="38">
        <f>IFERROR(VLOOKUP("14_"&amp;A165,SyS!$B:$P,10,FALSE()),0)</f>
        <v>0</v>
      </c>
      <c r="P165" s="39">
        <f>IFERROR(VLOOKUP("14_"&amp;A165,SyS!$B:$P,12,FALSE()),0)</f>
        <v>0</v>
      </c>
      <c r="Q165" s="40">
        <f>+O165-P165</f>
        <v>0</v>
      </c>
      <c r="R165" s="38">
        <f>IFERROR(VLOOKUP("15_"&amp;A165,SyS!$B:$P,10,FALSE()),0)</f>
        <v>0</v>
      </c>
      <c r="S165" s="39">
        <f>IFERROR(VLOOKUP("15_"&amp;A165,SyS!$B:$P,12,FALSE()),0)</f>
        <v>0</v>
      </c>
      <c r="T165" s="40">
        <f>+R165-S165</f>
        <v>0</v>
      </c>
      <c r="U165" s="38">
        <f>IFERROR(VLOOKUP("16_"&amp;A165,SyS!$B:$P,10,FALSE()),0)</f>
        <v>0</v>
      </c>
      <c r="V165" s="39">
        <f>IFERROR(VLOOKUP("16_"&amp;A165,SyS!$B:$P,12,FALSE()),0)</f>
        <v>0</v>
      </c>
      <c r="W165" s="40">
        <f>+U165-V165</f>
        <v>0</v>
      </c>
      <c r="X165" s="38">
        <f>IFERROR(VLOOKUP("13_"&amp;A165,SyS!$B:$P,10,FALSE()),0)</f>
        <v>0</v>
      </c>
      <c r="Y165" s="39">
        <f>IFERROR(VLOOKUP("13_"&amp;A165,SyS!$B:$P,12,FALSE()),0)</f>
        <v>0</v>
      </c>
      <c r="Z165" s="40">
        <f>+X165-Y165</f>
        <v>0</v>
      </c>
      <c r="AA165" s="38">
        <f>IFERROR(VLOOKUP("17_"&amp;A165,SyS!$B:$P,10,FALSE()),0)</f>
        <v>0</v>
      </c>
      <c r="AB165" s="39">
        <f>IFERROR(VLOOKUP("17_"&amp;A165,SyS!$B:$P,12,FALSE()),0)</f>
        <v>0</v>
      </c>
      <c r="AC165" s="40">
        <f>+AA165-AB165</f>
        <v>0</v>
      </c>
      <c r="AD165" s="39"/>
      <c r="AE165" s="39"/>
      <c r="AF165" s="39"/>
      <c r="AG165" s="39">
        <f>IFERROR(VLOOKUP("19_"&amp;A165,SyS!$B:$P,10,FALSE()),0)</f>
        <v>0</v>
      </c>
      <c r="AH165" s="39">
        <f>IFERROR(VLOOKUP("19_"&amp;A165,SyS!$B:$P,12,FALSE()),0)</f>
        <v>0</v>
      </c>
      <c r="AI165" s="39">
        <f>+AG165-AH165</f>
        <v>0</v>
      </c>
      <c r="AJ165" s="39"/>
      <c r="AK165" s="39"/>
      <c r="AL165" s="39"/>
      <c r="AM165" s="38">
        <f>IFERROR(VLOOKUP("23_"&amp;A165,SyS!$B:$P,10,FALSE()),0)</f>
        <v>0</v>
      </c>
      <c r="AN165" s="39">
        <f>IFERROR(VLOOKUP("23_"&amp;A165,SyS!$B:$P,12,FALSE()),0)</f>
        <v>0</v>
      </c>
      <c r="AO165" s="40">
        <f>+AM165-AN165</f>
        <v>0</v>
      </c>
      <c r="AP165" s="39"/>
      <c r="AQ165" s="39"/>
      <c r="AR165" s="39"/>
      <c r="AS165" s="39"/>
      <c r="AT165" s="39"/>
      <c r="AU165" s="39"/>
      <c r="AV165" s="39"/>
      <c r="AW165" s="39"/>
      <c r="AX165" s="39"/>
      <c r="AY165" s="39"/>
      <c r="AZ165" s="39"/>
      <c r="BA165" s="39"/>
      <c r="BB165" s="39"/>
      <c r="BC165" s="39"/>
      <c r="BD165" s="39"/>
      <c r="BE165" s="39"/>
      <c r="BF165" s="39"/>
      <c r="BG165" s="39"/>
      <c r="BH165" s="39"/>
      <c r="BI165" s="39"/>
      <c r="BJ165" s="39"/>
      <c r="BK165" s="39">
        <f>IFERROR(VLOOKUP("29_"&amp;A165,SyS!$B:$P,10,FALSE()),0)</f>
        <v>0</v>
      </c>
      <c r="BL165" s="39">
        <f>IFERROR(VLOOKUP("29_"&amp;A165,SyS!$B:$P,12,FALSE()),0)</f>
        <v>0</v>
      </c>
      <c r="BM165" s="39">
        <f>+BK165-BL165</f>
        <v>0</v>
      </c>
      <c r="BN165" s="38">
        <f>IFERROR(VLOOKUP("30_"&amp;A165,SyS!$B:$P,10,FALSE()),0)</f>
        <v>0</v>
      </c>
      <c r="BO165" s="39">
        <f>IFERROR(VLOOKUP("30_"&amp;A165,SyS!$B:$P,12,FALSE()),0)</f>
        <v>0</v>
      </c>
      <c r="BP165" s="40">
        <f>+BN165-BO165</f>
        <v>0</v>
      </c>
      <c r="BQ165" s="45">
        <f>+E165+H165+K165+Q165+T165+W165+Z165+AC165+AF165+AI165+AL165+AO165+AR165+AU165+AX165+BA165+BD165+BG165+BJ165+BM165+BP165</f>
        <v>0</v>
      </c>
    </row>
    <row r="166" ht="11.25" customHeight="1" spans="1:69" x14ac:dyDescent="0.25">
      <c r="A166" s="44">
        <v>425990000</v>
      </c>
      <c r="B166" s="44" t="s">
        <v>395</v>
      </c>
      <c r="C166" s="38">
        <f>IFERROR(VLOOKUP("1_"&amp;A166,SyS!$B:$P,10,FALSE()),0)</f>
        <v>0</v>
      </c>
      <c r="D166" s="39">
        <f>IFERROR(VLOOKUP("1_"&amp;A166,SyS!$B:$P,12,FALSE()),0)</f>
        <v>0</v>
      </c>
      <c r="E166" s="39">
        <f>+C166-D166</f>
        <v>0</v>
      </c>
      <c r="F166" s="38">
        <f>IFERROR(VLOOKUP("2_"&amp;A166,SyS!$B:$P,10,FALSE()),0)</f>
        <v>0</v>
      </c>
      <c r="G166" s="39">
        <f>IFERROR(VLOOKUP("2_"&amp;A166,SyS!$B:$P,12,FALSE()),0)</f>
        <v>0</v>
      </c>
      <c r="H166" s="40">
        <f>+F166-G166</f>
        <v>0</v>
      </c>
      <c r="I166" s="39"/>
      <c r="J166" s="39"/>
      <c r="K166" s="39"/>
      <c r="L166" s="39"/>
      <c r="M166" s="39"/>
      <c r="N166" s="39"/>
      <c r="O166" s="38">
        <f>IFERROR(VLOOKUP("14_"&amp;A166,SyS!$B:$P,10,FALSE()),0)</f>
        <v>0</v>
      </c>
      <c r="P166" s="39">
        <f>IFERROR(VLOOKUP("14_"&amp;A166,SyS!$B:$P,12,FALSE()),0)</f>
        <v>0</v>
      </c>
      <c r="Q166" s="40">
        <f>+O166-P166</f>
        <v>0</v>
      </c>
      <c r="R166" s="38">
        <f>IFERROR(VLOOKUP("15_"&amp;A166,SyS!$B:$P,10,FALSE()),0)</f>
        <v>0</v>
      </c>
      <c r="S166" s="39">
        <f>IFERROR(VLOOKUP("15_"&amp;A166,SyS!$B:$P,12,FALSE()),0)</f>
        <v>0</v>
      </c>
      <c r="T166" s="40">
        <f>+R166-S166</f>
        <v>0</v>
      </c>
      <c r="U166" s="38">
        <f>IFERROR(VLOOKUP("16_"&amp;A166,SyS!$B:$P,10,FALSE()),0)</f>
        <v>0</v>
      </c>
      <c r="V166" s="39">
        <f>IFERROR(VLOOKUP("16_"&amp;A166,SyS!$B:$P,12,FALSE()),0)</f>
        <v>0</v>
      </c>
      <c r="W166" s="40">
        <f>+U166-V166</f>
        <v>0</v>
      </c>
      <c r="X166" s="38">
        <f>IFERROR(VLOOKUP("13_"&amp;A166,SyS!$B:$P,10,FALSE()),0)</f>
        <v>0</v>
      </c>
      <c r="Y166" s="39">
        <f>IFERROR(VLOOKUP("13_"&amp;A166,SyS!$B:$P,12,FALSE()),0)</f>
        <v>0</v>
      </c>
      <c r="Z166" s="40">
        <f>+X166-Y166</f>
        <v>0</v>
      </c>
      <c r="AA166" s="38">
        <f>IFERROR(VLOOKUP("17_"&amp;A166,SyS!$B:$P,10,FALSE()),0)</f>
        <v>0</v>
      </c>
      <c r="AB166" s="39">
        <f>IFERROR(VLOOKUP("17_"&amp;A166,SyS!$B:$P,12,FALSE()),0)</f>
        <v>0</v>
      </c>
      <c r="AC166" s="40">
        <f>+AA166-AB166</f>
        <v>0</v>
      </c>
      <c r="AD166" s="39"/>
      <c r="AE166" s="39"/>
      <c r="AF166" s="39"/>
      <c r="AG166" s="39">
        <f>IFERROR(VLOOKUP("19_"&amp;A166,SyS!$B:$P,10,FALSE()),0)</f>
        <v>0</v>
      </c>
      <c r="AH166" s="39">
        <f>IFERROR(VLOOKUP("19_"&amp;A166,SyS!$B:$P,12,FALSE()),0)</f>
        <v>0</v>
      </c>
      <c r="AI166" s="39">
        <f>+AG166-AH166</f>
        <v>0</v>
      </c>
      <c r="AJ166" s="39"/>
      <c r="AK166" s="39"/>
      <c r="AL166" s="39"/>
      <c r="AM166" s="38">
        <f>IFERROR(VLOOKUP("23_"&amp;A166,SyS!$B:$P,10,FALSE()),0)</f>
        <v>0</v>
      </c>
      <c r="AN166" s="39">
        <f>IFERROR(VLOOKUP("23_"&amp;A166,SyS!$B:$P,12,FALSE()),0)</f>
        <v>0</v>
      </c>
      <c r="AO166" s="40">
        <f>+AM166-AN166</f>
        <v>0</v>
      </c>
      <c r="AP166" s="39"/>
      <c r="AQ166" s="39"/>
      <c r="AR166" s="39"/>
      <c r="AS166" s="39"/>
      <c r="AT166" s="39"/>
      <c r="AU166" s="39"/>
      <c r="AV166" s="39"/>
      <c r="AW166" s="39"/>
      <c r="AX166" s="39"/>
      <c r="AY166" s="39"/>
      <c r="AZ166" s="39"/>
      <c r="BA166" s="39"/>
      <c r="BB166" s="39"/>
      <c r="BC166" s="39"/>
      <c r="BD166" s="39"/>
      <c r="BE166" s="39"/>
      <c r="BF166" s="39"/>
      <c r="BG166" s="39"/>
      <c r="BH166" s="39"/>
      <c r="BI166" s="39"/>
      <c r="BJ166" s="39"/>
      <c r="BK166" s="39">
        <f>IFERROR(VLOOKUP("29_"&amp;A166,SyS!$B:$P,10,FALSE()),0)</f>
        <v>0</v>
      </c>
      <c r="BL166" s="39">
        <f>IFERROR(VLOOKUP("29_"&amp;A166,SyS!$B:$P,12,FALSE()),0)</f>
        <v>0</v>
      </c>
      <c r="BM166" s="39">
        <f>+BK166-BL166</f>
        <v>0</v>
      </c>
      <c r="BN166" s="38">
        <f>IFERROR(VLOOKUP("30_"&amp;A166,SyS!$B:$P,10,FALSE()),0)</f>
        <v>0</v>
      </c>
      <c r="BO166" s="39">
        <f>IFERROR(VLOOKUP("30_"&amp;A166,SyS!$B:$P,12,FALSE()),0)</f>
        <v>0</v>
      </c>
      <c r="BP166" s="40">
        <f>+BN166-BO166</f>
        <v>0</v>
      </c>
      <c r="BQ166" s="45">
        <f>+E166+H166+K166+Q166+T166+W166+Z166+AC166+AF166+AI166+AL166+AO166+AR166+AU166+AX166+BA166+BD166+BG166+BJ166+BM166+BP166</f>
        <v>0</v>
      </c>
    </row>
    <row r="167" ht="11.25" customHeight="1" spans="1:69" x14ac:dyDescent="0.25">
      <c r="A167" s="44">
        <v>425810000</v>
      </c>
      <c r="B167" s="44" t="s">
        <v>396</v>
      </c>
      <c r="C167" s="38">
        <f>IFERROR(VLOOKUP("1_"&amp;A167,SyS!$B:$P,10,FALSE()),0)</f>
        <v>0</v>
      </c>
      <c r="D167" s="39">
        <f>IFERROR(VLOOKUP("1_"&amp;A167,SyS!$B:$P,12,FALSE()),0)</f>
        <v>0</v>
      </c>
      <c r="E167" s="39">
        <f>+C167-D167</f>
        <v>0</v>
      </c>
      <c r="F167" s="38">
        <f>IFERROR(VLOOKUP("2_"&amp;A167,SyS!$B:$P,10,FALSE()),0)</f>
        <v>0</v>
      </c>
      <c r="G167" s="39">
        <f>IFERROR(VLOOKUP("2_"&amp;A167,SyS!$B:$P,12,FALSE()),0)</f>
        <v>0</v>
      </c>
      <c r="H167" s="40">
        <f>+F167-G167</f>
        <v>0</v>
      </c>
      <c r="I167" s="39"/>
      <c r="J167" s="39"/>
      <c r="K167" s="39"/>
      <c r="L167" s="39"/>
      <c r="M167" s="39"/>
      <c r="N167" s="39"/>
      <c r="O167" s="38">
        <f>IFERROR(VLOOKUP("14_"&amp;A167,SyS!$B:$P,10,FALSE()),0)</f>
        <v>0</v>
      </c>
      <c r="P167" s="39">
        <f>IFERROR(VLOOKUP("14_"&amp;A167,SyS!$B:$P,12,FALSE()),0)</f>
        <v>0</v>
      </c>
      <c r="Q167" s="40">
        <f>+O167-P167</f>
        <v>0</v>
      </c>
      <c r="R167" s="38">
        <f>IFERROR(VLOOKUP("15_"&amp;A167,SyS!$B:$P,10,FALSE()),0)</f>
        <v>0</v>
      </c>
      <c r="S167" s="39">
        <f>IFERROR(VLOOKUP("15_"&amp;A167,SyS!$B:$P,12,FALSE()),0)</f>
        <v>0</v>
      </c>
      <c r="T167" s="40">
        <f>+R167-S167</f>
        <v>0</v>
      </c>
      <c r="U167" s="38">
        <f>IFERROR(VLOOKUP("16_"&amp;A167,SyS!$B:$P,10,FALSE()),0)</f>
        <v>0</v>
      </c>
      <c r="V167" s="39">
        <f>IFERROR(VLOOKUP("16_"&amp;A167,SyS!$B:$P,12,FALSE()),0)</f>
        <v>0</v>
      </c>
      <c r="W167" s="40">
        <f>+U167-V167</f>
        <v>0</v>
      </c>
      <c r="X167" s="38">
        <f>IFERROR(VLOOKUP("13_"&amp;A167,SyS!$B:$P,10,FALSE()),0)</f>
        <v>0</v>
      </c>
      <c r="Y167" s="39">
        <f>IFERROR(VLOOKUP("13_"&amp;A167,SyS!$B:$P,12,FALSE()),0)</f>
        <v>0</v>
      </c>
      <c r="Z167" s="40">
        <f>+X167-Y167</f>
        <v>0</v>
      </c>
      <c r="AA167" s="38">
        <f>IFERROR(VLOOKUP("17_"&amp;A167,SyS!$B:$P,10,FALSE()),0)</f>
        <v>0</v>
      </c>
      <c r="AB167" s="39">
        <f>IFERROR(VLOOKUP("17_"&amp;A167,SyS!$B:$P,12,FALSE()),0)</f>
        <v>0</v>
      </c>
      <c r="AC167" s="40">
        <f>+AA167-AB167</f>
        <v>0</v>
      </c>
      <c r="AD167" s="39"/>
      <c r="AE167" s="39"/>
      <c r="AF167" s="39"/>
      <c r="AG167" s="39">
        <f>IFERROR(VLOOKUP("19_"&amp;A167,SyS!$B:$P,10,FALSE()),0)</f>
        <v>0</v>
      </c>
      <c r="AH167" s="39">
        <f>IFERROR(VLOOKUP("19_"&amp;A167,SyS!$B:$P,12,FALSE()),0)</f>
        <v>0</v>
      </c>
      <c r="AI167" s="39">
        <f>+AG167-AH167</f>
        <v>0</v>
      </c>
      <c r="AJ167" s="39"/>
      <c r="AK167" s="39"/>
      <c r="AL167" s="39"/>
      <c r="AM167" s="38">
        <f>IFERROR(VLOOKUP("23_"&amp;A167,SyS!$B:$P,10,FALSE()),0)</f>
        <v>0</v>
      </c>
      <c r="AN167" s="39">
        <f>IFERROR(VLOOKUP("23_"&amp;A167,SyS!$B:$P,12,FALSE()),0)</f>
        <v>0</v>
      </c>
      <c r="AO167" s="40">
        <f>+AM167-AN167</f>
        <v>0</v>
      </c>
      <c r="AP167" s="39"/>
      <c r="AQ167" s="39"/>
      <c r="AR167" s="39"/>
      <c r="AS167" s="39"/>
      <c r="AT167" s="39"/>
      <c r="AU167" s="39"/>
      <c r="AV167" s="39"/>
      <c r="AW167" s="39"/>
      <c r="AX167" s="39"/>
      <c r="AY167" s="39"/>
      <c r="AZ167" s="39"/>
      <c r="BA167" s="39"/>
      <c r="BB167" s="39"/>
      <c r="BC167" s="39"/>
      <c r="BD167" s="39"/>
      <c r="BE167" s="39"/>
      <c r="BF167" s="39"/>
      <c r="BG167" s="39"/>
      <c r="BH167" s="39"/>
      <c r="BI167" s="39"/>
      <c r="BJ167" s="39"/>
      <c r="BK167" s="39">
        <f>IFERROR(VLOOKUP("29_"&amp;A167,SyS!$B:$P,10,FALSE()),0)</f>
        <v>0</v>
      </c>
      <c r="BL167" s="39">
        <f>IFERROR(VLOOKUP("29_"&amp;A167,SyS!$B:$P,12,FALSE()),0)</f>
        <v>0</v>
      </c>
      <c r="BM167" s="39">
        <f>+BK167-BL167</f>
        <v>0</v>
      </c>
      <c r="BN167" s="38">
        <f>IFERROR(VLOOKUP("30_"&amp;A167,SyS!$B:$P,10,FALSE()),0)</f>
        <v>0</v>
      </c>
      <c r="BO167" s="39">
        <f>IFERROR(VLOOKUP("30_"&amp;A167,SyS!$B:$P,12,FALSE()),0)</f>
        <v>0</v>
      </c>
      <c r="BP167" s="40">
        <f>+BN167-BO167</f>
        <v>0</v>
      </c>
      <c r="BQ167" s="45">
        <f>+E167+H167+K167+Q167+T167+W167+Z167+AC167+AF167+AI167+AL167+AO167+AR167+AU167+AX167+BA167+BD167+BG167+BJ167+BM167+BP167</f>
        <v>0</v>
      </c>
    </row>
    <row r="168" ht="11.25" customHeight="1" spans="1:69" x14ac:dyDescent="0.25">
      <c r="A168" s="44">
        <v>425260000</v>
      </c>
      <c r="B168" s="18" t="s">
        <v>397</v>
      </c>
      <c r="C168" s="38">
        <f>IFERROR(VLOOKUP("1_"&amp;A168,SyS!$B:$P,10,FALSE()),0)</f>
        <v>0</v>
      </c>
      <c r="D168" s="39">
        <f>IFERROR(VLOOKUP("1_"&amp;A168,SyS!$B:$P,12,FALSE()),0)</f>
        <v>0</v>
      </c>
      <c r="E168" s="39">
        <f>+C168-D168</f>
        <v>0</v>
      </c>
      <c r="F168" s="38">
        <f>IFERROR(VLOOKUP("2_"&amp;A168,SyS!$B:$P,10,FALSE()),0)</f>
        <v>0</v>
      </c>
      <c r="G168" s="39">
        <f>IFERROR(VLOOKUP("2_"&amp;A168,SyS!$B:$P,12,FALSE()),0)</f>
        <v>0</v>
      </c>
      <c r="H168" s="40">
        <f>+F168-G168</f>
        <v>0</v>
      </c>
      <c r="I168" s="39"/>
      <c r="J168" s="39"/>
      <c r="K168" s="39"/>
      <c r="L168" s="39"/>
      <c r="M168" s="39"/>
      <c r="N168" s="39"/>
      <c r="O168" s="38">
        <f>IFERROR(VLOOKUP("14_"&amp;A168,SyS!$B:$P,10,FALSE()),0)</f>
        <v>0</v>
      </c>
      <c r="P168" s="39">
        <f>IFERROR(VLOOKUP("14_"&amp;A168,SyS!$B:$P,12,FALSE()),0)</f>
        <v>0</v>
      </c>
      <c r="Q168" s="40">
        <f>+O168-P168</f>
        <v>0</v>
      </c>
      <c r="R168" s="38">
        <f>IFERROR(VLOOKUP("15_"&amp;A168,SyS!$B:$P,10,FALSE()),0)</f>
        <v>0</v>
      </c>
      <c r="S168" s="39">
        <f>IFERROR(VLOOKUP("15_"&amp;A168,SyS!$B:$P,12,FALSE()),0)</f>
        <v>0</v>
      </c>
      <c r="T168" s="40">
        <f>+R168-S168</f>
        <v>0</v>
      </c>
      <c r="U168" s="38">
        <f>IFERROR(VLOOKUP("16_"&amp;A168,SyS!$B:$P,10,FALSE()),0)</f>
        <v>0</v>
      </c>
      <c r="V168" s="39">
        <f>IFERROR(VLOOKUP("16_"&amp;A168,SyS!$B:$P,12,FALSE()),0)</f>
        <v>0</v>
      </c>
      <c r="W168" s="40">
        <f>+U168-V168</f>
        <v>0</v>
      </c>
      <c r="X168" s="38">
        <f>IFERROR(VLOOKUP("13_"&amp;A168,SyS!$B:$P,10,FALSE()),0)</f>
        <v>0</v>
      </c>
      <c r="Y168" s="39">
        <f>IFERROR(VLOOKUP("13_"&amp;A168,SyS!$B:$P,12,FALSE()),0)</f>
        <v>0</v>
      </c>
      <c r="Z168" s="40">
        <f>+X168-Y168</f>
        <v>0</v>
      </c>
      <c r="AA168" s="38">
        <f>IFERROR(VLOOKUP("17_"&amp;A168,SyS!$B:$P,10,FALSE()),0)</f>
        <v>0</v>
      </c>
      <c r="AB168" s="39">
        <f>IFERROR(VLOOKUP("17_"&amp;A168,SyS!$B:$P,12,FALSE()),0)</f>
        <v>0</v>
      </c>
      <c r="AC168" s="40">
        <f>+AA168-AB168</f>
        <v>0</v>
      </c>
      <c r="AD168" s="39"/>
      <c r="AE168" s="39"/>
      <c r="AF168" s="39"/>
      <c r="AG168" s="39">
        <f>IFERROR(VLOOKUP("19_"&amp;A168,SyS!$B:$P,10,FALSE()),0)</f>
        <v>0</v>
      </c>
      <c r="AH168" s="39">
        <f>IFERROR(VLOOKUP("19_"&amp;A168,SyS!$B:$P,12,FALSE()),0)</f>
        <v>0</v>
      </c>
      <c r="AI168" s="39">
        <f>+AG168-AH168</f>
        <v>0</v>
      </c>
      <c r="AJ168" s="39"/>
      <c r="AK168" s="39"/>
      <c r="AL168" s="39"/>
      <c r="AM168" s="38">
        <f>IFERROR(VLOOKUP("23_"&amp;A168,SyS!$B:$P,10,FALSE()),0)</f>
        <v>0</v>
      </c>
      <c r="AN168" s="39">
        <f>IFERROR(VLOOKUP("23_"&amp;A168,SyS!$B:$P,12,FALSE()),0)</f>
        <v>0</v>
      </c>
      <c r="AO168" s="40">
        <f>+AM168-AN168</f>
        <v>0</v>
      </c>
      <c r="AP168" s="39"/>
      <c r="AQ168" s="39"/>
      <c r="AR168" s="39"/>
      <c r="AS168" s="39"/>
      <c r="AT168" s="39"/>
      <c r="AU168" s="39"/>
      <c r="AV168" s="39"/>
      <c r="AW168" s="39"/>
      <c r="AX168" s="39"/>
      <c r="AY168" s="39"/>
      <c r="AZ168" s="39"/>
      <c r="BA168" s="39"/>
      <c r="BB168" s="39"/>
      <c r="BC168" s="39"/>
      <c r="BD168" s="39"/>
      <c r="BE168" s="39"/>
      <c r="BF168" s="39"/>
      <c r="BG168" s="39"/>
      <c r="BH168" s="39"/>
      <c r="BI168" s="39"/>
      <c r="BJ168" s="39"/>
      <c r="BK168" s="39">
        <f>IFERROR(VLOOKUP("29_"&amp;A168,SyS!$B:$P,10,FALSE()),0)</f>
        <v>0</v>
      </c>
      <c r="BL168" s="39">
        <f>IFERROR(VLOOKUP("29_"&amp;A168,SyS!$B:$P,12,FALSE()),0)</f>
        <v>0</v>
      </c>
      <c r="BM168" s="39">
        <f>+BK168-BL168</f>
        <v>0</v>
      </c>
      <c r="BN168" s="38">
        <f>IFERROR(VLOOKUP("30_"&amp;A168,SyS!$B:$P,10,FALSE()),0)</f>
        <v>0</v>
      </c>
      <c r="BO168" s="39">
        <f>IFERROR(VLOOKUP("30_"&amp;A168,SyS!$B:$P,12,FALSE()),0)</f>
        <v>0</v>
      </c>
      <c r="BP168" s="40">
        <f>+BN168-BO168</f>
        <v>0</v>
      </c>
      <c r="BQ168" s="45">
        <f>+E168+H168+K168+Q168+T168+W168+Z168+AC168+AF168+AI168+AL168+AO168+AR168+AU168+AX168+BA168+BD168+BG168+BJ168+BM168+BP168</f>
        <v>0</v>
      </c>
    </row>
    <row r="169" ht="11.25" customHeight="1" spans="1:69" x14ac:dyDescent="0.25">
      <c r="A169" s="44">
        <v>425270000</v>
      </c>
      <c r="B169" s="18" t="s">
        <v>398</v>
      </c>
      <c r="C169" s="38">
        <f>IFERROR(VLOOKUP("1_"&amp;A169,SyS!$B:$P,10,FALSE()),0)</f>
        <v>0</v>
      </c>
      <c r="D169" s="39">
        <f>IFERROR(VLOOKUP("1_"&amp;A169,SyS!$B:$P,12,FALSE()),0)</f>
        <v>0</v>
      </c>
      <c r="E169" s="39">
        <f>+C169-D169</f>
        <v>0</v>
      </c>
      <c r="F169" s="38">
        <f>IFERROR(VLOOKUP("2_"&amp;A169,SyS!$B:$P,10,FALSE()),0)</f>
        <v>0</v>
      </c>
      <c r="G169" s="39">
        <f>IFERROR(VLOOKUP("2_"&amp;A169,SyS!$B:$P,12,FALSE()),0)</f>
        <v>0</v>
      </c>
      <c r="H169" s="40">
        <f>+F169-G169</f>
        <v>0</v>
      </c>
      <c r="I169" s="39"/>
      <c r="J169" s="39"/>
      <c r="K169" s="39"/>
      <c r="L169" s="39"/>
      <c r="M169" s="39"/>
      <c r="N169" s="39"/>
      <c r="O169" s="38">
        <f>IFERROR(VLOOKUP("14_"&amp;A169,SyS!$B:$P,10,FALSE()),0)</f>
        <v>0</v>
      </c>
      <c r="P169" s="39">
        <f>IFERROR(VLOOKUP("14_"&amp;A169,SyS!$B:$P,12,FALSE()),0)</f>
        <v>0</v>
      </c>
      <c r="Q169" s="40">
        <f>+O169-P169</f>
        <v>0</v>
      </c>
      <c r="R169" s="38">
        <f>IFERROR(VLOOKUP("15_"&amp;A169,SyS!$B:$P,10,FALSE()),0)</f>
        <v>0</v>
      </c>
      <c r="S169" s="39">
        <f>IFERROR(VLOOKUP("15_"&amp;A169,SyS!$B:$P,12,FALSE()),0)</f>
        <v>0</v>
      </c>
      <c r="T169" s="40">
        <f>+R169-S169</f>
        <v>0</v>
      </c>
      <c r="U169" s="38">
        <f>IFERROR(VLOOKUP("16_"&amp;A169,SyS!$B:$P,10,FALSE()),0)</f>
        <v>0</v>
      </c>
      <c r="V169" s="39">
        <f>IFERROR(VLOOKUP("16_"&amp;A169,SyS!$B:$P,12,FALSE()),0)</f>
        <v>0</v>
      </c>
      <c r="W169" s="40">
        <f>+U169-V169</f>
        <v>0</v>
      </c>
      <c r="X169" s="38">
        <f>IFERROR(VLOOKUP("13_"&amp;A169,SyS!$B:$P,10,FALSE()),0)</f>
        <v>0</v>
      </c>
      <c r="Y169" s="39">
        <f>IFERROR(VLOOKUP("13_"&amp;A169,SyS!$B:$P,12,FALSE()),0)</f>
        <v>0</v>
      </c>
      <c r="Z169" s="40">
        <f>+X169-Y169</f>
        <v>0</v>
      </c>
      <c r="AA169" s="38">
        <f>IFERROR(VLOOKUP("17_"&amp;A169,SyS!$B:$P,10,FALSE()),0)</f>
        <v>0</v>
      </c>
      <c r="AB169" s="39">
        <f>IFERROR(VLOOKUP("17_"&amp;A169,SyS!$B:$P,12,FALSE()),0)</f>
        <v>0</v>
      </c>
      <c r="AC169" s="40">
        <f>+AA169-AB169</f>
        <v>0</v>
      </c>
      <c r="AD169" s="39"/>
      <c r="AE169" s="39"/>
      <c r="AF169" s="39"/>
      <c r="AG169" s="39">
        <f>IFERROR(VLOOKUP("19_"&amp;A169,SyS!$B:$P,10,FALSE()),0)</f>
        <v>0</v>
      </c>
      <c r="AH169" s="39">
        <f>IFERROR(VLOOKUP("19_"&amp;A169,SyS!$B:$P,12,FALSE()),0)</f>
        <v>0</v>
      </c>
      <c r="AI169" s="39">
        <f>+AG169-AH169</f>
        <v>0</v>
      </c>
      <c r="AJ169" s="39"/>
      <c r="AK169" s="39"/>
      <c r="AL169" s="39"/>
      <c r="AM169" s="38">
        <f>IFERROR(VLOOKUP("23_"&amp;A169,SyS!$B:$P,10,FALSE()),0)</f>
        <v>0</v>
      </c>
      <c r="AN169" s="39">
        <f>IFERROR(VLOOKUP("23_"&amp;A169,SyS!$B:$P,12,FALSE()),0)</f>
        <v>0</v>
      </c>
      <c r="AO169" s="40">
        <f>+AM169-AN169</f>
        <v>0</v>
      </c>
      <c r="AP169" s="39"/>
      <c r="AQ169" s="39"/>
      <c r="AR169" s="39"/>
      <c r="AS169" s="39"/>
      <c r="AT169" s="39"/>
      <c r="AU169" s="39"/>
      <c r="AV169" s="39"/>
      <c r="AW169" s="39"/>
      <c r="AX169" s="39"/>
      <c r="AY169" s="39"/>
      <c r="AZ169" s="39"/>
      <c r="BA169" s="39"/>
      <c r="BB169" s="39"/>
      <c r="BC169" s="39"/>
      <c r="BD169" s="39"/>
      <c r="BE169" s="39"/>
      <c r="BF169" s="39"/>
      <c r="BG169" s="39"/>
      <c r="BH169" s="39"/>
      <c r="BI169" s="39"/>
      <c r="BJ169" s="39"/>
      <c r="BK169" s="39">
        <f>IFERROR(VLOOKUP("29_"&amp;A169,SyS!$B:$P,10,FALSE()),0)</f>
        <v>0</v>
      </c>
      <c r="BL169" s="39">
        <f>IFERROR(VLOOKUP("29_"&amp;A169,SyS!$B:$P,12,FALSE()),0)</f>
        <v>0</v>
      </c>
      <c r="BM169" s="39">
        <f>+BK169-BL169</f>
        <v>0</v>
      </c>
      <c r="BN169" s="38">
        <f>IFERROR(VLOOKUP("30_"&amp;A169,SyS!$B:$P,10,FALSE()),0)</f>
        <v>0</v>
      </c>
      <c r="BO169" s="39">
        <f>IFERROR(VLOOKUP("30_"&amp;A169,SyS!$B:$P,12,FALSE()),0)</f>
        <v>0</v>
      </c>
      <c r="BP169" s="40">
        <f>+BN169-BO169</f>
        <v>0</v>
      </c>
      <c r="BQ169" s="45">
        <f>+E169+H169+K169+Q169+T169+W169+Z169+AC169+AF169+AI169+AL169+AO169+AR169+AU169+AX169+BA169+BD169+BG169+BJ169+BM169+BP169</f>
        <v>0</v>
      </c>
    </row>
    <row r="170" ht="11.25" customHeight="1" spans="1:69" x14ac:dyDescent="0.25">
      <c r="A170" s="44">
        <v>425280000</v>
      </c>
      <c r="B170" s="18" t="s">
        <v>399</v>
      </c>
      <c r="C170" s="38">
        <f>IFERROR(VLOOKUP("1_"&amp;A170,SyS!$B:$P,10,FALSE()),0)</f>
        <v>0</v>
      </c>
      <c r="D170" s="39">
        <f>IFERROR(VLOOKUP("1_"&amp;A170,SyS!$B:$P,12,FALSE()),0)</f>
        <v>0</v>
      </c>
      <c r="E170" s="39">
        <f>+C170-D170</f>
        <v>0</v>
      </c>
      <c r="F170" s="38">
        <f>IFERROR(VLOOKUP("2_"&amp;A170,SyS!$B:$P,10,FALSE()),0)</f>
        <v>0</v>
      </c>
      <c r="G170" s="39">
        <f>IFERROR(VLOOKUP("2_"&amp;A170,SyS!$B:$P,12,FALSE()),0)</f>
        <v>0</v>
      </c>
      <c r="H170" s="40">
        <f>+F170-G170</f>
        <v>0</v>
      </c>
      <c r="I170" s="39"/>
      <c r="J170" s="39"/>
      <c r="K170" s="39"/>
      <c r="L170" s="39"/>
      <c r="M170" s="39"/>
      <c r="N170" s="39"/>
      <c r="O170" s="38">
        <f>IFERROR(VLOOKUP("14_"&amp;A170,SyS!$B:$P,10,FALSE()),0)</f>
        <v>0</v>
      </c>
      <c r="P170" s="39">
        <f>IFERROR(VLOOKUP("14_"&amp;A170,SyS!$B:$P,12,FALSE()),0)</f>
        <v>0</v>
      </c>
      <c r="Q170" s="40">
        <f>+O170-P170</f>
        <v>0</v>
      </c>
      <c r="R170" s="38">
        <f>IFERROR(VLOOKUP("15_"&amp;A170,SyS!$B:$P,10,FALSE()),0)</f>
        <v>0</v>
      </c>
      <c r="S170" s="39">
        <f>IFERROR(VLOOKUP("15_"&amp;A170,SyS!$B:$P,12,FALSE()),0)</f>
        <v>0</v>
      </c>
      <c r="T170" s="40">
        <f>+R170-S170</f>
        <v>0</v>
      </c>
      <c r="U170" s="38">
        <f>IFERROR(VLOOKUP("16_"&amp;A170,SyS!$B:$P,10,FALSE()),0)</f>
        <v>0</v>
      </c>
      <c r="V170" s="39">
        <f>IFERROR(VLOOKUP("16_"&amp;A170,SyS!$B:$P,12,FALSE()),0)</f>
        <v>0</v>
      </c>
      <c r="W170" s="40">
        <f>+U170-V170</f>
        <v>0</v>
      </c>
      <c r="X170" s="38">
        <f>IFERROR(VLOOKUP("13_"&amp;A170,SyS!$B:$P,10,FALSE()),0)</f>
        <v>0</v>
      </c>
      <c r="Y170" s="39">
        <f>IFERROR(VLOOKUP("13_"&amp;A170,SyS!$B:$P,12,FALSE()),0)</f>
        <v>0</v>
      </c>
      <c r="Z170" s="40">
        <f>+X170-Y170</f>
        <v>0</v>
      </c>
      <c r="AA170" s="38">
        <f>IFERROR(VLOOKUP("17_"&amp;A170,SyS!$B:$P,10,FALSE()),0)</f>
        <v>0</v>
      </c>
      <c r="AB170" s="39">
        <f>IFERROR(VLOOKUP("17_"&amp;A170,SyS!$B:$P,12,FALSE()),0)</f>
        <v>0</v>
      </c>
      <c r="AC170" s="40">
        <f>+AA170-AB170</f>
        <v>0</v>
      </c>
      <c r="AD170" s="39"/>
      <c r="AE170" s="39"/>
      <c r="AF170" s="39"/>
      <c r="AG170" s="39">
        <f>IFERROR(VLOOKUP("19_"&amp;A170,SyS!$B:$P,10,FALSE()),0)</f>
        <v>0</v>
      </c>
      <c r="AH170" s="39">
        <f>IFERROR(VLOOKUP("19_"&amp;A170,SyS!$B:$P,12,FALSE()),0)</f>
        <v>0</v>
      </c>
      <c r="AI170" s="39">
        <f>+AG170-AH170</f>
        <v>0</v>
      </c>
      <c r="AJ170" s="39"/>
      <c r="AK170" s="39"/>
      <c r="AL170" s="39"/>
      <c r="AM170" s="38">
        <f>IFERROR(VLOOKUP("23_"&amp;A170,SyS!$B:$P,10,FALSE()),0)</f>
        <v>0</v>
      </c>
      <c r="AN170" s="39">
        <f>IFERROR(VLOOKUP("23_"&amp;A170,SyS!$B:$P,12,FALSE()),0)</f>
        <v>0</v>
      </c>
      <c r="AO170" s="40">
        <f>+AM170-AN170</f>
        <v>0</v>
      </c>
      <c r="AP170" s="39"/>
      <c r="AQ170" s="39"/>
      <c r="AR170" s="39"/>
      <c r="AS170" s="39"/>
      <c r="AT170" s="39"/>
      <c r="AU170" s="39"/>
      <c r="AV170" s="39"/>
      <c r="AW170" s="39"/>
      <c r="AX170" s="39"/>
      <c r="AY170" s="39"/>
      <c r="AZ170" s="39"/>
      <c r="BA170" s="39"/>
      <c r="BB170" s="39"/>
      <c r="BC170" s="39"/>
      <c r="BD170" s="39"/>
      <c r="BE170" s="39"/>
      <c r="BF170" s="39"/>
      <c r="BG170" s="39"/>
      <c r="BH170" s="39"/>
      <c r="BI170" s="39"/>
      <c r="BJ170" s="39"/>
      <c r="BK170" s="39">
        <f>IFERROR(VLOOKUP("29_"&amp;A170,SyS!$B:$P,10,FALSE()),0)</f>
        <v>0</v>
      </c>
      <c r="BL170" s="39">
        <f>IFERROR(VLOOKUP("29_"&amp;A170,SyS!$B:$P,12,FALSE()),0)</f>
        <v>0</v>
      </c>
      <c r="BM170" s="39">
        <f>+BK170-BL170</f>
        <v>0</v>
      </c>
      <c r="BN170" s="38">
        <f>IFERROR(VLOOKUP("30_"&amp;A170,SyS!$B:$P,10,FALSE()),0)</f>
        <v>0</v>
      </c>
      <c r="BO170" s="39">
        <f>IFERROR(VLOOKUP("30_"&amp;A170,SyS!$B:$P,12,FALSE()),0)</f>
        <v>0</v>
      </c>
      <c r="BP170" s="40">
        <f>+BN170-BO170</f>
        <v>0</v>
      </c>
      <c r="BQ170" s="45">
        <f>+E170+H170+K170+Q170+T170+W170+Z170+AC170+AF170+AI170+AL170+AO170+AR170+AU170+AX170+BA170+BD170+BG170+BJ170+BM170+BP170</f>
        <v>0</v>
      </c>
    </row>
    <row r="171" ht="11.25" customHeight="1" spans="1:69" x14ac:dyDescent="0.25">
      <c r="A171" s="44">
        <v>425290000</v>
      </c>
      <c r="B171" s="18" t="s">
        <v>400</v>
      </c>
      <c r="C171" s="38">
        <f>IFERROR(VLOOKUP("1_"&amp;A171,SyS!$B:$P,10,FALSE()),0)</f>
        <v>0</v>
      </c>
      <c r="D171" s="39">
        <f>IFERROR(VLOOKUP("1_"&amp;A171,SyS!$B:$P,12,FALSE()),0)</f>
        <v>0</v>
      </c>
      <c r="E171" s="39">
        <f>+C171-D171</f>
        <v>0</v>
      </c>
      <c r="F171" s="38">
        <f>IFERROR(VLOOKUP("2_"&amp;A171,SyS!$B:$P,10,FALSE()),0)</f>
        <v>0</v>
      </c>
      <c r="G171" s="39">
        <f>IFERROR(VLOOKUP("2_"&amp;A171,SyS!$B:$P,12,FALSE()),0)</f>
        <v>0</v>
      </c>
      <c r="H171" s="40">
        <f>+F171-G171</f>
        <v>0</v>
      </c>
      <c r="I171" s="39"/>
      <c r="J171" s="39"/>
      <c r="K171" s="39"/>
      <c r="L171" s="39"/>
      <c r="M171" s="39"/>
      <c r="N171" s="39"/>
      <c r="O171" s="38">
        <f>IFERROR(VLOOKUP("14_"&amp;A171,SyS!$B:$P,10,FALSE()),0)</f>
        <v>0</v>
      </c>
      <c r="P171" s="39">
        <f>IFERROR(VLOOKUP("14_"&amp;A171,SyS!$B:$P,12,FALSE()),0)</f>
        <v>0</v>
      </c>
      <c r="Q171" s="40">
        <f>+O171-P171</f>
        <v>0</v>
      </c>
      <c r="R171" s="38">
        <f>IFERROR(VLOOKUP("15_"&amp;A171,SyS!$B:$P,10,FALSE()),0)</f>
        <v>0</v>
      </c>
      <c r="S171" s="39">
        <f>IFERROR(VLOOKUP("15_"&amp;A171,SyS!$B:$P,12,FALSE()),0)</f>
        <v>0</v>
      </c>
      <c r="T171" s="40">
        <f>+R171-S171</f>
        <v>0</v>
      </c>
      <c r="U171" s="38">
        <f>IFERROR(VLOOKUP("16_"&amp;A171,SyS!$B:$P,10,FALSE()),0)</f>
        <v>0</v>
      </c>
      <c r="V171" s="39">
        <f>IFERROR(VLOOKUP("16_"&amp;A171,SyS!$B:$P,12,FALSE()),0)</f>
        <v>0</v>
      </c>
      <c r="W171" s="40">
        <f>+U171-V171</f>
        <v>0</v>
      </c>
      <c r="X171" s="38">
        <f>IFERROR(VLOOKUP("13_"&amp;A171,SyS!$B:$P,10,FALSE()),0)</f>
        <v>0</v>
      </c>
      <c r="Y171" s="39">
        <f>IFERROR(VLOOKUP("13_"&amp;A171,SyS!$B:$P,12,FALSE()),0)</f>
        <v>0</v>
      </c>
      <c r="Z171" s="40">
        <f>+X171-Y171</f>
        <v>0</v>
      </c>
      <c r="AA171" s="38">
        <f>IFERROR(VLOOKUP("17_"&amp;A171,SyS!$B:$P,10,FALSE()),0)</f>
        <v>0</v>
      </c>
      <c r="AB171" s="39">
        <f>IFERROR(VLOOKUP("17_"&amp;A171,SyS!$B:$P,12,FALSE()),0)</f>
        <v>0</v>
      </c>
      <c r="AC171" s="40">
        <f>+AA171-AB171</f>
        <v>0</v>
      </c>
      <c r="AD171" s="39"/>
      <c r="AE171" s="39"/>
      <c r="AF171" s="39"/>
      <c r="AG171" s="39">
        <f>IFERROR(VLOOKUP("19_"&amp;A171,SyS!$B:$P,10,FALSE()),0)</f>
        <v>0</v>
      </c>
      <c r="AH171" s="39">
        <f>IFERROR(VLOOKUP("19_"&amp;A171,SyS!$B:$P,12,FALSE()),0)</f>
        <v>0</v>
      </c>
      <c r="AI171" s="39">
        <f>+AG171-AH171</f>
        <v>0</v>
      </c>
      <c r="AJ171" s="39"/>
      <c r="AK171" s="39"/>
      <c r="AL171" s="39"/>
      <c r="AM171" s="38">
        <f>IFERROR(VLOOKUP("23_"&amp;A171,SyS!$B:$P,10,FALSE()),0)</f>
        <v>0</v>
      </c>
      <c r="AN171" s="39">
        <f>IFERROR(VLOOKUP("23_"&amp;A171,SyS!$B:$P,12,FALSE()),0)</f>
        <v>0</v>
      </c>
      <c r="AO171" s="40">
        <f>+AM171-AN171</f>
        <v>0</v>
      </c>
      <c r="AP171" s="39"/>
      <c r="AQ171" s="39"/>
      <c r="AR171" s="39"/>
      <c r="AS171" s="39"/>
      <c r="AT171" s="39"/>
      <c r="AU171" s="39"/>
      <c r="AV171" s="39"/>
      <c r="AW171" s="39"/>
      <c r="AX171" s="39"/>
      <c r="AY171" s="39"/>
      <c r="AZ171" s="39"/>
      <c r="BA171" s="39"/>
      <c r="BB171" s="39"/>
      <c r="BC171" s="39"/>
      <c r="BD171" s="39"/>
      <c r="BE171" s="39"/>
      <c r="BF171" s="39"/>
      <c r="BG171" s="39"/>
      <c r="BH171" s="39"/>
      <c r="BI171" s="39"/>
      <c r="BJ171" s="39"/>
      <c r="BK171" s="39">
        <f>IFERROR(VLOOKUP("29_"&amp;A171,SyS!$B:$P,10,FALSE()),0)</f>
        <v>0</v>
      </c>
      <c r="BL171" s="39">
        <f>IFERROR(VLOOKUP("29_"&amp;A171,SyS!$B:$P,12,FALSE()),0)</f>
        <v>0</v>
      </c>
      <c r="BM171" s="39">
        <f>+BK171-BL171</f>
        <v>0</v>
      </c>
      <c r="BN171" s="38">
        <f>IFERROR(VLOOKUP("30_"&amp;A171,SyS!$B:$P,10,FALSE()),0)</f>
        <v>0</v>
      </c>
      <c r="BO171" s="39">
        <f>IFERROR(VLOOKUP("30_"&amp;A171,SyS!$B:$P,12,FALSE()),0)</f>
        <v>0</v>
      </c>
      <c r="BP171" s="40">
        <f>+BN171-BO171</f>
        <v>0</v>
      </c>
      <c r="BQ171" s="45">
        <f>+E171+H171+K171+Q171+T171+W171+Z171+AC171+AF171+AI171+AL171+AO171+AR171+AU171+AX171+BA171+BD171+BG171+BJ171+BM171+BP171</f>
        <v>0</v>
      </c>
    </row>
    <row r="172" ht="11.25" customHeight="1" spans="1:69" x14ac:dyDescent="0.25">
      <c r="A172" s="44">
        <v>425310000</v>
      </c>
      <c r="B172" s="18" t="s">
        <v>401</v>
      </c>
      <c r="C172" s="38">
        <f>IFERROR(VLOOKUP("1_"&amp;A172,SyS!$B:$P,10,FALSE()),0)</f>
        <v>395.49</v>
      </c>
      <c r="D172" s="39">
        <f>IFERROR(VLOOKUP("1_"&amp;A172,SyS!$B:$P,12,FALSE()),0)</f>
        <v>0</v>
      </c>
      <c r="E172" s="39">
        <f>+C172-D172</f>
        <v>395.49</v>
      </c>
      <c r="F172" s="38">
        <f>IFERROR(VLOOKUP("2_"&amp;A172,SyS!$B:$P,10,FALSE()),0)</f>
        <v>0</v>
      </c>
      <c r="G172" s="39">
        <f>IFERROR(VLOOKUP("2_"&amp;A172,SyS!$B:$P,12,FALSE()),0)</f>
        <v>0</v>
      </c>
      <c r="H172" s="40">
        <f>+F172-G172</f>
        <v>0</v>
      </c>
      <c r="I172" s="39"/>
      <c r="J172" s="39"/>
      <c r="K172" s="39"/>
      <c r="L172" s="39"/>
      <c r="M172" s="39"/>
      <c r="N172" s="39"/>
      <c r="O172" s="38">
        <f>IFERROR(VLOOKUP("14_"&amp;A172,SyS!$B:$P,10,FALSE()),0)</f>
        <v>0</v>
      </c>
      <c r="P172" s="39">
        <f>IFERROR(VLOOKUP("14_"&amp;A172,SyS!$B:$P,12,FALSE()),0)</f>
        <v>0</v>
      </c>
      <c r="Q172" s="40">
        <f>+O172-P172</f>
        <v>0</v>
      </c>
      <c r="R172" s="38">
        <f>IFERROR(VLOOKUP("15_"&amp;A172,SyS!$B:$P,10,FALSE()),0)</f>
        <v>0</v>
      </c>
      <c r="S172" s="39">
        <f>IFERROR(VLOOKUP("15_"&amp;A172,SyS!$B:$P,12,FALSE()),0)</f>
        <v>0</v>
      </c>
      <c r="T172" s="40">
        <f>+R172-S172</f>
        <v>0</v>
      </c>
      <c r="U172" s="38">
        <f>IFERROR(VLOOKUP("16_"&amp;A172,SyS!$B:$P,10,FALSE()),0)</f>
        <v>0</v>
      </c>
      <c r="V172" s="39">
        <f>IFERROR(VLOOKUP("16_"&amp;A172,SyS!$B:$P,12,FALSE()),0)</f>
        <v>0</v>
      </c>
      <c r="W172" s="40">
        <f>+U172-V172</f>
        <v>0</v>
      </c>
      <c r="X172" s="38">
        <f>IFERROR(VLOOKUP("13_"&amp;A172,SyS!$B:$P,10,FALSE()),0)</f>
        <v>0</v>
      </c>
      <c r="Y172" s="39">
        <f>IFERROR(VLOOKUP("13_"&amp;A172,SyS!$B:$P,12,FALSE()),0)</f>
        <v>0</v>
      </c>
      <c r="Z172" s="40">
        <f>+X172-Y172</f>
        <v>0</v>
      </c>
      <c r="AA172" s="38">
        <f>IFERROR(VLOOKUP("17_"&amp;A172,SyS!$B:$P,10,FALSE()),0)</f>
        <v>0</v>
      </c>
      <c r="AB172" s="39">
        <f>IFERROR(VLOOKUP("17_"&amp;A172,SyS!$B:$P,12,FALSE()),0)</f>
        <v>0</v>
      </c>
      <c r="AC172" s="40">
        <f>+AA172-AB172</f>
        <v>0</v>
      </c>
      <c r="AD172" s="39"/>
      <c r="AE172" s="39"/>
      <c r="AF172" s="39"/>
      <c r="AG172" s="39">
        <f>IFERROR(VLOOKUP("19_"&amp;A172,SyS!$B:$P,10,FALSE()),0)</f>
        <v>0</v>
      </c>
      <c r="AH172" s="39">
        <f>IFERROR(VLOOKUP("19_"&amp;A172,SyS!$B:$P,12,FALSE()),0)</f>
        <v>0</v>
      </c>
      <c r="AI172" s="39">
        <f>+AG172-AH172</f>
        <v>0</v>
      </c>
      <c r="AJ172" s="39"/>
      <c r="AK172" s="39"/>
      <c r="AL172" s="39"/>
      <c r="AM172" s="38">
        <f>IFERROR(VLOOKUP("23_"&amp;A172,SyS!$B:$P,10,FALSE()),0)</f>
        <v>0</v>
      </c>
      <c r="AN172" s="39">
        <f>IFERROR(VLOOKUP("23_"&amp;A172,SyS!$B:$P,12,FALSE()),0)</f>
        <v>0</v>
      </c>
      <c r="AO172" s="40">
        <f>+AM172-AN172</f>
        <v>0</v>
      </c>
      <c r="AP172" s="39"/>
      <c r="AQ172" s="39"/>
      <c r="AR172" s="39"/>
      <c r="AS172" s="39"/>
      <c r="AT172" s="39"/>
      <c r="AU172" s="39"/>
      <c r="AV172" s="39"/>
      <c r="AW172" s="39"/>
      <c r="AX172" s="39"/>
      <c r="AY172" s="39"/>
      <c r="AZ172" s="39"/>
      <c r="BA172" s="39"/>
      <c r="BB172" s="39"/>
      <c r="BC172" s="39"/>
      <c r="BD172" s="39"/>
      <c r="BE172" s="39"/>
      <c r="BF172" s="39"/>
      <c r="BG172" s="39"/>
      <c r="BH172" s="39"/>
      <c r="BI172" s="39"/>
      <c r="BJ172" s="39"/>
      <c r="BK172" s="39">
        <f>IFERROR(VLOOKUP("29_"&amp;A172,SyS!$B:$P,10,FALSE()),0)</f>
        <v>0</v>
      </c>
      <c r="BL172" s="39">
        <f>IFERROR(VLOOKUP("29_"&amp;A172,SyS!$B:$P,12,FALSE()),0)</f>
        <v>0</v>
      </c>
      <c r="BM172" s="39">
        <f>+BK172-BL172</f>
        <v>0</v>
      </c>
      <c r="BN172" s="38">
        <f>IFERROR(VLOOKUP("30_"&amp;A172,SyS!$B:$P,10,FALSE()),0)</f>
        <v>0</v>
      </c>
      <c r="BO172" s="39">
        <f>IFERROR(VLOOKUP("30_"&amp;A172,SyS!$B:$P,12,FALSE()),0)</f>
        <v>0</v>
      </c>
      <c r="BP172" s="40">
        <f>+BN172-BO172</f>
        <v>0</v>
      </c>
      <c r="BQ172" s="45">
        <f>+E172+H172+K172+Q172+T172+W172+Z172+AC172+AF172+AI172+AL172+AO172+AR172+AU172+AX172+BA172+BD172+BG172+BJ172+BM172+BP172</f>
        <v>395.49</v>
      </c>
    </row>
    <row r="173" ht="11.25" customHeight="1" spans="1:69" x14ac:dyDescent="0.25">
      <c r="A173" s="44">
        <v>425320000</v>
      </c>
      <c r="B173" s="18" t="s">
        <v>402</v>
      </c>
      <c r="C173" s="38">
        <f>IFERROR(VLOOKUP("1_"&amp;A173,SyS!$B:$P,10,FALSE()),0)</f>
        <v>0</v>
      </c>
      <c r="D173" s="39">
        <f>IFERROR(VLOOKUP("1_"&amp;A173,SyS!$B:$P,12,FALSE()),0)</f>
        <v>0</v>
      </c>
      <c r="E173" s="39">
        <f>+C173-D173</f>
        <v>0</v>
      </c>
      <c r="F173" s="38">
        <f>IFERROR(VLOOKUP("2_"&amp;A173,SyS!$B:$P,10,FALSE()),0)</f>
        <v>0</v>
      </c>
      <c r="G173" s="39">
        <f>IFERROR(VLOOKUP("2_"&amp;A173,SyS!$B:$P,12,FALSE()),0)</f>
        <v>0</v>
      </c>
      <c r="H173" s="40">
        <f>+F173-G173</f>
        <v>0</v>
      </c>
      <c r="I173" s="39"/>
      <c r="J173" s="39"/>
      <c r="K173" s="39"/>
      <c r="L173" s="39"/>
      <c r="M173" s="39"/>
      <c r="N173" s="39"/>
      <c r="O173" s="38">
        <f>IFERROR(VLOOKUP("14_"&amp;A173,SyS!$B:$P,10,FALSE()),0)</f>
        <v>0</v>
      </c>
      <c r="P173" s="39">
        <f>IFERROR(VLOOKUP("14_"&amp;A173,SyS!$B:$P,12,FALSE()),0)</f>
        <v>0</v>
      </c>
      <c r="Q173" s="40">
        <f>+O173-P173</f>
        <v>0</v>
      </c>
      <c r="R173" s="38">
        <f>IFERROR(VLOOKUP("15_"&amp;A173,SyS!$B:$P,10,FALSE()),0)</f>
        <v>0</v>
      </c>
      <c r="S173" s="39">
        <f>IFERROR(VLOOKUP("15_"&amp;A173,SyS!$B:$P,12,FALSE()),0)</f>
        <v>0</v>
      </c>
      <c r="T173" s="40">
        <f>+R173-S173</f>
        <v>0</v>
      </c>
      <c r="U173" s="38">
        <f>IFERROR(VLOOKUP("16_"&amp;A173,SyS!$B:$P,10,FALSE()),0)</f>
        <v>0</v>
      </c>
      <c r="V173" s="39">
        <f>IFERROR(VLOOKUP("16_"&amp;A173,SyS!$B:$P,12,FALSE()),0)</f>
        <v>0</v>
      </c>
      <c r="W173" s="40">
        <f>+U173-V173</f>
        <v>0</v>
      </c>
      <c r="X173" s="38">
        <f>IFERROR(VLOOKUP("13_"&amp;A173,SyS!$B:$P,10,FALSE()),0)</f>
        <v>0</v>
      </c>
      <c r="Y173" s="39">
        <f>IFERROR(VLOOKUP("13_"&amp;A173,SyS!$B:$P,12,FALSE()),0)</f>
        <v>0</v>
      </c>
      <c r="Z173" s="40">
        <f>+X173-Y173</f>
        <v>0</v>
      </c>
      <c r="AA173" s="38">
        <f>IFERROR(VLOOKUP("17_"&amp;A173,SyS!$B:$P,10,FALSE()),0)</f>
        <v>0</v>
      </c>
      <c r="AB173" s="39">
        <f>IFERROR(VLOOKUP("17_"&amp;A173,SyS!$B:$P,12,FALSE()),0)</f>
        <v>0</v>
      </c>
      <c r="AC173" s="40">
        <f>+AA173-AB173</f>
        <v>0</v>
      </c>
      <c r="AD173" s="39"/>
      <c r="AE173" s="39"/>
      <c r="AF173" s="39"/>
      <c r="AG173" s="39">
        <f>IFERROR(VLOOKUP("19_"&amp;A173,SyS!$B:$P,10,FALSE()),0)</f>
        <v>0</v>
      </c>
      <c r="AH173" s="39">
        <f>IFERROR(VLOOKUP("19_"&amp;A173,SyS!$B:$P,12,FALSE()),0)</f>
        <v>0</v>
      </c>
      <c r="AI173" s="39">
        <f>+AG173-AH173</f>
        <v>0</v>
      </c>
      <c r="AJ173" s="39"/>
      <c r="AK173" s="39"/>
      <c r="AL173" s="39"/>
      <c r="AM173" s="38">
        <f>IFERROR(VLOOKUP("23_"&amp;A173,SyS!$B:$P,10,FALSE()),0)</f>
        <v>0</v>
      </c>
      <c r="AN173" s="39">
        <f>IFERROR(VLOOKUP("23_"&amp;A173,SyS!$B:$P,12,FALSE()),0)</f>
        <v>0</v>
      </c>
      <c r="AO173" s="40">
        <f>+AM173-AN173</f>
        <v>0</v>
      </c>
      <c r="AP173" s="39"/>
      <c r="AQ173" s="39"/>
      <c r="AR173" s="39"/>
      <c r="AS173" s="39"/>
      <c r="AT173" s="39"/>
      <c r="AU173" s="39"/>
      <c r="AV173" s="39"/>
      <c r="AW173" s="39"/>
      <c r="AX173" s="39"/>
      <c r="AY173" s="39"/>
      <c r="AZ173" s="39"/>
      <c r="BA173" s="39"/>
      <c r="BB173" s="39"/>
      <c r="BC173" s="39"/>
      <c r="BD173" s="39"/>
      <c r="BE173" s="39"/>
      <c r="BF173" s="39"/>
      <c r="BG173" s="39"/>
      <c r="BH173" s="39"/>
      <c r="BI173" s="39"/>
      <c r="BJ173" s="39"/>
      <c r="BK173" s="39">
        <f>IFERROR(VLOOKUP("29_"&amp;A173,SyS!$B:$P,10,FALSE()),0)</f>
        <v>0</v>
      </c>
      <c r="BL173" s="39">
        <f>IFERROR(VLOOKUP("29_"&amp;A173,SyS!$B:$P,12,FALSE()),0)</f>
        <v>0</v>
      </c>
      <c r="BM173" s="39">
        <f>+BK173-BL173</f>
        <v>0</v>
      </c>
      <c r="BN173" s="38">
        <f>IFERROR(VLOOKUP("30_"&amp;A173,SyS!$B:$P,10,FALSE()),0)</f>
        <v>0</v>
      </c>
      <c r="BO173" s="39">
        <f>IFERROR(VLOOKUP("30_"&amp;A173,SyS!$B:$P,12,FALSE()),0)</f>
        <v>0</v>
      </c>
      <c r="BP173" s="40">
        <f>+BN173-BO173</f>
        <v>0</v>
      </c>
      <c r="BQ173" s="45">
        <f>+E173+H173+K173+Q173+T173+W173+Z173+AC173+AF173+AI173+AL173+AO173+AR173+AU173+AX173+BA173+BD173+BG173+BJ173+BM173+BP173</f>
        <v>0</v>
      </c>
    </row>
    <row r="174" ht="11.25" customHeight="1" spans="1:69" x14ac:dyDescent="0.25">
      <c r="A174" s="44">
        <v>425960000</v>
      </c>
      <c r="B174" s="18" t="s">
        <v>403</v>
      </c>
      <c r="C174" s="38">
        <f>IFERROR(VLOOKUP("1_"&amp;A174,SyS!$B:$P,10,FALSE()),0)</f>
        <v>0</v>
      </c>
      <c r="D174" s="39">
        <f>IFERROR(VLOOKUP("1_"&amp;A174,SyS!$B:$P,12,FALSE()),0)</f>
        <v>0</v>
      </c>
      <c r="E174" s="39">
        <f>+C174-D174</f>
        <v>0</v>
      </c>
      <c r="F174" s="38">
        <f>IFERROR(VLOOKUP("2_"&amp;A174,SyS!$B:$P,10,FALSE()),0)</f>
        <v>0</v>
      </c>
      <c r="G174" s="39">
        <f>IFERROR(VLOOKUP("2_"&amp;A174,SyS!$B:$P,12,FALSE()),0)</f>
        <v>0</v>
      </c>
      <c r="H174" s="40">
        <f>+F174-G174</f>
        <v>0</v>
      </c>
      <c r="I174" s="39"/>
      <c r="J174" s="39"/>
      <c r="K174" s="39"/>
      <c r="L174" s="39"/>
      <c r="M174" s="39"/>
      <c r="N174" s="39"/>
      <c r="O174" s="38">
        <f>IFERROR(VLOOKUP("14_"&amp;A174,SyS!$B:$P,10,FALSE()),0)</f>
        <v>0</v>
      </c>
      <c r="P174" s="39">
        <f>IFERROR(VLOOKUP("14_"&amp;A174,SyS!$B:$P,12,FALSE()),0)</f>
        <v>0</v>
      </c>
      <c r="Q174" s="40">
        <f>+O174-P174</f>
        <v>0</v>
      </c>
      <c r="R174" s="38">
        <f>IFERROR(VLOOKUP("15_"&amp;A174,SyS!$B:$P,10,FALSE()),0)</f>
        <v>0</v>
      </c>
      <c r="S174" s="39">
        <f>IFERROR(VLOOKUP("15_"&amp;A174,SyS!$B:$P,12,FALSE()),0)</f>
        <v>0</v>
      </c>
      <c r="T174" s="40">
        <f>+R174-S174</f>
        <v>0</v>
      </c>
      <c r="U174" s="38">
        <f>IFERROR(VLOOKUP("16_"&amp;A174,SyS!$B:$P,10,FALSE()),0)</f>
        <v>0</v>
      </c>
      <c r="V174" s="39">
        <f>IFERROR(VLOOKUP("16_"&amp;A174,SyS!$B:$P,12,FALSE()),0)</f>
        <v>0</v>
      </c>
      <c r="W174" s="40">
        <f>+U174-V174</f>
        <v>0</v>
      </c>
      <c r="X174" s="38">
        <f>IFERROR(VLOOKUP("13_"&amp;A174,SyS!$B:$P,10,FALSE()),0)</f>
        <v>0</v>
      </c>
      <c r="Y174" s="39">
        <f>IFERROR(VLOOKUP("13_"&amp;A174,SyS!$B:$P,12,FALSE()),0)</f>
        <v>0</v>
      </c>
      <c r="Z174" s="40">
        <f>+X174-Y174</f>
        <v>0</v>
      </c>
      <c r="AA174" s="38">
        <f>IFERROR(VLOOKUP("17_"&amp;A174,SyS!$B:$P,10,FALSE()),0)</f>
        <v>0</v>
      </c>
      <c r="AB174" s="39">
        <f>IFERROR(VLOOKUP("17_"&amp;A174,SyS!$B:$P,12,FALSE()),0)</f>
        <v>0</v>
      </c>
      <c r="AC174" s="40">
        <f>+AA174-AB174</f>
        <v>0</v>
      </c>
      <c r="AD174" s="39"/>
      <c r="AE174" s="39"/>
      <c r="AF174" s="39"/>
      <c r="AG174" s="39">
        <f>IFERROR(VLOOKUP("19_"&amp;A174,SyS!$B:$P,10,FALSE()),0)</f>
        <v>0</v>
      </c>
      <c r="AH174" s="39">
        <f>IFERROR(VLOOKUP("19_"&amp;A174,SyS!$B:$P,12,FALSE()),0)</f>
        <v>0</v>
      </c>
      <c r="AI174" s="39">
        <f>+AG174-AH174</f>
        <v>0</v>
      </c>
      <c r="AJ174" s="39"/>
      <c r="AK174" s="39"/>
      <c r="AL174" s="39"/>
      <c r="AM174" s="38">
        <f>IFERROR(VLOOKUP("23_"&amp;A174,SyS!$B:$P,10,FALSE()),0)</f>
        <v>0</v>
      </c>
      <c r="AN174" s="39">
        <f>IFERROR(VLOOKUP("23_"&amp;A174,SyS!$B:$P,12,FALSE()),0)</f>
        <v>0</v>
      </c>
      <c r="AO174" s="40">
        <f>+AM174-AN174</f>
        <v>0</v>
      </c>
      <c r="AP174" s="39"/>
      <c r="AQ174" s="39"/>
      <c r="AR174" s="39"/>
      <c r="AS174" s="39"/>
      <c r="AT174" s="39"/>
      <c r="AU174" s="39"/>
      <c r="AV174" s="39"/>
      <c r="AW174" s="39"/>
      <c r="AX174" s="39"/>
      <c r="AY174" s="39"/>
      <c r="AZ174" s="39"/>
      <c r="BA174" s="39"/>
      <c r="BB174" s="39"/>
      <c r="BC174" s="39"/>
      <c r="BD174" s="39"/>
      <c r="BE174" s="39"/>
      <c r="BF174" s="39"/>
      <c r="BG174" s="39"/>
      <c r="BH174" s="39"/>
      <c r="BI174" s="39"/>
      <c r="BJ174" s="39"/>
      <c r="BK174" s="39">
        <f>IFERROR(VLOOKUP("29_"&amp;A174,SyS!$B:$P,10,FALSE()),0)</f>
        <v>0</v>
      </c>
      <c r="BL174" s="39">
        <f>IFERROR(VLOOKUP("29_"&amp;A174,SyS!$B:$P,12,FALSE()),0)</f>
        <v>0</v>
      </c>
      <c r="BM174" s="39">
        <f>+BK174-BL174</f>
        <v>0</v>
      </c>
      <c r="BN174" s="38">
        <f>IFERROR(VLOOKUP("30_"&amp;A174,SyS!$B:$P,10,FALSE()),0)</f>
        <v>0</v>
      </c>
      <c r="BO174" s="39">
        <f>IFERROR(VLOOKUP("30_"&amp;A174,SyS!$B:$P,12,FALSE()),0)</f>
        <v>0</v>
      </c>
      <c r="BP174" s="40">
        <f>+BN174-BO174</f>
        <v>0</v>
      </c>
      <c r="BQ174" s="45">
        <f>+E174+H174+K174+Q174+T174+W174+Z174+AC174+AF174+AI174+AL174+AO174+AR174+AU174+AX174+BA174+BD174+BG174+BJ174+BM174+BP174</f>
        <v>0</v>
      </c>
    </row>
    <row r="175" ht="11.25" customHeight="1" spans="1:69" x14ac:dyDescent="0.25">
      <c r="A175" s="44">
        <v>425980000</v>
      </c>
      <c r="B175" s="18" t="s">
        <v>404</v>
      </c>
      <c r="C175" s="38">
        <f>IFERROR(VLOOKUP("1_"&amp;A175,SyS!$B:$P,10,FALSE()),0)</f>
        <v>0</v>
      </c>
      <c r="D175" s="39">
        <f>IFERROR(VLOOKUP("1_"&amp;A175,SyS!$B:$P,12,FALSE()),0)</f>
        <v>0</v>
      </c>
      <c r="E175" s="39">
        <f>+C175-D175</f>
        <v>0</v>
      </c>
      <c r="F175" s="38">
        <f>IFERROR(VLOOKUP("2_"&amp;A175,SyS!$B:$P,10,FALSE()),0)</f>
        <v>0</v>
      </c>
      <c r="G175" s="39">
        <f>IFERROR(VLOOKUP("2_"&amp;A175,SyS!$B:$P,12,FALSE()),0)</f>
        <v>0</v>
      </c>
      <c r="H175" s="40">
        <f>+F175-G175</f>
        <v>0</v>
      </c>
      <c r="I175" s="39"/>
      <c r="J175" s="39"/>
      <c r="K175" s="39"/>
      <c r="L175" s="39"/>
      <c r="M175" s="39"/>
      <c r="N175" s="39"/>
      <c r="O175" s="38">
        <f>IFERROR(VLOOKUP("14_"&amp;A175,SyS!$B:$P,10,FALSE()),0)</f>
        <v>0</v>
      </c>
      <c r="P175" s="39">
        <f>IFERROR(VLOOKUP("14_"&amp;A175,SyS!$B:$P,12,FALSE()),0)</f>
        <v>0</v>
      </c>
      <c r="Q175" s="40">
        <f>+O175-P175</f>
        <v>0</v>
      </c>
      <c r="R175" s="38">
        <f>IFERROR(VLOOKUP("15_"&amp;A175,SyS!$B:$P,10,FALSE()),0)</f>
        <v>0</v>
      </c>
      <c r="S175" s="39">
        <f>IFERROR(VLOOKUP("15_"&amp;A175,SyS!$B:$P,12,FALSE()),0)</f>
        <v>0</v>
      </c>
      <c r="T175" s="40">
        <f>+R175-S175</f>
        <v>0</v>
      </c>
      <c r="U175" s="38">
        <f>IFERROR(VLOOKUP("16_"&amp;A175,SyS!$B:$P,10,FALSE()),0)</f>
        <v>0</v>
      </c>
      <c r="V175" s="39">
        <f>IFERROR(VLOOKUP("16_"&amp;A175,SyS!$B:$P,12,FALSE()),0)</f>
        <v>0</v>
      </c>
      <c r="W175" s="40">
        <f>+U175-V175</f>
        <v>0</v>
      </c>
      <c r="X175" s="38">
        <f>IFERROR(VLOOKUP("13_"&amp;A175,SyS!$B:$P,10,FALSE()),0)</f>
        <v>0</v>
      </c>
      <c r="Y175" s="39">
        <f>IFERROR(VLOOKUP("13_"&amp;A175,SyS!$B:$P,12,FALSE()),0)</f>
        <v>0</v>
      </c>
      <c r="Z175" s="40">
        <f>+X175-Y175</f>
        <v>0</v>
      </c>
      <c r="AA175" s="38">
        <f>IFERROR(VLOOKUP("17_"&amp;A175,SyS!$B:$P,10,FALSE()),0)</f>
        <v>0</v>
      </c>
      <c r="AB175" s="39">
        <f>IFERROR(VLOOKUP("17_"&amp;A175,SyS!$B:$P,12,FALSE()),0)</f>
        <v>0</v>
      </c>
      <c r="AC175" s="40">
        <f>+AA175-AB175</f>
        <v>0</v>
      </c>
      <c r="AD175" s="39"/>
      <c r="AE175" s="39"/>
      <c r="AF175" s="39"/>
      <c r="AG175" s="39">
        <f>IFERROR(VLOOKUP("19_"&amp;A175,SyS!$B:$P,10,FALSE()),0)</f>
        <v>0</v>
      </c>
      <c r="AH175" s="39">
        <f>IFERROR(VLOOKUP("19_"&amp;A175,SyS!$B:$P,12,FALSE()),0)</f>
        <v>0</v>
      </c>
      <c r="AI175" s="39">
        <f>+AG175-AH175</f>
        <v>0</v>
      </c>
      <c r="AJ175" s="39"/>
      <c r="AK175" s="39"/>
      <c r="AL175" s="39"/>
      <c r="AM175" s="38">
        <f>IFERROR(VLOOKUP("23_"&amp;A175,SyS!$B:$P,10,FALSE()),0)</f>
        <v>0</v>
      </c>
      <c r="AN175" s="39">
        <f>IFERROR(VLOOKUP("23_"&amp;A175,SyS!$B:$P,12,FALSE()),0)</f>
        <v>0</v>
      </c>
      <c r="AO175" s="40">
        <f>+AM175-AN175</f>
        <v>0</v>
      </c>
      <c r="AP175" s="39"/>
      <c r="AQ175" s="39"/>
      <c r="AR175" s="39"/>
      <c r="AS175" s="39"/>
      <c r="AT175" s="39"/>
      <c r="AU175" s="39"/>
      <c r="AV175" s="39"/>
      <c r="AW175" s="39"/>
      <c r="AX175" s="39"/>
      <c r="AY175" s="39"/>
      <c r="AZ175" s="39"/>
      <c r="BA175" s="39"/>
      <c r="BB175" s="39"/>
      <c r="BC175" s="39"/>
      <c r="BD175" s="39"/>
      <c r="BE175" s="39"/>
      <c r="BF175" s="39"/>
      <c r="BG175" s="39"/>
      <c r="BH175" s="39"/>
      <c r="BI175" s="39"/>
      <c r="BJ175" s="39"/>
      <c r="BK175" s="39">
        <f>IFERROR(VLOOKUP("29_"&amp;A175,SyS!$B:$P,10,FALSE()),0)</f>
        <v>0</v>
      </c>
      <c r="BL175" s="39">
        <f>IFERROR(VLOOKUP("29_"&amp;A175,SyS!$B:$P,12,FALSE()),0)</f>
        <v>0</v>
      </c>
      <c r="BM175" s="39">
        <f>+BK175-BL175</f>
        <v>0</v>
      </c>
      <c r="BN175" s="38">
        <f>IFERROR(VLOOKUP("30_"&amp;A175,SyS!$B:$P,10,FALSE()),0)</f>
        <v>0</v>
      </c>
      <c r="BO175" s="39">
        <f>IFERROR(VLOOKUP("30_"&amp;A175,SyS!$B:$P,12,FALSE()),0)</f>
        <v>0</v>
      </c>
      <c r="BP175" s="40">
        <f>+BN175-BO175</f>
        <v>0</v>
      </c>
      <c r="BQ175" s="45">
        <f>+E175+H175+K175+Q175+T175+W175+Z175+AC175+AF175+AI175+AL175+AO175+AR175+AU175+AX175+BA175+BD175+BG175+BJ175+BM175+BP175</f>
        <v>0</v>
      </c>
    </row>
    <row r="176" ht="11.25" customHeight="1" spans="1:69" x14ac:dyDescent="0.25">
      <c r="A176" s="44">
        <v>425100000</v>
      </c>
      <c r="B176" s="18" t="s">
        <v>405</v>
      </c>
      <c r="C176" s="38">
        <f>IFERROR(VLOOKUP("1_"&amp;A176,SyS!$B:$P,10,FALSE()),0)</f>
        <v>0</v>
      </c>
      <c r="D176" s="39">
        <f>IFERROR(VLOOKUP("1_"&amp;A176,SyS!$B:$P,12,FALSE()),0)</f>
        <v>0</v>
      </c>
      <c r="E176" s="39">
        <f>+C176-D176</f>
        <v>0</v>
      </c>
      <c r="F176" s="38">
        <f>IFERROR(VLOOKUP("2_"&amp;A176,SyS!$B:$P,10,FALSE()),0)</f>
        <v>0</v>
      </c>
      <c r="G176" s="39">
        <f>IFERROR(VLOOKUP("2_"&amp;A176,SyS!$B:$P,12,FALSE()),0)</f>
        <v>0</v>
      </c>
      <c r="H176" s="40">
        <f>+F176-G176</f>
        <v>0</v>
      </c>
      <c r="I176" s="39"/>
      <c r="J176" s="39"/>
      <c r="K176" s="39"/>
      <c r="L176" s="39"/>
      <c r="M176" s="39"/>
      <c r="N176" s="39"/>
      <c r="O176" s="38">
        <f>IFERROR(VLOOKUP("14_"&amp;A176,SyS!$B:$P,10,FALSE()),0)</f>
        <v>0</v>
      </c>
      <c r="P176" s="39">
        <f>IFERROR(VLOOKUP("14_"&amp;A176,SyS!$B:$P,12,FALSE()),0)</f>
        <v>0</v>
      </c>
      <c r="Q176" s="40">
        <f>+O176-P176</f>
        <v>0</v>
      </c>
      <c r="R176" s="38">
        <f>IFERROR(VLOOKUP("15_"&amp;A176,SyS!$B:$P,10,FALSE()),0)</f>
        <v>0</v>
      </c>
      <c r="S176" s="39">
        <f>IFERROR(VLOOKUP("15_"&amp;A176,SyS!$B:$P,12,FALSE()),0)</f>
        <v>0</v>
      </c>
      <c r="T176" s="40">
        <f>+R176-S176</f>
        <v>0</v>
      </c>
      <c r="U176" s="38">
        <f>IFERROR(VLOOKUP("16_"&amp;A176,SyS!$B:$P,10,FALSE()),0)</f>
        <v>0</v>
      </c>
      <c r="V176" s="39">
        <f>IFERROR(VLOOKUP("16_"&amp;A176,SyS!$B:$P,12,FALSE()),0)</f>
        <v>0</v>
      </c>
      <c r="W176" s="40">
        <f>+U176-V176</f>
        <v>0</v>
      </c>
      <c r="X176" s="38">
        <f>IFERROR(VLOOKUP("13_"&amp;A176,SyS!$B:$P,10,FALSE()),0)</f>
        <v>0</v>
      </c>
      <c r="Y176" s="39">
        <f>IFERROR(VLOOKUP("13_"&amp;A176,SyS!$B:$P,12,FALSE()),0)</f>
        <v>0</v>
      </c>
      <c r="Z176" s="40">
        <f>+X176-Y176</f>
        <v>0</v>
      </c>
      <c r="AA176" s="38">
        <f>IFERROR(VLOOKUP("17_"&amp;A176,SyS!$B:$P,10,FALSE()),0)</f>
        <v>0</v>
      </c>
      <c r="AB176" s="39">
        <f>IFERROR(VLOOKUP("17_"&amp;A176,SyS!$B:$P,12,FALSE()),0)</f>
        <v>0</v>
      </c>
      <c r="AC176" s="40">
        <f>+AA176-AB176</f>
        <v>0</v>
      </c>
      <c r="AD176" s="39"/>
      <c r="AE176" s="39"/>
      <c r="AF176" s="39"/>
      <c r="AG176" s="39">
        <f>IFERROR(VLOOKUP("19_"&amp;A176,SyS!$B:$P,10,FALSE()),0)</f>
        <v>0</v>
      </c>
      <c r="AH176" s="39">
        <f>IFERROR(VLOOKUP("19_"&amp;A176,SyS!$B:$P,12,FALSE()),0)</f>
        <v>0</v>
      </c>
      <c r="AI176" s="39">
        <f>+AG176-AH176</f>
        <v>0</v>
      </c>
      <c r="AJ176" s="39"/>
      <c r="AK176" s="39"/>
      <c r="AL176" s="39"/>
      <c r="AM176" s="38">
        <f>IFERROR(VLOOKUP("23_"&amp;A176,SyS!$B:$P,10,FALSE()),0)</f>
        <v>0</v>
      </c>
      <c r="AN176" s="39">
        <f>IFERROR(VLOOKUP("23_"&amp;A176,SyS!$B:$P,12,FALSE()),0)</f>
        <v>0</v>
      </c>
      <c r="AO176" s="40">
        <f>+AM176-AN176</f>
        <v>0</v>
      </c>
      <c r="AP176" s="39"/>
      <c r="AQ176" s="39"/>
      <c r="AR176" s="39"/>
      <c r="AS176" s="39"/>
      <c r="AT176" s="39"/>
      <c r="AU176" s="39"/>
      <c r="AV176" s="39"/>
      <c r="AW176" s="39"/>
      <c r="AX176" s="39"/>
      <c r="AY176" s="39"/>
      <c r="AZ176" s="39"/>
      <c r="BA176" s="39"/>
      <c r="BB176" s="39"/>
      <c r="BC176" s="39"/>
      <c r="BD176" s="39"/>
      <c r="BE176" s="39"/>
      <c r="BF176" s="39"/>
      <c r="BG176" s="39"/>
      <c r="BH176" s="39"/>
      <c r="BI176" s="39"/>
      <c r="BJ176" s="39"/>
      <c r="BK176" s="39">
        <f>IFERROR(VLOOKUP("29_"&amp;A176,SyS!$B:$P,10,FALSE()),0)</f>
        <v>0</v>
      </c>
      <c r="BL176" s="39">
        <f>IFERROR(VLOOKUP("29_"&amp;A176,SyS!$B:$P,12,FALSE()),0)</f>
        <v>0</v>
      </c>
      <c r="BM176" s="39">
        <f>+BK176-BL176</f>
        <v>0</v>
      </c>
      <c r="BN176" s="38">
        <f>IFERROR(VLOOKUP("30_"&amp;A176,SyS!$B:$P,10,FALSE()),0)</f>
        <v>0</v>
      </c>
      <c r="BO176" s="39">
        <f>IFERROR(VLOOKUP("30_"&amp;A176,SyS!$B:$P,12,FALSE()),0)</f>
        <v>0</v>
      </c>
      <c r="BP176" s="40">
        <f>+BN176-BO176</f>
        <v>0</v>
      </c>
      <c r="BQ176" s="45">
        <f>+E176+H176+K176+Q176+T176+W176+Z176+AC176+AF176+AI176+AL176+AO176+AR176+AU176+AX176+BA176+BD176+BG176+BJ176+BM176+BP176</f>
        <v>0</v>
      </c>
    </row>
    <row r="177" ht="11.25" customHeight="1" spans="1:69" x14ac:dyDescent="0.25">
      <c r="A177" s="44">
        <v>425330000</v>
      </c>
      <c r="B177" s="18" t="s">
        <v>406</v>
      </c>
      <c r="C177" s="38">
        <f>IFERROR(VLOOKUP("1_"&amp;A177,SyS!$B:$P,10,FALSE()),0)</f>
        <v>0</v>
      </c>
      <c r="D177" s="39">
        <f>IFERROR(VLOOKUP("1_"&amp;A177,SyS!$B:$P,12,FALSE()),0)</f>
        <v>0</v>
      </c>
      <c r="E177" s="39">
        <f>+C177-D177</f>
        <v>0</v>
      </c>
      <c r="F177" s="38">
        <f>IFERROR(VLOOKUP("2_"&amp;A177,SyS!$B:$P,10,FALSE()),0)</f>
        <v>0</v>
      </c>
      <c r="G177" s="39">
        <f>IFERROR(VLOOKUP("2_"&amp;A177,SyS!$B:$P,12,FALSE()),0)</f>
        <v>0</v>
      </c>
      <c r="H177" s="40">
        <f>+F177-G177</f>
        <v>0</v>
      </c>
      <c r="I177" s="39"/>
      <c r="J177" s="39"/>
      <c r="K177" s="39"/>
      <c r="L177" s="39"/>
      <c r="M177" s="39"/>
      <c r="N177" s="39"/>
      <c r="O177" s="38">
        <f>IFERROR(VLOOKUP("14_"&amp;A177,SyS!$B:$P,10,FALSE()),0)</f>
        <v>0</v>
      </c>
      <c r="P177" s="39">
        <f>IFERROR(VLOOKUP("14_"&amp;A177,SyS!$B:$P,12,FALSE()),0)</f>
        <v>0</v>
      </c>
      <c r="Q177" s="40">
        <f>+O177-P177</f>
        <v>0</v>
      </c>
      <c r="R177" s="38">
        <f>IFERROR(VLOOKUP("15_"&amp;A177,SyS!$B:$P,10,FALSE()),0)</f>
        <v>0</v>
      </c>
      <c r="S177" s="39">
        <f>IFERROR(VLOOKUP("15_"&amp;A177,SyS!$B:$P,12,FALSE()),0)</f>
        <v>0</v>
      </c>
      <c r="T177" s="40">
        <f>+R177-S177</f>
        <v>0</v>
      </c>
      <c r="U177" s="38">
        <f>IFERROR(VLOOKUP("16_"&amp;A177,SyS!$B:$P,10,FALSE()),0)</f>
        <v>0</v>
      </c>
      <c r="V177" s="39">
        <f>IFERROR(VLOOKUP("16_"&amp;A177,SyS!$B:$P,12,FALSE()),0)</f>
        <v>0</v>
      </c>
      <c r="W177" s="40">
        <f>+U177-V177</f>
        <v>0</v>
      </c>
      <c r="X177" s="38">
        <f>IFERROR(VLOOKUP("13_"&amp;A177,SyS!$B:$P,10,FALSE()),0)</f>
        <v>0</v>
      </c>
      <c r="Y177" s="39">
        <f>IFERROR(VLOOKUP("13_"&amp;A177,SyS!$B:$P,12,FALSE()),0)</f>
        <v>0</v>
      </c>
      <c r="Z177" s="40">
        <f>+X177-Y177</f>
        <v>0</v>
      </c>
      <c r="AA177" s="38">
        <f>IFERROR(VLOOKUP("17_"&amp;A177,SyS!$B:$P,10,FALSE()),0)</f>
        <v>0</v>
      </c>
      <c r="AB177" s="39">
        <f>IFERROR(VLOOKUP("17_"&amp;A177,SyS!$B:$P,12,FALSE()),0)</f>
        <v>0</v>
      </c>
      <c r="AC177" s="40">
        <f>+AA177-AB177</f>
        <v>0</v>
      </c>
      <c r="AD177" s="39"/>
      <c r="AE177" s="39"/>
      <c r="AF177" s="39"/>
      <c r="AG177" s="39">
        <f>IFERROR(VLOOKUP("19_"&amp;A177,SyS!$B:$P,10,FALSE()),0)</f>
        <v>0</v>
      </c>
      <c r="AH177" s="39">
        <f>IFERROR(VLOOKUP("19_"&amp;A177,SyS!$B:$P,12,FALSE()),0)</f>
        <v>0</v>
      </c>
      <c r="AI177" s="39">
        <f>+AG177-AH177</f>
        <v>0</v>
      </c>
      <c r="AJ177" s="39"/>
      <c r="AK177" s="39"/>
      <c r="AL177" s="39"/>
      <c r="AM177" s="38">
        <f>IFERROR(VLOOKUP("23_"&amp;A177,SyS!$B:$P,10,FALSE()),0)</f>
        <v>0</v>
      </c>
      <c r="AN177" s="39">
        <f>IFERROR(VLOOKUP("23_"&amp;A177,SyS!$B:$P,12,FALSE()),0)</f>
        <v>0</v>
      </c>
      <c r="AO177" s="40">
        <f>+AM177-AN177</f>
        <v>0</v>
      </c>
      <c r="AP177" s="39"/>
      <c r="AQ177" s="39"/>
      <c r="AR177" s="39"/>
      <c r="AS177" s="39"/>
      <c r="AT177" s="39"/>
      <c r="AU177" s="39"/>
      <c r="AV177" s="39"/>
      <c r="AW177" s="39"/>
      <c r="AX177" s="39"/>
      <c r="AY177" s="39"/>
      <c r="AZ177" s="39"/>
      <c r="BA177" s="39"/>
      <c r="BB177" s="39"/>
      <c r="BC177" s="39"/>
      <c r="BD177" s="39"/>
      <c r="BE177" s="39"/>
      <c r="BF177" s="39"/>
      <c r="BG177" s="39"/>
      <c r="BH177" s="39"/>
      <c r="BI177" s="39"/>
      <c r="BJ177" s="39"/>
      <c r="BK177" s="39">
        <f>IFERROR(VLOOKUP("29_"&amp;A177,SyS!$B:$P,10,FALSE()),0)</f>
        <v>0</v>
      </c>
      <c r="BL177" s="39">
        <f>IFERROR(VLOOKUP("29_"&amp;A177,SyS!$B:$P,12,FALSE()),0)</f>
        <v>0</v>
      </c>
      <c r="BM177" s="39">
        <f>+BK177-BL177</f>
        <v>0</v>
      </c>
      <c r="BN177" s="38">
        <f>IFERROR(VLOOKUP("30_"&amp;A177,SyS!$B:$P,10,FALSE()),0)</f>
        <v>0</v>
      </c>
      <c r="BO177" s="39">
        <f>IFERROR(VLOOKUP("30_"&amp;A177,SyS!$B:$P,12,FALSE()),0)</f>
        <v>0</v>
      </c>
      <c r="BP177" s="40">
        <f>+BN177-BO177</f>
        <v>0</v>
      </c>
      <c r="BQ177" s="45">
        <f>+E177+H177+K177+Q177+T177+W177+Z177+AC177+AF177+AI177+AL177+AO177+AR177+AU177+AX177+BA177+BD177+BG177+BJ177+BM177+BP177</f>
        <v>0</v>
      </c>
    </row>
    <row r="178" ht="11.25" customHeight="1" spans="1:69" x14ac:dyDescent="0.25">
      <c r="A178" s="44">
        <v>421010000</v>
      </c>
      <c r="B178" s="18" t="s">
        <v>407</v>
      </c>
      <c r="C178" s="38">
        <f>IFERROR(VLOOKUP("1_"&amp;A178,SyS!$B:$P,10,FALSE()),0)</f>
        <v>0</v>
      </c>
      <c r="D178" s="39">
        <f>IFERROR(VLOOKUP("1_"&amp;A178,SyS!$B:$P,12,FALSE()),0)</f>
        <v>0</v>
      </c>
      <c r="E178" s="39">
        <f>+C178-D178</f>
        <v>0</v>
      </c>
      <c r="F178" s="38">
        <f>IFERROR(VLOOKUP("2_"&amp;A178,SyS!$B:$P,10,FALSE()),0)</f>
        <v>0</v>
      </c>
      <c r="G178" s="39">
        <f>IFERROR(VLOOKUP("2_"&amp;A178,SyS!$B:$P,12,FALSE()),0)</f>
        <v>0</v>
      </c>
      <c r="H178" s="40">
        <f>+F178-G178</f>
        <v>0</v>
      </c>
      <c r="I178" s="39"/>
      <c r="J178" s="39"/>
      <c r="K178" s="39"/>
      <c r="L178" s="39"/>
      <c r="M178" s="39"/>
      <c r="N178" s="39"/>
      <c r="O178" s="38">
        <f>IFERROR(VLOOKUP("14_"&amp;A178,SyS!$B:$P,10,FALSE()),0)</f>
        <v>0</v>
      </c>
      <c r="P178" s="39">
        <f>IFERROR(VLOOKUP("14_"&amp;A178,SyS!$B:$P,12,FALSE()),0)</f>
        <v>0</v>
      </c>
      <c r="Q178" s="40">
        <f>+O178-P178</f>
        <v>0</v>
      </c>
      <c r="R178" s="38">
        <f>IFERROR(VLOOKUP("15_"&amp;A178,SyS!$B:$P,10,FALSE()),0)</f>
        <v>0</v>
      </c>
      <c r="S178" s="39">
        <f>IFERROR(VLOOKUP("15_"&amp;A178,SyS!$B:$P,12,FALSE()),0)</f>
        <v>0</v>
      </c>
      <c r="T178" s="40">
        <f>+R178-S178</f>
        <v>0</v>
      </c>
      <c r="U178" s="38">
        <f>IFERROR(VLOOKUP("16_"&amp;A178,SyS!$B:$P,10,FALSE()),0)</f>
        <v>0</v>
      </c>
      <c r="V178" s="39">
        <f>IFERROR(VLOOKUP("16_"&amp;A178,SyS!$B:$P,12,FALSE()),0)</f>
        <v>0</v>
      </c>
      <c r="W178" s="40">
        <f>+U178-V178</f>
        <v>0</v>
      </c>
      <c r="X178" s="38">
        <f>IFERROR(VLOOKUP("13_"&amp;A178,SyS!$B:$P,10,FALSE()),0)</f>
        <v>0</v>
      </c>
      <c r="Y178" s="39">
        <f>IFERROR(VLOOKUP("13_"&amp;A178,SyS!$B:$P,12,FALSE()),0)</f>
        <v>0</v>
      </c>
      <c r="Z178" s="40">
        <f>+X178-Y178</f>
        <v>0</v>
      </c>
      <c r="AA178" s="38">
        <f>IFERROR(VLOOKUP("17_"&amp;A178,SyS!$B:$P,10,FALSE()),0)</f>
        <v>0</v>
      </c>
      <c r="AB178" s="39">
        <f>IFERROR(VLOOKUP("17_"&amp;A178,SyS!$B:$P,12,FALSE()),0)</f>
        <v>0</v>
      </c>
      <c r="AC178" s="40">
        <f>+AA178-AB178</f>
        <v>0</v>
      </c>
      <c r="AD178" s="39"/>
      <c r="AE178" s="39"/>
      <c r="AF178" s="39"/>
      <c r="AG178" s="39">
        <f>IFERROR(VLOOKUP("19_"&amp;A178,SyS!$B:$P,10,FALSE()),0)</f>
        <v>0</v>
      </c>
      <c r="AH178" s="39">
        <f>IFERROR(VLOOKUP("19_"&amp;A178,SyS!$B:$P,12,FALSE()),0)</f>
        <v>0</v>
      </c>
      <c r="AI178" s="39">
        <f>+AG178-AH178</f>
        <v>0</v>
      </c>
      <c r="AJ178" s="39"/>
      <c r="AK178" s="39"/>
      <c r="AL178" s="39"/>
      <c r="AM178" s="38">
        <f>IFERROR(VLOOKUP("23_"&amp;A178,SyS!$B:$P,10,FALSE()),0)</f>
        <v>0</v>
      </c>
      <c r="AN178" s="39">
        <f>IFERROR(VLOOKUP("23_"&amp;A178,SyS!$B:$P,12,FALSE()),0)</f>
        <v>0</v>
      </c>
      <c r="AO178" s="40">
        <f>+AM178-AN178</f>
        <v>0</v>
      </c>
      <c r="AP178" s="39"/>
      <c r="AQ178" s="39"/>
      <c r="AR178" s="39"/>
      <c r="AS178" s="39"/>
      <c r="AT178" s="39"/>
      <c r="AU178" s="39"/>
      <c r="AV178" s="39"/>
      <c r="AW178" s="39"/>
      <c r="AX178" s="39"/>
      <c r="AY178" s="39"/>
      <c r="AZ178" s="39"/>
      <c r="BA178" s="39"/>
      <c r="BB178" s="39"/>
      <c r="BC178" s="39"/>
      <c r="BD178" s="39"/>
      <c r="BE178" s="39"/>
      <c r="BF178" s="39"/>
      <c r="BG178" s="39"/>
      <c r="BH178" s="39"/>
      <c r="BI178" s="39"/>
      <c r="BJ178" s="39"/>
      <c r="BK178" s="39">
        <f>IFERROR(VLOOKUP("29_"&amp;A178,SyS!$B:$P,10,FALSE()),0)</f>
        <v>0</v>
      </c>
      <c r="BL178" s="39">
        <f>IFERROR(VLOOKUP("29_"&amp;A178,SyS!$B:$P,12,FALSE()),0)</f>
        <v>0</v>
      </c>
      <c r="BM178" s="39">
        <f>+BK178-BL178</f>
        <v>0</v>
      </c>
      <c r="BN178" s="38">
        <f>IFERROR(VLOOKUP("30_"&amp;A178,SyS!$B:$P,10,FALSE()),0)</f>
        <v>0</v>
      </c>
      <c r="BO178" s="39">
        <f>IFERROR(VLOOKUP("30_"&amp;A178,SyS!$B:$P,12,FALSE()),0)</f>
        <v>0</v>
      </c>
      <c r="BP178" s="40">
        <f>+BN178-BO178</f>
        <v>0</v>
      </c>
      <c r="BQ178" s="45">
        <f>+E178+H178+K178+Q178+T178+W178+Z178+AC178+AF178+AI178+AL178+AO178+AR178+AU178+AX178+BA178+BD178+BG178+BJ178+BM178+BP178</f>
        <v>0</v>
      </c>
    </row>
    <row r="179" ht="11.25" customHeight="1" spans="1:69" x14ac:dyDescent="0.25">
      <c r="A179" s="44">
        <v>421020000</v>
      </c>
      <c r="B179" s="46" t="s">
        <v>408</v>
      </c>
      <c r="C179" s="38">
        <f>IFERROR(VLOOKUP("1_"&amp;A179,SyS!$B:$P,10,FALSE()),0)</f>
        <v>0</v>
      </c>
      <c r="D179" s="39">
        <f>IFERROR(VLOOKUP("1_"&amp;A179,SyS!$B:$P,12,FALSE()),0)</f>
        <v>0</v>
      </c>
      <c r="E179" s="39">
        <f>+C179-D179</f>
        <v>0</v>
      </c>
      <c r="F179" s="38">
        <f>IFERROR(VLOOKUP("2_"&amp;A179,SyS!$B:$P,10,FALSE()),0)</f>
        <v>0</v>
      </c>
      <c r="G179" s="39">
        <f>IFERROR(VLOOKUP("2_"&amp;A179,SyS!$B:$P,12,FALSE()),0)</f>
        <v>0</v>
      </c>
      <c r="H179" s="40">
        <f>+F179-G179</f>
        <v>0</v>
      </c>
      <c r="I179" s="39"/>
      <c r="J179" s="39"/>
      <c r="K179" s="39"/>
      <c r="L179" s="39"/>
      <c r="M179" s="39"/>
      <c r="N179" s="39"/>
      <c r="O179" s="38">
        <f>IFERROR(VLOOKUP("14_"&amp;A179,SyS!$B:$P,10,FALSE()),0)</f>
        <v>0</v>
      </c>
      <c r="P179" s="39">
        <f>IFERROR(VLOOKUP("14_"&amp;A179,SyS!$B:$P,12,FALSE()),0)</f>
        <v>0</v>
      </c>
      <c r="Q179" s="40">
        <f>+O179-P179</f>
        <v>0</v>
      </c>
      <c r="R179" s="38">
        <f>IFERROR(VLOOKUP("15_"&amp;A179,SyS!$B:$P,10,FALSE()),0)</f>
        <v>0</v>
      </c>
      <c r="S179" s="39">
        <f>IFERROR(VLOOKUP("15_"&amp;A179,SyS!$B:$P,12,FALSE()),0)</f>
        <v>0</v>
      </c>
      <c r="T179" s="40">
        <f>+R179-S179</f>
        <v>0</v>
      </c>
      <c r="U179" s="38">
        <f>IFERROR(VLOOKUP("16_"&amp;A179,SyS!$B:$P,10,FALSE()),0)</f>
        <v>0</v>
      </c>
      <c r="V179" s="39">
        <f>IFERROR(VLOOKUP("16_"&amp;A179,SyS!$B:$P,12,FALSE()),0)</f>
        <v>0</v>
      </c>
      <c r="W179" s="40">
        <f>+U179-V179</f>
        <v>0</v>
      </c>
      <c r="X179" s="38">
        <f>IFERROR(VLOOKUP("13_"&amp;A179,SyS!$B:$P,10,FALSE()),0)</f>
        <v>0</v>
      </c>
      <c r="Y179" s="39">
        <f>IFERROR(VLOOKUP("13_"&amp;A179,SyS!$B:$P,12,FALSE()),0)</f>
        <v>0</v>
      </c>
      <c r="Z179" s="40">
        <f>+X179-Y179</f>
        <v>0</v>
      </c>
      <c r="AA179" s="38">
        <f>IFERROR(VLOOKUP("17_"&amp;A179,SyS!$B:$P,10,FALSE()),0)</f>
        <v>0</v>
      </c>
      <c r="AB179" s="39">
        <f>IFERROR(VLOOKUP("17_"&amp;A179,SyS!$B:$P,12,FALSE()),0)</f>
        <v>0</v>
      </c>
      <c r="AC179" s="40">
        <f>+AA179-AB179</f>
        <v>0</v>
      </c>
      <c r="AD179" s="39"/>
      <c r="AE179" s="39"/>
      <c r="AF179" s="39"/>
      <c r="AG179" s="39">
        <f>IFERROR(VLOOKUP("19_"&amp;A179,SyS!$B:$P,10,FALSE()),0)</f>
        <v>0</v>
      </c>
      <c r="AH179" s="39">
        <f>IFERROR(VLOOKUP("19_"&amp;A179,SyS!$B:$P,12,FALSE()),0)</f>
        <v>0</v>
      </c>
      <c r="AI179" s="39">
        <f>+AG179-AH179</f>
        <v>0</v>
      </c>
      <c r="AJ179" s="39"/>
      <c r="AK179" s="39"/>
      <c r="AL179" s="39"/>
      <c r="AM179" s="38">
        <f>IFERROR(VLOOKUP("23_"&amp;A179,SyS!$B:$P,10,FALSE()),0)</f>
        <v>0</v>
      </c>
      <c r="AN179" s="39">
        <f>IFERROR(VLOOKUP("23_"&amp;A179,SyS!$B:$P,12,FALSE()),0)</f>
        <v>0</v>
      </c>
      <c r="AO179" s="40">
        <f>+AM179-AN179</f>
        <v>0</v>
      </c>
      <c r="AP179" s="39"/>
      <c r="AQ179" s="39"/>
      <c r="AR179" s="39"/>
      <c r="AS179" s="39"/>
      <c r="AT179" s="39"/>
      <c r="AU179" s="39"/>
      <c r="AV179" s="39"/>
      <c r="AW179" s="39"/>
      <c r="AX179" s="39"/>
      <c r="AY179" s="39"/>
      <c r="AZ179" s="39"/>
      <c r="BA179" s="39"/>
      <c r="BB179" s="39"/>
      <c r="BC179" s="39"/>
      <c r="BD179" s="39"/>
      <c r="BE179" s="39"/>
      <c r="BF179" s="39"/>
      <c r="BG179" s="39"/>
      <c r="BH179" s="39"/>
      <c r="BI179" s="39"/>
      <c r="BJ179" s="39"/>
      <c r="BK179" s="39">
        <f>IFERROR(VLOOKUP("29_"&amp;A179,SyS!$B:$P,10,FALSE()),0)</f>
        <v>0</v>
      </c>
      <c r="BL179" s="39">
        <f>IFERROR(VLOOKUP("29_"&amp;A179,SyS!$B:$P,12,FALSE()),0)</f>
        <v>0</v>
      </c>
      <c r="BM179" s="39">
        <f>+BK179-BL179</f>
        <v>0</v>
      </c>
      <c r="BN179" s="38">
        <f>IFERROR(VLOOKUP("30_"&amp;A179,SyS!$B:$P,10,FALSE()),0)</f>
        <v>0</v>
      </c>
      <c r="BO179" s="39">
        <f>IFERROR(VLOOKUP("30_"&amp;A179,SyS!$B:$P,12,FALSE()),0)</f>
        <v>0</v>
      </c>
      <c r="BP179" s="40">
        <f>+BN179-BO179</f>
        <v>0</v>
      </c>
      <c r="BQ179" s="45">
        <f>+E179+H179+K179+Q179+T179+W179+Z179+AC179+AF179+AI179+AL179+AO179+AR179+AU179+AX179+BA179+BD179+BG179+BJ179+BM179+BP179</f>
        <v>0</v>
      </c>
    </row>
    <row r="180" ht="11.25" customHeight="1" spans="1:69" x14ac:dyDescent="0.25">
      <c r="A180" s="44">
        <v>421100000</v>
      </c>
      <c r="B180" s="46" t="s">
        <v>409</v>
      </c>
      <c r="C180" s="38">
        <f>IFERROR(VLOOKUP("1_"&amp;A180,SyS!$B:$P,10,FALSE()),0)</f>
        <v>0</v>
      </c>
      <c r="D180" s="39">
        <f>IFERROR(VLOOKUP("1_"&amp;A180,SyS!$B:$P,12,FALSE()),0)</f>
        <v>0</v>
      </c>
      <c r="E180" s="39">
        <f>+C180-D180</f>
        <v>0</v>
      </c>
      <c r="F180" s="38">
        <f>IFERROR(VLOOKUP("2_"&amp;A180,SyS!$B:$P,10,FALSE()),0)</f>
        <v>0</v>
      </c>
      <c r="G180" s="39">
        <f>IFERROR(VLOOKUP("2_"&amp;A180,SyS!$B:$P,12,FALSE()),0)</f>
        <v>0</v>
      </c>
      <c r="H180" s="40">
        <f>+F180-G180</f>
        <v>0</v>
      </c>
      <c r="I180" s="39"/>
      <c r="J180" s="39"/>
      <c r="K180" s="39"/>
      <c r="L180" s="39"/>
      <c r="M180" s="39"/>
      <c r="N180" s="39"/>
      <c r="O180" s="38">
        <f>IFERROR(VLOOKUP("14_"&amp;A180,SyS!$B:$P,10,FALSE()),0)</f>
        <v>0</v>
      </c>
      <c r="P180" s="39">
        <f>IFERROR(VLOOKUP("14_"&amp;A180,SyS!$B:$P,12,FALSE()),0)</f>
        <v>0</v>
      </c>
      <c r="Q180" s="40">
        <f>+O180-P180</f>
        <v>0</v>
      </c>
      <c r="R180" s="38">
        <f>IFERROR(VLOOKUP("15_"&amp;A180,SyS!$B:$P,10,FALSE()),0)</f>
        <v>0</v>
      </c>
      <c r="S180" s="39">
        <f>IFERROR(VLOOKUP("15_"&amp;A180,SyS!$B:$P,12,FALSE()),0)</f>
        <v>0</v>
      </c>
      <c r="T180" s="40">
        <f>+R180-S180</f>
        <v>0</v>
      </c>
      <c r="U180" s="38">
        <f>IFERROR(VLOOKUP("16_"&amp;A180,SyS!$B:$P,10,FALSE()),0)</f>
        <v>0</v>
      </c>
      <c r="V180" s="39">
        <f>IFERROR(VLOOKUP("16_"&amp;A180,SyS!$B:$P,12,FALSE()),0)</f>
        <v>0</v>
      </c>
      <c r="W180" s="40">
        <f>+U180-V180</f>
        <v>0</v>
      </c>
      <c r="X180" s="38">
        <f>IFERROR(VLOOKUP("13_"&amp;A180,SyS!$B:$P,10,FALSE()),0)</f>
        <v>0</v>
      </c>
      <c r="Y180" s="39">
        <f>IFERROR(VLOOKUP("13_"&amp;A180,SyS!$B:$P,12,FALSE()),0)</f>
        <v>0</v>
      </c>
      <c r="Z180" s="40">
        <f>+X180-Y180</f>
        <v>0</v>
      </c>
      <c r="AA180" s="38">
        <f>IFERROR(VLOOKUP("17_"&amp;A180,SyS!$B:$P,10,FALSE()),0)</f>
        <v>0</v>
      </c>
      <c r="AB180" s="39">
        <f>IFERROR(VLOOKUP("17_"&amp;A180,SyS!$B:$P,12,FALSE()),0)</f>
        <v>0</v>
      </c>
      <c r="AC180" s="40">
        <f>+AA180-AB180</f>
        <v>0</v>
      </c>
      <c r="AD180" s="39"/>
      <c r="AE180" s="39"/>
      <c r="AF180" s="39"/>
      <c r="AG180" s="39">
        <f>IFERROR(VLOOKUP("19_"&amp;A180,SyS!$B:$P,10,FALSE()),0)</f>
        <v>0</v>
      </c>
      <c r="AH180" s="39">
        <f>IFERROR(VLOOKUP("19_"&amp;A180,SyS!$B:$P,12,FALSE()),0)</f>
        <v>0</v>
      </c>
      <c r="AI180" s="39">
        <f>+AG180-AH180</f>
        <v>0</v>
      </c>
      <c r="AJ180" s="39"/>
      <c r="AK180" s="39"/>
      <c r="AL180" s="39"/>
      <c r="AM180" s="38">
        <f>IFERROR(VLOOKUP("23_"&amp;A180,SyS!$B:$P,10,FALSE()),0)</f>
        <v>0</v>
      </c>
      <c r="AN180" s="39">
        <f>IFERROR(VLOOKUP("23_"&amp;A180,SyS!$B:$P,12,FALSE()),0)</f>
        <v>0</v>
      </c>
      <c r="AO180" s="40">
        <f>+AM180-AN180</f>
        <v>0</v>
      </c>
      <c r="AP180" s="39"/>
      <c r="AQ180" s="39"/>
      <c r="AR180" s="39"/>
      <c r="AS180" s="39"/>
      <c r="AT180" s="39"/>
      <c r="AU180" s="39"/>
      <c r="AV180" s="39"/>
      <c r="AW180" s="39"/>
      <c r="AX180" s="39"/>
      <c r="AY180" s="39"/>
      <c r="AZ180" s="39"/>
      <c r="BA180" s="39"/>
      <c r="BB180" s="39"/>
      <c r="BC180" s="39"/>
      <c r="BD180" s="39"/>
      <c r="BE180" s="39"/>
      <c r="BF180" s="39"/>
      <c r="BG180" s="39"/>
      <c r="BH180" s="39"/>
      <c r="BI180" s="39"/>
      <c r="BJ180" s="39"/>
      <c r="BK180" s="39">
        <f>IFERROR(VLOOKUP("29_"&amp;A180,SyS!$B:$P,10,FALSE()),0)</f>
        <v>0</v>
      </c>
      <c r="BL180" s="39">
        <f>IFERROR(VLOOKUP("29_"&amp;A180,SyS!$B:$P,12,FALSE()),0)</f>
        <v>0</v>
      </c>
      <c r="BM180" s="39">
        <f>+BK180-BL180</f>
        <v>0</v>
      </c>
      <c r="BN180" s="38">
        <f>IFERROR(VLOOKUP("30_"&amp;A180,SyS!$B:$P,10,FALSE()),0)</f>
        <v>0</v>
      </c>
      <c r="BO180" s="39">
        <f>IFERROR(VLOOKUP("30_"&amp;A180,SyS!$B:$P,12,FALSE()),0)</f>
        <v>0</v>
      </c>
      <c r="BP180" s="40">
        <f>+BN180-BO180</f>
        <v>0</v>
      </c>
      <c r="BQ180" s="45">
        <f>+E180+H180+K180+Q180+T180+W180+Z180+AC180+AF180+AI180+AL180+AO180+AR180+AU180+AX180+BA180+BD180+BG180+BJ180+BM180+BP180</f>
        <v>0</v>
      </c>
    </row>
    <row r="181" ht="11.25" customHeight="1" spans="1:69" x14ac:dyDescent="0.25">
      <c r="A181" s="44">
        <v>421090000</v>
      </c>
      <c r="B181" s="46" t="s">
        <v>410</v>
      </c>
      <c r="C181" s="38">
        <f>IFERROR(VLOOKUP("1_"&amp;A181,SyS!$B:$P,10,FALSE()),0)</f>
        <v>0</v>
      </c>
      <c r="D181" s="39">
        <f>IFERROR(VLOOKUP("1_"&amp;A181,SyS!$B:$P,12,FALSE()),0)</f>
        <v>0</v>
      </c>
      <c r="E181" s="39">
        <f>+C181-D181</f>
        <v>0</v>
      </c>
      <c r="F181" s="38">
        <f>IFERROR(VLOOKUP("2_"&amp;A181,SyS!$B:$P,10,FALSE()),0)</f>
        <v>0</v>
      </c>
      <c r="G181" s="39">
        <f>IFERROR(VLOOKUP("2_"&amp;A181,SyS!$B:$P,12,FALSE()),0)</f>
        <v>0</v>
      </c>
      <c r="H181" s="40">
        <f>+F181-G181</f>
        <v>0</v>
      </c>
      <c r="I181" s="39"/>
      <c r="J181" s="39"/>
      <c r="K181" s="39"/>
      <c r="L181" s="39"/>
      <c r="M181" s="39"/>
      <c r="N181" s="39"/>
      <c r="O181" s="38">
        <f>IFERROR(VLOOKUP("14_"&amp;A181,SyS!$B:$P,10,FALSE()),0)</f>
        <v>0</v>
      </c>
      <c r="P181" s="39">
        <f>IFERROR(VLOOKUP("14_"&amp;A181,SyS!$B:$P,12,FALSE()),0)</f>
        <v>0</v>
      </c>
      <c r="Q181" s="40">
        <f>+O181-P181</f>
        <v>0</v>
      </c>
      <c r="R181" s="38">
        <f>IFERROR(VLOOKUP("15_"&amp;A181,SyS!$B:$P,10,FALSE()),0)</f>
        <v>0</v>
      </c>
      <c r="S181" s="39">
        <f>IFERROR(VLOOKUP("15_"&amp;A181,SyS!$B:$P,12,FALSE()),0)</f>
        <v>0</v>
      </c>
      <c r="T181" s="40">
        <f>+R181-S181</f>
        <v>0</v>
      </c>
      <c r="U181" s="38">
        <f>IFERROR(VLOOKUP("16_"&amp;A181,SyS!$B:$P,10,FALSE()),0)</f>
        <v>0</v>
      </c>
      <c r="V181" s="39">
        <f>IFERROR(VLOOKUP("16_"&amp;A181,SyS!$B:$P,12,FALSE()),0)</f>
        <v>0</v>
      </c>
      <c r="W181" s="40">
        <f>+U181-V181</f>
        <v>0</v>
      </c>
      <c r="X181" s="38">
        <f>IFERROR(VLOOKUP("13_"&amp;A181,SyS!$B:$P,10,FALSE()),0)</f>
        <v>0</v>
      </c>
      <c r="Y181" s="39">
        <f>IFERROR(VLOOKUP("13_"&amp;A181,SyS!$B:$P,12,FALSE()),0)</f>
        <v>0</v>
      </c>
      <c r="Z181" s="40">
        <f>+X181-Y181</f>
        <v>0</v>
      </c>
      <c r="AA181" s="38">
        <f>IFERROR(VLOOKUP("17_"&amp;A181,SyS!$B:$P,10,FALSE()),0)</f>
        <v>0</v>
      </c>
      <c r="AB181" s="39">
        <f>IFERROR(VLOOKUP("17_"&amp;A181,SyS!$B:$P,12,FALSE()),0)</f>
        <v>0</v>
      </c>
      <c r="AC181" s="40">
        <f>+AA181-AB181</f>
        <v>0</v>
      </c>
      <c r="AD181" s="39"/>
      <c r="AE181" s="39"/>
      <c r="AF181" s="39"/>
      <c r="AG181" s="39">
        <f>IFERROR(VLOOKUP("19_"&amp;A181,SyS!$B:$P,10,FALSE()),0)</f>
        <v>0</v>
      </c>
      <c r="AH181" s="39">
        <f>IFERROR(VLOOKUP("19_"&amp;A181,SyS!$B:$P,12,FALSE()),0)</f>
        <v>0</v>
      </c>
      <c r="AI181" s="39">
        <f>+AG181-AH181</f>
        <v>0</v>
      </c>
      <c r="AJ181" s="39"/>
      <c r="AK181" s="39"/>
      <c r="AL181" s="39"/>
      <c r="AM181" s="38">
        <f>IFERROR(VLOOKUP("23_"&amp;A181,SyS!$B:$P,10,FALSE()),0)</f>
        <v>0</v>
      </c>
      <c r="AN181" s="39">
        <f>IFERROR(VLOOKUP("23_"&amp;A181,SyS!$B:$P,12,FALSE()),0)</f>
        <v>0</v>
      </c>
      <c r="AO181" s="40">
        <f>+AM181-AN181</f>
        <v>0</v>
      </c>
      <c r="AP181" s="39"/>
      <c r="AQ181" s="39"/>
      <c r="AR181" s="39"/>
      <c r="AS181" s="39"/>
      <c r="AT181" s="39"/>
      <c r="AU181" s="39"/>
      <c r="AV181" s="39"/>
      <c r="AW181" s="39"/>
      <c r="AX181" s="39"/>
      <c r="AY181" s="39"/>
      <c r="AZ181" s="39"/>
      <c r="BA181" s="39"/>
      <c r="BB181" s="39"/>
      <c r="BC181" s="39"/>
      <c r="BD181" s="39"/>
      <c r="BE181" s="39"/>
      <c r="BF181" s="39"/>
      <c r="BG181" s="39"/>
      <c r="BH181" s="39"/>
      <c r="BI181" s="39"/>
      <c r="BJ181" s="39"/>
      <c r="BK181" s="39">
        <f>IFERROR(VLOOKUP("29_"&amp;A181,SyS!$B:$P,10,FALSE()),0)</f>
        <v>0</v>
      </c>
      <c r="BL181" s="39">
        <f>IFERROR(VLOOKUP("29_"&amp;A181,SyS!$B:$P,12,FALSE()),0)</f>
        <v>0</v>
      </c>
      <c r="BM181" s="39">
        <f>+BK181-BL181</f>
        <v>0</v>
      </c>
      <c r="BN181" s="38">
        <f>IFERROR(VLOOKUP("30_"&amp;A181,SyS!$B:$P,10,FALSE()),0)</f>
        <v>0</v>
      </c>
      <c r="BO181" s="39">
        <f>IFERROR(VLOOKUP("30_"&amp;A181,SyS!$B:$P,12,FALSE()),0)</f>
        <v>0</v>
      </c>
      <c r="BP181" s="40">
        <f>+BN181-BO181</f>
        <v>0</v>
      </c>
      <c r="BQ181" s="45">
        <f>+E181+H181+K181+Q181+T181+W181+Z181+AC181+AF181+AI181+AL181+AO181+AR181+AU181+AX181+BA181+BD181+BG181+BJ181+BM181+BP181</f>
        <v>0</v>
      </c>
    </row>
    <row r="182" ht="11.25" customHeight="1" spans="1:69" x14ac:dyDescent="0.25">
      <c r="A182" s="44">
        <v>421110000</v>
      </c>
      <c r="B182" s="18" t="s">
        <v>411</v>
      </c>
      <c r="C182" s="38">
        <f>IFERROR(VLOOKUP("1_"&amp;A182,SyS!$B:$P,10,FALSE()),0)</f>
        <v>0</v>
      </c>
      <c r="D182" s="39">
        <f>IFERROR(VLOOKUP("1_"&amp;A182,SyS!$B:$P,12,FALSE()),0)</f>
        <v>0</v>
      </c>
      <c r="E182" s="39">
        <f>+C182-D182</f>
        <v>0</v>
      </c>
      <c r="F182" s="38">
        <f>IFERROR(VLOOKUP("2_"&amp;A182,SyS!$B:$P,10,FALSE()),0)</f>
        <v>0</v>
      </c>
      <c r="G182" s="39">
        <f>IFERROR(VLOOKUP("2_"&amp;A182,SyS!$B:$P,12,FALSE()),0)</f>
        <v>0</v>
      </c>
      <c r="H182" s="40">
        <f>+F182-G182</f>
        <v>0</v>
      </c>
      <c r="I182" s="39"/>
      <c r="J182" s="39"/>
      <c r="K182" s="39"/>
      <c r="L182" s="39"/>
      <c r="M182" s="39"/>
      <c r="N182" s="39"/>
      <c r="O182" s="38">
        <f>IFERROR(VLOOKUP("14_"&amp;A182,SyS!$B:$P,10,FALSE()),0)</f>
        <v>0</v>
      </c>
      <c r="P182" s="39">
        <f>IFERROR(VLOOKUP("14_"&amp;A182,SyS!$B:$P,12,FALSE()),0)</f>
        <v>0</v>
      </c>
      <c r="Q182" s="40">
        <f>+O182-P182</f>
        <v>0</v>
      </c>
      <c r="R182" s="38">
        <f>IFERROR(VLOOKUP("15_"&amp;A182,SyS!$B:$P,10,FALSE()),0)</f>
        <v>0</v>
      </c>
      <c r="S182" s="39">
        <f>IFERROR(VLOOKUP("15_"&amp;A182,SyS!$B:$P,12,FALSE()),0)</f>
        <v>0</v>
      </c>
      <c r="T182" s="40">
        <f>+R182-S182</f>
        <v>0</v>
      </c>
      <c r="U182" s="38">
        <f>IFERROR(VLOOKUP("16_"&amp;A182,SyS!$B:$P,10,FALSE()),0)</f>
        <v>0</v>
      </c>
      <c r="V182" s="39">
        <f>IFERROR(VLOOKUP("16_"&amp;A182,SyS!$B:$P,12,FALSE()),0)</f>
        <v>0</v>
      </c>
      <c r="W182" s="40">
        <f>+U182-V182</f>
        <v>0</v>
      </c>
      <c r="X182" s="38">
        <f>IFERROR(VLOOKUP("13_"&amp;A182,SyS!$B:$P,10,FALSE()),0)</f>
        <v>0</v>
      </c>
      <c r="Y182" s="39">
        <f>IFERROR(VLOOKUP("13_"&amp;A182,SyS!$B:$P,12,FALSE()),0)</f>
        <v>0</v>
      </c>
      <c r="Z182" s="40">
        <f>+X182-Y182</f>
        <v>0</v>
      </c>
      <c r="AA182" s="38">
        <f>IFERROR(VLOOKUP("17_"&amp;A182,SyS!$B:$P,10,FALSE()),0)</f>
        <v>0</v>
      </c>
      <c r="AB182" s="39">
        <f>IFERROR(VLOOKUP("17_"&amp;A182,SyS!$B:$P,12,FALSE()),0)</f>
        <v>0</v>
      </c>
      <c r="AC182" s="40">
        <f>+AA182-AB182</f>
        <v>0</v>
      </c>
      <c r="AD182" s="39"/>
      <c r="AE182" s="39"/>
      <c r="AF182" s="39"/>
      <c r="AG182" s="39">
        <f>IFERROR(VLOOKUP("19_"&amp;A182,SyS!$B:$P,10,FALSE()),0)</f>
        <v>0</v>
      </c>
      <c r="AH182" s="39">
        <f>IFERROR(VLOOKUP("19_"&amp;A182,SyS!$B:$P,12,FALSE()),0)</f>
        <v>0</v>
      </c>
      <c r="AI182" s="39">
        <f>+AG182-AH182</f>
        <v>0</v>
      </c>
      <c r="AJ182" s="39"/>
      <c r="AK182" s="39"/>
      <c r="AL182" s="39"/>
      <c r="AM182" s="38">
        <f>IFERROR(VLOOKUP("23_"&amp;A182,SyS!$B:$P,10,FALSE()),0)</f>
        <v>0</v>
      </c>
      <c r="AN182" s="39">
        <f>IFERROR(VLOOKUP("23_"&amp;A182,SyS!$B:$P,12,FALSE()),0)</f>
        <v>0</v>
      </c>
      <c r="AO182" s="40">
        <f>+AM182-AN182</f>
        <v>0</v>
      </c>
      <c r="AP182" s="39"/>
      <c r="AQ182" s="39"/>
      <c r="AR182" s="39"/>
      <c r="AS182" s="39"/>
      <c r="AT182" s="39"/>
      <c r="AU182" s="39"/>
      <c r="AV182" s="39"/>
      <c r="AW182" s="39"/>
      <c r="AX182" s="39"/>
      <c r="AY182" s="39"/>
      <c r="AZ182" s="39"/>
      <c r="BA182" s="39"/>
      <c r="BB182" s="39"/>
      <c r="BC182" s="39"/>
      <c r="BD182" s="39"/>
      <c r="BE182" s="39"/>
      <c r="BF182" s="39"/>
      <c r="BG182" s="39"/>
      <c r="BH182" s="39"/>
      <c r="BI182" s="39"/>
      <c r="BJ182" s="39"/>
      <c r="BK182" s="39">
        <f>IFERROR(VLOOKUP("29_"&amp;A182,SyS!$B:$P,10,FALSE()),0)</f>
        <v>0</v>
      </c>
      <c r="BL182" s="39">
        <f>IFERROR(VLOOKUP("29_"&amp;A182,SyS!$B:$P,12,FALSE()),0)</f>
        <v>0</v>
      </c>
      <c r="BM182" s="39">
        <f>+BK182-BL182</f>
        <v>0</v>
      </c>
      <c r="BN182" s="38">
        <f>IFERROR(VLOOKUP("30_"&amp;A182,SyS!$B:$P,10,FALSE()),0)</f>
        <v>0</v>
      </c>
      <c r="BO182" s="39">
        <f>IFERROR(VLOOKUP("30_"&amp;A182,SyS!$B:$P,12,FALSE()),0)</f>
        <v>0</v>
      </c>
      <c r="BP182" s="40">
        <f>+BN182-BO182</f>
        <v>0</v>
      </c>
      <c r="BQ182" s="45">
        <f>+E182+H182+K182+Q182+T182+W182+Z182+AC182+AF182+AI182+AL182+AO182+AR182+AU182+AX182+BA182+BD182+BG182+BJ182+BM182+BP182</f>
        <v>0</v>
      </c>
    </row>
    <row r="183" ht="11.25" customHeight="1" spans="1:69" x14ac:dyDescent="0.25">
      <c r="A183" s="44">
        <v>421120000</v>
      </c>
      <c r="B183" s="18" t="s">
        <v>412</v>
      </c>
      <c r="C183" s="38">
        <f>IFERROR(VLOOKUP("1_"&amp;A183,SyS!$B:$P,10,FALSE()),0)</f>
        <v>0</v>
      </c>
      <c r="D183" s="39">
        <f>IFERROR(VLOOKUP("1_"&amp;A183,SyS!$B:$P,12,FALSE()),0)</f>
        <v>0</v>
      </c>
      <c r="E183" s="39">
        <f>+C183-D183</f>
        <v>0</v>
      </c>
      <c r="F183" s="38">
        <f>IFERROR(VLOOKUP("2_"&amp;A183,SyS!$B:$P,10,FALSE()),0)</f>
        <v>0</v>
      </c>
      <c r="G183" s="39">
        <f>IFERROR(VLOOKUP("2_"&amp;A183,SyS!$B:$P,12,FALSE()),0)</f>
        <v>0</v>
      </c>
      <c r="H183" s="40">
        <f>+F183-G183</f>
        <v>0</v>
      </c>
      <c r="I183" s="39"/>
      <c r="J183" s="39"/>
      <c r="K183" s="39"/>
      <c r="L183" s="39"/>
      <c r="M183" s="39"/>
      <c r="N183" s="39"/>
      <c r="O183" s="38">
        <f>IFERROR(VLOOKUP("14_"&amp;A183,SyS!$B:$P,10,FALSE()),0)</f>
        <v>0</v>
      </c>
      <c r="P183" s="39">
        <f>IFERROR(VLOOKUP("14_"&amp;A183,SyS!$B:$P,12,FALSE()),0)</f>
        <v>0</v>
      </c>
      <c r="Q183" s="40">
        <f>+O183-P183</f>
        <v>0</v>
      </c>
      <c r="R183" s="38">
        <f>IFERROR(VLOOKUP("15_"&amp;A183,SyS!$B:$P,10,FALSE()),0)</f>
        <v>0</v>
      </c>
      <c r="S183" s="39">
        <f>IFERROR(VLOOKUP("15_"&amp;A183,SyS!$B:$P,12,FALSE()),0)</f>
        <v>0</v>
      </c>
      <c r="T183" s="40">
        <f>+R183-S183</f>
        <v>0</v>
      </c>
      <c r="U183" s="38">
        <f>IFERROR(VLOOKUP("16_"&amp;A183,SyS!$B:$P,10,FALSE()),0)</f>
        <v>0</v>
      </c>
      <c r="V183" s="39">
        <f>IFERROR(VLOOKUP("16_"&amp;A183,SyS!$B:$P,12,FALSE()),0)</f>
        <v>0</v>
      </c>
      <c r="W183" s="40">
        <f>+U183-V183</f>
        <v>0</v>
      </c>
      <c r="X183" s="38">
        <f>IFERROR(VLOOKUP("13_"&amp;A183,SyS!$B:$P,10,FALSE()),0)</f>
        <v>0</v>
      </c>
      <c r="Y183" s="39">
        <f>IFERROR(VLOOKUP("13_"&amp;A183,SyS!$B:$P,12,FALSE()),0)</f>
        <v>0</v>
      </c>
      <c r="Z183" s="40">
        <f>+X183-Y183</f>
        <v>0</v>
      </c>
      <c r="AA183" s="38">
        <f>IFERROR(VLOOKUP("17_"&amp;A183,SyS!$B:$P,10,FALSE()),0)</f>
        <v>0</v>
      </c>
      <c r="AB183" s="39">
        <f>IFERROR(VLOOKUP("17_"&amp;A183,SyS!$B:$P,12,FALSE()),0)</f>
        <v>0</v>
      </c>
      <c r="AC183" s="40">
        <f>+AA183-AB183</f>
        <v>0</v>
      </c>
      <c r="AD183" s="39"/>
      <c r="AE183" s="39"/>
      <c r="AF183" s="39"/>
      <c r="AG183" s="39">
        <f>IFERROR(VLOOKUP("19_"&amp;A183,SyS!$B:$P,10,FALSE()),0)</f>
        <v>0</v>
      </c>
      <c r="AH183" s="39">
        <f>IFERROR(VLOOKUP("19_"&amp;A183,SyS!$B:$P,12,FALSE()),0)</f>
        <v>0</v>
      </c>
      <c r="AI183" s="39">
        <f>+AG183-AH183</f>
        <v>0</v>
      </c>
      <c r="AJ183" s="39"/>
      <c r="AK183" s="39"/>
      <c r="AL183" s="39"/>
      <c r="AM183" s="38">
        <f>IFERROR(VLOOKUP("23_"&amp;A183,SyS!$B:$P,10,FALSE()),0)</f>
        <v>0</v>
      </c>
      <c r="AN183" s="39">
        <f>IFERROR(VLOOKUP("23_"&amp;A183,SyS!$B:$P,12,FALSE()),0)</f>
        <v>0</v>
      </c>
      <c r="AO183" s="40">
        <f>+AM183-AN183</f>
        <v>0</v>
      </c>
      <c r="AP183" s="39"/>
      <c r="AQ183" s="39"/>
      <c r="AR183" s="39"/>
      <c r="AS183" s="39"/>
      <c r="AT183" s="39"/>
      <c r="AU183" s="39"/>
      <c r="AV183" s="39"/>
      <c r="AW183" s="39"/>
      <c r="AX183" s="39"/>
      <c r="AY183" s="39"/>
      <c r="AZ183" s="39"/>
      <c r="BA183" s="39"/>
      <c r="BB183" s="39"/>
      <c r="BC183" s="39"/>
      <c r="BD183" s="39"/>
      <c r="BE183" s="39"/>
      <c r="BF183" s="39"/>
      <c r="BG183" s="39"/>
      <c r="BH183" s="39"/>
      <c r="BI183" s="39"/>
      <c r="BJ183" s="39"/>
      <c r="BK183" s="39">
        <f>IFERROR(VLOOKUP("29_"&amp;A183,SyS!$B:$P,10,FALSE()),0)</f>
        <v>0</v>
      </c>
      <c r="BL183" s="39">
        <f>IFERROR(VLOOKUP("29_"&amp;A183,SyS!$B:$P,12,FALSE()),0)</f>
        <v>0</v>
      </c>
      <c r="BM183" s="39">
        <f>+BK183-BL183</f>
        <v>0</v>
      </c>
      <c r="BN183" s="38">
        <f>IFERROR(VLOOKUP("30_"&amp;A183,SyS!$B:$P,10,FALSE()),0)</f>
        <v>0</v>
      </c>
      <c r="BO183" s="39">
        <f>IFERROR(VLOOKUP("30_"&amp;A183,SyS!$B:$P,12,FALSE()),0)</f>
        <v>0</v>
      </c>
      <c r="BP183" s="40">
        <f>+BN183-BO183</f>
        <v>0</v>
      </c>
      <c r="BQ183" s="45">
        <f>+E183+H183+K183+Q183+T183+W183+Z183+AC183+AF183+AI183+AL183+AO183+AR183+AU183+AX183+BA183+BD183+BG183+BJ183+BM183+BP183</f>
        <v>0</v>
      </c>
    </row>
    <row r="184" ht="11.25" customHeight="1" spans="1:69" x14ac:dyDescent="0.25">
      <c r="A184" s="44">
        <v>421130000</v>
      </c>
      <c r="B184" s="18" t="s">
        <v>413</v>
      </c>
      <c r="C184" s="38">
        <f>IFERROR(VLOOKUP("1_"&amp;A184,SyS!$B:$P,10,FALSE()),0)</f>
        <v>0</v>
      </c>
      <c r="D184" s="39">
        <f>IFERROR(VLOOKUP("1_"&amp;A184,SyS!$B:$P,12,FALSE()),0)</f>
        <v>0</v>
      </c>
      <c r="E184" s="39">
        <f>+C184-D184</f>
        <v>0</v>
      </c>
      <c r="F184" s="38">
        <f>IFERROR(VLOOKUP("2_"&amp;A184,SyS!$B:$P,10,FALSE()),0)</f>
        <v>0</v>
      </c>
      <c r="G184" s="39">
        <f>IFERROR(VLOOKUP("2_"&amp;A184,SyS!$B:$P,12,FALSE()),0)</f>
        <v>0</v>
      </c>
      <c r="H184" s="40">
        <f>+F184-G184</f>
        <v>0</v>
      </c>
      <c r="I184" s="39"/>
      <c r="J184" s="39"/>
      <c r="K184" s="39"/>
      <c r="L184" s="39"/>
      <c r="M184" s="39"/>
      <c r="N184" s="39"/>
      <c r="O184" s="38">
        <f>IFERROR(VLOOKUP("14_"&amp;A184,SyS!$B:$P,10,FALSE()),0)</f>
        <v>0</v>
      </c>
      <c r="P184" s="39">
        <f>IFERROR(VLOOKUP("14_"&amp;A184,SyS!$B:$P,12,FALSE()),0)</f>
        <v>0</v>
      </c>
      <c r="Q184" s="40">
        <f>+O184-P184</f>
        <v>0</v>
      </c>
      <c r="R184" s="38">
        <f>IFERROR(VLOOKUP("15_"&amp;A184,SyS!$B:$P,10,FALSE()),0)</f>
        <v>0</v>
      </c>
      <c r="S184" s="39">
        <f>IFERROR(VLOOKUP("15_"&amp;A184,SyS!$B:$P,12,FALSE()),0)</f>
        <v>0</v>
      </c>
      <c r="T184" s="40">
        <f>+R184-S184</f>
        <v>0</v>
      </c>
      <c r="U184" s="38">
        <f>IFERROR(VLOOKUP("16_"&amp;A184,SyS!$B:$P,10,FALSE()),0)</f>
        <v>0</v>
      </c>
      <c r="V184" s="39">
        <f>IFERROR(VLOOKUP("16_"&amp;A184,SyS!$B:$P,12,FALSE()),0)</f>
        <v>0</v>
      </c>
      <c r="W184" s="40">
        <f>+U184-V184</f>
        <v>0</v>
      </c>
      <c r="X184" s="38">
        <f>IFERROR(VLOOKUP("13_"&amp;A184,SyS!$B:$P,10,FALSE()),0)</f>
        <v>0</v>
      </c>
      <c r="Y184" s="39">
        <f>IFERROR(VLOOKUP("13_"&amp;A184,SyS!$B:$P,12,FALSE()),0)</f>
        <v>0</v>
      </c>
      <c r="Z184" s="40">
        <f>+X184-Y184</f>
        <v>0</v>
      </c>
      <c r="AA184" s="38">
        <f>IFERROR(VLOOKUP("17_"&amp;A184,SyS!$B:$P,10,FALSE()),0)</f>
        <v>0</v>
      </c>
      <c r="AB184" s="39">
        <f>IFERROR(VLOOKUP("17_"&amp;A184,SyS!$B:$P,12,FALSE()),0)</f>
        <v>0</v>
      </c>
      <c r="AC184" s="40">
        <f>+AA184-AB184</f>
        <v>0</v>
      </c>
      <c r="AD184" s="39"/>
      <c r="AE184" s="39"/>
      <c r="AF184" s="39"/>
      <c r="AG184" s="39">
        <f>IFERROR(VLOOKUP("19_"&amp;A184,SyS!$B:$P,10,FALSE()),0)</f>
        <v>0</v>
      </c>
      <c r="AH184" s="39">
        <f>IFERROR(VLOOKUP("19_"&amp;A184,SyS!$B:$P,12,FALSE()),0)</f>
        <v>0</v>
      </c>
      <c r="AI184" s="39">
        <f>+AG184-AH184</f>
        <v>0</v>
      </c>
      <c r="AJ184" s="39"/>
      <c r="AK184" s="39"/>
      <c r="AL184" s="39"/>
      <c r="AM184" s="38">
        <f>IFERROR(VLOOKUP("23_"&amp;A184,SyS!$B:$P,10,FALSE()),0)</f>
        <v>0</v>
      </c>
      <c r="AN184" s="39">
        <f>IFERROR(VLOOKUP("23_"&amp;A184,SyS!$B:$P,12,FALSE()),0)</f>
        <v>0</v>
      </c>
      <c r="AO184" s="40">
        <f>+AM184-AN184</f>
        <v>0</v>
      </c>
      <c r="AP184" s="39"/>
      <c r="AQ184" s="39"/>
      <c r="AR184" s="39"/>
      <c r="AS184" s="39"/>
      <c r="AT184" s="39"/>
      <c r="AU184" s="39"/>
      <c r="AV184" s="39"/>
      <c r="AW184" s="39"/>
      <c r="AX184" s="39"/>
      <c r="AY184" s="39"/>
      <c r="AZ184" s="39"/>
      <c r="BA184" s="39"/>
      <c r="BB184" s="39"/>
      <c r="BC184" s="39"/>
      <c r="BD184" s="39"/>
      <c r="BE184" s="39"/>
      <c r="BF184" s="39"/>
      <c r="BG184" s="39"/>
      <c r="BH184" s="39"/>
      <c r="BI184" s="39"/>
      <c r="BJ184" s="39"/>
      <c r="BK184" s="39">
        <f>IFERROR(VLOOKUP("29_"&amp;A184,SyS!$B:$P,10,FALSE()),0)</f>
        <v>0</v>
      </c>
      <c r="BL184" s="39">
        <f>IFERROR(VLOOKUP("29_"&amp;A184,SyS!$B:$P,12,FALSE()),0)</f>
        <v>0</v>
      </c>
      <c r="BM184" s="39">
        <f>+BK184-BL184</f>
        <v>0</v>
      </c>
      <c r="BN184" s="38">
        <f>IFERROR(VLOOKUP("30_"&amp;A184,SyS!$B:$P,10,FALSE()),0)</f>
        <v>0</v>
      </c>
      <c r="BO184" s="39">
        <f>IFERROR(VLOOKUP("30_"&amp;A184,SyS!$B:$P,12,FALSE()),0)</f>
        <v>0</v>
      </c>
      <c r="BP184" s="40">
        <f>+BN184-BO184</f>
        <v>0</v>
      </c>
      <c r="BQ184" s="45">
        <f>+E184+H184+K184+Q184+T184+W184+Z184+AC184+AF184+AI184+AL184+AO184+AR184+AU184+AX184+BA184+BD184+BG184+BJ184+BM184+BP184</f>
        <v>0</v>
      </c>
    </row>
    <row r="185" ht="11.25" customHeight="1" spans="1:69" x14ac:dyDescent="0.25">
      <c r="A185" s="44">
        <v>421140000</v>
      </c>
      <c r="B185" s="18" t="s">
        <v>414</v>
      </c>
      <c r="C185" s="38">
        <f>IFERROR(VLOOKUP("1_"&amp;A185,SyS!$B:$P,10,FALSE()),0)</f>
        <v>0</v>
      </c>
      <c r="D185" s="39">
        <f>IFERROR(VLOOKUP("1_"&amp;A185,SyS!$B:$P,12,FALSE()),0)</f>
        <v>0</v>
      </c>
      <c r="E185" s="39">
        <f>+C185-D185</f>
        <v>0</v>
      </c>
      <c r="F185" s="38">
        <f>IFERROR(VLOOKUP("2_"&amp;A185,SyS!$B:$P,10,FALSE()),0)</f>
        <v>0</v>
      </c>
      <c r="G185" s="39">
        <f>IFERROR(VLOOKUP("2_"&amp;A185,SyS!$B:$P,12,FALSE()),0)</f>
        <v>0</v>
      </c>
      <c r="H185" s="40">
        <f>+F185-G185</f>
        <v>0</v>
      </c>
      <c r="I185" s="39"/>
      <c r="J185" s="39"/>
      <c r="K185" s="39"/>
      <c r="L185" s="39"/>
      <c r="M185" s="39"/>
      <c r="N185" s="39"/>
      <c r="O185" s="38">
        <f>IFERROR(VLOOKUP("14_"&amp;A185,SyS!$B:$P,10,FALSE()),0)</f>
        <v>0</v>
      </c>
      <c r="P185" s="39">
        <f>IFERROR(VLOOKUP("14_"&amp;A185,SyS!$B:$P,12,FALSE()),0)</f>
        <v>0</v>
      </c>
      <c r="Q185" s="40">
        <f>+O185-P185</f>
        <v>0</v>
      </c>
      <c r="R185" s="38">
        <f>IFERROR(VLOOKUP("15_"&amp;A185,SyS!$B:$P,10,FALSE()),0)</f>
        <v>0</v>
      </c>
      <c r="S185" s="39">
        <f>IFERROR(VLOOKUP("15_"&amp;A185,SyS!$B:$P,12,FALSE()),0)</f>
        <v>0</v>
      </c>
      <c r="T185" s="40">
        <f>+R185-S185</f>
        <v>0</v>
      </c>
      <c r="U185" s="38">
        <f>IFERROR(VLOOKUP("16_"&amp;A185,SyS!$B:$P,10,FALSE()),0)</f>
        <v>0</v>
      </c>
      <c r="V185" s="39">
        <f>IFERROR(VLOOKUP("16_"&amp;A185,SyS!$B:$P,12,FALSE()),0)</f>
        <v>0</v>
      </c>
      <c r="W185" s="40">
        <f>+U185-V185</f>
        <v>0</v>
      </c>
      <c r="X185" s="38">
        <f>IFERROR(VLOOKUP("13_"&amp;A185,SyS!$B:$P,10,FALSE()),0)</f>
        <v>0</v>
      </c>
      <c r="Y185" s="39">
        <f>IFERROR(VLOOKUP("13_"&amp;A185,SyS!$B:$P,12,FALSE()),0)</f>
        <v>0</v>
      </c>
      <c r="Z185" s="40">
        <f>+X185-Y185</f>
        <v>0</v>
      </c>
      <c r="AA185" s="38">
        <f>IFERROR(VLOOKUP("17_"&amp;A185,SyS!$B:$P,10,FALSE()),0)</f>
        <v>0</v>
      </c>
      <c r="AB185" s="39">
        <f>IFERROR(VLOOKUP("17_"&amp;A185,SyS!$B:$P,12,FALSE()),0)</f>
        <v>0</v>
      </c>
      <c r="AC185" s="40">
        <f>+AA185-AB185</f>
        <v>0</v>
      </c>
      <c r="AD185" s="39"/>
      <c r="AE185" s="39"/>
      <c r="AF185" s="39"/>
      <c r="AG185" s="39">
        <f>IFERROR(VLOOKUP("19_"&amp;A185,SyS!$B:$P,10,FALSE()),0)</f>
        <v>0</v>
      </c>
      <c r="AH185" s="39">
        <f>IFERROR(VLOOKUP("19_"&amp;A185,SyS!$B:$P,12,FALSE()),0)</f>
        <v>0</v>
      </c>
      <c r="AI185" s="39">
        <f>+AG185-AH185</f>
        <v>0</v>
      </c>
      <c r="AJ185" s="39"/>
      <c r="AK185" s="39"/>
      <c r="AL185" s="39"/>
      <c r="AM185" s="38">
        <f>IFERROR(VLOOKUP("23_"&amp;A185,SyS!$B:$P,10,FALSE()),0)</f>
        <v>0</v>
      </c>
      <c r="AN185" s="39">
        <f>IFERROR(VLOOKUP("23_"&amp;A185,SyS!$B:$P,12,FALSE()),0)</f>
        <v>0</v>
      </c>
      <c r="AO185" s="40">
        <f>+AM185-AN185</f>
        <v>0</v>
      </c>
      <c r="AP185" s="39"/>
      <c r="AQ185" s="39"/>
      <c r="AR185" s="39"/>
      <c r="AS185" s="39"/>
      <c r="AT185" s="39"/>
      <c r="AU185" s="39"/>
      <c r="AV185" s="39"/>
      <c r="AW185" s="39"/>
      <c r="AX185" s="39"/>
      <c r="AY185" s="39"/>
      <c r="AZ185" s="39"/>
      <c r="BA185" s="39"/>
      <c r="BB185" s="39"/>
      <c r="BC185" s="39"/>
      <c r="BD185" s="39"/>
      <c r="BE185" s="39"/>
      <c r="BF185" s="39"/>
      <c r="BG185" s="39"/>
      <c r="BH185" s="39"/>
      <c r="BI185" s="39"/>
      <c r="BJ185" s="39"/>
      <c r="BK185" s="39">
        <f>IFERROR(VLOOKUP("29_"&amp;A185,SyS!$B:$P,10,FALSE()),0)</f>
        <v>0</v>
      </c>
      <c r="BL185" s="39">
        <f>IFERROR(VLOOKUP("29_"&amp;A185,SyS!$B:$P,12,FALSE()),0)</f>
        <v>0</v>
      </c>
      <c r="BM185" s="39">
        <f>+BK185-BL185</f>
        <v>0</v>
      </c>
      <c r="BN185" s="38">
        <f>IFERROR(VLOOKUP("30_"&amp;A185,SyS!$B:$P,10,FALSE()),0)</f>
        <v>0</v>
      </c>
      <c r="BO185" s="39">
        <f>IFERROR(VLOOKUP("30_"&amp;A185,SyS!$B:$P,12,FALSE()),0)</f>
        <v>0</v>
      </c>
      <c r="BP185" s="40">
        <f>+BN185-BO185</f>
        <v>0</v>
      </c>
      <c r="BQ185" s="45">
        <f>+E185+H185+K185+Q185+T185+W185+Z185+AC185+AF185+AI185+AL185+AO185+AR185+AU185+AX185+BA185+BD185+BG185+BJ185+BM185+BP185</f>
        <v>0</v>
      </c>
    </row>
    <row r="186" ht="11.25" customHeight="1" spans="1:69" x14ac:dyDescent="0.25">
      <c r="A186" s="44">
        <v>421190000</v>
      </c>
      <c r="B186" s="18" t="s">
        <v>415</v>
      </c>
      <c r="C186" s="38">
        <f>IFERROR(VLOOKUP("1_"&amp;A186,SyS!$B:$P,10,FALSE()),0)</f>
        <v>0</v>
      </c>
      <c r="D186" s="39">
        <f>IFERROR(VLOOKUP("1_"&amp;A186,SyS!$B:$P,12,FALSE()),0)</f>
        <v>0</v>
      </c>
      <c r="E186" s="39">
        <f>+C186-D186</f>
        <v>0</v>
      </c>
      <c r="F186" s="38">
        <f>IFERROR(VLOOKUP("2_"&amp;A186,SyS!$B:$P,10,FALSE()),0)</f>
        <v>0</v>
      </c>
      <c r="G186" s="39">
        <f>IFERROR(VLOOKUP("2_"&amp;A186,SyS!$B:$P,12,FALSE()),0)</f>
        <v>0</v>
      </c>
      <c r="H186" s="40">
        <f>+F186-G186</f>
        <v>0</v>
      </c>
      <c r="I186" s="39"/>
      <c r="J186" s="39"/>
      <c r="K186" s="39"/>
      <c r="L186" s="39"/>
      <c r="M186" s="39"/>
      <c r="N186" s="39"/>
      <c r="O186" s="38">
        <f>IFERROR(VLOOKUP("14_"&amp;A186,SyS!$B:$P,10,FALSE()),0)</f>
        <v>0</v>
      </c>
      <c r="P186" s="39">
        <f>IFERROR(VLOOKUP("14_"&amp;A186,SyS!$B:$P,12,FALSE()),0)</f>
        <v>0</v>
      </c>
      <c r="Q186" s="40">
        <f>+O186-P186</f>
        <v>0</v>
      </c>
      <c r="R186" s="38">
        <f>IFERROR(VLOOKUP("15_"&amp;A186,SyS!$B:$P,10,FALSE()),0)</f>
        <v>0</v>
      </c>
      <c r="S186" s="39">
        <f>IFERROR(VLOOKUP("15_"&amp;A186,SyS!$B:$P,12,FALSE()),0)</f>
        <v>0</v>
      </c>
      <c r="T186" s="40">
        <f>+R186-S186</f>
        <v>0</v>
      </c>
      <c r="U186" s="38">
        <f>IFERROR(VLOOKUP("16_"&amp;A186,SyS!$B:$P,10,FALSE()),0)</f>
        <v>0</v>
      </c>
      <c r="V186" s="39">
        <f>IFERROR(VLOOKUP("16_"&amp;A186,SyS!$B:$P,12,FALSE()),0)</f>
        <v>0</v>
      </c>
      <c r="W186" s="40">
        <f>+U186-V186</f>
        <v>0</v>
      </c>
      <c r="X186" s="38">
        <f>IFERROR(VLOOKUP("13_"&amp;A186,SyS!$B:$P,10,FALSE()),0)</f>
        <v>0</v>
      </c>
      <c r="Y186" s="39">
        <f>IFERROR(VLOOKUP("13_"&amp;A186,SyS!$B:$P,12,FALSE()),0)</f>
        <v>0</v>
      </c>
      <c r="Z186" s="40">
        <f>+X186-Y186</f>
        <v>0</v>
      </c>
      <c r="AA186" s="38">
        <f>IFERROR(VLOOKUP("17_"&amp;A186,SyS!$B:$P,10,FALSE()),0)</f>
        <v>0</v>
      </c>
      <c r="AB186" s="39">
        <f>IFERROR(VLOOKUP("17_"&amp;A186,SyS!$B:$P,12,FALSE()),0)</f>
        <v>0</v>
      </c>
      <c r="AC186" s="40">
        <f>+AA186-AB186</f>
        <v>0</v>
      </c>
      <c r="AD186" s="39"/>
      <c r="AE186" s="39"/>
      <c r="AF186" s="39"/>
      <c r="AG186" s="39">
        <f>IFERROR(VLOOKUP("19_"&amp;A186,SyS!$B:$P,10,FALSE()),0)</f>
        <v>0</v>
      </c>
      <c r="AH186" s="39">
        <f>IFERROR(VLOOKUP("19_"&amp;A186,SyS!$B:$P,12,FALSE()),0)</f>
        <v>0</v>
      </c>
      <c r="AI186" s="39">
        <f>+AG186-AH186</f>
        <v>0</v>
      </c>
      <c r="AJ186" s="39"/>
      <c r="AK186" s="39"/>
      <c r="AL186" s="39"/>
      <c r="AM186" s="38">
        <f>IFERROR(VLOOKUP("23_"&amp;A186,SyS!$B:$P,10,FALSE()),0)</f>
        <v>0</v>
      </c>
      <c r="AN186" s="39">
        <f>IFERROR(VLOOKUP("23_"&amp;A186,SyS!$B:$P,12,FALSE()),0)</f>
        <v>0</v>
      </c>
      <c r="AO186" s="40">
        <f>+AM186-AN186</f>
        <v>0</v>
      </c>
      <c r="AP186" s="39"/>
      <c r="AQ186" s="39"/>
      <c r="AR186" s="39"/>
      <c r="AS186" s="39"/>
      <c r="AT186" s="39"/>
      <c r="AU186" s="39"/>
      <c r="AV186" s="39"/>
      <c r="AW186" s="39"/>
      <c r="AX186" s="39"/>
      <c r="AY186" s="39"/>
      <c r="AZ186" s="39"/>
      <c r="BA186" s="39"/>
      <c r="BB186" s="39"/>
      <c r="BC186" s="39"/>
      <c r="BD186" s="39"/>
      <c r="BE186" s="39"/>
      <c r="BF186" s="39"/>
      <c r="BG186" s="39"/>
      <c r="BH186" s="39"/>
      <c r="BI186" s="39"/>
      <c r="BJ186" s="39"/>
      <c r="BK186" s="39">
        <f>IFERROR(VLOOKUP("29_"&amp;A186,SyS!$B:$P,10,FALSE()),0)</f>
        <v>0</v>
      </c>
      <c r="BL186" s="39">
        <f>IFERROR(VLOOKUP("29_"&amp;A186,SyS!$B:$P,12,FALSE()),0)</f>
        <v>0</v>
      </c>
      <c r="BM186" s="39">
        <f>+BK186-BL186</f>
        <v>0</v>
      </c>
      <c r="BN186" s="38">
        <f>IFERROR(VLOOKUP("30_"&amp;A186,SyS!$B:$P,10,FALSE()),0)</f>
        <v>0</v>
      </c>
      <c r="BO186" s="39">
        <f>IFERROR(VLOOKUP("30_"&amp;A186,SyS!$B:$P,12,FALSE()),0)</f>
        <v>0</v>
      </c>
      <c r="BP186" s="40">
        <f>+BN186-BO186</f>
        <v>0</v>
      </c>
      <c r="BQ186" s="45">
        <f>+E186+H186+K186+Q186+T186+W186+Z186+AC186+AF186+AI186+AL186+AO186+AR186+AU186+AX186+BA186+BD186+BG186+BJ186+BM186+BP186</f>
        <v>0</v>
      </c>
    </row>
    <row r="187" ht="11.25" customHeight="1" spans="1:69" x14ac:dyDescent="0.25">
      <c r="A187" s="44">
        <v>421310000</v>
      </c>
      <c r="B187" s="18" t="s">
        <v>416</v>
      </c>
      <c r="C187" s="38">
        <f>IFERROR(VLOOKUP("1_"&amp;A187,SyS!$B:$P,10,FALSE()),0)</f>
        <v>0</v>
      </c>
      <c r="D187" s="39">
        <f>IFERROR(VLOOKUP("1_"&amp;A187,SyS!$B:$P,12,FALSE()),0)</f>
        <v>0</v>
      </c>
      <c r="E187" s="39">
        <f>+C187-D187</f>
        <v>0</v>
      </c>
      <c r="F187" s="38">
        <f>IFERROR(VLOOKUP("2_"&amp;A187,SyS!$B:$P,10,FALSE()),0)</f>
        <v>0</v>
      </c>
      <c r="G187" s="39">
        <f>IFERROR(VLOOKUP("2_"&amp;A187,SyS!$B:$P,12,FALSE()),0)</f>
        <v>0</v>
      </c>
      <c r="H187" s="40">
        <f>+F187-G187</f>
        <v>0</v>
      </c>
      <c r="I187" s="39"/>
      <c r="J187" s="39"/>
      <c r="K187" s="39"/>
      <c r="L187" s="39"/>
      <c r="M187" s="39"/>
      <c r="N187" s="39"/>
      <c r="O187" s="38">
        <f>IFERROR(VLOOKUP("14_"&amp;A187,SyS!$B:$P,10,FALSE()),0)</f>
        <v>0</v>
      </c>
      <c r="P187" s="39">
        <f>IFERROR(VLOOKUP("14_"&amp;A187,SyS!$B:$P,12,FALSE()),0)</f>
        <v>0</v>
      </c>
      <c r="Q187" s="40">
        <f>+O187-P187</f>
        <v>0</v>
      </c>
      <c r="R187" s="38">
        <f>IFERROR(VLOOKUP("15_"&amp;A187,SyS!$B:$P,10,FALSE()),0)</f>
        <v>0</v>
      </c>
      <c r="S187" s="39">
        <f>IFERROR(VLOOKUP("15_"&amp;A187,SyS!$B:$P,12,FALSE()),0)</f>
        <v>0</v>
      </c>
      <c r="T187" s="40">
        <f>+R187-S187</f>
        <v>0</v>
      </c>
      <c r="U187" s="38">
        <f>IFERROR(VLOOKUP("16_"&amp;A187,SyS!$B:$P,10,FALSE()),0)</f>
        <v>0</v>
      </c>
      <c r="V187" s="39">
        <f>IFERROR(VLOOKUP("16_"&amp;A187,SyS!$B:$P,12,FALSE()),0)</f>
        <v>0</v>
      </c>
      <c r="W187" s="40">
        <f>+U187-V187</f>
        <v>0</v>
      </c>
      <c r="X187" s="38">
        <f>IFERROR(VLOOKUP("13_"&amp;A187,SyS!$B:$P,10,FALSE()),0)</f>
        <v>0</v>
      </c>
      <c r="Y187" s="39">
        <f>IFERROR(VLOOKUP("13_"&amp;A187,SyS!$B:$P,12,FALSE()),0)</f>
        <v>0</v>
      </c>
      <c r="Z187" s="40">
        <f>+X187-Y187</f>
        <v>0</v>
      </c>
      <c r="AA187" s="38">
        <f>IFERROR(VLOOKUP("17_"&amp;A187,SyS!$B:$P,10,FALSE()),0)</f>
        <v>0</v>
      </c>
      <c r="AB187" s="39">
        <f>IFERROR(VLOOKUP("17_"&amp;A187,SyS!$B:$P,12,FALSE()),0)</f>
        <v>0</v>
      </c>
      <c r="AC187" s="40">
        <f>+AA187-AB187</f>
        <v>0</v>
      </c>
      <c r="AD187" s="39"/>
      <c r="AE187" s="39"/>
      <c r="AF187" s="39"/>
      <c r="AG187" s="39">
        <f>IFERROR(VLOOKUP("19_"&amp;A187,SyS!$B:$P,10,FALSE()),0)</f>
        <v>0</v>
      </c>
      <c r="AH187" s="39">
        <f>IFERROR(VLOOKUP("19_"&amp;A187,SyS!$B:$P,12,FALSE()),0)</f>
        <v>0</v>
      </c>
      <c r="AI187" s="39">
        <f>+AG187-AH187</f>
        <v>0</v>
      </c>
      <c r="AJ187" s="39"/>
      <c r="AK187" s="39"/>
      <c r="AL187" s="39"/>
      <c r="AM187" s="38">
        <f>IFERROR(VLOOKUP("23_"&amp;A187,SyS!$B:$P,10,FALSE()),0)</f>
        <v>0</v>
      </c>
      <c r="AN187" s="39">
        <f>IFERROR(VLOOKUP("23_"&amp;A187,SyS!$B:$P,12,FALSE()),0)</f>
        <v>0</v>
      </c>
      <c r="AO187" s="40">
        <f>+AM187-AN187</f>
        <v>0</v>
      </c>
      <c r="AP187" s="39"/>
      <c r="AQ187" s="39"/>
      <c r="AR187" s="39"/>
      <c r="AS187" s="39"/>
      <c r="AT187" s="39"/>
      <c r="AU187" s="39"/>
      <c r="AV187" s="39"/>
      <c r="AW187" s="39"/>
      <c r="AX187" s="39"/>
      <c r="AY187" s="39"/>
      <c r="AZ187" s="39"/>
      <c r="BA187" s="39"/>
      <c r="BB187" s="39"/>
      <c r="BC187" s="39"/>
      <c r="BD187" s="39"/>
      <c r="BE187" s="39"/>
      <c r="BF187" s="39"/>
      <c r="BG187" s="39"/>
      <c r="BH187" s="39"/>
      <c r="BI187" s="39"/>
      <c r="BJ187" s="39"/>
      <c r="BK187" s="39">
        <f>IFERROR(VLOOKUP("29_"&amp;A187,SyS!$B:$P,10,FALSE()),0)</f>
        <v>0</v>
      </c>
      <c r="BL187" s="39">
        <f>IFERROR(VLOOKUP("29_"&amp;A187,SyS!$B:$P,12,FALSE()),0)</f>
        <v>0</v>
      </c>
      <c r="BM187" s="39">
        <f>+BK187-BL187</f>
        <v>0</v>
      </c>
      <c r="BN187" s="38">
        <f>IFERROR(VLOOKUP("30_"&amp;A187,SyS!$B:$P,10,FALSE()),0)</f>
        <v>0</v>
      </c>
      <c r="BO187" s="39">
        <f>IFERROR(VLOOKUP("30_"&amp;A187,SyS!$B:$P,12,FALSE()),0)</f>
        <v>0</v>
      </c>
      <c r="BP187" s="40">
        <f>+BN187-BO187</f>
        <v>0</v>
      </c>
      <c r="BQ187" s="45">
        <f>+E187+H187+K187+Q187+T187+W187+Z187+AC187+AF187+AI187+AL187+AO187+AR187+AU187+AX187+BA187+BD187+BG187+BJ187+BM187+BP187</f>
        <v>0</v>
      </c>
    </row>
    <row r="188" ht="11.25" customHeight="1" spans="1:69" x14ac:dyDescent="0.25">
      <c r="A188" s="44">
        <v>421320000</v>
      </c>
      <c r="B188" s="18" t="s">
        <v>417</v>
      </c>
      <c r="C188" s="38">
        <f>IFERROR(VLOOKUP("1_"&amp;A188,SyS!$B:$P,10,FALSE()),0)</f>
        <v>0</v>
      </c>
      <c r="D188" s="39">
        <f>IFERROR(VLOOKUP("1_"&amp;A188,SyS!$B:$P,12,FALSE()),0)</f>
        <v>0</v>
      </c>
      <c r="E188" s="39">
        <f>+C188-D188</f>
        <v>0</v>
      </c>
      <c r="F188" s="38">
        <f>IFERROR(VLOOKUP("2_"&amp;A188,SyS!$B:$P,10,FALSE()),0)</f>
        <v>0</v>
      </c>
      <c r="G188" s="39">
        <f>IFERROR(VLOOKUP("2_"&amp;A188,SyS!$B:$P,12,FALSE()),0)</f>
        <v>0</v>
      </c>
      <c r="H188" s="40">
        <f>+F188-G188</f>
        <v>0</v>
      </c>
      <c r="I188" s="39"/>
      <c r="J188" s="39"/>
      <c r="K188" s="39"/>
      <c r="L188" s="39"/>
      <c r="M188" s="39"/>
      <c r="N188" s="39"/>
      <c r="O188" s="38">
        <f>IFERROR(VLOOKUP("14_"&amp;A188,SyS!$B:$P,10,FALSE()),0)</f>
        <v>0</v>
      </c>
      <c r="P188" s="39">
        <f>IFERROR(VLOOKUP("14_"&amp;A188,SyS!$B:$P,12,FALSE()),0)</f>
        <v>0</v>
      </c>
      <c r="Q188" s="40">
        <f>+O188-P188</f>
        <v>0</v>
      </c>
      <c r="R188" s="38">
        <f>IFERROR(VLOOKUP("15_"&amp;A188,SyS!$B:$P,10,FALSE()),0)</f>
        <v>0</v>
      </c>
      <c r="S188" s="39">
        <f>IFERROR(VLOOKUP("15_"&amp;A188,SyS!$B:$P,12,FALSE()),0)</f>
        <v>0</v>
      </c>
      <c r="T188" s="40">
        <f>+R188-S188</f>
        <v>0</v>
      </c>
      <c r="U188" s="38">
        <f>IFERROR(VLOOKUP("16_"&amp;A188,SyS!$B:$P,10,FALSE()),0)</f>
        <v>0</v>
      </c>
      <c r="V188" s="39">
        <f>IFERROR(VLOOKUP("16_"&amp;A188,SyS!$B:$P,12,FALSE()),0)</f>
        <v>0</v>
      </c>
      <c r="W188" s="40">
        <f>+U188-V188</f>
        <v>0</v>
      </c>
      <c r="X188" s="38">
        <f>IFERROR(VLOOKUP("13_"&amp;A188,SyS!$B:$P,10,FALSE()),0)</f>
        <v>0</v>
      </c>
      <c r="Y188" s="39">
        <f>IFERROR(VLOOKUP("13_"&amp;A188,SyS!$B:$P,12,FALSE()),0)</f>
        <v>0</v>
      </c>
      <c r="Z188" s="40">
        <f>+X188-Y188</f>
        <v>0</v>
      </c>
      <c r="AA188" s="38">
        <f>IFERROR(VLOOKUP("17_"&amp;A188,SyS!$B:$P,10,FALSE()),0)</f>
        <v>0</v>
      </c>
      <c r="AB188" s="39">
        <f>IFERROR(VLOOKUP("17_"&amp;A188,SyS!$B:$P,12,FALSE()),0)</f>
        <v>0</v>
      </c>
      <c r="AC188" s="40">
        <f>+AA188-AB188</f>
        <v>0</v>
      </c>
      <c r="AD188" s="39"/>
      <c r="AE188" s="39"/>
      <c r="AF188" s="39"/>
      <c r="AG188" s="39">
        <f>IFERROR(VLOOKUP("19_"&amp;A188,SyS!$B:$P,10,FALSE()),0)</f>
        <v>0</v>
      </c>
      <c r="AH188" s="39">
        <f>IFERROR(VLOOKUP("19_"&amp;A188,SyS!$B:$P,12,FALSE()),0)</f>
        <v>0</v>
      </c>
      <c r="AI188" s="39">
        <f>+AG188-AH188</f>
        <v>0</v>
      </c>
      <c r="AJ188" s="39"/>
      <c r="AK188" s="39"/>
      <c r="AL188" s="39"/>
      <c r="AM188" s="38">
        <f>IFERROR(VLOOKUP("23_"&amp;A188,SyS!$B:$P,10,FALSE()),0)</f>
        <v>0</v>
      </c>
      <c r="AN188" s="39">
        <f>IFERROR(VLOOKUP("23_"&amp;A188,SyS!$B:$P,12,FALSE()),0)</f>
        <v>0</v>
      </c>
      <c r="AO188" s="40">
        <f>+AM188-AN188</f>
        <v>0</v>
      </c>
      <c r="AP188" s="39"/>
      <c r="AQ188" s="39"/>
      <c r="AR188" s="39"/>
      <c r="AS188" s="39"/>
      <c r="AT188" s="39"/>
      <c r="AU188" s="39"/>
      <c r="AV188" s="39"/>
      <c r="AW188" s="39"/>
      <c r="AX188" s="39"/>
      <c r="AY188" s="39"/>
      <c r="AZ188" s="39"/>
      <c r="BA188" s="39"/>
      <c r="BB188" s="39"/>
      <c r="BC188" s="39"/>
      <c r="BD188" s="39"/>
      <c r="BE188" s="39"/>
      <c r="BF188" s="39"/>
      <c r="BG188" s="39"/>
      <c r="BH188" s="39"/>
      <c r="BI188" s="39"/>
      <c r="BJ188" s="39"/>
      <c r="BK188" s="39">
        <f>IFERROR(VLOOKUP("29_"&amp;A188,SyS!$B:$P,10,FALSE()),0)</f>
        <v>0</v>
      </c>
      <c r="BL188" s="39">
        <f>IFERROR(VLOOKUP("29_"&amp;A188,SyS!$B:$P,12,FALSE()),0)</f>
        <v>0</v>
      </c>
      <c r="BM188" s="39">
        <f>+BK188-BL188</f>
        <v>0</v>
      </c>
      <c r="BN188" s="38">
        <f>IFERROR(VLOOKUP("30_"&amp;A188,SyS!$B:$P,10,FALSE()),0)</f>
        <v>0</v>
      </c>
      <c r="BO188" s="39">
        <f>IFERROR(VLOOKUP("30_"&amp;A188,SyS!$B:$P,12,FALSE()),0)</f>
        <v>0</v>
      </c>
      <c r="BP188" s="40">
        <f>+BN188-BO188</f>
        <v>0</v>
      </c>
      <c r="BQ188" s="45">
        <f>+E188+H188+K188+Q188+T188+W188+Z188+AC188+AF188+AI188+AL188+AO188+AR188+AU188+AX188+BA188+BD188+BG188+BJ188+BM188+BP188</f>
        <v>0</v>
      </c>
    </row>
    <row r="189" ht="11.25" customHeight="1" spans="1:69" x14ac:dyDescent="0.25">
      <c r="A189" s="18">
        <v>421340000</v>
      </c>
      <c r="B189" s="18" t="s">
        <v>418</v>
      </c>
      <c r="C189" s="38">
        <f>IFERROR(VLOOKUP("1_"&amp;A189,SyS!$B:$P,10,FALSE()),0)</f>
        <v>0</v>
      </c>
      <c r="D189" s="39">
        <f>IFERROR(VLOOKUP("1_"&amp;A189,SyS!$B:$P,12,FALSE()),0)</f>
        <v>0</v>
      </c>
      <c r="E189" s="39">
        <f>+C189-D189</f>
        <v>0</v>
      </c>
      <c r="F189" s="38">
        <f>IFERROR(VLOOKUP("2_"&amp;A189,SyS!$B:$P,10,FALSE()),0)</f>
        <v>0</v>
      </c>
      <c r="G189" s="39">
        <f>IFERROR(VLOOKUP("2_"&amp;A189,SyS!$B:$P,12,FALSE()),0)</f>
        <v>0</v>
      </c>
      <c r="H189" s="40">
        <f>+F189-G189</f>
        <v>0</v>
      </c>
      <c r="I189" s="39"/>
      <c r="J189" s="39"/>
      <c r="K189" s="39"/>
      <c r="L189" s="39"/>
      <c r="M189" s="39"/>
      <c r="N189" s="39"/>
      <c r="O189" s="38">
        <f>IFERROR(VLOOKUP("14_"&amp;A189,SyS!$B:$P,10,FALSE()),0)</f>
        <v>0</v>
      </c>
      <c r="P189" s="39">
        <f>IFERROR(VLOOKUP("14_"&amp;A189,SyS!$B:$P,12,FALSE()),0)</f>
        <v>0</v>
      </c>
      <c r="Q189" s="40">
        <f>+O189-P189</f>
        <v>0</v>
      </c>
      <c r="R189" s="38">
        <f>IFERROR(VLOOKUP("15_"&amp;A189,SyS!$B:$P,10,FALSE()),0)</f>
        <v>0</v>
      </c>
      <c r="S189" s="39">
        <f>IFERROR(VLOOKUP("15_"&amp;A189,SyS!$B:$P,12,FALSE()),0)</f>
        <v>0</v>
      </c>
      <c r="T189" s="40">
        <f>+R189-S189</f>
        <v>0</v>
      </c>
      <c r="U189" s="38">
        <f>IFERROR(VLOOKUP("16_"&amp;A189,SyS!$B:$P,10,FALSE()),0)</f>
        <v>0</v>
      </c>
      <c r="V189" s="39">
        <f>IFERROR(VLOOKUP("16_"&amp;A189,SyS!$B:$P,12,FALSE()),0)</f>
        <v>0</v>
      </c>
      <c r="W189" s="40">
        <f>+U189-V189</f>
        <v>0</v>
      </c>
      <c r="X189" s="38">
        <f>IFERROR(VLOOKUP("13_"&amp;A189,SyS!$B:$P,10,FALSE()),0)</f>
        <v>0</v>
      </c>
      <c r="Y189" s="39">
        <f>IFERROR(VLOOKUP("13_"&amp;A189,SyS!$B:$P,12,FALSE()),0)</f>
        <v>0</v>
      </c>
      <c r="Z189" s="40">
        <f>+X189-Y189</f>
        <v>0</v>
      </c>
      <c r="AA189" s="38">
        <f>IFERROR(VLOOKUP("17_"&amp;A189,SyS!$B:$P,10,FALSE()),0)</f>
        <v>0</v>
      </c>
      <c r="AB189" s="39">
        <f>IFERROR(VLOOKUP("17_"&amp;A189,SyS!$B:$P,12,FALSE()),0)</f>
        <v>0</v>
      </c>
      <c r="AC189" s="40">
        <f>+AA189-AB189</f>
        <v>0</v>
      </c>
      <c r="AD189" s="39"/>
      <c r="AE189" s="39"/>
      <c r="AF189" s="39"/>
      <c r="AG189" s="39">
        <f>IFERROR(VLOOKUP("19_"&amp;A189,SyS!$B:$P,10,FALSE()),0)</f>
        <v>0</v>
      </c>
      <c r="AH189" s="39">
        <f>IFERROR(VLOOKUP("19_"&amp;A189,SyS!$B:$P,12,FALSE()),0)</f>
        <v>0</v>
      </c>
      <c r="AI189" s="39">
        <f>+AG189-AH189</f>
        <v>0</v>
      </c>
      <c r="AJ189" s="39"/>
      <c r="AK189" s="39"/>
      <c r="AL189" s="39"/>
      <c r="AM189" s="38">
        <f>IFERROR(VLOOKUP("23_"&amp;A189,SyS!$B:$P,10,FALSE()),0)</f>
        <v>0</v>
      </c>
      <c r="AN189" s="39">
        <f>IFERROR(VLOOKUP("23_"&amp;A189,SyS!$B:$P,12,FALSE()),0)</f>
        <v>0</v>
      </c>
      <c r="AO189" s="40">
        <f>+AM189-AN189</f>
        <v>0</v>
      </c>
      <c r="AP189" s="39"/>
      <c r="AQ189" s="39"/>
      <c r="AR189" s="39"/>
      <c r="AS189" s="39"/>
      <c r="AT189" s="39"/>
      <c r="AU189" s="39"/>
      <c r="AV189" s="39"/>
      <c r="AW189" s="39"/>
      <c r="AX189" s="39"/>
      <c r="AY189" s="39"/>
      <c r="AZ189" s="39"/>
      <c r="BA189" s="39"/>
      <c r="BB189" s="39"/>
      <c r="BC189" s="39"/>
      <c r="BD189" s="39"/>
      <c r="BE189" s="39"/>
      <c r="BF189" s="39"/>
      <c r="BG189" s="39"/>
      <c r="BH189" s="39"/>
      <c r="BI189" s="39"/>
      <c r="BJ189" s="39"/>
      <c r="BK189" s="39">
        <f>IFERROR(VLOOKUP("29_"&amp;A189,SyS!$B:$P,10,FALSE()),0)</f>
        <v>0</v>
      </c>
      <c r="BL189" s="39">
        <f>IFERROR(VLOOKUP("29_"&amp;A189,SyS!$B:$P,12,FALSE()),0)</f>
        <v>0</v>
      </c>
      <c r="BM189" s="39">
        <f>+BK189-BL189</f>
        <v>0</v>
      </c>
      <c r="BN189" s="38">
        <f>IFERROR(VLOOKUP("30_"&amp;A189,SyS!$B:$P,10,FALSE()),0)</f>
        <v>0</v>
      </c>
      <c r="BO189" s="39">
        <f>IFERROR(VLOOKUP("30_"&amp;A189,SyS!$B:$P,12,FALSE()),0)</f>
        <v>0</v>
      </c>
      <c r="BP189" s="40">
        <f>+BN189-BO189</f>
        <v>0</v>
      </c>
      <c r="BQ189" s="45">
        <f>+E189+H189+K189+Q189+T189+W189+Z189+AC189+AF189+AI189+AL189+AO189+AR189+AU189+AX189+BA189+BD189+BG189+BJ189+BM189+BP189</f>
        <v>0</v>
      </c>
    </row>
    <row r="190" ht="11.25" customHeight="1" spans="1:69" x14ac:dyDescent="0.25">
      <c r="A190" s="44">
        <v>421430000</v>
      </c>
      <c r="B190" s="18" t="s">
        <v>419</v>
      </c>
      <c r="C190" s="38">
        <f>IFERROR(VLOOKUP("1_"&amp;A190,SyS!$B:$P,10,FALSE()),0)</f>
        <v>0</v>
      </c>
      <c r="D190" s="39">
        <f>IFERROR(VLOOKUP("1_"&amp;A190,SyS!$B:$P,12,FALSE()),0)</f>
        <v>0</v>
      </c>
      <c r="E190" s="39">
        <f>+C190-D190</f>
        <v>0</v>
      </c>
      <c r="F190" s="38">
        <f>IFERROR(VLOOKUP("2_"&amp;A190,SyS!$B:$P,10,FALSE()),0)</f>
        <v>0</v>
      </c>
      <c r="G190" s="39">
        <f>IFERROR(VLOOKUP("2_"&amp;A190,SyS!$B:$P,12,FALSE()),0)</f>
        <v>0</v>
      </c>
      <c r="H190" s="40">
        <f>+F190-G190</f>
        <v>0</v>
      </c>
      <c r="I190" s="39"/>
      <c r="J190" s="39"/>
      <c r="K190" s="39"/>
      <c r="L190" s="39"/>
      <c r="M190" s="39"/>
      <c r="N190" s="39"/>
      <c r="O190" s="38">
        <f>IFERROR(VLOOKUP("14_"&amp;A190,SyS!$B:$P,10,FALSE()),0)</f>
        <v>0</v>
      </c>
      <c r="P190" s="39">
        <f>IFERROR(VLOOKUP("14_"&amp;A190,SyS!$B:$P,12,FALSE()),0)</f>
        <v>0</v>
      </c>
      <c r="Q190" s="40">
        <f>+O190-P190</f>
        <v>0</v>
      </c>
      <c r="R190" s="38">
        <f>IFERROR(VLOOKUP("15_"&amp;A190,SyS!$B:$P,10,FALSE()),0)</f>
        <v>0</v>
      </c>
      <c r="S190" s="39">
        <f>IFERROR(VLOOKUP("15_"&amp;A190,SyS!$B:$P,12,FALSE()),0)</f>
        <v>0</v>
      </c>
      <c r="T190" s="40">
        <f>+R190-S190</f>
        <v>0</v>
      </c>
      <c r="U190" s="38">
        <f>IFERROR(VLOOKUP("16_"&amp;A190,SyS!$B:$P,10,FALSE()),0)</f>
        <v>0</v>
      </c>
      <c r="V190" s="39">
        <f>IFERROR(VLOOKUP("16_"&amp;A190,SyS!$B:$P,12,FALSE()),0)</f>
        <v>0</v>
      </c>
      <c r="W190" s="40">
        <f>+U190-V190</f>
        <v>0</v>
      </c>
      <c r="X190" s="38">
        <f>IFERROR(VLOOKUP("13_"&amp;A190,SyS!$B:$P,10,FALSE()),0)</f>
        <v>0</v>
      </c>
      <c r="Y190" s="39">
        <f>IFERROR(VLOOKUP("13_"&amp;A190,SyS!$B:$P,12,FALSE()),0)</f>
        <v>0</v>
      </c>
      <c r="Z190" s="40">
        <f>+X190-Y190</f>
        <v>0</v>
      </c>
      <c r="AA190" s="38">
        <f>IFERROR(VLOOKUP("17_"&amp;A190,SyS!$B:$P,10,FALSE()),0)</f>
        <v>0</v>
      </c>
      <c r="AB190" s="39">
        <f>IFERROR(VLOOKUP("17_"&amp;A190,SyS!$B:$P,12,FALSE()),0)</f>
        <v>0</v>
      </c>
      <c r="AC190" s="40">
        <f>+AA190-AB190</f>
        <v>0</v>
      </c>
      <c r="AD190" s="39"/>
      <c r="AE190" s="39"/>
      <c r="AF190" s="39"/>
      <c r="AG190" s="39">
        <f>IFERROR(VLOOKUP("19_"&amp;A190,SyS!$B:$P,10,FALSE()),0)</f>
        <v>0</v>
      </c>
      <c r="AH190" s="39">
        <f>IFERROR(VLOOKUP("19_"&amp;A190,SyS!$B:$P,12,FALSE()),0)</f>
        <v>0</v>
      </c>
      <c r="AI190" s="39">
        <f>+AG190-AH190</f>
        <v>0</v>
      </c>
      <c r="AJ190" s="39"/>
      <c r="AK190" s="39"/>
      <c r="AL190" s="39"/>
      <c r="AM190" s="38">
        <f>IFERROR(VLOOKUP("23_"&amp;A190,SyS!$B:$P,10,FALSE()),0)</f>
        <v>0</v>
      </c>
      <c r="AN190" s="39">
        <f>IFERROR(VLOOKUP("23_"&amp;A190,SyS!$B:$P,12,FALSE()),0)</f>
        <v>0</v>
      </c>
      <c r="AO190" s="40">
        <f>+AM190-AN190</f>
        <v>0</v>
      </c>
      <c r="AP190" s="39"/>
      <c r="AQ190" s="39"/>
      <c r="AR190" s="39"/>
      <c r="AS190" s="39"/>
      <c r="AT190" s="39"/>
      <c r="AU190" s="39"/>
      <c r="AV190" s="39"/>
      <c r="AW190" s="39"/>
      <c r="AX190" s="39"/>
      <c r="AY190" s="39"/>
      <c r="AZ190" s="39"/>
      <c r="BA190" s="39"/>
      <c r="BB190" s="39"/>
      <c r="BC190" s="39"/>
      <c r="BD190" s="39"/>
      <c r="BE190" s="39"/>
      <c r="BF190" s="39"/>
      <c r="BG190" s="39"/>
      <c r="BH190" s="39"/>
      <c r="BI190" s="39"/>
      <c r="BJ190" s="39"/>
      <c r="BK190" s="39">
        <f>IFERROR(VLOOKUP("29_"&amp;A190,SyS!$B:$P,10,FALSE()),0)</f>
        <v>0</v>
      </c>
      <c r="BL190" s="39">
        <f>IFERROR(VLOOKUP("29_"&amp;A190,SyS!$B:$P,12,FALSE()),0)</f>
        <v>0</v>
      </c>
      <c r="BM190" s="39">
        <f>+BK190-BL190</f>
        <v>0</v>
      </c>
      <c r="BN190" s="38">
        <f>IFERROR(VLOOKUP("30_"&amp;A190,SyS!$B:$P,10,FALSE()),0)</f>
        <v>0</v>
      </c>
      <c r="BO190" s="39">
        <f>IFERROR(VLOOKUP("30_"&amp;A190,SyS!$B:$P,12,FALSE()),0)</f>
        <v>0</v>
      </c>
      <c r="BP190" s="40">
        <f>+BN190-BO190</f>
        <v>0</v>
      </c>
      <c r="BQ190" s="45">
        <f>+E190+H190+K190+Q190+T190+W190+Z190+AC190+AF190+AI190+AL190+AO190+AR190+AU190+AX190+BA190+BD190+BG190+BJ190+BM190+BP190</f>
        <v>0</v>
      </c>
    </row>
    <row r="191" ht="11.25" customHeight="1" spans="1:69" x14ac:dyDescent="0.25">
      <c r="A191" s="44">
        <v>421440000</v>
      </c>
      <c r="B191" s="18" t="s">
        <v>420</v>
      </c>
      <c r="C191" s="38">
        <f>IFERROR(VLOOKUP("1_"&amp;A191,SyS!$B:$P,10,FALSE()),0)</f>
        <v>0</v>
      </c>
      <c r="D191" s="39">
        <f>IFERROR(VLOOKUP("1_"&amp;A191,SyS!$B:$P,12,FALSE()),0)</f>
        <v>0</v>
      </c>
      <c r="E191" s="39">
        <f>+C191-D191</f>
        <v>0</v>
      </c>
      <c r="F191" s="38">
        <f>IFERROR(VLOOKUP("2_"&amp;A191,SyS!$B:$P,10,FALSE()),0)</f>
        <v>0</v>
      </c>
      <c r="G191" s="39">
        <f>IFERROR(VLOOKUP("2_"&amp;A191,SyS!$B:$P,12,FALSE()),0)</f>
        <v>0</v>
      </c>
      <c r="H191" s="40">
        <f>+F191-G191</f>
        <v>0</v>
      </c>
      <c r="I191" s="39"/>
      <c r="J191" s="39"/>
      <c r="K191" s="39"/>
      <c r="L191" s="39"/>
      <c r="M191" s="39"/>
      <c r="N191" s="39"/>
      <c r="O191" s="38">
        <f>IFERROR(VLOOKUP("14_"&amp;A191,SyS!$B:$P,10,FALSE()),0)</f>
        <v>0</v>
      </c>
      <c r="P191" s="39">
        <f>IFERROR(VLOOKUP("14_"&amp;A191,SyS!$B:$P,12,FALSE()),0)</f>
        <v>0</v>
      </c>
      <c r="Q191" s="40">
        <f>+O191-P191</f>
        <v>0</v>
      </c>
      <c r="R191" s="38">
        <f>IFERROR(VLOOKUP("15_"&amp;A191,SyS!$B:$P,10,FALSE()),0)</f>
        <v>0</v>
      </c>
      <c r="S191" s="39">
        <f>IFERROR(VLOOKUP("15_"&amp;A191,SyS!$B:$P,12,FALSE()),0)</f>
        <v>0</v>
      </c>
      <c r="T191" s="40">
        <f>+R191-S191</f>
        <v>0</v>
      </c>
      <c r="U191" s="38">
        <f>IFERROR(VLOOKUP("16_"&amp;A191,SyS!$B:$P,10,FALSE()),0)</f>
        <v>0</v>
      </c>
      <c r="V191" s="39">
        <f>IFERROR(VLOOKUP("16_"&amp;A191,SyS!$B:$P,12,FALSE()),0)</f>
        <v>0</v>
      </c>
      <c r="W191" s="40">
        <f>+U191-V191</f>
        <v>0</v>
      </c>
      <c r="X191" s="38">
        <f>IFERROR(VLOOKUP("13_"&amp;A191,SyS!$B:$P,10,FALSE()),0)</f>
        <v>0</v>
      </c>
      <c r="Y191" s="39">
        <f>IFERROR(VLOOKUP("13_"&amp;A191,SyS!$B:$P,12,FALSE()),0)</f>
        <v>0</v>
      </c>
      <c r="Z191" s="40">
        <f>+X191-Y191</f>
        <v>0</v>
      </c>
      <c r="AA191" s="38">
        <f>IFERROR(VLOOKUP("17_"&amp;A191,SyS!$B:$P,10,FALSE()),0)</f>
        <v>0</v>
      </c>
      <c r="AB191" s="39">
        <f>IFERROR(VLOOKUP("17_"&amp;A191,SyS!$B:$P,12,FALSE()),0)</f>
        <v>0</v>
      </c>
      <c r="AC191" s="40">
        <f>+AA191-AB191</f>
        <v>0</v>
      </c>
      <c r="AD191" s="39"/>
      <c r="AE191" s="39"/>
      <c r="AF191" s="39"/>
      <c r="AG191" s="39">
        <f>IFERROR(VLOOKUP("19_"&amp;A191,SyS!$B:$P,10,FALSE()),0)</f>
        <v>0</v>
      </c>
      <c r="AH191" s="39">
        <f>IFERROR(VLOOKUP("19_"&amp;A191,SyS!$B:$P,12,FALSE()),0)</f>
        <v>0</v>
      </c>
      <c r="AI191" s="39">
        <f>+AG191-AH191</f>
        <v>0</v>
      </c>
      <c r="AJ191" s="39"/>
      <c r="AK191" s="39"/>
      <c r="AL191" s="39"/>
      <c r="AM191" s="38">
        <f>IFERROR(VLOOKUP("23_"&amp;A191,SyS!$B:$P,10,FALSE()),0)</f>
        <v>0</v>
      </c>
      <c r="AN191" s="39">
        <f>IFERROR(VLOOKUP("23_"&amp;A191,SyS!$B:$P,12,FALSE()),0)</f>
        <v>0</v>
      </c>
      <c r="AO191" s="40">
        <f>+AM191-AN191</f>
        <v>0</v>
      </c>
      <c r="AP191" s="39"/>
      <c r="AQ191" s="39"/>
      <c r="AR191" s="39"/>
      <c r="AS191" s="39"/>
      <c r="AT191" s="39"/>
      <c r="AU191" s="39"/>
      <c r="AV191" s="39"/>
      <c r="AW191" s="39"/>
      <c r="AX191" s="39"/>
      <c r="AY191" s="39"/>
      <c r="AZ191" s="39"/>
      <c r="BA191" s="39"/>
      <c r="BB191" s="39"/>
      <c r="BC191" s="39"/>
      <c r="BD191" s="39"/>
      <c r="BE191" s="39"/>
      <c r="BF191" s="39"/>
      <c r="BG191" s="39"/>
      <c r="BH191" s="39"/>
      <c r="BI191" s="39"/>
      <c r="BJ191" s="39"/>
      <c r="BK191" s="39">
        <f>IFERROR(VLOOKUP("29_"&amp;A191,SyS!$B:$P,10,FALSE()),0)</f>
        <v>0</v>
      </c>
      <c r="BL191" s="39">
        <f>IFERROR(VLOOKUP("29_"&amp;A191,SyS!$B:$P,12,FALSE()),0)</f>
        <v>0</v>
      </c>
      <c r="BM191" s="39">
        <f>+BK191-BL191</f>
        <v>0</v>
      </c>
      <c r="BN191" s="38">
        <f>IFERROR(VLOOKUP("30_"&amp;A191,SyS!$B:$P,10,FALSE()),0)</f>
        <v>0</v>
      </c>
      <c r="BO191" s="39">
        <f>IFERROR(VLOOKUP("30_"&amp;A191,SyS!$B:$P,12,FALSE()),0)</f>
        <v>0</v>
      </c>
      <c r="BP191" s="40">
        <f>+BN191-BO191</f>
        <v>0</v>
      </c>
      <c r="BQ191" s="45">
        <f>+E191+H191+K191+Q191+T191+W191+Z191+AC191+AF191+AI191+AL191+AO191+AR191+AU191+AX191+BA191+BD191+BG191+BJ191+BM191+BP191</f>
        <v>0</v>
      </c>
    </row>
    <row r="192" ht="11.25" customHeight="1" spans="1:69" x14ac:dyDescent="0.25">
      <c r="A192" s="44">
        <v>425830000</v>
      </c>
      <c r="B192" s="18" t="s">
        <v>421</v>
      </c>
      <c r="C192" s="38">
        <f>IFERROR(VLOOKUP("1_"&amp;A192,SyS!$B:$P,10,FALSE()),0)</f>
        <v>0</v>
      </c>
      <c r="D192" s="39">
        <f>IFERROR(VLOOKUP("1_"&amp;A192,SyS!$B:$P,12,FALSE()),0)</f>
        <v>0</v>
      </c>
      <c r="E192" s="39">
        <f>+C192-D192</f>
        <v>0</v>
      </c>
      <c r="F192" s="38">
        <f>IFERROR(VLOOKUP("2_"&amp;A192,SyS!$B:$P,10,FALSE()),0)</f>
        <v>0</v>
      </c>
      <c r="G192" s="39">
        <f>IFERROR(VLOOKUP("2_"&amp;A192,SyS!$B:$P,12,FALSE()),0)</f>
        <v>0</v>
      </c>
      <c r="H192" s="40">
        <f>+F192-G192</f>
        <v>0</v>
      </c>
      <c r="I192" s="39"/>
      <c r="J192" s="39"/>
      <c r="K192" s="39"/>
      <c r="L192" s="39"/>
      <c r="M192" s="39"/>
      <c r="N192" s="39"/>
      <c r="O192" s="38">
        <f>IFERROR(VLOOKUP("14_"&amp;A192,SyS!$B:$P,10,FALSE()),0)</f>
        <v>0</v>
      </c>
      <c r="P192" s="39">
        <f>IFERROR(VLOOKUP("14_"&amp;A192,SyS!$B:$P,12,FALSE()),0)</f>
        <v>0</v>
      </c>
      <c r="Q192" s="40">
        <f>+O192-P192</f>
        <v>0</v>
      </c>
      <c r="R192" s="38">
        <f>IFERROR(VLOOKUP("15_"&amp;A192,SyS!$B:$P,10,FALSE()),0)</f>
        <v>0</v>
      </c>
      <c r="S192" s="39">
        <f>IFERROR(VLOOKUP("15_"&amp;A192,SyS!$B:$P,12,FALSE()),0)</f>
        <v>0</v>
      </c>
      <c r="T192" s="40">
        <f>+R192-S192</f>
        <v>0</v>
      </c>
      <c r="U192" s="38">
        <f>IFERROR(VLOOKUP("16_"&amp;A192,SyS!$B:$P,10,FALSE()),0)</f>
        <v>0</v>
      </c>
      <c r="V192" s="39">
        <f>IFERROR(VLOOKUP("16_"&amp;A192,SyS!$B:$P,12,FALSE()),0)</f>
        <v>0</v>
      </c>
      <c r="W192" s="40">
        <f>+U192-V192</f>
        <v>0</v>
      </c>
      <c r="X192" s="38">
        <f>IFERROR(VLOOKUP("13_"&amp;A192,SyS!$B:$P,10,FALSE()),0)</f>
        <v>0</v>
      </c>
      <c r="Y192" s="39">
        <f>IFERROR(VLOOKUP("13_"&amp;A192,SyS!$B:$P,12,FALSE()),0)</f>
        <v>0</v>
      </c>
      <c r="Z192" s="40">
        <f>+X192-Y192</f>
        <v>0</v>
      </c>
      <c r="AA192" s="38">
        <f>IFERROR(VLOOKUP("17_"&amp;A192,SyS!$B:$P,10,FALSE()),0)</f>
        <v>0</v>
      </c>
      <c r="AB192" s="39">
        <f>IFERROR(VLOOKUP("17_"&amp;A192,SyS!$B:$P,12,FALSE()),0)</f>
        <v>0</v>
      </c>
      <c r="AC192" s="40">
        <f>+AA192-AB192</f>
        <v>0</v>
      </c>
      <c r="AD192" s="39"/>
      <c r="AE192" s="39"/>
      <c r="AF192" s="39"/>
      <c r="AG192" s="39">
        <f>IFERROR(VLOOKUP("19_"&amp;A192,SyS!$B:$P,10,FALSE()),0)</f>
        <v>0</v>
      </c>
      <c r="AH192" s="39">
        <f>IFERROR(VLOOKUP("19_"&amp;A192,SyS!$B:$P,12,FALSE()),0)</f>
        <v>0</v>
      </c>
      <c r="AI192" s="39">
        <f>+AG192-AH192</f>
        <v>0</v>
      </c>
      <c r="AJ192" s="39"/>
      <c r="AK192" s="39"/>
      <c r="AL192" s="39"/>
      <c r="AM192" s="38">
        <f>IFERROR(VLOOKUP("23_"&amp;A192,SyS!$B:$P,10,FALSE()),0)</f>
        <v>0</v>
      </c>
      <c r="AN192" s="39">
        <f>IFERROR(VLOOKUP("23_"&amp;A192,SyS!$B:$P,12,FALSE()),0)</f>
        <v>0</v>
      </c>
      <c r="AO192" s="40">
        <f>+AM192-AN192</f>
        <v>0</v>
      </c>
      <c r="AP192" s="39"/>
      <c r="AQ192" s="39"/>
      <c r="AR192" s="39"/>
      <c r="AS192" s="39"/>
      <c r="AT192" s="39"/>
      <c r="AU192" s="39"/>
      <c r="AV192" s="39"/>
      <c r="AW192" s="39"/>
      <c r="AX192" s="39"/>
      <c r="AY192" s="39"/>
      <c r="AZ192" s="39"/>
      <c r="BA192" s="39"/>
      <c r="BB192" s="39"/>
      <c r="BC192" s="39"/>
      <c r="BD192" s="39"/>
      <c r="BE192" s="39"/>
      <c r="BF192" s="39"/>
      <c r="BG192" s="39"/>
      <c r="BH192" s="39"/>
      <c r="BI192" s="39"/>
      <c r="BJ192" s="39"/>
      <c r="BK192" s="39">
        <f>IFERROR(VLOOKUP("29_"&amp;A192,SyS!$B:$P,10,FALSE()),0)</f>
        <v>0</v>
      </c>
      <c r="BL192" s="39">
        <f>IFERROR(VLOOKUP("29_"&amp;A192,SyS!$B:$P,12,FALSE()),0)</f>
        <v>0</v>
      </c>
      <c r="BM192" s="39">
        <f>+BK192-BL192</f>
        <v>0</v>
      </c>
      <c r="BN192" s="38">
        <f>IFERROR(VLOOKUP("30_"&amp;A192,SyS!$B:$P,10,FALSE()),0)</f>
        <v>0</v>
      </c>
      <c r="BO192" s="39">
        <f>IFERROR(VLOOKUP("30_"&amp;A192,SyS!$B:$P,12,FALSE()),0)</f>
        <v>0</v>
      </c>
      <c r="BP192" s="40">
        <f>+BN192-BO192</f>
        <v>0</v>
      </c>
      <c r="BQ192" s="45">
        <f>+E192+H192+K192+Q192+T192+W192+Z192+AC192+AF192+AI192+AL192+AO192+AR192+AU192+AX192+BA192+BD192+BG192+BJ192+BM192+BP192</f>
        <v>0</v>
      </c>
    </row>
    <row r="193" ht="11.25" customHeight="1" spans="1:69" x14ac:dyDescent="0.25">
      <c r="A193" s="18">
        <v>421460000</v>
      </c>
      <c r="B193" s="18" t="s">
        <v>422</v>
      </c>
      <c r="C193" s="38">
        <f>IFERROR(VLOOKUP("1_"&amp;A193,SyS!$B:$P,10,FALSE()),0)</f>
        <v>0</v>
      </c>
      <c r="D193" s="39">
        <f>IFERROR(VLOOKUP("1_"&amp;A193,SyS!$B:$P,12,FALSE()),0)</f>
        <v>0</v>
      </c>
      <c r="E193" s="39">
        <f>+C193-D193</f>
        <v>0</v>
      </c>
      <c r="F193" s="38">
        <f>IFERROR(VLOOKUP("2_"&amp;A193,SyS!$B:$P,10,FALSE()),0)</f>
        <v>0</v>
      </c>
      <c r="G193" s="39">
        <f>IFERROR(VLOOKUP("2_"&amp;A193,SyS!$B:$P,12,FALSE()),0)</f>
        <v>0</v>
      </c>
      <c r="H193" s="40">
        <f>+F193-G193</f>
        <v>0</v>
      </c>
      <c r="I193" s="39"/>
      <c r="J193" s="39"/>
      <c r="K193" s="39"/>
      <c r="L193" s="39"/>
      <c r="M193" s="39"/>
      <c r="N193" s="39"/>
      <c r="O193" s="38">
        <f>IFERROR(VLOOKUP("14_"&amp;A193,SyS!$B:$P,10,FALSE()),0)</f>
        <v>0</v>
      </c>
      <c r="P193" s="39">
        <f>IFERROR(VLOOKUP("14_"&amp;A193,SyS!$B:$P,12,FALSE()),0)</f>
        <v>0</v>
      </c>
      <c r="Q193" s="40">
        <f>+O193-P193</f>
        <v>0</v>
      </c>
      <c r="R193" s="38">
        <f>IFERROR(VLOOKUP("15_"&amp;A193,SyS!$B:$P,10,FALSE()),0)</f>
        <v>0</v>
      </c>
      <c r="S193" s="39">
        <f>IFERROR(VLOOKUP("15_"&amp;A193,SyS!$B:$P,12,FALSE()),0)</f>
        <v>0</v>
      </c>
      <c r="T193" s="40">
        <f>+R193-S193</f>
        <v>0</v>
      </c>
      <c r="U193" s="38">
        <f>IFERROR(VLOOKUP("16_"&amp;A193,SyS!$B:$P,10,FALSE()),0)</f>
        <v>0</v>
      </c>
      <c r="V193" s="39">
        <f>IFERROR(VLOOKUP("16_"&amp;A193,SyS!$B:$P,12,FALSE()),0)</f>
        <v>0</v>
      </c>
      <c r="W193" s="40">
        <f>+U193-V193</f>
        <v>0</v>
      </c>
      <c r="X193" s="38">
        <f>IFERROR(VLOOKUP("13_"&amp;A193,SyS!$B:$P,10,FALSE()),0)</f>
        <v>0</v>
      </c>
      <c r="Y193" s="39">
        <f>IFERROR(VLOOKUP("13_"&amp;A193,SyS!$B:$P,12,FALSE()),0)</f>
        <v>0</v>
      </c>
      <c r="Z193" s="40">
        <f>+X193-Y193</f>
        <v>0</v>
      </c>
      <c r="AA193" s="38">
        <f>IFERROR(VLOOKUP("17_"&amp;A193,SyS!$B:$P,10,FALSE()),0)</f>
        <v>0</v>
      </c>
      <c r="AB193" s="39">
        <f>IFERROR(VLOOKUP("17_"&amp;A193,SyS!$B:$P,12,FALSE()),0)</f>
        <v>0</v>
      </c>
      <c r="AC193" s="40">
        <f>+AA193-AB193</f>
        <v>0</v>
      </c>
      <c r="AD193" s="39"/>
      <c r="AE193" s="39"/>
      <c r="AF193" s="39"/>
      <c r="AG193" s="39">
        <f>IFERROR(VLOOKUP("19_"&amp;A193,SyS!$B:$P,10,FALSE()),0)</f>
        <v>0</v>
      </c>
      <c r="AH193" s="39">
        <f>IFERROR(VLOOKUP("19_"&amp;A193,SyS!$B:$P,12,FALSE()),0)</f>
        <v>0</v>
      </c>
      <c r="AI193" s="39">
        <f>+AG193-AH193</f>
        <v>0</v>
      </c>
      <c r="AJ193" s="39"/>
      <c r="AK193" s="39"/>
      <c r="AL193" s="39"/>
      <c r="AM193" s="38">
        <f>IFERROR(VLOOKUP("23_"&amp;A193,SyS!$B:$P,10,FALSE()),0)</f>
        <v>0</v>
      </c>
      <c r="AN193" s="39">
        <f>IFERROR(VLOOKUP("23_"&amp;A193,SyS!$B:$P,12,FALSE()),0)</f>
        <v>0</v>
      </c>
      <c r="AO193" s="40">
        <f>+AM193-AN193</f>
        <v>0</v>
      </c>
      <c r="AP193" s="39"/>
      <c r="AQ193" s="39"/>
      <c r="AR193" s="39"/>
      <c r="AS193" s="39"/>
      <c r="AT193" s="39"/>
      <c r="AU193" s="39"/>
      <c r="AV193" s="39"/>
      <c r="AW193" s="39"/>
      <c r="AX193" s="39"/>
      <c r="AY193" s="39"/>
      <c r="AZ193" s="39"/>
      <c r="BA193" s="39"/>
      <c r="BB193" s="39"/>
      <c r="BC193" s="39"/>
      <c r="BD193" s="39"/>
      <c r="BE193" s="39"/>
      <c r="BF193" s="39"/>
      <c r="BG193" s="39"/>
      <c r="BH193" s="39"/>
      <c r="BI193" s="39"/>
      <c r="BJ193" s="39"/>
      <c r="BK193" s="39">
        <f>IFERROR(VLOOKUP("29_"&amp;A193,SyS!$B:$P,10,FALSE()),0)</f>
        <v>0</v>
      </c>
      <c r="BL193" s="39">
        <f>IFERROR(VLOOKUP("29_"&amp;A193,SyS!$B:$P,12,FALSE()),0)</f>
        <v>0</v>
      </c>
      <c r="BM193" s="39">
        <f>+BK193-BL193</f>
        <v>0</v>
      </c>
      <c r="BN193" s="38">
        <f>IFERROR(VLOOKUP("30_"&amp;A193,SyS!$B:$P,10,FALSE()),0)</f>
        <v>0</v>
      </c>
      <c r="BO193" s="39">
        <f>IFERROR(VLOOKUP("30_"&amp;A193,SyS!$B:$P,12,FALSE()),0)</f>
        <v>0</v>
      </c>
      <c r="BP193" s="40">
        <f>+BN193-BO193</f>
        <v>0</v>
      </c>
      <c r="BQ193" s="45">
        <f>+E193+H193+K193+Q193+T193+W193+Z193+AC193+AF193+AI193+AL193+AO193+AR193+AU193+AX193+BA193+BD193+BG193+BJ193+BM193+BP193</f>
        <v>0</v>
      </c>
    </row>
    <row r="194" ht="11.25" customHeight="1" spans="1:69" x14ac:dyDescent="0.25">
      <c r="A194" s="44">
        <v>421480000</v>
      </c>
      <c r="B194" s="18" t="s">
        <v>423</v>
      </c>
      <c r="C194" s="38">
        <f>IFERROR(VLOOKUP("1_"&amp;A194,SyS!$B:$P,10,FALSE()),0)</f>
        <v>0</v>
      </c>
      <c r="D194" s="39">
        <f>IFERROR(VLOOKUP("1_"&amp;A194,SyS!$B:$P,12,FALSE()),0)</f>
        <v>0</v>
      </c>
      <c r="E194" s="39">
        <f>+C194-D194</f>
        <v>0</v>
      </c>
      <c r="F194" s="38">
        <f>IFERROR(VLOOKUP("2_"&amp;A194,SyS!$B:$P,10,FALSE()),0)</f>
        <v>0</v>
      </c>
      <c r="G194" s="39">
        <f>IFERROR(VLOOKUP("2_"&amp;A194,SyS!$B:$P,12,FALSE()),0)</f>
        <v>0</v>
      </c>
      <c r="H194" s="40">
        <f>+F194-G194</f>
        <v>0</v>
      </c>
      <c r="I194" s="39"/>
      <c r="J194" s="39"/>
      <c r="K194" s="39"/>
      <c r="L194" s="39"/>
      <c r="M194" s="39"/>
      <c r="N194" s="39"/>
      <c r="O194" s="38">
        <f>IFERROR(VLOOKUP("14_"&amp;A194,SyS!$B:$P,10,FALSE()),0)</f>
        <v>0</v>
      </c>
      <c r="P194" s="39">
        <f>IFERROR(VLOOKUP("14_"&amp;A194,SyS!$B:$P,12,FALSE()),0)</f>
        <v>0</v>
      </c>
      <c r="Q194" s="40">
        <f>+O194-P194</f>
        <v>0</v>
      </c>
      <c r="R194" s="38">
        <f>IFERROR(VLOOKUP("15_"&amp;A194,SyS!$B:$P,10,FALSE()),0)</f>
        <v>0</v>
      </c>
      <c r="S194" s="39">
        <f>IFERROR(VLOOKUP("15_"&amp;A194,SyS!$B:$P,12,FALSE()),0)</f>
        <v>0</v>
      </c>
      <c r="T194" s="40">
        <f>+R194-S194</f>
        <v>0</v>
      </c>
      <c r="U194" s="38">
        <f>IFERROR(VLOOKUP("16_"&amp;A194,SyS!$B:$P,10,FALSE()),0)</f>
        <v>0</v>
      </c>
      <c r="V194" s="39">
        <f>IFERROR(VLOOKUP("16_"&amp;A194,SyS!$B:$P,12,FALSE()),0)</f>
        <v>0</v>
      </c>
      <c r="W194" s="40">
        <f>+U194-V194</f>
        <v>0</v>
      </c>
      <c r="X194" s="38">
        <f>IFERROR(VLOOKUP("13_"&amp;A194,SyS!$B:$P,10,FALSE()),0)</f>
        <v>0</v>
      </c>
      <c r="Y194" s="39">
        <f>IFERROR(VLOOKUP("13_"&amp;A194,SyS!$B:$P,12,FALSE()),0)</f>
        <v>0</v>
      </c>
      <c r="Z194" s="40">
        <f>+X194-Y194</f>
        <v>0</v>
      </c>
      <c r="AA194" s="38">
        <f>IFERROR(VLOOKUP("17_"&amp;A194,SyS!$B:$P,10,FALSE()),0)</f>
        <v>0</v>
      </c>
      <c r="AB194" s="39">
        <f>IFERROR(VLOOKUP("17_"&amp;A194,SyS!$B:$P,12,FALSE()),0)</f>
        <v>0</v>
      </c>
      <c r="AC194" s="40">
        <f>+AA194-AB194</f>
        <v>0</v>
      </c>
      <c r="AD194" s="39"/>
      <c r="AE194" s="39"/>
      <c r="AF194" s="39"/>
      <c r="AG194" s="39">
        <f>IFERROR(VLOOKUP("19_"&amp;A194,SyS!$B:$P,10,FALSE()),0)</f>
        <v>0</v>
      </c>
      <c r="AH194" s="39">
        <f>IFERROR(VLOOKUP("19_"&amp;A194,SyS!$B:$P,12,FALSE()),0)</f>
        <v>0</v>
      </c>
      <c r="AI194" s="39">
        <f>+AG194-AH194</f>
        <v>0</v>
      </c>
      <c r="AJ194" s="39"/>
      <c r="AK194" s="39"/>
      <c r="AL194" s="39"/>
      <c r="AM194" s="38">
        <f>IFERROR(VLOOKUP("23_"&amp;A194,SyS!$B:$P,10,FALSE()),0)</f>
        <v>0</v>
      </c>
      <c r="AN194" s="39">
        <f>IFERROR(VLOOKUP("23_"&amp;A194,SyS!$B:$P,12,FALSE()),0)</f>
        <v>0</v>
      </c>
      <c r="AO194" s="40">
        <f>+AM194-AN194</f>
        <v>0</v>
      </c>
      <c r="AP194" s="39"/>
      <c r="AQ194" s="39"/>
      <c r="AR194" s="39"/>
      <c r="AS194" s="39"/>
      <c r="AT194" s="39"/>
      <c r="AU194" s="39"/>
      <c r="AV194" s="39"/>
      <c r="AW194" s="39"/>
      <c r="AX194" s="39"/>
      <c r="AY194" s="39"/>
      <c r="AZ194" s="39"/>
      <c r="BA194" s="39"/>
      <c r="BB194" s="39"/>
      <c r="BC194" s="39"/>
      <c r="BD194" s="39"/>
      <c r="BE194" s="39"/>
      <c r="BF194" s="39"/>
      <c r="BG194" s="39"/>
      <c r="BH194" s="39"/>
      <c r="BI194" s="39"/>
      <c r="BJ194" s="39"/>
      <c r="BK194" s="39">
        <f>IFERROR(VLOOKUP("29_"&amp;A194,SyS!$B:$P,10,FALSE()),0)</f>
        <v>0</v>
      </c>
      <c r="BL194" s="39">
        <f>IFERROR(VLOOKUP("29_"&amp;A194,SyS!$B:$P,12,FALSE()),0)</f>
        <v>0</v>
      </c>
      <c r="BM194" s="39">
        <f>+BK194-BL194</f>
        <v>0</v>
      </c>
      <c r="BN194" s="38">
        <f>IFERROR(VLOOKUP("30_"&amp;A194,SyS!$B:$P,10,FALSE()),0)</f>
        <v>0</v>
      </c>
      <c r="BO194" s="39">
        <f>IFERROR(VLOOKUP("30_"&amp;A194,SyS!$B:$P,12,FALSE()),0)</f>
        <v>0</v>
      </c>
      <c r="BP194" s="40">
        <f>+BN194-BO194</f>
        <v>0</v>
      </c>
      <c r="BQ194" s="45">
        <f>+E194+H194+K194+Q194+T194+W194+Z194+AC194+AF194+AI194+AL194+AO194+AR194+AU194+AX194+BA194+BD194+BG194+BJ194+BM194+BP194</f>
        <v>0</v>
      </c>
    </row>
    <row r="195" ht="11.25" customHeight="1" spans="1:69" x14ac:dyDescent="0.25">
      <c r="A195" s="18">
        <v>421500000</v>
      </c>
      <c r="B195" s="18" t="s">
        <v>424</v>
      </c>
      <c r="C195" s="38">
        <f>IFERROR(VLOOKUP("1_"&amp;A195,SyS!$B:$P,10,FALSE()),0)</f>
        <v>0</v>
      </c>
      <c r="D195" s="39">
        <f>IFERROR(VLOOKUP("1_"&amp;A195,SyS!$B:$P,12,FALSE()),0)</f>
        <v>0</v>
      </c>
      <c r="E195" s="39">
        <f>+C195-D195</f>
        <v>0</v>
      </c>
      <c r="F195" s="38">
        <f>IFERROR(VLOOKUP("2_"&amp;A195,SyS!$B:$P,10,FALSE()),0)</f>
        <v>0</v>
      </c>
      <c r="G195" s="39">
        <f>IFERROR(VLOOKUP("2_"&amp;A195,SyS!$B:$P,12,FALSE()),0)</f>
        <v>0</v>
      </c>
      <c r="H195" s="40">
        <f>+F195-G195</f>
        <v>0</v>
      </c>
      <c r="I195" s="39"/>
      <c r="J195" s="39"/>
      <c r="K195" s="39"/>
      <c r="L195" s="39"/>
      <c r="M195" s="39"/>
      <c r="N195" s="39"/>
      <c r="O195" s="38">
        <f>IFERROR(VLOOKUP("14_"&amp;A195,SyS!$B:$P,10,FALSE()),0)</f>
        <v>0</v>
      </c>
      <c r="P195" s="39">
        <f>IFERROR(VLOOKUP("14_"&amp;A195,SyS!$B:$P,12,FALSE()),0)</f>
        <v>0</v>
      </c>
      <c r="Q195" s="40">
        <f>+O195-P195</f>
        <v>0</v>
      </c>
      <c r="R195" s="38">
        <f>IFERROR(VLOOKUP("15_"&amp;A195,SyS!$B:$P,10,FALSE()),0)</f>
        <v>0</v>
      </c>
      <c r="S195" s="39">
        <f>IFERROR(VLOOKUP("15_"&amp;A195,SyS!$B:$P,12,FALSE()),0)</f>
        <v>0</v>
      </c>
      <c r="T195" s="40">
        <f>+R195-S195</f>
        <v>0</v>
      </c>
      <c r="U195" s="38">
        <f>IFERROR(VLOOKUP("16_"&amp;A195,SyS!$B:$P,10,FALSE()),0)</f>
        <v>0</v>
      </c>
      <c r="V195" s="39">
        <f>IFERROR(VLOOKUP("16_"&amp;A195,SyS!$B:$P,12,FALSE()),0)</f>
        <v>0</v>
      </c>
      <c r="W195" s="40">
        <f>+U195-V195</f>
        <v>0</v>
      </c>
      <c r="X195" s="38">
        <f>IFERROR(VLOOKUP("13_"&amp;A195,SyS!$B:$P,10,FALSE()),0)</f>
        <v>0</v>
      </c>
      <c r="Y195" s="39">
        <f>IFERROR(VLOOKUP("13_"&amp;A195,SyS!$B:$P,12,FALSE()),0)</f>
        <v>0</v>
      </c>
      <c r="Z195" s="40">
        <f>+X195-Y195</f>
        <v>0</v>
      </c>
      <c r="AA195" s="38">
        <f>IFERROR(VLOOKUP("17_"&amp;A195,SyS!$B:$P,10,FALSE()),0)</f>
        <v>0</v>
      </c>
      <c r="AB195" s="39">
        <f>IFERROR(VLOOKUP("17_"&amp;A195,SyS!$B:$P,12,FALSE()),0)</f>
        <v>0</v>
      </c>
      <c r="AC195" s="40">
        <f>+AA195-AB195</f>
        <v>0</v>
      </c>
      <c r="AD195" s="39"/>
      <c r="AE195" s="39"/>
      <c r="AF195" s="39"/>
      <c r="AG195" s="39">
        <f>IFERROR(VLOOKUP("19_"&amp;A195,SyS!$B:$P,10,FALSE()),0)</f>
        <v>0</v>
      </c>
      <c r="AH195" s="39">
        <f>IFERROR(VLOOKUP("19_"&amp;A195,SyS!$B:$P,12,FALSE()),0)</f>
        <v>0</v>
      </c>
      <c r="AI195" s="39">
        <f>+AG195-AH195</f>
        <v>0</v>
      </c>
      <c r="AJ195" s="39"/>
      <c r="AK195" s="39"/>
      <c r="AL195" s="39"/>
      <c r="AM195" s="38">
        <f>IFERROR(VLOOKUP("23_"&amp;A195,SyS!$B:$P,10,FALSE()),0)</f>
        <v>0</v>
      </c>
      <c r="AN195" s="39">
        <f>IFERROR(VLOOKUP("23_"&amp;A195,SyS!$B:$P,12,FALSE()),0)</f>
        <v>0</v>
      </c>
      <c r="AO195" s="40">
        <f>+AM195-AN195</f>
        <v>0</v>
      </c>
      <c r="AP195" s="39"/>
      <c r="AQ195" s="39"/>
      <c r="AR195" s="39"/>
      <c r="AS195" s="39"/>
      <c r="AT195" s="39"/>
      <c r="AU195" s="39"/>
      <c r="AV195" s="39"/>
      <c r="AW195" s="39"/>
      <c r="AX195" s="39"/>
      <c r="AY195" s="39"/>
      <c r="AZ195" s="39"/>
      <c r="BA195" s="39"/>
      <c r="BB195" s="39"/>
      <c r="BC195" s="39"/>
      <c r="BD195" s="39"/>
      <c r="BE195" s="39"/>
      <c r="BF195" s="39"/>
      <c r="BG195" s="39"/>
      <c r="BH195" s="39"/>
      <c r="BI195" s="39"/>
      <c r="BJ195" s="39"/>
      <c r="BK195" s="39">
        <f>IFERROR(VLOOKUP("29_"&amp;A195,SyS!$B:$P,10,FALSE()),0)</f>
        <v>0</v>
      </c>
      <c r="BL195" s="39">
        <f>IFERROR(VLOOKUP("29_"&amp;A195,SyS!$B:$P,12,FALSE()),0)</f>
        <v>0</v>
      </c>
      <c r="BM195" s="39">
        <f>+BK195-BL195</f>
        <v>0</v>
      </c>
      <c r="BN195" s="38">
        <f>IFERROR(VLOOKUP("30_"&amp;A195,SyS!$B:$P,10,FALSE()),0)</f>
        <v>0</v>
      </c>
      <c r="BO195" s="39">
        <f>IFERROR(VLOOKUP("30_"&amp;A195,SyS!$B:$P,12,FALSE()),0)</f>
        <v>0</v>
      </c>
      <c r="BP195" s="40">
        <f>+BN195-BO195</f>
        <v>0</v>
      </c>
      <c r="BQ195" s="45">
        <f>+E195+H195+K195+Q195+T195+W195+Z195+AC195+AF195+AI195+AL195+AO195+AR195+AU195+AX195+BA195+BD195+BG195+BJ195+BM195+BP195</f>
        <v>0</v>
      </c>
    </row>
    <row r="196" ht="11.25" customHeight="1" spans="1:69" x14ac:dyDescent="0.25">
      <c r="A196" s="18">
        <v>421510000</v>
      </c>
      <c r="B196" s="18" t="s">
        <v>425</v>
      </c>
      <c r="C196" s="38">
        <f>IFERROR(VLOOKUP("1_"&amp;A196,SyS!$B:$P,10,FALSE()),0)</f>
        <v>0</v>
      </c>
      <c r="D196" s="39">
        <f>IFERROR(VLOOKUP("1_"&amp;A196,SyS!$B:$P,12,FALSE()),0)</f>
        <v>0</v>
      </c>
      <c r="E196" s="39">
        <f>+C196-D196</f>
        <v>0</v>
      </c>
      <c r="F196" s="38">
        <f>IFERROR(VLOOKUP("2_"&amp;A196,SyS!$B:$P,10,FALSE()),0)</f>
        <v>0</v>
      </c>
      <c r="G196" s="39">
        <f>IFERROR(VLOOKUP("2_"&amp;A196,SyS!$B:$P,12,FALSE()),0)</f>
        <v>0</v>
      </c>
      <c r="H196" s="40">
        <f>+F196-G196</f>
        <v>0</v>
      </c>
      <c r="I196" s="39"/>
      <c r="J196" s="39"/>
      <c r="K196" s="39"/>
      <c r="L196" s="39"/>
      <c r="M196" s="39"/>
      <c r="N196" s="39"/>
      <c r="O196" s="38">
        <f>IFERROR(VLOOKUP("14_"&amp;A196,SyS!$B:$P,10,FALSE()),0)</f>
        <v>0</v>
      </c>
      <c r="P196" s="39">
        <f>IFERROR(VLOOKUP("14_"&amp;A196,SyS!$B:$P,12,FALSE()),0)</f>
        <v>0</v>
      </c>
      <c r="Q196" s="40">
        <f>+O196-P196</f>
        <v>0</v>
      </c>
      <c r="R196" s="38">
        <f>IFERROR(VLOOKUP("15_"&amp;A196,SyS!$B:$P,10,FALSE()),0)</f>
        <v>0</v>
      </c>
      <c r="S196" s="39">
        <f>IFERROR(VLOOKUP("15_"&amp;A196,SyS!$B:$P,12,FALSE()),0)</f>
        <v>0</v>
      </c>
      <c r="T196" s="40">
        <f>+R196-S196</f>
        <v>0</v>
      </c>
      <c r="U196" s="38">
        <f>IFERROR(VLOOKUP("16_"&amp;A196,SyS!$B:$P,10,FALSE()),0)</f>
        <v>0</v>
      </c>
      <c r="V196" s="39">
        <f>IFERROR(VLOOKUP("16_"&amp;A196,SyS!$B:$P,12,FALSE()),0)</f>
        <v>0</v>
      </c>
      <c r="W196" s="40">
        <f>+U196-V196</f>
        <v>0</v>
      </c>
      <c r="X196" s="38">
        <f>IFERROR(VLOOKUP("13_"&amp;A196,SyS!$B:$P,10,FALSE()),0)</f>
        <v>0</v>
      </c>
      <c r="Y196" s="39">
        <f>IFERROR(VLOOKUP("13_"&amp;A196,SyS!$B:$P,12,FALSE()),0)</f>
        <v>0</v>
      </c>
      <c r="Z196" s="40">
        <f>+X196-Y196</f>
        <v>0</v>
      </c>
      <c r="AA196" s="38">
        <f>IFERROR(VLOOKUP("17_"&amp;A196,SyS!$B:$P,10,FALSE()),0)</f>
        <v>0</v>
      </c>
      <c r="AB196" s="39">
        <f>IFERROR(VLOOKUP("17_"&amp;A196,SyS!$B:$P,12,FALSE()),0)</f>
        <v>0</v>
      </c>
      <c r="AC196" s="40">
        <f>+AA196-AB196</f>
        <v>0</v>
      </c>
      <c r="AD196" s="39"/>
      <c r="AE196" s="39"/>
      <c r="AF196" s="39"/>
      <c r="AG196" s="39">
        <f>IFERROR(VLOOKUP("19_"&amp;A196,SyS!$B:$P,10,FALSE()),0)</f>
        <v>0</v>
      </c>
      <c r="AH196" s="39">
        <f>IFERROR(VLOOKUP("19_"&amp;A196,SyS!$B:$P,12,FALSE()),0)</f>
        <v>0</v>
      </c>
      <c r="AI196" s="39">
        <f>+AG196-AH196</f>
        <v>0</v>
      </c>
      <c r="AJ196" s="39"/>
      <c r="AK196" s="39"/>
      <c r="AL196" s="39"/>
      <c r="AM196" s="38">
        <f>IFERROR(VLOOKUP("23_"&amp;A196,SyS!$B:$P,10,FALSE()),0)</f>
        <v>0</v>
      </c>
      <c r="AN196" s="39">
        <f>IFERROR(VLOOKUP("23_"&amp;A196,SyS!$B:$P,12,FALSE()),0)</f>
        <v>0</v>
      </c>
      <c r="AO196" s="40">
        <f>+AM196-AN196</f>
        <v>0</v>
      </c>
      <c r="AP196" s="39"/>
      <c r="AQ196" s="39"/>
      <c r="AR196" s="39"/>
      <c r="AS196" s="39"/>
      <c r="AT196" s="39"/>
      <c r="AU196" s="39"/>
      <c r="AV196" s="39"/>
      <c r="AW196" s="39"/>
      <c r="AX196" s="39"/>
      <c r="AY196" s="39"/>
      <c r="AZ196" s="39"/>
      <c r="BA196" s="39"/>
      <c r="BB196" s="39"/>
      <c r="BC196" s="39"/>
      <c r="BD196" s="39"/>
      <c r="BE196" s="39"/>
      <c r="BF196" s="39"/>
      <c r="BG196" s="39"/>
      <c r="BH196" s="39"/>
      <c r="BI196" s="39"/>
      <c r="BJ196" s="39"/>
      <c r="BK196" s="39">
        <f>IFERROR(VLOOKUP("29_"&amp;A196,SyS!$B:$P,10,FALSE()),0)</f>
        <v>0</v>
      </c>
      <c r="BL196" s="39">
        <f>IFERROR(VLOOKUP("29_"&amp;A196,SyS!$B:$P,12,FALSE()),0)</f>
        <v>0</v>
      </c>
      <c r="BM196" s="39">
        <f>+BK196-BL196</f>
        <v>0</v>
      </c>
      <c r="BN196" s="38">
        <f>IFERROR(VLOOKUP("30_"&amp;A196,SyS!$B:$P,10,FALSE()),0)</f>
        <v>0</v>
      </c>
      <c r="BO196" s="39">
        <f>IFERROR(VLOOKUP("30_"&amp;A196,SyS!$B:$P,12,FALSE()),0)</f>
        <v>0</v>
      </c>
      <c r="BP196" s="40">
        <f>+BN196-BO196</f>
        <v>0</v>
      </c>
      <c r="BQ196" s="45">
        <f>+E196+H196+K196+Q196+T196+W196+Z196+AC196+AF196+AI196+AL196+AO196+AR196+AU196+AX196+BA196+BD196+BG196+BJ196+BM196+BP196</f>
        <v>0</v>
      </c>
    </row>
    <row r="197" ht="11.25" customHeight="1" spans="1:69" x14ac:dyDescent="0.25">
      <c r="A197" s="18">
        <v>421520000</v>
      </c>
      <c r="B197" s="18" t="s">
        <v>426</v>
      </c>
      <c r="C197" s="38">
        <f>IFERROR(VLOOKUP("1_"&amp;A197,SyS!$B:$P,10,FALSE()),0)</f>
        <v>0</v>
      </c>
      <c r="D197" s="39">
        <f>IFERROR(VLOOKUP("1_"&amp;A197,SyS!$B:$P,12,FALSE()),0)</f>
        <v>0</v>
      </c>
      <c r="E197" s="39">
        <f>+C197-D197</f>
        <v>0</v>
      </c>
      <c r="F197" s="38">
        <f>IFERROR(VLOOKUP("2_"&amp;A197,SyS!$B:$P,10,FALSE()),0)</f>
        <v>0</v>
      </c>
      <c r="G197" s="39">
        <f>IFERROR(VLOOKUP("2_"&amp;A197,SyS!$B:$P,12,FALSE()),0)</f>
        <v>0</v>
      </c>
      <c r="H197" s="40">
        <f>+F197-G197</f>
        <v>0</v>
      </c>
      <c r="I197" s="39"/>
      <c r="J197" s="39"/>
      <c r="K197" s="39"/>
      <c r="L197" s="39"/>
      <c r="M197" s="39"/>
      <c r="N197" s="39"/>
      <c r="O197" s="38">
        <f>IFERROR(VLOOKUP("14_"&amp;A197,SyS!$B:$P,10,FALSE()),0)</f>
        <v>0</v>
      </c>
      <c r="P197" s="39">
        <f>IFERROR(VLOOKUP("14_"&amp;A197,SyS!$B:$P,12,FALSE()),0)</f>
        <v>0</v>
      </c>
      <c r="Q197" s="40">
        <f>+O197-P197</f>
        <v>0</v>
      </c>
      <c r="R197" s="38">
        <f>IFERROR(VLOOKUP("15_"&amp;A197,SyS!$B:$P,10,FALSE()),0)</f>
        <v>0</v>
      </c>
      <c r="S197" s="39">
        <f>IFERROR(VLOOKUP("15_"&amp;A197,SyS!$B:$P,12,FALSE()),0)</f>
        <v>0</v>
      </c>
      <c r="T197" s="40">
        <f>+R197-S197</f>
        <v>0</v>
      </c>
      <c r="U197" s="38">
        <f>IFERROR(VLOOKUP("16_"&amp;A197,SyS!$B:$P,10,FALSE()),0)</f>
        <v>0</v>
      </c>
      <c r="V197" s="39">
        <f>IFERROR(VLOOKUP("16_"&amp;A197,SyS!$B:$P,12,FALSE()),0)</f>
        <v>0</v>
      </c>
      <c r="W197" s="40">
        <f>+U197-V197</f>
        <v>0</v>
      </c>
      <c r="X197" s="38">
        <f>IFERROR(VLOOKUP("13_"&amp;A197,SyS!$B:$P,10,FALSE()),0)</f>
        <v>0</v>
      </c>
      <c r="Y197" s="39">
        <f>IFERROR(VLOOKUP("13_"&amp;A197,SyS!$B:$P,12,FALSE()),0)</f>
        <v>0</v>
      </c>
      <c r="Z197" s="40">
        <f>+X197-Y197</f>
        <v>0</v>
      </c>
      <c r="AA197" s="38">
        <f>IFERROR(VLOOKUP("17_"&amp;A197,SyS!$B:$P,10,FALSE()),0)</f>
        <v>0</v>
      </c>
      <c r="AB197" s="39">
        <f>IFERROR(VLOOKUP("17_"&amp;A197,SyS!$B:$P,12,FALSE()),0)</f>
        <v>0</v>
      </c>
      <c r="AC197" s="40">
        <f>+AA197-AB197</f>
        <v>0</v>
      </c>
      <c r="AD197" s="39"/>
      <c r="AE197" s="39"/>
      <c r="AF197" s="39"/>
      <c r="AG197" s="39">
        <f>IFERROR(VLOOKUP("19_"&amp;A197,SyS!$B:$P,10,FALSE()),0)</f>
        <v>0</v>
      </c>
      <c r="AH197" s="39">
        <f>IFERROR(VLOOKUP("19_"&amp;A197,SyS!$B:$P,12,FALSE()),0)</f>
        <v>0</v>
      </c>
      <c r="AI197" s="39">
        <f>+AG197-AH197</f>
        <v>0</v>
      </c>
      <c r="AJ197" s="39"/>
      <c r="AK197" s="39"/>
      <c r="AL197" s="39"/>
      <c r="AM197" s="38">
        <f>IFERROR(VLOOKUP("23_"&amp;A197,SyS!$B:$P,10,FALSE()),0)</f>
        <v>0</v>
      </c>
      <c r="AN197" s="39">
        <f>IFERROR(VLOOKUP("23_"&amp;A197,SyS!$B:$P,12,FALSE()),0)</f>
        <v>0</v>
      </c>
      <c r="AO197" s="40">
        <f>+AM197-AN197</f>
        <v>0</v>
      </c>
      <c r="AP197" s="39"/>
      <c r="AQ197" s="39"/>
      <c r="AR197" s="39"/>
      <c r="AS197" s="39"/>
      <c r="AT197" s="39"/>
      <c r="AU197" s="39"/>
      <c r="AV197" s="39"/>
      <c r="AW197" s="39"/>
      <c r="AX197" s="39"/>
      <c r="AY197" s="39"/>
      <c r="AZ197" s="39"/>
      <c r="BA197" s="39"/>
      <c r="BB197" s="39"/>
      <c r="BC197" s="39"/>
      <c r="BD197" s="39"/>
      <c r="BE197" s="39"/>
      <c r="BF197" s="39"/>
      <c r="BG197" s="39"/>
      <c r="BH197" s="39"/>
      <c r="BI197" s="39"/>
      <c r="BJ197" s="39"/>
      <c r="BK197" s="39">
        <f>IFERROR(VLOOKUP("29_"&amp;A197,SyS!$B:$P,10,FALSE()),0)</f>
        <v>0</v>
      </c>
      <c r="BL197" s="39">
        <f>IFERROR(VLOOKUP("29_"&amp;A197,SyS!$B:$P,12,FALSE()),0)</f>
        <v>0</v>
      </c>
      <c r="BM197" s="39">
        <f>+BK197-BL197</f>
        <v>0</v>
      </c>
      <c r="BN197" s="38">
        <f>IFERROR(VLOOKUP("30_"&amp;A197,SyS!$B:$P,10,FALSE()),0)</f>
        <v>0</v>
      </c>
      <c r="BO197" s="39">
        <f>IFERROR(VLOOKUP("30_"&amp;A197,SyS!$B:$P,12,FALSE()),0)</f>
        <v>0</v>
      </c>
      <c r="BP197" s="40">
        <f>+BN197-BO197</f>
        <v>0</v>
      </c>
      <c r="BQ197" s="45">
        <f>+E197+H197+K197+Q197+T197+W197+Z197+AC197+AF197+AI197+AL197+AO197+AR197+AU197+AX197+BA197+BD197+BG197+BJ197+BM197+BP197</f>
        <v>0</v>
      </c>
    </row>
    <row r="198" ht="11.25" customHeight="1" spans="1:69" x14ac:dyDescent="0.25">
      <c r="A198" s="18">
        <v>421530000</v>
      </c>
      <c r="B198" s="18" t="s">
        <v>427</v>
      </c>
      <c r="C198" s="38">
        <f>IFERROR(VLOOKUP("1_"&amp;A198,SyS!$B:$P,10,FALSE()),0)</f>
        <v>0</v>
      </c>
      <c r="D198" s="39">
        <f>IFERROR(VLOOKUP("1_"&amp;A198,SyS!$B:$P,12,FALSE()),0)</f>
        <v>0</v>
      </c>
      <c r="E198" s="39">
        <f>+C198-D198</f>
        <v>0</v>
      </c>
      <c r="F198" s="38">
        <f>IFERROR(VLOOKUP("2_"&amp;A198,SyS!$B:$P,10,FALSE()),0)</f>
        <v>0</v>
      </c>
      <c r="G198" s="39">
        <f>IFERROR(VLOOKUP("2_"&amp;A198,SyS!$B:$P,12,FALSE()),0)</f>
        <v>0</v>
      </c>
      <c r="H198" s="40">
        <f>+F198-G198</f>
        <v>0</v>
      </c>
      <c r="I198" s="39"/>
      <c r="J198" s="39"/>
      <c r="K198" s="39"/>
      <c r="L198" s="39"/>
      <c r="M198" s="39"/>
      <c r="N198" s="39"/>
      <c r="O198" s="38">
        <f>IFERROR(VLOOKUP("14_"&amp;A198,SyS!$B:$P,10,FALSE()),0)</f>
        <v>0</v>
      </c>
      <c r="P198" s="39">
        <f>IFERROR(VLOOKUP("14_"&amp;A198,SyS!$B:$P,12,FALSE()),0)</f>
        <v>0</v>
      </c>
      <c r="Q198" s="40">
        <f>+O198-P198</f>
        <v>0</v>
      </c>
      <c r="R198" s="38">
        <f>IFERROR(VLOOKUP("15_"&amp;A198,SyS!$B:$P,10,FALSE()),0)</f>
        <v>0</v>
      </c>
      <c r="S198" s="39">
        <f>IFERROR(VLOOKUP("15_"&amp;A198,SyS!$B:$P,12,FALSE()),0)</f>
        <v>0</v>
      </c>
      <c r="T198" s="40">
        <f>+R198-S198</f>
        <v>0</v>
      </c>
      <c r="U198" s="38">
        <f>IFERROR(VLOOKUP("16_"&amp;A198,SyS!$B:$P,10,FALSE()),0)</f>
        <v>0</v>
      </c>
      <c r="V198" s="39">
        <f>IFERROR(VLOOKUP("16_"&amp;A198,SyS!$B:$P,12,FALSE()),0)</f>
        <v>0</v>
      </c>
      <c r="W198" s="40">
        <f>+U198-V198</f>
        <v>0</v>
      </c>
      <c r="X198" s="38">
        <f>IFERROR(VLOOKUP("13_"&amp;A198,SyS!$B:$P,10,FALSE()),0)</f>
        <v>0</v>
      </c>
      <c r="Y198" s="39">
        <f>IFERROR(VLOOKUP("13_"&amp;A198,SyS!$B:$P,12,FALSE()),0)</f>
        <v>0</v>
      </c>
      <c r="Z198" s="40">
        <f>+X198-Y198</f>
        <v>0</v>
      </c>
      <c r="AA198" s="38">
        <f>IFERROR(VLOOKUP("17_"&amp;A198,SyS!$B:$P,10,FALSE()),0)</f>
        <v>0</v>
      </c>
      <c r="AB198" s="39">
        <f>IFERROR(VLOOKUP("17_"&amp;A198,SyS!$B:$P,12,FALSE()),0)</f>
        <v>0</v>
      </c>
      <c r="AC198" s="40">
        <f>+AA198-AB198</f>
        <v>0</v>
      </c>
      <c r="AD198" s="39"/>
      <c r="AE198" s="39"/>
      <c r="AF198" s="39"/>
      <c r="AG198" s="39">
        <f>IFERROR(VLOOKUP("19_"&amp;A198,SyS!$B:$P,10,FALSE()),0)</f>
        <v>0</v>
      </c>
      <c r="AH198" s="39">
        <f>IFERROR(VLOOKUP("19_"&amp;A198,SyS!$B:$P,12,FALSE()),0)</f>
        <v>0</v>
      </c>
      <c r="AI198" s="39">
        <f>+AG198-AH198</f>
        <v>0</v>
      </c>
      <c r="AJ198" s="39"/>
      <c r="AK198" s="39"/>
      <c r="AL198" s="39"/>
      <c r="AM198" s="38">
        <f>IFERROR(VLOOKUP("23_"&amp;A198,SyS!$B:$P,10,FALSE()),0)</f>
        <v>0</v>
      </c>
      <c r="AN198" s="39">
        <f>IFERROR(VLOOKUP("23_"&amp;A198,SyS!$B:$P,12,FALSE()),0)</f>
        <v>0</v>
      </c>
      <c r="AO198" s="40">
        <f>+AM198-AN198</f>
        <v>0</v>
      </c>
      <c r="AP198" s="39"/>
      <c r="AQ198" s="39"/>
      <c r="AR198" s="39"/>
      <c r="AS198" s="39"/>
      <c r="AT198" s="39"/>
      <c r="AU198" s="39"/>
      <c r="AV198" s="39"/>
      <c r="AW198" s="39"/>
      <c r="AX198" s="39"/>
      <c r="AY198" s="39"/>
      <c r="AZ198" s="39"/>
      <c r="BA198" s="39"/>
      <c r="BB198" s="39"/>
      <c r="BC198" s="39"/>
      <c r="BD198" s="39"/>
      <c r="BE198" s="39"/>
      <c r="BF198" s="39"/>
      <c r="BG198" s="39"/>
      <c r="BH198" s="39"/>
      <c r="BI198" s="39"/>
      <c r="BJ198" s="39"/>
      <c r="BK198" s="39">
        <f>IFERROR(VLOOKUP("29_"&amp;A198,SyS!$B:$P,10,FALSE()),0)</f>
        <v>0</v>
      </c>
      <c r="BL198" s="39">
        <f>IFERROR(VLOOKUP("29_"&amp;A198,SyS!$B:$P,12,FALSE()),0)</f>
        <v>0</v>
      </c>
      <c r="BM198" s="39">
        <f>+BK198-BL198</f>
        <v>0</v>
      </c>
      <c r="BN198" s="38">
        <f>IFERROR(VLOOKUP("30_"&amp;A198,SyS!$B:$P,10,FALSE()),0)</f>
        <v>0</v>
      </c>
      <c r="BO198" s="39">
        <f>IFERROR(VLOOKUP("30_"&amp;A198,SyS!$B:$P,12,FALSE()),0)</f>
        <v>0</v>
      </c>
      <c r="BP198" s="40">
        <f>+BN198-BO198</f>
        <v>0</v>
      </c>
      <c r="BQ198" s="45">
        <f>+E198+H198+K198+Q198+T198+W198+Z198+AC198+AF198+AI198+AL198+AO198+AR198+AU198+AX198+BA198+BD198+BG198+BJ198+BM198+BP198</f>
        <v>0</v>
      </c>
    </row>
    <row r="199" ht="11.25" customHeight="1" spans="1:69" x14ac:dyDescent="0.25">
      <c r="A199" s="18">
        <v>421900000</v>
      </c>
      <c r="B199" s="18" t="s">
        <v>428</v>
      </c>
      <c r="C199" s="38">
        <f>IFERROR(VLOOKUP("1_"&amp;A199,SyS!$B:$P,10,FALSE()),0)</f>
        <v>0</v>
      </c>
      <c r="D199" s="39">
        <f>IFERROR(VLOOKUP("1_"&amp;A199,SyS!$B:$P,12,FALSE()),0)</f>
        <v>0</v>
      </c>
      <c r="E199" s="39">
        <f>+C199-D199</f>
        <v>0</v>
      </c>
      <c r="F199" s="38">
        <f>IFERROR(VLOOKUP("2_"&amp;A199,SyS!$B:$P,10,FALSE()),0)</f>
        <v>0</v>
      </c>
      <c r="G199" s="39">
        <f>IFERROR(VLOOKUP("2_"&amp;A199,SyS!$B:$P,12,FALSE()),0)</f>
        <v>0</v>
      </c>
      <c r="H199" s="40">
        <f>+F199-G199</f>
        <v>0</v>
      </c>
      <c r="I199" s="39"/>
      <c r="J199" s="39"/>
      <c r="K199" s="39"/>
      <c r="L199" s="39"/>
      <c r="M199" s="39"/>
      <c r="N199" s="39"/>
      <c r="O199" s="38">
        <f>IFERROR(VLOOKUP("14_"&amp;A199,SyS!$B:$P,10,FALSE()),0)</f>
        <v>0</v>
      </c>
      <c r="P199" s="39">
        <f>IFERROR(VLOOKUP("14_"&amp;A199,SyS!$B:$P,12,FALSE()),0)</f>
        <v>0</v>
      </c>
      <c r="Q199" s="40">
        <f>+O199-P199</f>
        <v>0</v>
      </c>
      <c r="R199" s="38">
        <f>IFERROR(VLOOKUP("15_"&amp;A199,SyS!$B:$P,10,FALSE()),0)</f>
        <v>0</v>
      </c>
      <c r="S199" s="39">
        <f>IFERROR(VLOOKUP("15_"&amp;A199,SyS!$B:$P,12,FALSE()),0)</f>
        <v>0</v>
      </c>
      <c r="T199" s="40">
        <f>+R199-S199</f>
        <v>0</v>
      </c>
      <c r="U199" s="38">
        <f>IFERROR(VLOOKUP("16_"&amp;A199,SyS!$B:$P,10,FALSE()),0)</f>
        <v>0</v>
      </c>
      <c r="V199" s="39">
        <f>IFERROR(VLOOKUP("16_"&amp;A199,SyS!$B:$P,12,FALSE()),0)</f>
        <v>0</v>
      </c>
      <c r="W199" s="40">
        <f>+U199-V199</f>
        <v>0</v>
      </c>
      <c r="X199" s="38">
        <f>IFERROR(VLOOKUP("13_"&amp;A199,SyS!$B:$P,10,FALSE()),0)</f>
        <v>0</v>
      </c>
      <c r="Y199" s="39">
        <f>IFERROR(VLOOKUP("13_"&amp;A199,SyS!$B:$P,12,FALSE()),0)</f>
        <v>0</v>
      </c>
      <c r="Z199" s="40">
        <f>+X199-Y199</f>
        <v>0</v>
      </c>
      <c r="AA199" s="38">
        <f>IFERROR(VLOOKUP("17_"&amp;A199,SyS!$B:$P,10,FALSE()),0)</f>
        <v>0</v>
      </c>
      <c r="AB199" s="39">
        <f>IFERROR(VLOOKUP("17_"&amp;A199,SyS!$B:$P,12,FALSE()),0)</f>
        <v>0</v>
      </c>
      <c r="AC199" s="40">
        <f>+AA199-AB199</f>
        <v>0</v>
      </c>
      <c r="AD199" s="39"/>
      <c r="AE199" s="39"/>
      <c r="AF199" s="39"/>
      <c r="AG199" s="39">
        <f>IFERROR(VLOOKUP("19_"&amp;A199,SyS!$B:$P,10,FALSE()),0)</f>
        <v>0</v>
      </c>
      <c r="AH199" s="39">
        <f>IFERROR(VLOOKUP("19_"&amp;A199,SyS!$B:$P,12,FALSE()),0)</f>
        <v>0</v>
      </c>
      <c r="AI199" s="39">
        <f>+AG199-AH199</f>
        <v>0</v>
      </c>
      <c r="AJ199" s="39"/>
      <c r="AK199" s="39"/>
      <c r="AL199" s="39"/>
      <c r="AM199" s="38">
        <f>IFERROR(VLOOKUP("23_"&amp;A199,SyS!$B:$P,10,FALSE()),0)</f>
        <v>0</v>
      </c>
      <c r="AN199" s="39">
        <f>IFERROR(VLOOKUP("23_"&amp;A199,SyS!$B:$P,12,FALSE()),0)</f>
        <v>0</v>
      </c>
      <c r="AO199" s="40">
        <f>+AM199-AN199</f>
        <v>0</v>
      </c>
      <c r="AP199" s="39"/>
      <c r="AQ199" s="39"/>
      <c r="AR199" s="39"/>
      <c r="AS199" s="39"/>
      <c r="AT199" s="39"/>
      <c r="AU199" s="39"/>
      <c r="AV199" s="39"/>
      <c r="AW199" s="39"/>
      <c r="AX199" s="39"/>
      <c r="AY199" s="39"/>
      <c r="AZ199" s="39"/>
      <c r="BA199" s="39"/>
      <c r="BB199" s="39"/>
      <c r="BC199" s="39"/>
      <c r="BD199" s="39"/>
      <c r="BE199" s="39"/>
      <c r="BF199" s="39"/>
      <c r="BG199" s="39"/>
      <c r="BH199" s="39"/>
      <c r="BI199" s="39"/>
      <c r="BJ199" s="39"/>
      <c r="BK199" s="39">
        <f>IFERROR(VLOOKUP("29_"&amp;A199,SyS!$B:$P,10,FALSE()),0)</f>
        <v>0</v>
      </c>
      <c r="BL199" s="39">
        <f>IFERROR(VLOOKUP("29_"&amp;A199,SyS!$B:$P,12,FALSE()),0)</f>
        <v>0</v>
      </c>
      <c r="BM199" s="39">
        <f>+BK199-BL199</f>
        <v>0</v>
      </c>
      <c r="BN199" s="38">
        <f>IFERROR(VLOOKUP("30_"&amp;A199,SyS!$B:$P,10,FALSE()),0)</f>
        <v>0</v>
      </c>
      <c r="BO199" s="39">
        <f>IFERROR(VLOOKUP("30_"&amp;A199,SyS!$B:$P,12,FALSE()),0)</f>
        <v>0</v>
      </c>
      <c r="BP199" s="40">
        <f>+BN199-BO199</f>
        <v>0</v>
      </c>
      <c r="BQ199" s="45">
        <f>+E199+H199+K199+Q199+T199+W199+Z199+AC199+AF199+AI199+AL199+AO199+AR199+AU199+AX199+BA199+BD199+BG199+BJ199+BM199+BP199</f>
        <v>0</v>
      </c>
    </row>
    <row r="200" ht="11.25" customHeight="1" spans="1:69" x14ac:dyDescent="0.25">
      <c r="A200" s="18">
        <v>421560000</v>
      </c>
      <c r="B200" s="18" t="s">
        <v>429</v>
      </c>
      <c r="C200" s="38">
        <f>IFERROR(VLOOKUP("1_"&amp;A200,SyS!$B:$P,10,FALSE()),0)</f>
        <v>0</v>
      </c>
      <c r="D200" s="39">
        <f>IFERROR(VLOOKUP("1_"&amp;A200,SyS!$B:$P,12,FALSE()),0)</f>
        <v>0</v>
      </c>
      <c r="E200" s="39">
        <f>+C200-D200</f>
        <v>0</v>
      </c>
      <c r="F200" s="38">
        <f>IFERROR(VLOOKUP("2_"&amp;A200,SyS!$B:$P,10,FALSE()),0)</f>
        <v>0</v>
      </c>
      <c r="G200" s="39">
        <f>IFERROR(VLOOKUP("2_"&amp;A200,SyS!$B:$P,12,FALSE()),0)</f>
        <v>0</v>
      </c>
      <c r="H200" s="40">
        <f>+F200-G200</f>
        <v>0</v>
      </c>
      <c r="I200" s="39"/>
      <c r="J200" s="39"/>
      <c r="K200" s="39"/>
      <c r="L200" s="39"/>
      <c r="M200" s="39"/>
      <c r="N200" s="39"/>
      <c r="O200" s="38">
        <f>IFERROR(VLOOKUP("14_"&amp;A200,SyS!$B:$P,10,FALSE()),0)</f>
        <v>0</v>
      </c>
      <c r="P200" s="39">
        <f>IFERROR(VLOOKUP("14_"&amp;A200,SyS!$B:$P,12,FALSE()),0)</f>
        <v>0</v>
      </c>
      <c r="Q200" s="40">
        <f>+O200-P200</f>
        <v>0</v>
      </c>
      <c r="R200" s="38">
        <f>IFERROR(VLOOKUP("15_"&amp;A200,SyS!$B:$P,10,FALSE()),0)</f>
        <v>0</v>
      </c>
      <c r="S200" s="39">
        <f>IFERROR(VLOOKUP("15_"&amp;A200,SyS!$B:$P,12,FALSE()),0)</f>
        <v>0</v>
      </c>
      <c r="T200" s="40">
        <f>+R200-S200</f>
        <v>0</v>
      </c>
      <c r="U200" s="38">
        <f>IFERROR(VLOOKUP("16_"&amp;A200,SyS!$B:$P,10,FALSE()),0)</f>
        <v>0</v>
      </c>
      <c r="V200" s="39">
        <f>IFERROR(VLOOKUP("16_"&amp;A200,SyS!$B:$P,12,FALSE()),0)</f>
        <v>0</v>
      </c>
      <c r="W200" s="40">
        <f>+U200-V200</f>
        <v>0</v>
      </c>
      <c r="X200" s="38">
        <f>IFERROR(VLOOKUP("13_"&amp;A200,SyS!$B:$P,10,FALSE()),0)</f>
        <v>0</v>
      </c>
      <c r="Y200" s="39">
        <f>IFERROR(VLOOKUP("13_"&amp;A200,SyS!$B:$P,12,FALSE()),0)</f>
        <v>0</v>
      </c>
      <c r="Z200" s="40">
        <f>+X200-Y200</f>
        <v>0</v>
      </c>
      <c r="AA200" s="38">
        <f>IFERROR(VLOOKUP("17_"&amp;A200,SyS!$B:$P,10,FALSE()),0)</f>
        <v>0</v>
      </c>
      <c r="AB200" s="39">
        <f>IFERROR(VLOOKUP("17_"&amp;A200,SyS!$B:$P,12,FALSE()),0)</f>
        <v>0</v>
      </c>
      <c r="AC200" s="40">
        <f>+AA200-AB200</f>
        <v>0</v>
      </c>
      <c r="AD200" s="39"/>
      <c r="AE200" s="39"/>
      <c r="AF200" s="39"/>
      <c r="AG200" s="39">
        <f>IFERROR(VLOOKUP("19_"&amp;A200,SyS!$B:$P,10,FALSE()),0)</f>
        <v>0</v>
      </c>
      <c r="AH200" s="39">
        <f>IFERROR(VLOOKUP("19_"&amp;A200,SyS!$B:$P,12,FALSE()),0)</f>
        <v>0</v>
      </c>
      <c r="AI200" s="39">
        <f>+AG200-AH200</f>
        <v>0</v>
      </c>
      <c r="AJ200" s="39"/>
      <c r="AK200" s="39"/>
      <c r="AL200" s="39"/>
      <c r="AM200" s="38">
        <f>IFERROR(VLOOKUP("23_"&amp;A200,SyS!$B:$P,10,FALSE()),0)</f>
        <v>0</v>
      </c>
      <c r="AN200" s="39">
        <f>IFERROR(VLOOKUP("23_"&amp;A200,SyS!$B:$P,12,FALSE()),0)</f>
        <v>0</v>
      </c>
      <c r="AO200" s="40">
        <f>+AM200-AN200</f>
        <v>0</v>
      </c>
      <c r="AP200" s="39"/>
      <c r="AQ200" s="39"/>
      <c r="AR200" s="39"/>
      <c r="AS200" s="39"/>
      <c r="AT200" s="39"/>
      <c r="AU200" s="39"/>
      <c r="AV200" s="39"/>
      <c r="AW200" s="39"/>
      <c r="AX200" s="39"/>
      <c r="AY200" s="39"/>
      <c r="AZ200" s="39"/>
      <c r="BA200" s="39"/>
      <c r="BB200" s="39"/>
      <c r="BC200" s="39"/>
      <c r="BD200" s="39"/>
      <c r="BE200" s="39"/>
      <c r="BF200" s="39"/>
      <c r="BG200" s="39"/>
      <c r="BH200" s="39"/>
      <c r="BI200" s="39"/>
      <c r="BJ200" s="39"/>
      <c r="BK200" s="39">
        <f>IFERROR(VLOOKUP("29_"&amp;A200,SyS!$B:$P,10,FALSE()),0)</f>
        <v>0</v>
      </c>
      <c r="BL200" s="39">
        <f>IFERROR(VLOOKUP("29_"&amp;A200,SyS!$B:$P,12,FALSE()),0)</f>
        <v>0</v>
      </c>
      <c r="BM200" s="39">
        <f>+BK200-BL200</f>
        <v>0</v>
      </c>
      <c r="BN200" s="38">
        <f>IFERROR(VLOOKUP("30_"&amp;A200,SyS!$B:$P,10,FALSE()),0)</f>
        <v>0</v>
      </c>
      <c r="BO200" s="39">
        <f>IFERROR(VLOOKUP("30_"&amp;A200,SyS!$B:$P,12,FALSE()),0)</f>
        <v>0</v>
      </c>
      <c r="BP200" s="40">
        <f>+BN200-BO200</f>
        <v>0</v>
      </c>
      <c r="BQ200" s="45">
        <f>+E200+H200+K200+Q200+T200+W200+Z200+AC200+AF200+AI200+AL200+AO200+AR200+AU200+AX200+BA200+BD200+BG200+BJ200+BM200+BP200</f>
        <v>0</v>
      </c>
    </row>
    <row r="201" ht="11.25" customHeight="1" spans="1:69" x14ac:dyDescent="0.25">
      <c r="A201" s="18">
        <v>421990000</v>
      </c>
      <c r="B201" s="18" t="s">
        <v>430</v>
      </c>
      <c r="C201" s="38">
        <f>IFERROR(VLOOKUP("1_"&amp;A201,SyS!$B:$P,10,FALSE()),0)</f>
        <v>0</v>
      </c>
      <c r="D201" s="39">
        <f>IFERROR(VLOOKUP("1_"&amp;A201,SyS!$B:$P,12,FALSE()),0)</f>
        <v>0</v>
      </c>
      <c r="E201" s="39">
        <f>+C201-D201</f>
        <v>0</v>
      </c>
      <c r="F201" s="38">
        <f>IFERROR(VLOOKUP("2_"&amp;A201,SyS!$B:$P,10,FALSE()),0)</f>
        <v>0</v>
      </c>
      <c r="G201" s="39">
        <f>IFERROR(VLOOKUP("2_"&amp;A201,SyS!$B:$P,12,FALSE()),0)</f>
        <v>0</v>
      </c>
      <c r="H201" s="40">
        <f>+F201-G201</f>
        <v>0</v>
      </c>
      <c r="I201" s="39"/>
      <c r="J201" s="39"/>
      <c r="K201" s="39"/>
      <c r="L201" s="39"/>
      <c r="M201" s="39"/>
      <c r="N201" s="39"/>
      <c r="O201" s="38">
        <f>IFERROR(VLOOKUP("14_"&amp;A201,SyS!$B:$P,10,FALSE()),0)</f>
        <v>0</v>
      </c>
      <c r="P201" s="39">
        <f>IFERROR(VLOOKUP("14_"&amp;A201,SyS!$B:$P,12,FALSE()),0)</f>
        <v>0</v>
      </c>
      <c r="Q201" s="40">
        <f>+O201-P201</f>
        <v>0</v>
      </c>
      <c r="R201" s="38">
        <f>IFERROR(VLOOKUP("15_"&amp;A201,SyS!$B:$P,10,FALSE()),0)</f>
        <v>0</v>
      </c>
      <c r="S201" s="39">
        <f>IFERROR(VLOOKUP("15_"&amp;A201,SyS!$B:$P,12,FALSE()),0)</f>
        <v>0</v>
      </c>
      <c r="T201" s="40">
        <f>+R201-S201</f>
        <v>0</v>
      </c>
      <c r="U201" s="38">
        <f>IFERROR(VLOOKUP("16_"&amp;A201,SyS!$B:$P,10,FALSE()),0)</f>
        <v>0</v>
      </c>
      <c r="V201" s="39">
        <f>IFERROR(VLOOKUP("16_"&amp;A201,SyS!$B:$P,12,FALSE()),0)</f>
        <v>0</v>
      </c>
      <c r="W201" s="40">
        <f>+U201-V201</f>
        <v>0</v>
      </c>
      <c r="X201" s="38">
        <f>IFERROR(VLOOKUP("13_"&amp;A201,SyS!$B:$P,10,FALSE()),0)</f>
        <v>0</v>
      </c>
      <c r="Y201" s="39">
        <f>IFERROR(VLOOKUP("13_"&amp;A201,SyS!$B:$P,12,FALSE()),0)</f>
        <v>0</v>
      </c>
      <c r="Z201" s="40">
        <f>+X201-Y201</f>
        <v>0</v>
      </c>
      <c r="AA201" s="38">
        <f>IFERROR(VLOOKUP("17_"&amp;A201,SyS!$B:$P,10,FALSE()),0)</f>
        <v>0</v>
      </c>
      <c r="AB201" s="39">
        <f>IFERROR(VLOOKUP("17_"&amp;A201,SyS!$B:$P,12,FALSE()),0)</f>
        <v>0</v>
      </c>
      <c r="AC201" s="40">
        <f>+AA201-AB201</f>
        <v>0</v>
      </c>
      <c r="AD201" s="39"/>
      <c r="AE201" s="39"/>
      <c r="AF201" s="39"/>
      <c r="AG201" s="39">
        <f>IFERROR(VLOOKUP("19_"&amp;A201,SyS!$B:$P,10,FALSE()),0)</f>
        <v>0</v>
      </c>
      <c r="AH201" s="39">
        <f>IFERROR(VLOOKUP("19_"&amp;A201,SyS!$B:$P,12,FALSE()),0)</f>
        <v>0</v>
      </c>
      <c r="AI201" s="39">
        <f>+AG201-AH201</f>
        <v>0</v>
      </c>
      <c r="AJ201" s="39"/>
      <c r="AK201" s="39"/>
      <c r="AL201" s="39"/>
      <c r="AM201" s="38">
        <f>IFERROR(VLOOKUP("23_"&amp;A201,SyS!$B:$P,10,FALSE()),0)</f>
        <v>0</v>
      </c>
      <c r="AN201" s="39">
        <f>IFERROR(VLOOKUP("23_"&amp;A201,SyS!$B:$P,12,FALSE()),0)</f>
        <v>0</v>
      </c>
      <c r="AO201" s="40">
        <f>+AM201-AN201</f>
        <v>0</v>
      </c>
      <c r="AP201" s="39"/>
      <c r="AQ201" s="39"/>
      <c r="AR201" s="39"/>
      <c r="AS201" s="39"/>
      <c r="AT201" s="39"/>
      <c r="AU201" s="39"/>
      <c r="AV201" s="39"/>
      <c r="AW201" s="39"/>
      <c r="AX201" s="39"/>
      <c r="AY201" s="39"/>
      <c r="AZ201" s="39"/>
      <c r="BA201" s="39"/>
      <c r="BB201" s="39"/>
      <c r="BC201" s="39"/>
      <c r="BD201" s="39"/>
      <c r="BE201" s="39"/>
      <c r="BF201" s="39"/>
      <c r="BG201" s="39"/>
      <c r="BH201" s="39"/>
      <c r="BI201" s="39"/>
      <c r="BJ201" s="39"/>
      <c r="BK201" s="39">
        <f>IFERROR(VLOOKUP("29_"&amp;A201,SyS!$B:$P,10,FALSE()),0)</f>
        <v>0</v>
      </c>
      <c r="BL201" s="39">
        <f>IFERROR(VLOOKUP("29_"&amp;A201,SyS!$B:$P,12,FALSE()),0)</f>
        <v>0</v>
      </c>
      <c r="BM201" s="39">
        <f>+BK201-BL201</f>
        <v>0</v>
      </c>
      <c r="BN201" s="38">
        <f>IFERROR(VLOOKUP("30_"&amp;A201,SyS!$B:$P,10,FALSE()),0)</f>
        <v>0</v>
      </c>
      <c r="BO201" s="39">
        <f>IFERROR(VLOOKUP("30_"&amp;A201,SyS!$B:$P,12,FALSE()),0)</f>
        <v>0</v>
      </c>
      <c r="BP201" s="40">
        <f>+BN201-BO201</f>
        <v>0</v>
      </c>
      <c r="BQ201" s="45">
        <f>+E201+H201+K201+Q201+T201+W201+Z201+AC201+AF201+AI201+AL201+AO201+AR201+AU201+AX201+BA201+BD201+BG201+BJ201+BM201+BP201</f>
        <v>0</v>
      </c>
    </row>
    <row r="202" ht="11.25" customHeight="1" spans="1:69" x14ac:dyDescent="0.25">
      <c r="A202" s="18">
        <v>421610000</v>
      </c>
      <c r="B202" s="18" t="s">
        <v>431</v>
      </c>
      <c r="C202" s="38">
        <f>IFERROR(VLOOKUP("1_"&amp;A202,SyS!$B:$P,10,FALSE()),0)</f>
        <v>0</v>
      </c>
      <c r="D202" s="39">
        <f>IFERROR(VLOOKUP("1_"&amp;A202,SyS!$B:$P,12,FALSE()),0)</f>
        <v>0</v>
      </c>
      <c r="E202" s="39">
        <f>+C202-D202</f>
        <v>0</v>
      </c>
      <c r="F202" s="38">
        <f>IFERROR(VLOOKUP("2_"&amp;A202,SyS!$B:$P,10,FALSE()),0)</f>
        <v>0</v>
      </c>
      <c r="G202" s="39">
        <f>IFERROR(VLOOKUP("2_"&amp;A202,SyS!$B:$P,12,FALSE()),0)</f>
        <v>0</v>
      </c>
      <c r="H202" s="40">
        <f>+F202-G202</f>
        <v>0</v>
      </c>
      <c r="I202" s="39"/>
      <c r="J202" s="39"/>
      <c r="K202" s="39"/>
      <c r="L202" s="39"/>
      <c r="M202" s="39"/>
      <c r="N202" s="39"/>
      <c r="O202" s="38">
        <f>IFERROR(VLOOKUP("14_"&amp;A202,SyS!$B:$P,10,FALSE()),0)</f>
        <v>0</v>
      </c>
      <c r="P202" s="39">
        <f>IFERROR(VLOOKUP("14_"&amp;A202,SyS!$B:$P,12,FALSE()),0)</f>
        <v>0</v>
      </c>
      <c r="Q202" s="40">
        <f>+O202-P202</f>
        <v>0</v>
      </c>
      <c r="R202" s="38">
        <f>IFERROR(VLOOKUP("15_"&amp;A202,SyS!$B:$P,10,FALSE()),0)</f>
        <v>0</v>
      </c>
      <c r="S202" s="39">
        <f>IFERROR(VLOOKUP("15_"&amp;A202,SyS!$B:$P,12,FALSE()),0)</f>
        <v>0</v>
      </c>
      <c r="T202" s="40">
        <f>+R202-S202</f>
        <v>0</v>
      </c>
      <c r="U202" s="38">
        <f>IFERROR(VLOOKUP("16_"&amp;A202,SyS!$B:$P,10,FALSE()),0)</f>
        <v>0</v>
      </c>
      <c r="V202" s="39">
        <f>IFERROR(VLOOKUP("16_"&amp;A202,SyS!$B:$P,12,FALSE()),0)</f>
        <v>0</v>
      </c>
      <c r="W202" s="40">
        <f>+U202-V202</f>
        <v>0</v>
      </c>
      <c r="X202" s="38">
        <f>IFERROR(VLOOKUP("13_"&amp;A202,SyS!$B:$P,10,FALSE()),0)</f>
        <v>0</v>
      </c>
      <c r="Y202" s="39">
        <f>IFERROR(VLOOKUP("13_"&amp;A202,SyS!$B:$P,12,FALSE()),0)</f>
        <v>0</v>
      </c>
      <c r="Z202" s="40">
        <f>+X202-Y202</f>
        <v>0</v>
      </c>
      <c r="AA202" s="38">
        <f>IFERROR(VLOOKUP("17_"&amp;A202,SyS!$B:$P,10,FALSE()),0)</f>
        <v>0</v>
      </c>
      <c r="AB202" s="39">
        <f>IFERROR(VLOOKUP("17_"&amp;A202,SyS!$B:$P,12,FALSE()),0)</f>
        <v>0</v>
      </c>
      <c r="AC202" s="40">
        <f>+AA202-AB202</f>
        <v>0</v>
      </c>
      <c r="AD202" s="39"/>
      <c r="AE202" s="39"/>
      <c r="AF202" s="39"/>
      <c r="AG202" s="39">
        <f>IFERROR(VLOOKUP("19_"&amp;A202,SyS!$B:$P,10,FALSE()),0)</f>
        <v>0</v>
      </c>
      <c r="AH202" s="39">
        <f>IFERROR(VLOOKUP("19_"&amp;A202,SyS!$B:$P,12,FALSE()),0)</f>
        <v>0</v>
      </c>
      <c r="AI202" s="39">
        <f>+AG202-AH202</f>
        <v>0</v>
      </c>
      <c r="AJ202" s="39"/>
      <c r="AK202" s="39"/>
      <c r="AL202" s="39"/>
      <c r="AM202" s="38">
        <f>IFERROR(VLOOKUP("23_"&amp;A202,SyS!$B:$P,10,FALSE()),0)</f>
        <v>0</v>
      </c>
      <c r="AN202" s="39">
        <f>IFERROR(VLOOKUP("23_"&amp;A202,SyS!$B:$P,12,FALSE()),0)</f>
        <v>0</v>
      </c>
      <c r="AO202" s="40">
        <f>+AM202-AN202</f>
        <v>0</v>
      </c>
      <c r="AP202" s="39"/>
      <c r="AQ202" s="39"/>
      <c r="AR202" s="39"/>
      <c r="AS202" s="39"/>
      <c r="AT202" s="39"/>
      <c r="AU202" s="39"/>
      <c r="AV202" s="39"/>
      <c r="AW202" s="39"/>
      <c r="AX202" s="39"/>
      <c r="AY202" s="39"/>
      <c r="AZ202" s="39"/>
      <c r="BA202" s="39"/>
      <c r="BB202" s="39"/>
      <c r="BC202" s="39"/>
      <c r="BD202" s="39"/>
      <c r="BE202" s="39"/>
      <c r="BF202" s="39"/>
      <c r="BG202" s="39"/>
      <c r="BH202" s="39"/>
      <c r="BI202" s="39"/>
      <c r="BJ202" s="39"/>
      <c r="BK202" s="39">
        <f>IFERROR(VLOOKUP("29_"&amp;A202,SyS!$B:$P,10,FALSE()),0)</f>
        <v>0</v>
      </c>
      <c r="BL202" s="39">
        <f>IFERROR(VLOOKUP("29_"&amp;A202,SyS!$B:$P,12,FALSE()),0)</f>
        <v>0</v>
      </c>
      <c r="BM202" s="39">
        <f>+BK202-BL202</f>
        <v>0</v>
      </c>
      <c r="BN202" s="38">
        <f>IFERROR(VLOOKUP("30_"&amp;A202,SyS!$B:$P,10,FALSE()),0)</f>
        <v>0</v>
      </c>
      <c r="BO202" s="39">
        <f>IFERROR(VLOOKUP("30_"&amp;A202,SyS!$B:$P,12,FALSE()),0)</f>
        <v>0</v>
      </c>
      <c r="BP202" s="40">
        <f>+BN202-BO202</f>
        <v>0</v>
      </c>
      <c r="BQ202" s="45">
        <f>+E202+H202+K202+Q202+T202+W202+Z202+AC202+AF202+AI202+AL202+AO202+AR202+AU202+AX202+BA202+BD202+BG202+BJ202+BM202+BP202</f>
        <v>0</v>
      </c>
    </row>
    <row r="203" ht="11.25" customHeight="1" spans="1:69" x14ac:dyDescent="0.25">
      <c r="A203" s="18">
        <v>431070000</v>
      </c>
      <c r="B203" s="18" t="s">
        <v>432</v>
      </c>
      <c r="C203" s="38">
        <f>IFERROR(VLOOKUP("1_"&amp;A203,SyS!$B:$P,10,FALSE()),0)</f>
        <v>0</v>
      </c>
      <c r="D203" s="39">
        <f>IFERROR(VLOOKUP("1_"&amp;A203,SyS!$B:$P,12,FALSE()),0)</f>
        <v>0</v>
      </c>
      <c r="E203" s="39">
        <f>+C203-D203</f>
        <v>0</v>
      </c>
      <c r="F203" s="38">
        <f>IFERROR(VLOOKUP("2_"&amp;A203,SyS!$B:$P,10,FALSE()),0)</f>
        <v>0</v>
      </c>
      <c r="G203" s="39">
        <f>IFERROR(VLOOKUP("2_"&amp;A203,SyS!$B:$P,12,FALSE()),0)</f>
        <v>0</v>
      </c>
      <c r="H203" s="40">
        <f>+F203-G203</f>
        <v>0</v>
      </c>
      <c r="I203" s="39"/>
      <c r="J203" s="39"/>
      <c r="K203" s="39"/>
      <c r="L203" s="39"/>
      <c r="M203" s="39"/>
      <c r="N203" s="39"/>
      <c r="O203" s="38">
        <f>IFERROR(VLOOKUP("14_"&amp;A203,SyS!$B:$P,10,FALSE()),0)</f>
        <v>0</v>
      </c>
      <c r="P203" s="39">
        <f>IFERROR(VLOOKUP("14_"&amp;A203,SyS!$B:$P,12,FALSE()),0)</f>
        <v>0</v>
      </c>
      <c r="Q203" s="40">
        <f>+O203-P203</f>
        <v>0</v>
      </c>
      <c r="R203" s="38">
        <f>IFERROR(VLOOKUP("15_"&amp;A203,SyS!$B:$P,10,FALSE()),0)</f>
        <v>0</v>
      </c>
      <c r="S203" s="39">
        <f>IFERROR(VLOOKUP("15_"&amp;A203,SyS!$B:$P,12,FALSE()),0)</f>
        <v>0</v>
      </c>
      <c r="T203" s="40">
        <f>+R203-S203</f>
        <v>0</v>
      </c>
      <c r="U203" s="38">
        <f>IFERROR(VLOOKUP("16_"&amp;A203,SyS!$B:$P,10,FALSE()),0)</f>
        <v>0</v>
      </c>
      <c r="V203" s="39">
        <f>IFERROR(VLOOKUP("16_"&amp;A203,SyS!$B:$P,12,FALSE()),0)</f>
        <v>0</v>
      </c>
      <c r="W203" s="40">
        <f>+U203-V203</f>
        <v>0</v>
      </c>
      <c r="X203" s="38">
        <f>IFERROR(VLOOKUP("13_"&amp;A203,SyS!$B:$P,10,FALSE()),0)</f>
        <v>0</v>
      </c>
      <c r="Y203" s="39">
        <f>IFERROR(VLOOKUP("13_"&amp;A203,SyS!$B:$P,12,FALSE()),0)</f>
        <v>0</v>
      </c>
      <c r="Z203" s="40">
        <f>+X203-Y203</f>
        <v>0</v>
      </c>
      <c r="AA203" s="38">
        <f>IFERROR(VLOOKUP("17_"&amp;A203,SyS!$B:$P,10,FALSE()),0)</f>
        <v>0</v>
      </c>
      <c r="AB203" s="39">
        <f>IFERROR(VLOOKUP("17_"&amp;A203,SyS!$B:$P,12,FALSE()),0)</f>
        <v>0</v>
      </c>
      <c r="AC203" s="40">
        <f>+AA203-AB203</f>
        <v>0</v>
      </c>
      <c r="AD203" s="39"/>
      <c r="AE203" s="39"/>
      <c r="AF203" s="39"/>
      <c r="AG203" s="39">
        <f>IFERROR(VLOOKUP("19_"&amp;A203,SyS!$B:$P,10,FALSE()),0)</f>
        <v>0</v>
      </c>
      <c r="AH203" s="39">
        <f>IFERROR(VLOOKUP("19_"&amp;A203,SyS!$B:$P,12,FALSE()),0)</f>
        <v>0</v>
      </c>
      <c r="AI203" s="39">
        <f>+AG203-AH203</f>
        <v>0</v>
      </c>
      <c r="AJ203" s="39"/>
      <c r="AK203" s="39"/>
      <c r="AL203" s="39"/>
      <c r="AM203" s="38">
        <f>IFERROR(VLOOKUP("23_"&amp;A203,SyS!$B:$P,10,FALSE()),0)</f>
        <v>0</v>
      </c>
      <c r="AN203" s="39">
        <f>IFERROR(VLOOKUP("23_"&amp;A203,SyS!$B:$P,12,FALSE()),0)</f>
        <v>0</v>
      </c>
      <c r="AO203" s="40">
        <f>+AM203-AN203</f>
        <v>0</v>
      </c>
      <c r="AP203" s="39"/>
      <c r="AQ203" s="39"/>
      <c r="AR203" s="39"/>
      <c r="AS203" s="39"/>
      <c r="AT203" s="39"/>
      <c r="AU203" s="39"/>
      <c r="AV203" s="39"/>
      <c r="AW203" s="39"/>
      <c r="AX203" s="39"/>
      <c r="AY203" s="39"/>
      <c r="AZ203" s="39"/>
      <c r="BA203" s="39"/>
      <c r="BB203" s="39"/>
      <c r="BC203" s="39"/>
      <c r="BD203" s="39"/>
      <c r="BE203" s="39"/>
      <c r="BF203" s="39"/>
      <c r="BG203" s="39"/>
      <c r="BH203" s="39"/>
      <c r="BI203" s="39"/>
      <c r="BJ203" s="39"/>
      <c r="BK203" s="39">
        <f>IFERROR(VLOOKUP("29_"&amp;A203,SyS!$B:$P,10,FALSE()),0)</f>
        <v>0</v>
      </c>
      <c r="BL203" s="39">
        <f>IFERROR(VLOOKUP("29_"&amp;A203,SyS!$B:$P,12,FALSE()),0)</f>
        <v>0</v>
      </c>
      <c r="BM203" s="39">
        <f>+BK203-BL203</f>
        <v>0</v>
      </c>
      <c r="BN203" s="38">
        <f>IFERROR(VLOOKUP("30_"&amp;A203,SyS!$B:$P,10,FALSE()),0)</f>
        <v>0</v>
      </c>
      <c r="BO203" s="39">
        <f>IFERROR(VLOOKUP("30_"&amp;A203,SyS!$B:$P,12,FALSE()),0)</f>
        <v>0</v>
      </c>
      <c r="BP203" s="40">
        <f>+BN203-BO203</f>
        <v>0</v>
      </c>
      <c r="BQ203" s="45">
        <f>+E203+H203+K203+Q203+T203+W203+Z203+AC203+AF203+AI203+AL203+AO203+AR203+AU203+AX203+BA203+BD203+BG203+BJ203+BM203+BP203</f>
        <v>0</v>
      </c>
    </row>
    <row r="204" ht="11.25" customHeight="1" spans="1:69" x14ac:dyDescent="0.25">
      <c r="A204" s="18">
        <v>421710000</v>
      </c>
      <c r="B204" s="18" t="s">
        <v>433</v>
      </c>
      <c r="C204" s="38">
        <f>IFERROR(VLOOKUP("1_"&amp;A204,SyS!$B:$P,10,FALSE()),0)</f>
        <v>0</v>
      </c>
      <c r="D204" s="39">
        <f>IFERROR(VLOOKUP("1_"&amp;A204,SyS!$B:$P,12,FALSE()),0)</f>
        <v>0</v>
      </c>
      <c r="E204" s="39">
        <f>+C204-D204</f>
        <v>0</v>
      </c>
      <c r="F204" s="38">
        <f>IFERROR(VLOOKUP("2_"&amp;A204,SyS!$B:$P,10,FALSE()),0)</f>
        <v>0</v>
      </c>
      <c r="G204" s="39">
        <f>IFERROR(VLOOKUP("2_"&amp;A204,SyS!$B:$P,12,FALSE()),0)</f>
        <v>0</v>
      </c>
      <c r="H204" s="40">
        <f>+F204-G204</f>
        <v>0</v>
      </c>
      <c r="I204" s="39"/>
      <c r="J204" s="39"/>
      <c r="K204" s="39"/>
      <c r="L204" s="39"/>
      <c r="M204" s="39"/>
      <c r="N204" s="39"/>
      <c r="O204" s="38">
        <f>IFERROR(VLOOKUP("14_"&amp;A204,SyS!$B:$P,10,FALSE()),0)</f>
        <v>0</v>
      </c>
      <c r="P204" s="39">
        <f>IFERROR(VLOOKUP("14_"&amp;A204,SyS!$B:$P,12,FALSE()),0)</f>
        <v>0</v>
      </c>
      <c r="Q204" s="40">
        <f>+O204-P204</f>
        <v>0</v>
      </c>
      <c r="R204" s="38">
        <f>IFERROR(VLOOKUP("15_"&amp;A204,SyS!$B:$P,10,FALSE()),0)</f>
        <v>0</v>
      </c>
      <c r="S204" s="39">
        <f>IFERROR(VLOOKUP("15_"&amp;A204,SyS!$B:$P,12,FALSE()),0)</f>
        <v>0</v>
      </c>
      <c r="T204" s="40">
        <f>+R204-S204</f>
        <v>0</v>
      </c>
      <c r="U204" s="38">
        <f>IFERROR(VLOOKUP("16_"&amp;A204,SyS!$B:$P,10,FALSE()),0)</f>
        <v>0</v>
      </c>
      <c r="V204" s="39">
        <f>IFERROR(VLOOKUP("16_"&amp;A204,SyS!$B:$P,12,FALSE()),0)</f>
        <v>0</v>
      </c>
      <c r="W204" s="40">
        <f>+U204-V204</f>
        <v>0</v>
      </c>
      <c r="X204" s="38">
        <f>IFERROR(VLOOKUP("13_"&amp;A204,SyS!$B:$P,10,FALSE()),0)</f>
        <v>0</v>
      </c>
      <c r="Y204" s="39">
        <f>IFERROR(VLOOKUP("13_"&amp;A204,SyS!$B:$P,12,FALSE()),0)</f>
        <v>0</v>
      </c>
      <c r="Z204" s="40">
        <f>+X204-Y204</f>
        <v>0</v>
      </c>
      <c r="AA204" s="38">
        <f>IFERROR(VLOOKUP("17_"&amp;A204,SyS!$B:$P,10,FALSE()),0)</f>
        <v>0</v>
      </c>
      <c r="AB204" s="39">
        <f>IFERROR(VLOOKUP("17_"&amp;A204,SyS!$B:$P,12,FALSE()),0)</f>
        <v>0</v>
      </c>
      <c r="AC204" s="40">
        <f>+AA204-AB204</f>
        <v>0</v>
      </c>
      <c r="AD204" s="39"/>
      <c r="AE204" s="39"/>
      <c r="AF204" s="39"/>
      <c r="AG204" s="39">
        <f>IFERROR(VLOOKUP("19_"&amp;A204,SyS!$B:$P,10,FALSE()),0)</f>
        <v>0</v>
      </c>
      <c r="AH204" s="39">
        <f>IFERROR(VLOOKUP("19_"&amp;A204,SyS!$B:$P,12,FALSE()),0)</f>
        <v>0</v>
      </c>
      <c r="AI204" s="39">
        <f>+AG204-AH204</f>
        <v>0</v>
      </c>
      <c r="AJ204" s="39"/>
      <c r="AK204" s="39"/>
      <c r="AL204" s="39"/>
      <c r="AM204" s="38">
        <f>IFERROR(VLOOKUP("23_"&amp;A204,SyS!$B:$P,10,FALSE()),0)</f>
        <v>0</v>
      </c>
      <c r="AN204" s="39">
        <f>IFERROR(VLOOKUP("23_"&amp;A204,SyS!$B:$P,12,FALSE()),0)</f>
        <v>0</v>
      </c>
      <c r="AO204" s="40">
        <f>+AM204-AN204</f>
        <v>0</v>
      </c>
      <c r="AP204" s="39"/>
      <c r="AQ204" s="39"/>
      <c r="AR204" s="39"/>
      <c r="AS204" s="39"/>
      <c r="AT204" s="39"/>
      <c r="AU204" s="39"/>
      <c r="AV204" s="39"/>
      <c r="AW204" s="39"/>
      <c r="AX204" s="39"/>
      <c r="AY204" s="39"/>
      <c r="AZ204" s="39"/>
      <c r="BA204" s="39"/>
      <c r="BB204" s="39"/>
      <c r="BC204" s="39"/>
      <c r="BD204" s="39"/>
      <c r="BE204" s="39"/>
      <c r="BF204" s="39"/>
      <c r="BG204" s="39"/>
      <c r="BH204" s="39"/>
      <c r="BI204" s="39"/>
      <c r="BJ204" s="39"/>
      <c r="BK204" s="39">
        <f>IFERROR(VLOOKUP("29_"&amp;A204,SyS!$B:$P,10,FALSE()),0)</f>
        <v>0</v>
      </c>
      <c r="BL204" s="39">
        <f>IFERROR(VLOOKUP("29_"&amp;A204,SyS!$B:$P,12,FALSE()),0)</f>
        <v>0</v>
      </c>
      <c r="BM204" s="39">
        <f>+BK204-BL204</f>
        <v>0</v>
      </c>
      <c r="BN204" s="38">
        <f>IFERROR(VLOOKUP("30_"&amp;A204,SyS!$B:$P,10,FALSE()),0)</f>
        <v>0</v>
      </c>
      <c r="BO204" s="39">
        <f>IFERROR(VLOOKUP("30_"&amp;A204,SyS!$B:$P,12,FALSE()),0)</f>
        <v>0</v>
      </c>
      <c r="BP204" s="40">
        <f>+BN204-BO204</f>
        <v>0</v>
      </c>
      <c r="BQ204" s="45">
        <f>+E204+H204+K204+Q204+T204+W204+Z204+AC204+AF204+AI204+AL204+AO204+AR204+AU204+AX204+BA204+BD204+BG204+BJ204+BM204+BP204</f>
        <v>0</v>
      </c>
    </row>
    <row r="205" ht="11.25" customHeight="1" spans="1:69" x14ac:dyDescent="0.25">
      <c r="A205" s="18">
        <v>433060000</v>
      </c>
      <c r="B205" s="18" t="s">
        <v>434</v>
      </c>
      <c r="C205" s="38">
        <f>IFERROR(VLOOKUP("1_"&amp;A205,SyS!$B:$P,10,FALSE()),0)</f>
        <v>0</v>
      </c>
      <c r="D205" s="39">
        <f>IFERROR(VLOOKUP("1_"&amp;A205,SyS!$B:$P,12,FALSE()),0)</f>
        <v>0</v>
      </c>
      <c r="E205" s="39">
        <f>+C205-D205</f>
        <v>0</v>
      </c>
      <c r="F205" s="38">
        <f>IFERROR(VLOOKUP("2_"&amp;A205,SyS!$B:$P,10,FALSE()),0)</f>
        <v>0</v>
      </c>
      <c r="G205" s="39">
        <f>IFERROR(VLOOKUP("2_"&amp;A205,SyS!$B:$P,12,FALSE()),0)</f>
        <v>0</v>
      </c>
      <c r="H205" s="40">
        <f>+F205-G205</f>
        <v>0</v>
      </c>
      <c r="I205" s="39"/>
      <c r="J205" s="39"/>
      <c r="K205" s="39"/>
      <c r="L205" s="39"/>
      <c r="M205" s="39"/>
      <c r="N205" s="39"/>
      <c r="O205" s="38">
        <f>IFERROR(VLOOKUP("14_"&amp;A205,SyS!$B:$P,10,FALSE()),0)</f>
        <v>0</v>
      </c>
      <c r="P205" s="39">
        <f>IFERROR(VLOOKUP("14_"&amp;A205,SyS!$B:$P,12,FALSE()),0)</f>
        <v>0</v>
      </c>
      <c r="Q205" s="40">
        <f>+O205-P205</f>
        <v>0</v>
      </c>
      <c r="R205" s="38">
        <f>IFERROR(VLOOKUP("15_"&amp;A205,SyS!$B:$P,10,FALSE()),0)</f>
        <v>0</v>
      </c>
      <c r="S205" s="39">
        <f>IFERROR(VLOOKUP("15_"&amp;A205,SyS!$B:$P,12,FALSE()),0)</f>
        <v>0</v>
      </c>
      <c r="T205" s="40">
        <f>+R205-S205</f>
        <v>0</v>
      </c>
      <c r="U205" s="38">
        <f>IFERROR(VLOOKUP("16_"&amp;A205,SyS!$B:$P,10,FALSE()),0)</f>
        <v>0</v>
      </c>
      <c r="V205" s="39">
        <f>IFERROR(VLOOKUP("16_"&amp;A205,SyS!$B:$P,12,FALSE()),0)</f>
        <v>0</v>
      </c>
      <c r="W205" s="40">
        <f>+U205-V205</f>
        <v>0</v>
      </c>
      <c r="X205" s="38">
        <f>IFERROR(VLOOKUP("13_"&amp;A205,SyS!$B:$P,10,FALSE()),0)</f>
        <v>0</v>
      </c>
      <c r="Y205" s="39">
        <f>IFERROR(VLOOKUP("13_"&amp;A205,SyS!$B:$P,12,FALSE()),0)</f>
        <v>0</v>
      </c>
      <c r="Z205" s="40">
        <f>+X205-Y205</f>
        <v>0</v>
      </c>
      <c r="AA205" s="38">
        <f>IFERROR(VLOOKUP("17_"&amp;A205,SyS!$B:$P,10,FALSE()),0)</f>
        <v>0</v>
      </c>
      <c r="AB205" s="39">
        <f>IFERROR(VLOOKUP("17_"&amp;A205,SyS!$B:$P,12,FALSE()),0)</f>
        <v>0</v>
      </c>
      <c r="AC205" s="40">
        <f>+AA205-AB205</f>
        <v>0</v>
      </c>
      <c r="AD205" s="39"/>
      <c r="AE205" s="39"/>
      <c r="AF205" s="39"/>
      <c r="AG205" s="39">
        <f>IFERROR(VLOOKUP("19_"&amp;A205,SyS!$B:$P,10,FALSE()),0)</f>
        <v>0</v>
      </c>
      <c r="AH205" s="39">
        <f>IFERROR(VLOOKUP("19_"&amp;A205,SyS!$B:$P,12,FALSE()),0)</f>
        <v>0</v>
      </c>
      <c r="AI205" s="39">
        <f>+AG205-AH205</f>
        <v>0</v>
      </c>
      <c r="AJ205" s="39"/>
      <c r="AK205" s="39"/>
      <c r="AL205" s="39"/>
      <c r="AM205" s="38">
        <f>IFERROR(VLOOKUP("23_"&amp;A205,SyS!$B:$P,10,FALSE()),0)</f>
        <v>0</v>
      </c>
      <c r="AN205" s="39">
        <f>IFERROR(VLOOKUP("23_"&amp;A205,SyS!$B:$P,12,FALSE()),0)</f>
        <v>0</v>
      </c>
      <c r="AO205" s="40">
        <f>+AM205-AN205</f>
        <v>0</v>
      </c>
      <c r="AP205" s="39"/>
      <c r="AQ205" s="39"/>
      <c r="AR205" s="39"/>
      <c r="AS205" s="39"/>
      <c r="AT205" s="39"/>
      <c r="AU205" s="39"/>
      <c r="AV205" s="39"/>
      <c r="AW205" s="39"/>
      <c r="AX205" s="39"/>
      <c r="AY205" s="39"/>
      <c r="AZ205" s="39"/>
      <c r="BA205" s="39"/>
      <c r="BB205" s="39"/>
      <c r="BC205" s="39"/>
      <c r="BD205" s="39"/>
      <c r="BE205" s="39"/>
      <c r="BF205" s="39"/>
      <c r="BG205" s="39"/>
      <c r="BH205" s="39"/>
      <c r="BI205" s="39"/>
      <c r="BJ205" s="39"/>
      <c r="BK205" s="39">
        <f>IFERROR(VLOOKUP("29_"&amp;A205,SyS!$B:$P,10,FALSE()),0)</f>
        <v>0</v>
      </c>
      <c r="BL205" s="39">
        <f>IFERROR(VLOOKUP("29_"&amp;A205,SyS!$B:$P,12,FALSE()),0)</f>
        <v>0</v>
      </c>
      <c r="BM205" s="39">
        <f>+BK205-BL205</f>
        <v>0</v>
      </c>
      <c r="BN205" s="38">
        <f>IFERROR(VLOOKUP("30_"&amp;A205,SyS!$B:$P,10,FALSE()),0)</f>
        <v>0</v>
      </c>
      <c r="BO205" s="39">
        <f>IFERROR(VLOOKUP("30_"&amp;A205,SyS!$B:$P,12,FALSE()),0)</f>
        <v>0</v>
      </c>
      <c r="BP205" s="40">
        <f>+BN205-BO205</f>
        <v>0</v>
      </c>
      <c r="BQ205" s="45">
        <f>+E205+H205+K205+Q205+T205+W205+Z205+AC205+AF205+AI205+AL205+AO205+AR205+AU205+AX205+BA205+BD205+BG205+BJ205+BM205+BP205</f>
        <v>0</v>
      </c>
    </row>
    <row r="206" ht="11.25" customHeight="1" spans="1:69" x14ac:dyDescent="0.25">
      <c r="A206" s="18">
        <v>431110000</v>
      </c>
      <c r="B206" s="18" t="s">
        <v>435</v>
      </c>
      <c r="C206" s="38">
        <f>IFERROR(VLOOKUP("1_"&amp;A206,SyS!$B:$P,10,FALSE()),0)</f>
        <v>0</v>
      </c>
      <c r="D206" s="39">
        <f>IFERROR(VLOOKUP("1_"&amp;A206,SyS!$B:$P,12,FALSE()),0)</f>
        <v>0</v>
      </c>
      <c r="E206" s="39">
        <f>+C206-D206</f>
        <v>0</v>
      </c>
      <c r="F206" s="38">
        <f>IFERROR(VLOOKUP("2_"&amp;A206,SyS!$B:$P,10,FALSE()),0)</f>
        <v>0</v>
      </c>
      <c r="G206" s="39">
        <f>IFERROR(VLOOKUP("2_"&amp;A206,SyS!$B:$P,12,FALSE()),0)</f>
        <v>0</v>
      </c>
      <c r="H206" s="40">
        <f>+F206-G206</f>
        <v>0</v>
      </c>
      <c r="I206" s="39"/>
      <c r="J206" s="39"/>
      <c r="K206" s="39"/>
      <c r="L206" s="39"/>
      <c r="M206" s="39"/>
      <c r="N206" s="39"/>
      <c r="O206" s="38">
        <f>IFERROR(VLOOKUP("14_"&amp;A206,SyS!$B:$P,10,FALSE()),0)</f>
        <v>0</v>
      </c>
      <c r="P206" s="39">
        <f>IFERROR(VLOOKUP("14_"&amp;A206,SyS!$B:$P,12,FALSE()),0)</f>
        <v>0</v>
      </c>
      <c r="Q206" s="40">
        <f>+O206-P206</f>
        <v>0</v>
      </c>
      <c r="R206" s="38">
        <f>IFERROR(VLOOKUP("15_"&amp;A206,SyS!$B:$P,10,FALSE()),0)</f>
        <v>0</v>
      </c>
      <c r="S206" s="39">
        <f>IFERROR(VLOOKUP("15_"&amp;A206,SyS!$B:$P,12,FALSE()),0)</f>
        <v>0</v>
      </c>
      <c r="T206" s="40">
        <f>+R206-S206</f>
        <v>0</v>
      </c>
      <c r="U206" s="38">
        <f>IFERROR(VLOOKUP("16_"&amp;A206,SyS!$B:$P,10,FALSE()),0)</f>
        <v>0</v>
      </c>
      <c r="V206" s="39">
        <f>IFERROR(VLOOKUP("16_"&amp;A206,SyS!$B:$P,12,FALSE()),0)</f>
        <v>0</v>
      </c>
      <c r="W206" s="40">
        <f>+U206-V206</f>
        <v>0</v>
      </c>
      <c r="X206" s="38">
        <f>IFERROR(VLOOKUP("13_"&amp;A206,SyS!$B:$P,10,FALSE()),0)</f>
        <v>0</v>
      </c>
      <c r="Y206" s="39">
        <f>IFERROR(VLOOKUP("13_"&amp;A206,SyS!$B:$P,12,FALSE()),0)</f>
        <v>0</v>
      </c>
      <c r="Z206" s="40">
        <f>+X206-Y206</f>
        <v>0</v>
      </c>
      <c r="AA206" s="38">
        <f>IFERROR(VLOOKUP("17_"&amp;A206,SyS!$B:$P,10,FALSE()),0)</f>
        <v>0</v>
      </c>
      <c r="AB206" s="39">
        <f>IFERROR(VLOOKUP("17_"&amp;A206,SyS!$B:$P,12,FALSE()),0)</f>
        <v>0</v>
      </c>
      <c r="AC206" s="40">
        <f>+AA206-AB206</f>
        <v>0</v>
      </c>
      <c r="AD206" s="39"/>
      <c r="AE206" s="39"/>
      <c r="AF206" s="39"/>
      <c r="AG206" s="39">
        <f>IFERROR(VLOOKUP("19_"&amp;A206,SyS!$B:$P,10,FALSE()),0)</f>
        <v>0</v>
      </c>
      <c r="AH206" s="39">
        <f>IFERROR(VLOOKUP("19_"&amp;A206,SyS!$B:$P,12,FALSE()),0)</f>
        <v>0</v>
      </c>
      <c r="AI206" s="39">
        <f>+AG206-AH206</f>
        <v>0</v>
      </c>
      <c r="AJ206" s="39"/>
      <c r="AK206" s="39"/>
      <c r="AL206" s="39"/>
      <c r="AM206" s="38">
        <f>IFERROR(VLOOKUP("23_"&amp;A206,SyS!$B:$P,10,FALSE()),0)</f>
        <v>0</v>
      </c>
      <c r="AN206" s="39">
        <f>IFERROR(VLOOKUP("23_"&amp;A206,SyS!$B:$P,12,FALSE()),0)</f>
        <v>0</v>
      </c>
      <c r="AO206" s="40">
        <f>+AM206-AN206</f>
        <v>0</v>
      </c>
      <c r="AP206" s="39"/>
      <c r="AQ206" s="39"/>
      <c r="AR206" s="39"/>
      <c r="AS206" s="39"/>
      <c r="AT206" s="39"/>
      <c r="AU206" s="39"/>
      <c r="AV206" s="39"/>
      <c r="AW206" s="39"/>
      <c r="AX206" s="39"/>
      <c r="AY206" s="39"/>
      <c r="AZ206" s="39"/>
      <c r="BA206" s="39"/>
      <c r="BB206" s="39"/>
      <c r="BC206" s="39"/>
      <c r="BD206" s="39"/>
      <c r="BE206" s="39"/>
      <c r="BF206" s="39"/>
      <c r="BG206" s="39"/>
      <c r="BH206" s="39"/>
      <c r="BI206" s="39"/>
      <c r="BJ206" s="39"/>
      <c r="BK206" s="39">
        <f>IFERROR(VLOOKUP("29_"&amp;A206,SyS!$B:$P,10,FALSE()),0)</f>
        <v>0</v>
      </c>
      <c r="BL206" s="39">
        <f>IFERROR(VLOOKUP("29_"&amp;A206,SyS!$B:$P,12,FALSE()),0)</f>
        <v>0</v>
      </c>
      <c r="BM206" s="39">
        <f>+BK206-BL206</f>
        <v>0</v>
      </c>
      <c r="BN206" s="38">
        <f>IFERROR(VLOOKUP("30_"&amp;A206,SyS!$B:$P,10,FALSE()),0)</f>
        <v>0</v>
      </c>
      <c r="BO206" s="39">
        <f>IFERROR(VLOOKUP("30_"&amp;A206,SyS!$B:$P,12,FALSE()),0)</f>
        <v>0</v>
      </c>
      <c r="BP206" s="40">
        <f>+BN206-BO206</f>
        <v>0</v>
      </c>
      <c r="BQ206" s="45">
        <f>+E206+H206+K206+Q206+T206+W206+Z206+AC206+AF206+AI206+AL206+AO206+AR206+AU206+AX206+BA206+BD206+BG206+BJ206+BM206+BP206</f>
        <v>0</v>
      </c>
    </row>
    <row r="207" ht="11.25" customHeight="1" spans="1:69" x14ac:dyDescent="0.25">
      <c r="A207" s="18">
        <v>431100000</v>
      </c>
      <c r="B207" s="18" t="s">
        <v>436</v>
      </c>
      <c r="C207" s="38">
        <f>IFERROR(VLOOKUP("1_"&amp;A207,SyS!$B:$P,10,FALSE()),0)</f>
        <v>0</v>
      </c>
      <c r="D207" s="39">
        <f>IFERROR(VLOOKUP("1_"&amp;A207,SyS!$B:$P,12,FALSE()),0)</f>
        <v>0</v>
      </c>
      <c r="E207" s="39">
        <f>+C207-D207</f>
        <v>0</v>
      </c>
      <c r="F207" s="38">
        <f>IFERROR(VLOOKUP("2_"&amp;A207,SyS!$B:$P,10,FALSE()),0)</f>
        <v>0</v>
      </c>
      <c r="G207" s="39">
        <f>IFERROR(VLOOKUP("2_"&amp;A207,SyS!$B:$P,12,FALSE()),0)</f>
        <v>0</v>
      </c>
      <c r="H207" s="40">
        <f>+F207-G207</f>
        <v>0</v>
      </c>
      <c r="I207" s="39"/>
      <c r="J207" s="39"/>
      <c r="K207" s="39"/>
      <c r="L207" s="39"/>
      <c r="M207" s="39"/>
      <c r="N207" s="39"/>
      <c r="O207" s="38">
        <f>IFERROR(VLOOKUP("14_"&amp;A207,SyS!$B:$P,10,FALSE()),0)</f>
        <v>0</v>
      </c>
      <c r="P207" s="39">
        <f>IFERROR(VLOOKUP("14_"&amp;A207,SyS!$B:$P,12,FALSE()),0)</f>
        <v>0</v>
      </c>
      <c r="Q207" s="40">
        <f>+O207-P207</f>
        <v>0</v>
      </c>
      <c r="R207" s="38">
        <f>IFERROR(VLOOKUP("15_"&amp;A207,SyS!$B:$P,10,FALSE()),0)</f>
        <v>0</v>
      </c>
      <c r="S207" s="39">
        <f>IFERROR(VLOOKUP("15_"&amp;A207,SyS!$B:$P,12,FALSE()),0)</f>
        <v>0</v>
      </c>
      <c r="T207" s="40">
        <f>+R207-S207</f>
        <v>0</v>
      </c>
      <c r="U207" s="38">
        <f>IFERROR(VLOOKUP("16_"&amp;A207,SyS!$B:$P,10,FALSE()),0)</f>
        <v>0</v>
      </c>
      <c r="V207" s="39">
        <f>IFERROR(VLOOKUP("16_"&amp;A207,SyS!$B:$P,12,FALSE()),0)</f>
        <v>0</v>
      </c>
      <c r="W207" s="40">
        <f>+U207-V207</f>
        <v>0</v>
      </c>
      <c r="X207" s="38">
        <f>IFERROR(VLOOKUP("13_"&amp;A207,SyS!$B:$P,10,FALSE()),0)</f>
        <v>0</v>
      </c>
      <c r="Y207" s="39">
        <f>IFERROR(VLOOKUP("13_"&amp;A207,SyS!$B:$P,12,FALSE()),0)</f>
        <v>0</v>
      </c>
      <c r="Z207" s="40">
        <f>+X207-Y207</f>
        <v>0</v>
      </c>
      <c r="AA207" s="38">
        <f>IFERROR(VLOOKUP("17_"&amp;A207,SyS!$B:$P,10,FALSE()),0)</f>
        <v>0</v>
      </c>
      <c r="AB207" s="39">
        <f>IFERROR(VLOOKUP("17_"&amp;A207,SyS!$B:$P,12,FALSE()),0)</f>
        <v>0</v>
      </c>
      <c r="AC207" s="40">
        <f>+AA207-AB207</f>
        <v>0</v>
      </c>
      <c r="AD207" s="39"/>
      <c r="AE207" s="39"/>
      <c r="AF207" s="39"/>
      <c r="AG207" s="39">
        <f>IFERROR(VLOOKUP("19_"&amp;A207,SyS!$B:$P,10,FALSE()),0)</f>
        <v>0</v>
      </c>
      <c r="AH207" s="39">
        <f>IFERROR(VLOOKUP("19_"&amp;A207,SyS!$B:$P,12,FALSE()),0)</f>
        <v>0</v>
      </c>
      <c r="AI207" s="39">
        <f>+AG207-AH207</f>
        <v>0</v>
      </c>
      <c r="AJ207" s="39"/>
      <c r="AK207" s="39"/>
      <c r="AL207" s="39"/>
      <c r="AM207" s="38">
        <f>IFERROR(VLOOKUP("23_"&amp;A207,SyS!$B:$P,10,FALSE()),0)</f>
        <v>0</v>
      </c>
      <c r="AN207" s="39">
        <f>IFERROR(VLOOKUP("23_"&amp;A207,SyS!$B:$P,12,FALSE()),0)</f>
        <v>0</v>
      </c>
      <c r="AO207" s="40">
        <f>+AM207-AN207</f>
        <v>0</v>
      </c>
      <c r="AP207" s="39"/>
      <c r="AQ207" s="39"/>
      <c r="AR207" s="39"/>
      <c r="AS207" s="39"/>
      <c r="AT207" s="39"/>
      <c r="AU207" s="39"/>
      <c r="AV207" s="39"/>
      <c r="AW207" s="39"/>
      <c r="AX207" s="39"/>
      <c r="AY207" s="39"/>
      <c r="AZ207" s="39"/>
      <c r="BA207" s="39"/>
      <c r="BB207" s="39"/>
      <c r="BC207" s="39"/>
      <c r="BD207" s="39"/>
      <c r="BE207" s="39"/>
      <c r="BF207" s="39"/>
      <c r="BG207" s="39"/>
      <c r="BH207" s="39"/>
      <c r="BI207" s="39"/>
      <c r="BJ207" s="39"/>
      <c r="BK207" s="39">
        <f>IFERROR(VLOOKUP("29_"&amp;A207,SyS!$B:$P,10,FALSE()),0)</f>
        <v>0</v>
      </c>
      <c r="BL207" s="39">
        <f>IFERROR(VLOOKUP("29_"&amp;A207,SyS!$B:$P,12,FALSE()),0)</f>
        <v>0</v>
      </c>
      <c r="BM207" s="39">
        <f>+BK207-BL207</f>
        <v>0</v>
      </c>
      <c r="BN207" s="38">
        <f>IFERROR(VLOOKUP("30_"&amp;A207,SyS!$B:$P,10,FALSE()),0)</f>
        <v>0</v>
      </c>
      <c r="BO207" s="39">
        <f>IFERROR(VLOOKUP("30_"&amp;A207,SyS!$B:$P,12,FALSE()),0)</f>
        <v>0</v>
      </c>
      <c r="BP207" s="40">
        <f>+BN207-BO207</f>
        <v>0</v>
      </c>
      <c r="BQ207" s="45">
        <f>+E207+H207+K207+Q207+T207+W207+Z207+AC207+AF207+AI207+AL207+AO207+AR207+AU207+AX207+BA207+BD207+BG207+BJ207+BM207+BP207</f>
        <v>0</v>
      </c>
    </row>
    <row r="208" ht="12" customHeight="1" spans="1:69" x14ac:dyDescent="0.25">
      <c r="A208" s="18">
        <v>421200000</v>
      </c>
      <c r="B208" s="18" t="s">
        <v>437</v>
      </c>
      <c r="C208" s="38">
        <f>IFERROR(VLOOKUP("1_"&amp;A208,SyS!$B:$P,10,FALSE()),0)</f>
        <v>0</v>
      </c>
      <c r="D208" s="39">
        <f>IFERROR(VLOOKUP("1_"&amp;A208,SyS!$B:$P,12,FALSE()),0)</f>
        <v>0</v>
      </c>
      <c r="E208" s="39">
        <f>+C208-D208</f>
        <v>0</v>
      </c>
      <c r="F208" s="38">
        <f>IFERROR(VLOOKUP("2_"&amp;A208,SyS!$B:$P,10,FALSE()),0)</f>
        <v>0</v>
      </c>
      <c r="G208" s="39">
        <f>IFERROR(VLOOKUP("2_"&amp;A208,SyS!$B:$P,12,FALSE()),0)</f>
        <v>0</v>
      </c>
      <c r="H208" s="40">
        <f>+F208-G208</f>
        <v>0</v>
      </c>
      <c r="I208" s="39"/>
      <c r="J208" s="39"/>
      <c r="K208" s="39"/>
      <c r="L208" s="39"/>
      <c r="M208" s="39"/>
      <c r="N208" s="39"/>
      <c r="O208" s="38">
        <f>IFERROR(VLOOKUP("14_"&amp;A208,SyS!$B:$P,10,FALSE()),0)</f>
        <v>0</v>
      </c>
      <c r="P208" s="39">
        <f>IFERROR(VLOOKUP("14_"&amp;A208,SyS!$B:$P,12,FALSE()),0)</f>
        <v>0</v>
      </c>
      <c r="Q208" s="40">
        <f>+O208-P208</f>
        <v>0</v>
      </c>
      <c r="R208" s="38">
        <f>IFERROR(VLOOKUP("15_"&amp;A208,SyS!$B:$P,10,FALSE()),0)</f>
        <v>0</v>
      </c>
      <c r="S208" s="39">
        <f>IFERROR(VLOOKUP("15_"&amp;A208,SyS!$B:$P,12,FALSE()),0)</f>
        <v>0</v>
      </c>
      <c r="T208" s="40">
        <f>+R208-S208</f>
        <v>0</v>
      </c>
      <c r="U208" s="38">
        <f>IFERROR(VLOOKUP("16_"&amp;A208,SyS!$B:$P,10,FALSE()),0)</f>
        <v>0</v>
      </c>
      <c r="V208" s="39">
        <f>IFERROR(VLOOKUP("16_"&amp;A208,SyS!$B:$P,12,FALSE()),0)</f>
        <v>0</v>
      </c>
      <c r="W208" s="40">
        <f>+U208-V208</f>
        <v>0</v>
      </c>
      <c r="X208" s="38">
        <f>IFERROR(VLOOKUP("13_"&amp;A208,SyS!$B:$P,10,FALSE()),0)</f>
        <v>0</v>
      </c>
      <c r="Y208" s="39">
        <f>IFERROR(VLOOKUP("13_"&amp;A208,SyS!$B:$P,12,FALSE()),0)</f>
        <v>0</v>
      </c>
      <c r="Z208" s="40">
        <f>+X208-Y208</f>
        <v>0</v>
      </c>
      <c r="AA208" s="38">
        <f>IFERROR(VLOOKUP("17_"&amp;A208,SyS!$B:$P,10,FALSE()),0)</f>
        <v>0</v>
      </c>
      <c r="AB208" s="39">
        <f>IFERROR(VLOOKUP("17_"&amp;A208,SyS!$B:$P,12,FALSE()),0)</f>
        <v>0</v>
      </c>
      <c r="AC208" s="40">
        <f>+AA208-AB208</f>
        <v>0</v>
      </c>
      <c r="AD208" s="39"/>
      <c r="AE208" s="39"/>
      <c r="AF208" s="39"/>
      <c r="AG208" s="39">
        <f>IFERROR(VLOOKUP("19_"&amp;A208,SyS!$B:$P,10,FALSE()),0)</f>
        <v>0</v>
      </c>
      <c r="AH208" s="39">
        <f>IFERROR(VLOOKUP("19_"&amp;A208,SyS!$B:$P,12,FALSE()),0)</f>
        <v>0</v>
      </c>
      <c r="AI208" s="39">
        <f>+AG208-AH208</f>
        <v>0</v>
      </c>
      <c r="AJ208" s="39"/>
      <c r="AK208" s="39"/>
      <c r="AL208" s="39"/>
      <c r="AM208" s="38">
        <f>IFERROR(VLOOKUP("23_"&amp;A208,SyS!$B:$P,10,FALSE()),0)</f>
        <v>0</v>
      </c>
      <c r="AN208" s="39">
        <f>IFERROR(VLOOKUP("23_"&amp;A208,SyS!$B:$P,12,FALSE()),0)</f>
        <v>0</v>
      </c>
      <c r="AO208" s="40">
        <f>+AM208-AN208</f>
        <v>0</v>
      </c>
      <c r="AP208" s="39"/>
      <c r="AQ208" s="39"/>
      <c r="AR208" s="39"/>
      <c r="AS208" s="39"/>
      <c r="AT208" s="39"/>
      <c r="AU208" s="39"/>
      <c r="AV208" s="39"/>
      <c r="AW208" s="39"/>
      <c r="AX208" s="39"/>
      <c r="AY208" s="39"/>
      <c r="AZ208" s="39"/>
      <c r="BA208" s="39"/>
      <c r="BB208" s="39"/>
      <c r="BC208" s="39"/>
      <c r="BD208" s="39"/>
      <c r="BE208" s="39"/>
      <c r="BF208" s="39"/>
      <c r="BG208" s="39"/>
      <c r="BH208" s="39"/>
      <c r="BI208" s="39"/>
      <c r="BJ208" s="39"/>
      <c r="BK208" s="39">
        <f>IFERROR(VLOOKUP("29_"&amp;A208,SyS!$B:$P,10,FALSE()),0)</f>
        <v>0</v>
      </c>
      <c r="BL208" s="39">
        <f>IFERROR(VLOOKUP("29_"&amp;A208,SyS!$B:$P,12,FALSE()),0)</f>
        <v>0</v>
      </c>
      <c r="BM208" s="39">
        <f>+BK208-BL208</f>
        <v>0</v>
      </c>
      <c r="BN208" s="38">
        <f>IFERROR(VLOOKUP("30_"&amp;A208,SyS!$B:$P,10,FALSE()),0)</f>
        <v>0</v>
      </c>
      <c r="BO208" s="39">
        <f>IFERROR(VLOOKUP("30_"&amp;A208,SyS!$B:$P,12,FALSE()),0)</f>
        <v>0</v>
      </c>
      <c r="BP208" s="40">
        <f>+BN208-BO208</f>
        <v>0</v>
      </c>
      <c r="BQ208" s="45">
        <f>+E208+H208+K208+Q208+T208+W208+Z208+AC208+AF208+AI208+AL208+AO208+AR208+AU208+AX208+BA208+BD208+BG208+BJ208+BM208+BP208</f>
        <v>0</v>
      </c>
    </row>
    <row r="209" ht="11.25" customHeight="1" spans="1:69" x14ac:dyDescent="0.25">
      <c r="A209" s="49"/>
      <c r="B209" s="50" t="s">
        <v>438</v>
      </c>
      <c r="C209" s="38"/>
      <c r="D209" s="39"/>
      <c r="E209" s="39"/>
      <c r="F209" s="38"/>
      <c r="G209" s="39"/>
      <c r="H209" s="40"/>
      <c r="I209" s="39"/>
      <c r="J209" s="39"/>
      <c r="K209" s="39"/>
      <c r="L209" s="39"/>
      <c r="M209" s="39"/>
      <c r="N209" s="39"/>
      <c r="O209" s="38"/>
      <c r="P209" s="39"/>
      <c r="Q209" s="40"/>
      <c r="R209" s="38"/>
      <c r="S209" s="39"/>
      <c r="T209" s="40"/>
      <c r="U209" s="38"/>
      <c r="V209" s="39"/>
      <c r="W209" s="40"/>
      <c r="X209" s="38"/>
      <c r="Y209" s="39"/>
      <c r="Z209" s="40"/>
      <c r="AA209" s="38"/>
      <c r="AB209" s="39"/>
      <c r="AC209" s="40"/>
      <c r="AD209" s="39"/>
      <c r="AE209" s="39"/>
      <c r="AF209" s="39"/>
      <c r="AG209" s="39"/>
      <c r="AH209" s="39"/>
      <c r="AI209" s="39"/>
      <c r="AJ209" s="39"/>
      <c r="AK209" s="39"/>
      <c r="AL209" s="39"/>
      <c r="AM209" s="38"/>
      <c r="AN209" s="39"/>
      <c r="AO209" s="40"/>
      <c r="AP209" s="39"/>
      <c r="AQ209" s="39"/>
      <c r="AR209" s="39"/>
      <c r="AS209" s="39"/>
      <c r="AT209" s="39"/>
      <c r="AU209" s="39"/>
      <c r="AV209" s="39"/>
      <c r="AW209" s="39"/>
      <c r="AX209" s="39"/>
      <c r="AY209" s="39"/>
      <c r="AZ209" s="39"/>
      <c r="BA209" s="39"/>
      <c r="BB209" s="39"/>
      <c r="BC209" s="39"/>
      <c r="BD209" s="39"/>
      <c r="BE209" s="39"/>
      <c r="BF209" s="39"/>
      <c r="BG209" s="39"/>
      <c r="BH209" s="39"/>
      <c r="BI209" s="39"/>
      <c r="BJ209" s="39"/>
      <c r="BK209" s="39"/>
      <c r="BL209" s="39"/>
      <c r="BM209" s="39"/>
      <c r="BN209" s="38"/>
      <c r="BO209" s="39"/>
      <c r="BP209" s="40"/>
      <c r="BQ209" s="45"/>
    </row>
    <row r="210" ht="11.25" customHeight="1" spans="1:69" x14ac:dyDescent="0.25">
      <c r="A210" s="18">
        <v>426110000</v>
      </c>
      <c r="B210" s="18" t="s">
        <v>439</v>
      </c>
      <c r="C210" s="38">
        <f>IFERROR(VLOOKUP("1_"&amp;A210,SyS!$B:$P,10,FALSE()),0)</f>
        <v>0</v>
      </c>
      <c r="D210" s="39">
        <f>IFERROR(VLOOKUP("1_"&amp;A210,SyS!$B:$P,12,FALSE()),0)</f>
        <v>0</v>
      </c>
      <c r="E210" s="39">
        <f>+C210-D210</f>
        <v>0</v>
      </c>
      <c r="F210" s="38">
        <f>IFERROR(VLOOKUP("2_"&amp;A210,SyS!$B:$P,10,FALSE()),0)</f>
        <v>705.37</v>
      </c>
      <c r="G210" s="39">
        <f>IFERROR(VLOOKUP("2_"&amp;A210,SyS!$B:$P,12,FALSE()),0)</f>
        <v>5.61</v>
      </c>
      <c r="H210" s="40">
        <f>+F210-G210</f>
        <v>699.76</v>
      </c>
      <c r="I210" s="39"/>
      <c r="J210" s="39"/>
      <c r="K210" s="39"/>
      <c r="L210" s="39"/>
      <c r="M210" s="39"/>
      <c r="N210" s="39"/>
      <c r="O210" s="38">
        <f>IFERROR(VLOOKUP("14_"&amp;A210,SyS!$B:$P,10,FALSE()),0)</f>
        <v>0</v>
      </c>
      <c r="P210" s="39">
        <f>IFERROR(VLOOKUP("14_"&amp;A210,SyS!$B:$P,12,FALSE()),0)</f>
        <v>0</v>
      </c>
      <c r="Q210" s="40">
        <f>+O210-P210</f>
        <v>0</v>
      </c>
      <c r="R210" s="38">
        <f>IFERROR(VLOOKUP("15_"&amp;A210,SyS!$B:$P,10,FALSE()),0)</f>
        <v>0</v>
      </c>
      <c r="S210" s="39">
        <f>IFERROR(VLOOKUP("15_"&amp;A210,SyS!$B:$P,12,FALSE()),0)</f>
        <v>0</v>
      </c>
      <c r="T210" s="40">
        <f>+R210-S210</f>
        <v>0</v>
      </c>
      <c r="U210" s="38">
        <f>IFERROR(VLOOKUP("16_"&amp;A210,SyS!$B:$P,10,FALSE()),0)</f>
        <v>0</v>
      </c>
      <c r="V210" s="39">
        <f>IFERROR(VLOOKUP("16_"&amp;A210,SyS!$B:$P,12,FALSE()),0)</f>
        <v>0</v>
      </c>
      <c r="W210" s="40">
        <f>+U210-V210</f>
        <v>0</v>
      </c>
      <c r="X210" s="38">
        <f>IFERROR(VLOOKUP("13_"&amp;A210,SyS!$B:$P,10,FALSE()),0)</f>
        <v>0</v>
      </c>
      <c r="Y210" s="39">
        <f>IFERROR(VLOOKUP("13_"&amp;A210,SyS!$B:$P,12,FALSE()),0)</f>
        <v>0</v>
      </c>
      <c r="Z210" s="40">
        <f>+X210-Y210</f>
        <v>0</v>
      </c>
      <c r="AA210" s="38">
        <f>IFERROR(VLOOKUP("17_"&amp;A210,SyS!$B:$P,10,FALSE()),0)</f>
        <v>1238.03</v>
      </c>
      <c r="AB210" s="39">
        <f>IFERROR(VLOOKUP("17_"&amp;A210,SyS!$B:$P,12,FALSE()),0)</f>
        <v>0</v>
      </c>
      <c r="AC210" s="40">
        <f>+AA210-AB210</f>
        <v>1238.03</v>
      </c>
      <c r="AD210" s="39"/>
      <c r="AE210" s="39"/>
      <c r="AF210" s="39"/>
      <c r="AG210" s="39">
        <f>IFERROR(VLOOKUP("19_"&amp;A210,SyS!$B:$P,10,FALSE()),0)</f>
        <v>0</v>
      </c>
      <c r="AH210" s="39">
        <f>IFERROR(VLOOKUP("19_"&amp;A210,SyS!$B:$P,12,FALSE()),0)</f>
        <v>0</v>
      </c>
      <c r="AI210" s="39">
        <f>+AG210-AH210</f>
        <v>0</v>
      </c>
      <c r="AJ210" s="39"/>
      <c r="AK210" s="39"/>
      <c r="AL210" s="39"/>
      <c r="AM210" s="38">
        <f>IFERROR(VLOOKUP("23_"&amp;A210,SyS!$B:$P,10,FALSE()),0)</f>
        <v>0</v>
      </c>
      <c r="AN210" s="39">
        <f>IFERROR(VLOOKUP("23_"&amp;A210,SyS!$B:$P,12,FALSE()),0)</f>
        <v>0</v>
      </c>
      <c r="AO210" s="40">
        <f>+AM210-AN210</f>
        <v>0</v>
      </c>
      <c r="AP210" s="39"/>
      <c r="AQ210" s="39"/>
      <c r="AR210" s="39"/>
      <c r="AS210" s="39"/>
      <c r="AT210" s="39"/>
      <c r="AU210" s="39"/>
      <c r="AV210" s="39"/>
      <c r="AW210" s="39"/>
      <c r="AX210" s="39"/>
      <c r="AY210" s="39"/>
      <c r="AZ210" s="39"/>
      <c r="BA210" s="39"/>
      <c r="BB210" s="39"/>
      <c r="BC210" s="39"/>
      <c r="BD210" s="39"/>
      <c r="BE210" s="39"/>
      <c r="BF210" s="39"/>
      <c r="BG210" s="39"/>
      <c r="BH210" s="39"/>
      <c r="BI210" s="39"/>
      <c r="BJ210" s="39"/>
      <c r="BK210" s="39">
        <f>IFERROR(VLOOKUP("29_"&amp;A210,SyS!$B:$P,10,FALSE()),0)</f>
        <v>0</v>
      </c>
      <c r="BL210" s="39">
        <f>IFERROR(VLOOKUP("29_"&amp;A210,SyS!$B:$P,12,FALSE()),0)</f>
        <v>0</v>
      </c>
      <c r="BM210" s="39">
        <f>+BK210-BL210</f>
        <v>0</v>
      </c>
      <c r="BN210" s="38">
        <f>IFERROR(VLOOKUP("30_"&amp;A210,SyS!$B:$P,10,FALSE()),0)</f>
        <v>0</v>
      </c>
      <c r="BO210" s="39">
        <f>IFERROR(VLOOKUP("30_"&amp;A210,SyS!$B:$P,12,FALSE()),0)</f>
        <v>0</v>
      </c>
      <c r="BP210" s="40">
        <f>+BN210-BO210</f>
        <v>0</v>
      </c>
      <c r="BQ210" s="45">
        <f>+E210+H210+K210+Q210+T210+W210+Z210+AC210+AF210+AI210+AL210+AO210+AR210+AU210+AX210+BA210+BD210+BG210+BJ210+BM210+BP210</f>
        <v>1937.79</v>
      </c>
    </row>
    <row r="211" ht="11.25" customHeight="1" spans="1:69" x14ac:dyDescent="0.25">
      <c r="A211" s="18">
        <v>426120000</v>
      </c>
      <c r="B211" s="18" t="s">
        <v>440</v>
      </c>
      <c r="C211" s="38">
        <f>IFERROR(VLOOKUP("1_"&amp;A211,SyS!$B:$P,10,FALSE()),0)</f>
        <v>0</v>
      </c>
      <c r="D211" s="39">
        <f>IFERROR(VLOOKUP("1_"&amp;A211,SyS!$B:$P,12,FALSE()),0)</f>
        <v>0</v>
      </c>
      <c r="E211" s="39">
        <f>+C211-D211</f>
        <v>0</v>
      </c>
      <c r="F211" s="38">
        <f>IFERROR(VLOOKUP("2_"&amp;A211,SyS!$B:$P,10,FALSE()),0)</f>
        <v>6398.37</v>
      </c>
      <c r="G211" s="39">
        <f>IFERROR(VLOOKUP("2_"&amp;A211,SyS!$B:$P,12,FALSE()),0)</f>
        <v>0</v>
      </c>
      <c r="H211" s="40">
        <f>+F211-G211</f>
        <v>6398.37</v>
      </c>
      <c r="I211" s="39"/>
      <c r="J211" s="39"/>
      <c r="K211" s="39"/>
      <c r="L211" s="39"/>
      <c r="M211" s="39"/>
      <c r="N211" s="39"/>
      <c r="O211" s="38">
        <f>IFERROR(VLOOKUP("14_"&amp;A211,SyS!$B:$P,10,FALSE()),0)</f>
        <v>0</v>
      </c>
      <c r="P211" s="39">
        <f>IFERROR(VLOOKUP("14_"&amp;A211,SyS!$B:$P,12,FALSE()),0)</f>
        <v>0</v>
      </c>
      <c r="Q211" s="40">
        <f>+O211-P211</f>
        <v>0</v>
      </c>
      <c r="R211" s="38">
        <f>IFERROR(VLOOKUP("15_"&amp;A211,SyS!$B:$P,10,FALSE()),0)</f>
        <v>0</v>
      </c>
      <c r="S211" s="39">
        <f>IFERROR(VLOOKUP("15_"&amp;A211,SyS!$B:$P,12,FALSE()),0)</f>
        <v>0</v>
      </c>
      <c r="T211" s="40">
        <f>+R211-S211</f>
        <v>0</v>
      </c>
      <c r="U211" s="38">
        <f>IFERROR(VLOOKUP("16_"&amp;A211,SyS!$B:$P,10,FALSE()),0)</f>
        <v>0</v>
      </c>
      <c r="V211" s="39">
        <f>IFERROR(VLOOKUP("16_"&amp;A211,SyS!$B:$P,12,FALSE()),0)</f>
        <v>0</v>
      </c>
      <c r="W211" s="40">
        <f>+U211-V211</f>
        <v>0</v>
      </c>
      <c r="X211" s="38">
        <f>IFERROR(VLOOKUP("13_"&amp;A211,SyS!$B:$P,10,FALSE()),0)</f>
        <v>0</v>
      </c>
      <c r="Y211" s="39">
        <f>IFERROR(VLOOKUP("13_"&amp;A211,SyS!$B:$P,12,FALSE()),0)</f>
        <v>0</v>
      </c>
      <c r="Z211" s="40">
        <f>+X211-Y211</f>
        <v>0</v>
      </c>
      <c r="AA211" s="38">
        <f>IFERROR(VLOOKUP("17_"&amp;A211,SyS!$B:$P,10,FALSE()),0)</f>
        <v>110.95</v>
      </c>
      <c r="AB211" s="39">
        <f>IFERROR(VLOOKUP("17_"&amp;A211,SyS!$B:$P,12,FALSE()),0)</f>
        <v>0</v>
      </c>
      <c r="AC211" s="40">
        <f>+AA211-AB211</f>
        <v>110.95</v>
      </c>
      <c r="AD211" s="39"/>
      <c r="AE211" s="39"/>
      <c r="AF211" s="39"/>
      <c r="AG211" s="39">
        <f>IFERROR(VLOOKUP("19_"&amp;A211,SyS!$B:$P,10,FALSE()),0)</f>
        <v>0</v>
      </c>
      <c r="AH211" s="39">
        <f>IFERROR(VLOOKUP("19_"&amp;A211,SyS!$B:$P,12,FALSE()),0)</f>
        <v>0</v>
      </c>
      <c r="AI211" s="39">
        <f>+AG211-AH211</f>
        <v>0</v>
      </c>
      <c r="AJ211" s="39"/>
      <c r="AK211" s="39"/>
      <c r="AL211" s="39"/>
      <c r="AM211" s="38">
        <f>IFERROR(VLOOKUP("23_"&amp;A211,SyS!$B:$P,10,FALSE()),0)</f>
        <v>0</v>
      </c>
      <c r="AN211" s="39">
        <f>IFERROR(VLOOKUP("23_"&amp;A211,SyS!$B:$P,12,FALSE()),0)</f>
        <v>0</v>
      </c>
      <c r="AO211" s="40">
        <f>+AM211-AN211</f>
        <v>0</v>
      </c>
      <c r="AP211" s="39"/>
      <c r="AQ211" s="39"/>
      <c r="AR211" s="39"/>
      <c r="AS211" s="39"/>
      <c r="AT211" s="39"/>
      <c r="AU211" s="39"/>
      <c r="AV211" s="39"/>
      <c r="AW211" s="39"/>
      <c r="AX211" s="39"/>
      <c r="AY211" s="39"/>
      <c r="AZ211" s="39"/>
      <c r="BA211" s="39"/>
      <c r="BB211" s="39"/>
      <c r="BC211" s="39"/>
      <c r="BD211" s="39"/>
      <c r="BE211" s="39"/>
      <c r="BF211" s="39"/>
      <c r="BG211" s="39"/>
      <c r="BH211" s="39"/>
      <c r="BI211" s="39"/>
      <c r="BJ211" s="39"/>
      <c r="BK211" s="39">
        <f>IFERROR(VLOOKUP("29_"&amp;A211,SyS!$B:$P,10,FALSE()),0)</f>
        <v>0</v>
      </c>
      <c r="BL211" s="39">
        <f>IFERROR(VLOOKUP("29_"&amp;A211,SyS!$B:$P,12,FALSE()),0)</f>
        <v>0</v>
      </c>
      <c r="BM211" s="39">
        <f>+BK211-BL211</f>
        <v>0</v>
      </c>
      <c r="BN211" s="38">
        <f>IFERROR(VLOOKUP("30_"&amp;A211,SyS!$B:$P,10,FALSE()),0)</f>
        <v>0</v>
      </c>
      <c r="BO211" s="39">
        <f>IFERROR(VLOOKUP("30_"&amp;A211,SyS!$B:$P,12,FALSE()),0)</f>
        <v>0</v>
      </c>
      <c r="BP211" s="40">
        <f>+BN211-BO211</f>
        <v>0</v>
      </c>
      <c r="BQ211" s="45">
        <f>+E211+H211+K211+Q211+T211+W211+Z211+AC211+AF211+AI211+AL211+AO211+AR211+AU211+AX211+BA211+BD211+BG211+BJ211+BM211+BP211</f>
        <v>6509.32</v>
      </c>
    </row>
    <row r="212" ht="11.25" customHeight="1" spans="1:69" x14ac:dyDescent="0.25">
      <c r="A212" s="18">
        <v>426140000</v>
      </c>
      <c r="B212" s="18" t="s">
        <v>441</v>
      </c>
      <c r="C212" s="38">
        <f>IFERROR(VLOOKUP("1_"&amp;A212,SyS!$B:$P,10,FALSE()),0)</f>
        <v>0</v>
      </c>
      <c r="D212" s="39">
        <f>IFERROR(VLOOKUP("1_"&amp;A212,SyS!$B:$P,12,FALSE()),0)</f>
        <v>0</v>
      </c>
      <c r="E212" s="39">
        <f>+C212-D212</f>
        <v>0</v>
      </c>
      <c r="F212" s="38">
        <f>IFERROR(VLOOKUP("2_"&amp;A212,SyS!$B:$P,10,FALSE()),0)</f>
        <v>0</v>
      </c>
      <c r="G212" s="39">
        <f>IFERROR(VLOOKUP("2_"&amp;A212,SyS!$B:$P,12,FALSE()),0)</f>
        <v>0</v>
      </c>
      <c r="H212" s="40">
        <f>+F212-G212</f>
        <v>0</v>
      </c>
      <c r="I212" s="39"/>
      <c r="J212" s="39"/>
      <c r="K212" s="39"/>
      <c r="L212" s="39"/>
      <c r="M212" s="39"/>
      <c r="N212" s="39"/>
      <c r="O212" s="38">
        <f>IFERROR(VLOOKUP("14_"&amp;A212,SyS!$B:$P,10,FALSE()),0)</f>
        <v>0</v>
      </c>
      <c r="P212" s="39">
        <f>IFERROR(VLOOKUP("14_"&amp;A212,SyS!$B:$P,12,FALSE()),0)</f>
        <v>0</v>
      </c>
      <c r="Q212" s="40">
        <f>+O212-P212</f>
        <v>0</v>
      </c>
      <c r="R212" s="38">
        <f>IFERROR(VLOOKUP("15_"&amp;A212,SyS!$B:$P,10,FALSE()),0)</f>
        <v>0</v>
      </c>
      <c r="S212" s="39">
        <f>IFERROR(VLOOKUP("15_"&amp;A212,SyS!$B:$P,12,FALSE()),0)</f>
        <v>0</v>
      </c>
      <c r="T212" s="40">
        <f>+R212-S212</f>
        <v>0</v>
      </c>
      <c r="U212" s="38">
        <f>IFERROR(VLOOKUP("16_"&amp;A212,SyS!$B:$P,10,FALSE()),0)</f>
        <v>0</v>
      </c>
      <c r="V212" s="39">
        <f>IFERROR(VLOOKUP("16_"&amp;A212,SyS!$B:$P,12,FALSE()),0)</f>
        <v>0</v>
      </c>
      <c r="W212" s="40">
        <f>+U212-V212</f>
        <v>0</v>
      </c>
      <c r="X212" s="38">
        <f>IFERROR(VLOOKUP("13_"&amp;A212,SyS!$B:$P,10,FALSE()),0)</f>
        <v>0</v>
      </c>
      <c r="Y212" s="39">
        <f>IFERROR(VLOOKUP("13_"&amp;A212,SyS!$B:$P,12,FALSE()),0)</f>
        <v>0</v>
      </c>
      <c r="Z212" s="40">
        <f>+X212-Y212</f>
        <v>0</v>
      </c>
      <c r="AA212" s="38">
        <f>IFERROR(VLOOKUP("17_"&amp;A212,SyS!$B:$P,10,FALSE()),0)</f>
        <v>0</v>
      </c>
      <c r="AB212" s="39">
        <f>IFERROR(VLOOKUP("17_"&amp;A212,SyS!$B:$P,12,FALSE()),0)</f>
        <v>0</v>
      </c>
      <c r="AC212" s="40">
        <f>+AA212-AB212</f>
        <v>0</v>
      </c>
      <c r="AD212" s="39"/>
      <c r="AE212" s="39"/>
      <c r="AF212" s="39"/>
      <c r="AG212" s="39">
        <f>IFERROR(VLOOKUP("19_"&amp;A212,SyS!$B:$P,10,FALSE()),0)</f>
        <v>0</v>
      </c>
      <c r="AH212" s="39">
        <f>IFERROR(VLOOKUP("19_"&amp;A212,SyS!$B:$P,12,FALSE()),0)</f>
        <v>0</v>
      </c>
      <c r="AI212" s="39">
        <f>+AG212-AH212</f>
        <v>0</v>
      </c>
      <c r="AJ212" s="39"/>
      <c r="AK212" s="39"/>
      <c r="AL212" s="39"/>
      <c r="AM212" s="38">
        <f>IFERROR(VLOOKUP("23_"&amp;A212,SyS!$B:$P,10,FALSE()),0)</f>
        <v>0</v>
      </c>
      <c r="AN212" s="39">
        <f>IFERROR(VLOOKUP("23_"&amp;A212,SyS!$B:$P,12,FALSE()),0)</f>
        <v>0</v>
      </c>
      <c r="AO212" s="40">
        <f>+AM212-AN212</f>
        <v>0</v>
      </c>
      <c r="AP212" s="39"/>
      <c r="AQ212" s="39"/>
      <c r="AR212" s="39"/>
      <c r="AS212" s="39"/>
      <c r="AT212" s="39"/>
      <c r="AU212" s="39"/>
      <c r="AV212" s="39"/>
      <c r="AW212" s="39"/>
      <c r="AX212" s="39"/>
      <c r="AY212" s="39"/>
      <c r="AZ212" s="39"/>
      <c r="BA212" s="39"/>
      <c r="BB212" s="39"/>
      <c r="BC212" s="39"/>
      <c r="BD212" s="39"/>
      <c r="BE212" s="39"/>
      <c r="BF212" s="39"/>
      <c r="BG212" s="39"/>
      <c r="BH212" s="39"/>
      <c r="BI212" s="39"/>
      <c r="BJ212" s="39"/>
      <c r="BK212" s="39">
        <f>IFERROR(VLOOKUP("29_"&amp;A212,SyS!$B:$P,10,FALSE()),0)</f>
        <v>0</v>
      </c>
      <c r="BL212" s="39">
        <f>IFERROR(VLOOKUP("29_"&amp;A212,SyS!$B:$P,12,FALSE()),0)</f>
        <v>0</v>
      </c>
      <c r="BM212" s="39">
        <f>+BK212-BL212</f>
        <v>0</v>
      </c>
      <c r="BN212" s="38">
        <f>IFERROR(VLOOKUP("30_"&amp;A212,SyS!$B:$P,10,FALSE()),0)</f>
        <v>0</v>
      </c>
      <c r="BO212" s="39">
        <f>IFERROR(VLOOKUP("30_"&amp;A212,SyS!$B:$P,12,FALSE()),0)</f>
        <v>0</v>
      </c>
      <c r="BP212" s="40">
        <f>+BN212-BO212</f>
        <v>0</v>
      </c>
      <c r="BQ212" s="45">
        <f>+E212+H212+K212+Q212+T212+W212+Z212+AC212+AF212+AI212+AL212+AO212+AR212+AU212+AX212+BA212+BD212+BG212+BJ212+BM212+BP212</f>
        <v>0</v>
      </c>
    </row>
    <row r="213" ht="11.25" customHeight="1" spans="1:69" x14ac:dyDescent="0.25">
      <c r="A213" s="18">
        <v>426150000</v>
      </c>
      <c r="B213" s="18" t="s">
        <v>442</v>
      </c>
      <c r="C213" s="38">
        <f>IFERROR(VLOOKUP("1_"&amp;A213,SyS!$B:$P,10,FALSE()),0)</f>
        <v>0</v>
      </c>
      <c r="D213" s="39">
        <f>IFERROR(VLOOKUP("1_"&amp;A213,SyS!$B:$P,12,FALSE()),0)</f>
        <v>0</v>
      </c>
      <c r="E213" s="39">
        <f>+C213-D213</f>
        <v>0</v>
      </c>
      <c r="F213" s="38">
        <f>IFERROR(VLOOKUP("2_"&amp;A213,SyS!$B:$P,10,FALSE()),0)</f>
        <v>0</v>
      </c>
      <c r="G213" s="39">
        <f>IFERROR(VLOOKUP("2_"&amp;A213,SyS!$B:$P,12,FALSE()),0)</f>
        <v>0</v>
      </c>
      <c r="H213" s="40">
        <f>+F213-G213</f>
        <v>0</v>
      </c>
      <c r="I213" s="39"/>
      <c r="J213" s="39"/>
      <c r="K213" s="39"/>
      <c r="L213" s="39"/>
      <c r="M213" s="39"/>
      <c r="N213" s="39"/>
      <c r="O213" s="38">
        <f>IFERROR(VLOOKUP("14_"&amp;A213,SyS!$B:$P,10,FALSE()),0)</f>
        <v>0</v>
      </c>
      <c r="P213" s="39">
        <f>IFERROR(VLOOKUP("14_"&amp;A213,SyS!$B:$P,12,FALSE()),0)</f>
        <v>0</v>
      </c>
      <c r="Q213" s="40">
        <f>+O213-P213</f>
        <v>0</v>
      </c>
      <c r="R213" s="38">
        <f>IFERROR(VLOOKUP("15_"&amp;A213,SyS!$B:$P,10,FALSE()),0)</f>
        <v>0</v>
      </c>
      <c r="S213" s="39">
        <f>IFERROR(VLOOKUP("15_"&amp;A213,SyS!$B:$P,12,FALSE()),0)</f>
        <v>0</v>
      </c>
      <c r="T213" s="40">
        <f>+R213-S213</f>
        <v>0</v>
      </c>
      <c r="U213" s="38">
        <f>IFERROR(VLOOKUP("16_"&amp;A213,SyS!$B:$P,10,FALSE()),0)</f>
        <v>0</v>
      </c>
      <c r="V213" s="39">
        <f>IFERROR(VLOOKUP("16_"&amp;A213,SyS!$B:$P,12,FALSE()),0)</f>
        <v>0</v>
      </c>
      <c r="W213" s="40">
        <f>+U213-V213</f>
        <v>0</v>
      </c>
      <c r="X213" s="38">
        <f>IFERROR(VLOOKUP("13_"&amp;A213,SyS!$B:$P,10,FALSE()),0)</f>
        <v>0</v>
      </c>
      <c r="Y213" s="39">
        <f>IFERROR(VLOOKUP("13_"&amp;A213,SyS!$B:$P,12,FALSE()),0)</f>
        <v>0</v>
      </c>
      <c r="Z213" s="40">
        <f>+X213-Y213</f>
        <v>0</v>
      </c>
      <c r="AA213" s="38">
        <f>IFERROR(VLOOKUP("17_"&amp;A213,SyS!$B:$P,10,FALSE()),0)</f>
        <v>0</v>
      </c>
      <c r="AB213" s="39">
        <f>IFERROR(VLOOKUP("17_"&amp;A213,SyS!$B:$P,12,FALSE()),0)</f>
        <v>0</v>
      </c>
      <c r="AC213" s="40">
        <f>+AA213-AB213</f>
        <v>0</v>
      </c>
      <c r="AD213" s="39"/>
      <c r="AE213" s="39"/>
      <c r="AF213" s="39"/>
      <c r="AG213" s="39">
        <f>IFERROR(VLOOKUP("19_"&amp;A213,SyS!$B:$P,10,FALSE()),0)</f>
        <v>0</v>
      </c>
      <c r="AH213" s="39">
        <f>IFERROR(VLOOKUP("19_"&amp;A213,SyS!$B:$P,12,FALSE()),0)</f>
        <v>0</v>
      </c>
      <c r="AI213" s="39">
        <f>+AG213-AH213</f>
        <v>0</v>
      </c>
      <c r="AJ213" s="39"/>
      <c r="AK213" s="39"/>
      <c r="AL213" s="39"/>
      <c r="AM213" s="38">
        <f>IFERROR(VLOOKUP("23_"&amp;A213,SyS!$B:$P,10,FALSE()),0)</f>
        <v>0</v>
      </c>
      <c r="AN213" s="39">
        <f>IFERROR(VLOOKUP("23_"&amp;A213,SyS!$B:$P,12,FALSE()),0)</f>
        <v>0</v>
      </c>
      <c r="AO213" s="40">
        <f>+AM213-AN213</f>
        <v>0</v>
      </c>
      <c r="AP213" s="39"/>
      <c r="AQ213" s="39"/>
      <c r="AR213" s="39"/>
      <c r="AS213" s="39"/>
      <c r="AT213" s="39"/>
      <c r="AU213" s="39"/>
      <c r="AV213" s="39"/>
      <c r="AW213" s="39"/>
      <c r="AX213" s="39"/>
      <c r="AY213" s="39"/>
      <c r="AZ213" s="39"/>
      <c r="BA213" s="39"/>
      <c r="BB213" s="39"/>
      <c r="BC213" s="39"/>
      <c r="BD213" s="39"/>
      <c r="BE213" s="39"/>
      <c r="BF213" s="39"/>
      <c r="BG213" s="39"/>
      <c r="BH213" s="39"/>
      <c r="BI213" s="39"/>
      <c r="BJ213" s="39"/>
      <c r="BK213" s="39">
        <f>IFERROR(VLOOKUP("29_"&amp;A213,SyS!$B:$P,10,FALSE()),0)</f>
        <v>0</v>
      </c>
      <c r="BL213" s="39">
        <f>IFERROR(VLOOKUP("29_"&amp;A213,SyS!$B:$P,12,FALSE()),0)</f>
        <v>0</v>
      </c>
      <c r="BM213" s="39">
        <f>+BK213-BL213</f>
        <v>0</v>
      </c>
      <c r="BN213" s="38">
        <f>IFERROR(VLOOKUP("30_"&amp;A213,SyS!$B:$P,10,FALSE()),0)</f>
        <v>0</v>
      </c>
      <c r="BO213" s="39">
        <f>IFERROR(VLOOKUP("30_"&amp;A213,SyS!$B:$P,12,FALSE()),0)</f>
        <v>0</v>
      </c>
      <c r="BP213" s="40">
        <f>+BN213-BO213</f>
        <v>0</v>
      </c>
      <c r="BQ213" s="45">
        <f>+E213+H213+K213+Q213+T213+W213+Z213+AC213+AF213+AI213+AL213+AO213+AR213+AU213+AX213+BA213+BD213+BG213+BJ213+BM213+BP213</f>
        <v>0</v>
      </c>
    </row>
    <row r="214" ht="11.25" customHeight="1" spans="1:69" x14ac:dyDescent="0.25">
      <c r="A214" s="18">
        <v>433040000</v>
      </c>
      <c r="B214" s="18" t="s">
        <v>443</v>
      </c>
      <c r="C214" s="38">
        <f>IFERROR(VLOOKUP("1_"&amp;A214,SyS!$B:$P,10,FALSE()),0)</f>
        <v>0</v>
      </c>
      <c r="D214" s="39">
        <f>IFERROR(VLOOKUP("1_"&amp;A214,SyS!$B:$P,12,FALSE()),0)</f>
        <v>0</v>
      </c>
      <c r="E214" s="39">
        <f>+C214-D214</f>
        <v>0</v>
      </c>
      <c r="F214" s="38">
        <f>IFERROR(VLOOKUP("2_"&amp;A214,SyS!$B:$P,10,FALSE()),0)</f>
        <v>0</v>
      </c>
      <c r="G214" s="39">
        <f>IFERROR(VLOOKUP("2_"&amp;A214,SyS!$B:$P,12,FALSE()),0)</f>
        <v>0</v>
      </c>
      <c r="H214" s="40">
        <f>+F214-G214</f>
        <v>0</v>
      </c>
      <c r="I214" s="39"/>
      <c r="J214" s="39"/>
      <c r="K214" s="39"/>
      <c r="L214" s="39"/>
      <c r="M214" s="39"/>
      <c r="N214" s="39"/>
      <c r="O214" s="38">
        <f>IFERROR(VLOOKUP("14_"&amp;A214,SyS!$B:$P,10,FALSE()),0)</f>
        <v>0</v>
      </c>
      <c r="P214" s="39">
        <f>IFERROR(VLOOKUP("14_"&amp;A214,SyS!$B:$P,12,FALSE()),0)</f>
        <v>0</v>
      </c>
      <c r="Q214" s="40">
        <f>+O214-P214</f>
        <v>0</v>
      </c>
      <c r="R214" s="38">
        <f>IFERROR(VLOOKUP("15_"&amp;A214,SyS!$B:$P,10,FALSE()),0)</f>
        <v>0</v>
      </c>
      <c r="S214" s="39">
        <f>IFERROR(VLOOKUP("15_"&amp;A214,SyS!$B:$P,12,FALSE()),0)</f>
        <v>0</v>
      </c>
      <c r="T214" s="40">
        <f>+R214-S214</f>
        <v>0</v>
      </c>
      <c r="U214" s="38">
        <f>IFERROR(VLOOKUP("16_"&amp;A214,SyS!$B:$P,10,FALSE()),0)</f>
        <v>0</v>
      </c>
      <c r="V214" s="39">
        <f>IFERROR(VLOOKUP("16_"&amp;A214,SyS!$B:$P,12,FALSE()),0)</f>
        <v>0</v>
      </c>
      <c r="W214" s="40">
        <f>+U214-V214</f>
        <v>0</v>
      </c>
      <c r="X214" s="38">
        <f>IFERROR(VLOOKUP("13_"&amp;A214,SyS!$B:$P,10,FALSE()),0)</f>
        <v>0</v>
      </c>
      <c r="Y214" s="39">
        <f>IFERROR(VLOOKUP("13_"&amp;A214,SyS!$B:$P,12,FALSE()),0)</f>
        <v>0</v>
      </c>
      <c r="Z214" s="40">
        <f>+X214-Y214</f>
        <v>0</v>
      </c>
      <c r="AA214" s="38">
        <f>IFERROR(VLOOKUP("17_"&amp;A214,SyS!$B:$P,10,FALSE()),0)</f>
        <v>0</v>
      </c>
      <c r="AB214" s="39">
        <f>IFERROR(VLOOKUP("17_"&amp;A214,SyS!$B:$P,12,FALSE()),0)</f>
        <v>0</v>
      </c>
      <c r="AC214" s="40">
        <f>+AA214-AB214</f>
        <v>0</v>
      </c>
      <c r="AD214" s="39"/>
      <c r="AE214" s="39"/>
      <c r="AF214" s="39"/>
      <c r="AG214" s="39">
        <f>IFERROR(VLOOKUP("19_"&amp;A214,SyS!$B:$P,10,FALSE()),0)</f>
        <v>0</v>
      </c>
      <c r="AH214" s="39">
        <f>IFERROR(VLOOKUP("19_"&amp;A214,SyS!$B:$P,12,FALSE()),0)</f>
        <v>0</v>
      </c>
      <c r="AI214" s="39">
        <f>+AG214-AH214</f>
        <v>0</v>
      </c>
      <c r="AJ214" s="39"/>
      <c r="AK214" s="39"/>
      <c r="AL214" s="39"/>
      <c r="AM214" s="38">
        <f>IFERROR(VLOOKUP("23_"&amp;A214,SyS!$B:$P,10,FALSE()),0)</f>
        <v>0</v>
      </c>
      <c r="AN214" s="39">
        <f>IFERROR(VLOOKUP("23_"&amp;A214,SyS!$B:$P,12,FALSE()),0)</f>
        <v>0</v>
      </c>
      <c r="AO214" s="40">
        <f>+AM214-AN214</f>
        <v>0</v>
      </c>
      <c r="AP214" s="39"/>
      <c r="AQ214" s="39"/>
      <c r="AR214" s="39"/>
      <c r="AS214" s="39"/>
      <c r="AT214" s="39"/>
      <c r="AU214" s="39"/>
      <c r="AV214" s="39"/>
      <c r="AW214" s="39"/>
      <c r="AX214" s="39"/>
      <c r="AY214" s="39"/>
      <c r="AZ214" s="39"/>
      <c r="BA214" s="39"/>
      <c r="BB214" s="39"/>
      <c r="BC214" s="39"/>
      <c r="BD214" s="39"/>
      <c r="BE214" s="39"/>
      <c r="BF214" s="39"/>
      <c r="BG214" s="39"/>
      <c r="BH214" s="39"/>
      <c r="BI214" s="39"/>
      <c r="BJ214" s="39"/>
      <c r="BK214" s="39">
        <f>IFERROR(VLOOKUP("29_"&amp;A214,SyS!$B:$P,10,FALSE()),0)</f>
        <v>0</v>
      </c>
      <c r="BL214" s="39">
        <f>IFERROR(VLOOKUP("29_"&amp;A214,SyS!$B:$P,12,FALSE()),0)</f>
        <v>0</v>
      </c>
      <c r="BM214" s="39">
        <f>+BK214-BL214</f>
        <v>0</v>
      </c>
      <c r="BN214" s="38">
        <f>IFERROR(VLOOKUP("30_"&amp;A214,SyS!$B:$P,10,FALSE()),0)</f>
        <v>0</v>
      </c>
      <c r="BO214" s="39">
        <f>IFERROR(VLOOKUP("30_"&amp;A214,SyS!$B:$P,12,FALSE()),0)</f>
        <v>0</v>
      </c>
      <c r="BP214" s="40">
        <f>+BN214-BO214</f>
        <v>0</v>
      </c>
      <c r="BQ214" s="45">
        <f>+E214+H214+K214+Q214+T214+W214+Z214+AC214+AF214+AI214+AL214+AO214+AR214+AU214+AX214+BA214+BD214+BG214+BJ214+BM214+BP214</f>
        <v>0</v>
      </c>
    </row>
    <row r="215" ht="11.25" customHeight="1" spans="1:69" x14ac:dyDescent="0.25">
      <c r="A215" s="18">
        <v>426170000</v>
      </c>
      <c r="B215" s="18" t="s">
        <v>444</v>
      </c>
      <c r="C215" s="38">
        <f>IFERROR(VLOOKUP("1_"&amp;A215,SyS!$B:$P,10,FALSE()),0)</f>
        <v>0</v>
      </c>
      <c r="D215" s="39">
        <f>IFERROR(VLOOKUP("1_"&amp;A215,SyS!$B:$P,12,FALSE()),0)</f>
        <v>0</v>
      </c>
      <c r="E215" s="39">
        <f>+C215-D215</f>
        <v>0</v>
      </c>
      <c r="F215" s="38">
        <f>IFERROR(VLOOKUP("2_"&amp;A215,SyS!$B:$P,10,FALSE()),0)</f>
        <v>0</v>
      </c>
      <c r="G215" s="39">
        <f>IFERROR(VLOOKUP("2_"&amp;A215,SyS!$B:$P,12,FALSE()),0)</f>
        <v>0</v>
      </c>
      <c r="H215" s="40">
        <f>+F215-G215</f>
        <v>0</v>
      </c>
      <c r="I215" s="39"/>
      <c r="J215" s="39"/>
      <c r="K215" s="39"/>
      <c r="L215" s="39"/>
      <c r="M215" s="39"/>
      <c r="N215" s="39"/>
      <c r="O215" s="38">
        <f>IFERROR(VLOOKUP("14_"&amp;A215,SyS!$B:$P,10,FALSE()),0)</f>
        <v>0</v>
      </c>
      <c r="P215" s="39">
        <f>IFERROR(VLOOKUP("14_"&amp;A215,SyS!$B:$P,12,FALSE()),0)</f>
        <v>0</v>
      </c>
      <c r="Q215" s="40">
        <f>+O215-P215</f>
        <v>0</v>
      </c>
      <c r="R215" s="38">
        <f>IFERROR(VLOOKUP("15_"&amp;A215,SyS!$B:$P,10,FALSE()),0)</f>
        <v>0</v>
      </c>
      <c r="S215" s="39">
        <f>IFERROR(VLOOKUP("15_"&amp;A215,SyS!$B:$P,12,FALSE()),0)</f>
        <v>0</v>
      </c>
      <c r="T215" s="40">
        <f>+R215-S215</f>
        <v>0</v>
      </c>
      <c r="U215" s="38">
        <f>IFERROR(VLOOKUP("16_"&amp;A215,SyS!$B:$P,10,FALSE()),0)</f>
        <v>0</v>
      </c>
      <c r="V215" s="39">
        <f>IFERROR(VLOOKUP("16_"&amp;A215,SyS!$B:$P,12,FALSE()),0)</f>
        <v>0</v>
      </c>
      <c r="W215" s="40">
        <f>+U215-V215</f>
        <v>0</v>
      </c>
      <c r="X215" s="38">
        <f>IFERROR(VLOOKUP("13_"&amp;A215,SyS!$B:$P,10,FALSE()),0)</f>
        <v>0</v>
      </c>
      <c r="Y215" s="39">
        <f>IFERROR(VLOOKUP("13_"&amp;A215,SyS!$B:$P,12,FALSE()),0)</f>
        <v>0</v>
      </c>
      <c r="Z215" s="40">
        <f>+X215-Y215</f>
        <v>0</v>
      </c>
      <c r="AA215" s="38">
        <f>IFERROR(VLOOKUP("17_"&amp;A215,SyS!$B:$P,10,FALSE()),0)</f>
        <v>0</v>
      </c>
      <c r="AB215" s="39">
        <f>IFERROR(VLOOKUP("17_"&amp;A215,SyS!$B:$P,12,FALSE()),0)</f>
        <v>0</v>
      </c>
      <c r="AC215" s="40">
        <f>+AA215-AB215</f>
        <v>0</v>
      </c>
      <c r="AD215" s="39"/>
      <c r="AE215" s="39"/>
      <c r="AF215" s="39"/>
      <c r="AG215" s="39">
        <f>IFERROR(VLOOKUP("19_"&amp;A215,SyS!$B:$P,10,FALSE()),0)</f>
        <v>0</v>
      </c>
      <c r="AH215" s="39">
        <f>IFERROR(VLOOKUP("19_"&amp;A215,SyS!$B:$P,12,FALSE()),0)</f>
        <v>0</v>
      </c>
      <c r="AI215" s="39">
        <f>+AG215-AH215</f>
        <v>0</v>
      </c>
      <c r="AJ215" s="39"/>
      <c r="AK215" s="39"/>
      <c r="AL215" s="39"/>
      <c r="AM215" s="38">
        <f>IFERROR(VLOOKUP("23_"&amp;A215,SyS!$B:$P,10,FALSE()),0)</f>
        <v>0</v>
      </c>
      <c r="AN215" s="39">
        <f>IFERROR(VLOOKUP("23_"&amp;A215,SyS!$B:$P,12,FALSE()),0)</f>
        <v>0</v>
      </c>
      <c r="AO215" s="40">
        <f>+AM215-AN215</f>
        <v>0</v>
      </c>
      <c r="AP215" s="39"/>
      <c r="AQ215" s="39"/>
      <c r="AR215" s="39"/>
      <c r="AS215" s="39"/>
      <c r="AT215" s="39"/>
      <c r="AU215" s="39"/>
      <c r="AV215" s="39"/>
      <c r="AW215" s="39"/>
      <c r="AX215" s="39"/>
      <c r="AY215" s="39"/>
      <c r="AZ215" s="39"/>
      <c r="BA215" s="39"/>
      <c r="BB215" s="39"/>
      <c r="BC215" s="39"/>
      <c r="BD215" s="39"/>
      <c r="BE215" s="39"/>
      <c r="BF215" s="39"/>
      <c r="BG215" s="39"/>
      <c r="BH215" s="39"/>
      <c r="BI215" s="39"/>
      <c r="BJ215" s="39"/>
      <c r="BK215" s="39">
        <f>IFERROR(VLOOKUP("29_"&amp;A215,SyS!$B:$P,10,FALSE()),0)</f>
        <v>0</v>
      </c>
      <c r="BL215" s="39">
        <f>IFERROR(VLOOKUP("29_"&amp;A215,SyS!$B:$P,12,FALSE()),0)</f>
        <v>0</v>
      </c>
      <c r="BM215" s="39">
        <f>+BK215-BL215</f>
        <v>0</v>
      </c>
      <c r="BN215" s="38">
        <f>IFERROR(VLOOKUP("30_"&amp;A215,SyS!$B:$P,10,FALSE()),0)</f>
        <v>0</v>
      </c>
      <c r="BO215" s="39">
        <f>IFERROR(VLOOKUP("30_"&amp;A215,SyS!$B:$P,12,FALSE()),0)</f>
        <v>0</v>
      </c>
      <c r="BP215" s="40">
        <f>+BN215-BO215</f>
        <v>0</v>
      </c>
      <c r="BQ215" s="45">
        <f>+E215+H215+K215+Q215+T215+W215+Z215+AC215+AF215+AI215+AL215+AO215+AR215+AU215+AX215+BA215+BD215+BG215+BJ215+BM215+BP215</f>
        <v>0</v>
      </c>
    </row>
    <row r="216" ht="11.25" customHeight="1" spans="1:69" x14ac:dyDescent="0.25">
      <c r="A216" s="18">
        <v>426180000</v>
      </c>
      <c r="B216" s="18" t="s">
        <v>445</v>
      </c>
      <c r="C216" s="38">
        <f>IFERROR(VLOOKUP("1_"&amp;A216,SyS!$B:$P,10,FALSE()),0)</f>
        <v>0</v>
      </c>
      <c r="D216" s="39">
        <f>IFERROR(VLOOKUP("1_"&amp;A216,SyS!$B:$P,12,FALSE()),0)</f>
        <v>0</v>
      </c>
      <c r="E216" s="39">
        <f>+C216-D216</f>
        <v>0</v>
      </c>
      <c r="F216" s="38">
        <f>IFERROR(VLOOKUP("2_"&amp;A216,SyS!$B:$P,10,FALSE()),0)</f>
        <v>0</v>
      </c>
      <c r="G216" s="39">
        <f>IFERROR(VLOOKUP("2_"&amp;A216,SyS!$B:$P,12,FALSE()),0)</f>
        <v>0</v>
      </c>
      <c r="H216" s="40">
        <f>+F216-G216</f>
        <v>0</v>
      </c>
      <c r="I216" s="39"/>
      <c r="J216" s="39"/>
      <c r="K216" s="39"/>
      <c r="L216" s="39"/>
      <c r="M216" s="39"/>
      <c r="N216" s="39"/>
      <c r="O216" s="38">
        <f>IFERROR(VLOOKUP("14_"&amp;A216,SyS!$B:$P,10,FALSE()),0)</f>
        <v>0</v>
      </c>
      <c r="P216" s="39">
        <f>IFERROR(VLOOKUP("14_"&amp;A216,SyS!$B:$P,12,FALSE()),0)</f>
        <v>0</v>
      </c>
      <c r="Q216" s="40">
        <f>+O216-P216</f>
        <v>0</v>
      </c>
      <c r="R216" s="38">
        <f>IFERROR(VLOOKUP("15_"&amp;A216,SyS!$B:$P,10,FALSE()),0)</f>
        <v>0</v>
      </c>
      <c r="S216" s="39">
        <f>IFERROR(VLOOKUP("15_"&amp;A216,SyS!$B:$P,12,FALSE()),0)</f>
        <v>0</v>
      </c>
      <c r="T216" s="40">
        <f>+R216-S216</f>
        <v>0</v>
      </c>
      <c r="U216" s="38">
        <f>IFERROR(VLOOKUP("16_"&amp;A216,SyS!$B:$P,10,FALSE()),0)</f>
        <v>0</v>
      </c>
      <c r="V216" s="39">
        <f>IFERROR(VLOOKUP("16_"&amp;A216,SyS!$B:$P,12,FALSE()),0)</f>
        <v>0</v>
      </c>
      <c r="W216" s="40">
        <f>+U216-V216</f>
        <v>0</v>
      </c>
      <c r="X216" s="38">
        <f>IFERROR(VLOOKUP("13_"&amp;A216,SyS!$B:$P,10,FALSE()),0)</f>
        <v>0</v>
      </c>
      <c r="Y216" s="39">
        <f>IFERROR(VLOOKUP("13_"&amp;A216,SyS!$B:$P,12,FALSE()),0)</f>
        <v>0</v>
      </c>
      <c r="Z216" s="40">
        <f>+X216-Y216</f>
        <v>0</v>
      </c>
      <c r="AA216" s="38">
        <f>IFERROR(VLOOKUP("17_"&amp;A216,SyS!$B:$P,10,FALSE()),0)</f>
        <v>0</v>
      </c>
      <c r="AB216" s="39">
        <f>IFERROR(VLOOKUP("17_"&amp;A216,SyS!$B:$P,12,FALSE()),0)</f>
        <v>0</v>
      </c>
      <c r="AC216" s="40">
        <f>+AA216-AB216</f>
        <v>0</v>
      </c>
      <c r="AD216" s="39"/>
      <c r="AE216" s="39"/>
      <c r="AF216" s="39"/>
      <c r="AG216" s="39">
        <f>IFERROR(VLOOKUP("19_"&amp;A216,SyS!$B:$P,10,FALSE()),0)</f>
        <v>0</v>
      </c>
      <c r="AH216" s="39">
        <f>IFERROR(VLOOKUP("19_"&amp;A216,SyS!$B:$P,12,FALSE()),0)</f>
        <v>0</v>
      </c>
      <c r="AI216" s="39">
        <f>+AG216-AH216</f>
        <v>0</v>
      </c>
      <c r="AJ216" s="39"/>
      <c r="AK216" s="39"/>
      <c r="AL216" s="39"/>
      <c r="AM216" s="38">
        <f>IFERROR(VLOOKUP("23_"&amp;A216,SyS!$B:$P,10,FALSE()),0)</f>
        <v>0</v>
      </c>
      <c r="AN216" s="39">
        <f>IFERROR(VLOOKUP("23_"&amp;A216,SyS!$B:$P,12,FALSE()),0)</f>
        <v>0</v>
      </c>
      <c r="AO216" s="40">
        <f>+AM216-AN216</f>
        <v>0</v>
      </c>
      <c r="AP216" s="39"/>
      <c r="AQ216" s="39"/>
      <c r="AR216" s="39"/>
      <c r="AS216" s="39"/>
      <c r="AT216" s="39"/>
      <c r="AU216" s="39"/>
      <c r="AV216" s="39"/>
      <c r="AW216" s="39"/>
      <c r="AX216" s="39"/>
      <c r="AY216" s="39"/>
      <c r="AZ216" s="39"/>
      <c r="BA216" s="39"/>
      <c r="BB216" s="39"/>
      <c r="BC216" s="39"/>
      <c r="BD216" s="39"/>
      <c r="BE216" s="39"/>
      <c r="BF216" s="39"/>
      <c r="BG216" s="39"/>
      <c r="BH216" s="39"/>
      <c r="BI216" s="39"/>
      <c r="BJ216" s="39"/>
      <c r="BK216" s="39">
        <f>IFERROR(VLOOKUP("29_"&amp;A216,SyS!$B:$P,10,FALSE()),0)</f>
        <v>0</v>
      </c>
      <c r="BL216" s="39">
        <f>IFERROR(VLOOKUP("29_"&amp;A216,SyS!$B:$P,12,FALSE()),0)</f>
        <v>0</v>
      </c>
      <c r="BM216" s="39">
        <f>+BK216-BL216</f>
        <v>0</v>
      </c>
      <c r="BN216" s="38">
        <f>IFERROR(VLOOKUP("30_"&amp;A216,SyS!$B:$P,10,FALSE()),0)</f>
        <v>0</v>
      </c>
      <c r="BO216" s="39">
        <f>IFERROR(VLOOKUP("30_"&amp;A216,SyS!$B:$P,12,FALSE()),0)</f>
        <v>0</v>
      </c>
      <c r="BP216" s="40">
        <f>+BN216-BO216</f>
        <v>0</v>
      </c>
      <c r="BQ216" s="45">
        <f>+E216+H216+K216+Q216+T216+W216+Z216+AC216+AF216+AI216+AL216+AO216+AR216+AU216+AX216+BA216+BD216+BG216+BJ216+BM216+BP216</f>
        <v>0</v>
      </c>
    </row>
    <row r="217" ht="11.25" customHeight="1" spans="1:69" x14ac:dyDescent="0.25">
      <c r="A217" s="18">
        <v>426190000</v>
      </c>
      <c r="B217" s="18" t="s">
        <v>446</v>
      </c>
      <c r="C217" s="38">
        <f>IFERROR(VLOOKUP("1_"&amp;A217,SyS!$B:$P,10,FALSE()),0)</f>
        <v>0</v>
      </c>
      <c r="D217" s="39">
        <f>IFERROR(VLOOKUP("1_"&amp;A217,SyS!$B:$P,12,FALSE()),0)</f>
        <v>0</v>
      </c>
      <c r="E217" s="39">
        <f>+C217-D217</f>
        <v>0</v>
      </c>
      <c r="F217" s="38">
        <f>IFERROR(VLOOKUP("2_"&amp;A217,SyS!$B:$P,10,FALSE()),0)</f>
        <v>0</v>
      </c>
      <c r="G217" s="39">
        <f>IFERROR(VLOOKUP("2_"&amp;A217,SyS!$B:$P,12,FALSE()),0)</f>
        <v>0</v>
      </c>
      <c r="H217" s="40">
        <f>+F217-G217</f>
        <v>0</v>
      </c>
      <c r="I217" s="39"/>
      <c r="J217" s="39"/>
      <c r="K217" s="39"/>
      <c r="L217" s="39"/>
      <c r="M217" s="39"/>
      <c r="N217" s="39"/>
      <c r="O217" s="38">
        <f>IFERROR(VLOOKUP("14_"&amp;A217,SyS!$B:$P,10,FALSE()),0)</f>
        <v>0</v>
      </c>
      <c r="P217" s="39">
        <f>IFERROR(VLOOKUP("14_"&amp;A217,SyS!$B:$P,12,FALSE()),0)</f>
        <v>0</v>
      </c>
      <c r="Q217" s="40">
        <f>+O217-P217</f>
        <v>0</v>
      </c>
      <c r="R217" s="38">
        <f>IFERROR(VLOOKUP("15_"&amp;A217,SyS!$B:$P,10,FALSE()),0)</f>
        <v>0</v>
      </c>
      <c r="S217" s="39">
        <f>IFERROR(VLOOKUP("15_"&amp;A217,SyS!$B:$P,12,FALSE()),0)</f>
        <v>0</v>
      </c>
      <c r="T217" s="40">
        <f>+R217-S217</f>
        <v>0</v>
      </c>
      <c r="U217" s="38">
        <f>IFERROR(VLOOKUP("16_"&amp;A217,SyS!$B:$P,10,FALSE()),0)</f>
        <v>0</v>
      </c>
      <c r="V217" s="39">
        <f>IFERROR(VLOOKUP("16_"&amp;A217,SyS!$B:$P,12,FALSE()),0)</f>
        <v>0</v>
      </c>
      <c r="W217" s="40">
        <f>+U217-V217</f>
        <v>0</v>
      </c>
      <c r="X217" s="38">
        <f>IFERROR(VLOOKUP("13_"&amp;A217,SyS!$B:$P,10,FALSE()),0)</f>
        <v>0</v>
      </c>
      <c r="Y217" s="39">
        <f>IFERROR(VLOOKUP("13_"&amp;A217,SyS!$B:$P,12,FALSE()),0)</f>
        <v>0</v>
      </c>
      <c r="Z217" s="40">
        <f>+X217-Y217</f>
        <v>0</v>
      </c>
      <c r="AA217" s="38">
        <f>IFERROR(VLOOKUP("17_"&amp;A217,SyS!$B:$P,10,FALSE()),0)</f>
        <v>0</v>
      </c>
      <c r="AB217" s="39">
        <f>IFERROR(VLOOKUP("17_"&amp;A217,SyS!$B:$P,12,FALSE()),0)</f>
        <v>0</v>
      </c>
      <c r="AC217" s="40">
        <f>+AA217-AB217</f>
        <v>0</v>
      </c>
      <c r="AD217" s="39"/>
      <c r="AE217" s="39"/>
      <c r="AF217" s="39"/>
      <c r="AG217" s="39">
        <f>IFERROR(VLOOKUP("19_"&amp;A217,SyS!$B:$P,10,FALSE()),0)</f>
        <v>0</v>
      </c>
      <c r="AH217" s="39">
        <f>IFERROR(VLOOKUP("19_"&amp;A217,SyS!$B:$P,12,FALSE()),0)</f>
        <v>0</v>
      </c>
      <c r="AI217" s="39">
        <f>+AG217-AH217</f>
        <v>0</v>
      </c>
      <c r="AJ217" s="39"/>
      <c r="AK217" s="39"/>
      <c r="AL217" s="39"/>
      <c r="AM217" s="38">
        <f>IFERROR(VLOOKUP("23_"&amp;A217,SyS!$B:$P,10,FALSE()),0)</f>
        <v>0</v>
      </c>
      <c r="AN217" s="39">
        <f>IFERROR(VLOOKUP("23_"&amp;A217,SyS!$B:$P,12,FALSE()),0)</f>
        <v>0</v>
      </c>
      <c r="AO217" s="40">
        <f>+AM217-AN217</f>
        <v>0</v>
      </c>
      <c r="AP217" s="39"/>
      <c r="AQ217" s="39"/>
      <c r="AR217" s="39"/>
      <c r="AS217" s="39"/>
      <c r="AT217" s="39"/>
      <c r="AU217" s="39"/>
      <c r="AV217" s="39"/>
      <c r="AW217" s="39"/>
      <c r="AX217" s="39"/>
      <c r="AY217" s="39"/>
      <c r="AZ217" s="39"/>
      <c r="BA217" s="39"/>
      <c r="BB217" s="39"/>
      <c r="BC217" s="39"/>
      <c r="BD217" s="39"/>
      <c r="BE217" s="39"/>
      <c r="BF217" s="39"/>
      <c r="BG217" s="39"/>
      <c r="BH217" s="39"/>
      <c r="BI217" s="39"/>
      <c r="BJ217" s="39"/>
      <c r="BK217" s="39">
        <f>IFERROR(VLOOKUP("29_"&amp;A217,SyS!$B:$P,10,FALSE()),0)</f>
        <v>0</v>
      </c>
      <c r="BL217" s="39">
        <f>IFERROR(VLOOKUP("29_"&amp;A217,SyS!$B:$P,12,FALSE()),0)</f>
        <v>0</v>
      </c>
      <c r="BM217" s="39">
        <f>+BK217-BL217</f>
        <v>0</v>
      </c>
      <c r="BN217" s="38">
        <f>IFERROR(VLOOKUP("30_"&amp;A217,SyS!$B:$P,10,FALSE()),0)</f>
        <v>0</v>
      </c>
      <c r="BO217" s="39">
        <f>IFERROR(VLOOKUP("30_"&amp;A217,SyS!$B:$P,12,FALSE()),0)</f>
        <v>0</v>
      </c>
      <c r="BP217" s="40">
        <f>+BN217-BO217</f>
        <v>0</v>
      </c>
      <c r="BQ217" s="45">
        <f>+E217+H217+K217+Q217+T217+W217+Z217+AC217+AF217+AI217+AL217+AO217+AR217+AU217+AX217+BA217+BD217+BG217+BJ217+BM217+BP217</f>
        <v>0</v>
      </c>
    </row>
    <row r="218" ht="11.25" customHeight="1" spans="1:69" x14ac:dyDescent="0.25">
      <c r="A218" s="18">
        <v>426200000</v>
      </c>
      <c r="B218" s="18" t="s">
        <v>447</v>
      </c>
      <c r="C218" s="38">
        <f>IFERROR(VLOOKUP("1_"&amp;A218,SyS!$B:$P,10,FALSE()),0)</f>
        <v>0</v>
      </c>
      <c r="D218" s="39">
        <f>IFERROR(VLOOKUP("1_"&amp;A218,SyS!$B:$P,12,FALSE()),0)</f>
        <v>0</v>
      </c>
      <c r="E218" s="39">
        <f>+C218-D218</f>
        <v>0</v>
      </c>
      <c r="F218" s="38">
        <f>IFERROR(VLOOKUP("2_"&amp;A218,SyS!$B:$P,10,FALSE()),0)</f>
        <v>71.23</v>
      </c>
      <c r="G218" s="39">
        <f>IFERROR(VLOOKUP("2_"&amp;A218,SyS!$B:$P,12,FALSE()),0)</f>
        <v>0</v>
      </c>
      <c r="H218" s="40">
        <f>+F218-G218</f>
        <v>71.23</v>
      </c>
      <c r="I218" s="39"/>
      <c r="J218" s="39"/>
      <c r="K218" s="39"/>
      <c r="L218" s="39"/>
      <c r="M218" s="39"/>
      <c r="N218" s="39"/>
      <c r="O218" s="38">
        <f>IFERROR(VLOOKUP("14_"&amp;A218,SyS!$B:$P,10,FALSE()),0)</f>
        <v>0</v>
      </c>
      <c r="P218" s="39">
        <f>IFERROR(VLOOKUP("14_"&amp;A218,SyS!$B:$P,12,FALSE()),0)</f>
        <v>0</v>
      </c>
      <c r="Q218" s="40">
        <f>+O218-P218</f>
        <v>0</v>
      </c>
      <c r="R218" s="38">
        <f>IFERROR(VLOOKUP("15_"&amp;A218,SyS!$B:$P,10,FALSE()),0)</f>
        <v>0</v>
      </c>
      <c r="S218" s="39">
        <f>IFERROR(VLOOKUP("15_"&amp;A218,SyS!$B:$P,12,FALSE()),0)</f>
        <v>0</v>
      </c>
      <c r="T218" s="40">
        <f>+R218-S218</f>
        <v>0</v>
      </c>
      <c r="U218" s="38">
        <f>IFERROR(VLOOKUP("16_"&amp;A218,SyS!$B:$P,10,FALSE()),0)</f>
        <v>0</v>
      </c>
      <c r="V218" s="39">
        <f>IFERROR(VLOOKUP("16_"&amp;A218,SyS!$B:$P,12,FALSE()),0)</f>
        <v>0</v>
      </c>
      <c r="W218" s="40">
        <f>+U218-V218</f>
        <v>0</v>
      </c>
      <c r="X218" s="38">
        <f>IFERROR(VLOOKUP("13_"&amp;A218,SyS!$B:$P,10,FALSE()),0)</f>
        <v>0</v>
      </c>
      <c r="Y218" s="39">
        <f>IFERROR(VLOOKUP("13_"&amp;A218,SyS!$B:$P,12,FALSE()),0)</f>
        <v>0</v>
      </c>
      <c r="Z218" s="40">
        <f>+X218-Y218</f>
        <v>0</v>
      </c>
      <c r="AA218" s="38">
        <f>IFERROR(VLOOKUP("17_"&amp;A218,SyS!$B:$P,10,FALSE()),0)</f>
        <v>657.97</v>
      </c>
      <c r="AB218" s="39">
        <f>IFERROR(VLOOKUP("17_"&amp;A218,SyS!$B:$P,12,FALSE()),0)</f>
        <v>0</v>
      </c>
      <c r="AC218" s="40">
        <f>+AA218-AB218</f>
        <v>657.97</v>
      </c>
      <c r="AD218" s="39"/>
      <c r="AE218" s="39"/>
      <c r="AF218" s="39"/>
      <c r="AG218" s="39">
        <f>IFERROR(VLOOKUP("19_"&amp;A218,SyS!$B:$P,10,FALSE()),0)</f>
        <v>0</v>
      </c>
      <c r="AH218" s="39">
        <f>IFERROR(VLOOKUP("19_"&amp;A218,SyS!$B:$P,12,FALSE()),0)</f>
        <v>0</v>
      </c>
      <c r="AI218" s="39">
        <f>+AG218-AH218</f>
        <v>0</v>
      </c>
      <c r="AJ218" s="39"/>
      <c r="AK218" s="39"/>
      <c r="AL218" s="39"/>
      <c r="AM218" s="38">
        <f>IFERROR(VLOOKUP("23_"&amp;A218,SyS!$B:$P,10,FALSE()),0)</f>
        <v>0</v>
      </c>
      <c r="AN218" s="39">
        <f>IFERROR(VLOOKUP("23_"&amp;A218,SyS!$B:$P,12,FALSE()),0)</f>
        <v>0</v>
      </c>
      <c r="AO218" s="40">
        <f>+AM218-AN218</f>
        <v>0</v>
      </c>
      <c r="AP218" s="39"/>
      <c r="AQ218" s="39"/>
      <c r="AR218" s="39"/>
      <c r="AS218" s="39"/>
      <c r="AT218" s="39"/>
      <c r="AU218" s="39"/>
      <c r="AV218" s="39"/>
      <c r="AW218" s="39"/>
      <c r="AX218" s="39"/>
      <c r="AY218" s="39"/>
      <c r="AZ218" s="39"/>
      <c r="BA218" s="39"/>
      <c r="BB218" s="39"/>
      <c r="BC218" s="39"/>
      <c r="BD218" s="39"/>
      <c r="BE218" s="39"/>
      <c r="BF218" s="39"/>
      <c r="BG218" s="39"/>
      <c r="BH218" s="39"/>
      <c r="BI218" s="39"/>
      <c r="BJ218" s="39"/>
      <c r="BK218" s="39">
        <f>IFERROR(VLOOKUP("29_"&amp;A218,SyS!$B:$P,10,FALSE()),0)</f>
        <v>0</v>
      </c>
      <c r="BL218" s="39">
        <f>IFERROR(VLOOKUP("29_"&amp;A218,SyS!$B:$P,12,FALSE()),0)</f>
        <v>0</v>
      </c>
      <c r="BM218" s="39">
        <f>+BK218-BL218</f>
        <v>0</v>
      </c>
      <c r="BN218" s="38">
        <f>IFERROR(VLOOKUP("30_"&amp;A218,SyS!$B:$P,10,FALSE()),0)</f>
        <v>0</v>
      </c>
      <c r="BO218" s="39">
        <f>IFERROR(VLOOKUP("30_"&amp;A218,SyS!$B:$P,12,FALSE()),0)</f>
        <v>0</v>
      </c>
      <c r="BP218" s="40">
        <f>+BN218-BO218</f>
        <v>0</v>
      </c>
      <c r="BQ218" s="45">
        <f>+E218+H218+K218+Q218+T218+W218+Z218+AC218+AF218+AI218+AL218+AO218+AR218+AU218+AX218+BA218+BD218+BG218+BJ218+BM218+BP218</f>
        <v>729.2</v>
      </c>
    </row>
    <row r="219" ht="11.25" customHeight="1" spans="1:69" x14ac:dyDescent="0.25">
      <c r="A219" s="18">
        <v>426210000</v>
      </c>
      <c r="B219" s="18" t="s">
        <v>448</v>
      </c>
      <c r="C219" s="38">
        <f>IFERROR(VLOOKUP("1_"&amp;A219,SyS!$B:$P,10,FALSE()),0)</f>
        <v>0</v>
      </c>
      <c r="D219" s="39">
        <f>IFERROR(VLOOKUP("1_"&amp;A219,SyS!$B:$P,12,FALSE()),0)</f>
        <v>0</v>
      </c>
      <c r="E219" s="39">
        <f>+C219-D219</f>
        <v>0</v>
      </c>
      <c r="F219" s="38">
        <f>IFERROR(VLOOKUP("2_"&amp;A219,SyS!$B:$P,10,FALSE()),0)</f>
        <v>1767.88</v>
      </c>
      <c r="G219" s="39">
        <f>IFERROR(VLOOKUP("2_"&amp;A219,SyS!$B:$P,12,FALSE()),0)</f>
        <v>0</v>
      </c>
      <c r="H219" s="40">
        <f>+F219-G219</f>
        <v>1767.88</v>
      </c>
      <c r="I219" s="39"/>
      <c r="J219" s="39"/>
      <c r="K219" s="39"/>
      <c r="L219" s="39"/>
      <c r="M219" s="39"/>
      <c r="N219" s="39"/>
      <c r="O219" s="38">
        <f>IFERROR(VLOOKUP("14_"&amp;A219,SyS!$B:$P,10,FALSE()),0)</f>
        <v>0</v>
      </c>
      <c r="P219" s="39">
        <f>IFERROR(VLOOKUP("14_"&amp;A219,SyS!$B:$P,12,FALSE()),0)</f>
        <v>0</v>
      </c>
      <c r="Q219" s="40">
        <f>+O219-P219</f>
        <v>0</v>
      </c>
      <c r="R219" s="38">
        <f>IFERROR(VLOOKUP("15_"&amp;A219,SyS!$B:$P,10,FALSE()),0)</f>
        <v>0</v>
      </c>
      <c r="S219" s="39">
        <f>IFERROR(VLOOKUP("15_"&amp;A219,SyS!$B:$P,12,FALSE()),0)</f>
        <v>0</v>
      </c>
      <c r="T219" s="40">
        <f>+R219-S219</f>
        <v>0</v>
      </c>
      <c r="U219" s="38">
        <f>IFERROR(VLOOKUP("16_"&amp;A219,SyS!$B:$P,10,FALSE()),0)</f>
        <v>0</v>
      </c>
      <c r="V219" s="39">
        <f>IFERROR(VLOOKUP("16_"&amp;A219,SyS!$B:$P,12,FALSE()),0)</f>
        <v>0</v>
      </c>
      <c r="W219" s="40">
        <f>+U219-V219</f>
        <v>0</v>
      </c>
      <c r="X219" s="38">
        <f>IFERROR(VLOOKUP("13_"&amp;A219,SyS!$B:$P,10,FALSE()),0)</f>
        <v>0</v>
      </c>
      <c r="Y219" s="39">
        <f>IFERROR(VLOOKUP("13_"&amp;A219,SyS!$B:$P,12,FALSE()),0)</f>
        <v>0</v>
      </c>
      <c r="Z219" s="40">
        <f>+X219-Y219</f>
        <v>0</v>
      </c>
      <c r="AA219" s="38">
        <f>IFERROR(VLOOKUP("17_"&amp;A219,SyS!$B:$P,10,FALSE()),0)</f>
        <v>0</v>
      </c>
      <c r="AB219" s="39">
        <f>IFERROR(VLOOKUP("17_"&amp;A219,SyS!$B:$P,12,FALSE()),0)</f>
        <v>0</v>
      </c>
      <c r="AC219" s="40">
        <f>+AA219-AB219</f>
        <v>0</v>
      </c>
      <c r="AD219" s="39"/>
      <c r="AE219" s="39"/>
      <c r="AF219" s="39"/>
      <c r="AG219" s="39">
        <f>IFERROR(VLOOKUP("19_"&amp;A219,SyS!$B:$P,10,FALSE()),0)</f>
        <v>0</v>
      </c>
      <c r="AH219" s="39">
        <f>IFERROR(VLOOKUP("19_"&amp;A219,SyS!$B:$P,12,FALSE()),0)</f>
        <v>0</v>
      </c>
      <c r="AI219" s="39">
        <f>+AG219-AH219</f>
        <v>0</v>
      </c>
      <c r="AJ219" s="39"/>
      <c r="AK219" s="39"/>
      <c r="AL219" s="39"/>
      <c r="AM219" s="38">
        <f>IFERROR(VLOOKUP("23_"&amp;A219,SyS!$B:$P,10,FALSE()),0)</f>
        <v>0</v>
      </c>
      <c r="AN219" s="39">
        <f>IFERROR(VLOOKUP("23_"&amp;A219,SyS!$B:$P,12,FALSE()),0)</f>
        <v>0</v>
      </c>
      <c r="AO219" s="40">
        <f>+AM219-AN219</f>
        <v>0</v>
      </c>
      <c r="AP219" s="39"/>
      <c r="AQ219" s="39"/>
      <c r="AR219" s="39"/>
      <c r="AS219" s="39"/>
      <c r="AT219" s="39"/>
      <c r="AU219" s="39"/>
      <c r="AV219" s="39"/>
      <c r="AW219" s="39"/>
      <c r="AX219" s="39"/>
      <c r="AY219" s="39"/>
      <c r="AZ219" s="39"/>
      <c r="BA219" s="39"/>
      <c r="BB219" s="39"/>
      <c r="BC219" s="39"/>
      <c r="BD219" s="39"/>
      <c r="BE219" s="39"/>
      <c r="BF219" s="39"/>
      <c r="BG219" s="39"/>
      <c r="BH219" s="39"/>
      <c r="BI219" s="39"/>
      <c r="BJ219" s="39"/>
      <c r="BK219" s="39">
        <f>IFERROR(VLOOKUP("29_"&amp;A219,SyS!$B:$P,10,FALSE()),0)</f>
        <v>0</v>
      </c>
      <c r="BL219" s="39">
        <f>IFERROR(VLOOKUP("29_"&amp;A219,SyS!$B:$P,12,FALSE()),0)</f>
        <v>0</v>
      </c>
      <c r="BM219" s="39">
        <f>+BK219-BL219</f>
        <v>0</v>
      </c>
      <c r="BN219" s="38">
        <f>IFERROR(VLOOKUP("30_"&amp;A219,SyS!$B:$P,10,FALSE()),0)</f>
        <v>0</v>
      </c>
      <c r="BO219" s="39">
        <f>IFERROR(VLOOKUP("30_"&amp;A219,SyS!$B:$P,12,FALSE()),0)</f>
        <v>0</v>
      </c>
      <c r="BP219" s="40">
        <f>+BN219-BO219</f>
        <v>0</v>
      </c>
      <c r="BQ219" s="45">
        <f>+E219+H219+K219+Q219+T219+W219+Z219+AC219+AF219+AI219+AL219+AO219+AR219+AU219+AX219+BA219+BD219+BG219+BJ219+BM219+BP219</f>
        <v>1767.88</v>
      </c>
    </row>
    <row r="220" ht="11.25" customHeight="1" spans="1:69" x14ac:dyDescent="0.25">
      <c r="A220" s="18">
        <v>426220000</v>
      </c>
      <c r="B220" s="18" t="s">
        <v>449</v>
      </c>
      <c r="C220" s="38">
        <f>IFERROR(VLOOKUP("1_"&amp;A220,SyS!$B:$P,10,FALSE()),0)</f>
        <v>0</v>
      </c>
      <c r="D220" s="39">
        <f>IFERROR(VLOOKUP("1_"&amp;A220,SyS!$B:$P,12,FALSE()),0)</f>
        <v>0</v>
      </c>
      <c r="E220" s="39">
        <f>+C220-D220</f>
        <v>0</v>
      </c>
      <c r="F220" s="38">
        <f>IFERROR(VLOOKUP("2_"&amp;A220,SyS!$B:$P,10,FALSE()),0)</f>
        <v>4896.38</v>
      </c>
      <c r="G220" s="39">
        <f>IFERROR(VLOOKUP("2_"&amp;A220,SyS!$B:$P,12,FALSE()),0)</f>
        <v>0</v>
      </c>
      <c r="H220" s="40">
        <f>+F220-G220</f>
        <v>4896.38</v>
      </c>
      <c r="I220" s="39"/>
      <c r="J220" s="39"/>
      <c r="K220" s="39"/>
      <c r="L220" s="39"/>
      <c r="M220" s="39"/>
      <c r="N220" s="39"/>
      <c r="O220" s="38">
        <f>IFERROR(VLOOKUP("14_"&amp;A220,SyS!$B:$P,10,FALSE()),0)</f>
        <v>0</v>
      </c>
      <c r="P220" s="39">
        <f>IFERROR(VLOOKUP("14_"&amp;A220,SyS!$B:$P,12,FALSE()),0)</f>
        <v>0</v>
      </c>
      <c r="Q220" s="40">
        <f>+O220-P220</f>
        <v>0</v>
      </c>
      <c r="R220" s="38">
        <f>IFERROR(VLOOKUP("15_"&amp;A220,SyS!$B:$P,10,FALSE()),0)</f>
        <v>0</v>
      </c>
      <c r="S220" s="39">
        <f>IFERROR(VLOOKUP("15_"&amp;A220,SyS!$B:$P,12,FALSE()),0)</f>
        <v>0</v>
      </c>
      <c r="T220" s="40">
        <f>+R220-S220</f>
        <v>0</v>
      </c>
      <c r="U220" s="38">
        <f>IFERROR(VLOOKUP("16_"&amp;A220,SyS!$B:$P,10,FALSE()),0)</f>
        <v>0</v>
      </c>
      <c r="V220" s="39">
        <f>IFERROR(VLOOKUP("16_"&amp;A220,SyS!$B:$P,12,FALSE()),0)</f>
        <v>0</v>
      </c>
      <c r="W220" s="40">
        <f>+U220-V220</f>
        <v>0</v>
      </c>
      <c r="X220" s="38">
        <f>IFERROR(VLOOKUP("13_"&amp;A220,SyS!$B:$P,10,FALSE()),0)</f>
        <v>0</v>
      </c>
      <c r="Y220" s="39">
        <f>IFERROR(VLOOKUP("13_"&amp;A220,SyS!$B:$P,12,FALSE()),0)</f>
        <v>0</v>
      </c>
      <c r="Z220" s="40">
        <f>+X220-Y220</f>
        <v>0</v>
      </c>
      <c r="AA220" s="38">
        <f>IFERROR(VLOOKUP("17_"&amp;A220,SyS!$B:$P,10,FALSE()),0)</f>
        <v>807.88</v>
      </c>
      <c r="AB220" s="39">
        <f>IFERROR(VLOOKUP("17_"&amp;A220,SyS!$B:$P,12,FALSE()),0)</f>
        <v>0</v>
      </c>
      <c r="AC220" s="40">
        <f>+AA220-AB220</f>
        <v>807.88</v>
      </c>
      <c r="AD220" s="39"/>
      <c r="AE220" s="39"/>
      <c r="AF220" s="39"/>
      <c r="AG220" s="39">
        <f>IFERROR(VLOOKUP("19_"&amp;A220,SyS!$B:$P,10,FALSE()),0)</f>
        <v>0</v>
      </c>
      <c r="AH220" s="39">
        <f>IFERROR(VLOOKUP("19_"&amp;A220,SyS!$B:$P,12,FALSE()),0)</f>
        <v>0</v>
      </c>
      <c r="AI220" s="39">
        <f>+AG220-AH220</f>
        <v>0</v>
      </c>
      <c r="AJ220" s="39"/>
      <c r="AK220" s="39"/>
      <c r="AL220" s="39"/>
      <c r="AM220" s="38">
        <f>IFERROR(VLOOKUP("23_"&amp;A220,SyS!$B:$P,10,FALSE()),0)</f>
        <v>0</v>
      </c>
      <c r="AN220" s="39">
        <f>IFERROR(VLOOKUP("23_"&amp;A220,SyS!$B:$P,12,FALSE()),0)</f>
        <v>0</v>
      </c>
      <c r="AO220" s="40">
        <f>+AM220-AN220</f>
        <v>0</v>
      </c>
      <c r="AP220" s="39"/>
      <c r="AQ220" s="39"/>
      <c r="AR220" s="39"/>
      <c r="AS220" s="39"/>
      <c r="AT220" s="39"/>
      <c r="AU220" s="39"/>
      <c r="AV220" s="39"/>
      <c r="AW220" s="39"/>
      <c r="AX220" s="39"/>
      <c r="AY220" s="39"/>
      <c r="AZ220" s="39"/>
      <c r="BA220" s="39"/>
      <c r="BB220" s="39"/>
      <c r="BC220" s="39"/>
      <c r="BD220" s="39"/>
      <c r="BE220" s="39"/>
      <c r="BF220" s="39"/>
      <c r="BG220" s="39"/>
      <c r="BH220" s="39"/>
      <c r="BI220" s="39"/>
      <c r="BJ220" s="39"/>
      <c r="BK220" s="39">
        <f>IFERROR(VLOOKUP("29_"&amp;A220,SyS!$B:$P,10,FALSE()),0)</f>
        <v>0</v>
      </c>
      <c r="BL220" s="39">
        <f>IFERROR(VLOOKUP("29_"&amp;A220,SyS!$B:$P,12,FALSE()),0)</f>
        <v>0</v>
      </c>
      <c r="BM220" s="39">
        <f>+BK220-BL220</f>
        <v>0</v>
      </c>
      <c r="BN220" s="38">
        <f>IFERROR(VLOOKUP("30_"&amp;A220,SyS!$B:$P,10,FALSE()),0)</f>
        <v>0</v>
      </c>
      <c r="BO220" s="39">
        <f>IFERROR(VLOOKUP("30_"&amp;A220,SyS!$B:$P,12,FALSE()),0)</f>
        <v>0</v>
      </c>
      <c r="BP220" s="40">
        <f>+BN220-BO220</f>
        <v>0</v>
      </c>
      <c r="BQ220" s="45">
        <f>+E220+H220+K220+Q220+T220+W220+Z220+AC220+AF220+AI220+AL220+AO220+AR220+AU220+AX220+BA220+BD220+BG220+BJ220+BM220+BP220</f>
        <v>5704.26</v>
      </c>
    </row>
    <row r="221" ht="11.25" customHeight="1" spans="1:69" x14ac:dyDescent="0.25">
      <c r="A221" s="18">
        <v>426230000</v>
      </c>
      <c r="B221" s="18" t="s">
        <v>450</v>
      </c>
      <c r="C221" s="38">
        <f>IFERROR(VLOOKUP("1_"&amp;A221,SyS!$B:$P,10,FALSE()),0)</f>
        <v>0</v>
      </c>
      <c r="D221" s="39">
        <f>IFERROR(VLOOKUP("1_"&amp;A221,SyS!$B:$P,12,FALSE()),0)</f>
        <v>0</v>
      </c>
      <c r="E221" s="39">
        <f>+C221-D221</f>
        <v>0</v>
      </c>
      <c r="F221" s="38">
        <f>IFERROR(VLOOKUP("2_"&amp;A221,SyS!$B:$P,10,FALSE()),0)</f>
        <v>0</v>
      </c>
      <c r="G221" s="39">
        <f>IFERROR(VLOOKUP("2_"&amp;A221,SyS!$B:$P,12,FALSE()),0)</f>
        <v>0</v>
      </c>
      <c r="H221" s="40">
        <f>+F221-G221</f>
        <v>0</v>
      </c>
      <c r="I221" s="39"/>
      <c r="J221" s="39"/>
      <c r="K221" s="39"/>
      <c r="L221" s="39"/>
      <c r="M221" s="39"/>
      <c r="N221" s="39"/>
      <c r="O221" s="38">
        <f>IFERROR(VLOOKUP("14_"&amp;A221,SyS!$B:$P,10,FALSE()),0)</f>
        <v>0</v>
      </c>
      <c r="P221" s="39">
        <f>IFERROR(VLOOKUP("14_"&amp;A221,SyS!$B:$P,12,FALSE()),0)</f>
        <v>0</v>
      </c>
      <c r="Q221" s="40">
        <f>+O221-P221</f>
        <v>0</v>
      </c>
      <c r="R221" s="38">
        <f>IFERROR(VLOOKUP("15_"&amp;A221,SyS!$B:$P,10,FALSE()),0)</f>
        <v>0</v>
      </c>
      <c r="S221" s="39">
        <f>IFERROR(VLOOKUP("15_"&amp;A221,SyS!$B:$P,12,FALSE()),0)</f>
        <v>0</v>
      </c>
      <c r="T221" s="40">
        <f>+R221-S221</f>
        <v>0</v>
      </c>
      <c r="U221" s="38">
        <f>IFERROR(VLOOKUP("16_"&amp;A221,SyS!$B:$P,10,FALSE()),0)</f>
        <v>0</v>
      </c>
      <c r="V221" s="39">
        <f>IFERROR(VLOOKUP("16_"&amp;A221,SyS!$B:$P,12,FALSE()),0)</f>
        <v>0</v>
      </c>
      <c r="W221" s="40">
        <f>+U221-V221</f>
        <v>0</v>
      </c>
      <c r="X221" s="38">
        <f>IFERROR(VLOOKUP("13_"&amp;A221,SyS!$B:$P,10,FALSE()),0)</f>
        <v>0</v>
      </c>
      <c r="Y221" s="39">
        <f>IFERROR(VLOOKUP("13_"&amp;A221,SyS!$B:$P,12,FALSE()),0)</f>
        <v>0</v>
      </c>
      <c r="Z221" s="40">
        <f>+X221-Y221</f>
        <v>0</v>
      </c>
      <c r="AA221" s="38">
        <f>IFERROR(VLOOKUP("17_"&amp;A221,SyS!$B:$P,10,FALSE()),0)</f>
        <v>0</v>
      </c>
      <c r="AB221" s="39">
        <f>IFERROR(VLOOKUP("17_"&amp;A221,SyS!$B:$P,12,FALSE()),0)</f>
        <v>0</v>
      </c>
      <c r="AC221" s="40">
        <f>+AA221-AB221</f>
        <v>0</v>
      </c>
      <c r="AD221" s="39"/>
      <c r="AE221" s="39"/>
      <c r="AF221" s="39"/>
      <c r="AG221" s="39">
        <f>IFERROR(VLOOKUP("19_"&amp;A221,SyS!$B:$P,10,FALSE()),0)</f>
        <v>0</v>
      </c>
      <c r="AH221" s="39">
        <f>IFERROR(VLOOKUP("19_"&amp;A221,SyS!$B:$P,12,FALSE()),0)</f>
        <v>0</v>
      </c>
      <c r="AI221" s="39">
        <f>+AG221-AH221</f>
        <v>0</v>
      </c>
      <c r="AJ221" s="39"/>
      <c r="AK221" s="39"/>
      <c r="AL221" s="39"/>
      <c r="AM221" s="38">
        <f>IFERROR(VLOOKUP("23_"&amp;A221,SyS!$B:$P,10,FALSE()),0)</f>
        <v>0</v>
      </c>
      <c r="AN221" s="39">
        <f>IFERROR(VLOOKUP("23_"&amp;A221,SyS!$B:$P,12,FALSE()),0)</f>
        <v>0</v>
      </c>
      <c r="AO221" s="40">
        <f>+AM221-AN221</f>
        <v>0</v>
      </c>
      <c r="AP221" s="39"/>
      <c r="AQ221" s="39"/>
      <c r="AR221" s="39"/>
      <c r="AS221" s="39"/>
      <c r="AT221" s="39"/>
      <c r="AU221" s="39"/>
      <c r="AV221" s="39"/>
      <c r="AW221" s="39"/>
      <c r="AX221" s="39"/>
      <c r="AY221" s="39"/>
      <c r="AZ221" s="39"/>
      <c r="BA221" s="39"/>
      <c r="BB221" s="39"/>
      <c r="BC221" s="39"/>
      <c r="BD221" s="39"/>
      <c r="BE221" s="39"/>
      <c r="BF221" s="39"/>
      <c r="BG221" s="39"/>
      <c r="BH221" s="39"/>
      <c r="BI221" s="39"/>
      <c r="BJ221" s="39"/>
      <c r="BK221" s="39">
        <f>IFERROR(VLOOKUP("29_"&amp;A221,SyS!$B:$P,10,FALSE()),0)</f>
        <v>0</v>
      </c>
      <c r="BL221" s="39">
        <f>IFERROR(VLOOKUP("29_"&amp;A221,SyS!$B:$P,12,FALSE()),0)</f>
        <v>0</v>
      </c>
      <c r="BM221" s="39">
        <f>+BK221-BL221</f>
        <v>0</v>
      </c>
      <c r="BN221" s="38">
        <f>IFERROR(VLOOKUP("30_"&amp;A221,SyS!$B:$P,10,FALSE()),0)</f>
        <v>0</v>
      </c>
      <c r="BO221" s="39">
        <f>IFERROR(VLOOKUP("30_"&amp;A221,SyS!$B:$P,12,FALSE()),0)</f>
        <v>0</v>
      </c>
      <c r="BP221" s="40">
        <f>+BN221-BO221</f>
        <v>0</v>
      </c>
      <c r="BQ221" s="45">
        <f>+E221+H221+K221+Q221+T221+W221+Z221+AC221+AF221+AI221+AL221+AO221+AR221+AU221+AX221+BA221+BD221+BG221+BJ221+BM221+BP221</f>
        <v>0</v>
      </c>
    </row>
    <row r="222" ht="11.25" customHeight="1" spans="1:69" x14ac:dyDescent="0.25">
      <c r="A222" s="18">
        <v>426130000</v>
      </c>
      <c r="B222" s="18" t="s">
        <v>451</v>
      </c>
      <c r="C222" s="38">
        <f>IFERROR(VLOOKUP("1_"&amp;A222,SyS!$B:$P,10,FALSE()),0)</f>
        <v>0</v>
      </c>
      <c r="D222" s="39">
        <f>IFERROR(VLOOKUP("1_"&amp;A222,SyS!$B:$P,12,FALSE()),0)</f>
        <v>0</v>
      </c>
      <c r="E222" s="39">
        <f>+C222-D222</f>
        <v>0</v>
      </c>
      <c r="F222" s="38">
        <f>IFERROR(VLOOKUP("2_"&amp;A222,SyS!$B:$P,10,FALSE()),0)</f>
        <v>546.71</v>
      </c>
      <c r="G222" s="39">
        <f>IFERROR(VLOOKUP("2_"&amp;A222,SyS!$B:$P,12,FALSE()),0)</f>
        <v>0</v>
      </c>
      <c r="H222" s="40">
        <f>+F222-G222</f>
        <v>546.71</v>
      </c>
      <c r="I222" s="39"/>
      <c r="J222" s="39"/>
      <c r="K222" s="39"/>
      <c r="L222" s="39"/>
      <c r="M222" s="39"/>
      <c r="N222" s="39"/>
      <c r="O222" s="38">
        <f>IFERROR(VLOOKUP("14_"&amp;A222,SyS!$B:$P,10,FALSE()),0)</f>
        <v>0</v>
      </c>
      <c r="P222" s="39">
        <f>IFERROR(VLOOKUP("14_"&amp;A222,SyS!$B:$P,12,FALSE()),0)</f>
        <v>0</v>
      </c>
      <c r="Q222" s="40">
        <f>+O222-P222</f>
        <v>0</v>
      </c>
      <c r="R222" s="38">
        <f>IFERROR(VLOOKUP("15_"&amp;A222,SyS!$B:$P,10,FALSE()),0)</f>
        <v>0</v>
      </c>
      <c r="S222" s="39">
        <f>IFERROR(VLOOKUP("15_"&amp;A222,SyS!$B:$P,12,FALSE()),0)</f>
        <v>0</v>
      </c>
      <c r="T222" s="40">
        <f>+R222-S222</f>
        <v>0</v>
      </c>
      <c r="U222" s="38">
        <f>IFERROR(VLOOKUP("16_"&amp;A222,SyS!$B:$P,10,FALSE()),0)</f>
        <v>0</v>
      </c>
      <c r="V222" s="39">
        <f>IFERROR(VLOOKUP("16_"&amp;A222,SyS!$B:$P,12,FALSE()),0)</f>
        <v>0</v>
      </c>
      <c r="W222" s="40">
        <f>+U222-V222</f>
        <v>0</v>
      </c>
      <c r="X222" s="38">
        <f>IFERROR(VLOOKUP("13_"&amp;A222,SyS!$B:$P,10,FALSE()),0)</f>
        <v>0</v>
      </c>
      <c r="Y222" s="39">
        <f>IFERROR(VLOOKUP("13_"&amp;A222,SyS!$B:$P,12,FALSE()),0)</f>
        <v>0</v>
      </c>
      <c r="Z222" s="40">
        <f>+X222-Y222</f>
        <v>0</v>
      </c>
      <c r="AA222" s="38">
        <f>IFERROR(VLOOKUP("17_"&amp;A222,SyS!$B:$P,10,FALSE()),0)</f>
        <v>62.26</v>
      </c>
      <c r="AB222" s="39">
        <f>IFERROR(VLOOKUP("17_"&amp;A222,SyS!$B:$P,12,FALSE()),0)</f>
        <v>0</v>
      </c>
      <c r="AC222" s="40">
        <f>+AA222-AB222</f>
        <v>62.26</v>
      </c>
      <c r="AD222" s="39"/>
      <c r="AE222" s="39"/>
      <c r="AF222" s="39"/>
      <c r="AG222" s="39">
        <f>IFERROR(VLOOKUP("19_"&amp;A222,SyS!$B:$P,10,FALSE()),0)</f>
        <v>0</v>
      </c>
      <c r="AH222" s="39">
        <f>IFERROR(VLOOKUP("19_"&amp;A222,SyS!$B:$P,12,FALSE()),0)</f>
        <v>0</v>
      </c>
      <c r="AI222" s="39">
        <f>+AG222-AH222</f>
        <v>0</v>
      </c>
      <c r="AJ222" s="39"/>
      <c r="AK222" s="39"/>
      <c r="AL222" s="39"/>
      <c r="AM222" s="38">
        <f>IFERROR(VLOOKUP("23_"&amp;A222,SyS!$B:$P,10,FALSE()),0)</f>
        <v>0</v>
      </c>
      <c r="AN222" s="39">
        <f>IFERROR(VLOOKUP("23_"&amp;A222,SyS!$B:$P,12,FALSE()),0)</f>
        <v>0</v>
      </c>
      <c r="AO222" s="40">
        <f>+AM222-AN222</f>
        <v>0</v>
      </c>
      <c r="AP222" s="39"/>
      <c r="AQ222" s="39"/>
      <c r="AR222" s="39"/>
      <c r="AS222" s="39"/>
      <c r="AT222" s="39"/>
      <c r="AU222" s="39"/>
      <c r="AV222" s="39"/>
      <c r="AW222" s="39"/>
      <c r="AX222" s="39"/>
      <c r="AY222" s="39"/>
      <c r="AZ222" s="39"/>
      <c r="BA222" s="39"/>
      <c r="BB222" s="39"/>
      <c r="BC222" s="39"/>
      <c r="BD222" s="39"/>
      <c r="BE222" s="39"/>
      <c r="BF222" s="39"/>
      <c r="BG222" s="39"/>
      <c r="BH222" s="39"/>
      <c r="BI222" s="39"/>
      <c r="BJ222" s="39"/>
      <c r="BK222" s="39">
        <f>IFERROR(VLOOKUP("29_"&amp;A222,SyS!$B:$P,10,FALSE()),0)</f>
        <v>0</v>
      </c>
      <c r="BL222" s="39">
        <f>IFERROR(VLOOKUP("29_"&amp;A222,SyS!$B:$P,12,FALSE()),0)</f>
        <v>0</v>
      </c>
      <c r="BM222" s="39">
        <f>+BK222-BL222</f>
        <v>0</v>
      </c>
      <c r="BN222" s="38">
        <f>IFERROR(VLOOKUP("30_"&amp;A222,SyS!$B:$P,10,FALSE()),0)</f>
        <v>0</v>
      </c>
      <c r="BO222" s="39">
        <f>IFERROR(VLOOKUP("30_"&amp;A222,SyS!$B:$P,12,FALSE()),0)</f>
        <v>0</v>
      </c>
      <c r="BP222" s="40">
        <f>+BN222-BO222</f>
        <v>0</v>
      </c>
      <c r="BQ222" s="45">
        <f>+E222+H222+K222+Q222+T222+W222+Z222+AC222+AF222+AI222+AL222+AO222+AR222+AU222+AX222+BA222+BD222+BG222+BJ222+BM222+BP222</f>
        <v>608.97</v>
      </c>
    </row>
    <row r="223" ht="11.25" customHeight="1" spans="1:69" x14ac:dyDescent="0.25">
      <c r="A223" s="18">
        <v>426240000</v>
      </c>
      <c r="B223" s="18" t="s">
        <v>452</v>
      </c>
      <c r="C223" s="38">
        <f>IFERROR(VLOOKUP("1_"&amp;A223,SyS!$B:$P,10,FALSE()),0)</f>
        <v>0</v>
      </c>
      <c r="D223" s="39">
        <f>IFERROR(VLOOKUP("1_"&amp;A223,SyS!$B:$P,12,FALSE()),0)</f>
        <v>0</v>
      </c>
      <c r="E223" s="39">
        <f>+C223-D223</f>
        <v>0</v>
      </c>
      <c r="F223" s="38">
        <f>IFERROR(VLOOKUP("2_"&amp;A223,SyS!$B:$P,10,FALSE()),0)</f>
        <v>5063.900000000001</v>
      </c>
      <c r="G223" s="39">
        <f>IFERROR(VLOOKUP("2_"&amp;A223,SyS!$B:$P,12,FALSE()),0)</f>
        <v>0</v>
      </c>
      <c r="H223" s="40">
        <f>+F223-G223</f>
        <v>5063.900000000001</v>
      </c>
      <c r="I223" s="39"/>
      <c r="J223" s="39"/>
      <c r="K223" s="39"/>
      <c r="L223" s="39"/>
      <c r="M223" s="39"/>
      <c r="N223" s="39"/>
      <c r="O223" s="38">
        <f>IFERROR(VLOOKUP("14_"&amp;A223,SyS!$B:$P,10,FALSE()),0)</f>
        <v>0</v>
      </c>
      <c r="P223" s="39">
        <f>IFERROR(VLOOKUP("14_"&amp;A223,SyS!$B:$P,12,FALSE()),0)</f>
        <v>0</v>
      </c>
      <c r="Q223" s="40">
        <f>+O223-P223</f>
        <v>0</v>
      </c>
      <c r="R223" s="38">
        <f>IFERROR(VLOOKUP("15_"&amp;A223,SyS!$B:$P,10,FALSE()),0)</f>
        <v>0</v>
      </c>
      <c r="S223" s="39">
        <f>IFERROR(VLOOKUP("15_"&amp;A223,SyS!$B:$P,12,FALSE()),0)</f>
        <v>0</v>
      </c>
      <c r="T223" s="40">
        <f>+R223-S223</f>
        <v>0</v>
      </c>
      <c r="U223" s="38">
        <f>IFERROR(VLOOKUP("16_"&amp;A223,SyS!$B:$P,10,FALSE()),0)</f>
        <v>0</v>
      </c>
      <c r="V223" s="39">
        <f>IFERROR(VLOOKUP("16_"&amp;A223,SyS!$B:$P,12,FALSE()),0)</f>
        <v>0</v>
      </c>
      <c r="W223" s="40">
        <f>+U223-V223</f>
        <v>0</v>
      </c>
      <c r="X223" s="38">
        <f>IFERROR(VLOOKUP("13_"&amp;A223,SyS!$B:$P,10,FALSE()),0)</f>
        <v>0</v>
      </c>
      <c r="Y223" s="39">
        <f>IFERROR(VLOOKUP("13_"&amp;A223,SyS!$B:$P,12,FALSE()),0)</f>
        <v>0</v>
      </c>
      <c r="Z223" s="40">
        <f>+X223-Y223</f>
        <v>0</v>
      </c>
      <c r="AA223" s="38">
        <f>IFERROR(VLOOKUP("17_"&amp;A223,SyS!$B:$P,10,FALSE()),0)</f>
        <v>0</v>
      </c>
      <c r="AB223" s="39">
        <f>IFERROR(VLOOKUP("17_"&amp;A223,SyS!$B:$P,12,FALSE()),0)</f>
        <v>0</v>
      </c>
      <c r="AC223" s="40">
        <f>+AA223-AB223</f>
        <v>0</v>
      </c>
      <c r="AD223" s="39"/>
      <c r="AE223" s="39"/>
      <c r="AF223" s="39"/>
      <c r="AG223" s="39">
        <f>IFERROR(VLOOKUP("19_"&amp;A223,SyS!$B:$P,10,FALSE()),0)</f>
        <v>0</v>
      </c>
      <c r="AH223" s="39">
        <f>IFERROR(VLOOKUP("19_"&amp;A223,SyS!$B:$P,12,FALSE()),0)</f>
        <v>0</v>
      </c>
      <c r="AI223" s="39">
        <f>+AG223-AH223</f>
        <v>0</v>
      </c>
      <c r="AJ223" s="39"/>
      <c r="AK223" s="39"/>
      <c r="AL223" s="39"/>
      <c r="AM223" s="38">
        <f>IFERROR(VLOOKUP("23_"&amp;A223,SyS!$B:$P,10,FALSE()),0)</f>
        <v>0</v>
      </c>
      <c r="AN223" s="39">
        <f>IFERROR(VLOOKUP("23_"&amp;A223,SyS!$B:$P,12,FALSE()),0)</f>
        <v>0</v>
      </c>
      <c r="AO223" s="40">
        <f>+AM223-AN223</f>
        <v>0</v>
      </c>
      <c r="AP223" s="39"/>
      <c r="AQ223" s="39"/>
      <c r="AR223" s="39"/>
      <c r="AS223" s="39"/>
      <c r="AT223" s="39"/>
      <c r="AU223" s="39"/>
      <c r="AV223" s="39"/>
      <c r="AW223" s="39"/>
      <c r="AX223" s="39"/>
      <c r="AY223" s="39"/>
      <c r="AZ223" s="39"/>
      <c r="BA223" s="39"/>
      <c r="BB223" s="39"/>
      <c r="BC223" s="39"/>
      <c r="BD223" s="39"/>
      <c r="BE223" s="39"/>
      <c r="BF223" s="39"/>
      <c r="BG223" s="39"/>
      <c r="BH223" s="39"/>
      <c r="BI223" s="39"/>
      <c r="BJ223" s="39"/>
      <c r="BK223" s="39">
        <f>IFERROR(VLOOKUP("29_"&amp;A223,SyS!$B:$P,10,FALSE()),0)</f>
        <v>0</v>
      </c>
      <c r="BL223" s="39">
        <f>IFERROR(VLOOKUP("29_"&amp;A223,SyS!$B:$P,12,FALSE()),0)</f>
        <v>0</v>
      </c>
      <c r="BM223" s="39">
        <f>+BK223-BL223</f>
        <v>0</v>
      </c>
      <c r="BN223" s="38">
        <f>IFERROR(VLOOKUP("30_"&amp;A223,SyS!$B:$P,10,FALSE()),0)</f>
        <v>0</v>
      </c>
      <c r="BO223" s="39">
        <f>IFERROR(VLOOKUP("30_"&amp;A223,SyS!$B:$P,12,FALSE()),0)</f>
        <v>0</v>
      </c>
      <c r="BP223" s="40">
        <f>+BN223-BO223</f>
        <v>0</v>
      </c>
      <c r="BQ223" s="45">
        <f>+E223+H223+K223+Q223+T223+W223+Z223+AC223+AF223+AI223+AL223+AO223+AR223+AU223+AX223+BA223+BD223+BG223+BJ223+BM223+BP223</f>
        <v>5063.900000000001</v>
      </c>
    </row>
    <row r="224" ht="11.25" customHeight="1" spans="1:69" x14ac:dyDescent="0.25">
      <c r="A224" s="18">
        <v>426250000</v>
      </c>
      <c r="B224" s="18" t="s">
        <v>453</v>
      </c>
      <c r="C224" s="38">
        <f>IFERROR(VLOOKUP("1_"&amp;A224,SyS!$B:$P,10,FALSE()),0)</f>
        <v>0</v>
      </c>
      <c r="D224" s="39">
        <f>IFERROR(VLOOKUP("1_"&amp;A224,SyS!$B:$P,12,FALSE()),0)</f>
        <v>0</v>
      </c>
      <c r="E224" s="39">
        <f>+C224-D224</f>
        <v>0</v>
      </c>
      <c r="F224" s="38">
        <f>IFERROR(VLOOKUP("2_"&amp;A224,SyS!$B:$P,10,FALSE()),0)</f>
        <v>0</v>
      </c>
      <c r="G224" s="39">
        <f>IFERROR(VLOOKUP("2_"&amp;A224,SyS!$B:$P,12,FALSE()),0)</f>
        <v>0</v>
      </c>
      <c r="H224" s="40">
        <f>+F224-G224</f>
        <v>0</v>
      </c>
      <c r="I224" s="39"/>
      <c r="J224" s="39"/>
      <c r="K224" s="39"/>
      <c r="L224" s="39"/>
      <c r="M224" s="39"/>
      <c r="N224" s="39"/>
      <c r="O224" s="38">
        <f>IFERROR(VLOOKUP("14_"&amp;A224,SyS!$B:$P,10,FALSE()),0)</f>
        <v>0</v>
      </c>
      <c r="P224" s="39">
        <f>IFERROR(VLOOKUP("14_"&amp;A224,SyS!$B:$P,12,FALSE()),0)</f>
        <v>0</v>
      </c>
      <c r="Q224" s="40">
        <f>+O224-P224</f>
        <v>0</v>
      </c>
      <c r="R224" s="38">
        <f>IFERROR(VLOOKUP("15_"&amp;A224,SyS!$B:$P,10,FALSE()),0)</f>
        <v>0</v>
      </c>
      <c r="S224" s="39">
        <f>IFERROR(VLOOKUP("15_"&amp;A224,SyS!$B:$P,12,FALSE()),0)</f>
        <v>0</v>
      </c>
      <c r="T224" s="40">
        <f>+R224-S224</f>
        <v>0</v>
      </c>
      <c r="U224" s="38">
        <f>IFERROR(VLOOKUP("16_"&amp;A224,SyS!$B:$P,10,FALSE()),0)</f>
        <v>0</v>
      </c>
      <c r="V224" s="39">
        <f>IFERROR(VLOOKUP("16_"&amp;A224,SyS!$B:$P,12,FALSE()),0)</f>
        <v>0</v>
      </c>
      <c r="W224" s="40">
        <f>+U224-V224</f>
        <v>0</v>
      </c>
      <c r="X224" s="38">
        <f>IFERROR(VLOOKUP("13_"&amp;A224,SyS!$B:$P,10,FALSE()),0)</f>
        <v>0</v>
      </c>
      <c r="Y224" s="39">
        <f>IFERROR(VLOOKUP("13_"&amp;A224,SyS!$B:$P,12,FALSE()),0)</f>
        <v>0</v>
      </c>
      <c r="Z224" s="40">
        <f>+X224-Y224</f>
        <v>0</v>
      </c>
      <c r="AA224" s="38">
        <f>IFERROR(VLOOKUP("17_"&amp;A224,SyS!$B:$P,10,FALSE()),0)</f>
        <v>0</v>
      </c>
      <c r="AB224" s="39">
        <f>IFERROR(VLOOKUP("17_"&amp;A224,SyS!$B:$P,12,FALSE()),0)</f>
        <v>0</v>
      </c>
      <c r="AC224" s="40">
        <f>+AA224-AB224</f>
        <v>0</v>
      </c>
      <c r="AD224" s="39"/>
      <c r="AE224" s="39"/>
      <c r="AF224" s="39"/>
      <c r="AG224" s="39">
        <f>IFERROR(VLOOKUP("19_"&amp;A224,SyS!$B:$P,10,FALSE()),0)</f>
        <v>0</v>
      </c>
      <c r="AH224" s="39">
        <f>IFERROR(VLOOKUP("19_"&amp;A224,SyS!$B:$P,12,FALSE()),0)</f>
        <v>0</v>
      </c>
      <c r="AI224" s="39">
        <f>+AG224-AH224</f>
        <v>0</v>
      </c>
      <c r="AJ224" s="39"/>
      <c r="AK224" s="39"/>
      <c r="AL224" s="39"/>
      <c r="AM224" s="38">
        <f>IFERROR(VLOOKUP("23_"&amp;A224,SyS!$B:$P,10,FALSE()),0)</f>
        <v>0</v>
      </c>
      <c r="AN224" s="39">
        <f>IFERROR(VLOOKUP("23_"&amp;A224,SyS!$B:$P,12,FALSE()),0)</f>
        <v>0</v>
      </c>
      <c r="AO224" s="40">
        <f>+AM224-AN224</f>
        <v>0</v>
      </c>
      <c r="AP224" s="39"/>
      <c r="AQ224" s="39"/>
      <c r="AR224" s="39"/>
      <c r="AS224" s="39"/>
      <c r="AT224" s="39"/>
      <c r="AU224" s="39"/>
      <c r="AV224" s="39"/>
      <c r="AW224" s="39"/>
      <c r="AX224" s="39"/>
      <c r="AY224" s="39"/>
      <c r="AZ224" s="39"/>
      <c r="BA224" s="39"/>
      <c r="BB224" s="39"/>
      <c r="BC224" s="39"/>
      <c r="BD224" s="39"/>
      <c r="BE224" s="39"/>
      <c r="BF224" s="39"/>
      <c r="BG224" s="39"/>
      <c r="BH224" s="39"/>
      <c r="BI224" s="39"/>
      <c r="BJ224" s="39"/>
      <c r="BK224" s="39">
        <f>IFERROR(VLOOKUP("29_"&amp;A224,SyS!$B:$P,10,FALSE()),0)</f>
        <v>0</v>
      </c>
      <c r="BL224" s="39">
        <f>IFERROR(VLOOKUP("29_"&amp;A224,SyS!$B:$P,12,FALSE()),0)</f>
        <v>0</v>
      </c>
      <c r="BM224" s="39">
        <f>+BK224-BL224</f>
        <v>0</v>
      </c>
      <c r="BN224" s="38">
        <f>IFERROR(VLOOKUP("30_"&amp;A224,SyS!$B:$P,10,FALSE()),0)</f>
        <v>0</v>
      </c>
      <c r="BO224" s="39">
        <f>IFERROR(VLOOKUP("30_"&amp;A224,SyS!$B:$P,12,FALSE()),0)</f>
        <v>0</v>
      </c>
      <c r="BP224" s="40">
        <f>+BN224-BO224</f>
        <v>0</v>
      </c>
      <c r="BQ224" s="45">
        <f>+E224+H224+K224+Q224+T224+W224+Z224+AC224+AF224+AI224+AL224+AO224+AR224+AU224+AX224+BA224+BD224+BG224+BJ224+BM224+BP224</f>
        <v>0</v>
      </c>
    </row>
    <row r="225" ht="11.25" customHeight="1" spans="1:69" x14ac:dyDescent="0.25">
      <c r="A225" s="18">
        <v>426260000</v>
      </c>
      <c r="B225" s="18" t="s">
        <v>454</v>
      </c>
      <c r="C225" s="38">
        <f>IFERROR(VLOOKUP("1_"&amp;A225,SyS!$B:$P,10,FALSE()),0)</f>
        <v>0</v>
      </c>
      <c r="D225" s="39">
        <f>IFERROR(VLOOKUP("1_"&amp;A225,SyS!$B:$P,12,FALSE()),0)</f>
        <v>0</v>
      </c>
      <c r="E225" s="39">
        <f>+C225-D225</f>
        <v>0</v>
      </c>
      <c r="F225" s="38">
        <f>IFERROR(VLOOKUP("2_"&amp;A225,SyS!$B:$P,10,FALSE()),0)</f>
        <v>3411.31</v>
      </c>
      <c r="G225" s="39">
        <f>IFERROR(VLOOKUP("2_"&amp;A225,SyS!$B:$P,12,FALSE()),0)</f>
        <v>0</v>
      </c>
      <c r="H225" s="40">
        <f>+F225-G225</f>
        <v>3411.31</v>
      </c>
      <c r="I225" s="39"/>
      <c r="J225" s="39"/>
      <c r="K225" s="39"/>
      <c r="L225" s="39"/>
      <c r="M225" s="39"/>
      <c r="N225" s="39"/>
      <c r="O225" s="38">
        <f>IFERROR(VLOOKUP("14_"&amp;A225,SyS!$B:$P,10,FALSE()),0)</f>
        <v>0</v>
      </c>
      <c r="P225" s="39">
        <f>IFERROR(VLOOKUP("14_"&amp;A225,SyS!$B:$P,12,FALSE()),0)</f>
        <v>0</v>
      </c>
      <c r="Q225" s="40">
        <f>+O225-P225</f>
        <v>0</v>
      </c>
      <c r="R225" s="38">
        <f>IFERROR(VLOOKUP("15_"&amp;A225,SyS!$B:$P,10,FALSE()),0)</f>
        <v>0</v>
      </c>
      <c r="S225" s="39">
        <f>IFERROR(VLOOKUP("15_"&amp;A225,SyS!$B:$P,12,FALSE()),0)</f>
        <v>0</v>
      </c>
      <c r="T225" s="40">
        <f>+R225-S225</f>
        <v>0</v>
      </c>
      <c r="U225" s="38">
        <f>IFERROR(VLOOKUP("16_"&amp;A225,SyS!$B:$P,10,FALSE()),0)</f>
        <v>0</v>
      </c>
      <c r="V225" s="39">
        <f>IFERROR(VLOOKUP("16_"&amp;A225,SyS!$B:$P,12,FALSE()),0)</f>
        <v>0</v>
      </c>
      <c r="W225" s="40">
        <f>+U225-V225</f>
        <v>0</v>
      </c>
      <c r="X225" s="38">
        <f>IFERROR(VLOOKUP("13_"&amp;A225,SyS!$B:$P,10,FALSE()),0)</f>
        <v>0</v>
      </c>
      <c r="Y225" s="39">
        <f>IFERROR(VLOOKUP("13_"&amp;A225,SyS!$B:$P,12,FALSE()),0)</f>
        <v>0</v>
      </c>
      <c r="Z225" s="40">
        <f>+X225-Y225</f>
        <v>0</v>
      </c>
      <c r="AA225" s="38">
        <f>IFERROR(VLOOKUP("17_"&amp;A225,SyS!$B:$P,10,FALSE()),0)</f>
        <v>1120.94</v>
      </c>
      <c r="AB225" s="39">
        <f>IFERROR(VLOOKUP("17_"&amp;A225,SyS!$B:$P,12,FALSE()),0)</f>
        <v>0</v>
      </c>
      <c r="AC225" s="40">
        <f>+AA225-AB225</f>
        <v>1120.94</v>
      </c>
      <c r="AD225" s="39"/>
      <c r="AE225" s="39"/>
      <c r="AF225" s="39"/>
      <c r="AG225" s="39">
        <f>IFERROR(VLOOKUP("19_"&amp;A225,SyS!$B:$P,10,FALSE()),0)</f>
        <v>0</v>
      </c>
      <c r="AH225" s="39">
        <f>IFERROR(VLOOKUP("19_"&amp;A225,SyS!$B:$P,12,FALSE()),0)</f>
        <v>0</v>
      </c>
      <c r="AI225" s="39">
        <f>+AG225-AH225</f>
        <v>0</v>
      </c>
      <c r="AJ225" s="39"/>
      <c r="AK225" s="39"/>
      <c r="AL225" s="39"/>
      <c r="AM225" s="38">
        <f>IFERROR(VLOOKUP("23_"&amp;A225,SyS!$B:$P,10,FALSE()),0)</f>
        <v>0</v>
      </c>
      <c r="AN225" s="39">
        <f>IFERROR(VLOOKUP("23_"&amp;A225,SyS!$B:$P,12,FALSE()),0)</f>
        <v>0</v>
      </c>
      <c r="AO225" s="40">
        <f>+AM225-AN225</f>
        <v>0</v>
      </c>
      <c r="AP225" s="39"/>
      <c r="AQ225" s="39"/>
      <c r="AR225" s="39"/>
      <c r="AS225" s="39"/>
      <c r="AT225" s="39"/>
      <c r="AU225" s="39"/>
      <c r="AV225" s="39"/>
      <c r="AW225" s="39"/>
      <c r="AX225" s="39"/>
      <c r="AY225" s="39"/>
      <c r="AZ225" s="39"/>
      <c r="BA225" s="39"/>
      <c r="BB225" s="39"/>
      <c r="BC225" s="39"/>
      <c r="BD225" s="39"/>
      <c r="BE225" s="39"/>
      <c r="BF225" s="39"/>
      <c r="BG225" s="39"/>
      <c r="BH225" s="39"/>
      <c r="BI225" s="39"/>
      <c r="BJ225" s="39"/>
      <c r="BK225" s="39">
        <f>IFERROR(VLOOKUP("29_"&amp;A225,SyS!$B:$P,10,FALSE()),0)</f>
        <v>0</v>
      </c>
      <c r="BL225" s="39">
        <f>IFERROR(VLOOKUP("29_"&amp;A225,SyS!$B:$P,12,FALSE()),0)</f>
        <v>0</v>
      </c>
      <c r="BM225" s="39">
        <f>+BK225-BL225</f>
        <v>0</v>
      </c>
      <c r="BN225" s="38">
        <f>IFERROR(VLOOKUP("30_"&amp;A225,SyS!$B:$P,10,FALSE()),0)</f>
        <v>0</v>
      </c>
      <c r="BO225" s="39">
        <f>IFERROR(VLOOKUP("30_"&amp;A225,SyS!$B:$P,12,FALSE()),0)</f>
        <v>0</v>
      </c>
      <c r="BP225" s="40">
        <f>+BN225-BO225</f>
        <v>0</v>
      </c>
      <c r="BQ225" s="45">
        <f>+E225+H225+K225+Q225+T225+W225+Z225+AC225+AF225+AI225+AL225+AO225+AR225+AU225+AX225+BA225+BD225+BG225+BJ225+BM225+BP225</f>
        <v>4532.25</v>
      </c>
    </row>
    <row r="226" ht="11.25" customHeight="1" spans="1:69" x14ac:dyDescent="0.25">
      <c r="A226" s="18">
        <v>426270000</v>
      </c>
      <c r="B226" s="18" t="s">
        <v>455</v>
      </c>
      <c r="C226" s="38">
        <f>IFERROR(VLOOKUP("1_"&amp;A226,SyS!$B:$P,10,FALSE()),0)</f>
        <v>0</v>
      </c>
      <c r="D226" s="39">
        <f>IFERROR(VLOOKUP("1_"&amp;A226,SyS!$B:$P,12,FALSE()),0)</f>
        <v>0</v>
      </c>
      <c r="E226" s="39">
        <f>+C226-D226</f>
        <v>0</v>
      </c>
      <c r="F226" s="38">
        <f>IFERROR(VLOOKUP("2_"&amp;A226,SyS!$B:$P,10,FALSE()),0)</f>
        <v>51.42</v>
      </c>
      <c r="G226" s="39">
        <f>IFERROR(VLOOKUP("2_"&amp;A226,SyS!$B:$P,12,FALSE()),0)</f>
        <v>0</v>
      </c>
      <c r="H226" s="40">
        <f>+F226-G226</f>
        <v>51.42</v>
      </c>
      <c r="I226" s="39"/>
      <c r="J226" s="39"/>
      <c r="K226" s="39"/>
      <c r="L226" s="39"/>
      <c r="M226" s="39"/>
      <c r="N226" s="39"/>
      <c r="O226" s="38">
        <f>IFERROR(VLOOKUP("14_"&amp;A226,SyS!$B:$P,10,FALSE()),0)</f>
        <v>0</v>
      </c>
      <c r="P226" s="39">
        <f>IFERROR(VLOOKUP("14_"&amp;A226,SyS!$B:$P,12,FALSE()),0)</f>
        <v>0</v>
      </c>
      <c r="Q226" s="40">
        <f>+O226-P226</f>
        <v>0</v>
      </c>
      <c r="R226" s="38">
        <f>IFERROR(VLOOKUP("15_"&amp;A226,SyS!$B:$P,10,FALSE()),0)</f>
        <v>0</v>
      </c>
      <c r="S226" s="39">
        <f>IFERROR(VLOOKUP("15_"&amp;A226,SyS!$B:$P,12,FALSE()),0)</f>
        <v>0</v>
      </c>
      <c r="T226" s="40">
        <f>+R226-S226</f>
        <v>0</v>
      </c>
      <c r="U226" s="38">
        <f>IFERROR(VLOOKUP("16_"&amp;A226,SyS!$B:$P,10,FALSE()),0)</f>
        <v>0</v>
      </c>
      <c r="V226" s="39">
        <f>IFERROR(VLOOKUP("16_"&amp;A226,SyS!$B:$P,12,FALSE()),0)</f>
        <v>0</v>
      </c>
      <c r="W226" s="40">
        <f>+U226-V226</f>
        <v>0</v>
      </c>
      <c r="X226" s="38">
        <f>IFERROR(VLOOKUP("13_"&amp;A226,SyS!$B:$P,10,FALSE()),0)</f>
        <v>0</v>
      </c>
      <c r="Y226" s="39">
        <f>IFERROR(VLOOKUP("13_"&amp;A226,SyS!$B:$P,12,FALSE()),0)</f>
        <v>0</v>
      </c>
      <c r="Z226" s="40">
        <f>+X226-Y226</f>
        <v>0</v>
      </c>
      <c r="AA226" s="38">
        <f>IFERROR(VLOOKUP("17_"&amp;A226,SyS!$B:$P,10,FALSE()),0)</f>
        <v>0</v>
      </c>
      <c r="AB226" s="39">
        <f>IFERROR(VLOOKUP("17_"&amp;A226,SyS!$B:$P,12,FALSE()),0)</f>
        <v>0</v>
      </c>
      <c r="AC226" s="40">
        <f>+AA226-AB226</f>
        <v>0</v>
      </c>
      <c r="AD226" s="39"/>
      <c r="AE226" s="39"/>
      <c r="AF226" s="39"/>
      <c r="AG226" s="39">
        <f>IFERROR(VLOOKUP("19_"&amp;A226,SyS!$B:$P,10,FALSE()),0)</f>
        <v>0</v>
      </c>
      <c r="AH226" s="39">
        <f>IFERROR(VLOOKUP("19_"&amp;A226,SyS!$B:$P,12,FALSE()),0)</f>
        <v>0</v>
      </c>
      <c r="AI226" s="39">
        <f>+AG226-AH226</f>
        <v>0</v>
      </c>
      <c r="AJ226" s="39"/>
      <c r="AK226" s="39"/>
      <c r="AL226" s="39"/>
      <c r="AM226" s="38">
        <f>IFERROR(VLOOKUP("23_"&amp;A226,SyS!$B:$P,10,FALSE()),0)</f>
        <v>0</v>
      </c>
      <c r="AN226" s="39">
        <f>IFERROR(VLOOKUP("23_"&amp;A226,SyS!$B:$P,12,FALSE()),0)</f>
        <v>0</v>
      </c>
      <c r="AO226" s="40">
        <f>+AM226-AN226</f>
        <v>0</v>
      </c>
      <c r="AP226" s="39"/>
      <c r="AQ226" s="39"/>
      <c r="AR226" s="39"/>
      <c r="AS226" s="39"/>
      <c r="AT226" s="39"/>
      <c r="AU226" s="39"/>
      <c r="AV226" s="39"/>
      <c r="AW226" s="39"/>
      <c r="AX226" s="39"/>
      <c r="AY226" s="39"/>
      <c r="AZ226" s="39"/>
      <c r="BA226" s="39"/>
      <c r="BB226" s="39"/>
      <c r="BC226" s="39"/>
      <c r="BD226" s="39"/>
      <c r="BE226" s="39"/>
      <c r="BF226" s="39"/>
      <c r="BG226" s="39"/>
      <c r="BH226" s="39"/>
      <c r="BI226" s="39"/>
      <c r="BJ226" s="39"/>
      <c r="BK226" s="39">
        <f>IFERROR(VLOOKUP("29_"&amp;A226,SyS!$B:$P,10,FALSE()),0)</f>
        <v>0</v>
      </c>
      <c r="BL226" s="39">
        <f>IFERROR(VLOOKUP("29_"&amp;A226,SyS!$B:$P,12,FALSE()),0)</f>
        <v>0</v>
      </c>
      <c r="BM226" s="39">
        <f>+BK226-BL226</f>
        <v>0</v>
      </c>
      <c r="BN226" s="38">
        <f>IFERROR(VLOOKUP("30_"&amp;A226,SyS!$B:$P,10,FALSE()),0)</f>
        <v>0</v>
      </c>
      <c r="BO226" s="39">
        <f>IFERROR(VLOOKUP("30_"&amp;A226,SyS!$B:$P,12,FALSE()),0)</f>
        <v>0</v>
      </c>
      <c r="BP226" s="40">
        <f>+BN226-BO226</f>
        <v>0</v>
      </c>
      <c r="BQ226" s="45">
        <f>+E226+H226+K226+Q226+T226+W226+Z226+AC226+AF226+AI226+AL226+AO226+AR226+AU226+AX226+BA226+BD226+BG226+BJ226+BM226+BP226</f>
        <v>51.42</v>
      </c>
    </row>
    <row r="227" ht="11.25" customHeight="1" spans="1:69" x14ac:dyDescent="0.25">
      <c r="A227" s="18">
        <v>426280000</v>
      </c>
      <c r="B227" s="18" t="s">
        <v>456</v>
      </c>
      <c r="C227" s="38">
        <f>IFERROR(VLOOKUP("1_"&amp;A227,SyS!$B:$P,10,FALSE()),0)</f>
        <v>0</v>
      </c>
      <c r="D227" s="39">
        <f>IFERROR(VLOOKUP("1_"&amp;A227,SyS!$B:$P,12,FALSE()),0)</f>
        <v>0</v>
      </c>
      <c r="E227" s="39">
        <f>+C227-D227</f>
        <v>0</v>
      </c>
      <c r="F227" s="38">
        <f>IFERROR(VLOOKUP("2_"&amp;A227,SyS!$B:$P,10,FALSE()),0)</f>
        <v>30.78</v>
      </c>
      <c r="G227" s="39">
        <f>IFERROR(VLOOKUP("2_"&amp;A227,SyS!$B:$P,12,FALSE()),0)</f>
        <v>0</v>
      </c>
      <c r="H227" s="40">
        <f>+F227-G227</f>
        <v>30.78</v>
      </c>
      <c r="I227" s="39"/>
      <c r="J227" s="39"/>
      <c r="K227" s="39"/>
      <c r="L227" s="39"/>
      <c r="M227" s="39"/>
      <c r="N227" s="39"/>
      <c r="O227" s="38">
        <f>IFERROR(VLOOKUP("14_"&amp;A227,SyS!$B:$P,10,FALSE()),0)</f>
        <v>0</v>
      </c>
      <c r="P227" s="39">
        <f>IFERROR(VLOOKUP("14_"&amp;A227,SyS!$B:$P,12,FALSE()),0)</f>
        <v>0</v>
      </c>
      <c r="Q227" s="40">
        <f>+O227-P227</f>
        <v>0</v>
      </c>
      <c r="R227" s="38">
        <f>IFERROR(VLOOKUP("15_"&amp;A227,SyS!$B:$P,10,FALSE()),0)</f>
        <v>0</v>
      </c>
      <c r="S227" s="39">
        <f>IFERROR(VLOOKUP("15_"&amp;A227,SyS!$B:$P,12,FALSE()),0)</f>
        <v>0</v>
      </c>
      <c r="T227" s="40">
        <f>+R227-S227</f>
        <v>0</v>
      </c>
      <c r="U227" s="38">
        <f>IFERROR(VLOOKUP("16_"&amp;A227,SyS!$B:$P,10,FALSE()),0)</f>
        <v>0</v>
      </c>
      <c r="V227" s="39">
        <f>IFERROR(VLOOKUP("16_"&amp;A227,SyS!$B:$P,12,FALSE()),0)</f>
        <v>0</v>
      </c>
      <c r="W227" s="40">
        <f>+U227-V227</f>
        <v>0</v>
      </c>
      <c r="X227" s="38">
        <f>IFERROR(VLOOKUP("13_"&amp;A227,SyS!$B:$P,10,FALSE()),0)</f>
        <v>0</v>
      </c>
      <c r="Y227" s="39">
        <f>IFERROR(VLOOKUP("13_"&amp;A227,SyS!$B:$P,12,FALSE()),0)</f>
        <v>0</v>
      </c>
      <c r="Z227" s="40">
        <f>+X227-Y227</f>
        <v>0</v>
      </c>
      <c r="AA227" s="38">
        <f>IFERROR(VLOOKUP("17_"&amp;A227,SyS!$B:$P,10,FALSE()),0)</f>
        <v>0</v>
      </c>
      <c r="AB227" s="39">
        <f>IFERROR(VLOOKUP("17_"&amp;A227,SyS!$B:$P,12,FALSE()),0)</f>
        <v>0</v>
      </c>
      <c r="AC227" s="40">
        <f>+AA227-AB227</f>
        <v>0</v>
      </c>
      <c r="AD227" s="39"/>
      <c r="AE227" s="39"/>
      <c r="AF227" s="39"/>
      <c r="AG227" s="39">
        <f>IFERROR(VLOOKUP("19_"&amp;A227,SyS!$B:$P,10,FALSE()),0)</f>
        <v>0</v>
      </c>
      <c r="AH227" s="39">
        <f>IFERROR(VLOOKUP("19_"&amp;A227,SyS!$B:$P,12,FALSE()),0)</f>
        <v>0</v>
      </c>
      <c r="AI227" s="39">
        <f>+AG227-AH227</f>
        <v>0</v>
      </c>
      <c r="AJ227" s="39"/>
      <c r="AK227" s="39"/>
      <c r="AL227" s="39"/>
      <c r="AM227" s="38">
        <f>IFERROR(VLOOKUP("23_"&amp;A227,SyS!$B:$P,10,FALSE()),0)</f>
        <v>0</v>
      </c>
      <c r="AN227" s="39">
        <f>IFERROR(VLOOKUP("23_"&amp;A227,SyS!$B:$P,12,FALSE()),0)</f>
        <v>0</v>
      </c>
      <c r="AO227" s="40">
        <f>+AM227-AN227</f>
        <v>0</v>
      </c>
      <c r="AP227" s="39"/>
      <c r="AQ227" s="39"/>
      <c r="AR227" s="39"/>
      <c r="AS227" s="39"/>
      <c r="AT227" s="39"/>
      <c r="AU227" s="39"/>
      <c r="AV227" s="39"/>
      <c r="AW227" s="39"/>
      <c r="AX227" s="39"/>
      <c r="AY227" s="39"/>
      <c r="AZ227" s="39"/>
      <c r="BA227" s="39"/>
      <c r="BB227" s="39"/>
      <c r="BC227" s="39"/>
      <c r="BD227" s="39"/>
      <c r="BE227" s="39"/>
      <c r="BF227" s="39"/>
      <c r="BG227" s="39"/>
      <c r="BH227" s="39"/>
      <c r="BI227" s="39"/>
      <c r="BJ227" s="39"/>
      <c r="BK227" s="39">
        <f>IFERROR(VLOOKUP("29_"&amp;A227,SyS!$B:$P,10,FALSE()),0)</f>
        <v>0</v>
      </c>
      <c r="BL227" s="39">
        <f>IFERROR(VLOOKUP("29_"&amp;A227,SyS!$B:$P,12,FALSE()),0)</f>
        <v>0</v>
      </c>
      <c r="BM227" s="39">
        <f>+BK227-BL227</f>
        <v>0</v>
      </c>
      <c r="BN227" s="38">
        <f>IFERROR(VLOOKUP("30_"&amp;A227,SyS!$B:$P,10,FALSE()),0)</f>
        <v>0</v>
      </c>
      <c r="BO227" s="39">
        <f>IFERROR(VLOOKUP("30_"&amp;A227,SyS!$B:$P,12,FALSE()),0)</f>
        <v>0</v>
      </c>
      <c r="BP227" s="40">
        <f>+BN227-BO227</f>
        <v>0</v>
      </c>
      <c r="BQ227" s="45">
        <f>+E227+H227+K227+Q227+T227+W227+Z227+AC227+AF227+AI227+AL227+AO227+AR227+AU227+AX227+BA227+BD227+BG227+BJ227+BM227+BP227</f>
        <v>30.78</v>
      </c>
    </row>
    <row r="228" ht="11.25" customHeight="1" spans="1:69" x14ac:dyDescent="0.25">
      <c r="A228" s="18">
        <v>426290000</v>
      </c>
      <c r="B228" s="18" t="s">
        <v>457</v>
      </c>
      <c r="C228" s="38">
        <f>IFERROR(VLOOKUP("1_"&amp;A228,SyS!$B:$P,10,FALSE()),0)</f>
        <v>0</v>
      </c>
      <c r="D228" s="39">
        <f>IFERROR(VLOOKUP("1_"&amp;A228,SyS!$B:$P,12,FALSE()),0)</f>
        <v>0</v>
      </c>
      <c r="E228" s="39">
        <f>+C228-D228</f>
        <v>0</v>
      </c>
      <c r="F228" s="38">
        <f>IFERROR(VLOOKUP("2_"&amp;A228,SyS!$B:$P,10,FALSE()),0)</f>
        <v>0</v>
      </c>
      <c r="G228" s="39">
        <f>IFERROR(VLOOKUP("2_"&amp;A228,SyS!$B:$P,12,FALSE()),0)</f>
        <v>0</v>
      </c>
      <c r="H228" s="40">
        <f>+F228-G228</f>
        <v>0</v>
      </c>
      <c r="I228" s="39"/>
      <c r="J228" s="39"/>
      <c r="K228" s="39"/>
      <c r="L228" s="39"/>
      <c r="M228" s="39"/>
      <c r="N228" s="39"/>
      <c r="O228" s="38">
        <f>IFERROR(VLOOKUP("14_"&amp;A228,SyS!$B:$P,10,FALSE()),0)</f>
        <v>0</v>
      </c>
      <c r="P228" s="39">
        <f>IFERROR(VLOOKUP("14_"&amp;A228,SyS!$B:$P,12,FALSE()),0)</f>
        <v>0</v>
      </c>
      <c r="Q228" s="40">
        <f>+O228-P228</f>
        <v>0</v>
      </c>
      <c r="R228" s="38">
        <f>IFERROR(VLOOKUP("15_"&amp;A228,SyS!$B:$P,10,FALSE()),0)</f>
        <v>0</v>
      </c>
      <c r="S228" s="39">
        <f>IFERROR(VLOOKUP("15_"&amp;A228,SyS!$B:$P,12,FALSE()),0)</f>
        <v>0</v>
      </c>
      <c r="T228" s="40">
        <f>+R228-S228</f>
        <v>0</v>
      </c>
      <c r="U228" s="38">
        <f>IFERROR(VLOOKUP("16_"&amp;A228,SyS!$B:$P,10,FALSE()),0)</f>
        <v>0</v>
      </c>
      <c r="V228" s="39">
        <f>IFERROR(VLOOKUP("16_"&amp;A228,SyS!$B:$P,12,FALSE()),0)</f>
        <v>0</v>
      </c>
      <c r="W228" s="40">
        <f>+U228-V228</f>
        <v>0</v>
      </c>
      <c r="X228" s="38">
        <f>IFERROR(VLOOKUP("13_"&amp;A228,SyS!$B:$P,10,FALSE()),0)</f>
        <v>0</v>
      </c>
      <c r="Y228" s="39">
        <f>IFERROR(VLOOKUP("13_"&amp;A228,SyS!$B:$P,12,FALSE()),0)</f>
        <v>0</v>
      </c>
      <c r="Z228" s="40">
        <f>+X228-Y228</f>
        <v>0</v>
      </c>
      <c r="AA228" s="38">
        <f>IFERROR(VLOOKUP("17_"&amp;A228,SyS!$B:$P,10,FALSE()),0)</f>
        <v>0</v>
      </c>
      <c r="AB228" s="39">
        <f>IFERROR(VLOOKUP("17_"&amp;A228,SyS!$B:$P,12,FALSE()),0)</f>
        <v>0</v>
      </c>
      <c r="AC228" s="40">
        <f>+AA228-AB228</f>
        <v>0</v>
      </c>
      <c r="AD228" s="39"/>
      <c r="AE228" s="39"/>
      <c r="AF228" s="39"/>
      <c r="AG228" s="39">
        <f>IFERROR(VLOOKUP("19_"&amp;A228,SyS!$B:$P,10,FALSE()),0)</f>
        <v>0</v>
      </c>
      <c r="AH228" s="39">
        <f>IFERROR(VLOOKUP("19_"&amp;A228,SyS!$B:$P,12,FALSE()),0)</f>
        <v>0</v>
      </c>
      <c r="AI228" s="39">
        <f>+AG228-AH228</f>
        <v>0</v>
      </c>
      <c r="AJ228" s="39"/>
      <c r="AK228" s="39"/>
      <c r="AL228" s="39"/>
      <c r="AM228" s="38">
        <f>IFERROR(VLOOKUP("23_"&amp;A228,SyS!$B:$P,10,FALSE()),0)</f>
        <v>0</v>
      </c>
      <c r="AN228" s="39">
        <f>IFERROR(VLOOKUP("23_"&amp;A228,SyS!$B:$P,12,FALSE()),0)</f>
        <v>0</v>
      </c>
      <c r="AO228" s="40">
        <f>+AM228-AN228</f>
        <v>0</v>
      </c>
      <c r="AP228" s="39"/>
      <c r="AQ228" s="39"/>
      <c r="AR228" s="39"/>
      <c r="AS228" s="39"/>
      <c r="AT228" s="39"/>
      <c r="AU228" s="39"/>
      <c r="AV228" s="39"/>
      <c r="AW228" s="39"/>
      <c r="AX228" s="39"/>
      <c r="AY228" s="39"/>
      <c r="AZ228" s="39"/>
      <c r="BA228" s="39"/>
      <c r="BB228" s="39"/>
      <c r="BC228" s="39"/>
      <c r="BD228" s="39"/>
      <c r="BE228" s="39"/>
      <c r="BF228" s="39"/>
      <c r="BG228" s="39"/>
      <c r="BH228" s="39"/>
      <c r="BI228" s="39"/>
      <c r="BJ228" s="39"/>
      <c r="BK228" s="39">
        <f>IFERROR(VLOOKUP("29_"&amp;A228,SyS!$B:$P,10,FALSE()),0)</f>
        <v>0</v>
      </c>
      <c r="BL228" s="39">
        <f>IFERROR(VLOOKUP("29_"&amp;A228,SyS!$B:$P,12,FALSE()),0)</f>
        <v>0</v>
      </c>
      <c r="BM228" s="39">
        <f>+BK228-BL228</f>
        <v>0</v>
      </c>
      <c r="BN228" s="38">
        <f>IFERROR(VLOOKUP("30_"&amp;A228,SyS!$B:$P,10,FALSE()),0)</f>
        <v>0</v>
      </c>
      <c r="BO228" s="39">
        <f>IFERROR(VLOOKUP("30_"&amp;A228,SyS!$B:$P,12,FALSE()),0)</f>
        <v>0</v>
      </c>
      <c r="BP228" s="40">
        <f>+BN228-BO228</f>
        <v>0</v>
      </c>
      <c r="BQ228" s="45">
        <f>+E228+H228+K228+Q228+T228+W228+Z228+AC228+AF228+AI228+AL228+AO228+AR228+AU228+AX228+BA228+BD228+BG228+BJ228+BM228+BP228</f>
        <v>0</v>
      </c>
    </row>
    <row r="229" ht="11.25" customHeight="1" spans="1:69" x14ac:dyDescent="0.25">
      <c r="A229" s="18">
        <v>426310000</v>
      </c>
      <c r="B229" s="18" t="s">
        <v>458</v>
      </c>
      <c r="C229" s="38">
        <f>IFERROR(VLOOKUP("1_"&amp;A229,SyS!$B:$P,10,FALSE()),0)</f>
        <v>0</v>
      </c>
      <c r="D229" s="39">
        <f>IFERROR(VLOOKUP("1_"&amp;A229,SyS!$B:$P,12,FALSE()),0)</f>
        <v>0</v>
      </c>
      <c r="E229" s="39">
        <f>+C229-D229</f>
        <v>0</v>
      </c>
      <c r="F229" s="38">
        <f>IFERROR(VLOOKUP("2_"&amp;A229,SyS!$B:$P,10,FALSE()),0)</f>
        <v>0</v>
      </c>
      <c r="G229" s="39">
        <f>IFERROR(VLOOKUP("2_"&amp;A229,SyS!$B:$P,12,FALSE()),0)</f>
        <v>0</v>
      </c>
      <c r="H229" s="40">
        <f>+F229-G229</f>
        <v>0</v>
      </c>
      <c r="I229" s="39"/>
      <c r="J229" s="39"/>
      <c r="K229" s="39"/>
      <c r="L229" s="39"/>
      <c r="M229" s="39"/>
      <c r="N229" s="39"/>
      <c r="O229" s="38">
        <f>IFERROR(VLOOKUP("14_"&amp;A229,SyS!$B:$P,10,FALSE()),0)</f>
        <v>0</v>
      </c>
      <c r="P229" s="39">
        <f>IFERROR(VLOOKUP("14_"&amp;A229,SyS!$B:$P,12,FALSE()),0)</f>
        <v>0</v>
      </c>
      <c r="Q229" s="40">
        <f>+O229-P229</f>
        <v>0</v>
      </c>
      <c r="R229" s="38">
        <f>IFERROR(VLOOKUP("15_"&amp;A229,SyS!$B:$P,10,FALSE()),0)</f>
        <v>0</v>
      </c>
      <c r="S229" s="39">
        <f>IFERROR(VLOOKUP("15_"&amp;A229,SyS!$B:$P,12,FALSE()),0)</f>
        <v>0</v>
      </c>
      <c r="T229" s="40">
        <f>+R229-S229</f>
        <v>0</v>
      </c>
      <c r="U229" s="38">
        <f>IFERROR(VLOOKUP("16_"&amp;A229,SyS!$B:$P,10,FALSE()),0)</f>
        <v>0</v>
      </c>
      <c r="V229" s="39">
        <f>IFERROR(VLOOKUP("16_"&amp;A229,SyS!$B:$P,12,FALSE()),0)</f>
        <v>0</v>
      </c>
      <c r="W229" s="40">
        <f>+U229-V229</f>
        <v>0</v>
      </c>
      <c r="X229" s="38">
        <f>IFERROR(VLOOKUP("13_"&amp;A229,SyS!$B:$P,10,FALSE()),0)</f>
        <v>0</v>
      </c>
      <c r="Y229" s="39">
        <f>IFERROR(VLOOKUP("13_"&amp;A229,SyS!$B:$P,12,FALSE()),0)</f>
        <v>0</v>
      </c>
      <c r="Z229" s="40">
        <f>+X229-Y229</f>
        <v>0</v>
      </c>
      <c r="AA229" s="38">
        <f>IFERROR(VLOOKUP("17_"&amp;A229,SyS!$B:$P,10,FALSE()),0)</f>
        <v>0</v>
      </c>
      <c r="AB229" s="39">
        <f>IFERROR(VLOOKUP("17_"&amp;A229,SyS!$B:$P,12,FALSE()),0)</f>
        <v>0</v>
      </c>
      <c r="AC229" s="40">
        <f>+AA229-AB229</f>
        <v>0</v>
      </c>
      <c r="AD229" s="39"/>
      <c r="AE229" s="39"/>
      <c r="AF229" s="39"/>
      <c r="AG229" s="39">
        <f>IFERROR(VLOOKUP("19_"&amp;A229,SyS!$B:$P,10,FALSE()),0)</f>
        <v>0</v>
      </c>
      <c r="AH229" s="39">
        <f>IFERROR(VLOOKUP("19_"&amp;A229,SyS!$B:$P,12,FALSE()),0)</f>
        <v>0</v>
      </c>
      <c r="AI229" s="39">
        <f>+AG229-AH229</f>
        <v>0</v>
      </c>
      <c r="AJ229" s="39"/>
      <c r="AK229" s="39"/>
      <c r="AL229" s="39"/>
      <c r="AM229" s="38">
        <f>IFERROR(VLOOKUP("23_"&amp;A229,SyS!$B:$P,10,FALSE()),0)</f>
        <v>0</v>
      </c>
      <c r="AN229" s="39">
        <f>IFERROR(VLOOKUP("23_"&amp;A229,SyS!$B:$P,12,FALSE()),0)</f>
        <v>0</v>
      </c>
      <c r="AO229" s="40">
        <f>+AM229-AN229</f>
        <v>0</v>
      </c>
      <c r="AP229" s="39"/>
      <c r="AQ229" s="39"/>
      <c r="AR229" s="39"/>
      <c r="AS229" s="39"/>
      <c r="AT229" s="39"/>
      <c r="AU229" s="39"/>
      <c r="AV229" s="39"/>
      <c r="AW229" s="39"/>
      <c r="AX229" s="39"/>
      <c r="AY229" s="39"/>
      <c r="AZ229" s="39"/>
      <c r="BA229" s="39"/>
      <c r="BB229" s="39"/>
      <c r="BC229" s="39"/>
      <c r="BD229" s="39"/>
      <c r="BE229" s="39"/>
      <c r="BF229" s="39"/>
      <c r="BG229" s="39"/>
      <c r="BH229" s="39"/>
      <c r="BI229" s="39"/>
      <c r="BJ229" s="39"/>
      <c r="BK229" s="39">
        <f>IFERROR(VLOOKUP("29_"&amp;A229,SyS!$B:$P,10,FALSE()),0)</f>
        <v>0</v>
      </c>
      <c r="BL229" s="39">
        <f>IFERROR(VLOOKUP("29_"&amp;A229,SyS!$B:$P,12,FALSE()),0)</f>
        <v>0</v>
      </c>
      <c r="BM229" s="39">
        <f>+BK229-BL229</f>
        <v>0</v>
      </c>
      <c r="BN229" s="38">
        <f>IFERROR(VLOOKUP("30_"&amp;A229,SyS!$B:$P,10,FALSE()),0)</f>
        <v>0</v>
      </c>
      <c r="BO229" s="39">
        <f>IFERROR(VLOOKUP("30_"&amp;A229,SyS!$B:$P,12,FALSE()),0)</f>
        <v>0</v>
      </c>
      <c r="BP229" s="40">
        <f>+BN229-BO229</f>
        <v>0</v>
      </c>
      <c r="BQ229" s="45">
        <f>+E229+H229+K229+Q229+T229+W229+Z229+AC229+AF229+AI229+AL229+AO229+AR229+AU229+AX229+BA229+BD229+BG229+BJ229+BM229+BP229</f>
        <v>0</v>
      </c>
    </row>
    <row r="230" ht="11.25" customHeight="1" spans="1:69" x14ac:dyDescent="0.25">
      <c r="A230" s="18">
        <v>426320000</v>
      </c>
      <c r="B230" s="18" t="s">
        <v>459</v>
      </c>
      <c r="C230" s="38">
        <f>IFERROR(VLOOKUP("1_"&amp;A230,SyS!$B:$P,10,FALSE()),0)</f>
        <v>0</v>
      </c>
      <c r="D230" s="39">
        <f>IFERROR(VLOOKUP("1_"&amp;A230,SyS!$B:$P,12,FALSE()),0)</f>
        <v>0</v>
      </c>
      <c r="E230" s="39">
        <f>+C230-D230</f>
        <v>0</v>
      </c>
      <c r="F230" s="38">
        <f>IFERROR(VLOOKUP("2_"&amp;A230,SyS!$B:$P,10,FALSE()),0)</f>
        <v>0</v>
      </c>
      <c r="G230" s="39">
        <f>IFERROR(VLOOKUP("2_"&amp;A230,SyS!$B:$P,12,FALSE()),0)</f>
        <v>0</v>
      </c>
      <c r="H230" s="40">
        <f>+F230-G230</f>
        <v>0</v>
      </c>
      <c r="I230" s="39"/>
      <c r="J230" s="39"/>
      <c r="K230" s="39"/>
      <c r="L230" s="39"/>
      <c r="M230" s="39"/>
      <c r="N230" s="39"/>
      <c r="O230" s="38">
        <f>IFERROR(VLOOKUP("14_"&amp;A230,SyS!$B:$P,10,FALSE()),0)</f>
        <v>0</v>
      </c>
      <c r="P230" s="39">
        <f>IFERROR(VLOOKUP("14_"&amp;A230,SyS!$B:$P,12,FALSE()),0)</f>
        <v>0</v>
      </c>
      <c r="Q230" s="40">
        <f>+O230-P230</f>
        <v>0</v>
      </c>
      <c r="R230" s="38">
        <f>IFERROR(VLOOKUP("15_"&amp;A230,SyS!$B:$P,10,FALSE()),0)</f>
        <v>0</v>
      </c>
      <c r="S230" s="39">
        <f>IFERROR(VLOOKUP("15_"&amp;A230,SyS!$B:$P,12,FALSE()),0)</f>
        <v>0</v>
      </c>
      <c r="T230" s="40">
        <f>+R230-S230</f>
        <v>0</v>
      </c>
      <c r="U230" s="38">
        <f>IFERROR(VLOOKUP("16_"&amp;A230,SyS!$B:$P,10,FALSE()),0)</f>
        <v>0</v>
      </c>
      <c r="V230" s="39">
        <f>IFERROR(VLOOKUP("16_"&amp;A230,SyS!$B:$P,12,FALSE()),0)</f>
        <v>0</v>
      </c>
      <c r="W230" s="40">
        <f>+U230-V230</f>
        <v>0</v>
      </c>
      <c r="X230" s="38">
        <f>IFERROR(VLOOKUP("13_"&amp;A230,SyS!$B:$P,10,FALSE()),0)</f>
        <v>0</v>
      </c>
      <c r="Y230" s="39">
        <f>IFERROR(VLOOKUP("13_"&amp;A230,SyS!$B:$P,12,FALSE()),0)</f>
        <v>0</v>
      </c>
      <c r="Z230" s="40">
        <f>+X230-Y230</f>
        <v>0</v>
      </c>
      <c r="AA230" s="38">
        <f>IFERROR(VLOOKUP("17_"&amp;A230,SyS!$B:$P,10,FALSE()),0)</f>
        <v>0</v>
      </c>
      <c r="AB230" s="39">
        <f>IFERROR(VLOOKUP("17_"&amp;A230,SyS!$B:$P,12,FALSE()),0)</f>
        <v>0</v>
      </c>
      <c r="AC230" s="40">
        <f>+AA230-AB230</f>
        <v>0</v>
      </c>
      <c r="AD230" s="39"/>
      <c r="AE230" s="39"/>
      <c r="AF230" s="39"/>
      <c r="AG230" s="39">
        <f>IFERROR(VLOOKUP("19_"&amp;A230,SyS!$B:$P,10,FALSE()),0)</f>
        <v>0</v>
      </c>
      <c r="AH230" s="39">
        <f>IFERROR(VLOOKUP("19_"&amp;A230,SyS!$B:$P,12,FALSE()),0)</f>
        <v>0</v>
      </c>
      <c r="AI230" s="39">
        <f>+AG230-AH230</f>
        <v>0</v>
      </c>
      <c r="AJ230" s="39"/>
      <c r="AK230" s="39"/>
      <c r="AL230" s="39"/>
      <c r="AM230" s="38">
        <f>IFERROR(VLOOKUP("23_"&amp;A230,SyS!$B:$P,10,FALSE()),0)</f>
        <v>0</v>
      </c>
      <c r="AN230" s="39">
        <f>IFERROR(VLOOKUP("23_"&amp;A230,SyS!$B:$P,12,FALSE()),0)</f>
        <v>0</v>
      </c>
      <c r="AO230" s="40">
        <f>+AM230-AN230</f>
        <v>0</v>
      </c>
      <c r="AP230" s="39"/>
      <c r="AQ230" s="39"/>
      <c r="AR230" s="39"/>
      <c r="AS230" s="39"/>
      <c r="AT230" s="39"/>
      <c r="AU230" s="39"/>
      <c r="AV230" s="39"/>
      <c r="AW230" s="39"/>
      <c r="AX230" s="39"/>
      <c r="AY230" s="39"/>
      <c r="AZ230" s="39"/>
      <c r="BA230" s="39"/>
      <c r="BB230" s="39"/>
      <c r="BC230" s="39"/>
      <c r="BD230" s="39"/>
      <c r="BE230" s="39"/>
      <c r="BF230" s="39"/>
      <c r="BG230" s="39"/>
      <c r="BH230" s="39"/>
      <c r="BI230" s="39"/>
      <c r="BJ230" s="39"/>
      <c r="BK230" s="39">
        <f>IFERROR(VLOOKUP("29_"&amp;A230,SyS!$B:$P,10,FALSE()),0)</f>
        <v>0</v>
      </c>
      <c r="BL230" s="39">
        <f>IFERROR(VLOOKUP("29_"&amp;A230,SyS!$B:$P,12,FALSE()),0)</f>
        <v>0</v>
      </c>
      <c r="BM230" s="39">
        <f>+BK230-BL230</f>
        <v>0</v>
      </c>
      <c r="BN230" s="38">
        <f>IFERROR(VLOOKUP("30_"&amp;A230,SyS!$B:$P,10,FALSE()),0)</f>
        <v>0</v>
      </c>
      <c r="BO230" s="39">
        <f>IFERROR(VLOOKUP("30_"&amp;A230,SyS!$B:$P,12,FALSE()),0)</f>
        <v>0</v>
      </c>
      <c r="BP230" s="40">
        <f>+BN230-BO230</f>
        <v>0</v>
      </c>
      <c r="BQ230" s="45">
        <f>+E230+H230+K230+Q230+T230+W230+Z230+AC230+AF230+AI230+AL230+AO230+AR230+AU230+AX230+BA230+BD230+BG230+BJ230+BM230+BP230</f>
        <v>0</v>
      </c>
    </row>
    <row r="231" ht="11.25" customHeight="1" spans="1:69" x14ac:dyDescent="0.25">
      <c r="A231" s="18">
        <v>426340000</v>
      </c>
      <c r="B231" s="18" t="s">
        <v>460</v>
      </c>
      <c r="C231" s="38">
        <f>IFERROR(VLOOKUP("1_"&amp;A231,SyS!$B:$P,10,FALSE()),0)</f>
        <v>0</v>
      </c>
      <c r="D231" s="39">
        <f>IFERROR(VLOOKUP("1_"&amp;A231,SyS!$B:$P,12,FALSE()),0)</f>
        <v>0</v>
      </c>
      <c r="E231" s="39">
        <f>+C231-D231</f>
        <v>0</v>
      </c>
      <c r="F231" s="38">
        <f>IFERROR(VLOOKUP("2_"&amp;A231,SyS!$B:$P,10,FALSE()),0)</f>
        <v>0</v>
      </c>
      <c r="G231" s="39">
        <f>IFERROR(VLOOKUP("2_"&amp;A231,SyS!$B:$P,12,FALSE()),0)</f>
        <v>0</v>
      </c>
      <c r="H231" s="40">
        <f>+F231-G231</f>
        <v>0</v>
      </c>
      <c r="I231" s="39"/>
      <c r="J231" s="39"/>
      <c r="K231" s="39"/>
      <c r="L231" s="39"/>
      <c r="M231" s="39"/>
      <c r="N231" s="39"/>
      <c r="O231" s="38">
        <f>IFERROR(VLOOKUP("14_"&amp;A231,SyS!$B:$P,10,FALSE()),0)</f>
        <v>0</v>
      </c>
      <c r="P231" s="39">
        <f>IFERROR(VLOOKUP("14_"&amp;A231,SyS!$B:$P,12,FALSE()),0)</f>
        <v>0</v>
      </c>
      <c r="Q231" s="40">
        <f>+O231-P231</f>
        <v>0</v>
      </c>
      <c r="R231" s="38">
        <f>IFERROR(VLOOKUP("15_"&amp;A231,SyS!$B:$P,10,FALSE()),0)</f>
        <v>0</v>
      </c>
      <c r="S231" s="39">
        <f>IFERROR(VLOOKUP("15_"&amp;A231,SyS!$B:$P,12,FALSE()),0)</f>
        <v>0</v>
      </c>
      <c r="T231" s="40">
        <f>+R231-S231</f>
        <v>0</v>
      </c>
      <c r="U231" s="38">
        <f>IFERROR(VLOOKUP("16_"&amp;A231,SyS!$B:$P,10,FALSE()),0)</f>
        <v>0</v>
      </c>
      <c r="V231" s="39">
        <f>IFERROR(VLOOKUP("16_"&amp;A231,SyS!$B:$P,12,FALSE()),0)</f>
        <v>0</v>
      </c>
      <c r="W231" s="40">
        <f>+U231-V231</f>
        <v>0</v>
      </c>
      <c r="X231" s="38">
        <f>IFERROR(VLOOKUP("13_"&amp;A231,SyS!$B:$P,10,FALSE()),0)</f>
        <v>0</v>
      </c>
      <c r="Y231" s="39">
        <f>IFERROR(VLOOKUP("13_"&amp;A231,SyS!$B:$P,12,FALSE()),0)</f>
        <v>0</v>
      </c>
      <c r="Z231" s="40">
        <f>+X231-Y231</f>
        <v>0</v>
      </c>
      <c r="AA231" s="38">
        <f>IFERROR(VLOOKUP("17_"&amp;A231,SyS!$B:$P,10,FALSE()),0)</f>
        <v>0</v>
      </c>
      <c r="AB231" s="39">
        <f>IFERROR(VLOOKUP("17_"&amp;A231,SyS!$B:$P,12,FALSE()),0)</f>
        <v>0</v>
      </c>
      <c r="AC231" s="40">
        <f>+AA231-AB231</f>
        <v>0</v>
      </c>
      <c r="AD231" s="39"/>
      <c r="AE231" s="39"/>
      <c r="AF231" s="39"/>
      <c r="AG231" s="39">
        <f>IFERROR(VLOOKUP("19_"&amp;A231,SyS!$B:$P,10,FALSE()),0)</f>
        <v>0</v>
      </c>
      <c r="AH231" s="39">
        <f>IFERROR(VLOOKUP("19_"&amp;A231,SyS!$B:$P,12,FALSE()),0)</f>
        <v>0</v>
      </c>
      <c r="AI231" s="39">
        <f>+AG231-AH231</f>
        <v>0</v>
      </c>
      <c r="AJ231" s="39"/>
      <c r="AK231" s="39"/>
      <c r="AL231" s="39"/>
      <c r="AM231" s="38">
        <f>IFERROR(VLOOKUP("23_"&amp;A231,SyS!$B:$P,10,FALSE()),0)</f>
        <v>0</v>
      </c>
      <c r="AN231" s="39">
        <f>IFERROR(VLOOKUP("23_"&amp;A231,SyS!$B:$P,12,FALSE()),0)</f>
        <v>0</v>
      </c>
      <c r="AO231" s="40">
        <f>+AM231-AN231</f>
        <v>0</v>
      </c>
      <c r="AP231" s="39"/>
      <c r="AQ231" s="39"/>
      <c r="AR231" s="39"/>
      <c r="AS231" s="39"/>
      <c r="AT231" s="39"/>
      <c r="AU231" s="39"/>
      <c r="AV231" s="39"/>
      <c r="AW231" s="39"/>
      <c r="AX231" s="39"/>
      <c r="AY231" s="39"/>
      <c r="AZ231" s="39"/>
      <c r="BA231" s="39"/>
      <c r="BB231" s="39"/>
      <c r="BC231" s="39"/>
      <c r="BD231" s="39"/>
      <c r="BE231" s="39"/>
      <c r="BF231" s="39"/>
      <c r="BG231" s="39"/>
      <c r="BH231" s="39"/>
      <c r="BI231" s="39"/>
      <c r="BJ231" s="39"/>
      <c r="BK231" s="39">
        <f>IFERROR(VLOOKUP("29_"&amp;A231,SyS!$B:$P,10,FALSE()),0)</f>
        <v>0</v>
      </c>
      <c r="BL231" s="39">
        <f>IFERROR(VLOOKUP("29_"&amp;A231,SyS!$B:$P,12,FALSE()),0)</f>
        <v>0</v>
      </c>
      <c r="BM231" s="39">
        <f>+BK231-BL231</f>
        <v>0</v>
      </c>
      <c r="BN231" s="38">
        <f>IFERROR(VLOOKUP("30_"&amp;A231,SyS!$B:$P,10,FALSE()),0)</f>
        <v>0</v>
      </c>
      <c r="BO231" s="39">
        <f>IFERROR(VLOOKUP("30_"&amp;A231,SyS!$B:$P,12,FALSE()),0)</f>
        <v>0</v>
      </c>
      <c r="BP231" s="40">
        <f>+BN231-BO231</f>
        <v>0</v>
      </c>
      <c r="BQ231" s="45">
        <f>+E231+H231+K231+Q231+T231+W231+Z231+AC231+AF231+AI231+AL231+AO231+AR231+AU231+AX231+BA231+BD231+BG231+BJ231+BM231+BP231</f>
        <v>0</v>
      </c>
    </row>
    <row r="232" ht="11.25" customHeight="1" spans="1:69" x14ac:dyDescent="0.25">
      <c r="A232" s="18">
        <v>426330000</v>
      </c>
      <c r="B232" s="18" t="s">
        <v>461</v>
      </c>
      <c r="C232" s="38">
        <f>IFERROR(VLOOKUP("1_"&amp;A232,SyS!$B:$P,10,FALSE()),0)</f>
        <v>0</v>
      </c>
      <c r="D232" s="39">
        <f>IFERROR(VLOOKUP("1_"&amp;A232,SyS!$B:$P,12,FALSE()),0)</f>
        <v>0</v>
      </c>
      <c r="E232" s="39">
        <f>+C232-D232</f>
        <v>0</v>
      </c>
      <c r="F232" s="38">
        <f>IFERROR(VLOOKUP("2_"&amp;A232,SyS!$B:$P,10,FALSE()),0)</f>
        <v>0</v>
      </c>
      <c r="G232" s="39">
        <f>IFERROR(VLOOKUP("2_"&amp;A232,SyS!$B:$P,12,FALSE()),0)</f>
        <v>0</v>
      </c>
      <c r="H232" s="40">
        <f>+F232-G232</f>
        <v>0</v>
      </c>
      <c r="I232" s="39"/>
      <c r="J232" s="39"/>
      <c r="K232" s="39"/>
      <c r="L232" s="39"/>
      <c r="M232" s="39"/>
      <c r="N232" s="39"/>
      <c r="O232" s="38">
        <f>IFERROR(VLOOKUP("14_"&amp;A232,SyS!$B:$P,10,FALSE()),0)</f>
        <v>0</v>
      </c>
      <c r="P232" s="39">
        <f>IFERROR(VLOOKUP("14_"&amp;A232,SyS!$B:$P,12,FALSE()),0)</f>
        <v>0</v>
      </c>
      <c r="Q232" s="40">
        <f>+O232-P232</f>
        <v>0</v>
      </c>
      <c r="R232" s="38">
        <f>IFERROR(VLOOKUP("15_"&amp;A232,SyS!$B:$P,10,FALSE()),0)</f>
        <v>0</v>
      </c>
      <c r="S232" s="39">
        <f>IFERROR(VLOOKUP("15_"&amp;A232,SyS!$B:$P,12,FALSE()),0)</f>
        <v>0</v>
      </c>
      <c r="T232" s="40">
        <f>+R232-S232</f>
        <v>0</v>
      </c>
      <c r="U232" s="38">
        <f>IFERROR(VLOOKUP("16_"&amp;A232,SyS!$B:$P,10,FALSE()),0)</f>
        <v>0</v>
      </c>
      <c r="V232" s="39">
        <f>IFERROR(VLOOKUP("16_"&amp;A232,SyS!$B:$P,12,FALSE()),0)</f>
        <v>0</v>
      </c>
      <c r="W232" s="40">
        <f>+U232-V232</f>
        <v>0</v>
      </c>
      <c r="X232" s="38">
        <f>IFERROR(VLOOKUP("13_"&amp;A232,SyS!$B:$P,10,FALSE()),0)</f>
        <v>0</v>
      </c>
      <c r="Y232" s="39">
        <f>IFERROR(VLOOKUP("13_"&amp;A232,SyS!$B:$P,12,FALSE()),0)</f>
        <v>0</v>
      </c>
      <c r="Z232" s="40">
        <f>+X232-Y232</f>
        <v>0</v>
      </c>
      <c r="AA232" s="38">
        <f>IFERROR(VLOOKUP("17_"&amp;A232,SyS!$B:$P,10,FALSE()),0)</f>
        <v>0</v>
      </c>
      <c r="AB232" s="39">
        <f>IFERROR(VLOOKUP("17_"&amp;A232,SyS!$B:$P,12,FALSE()),0)</f>
        <v>0</v>
      </c>
      <c r="AC232" s="40">
        <f>+AA232-AB232</f>
        <v>0</v>
      </c>
      <c r="AD232" s="39"/>
      <c r="AE232" s="39"/>
      <c r="AF232" s="39"/>
      <c r="AG232" s="39">
        <f>IFERROR(VLOOKUP("19_"&amp;A232,SyS!$B:$P,10,FALSE()),0)</f>
        <v>0</v>
      </c>
      <c r="AH232" s="39">
        <f>IFERROR(VLOOKUP("19_"&amp;A232,SyS!$B:$P,12,FALSE()),0)</f>
        <v>0</v>
      </c>
      <c r="AI232" s="39">
        <f>+AG232-AH232</f>
        <v>0</v>
      </c>
      <c r="AJ232" s="39"/>
      <c r="AK232" s="39"/>
      <c r="AL232" s="39"/>
      <c r="AM232" s="38">
        <f>IFERROR(VLOOKUP("23_"&amp;A232,SyS!$B:$P,10,FALSE()),0)</f>
        <v>0</v>
      </c>
      <c r="AN232" s="39">
        <f>IFERROR(VLOOKUP("23_"&amp;A232,SyS!$B:$P,12,FALSE()),0)</f>
        <v>0</v>
      </c>
      <c r="AO232" s="40">
        <f>+AM232-AN232</f>
        <v>0</v>
      </c>
      <c r="AP232" s="39"/>
      <c r="AQ232" s="39"/>
      <c r="AR232" s="39"/>
      <c r="AS232" s="39"/>
      <c r="AT232" s="39"/>
      <c r="AU232" s="39"/>
      <c r="AV232" s="39"/>
      <c r="AW232" s="39"/>
      <c r="AX232" s="39"/>
      <c r="AY232" s="39"/>
      <c r="AZ232" s="39"/>
      <c r="BA232" s="39"/>
      <c r="BB232" s="39"/>
      <c r="BC232" s="39"/>
      <c r="BD232" s="39"/>
      <c r="BE232" s="39"/>
      <c r="BF232" s="39"/>
      <c r="BG232" s="39"/>
      <c r="BH232" s="39"/>
      <c r="BI232" s="39"/>
      <c r="BJ232" s="39"/>
      <c r="BK232" s="39">
        <f>IFERROR(VLOOKUP("29_"&amp;A232,SyS!$B:$P,10,FALSE()),0)</f>
        <v>0</v>
      </c>
      <c r="BL232" s="39">
        <f>IFERROR(VLOOKUP("29_"&amp;A232,SyS!$B:$P,12,FALSE()),0)</f>
        <v>0</v>
      </c>
      <c r="BM232" s="39">
        <f>+BK232-BL232</f>
        <v>0</v>
      </c>
      <c r="BN232" s="38">
        <f>IFERROR(VLOOKUP("30_"&amp;A232,SyS!$B:$P,10,FALSE()),0)</f>
        <v>0</v>
      </c>
      <c r="BO232" s="39">
        <f>IFERROR(VLOOKUP("30_"&amp;A232,SyS!$B:$P,12,FALSE()),0)</f>
        <v>0</v>
      </c>
      <c r="BP232" s="40">
        <f>+BN232-BO232</f>
        <v>0</v>
      </c>
      <c r="BQ232" s="45">
        <f>+E232+H232+K232+Q232+T232+W232+Z232+AC232+AF232+AI232+AL232+AO232+AR232+AU232+AX232+BA232+BD232+BG232+BJ232+BM232+BP232</f>
        <v>0</v>
      </c>
    </row>
    <row r="233" ht="11.25" customHeight="1" spans="1:69" x14ac:dyDescent="0.25">
      <c r="A233" s="51">
        <v>426380000</v>
      </c>
      <c r="B233" s="18" t="s">
        <v>462</v>
      </c>
      <c r="C233" s="38">
        <f>IFERROR(VLOOKUP("1_"&amp;A233,SyS!$B:$P,10,FALSE()),0)</f>
        <v>0</v>
      </c>
      <c r="D233" s="39">
        <f>IFERROR(VLOOKUP("1_"&amp;A233,SyS!$B:$P,12,FALSE()),0)</f>
        <v>0</v>
      </c>
      <c r="E233" s="39">
        <f>+C233-D233</f>
        <v>0</v>
      </c>
      <c r="F233" s="38">
        <f>IFERROR(VLOOKUP("2_"&amp;A233,SyS!$B:$P,10,FALSE()),0)</f>
        <v>0</v>
      </c>
      <c r="G233" s="39">
        <f>IFERROR(VLOOKUP("2_"&amp;A233,SyS!$B:$P,12,FALSE()),0)</f>
        <v>0</v>
      </c>
      <c r="H233" s="40">
        <f>+F233-G233</f>
        <v>0</v>
      </c>
      <c r="I233" s="39"/>
      <c r="J233" s="39"/>
      <c r="K233" s="39"/>
      <c r="L233" s="39"/>
      <c r="M233" s="39"/>
      <c r="N233" s="39"/>
      <c r="O233" s="38">
        <f>IFERROR(VLOOKUP("14_"&amp;A233,SyS!$B:$P,10,FALSE()),0)</f>
        <v>0</v>
      </c>
      <c r="P233" s="39">
        <f>IFERROR(VLOOKUP("14_"&amp;A233,SyS!$B:$P,12,FALSE()),0)</f>
        <v>0</v>
      </c>
      <c r="Q233" s="40">
        <f>+O233-P233</f>
        <v>0</v>
      </c>
      <c r="R233" s="38">
        <f>IFERROR(VLOOKUP("15_"&amp;A233,SyS!$B:$P,10,FALSE()),0)</f>
        <v>0</v>
      </c>
      <c r="S233" s="39">
        <f>IFERROR(VLOOKUP("15_"&amp;A233,SyS!$B:$P,12,FALSE()),0)</f>
        <v>0</v>
      </c>
      <c r="T233" s="40">
        <f>+R233-S233</f>
        <v>0</v>
      </c>
      <c r="U233" s="38">
        <f>IFERROR(VLOOKUP("16_"&amp;A233,SyS!$B:$P,10,FALSE()),0)</f>
        <v>0</v>
      </c>
      <c r="V233" s="39">
        <f>IFERROR(VLOOKUP("16_"&amp;A233,SyS!$B:$P,12,FALSE()),0)</f>
        <v>0</v>
      </c>
      <c r="W233" s="40">
        <f>+U233-V233</f>
        <v>0</v>
      </c>
      <c r="X233" s="38">
        <f>IFERROR(VLOOKUP("13_"&amp;A233,SyS!$B:$P,10,FALSE()),0)</f>
        <v>0</v>
      </c>
      <c r="Y233" s="39">
        <f>IFERROR(VLOOKUP("13_"&amp;A233,SyS!$B:$P,12,FALSE()),0)</f>
        <v>0</v>
      </c>
      <c r="Z233" s="40">
        <f>+X233-Y233</f>
        <v>0</v>
      </c>
      <c r="AA233" s="38">
        <f>IFERROR(VLOOKUP("17_"&amp;A233,SyS!$B:$P,10,FALSE()),0)</f>
        <v>0</v>
      </c>
      <c r="AB233" s="39">
        <f>IFERROR(VLOOKUP("17_"&amp;A233,SyS!$B:$P,12,FALSE()),0)</f>
        <v>0</v>
      </c>
      <c r="AC233" s="40">
        <f>+AA233-AB233</f>
        <v>0</v>
      </c>
      <c r="AD233" s="39"/>
      <c r="AE233" s="39"/>
      <c r="AF233" s="39"/>
      <c r="AG233" s="39">
        <f>IFERROR(VLOOKUP("19_"&amp;A233,SyS!$B:$P,10,FALSE()),0)</f>
        <v>0</v>
      </c>
      <c r="AH233" s="39">
        <f>IFERROR(VLOOKUP("19_"&amp;A233,SyS!$B:$P,12,FALSE()),0)</f>
        <v>0</v>
      </c>
      <c r="AI233" s="39">
        <f>+AG233-AH233</f>
        <v>0</v>
      </c>
      <c r="AJ233" s="39"/>
      <c r="AK233" s="39"/>
      <c r="AL233" s="39"/>
      <c r="AM233" s="38">
        <f>IFERROR(VLOOKUP("23_"&amp;A233,SyS!$B:$P,10,FALSE()),0)</f>
        <v>0</v>
      </c>
      <c r="AN233" s="39">
        <f>IFERROR(VLOOKUP("23_"&amp;A233,SyS!$B:$P,12,FALSE()),0)</f>
        <v>0</v>
      </c>
      <c r="AO233" s="40">
        <f>+AM233-AN233</f>
        <v>0</v>
      </c>
      <c r="AP233" s="39"/>
      <c r="AQ233" s="39"/>
      <c r="AR233" s="39"/>
      <c r="AS233" s="39"/>
      <c r="AT233" s="39"/>
      <c r="AU233" s="39"/>
      <c r="AV233" s="39"/>
      <c r="AW233" s="39"/>
      <c r="AX233" s="39"/>
      <c r="AY233" s="39"/>
      <c r="AZ233" s="39"/>
      <c r="BA233" s="39"/>
      <c r="BB233" s="39"/>
      <c r="BC233" s="39"/>
      <c r="BD233" s="39"/>
      <c r="BE233" s="39"/>
      <c r="BF233" s="39"/>
      <c r="BG233" s="39"/>
      <c r="BH233" s="39"/>
      <c r="BI233" s="39"/>
      <c r="BJ233" s="39"/>
      <c r="BK233" s="39">
        <f>IFERROR(VLOOKUP("29_"&amp;A233,SyS!$B:$P,10,FALSE()),0)</f>
        <v>0</v>
      </c>
      <c r="BL233" s="39">
        <f>IFERROR(VLOOKUP("29_"&amp;A233,SyS!$B:$P,12,FALSE()),0)</f>
        <v>0</v>
      </c>
      <c r="BM233" s="39">
        <f>+BK233-BL233</f>
        <v>0</v>
      </c>
      <c r="BN233" s="38">
        <f>IFERROR(VLOOKUP("30_"&amp;A233,SyS!$B:$P,10,FALSE()),0)</f>
        <v>0</v>
      </c>
      <c r="BO233" s="39">
        <f>IFERROR(VLOOKUP("30_"&amp;A233,SyS!$B:$P,12,FALSE()),0)</f>
        <v>0</v>
      </c>
      <c r="BP233" s="40">
        <f>+BN233-BO233</f>
        <v>0</v>
      </c>
      <c r="BQ233" s="45">
        <f>+E233+H233+K233+Q233+T233+W233+Z233+AC233+AF233+AI233+AL233+AO233+AR233+AU233+AX233+BA233+BD233+BG233+BJ233+BM233+BP233</f>
        <v>0</v>
      </c>
    </row>
    <row r="234" ht="11.25" customHeight="1" spans="1:69" x14ac:dyDescent="0.25">
      <c r="A234" s="18">
        <v>426410000</v>
      </c>
      <c r="B234" s="18" t="s">
        <v>463</v>
      </c>
      <c r="C234" s="38">
        <f>IFERROR(VLOOKUP("1_"&amp;A234,SyS!$B:$P,10,FALSE()),0)</f>
        <v>0</v>
      </c>
      <c r="D234" s="39">
        <f>IFERROR(VLOOKUP("1_"&amp;A234,SyS!$B:$P,12,FALSE()),0)</f>
        <v>0</v>
      </c>
      <c r="E234" s="39">
        <f>+C234-D234</f>
        <v>0</v>
      </c>
      <c r="F234" s="38">
        <f>IFERROR(VLOOKUP("2_"&amp;A234,SyS!$B:$P,10,FALSE()),0)</f>
        <v>0</v>
      </c>
      <c r="G234" s="39">
        <f>IFERROR(VLOOKUP("2_"&amp;A234,SyS!$B:$P,12,FALSE()),0)</f>
        <v>0</v>
      </c>
      <c r="H234" s="40">
        <f>+F234-G234</f>
        <v>0</v>
      </c>
      <c r="I234" s="39"/>
      <c r="J234" s="39"/>
      <c r="K234" s="39"/>
      <c r="L234" s="39"/>
      <c r="M234" s="39"/>
      <c r="N234" s="39"/>
      <c r="O234" s="38">
        <f>IFERROR(VLOOKUP("14_"&amp;A234,SyS!$B:$P,10,FALSE()),0)</f>
        <v>0</v>
      </c>
      <c r="P234" s="39">
        <f>IFERROR(VLOOKUP("14_"&amp;A234,SyS!$B:$P,12,FALSE()),0)</f>
        <v>0</v>
      </c>
      <c r="Q234" s="40">
        <f>+O234-P234</f>
        <v>0</v>
      </c>
      <c r="R234" s="38">
        <f>IFERROR(VLOOKUP("15_"&amp;A234,SyS!$B:$P,10,FALSE()),0)</f>
        <v>0</v>
      </c>
      <c r="S234" s="39">
        <f>IFERROR(VLOOKUP("15_"&amp;A234,SyS!$B:$P,12,FALSE()),0)</f>
        <v>0</v>
      </c>
      <c r="T234" s="40">
        <f>+R234-S234</f>
        <v>0</v>
      </c>
      <c r="U234" s="38">
        <f>IFERROR(VLOOKUP("16_"&amp;A234,SyS!$B:$P,10,FALSE()),0)</f>
        <v>0</v>
      </c>
      <c r="V234" s="39">
        <f>IFERROR(VLOOKUP("16_"&amp;A234,SyS!$B:$P,12,FALSE()),0)</f>
        <v>0</v>
      </c>
      <c r="W234" s="40">
        <f>+U234-V234</f>
        <v>0</v>
      </c>
      <c r="X234" s="38">
        <f>IFERROR(VLOOKUP("13_"&amp;A234,SyS!$B:$P,10,FALSE()),0)</f>
        <v>0</v>
      </c>
      <c r="Y234" s="39">
        <f>IFERROR(VLOOKUP("13_"&amp;A234,SyS!$B:$P,12,FALSE()),0)</f>
        <v>0</v>
      </c>
      <c r="Z234" s="40">
        <f>+X234-Y234</f>
        <v>0</v>
      </c>
      <c r="AA234" s="38">
        <f>IFERROR(VLOOKUP("17_"&amp;A234,SyS!$B:$P,10,FALSE()),0)</f>
        <v>0</v>
      </c>
      <c r="AB234" s="39">
        <f>IFERROR(VLOOKUP("17_"&amp;A234,SyS!$B:$P,12,FALSE()),0)</f>
        <v>0</v>
      </c>
      <c r="AC234" s="40">
        <f>+AA234-AB234</f>
        <v>0</v>
      </c>
      <c r="AD234" s="39"/>
      <c r="AE234" s="39"/>
      <c r="AF234" s="39"/>
      <c r="AG234" s="39">
        <f>IFERROR(VLOOKUP("19_"&amp;A234,SyS!$B:$P,10,FALSE()),0)</f>
        <v>0</v>
      </c>
      <c r="AH234" s="39">
        <f>IFERROR(VLOOKUP("19_"&amp;A234,SyS!$B:$P,12,FALSE()),0)</f>
        <v>0</v>
      </c>
      <c r="AI234" s="39">
        <f>+AG234-AH234</f>
        <v>0</v>
      </c>
      <c r="AJ234" s="39"/>
      <c r="AK234" s="39"/>
      <c r="AL234" s="39"/>
      <c r="AM234" s="38">
        <f>IFERROR(VLOOKUP("23_"&amp;A234,SyS!$B:$P,10,FALSE()),0)</f>
        <v>0</v>
      </c>
      <c r="AN234" s="39">
        <f>IFERROR(VLOOKUP("23_"&amp;A234,SyS!$B:$P,12,FALSE()),0)</f>
        <v>0</v>
      </c>
      <c r="AO234" s="40">
        <f>+AM234-AN234</f>
        <v>0</v>
      </c>
      <c r="AP234" s="39"/>
      <c r="AQ234" s="39"/>
      <c r="AR234" s="39"/>
      <c r="AS234" s="39"/>
      <c r="AT234" s="39"/>
      <c r="AU234" s="39"/>
      <c r="AV234" s="39"/>
      <c r="AW234" s="39"/>
      <c r="AX234" s="39"/>
      <c r="AY234" s="39"/>
      <c r="AZ234" s="39"/>
      <c r="BA234" s="39"/>
      <c r="BB234" s="39"/>
      <c r="BC234" s="39"/>
      <c r="BD234" s="39"/>
      <c r="BE234" s="39"/>
      <c r="BF234" s="39"/>
      <c r="BG234" s="39"/>
      <c r="BH234" s="39"/>
      <c r="BI234" s="39"/>
      <c r="BJ234" s="39"/>
      <c r="BK234" s="39">
        <f>IFERROR(VLOOKUP("29_"&amp;A234,SyS!$B:$P,10,FALSE()),0)</f>
        <v>0</v>
      </c>
      <c r="BL234" s="39">
        <f>IFERROR(VLOOKUP("29_"&amp;A234,SyS!$B:$P,12,FALSE()),0)</f>
        <v>0</v>
      </c>
      <c r="BM234" s="39">
        <f>+BK234-BL234</f>
        <v>0</v>
      </c>
      <c r="BN234" s="38">
        <f>IFERROR(VLOOKUP("30_"&amp;A234,SyS!$B:$P,10,FALSE()),0)</f>
        <v>0</v>
      </c>
      <c r="BO234" s="39">
        <f>IFERROR(VLOOKUP("30_"&amp;A234,SyS!$B:$P,12,FALSE()),0)</f>
        <v>0</v>
      </c>
      <c r="BP234" s="40">
        <f>+BN234-BO234</f>
        <v>0</v>
      </c>
      <c r="BQ234" s="45">
        <f>+E234+H234+K234+Q234+T234+W234+Z234+AC234+AF234+AI234+AL234+AO234+AR234+AU234+AX234+BA234+BD234+BG234+BJ234+BM234+BP234</f>
        <v>0</v>
      </c>
    </row>
    <row r="235" ht="11.25" customHeight="1" spans="1:69" x14ac:dyDescent="0.25">
      <c r="A235" s="18">
        <v>426430000</v>
      </c>
      <c r="B235" s="18" t="s">
        <v>464</v>
      </c>
      <c r="C235" s="38">
        <f>IFERROR(VLOOKUP("1_"&amp;A235,SyS!$B:$P,10,FALSE()),0)</f>
        <v>0</v>
      </c>
      <c r="D235" s="39">
        <f>IFERROR(VLOOKUP("1_"&amp;A235,SyS!$B:$P,12,FALSE()),0)</f>
        <v>0</v>
      </c>
      <c r="E235" s="39">
        <f>+C235-D235</f>
        <v>0</v>
      </c>
      <c r="F235" s="38">
        <f>IFERROR(VLOOKUP("2_"&amp;A235,SyS!$B:$P,10,FALSE()),0)</f>
        <v>0</v>
      </c>
      <c r="G235" s="39">
        <f>IFERROR(VLOOKUP("2_"&amp;A235,SyS!$B:$P,12,FALSE()),0)</f>
        <v>0</v>
      </c>
      <c r="H235" s="40">
        <f>+F235-G235</f>
        <v>0</v>
      </c>
      <c r="I235" s="39"/>
      <c r="J235" s="39"/>
      <c r="K235" s="39"/>
      <c r="L235" s="39"/>
      <c r="M235" s="39"/>
      <c r="N235" s="39"/>
      <c r="O235" s="38">
        <f>IFERROR(VLOOKUP("14_"&amp;A235,SyS!$B:$P,10,FALSE()),0)</f>
        <v>0</v>
      </c>
      <c r="P235" s="39">
        <f>IFERROR(VLOOKUP("14_"&amp;A235,SyS!$B:$P,12,FALSE()),0)</f>
        <v>0</v>
      </c>
      <c r="Q235" s="40">
        <f>+O235-P235</f>
        <v>0</v>
      </c>
      <c r="R235" s="38">
        <f>IFERROR(VLOOKUP("15_"&amp;A235,SyS!$B:$P,10,FALSE()),0)</f>
        <v>0</v>
      </c>
      <c r="S235" s="39">
        <f>IFERROR(VLOOKUP("15_"&amp;A235,SyS!$B:$P,12,FALSE()),0)</f>
        <v>0</v>
      </c>
      <c r="T235" s="40">
        <f>+R235-S235</f>
        <v>0</v>
      </c>
      <c r="U235" s="38">
        <f>IFERROR(VLOOKUP("16_"&amp;A235,SyS!$B:$P,10,FALSE()),0)</f>
        <v>0</v>
      </c>
      <c r="V235" s="39">
        <f>IFERROR(VLOOKUP("16_"&amp;A235,SyS!$B:$P,12,FALSE()),0)</f>
        <v>0</v>
      </c>
      <c r="W235" s="40">
        <f>+U235-V235</f>
        <v>0</v>
      </c>
      <c r="X235" s="38">
        <f>IFERROR(VLOOKUP("13_"&amp;A235,SyS!$B:$P,10,FALSE()),0)</f>
        <v>0</v>
      </c>
      <c r="Y235" s="39">
        <f>IFERROR(VLOOKUP("13_"&amp;A235,SyS!$B:$P,12,FALSE()),0)</f>
        <v>0</v>
      </c>
      <c r="Z235" s="40">
        <f>+X235-Y235</f>
        <v>0</v>
      </c>
      <c r="AA235" s="38">
        <f>IFERROR(VLOOKUP("17_"&amp;A235,SyS!$B:$P,10,FALSE()),0)</f>
        <v>0</v>
      </c>
      <c r="AB235" s="39">
        <f>IFERROR(VLOOKUP("17_"&amp;A235,SyS!$B:$P,12,FALSE()),0)</f>
        <v>0</v>
      </c>
      <c r="AC235" s="40">
        <f>+AA235-AB235</f>
        <v>0</v>
      </c>
      <c r="AD235" s="39"/>
      <c r="AE235" s="39"/>
      <c r="AF235" s="39"/>
      <c r="AG235" s="39">
        <f>IFERROR(VLOOKUP("19_"&amp;A235,SyS!$B:$P,10,FALSE()),0)</f>
        <v>0</v>
      </c>
      <c r="AH235" s="39">
        <f>IFERROR(VLOOKUP("19_"&amp;A235,SyS!$B:$P,12,FALSE()),0)</f>
        <v>0</v>
      </c>
      <c r="AI235" s="39">
        <f>+AG235-AH235</f>
        <v>0</v>
      </c>
      <c r="AJ235" s="39"/>
      <c r="AK235" s="39"/>
      <c r="AL235" s="39"/>
      <c r="AM235" s="38">
        <f>IFERROR(VLOOKUP("23_"&amp;A235,SyS!$B:$P,10,FALSE()),0)</f>
        <v>0</v>
      </c>
      <c r="AN235" s="39">
        <f>IFERROR(VLOOKUP("23_"&amp;A235,SyS!$B:$P,12,FALSE()),0)</f>
        <v>0</v>
      </c>
      <c r="AO235" s="40">
        <f>+AM235-AN235</f>
        <v>0</v>
      </c>
      <c r="AP235" s="39"/>
      <c r="AQ235" s="39"/>
      <c r="AR235" s="39"/>
      <c r="AS235" s="39"/>
      <c r="AT235" s="39"/>
      <c r="AU235" s="39"/>
      <c r="AV235" s="39"/>
      <c r="AW235" s="39"/>
      <c r="AX235" s="39"/>
      <c r="AY235" s="39"/>
      <c r="AZ235" s="39"/>
      <c r="BA235" s="39"/>
      <c r="BB235" s="39"/>
      <c r="BC235" s="39"/>
      <c r="BD235" s="39"/>
      <c r="BE235" s="39"/>
      <c r="BF235" s="39"/>
      <c r="BG235" s="39"/>
      <c r="BH235" s="39"/>
      <c r="BI235" s="39"/>
      <c r="BJ235" s="39"/>
      <c r="BK235" s="39">
        <f>IFERROR(VLOOKUP("29_"&amp;A235,SyS!$B:$P,10,FALSE()),0)</f>
        <v>0</v>
      </c>
      <c r="BL235" s="39">
        <f>IFERROR(VLOOKUP("29_"&amp;A235,SyS!$B:$P,12,FALSE()),0)</f>
        <v>0</v>
      </c>
      <c r="BM235" s="39">
        <f>+BK235-BL235</f>
        <v>0</v>
      </c>
      <c r="BN235" s="38">
        <f>IFERROR(VLOOKUP("30_"&amp;A235,SyS!$B:$P,10,FALSE()),0)</f>
        <v>0</v>
      </c>
      <c r="BO235" s="39">
        <f>IFERROR(VLOOKUP("30_"&amp;A235,SyS!$B:$P,12,FALSE()),0)</f>
        <v>0</v>
      </c>
      <c r="BP235" s="40">
        <f>+BN235-BO235</f>
        <v>0</v>
      </c>
      <c r="BQ235" s="45">
        <f>+E235+H235+K235+Q235+T235+W235+Z235+AC235+AF235+AI235+AL235+AO235+AR235+AU235+AX235+BA235+BD235+BG235+BJ235+BM235+BP235</f>
        <v>0</v>
      </c>
    </row>
    <row r="236" ht="11.25" customHeight="1" spans="1:69" x14ac:dyDescent="0.25">
      <c r="A236" s="18">
        <v>426440000</v>
      </c>
      <c r="B236" s="18" t="s">
        <v>465</v>
      </c>
      <c r="C236" s="38">
        <f>IFERROR(VLOOKUP("1_"&amp;A236,SyS!$B:$P,10,FALSE()),0)</f>
        <v>0</v>
      </c>
      <c r="D236" s="39">
        <f>IFERROR(VLOOKUP("1_"&amp;A236,SyS!$B:$P,12,FALSE()),0)</f>
        <v>0</v>
      </c>
      <c r="E236" s="39">
        <f>+C236-D236</f>
        <v>0</v>
      </c>
      <c r="F236" s="38">
        <f>IFERROR(VLOOKUP("2_"&amp;A236,SyS!$B:$P,10,FALSE()),0)</f>
        <v>0</v>
      </c>
      <c r="G236" s="39">
        <f>IFERROR(VLOOKUP("2_"&amp;A236,SyS!$B:$P,12,FALSE()),0)</f>
        <v>0</v>
      </c>
      <c r="H236" s="40">
        <f>+F236-G236</f>
        <v>0</v>
      </c>
      <c r="I236" s="39"/>
      <c r="J236" s="39"/>
      <c r="K236" s="39"/>
      <c r="L236" s="39"/>
      <c r="M236" s="39"/>
      <c r="N236" s="39"/>
      <c r="O236" s="38">
        <f>IFERROR(VLOOKUP("14_"&amp;A236,SyS!$B:$P,10,FALSE()),0)</f>
        <v>0</v>
      </c>
      <c r="P236" s="39">
        <f>IFERROR(VLOOKUP("14_"&amp;A236,SyS!$B:$P,12,FALSE()),0)</f>
        <v>0</v>
      </c>
      <c r="Q236" s="40">
        <f>+O236-P236</f>
        <v>0</v>
      </c>
      <c r="R236" s="38">
        <f>IFERROR(VLOOKUP("15_"&amp;A236,SyS!$B:$P,10,FALSE()),0)</f>
        <v>0</v>
      </c>
      <c r="S236" s="39">
        <f>IFERROR(VLOOKUP("15_"&amp;A236,SyS!$B:$P,12,FALSE()),0)</f>
        <v>0</v>
      </c>
      <c r="T236" s="40">
        <f>+R236-S236</f>
        <v>0</v>
      </c>
      <c r="U236" s="38">
        <f>IFERROR(VLOOKUP("16_"&amp;A236,SyS!$B:$P,10,FALSE()),0)</f>
        <v>0</v>
      </c>
      <c r="V236" s="39">
        <f>IFERROR(VLOOKUP("16_"&amp;A236,SyS!$B:$P,12,FALSE()),0)</f>
        <v>0</v>
      </c>
      <c r="W236" s="40">
        <f>+U236-V236</f>
        <v>0</v>
      </c>
      <c r="X236" s="38">
        <f>IFERROR(VLOOKUP("13_"&amp;A236,SyS!$B:$P,10,FALSE()),0)</f>
        <v>0</v>
      </c>
      <c r="Y236" s="39">
        <f>IFERROR(VLOOKUP("13_"&amp;A236,SyS!$B:$P,12,FALSE()),0)</f>
        <v>0</v>
      </c>
      <c r="Z236" s="40">
        <f>+X236-Y236</f>
        <v>0</v>
      </c>
      <c r="AA236" s="38">
        <f>IFERROR(VLOOKUP("17_"&amp;A236,SyS!$B:$P,10,FALSE()),0)</f>
        <v>0</v>
      </c>
      <c r="AB236" s="39">
        <f>IFERROR(VLOOKUP("17_"&amp;A236,SyS!$B:$P,12,FALSE()),0)</f>
        <v>0</v>
      </c>
      <c r="AC236" s="40">
        <f>+AA236-AB236</f>
        <v>0</v>
      </c>
      <c r="AD236" s="39"/>
      <c r="AE236" s="39"/>
      <c r="AF236" s="39"/>
      <c r="AG236" s="39">
        <f>IFERROR(VLOOKUP("19_"&amp;A236,SyS!$B:$P,10,FALSE()),0)</f>
        <v>0</v>
      </c>
      <c r="AH236" s="39">
        <f>IFERROR(VLOOKUP("19_"&amp;A236,SyS!$B:$P,12,FALSE()),0)</f>
        <v>0</v>
      </c>
      <c r="AI236" s="39">
        <f>+AG236-AH236</f>
        <v>0</v>
      </c>
      <c r="AJ236" s="39"/>
      <c r="AK236" s="39"/>
      <c r="AL236" s="39"/>
      <c r="AM236" s="38">
        <f>IFERROR(VLOOKUP("23_"&amp;A236,SyS!$B:$P,10,FALSE()),0)</f>
        <v>0</v>
      </c>
      <c r="AN236" s="39">
        <f>IFERROR(VLOOKUP("23_"&amp;A236,SyS!$B:$P,12,FALSE()),0)</f>
        <v>0</v>
      </c>
      <c r="AO236" s="40">
        <f>+AM236-AN236</f>
        <v>0</v>
      </c>
      <c r="AP236" s="39"/>
      <c r="AQ236" s="39"/>
      <c r="AR236" s="39"/>
      <c r="AS236" s="39"/>
      <c r="AT236" s="39"/>
      <c r="AU236" s="39"/>
      <c r="AV236" s="39"/>
      <c r="AW236" s="39"/>
      <c r="AX236" s="39"/>
      <c r="AY236" s="39"/>
      <c r="AZ236" s="39"/>
      <c r="BA236" s="39"/>
      <c r="BB236" s="39"/>
      <c r="BC236" s="39"/>
      <c r="BD236" s="39"/>
      <c r="BE236" s="39"/>
      <c r="BF236" s="39"/>
      <c r="BG236" s="39"/>
      <c r="BH236" s="39"/>
      <c r="BI236" s="39"/>
      <c r="BJ236" s="39"/>
      <c r="BK236" s="39">
        <f>IFERROR(VLOOKUP("29_"&amp;A236,SyS!$B:$P,10,FALSE()),0)</f>
        <v>0</v>
      </c>
      <c r="BL236" s="39">
        <f>IFERROR(VLOOKUP("29_"&amp;A236,SyS!$B:$P,12,FALSE()),0)</f>
        <v>0</v>
      </c>
      <c r="BM236" s="39">
        <f>+BK236-BL236</f>
        <v>0</v>
      </c>
      <c r="BN236" s="38">
        <f>IFERROR(VLOOKUP("30_"&amp;A236,SyS!$B:$P,10,FALSE()),0)</f>
        <v>0</v>
      </c>
      <c r="BO236" s="39">
        <f>IFERROR(VLOOKUP("30_"&amp;A236,SyS!$B:$P,12,FALSE()),0)</f>
        <v>0</v>
      </c>
      <c r="BP236" s="40">
        <f>+BN236-BO236</f>
        <v>0</v>
      </c>
      <c r="BQ236" s="45">
        <f>+E236+H236+K236+Q236+T236+W236+Z236+AC236+AF236+AI236+AL236+AO236+AR236+AU236+AX236+BA236+BD236+BG236+BJ236+BM236+BP236</f>
        <v>0</v>
      </c>
    </row>
    <row r="237" ht="11.25" customHeight="1" spans="1:69" x14ac:dyDescent="0.25">
      <c r="A237" s="51">
        <v>426450000</v>
      </c>
      <c r="B237" s="18" t="s">
        <v>466</v>
      </c>
      <c r="C237" s="38">
        <f>IFERROR(VLOOKUP("1_"&amp;A237,SyS!$B:$P,10,FALSE()),0)</f>
        <v>0</v>
      </c>
      <c r="D237" s="39">
        <f>IFERROR(VLOOKUP("1_"&amp;A237,SyS!$B:$P,12,FALSE()),0)</f>
        <v>0</v>
      </c>
      <c r="E237" s="39">
        <f>+C237-D237</f>
        <v>0</v>
      </c>
      <c r="F237" s="38">
        <f>IFERROR(VLOOKUP("2_"&amp;A237,SyS!$B:$P,10,FALSE()),0)</f>
        <v>0</v>
      </c>
      <c r="G237" s="39">
        <f>IFERROR(VLOOKUP("2_"&amp;A237,SyS!$B:$P,12,FALSE()),0)</f>
        <v>0</v>
      </c>
      <c r="H237" s="40">
        <f>+F237-G237</f>
        <v>0</v>
      </c>
      <c r="I237" s="39"/>
      <c r="J237" s="39"/>
      <c r="K237" s="39"/>
      <c r="L237" s="39"/>
      <c r="M237" s="39"/>
      <c r="N237" s="39"/>
      <c r="O237" s="38">
        <f>IFERROR(VLOOKUP("14_"&amp;A237,SyS!$B:$P,10,FALSE()),0)</f>
        <v>0</v>
      </c>
      <c r="P237" s="39">
        <f>IFERROR(VLOOKUP("14_"&amp;A237,SyS!$B:$P,12,FALSE()),0)</f>
        <v>0</v>
      </c>
      <c r="Q237" s="40">
        <f>+O237-P237</f>
        <v>0</v>
      </c>
      <c r="R237" s="38">
        <f>IFERROR(VLOOKUP("15_"&amp;A237,SyS!$B:$P,10,FALSE()),0)</f>
        <v>0</v>
      </c>
      <c r="S237" s="39">
        <f>IFERROR(VLOOKUP("15_"&amp;A237,SyS!$B:$P,12,FALSE()),0)</f>
        <v>0</v>
      </c>
      <c r="T237" s="40">
        <f>+R237-S237</f>
        <v>0</v>
      </c>
      <c r="U237" s="38">
        <f>IFERROR(VLOOKUP("16_"&amp;A237,SyS!$B:$P,10,FALSE()),0)</f>
        <v>0</v>
      </c>
      <c r="V237" s="39">
        <f>IFERROR(VLOOKUP("16_"&amp;A237,SyS!$B:$P,12,FALSE()),0)</f>
        <v>0</v>
      </c>
      <c r="W237" s="40">
        <f>+U237-V237</f>
        <v>0</v>
      </c>
      <c r="X237" s="38">
        <f>IFERROR(VLOOKUP("13_"&amp;A237,SyS!$B:$P,10,FALSE()),0)</f>
        <v>0</v>
      </c>
      <c r="Y237" s="39">
        <f>IFERROR(VLOOKUP("13_"&amp;A237,SyS!$B:$P,12,FALSE()),0)</f>
        <v>0</v>
      </c>
      <c r="Z237" s="40">
        <f>+X237-Y237</f>
        <v>0</v>
      </c>
      <c r="AA237" s="38">
        <f>IFERROR(VLOOKUP("17_"&amp;A237,SyS!$B:$P,10,FALSE()),0)</f>
        <v>1.07</v>
      </c>
      <c r="AB237" s="39">
        <f>IFERROR(VLOOKUP("17_"&amp;A237,SyS!$B:$P,12,FALSE()),0)</f>
        <v>0</v>
      </c>
      <c r="AC237" s="40">
        <f>+AA237-AB237</f>
        <v>1.07</v>
      </c>
      <c r="AD237" s="39"/>
      <c r="AE237" s="39"/>
      <c r="AF237" s="39"/>
      <c r="AG237" s="39">
        <f>IFERROR(VLOOKUP("19_"&amp;A237,SyS!$B:$P,10,FALSE()),0)</f>
        <v>0</v>
      </c>
      <c r="AH237" s="39">
        <f>IFERROR(VLOOKUP("19_"&amp;A237,SyS!$B:$P,12,FALSE()),0)</f>
        <v>0</v>
      </c>
      <c r="AI237" s="39">
        <f>+AG237-AH237</f>
        <v>0</v>
      </c>
      <c r="AJ237" s="39"/>
      <c r="AK237" s="39"/>
      <c r="AL237" s="39"/>
      <c r="AM237" s="38">
        <f>IFERROR(VLOOKUP("23_"&amp;A237,SyS!$B:$P,10,FALSE()),0)</f>
        <v>0</v>
      </c>
      <c r="AN237" s="39">
        <f>IFERROR(VLOOKUP("23_"&amp;A237,SyS!$B:$P,12,FALSE()),0)</f>
        <v>0</v>
      </c>
      <c r="AO237" s="40">
        <f>+AM237-AN237</f>
        <v>0</v>
      </c>
      <c r="AP237" s="39"/>
      <c r="AQ237" s="39"/>
      <c r="AR237" s="39"/>
      <c r="AS237" s="39"/>
      <c r="AT237" s="39"/>
      <c r="AU237" s="39"/>
      <c r="AV237" s="39"/>
      <c r="AW237" s="39"/>
      <c r="AX237" s="39"/>
      <c r="AY237" s="39"/>
      <c r="AZ237" s="39"/>
      <c r="BA237" s="39"/>
      <c r="BB237" s="39"/>
      <c r="BC237" s="39"/>
      <c r="BD237" s="39"/>
      <c r="BE237" s="39"/>
      <c r="BF237" s="39"/>
      <c r="BG237" s="39"/>
      <c r="BH237" s="39"/>
      <c r="BI237" s="39"/>
      <c r="BJ237" s="39"/>
      <c r="BK237" s="39">
        <f>IFERROR(VLOOKUP("29_"&amp;A237,SyS!$B:$P,10,FALSE()),0)</f>
        <v>0</v>
      </c>
      <c r="BL237" s="39">
        <f>IFERROR(VLOOKUP("29_"&amp;A237,SyS!$B:$P,12,FALSE()),0)</f>
        <v>0</v>
      </c>
      <c r="BM237" s="39">
        <f>+BK237-BL237</f>
        <v>0</v>
      </c>
      <c r="BN237" s="38">
        <f>IFERROR(VLOOKUP("30_"&amp;A237,SyS!$B:$P,10,FALSE()),0)</f>
        <v>0</v>
      </c>
      <c r="BO237" s="39">
        <f>IFERROR(VLOOKUP("30_"&amp;A237,SyS!$B:$P,12,FALSE()),0)</f>
        <v>0</v>
      </c>
      <c r="BP237" s="40">
        <f>+BN237-BO237</f>
        <v>0</v>
      </c>
      <c r="BQ237" s="45">
        <f>+E237+H237+K237+Q237+T237+W237+Z237+AC237+AF237+AI237+AL237+AO237+AR237+AU237+AX237+BA237+BD237+BG237+BJ237+BM237+BP237</f>
        <v>1.07</v>
      </c>
    </row>
    <row r="238" ht="11.25" customHeight="1" spans="1:69" x14ac:dyDescent="0.25">
      <c r="A238" s="18">
        <v>426460000</v>
      </c>
      <c r="B238" s="18" t="s">
        <v>467</v>
      </c>
      <c r="C238" s="38">
        <f>IFERROR(VLOOKUP("1_"&amp;A238,SyS!$B:$P,10,FALSE()),0)</f>
        <v>0</v>
      </c>
      <c r="D238" s="39">
        <f>IFERROR(VLOOKUP("1_"&amp;A238,SyS!$B:$P,12,FALSE()),0)</f>
        <v>0</v>
      </c>
      <c r="E238" s="39">
        <f>+C238-D238</f>
        <v>0</v>
      </c>
      <c r="F238" s="38">
        <f>IFERROR(VLOOKUP("2_"&amp;A238,SyS!$B:$P,10,FALSE()),0)</f>
        <v>0</v>
      </c>
      <c r="G238" s="39">
        <f>IFERROR(VLOOKUP("2_"&amp;A238,SyS!$B:$P,12,FALSE()),0)</f>
        <v>0</v>
      </c>
      <c r="H238" s="40">
        <f>+F238-G238</f>
        <v>0</v>
      </c>
      <c r="I238" s="39"/>
      <c r="J238" s="39"/>
      <c r="K238" s="39"/>
      <c r="L238" s="39"/>
      <c r="M238" s="39"/>
      <c r="N238" s="39"/>
      <c r="O238" s="38">
        <f>IFERROR(VLOOKUP("14_"&amp;A238,SyS!$B:$P,10,FALSE()),0)</f>
        <v>0</v>
      </c>
      <c r="P238" s="39">
        <f>IFERROR(VLOOKUP("14_"&amp;A238,SyS!$B:$P,12,FALSE()),0)</f>
        <v>0</v>
      </c>
      <c r="Q238" s="40">
        <f>+O238-P238</f>
        <v>0</v>
      </c>
      <c r="R238" s="38">
        <f>IFERROR(VLOOKUP("15_"&amp;A238,SyS!$B:$P,10,FALSE()),0)</f>
        <v>0</v>
      </c>
      <c r="S238" s="39">
        <f>IFERROR(VLOOKUP("15_"&amp;A238,SyS!$B:$P,12,FALSE()),0)</f>
        <v>0</v>
      </c>
      <c r="T238" s="40">
        <f>+R238-S238</f>
        <v>0</v>
      </c>
      <c r="U238" s="38">
        <f>IFERROR(VLOOKUP("16_"&amp;A238,SyS!$B:$P,10,FALSE()),0)</f>
        <v>0</v>
      </c>
      <c r="V238" s="39">
        <f>IFERROR(VLOOKUP("16_"&amp;A238,SyS!$B:$P,12,FALSE()),0)</f>
        <v>0</v>
      </c>
      <c r="W238" s="40">
        <f>+U238-V238</f>
        <v>0</v>
      </c>
      <c r="X238" s="38">
        <f>IFERROR(VLOOKUP("13_"&amp;A238,SyS!$B:$P,10,FALSE()),0)</f>
        <v>0</v>
      </c>
      <c r="Y238" s="39">
        <f>IFERROR(VLOOKUP("13_"&amp;A238,SyS!$B:$P,12,FALSE()),0)</f>
        <v>0</v>
      </c>
      <c r="Z238" s="40">
        <f>+X238-Y238</f>
        <v>0</v>
      </c>
      <c r="AA238" s="38">
        <f>IFERROR(VLOOKUP("17_"&amp;A238,SyS!$B:$P,10,FALSE()),0)</f>
        <v>0</v>
      </c>
      <c r="AB238" s="39">
        <f>IFERROR(VLOOKUP("17_"&amp;A238,SyS!$B:$P,12,FALSE()),0)</f>
        <v>0</v>
      </c>
      <c r="AC238" s="40">
        <f>+AA238-AB238</f>
        <v>0</v>
      </c>
      <c r="AD238" s="39"/>
      <c r="AE238" s="39"/>
      <c r="AF238" s="39"/>
      <c r="AG238" s="39">
        <f>IFERROR(VLOOKUP("19_"&amp;A238,SyS!$B:$P,10,FALSE()),0)</f>
        <v>0</v>
      </c>
      <c r="AH238" s="39">
        <f>IFERROR(VLOOKUP("19_"&amp;A238,SyS!$B:$P,12,FALSE()),0)</f>
        <v>0</v>
      </c>
      <c r="AI238" s="39">
        <f>+AG238-AH238</f>
        <v>0</v>
      </c>
      <c r="AJ238" s="39"/>
      <c r="AK238" s="39"/>
      <c r="AL238" s="39"/>
      <c r="AM238" s="38">
        <f>IFERROR(VLOOKUP("23_"&amp;A238,SyS!$B:$P,10,FALSE()),0)</f>
        <v>0</v>
      </c>
      <c r="AN238" s="39">
        <f>IFERROR(VLOOKUP("23_"&amp;A238,SyS!$B:$P,12,FALSE()),0)</f>
        <v>0</v>
      </c>
      <c r="AO238" s="40">
        <f>+AM238-AN238</f>
        <v>0</v>
      </c>
      <c r="AP238" s="39"/>
      <c r="AQ238" s="39"/>
      <c r="AR238" s="39"/>
      <c r="AS238" s="39"/>
      <c r="AT238" s="39"/>
      <c r="AU238" s="39"/>
      <c r="AV238" s="39"/>
      <c r="AW238" s="39"/>
      <c r="AX238" s="39"/>
      <c r="AY238" s="39"/>
      <c r="AZ238" s="39"/>
      <c r="BA238" s="39"/>
      <c r="BB238" s="39"/>
      <c r="BC238" s="39"/>
      <c r="BD238" s="39"/>
      <c r="BE238" s="39"/>
      <c r="BF238" s="39"/>
      <c r="BG238" s="39"/>
      <c r="BH238" s="39"/>
      <c r="BI238" s="39"/>
      <c r="BJ238" s="39"/>
      <c r="BK238" s="39">
        <f>IFERROR(VLOOKUP("29_"&amp;A238,SyS!$B:$P,10,FALSE()),0)</f>
        <v>0</v>
      </c>
      <c r="BL238" s="39">
        <f>IFERROR(VLOOKUP("29_"&amp;A238,SyS!$B:$P,12,FALSE()),0)</f>
        <v>0</v>
      </c>
      <c r="BM238" s="39">
        <f>+BK238-BL238</f>
        <v>0</v>
      </c>
      <c r="BN238" s="38">
        <f>IFERROR(VLOOKUP("30_"&amp;A238,SyS!$B:$P,10,FALSE()),0)</f>
        <v>0</v>
      </c>
      <c r="BO238" s="39">
        <f>IFERROR(VLOOKUP("30_"&amp;A238,SyS!$B:$P,12,FALSE()),0)</f>
        <v>0</v>
      </c>
      <c r="BP238" s="40">
        <f>+BN238-BO238</f>
        <v>0</v>
      </c>
      <c r="BQ238" s="45">
        <f>+E238+H238+K238+Q238+T238+W238+Z238+AC238+AF238+AI238+AL238+AO238+AR238+AU238+AX238+BA238+BD238+BG238+BJ238+BM238+BP238</f>
        <v>0</v>
      </c>
    </row>
    <row r="239" ht="11.25" customHeight="1" spans="1:69" x14ac:dyDescent="0.25">
      <c r="A239" s="18">
        <v>426470000</v>
      </c>
      <c r="B239" s="18" t="s">
        <v>468</v>
      </c>
      <c r="C239" s="38">
        <f>IFERROR(VLOOKUP("1_"&amp;A239,SyS!$B:$P,10,FALSE()),0)</f>
        <v>0</v>
      </c>
      <c r="D239" s="39">
        <f>IFERROR(VLOOKUP("1_"&amp;A239,SyS!$B:$P,12,FALSE()),0)</f>
        <v>0</v>
      </c>
      <c r="E239" s="39">
        <f>+C239-D239</f>
        <v>0</v>
      </c>
      <c r="F239" s="38">
        <f>IFERROR(VLOOKUP("2_"&amp;A239,SyS!$B:$P,10,FALSE()),0)</f>
        <v>0</v>
      </c>
      <c r="G239" s="39">
        <f>IFERROR(VLOOKUP("2_"&amp;A239,SyS!$B:$P,12,FALSE()),0)</f>
        <v>0</v>
      </c>
      <c r="H239" s="40">
        <f>+F239-G239</f>
        <v>0</v>
      </c>
      <c r="I239" s="39"/>
      <c r="J239" s="39"/>
      <c r="K239" s="39"/>
      <c r="L239" s="39"/>
      <c r="M239" s="39"/>
      <c r="N239" s="39"/>
      <c r="O239" s="38">
        <f>IFERROR(VLOOKUP("14_"&amp;A239,SyS!$B:$P,10,FALSE()),0)</f>
        <v>0</v>
      </c>
      <c r="P239" s="39">
        <f>IFERROR(VLOOKUP("14_"&amp;A239,SyS!$B:$P,12,FALSE()),0)</f>
        <v>0</v>
      </c>
      <c r="Q239" s="40">
        <f>+O239-P239</f>
        <v>0</v>
      </c>
      <c r="R239" s="38">
        <f>IFERROR(VLOOKUP("15_"&amp;A239,SyS!$B:$P,10,FALSE()),0)</f>
        <v>0</v>
      </c>
      <c r="S239" s="39">
        <f>IFERROR(VLOOKUP("15_"&amp;A239,SyS!$B:$P,12,FALSE()),0)</f>
        <v>0</v>
      </c>
      <c r="T239" s="40">
        <f>+R239-S239</f>
        <v>0</v>
      </c>
      <c r="U239" s="38">
        <f>IFERROR(VLOOKUP("16_"&amp;A239,SyS!$B:$P,10,FALSE()),0)</f>
        <v>0</v>
      </c>
      <c r="V239" s="39">
        <f>IFERROR(VLOOKUP("16_"&amp;A239,SyS!$B:$P,12,FALSE()),0)</f>
        <v>0</v>
      </c>
      <c r="W239" s="40">
        <f>+U239-V239</f>
        <v>0</v>
      </c>
      <c r="X239" s="38">
        <f>IFERROR(VLOOKUP("13_"&amp;A239,SyS!$B:$P,10,FALSE()),0)</f>
        <v>0</v>
      </c>
      <c r="Y239" s="39">
        <f>IFERROR(VLOOKUP("13_"&amp;A239,SyS!$B:$P,12,FALSE()),0)</f>
        <v>0</v>
      </c>
      <c r="Z239" s="40">
        <f>+X239-Y239</f>
        <v>0</v>
      </c>
      <c r="AA239" s="38">
        <f>IFERROR(VLOOKUP("17_"&amp;A239,SyS!$B:$P,10,FALSE()),0)</f>
        <v>1.08</v>
      </c>
      <c r="AB239" s="39">
        <f>IFERROR(VLOOKUP("17_"&amp;A239,SyS!$B:$P,12,FALSE()),0)</f>
        <v>0</v>
      </c>
      <c r="AC239" s="40">
        <f>+AA239-AB239</f>
        <v>1.08</v>
      </c>
      <c r="AD239" s="39"/>
      <c r="AE239" s="39"/>
      <c r="AF239" s="39"/>
      <c r="AG239" s="39">
        <f>IFERROR(VLOOKUP("19_"&amp;A239,SyS!$B:$P,10,FALSE()),0)</f>
        <v>0</v>
      </c>
      <c r="AH239" s="39">
        <f>IFERROR(VLOOKUP("19_"&amp;A239,SyS!$B:$P,12,FALSE()),0)</f>
        <v>0</v>
      </c>
      <c r="AI239" s="39">
        <f>+AG239-AH239</f>
        <v>0</v>
      </c>
      <c r="AJ239" s="39"/>
      <c r="AK239" s="39"/>
      <c r="AL239" s="39"/>
      <c r="AM239" s="38">
        <f>IFERROR(VLOOKUP("23_"&amp;A239,SyS!$B:$P,10,FALSE()),0)</f>
        <v>0</v>
      </c>
      <c r="AN239" s="39">
        <f>IFERROR(VLOOKUP("23_"&amp;A239,SyS!$B:$P,12,FALSE()),0)</f>
        <v>0</v>
      </c>
      <c r="AO239" s="40">
        <f>+AM239-AN239</f>
        <v>0</v>
      </c>
      <c r="AP239" s="39"/>
      <c r="AQ239" s="39"/>
      <c r="AR239" s="39"/>
      <c r="AS239" s="39"/>
      <c r="AT239" s="39"/>
      <c r="AU239" s="39"/>
      <c r="AV239" s="39"/>
      <c r="AW239" s="39"/>
      <c r="AX239" s="39"/>
      <c r="AY239" s="39"/>
      <c r="AZ239" s="39"/>
      <c r="BA239" s="39"/>
      <c r="BB239" s="39"/>
      <c r="BC239" s="39"/>
      <c r="BD239" s="39"/>
      <c r="BE239" s="39"/>
      <c r="BF239" s="39"/>
      <c r="BG239" s="39"/>
      <c r="BH239" s="39"/>
      <c r="BI239" s="39"/>
      <c r="BJ239" s="39"/>
      <c r="BK239" s="39">
        <f>IFERROR(VLOOKUP("29_"&amp;A239,SyS!$B:$P,10,FALSE()),0)</f>
        <v>0</v>
      </c>
      <c r="BL239" s="39">
        <f>IFERROR(VLOOKUP("29_"&amp;A239,SyS!$B:$P,12,FALSE()),0)</f>
        <v>0</v>
      </c>
      <c r="BM239" s="39">
        <f>+BK239-BL239</f>
        <v>0</v>
      </c>
      <c r="BN239" s="38">
        <f>IFERROR(VLOOKUP("30_"&amp;A239,SyS!$B:$P,10,FALSE()),0)</f>
        <v>0</v>
      </c>
      <c r="BO239" s="39">
        <f>IFERROR(VLOOKUP("30_"&amp;A239,SyS!$B:$P,12,FALSE()),0)</f>
        <v>0</v>
      </c>
      <c r="BP239" s="40">
        <f>+BN239-BO239</f>
        <v>0</v>
      </c>
      <c r="BQ239" s="45">
        <f>+E239+H239+K239+Q239+T239+W239+Z239+AC239+AF239+AI239+AL239+AO239+AR239+AU239+AX239+BA239+BD239+BG239+BJ239+BM239+BP239</f>
        <v>1.08</v>
      </c>
    </row>
    <row r="240" ht="11.25" customHeight="1" spans="1:69" x14ac:dyDescent="0.25">
      <c r="A240" s="18">
        <v>426550000</v>
      </c>
      <c r="B240" s="18" t="s">
        <v>469</v>
      </c>
      <c r="C240" s="38">
        <f>IFERROR(VLOOKUP("1_"&amp;A240,SyS!$B:$P,10,FALSE()),0)</f>
        <v>0</v>
      </c>
      <c r="D240" s="39">
        <f>IFERROR(VLOOKUP("1_"&amp;A240,SyS!$B:$P,12,FALSE()),0)</f>
        <v>0</v>
      </c>
      <c r="E240" s="39">
        <f>+C240-D240</f>
        <v>0</v>
      </c>
      <c r="F240" s="38">
        <f>IFERROR(VLOOKUP("2_"&amp;A240,SyS!$B:$P,10,FALSE()),0)</f>
        <v>0</v>
      </c>
      <c r="G240" s="39">
        <f>IFERROR(VLOOKUP("2_"&amp;A240,SyS!$B:$P,12,FALSE()),0)</f>
        <v>0</v>
      </c>
      <c r="H240" s="40">
        <f>+F240-G240</f>
        <v>0</v>
      </c>
      <c r="I240" s="39"/>
      <c r="J240" s="39"/>
      <c r="K240" s="39"/>
      <c r="L240" s="39"/>
      <c r="M240" s="39"/>
      <c r="N240" s="39"/>
      <c r="O240" s="38">
        <f>IFERROR(VLOOKUP("14_"&amp;A240,SyS!$B:$P,10,FALSE()),0)</f>
        <v>0</v>
      </c>
      <c r="P240" s="39">
        <f>IFERROR(VLOOKUP("14_"&amp;A240,SyS!$B:$P,12,FALSE()),0)</f>
        <v>0</v>
      </c>
      <c r="Q240" s="40">
        <f>+O240-P240</f>
        <v>0</v>
      </c>
      <c r="R240" s="38">
        <f>IFERROR(VLOOKUP("15_"&amp;A240,SyS!$B:$P,10,FALSE()),0)</f>
        <v>0</v>
      </c>
      <c r="S240" s="39">
        <f>IFERROR(VLOOKUP("15_"&amp;A240,SyS!$B:$P,12,FALSE()),0)</f>
        <v>0</v>
      </c>
      <c r="T240" s="40">
        <f>+R240-S240</f>
        <v>0</v>
      </c>
      <c r="U240" s="38">
        <f>IFERROR(VLOOKUP("16_"&amp;A240,SyS!$B:$P,10,FALSE()),0)</f>
        <v>0</v>
      </c>
      <c r="V240" s="39">
        <f>IFERROR(VLOOKUP("16_"&amp;A240,SyS!$B:$P,12,FALSE()),0)</f>
        <v>0</v>
      </c>
      <c r="W240" s="40">
        <f>+U240-V240</f>
        <v>0</v>
      </c>
      <c r="X240" s="38">
        <f>IFERROR(VLOOKUP("13_"&amp;A240,SyS!$B:$P,10,FALSE()),0)</f>
        <v>0</v>
      </c>
      <c r="Y240" s="39">
        <f>IFERROR(VLOOKUP("13_"&amp;A240,SyS!$B:$P,12,FALSE()),0)</f>
        <v>0</v>
      </c>
      <c r="Z240" s="40">
        <f>+X240-Y240</f>
        <v>0</v>
      </c>
      <c r="AA240" s="38">
        <f>IFERROR(VLOOKUP("17_"&amp;A240,SyS!$B:$P,10,FALSE()),0)</f>
        <v>0</v>
      </c>
      <c r="AB240" s="39">
        <f>IFERROR(VLOOKUP("17_"&amp;A240,SyS!$B:$P,12,FALSE()),0)</f>
        <v>0</v>
      </c>
      <c r="AC240" s="40">
        <f>+AA240-AB240</f>
        <v>0</v>
      </c>
      <c r="AD240" s="39"/>
      <c r="AE240" s="39"/>
      <c r="AF240" s="39"/>
      <c r="AG240" s="39">
        <f>IFERROR(VLOOKUP("19_"&amp;A240,SyS!$B:$P,10,FALSE()),0)</f>
        <v>0</v>
      </c>
      <c r="AH240" s="39">
        <f>IFERROR(VLOOKUP("19_"&amp;A240,SyS!$B:$P,12,FALSE()),0)</f>
        <v>0</v>
      </c>
      <c r="AI240" s="39">
        <f>+AG240-AH240</f>
        <v>0</v>
      </c>
      <c r="AJ240" s="39"/>
      <c r="AK240" s="39"/>
      <c r="AL240" s="39"/>
      <c r="AM240" s="38">
        <f>IFERROR(VLOOKUP("23_"&amp;A240,SyS!$B:$P,10,FALSE()),0)</f>
        <v>0</v>
      </c>
      <c r="AN240" s="39">
        <f>IFERROR(VLOOKUP("23_"&amp;A240,SyS!$B:$P,12,FALSE()),0)</f>
        <v>0</v>
      </c>
      <c r="AO240" s="40">
        <f>+AM240-AN240</f>
        <v>0</v>
      </c>
      <c r="AP240" s="39"/>
      <c r="AQ240" s="39"/>
      <c r="AR240" s="39"/>
      <c r="AS240" s="39"/>
      <c r="AT240" s="39"/>
      <c r="AU240" s="39"/>
      <c r="AV240" s="39"/>
      <c r="AW240" s="39"/>
      <c r="AX240" s="39"/>
      <c r="AY240" s="39"/>
      <c r="AZ240" s="39"/>
      <c r="BA240" s="39"/>
      <c r="BB240" s="39"/>
      <c r="BC240" s="39"/>
      <c r="BD240" s="39"/>
      <c r="BE240" s="39"/>
      <c r="BF240" s="39"/>
      <c r="BG240" s="39"/>
      <c r="BH240" s="39"/>
      <c r="BI240" s="39"/>
      <c r="BJ240" s="39"/>
      <c r="BK240" s="39">
        <f>IFERROR(VLOOKUP("29_"&amp;A240,SyS!$B:$P,10,FALSE()),0)</f>
        <v>0</v>
      </c>
      <c r="BL240" s="39">
        <f>IFERROR(VLOOKUP("29_"&amp;A240,SyS!$B:$P,12,FALSE()),0)</f>
        <v>0</v>
      </c>
      <c r="BM240" s="39">
        <f>+BK240-BL240</f>
        <v>0</v>
      </c>
      <c r="BN240" s="38">
        <f>IFERROR(VLOOKUP("30_"&amp;A240,SyS!$B:$P,10,FALSE()),0)</f>
        <v>0</v>
      </c>
      <c r="BO240" s="39">
        <f>IFERROR(VLOOKUP("30_"&amp;A240,SyS!$B:$P,12,FALSE()),0)</f>
        <v>0</v>
      </c>
      <c r="BP240" s="40">
        <f>+BN240-BO240</f>
        <v>0</v>
      </c>
      <c r="BQ240" s="45">
        <f>+E240+H240+K240+Q240+T240+W240+Z240+AC240+AF240+AI240+AL240+AO240+AR240+AU240+AX240+BA240+BD240+BG240+BJ240+BM240+BP240</f>
        <v>0</v>
      </c>
    </row>
    <row r="241" ht="11.25" customHeight="1" spans="1:69" x14ac:dyDescent="0.25">
      <c r="A241" s="18">
        <v>426480000</v>
      </c>
      <c r="B241" s="18" t="s">
        <v>470</v>
      </c>
      <c r="C241" s="38">
        <f>IFERROR(VLOOKUP("1_"&amp;A241,SyS!$B:$P,10,FALSE()),0)</f>
        <v>0</v>
      </c>
      <c r="D241" s="39">
        <f>IFERROR(VLOOKUP("1_"&amp;A241,SyS!$B:$P,12,FALSE()),0)</f>
        <v>0</v>
      </c>
      <c r="E241" s="39">
        <f>+C241-D241</f>
        <v>0</v>
      </c>
      <c r="F241" s="38">
        <f>IFERROR(VLOOKUP("2_"&amp;A241,SyS!$B:$P,10,FALSE()),0)</f>
        <v>0</v>
      </c>
      <c r="G241" s="39">
        <f>IFERROR(VLOOKUP("2_"&amp;A241,SyS!$B:$P,12,FALSE()),0)</f>
        <v>0</v>
      </c>
      <c r="H241" s="40">
        <f>+F241-G241</f>
        <v>0</v>
      </c>
      <c r="I241" s="39"/>
      <c r="J241" s="39"/>
      <c r="K241" s="39"/>
      <c r="L241" s="39"/>
      <c r="M241" s="39"/>
      <c r="N241" s="39"/>
      <c r="O241" s="38">
        <f>IFERROR(VLOOKUP("14_"&amp;A241,SyS!$B:$P,10,FALSE()),0)</f>
        <v>0</v>
      </c>
      <c r="P241" s="39">
        <f>IFERROR(VLOOKUP("14_"&amp;A241,SyS!$B:$P,12,FALSE()),0)</f>
        <v>0</v>
      </c>
      <c r="Q241" s="40">
        <f>+O241-P241</f>
        <v>0</v>
      </c>
      <c r="R241" s="38">
        <f>IFERROR(VLOOKUP("15_"&amp;A241,SyS!$B:$P,10,FALSE()),0)</f>
        <v>0</v>
      </c>
      <c r="S241" s="39">
        <f>IFERROR(VLOOKUP("15_"&amp;A241,SyS!$B:$P,12,FALSE()),0)</f>
        <v>0</v>
      </c>
      <c r="T241" s="40">
        <f>+R241-S241</f>
        <v>0</v>
      </c>
      <c r="U241" s="38">
        <f>IFERROR(VLOOKUP("16_"&amp;A241,SyS!$B:$P,10,FALSE()),0)</f>
        <v>0</v>
      </c>
      <c r="V241" s="39">
        <f>IFERROR(VLOOKUP("16_"&amp;A241,SyS!$B:$P,12,FALSE()),0)</f>
        <v>0</v>
      </c>
      <c r="W241" s="40">
        <f>+U241-V241</f>
        <v>0</v>
      </c>
      <c r="X241" s="38">
        <f>IFERROR(VLOOKUP("13_"&amp;A241,SyS!$B:$P,10,FALSE()),0)</f>
        <v>0</v>
      </c>
      <c r="Y241" s="39">
        <f>IFERROR(VLOOKUP("13_"&amp;A241,SyS!$B:$P,12,FALSE()),0)</f>
        <v>0</v>
      </c>
      <c r="Z241" s="40">
        <f>+X241-Y241</f>
        <v>0</v>
      </c>
      <c r="AA241" s="38">
        <f>IFERROR(VLOOKUP("17_"&amp;A241,SyS!$B:$P,10,FALSE()),0)</f>
        <v>0</v>
      </c>
      <c r="AB241" s="39">
        <f>IFERROR(VLOOKUP("17_"&amp;A241,SyS!$B:$P,12,FALSE()),0)</f>
        <v>0</v>
      </c>
      <c r="AC241" s="40">
        <f>+AA241-AB241</f>
        <v>0</v>
      </c>
      <c r="AD241" s="39"/>
      <c r="AE241" s="39"/>
      <c r="AF241" s="39"/>
      <c r="AG241" s="39">
        <f>IFERROR(VLOOKUP("19_"&amp;A241,SyS!$B:$P,10,FALSE()),0)</f>
        <v>0</v>
      </c>
      <c r="AH241" s="39">
        <f>IFERROR(VLOOKUP("19_"&amp;A241,SyS!$B:$P,12,FALSE()),0)</f>
        <v>0</v>
      </c>
      <c r="AI241" s="39">
        <f>+AG241-AH241</f>
        <v>0</v>
      </c>
      <c r="AJ241" s="39"/>
      <c r="AK241" s="39"/>
      <c r="AL241" s="39"/>
      <c r="AM241" s="38">
        <f>IFERROR(VLOOKUP("23_"&amp;A241,SyS!$B:$P,10,FALSE()),0)</f>
        <v>0</v>
      </c>
      <c r="AN241" s="39">
        <f>IFERROR(VLOOKUP("23_"&amp;A241,SyS!$B:$P,12,FALSE()),0)</f>
        <v>0</v>
      </c>
      <c r="AO241" s="40">
        <f>+AM241-AN241</f>
        <v>0</v>
      </c>
      <c r="AP241" s="39"/>
      <c r="AQ241" s="39"/>
      <c r="AR241" s="39"/>
      <c r="AS241" s="39"/>
      <c r="AT241" s="39"/>
      <c r="AU241" s="39"/>
      <c r="AV241" s="39"/>
      <c r="AW241" s="39"/>
      <c r="AX241" s="39"/>
      <c r="AY241" s="39"/>
      <c r="AZ241" s="39"/>
      <c r="BA241" s="39"/>
      <c r="BB241" s="39"/>
      <c r="BC241" s="39"/>
      <c r="BD241" s="39"/>
      <c r="BE241" s="39"/>
      <c r="BF241" s="39"/>
      <c r="BG241" s="39"/>
      <c r="BH241" s="39"/>
      <c r="BI241" s="39"/>
      <c r="BJ241" s="39"/>
      <c r="BK241" s="39">
        <f>IFERROR(VLOOKUP("29_"&amp;A241,SyS!$B:$P,10,FALSE()),0)</f>
        <v>0</v>
      </c>
      <c r="BL241" s="39">
        <f>IFERROR(VLOOKUP("29_"&amp;A241,SyS!$B:$P,12,FALSE()),0)</f>
        <v>0</v>
      </c>
      <c r="BM241" s="39">
        <f>+BK241-BL241</f>
        <v>0</v>
      </c>
      <c r="BN241" s="38">
        <f>IFERROR(VLOOKUP("30_"&amp;A241,SyS!$B:$P,10,FALSE()),0)</f>
        <v>0</v>
      </c>
      <c r="BO241" s="39">
        <f>IFERROR(VLOOKUP("30_"&amp;A241,SyS!$B:$P,12,FALSE()),0)</f>
        <v>0</v>
      </c>
      <c r="BP241" s="40">
        <f>+BN241-BO241</f>
        <v>0</v>
      </c>
      <c r="BQ241" s="45">
        <f>+E241+H241+K241+Q241+T241+W241+Z241+AC241+AF241+AI241+AL241+AO241+AR241+AU241+AX241+BA241+BD241+BG241+BJ241+BM241+BP241</f>
        <v>0</v>
      </c>
    </row>
    <row r="242" ht="11.25" customHeight="1" spans="1:69" x14ac:dyDescent="0.25">
      <c r="A242" s="18">
        <v>426490000</v>
      </c>
      <c r="B242" s="18" t="s">
        <v>471</v>
      </c>
      <c r="C242" s="38">
        <f>IFERROR(VLOOKUP("1_"&amp;A242,SyS!$B:$P,10,FALSE()),0)</f>
        <v>0</v>
      </c>
      <c r="D242" s="39">
        <f>IFERROR(VLOOKUP("1_"&amp;A242,SyS!$B:$P,12,FALSE()),0)</f>
        <v>0</v>
      </c>
      <c r="E242" s="39">
        <f>+C242-D242</f>
        <v>0</v>
      </c>
      <c r="F242" s="38">
        <f>IFERROR(VLOOKUP("2_"&amp;A242,SyS!$B:$P,10,FALSE()),0)</f>
        <v>0</v>
      </c>
      <c r="G242" s="39">
        <f>IFERROR(VLOOKUP("2_"&amp;A242,SyS!$B:$P,12,FALSE()),0)</f>
        <v>0</v>
      </c>
      <c r="H242" s="40">
        <f>+F242-G242</f>
        <v>0</v>
      </c>
      <c r="I242" s="39"/>
      <c r="J242" s="39"/>
      <c r="K242" s="39"/>
      <c r="L242" s="39"/>
      <c r="M242" s="39"/>
      <c r="N242" s="39"/>
      <c r="O242" s="38">
        <f>IFERROR(VLOOKUP("14_"&amp;A242,SyS!$B:$P,10,FALSE()),0)</f>
        <v>0</v>
      </c>
      <c r="P242" s="39">
        <f>IFERROR(VLOOKUP("14_"&amp;A242,SyS!$B:$P,12,FALSE()),0)</f>
        <v>0</v>
      </c>
      <c r="Q242" s="40">
        <f>+O242-P242</f>
        <v>0</v>
      </c>
      <c r="R242" s="38">
        <f>IFERROR(VLOOKUP("15_"&amp;A242,SyS!$B:$P,10,FALSE()),0)</f>
        <v>0</v>
      </c>
      <c r="S242" s="39">
        <f>IFERROR(VLOOKUP("15_"&amp;A242,SyS!$B:$P,12,FALSE()),0)</f>
        <v>0</v>
      </c>
      <c r="T242" s="40">
        <f>+R242-S242</f>
        <v>0</v>
      </c>
      <c r="U242" s="38">
        <f>IFERROR(VLOOKUP("16_"&amp;A242,SyS!$B:$P,10,FALSE()),0)</f>
        <v>0</v>
      </c>
      <c r="V242" s="39">
        <f>IFERROR(VLOOKUP("16_"&amp;A242,SyS!$B:$P,12,FALSE()),0)</f>
        <v>0</v>
      </c>
      <c r="W242" s="40">
        <f>+U242-V242</f>
        <v>0</v>
      </c>
      <c r="X242" s="38">
        <f>IFERROR(VLOOKUP("13_"&amp;A242,SyS!$B:$P,10,FALSE()),0)</f>
        <v>0</v>
      </c>
      <c r="Y242" s="39">
        <f>IFERROR(VLOOKUP("13_"&amp;A242,SyS!$B:$P,12,FALSE()),0)</f>
        <v>0</v>
      </c>
      <c r="Z242" s="40">
        <f>+X242-Y242</f>
        <v>0</v>
      </c>
      <c r="AA242" s="38">
        <f>IFERROR(VLOOKUP("17_"&amp;A242,SyS!$B:$P,10,FALSE()),0)</f>
        <v>0</v>
      </c>
      <c r="AB242" s="39">
        <f>IFERROR(VLOOKUP("17_"&amp;A242,SyS!$B:$P,12,FALSE()),0)</f>
        <v>0</v>
      </c>
      <c r="AC242" s="40">
        <f>+AA242-AB242</f>
        <v>0</v>
      </c>
      <c r="AD242" s="39"/>
      <c r="AE242" s="39"/>
      <c r="AF242" s="39"/>
      <c r="AG242" s="39">
        <f>IFERROR(VLOOKUP("19_"&amp;A242,SyS!$B:$P,10,FALSE()),0)</f>
        <v>0</v>
      </c>
      <c r="AH242" s="39">
        <f>IFERROR(VLOOKUP("19_"&amp;A242,SyS!$B:$P,12,FALSE()),0)</f>
        <v>0</v>
      </c>
      <c r="AI242" s="39">
        <f>+AG242-AH242</f>
        <v>0</v>
      </c>
      <c r="AJ242" s="39"/>
      <c r="AK242" s="39"/>
      <c r="AL242" s="39"/>
      <c r="AM242" s="38">
        <f>IFERROR(VLOOKUP("23_"&amp;A242,SyS!$B:$P,10,FALSE()),0)</f>
        <v>0</v>
      </c>
      <c r="AN242" s="39">
        <f>IFERROR(VLOOKUP("23_"&amp;A242,SyS!$B:$P,12,FALSE()),0)</f>
        <v>0</v>
      </c>
      <c r="AO242" s="40">
        <f>+AM242-AN242</f>
        <v>0</v>
      </c>
      <c r="AP242" s="39"/>
      <c r="AQ242" s="39"/>
      <c r="AR242" s="39"/>
      <c r="AS242" s="39"/>
      <c r="AT242" s="39"/>
      <c r="AU242" s="39"/>
      <c r="AV242" s="39"/>
      <c r="AW242" s="39"/>
      <c r="AX242" s="39"/>
      <c r="AY242" s="39"/>
      <c r="AZ242" s="39"/>
      <c r="BA242" s="39"/>
      <c r="BB242" s="39"/>
      <c r="BC242" s="39"/>
      <c r="BD242" s="39"/>
      <c r="BE242" s="39"/>
      <c r="BF242" s="39"/>
      <c r="BG242" s="39"/>
      <c r="BH242" s="39"/>
      <c r="BI242" s="39"/>
      <c r="BJ242" s="39"/>
      <c r="BK242" s="39">
        <f>IFERROR(VLOOKUP("29_"&amp;A242,SyS!$B:$P,10,FALSE()),0)</f>
        <v>0</v>
      </c>
      <c r="BL242" s="39">
        <f>IFERROR(VLOOKUP("29_"&amp;A242,SyS!$B:$P,12,FALSE()),0)</f>
        <v>0</v>
      </c>
      <c r="BM242" s="39">
        <f>+BK242-BL242</f>
        <v>0</v>
      </c>
      <c r="BN242" s="38">
        <f>IFERROR(VLOOKUP("30_"&amp;A242,SyS!$B:$P,10,FALSE()),0)</f>
        <v>0</v>
      </c>
      <c r="BO242" s="39">
        <f>IFERROR(VLOOKUP("30_"&amp;A242,SyS!$B:$P,12,FALSE()),0)</f>
        <v>0</v>
      </c>
      <c r="BP242" s="40">
        <f>+BN242-BO242</f>
        <v>0</v>
      </c>
      <c r="BQ242" s="45">
        <f>+E242+H242+K242+Q242+T242+W242+Z242+AC242+AF242+AI242+AL242+AO242+AR242+AU242+AX242+BA242+BD242+BG242+BJ242+BM242+BP242</f>
        <v>0</v>
      </c>
    </row>
    <row r="243" ht="11.25" customHeight="1" spans="1:69" x14ac:dyDescent="0.25">
      <c r="A243" s="18">
        <v>426500000</v>
      </c>
      <c r="B243" s="18" t="s">
        <v>472</v>
      </c>
      <c r="C243" s="38">
        <f>IFERROR(VLOOKUP("1_"&amp;A243,SyS!$B:$P,10,FALSE()),0)</f>
        <v>0</v>
      </c>
      <c r="D243" s="39">
        <f>IFERROR(VLOOKUP("1_"&amp;A243,SyS!$B:$P,12,FALSE()),0)</f>
        <v>0</v>
      </c>
      <c r="E243" s="39">
        <f>+C243-D243</f>
        <v>0</v>
      </c>
      <c r="F243" s="38">
        <f>IFERROR(VLOOKUP("2_"&amp;A243,SyS!$B:$P,10,FALSE()),0)</f>
        <v>0</v>
      </c>
      <c r="G243" s="39">
        <f>IFERROR(VLOOKUP("2_"&amp;A243,SyS!$B:$P,12,FALSE()),0)</f>
        <v>0</v>
      </c>
      <c r="H243" s="40">
        <f>+F243-G243</f>
        <v>0</v>
      </c>
      <c r="I243" s="39"/>
      <c r="J243" s="39"/>
      <c r="K243" s="39"/>
      <c r="L243" s="39"/>
      <c r="M243" s="39"/>
      <c r="N243" s="39"/>
      <c r="O243" s="38">
        <f>IFERROR(VLOOKUP("14_"&amp;A243,SyS!$B:$P,10,FALSE()),0)</f>
        <v>0</v>
      </c>
      <c r="P243" s="39">
        <f>IFERROR(VLOOKUP("14_"&amp;A243,SyS!$B:$P,12,FALSE()),0)</f>
        <v>0</v>
      </c>
      <c r="Q243" s="40">
        <f>+O243-P243</f>
        <v>0</v>
      </c>
      <c r="R243" s="38">
        <f>IFERROR(VLOOKUP("15_"&amp;A243,SyS!$B:$P,10,FALSE()),0)</f>
        <v>0</v>
      </c>
      <c r="S243" s="39">
        <f>IFERROR(VLOOKUP("15_"&amp;A243,SyS!$B:$P,12,FALSE()),0)</f>
        <v>0</v>
      </c>
      <c r="T243" s="40">
        <f>+R243-S243</f>
        <v>0</v>
      </c>
      <c r="U243" s="38">
        <f>IFERROR(VLOOKUP("16_"&amp;A243,SyS!$B:$P,10,FALSE()),0)</f>
        <v>0</v>
      </c>
      <c r="V243" s="39">
        <f>IFERROR(VLOOKUP("16_"&amp;A243,SyS!$B:$P,12,FALSE()),0)</f>
        <v>0</v>
      </c>
      <c r="W243" s="40">
        <f>+U243-V243</f>
        <v>0</v>
      </c>
      <c r="X243" s="38">
        <f>IFERROR(VLOOKUP("13_"&amp;A243,SyS!$B:$P,10,FALSE()),0)</f>
        <v>0</v>
      </c>
      <c r="Y243" s="39">
        <f>IFERROR(VLOOKUP("13_"&amp;A243,SyS!$B:$P,12,FALSE()),0)</f>
        <v>0</v>
      </c>
      <c r="Z243" s="40">
        <f>+X243-Y243</f>
        <v>0</v>
      </c>
      <c r="AA243" s="38">
        <f>IFERROR(VLOOKUP("17_"&amp;A243,SyS!$B:$P,10,FALSE()),0)</f>
        <v>0</v>
      </c>
      <c r="AB243" s="39">
        <f>IFERROR(VLOOKUP("17_"&amp;A243,SyS!$B:$P,12,FALSE()),0)</f>
        <v>0</v>
      </c>
      <c r="AC243" s="40">
        <f>+AA243-AB243</f>
        <v>0</v>
      </c>
      <c r="AD243" s="39"/>
      <c r="AE243" s="39"/>
      <c r="AF243" s="39"/>
      <c r="AG243" s="39">
        <f>IFERROR(VLOOKUP("19_"&amp;A243,SyS!$B:$P,10,FALSE()),0)</f>
        <v>0</v>
      </c>
      <c r="AH243" s="39">
        <f>IFERROR(VLOOKUP("19_"&amp;A243,SyS!$B:$P,12,FALSE()),0)</f>
        <v>0</v>
      </c>
      <c r="AI243" s="39">
        <f>+AG243-AH243</f>
        <v>0</v>
      </c>
      <c r="AJ243" s="39"/>
      <c r="AK243" s="39"/>
      <c r="AL243" s="39"/>
      <c r="AM243" s="38">
        <f>IFERROR(VLOOKUP("23_"&amp;A243,SyS!$B:$P,10,FALSE()),0)</f>
        <v>0</v>
      </c>
      <c r="AN243" s="39">
        <f>IFERROR(VLOOKUP("23_"&amp;A243,SyS!$B:$P,12,FALSE()),0)</f>
        <v>0</v>
      </c>
      <c r="AO243" s="40">
        <f>+AM243-AN243</f>
        <v>0</v>
      </c>
      <c r="AP243" s="39"/>
      <c r="AQ243" s="39"/>
      <c r="AR243" s="39"/>
      <c r="AS243" s="39"/>
      <c r="AT243" s="39"/>
      <c r="AU243" s="39"/>
      <c r="AV243" s="39"/>
      <c r="AW243" s="39"/>
      <c r="AX243" s="39"/>
      <c r="AY243" s="39"/>
      <c r="AZ243" s="39"/>
      <c r="BA243" s="39"/>
      <c r="BB243" s="39"/>
      <c r="BC243" s="39"/>
      <c r="BD243" s="39"/>
      <c r="BE243" s="39"/>
      <c r="BF243" s="39"/>
      <c r="BG243" s="39"/>
      <c r="BH243" s="39"/>
      <c r="BI243" s="39"/>
      <c r="BJ243" s="39"/>
      <c r="BK243" s="39">
        <f>IFERROR(VLOOKUP("29_"&amp;A243,SyS!$B:$P,10,FALSE()),0)</f>
        <v>0</v>
      </c>
      <c r="BL243" s="39">
        <f>IFERROR(VLOOKUP("29_"&amp;A243,SyS!$B:$P,12,FALSE()),0)</f>
        <v>0</v>
      </c>
      <c r="BM243" s="39">
        <f>+BK243-BL243</f>
        <v>0</v>
      </c>
      <c r="BN243" s="38">
        <f>IFERROR(VLOOKUP("30_"&amp;A243,SyS!$B:$P,10,FALSE()),0)</f>
        <v>0</v>
      </c>
      <c r="BO243" s="39">
        <f>IFERROR(VLOOKUP("30_"&amp;A243,SyS!$B:$P,12,FALSE()),0)</f>
        <v>0</v>
      </c>
      <c r="BP243" s="40">
        <f>+BN243-BO243</f>
        <v>0</v>
      </c>
      <c r="BQ243" s="45">
        <f>+E243+H243+K243+Q243+T243+W243+Z243+AC243+AF243+AI243+AL243+AO243+AR243+AU243+AX243+BA243+BD243+BG243+BJ243+BM243+BP243</f>
        <v>0</v>
      </c>
    </row>
    <row r="244" ht="11.25" customHeight="1" spans="1:69" x14ac:dyDescent="0.25">
      <c r="A244" s="18">
        <v>426590000</v>
      </c>
      <c r="B244" s="18" t="s">
        <v>473</v>
      </c>
      <c r="C244" s="38">
        <f>IFERROR(VLOOKUP("1_"&amp;A244,SyS!$B:$P,10,FALSE()),0)</f>
        <v>0</v>
      </c>
      <c r="D244" s="39">
        <f>IFERROR(VLOOKUP("1_"&amp;A244,SyS!$B:$P,12,FALSE()),0)</f>
        <v>0</v>
      </c>
      <c r="E244" s="39">
        <f>+C244-D244</f>
        <v>0</v>
      </c>
      <c r="F244" s="38">
        <f>IFERROR(VLOOKUP("2_"&amp;A244,SyS!$B:$P,10,FALSE()),0)</f>
        <v>0</v>
      </c>
      <c r="G244" s="39">
        <f>IFERROR(VLOOKUP("2_"&amp;A244,SyS!$B:$P,12,FALSE()),0)</f>
        <v>0</v>
      </c>
      <c r="H244" s="40">
        <f>+F244-G244</f>
        <v>0</v>
      </c>
      <c r="I244" s="39"/>
      <c r="J244" s="39"/>
      <c r="K244" s="39"/>
      <c r="L244" s="39"/>
      <c r="M244" s="39"/>
      <c r="N244" s="39"/>
      <c r="O244" s="38">
        <f>IFERROR(VLOOKUP("14_"&amp;A244,SyS!$B:$P,10,FALSE()),0)</f>
        <v>0</v>
      </c>
      <c r="P244" s="39">
        <f>IFERROR(VLOOKUP("14_"&amp;A244,SyS!$B:$P,12,FALSE()),0)</f>
        <v>0</v>
      </c>
      <c r="Q244" s="40">
        <f>+O244-P244</f>
        <v>0</v>
      </c>
      <c r="R244" s="38">
        <f>IFERROR(VLOOKUP("15_"&amp;A244,SyS!$B:$P,10,FALSE()),0)</f>
        <v>0</v>
      </c>
      <c r="S244" s="39">
        <f>IFERROR(VLOOKUP("15_"&amp;A244,SyS!$B:$P,12,FALSE()),0)</f>
        <v>0</v>
      </c>
      <c r="T244" s="40">
        <f>+R244-S244</f>
        <v>0</v>
      </c>
      <c r="U244" s="38">
        <f>IFERROR(VLOOKUP("16_"&amp;A244,SyS!$B:$P,10,FALSE()),0)</f>
        <v>0</v>
      </c>
      <c r="V244" s="39">
        <f>IFERROR(VLOOKUP("16_"&amp;A244,SyS!$B:$P,12,FALSE()),0)</f>
        <v>0</v>
      </c>
      <c r="W244" s="40">
        <f>+U244-V244</f>
        <v>0</v>
      </c>
      <c r="X244" s="38">
        <f>IFERROR(VLOOKUP("13_"&amp;A244,SyS!$B:$P,10,FALSE()),0)</f>
        <v>0</v>
      </c>
      <c r="Y244" s="39">
        <f>IFERROR(VLOOKUP("13_"&amp;A244,SyS!$B:$P,12,FALSE()),0)</f>
        <v>0</v>
      </c>
      <c r="Z244" s="40">
        <f>+X244-Y244</f>
        <v>0</v>
      </c>
      <c r="AA244" s="38">
        <f>IFERROR(VLOOKUP("17_"&amp;A244,SyS!$B:$P,10,FALSE()),0)</f>
        <v>0</v>
      </c>
      <c r="AB244" s="39">
        <f>IFERROR(VLOOKUP("17_"&amp;A244,SyS!$B:$P,12,FALSE()),0)</f>
        <v>0</v>
      </c>
      <c r="AC244" s="40">
        <f>+AA244-AB244</f>
        <v>0</v>
      </c>
      <c r="AD244" s="39"/>
      <c r="AE244" s="39"/>
      <c r="AF244" s="39"/>
      <c r="AG244" s="39">
        <f>IFERROR(VLOOKUP("19_"&amp;A244,SyS!$B:$P,10,FALSE()),0)</f>
        <v>0</v>
      </c>
      <c r="AH244" s="39">
        <f>IFERROR(VLOOKUP("19_"&amp;A244,SyS!$B:$P,12,FALSE()),0)</f>
        <v>0</v>
      </c>
      <c r="AI244" s="39">
        <f>+AG244-AH244</f>
        <v>0</v>
      </c>
      <c r="AJ244" s="39"/>
      <c r="AK244" s="39"/>
      <c r="AL244" s="39"/>
      <c r="AM244" s="38">
        <f>IFERROR(VLOOKUP("23_"&amp;A244,SyS!$B:$P,10,FALSE()),0)</f>
        <v>0</v>
      </c>
      <c r="AN244" s="39">
        <f>IFERROR(VLOOKUP("23_"&amp;A244,SyS!$B:$P,12,FALSE()),0)</f>
        <v>0</v>
      </c>
      <c r="AO244" s="40">
        <f>+AM244-AN244</f>
        <v>0</v>
      </c>
      <c r="AP244" s="39"/>
      <c r="AQ244" s="39"/>
      <c r="AR244" s="39"/>
      <c r="AS244" s="39"/>
      <c r="AT244" s="39"/>
      <c r="AU244" s="39"/>
      <c r="AV244" s="39"/>
      <c r="AW244" s="39"/>
      <c r="AX244" s="39"/>
      <c r="AY244" s="39"/>
      <c r="AZ244" s="39"/>
      <c r="BA244" s="39"/>
      <c r="BB244" s="39"/>
      <c r="BC244" s="39"/>
      <c r="BD244" s="39"/>
      <c r="BE244" s="39"/>
      <c r="BF244" s="39"/>
      <c r="BG244" s="39"/>
      <c r="BH244" s="39"/>
      <c r="BI244" s="39"/>
      <c r="BJ244" s="39"/>
      <c r="BK244" s="39">
        <f>IFERROR(VLOOKUP("29_"&amp;A244,SyS!$B:$P,10,FALSE()),0)</f>
        <v>0</v>
      </c>
      <c r="BL244" s="39">
        <f>IFERROR(VLOOKUP("29_"&amp;A244,SyS!$B:$P,12,FALSE()),0)</f>
        <v>0</v>
      </c>
      <c r="BM244" s="39">
        <f>+BK244-BL244</f>
        <v>0</v>
      </c>
      <c r="BN244" s="38">
        <f>IFERROR(VLOOKUP("30_"&amp;A244,SyS!$B:$P,10,FALSE()),0)</f>
        <v>0</v>
      </c>
      <c r="BO244" s="39">
        <f>IFERROR(VLOOKUP("30_"&amp;A244,SyS!$B:$P,12,FALSE()),0)</f>
        <v>0</v>
      </c>
      <c r="BP244" s="40">
        <f>+BN244-BO244</f>
        <v>0</v>
      </c>
      <c r="BQ244" s="45">
        <f>+E244+H244+K244+Q244+T244+W244+Z244+AC244+AF244+AI244+AL244+AO244+AR244+AU244+AX244+BA244+BD244+BG244+BJ244+BM244+BP244</f>
        <v>0</v>
      </c>
    </row>
    <row r="245" ht="11.25" customHeight="1" spans="1:69" x14ac:dyDescent="0.25">
      <c r="A245" s="18">
        <v>426600000</v>
      </c>
      <c r="B245" s="18" t="s">
        <v>474</v>
      </c>
      <c r="C245" s="38">
        <f>IFERROR(VLOOKUP("1_"&amp;A245,SyS!$B:$P,10,FALSE()),0)</f>
        <v>0</v>
      </c>
      <c r="D245" s="39">
        <f>IFERROR(VLOOKUP("1_"&amp;A245,SyS!$B:$P,12,FALSE()),0)</f>
        <v>0</v>
      </c>
      <c r="E245" s="39">
        <f>+C245-D245</f>
        <v>0</v>
      </c>
      <c r="F245" s="38">
        <f>IFERROR(VLOOKUP("2_"&amp;A245,SyS!$B:$P,10,FALSE()),0)</f>
        <v>0</v>
      </c>
      <c r="G245" s="39">
        <f>IFERROR(VLOOKUP("2_"&amp;A245,SyS!$B:$P,12,FALSE()),0)</f>
        <v>0</v>
      </c>
      <c r="H245" s="40">
        <f>+F245-G245</f>
        <v>0</v>
      </c>
      <c r="I245" s="39"/>
      <c r="J245" s="39"/>
      <c r="K245" s="39"/>
      <c r="L245" s="39"/>
      <c r="M245" s="39"/>
      <c r="N245" s="39"/>
      <c r="O245" s="38">
        <f>IFERROR(VLOOKUP("14_"&amp;A245,SyS!$B:$P,10,FALSE()),0)</f>
        <v>0</v>
      </c>
      <c r="P245" s="39">
        <f>IFERROR(VLOOKUP("14_"&amp;A245,SyS!$B:$P,12,FALSE()),0)</f>
        <v>0</v>
      </c>
      <c r="Q245" s="40">
        <f>+O245-P245</f>
        <v>0</v>
      </c>
      <c r="R245" s="38">
        <f>IFERROR(VLOOKUP("15_"&amp;A245,SyS!$B:$P,10,FALSE()),0)</f>
        <v>0</v>
      </c>
      <c r="S245" s="39">
        <f>IFERROR(VLOOKUP("15_"&amp;A245,SyS!$B:$P,12,FALSE()),0)</f>
        <v>0</v>
      </c>
      <c r="T245" s="40">
        <f>+R245-S245</f>
        <v>0</v>
      </c>
      <c r="U245" s="38">
        <f>IFERROR(VLOOKUP("16_"&amp;A245,SyS!$B:$P,10,FALSE()),0)</f>
        <v>0</v>
      </c>
      <c r="V245" s="39">
        <f>IFERROR(VLOOKUP("16_"&amp;A245,SyS!$B:$P,12,FALSE()),0)</f>
        <v>0</v>
      </c>
      <c r="W245" s="40">
        <f>+U245-V245</f>
        <v>0</v>
      </c>
      <c r="X245" s="38">
        <f>IFERROR(VLOOKUP("13_"&amp;A245,SyS!$B:$P,10,FALSE()),0)</f>
        <v>0</v>
      </c>
      <c r="Y245" s="39">
        <f>IFERROR(VLOOKUP("13_"&amp;A245,SyS!$B:$P,12,FALSE()),0)</f>
        <v>0</v>
      </c>
      <c r="Z245" s="40">
        <f>+X245-Y245</f>
        <v>0</v>
      </c>
      <c r="AA245" s="38">
        <f>IFERROR(VLOOKUP("17_"&amp;A245,SyS!$B:$P,10,FALSE()),0)</f>
        <v>0</v>
      </c>
      <c r="AB245" s="39">
        <f>IFERROR(VLOOKUP("17_"&amp;A245,SyS!$B:$P,12,FALSE()),0)</f>
        <v>0</v>
      </c>
      <c r="AC245" s="40">
        <f>+AA245-AB245</f>
        <v>0</v>
      </c>
      <c r="AD245" s="39"/>
      <c r="AE245" s="39"/>
      <c r="AF245" s="39"/>
      <c r="AG245" s="39">
        <f>IFERROR(VLOOKUP("19_"&amp;A245,SyS!$B:$P,10,FALSE()),0)</f>
        <v>0</v>
      </c>
      <c r="AH245" s="39">
        <f>IFERROR(VLOOKUP("19_"&amp;A245,SyS!$B:$P,12,FALSE()),0)</f>
        <v>0</v>
      </c>
      <c r="AI245" s="39">
        <f>+AG245-AH245</f>
        <v>0</v>
      </c>
      <c r="AJ245" s="39"/>
      <c r="AK245" s="39"/>
      <c r="AL245" s="39"/>
      <c r="AM245" s="38">
        <f>IFERROR(VLOOKUP("23_"&amp;A245,SyS!$B:$P,10,FALSE()),0)</f>
        <v>0</v>
      </c>
      <c r="AN245" s="39">
        <f>IFERROR(VLOOKUP("23_"&amp;A245,SyS!$B:$P,12,FALSE()),0)</f>
        <v>0</v>
      </c>
      <c r="AO245" s="40">
        <f>+AM245-AN245</f>
        <v>0</v>
      </c>
      <c r="AP245" s="39"/>
      <c r="AQ245" s="39"/>
      <c r="AR245" s="39"/>
      <c r="AS245" s="39"/>
      <c r="AT245" s="39"/>
      <c r="AU245" s="39"/>
      <c r="AV245" s="39"/>
      <c r="AW245" s="39"/>
      <c r="AX245" s="39"/>
      <c r="AY245" s="39"/>
      <c r="AZ245" s="39"/>
      <c r="BA245" s="39"/>
      <c r="BB245" s="39"/>
      <c r="BC245" s="39"/>
      <c r="BD245" s="39"/>
      <c r="BE245" s="39"/>
      <c r="BF245" s="39"/>
      <c r="BG245" s="39"/>
      <c r="BH245" s="39"/>
      <c r="BI245" s="39"/>
      <c r="BJ245" s="39"/>
      <c r="BK245" s="39">
        <f>IFERROR(VLOOKUP("29_"&amp;A245,SyS!$B:$P,10,FALSE()),0)</f>
        <v>0</v>
      </c>
      <c r="BL245" s="39">
        <f>IFERROR(VLOOKUP("29_"&amp;A245,SyS!$B:$P,12,FALSE()),0)</f>
        <v>0</v>
      </c>
      <c r="BM245" s="39">
        <f>+BK245-BL245</f>
        <v>0</v>
      </c>
      <c r="BN245" s="38">
        <f>IFERROR(VLOOKUP("30_"&amp;A245,SyS!$B:$P,10,FALSE()),0)</f>
        <v>0</v>
      </c>
      <c r="BO245" s="39">
        <f>IFERROR(VLOOKUP("30_"&amp;A245,SyS!$B:$P,12,FALSE()),0)</f>
        <v>0</v>
      </c>
      <c r="BP245" s="40">
        <f>+BN245-BO245</f>
        <v>0</v>
      </c>
      <c r="BQ245" s="45">
        <f>+E245+H245+K245+Q245+T245+W245+Z245+AC245+AF245+AI245+AL245+AO245+AR245+AU245+AX245+BA245+BD245+BG245+BJ245+BM245+BP245</f>
        <v>0</v>
      </c>
    </row>
    <row r="246" ht="11.25" customHeight="1" spans="1:69" x14ac:dyDescent="0.25">
      <c r="A246" s="18">
        <v>426700000</v>
      </c>
      <c r="B246" s="18" t="s">
        <v>475</v>
      </c>
      <c r="C246" s="38">
        <f>IFERROR(VLOOKUP("1_"&amp;A246,SyS!$B:$P,10,FALSE()),0)</f>
        <v>0</v>
      </c>
      <c r="D246" s="39">
        <f>IFERROR(VLOOKUP("1_"&amp;A246,SyS!$B:$P,12,FALSE()),0)</f>
        <v>0</v>
      </c>
      <c r="E246" s="39">
        <f>+C246-D246</f>
        <v>0</v>
      </c>
      <c r="F246" s="38">
        <f>IFERROR(VLOOKUP("2_"&amp;A246,SyS!$B:$P,10,FALSE()),0)</f>
        <v>0</v>
      </c>
      <c r="G246" s="39">
        <f>IFERROR(VLOOKUP("2_"&amp;A246,SyS!$B:$P,12,FALSE()),0)</f>
        <v>0</v>
      </c>
      <c r="H246" s="40">
        <f>+F246-G246</f>
        <v>0</v>
      </c>
      <c r="I246" s="39"/>
      <c r="J246" s="39"/>
      <c r="K246" s="39"/>
      <c r="L246" s="39"/>
      <c r="M246" s="39"/>
      <c r="N246" s="39"/>
      <c r="O246" s="38">
        <f>IFERROR(VLOOKUP("14_"&amp;A246,SyS!$B:$P,10,FALSE()),0)</f>
        <v>0</v>
      </c>
      <c r="P246" s="39">
        <f>IFERROR(VLOOKUP("14_"&amp;A246,SyS!$B:$P,12,FALSE()),0)</f>
        <v>0</v>
      </c>
      <c r="Q246" s="40">
        <f>+O246-P246</f>
        <v>0</v>
      </c>
      <c r="R246" s="38">
        <f>IFERROR(VLOOKUP("15_"&amp;A246,SyS!$B:$P,10,FALSE()),0)</f>
        <v>0</v>
      </c>
      <c r="S246" s="39">
        <f>IFERROR(VLOOKUP("15_"&amp;A246,SyS!$B:$P,12,FALSE()),0)</f>
        <v>0</v>
      </c>
      <c r="T246" s="40">
        <f>+R246-S246</f>
        <v>0</v>
      </c>
      <c r="U246" s="38">
        <f>IFERROR(VLOOKUP("16_"&amp;A246,SyS!$B:$P,10,FALSE()),0)</f>
        <v>0</v>
      </c>
      <c r="V246" s="39">
        <f>IFERROR(VLOOKUP("16_"&amp;A246,SyS!$B:$P,12,FALSE()),0)</f>
        <v>0</v>
      </c>
      <c r="W246" s="40">
        <f>+U246-V246</f>
        <v>0</v>
      </c>
      <c r="X246" s="38">
        <f>IFERROR(VLOOKUP("13_"&amp;A246,SyS!$B:$P,10,FALSE()),0)</f>
        <v>0</v>
      </c>
      <c r="Y246" s="39">
        <f>IFERROR(VLOOKUP("13_"&amp;A246,SyS!$B:$P,12,FALSE()),0)</f>
        <v>0</v>
      </c>
      <c r="Z246" s="40">
        <f>+X246-Y246</f>
        <v>0</v>
      </c>
      <c r="AA246" s="38">
        <f>IFERROR(VLOOKUP("17_"&amp;A246,SyS!$B:$P,10,FALSE()),0)</f>
        <v>0</v>
      </c>
      <c r="AB246" s="39">
        <f>IFERROR(VLOOKUP("17_"&amp;A246,SyS!$B:$P,12,FALSE()),0)</f>
        <v>0</v>
      </c>
      <c r="AC246" s="40">
        <f>+AA246-AB246</f>
        <v>0</v>
      </c>
      <c r="AD246" s="39"/>
      <c r="AE246" s="39"/>
      <c r="AF246" s="39"/>
      <c r="AG246" s="39">
        <f>IFERROR(VLOOKUP("19_"&amp;A246,SyS!$B:$P,10,FALSE()),0)</f>
        <v>0</v>
      </c>
      <c r="AH246" s="39">
        <f>IFERROR(VLOOKUP("19_"&amp;A246,SyS!$B:$P,12,FALSE()),0)</f>
        <v>0</v>
      </c>
      <c r="AI246" s="39">
        <f>+AG246-AH246</f>
        <v>0</v>
      </c>
      <c r="AJ246" s="39"/>
      <c r="AK246" s="39"/>
      <c r="AL246" s="39"/>
      <c r="AM246" s="38">
        <f>IFERROR(VLOOKUP("23_"&amp;A246,SyS!$B:$P,10,FALSE()),0)</f>
        <v>0</v>
      </c>
      <c r="AN246" s="39">
        <f>IFERROR(VLOOKUP("23_"&amp;A246,SyS!$B:$P,12,FALSE()),0)</f>
        <v>0</v>
      </c>
      <c r="AO246" s="40">
        <f>+AM246-AN246</f>
        <v>0</v>
      </c>
      <c r="AP246" s="39"/>
      <c r="AQ246" s="39"/>
      <c r="AR246" s="39"/>
      <c r="AS246" s="39"/>
      <c r="AT246" s="39"/>
      <c r="AU246" s="39"/>
      <c r="AV246" s="39"/>
      <c r="AW246" s="39"/>
      <c r="AX246" s="39"/>
      <c r="AY246" s="39"/>
      <c r="AZ246" s="39"/>
      <c r="BA246" s="39"/>
      <c r="BB246" s="39"/>
      <c r="BC246" s="39"/>
      <c r="BD246" s="39"/>
      <c r="BE246" s="39"/>
      <c r="BF246" s="39"/>
      <c r="BG246" s="39"/>
      <c r="BH246" s="39"/>
      <c r="BI246" s="39"/>
      <c r="BJ246" s="39"/>
      <c r="BK246" s="39">
        <f>IFERROR(VLOOKUP("29_"&amp;A246,SyS!$B:$P,10,FALSE()),0)</f>
        <v>0</v>
      </c>
      <c r="BL246" s="39">
        <f>IFERROR(VLOOKUP("29_"&amp;A246,SyS!$B:$P,12,FALSE()),0)</f>
        <v>0</v>
      </c>
      <c r="BM246" s="39">
        <f>+BK246-BL246</f>
        <v>0</v>
      </c>
      <c r="BN246" s="38">
        <f>IFERROR(VLOOKUP("30_"&amp;A246,SyS!$B:$P,10,FALSE()),0)</f>
        <v>0</v>
      </c>
      <c r="BO246" s="39">
        <f>IFERROR(VLOOKUP("30_"&amp;A246,SyS!$B:$P,12,FALSE()),0)</f>
        <v>0</v>
      </c>
      <c r="BP246" s="40">
        <f>+BN246-BO246</f>
        <v>0</v>
      </c>
      <c r="BQ246" s="45">
        <f>+E246+H246+K246+Q246+T246+W246+Z246+AC246+AF246+AI246+AL246+AO246+AR246+AU246+AX246+BA246+BD246+BG246+BJ246+BM246+BP246</f>
        <v>0</v>
      </c>
    </row>
    <row r="247" ht="11.25" customHeight="1" spans="1:69" x14ac:dyDescent="0.25">
      <c r="A247" s="18">
        <v>426100000</v>
      </c>
      <c r="B247" s="18" t="s">
        <v>476</v>
      </c>
      <c r="C247" s="38">
        <f>IFERROR(VLOOKUP("1_"&amp;A247,SyS!$B:$P,10,FALSE()),0)</f>
        <v>559.21</v>
      </c>
      <c r="D247" s="39">
        <f>IFERROR(VLOOKUP("1_"&amp;A247,SyS!$B:$P,12,FALSE()),0)</f>
        <v>0</v>
      </c>
      <c r="E247" s="39">
        <f>+C247-D247</f>
        <v>559.21</v>
      </c>
      <c r="F247" s="38">
        <f>IFERROR(VLOOKUP("2_"&amp;A247,SyS!$B:$P,10,FALSE()),0)</f>
        <v>0</v>
      </c>
      <c r="G247" s="39">
        <f>IFERROR(VLOOKUP("2_"&amp;A247,SyS!$B:$P,12,FALSE()),0)</f>
        <v>0</v>
      </c>
      <c r="H247" s="40">
        <f>+F247-G247</f>
        <v>0</v>
      </c>
      <c r="I247" s="39"/>
      <c r="J247" s="39"/>
      <c r="K247" s="39"/>
      <c r="L247" s="39"/>
      <c r="M247" s="39"/>
      <c r="N247" s="39"/>
      <c r="O247" s="38">
        <f>IFERROR(VLOOKUP("14_"&amp;A247,SyS!$B:$P,10,FALSE()),0)</f>
        <v>0</v>
      </c>
      <c r="P247" s="39">
        <f>IFERROR(VLOOKUP("14_"&amp;A247,SyS!$B:$P,12,FALSE()),0)</f>
        <v>0</v>
      </c>
      <c r="Q247" s="40">
        <f>+O247-P247</f>
        <v>0</v>
      </c>
      <c r="R247" s="38">
        <f>IFERROR(VLOOKUP("15_"&amp;A247,SyS!$B:$P,10,FALSE()),0)</f>
        <v>0</v>
      </c>
      <c r="S247" s="39">
        <f>IFERROR(VLOOKUP("15_"&amp;A247,SyS!$B:$P,12,FALSE()),0)</f>
        <v>0</v>
      </c>
      <c r="T247" s="40">
        <f>+R247-S247</f>
        <v>0</v>
      </c>
      <c r="U247" s="38">
        <f>IFERROR(VLOOKUP("16_"&amp;A247,SyS!$B:$P,10,FALSE()),0)</f>
        <v>0</v>
      </c>
      <c r="V247" s="39">
        <f>IFERROR(VLOOKUP("16_"&amp;A247,SyS!$B:$P,12,FALSE()),0)</f>
        <v>0</v>
      </c>
      <c r="W247" s="40">
        <f>+U247-V247</f>
        <v>0</v>
      </c>
      <c r="X247" s="38">
        <f>IFERROR(VLOOKUP("13_"&amp;A247,SyS!$B:$P,10,FALSE()),0)</f>
        <v>0</v>
      </c>
      <c r="Y247" s="39">
        <f>IFERROR(VLOOKUP("13_"&amp;A247,SyS!$B:$P,12,FALSE()),0)</f>
        <v>0</v>
      </c>
      <c r="Z247" s="40">
        <f>+X247-Y247</f>
        <v>0</v>
      </c>
      <c r="AA247" s="38">
        <f>IFERROR(VLOOKUP("17_"&amp;A247,SyS!$B:$P,10,FALSE()),0)</f>
        <v>0</v>
      </c>
      <c r="AB247" s="39">
        <f>IFERROR(VLOOKUP("17_"&amp;A247,SyS!$B:$P,12,FALSE()),0)</f>
        <v>0</v>
      </c>
      <c r="AC247" s="40">
        <f>+AA247-AB247</f>
        <v>0</v>
      </c>
      <c r="AD247" s="39"/>
      <c r="AE247" s="39"/>
      <c r="AF247" s="39"/>
      <c r="AG247" s="39">
        <f>IFERROR(VLOOKUP("19_"&amp;A247,SyS!$B:$P,10,FALSE()),0)</f>
        <v>0</v>
      </c>
      <c r="AH247" s="39">
        <f>IFERROR(VLOOKUP("19_"&amp;A247,SyS!$B:$P,12,FALSE()),0)</f>
        <v>0</v>
      </c>
      <c r="AI247" s="39">
        <f>+AG247-AH247</f>
        <v>0</v>
      </c>
      <c r="AJ247" s="39"/>
      <c r="AK247" s="39"/>
      <c r="AL247" s="39"/>
      <c r="AM247" s="38">
        <f>IFERROR(VLOOKUP("23_"&amp;A247,SyS!$B:$P,10,FALSE()),0)</f>
        <v>0</v>
      </c>
      <c r="AN247" s="39">
        <f>IFERROR(VLOOKUP("23_"&amp;A247,SyS!$B:$P,12,FALSE()),0)</f>
        <v>0</v>
      </c>
      <c r="AO247" s="40">
        <f>+AM247-AN247</f>
        <v>0</v>
      </c>
      <c r="AP247" s="39"/>
      <c r="AQ247" s="39"/>
      <c r="AR247" s="39"/>
      <c r="AS247" s="39"/>
      <c r="AT247" s="39"/>
      <c r="AU247" s="39"/>
      <c r="AV247" s="39"/>
      <c r="AW247" s="39"/>
      <c r="AX247" s="39"/>
      <c r="AY247" s="39"/>
      <c r="AZ247" s="39"/>
      <c r="BA247" s="39"/>
      <c r="BB247" s="39"/>
      <c r="BC247" s="39"/>
      <c r="BD247" s="39"/>
      <c r="BE247" s="39"/>
      <c r="BF247" s="39"/>
      <c r="BG247" s="39"/>
      <c r="BH247" s="39"/>
      <c r="BI247" s="39"/>
      <c r="BJ247" s="39"/>
      <c r="BK247" s="39">
        <f>IFERROR(VLOOKUP("29_"&amp;A247,SyS!$B:$P,10,FALSE()),0)</f>
        <v>0</v>
      </c>
      <c r="BL247" s="39">
        <f>IFERROR(VLOOKUP("29_"&amp;A247,SyS!$B:$P,12,FALSE()),0)</f>
        <v>0</v>
      </c>
      <c r="BM247" s="39">
        <f>+BK247-BL247</f>
        <v>0</v>
      </c>
      <c r="BN247" s="38">
        <f>IFERROR(VLOOKUP("30_"&amp;A247,SyS!$B:$P,10,FALSE()),0)</f>
        <v>0</v>
      </c>
      <c r="BO247" s="39">
        <f>IFERROR(VLOOKUP("30_"&amp;A247,SyS!$B:$P,12,FALSE()),0)</f>
        <v>0</v>
      </c>
      <c r="BP247" s="40">
        <f>+BN247-BO247</f>
        <v>0</v>
      </c>
      <c r="BQ247" s="45">
        <f>+E247+H247+K247+Q247+T247+W247+Z247+AC247+AF247+AI247+AL247+AO247+AR247+AU247+AX247+BA247+BD247+BG247+BJ247+BM247+BP247</f>
        <v>559.21</v>
      </c>
    </row>
    <row r="248" ht="11.25" customHeight="1" spans="1:69" x14ac:dyDescent="0.25">
      <c r="A248" s="18">
        <v>426800000</v>
      </c>
      <c r="B248" s="18" t="s">
        <v>477</v>
      </c>
      <c r="C248" s="38">
        <f>IFERROR(VLOOKUP("1_"&amp;A248,SyS!$B:$P,10,FALSE()),0)</f>
        <v>0</v>
      </c>
      <c r="D248" s="39">
        <f>IFERROR(VLOOKUP("1_"&amp;A248,SyS!$B:$P,12,FALSE()),0)</f>
        <v>0</v>
      </c>
      <c r="E248" s="39">
        <f>+C248-D248</f>
        <v>0</v>
      </c>
      <c r="F248" s="38">
        <f>IFERROR(VLOOKUP("2_"&amp;A248,SyS!$B:$P,10,FALSE()),0)</f>
        <v>0</v>
      </c>
      <c r="G248" s="39">
        <f>IFERROR(VLOOKUP("2_"&amp;A248,SyS!$B:$P,12,FALSE()),0)</f>
        <v>0</v>
      </c>
      <c r="H248" s="40">
        <f>+F248-G248</f>
        <v>0</v>
      </c>
      <c r="I248" s="39"/>
      <c r="J248" s="39"/>
      <c r="K248" s="39"/>
      <c r="L248" s="39"/>
      <c r="M248" s="39"/>
      <c r="N248" s="39"/>
      <c r="O248" s="38">
        <f>IFERROR(VLOOKUP("14_"&amp;A248,SyS!$B:$P,10,FALSE()),0)</f>
        <v>0</v>
      </c>
      <c r="P248" s="39">
        <f>IFERROR(VLOOKUP("14_"&amp;A248,SyS!$B:$P,12,FALSE()),0)</f>
        <v>0</v>
      </c>
      <c r="Q248" s="40">
        <f>+O248-P248</f>
        <v>0</v>
      </c>
      <c r="R248" s="38">
        <f>IFERROR(VLOOKUP("15_"&amp;A248,SyS!$B:$P,10,FALSE()),0)</f>
        <v>0</v>
      </c>
      <c r="S248" s="39">
        <f>IFERROR(VLOOKUP("15_"&amp;A248,SyS!$B:$P,12,FALSE()),0)</f>
        <v>0</v>
      </c>
      <c r="T248" s="40">
        <f>+R248-S248</f>
        <v>0</v>
      </c>
      <c r="U248" s="38">
        <f>IFERROR(VLOOKUP("16_"&amp;A248,SyS!$B:$P,10,FALSE()),0)</f>
        <v>0</v>
      </c>
      <c r="V248" s="39">
        <f>IFERROR(VLOOKUP("16_"&amp;A248,SyS!$B:$P,12,FALSE()),0)</f>
        <v>0</v>
      </c>
      <c r="W248" s="40">
        <f>+U248-V248</f>
        <v>0</v>
      </c>
      <c r="X248" s="38">
        <f>IFERROR(VLOOKUP("13_"&amp;A248,SyS!$B:$P,10,FALSE()),0)</f>
        <v>0</v>
      </c>
      <c r="Y248" s="39">
        <f>IFERROR(VLOOKUP("13_"&amp;A248,SyS!$B:$P,12,FALSE()),0)</f>
        <v>0</v>
      </c>
      <c r="Z248" s="40">
        <f>+X248-Y248</f>
        <v>0</v>
      </c>
      <c r="AA248" s="38">
        <f>IFERROR(VLOOKUP("17_"&amp;A248,SyS!$B:$P,10,FALSE()),0)</f>
        <v>0</v>
      </c>
      <c r="AB248" s="39">
        <f>IFERROR(VLOOKUP("17_"&amp;A248,SyS!$B:$P,12,FALSE()),0)</f>
        <v>0</v>
      </c>
      <c r="AC248" s="40">
        <f>+AA248-AB248</f>
        <v>0</v>
      </c>
      <c r="AD248" s="39"/>
      <c r="AE248" s="39"/>
      <c r="AF248" s="39"/>
      <c r="AG248" s="39">
        <f>IFERROR(VLOOKUP("19_"&amp;A248,SyS!$B:$P,10,FALSE()),0)</f>
        <v>0</v>
      </c>
      <c r="AH248" s="39">
        <f>IFERROR(VLOOKUP("19_"&amp;A248,SyS!$B:$P,12,FALSE()),0)</f>
        <v>0</v>
      </c>
      <c r="AI248" s="39">
        <f>+AG248-AH248</f>
        <v>0</v>
      </c>
      <c r="AJ248" s="39"/>
      <c r="AK248" s="39"/>
      <c r="AL248" s="39"/>
      <c r="AM248" s="38">
        <f>IFERROR(VLOOKUP("23_"&amp;A248,SyS!$B:$P,10,FALSE()),0)</f>
        <v>0</v>
      </c>
      <c r="AN248" s="39">
        <f>IFERROR(VLOOKUP("23_"&amp;A248,SyS!$B:$P,12,FALSE()),0)</f>
        <v>0</v>
      </c>
      <c r="AO248" s="40">
        <f>+AM248-AN248</f>
        <v>0</v>
      </c>
      <c r="AP248" s="39"/>
      <c r="AQ248" s="39"/>
      <c r="AR248" s="39"/>
      <c r="AS248" s="39"/>
      <c r="AT248" s="39"/>
      <c r="AU248" s="39"/>
      <c r="AV248" s="39"/>
      <c r="AW248" s="39"/>
      <c r="AX248" s="39"/>
      <c r="AY248" s="39"/>
      <c r="AZ248" s="39"/>
      <c r="BA248" s="39"/>
      <c r="BB248" s="39"/>
      <c r="BC248" s="39"/>
      <c r="BD248" s="39"/>
      <c r="BE248" s="39"/>
      <c r="BF248" s="39"/>
      <c r="BG248" s="39"/>
      <c r="BH248" s="39"/>
      <c r="BI248" s="39"/>
      <c r="BJ248" s="39"/>
      <c r="BK248" s="39">
        <f>IFERROR(VLOOKUP("29_"&amp;A248,SyS!$B:$P,10,FALSE()),0)</f>
        <v>0</v>
      </c>
      <c r="BL248" s="39">
        <f>IFERROR(VLOOKUP("29_"&amp;A248,SyS!$B:$P,12,FALSE()),0)</f>
        <v>0</v>
      </c>
      <c r="BM248" s="39">
        <f>+BK248-BL248</f>
        <v>0</v>
      </c>
      <c r="BN248" s="38">
        <f>IFERROR(VLOOKUP("30_"&amp;A248,SyS!$B:$P,10,FALSE()),0)</f>
        <v>0</v>
      </c>
      <c r="BO248" s="39">
        <f>IFERROR(VLOOKUP("30_"&amp;A248,SyS!$B:$P,12,FALSE()),0)</f>
        <v>0</v>
      </c>
      <c r="BP248" s="40">
        <f>+BN248-BO248</f>
        <v>0</v>
      </c>
      <c r="BQ248" s="45">
        <f>+E248+H248+K248+Q248+T248+W248+Z248+AC248+AF248+AI248+AL248+AO248+AR248+AU248+AX248+BA248+BD248+BG248+BJ248+BM248+BP248</f>
        <v>0</v>
      </c>
    </row>
    <row r="249" ht="11.25" customHeight="1" spans="1:69" x14ac:dyDescent="0.25">
      <c r="A249" s="18">
        <v>426900000</v>
      </c>
      <c r="B249" s="18" t="s">
        <v>478</v>
      </c>
      <c r="C249" s="38">
        <f>IFERROR(VLOOKUP("1_"&amp;A249,SyS!$B:$P,10,FALSE()),0)</f>
        <v>0</v>
      </c>
      <c r="D249" s="39">
        <f>IFERROR(VLOOKUP("1_"&amp;A249,SyS!$B:$P,12,FALSE()),0)</f>
        <v>0</v>
      </c>
      <c r="E249" s="39">
        <f>+C249-D249</f>
        <v>0</v>
      </c>
      <c r="F249" s="38">
        <f>IFERROR(VLOOKUP("2_"&amp;A249,SyS!$B:$P,10,FALSE()),0)</f>
        <v>0</v>
      </c>
      <c r="G249" s="39">
        <f>IFERROR(VLOOKUP("2_"&amp;A249,SyS!$B:$P,12,FALSE()),0)</f>
        <v>0</v>
      </c>
      <c r="H249" s="40">
        <f>+F249-G249</f>
        <v>0</v>
      </c>
      <c r="I249" s="39"/>
      <c r="J249" s="39"/>
      <c r="K249" s="39"/>
      <c r="L249" s="39"/>
      <c r="M249" s="39"/>
      <c r="N249" s="39"/>
      <c r="O249" s="38">
        <f>IFERROR(VLOOKUP("14_"&amp;A249,SyS!$B:$P,10,FALSE()),0)</f>
        <v>0</v>
      </c>
      <c r="P249" s="39">
        <f>IFERROR(VLOOKUP("14_"&amp;A249,SyS!$B:$P,12,FALSE()),0)</f>
        <v>0</v>
      </c>
      <c r="Q249" s="40">
        <f>+O249-P249</f>
        <v>0</v>
      </c>
      <c r="R249" s="38">
        <f>IFERROR(VLOOKUP("15_"&amp;A249,SyS!$B:$P,10,FALSE()),0)</f>
        <v>0</v>
      </c>
      <c r="S249" s="39">
        <f>IFERROR(VLOOKUP("15_"&amp;A249,SyS!$B:$P,12,FALSE()),0)</f>
        <v>0</v>
      </c>
      <c r="T249" s="40">
        <f>+R249-S249</f>
        <v>0</v>
      </c>
      <c r="U249" s="38">
        <f>IFERROR(VLOOKUP("16_"&amp;A249,SyS!$B:$P,10,FALSE()),0)</f>
        <v>0</v>
      </c>
      <c r="V249" s="39">
        <f>IFERROR(VLOOKUP("16_"&amp;A249,SyS!$B:$P,12,FALSE()),0)</f>
        <v>0</v>
      </c>
      <c r="W249" s="40">
        <f>+U249-V249</f>
        <v>0</v>
      </c>
      <c r="X249" s="38">
        <f>IFERROR(VLOOKUP("13_"&amp;A249,SyS!$B:$P,10,FALSE()),0)</f>
        <v>0</v>
      </c>
      <c r="Y249" s="39">
        <f>IFERROR(VLOOKUP("13_"&amp;A249,SyS!$B:$P,12,FALSE()),0)</f>
        <v>0</v>
      </c>
      <c r="Z249" s="40">
        <f>+X249-Y249</f>
        <v>0</v>
      </c>
      <c r="AA249" s="38">
        <f>IFERROR(VLOOKUP("17_"&amp;A249,SyS!$B:$P,10,FALSE()),0)</f>
        <v>0</v>
      </c>
      <c r="AB249" s="39">
        <f>IFERROR(VLOOKUP("17_"&amp;A249,SyS!$B:$P,12,FALSE()),0)</f>
        <v>0</v>
      </c>
      <c r="AC249" s="40">
        <f>+AA249-AB249</f>
        <v>0</v>
      </c>
      <c r="AD249" s="39"/>
      <c r="AE249" s="39"/>
      <c r="AF249" s="39"/>
      <c r="AG249" s="39">
        <f>IFERROR(VLOOKUP("19_"&amp;A249,SyS!$B:$P,10,FALSE()),0)</f>
        <v>0</v>
      </c>
      <c r="AH249" s="39">
        <f>IFERROR(VLOOKUP("19_"&amp;A249,SyS!$B:$P,12,FALSE()),0)</f>
        <v>0</v>
      </c>
      <c r="AI249" s="39">
        <f>+AG249-AH249</f>
        <v>0</v>
      </c>
      <c r="AJ249" s="39"/>
      <c r="AK249" s="39"/>
      <c r="AL249" s="39"/>
      <c r="AM249" s="38">
        <f>IFERROR(VLOOKUP("23_"&amp;A249,SyS!$B:$P,10,FALSE()),0)</f>
        <v>0</v>
      </c>
      <c r="AN249" s="39">
        <f>IFERROR(VLOOKUP("23_"&amp;A249,SyS!$B:$P,12,FALSE()),0)</f>
        <v>0</v>
      </c>
      <c r="AO249" s="40">
        <f>+AM249-AN249</f>
        <v>0</v>
      </c>
      <c r="AP249" s="39"/>
      <c r="AQ249" s="39"/>
      <c r="AR249" s="39"/>
      <c r="AS249" s="39"/>
      <c r="AT249" s="39"/>
      <c r="AU249" s="39"/>
      <c r="AV249" s="39"/>
      <c r="AW249" s="39"/>
      <c r="AX249" s="39"/>
      <c r="AY249" s="39"/>
      <c r="AZ249" s="39"/>
      <c r="BA249" s="39"/>
      <c r="BB249" s="39"/>
      <c r="BC249" s="39"/>
      <c r="BD249" s="39"/>
      <c r="BE249" s="39"/>
      <c r="BF249" s="39"/>
      <c r="BG249" s="39"/>
      <c r="BH249" s="39"/>
      <c r="BI249" s="39"/>
      <c r="BJ249" s="39"/>
      <c r="BK249" s="39">
        <f>IFERROR(VLOOKUP("29_"&amp;A249,SyS!$B:$P,10,FALSE()),0)</f>
        <v>0</v>
      </c>
      <c r="BL249" s="39">
        <f>IFERROR(VLOOKUP("29_"&amp;A249,SyS!$B:$P,12,FALSE()),0)</f>
        <v>0</v>
      </c>
      <c r="BM249" s="39">
        <f>+BK249-BL249</f>
        <v>0</v>
      </c>
      <c r="BN249" s="38">
        <f>IFERROR(VLOOKUP("30_"&amp;A249,SyS!$B:$P,10,FALSE()),0)</f>
        <v>0</v>
      </c>
      <c r="BO249" s="39">
        <f>IFERROR(VLOOKUP("30_"&amp;A249,SyS!$B:$P,12,FALSE()),0)</f>
        <v>0</v>
      </c>
      <c r="BP249" s="40">
        <f>+BN249-BO249</f>
        <v>0</v>
      </c>
      <c r="BQ249" s="45">
        <f>+E249+H249+K249+Q249+T249+W249+Z249+AC249+AF249+AI249+AL249+AO249+AR249+AU249+AX249+BA249+BD249+BG249+BJ249+BM249+BP249</f>
        <v>0</v>
      </c>
    </row>
    <row r="250" ht="11.25" customHeight="1" spans="1:69" x14ac:dyDescent="0.25">
      <c r="A250" s="18">
        <v>426510000</v>
      </c>
      <c r="B250" s="18" t="s">
        <v>479</v>
      </c>
      <c r="C250" s="38">
        <f>IFERROR(VLOOKUP("1_"&amp;A250,SyS!$B:$P,10,FALSE()),0)</f>
        <v>0</v>
      </c>
      <c r="D250" s="39">
        <f>IFERROR(VLOOKUP("1_"&amp;A250,SyS!$B:$P,12,FALSE()),0)</f>
        <v>0</v>
      </c>
      <c r="E250" s="39">
        <f>+C250-D250</f>
        <v>0</v>
      </c>
      <c r="F250" s="38">
        <f>IFERROR(VLOOKUP("2_"&amp;A250,SyS!$B:$P,10,FALSE()),0)</f>
        <v>0</v>
      </c>
      <c r="G250" s="39">
        <f>IFERROR(VLOOKUP("2_"&amp;A250,SyS!$B:$P,12,FALSE()),0)</f>
        <v>0</v>
      </c>
      <c r="H250" s="40">
        <f>+F250-G250</f>
        <v>0</v>
      </c>
      <c r="I250" s="39"/>
      <c r="J250" s="39"/>
      <c r="K250" s="39"/>
      <c r="L250" s="39"/>
      <c r="M250" s="39"/>
      <c r="N250" s="39"/>
      <c r="O250" s="38">
        <f>IFERROR(VLOOKUP("14_"&amp;A250,SyS!$B:$P,10,FALSE()),0)</f>
        <v>0</v>
      </c>
      <c r="P250" s="39">
        <f>IFERROR(VLOOKUP("14_"&amp;A250,SyS!$B:$P,12,FALSE()),0)</f>
        <v>0</v>
      </c>
      <c r="Q250" s="40">
        <f>+O250-P250</f>
        <v>0</v>
      </c>
      <c r="R250" s="38">
        <f>IFERROR(VLOOKUP("15_"&amp;A250,SyS!$B:$P,10,FALSE()),0)</f>
        <v>0</v>
      </c>
      <c r="S250" s="39">
        <f>IFERROR(VLOOKUP("15_"&amp;A250,SyS!$B:$P,12,FALSE()),0)</f>
        <v>0</v>
      </c>
      <c r="T250" s="40">
        <f>+R250-S250</f>
        <v>0</v>
      </c>
      <c r="U250" s="38">
        <f>IFERROR(VLOOKUP("16_"&amp;A250,SyS!$B:$P,10,FALSE()),0)</f>
        <v>0</v>
      </c>
      <c r="V250" s="39">
        <f>IFERROR(VLOOKUP("16_"&amp;A250,SyS!$B:$P,12,FALSE()),0)</f>
        <v>0</v>
      </c>
      <c r="W250" s="40">
        <f>+U250-V250</f>
        <v>0</v>
      </c>
      <c r="X250" s="38">
        <f>IFERROR(VLOOKUP("13_"&amp;A250,SyS!$B:$P,10,FALSE()),0)</f>
        <v>0</v>
      </c>
      <c r="Y250" s="39">
        <f>IFERROR(VLOOKUP("13_"&amp;A250,SyS!$B:$P,12,FALSE()),0)</f>
        <v>0</v>
      </c>
      <c r="Z250" s="40">
        <f>+X250-Y250</f>
        <v>0</v>
      </c>
      <c r="AA250" s="38">
        <f>IFERROR(VLOOKUP("17_"&amp;A250,SyS!$B:$P,10,FALSE()),0)</f>
        <v>20.08</v>
      </c>
      <c r="AB250" s="39">
        <f>IFERROR(VLOOKUP("17_"&amp;A250,SyS!$B:$P,12,FALSE()),0)</f>
        <v>0</v>
      </c>
      <c r="AC250" s="40">
        <f>+AA250-AB250</f>
        <v>20.08</v>
      </c>
      <c r="AD250" s="39"/>
      <c r="AE250" s="39"/>
      <c r="AF250" s="39"/>
      <c r="AG250" s="39">
        <f>IFERROR(VLOOKUP("19_"&amp;A250,SyS!$B:$P,10,FALSE()),0)</f>
        <v>0</v>
      </c>
      <c r="AH250" s="39">
        <f>IFERROR(VLOOKUP("19_"&amp;A250,SyS!$B:$P,12,FALSE()),0)</f>
        <v>0</v>
      </c>
      <c r="AI250" s="39">
        <f>+AG250-AH250</f>
        <v>0</v>
      </c>
      <c r="AJ250" s="39"/>
      <c r="AK250" s="39"/>
      <c r="AL250" s="39"/>
      <c r="AM250" s="38">
        <f>IFERROR(VLOOKUP("23_"&amp;A250,SyS!$B:$P,10,FALSE()),0)</f>
        <v>0</v>
      </c>
      <c r="AN250" s="39">
        <f>IFERROR(VLOOKUP("23_"&amp;A250,SyS!$B:$P,12,FALSE()),0)</f>
        <v>0</v>
      </c>
      <c r="AO250" s="40">
        <f>+AM250-AN250</f>
        <v>0</v>
      </c>
      <c r="AP250" s="39"/>
      <c r="AQ250" s="39"/>
      <c r="AR250" s="39"/>
      <c r="AS250" s="39"/>
      <c r="AT250" s="39"/>
      <c r="AU250" s="39"/>
      <c r="AV250" s="39"/>
      <c r="AW250" s="39"/>
      <c r="AX250" s="39"/>
      <c r="AY250" s="39"/>
      <c r="AZ250" s="39"/>
      <c r="BA250" s="39"/>
      <c r="BB250" s="39"/>
      <c r="BC250" s="39"/>
      <c r="BD250" s="39"/>
      <c r="BE250" s="39"/>
      <c r="BF250" s="39"/>
      <c r="BG250" s="39"/>
      <c r="BH250" s="39"/>
      <c r="BI250" s="39"/>
      <c r="BJ250" s="39"/>
      <c r="BK250" s="39">
        <f>IFERROR(VLOOKUP("29_"&amp;A250,SyS!$B:$P,10,FALSE()),0)</f>
        <v>0</v>
      </c>
      <c r="BL250" s="39">
        <f>IFERROR(VLOOKUP("29_"&amp;A250,SyS!$B:$P,12,FALSE()),0)</f>
        <v>0</v>
      </c>
      <c r="BM250" s="39">
        <f>+BK250-BL250</f>
        <v>0</v>
      </c>
      <c r="BN250" s="38">
        <f>IFERROR(VLOOKUP("30_"&amp;A250,SyS!$B:$P,10,FALSE()),0)</f>
        <v>0</v>
      </c>
      <c r="BO250" s="39">
        <f>IFERROR(VLOOKUP("30_"&amp;A250,SyS!$B:$P,12,FALSE()),0)</f>
        <v>0</v>
      </c>
      <c r="BP250" s="40">
        <f>+BN250-BO250</f>
        <v>0</v>
      </c>
      <c r="BQ250" s="45">
        <f>+E250+H250+K250+Q250+T250+W250+Z250+AC250+AF250+AI250+AL250+AO250+AR250+AU250+AX250+BA250+BD250+BG250+BJ250+BM250+BP250</f>
        <v>20.08</v>
      </c>
    </row>
    <row r="251" ht="11.25" customHeight="1" spans="1:69" x14ac:dyDescent="0.25">
      <c r="A251" s="18">
        <v>426520000</v>
      </c>
      <c r="B251" s="18" t="s">
        <v>480</v>
      </c>
      <c r="C251" s="38">
        <f>IFERROR(VLOOKUP("1_"&amp;A251,SyS!$B:$P,10,FALSE()),0)</f>
        <v>0</v>
      </c>
      <c r="D251" s="39">
        <f>IFERROR(VLOOKUP("1_"&amp;A251,SyS!$B:$P,12,FALSE()),0)</f>
        <v>0</v>
      </c>
      <c r="E251" s="39">
        <f>+C251-D251</f>
        <v>0</v>
      </c>
      <c r="F251" s="38">
        <f>IFERROR(VLOOKUP("2_"&amp;A251,SyS!$B:$P,10,FALSE()),0)</f>
        <v>0</v>
      </c>
      <c r="G251" s="39">
        <f>IFERROR(VLOOKUP("2_"&amp;A251,SyS!$B:$P,12,FALSE()),0)</f>
        <v>0</v>
      </c>
      <c r="H251" s="40">
        <f>+F251-G251</f>
        <v>0</v>
      </c>
      <c r="I251" s="39"/>
      <c r="J251" s="39"/>
      <c r="K251" s="39"/>
      <c r="L251" s="39"/>
      <c r="M251" s="39"/>
      <c r="N251" s="39"/>
      <c r="O251" s="38">
        <f>IFERROR(VLOOKUP("14_"&amp;A251,SyS!$B:$P,10,FALSE()),0)</f>
        <v>0</v>
      </c>
      <c r="P251" s="39">
        <f>IFERROR(VLOOKUP("14_"&amp;A251,SyS!$B:$P,12,FALSE()),0)</f>
        <v>0</v>
      </c>
      <c r="Q251" s="40">
        <f>+O251-P251</f>
        <v>0</v>
      </c>
      <c r="R251" s="38">
        <f>IFERROR(VLOOKUP("15_"&amp;A251,SyS!$B:$P,10,FALSE()),0)</f>
        <v>0</v>
      </c>
      <c r="S251" s="39">
        <f>IFERROR(VLOOKUP("15_"&amp;A251,SyS!$B:$P,12,FALSE()),0)</f>
        <v>0</v>
      </c>
      <c r="T251" s="40">
        <f>+R251-S251</f>
        <v>0</v>
      </c>
      <c r="U251" s="38">
        <f>IFERROR(VLOOKUP("16_"&amp;A251,SyS!$B:$P,10,FALSE()),0)</f>
        <v>0</v>
      </c>
      <c r="V251" s="39">
        <f>IFERROR(VLOOKUP("16_"&amp;A251,SyS!$B:$P,12,FALSE()),0)</f>
        <v>0</v>
      </c>
      <c r="W251" s="40">
        <f>+U251-V251</f>
        <v>0</v>
      </c>
      <c r="X251" s="38">
        <f>IFERROR(VLOOKUP("13_"&amp;A251,SyS!$B:$P,10,FALSE()),0)</f>
        <v>0</v>
      </c>
      <c r="Y251" s="39">
        <f>IFERROR(VLOOKUP("13_"&amp;A251,SyS!$B:$P,12,FALSE()),0)</f>
        <v>0</v>
      </c>
      <c r="Z251" s="40">
        <f>+X251-Y251</f>
        <v>0</v>
      </c>
      <c r="AA251" s="38">
        <f>IFERROR(VLOOKUP("17_"&amp;A251,SyS!$B:$P,10,FALSE()),0)</f>
        <v>0</v>
      </c>
      <c r="AB251" s="39">
        <f>IFERROR(VLOOKUP("17_"&amp;A251,SyS!$B:$P,12,FALSE()),0)</f>
        <v>0</v>
      </c>
      <c r="AC251" s="40">
        <f>+AA251-AB251</f>
        <v>0</v>
      </c>
      <c r="AD251" s="39"/>
      <c r="AE251" s="39"/>
      <c r="AF251" s="39"/>
      <c r="AG251" s="39">
        <f>IFERROR(VLOOKUP("19_"&amp;A251,SyS!$B:$P,10,FALSE()),0)</f>
        <v>0</v>
      </c>
      <c r="AH251" s="39">
        <f>IFERROR(VLOOKUP("19_"&amp;A251,SyS!$B:$P,12,FALSE()),0)</f>
        <v>0</v>
      </c>
      <c r="AI251" s="39">
        <f>+AG251-AH251</f>
        <v>0</v>
      </c>
      <c r="AJ251" s="39"/>
      <c r="AK251" s="39"/>
      <c r="AL251" s="39"/>
      <c r="AM251" s="38">
        <f>IFERROR(VLOOKUP("23_"&amp;A251,SyS!$B:$P,10,FALSE()),0)</f>
        <v>0</v>
      </c>
      <c r="AN251" s="39">
        <f>IFERROR(VLOOKUP("23_"&amp;A251,SyS!$B:$P,12,FALSE()),0)</f>
        <v>0</v>
      </c>
      <c r="AO251" s="40">
        <f>+AM251-AN251</f>
        <v>0</v>
      </c>
      <c r="AP251" s="39"/>
      <c r="AQ251" s="39"/>
      <c r="AR251" s="39"/>
      <c r="AS251" s="39"/>
      <c r="AT251" s="39"/>
      <c r="AU251" s="39"/>
      <c r="AV251" s="39"/>
      <c r="AW251" s="39"/>
      <c r="AX251" s="39"/>
      <c r="AY251" s="39"/>
      <c r="AZ251" s="39"/>
      <c r="BA251" s="39"/>
      <c r="BB251" s="39"/>
      <c r="BC251" s="39"/>
      <c r="BD251" s="39"/>
      <c r="BE251" s="39"/>
      <c r="BF251" s="39"/>
      <c r="BG251" s="39"/>
      <c r="BH251" s="39"/>
      <c r="BI251" s="39"/>
      <c r="BJ251" s="39"/>
      <c r="BK251" s="39">
        <f>IFERROR(VLOOKUP("29_"&amp;A251,SyS!$B:$P,10,FALSE()),0)</f>
        <v>0</v>
      </c>
      <c r="BL251" s="39">
        <f>IFERROR(VLOOKUP("29_"&amp;A251,SyS!$B:$P,12,FALSE()),0)</f>
        <v>0</v>
      </c>
      <c r="BM251" s="39">
        <f>+BK251-BL251</f>
        <v>0</v>
      </c>
      <c r="BN251" s="38">
        <f>IFERROR(VLOOKUP("30_"&amp;A251,SyS!$B:$P,10,FALSE()),0)</f>
        <v>0</v>
      </c>
      <c r="BO251" s="39">
        <f>IFERROR(VLOOKUP("30_"&amp;A251,SyS!$B:$P,12,FALSE()),0)</f>
        <v>0</v>
      </c>
      <c r="BP251" s="40">
        <f>+BN251-BO251</f>
        <v>0</v>
      </c>
      <c r="BQ251" s="45">
        <f>+E251+H251+K251+Q251+T251+W251+Z251+AC251+AF251+AI251+AL251+AO251+AR251+AU251+AX251+BA251+BD251+BG251+BJ251+BM251+BP251</f>
        <v>0</v>
      </c>
    </row>
    <row r="252" ht="11.25" customHeight="1" spans="1:69" x14ac:dyDescent="0.25">
      <c r="A252" s="18">
        <v>426530000</v>
      </c>
      <c r="B252" s="18" t="s">
        <v>481</v>
      </c>
      <c r="C252" s="38">
        <f>IFERROR(VLOOKUP("1_"&amp;A252,SyS!$B:$P,10,FALSE()),0)</f>
        <v>0</v>
      </c>
      <c r="D252" s="39">
        <f>IFERROR(VLOOKUP("1_"&amp;A252,SyS!$B:$P,12,FALSE()),0)</f>
        <v>0</v>
      </c>
      <c r="E252" s="39">
        <f>+C252-D252</f>
        <v>0</v>
      </c>
      <c r="F252" s="38">
        <f>IFERROR(VLOOKUP("2_"&amp;A252,SyS!$B:$P,10,FALSE()),0)</f>
        <v>0</v>
      </c>
      <c r="G252" s="39">
        <f>IFERROR(VLOOKUP("2_"&amp;A252,SyS!$B:$P,12,FALSE()),0)</f>
        <v>0</v>
      </c>
      <c r="H252" s="40">
        <f>+F252-G252</f>
        <v>0</v>
      </c>
      <c r="I252" s="39"/>
      <c r="J252" s="39"/>
      <c r="K252" s="39"/>
      <c r="L252" s="39"/>
      <c r="M252" s="39"/>
      <c r="N252" s="39"/>
      <c r="O252" s="38">
        <f>IFERROR(VLOOKUP("14_"&amp;A252,SyS!$B:$P,10,FALSE()),0)</f>
        <v>0</v>
      </c>
      <c r="P252" s="39">
        <f>IFERROR(VLOOKUP("14_"&amp;A252,SyS!$B:$P,12,FALSE()),0)</f>
        <v>0</v>
      </c>
      <c r="Q252" s="40">
        <f>+O252-P252</f>
        <v>0</v>
      </c>
      <c r="R252" s="38">
        <f>IFERROR(VLOOKUP("15_"&amp;A252,SyS!$B:$P,10,FALSE()),0)</f>
        <v>0</v>
      </c>
      <c r="S252" s="39">
        <f>IFERROR(VLOOKUP("15_"&amp;A252,SyS!$B:$P,12,FALSE()),0)</f>
        <v>0</v>
      </c>
      <c r="T252" s="40">
        <f>+R252-S252</f>
        <v>0</v>
      </c>
      <c r="U252" s="38">
        <f>IFERROR(VLOOKUP("16_"&amp;A252,SyS!$B:$P,10,FALSE()),0)</f>
        <v>0</v>
      </c>
      <c r="V252" s="39">
        <f>IFERROR(VLOOKUP("16_"&amp;A252,SyS!$B:$P,12,FALSE()),0)</f>
        <v>0</v>
      </c>
      <c r="W252" s="40">
        <f>+U252-V252</f>
        <v>0</v>
      </c>
      <c r="X252" s="38">
        <f>IFERROR(VLOOKUP("13_"&amp;A252,SyS!$B:$P,10,FALSE()),0)</f>
        <v>0</v>
      </c>
      <c r="Y252" s="39">
        <f>IFERROR(VLOOKUP("13_"&amp;A252,SyS!$B:$P,12,FALSE()),0)</f>
        <v>0</v>
      </c>
      <c r="Z252" s="40">
        <f>+X252-Y252</f>
        <v>0</v>
      </c>
      <c r="AA252" s="38">
        <f>IFERROR(VLOOKUP("17_"&amp;A252,SyS!$B:$P,10,FALSE()),0)</f>
        <v>0</v>
      </c>
      <c r="AB252" s="39">
        <f>IFERROR(VLOOKUP("17_"&amp;A252,SyS!$B:$P,12,FALSE()),0)</f>
        <v>0</v>
      </c>
      <c r="AC252" s="40">
        <f>+AA252-AB252</f>
        <v>0</v>
      </c>
      <c r="AD252" s="39"/>
      <c r="AE252" s="39"/>
      <c r="AF252" s="39"/>
      <c r="AG252" s="39">
        <f>IFERROR(VLOOKUP("19_"&amp;A252,SyS!$B:$P,10,FALSE()),0)</f>
        <v>0</v>
      </c>
      <c r="AH252" s="39">
        <f>IFERROR(VLOOKUP("19_"&amp;A252,SyS!$B:$P,12,FALSE()),0)</f>
        <v>0</v>
      </c>
      <c r="AI252" s="39">
        <f>+AG252-AH252</f>
        <v>0</v>
      </c>
      <c r="AJ252" s="39"/>
      <c r="AK252" s="39"/>
      <c r="AL252" s="39"/>
      <c r="AM252" s="38">
        <f>IFERROR(VLOOKUP("23_"&amp;A252,SyS!$B:$P,10,FALSE()),0)</f>
        <v>0</v>
      </c>
      <c r="AN252" s="39">
        <f>IFERROR(VLOOKUP("23_"&amp;A252,SyS!$B:$P,12,FALSE()),0)</f>
        <v>0</v>
      </c>
      <c r="AO252" s="40">
        <f>+AM252-AN252</f>
        <v>0</v>
      </c>
      <c r="AP252" s="39"/>
      <c r="AQ252" s="39"/>
      <c r="AR252" s="39"/>
      <c r="AS252" s="39"/>
      <c r="AT252" s="39"/>
      <c r="AU252" s="39"/>
      <c r="AV252" s="39"/>
      <c r="AW252" s="39"/>
      <c r="AX252" s="39"/>
      <c r="AY252" s="39"/>
      <c r="AZ252" s="39"/>
      <c r="BA252" s="39"/>
      <c r="BB252" s="39"/>
      <c r="BC252" s="39"/>
      <c r="BD252" s="39"/>
      <c r="BE252" s="39"/>
      <c r="BF252" s="39"/>
      <c r="BG252" s="39"/>
      <c r="BH252" s="39"/>
      <c r="BI252" s="39"/>
      <c r="BJ252" s="39"/>
      <c r="BK252" s="39">
        <f>IFERROR(VLOOKUP("29_"&amp;A252,SyS!$B:$P,10,FALSE()),0)</f>
        <v>0</v>
      </c>
      <c r="BL252" s="39">
        <f>IFERROR(VLOOKUP("29_"&amp;A252,SyS!$B:$P,12,FALSE()),0)</f>
        <v>0</v>
      </c>
      <c r="BM252" s="39">
        <f>+BK252-BL252</f>
        <v>0</v>
      </c>
      <c r="BN252" s="38">
        <f>IFERROR(VLOOKUP("30_"&amp;A252,SyS!$B:$P,10,FALSE()),0)</f>
        <v>0</v>
      </c>
      <c r="BO252" s="39">
        <f>IFERROR(VLOOKUP("30_"&amp;A252,SyS!$B:$P,12,FALSE()),0)</f>
        <v>0</v>
      </c>
      <c r="BP252" s="40">
        <f>+BN252-BO252</f>
        <v>0</v>
      </c>
      <c r="BQ252" s="45">
        <f>+E252+H252+K252+Q252+T252+W252+Z252+AC252+AF252+AI252+AL252+AO252+AR252+AU252+AX252+BA252+BD252+BG252+BJ252+BM252+BP252</f>
        <v>0</v>
      </c>
    </row>
    <row r="253" ht="11.25" customHeight="1" spans="1:69" x14ac:dyDescent="0.25">
      <c r="A253" s="18">
        <v>426540000</v>
      </c>
      <c r="B253" s="18" t="s">
        <v>482</v>
      </c>
      <c r="C253" s="38">
        <f>IFERROR(VLOOKUP("1_"&amp;A253,SyS!$B:$P,10,FALSE()),0)</f>
        <v>0</v>
      </c>
      <c r="D253" s="39">
        <f>IFERROR(VLOOKUP("1_"&amp;A253,SyS!$B:$P,12,FALSE()),0)</f>
        <v>0</v>
      </c>
      <c r="E253" s="39">
        <f>+C253-D253</f>
        <v>0</v>
      </c>
      <c r="F253" s="38">
        <f>IFERROR(VLOOKUP("2_"&amp;A253,SyS!$B:$P,10,FALSE()),0)</f>
        <v>0</v>
      </c>
      <c r="G253" s="39">
        <f>IFERROR(VLOOKUP("2_"&amp;A253,SyS!$B:$P,12,FALSE()),0)</f>
        <v>0</v>
      </c>
      <c r="H253" s="40">
        <f>+F253-G253</f>
        <v>0</v>
      </c>
      <c r="I253" s="39"/>
      <c r="J253" s="39"/>
      <c r="K253" s="39"/>
      <c r="L253" s="39"/>
      <c r="M253" s="39"/>
      <c r="N253" s="39"/>
      <c r="O253" s="38">
        <f>IFERROR(VLOOKUP("14_"&amp;A253,SyS!$B:$P,10,FALSE()),0)</f>
        <v>0</v>
      </c>
      <c r="P253" s="39">
        <f>IFERROR(VLOOKUP("14_"&amp;A253,SyS!$B:$P,12,FALSE()),0)</f>
        <v>0</v>
      </c>
      <c r="Q253" s="40">
        <f>+O253-P253</f>
        <v>0</v>
      </c>
      <c r="R253" s="38">
        <f>IFERROR(VLOOKUP("15_"&amp;A253,SyS!$B:$P,10,FALSE()),0)</f>
        <v>0</v>
      </c>
      <c r="S253" s="39">
        <f>IFERROR(VLOOKUP("15_"&amp;A253,SyS!$B:$P,12,FALSE()),0)</f>
        <v>0</v>
      </c>
      <c r="T253" s="40">
        <f>+R253-S253</f>
        <v>0</v>
      </c>
      <c r="U253" s="38">
        <f>IFERROR(VLOOKUP("16_"&amp;A253,SyS!$B:$P,10,FALSE()),0)</f>
        <v>0</v>
      </c>
      <c r="V253" s="39">
        <f>IFERROR(VLOOKUP("16_"&amp;A253,SyS!$B:$P,12,FALSE()),0)</f>
        <v>0</v>
      </c>
      <c r="W253" s="40">
        <f>+U253-V253</f>
        <v>0</v>
      </c>
      <c r="X253" s="38">
        <f>IFERROR(VLOOKUP("13_"&amp;A253,SyS!$B:$P,10,FALSE()),0)</f>
        <v>0</v>
      </c>
      <c r="Y253" s="39">
        <f>IFERROR(VLOOKUP("13_"&amp;A253,SyS!$B:$P,12,FALSE()),0)</f>
        <v>0</v>
      </c>
      <c r="Z253" s="40">
        <f>+X253-Y253</f>
        <v>0</v>
      </c>
      <c r="AA253" s="38">
        <f>IFERROR(VLOOKUP("17_"&amp;A253,SyS!$B:$P,10,FALSE()),0)</f>
        <v>0</v>
      </c>
      <c r="AB253" s="39">
        <f>IFERROR(VLOOKUP("17_"&amp;A253,SyS!$B:$P,12,FALSE()),0)</f>
        <v>0</v>
      </c>
      <c r="AC253" s="40">
        <f>+AA253-AB253</f>
        <v>0</v>
      </c>
      <c r="AD253" s="39"/>
      <c r="AE253" s="39"/>
      <c r="AF253" s="39"/>
      <c r="AG253" s="39">
        <f>IFERROR(VLOOKUP("19_"&amp;A253,SyS!$B:$P,10,FALSE()),0)</f>
        <v>0</v>
      </c>
      <c r="AH253" s="39">
        <f>IFERROR(VLOOKUP("19_"&amp;A253,SyS!$B:$P,12,FALSE()),0)</f>
        <v>0</v>
      </c>
      <c r="AI253" s="39">
        <f>+AG253-AH253</f>
        <v>0</v>
      </c>
      <c r="AJ253" s="39"/>
      <c r="AK253" s="39"/>
      <c r="AL253" s="39"/>
      <c r="AM253" s="38">
        <f>IFERROR(VLOOKUP("23_"&amp;A253,SyS!$B:$P,10,FALSE()),0)</f>
        <v>0</v>
      </c>
      <c r="AN253" s="39">
        <f>IFERROR(VLOOKUP("23_"&amp;A253,SyS!$B:$P,12,FALSE()),0)</f>
        <v>0</v>
      </c>
      <c r="AO253" s="40">
        <f>+AM253-AN253</f>
        <v>0</v>
      </c>
      <c r="AP253" s="39"/>
      <c r="AQ253" s="39"/>
      <c r="AR253" s="39"/>
      <c r="AS253" s="39"/>
      <c r="AT253" s="39"/>
      <c r="AU253" s="39"/>
      <c r="AV253" s="39"/>
      <c r="AW253" s="39"/>
      <c r="AX253" s="39"/>
      <c r="AY253" s="39"/>
      <c r="AZ253" s="39"/>
      <c r="BA253" s="39"/>
      <c r="BB253" s="39"/>
      <c r="BC253" s="39"/>
      <c r="BD253" s="39"/>
      <c r="BE253" s="39"/>
      <c r="BF253" s="39"/>
      <c r="BG253" s="39"/>
      <c r="BH253" s="39"/>
      <c r="BI253" s="39"/>
      <c r="BJ253" s="39"/>
      <c r="BK253" s="39">
        <f>IFERROR(VLOOKUP("29_"&amp;A253,SyS!$B:$P,10,FALSE()),0)</f>
        <v>0</v>
      </c>
      <c r="BL253" s="39">
        <f>IFERROR(VLOOKUP("29_"&amp;A253,SyS!$B:$P,12,FALSE()),0)</f>
        <v>0</v>
      </c>
      <c r="BM253" s="39">
        <f>+BK253-BL253</f>
        <v>0</v>
      </c>
      <c r="BN253" s="38">
        <f>IFERROR(VLOOKUP("30_"&amp;A253,SyS!$B:$P,10,FALSE()),0)</f>
        <v>0</v>
      </c>
      <c r="BO253" s="39">
        <f>IFERROR(VLOOKUP("30_"&amp;A253,SyS!$B:$P,12,FALSE()),0)</f>
        <v>0</v>
      </c>
      <c r="BP253" s="40">
        <f>+BN253-BO253</f>
        <v>0</v>
      </c>
      <c r="BQ253" s="45">
        <f>+E253+H253+K253+Q253+T253+W253+Z253+AC253+AF253+AI253+AL253+AO253+AR253+AU253+AX253+BA253+BD253+BG253+BJ253+BM253+BP253</f>
        <v>0</v>
      </c>
    </row>
    <row r="254" ht="11.25" customHeight="1" spans="1:69" x14ac:dyDescent="0.25">
      <c r="A254" s="18">
        <v>426350000</v>
      </c>
      <c r="B254" s="18" t="s">
        <v>483</v>
      </c>
      <c r="C254" s="38">
        <f>IFERROR(VLOOKUP("1_"&amp;A254,SyS!$B:$P,10,FALSE()),0)</f>
        <v>0</v>
      </c>
      <c r="D254" s="39">
        <f>IFERROR(VLOOKUP("1_"&amp;A254,SyS!$B:$P,12,FALSE()),0)</f>
        <v>0</v>
      </c>
      <c r="E254" s="39">
        <f>+C254-D254</f>
        <v>0</v>
      </c>
      <c r="F254" s="38">
        <f>IFERROR(VLOOKUP("2_"&amp;A254,SyS!$B:$P,10,FALSE()),0)</f>
        <v>0</v>
      </c>
      <c r="G254" s="39">
        <f>IFERROR(VLOOKUP("2_"&amp;A254,SyS!$B:$P,12,FALSE()),0)</f>
        <v>0</v>
      </c>
      <c r="H254" s="40">
        <f>+F254-G254</f>
        <v>0</v>
      </c>
      <c r="I254" s="39"/>
      <c r="J254" s="39"/>
      <c r="K254" s="39"/>
      <c r="L254" s="39"/>
      <c r="M254" s="39"/>
      <c r="N254" s="39"/>
      <c r="O254" s="38">
        <f>IFERROR(VLOOKUP("14_"&amp;A254,SyS!$B:$P,10,FALSE()),0)</f>
        <v>0</v>
      </c>
      <c r="P254" s="39">
        <f>IFERROR(VLOOKUP("14_"&amp;A254,SyS!$B:$P,12,FALSE()),0)</f>
        <v>0</v>
      </c>
      <c r="Q254" s="40">
        <f>+O254-P254</f>
        <v>0</v>
      </c>
      <c r="R254" s="38">
        <f>IFERROR(VLOOKUP("15_"&amp;A254,SyS!$B:$P,10,FALSE()),0)</f>
        <v>0</v>
      </c>
      <c r="S254" s="39">
        <f>IFERROR(VLOOKUP("15_"&amp;A254,SyS!$B:$P,12,FALSE()),0)</f>
        <v>0</v>
      </c>
      <c r="T254" s="40">
        <f>+R254-S254</f>
        <v>0</v>
      </c>
      <c r="U254" s="38">
        <f>IFERROR(VLOOKUP("16_"&amp;A254,SyS!$B:$P,10,FALSE()),0)</f>
        <v>0</v>
      </c>
      <c r="V254" s="39">
        <f>IFERROR(VLOOKUP("16_"&amp;A254,SyS!$B:$P,12,FALSE()),0)</f>
        <v>0</v>
      </c>
      <c r="W254" s="40">
        <f>+U254-V254</f>
        <v>0</v>
      </c>
      <c r="X254" s="38">
        <f>IFERROR(VLOOKUP("13_"&amp;A254,SyS!$B:$P,10,FALSE()),0)</f>
        <v>0</v>
      </c>
      <c r="Y254" s="39">
        <f>IFERROR(VLOOKUP("13_"&amp;A254,SyS!$B:$P,12,FALSE()),0)</f>
        <v>0</v>
      </c>
      <c r="Z254" s="40">
        <f>+X254-Y254</f>
        <v>0</v>
      </c>
      <c r="AA254" s="38">
        <f>IFERROR(VLOOKUP("17_"&amp;A254,SyS!$B:$P,10,FALSE()),0)</f>
        <v>243.71</v>
      </c>
      <c r="AB254" s="39">
        <f>IFERROR(VLOOKUP("17_"&amp;A254,SyS!$B:$P,12,FALSE()),0)</f>
        <v>0</v>
      </c>
      <c r="AC254" s="40">
        <f>+AA254-AB254</f>
        <v>243.71</v>
      </c>
      <c r="AD254" s="39"/>
      <c r="AE254" s="39"/>
      <c r="AF254" s="39"/>
      <c r="AG254" s="39">
        <f>IFERROR(VLOOKUP("19_"&amp;A254,SyS!$B:$P,10,FALSE()),0)</f>
        <v>0</v>
      </c>
      <c r="AH254" s="39">
        <f>IFERROR(VLOOKUP("19_"&amp;A254,SyS!$B:$P,12,FALSE()),0)</f>
        <v>0</v>
      </c>
      <c r="AI254" s="39">
        <f>+AG254-AH254</f>
        <v>0</v>
      </c>
      <c r="AJ254" s="39"/>
      <c r="AK254" s="39"/>
      <c r="AL254" s="39"/>
      <c r="AM254" s="38">
        <f>IFERROR(VLOOKUP("23_"&amp;A254,SyS!$B:$P,10,FALSE()),0)</f>
        <v>0</v>
      </c>
      <c r="AN254" s="39">
        <f>IFERROR(VLOOKUP("23_"&amp;A254,SyS!$B:$P,12,FALSE()),0)</f>
        <v>0</v>
      </c>
      <c r="AO254" s="40">
        <f>+AM254-AN254</f>
        <v>0</v>
      </c>
      <c r="AP254" s="39"/>
      <c r="AQ254" s="39"/>
      <c r="AR254" s="39"/>
      <c r="AS254" s="39"/>
      <c r="AT254" s="39"/>
      <c r="AU254" s="39"/>
      <c r="AV254" s="39"/>
      <c r="AW254" s="39"/>
      <c r="AX254" s="39"/>
      <c r="AY254" s="39"/>
      <c r="AZ254" s="39"/>
      <c r="BA254" s="39"/>
      <c r="BB254" s="39"/>
      <c r="BC254" s="39"/>
      <c r="BD254" s="39"/>
      <c r="BE254" s="39"/>
      <c r="BF254" s="39"/>
      <c r="BG254" s="39"/>
      <c r="BH254" s="39"/>
      <c r="BI254" s="39"/>
      <c r="BJ254" s="39"/>
      <c r="BK254" s="39">
        <f>IFERROR(VLOOKUP("29_"&amp;A254,SyS!$B:$P,10,FALSE()),0)</f>
        <v>0</v>
      </c>
      <c r="BL254" s="39">
        <f>IFERROR(VLOOKUP("29_"&amp;A254,SyS!$B:$P,12,FALSE()),0)</f>
        <v>0</v>
      </c>
      <c r="BM254" s="39">
        <f>+BK254-BL254</f>
        <v>0</v>
      </c>
      <c r="BN254" s="38">
        <f>IFERROR(VLOOKUP("30_"&amp;A254,SyS!$B:$P,10,FALSE()),0)</f>
        <v>0</v>
      </c>
      <c r="BO254" s="39">
        <f>IFERROR(VLOOKUP("30_"&amp;A254,SyS!$B:$P,12,FALSE()),0)</f>
        <v>0</v>
      </c>
      <c r="BP254" s="40">
        <f>+BN254-BO254</f>
        <v>0</v>
      </c>
      <c r="BQ254" s="45">
        <f>+E254+H254+K254+Q254+T254+W254+Z254+AC254+AF254+AI254+AL254+AO254+AR254+AU254+AX254+BA254+BD254+BG254+BJ254+BM254+BP254</f>
        <v>243.71</v>
      </c>
    </row>
    <row r="255" ht="11.25" customHeight="1" spans="1:69" x14ac:dyDescent="0.25">
      <c r="A255" s="18">
        <v>426840000</v>
      </c>
      <c r="B255" s="18" t="s">
        <v>484</v>
      </c>
      <c r="C255" s="38">
        <f>IFERROR(VLOOKUP("1_"&amp;A255,SyS!$B:$P,10,FALSE()),0)</f>
        <v>0</v>
      </c>
      <c r="D255" s="39">
        <f>IFERROR(VLOOKUP("1_"&amp;A255,SyS!$B:$P,12,FALSE()),0)</f>
        <v>0</v>
      </c>
      <c r="E255" s="39">
        <f>+C255-D255</f>
        <v>0</v>
      </c>
      <c r="F255" s="38">
        <f>IFERROR(VLOOKUP("2_"&amp;A255,SyS!$B:$P,10,FALSE()),0)</f>
        <v>0</v>
      </c>
      <c r="G255" s="39">
        <f>IFERROR(VLOOKUP("2_"&amp;A255,SyS!$B:$P,12,FALSE()),0)</f>
        <v>0</v>
      </c>
      <c r="H255" s="40">
        <f>+F255-G255</f>
        <v>0</v>
      </c>
      <c r="I255" s="39"/>
      <c r="J255" s="39"/>
      <c r="K255" s="39"/>
      <c r="L255" s="39"/>
      <c r="M255" s="39"/>
      <c r="N255" s="39"/>
      <c r="O255" s="38">
        <f>IFERROR(VLOOKUP("14_"&amp;A255,SyS!$B:$P,10,FALSE()),0)</f>
        <v>0</v>
      </c>
      <c r="P255" s="39">
        <f>IFERROR(VLOOKUP("14_"&amp;A255,SyS!$B:$P,12,FALSE()),0)</f>
        <v>0</v>
      </c>
      <c r="Q255" s="40">
        <f>+O255-P255</f>
        <v>0</v>
      </c>
      <c r="R255" s="38">
        <f>IFERROR(VLOOKUP("15_"&amp;A255,SyS!$B:$P,10,FALSE()),0)</f>
        <v>0</v>
      </c>
      <c r="S255" s="39">
        <f>IFERROR(VLOOKUP("15_"&amp;A255,SyS!$B:$P,12,FALSE()),0)</f>
        <v>0</v>
      </c>
      <c r="T255" s="40">
        <f>+R255-S255</f>
        <v>0</v>
      </c>
      <c r="U255" s="38">
        <f>IFERROR(VLOOKUP("16_"&amp;A255,SyS!$B:$P,10,FALSE()),0)</f>
        <v>0</v>
      </c>
      <c r="V255" s="39">
        <f>IFERROR(VLOOKUP("16_"&amp;A255,SyS!$B:$P,12,FALSE()),0)</f>
        <v>0</v>
      </c>
      <c r="W255" s="40">
        <f>+U255-V255</f>
        <v>0</v>
      </c>
      <c r="X255" s="38">
        <f>IFERROR(VLOOKUP("13_"&amp;A255,SyS!$B:$P,10,FALSE()),0)</f>
        <v>0</v>
      </c>
      <c r="Y255" s="39">
        <f>IFERROR(VLOOKUP("13_"&amp;A255,SyS!$B:$P,12,FALSE()),0)</f>
        <v>0</v>
      </c>
      <c r="Z255" s="40">
        <f>+X255-Y255</f>
        <v>0</v>
      </c>
      <c r="AA255" s="38">
        <f>IFERROR(VLOOKUP("17_"&amp;A255,SyS!$B:$P,10,FALSE()),0)</f>
        <v>0</v>
      </c>
      <c r="AB255" s="39">
        <f>IFERROR(VLOOKUP("17_"&amp;A255,SyS!$B:$P,12,FALSE()),0)</f>
        <v>0</v>
      </c>
      <c r="AC255" s="40">
        <f>+AA255-AB255</f>
        <v>0</v>
      </c>
      <c r="AD255" s="39"/>
      <c r="AE255" s="39"/>
      <c r="AF255" s="39"/>
      <c r="AG255" s="39">
        <f>IFERROR(VLOOKUP("19_"&amp;A255,SyS!$B:$P,10,FALSE()),0)</f>
        <v>0</v>
      </c>
      <c r="AH255" s="39">
        <f>IFERROR(VLOOKUP("19_"&amp;A255,SyS!$B:$P,12,FALSE()),0)</f>
        <v>0</v>
      </c>
      <c r="AI255" s="39">
        <f>+AG255-AH255</f>
        <v>0</v>
      </c>
      <c r="AJ255" s="39"/>
      <c r="AK255" s="39"/>
      <c r="AL255" s="39"/>
      <c r="AM255" s="38">
        <f>IFERROR(VLOOKUP("23_"&amp;A255,SyS!$B:$P,10,FALSE()),0)</f>
        <v>0</v>
      </c>
      <c r="AN255" s="39">
        <f>IFERROR(VLOOKUP("23_"&amp;A255,SyS!$B:$P,12,FALSE()),0)</f>
        <v>0</v>
      </c>
      <c r="AO255" s="40">
        <f>+AM255-AN255</f>
        <v>0</v>
      </c>
      <c r="AP255" s="39"/>
      <c r="AQ255" s="39"/>
      <c r="AR255" s="39"/>
      <c r="AS255" s="39"/>
      <c r="AT255" s="39"/>
      <c r="AU255" s="39"/>
      <c r="AV255" s="39"/>
      <c r="AW255" s="39"/>
      <c r="AX255" s="39"/>
      <c r="AY255" s="39"/>
      <c r="AZ255" s="39"/>
      <c r="BA255" s="39"/>
      <c r="BB255" s="39"/>
      <c r="BC255" s="39"/>
      <c r="BD255" s="39"/>
      <c r="BE255" s="39"/>
      <c r="BF255" s="39"/>
      <c r="BG255" s="39"/>
      <c r="BH255" s="39"/>
      <c r="BI255" s="39"/>
      <c r="BJ255" s="39"/>
      <c r="BK255" s="39">
        <f>IFERROR(VLOOKUP("29_"&amp;A255,SyS!$B:$P,10,FALSE()),0)</f>
        <v>0</v>
      </c>
      <c r="BL255" s="39">
        <f>IFERROR(VLOOKUP("29_"&amp;A255,SyS!$B:$P,12,FALSE()),0)</f>
        <v>0</v>
      </c>
      <c r="BM255" s="39">
        <f>+BK255-BL255</f>
        <v>0</v>
      </c>
      <c r="BN255" s="38">
        <f>IFERROR(VLOOKUP("30_"&amp;A255,SyS!$B:$P,10,FALSE()),0)</f>
        <v>0</v>
      </c>
      <c r="BO255" s="39">
        <f>IFERROR(VLOOKUP("30_"&amp;A255,SyS!$B:$P,12,FALSE()),0)</f>
        <v>0</v>
      </c>
      <c r="BP255" s="40">
        <f>+BN255-BO255</f>
        <v>0</v>
      </c>
      <c r="BQ255" s="45">
        <f>+E255+H255+K255+Q255+T255+W255+Z255+AC255+AF255+AI255+AL255+AO255+AR255+AU255+AX255+BA255+BD255+BG255+BJ255+BM255+BP255</f>
        <v>0</v>
      </c>
    </row>
    <row r="256" ht="11.25" customHeight="1" spans="1:69" x14ac:dyDescent="0.25">
      <c r="A256" s="18">
        <v>426910000</v>
      </c>
      <c r="B256" s="18" t="s">
        <v>485</v>
      </c>
      <c r="C256" s="38">
        <f>IFERROR(VLOOKUP("1_"&amp;A256,SyS!$B:$P,10,FALSE()),0)</f>
        <v>0</v>
      </c>
      <c r="D256" s="39">
        <f>IFERROR(VLOOKUP("1_"&amp;A256,SyS!$B:$P,12,FALSE()),0)</f>
        <v>0</v>
      </c>
      <c r="E256" s="39">
        <f>+C256-D256</f>
        <v>0</v>
      </c>
      <c r="F256" s="38">
        <f>IFERROR(VLOOKUP("2_"&amp;A256,SyS!$B:$P,10,FALSE()),0)</f>
        <v>0</v>
      </c>
      <c r="G256" s="39">
        <f>IFERROR(VLOOKUP("2_"&amp;A256,SyS!$B:$P,12,FALSE()),0)</f>
        <v>0</v>
      </c>
      <c r="H256" s="40">
        <f>+F256-G256</f>
        <v>0</v>
      </c>
      <c r="I256" s="39"/>
      <c r="J256" s="39"/>
      <c r="K256" s="39"/>
      <c r="L256" s="39"/>
      <c r="M256" s="39"/>
      <c r="N256" s="39"/>
      <c r="O256" s="38">
        <f>IFERROR(VLOOKUP("14_"&amp;A256,SyS!$B:$P,10,FALSE()),0)</f>
        <v>0</v>
      </c>
      <c r="P256" s="39">
        <f>IFERROR(VLOOKUP("14_"&amp;A256,SyS!$B:$P,12,FALSE()),0)</f>
        <v>0</v>
      </c>
      <c r="Q256" s="40">
        <f>+O256-P256</f>
        <v>0</v>
      </c>
      <c r="R256" s="38">
        <f>IFERROR(VLOOKUP("15_"&amp;A256,SyS!$B:$P,10,FALSE()),0)</f>
        <v>0</v>
      </c>
      <c r="S256" s="39">
        <f>IFERROR(VLOOKUP("15_"&amp;A256,SyS!$B:$P,12,FALSE()),0)</f>
        <v>0</v>
      </c>
      <c r="T256" s="40">
        <f>+R256-S256</f>
        <v>0</v>
      </c>
      <c r="U256" s="38">
        <f>IFERROR(VLOOKUP("16_"&amp;A256,SyS!$B:$P,10,FALSE()),0)</f>
        <v>0</v>
      </c>
      <c r="V256" s="39">
        <f>IFERROR(VLOOKUP("16_"&amp;A256,SyS!$B:$P,12,FALSE()),0)</f>
        <v>0</v>
      </c>
      <c r="W256" s="40">
        <f>+U256-V256</f>
        <v>0</v>
      </c>
      <c r="X256" s="38">
        <f>IFERROR(VLOOKUP("13_"&amp;A256,SyS!$B:$P,10,FALSE()),0)</f>
        <v>0</v>
      </c>
      <c r="Y256" s="39">
        <f>IFERROR(VLOOKUP("13_"&amp;A256,SyS!$B:$P,12,FALSE()),0)</f>
        <v>0</v>
      </c>
      <c r="Z256" s="40">
        <f>+X256-Y256</f>
        <v>0</v>
      </c>
      <c r="AA256" s="38">
        <f>IFERROR(VLOOKUP("17_"&amp;A256,SyS!$B:$P,10,FALSE()),0)</f>
        <v>0</v>
      </c>
      <c r="AB256" s="39">
        <f>IFERROR(VLOOKUP("17_"&amp;A256,SyS!$B:$P,12,FALSE()),0)</f>
        <v>0</v>
      </c>
      <c r="AC256" s="40">
        <f>+AA256-AB256</f>
        <v>0</v>
      </c>
      <c r="AD256" s="39"/>
      <c r="AE256" s="39"/>
      <c r="AF256" s="39"/>
      <c r="AG256" s="39">
        <f>IFERROR(VLOOKUP("19_"&amp;A256,SyS!$B:$P,10,FALSE()),0)</f>
        <v>0</v>
      </c>
      <c r="AH256" s="39">
        <f>IFERROR(VLOOKUP("19_"&amp;A256,SyS!$B:$P,12,FALSE()),0)</f>
        <v>0</v>
      </c>
      <c r="AI256" s="39">
        <f>+AG256-AH256</f>
        <v>0</v>
      </c>
      <c r="AJ256" s="39"/>
      <c r="AK256" s="39"/>
      <c r="AL256" s="39"/>
      <c r="AM256" s="38">
        <f>IFERROR(VLOOKUP("23_"&amp;A256,SyS!$B:$P,10,FALSE()),0)</f>
        <v>0</v>
      </c>
      <c r="AN256" s="39">
        <f>IFERROR(VLOOKUP("23_"&amp;A256,SyS!$B:$P,12,FALSE()),0)</f>
        <v>0</v>
      </c>
      <c r="AO256" s="40">
        <f>+AM256-AN256</f>
        <v>0</v>
      </c>
      <c r="AP256" s="39"/>
      <c r="AQ256" s="39"/>
      <c r="AR256" s="39"/>
      <c r="AS256" s="39"/>
      <c r="AT256" s="39"/>
      <c r="AU256" s="39"/>
      <c r="AV256" s="39"/>
      <c r="AW256" s="39"/>
      <c r="AX256" s="39"/>
      <c r="AY256" s="39"/>
      <c r="AZ256" s="39"/>
      <c r="BA256" s="39"/>
      <c r="BB256" s="39"/>
      <c r="BC256" s="39"/>
      <c r="BD256" s="39"/>
      <c r="BE256" s="39"/>
      <c r="BF256" s="39"/>
      <c r="BG256" s="39"/>
      <c r="BH256" s="39"/>
      <c r="BI256" s="39"/>
      <c r="BJ256" s="39"/>
      <c r="BK256" s="39">
        <f>IFERROR(VLOOKUP("29_"&amp;A256,SyS!$B:$P,10,FALSE()),0)</f>
        <v>0</v>
      </c>
      <c r="BL256" s="39">
        <f>IFERROR(VLOOKUP("29_"&amp;A256,SyS!$B:$P,12,FALSE()),0)</f>
        <v>0</v>
      </c>
      <c r="BM256" s="39">
        <f>+BK256-BL256</f>
        <v>0</v>
      </c>
      <c r="BN256" s="38">
        <f>IFERROR(VLOOKUP("30_"&amp;A256,SyS!$B:$P,10,FALSE()),0)</f>
        <v>0</v>
      </c>
      <c r="BO256" s="39">
        <f>IFERROR(VLOOKUP("30_"&amp;A256,SyS!$B:$P,12,FALSE()),0)</f>
        <v>0</v>
      </c>
      <c r="BP256" s="40">
        <f>+BN256-BO256</f>
        <v>0</v>
      </c>
      <c r="BQ256" s="45">
        <f>+E256+H256+K256+Q256+T256+W256+Z256+AC256+AF256+AI256+AL256+AO256+AR256+AU256+AX256+BA256+BD256+BG256+BJ256+BM256+BP256</f>
        <v>0</v>
      </c>
    </row>
    <row r="257" ht="11.25" customHeight="1" spans="1:69" x14ac:dyDescent="0.25">
      <c r="A257" s="18">
        <v>426920000</v>
      </c>
      <c r="B257" s="18" t="s">
        <v>486</v>
      </c>
      <c r="C257" s="38">
        <f>IFERROR(VLOOKUP("1_"&amp;A257,SyS!$B:$P,10,FALSE()),0)</f>
        <v>0</v>
      </c>
      <c r="D257" s="39">
        <f>IFERROR(VLOOKUP("1_"&amp;A257,SyS!$B:$P,12,FALSE()),0)</f>
        <v>0</v>
      </c>
      <c r="E257" s="39">
        <f>+C257-D257</f>
        <v>0</v>
      </c>
      <c r="F257" s="38">
        <f>IFERROR(VLOOKUP("2_"&amp;A257,SyS!$B:$P,10,FALSE()),0)</f>
        <v>0</v>
      </c>
      <c r="G257" s="39">
        <f>IFERROR(VLOOKUP("2_"&amp;A257,SyS!$B:$P,12,FALSE()),0)</f>
        <v>0</v>
      </c>
      <c r="H257" s="40">
        <f>+F257-G257</f>
        <v>0</v>
      </c>
      <c r="I257" s="39"/>
      <c r="J257" s="39"/>
      <c r="K257" s="39"/>
      <c r="L257" s="39"/>
      <c r="M257" s="39"/>
      <c r="N257" s="39"/>
      <c r="O257" s="38">
        <f>IFERROR(VLOOKUP("14_"&amp;A257,SyS!$B:$P,10,FALSE()),0)</f>
        <v>0</v>
      </c>
      <c r="P257" s="39">
        <f>IFERROR(VLOOKUP("14_"&amp;A257,SyS!$B:$P,12,FALSE()),0)</f>
        <v>0</v>
      </c>
      <c r="Q257" s="40">
        <f>+O257-P257</f>
        <v>0</v>
      </c>
      <c r="R257" s="38">
        <f>IFERROR(VLOOKUP("15_"&amp;A257,SyS!$B:$P,10,FALSE()),0)</f>
        <v>0</v>
      </c>
      <c r="S257" s="39">
        <f>IFERROR(VLOOKUP("15_"&amp;A257,SyS!$B:$P,12,FALSE()),0)</f>
        <v>0</v>
      </c>
      <c r="T257" s="40">
        <f>+R257-S257</f>
        <v>0</v>
      </c>
      <c r="U257" s="38">
        <f>IFERROR(VLOOKUP("16_"&amp;A257,SyS!$B:$P,10,FALSE()),0)</f>
        <v>0</v>
      </c>
      <c r="V257" s="39">
        <f>IFERROR(VLOOKUP("16_"&amp;A257,SyS!$B:$P,12,FALSE()),0)</f>
        <v>0</v>
      </c>
      <c r="W257" s="40">
        <f>+U257-V257</f>
        <v>0</v>
      </c>
      <c r="X257" s="38">
        <f>IFERROR(VLOOKUP("13_"&amp;A257,SyS!$B:$P,10,FALSE()),0)</f>
        <v>0</v>
      </c>
      <c r="Y257" s="39">
        <f>IFERROR(VLOOKUP("13_"&amp;A257,SyS!$B:$P,12,FALSE()),0)</f>
        <v>0</v>
      </c>
      <c r="Z257" s="40">
        <f>+X257-Y257</f>
        <v>0</v>
      </c>
      <c r="AA257" s="38">
        <f>IFERROR(VLOOKUP("17_"&amp;A257,SyS!$B:$P,10,FALSE()),0)</f>
        <v>0</v>
      </c>
      <c r="AB257" s="39">
        <f>IFERROR(VLOOKUP("17_"&amp;A257,SyS!$B:$P,12,FALSE()),0)</f>
        <v>0</v>
      </c>
      <c r="AC257" s="40">
        <f>+AA257-AB257</f>
        <v>0</v>
      </c>
      <c r="AD257" s="39"/>
      <c r="AE257" s="39"/>
      <c r="AF257" s="39"/>
      <c r="AG257" s="39">
        <f>IFERROR(VLOOKUP("19_"&amp;A257,SyS!$B:$P,10,FALSE()),0)</f>
        <v>0</v>
      </c>
      <c r="AH257" s="39">
        <f>IFERROR(VLOOKUP("19_"&amp;A257,SyS!$B:$P,12,FALSE()),0)</f>
        <v>0</v>
      </c>
      <c r="AI257" s="39">
        <f>+AG257-AH257</f>
        <v>0</v>
      </c>
      <c r="AJ257" s="39"/>
      <c r="AK257" s="39"/>
      <c r="AL257" s="39"/>
      <c r="AM257" s="38">
        <f>IFERROR(VLOOKUP("23_"&amp;A257,SyS!$B:$P,10,FALSE()),0)</f>
        <v>0</v>
      </c>
      <c r="AN257" s="39">
        <f>IFERROR(VLOOKUP("23_"&amp;A257,SyS!$B:$P,12,FALSE()),0)</f>
        <v>0</v>
      </c>
      <c r="AO257" s="40">
        <f>+AM257-AN257</f>
        <v>0</v>
      </c>
      <c r="AP257" s="39"/>
      <c r="AQ257" s="39"/>
      <c r="AR257" s="39"/>
      <c r="AS257" s="39"/>
      <c r="AT257" s="39"/>
      <c r="AU257" s="39"/>
      <c r="AV257" s="39"/>
      <c r="AW257" s="39"/>
      <c r="AX257" s="39"/>
      <c r="AY257" s="39"/>
      <c r="AZ257" s="39"/>
      <c r="BA257" s="39"/>
      <c r="BB257" s="39"/>
      <c r="BC257" s="39"/>
      <c r="BD257" s="39"/>
      <c r="BE257" s="39"/>
      <c r="BF257" s="39"/>
      <c r="BG257" s="39"/>
      <c r="BH257" s="39"/>
      <c r="BI257" s="39"/>
      <c r="BJ257" s="39"/>
      <c r="BK257" s="39">
        <f>IFERROR(VLOOKUP("29_"&amp;A257,SyS!$B:$P,10,FALSE()),0)</f>
        <v>0</v>
      </c>
      <c r="BL257" s="39">
        <f>IFERROR(VLOOKUP("29_"&amp;A257,SyS!$B:$P,12,FALSE()),0)</f>
        <v>0</v>
      </c>
      <c r="BM257" s="39">
        <f>+BK257-BL257</f>
        <v>0</v>
      </c>
      <c r="BN257" s="38">
        <f>IFERROR(VLOOKUP("30_"&amp;A257,SyS!$B:$P,10,FALSE()),0)</f>
        <v>0</v>
      </c>
      <c r="BO257" s="39">
        <f>IFERROR(VLOOKUP("30_"&amp;A257,SyS!$B:$P,12,FALSE()),0)</f>
        <v>0</v>
      </c>
      <c r="BP257" s="40">
        <f>+BN257-BO257</f>
        <v>0</v>
      </c>
      <c r="BQ257" s="45">
        <f>+E257+H257+K257+Q257+T257+W257+Z257+AC257+AF257+AI257+AL257+AO257+AR257+AU257+AX257+BA257+BD257+BG257+BJ257+BM257+BP257</f>
        <v>0</v>
      </c>
    </row>
    <row r="258" ht="11.25" customHeight="1" spans="1:69" x14ac:dyDescent="0.25">
      <c r="A258" s="18">
        <v>426930000</v>
      </c>
      <c r="B258" s="18" t="s">
        <v>487</v>
      </c>
      <c r="C258" s="38">
        <f>IFERROR(VLOOKUP("1_"&amp;A258,SyS!$B:$P,10,FALSE()),0)</f>
        <v>0</v>
      </c>
      <c r="D258" s="39">
        <f>IFERROR(VLOOKUP("1_"&amp;A258,SyS!$B:$P,12,FALSE()),0)</f>
        <v>0</v>
      </c>
      <c r="E258" s="39">
        <f>+C258-D258</f>
        <v>0</v>
      </c>
      <c r="F258" s="38">
        <f>IFERROR(VLOOKUP("2_"&amp;A258,SyS!$B:$P,10,FALSE()),0)</f>
        <v>0</v>
      </c>
      <c r="G258" s="39">
        <f>IFERROR(VLOOKUP("2_"&amp;A258,SyS!$B:$P,12,FALSE()),0)</f>
        <v>0</v>
      </c>
      <c r="H258" s="40">
        <f>+F258-G258</f>
        <v>0</v>
      </c>
      <c r="I258" s="39"/>
      <c r="J258" s="39"/>
      <c r="K258" s="39"/>
      <c r="L258" s="39"/>
      <c r="M258" s="39"/>
      <c r="N258" s="39"/>
      <c r="O258" s="38">
        <f>IFERROR(VLOOKUP("14_"&amp;A258,SyS!$B:$P,10,FALSE()),0)</f>
        <v>0</v>
      </c>
      <c r="P258" s="39">
        <f>IFERROR(VLOOKUP("14_"&amp;A258,SyS!$B:$P,12,FALSE()),0)</f>
        <v>0</v>
      </c>
      <c r="Q258" s="40">
        <f>+O258-P258</f>
        <v>0</v>
      </c>
      <c r="R258" s="38">
        <f>IFERROR(VLOOKUP("15_"&amp;A258,SyS!$B:$P,10,FALSE()),0)</f>
        <v>0</v>
      </c>
      <c r="S258" s="39">
        <f>IFERROR(VLOOKUP("15_"&amp;A258,SyS!$B:$P,12,FALSE()),0)</f>
        <v>0</v>
      </c>
      <c r="T258" s="40">
        <f>+R258-S258</f>
        <v>0</v>
      </c>
      <c r="U258" s="38">
        <f>IFERROR(VLOOKUP("16_"&amp;A258,SyS!$B:$P,10,FALSE()),0)</f>
        <v>0</v>
      </c>
      <c r="V258" s="39">
        <f>IFERROR(VLOOKUP("16_"&amp;A258,SyS!$B:$P,12,FALSE()),0)</f>
        <v>0</v>
      </c>
      <c r="W258" s="40">
        <f>+U258-V258</f>
        <v>0</v>
      </c>
      <c r="X258" s="38">
        <f>IFERROR(VLOOKUP("13_"&amp;A258,SyS!$B:$P,10,FALSE()),0)</f>
        <v>0</v>
      </c>
      <c r="Y258" s="39">
        <f>IFERROR(VLOOKUP("13_"&amp;A258,SyS!$B:$P,12,FALSE()),0)</f>
        <v>0</v>
      </c>
      <c r="Z258" s="40">
        <f>+X258-Y258</f>
        <v>0</v>
      </c>
      <c r="AA258" s="38">
        <f>IFERROR(VLOOKUP("17_"&amp;A258,SyS!$B:$P,10,FALSE()),0)</f>
        <v>0</v>
      </c>
      <c r="AB258" s="39">
        <f>IFERROR(VLOOKUP("17_"&amp;A258,SyS!$B:$P,12,FALSE()),0)</f>
        <v>0</v>
      </c>
      <c r="AC258" s="40">
        <f>+AA258-AB258</f>
        <v>0</v>
      </c>
      <c r="AD258" s="39"/>
      <c r="AE258" s="39"/>
      <c r="AF258" s="39"/>
      <c r="AG258" s="39">
        <f>IFERROR(VLOOKUP("19_"&amp;A258,SyS!$B:$P,10,FALSE()),0)</f>
        <v>0</v>
      </c>
      <c r="AH258" s="39">
        <f>IFERROR(VLOOKUP("19_"&amp;A258,SyS!$B:$P,12,FALSE()),0)</f>
        <v>0</v>
      </c>
      <c r="AI258" s="39">
        <f>+AG258-AH258</f>
        <v>0</v>
      </c>
      <c r="AJ258" s="39"/>
      <c r="AK258" s="39"/>
      <c r="AL258" s="39"/>
      <c r="AM258" s="38">
        <f>IFERROR(VLOOKUP("23_"&amp;A258,SyS!$B:$P,10,FALSE()),0)</f>
        <v>0</v>
      </c>
      <c r="AN258" s="39">
        <f>IFERROR(VLOOKUP("23_"&amp;A258,SyS!$B:$P,12,FALSE()),0)</f>
        <v>0</v>
      </c>
      <c r="AO258" s="40">
        <f>+AM258-AN258</f>
        <v>0</v>
      </c>
      <c r="AP258" s="39"/>
      <c r="AQ258" s="39"/>
      <c r="AR258" s="39"/>
      <c r="AS258" s="39"/>
      <c r="AT258" s="39"/>
      <c r="AU258" s="39"/>
      <c r="AV258" s="39"/>
      <c r="AW258" s="39"/>
      <c r="AX258" s="39"/>
      <c r="AY258" s="39"/>
      <c r="AZ258" s="39"/>
      <c r="BA258" s="39"/>
      <c r="BB258" s="39"/>
      <c r="BC258" s="39"/>
      <c r="BD258" s="39"/>
      <c r="BE258" s="39"/>
      <c r="BF258" s="39"/>
      <c r="BG258" s="39"/>
      <c r="BH258" s="39"/>
      <c r="BI258" s="39"/>
      <c r="BJ258" s="39"/>
      <c r="BK258" s="39">
        <f>IFERROR(VLOOKUP("29_"&amp;A258,SyS!$B:$P,10,FALSE()),0)</f>
        <v>0</v>
      </c>
      <c r="BL258" s="39">
        <f>IFERROR(VLOOKUP("29_"&amp;A258,SyS!$B:$P,12,FALSE()),0)</f>
        <v>0</v>
      </c>
      <c r="BM258" s="39">
        <f>+BK258-BL258</f>
        <v>0</v>
      </c>
      <c r="BN258" s="38">
        <f>IFERROR(VLOOKUP("30_"&amp;A258,SyS!$B:$P,10,FALSE()),0)</f>
        <v>0</v>
      </c>
      <c r="BO258" s="39">
        <f>IFERROR(VLOOKUP("30_"&amp;A258,SyS!$B:$P,12,FALSE()),0)</f>
        <v>0</v>
      </c>
      <c r="BP258" s="40">
        <f>+BN258-BO258</f>
        <v>0</v>
      </c>
      <c r="BQ258" s="45">
        <f>+E258+H258+K258+Q258+T258+W258+Z258+AC258+AF258+AI258+AL258+AO258+AR258+AU258+AX258+BA258+BD258+BG258+BJ258+BM258+BP258</f>
        <v>0</v>
      </c>
    </row>
    <row r="259" ht="11.25" customHeight="1" spans="1:69" x14ac:dyDescent="0.25">
      <c r="A259" s="18">
        <v>426940000</v>
      </c>
      <c r="B259" s="18" t="s">
        <v>488</v>
      </c>
      <c r="C259" s="38">
        <f>IFERROR(VLOOKUP("1_"&amp;A259,SyS!$B:$P,10,FALSE()),0)</f>
        <v>0</v>
      </c>
      <c r="D259" s="39">
        <f>IFERROR(VLOOKUP("1_"&amp;A259,SyS!$B:$P,12,FALSE()),0)</f>
        <v>0</v>
      </c>
      <c r="E259" s="39">
        <f>+C259-D259</f>
        <v>0</v>
      </c>
      <c r="F259" s="38">
        <f>IFERROR(VLOOKUP("2_"&amp;A259,SyS!$B:$P,10,FALSE()),0)</f>
        <v>0</v>
      </c>
      <c r="G259" s="39">
        <f>IFERROR(VLOOKUP("2_"&amp;A259,SyS!$B:$P,12,FALSE()),0)</f>
        <v>0</v>
      </c>
      <c r="H259" s="40">
        <f>+F259-G259</f>
        <v>0</v>
      </c>
      <c r="I259" s="39"/>
      <c r="J259" s="39"/>
      <c r="K259" s="39"/>
      <c r="L259" s="39"/>
      <c r="M259" s="39"/>
      <c r="N259" s="39"/>
      <c r="O259" s="38">
        <f>IFERROR(VLOOKUP("14_"&amp;A259,SyS!$B:$P,10,FALSE()),0)</f>
        <v>0</v>
      </c>
      <c r="P259" s="39">
        <f>IFERROR(VLOOKUP("14_"&amp;A259,SyS!$B:$P,12,FALSE()),0)</f>
        <v>0</v>
      </c>
      <c r="Q259" s="40">
        <f>+O259-P259</f>
        <v>0</v>
      </c>
      <c r="R259" s="38">
        <f>IFERROR(VLOOKUP("15_"&amp;A259,SyS!$B:$P,10,FALSE()),0)</f>
        <v>0</v>
      </c>
      <c r="S259" s="39">
        <f>IFERROR(VLOOKUP("15_"&amp;A259,SyS!$B:$P,12,FALSE()),0)</f>
        <v>0</v>
      </c>
      <c r="T259" s="40">
        <f>+R259-S259</f>
        <v>0</v>
      </c>
      <c r="U259" s="38">
        <f>IFERROR(VLOOKUP("16_"&amp;A259,SyS!$B:$P,10,FALSE()),0)</f>
        <v>0</v>
      </c>
      <c r="V259" s="39">
        <f>IFERROR(VLOOKUP("16_"&amp;A259,SyS!$B:$P,12,FALSE()),0)</f>
        <v>0</v>
      </c>
      <c r="W259" s="40">
        <f>+U259-V259</f>
        <v>0</v>
      </c>
      <c r="X259" s="38">
        <f>IFERROR(VLOOKUP("13_"&amp;A259,SyS!$B:$P,10,FALSE()),0)</f>
        <v>0</v>
      </c>
      <c r="Y259" s="39">
        <f>IFERROR(VLOOKUP("13_"&amp;A259,SyS!$B:$P,12,FALSE()),0)</f>
        <v>0</v>
      </c>
      <c r="Z259" s="40">
        <f>+X259-Y259</f>
        <v>0</v>
      </c>
      <c r="AA259" s="38">
        <f>IFERROR(VLOOKUP("17_"&amp;A259,SyS!$B:$P,10,FALSE()),0)</f>
        <v>0</v>
      </c>
      <c r="AB259" s="39">
        <f>IFERROR(VLOOKUP("17_"&amp;A259,SyS!$B:$P,12,FALSE()),0)</f>
        <v>0</v>
      </c>
      <c r="AC259" s="40">
        <f>+AA259-AB259</f>
        <v>0</v>
      </c>
      <c r="AD259" s="39"/>
      <c r="AE259" s="39"/>
      <c r="AF259" s="39"/>
      <c r="AG259" s="39">
        <f>IFERROR(VLOOKUP("19_"&amp;A259,SyS!$B:$P,10,FALSE()),0)</f>
        <v>0</v>
      </c>
      <c r="AH259" s="39">
        <f>IFERROR(VLOOKUP("19_"&amp;A259,SyS!$B:$P,12,FALSE()),0)</f>
        <v>0</v>
      </c>
      <c r="AI259" s="39">
        <f>+AG259-AH259</f>
        <v>0</v>
      </c>
      <c r="AJ259" s="39"/>
      <c r="AK259" s="39"/>
      <c r="AL259" s="39"/>
      <c r="AM259" s="38">
        <f>IFERROR(VLOOKUP("23_"&amp;A259,SyS!$B:$P,10,FALSE()),0)</f>
        <v>0</v>
      </c>
      <c r="AN259" s="39">
        <f>IFERROR(VLOOKUP("23_"&amp;A259,SyS!$B:$P,12,FALSE()),0)</f>
        <v>0</v>
      </c>
      <c r="AO259" s="40">
        <f>+AM259-AN259</f>
        <v>0</v>
      </c>
      <c r="AP259" s="39"/>
      <c r="AQ259" s="39"/>
      <c r="AR259" s="39"/>
      <c r="AS259" s="39"/>
      <c r="AT259" s="39"/>
      <c r="AU259" s="39"/>
      <c r="AV259" s="39"/>
      <c r="AW259" s="39"/>
      <c r="AX259" s="39"/>
      <c r="AY259" s="39"/>
      <c r="AZ259" s="39"/>
      <c r="BA259" s="39"/>
      <c r="BB259" s="39"/>
      <c r="BC259" s="39"/>
      <c r="BD259" s="39"/>
      <c r="BE259" s="39"/>
      <c r="BF259" s="39"/>
      <c r="BG259" s="39"/>
      <c r="BH259" s="39"/>
      <c r="BI259" s="39"/>
      <c r="BJ259" s="39"/>
      <c r="BK259" s="39">
        <f>IFERROR(VLOOKUP("29_"&amp;A259,SyS!$B:$P,10,FALSE()),0)</f>
        <v>0</v>
      </c>
      <c r="BL259" s="39">
        <f>IFERROR(VLOOKUP("29_"&amp;A259,SyS!$B:$P,12,FALSE()),0)</f>
        <v>0</v>
      </c>
      <c r="BM259" s="39">
        <f>+BK259-BL259</f>
        <v>0</v>
      </c>
      <c r="BN259" s="38">
        <f>IFERROR(VLOOKUP("30_"&amp;A259,SyS!$B:$P,10,FALSE()),0)</f>
        <v>0</v>
      </c>
      <c r="BO259" s="39">
        <f>IFERROR(VLOOKUP("30_"&amp;A259,SyS!$B:$P,12,FALSE()),0)</f>
        <v>0</v>
      </c>
      <c r="BP259" s="40">
        <f>+BN259-BO259</f>
        <v>0</v>
      </c>
      <c r="BQ259" s="45">
        <f>+E259+H259+K259+Q259+T259+W259+Z259+AC259+AF259+AI259+AL259+AO259+AR259+AU259+AX259+BA259+BD259+BG259+BJ259+BM259+BP259</f>
        <v>0</v>
      </c>
    </row>
    <row r="260" ht="11.25" customHeight="1" spans="1:69" x14ac:dyDescent="0.25">
      <c r="A260" s="18">
        <v>426360000</v>
      </c>
      <c r="B260" s="18" t="s">
        <v>489</v>
      </c>
      <c r="C260" s="38">
        <f>IFERROR(VLOOKUP("1_"&amp;A260,SyS!$B:$P,10,FALSE()),0)</f>
        <v>1748.6000000000001</v>
      </c>
      <c r="D260" s="39">
        <f>IFERROR(VLOOKUP("1_"&amp;A260,SyS!$B:$P,12,FALSE()),0)</f>
        <v>0</v>
      </c>
      <c r="E260" s="39">
        <f>+C260-D260</f>
        <v>1748.6000000000001</v>
      </c>
      <c r="F260" s="38">
        <f>IFERROR(VLOOKUP("2_"&amp;A260,SyS!$B:$P,10,FALSE()),0)</f>
        <v>0</v>
      </c>
      <c r="G260" s="39">
        <f>IFERROR(VLOOKUP("2_"&amp;A260,SyS!$B:$P,12,FALSE()),0)</f>
        <v>0</v>
      </c>
      <c r="H260" s="40">
        <f>+F260-G260</f>
        <v>0</v>
      </c>
      <c r="I260" s="39"/>
      <c r="J260" s="39"/>
      <c r="K260" s="39"/>
      <c r="L260" s="39"/>
      <c r="M260" s="39"/>
      <c r="N260" s="39"/>
      <c r="O260" s="38">
        <f>IFERROR(VLOOKUP("14_"&amp;A260,SyS!$B:$P,10,FALSE()),0)</f>
        <v>0</v>
      </c>
      <c r="P260" s="39">
        <f>IFERROR(VLOOKUP("14_"&amp;A260,SyS!$B:$P,12,FALSE()),0)</f>
        <v>0</v>
      </c>
      <c r="Q260" s="40">
        <f>+O260-P260</f>
        <v>0</v>
      </c>
      <c r="R260" s="38">
        <f>IFERROR(VLOOKUP("15_"&amp;A260,SyS!$B:$P,10,FALSE()),0)</f>
        <v>0</v>
      </c>
      <c r="S260" s="39">
        <f>IFERROR(VLOOKUP("15_"&amp;A260,SyS!$B:$P,12,FALSE()),0)</f>
        <v>0</v>
      </c>
      <c r="T260" s="40">
        <f>+R260-S260</f>
        <v>0</v>
      </c>
      <c r="U260" s="38">
        <f>IFERROR(VLOOKUP("16_"&amp;A260,SyS!$B:$P,10,FALSE()),0)</f>
        <v>0</v>
      </c>
      <c r="V260" s="39">
        <f>IFERROR(VLOOKUP("16_"&amp;A260,SyS!$B:$P,12,FALSE()),0)</f>
        <v>0</v>
      </c>
      <c r="W260" s="40">
        <f>+U260-V260</f>
        <v>0</v>
      </c>
      <c r="X260" s="38">
        <f>IFERROR(VLOOKUP("13_"&amp;A260,SyS!$B:$P,10,FALSE()),0)</f>
        <v>0</v>
      </c>
      <c r="Y260" s="39">
        <f>IFERROR(VLOOKUP("13_"&amp;A260,SyS!$B:$P,12,FALSE()),0)</f>
        <v>0</v>
      </c>
      <c r="Z260" s="40">
        <f>+X260-Y260</f>
        <v>0</v>
      </c>
      <c r="AA260" s="38">
        <f>IFERROR(VLOOKUP("17_"&amp;A260,SyS!$B:$P,10,FALSE()),0)</f>
        <v>0</v>
      </c>
      <c r="AB260" s="39">
        <f>IFERROR(VLOOKUP("17_"&amp;A260,SyS!$B:$P,12,FALSE()),0)</f>
        <v>0</v>
      </c>
      <c r="AC260" s="40">
        <f>+AA260-AB260</f>
        <v>0</v>
      </c>
      <c r="AD260" s="39"/>
      <c r="AE260" s="39"/>
      <c r="AF260" s="39"/>
      <c r="AG260" s="39">
        <f>IFERROR(VLOOKUP("19_"&amp;A260,SyS!$B:$P,10,FALSE()),0)</f>
        <v>0</v>
      </c>
      <c r="AH260" s="39">
        <f>IFERROR(VLOOKUP("19_"&amp;A260,SyS!$B:$P,12,FALSE()),0)</f>
        <v>0</v>
      </c>
      <c r="AI260" s="39">
        <f>+AG260-AH260</f>
        <v>0</v>
      </c>
      <c r="AJ260" s="39"/>
      <c r="AK260" s="39"/>
      <c r="AL260" s="39"/>
      <c r="AM260" s="38">
        <f>IFERROR(VLOOKUP("23_"&amp;A260,SyS!$B:$P,10,FALSE()),0)</f>
        <v>0</v>
      </c>
      <c r="AN260" s="39">
        <f>IFERROR(VLOOKUP("23_"&amp;A260,SyS!$B:$P,12,FALSE()),0)</f>
        <v>0</v>
      </c>
      <c r="AO260" s="40">
        <f>+AM260-AN260</f>
        <v>0</v>
      </c>
      <c r="AP260" s="39"/>
      <c r="AQ260" s="39"/>
      <c r="AR260" s="39"/>
      <c r="AS260" s="39"/>
      <c r="AT260" s="39"/>
      <c r="AU260" s="39"/>
      <c r="AV260" s="39"/>
      <c r="AW260" s="39"/>
      <c r="AX260" s="39"/>
      <c r="AY260" s="39"/>
      <c r="AZ260" s="39"/>
      <c r="BA260" s="39"/>
      <c r="BB260" s="39"/>
      <c r="BC260" s="39"/>
      <c r="BD260" s="39"/>
      <c r="BE260" s="39"/>
      <c r="BF260" s="39"/>
      <c r="BG260" s="39"/>
      <c r="BH260" s="39"/>
      <c r="BI260" s="39"/>
      <c r="BJ260" s="39"/>
      <c r="BK260" s="39">
        <f>IFERROR(VLOOKUP("29_"&amp;A260,SyS!$B:$P,10,FALSE()),0)</f>
        <v>0</v>
      </c>
      <c r="BL260" s="39">
        <f>IFERROR(VLOOKUP("29_"&amp;A260,SyS!$B:$P,12,FALSE()),0)</f>
        <v>0</v>
      </c>
      <c r="BM260" s="39">
        <f>+BK260-BL260</f>
        <v>0</v>
      </c>
      <c r="BN260" s="38">
        <f>IFERROR(VLOOKUP("30_"&amp;A260,SyS!$B:$P,10,FALSE()),0)</f>
        <v>0</v>
      </c>
      <c r="BO260" s="39">
        <f>IFERROR(VLOOKUP("30_"&amp;A260,SyS!$B:$P,12,FALSE()),0)</f>
        <v>0</v>
      </c>
      <c r="BP260" s="40">
        <f>+BN260-BO260</f>
        <v>0</v>
      </c>
      <c r="BQ260" s="45">
        <f>+E260+H260+K260+Q260+T260+W260+Z260+AC260+AF260+AI260+AL260+AO260+AR260+AU260+AX260+BA260+BD260+BG260+BJ260+BM260+BP260</f>
        <v>1748.6000000000001</v>
      </c>
    </row>
    <row r="261" ht="11.25" customHeight="1" spans="1:69" x14ac:dyDescent="0.25">
      <c r="A261" s="18">
        <v>426960000</v>
      </c>
      <c r="B261" s="18" t="s">
        <v>490</v>
      </c>
      <c r="C261" s="38">
        <f>IFERROR(VLOOKUP("1_"&amp;A261,SyS!$B:$P,10,FALSE()),0)</f>
        <v>0</v>
      </c>
      <c r="D261" s="39">
        <f>IFERROR(VLOOKUP("1_"&amp;A261,SyS!$B:$P,12,FALSE()),0)</f>
        <v>0</v>
      </c>
      <c r="E261" s="39">
        <f>+C261-D261</f>
        <v>0</v>
      </c>
      <c r="F261" s="38">
        <f>IFERROR(VLOOKUP("2_"&amp;A261,SyS!$B:$P,10,FALSE()),0)</f>
        <v>818.52</v>
      </c>
      <c r="G261" s="39">
        <f>IFERROR(VLOOKUP("2_"&amp;A261,SyS!$B:$P,12,FALSE()),0)</f>
        <v>0</v>
      </c>
      <c r="H261" s="40">
        <f>+F261-G261</f>
        <v>818.52</v>
      </c>
      <c r="I261" s="39"/>
      <c r="J261" s="39"/>
      <c r="K261" s="39"/>
      <c r="L261" s="39"/>
      <c r="M261" s="39"/>
      <c r="N261" s="39"/>
      <c r="O261" s="38">
        <f>IFERROR(VLOOKUP("14_"&amp;A261,SyS!$B:$P,10,FALSE()),0)</f>
        <v>0</v>
      </c>
      <c r="P261" s="39">
        <f>IFERROR(VLOOKUP("14_"&amp;A261,SyS!$B:$P,12,FALSE()),0)</f>
        <v>0</v>
      </c>
      <c r="Q261" s="40">
        <f>+O261-P261</f>
        <v>0</v>
      </c>
      <c r="R261" s="38">
        <f>IFERROR(VLOOKUP("15_"&amp;A261,SyS!$B:$P,10,FALSE()),0)</f>
        <v>0</v>
      </c>
      <c r="S261" s="39">
        <f>IFERROR(VLOOKUP("15_"&amp;A261,SyS!$B:$P,12,FALSE()),0)</f>
        <v>0</v>
      </c>
      <c r="T261" s="40">
        <f>+R261-S261</f>
        <v>0</v>
      </c>
      <c r="U261" s="38">
        <f>IFERROR(VLOOKUP("16_"&amp;A261,SyS!$B:$P,10,FALSE()),0)</f>
        <v>0</v>
      </c>
      <c r="V261" s="39">
        <f>IFERROR(VLOOKUP("16_"&amp;A261,SyS!$B:$P,12,FALSE()),0)</f>
        <v>0</v>
      </c>
      <c r="W261" s="40">
        <f>+U261-V261</f>
        <v>0</v>
      </c>
      <c r="X261" s="38">
        <f>IFERROR(VLOOKUP("13_"&amp;A261,SyS!$B:$P,10,FALSE()),0)</f>
        <v>0</v>
      </c>
      <c r="Y261" s="39">
        <f>IFERROR(VLOOKUP("13_"&amp;A261,SyS!$B:$P,12,FALSE()),0)</f>
        <v>0</v>
      </c>
      <c r="Z261" s="40">
        <f>+X261-Y261</f>
        <v>0</v>
      </c>
      <c r="AA261" s="38">
        <f>IFERROR(VLOOKUP("17_"&amp;A261,SyS!$B:$P,10,FALSE()),0)</f>
        <v>0</v>
      </c>
      <c r="AB261" s="39">
        <f>IFERROR(VLOOKUP("17_"&amp;A261,SyS!$B:$P,12,FALSE()),0)</f>
        <v>0</v>
      </c>
      <c r="AC261" s="40">
        <f>+AA261-AB261</f>
        <v>0</v>
      </c>
      <c r="AD261" s="39"/>
      <c r="AE261" s="39"/>
      <c r="AF261" s="39"/>
      <c r="AG261" s="39">
        <f>IFERROR(VLOOKUP("19_"&amp;A261,SyS!$B:$P,10,FALSE()),0)</f>
        <v>0</v>
      </c>
      <c r="AH261" s="39">
        <f>IFERROR(VLOOKUP("19_"&amp;A261,SyS!$B:$P,12,FALSE()),0)</f>
        <v>0</v>
      </c>
      <c r="AI261" s="39">
        <f>+AG261-AH261</f>
        <v>0</v>
      </c>
      <c r="AJ261" s="39"/>
      <c r="AK261" s="39"/>
      <c r="AL261" s="39"/>
      <c r="AM261" s="38">
        <f>IFERROR(VLOOKUP("23_"&amp;A261,SyS!$B:$P,10,FALSE()),0)</f>
        <v>0</v>
      </c>
      <c r="AN261" s="39">
        <f>IFERROR(VLOOKUP("23_"&amp;A261,SyS!$B:$P,12,FALSE()),0)</f>
        <v>0</v>
      </c>
      <c r="AO261" s="40">
        <f>+AM261-AN261</f>
        <v>0</v>
      </c>
      <c r="AP261" s="39"/>
      <c r="AQ261" s="39"/>
      <c r="AR261" s="39"/>
      <c r="AS261" s="39"/>
      <c r="AT261" s="39"/>
      <c r="AU261" s="39"/>
      <c r="AV261" s="39"/>
      <c r="AW261" s="39"/>
      <c r="AX261" s="39"/>
      <c r="AY261" s="39"/>
      <c r="AZ261" s="39"/>
      <c r="BA261" s="39"/>
      <c r="BB261" s="39"/>
      <c r="BC261" s="39"/>
      <c r="BD261" s="39"/>
      <c r="BE261" s="39"/>
      <c r="BF261" s="39"/>
      <c r="BG261" s="39"/>
      <c r="BH261" s="39"/>
      <c r="BI261" s="39"/>
      <c r="BJ261" s="39"/>
      <c r="BK261" s="39">
        <f>IFERROR(VLOOKUP("29_"&amp;A261,SyS!$B:$P,10,FALSE()),0)</f>
        <v>0</v>
      </c>
      <c r="BL261" s="39">
        <f>IFERROR(VLOOKUP("29_"&amp;A261,SyS!$B:$P,12,FALSE()),0)</f>
        <v>0</v>
      </c>
      <c r="BM261" s="39">
        <f>+BK261-BL261</f>
        <v>0</v>
      </c>
      <c r="BN261" s="38">
        <f>IFERROR(VLOOKUP("30_"&amp;A261,SyS!$B:$P,10,FALSE()),0)</f>
        <v>0</v>
      </c>
      <c r="BO261" s="39">
        <f>IFERROR(VLOOKUP("30_"&amp;A261,SyS!$B:$P,12,FALSE()),0)</f>
        <v>0</v>
      </c>
      <c r="BP261" s="40">
        <f>+BN261-BO261</f>
        <v>0</v>
      </c>
      <c r="BQ261" s="45">
        <f>+E261+H261+K261+Q261+T261+W261+Z261+AC261+AF261+AI261+AL261+AO261+AR261+AU261+AX261+BA261+BD261+BG261+BJ261+BM261+BP261</f>
        <v>818.52</v>
      </c>
    </row>
    <row r="262" ht="11.25" customHeight="1" spans="1:69" x14ac:dyDescent="0.25">
      <c r="A262" s="18">
        <v>426970000</v>
      </c>
      <c r="B262" s="18" t="s">
        <v>491</v>
      </c>
      <c r="C262" s="38">
        <f>IFERROR(VLOOKUP("1_"&amp;A262,SyS!$B:$P,10,FALSE()),0)</f>
        <v>0</v>
      </c>
      <c r="D262" s="39">
        <f>IFERROR(VLOOKUP("1_"&amp;A262,SyS!$B:$P,12,FALSE()),0)</f>
        <v>0</v>
      </c>
      <c r="E262" s="39">
        <f>+C262-D262</f>
        <v>0</v>
      </c>
      <c r="F262" s="38">
        <f>IFERROR(VLOOKUP("2_"&amp;A262,SyS!$B:$P,10,FALSE()),0)</f>
        <v>0</v>
      </c>
      <c r="G262" s="39">
        <f>IFERROR(VLOOKUP("2_"&amp;A262,SyS!$B:$P,12,FALSE()),0)</f>
        <v>0</v>
      </c>
      <c r="H262" s="40">
        <f>+F262-G262</f>
        <v>0</v>
      </c>
      <c r="I262" s="39"/>
      <c r="J262" s="39"/>
      <c r="K262" s="39"/>
      <c r="L262" s="39"/>
      <c r="M262" s="39"/>
      <c r="N262" s="39"/>
      <c r="O262" s="38">
        <f>IFERROR(VLOOKUP("14_"&amp;A262,SyS!$B:$P,10,FALSE()),0)</f>
        <v>0</v>
      </c>
      <c r="P262" s="39">
        <f>IFERROR(VLOOKUP("14_"&amp;A262,SyS!$B:$P,12,FALSE()),0)</f>
        <v>0</v>
      </c>
      <c r="Q262" s="40">
        <f>+O262-P262</f>
        <v>0</v>
      </c>
      <c r="R262" s="38">
        <f>IFERROR(VLOOKUP("15_"&amp;A262,SyS!$B:$P,10,FALSE()),0)</f>
        <v>0</v>
      </c>
      <c r="S262" s="39">
        <f>IFERROR(VLOOKUP("15_"&amp;A262,SyS!$B:$P,12,FALSE()),0)</f>
        <v>0</v>
      </c>
      <c r="T262" s="40">
        <f>+R262-S262</f>
        <v>0</v>
      </c>
      <c r="U262" s="38">
        <f>IFERROR(VLOOKUP("16_"&amp;A262,SyS!$B:$P,10,FALSE()),0)</f>
        <v>0</v>
      </c>
      <c r="V262" s="39">
        <f>IFERROR(VLOOKUP("16_"&amp;A262,SyS!$B:$P,12,FALSE()),0)</f>
        <v>0</v>
      </c>
      <c r="W262" s="40">
        <f>+U262-V262</f>
        <v>0</v>
      </c>
      <c r="X262" s="38">
        <f>IFERROR(VLOOKUP("13_"&amp;A262,SyS!$B:$P,10,FALSE()),0)</f>
        <v>0</v>
      </c>
      <c r="Y262" s="39">
        <f>IFERROR(VLOOKUP("13_"&amp;A262,SyS!$B:$P,12,FALSE()),0)</f>
        <v>0</v>
      </c>
      <c r="Z262" s="40">
        <f>+X262-Y262</f>
        <v>0</v>
      </c>
      <c r="AA262" s="38">
        <f>IFERROR(VLOOKUP("17_"&amp;A262,SyS!$B:$P,10,FALSE()),0)</f>
        <v>0</v>
      </c>
      <c r="AB262" s="39">
        <f>IFERROR(VLOOKUP("17_"&amp;A262,SyS!$B:$P,12,FALSE()),0)</f>
        <v>0</v>
      </c>
      <c r="AC262" s="40">
        <f>+AA262-AB262</f>
        <v>0</v>
      </c>
      <c r="AD262" s="39"/>
      <c r="AE262" s="39"/>
      <c r="AF262" s="39"/>
      <c r="AG262" s="39">
        <f>IFERROR(VLOOKUP("19_"&amp;A262,SyS!$B:$P,10,FALSE()),0)</f>
        <v>0</v>
      </c>
      <c r="AH262" s="39">
        <f>IFERROR(VLOOKUP("19_"&amp;A262,SyS!$B:$P,12,FALSE()),0)</f>
        <v>0</v>
      </c>
      <c r="AI262" s="39">
        <f>+AG262-AH262</f>
        <v>0</v>
      </c>
      <c r="AJ262" s="39"/>
      <c r="AK262" s="39"/>
      <c r="AL262" s="39"/>
      <c r="AM262" s="38">
        <f>IFERROR(VLOOKUP("23_"&amp;A262,SyS!$B:$P,10,FALSE()),0)</f>
        <v>0</v>
      </c>
      <c r="AN262" s="39">
        <f>IFERROR(VLOOKUP("23_"&amp;A262,SyS!$B:$P,12,FALSE()),0)</f>
        <v>0</v>
      </c>
      <c r="AO262" s="40">
        <f>+AM262-AN262</f>
        <v>0</v>
      </c>
      <c r="AP262" s="39"/>
      <c r="AQ262" s="39"/>
      <c r="AR262" s="39"/>
      <c r="AS262" s="39"/>
      <c r="AT262" s="39"/>
      <c r="AU262" s="39"/>
      <c r="AV262" s="39"/>
      <c r="AW262" s="39"/>
      <c r="AX262" s="39"/>
      <c r="AY262" s="39"/>
      <c r="AZ262" s="39"/>
      <c r="BA262" s="39"/>
      <c r="BB262" s="39"/>
      <c r="BC262" s="39"/>
      <c r="BD262" s="39"/>
      <c r="BE262" s="39"/>
      <c r="BF262" s="39"/>
      <c r="BG262" s="39"/>
      <c r="BH262" s="39"/>
      <c r="BI262" s="39"/>
      <c r="BJ262" s="39"/>
      <c r="BK262" s="39">
        <f>IFERROR(VLOOKUP("29_"&amp;A262,SyS!$B:$P,10,FALSE()),0)</f>
        <v>0</v>
      </c>
      <c r="BL262" s="39">
        <f>IFERROR(VLOOKUP("29_"&amp;A262,SyS!$B:$P,12,FALSE()),0)</f>
        <v>0</v>
      </c>
      <c r="BM262" s="39">
        <f>+BK262-BL262</f>
        <v>0</v>
      </c>
      <c r="BN262" s="38">
        <f>IFERROR(VLOOKUP("30_"&amp;A262,SyS!$B:$P,10,FALSE()),0)</f>
        <v>0</v>
      </c>
      <c r="BO262" s="39">
        <f>IFERROR(VLOOKUP("30_"&amp;A262,SyS!$B:$P,12,FALSE()),0)</f>
        <v>0</v>
      </c>
      <c r="BP262" s="40">
        <f>+BN262-BO262</f>
        <v>0</v>
      </c>
      <c r="BQ262" s="45">
        <f>+E262+H262+K262+Q262+T262+W262+Z262+AC262+AF262+AI262+AL262+AO262+AR262+AU262+AX262+BA262+BD262+BG262+BJ262+BM262+BP262</f>
        <v>0</v>
      </c>
    </row>
    <row r="263" ht="11.25" customHeight="1" spans="1:69" x14ac:dyDescent="0.25">
      <c r="A263" s="18">
        <v>426980000</v>
      </c>
      <c r="B263" s="18" t="s">
        <v>492</v>
      </c>
      <c r="C263" s="38">
        <f>IFERROR(VLOOKUP("1_"&amp;A263,SyS!$B:$P,10,FALSE()),0)</f>
        <v>0</v>
      </c>
      <c r="D263" s="39">
        <f>IFERROR(VLOOKUP("1_"&amp;A263,SyS!$B:$P,12,FALSE()),0)</f>
        <v>0</v>
      </c>
      <c r="E263" s="39">
        <f>+C263-D263</f>
        <v>0</v>
      </c>
      <c r="F263" s="38">
        <f>IFERROR(VLOOKUP("2_"&amp;A263,SyS!$B:$P,10,FALSE()),0)</f>
        <v>0</v>
      </c>
      <c r="G263" s="39">
        <f>IFERROR(VLOOKUP("2_"&amp;A263,SyS!$B:$P,12,FALSE()),0)</f>
        <v>0</v>
      </c>
      <c r="H263" s="40">
        <f>+F263-G263</f>
        <v>0</v>
      </c>
      <c r="I263" s="39"/>
      <c r="J263" s="39"/>
      <c r="K263" s="39"/>
      <c r="L263" s="39"/>
      <c r="M263" s="39"/>
      <c r="N263" s="39"/>
      <c r="O263" s="38">
        <f>IFERROR(VLOOKUP("14_"&amp;A263,SyS!$B:$P,10,FALSE()),0)</f>
        <v>0</v>
      </c>
      <c r="P263" s="39">
        <f>IFERROR(VLOOKUP("14_"&amp;A263,SyS!$B:$P,12,FALSE()),0)</f>
        <v>0</v>
      </c>
      <c r="Q263" s="40">
        <f>+O263-P263</f>
        <v>0</v>
      </c>
      <c r="R263" s="38">
        <f>IFERROR(VLOOKUP("15_"&amp;A263,SyS!$B:$P,10,FALSE()),0)</f>
        <v>0</v>
      </c>
      <c r="S263" s="39">
        <f>IFERROR(VLOOKUP("15_"&amp;A263,SyS!$B:$P,12,FALSE()),0)</f>
        <v>0</v>
      </c>
      <c r="T263" s="40">
        <f>+R263-S263</f>
        <v>0</v>
      </c>
      <c r="U263" s="38">
        <f>IFERROR(VLOOKUP("16_"&amp;A263,SyS!$B:$P,10,FALSE()),0)</f>
        <v>0</v>
      </c>
      <c r="V263" s="39">
        <f>IFERROR(VLOOKUP("16_"&amp;A263,SyS!$B:$P,12,FALSE()),0)</f>
        <v>0</v>
      </c>
      <c r="W263" s="40">
        <f>+U263-V263</f>
        <v>0</v>
      </c>
      <c r="X263" s="38">
        <f>IFERROR(VLOOKUP("13_"&amp;A263,SyS!$B:$P,10,FALSE()),0)</f>
        <v>0</v>
      </c>
      <c r="Y263" s="39">
        <f>IFERROR(VLOOKUP("13_"&amp;A263,SyS!$B:$P,12,FALSE()),0)</f>
        <v>0</v>
      </c>
      <c r="Z263" s="40">
        <f>+X263-Y263</f>
        <v>0</v>
      </c>
      <c r="AA263" s="38">
        <f>IFERROR(VLOOKUP("17_"&amp;A263,SyS!$B:$P,10,FALSE()),0)</f>
        <v>0</v>
      </c>
      <c r="AB263" s="39">
        <f>IFERROR(VLOOKUP("17_"&amp;A263,SyS!$B:$P,12,FALSE()),0)</f>
        <v>0</v>
      </c>
      <c r="AC263" s="40">
        <f>+AA263-AB263</f>
        <v>0</v>
      </c>
      <c r="AD263" s="39"/>
      <c r="AE263" s="39"/>
      <c r="AF263" s="39"/>
      <c r="AG263" s="39">
        <f>IFERROR(VLOOKUP("19_"&amp;A263,SyS!$B:$P,10,FALSE()),0)</f>
        <v>0</v>
      </c>
      <c r="AH263" s="39">
        <f>IFERROR(VLOOKUP("19_"&amp;A263,SyS!$B:$P,12,FALSE()),0)</f>
        <v>0</v>
      </c>
      <c r="AI263" s="39">
        <f>+AG263-AH263</f>
        <v>0</v>
      </c>
      <c r="AJ263" s="39"/>
      <c r="AK263" s="39"/>
      <c r="AL263" s="39"/>
      <c r="AM263" s="38">
        <f>IFERROR(VLOOKUP("23_"&amp;A263,SyS!$B:$P,10,FALSE()),0)</f>
        <v>0</v>
      </c>
      <c r="AN263" s="39">
        <f>IFERROR(VLOOKUP("23_"&amp;A263,SyS!$B:$P,12,FALSE()),0)</f>
        <v>0</v>
      </c>
      <c r="AO263" s="40">
        <f>+AM263-AN263</f>
        <v>0</v>
      </c>
      <c r="AP263" s="39"/>
      <c r="AQ263" s="39"/>
      <c r="AR263" s="39"/>
      <c r="AS263" s="39"/>
      <c r="AT263" s="39"/>
      <c r="AU263" s="39"/>
      <c r="AV263" s="39"/>
      <c r="AW263" s="39"/>
      <c r="AX263" s="39"/>
      <c r="AY263" s="39"/>
      <c r="AZ263" s="39"/>
      <c r="BA263" s="39"/>
      <c r="BB263" s="39"/>
      <c r="BC263" s="39"/>
      <c r="BD263" s="39"/>
      <c r="BE263" s="39"/>
      <c r="BF263" s="39"/>
      <c r="BG263" s="39"/>
      <c r="BH263" s="39"/>
      <c r="BI263" s="39"/>
      <c r="BJ263" s="39"/>
      <c r="BK263" s="39">
        <f>IFERROR(VLOOKUP("29_"&amp;A263,SyS!$B:$P,10,FALSE()),0)</f>
        <v>0</v>
      </c>
      <c r="BL263" s="39">
        <f>IFERROR(VLOOKUP("29_"&amp;A263,SyS!$B:$P,12,FALSE()),0)</f>
        <v>0</v>
      </c>
      <c r="BM263" s="39">
        <f>+BK263-BL263</f>
        <v>0</v>
      </c>
      <c r="BN263" s="38">
        <f>IFERROR(VLOOKUP("30_"&amp;A263,SyS!$B:$P,10,FALSE()),0)</f>
        <v>0</v>
      </c>
      <c r="BO263" s="39">
        <f>IFERROR(VLOOKUP("30_"&amp;A263,SyS!$B:$P,12,FALSE()),0)</f>
        <v>0</v>
      </c>
      <c r="BP263" s="40">
        <f>+BN263-BO263</f>
        <v>0</v>
      </c>
      <c r="BQ263" s="45">
        <f>+E263+H263+K263+Q263+T263+W263+Z263+AC263+AF263+AI263+AL263+AO263+AR263+AU263+AX263+BA263+BD263+BG263+BJ263+BM263+BP263</f>
        <v>0</v>
      </c>
    </row>
    <row r="264" ht="11.25" customHeight="1" spans="1:69" x14ac:dyDescent="0.25">
      <c r="A264" s="18">
        <v>426820000</v>
      </c>
      <c r="B264" s="18" t="s">
        <v>493</v>
      </c>
      <c r="C264" s="38">
        <f>IFERROR(VLOOKUP("1_"&amp;A264,SyS!$B:$P,10,FALSE()),0)</f>
        <v>0</v>
      </c>
      <c r="D264" s="39">
        <f>IFERROR(VLOOKUP("1_"&amp;A264,SyS!$B:$P,12,FALSE()),0)</f>
        <v>0</v>
      </c>
      <c r="E264" s="39">
        <f>+C264-D264</f>
        <v>0</v>
      </c>
      <c r="F264" s="38">
        <f>IFERROR(VLOOKUP("2_"&amp;A264,SyS!$B:$P,10,FALSE()),0)</f>
        <v>0</v>
      </c>
      <c r="G264" s="39">
        <f>IFERROR(VLOOKUP("2_"&amp;A264,SyS!$B:$P,12,FALSE()),0)</f>
        <v>0</v>
      </c>
      <c r="H264" s="40">
        <f>+F264-G264</f>
        <v>0</v>
      </c>
      <c r="I264" s="39"/>
      <c r="J264" s="39"/>
      <c r="K264" s="39"/>
      <c r="L264" s="39"/>
      <c r="M264" s="39"/>
      <c r="N264" s="39"/>
      <c r="O264" s="38">
        <f>IFERROR(VLOOKUP("14_"&amp;A264,SyS!$B:$P,10,FALSE()),0)</f>
        <v>0</v>
      </c>
      <c r="P264" s="39">
        <f>IFERROR(VLOOKUP("14_"&amp;A264,SyS!$B:$P,12,FALSE()),0)</f>
        <v>0</v>
      </c>
      <c r="Q264" s="40">
        <f>+O264-P264</f>
        <v>0</v>
      </c>
      <c r="R264" s="38">
        <f>IFERROR(VLOOKUP("15_"&amp;A264,SyS!$B:$P,10,FALSE()),0)</f>
        <v>0</v>
      </c>
      <c r="S264" s="39">
        <f>IFERROR(VLOOKUP("15_"&amp;A264,SyS!$B:$P,12,FALSE()),0)</f>
        <v>0</v>
      </c>
      <c r="T264" s="40">
        <f>+R264-S264</f>
        <v>0</v>
      </c>
      <c r="U264" s="38">
        <f>IFERROR(VLOOKUP("16_"&amp;A264,SyS!$B:$P,10,FALSE()),0)</f>
        <v>0</v>
      </c>
      <c r="V264" s="39">
        <f>IFERROR(VLOOKUP("16_"&amp;A264,SyS!$B:$P,12,FALSE()),0)</f>
        <v>0</v>
      </c>
      <c r="W264" s="40">
        <f>+U264-V264</f>
        <v>0</v>
      </c>
      <c r="X264" s="38">
        <f>IFERROR(VLOOKUP("13_"&amp;A264,SyS!$B:$P,10,FALSE()),0)</f>
        <v>0</v>
      </c>
      <c r="Y264" s="39">
        <f>IFERROR(VLOOKUP("13_"&amp;A264,SyS!$B:$P,12,FALSE()),0)</f>
        <v>0</v>
      </c>
      <c r="Z264" s="40">
        <f>+X264-Y264</f>
        <v>0</v>
      </c>
      <c r="AA264" s="38">
        <f>IFERROR(VLOOKUP("17_"&amp;A264,SyS!$B:$P,10,FALSE()),0)</f>
        <v>0</v>
      </c>
      <c r="AB264" s="39">
        <f>IFERROR(VLOOKUP("17_"&amp;A264,SyS!$B:$P,12,FALSE()),0)</f>
        <v>0</v>
      </c>
      <c r="AC264" s="40">
        <f>+AA264-AB264</f>
        <v>0</v>
      </c>
      <c r="AD264" s="39"/>
      <c r="AE264" s="39"/>
      <c r="AF264" s="39"/>
      <c r="AG264" s="39">
        <f>IFERROR(VLOOKUP("19_"&amp;A264,SyS!$B:$P,10,FALSE()),0)</f>
        <v>0</v>
      </c>
      <c r="AH264" s="39">
        <f>IFERROR(VLOOKUP("19_"&amp;A264,SyS!$B:$P,12,FALSE()),0)</f>
        <v>0</v>
      </c>
      <c r="AI264" s="39">
        <f>+AG264-AH264</f>
        <v>0</v>
      </c>
      <c r="AJ264" s="39"/>
      <c r="AK264" s="39"/>
      <c r="AL264" s="39"/>
      <c r="AM264" s="38">
        <f>IFERROR(VLOOKUP("23_"&amp;A264,SyS!$B:$P,10,FALSE()),0)</f>
        <v>0</v>
      </c>
      <c r="AN264" s="39">
        <f>IFERROR(VLOOKUP("23_"&amp;A264,SyS!$B:$P,12,FALSE()),0)</f>
        <v>0</v>
      </c>
      <c r="AO264" s="40">
        <f>+AM264-AN264</f>
        <v>0</v>
      </c>
      <c r="AP264" s="39"/>
      <c r="AQ264" s="39"/>
      <c r="AR264" s="39"/>
      <c r="AS264" s="39"/>
      <c r="AT264" s="39"/>
      <c r="AU264" s="39"/>
      <c r="AV264" s="39"/>
      <c r="AW264" s="39"/>
      <c r="AX264" s="39"/>
      <c r="AY264" s="39"/>
      <c r="AZ264" s="39"/>
      <c r="BA264" s="39"/>
      <c r="BB264" s="39"/>
      <c r="BC264" s="39"/>
      <c r="BD264" s="39"/>
      <c r="BE264" s="39"/>
      <c r="BF264" s="39"/>
      <c r="BG264" s="39"/>
      <c r="BH264" s="39"/>
      <c r="BI264" s="39"/>
      <c r="BJ264" s="39"/>
      <c r="BK264" s="39">
        <f>IFERROR(VLOOKUP("29_"&amp;A264,SyS!$B:$P,10,FALSE()),0)</f>
        <v>0</v>
      </c>
      <c r="BL264" s="39">
        <f>IFERROR(VLOOKUP("29_"&amp;A264,SyS!$B:$P,12,FALSE()),0)</f>
        <v>0</v>
      </c>
      <c r="BM264" s="39">
        <f>+BK264-BL264</f>
        <v>0</v>
      </c>
      <c r="BN264" s="38">
        <f>IFERROR(VLOOKUP("30_"&amp;A264,SyS!$B:$P,10,FALSE()),0)</f>
        <v>0</v>
      </c>
      <c r="BO264" s="39">
        <f>IFERROR(VLOOKUP("30_"&amp;A264,SyS!$B:$P,12,FALSE()),0)</f>
        <v>0</v>
      </c>
      <c r="BP264" s="40">
        <f>+BN264-BO264</f>
        <v>0</v>
      </c>
      <c r="BQ264" s="45">
        <f>+E264+H264+K264+Q264+T264+W264+Z264+AC264+AF264+AI264+AL264+AO264+AR264+AU264+AX264+BA264+BD264+BG264+BJ264+BM264+BP264</f>
        <v>0</v>
      </c>
    </row>
    <row r="265" ht="11.25" customHeight="1" spans="1:69" x14ac:dyDescent="0.25">
      <c r="A265" s="18">
        <v>426990000</v>
      </c>
      <c r="B265" s="18" t="s">
        <v>494</v>
      </c>
      <c r="C265" s="38">
        <f>IFERROR(VLOOKUP("1_"&amp;A265,SyS!$B:$P,10,FALSE()),0)</f>
        <v>0</v>
      </c>
      <c r="D265" s="39">
        <f>IFERROR(VLOOKUP("1_"&amp;A265,SyS!$B:$P,12,FALSE()),0)</f>
        <v>0</v>
      </c>
      <c r="E265" s="39">
        <f>+C265-D265</f>
        <v>0</v>
      </c>
      <c r="F265" s="38">
        <f>IFERROR(VLOOKUP("2_"&amp;A265,SyS!$B:$P,10,FALSE()),0)</f>
        <v>0</v>
      </c>
      <c r="G265" s="39">
        <f>IFERROR(VLOOKUP("2_"&amp;A265,SyS!$B:$P,12,FALSE()),0)</f>
        <v>0</v>
      </c>
      <c r="H265" s="40">
        <f>+F265-G265</f>
        <v>0</v>
      </c>
      <c r="I265" s="39"/>
      <c r="J265" s="39"/>
      <c r="K265" s="39"/>
      <c r="L265" s="39"/>
      <c r="M265" s="39"/>
      <c r="N265" s="39"/>
      <c r="O265" s="38">
        <f>IFERROR(VLOOKUP("14_"&amp;A265,SyS!$B:$P,10,FALSE()),0)</f>
        <v>0</v>
      </c>
      <c r="P265" s="39">
        <f>IFERROR(VLOOKUP("14_"&amp;A265,SyS!$B:$P,12,FALSE()),0)</f>
        <v>0</v>
      </c>
      <c r="Q265" s="40">
        <f>+O265-P265</f>
        <v>0</v>
      </c>
      <c r="R265" s="38">
        <f>IFERROR(VLOOKUP("15_"&amp;A265,SyS!$B:$P,10,FALSE()),0)</f>
        <v>0</v>
      </c>
      <c r="S265" s="39">
        <f>IFERROR(VLOOKUP("15_"&amp;A265,SyS!$B:$P,12,FALSE()),0)</f>
        <v>0</v>
      </c>
      <c r="T265" s="40">
        <f>+R265-S265</f>
        <v>0</v>
      </c>
      <c r="U265" s="38">
        <f>IFERROR(VLOOKUP("16_"&amp;A265,SyS!$B:$P,10,FALSE()),0)</f>
        <v>0</v>
      </c>
      <c r="V265" s="39">
        <f>IFERROR(VLOOKUP("16_"&amp;A265,SyS!$B:$P,12,FALSE()),0)</f>
        <v>0</v>
      </c>
      <c r="W265" s="40">
        <f>+U265-V265</f>
        <v>0</v>
      </c>
      <c r="X265" s="38">
        <f>IFERROR(VLOOKUP("13_"&amp;A265,SyS!$B:$P,10,FALSE()),0)</f>
        <v>0</v>
      </c>
      <c r="Y265" s="39">
        <f>IFERROR(VLOOKUP("13_"&amp;A265,SyS!$B:$P,12,FALSE()),0)</f>
        <v>0</v>
      </c>
      <c r="Z265" s="40">
        <f>+X265-Y265</f>
        <v>0</v>
      </c>
      <c r="AA265" s="38">
        <f>IFERROR(VLOOKUP("17_"&amp;A265,SyS!$B:$P,10,FALSE()),0)</f>
        <v>1773.44</v>
      </c>
      <c r="AB265" s="39">
        <f>IFERROR(VLOOKUP("17_"&amp;A265,SyS!$B:$P,12,FALSE()),0)</f>
        <v>0</v>
      </c>
      <c r="AC265" s="40">
        <f>+AA265-AB265</f>
        <v>1773.44</v>
      </c>
      <c r="AD265" s="39"/>
      <c r="AE265" s="39"/>
      <c r="AF265" s="39"/>
      <c r="AG265" s="39">
        <f>IFERROR(VLOOKUP("19_"&amp;A265,SyS!$B:$P,10,FALSE()),0)</f>
        <v>0</v>
      </c>
      <c r="AH265" s="39">
        <f>IFERROR(VLOOKUP("19_"&amp;A265,SyS!$B:$P,12,FALSE()),0)</f>
        <v>0</v>
      </c>
      <c r="AI265" s="39">
        <f>+AG265-AH265</f>
        <v>0</v>
      </c>
      <c r="AJ265" s="39"/>
      <c r="AK265" s="39"/>
      <c r="AL265" s="39"/>
      <c r="AM265" s="38">
        <f>IFERROR(VLOOKUP("23_"&amp;A265,SyS!$B:$P,10,FALSE()),0)</f>
        <v>0</v>
      </c>
      <c r="AN265" s="39">
        <f>IFERROR(VLOOKUP("23_"&amp;A265,SyS!$B:$P,12,FALSE()),0)</f>
        <v>0</v>
      </c>
      <c r="AO265" s="40">
        <f>+AM265-AN265</f>
        <v>0</v>
      </c>
      <c r="AP265" s="39"/>
      <c r="AQ265" s="39"/>
      <c r="AR265" s="39"/>
      <c r="AS265" s="39"/>
      <c r="AT265" s="39"/>
      <c r="AU265" s="39"/>
      <c r="AV265" s="39"/>
      <c r="AW265" s="39"/>
      <c r="AX265" s="39"/>
      <c r="AY265" s="39"/>
      <c r="AZ265" s="39"/>
      <c r="BA265" s="39"/>
      <c r="BB265" s="39"/>
      <c r="BC265" s="39"/>
      <c r="BD265" s="39"/>
      <c r="BE265" s="39"/>
      <c r="BF265" s="39"/>
      <c r="BG265" s="39"/>
      <c r="BH265" s="39"/>
      <c r="BI265" s="39"/>
      <c r="BJ265" s="39"/>
      <c r="BK265" s="39">
        <f>IFERROR(VLOOKUP("29_"&amp;A265,SyS!$B:$P,10,FALSE()),0)</f>
        <v>0</v>
      </c>
      <c r="BL265" s="39">
        <f>IFERROR(VLOOKUP("29_"&amp;A265,SyS!$B:$P,12,FALSE()),0)</f>
        <v>0</v>
      </c>
      <c r="BM265" s="39">
        <f>+BK265-BL265</f>
        <v>0</v>
      </c>
      <c r="BN265" s="38">
        <f>IFERROR(VLOOKUP("30_"&amp;A265,SyS!$B:$P,10,FALSE()),0)</f>
        <v>0</v>
      </c>
      <c r="BO265" s="39">
        <f>IFERROR(VLOOKUP("30_"&amp;A265,SyS!$B:$P,12,FALSE()),0)</f>
        <v>0</v>
      </c>
      <c r="BP265" s="40">
        <f>+BN265-BO265</f>
        <v>0</v>
      </c>
      <c r="BQ265" s="45">
        <f>+E265+H265+K265+Q265+T265+W265+Z265+AC265+AF265+AI265+AL265+AO265+AR265+AU265+AX265+BA265+BD265+BG265+BJ265+BM265+BP265</f>
        <v>1773.44</v>
      </c>
    </row>
    <row r="266" ht="11.25" customHeight="1" spans="1:69" x14ac:dyDescent="0.25">
      <c r="A266" s="18">
        <v>431050000</v>
      </c>
      <c r="B266" s="18" t="s">
        <v>495</v>
      </c>
      <c r="C266" s="38">
        <f>IFERROR(VLOOKUP("1_"&amp;A266,SyS!$B:$P,10,FALSE()),0)</f>
        <v>0</v>
      </c>
      <c r="D266" s="39">
        <f>IFERROR(VLOOKUP("1_"&amp;A266,SyS!$B:$P,12,FALSE()),0)</f>
        <v>0</v>
      </c>
      <c r="E266" s="39">
        <f>+C266-D266</f>
        <v>0</v>
      </c>
      <c r="F266" s="38">
        <f>IFERROR(VLOOKUP("2_"&amp;A266,SyS!$B:$P,10,FALSE()),0)</f>
        <v>0</v>
      </c>
      <c r="G266" s="39">
        <f>IFERROR(VLOOKUP("2_"&amp;A266,SyS!$B:$P,12,FALSE()),0)</f>
        <v>0</v>
      </c>
      <c r="H266" s="40">
        <f>+F266-G266</f>
        <v>0</v>
      </c>
      <c r="I266" s="39"/>
      <c r="J266" s="39"/>
      <c r="K266" s="39"/>
      <c r="L266" s="39"/>
      <c r="M266" s="39"/>
      <c r="N266" s="39"/>
      <c r="O266" s="38">
        <f>IFERROR(VLOOKUP("14_"&amp;A266,SyS!$B:$P,10,FALSE()),0)</f>
        <v>0</v>
      </c>
      <c r="P266" s="39">
        <f>IFERROR(VLOOKUP("14_"&amp;A266,SyS!$B:$P,12,FALSE()),0)</f>
        <v>0</v>
      </c>
      <c r="Q266" s="40">
        <f>+O266-P266</f>
        <v>0</v>
      </c>
      <c r="R266" s="38">
        <f>IFERROR(VLOOKUP("15_"&amp;A266,SyS!$B:$P,10,FALSE()),0)</f>
        <v>0</v>
      </c>
      <c r="S266" s="39">
        <f>IFERROR(VLOOKUP("15_"&amp;A266,SyS!$B:$P,12,FALSE()),0)</f>
        <v>0</v>
      </c>
      <c r="T266" s="40">
        <f>+R266-S266</f>
        <v>0</v>
      </c>
      <c r="U266" s="38">
        <f>IFERROR(VLOOKUP("16_"&amp;A266,SyS!$B:$P,10,FALSE()),0)</f>
        <v>0</v>
      </c>
      <c r="V266" s="39">
        <f>IFERROR(VLOOKUP("16_"&amp;A266,SyS!$B:$P,12,FALSE()),0)</f>
        <v>0</v>
      </c>
      <c r="W266" s="40">
        <f>+U266-V266</f>
        <v>0</v>
      </c>
      <c r="X266" s="38">
        <f>IFERROR(VLOOKUP("13_"&amp;A266,SyS!$B:$P,10,FALSE()),0)</f>
        <v>0</v>
      </c>
      <c r="Y266" s="39">
        <f>IFERROR(VLOOKUP("13_"&amp;A266,SyS!$B:$P,12,FALSE()),0)</f>
        <v>0</v>
      </c>
      <c r="Z266" s="40">
        <f>+X266-Y266</f>
        <v>0</v>
      </c>
      <c r="AA266" s="38">
        <f>IFERROR(VLOOKUP("17_"&amp;A266,SyS!$B:$P,10,FALSE()),0)</f>
        <v>0</v>
      </c>
      <c r="AB266" s="39">
        <f>IFERROR(VLOOKUP("17_"&amp;A266,SyS!$B:$P,12,FALSE()),0)</f>
        <v>0</v>
      </c>
      <c r="AC266" s="40">
        <f>+AA266-AB266</f>
        <v>0</v>
      </c>
      <c r="AD266" s="39"/>
      <c r="AE266" s="39"/>
      <c r="AF266" s="39"/>
      <c r="AG266" s="39">
        <f>IFERROR(VLOOKUP("19_"&amp;A266,SyS!$B:$P,10,FALSE()),0)</f>
        <v>0</v>
      </c>
      <c r="AH266" s="39">
        <f>IFERROR(VLOOKUP("19_"&amp;A266,SyS!$B:$P,12,FALSE()),0)</f>
        <v>0</v>
      </c>
      <c r="AI266" s="39">
        <f>+AG266-AH266</f>
        <v>0</v>
      </c>
      <c r="AJ266" s="39"/>
      <c r="AK266" s="39"/>
      <c r="AL266" s="39"/>
      <c r="AM266" s="38">
        <f>IFERROR(VLOOKUP("23_"&amp;A266,SyS!$B:$P,10,FALSE()),0)</f>
        <v>0</v>
      </c>
      <c r="AN266" s="39">
        <f>IFERROR(VLOOKUP("23_"&amp;A266,SyS!$B:$P,12,FALSE()),0)</f>
        <v>0</v>
      </c>
      <c r="AO266" s="40">
        <f>+AM266-AN266</f>
        <v>0</v>
      </c>
      <c r="AP266" s="39"/>
      <c r="AQ266" s="39"/>
      <c r="AR266" s="39"/>
      <c r="AS266" s="39"/>
      <c r="AT266" s="39"/>
      <c r="AU266" s="39"/>
      <c r="AV266" s="39"/>
      <c r="AW266" s="39"/>
      <c r="AX266" s="39"/>
      <c r="AY266" s="39"/>
      <c r="AZ266" s="39"/>
      <c r="BA266" s="39"/>
      <c r="BB266" s="39"/>
      <c r="BC266" s="39"/>
      <c r="BD266" s="39"/>
      <c r="BE266" s="39"/>
      <c r="BF266" s="39"/>
      <c r="BG266" s="39"/>
      <c r="BH266" s="39"/>
      <c r="BI266" s="39"/>
      <c r="BJ266" s="39"/>
      <c r="BK266" s="39">
        <f>IFERROR(VLOOKUP("29_"&amp;A266,SyS!$B:$P,10,FALSE()),0)</f>
        <v>0</v>
      </c>
      <c r="BL266" s="39">
        <f>IFERROR(VLOOKUP("29_"&amp;A266,SyS!$B:$P,12,FALSE()),0)</f>
        <v>0</v>
      </c>
      <c r="BM266" s="39">
        <f>+BK266-BL266</f>
        <v>0</v>
      </c>
      <c r="BN266" s="38">
        <f>IFERROR(VLOOKUP("30_"&amp;A266,SyS!$B:$P,10,FALSE()),0)</f>
        <v>0</v>
      </c>
      <c r="BO266" s="39">
        <f>IFERROR(VLOOKUP("30_"&amp;A266,SyS!$B:$P,12,FALSE()),0)</f>
        <v>0</v>
      </c>
      <c r="BP266" s="40">
        <f>+BN266-BO266</f>
        <v>0</v>
      </c>
      <c r="BQ266" s="45">
        <f>+E266+H266+K266+Q266+T266+W266+Z266+AC266+AF266+AI266+AL266+AO266+AR266+AU266+AX266+BA266+BD266+BG266+BJ266+BM266+BP266</f>
        <v>0</v>
      </c>
    </row>
    <row r="267" ht="11.25" customHeight="1" spans="1:69" x14ac:dyDescent="0.25">
      <c r="A267" s="18">
        <v>431080000</v>
      </c>
      <c r="B267" s="18" t="s">
        <v>496</v>
      </c>
      <c r="C267" s="38">
        <f>IFERROR(VLOOKUP("1_"&amp;A267,SyS!$B:$P,10,FALSE()),0)</f>
        <v>0</v>
      </c>
      <c r="D267" s="39">
        <f>IFERROR(VLOOKUP("1_"&amp;A267,SyS!$B:$P,12,FALSE()),0)</f>
        <v>0</v>
      </c>
      <c r="E267" s="39">
        <f>+C267-D267</f>
        <v>0</v>
      </c>
      <c r="F267" s="38">
        <f>IFERROR(VLOOKUP("2_"&amp;A267,SyS!$B:$P,10,FALSE()),0)</f>
        <v>0</v>
      </c>
      <c r="G267" s="39">
        <f>IFERROR(VLOOKUP("2_"&amp;A267,SyS!$B:$P,12,FALSE()),0)</f>
        <v>0</v>
      </c>
      <c r="H267" s="40">
        <f>+F267-G267</f>
        <v>0</v>
      </c>
      <c r="I267" s="39"/>
      <c r="J267" s="39"/>
      <c r="K267" s="39"/>
      <c r="L267" s="39"/>
      <c r="M267" s="39"/>
      <c r="N267" s="39"/>
      <c r="O267" s="38">
        <f>IFERROR(VLOOKUP("14_"&amp;A267,SyS!$B:$P,10,FALSE()),0)</f>
        <v>0</v>
      </c>
      <c r="P267" s="39">
        <f>IFERROR(VLOOKUP("14_"&amp;A267,SyS!$B:$P,12,FALSE()),0)</f>
        <v>0</v>
      </c>
      <c r="Q267" s="40">
        <f>+O267-P267</f>
        <v>0</v>
      </c>
      <c r="R267" s="38">
        <f>IFERROR(VLOOKUP("15_"&amp;A267,SyS!$B:$P,10,FALSE()),0)</f>
        <v>0</v>
      </c>
      <c r="S267" s="39">
        <f>IFERROR(VLOOKUP("15_"&amp;A267,SyS!$B:$P,12,FALSE()),0)</f>
        <v>0</v>
      </c>
      <c r="T267" s="40">
        <f>+R267-S267</f>
        <v>0</v>
      </c>
      <c r="U267" s="38">
        <f>IFERROR(VLOOKUP("16_"&amp;A267,SyS!$B:$P,10,FALSE()),0)</f>
        <v>0</v>
      </c>
      <c r="V267" s="39">
        <f>IFERROR(VLOOKUP("16_"&amp;A267,SyS!$B:$P,12,FALSE()),0)</f>
        <v>0</v>
      </c>
      <c r="W267" s="40">
        <f>+U267-V267</f>
        <v>0</v>
      </c>
      <c r="X267" s="38">
        <f>IFERROR(VLOOKUP("13_"&amp;A267,SyS!$B:$P,10,FALSE()),0)</f>
        <v>0</v>
      </c>
      <c r="Y267" s="39">
        <f>IFERROR(VLOOKUP("13_"&amp;A267,SyS!$B:$P,12,FALSE()),0)</f>
        <v>0</v>
      </c>
      <c r="Z267" s="40">
        <f>+X267-Y267</f>
        <v>0</v>
      </c>
      <c r="AA267" s="38">
        <f>IFERROR(VLOOKUP("17_"&amp;A267,SyS!$B:$P,10,FALSE()),0)</f>
        <v>0</v>
      </c>
      <c r="AB267" s="39">
        <f>IFERROR(VLOOKUP("17_"&amp;A267,SyS!$B:$P,12,FALSE()),0)</f>
        <v>0</v>
      </c>
      <c r="AC267" s="40">
        <f>+AA267-AB267</f>
        <v>0</v>
      </c>
      <c r="AD267" s="39"/>
      <c r="AE267" s="39"/>
      <c r="AF267" s="39"/>
      <c r="AG267" s="39">
        <f>IFERROR(VLOOKUP("19_"&amp;A267,SyS!$B:$P,10,FALSE()),0)</f>
        <v>0</v>
      </c>
      <c r="AH267" s="39">
        <f>IFERROR(VLOOKUP("19_"&amp;A267,SyS!$B:$P,12,FALSE()),0)</f>
        <v>0</v>
      </c>
      <c r="AI267" s="39">
        <f>+AG267-AH267</f>
        <v>0</v>
      </c>
      <c r="AJ267" s="39"/>
      <c r="AK267" s="39"/>
      <c r="AL267" s="39"/>
      <c r="AM267" s="38">
        <f>IFERROR(VLOOKUP("23_"&amp;A267,SyS!$B:$P,10,FALSE()),0)</f>
        <v>0</v>
      </c>
      <c r="AN267" s="39">
        <f>IFERROR(VLOOKUP("23_"&amp;A267,SyS!$B:$P,12,FALSE()),0)</f>
        <v>0</v>
      </c>
      <c r="AO267" s="40">
        <f>+AM267-AN267</f>
        <v>0</v>
      </c>
      <c r="AP267" s="39"/>
      <c r="AQ267" s="39"/>
      <c r="AR267" s="39"/>
      <c r="AS267" s="39"/>
      <c r="AT267" s="39"/>
      <c r="AU267" s="39"/>
      <c r="AV267" s="39"/>
      <c r="AW267" s="39"/>
      <c r="AX267" s="39"/>
      <c r="AY267" s="39"/>
      <c r="AZ267" s="39"/>
      <c r="BA267" s="39"/>
      <c r="BB267" s="39"/>
      <c r="BC267" s="39"/>
      <c r="BD267" s="39"/>
      <c r="BE267" s="39"/>
      <c r="BF267" s="39"/>
      <c r="BG267" s="39"/>
      <c r="BH267" s="39"/>
      <c r="BI267" s="39"/>
      <c r="BJ267" s="39"/>
      <c r="BK267" s="39">
        <f>IFERROR(VLOOKUP("29_"&amp;A267,SyS!$B:$P,10,FALSE()),0)</f>
        <v>0</v>
      </c>
      <c r="BL267" s="39">
        <f>IFERROR(VLOOKUP("29_"&amp;A267,SyS!$B:$P,12,FALSE()),0)</f>
        <v>0</v>
      </c>
      <c r="BM267" s="39">
        <f>+BK267-BL267</f>
        <v>0</v>
      </c>
      <c r="BN267" s="38">
        <f>IFERROR(VLOOKUP("30_"&amp;A267,SyS!$B:$P,10,FALSE()),0)</f>
        <v>0</v>
      </c>
      <c r="BO267" s="39">
        <f>IFERROR(VLOOKUP("30_"&amp;A267,SyS!$B:$P,12,FALSE()),0)</f>
        <v>0</v>
      </c>
      <c r="BP267" s="40">
        <f>+BN267-BO267</f>
        <v>0</v>
      </c>
      <c r="BQ267" s="45">
        <f>+E267+H267+K267+Q267+T267+W267+Z267+AC267+AF267+AI267+AL267+AO267+AR267+AU267+AX267+BA267+BD267+BG267+BJ267+BM267+BP267</f>
        <v>0</v>
      </c>
    </row>
    <row r="268" ht="11.25" customHeight="1" spans="1:69" x14ac:dyDescent="0.25">
      <c r="A268" s="51">
        <v>421070000</v>
      </c>
      <c r="B268" s="18" t="s">
        <v>497</v>
      </c>
      <c r="C268" s="38">
        <f>IFERROR(VLOOKUP("1_"&amp;A268,SyS!$B:$P,10,FALSE()),0)</f>
        <v>0</v>
      </c>
      <c r="D268" s="39">
        <f>IFERROR(VLOOKUP("1_"&amp;A268,SyS!$B:$P,12,FALSE()),0)</f>
        <v>0</v>
      </c>
      <c r="E268" s="39">
        <f>+C268-D268</f>
        <v>0</v>
      </c>
      <c r="F268" s="38">
        <f>IFERROR(VLOOKUP("2_"&amp;A268,SyS!$B:$P,10,FALSE()),0)</f>
        <v>0</v>
      </c>
      <c r="G268" s="39">
        <f>IFERROR(VLOOKUP("2_"&amp;A268,SyS!$B:$P,12,FALSE()),0)</f>
        <v>0</v>
      </c>
      <c r="H268" s="40">
        <f>+F268-G268</f>
        <v>0</v>
      </c>
      <c r="I268" s="39"/>
      <c r="J268" s="39"/>
      <c r="K268" s="39"/>
      <c r="L268" s="39"/>
      <c r="M268" s="39"/>
      <c r="N268" s="39"/>
      <c r="O268" s="38">
        <f>IFERROR(VLOOKUP("14_"&amp;A268,SyS!$B:$P,10,FALSE()),0)</f>
        <v>0</v>
      </c>
      <c r="P268" s="39">
        <f>IFERROR(VLOOKUP("14_"&amp;A268,SyS!$B:$P,12,FALSE()),0)</f>
        <v>0</v>
      </c>
      <c r="Q268" s="40">
        <f>+O268-P268</f>
        <v>0</v>
      </c>
      <c r="R268" s="38">
        <f>IFERROR(VLOOKUP("15_"&amp;A268,SyS!$B:$P,10,FALSE()),0)</f>
        <v>0</v>
      </c>
      <c r="S268" s="39">
        <f>IFERROR(VLOOKUP("15_"&amp;A268,SyS!$B:$P,12,FALSE()),0)</f>
        <v>0</v>
      </c>
      <c r="T268" s="40">
        <f>+R268-S268</f>
        <v>0</v>
      </c>
      <c r="U268" s="38">
        <f>IFERROR(VLOOKUP("16_"&amp;A268,SyS!$B:$P,10,FALSE()),0)</f>
        <v>0</v>
      </c>
      <c r="V268" s="39">
        <f>IFERROR(VLOOKUP("16_"&amp;A268,SyS!$B:$P,12,FALSE()),0)</f>
        <v>0</v>
      </c>
      <c r="W268" s="40">
        <f>+U268-V268</f>
        <v>0</v>
      </c>
      <c r="X268" s="38">
        <f>IFERROR(VLOOKUP("13_"&amp;A268,SyS!$B:$P,10,FALSE()),0)</f>
        <v>0</v>
      </c>
      <c r="Y268" s="39">
        <f>IFERROR(VLOOKUP("13_"&amp;A268,SyS!$B:$P,12,FALSE()),0)</f>
        <v>0</v>
      </c>
      <c r="Z268" s="40">
        <f>+X268-Y268</f>
        <v>0</v>
      </c>
      <c r="AA268" s="38">
        <f>IFERROR(VLOOKUP("17_"&amp;A268,SyS!$B:$P,10,FALSE()),0)</f>
        <v>0</v>
      </c>
      <c r="AB268" s="39">
        <f>IFERROR(VLOOKUP("17_"&amp;A268,SyS!$B:$P,12,FALSE()),0)</f>
        <v>0</v>
      </c>
      <c r="AC268" s="40">
        <f>+AA268-AB268</f>
        <v>0</v>
      </c>
      <c r="AD268" s="39"/>
      <c r="AE268" s="39"/>
      <c r="AF268" s="39"/>
      <c r="AG268" s="39">
        <f>IFERROR(VLOOKUP("19_"&amp;A268,SyS!$B:$P,10,FALSE()),0)</f>
        <v>0</v>
      </c>
      <c r="AH268" s="39">
        <f>IFERROR(VLOOKUP("19_"&amp;A268,SyS!$B:$P,12,FALSE()),0)</f>
        <v>0</v>
      </c>
      <c r="AI268" s="39">
        <f>+AG268-AH268</f>
        <v>0</v>
      </c>
      <c r="AJ268" s="39"/>
      <c r="AK268" s="39"/>
      <c r="AL268" s="39"/>
      <c r="AM268" s="38">
        <f>IFERROR(VLOOKUP("23_"&amp;A268,SyS!$B:$P,10,FALSE()),0)</f>
        <v>0</v>
      </c>
      <c r="AN268" s="39">
        <f>IFERROR(VLOOKUP("23_"&amp;A268,SyS!$B:$P,12,FALSE()),0)</f>
        <v>0</v>
      </c>
      <c r="AO268" s="40">
        <f>+AM268-AN268</f>
        <v>0</v>
      </c>
      <c r="AP268" s="39"/>
      <c r="AQ268" s="39"/>
      <c r="AR268" s="39"/>
      <c r="AS268" s="39"/>
      <c r="AT268" s="39"/>
      <c r="AU268" s="39"/>
      <c r="AV268" s="39"/>
      <c r="AW268" s="39"/>
      <c r="AX268" s="39"/>
      <c r="AY268" s="39"/>
      <c r="AZ268" s="39"/>
      <c r="BA268" s="39"/>
      <c r="BB268" s="39"/>
      <c r="BC268" s="39"/>
      <c r="BD268" s="39"/>
      <c r="BE268" s="39"/>
      <c r="BF268" s="39"/>
      <c r="BG268" s="39"/>
      <c r="BH268" s="39"/>
      <c r="BI268" s="39"/>
      <c r="BJ268" s="39"/>
      <c r="BK268" s="39">
        <f>IFERROR(VLOOKUP("29_"&amp;A268,SyS!$B:$P,10,FALSE()),0)</f>
        <v>0</v>
      </c>
      <c r="BL268" s="39">
        <f>IFERROR(VLOOKUP("29_"&amp;A268,SyS!$B:$P,12,FALSE()),0)</f>
        <v>0</v>
      </c>
      <c r="BM268" s="39">
        <f>+BK268-BL268</f>
        <v>0</v>
      </c>
      <c r="BN268" s="38">
        <f>IFERROR(VLOOKUP("30_"&amp;A268,SyS!$B:$P,10,FALSE()),0)</f>
        <v>0</v>
      </c>
      <c r="BO268" s="39">
        <f>IFERROR(VLOOKUP("30_"&amp;A268,SyS!$B:$P,12,FALSE()),0)</f>
        <v>0</v>
      </c>
      <c r="BP268" s="40">
        <f>+BN268-BO268</f>
        <v>0</v>
      </c>
      <c r="BQ268" s="45">
        <f>+E268+H268+K268+Q268+T268+W268+Z268+AC268+AF268+AI268+AL268+AO268+AR268+AU268+AX268+BA268+BD268+BG268+BJ268+BM268+BP268</f>
        <v>0</v>
      </c>
    </row>
    <row r="269" ht="11.25" customHeight="1" spans="1:69" x14ac:dyDescent="0.25">
      <c r="A269" s="18">
        <v>421150000</v>
      </c>
      <c r="B269" s="18" t="s">
        <v>498</v>
      </c>
      <c r="C269" s="38">
        <f>IFERROR(VLOOKUP("1_"&amp;A269,SyS!$B:$P,10,FALSE()),0)</f>
        <v>0</v>
      </c>
      <c r="D269" s="39">
        <f>IFERROR(VLOOKUP("1_"&amp;A269,SyS!$B:$P,12,FALSE()),0)</f>
        <v>0</v>
      </c>
      <c r="E269" s="39">
        <f>+C269-D269</f>
        <v>0</v>
      </c>
      <c r="F269" s="38">
        <f>IFERROR(VLOOKUP("2_"&amp;A269,SyS!$B:$P,10,FALSE()),0)</f>
        <v>0</v>
      </c>
      <c r="G269" s="39">
        <f>IFERROR(VLOOKUP("2_"&amp;A269,SyS!$B:$P,12,FALSE()),0)</f>
        <v>0</v>
      </c>
      <c r="H269" s="40">
        <f>+F269-G269</f>
        <v>0</v>
      </c>
      <c r="I269" s="39"/>
      <c r="J269" s="39"/>
      <c r="K269" s="39"/>
      <c r="L269" s="39"/>
      <c r="M269" s="39"/>
      <c r="N269" s="39"/>
      <c r="O269" s="38">
        <f>IFERROR(VLOOKUP("14_"&amp;A269,SyS!$B:$P,10,FALSE()),0)</f>
        <v>0</v>
      </c>
      <c r="P269" s="39">
        <f>IFERROR(VLOOKUP("14_"&amp;A269,SyS!$B:$P,12,FALSE()),0)</f>
        <v>0</v>
      </c>
      <c r="Q269" s="40">
        <f>+O269-P269</f>
        <v>0</v>
      </c>
      <c r="R269" s="38">
        <f>IFERROR(VLOOKUP("15_"&amp;A269,SyS!$B:$P,10,FALSE()),0)</f>
        <v>0</v>
      </c>
      <c r="S269" s="39">
        <f>IFERROR(VLOOKUP("15_"&amp;A269,SyS!$B:$P,12,FALSE()),0)</f>
        <v>0</v>
      </c>
      <c r="T269" s="40">
        <f>+R269-S269</f>
        <v>0</v>
      </c>
      <c r="U269" s="38">
        <f>IFERROR(VLOOKUP("16_"&amp;A269,SyS!$B:$P,10,FALSE()),0)</f>
        <v>0</v>
      </c>
      <c r="V269" s="39">
        <f>IFERROR(VLOOKUP("16_"&amp;A269,SyS!$B:$P,12,FALSE()),0)</f>
        <v>0</v>
      </c>
      <c r="W269" s="40">
        <f>+U269-V269</f>
        <v>0</v>
      </c>
      <c r="X269" s="38">
        <f>IFERROR(VLOOKUP("13_"&amp;A269,SyS!$B:$P,10,FALSE()),0)</f>
        <v>0</v>
      </c>
      <c r="Y269" s="39">
        <f>IFERROR(VLOOKUP("13_"&amp;A269,SyS!$B:$P,12,FALSE()),0)</f>
        <v>0</v>
      </c>
      <c r="Z269" s="40">
        <f>+X269-Y269</f>
        <v>0</v>
      </c>
      <c r="AA269" s="38">
        <f>IFERROR(VLOOKUP("17_"&amp;A269,SyS!$B:$P,10,FALSE()),0)</f>
        <v>0</v>
      </c>
      <c r="AB269" s="39">
        <f>IFERROR(VLOOKUP("17_"&amp;A269,SyS!$B:$P,12,FALSE()),0)</f>
        <v>0</v>
      </c>
      <c r="AC269" s="40">
        <f>+AA269-AB269</f>
        <v>0</v>
      </c>
      <c r="AD269" s="39"/>
      <c r="AE269" s="39"/>
      <c r="AF269" s="39"/>
      <c r="AG269" s="39">
        <f>IFERROR(VLOOKUP("19_"&amp;A269,SyS!$B:$P,10,FALSE()),0)</f>
        <v>0</v>
      </c>
      <c r="AH269" s="39">
        <f>IFERROR(VLOOKUP("19_"&amp;A269,SyS!$B:$P,12,FALSE()),0)</f>
        <v>0</v>
      </c>
      <c r="AI269" s="39">
        <f>+AG269-AH269</f>
        <v>0</v>
      </c>
      <c r="AJ269" s="39"/>
      <c r="AK269" s="39"/>
      <c r="AL269" s="39"/>
      <c r="AM269" s="38">
        <f>IFERROR(VLOOKUP("23_"&amp;A269,SyS!$B:$P,10,FALSE()),0)</f>
        <v>0</v>
      </c>
      <c r="AN269" s="39">
        <f>IFERROR(VLOOKUP("23_"&amp;A269,SyS!$B:$P,12,FALSE()),0)</f>
        <v>0</v>
      </c>
      <c r="AO269" s="40">
        <f>+AM269-AN269</f>
        <v>0</v>
      </c>
      <c r="AP269" s="39"/>
      <c r="AQ269" s="39"/>
      <c r="AR269" s="39"/>
      <c r="AS269" s="39"/>
      <c r="AT269" s="39"/>
      <c r="AU269" s="39"/>
      <c r="AV269" s="39"/>
      <c r="AW269" s="39"/>
      <c r="AX269" s="39"/>
      <c r="AY269" s="39"/>
      <c r="AZ269" s="39"/>
      <c r="BA269" s="39"/>
      <c r="BB269" s="39"/>
      <c r="BC269" s="39"/>
      <c r="BD269" s="39"/>
      <c r="BE269" s="39"/>
      <c r="BF269" s="39"/>
      <c r="BG269" s="39"/>
      <c r="BH269" s="39"/>
      <c r="BI269" s="39"/>
      <c r="BJ269" s="39"/>
      <c r="BK269" s="39">
        <f>IFERROR(VLOOKUP("29_"&amp;A269,SyS!$B:$P,10,FALSE()),0)</f>
        <v>0</v>
      </c>
      <c r="BL269" s="39">
        <f>IFERROR(VLOOKUP("29_"&amp;A269,SyS!$B:$P,12,FALSE()),0)</f>
        <v>0</v>
      </c>
      <c r="BM269" s="39">
        <f>+BK269-BL269</f>
        <v>0</v>
      </c>
      <c r="BN269" s="38">
        <f>IFERROR(VLOOKUP("30_"&amp;A269,SyS!$B:$P,10,FALSE()),0)</f>
        <v>0</v>
      </c>
      <c r="BO269" s="39">
        <f>IFERROR(VLOOKUP("30_"&amp;A269,SyS!$B:$P,12,FALSE()),0)</f>
        <v>0</v>
      </c>
      <c r="BP269" s="40">
        <f>+BN269-BO269</f>
        <v>0</v>
      </c>
      <c r="BQ269" s="45">
        <f>+E269+H269+K269+Q269+T269+W269+Z269+AC269+AF269+AI269+AL269+AO269+AR269+AU269+AX269+BA269+BD269+BG269+BJ269+BM269+BP269</f>
        <v>0</v>
      </c>
    </row>
    <row r="270" ht="11.25" customHeight="1" spans="1:69" x14ac:dyDescent="0.25">
      <c r="A270" s="18">
        <v>421160000</v>
      </c>
      <c r="B270" s="18" t="s">
        <v>499</v>
      </c>
      <c r="C270" s="38">
        <f>IFERROR(VLOOKUP("1_"&amp;A270,SyS!$B:$P,10,FALSE()),0)</f>
        <v>0</v>
      </c>
      <c r="D270" s="39">
        <f>IFERROR(VLOOKUP("1_"&amp;A270,SyS!$B:$P,12,FALSE()),0)</f>
        <v>0</v>
      </c>
      <c r="E270" s="39">
        <f>+C270-D270</f>
        <v>0</v>
      </c>
      <c r="F270" s="38">
        <f>IFERROR(VLOOKUP("2_"&amp;A270,SyS!$B:$P,10,FALSE()),0)</f>
        <v>0</v>
      </c>
      <c r="G270" s="39">
        <f>IFERROR(VLOOKUP("2_"&amp;A270,SyS!$B:$P,12,FALSE()),0)</f>
        <v>0</v>
      </c>
      <c r="H270" s="40">
        <f>+F270-G270</f>
        <v>0</v>
      </c>
      <c r="I270" s="39"/>
      <c r="J270" s="39"/>
      <c r="K270" s="39"/>
      <c r="L270" s="39"/>
      <c r="M270" s="39"/>
      <c r="N270" s="39"/>
      <c r="O270" s="38">
        <f>IFERROR(VLOOKUP("14_"&amp;A270,SyS!$B:$P,10,FALSE()),0)</f>
        <v>0</v>
      </c>
      <c r="P270" s="39">
        <f>IFERROR(VLOOKUP("14_"&amp;A270,SyS!$B:$P,12,FALSE()),0)</f>
        <v>0</v>
      </c>
      <c r="Q270" s="40">
        <f>+O270-P270</f>
        <v>0</v>
      </c>
      <c r="R270" s="38">
        <f>IFERROR(VLOOKUP("15_"&amp;A270,SyS!$B:$P,10,FALSE()),0)</f>
        <v>0</v>
      </c>
      <c r="S270" s="39">
        <f>IFERROR(VLOOKUP("15_"&amp;A270,SyS!$B:$P,12,FALSE()),0)</f>
        <v>0</v>
      </c>
      <c r="T270" s="40">
        <f>+R270-S270</f>
        <v>0</v>
      </c>
      <c r="U270" s="38">
        <f>IFERROR(VLOOKUP("16_"&amp;A270,SyS!$B:$P,10,FALSE()),0)</f>
        <v>0</v>
      </c>
      <c r="V270" s="39">
        <f>IFERROR(VLOOKUP("16_"&amp;A270,SyS!$B:$P,12,FALSE()),0)</f>
        <v>0</v>
      </c>
      <c r="W270" s="40">
        <f>+U270-V270</f>
        <v>0</v>
      </c>
      <c r="X270" s="38">
        <f>IFERROR(VLOOKUP("13_"&amp;A270,SyS!$B:$P,10,FALSE()),0)</f>
        <v>0</v>
      </c>
      <c r="Y270" s="39">
        <f>IFERROR(VLOOKUP("13_"&amp;A270,SyS!$B:$P,12,FALSE()),0)</f>
        <v>0</v>
      </c>
      <c r="Z270" s="40">
        <f>+X270-Y270</f>
        <v>0</v>
      </c>
      <c r="AA270" s="38">
        <f>IFERROR(VLOOKUP("17_"&amp;A270,SyS!$B:$P,10,FALSE()),0)</f>
        <v>0</v>
      </c>
      <c r="AB270" s="39">
        <f>IFERROR(VLOOKUP("17_"&amp;A270,SyS!$B:$P,12,FALSE()),0)</f>
        <v>0</v>
      </c>
      <c r="AC270" s="40">
        <f>+AA270-AB270</f>
        <v>0</v>
      </c>
      <c r="AD270" s="39"/>
      <c r="AE270" s="39"/>
      <c r="AF270" s="39"/>
      <c r="AG270" s="39">
        <f>IFERROR(VLOOKUP("19_"&amp;A270,SyS!$B:$P,10,FALSE()),0)</f>
        <v>0</v>
      </c>
      <c r="AH270" s="39">
        <f>IFERROR(VLOOKUP("19_"&amp;A270,SyS!$B:$P,12,FALSE()),0)</f>
        <v>0</v>
      </c>
      <c r="AI270" s="39">
        <f>+AG270-AH270</f>
        <v>0</v>
      </c>
      <c r="AJ270" s="39"/>
      <c r="AK270" s="39"/>
      <c r="AL270" s="39"/>
      <c r="AM270" s="38">
        <f>IFERROR(VLOOKUP("23_"&amp;A270,SyS!$B:$P,10,FALSE()),0)</f>
        <v>0</v>
      </c>
      <c r="AN270" s="39">
        <f>IFERROR(VLOOKUP("23_"&amp;A270,SyS!$B:$P,12,FALSE()),0)</f>
        <v>0</v>
      </c>
      <c r="AO270" s="40">
        <f>+AM270-AN270</f>
        <v>0</v>
      </c>
      <c r="AP270" s="39"/>
      <c r="AQ270" s="39"/>
      <c r="AR270" s="39"/>
      <c r="AS270" s="39"/>
      <c r="AT270" s="39"/>
      <c r="AU270" s="39"/>
      <c r="AV270" s="39"/>
      <c r="AW270" s="39"/>
      <c r="AX270" s="39"/>
      <c r="AY270" s="39"/>
      <c r="AZ270" s="39"/>
      <c r="BA270" s="39"/>
      <c r="BB270" s="39"/>
      <c r="BC270" s="39"/>
      <c r="BD270" s="39"/>
      <c r="BE270" s="39"/>
      <c r="BF270" s="39"/>
      <c r="BG270" s="39"/>
      <c r="BH270" s="39"/>
      <c r="BI270" s="39"/>
      <c r="BJ270" s="39"/>
      <c r="BK270" s="39">
        <f>IFERROR(VLOOKUP("29_"&amp;A270,SyS!$B:$P,10,FALSE()),0)</f>
        <v>0</v>
      </c>
      <c r="BL270" s="39">
        <f>IFERROR(VLOOKUP("29_"&amp;A270,SyS!$B:$P,12,FALSE()),0)</f>
        <v>0</v>
      </c>
      <c r="BM270" s="39">
        <f>+BK270-BL270</f>
        <v>0</v>
      </c>
      <c r="BN270" s="38">
        <f>IFERROR(VLOOKUP("30_"&amp;A270,SyS!$B:$P,10,FALSE()),0)</f>
        <v>0</v>
      </c>
      <c r="BO270" s="39">
        <f>IFERROR(VLOOKUP("30_"&amp;A270,SyS!$B:$P,12,FALSE()),0)</f>
        <v>0</v>
      </c>
      <c r="BP270" s="40">
        <f>+BN270-BO270</f>
        <v>0</v>
      </c>
      <c r="BQ270" s="45">
        <f>+E270+H270+K270+Q270+T270+W270+Z270+AC270+AF270+AI270+AL270+AO270+AR270+AU270+AX270+BA270+BD270+BG270+BJ270+BM270+BP270</f>
        <v>0</v>
      </c>
    </row>
    <row r="271" ht="11.25" customHeight="1" spans="1:69" x14ac:dyDescent="0.25">
      <c r="A271" s="18">
        <v>421420000</v>
      </c>
      <c r="B271" s="18" t="s">
        <v>500</v>
      </c>
      <c r="C271" s="38">
        <f>IFERROR(VLOOKUP("1_"&amp;A271,SyS!$B:$P,10,FALSE()),0)</f>
        <v>0</v>
      </c>
      <c r="D271" s="39">
        <f>IFERROR(VLOOKUP("1_"&amp;A271,SyS!$B:$P,12,FALSE()),0)</f>
        <v>0</v>
      </c>
      <c r="E271" s="39">
        <f>+C271-D271</f>
        <v>0</v>
      </c>
      <c r="F271" s="38">
        <f>IFERROR(VLOOKUP("2_"&amp;A271,SyS!$B:$P,10,FALSE()),0)</f>
        <v>0</v>
      </c>
      <c r="G271" s="39">
        <f>IFERROR(VLOOKUP("2_"&amp;A271,SyS!$B:$P,12,FALSE()),0)</f>
        <v>0</v>
      </c>
      <c r="H271" s="40">
        <f>+F271-G271</f>
        <v>0</v>
      </c>
      <c r="I271" s="39"/>
      <c r="J271" s="39"/>
      <c r="K271" s="39"/>
      <c r="L271" s="39"/>
      <c r="M271" s="39"/>
      <c r="N271" s="39"/>
      <c r="O271" s="38">
        <f>IFERROR(VLOOKUP("14_"&amp;A271,SyS!$B:$P,10,FALSE()),0)</f>
        <v>0</v>
      </c>
      <c r="P271" s="39">
        <f>IFERROR(VLOOKUP("14_"&amp;A271,SyS!$B:$P,12,FALSE()),0)</f>
        <v>0</v>
      </c>
      <c r="Q271" s="40">
        <f>+O271-P271</f>
        <v>0</v>
      </c>
      <c r="R271" s="38">
        <f>IFERROR(VLOOKUP("15_"&amp;A271,SyS!$B:$P,10,FALSE()),0)</f>
        <v>0</v>
      </c>
      <c r="S271" s="39">
        <f>IFERROR(VLOOKUP("15_"&amp;A271,SyS!$B:$P,12,FALSE()),0)</f>
        <v>0</v>
      </c>
      <c r="T271" s="40">
        <f>+R271-S271</f>
        <v>0</v>
      </c>
      <c r="U271" s="38">
        <f>IFERROR(VLOOKUP("16_"&amp;A271,SyS!$B:$P,10,FALSE()),0)</f>
        <v>0</v>
      </c>
      <c r="V271" s="39">
        <f>IFERROR(VLOOKUP("16_"&amp;A271,SyS!$B:$P,12,FALSE()),0)</f>
        <v>0</v>
      </c>
      <c r="W271" s="40">
        <f>+U271-V271</f>
        <v>0</v>
      </c>
      <c r="X271" s="38">
        <f>IFERROR(VLOOKUP("13_"&amp;A271,SyS!$B:$P,10,FALSE()),0)</f>
        <v>0</v>
      </c>
      <c r="Y271" s="39">
        <f>IFERROR(VLOOKUP("13_"&amp;A271,SyS!$B:$P,12,FALSE()),0)</f>
        <v>0</v>
      </c>
      <c r="Z271" s="40">
        <f>+X271-Y271</f>
        <v>0</v>
      </c>
      <c r="AA271" s="38">
        <f>IFERROR(VLOOKUP("17_"&amp;A271,SyS!$B:$P,10,FALSE()),0)</f>
        <v>0</v>
      </c>
      <c r="AB271" s="39">
        <f>IFERROR(VLOOKUP("17_"&amp;A271,SyS!$B:$P,12,FALSE()),0)</f>
        <v>0</v>
      </c>
      <c r="AC271" s="40">
        <f>+AA271-AB271</f>
        <v>0</v>
      </c>
      <c r="AD271" s="39"/>
      <c r="AE271" s="39"/>
      <c r="AF271" s="39"/>
      <c r="AG271" s="39">
        <f>IFERROR(VLOOKUP("19_"&amp;A271,SyS!$B:$P,10,FALSE()),0)</f>
        <v>0</v>
      </c>
      <c r="AH271" s="39">
        <f>IFERROR(VLOOKUP("19_"&amp;A271,SyS!$B:$P,12,FALSE()),0)</f>
        <v>0</v>
      </c>
      <c r="AI271" s="39">
        <f>+AG271-AH271</f>
        <v>0</v>
      </c>
      <c r="AJ271" s="39"/>
      <c r="AK271" s="39"/>
      <c r="AL271" s="39"/>
      <c r="AM271" s="38">
        <f>IFERROR(VLOOKUP("23_"&amp;A271,SyS!$B:$P,10,FALSE()),0)</f>
        <v>0</v>
      </c>
      <c r="AN271" s="39">
        <f>IFERROR(VLOOKUP("23_"&amp;A271,SyS!$B:$P,12,FALSE()),0)</f>
        <v>0</v>
      </c>
      <c r="AO271" s="40">
        <f>+AM271-AN271</f>
        <v>0</v>
      </c>
      <c r="AP271" s="39"/>
      <c r="AQ271" s="39"/>
      <c r="AR271" s="39"/>
      <c r="AS271" s="39"/>
      <c r="AT271" s="39"/>
      <c r="AU271" s="39"/>
      <c r="AV271" s="39"/>
      <c r="AW271" s="39"/>
      <c r="AX271" s="39"/>
      <c r="AY271" s="39"/>
      <c r="AZ271" s="39"/>
      <c r="BA271" s="39"/>
      <c r="BB271" s="39"/>
      <c r="BC271" s="39"/>
      <c r="BD271" s="39"/>
      <c r="BE271" s="39"/>
      <c r="BF271" s="39"/>
      <c r="BG271" s="39"/>
      <c r="BH271" s="39"/>
      <c r="BI271" s="39"/>
      <c r="BJ271" s="39"/>
      <c r="BK271" s="39">
        <f>IFERROR(VLOOKUP("29_"&amp;A271,SyS!$B:$P,10,FALSE()),0)</f>
        <v>0</v>
      </c>
      <c r="BL271" s="39">
        <f>IFERROR(VLOOKUP("29_"&amp;A271,SyS!$B:$P,12,FALSE()),0)</f>
        <v>0</v>
      </c>
      <c r="BM271" s="39">
        <f>+BK271-BL271</f>
        <v>0</v>
      </c>
      <c r="BN271" s="38">
        <f>IFERROR(VLOOKUP("30_"&amp;A271,SyS!$B:$P,10,FALSE()),0)</f>
        <v>0</v>
      </c>
      <c r="BO271" s="39">
        <f>IFERROR(VLOOKUP("30_"&amp;A271,SyS!$B:$P,12,FALSE()),0)</f>
        <v>0</v>
      </c>
      <c r="BP271" s="40">
        <f>+BN271-BO271</f>
        <v>0</v>
      </c>
      <c r="BQ271" s="45">
        <f>+E271+H271+K271+Q271+T271+W271+Z271+AC271+AF271+AI271+AL271+AO271+AR271+AU271+AX271+BA271+BD271+BG271+BJ271+BM271+BP271</f>
        <v>0</v>
      </c>
    </row>
    <row r="272" ht="11.25" customHeight="1" spans="1:69" x14ac:dyDescent="0.25">
      <c r="A272" s="18">
        <v>421410000</v>
      </c>
      <c r="B272" s="18" t="s">
        <v>501</v>
      </c>
      <c r="C272" s="38">
        <f>IFERROR(VLOOKUP("1_"&amp;A272,SyS!$B:$P,10,FALSE()),0)</f>
        <v>0</v>
      </c>
      <c r="D272" s="39">
        <f>IFERROR(VLOOKUP("1_"&amp;A272,SyS!$B:$P,12,FALSE()),0)</f>
        <v>0</v>
      </c>
      <c r="E272" s="39">
        <f>+C272-D272</f>
        <v>0</v>
      </c>
      <c r="F272" s="38">
        <f>IFERROR(VLOOKUP("2_"&amp;A272,SyS!$B:$P,10,FALSE()),0)</f>
        <v>0</v>
      </c>
      <c r="G272" s="39">
        <f>IFERROR(VLOOKUP("2_"&amp;A272,SyS!$B:$P,12,FALSE()),0)</f>
        <v>0</v>
      </c>
      <c r="H272" s="40">
        <f>+F272-G272</f>
        <v>0</v>
      </c>
      <c r="I272" s="39"/>
      <c r="J272" s="39"/>
      <c r="K272" s="39"/>
      <c r="L272" s="39"/>
      <c r="M272" s="39"/>
      <c r="N272" s="39"/>
      <c r="O272" s="38">
        <f>IFERROR(VLOOKUP("14_"&amp;A272,SyS!$B:$P,10,FALSE()),0)</f>
        <v>0</v>
      </c>
      <c r="P272" s="39">
        <f>IFERROR(VLOOKUP("14_"&amp;A272,SyS!$B:$P,12,FALSE()),0)</f>
        <v>0</v>
      </c>
      <c r="Q272" s="40">
        <f>+O272-P272</f>
        <v>0</v>
      </c>
      <c r="R272" s="38">
        <f>IFERROR(VLOOKUP("15_"&amp;A272,SyS!$B:$P,10,FALSE()),0)</f>
        <v>0</v>
      </c>
      <c r="S272" s="39">
        <f>IFERROR(VLOOKUP("15_"&amp;A272,SyS!$B:$P,12,FALSE()),0)</f>
        <v>0</v>
      </c>
      <c r="T272" s="40">
        <f>+R272-S272</f>
        <v>0</v>
      </c>
      <c r="U272" s="38">
        <f>IFERROR(VLOOKUP("16_"&amp;A272,SyS!$B:$P,10,FALSE()),0)</f>
        <v>0</v>
      </c>
      <c r="V272" s="39">
        <f>IFERROR(VLOOKUP("16_"&amp;A272,SyS!$B:$P,12,FALSE()),0)</f>
        <v>0</v>
      </c>
      <c r="W272" s="40">
        <f>+U272-V272</f>
        <v>0</v>
      </c>
      <c r="X272" s="38">
        <f>IFERROR(VLOOKUP("13_"&amp;A272,SyS!$B:$P,10,FALSE()),0)</f>
        <v>0</v>
      </c>
      <c r="Y272" s="39">
        <f>IFERROR(VLOOKUP("13_"&amp;A272,SyS!$B:$P,12,FALSE()),0)</f>
        <v>0</v>
      </c>
      <c r="Z272" s="40">
        <f>+X272-Y272</f>
        <v>0</v>
      </c>
      <c r="AA272" s="38">
        <f>IFERROR(VLOOKUP("17_"&amp;A272,SyS!$B:$P,10,FALSE()),0)</f>
        <v>0</v>
      </c>
      <c r="AB272" s="39">
        <f>IFERROR(VLOOKUP("17_"&amp;A272,SyS!$B:$P,12,FALSE()),0)</f>
        <v>0</v>
      </c>
      <c r="AC272" s="40">
        <f>+AA272-AB272</f>
        <v>0</v>
      </c>
      <c r="AD272" s="39"/>
      <c r="AE272" s="39"/>
      <c r="AF272" s="39"/>
      <c r="AG272" s="39">
        <f>IFERROR(VLOOKUP("19_"&amp;A272,SyS!$B:$P,10,FALSE()),0)</f>
        <v>0</v>
      </c>
      <c r="AH272" s="39">
        <f>IFERROR(VLOOKUP("19_"&amp;A272,SyS!$B:$P,12,FALSE()),0)</f>
        <v>0</v>
      </c>
      <c r="AI272" s="39">
        <f>+AG272-AH272</f>
        <v>0</v>
      </c>
      <c r="AJ272" s="39"/>
      <c r="AK272" s="39"/>
      <c r="AL272" s="39"/>
      <c r="AM272" s="38">
        <f>IFERROR(VLOOKUP("23_"&amp;A272,SyS!$B:$P,10,FALSE()),0)</f>
        <v>0</v>
      </c>
      <c r="AN272" s="39">
        <f>IFERROR(VLOOKUP("23_"&amp;A272,SyS!$B:$P,12,FALSE()),0)</f>
        <v>0</v>
      </c>
      <c r="AO272" s="40">
        <f>+AM272-AN272</f>
        <v>0</v>
      </c>
      <c r="AP272" s="39"/>
      <c r="AQ272" s="39"/>
      <c r="AR272" s="39"/>
      <c r="AS272" s="39"/>
      <c r="AT272" s="39"/>
      <c r="AU272" s="39"/>
      <c r="AV272" s="39"/>
      <c r="AW272" s="39"/>
      <c r="AX272" s="39"/>
      <c r="AY272" s="39"/>
      <c r="AZ272" s="39"/>
      <c r="BA272" s="39"/>
      <c r="BB272" s="39"/>
      <c r="BC272" s="39"/>
      <c r="BD272" s="39"/>
      <c r="BE272" s="39"/>
      <c r="BF272" s="39"/>
      <c r="BG272" s="39"/>
      <c r="BH272" s="39"/>
      <c r="BI272" s="39"/>
      <c r="BJ272" s="39"/>
      <c r="BK272" s="39">
        <f>IFERROR(VLOOKUP("29_"&amp;A272,SyS!$B:$P,10,FALSE()),0)</f>
        <v>0</v>
      </c>
      <c r="BL272" s="39">
        <f>IFERROR(VLOOKUP("29_"&amp;A272,SyS!$B:$P,12,FALSE()),0)</f>
        <v>0</v>
      </c>
      <c r="BM272" s="39">
        <f>+BK272-BL272</f>
        <v>0</v>
      </c>
      <c r="BN272" s="38">
        <f>IFERROR(VLOOKUP("30_"&amp;A272,SyS!$B:$P,10,FALSE()),0)</f>
        <v>0</v>
      </c>
      <c r="BO272" s="39">
        <f>IFERROR(VLOOKUP("30_"&amp;A272,SyS!$B:$P,12,FALSE()),0)</f>
        <v>0</v>
      </c>
      <c r="BP272" s="40">
        <f>+BN272-BO272</f>
        <v>0</v>
      </c>
      <c r="BQ272" s="45">
        <f>+E272+H272+K272+Q272+T272+W272+Z272+AC272+AF272+AI272+AL272+AO272+AR272+AU272+AX272+BA272+BD272+BG272+BJ272+BM272+BP272</f>
        <v>0</v>
      </c>
    </row>
    <row r="273" ht="11.25" customHeight="1" spans="1:69" x14ac:dyDescent="0.25">
      <c r="A273" s="18">
        <v>421490000</v>
      </c>
      <c r="B273" s="18" t="s">
        <v>502</v>
      </c>
      <c r="C273" s="38">
        <f>IFERROR(VLOOKUP("1_"&amp;A273,SyS!$B:$P,10,FALSE()),0)</f>
        <v>0</v>
      </c>
      <c r="D273" s="39">
        <f>IFERROR(VLOOKUP("1_"&amp;A273,SyS!$B:$P,12,FALSE()),0)</f>
        <v>0</v>
      </c>
      <c r="E273" s="39">
        <f>+C273-D273</f>
        <v>0</v>
      </c>
      <c r="F273" s="38">
        <f>IFERROR(VLOOKUP("2_"&amp;A273,SyS!$B:$P,10,FALSE()),0)</f>
        <v>0</v>
      </c>
      <c r="G273" s="39">
        <f>IFERROR(VLOOKUP("2_"&amp;A273,SyS!$B:$P,12,FALSE()),0)</f>
        <v>0</v>
      </c>
      <c r="H273" s="40">
        <f>+F273-G273</f>
        <v>0</v>
      </c>
      <c r="I273" s="39"/>
      <c r="J273" s="39"/>
      <c r="K273" s="39"/>
      <c r="L273" s="39"/>
      <c r="M273" s="39"/>
      <c r="N273" s="39"/>
      <c r="O273" s="38">
        <f>IFERROR(VLOOKUP("14_"&amp;A273,SyS!$B:$P,10,FALSE()),0)</f>
        <v>0</v>
      </c>
      <c r="P273" s="39">
        <f>IFERROR(VLOOKUP("14_"&amp;A273,SyS!$B:$P,12,FALSE()),0)</f>
        <v>0</v>
      </c>
      <c r="Q273" s="40">
        <f>+O273-P273</f>
        <v>0</v>
      </c>
      <c r="R273" s="38">
        <f>IFERROR(VLOOKUP("15_"&amp;A273,SyS!$B:$P,10,FALSE()),0)</f>
        <v>0</v>
      </c>
      <c r="S273" s="39">
        <f>IFERROR(VLOOKUP("15_"&amp;A273,SyS!$B:$P,12,FALSE()),0)</f>
        <v>0</v>
      </c>
      <c r="T273" s="40">
        <f>+R273-S273</f>
        <v>0</v>
      </c>
      <c r="U273" s="38">
        <f>IFERROR(VLOOKUP("16_"&amp;A273,SyS!$B:$P,10,FALSE()),0)</f>
        <v>0</v>
      </c>
      <c r="V273" s="39">
        <f>IFERROR(VLOOKUP("16_"&amp;A273,SyS!$B:$P,12,FALSE()),0)</f>
        <v>0</v>
      </c>
      <c r="W273" s="40">
        <f>+U273-V273</f>
        <v>0</v>
      </c>
      <c r="X273" s="38">
        <f>IFERROR(VLOOKUP("13_"&amp;A273,SyS!$B:$P,10,FALSE()),0)</f>
        <v>0</v>
      </c>
      <c r="Y273" s="39">
        <f>IFERROR(VLOOKUP("13_"&amp;A273,SyS!$B:$P,12,FALSE()),0)</f>
        <v>0</v>
      </c>
      <c r="Z273" s="40">
        <f>+X273-Y273</f>
        <v>0</v>
      </c>
      <c r="AA273" s="38">
        <f>IFERROR(VLOOKUP("17_"&amp;A273,SyS!$B:$P,10,FALSE()),0)</f>
        <v>0</v>
      </c>
      <c r="AB273" s="39">
        <f>IFERROR(VLOOKUP("17_"&amp;A273,SyS!$B:$P,12,FALSE()),0)</f>
        <v>0</v>
      </c>
      <c r="AC273" s="40">
        <f>+AA273-AB273</f>
        <v>0</v>
      </c>
      <c r="AD273" s="39"/>
      <c r="AE273" s="39"/>
      <c r="AF273" s="39"/>
      <c r="AG273" s="39">
        <f>IFERROR(VLOOKUP("19_"&amp;A273,SyS!$B:$P,10,FALSE()),0)</f>
        <v>0</v>
      </c>
      <c r="AH273" s="39">
        <f>IFERROR(VLOOKUP("19_"&amp;A273,SyS!$B:$P,12,FALSE()),0)</f>
        <v>0</v>
      </c>
      <c r="AI273" s="39">
        <f>+AG273-AH273</f>
        <v>0</v>
      </c>
      <c r="AJ273" s="39"/>
      <c r="AK273" s="39"/>
      <c r="AL273" s="39"/>
      <c r="AM273" s="38">
        <f>IFERROR(VLOOKUP("23_"&amp;A273,SyS!$B:$P,10,FALSE()),0)</f>
        <v>0</v>
      </c>
      <c r="AN273" s="39">
        <f>IFERROR(VLOOKUP("23_"&amp;A273,SyS!$B:$P,12,FALSE()),0)</f>
        <v>0</v>
      </c>
      <c r="AO273" s="40">
        <f>+AM273-AN273</f>
        <v>0</v>
      </c>
      <c r="AP273" s="39"/>
      <c r="AQ273" s="39"/>
      <c r="AR273" s="39"/>
      <c r="AS273" s="39"/>
      <c r="AT273" s="39"/>
      <c r="AU273" s="39"/>
      <c r="AV273" s="39"/>
      <c r="AW273" s="39"/>
      <c r="AX273" s="39"/>
      <c r="AY273" s="39"/>
      <c r="AZ273" s="39"/>
      <c r="BA273" s="39"/>
      <c r="BB273" s="39"/>
      <c r="BC273" s="39"/>
      <c r="BD273" s="39"/>
      <c r="BE273" s="39"/>
      <c r="BF273" s="39"/>
      <c r="BG273" s="39"/>
      <c r="BH273" s="39"/>
      <c r="BI273" s="39"/>
      <c r="BJ273" s="39"/>
      <c r="BK273" s="39">
        <f>IFERROR(VLOOKUP("29_"&amp;A273,SyS!$B:$P,10,FALSE()),0)</f>
        <v>0</v>
      </c>
      <c r="BL273" s="39">
        <f>IFERROR(VLOOKUP("29_"&amp;A273,SyS!$B:$P,12,FALSE()),0)</f>
        <v>0</v>
      </c>
      <c r="BM273" s="39">
        <f>+BK273-BL273</f>
        <v>0</v>
      </c>
      <c r="BN273" s="38">
        <f>IFERROR(VLOOKUP("30_"&amp;A273,SyS!$B:$P,10,FALSE()),0)</f>
        <v>0</v>
      </c>
      <c r="BO273" s="39">
        <f>IFERROR(VLOOKUP("30_"&amp;A273,SyS!$B:$P,12,FALSE()),0)</f>
        <v>0</v>
      </c>
      <c r="BP273" s="40">
        <f>+BN273-BO273</f>
        <v>0</v>
      </c>
      <c r="BQ273" s="45">
        <f>+E273+H273+K273+Q273+T273+W273+Z273+AC273+AF273+AI273+AL273+AO273+AR273+AU273+AX273+BA273+BD273+BG273+BJ273+BM273+BP273</f>
        <v>0</v>
      </c>
    </row>
    <row r="274" ht="11.25" customHeight="1" spans="1:69" x14ac:dyDescent="0.25">
      <c r="A274" s="18">
        <v>421600000</v>
      </c>
      <c r="B274" s="18" t="s">
        <v>503</v>
      </c>
      <c r="C274" s="38">
        <f>IFERROR(VLOOKUP("1_"&amp;A274,SyS!$B:$P,10,FALSE()),0)</f>
        <v>0</v>
      </c>
      <c r="D274" s="39">
        <f>IFERROR(VLOOKUP("1_"&amp;A274,SyS!$B:$P,12,FALSE()),0)</f>
        <v>0</v>
      </c>
      <c r="E274" s="39">
        <f>+C274-D274</f>
        <v>0</v>
      </c>
      <c r="F274" s="38">
        <f>IFERROR(VLOOKUP("2_"&amp;A274,SyS!$B:$P,10,FALSE()),0)</f>
        <v>0</v>
      </c>
      <c r="G274" s="39">
        <f>IFERROR(VLOOKUP("2_"&amp;A274,SyS!$B:$P,12,FALSE()),0)</f>
        <v>0</v>
      </c>
      <c r="H274" s="40">
        <f>+F274-G274</f>
        <v>0</v>
      </c>
      <c r="I274" s="39"/>
      <c r="J274" s="39"/>
      <c r="K274" s="39"/>
      <c r="L274" s="39"/>
      <c r="M274" s="39"/>
      <c r="N274" s="39"/>
      <c r="O274" s="38">
        <f>IFERROR(VLOOKUP("14_"&amp;A274,SyS!$B:$P,10,FALSE()),0)</f>
        <v>0</v>
      </c>
      <c r="P274" s="39">
        <f>IFERROR(VLOOKUP("14_"&amp;A274,SyS!$B:$P,12,FALSE()),0)</f>
        <v>0</v>
      </c>
      <c r="Q274" s="40">
        <f>+O274-P274</f>
        <v>0</v>
      </c>
      <c r="R274" s="38">
        <f>IFERROR(VLOOKUP("15_"&amp;A274,SyS!$B:$P,10,FALSE()),0)</f>
        <v>0</v>
      </c>
      <c r="S274" s="39">
        <f>IFERROR(VLOOKUP("15_"&amp;A274,SyS!$B:$P,12,FALSE()),0)</f>
        <v>0</v>
      </c>
      <c r="T274" s="40">
        <f>+R274-S274</f>
        <v>0</v>
      </c>
      <c r="U274" s="38">
        <f>IFERROR(VLOOKUP("16_"&amp;A274,SyS!$B:$P,10,FALSE()),0)</f>
        <v>0</v>
      </c>
      <c r="V274" s="39">
        <f>IFERROR(VLOOKUP("16_"&amp;A274,SyS!$B:$P,12,FALSE()),0)</f>
        <v>0</v>
      </c>
      <c r="W274" s="40">
        <f>+U274-V274</f>
        <v>0</v>
      </c>
      <c r="X274" s="38">
        <f>IFERROR(VLOOKUP("13_"&amp;A274,SyS!$B:$P,10,FALSE()),0)</f>
        <v>0</v>
      </c>
      <c r="Y274" s="39">
        <f>IFERROR(VLOOKUP("13_"&amp;A274,SyS!$B:$P,12,FALSE()),0)</f>
        <v>0</v>
      </c>
      <c r="Z274" s="40">
        <f>+X274-Y274</f>
        <v>0</v>
      </c>
      <c r="AA274" s="38">
        <f>IFERROR(VLOOKUP("17_"&amp;A274,SyS!$B:$P,10,FALSE()),0)</f>
        <v>0</v>
      </c>
      <c r="AB274" s="39">
        <f>IFERROR(VLOOKUP("17_"&amp;A274,SyS!$B:$P,12,FALSE()),0)</f>
        <v>0</v>
      </c>
      <c r="AC274" s="40">
        <f>+AA274-AB274</f>
        <v>0</v>
      </c>
      <c r="AD274" s="39"/>
      <c r="AE274" s="39"/>
      <c r="AF274" s="39"/>
      <c r="AG274" s="39">
        <f>IFERROR(VLOOKUP("19_"&amp;A274,SyS!$B:$P,10,FALSE()),0)</f>
        <v>0</v>
      </c>
      <c r="AH274" s="39">
        <f>IFERROR(VLOOKUP("19_"&amp;A274,SyS!$B:$P,12,FALSE()),0)</f>
        <v>0</v>
      </c>
      <c r="AI274" s="39">
        <f>+AG274-AH274</f>
        <v>0</v>
      </c>
      <c r="AJ274" s="39"/>
      <c r="AK274" s="39"/>
      <c r="AL274" s="39"/>
      <c r="AM274" s="38">
        <f>IFERROR(VLOOKUP("23_"&amp;A274,SyS!$B:$P,10,FALSE()),0)</f>
        <v>0</v>
      </c>
      <c r="AN274" s="39">
        <f>IFERROR(VLOOKUP("23_"&amp;A274,SyS!$B:$P,12,FALSE()),0)</f>
        <v>0</v>
      </c>
      <c r="AO274" s="40">
        <f>+AM274-AN274</f>
        <v>0</v>
      </c>
      <c r="AP274" s="39"/>
      <c r="AQ274" s="39"/>
      <c r="AR274" s="39"/>
      <c r="AS274" s="39"/>
      <c r="AT274" s="39"/>
      <c r="AU274" s="39"/>
      <c r="AV274" s="39"/>
      <c r="AW274" s="39"/>
      <c r="AX274" s="39"/>
      <c r="AY274" s="39"/>
      <c r="AZ274" s="39"/>
      <c r="BA274" s="39"/>
      <c r="BB274" s="39"/>
      <c r="BC274" s="39"/>
      <c r="BD274" s="39"/>
      <c r="BE274" s="39"/>
      <c r="BF274" s="39"/>
      <c r="BG274" s="39"/>
      <c r="BH274" s="39"/>
      <c r="BI274" s="39"/>
      <c r="BJ274" s="39"/>
      <c r="BK274" s="39">
        <f>IFERROR(VLOOKUP("29_"&amp;A274,SyS!$B:$P,10,FALSE()),0)</f>
        <v>0</v>
      </c>
      <c r="BL274" s="39">
        <f>IFERROR(VLOOKUP("29_"&amp;A274,SyS!$B:$P,12,FALSE()),0)</f>
        <v>0</v>
      </c>
      <c r="BM274" s="39">
        <f>+BK274-BL274</f>
        <v>0</v>
      </c>
      <c r="BN274" s="38">
        <f>IFERROR(VLOOKUP("30_"&amp;A274,SyS!$B:$P,10,FALSE()),0)</f>
        <v>0</v>
      </c>
      <c r="BO274" s="39">
        <f>IFERROR(VLOOKUP("30_"&amp;A274,SyS!$B:$P,12,FALSE()),0)</f>
        <v>0</v>
      </c>
      <c r="BP274" s="40">
        <f>+BN274-BO274</f>
        <v>0</v>
      </c>
      <c r="BQ274" s="45">
        <f>+E274+H274+K274+Q274+T274+W274+Z274+AC274+AF274+AI274+AL274+AO274+AR274+AU274+AX274+BA274+BD274+BG274+BJ274+BM274+BP274</f>
        <v>0</v>
      </c>
    </row>
    <row r="275" ht="11.25" customHeight="1" spans="1:69" x14ac:dyDescent="0.25">
      <c r="A275" s="18">
        <v>421670000</v>
      </c>
      <c r="B275" s="18" t="s">
        <v>504</v>
      </c>
      <c r="C275" s="38">
        <f>IFERROR(VLOOKUP("1_"&amp;A275,SyS!$B:$P,10,FALSE()),0)</f>
        <v>0</v>
      </c>
      <c r="D275" s="39">
        <f>IFERROR(VLOOKUP("1_"&amp;A275,SyS!$B:$P,12,FALSE()),0)</f>
        <v>0</v>
      </c>
      <c r="E275" s="39">
        <f>+C275-D275</f>
        <v>0</v>
      </c>
      <c r="F275" s="38">
        <f>IFERROR(VLOOKUP("2_"&amp;A275,SyS!$B:$P,10,FALSE()),0)</f>
        <v>0</v>
      </c>
      <c r="G275" s="39">
        <f>IFERROR(VLOOKUP("2_"&amp;A275,SyS!$B:$P,12,FALSE()),0)</f>
        <v>0</v>
      </c>
      <c r="H275" s="40">
        <f>+F275-G275</f>
        <v>0</v>
      </c>
      <c r="I275" s="39"/>
      <c r="J275" s="39"/>
      <c r="K275" s="39"/>
      <c r="L275" s="39"/>
      <c r="M275" s="39"/>
      <c r="N275" s="39"/>
      <c r="O275" s="38">
        <f>IFERROR(VLOOKUP("14_"&amp;A275,SyS!$B:$P,10,FALSE()),0)</f>
        <v>0</v>
      </c>
      <c r="P275" s="39">
        <f>IFERROR(VLOOKUP("14_"&amp;A275,SyS!$B:$P,12,FALSE()),0)</f>
        <v>0</v>
      </c>
      <c r="Q275" s="40">
        <f>+O275-P275</f>
        <v>0</v>
      </c>
      <c r="R275" s="38">
        <f>IFERROR(VLOOKUP("15_"&amp;A275,SyS!$B:$P,10,FALSE()),0)</f>
        <v>0</v>
      </c>
      <c r="S275" s="39">
        <f>IFERROR(VLOOKUP("15_"&amp;A275,SyS!$B:$P,12,FALSE()),0)</f>
        <v>0</v>
      </c>
      <c r="T275" s="40">
        <f>+R275-S275</f>
        <v>0</v>
      </c>
      <c r="U275" s="38">
        <f>IFERROR(VLOOKUP("16_"&amp;A275,SyS!$B:$P,10,FALSE()),0)</f>
        <v>0</v>
      </c>
      <c r="V275" s="39">
        <f>IFERROR(VLOOKUP("16_"&amp;A275,SyS!$B:$P,12,FALSE()),0)</f>
        <v>0</v>
      </c>
      <c r="W275" s="40">
        <f>+U275-V275</f>
        <v>0</v>
      </c>
      <c r="X275" s="38">
        <f>IFERROR(VLOOKUP("13_"&amp;A275,SyS!$B:$P,10,FALSE()),0)</f>
        <v>0</v>
      </c>
      <c r="Y275" s="39">
        <f>IFERROR(VLOOKUP("13_"&amp;A275,SyS!$B:$P,12,FALSE()),0)</f>
        <v>0</v>
      </c>
      <c r="Z275" s="40">
        <f>+X275-Y275</f>
        <v>0</v>
      </c>
      <c r="AA275" s="38">
        <f>IFERROR(VLOOKUP("17_"&amp;A275,SyS!$B:$P,10,FALSE()),0)</f>
        <v>0</v>
      </c>
      <c r="AB275" s="39">
        <f>IFERROR(VLOOKUP("17_"&amp;A275,SyS!$B:$P,12,FALSE()),0)</f>
        <v>0</v>
      </c>
      <c r="AC275" s="40">
        <f>+AA275-AB275</f>
        <v>0</v>
      </c>
      <c r="AD275" s="39"/>
      <c r="AE275" s="39"/>
      <c r="AF275" s="39"/>
      <c r="AG275" s="39">
        <f>IFERROR(VLOOKUP("19_"&amp;A275,SyS!$B:$P,10,FALSE()),0)</f>
        <v>0</v>
      </c>
      <c r="AH275" s="39">
        <f>IFERROR(VLOOKUP("19_"&amp;A275,SyS!$B:$P,12,FALSE()),0)</f>
        <v>0</v>
      </c>
      <c r="AI275" s="39">
        <f>+AG275-AH275</f>
        <v>0</v>
      </c>
      <c r="AJ275" s="39"/>
      <c r="AK275" s="39"/>
      <c r="AL275" s="39"/>
      <c r="AM275" s="38">
        <f>IFERROR(VLOOKUP("23_"&amp;A275,SyS!$B:$P,10,FALSE()),0)</f>
        <v>0</v>
      </c>
      <c r="AN275" s="39">
        <f>IFERROR(VLOOKUP("23_"&amp;A275,SyS!$B:$P,12,FALSE()),0)</f>
        <v>0</v>
      </c>
      <c r="AO275" s="40">
        <f>+AM275-AN275</f>
        <v>0</v>
      </c>
      <c r="AP275" s="39"/>
      <c r="AQ275" s="39"/>
      <c r="AR275" s="39"/>
      <c r="AS275" s="39"/>
      <c r="AT275" s="39"/>
      <c r="AU275" s="39"/>
      <c r="AV275" s="39"/>
      <c r="AW275" s="39"/>
      <c r="AX275" s="39"/>
      <c r="AY275" s="39"/>
      <c r="AZ275" s="39"/>
      <c r="BA275" s="39"/>
      <c r="BB275" s="39"/>
      <c r="BC275" s="39"/>
      <c r="BD275" s="39"/>
      <c r="BE275" s="39"/>
      <c r="BF275" s="39"/>
      <c r="BG275" s="39"/>
      <c r="BH275" s="39"/>
      <c r="BI275" s="39"/>
      <c r="BJ275" s="39"/>
      <c r="BK275" s="39">
        <f>IFERROR(VLOOKUP("29_"&amp;A275,SyS!$B:$P,10,FALSE()),0)</f>
        <v>0</v>
      </c>
      <c r="BL275" s="39">
        <f>IFERROR(VLOOKUP("29_"&amp;A275,SyS!$B:$P,12,FALSE()),0)</f>
        <v>0</v>
      </c>
      <c r="BM275" s="39">
        <f>+BK275-BL275</f>
        <v>0</v>
      </c>
      <c r="BN275" s="38">
        <f>IFERROR(VLOOKUP("30_"&amp;A275,SyS!$B:$P,10,FALSE()),0)</f>
        <v>0</v>
      </c>
      <c r="BO275" s="39">
        <f>IFERROR(VLOOKUP("30_"&amp;A275,SyS!$B:$P,12,FALSE()),0)</f>
        <v>0</v>
      </c>
      <c r="BP275" s="40">
        <f>+BN275-BO275</f>
        <v>0</v>
      </c>
      <c r="BQ275" s="45">
        <f>+E275+H275+K275+Q275+T275+W275+Z275+AC275+AF275+AI275+AL275+AO275+AR275+AU275+AX275+BA275+BD275+BG275+BJ275+BM275+BP275</f>
        <v>0</v>
      </c>
    </row>
    <row r="276" ht="11.25" customHeight="1" spans="1:69" x14ac:dyDescent="0.25">
      <c r="A276" s="18">
        <v>421680000</v>
      </c>
      <c r="B276" s="18" t="s">
        <v>505</v>
      </c>
      <c r="C276" s="38">
        <f>IFERROR(VLOOKUP("1_"&amp;A276,SyS!$B:$P,10,FALSE()),0)</f>
        <v>0</v>
      </c>
      <c r="D276" s="39">
        <f>IFERROR(VLOOKUP("1_"&amp;A276,SyS!$B:$P,12,FALSE()),0)</f>
        <v>0</v>
      </c>
      <c r="E276" s="39">
        <f>+C276-D276</f>
        <v>0</v>
      </c>
      <c r="F276" s="38">
        <f>IFERROR(VLOOKUP("2_"&amp;A276,SyS!$B:$P,10,FALSE()),0)</f>
        <v>0</v>
      </c>
      <c r="G276" s="39">
        <f>IFERROR(VLOOKUP("2_"&amp;A276,SyS!$B:$P,12,FALSE()),0)</f>
        <v>0</v>
      </c>
      <c r="H276" s="40">
        <f>+F276-G276</f>
        <v>0</v>
      </c>
      <c r="I276" s="39"/>
      <c r="J276" s="39"/>
      <c r="K276" s="39"/>
      <c r="L276" s="39"/>
      <c r="M276" s="39"/>
      <c r="N276" s="39"/>
      <c r="O276" s="38">
        <f>IFERROR(VLOOKUP("14_"&amp;A276,SyS!$B:$P,10,FALSE()),0)</f>
        <v>0</v>
      </c>
      <c r="P276" s="39">
        <f>IFERROR(VLOOKUP("14_"&amp;A276,SyS!$B:$P,12,FALSE()),0)</f>
        <v>0</v>
      </c>
      <c r="Q276" s="40">
        <f>+O276-P276</f>
        <v>0</v>
      </c>
      <c r="R276" s="38">
        <f>IFERROR(VLOOKUP("15_"&amp;A276,SyS!$B:$P,10,FALSE()),0)</f>
        <v>0</v>
      </c>
      <c r="S276" s="39">
        <f>IFERROR(VLOOKUP("15_"&amp;A276,SyS!$B:$P,12,FALSE()),0)</f>
        <v>0</v>
      </c>
      <c r="T276" s="40">
        <f>+R276-S276</f>
        <v>0</v>
      </c>
      <c r="U276" s="38">
        <f>IFERROR(VLOOKUP("16_"&amp;A276,SyS!$B:$P,10,FALSE()),0)</f>
        <v>0</v>
      </c>
      <c r="V276" s="39">
        <f>IFERROR(VLOOKUP("16_"&amp;A276,SyS!$B:$P,12,FALSE()),0)</f>
        <v>0</v>
      </c>
      <c r="W276" s="40">
        <f>+U276-V276</f>
        <v>0</v>
      </c>
      <c r="X276" s="38">
        <f>IFERROR(VLOOKUP("13_"&amp;A276,SyS!$B:$P,10,FALSE()),0)</f>
        <v>0</v>
      </c>
      <c r="Y276" s="39">
        <f>IFERROR(VLOOKUP("13_"&amp;A276,SyS!$B:$P,12,FALSE()),0)</f>
        <v>0</v>
      </c>
      <c r="Z276" s="40">
        <f>+X276-Y276</f>
        <v>0</v>
      </c>
      <c r="AA276" s="38">
        <f>IFERROR(VLOOKUP("17_"&amp;A276,SyS!$B:$P,10,FALSE()),0)</f>
        <v>0</v>
      </c>
      <c r="AB276" s="39">
        <f>IFERROR(VLOOKUP("17_"&amp;A276,SyS!$B:$P,12,FALSE()),0)</f>
        <v>0</v>
      </c>
      <c r="AC276" s="40">
        <f>+AA276-AB276</f>
        <v>0</v>
      </c>
      <c r="AD276" s="39"/>
      <c r="AE276" s="39"/>
      <c r="AF276" s="39"/>
      <c r="AG276" s="39">
        <f>IFERROR(VLOOKUP("19_"&amp;A276,SyS!$B:$P,10,FALSE()),0)</f>
        <v>0</v>
      </c>
      <c r="AH276" s="39">
        <f>IFERROR(VLOOKUP("19_"&amp;A276,SyS!$B:$P,12,FALSE()),0)</f>
        <v>0</v>
      </c>
      <c r="AI276" s="39">
        <f>+AG276-AH276</f>
        <v>0</v>
      </c>
      <c r="AJ276" s="39"/>
      <c r="AK276" s="39"/>
      <c r="AL276" s="39"/>
      <c r="AM276" s="38">
        <f>IFERROR(VLOOKUP("23_"&amp;A276,SyS!$B:$P,10,FALSE()),0)</f>
        <v>0</v>
      </c>
      <c r="AN276" s="39">
        <f>IFERROR(VLOOKUP("23_"&amp;A276,SyS!$B:$P,12,FALSE()),0)</f>
        <v>0</v>
      </c>
      <c r="AO276" s="40">
        <f>+AM276-AN276</f>
        <v>0</v>
      </c>
      <c r="AP276" s="39"/>
      <c r="AQ276" s="39"/>
      <c r="AR276" s="39"/>
      <c r="AS276" s="39"/>
      <c r="AT276" s="39"/>
      <c r="AU276" s="39"/>
      <c r="AV276" s="39"/>
      <c r="AW276" s="39"/>
      <c r="AX276" s="39"/>
      <c r="AY276" s="39"/>
      <c r="AZ276" s="39"/>
      <c r="BA276" s="39"/>
      <c r="BB276" s="39"/>
      <c r="BC276" s="39"/>
      <c r="BD276" s="39"/>
      <c r="BE276" s="39"/>
      <c r="BF276" s="39"/>
      <c r="BG276" s="39"/>
      <c r="BH276" s="39"/>
      <c r="BI276" s="39"/>
      <c r="BJ276" s="39"/>
      <c r="BK276" s="39">
        <f>IFERROR(VLOOKUP("29_"&amp;A276,SyS!$B:$P,10,FALSE()),0)</f>
        <v>0</v>
      </c>
      <c r="BL276" s="39">
        <f>IFERROR(VLOOKUP("29_"&amp;A276,SyS!$B:$P,12,FALSE()),0)</f>
        <v>0</v>
      </c>
      <c r="BM276" s="39">
        <f>+BK276-BL276</f>
        <v>0</v>
      </c>
      <c r="BN276" s="38">
        <f>IFERROR(VLOOKUP("30_"&amp;A276,SyS!$B:$P,10,FALSE()),0)</f>
        <v>0</v>
      </c>
      <c r="BO276" s="39">
        <f>IFERROR(VLOOKUP("30_"&amp;A276,SyS!$B:$P,12,FALSE()),0)</f>
        <v>0</v>
      </c>
      <c r="BP276" s="40">
        <f>+BN276-BO276</f>
        <v>0</v>
      </c>
      <c r="BQ276" s="45">
        <f>+E276+H276+K276+Q276+T276+W276+Z276+AC276+AF276+AI276+AL276+AO276+AR276+AU276+AX276+BA276+BD276+BG276+BJ276+BM276+BP276</f>
        <v>0</v>
      </c>
    </row>
    <row r="277" ht="11.25" customHeight="1" spans="1:69" x14ac:dyDescent="0.25">
      <c r="A277" s="18">
        <v>421690000</v>
      </c>
      <c r="B277" s="18" t="s">
        <v>506</v>
      </c>
      <c r="C277" s="38">
        <f>IFERROR(VLOOKUP("1_"&amp;A277,SyS!$B:$P,10,FALSE()),0)</f>
        <v>0</v>
      </c>
      <c r="D277" s="39">
        <f>IFERROR(VLOOKUP("1_"&amp;A277,SyS!$B:$P,12,FALSE()),0)</f>
        <v>0</v>
      </c>
      <c r="E277" s="39">
        <f>+C277-D277</f>
        <v>0</v>
      </c>
      <c r="F277" s="38">
        <f>IFERROR(VLOOKUP("2_"&amp;A277,SyS!$B:$P,10,FALSE()),0)</f>
        <v>0</v>
      </c>
      <c r="G277" s="39">
        <f>IFERROR(VLOOKUP("2_"&amp;A277,SyS!$B:$P,12,FALSE()),0)</f>
        <v>0</v>
      </c>
      <c r="H277" s="40">
        <f>+F277-G277</f>
        <v>0</v>
      </c>
      <c r="I277" s="39"/>
      <c r="J277" s="39"/>
      <c r="K277" s="39"/>
      <c r="L277" s="39"/>
      <c r="M277" s="39"/>
      <c r="N277" s="39"/>
      <c r="O277" s="38">
        <f>IFERROR(VLOOKUP("14_"&amp;A277,SyS!$B:$P,10,FALSE()),0)</f>
        <v>0</v>
      </c>
      <c r="P277" s="39">
        <f>IFERROR(VLOOKUP("14_"&amp;A277,SyS!$B:$P,12,FALSE()),0)</f>
        <v>0</v>
      </c>
      <c r="Q277" s="40">
        <f>+O277-P277</f>
        <v>0</v>
      </c>
      <c r="R277" s="38">
        <f>IFERROR(VLOOKUP("15_"&amp;A277,SyS!$B:$P,10,FALSE()),0)</f>
        <v>0</v>
      </c>
      <c r="S277" s="39">
        <f>IFERROR(VLOOKUP("15_"&amp;A277,SyS!$B:$P,12,FALSE()),0)</f>
        <v>0</v>
      </c>
      <c r="T277" s="40">
        <f>+R277-S277</f>
        <v>0</v>
      </c>
      <c r="U277" s="38">
        <f>IFERROR(VLOOKUP("16_"&amp;A277,SyS!$B:$P,10,FALSE()),0)</f>
        <v>0</v>
      </c>
      <c r="V277" s="39">
        <f>IFERROR(VLOOKUP("16_"&amp;A277,SyS!$B:$P,12,FALSE()),0)</f>
        <v>0</v>
      </c>
      <c r="W277" s="40">
        <f>+U277-V277</f>
        <v>0</v>
      </c>
      <c r="X277" s="38">
        <f>IFERROR(VLOOKUP("13_"&amp;A277,SyS!$B:$P,10,FALSE()),0)</f>
        <v>0</v>
      </c>
      <c r="Y277" s="39">
        <f>IFERROR(VLOOKUP("13_"&amp;A277,SyS!$B:$P,12,FALSE()),0)</f>
        <v>0</v>
      </c>
      <c r="Z277" s="40">
        <f>+X277-Y277</f>
        <v>0</v>
      </c>
      <c r="AA277" s="38">
        <f>IFERROR(VLOOKUP("17_"&amp;A277,SyS!$B:$P,10,FALSE()),0)</f>
        <v>0</v>
      </c>
      <c r="AB277" s="39">
        <f>IFERROR(VLOOKUP("17_"&amp;A277,SyS!$B:$P,12,FALSE()),0)</f>
        <v>0</v>
      </c>
      <c r="AC277" s="40">
        <f>+AA277-AB277</f>
        <v>0</v>
      </c>
      <c r="AD277" s="39"/>
      <c r="AE277" s="39"/>
      <c r="AF277" s="39"/>
      <c r="AG277" s="39">
        <f>IFERROR(VLOOKUP("19_"&amp;A277,SyS!$B:$P,10,FALSE()),0)</f>
        <v>0</v>
      </c>
      <c r="AH277" s="39">
        <f>IFERROR(VLOOKUP("19_"&amp;A277,SyS!$B:$P,12,FALSE()),0)</f>
        <v>0</v>
      </c>
      <c r="AI277" s="39">
        <f>+AG277-AH277</f>
        <v>0</v>
      </c>
      <c r="AJ277" s="39"/>
      <c r="AK277" s="39"/>
      <c r="AL277" s="39"/>
      <c r="AM277" s="38">
        <f>IFERROR(VLOOKUP("23_"&amp;A277,SyS!$B:$P,10,FALSE()),0)</f>
        <v>0</v>
      </c>
      <c r="AN277" s="39">
        <f>IFERROR(VLOOKUP("23_"&amp;A277,SyS!$B:$P,12,FALSE()),0)</f>
        <v>0</v>
      </c>
      <c r="AO277" s="40">
        <f>+AM277-AN277</f>
        <v>0</v>
      </c>
      <c r="AP277" s="39"/>
      <c r="AQ277" s="39"/>
      <c r="AR277" s="39"/>
      <c r="AS277" s="39"/>
      <c r="AT277" s="39"/>
      <c r="AU277" s="39"/>
      <c r="AV277" s="39"/>
      <c r="AW277" s="39"/>
      <c r="AX277" s="39"/>
      <c r="AY277" s="39"/>
      <c r="AZ277" s="39"/>
      <c r="BA277" s="39"/>
      <c r="BB277" s="39"/>
      <c r="BC277" s="39"/>
      <c r="BD277" s="39"/>
      <c r="BE277" s="39"/>
      <c r="BF277" s="39"/>
      <c r="BG277" s="39"/>
      <c r="BH277" s="39"/>
      <c r="BI277" s="39"/>
      <c r="BJ277" s="39"/>
      <c r="BK277" s="39">
        <f>IFERROR(VLOOKUP("29_"&amp;A277,SyS!$B:$P,10,FALSE()),0)</f>
        <v>0</v>
      </c>
      <c r="BL277" s="39">
        <f>IFERROR(VLOOKUP("29_"&amp;A277,SyS!$B:$P,12,FALSE()),0)</f>
        <v>0</v>
      </c>
      <c r="BM277" s="39">
        <f>+BK277-BL277</f>
        <v>0</v>
      </c>
      <c r="BN277" s="38">
        <f>IFERROR(VLOOKUP("30_"&amp;A277,SyS!$B:$P,10,FALSE()),0)</f>
        <v>0</v>
      </c>
      <c r="BO277" s="39">
        <f>IFERROR(VLOOKUP("30_"&amp;A277,SyS!$B:$P,12,FALSE()),0)</f>
        <v>0</v>
      </c>
      <c r="BP277" s="40">
        <f>+BN277-BO277</f>
        <v>0</v>
      </c>
      <c r="BQ277" s="45">
        <f>+E277+H277+K277+Q277+T277+W277+Z277+AC277+AF277+AI277+AL277+AO277+AR277+AU277+AX277+BA277+BD277+BG277+BJ277+BM277+BP277</f>
        <v>0</v>
      </c>
    </row>
    <row r="278" ht="11.25" customHeight="1" spans="1:69" x14ac:dyDescent="0.25">
      <c r="A278" s="18">
        <v>421700000</v>
      </c>
      <c r="B278" s="18" t="s">
        <v>507</v>
      </c>
      <c r="C278" s="38">
        <f>IFERROR(VLOOKUP("1_"&amp;A278,SyS!$B:$P,10,FALSE()),0)</f>
        <v>0</v>
      </c>
      <c r="D278" s="39">
        <f>IFERROR(VLOOKUP("1_"&amp;A278,SyS!$B:$P,12,FALSE()),0)</f>
        <v>0</v>
      </c>
      <c r="E278" s="39">
        <f>+C278-D278</f>
        <v>0</v>
      </c>
      <c r="F278" s="38">
        <f>IFERROR(VLOOKUP("2_"&amp;A278,SyS!$B:$P,10,FALSE()),0)</f>
        <v>0</v>
      </c>
      <c r="G278" s="39">
        <f>IFERROR(VLOOKUP("2_"&amp;A278,SyS!$B:$P,12,FALSE()),0)</f>
        <v>0</v>
      </c>
      <c r="H278" s="40">
        <f>+F278-G278</f>
        <v>0</v>
      </c>
      <c r="I278" s="39"/>
      <c r="J278" s="39"/>
      <c r="K278" s="39"/>
      <c r="L278" s="39"/>
      <c r="M278" s="39"/>
      <c r="N278" s="39"/>
      <c r="O278" s="38">
        <f>IFERROR(VLOOKUP("14_"&amp;A278,SyS!$B:$P,10,FALSE()),0)</f>
        <v>0</v>
      </c>
      <c r="P278" s="39">
        <f>IFERROR(VLOOKUP("14_"&amp;A278,SyS!$B:$P,12,FALSE()),0)</f>
        <v>0</v>
      </c>
      <c r="Q278" s="40">
        <f>+O278-P278</f>
        <v>0</v>
      </c>
      <c r="R278" s="38">
        <f>IFERROR(VLOOKUP("15_"&amp;A278,SyS!$B:$P,10,FALSE()),0)</f>
        <v>0</v>
      </c>
      <c r="S278" s="39">
        <f>IFERROR(VLOOKUP("15_"&amp;A278,SyS!$B:$P,12,FALSE()),0)</f>
        <v>0</v>
      </c>
      <c r="T278" s="40">
        <f>+R278-S278</f>
        <v>0</v>
      </c>
      <c r="U278" s="38">
        <f>IFERROR(VLOOKUP("16_"&amp;A278,SyS!$B:$P,10,FALSE()),0)</f>
        <v>0</v>
      </c>
      <c r="V278" s="39">
        <f>IFERROR(VLOOKUP("16_"&amp;A278,SyS!$B:$P,12,FALSE()),0)</f>
        <v>0</v>
      </c>
      <c r="W278" s="40">
        <f>+U278-V278</f>
        <v>0</v>
      </c>
      <c r="X278" s="38">
        <f>IFERROR(VLOOKUP("13_"&amp;A278,SyS!$B:$P,10,FALSE()),0)</f>
        <v>0</v>
      </c>
      <c r="Y278" s="39">
        <f>IFERROR(VLOOKUP("13_"&amp;A278,SyS!$B:$P,12,FALSE()),0)</f>
        <v>0</v>
      </c>
      <c r="Z278" s="40">
        <f>+X278-Y278</f>
        <v>0</v>
      </c>
      <c r="AA278" s="38">
        <f>IFERROR(VLOOKUP("17_"&amp;A278,SyS!$B:$P,10,FALSE()),0)</f>
        <v>0</v>
      </c>
      <c r="AB278" s="39">
        <f>IFERROR(VLOOKUP("17_"&amp;A278,SyS!$B:$P,12,FALSE()),0)</f>
        <v>0</v>
      </c>
      <c r="AC278" s="40">
        <f>+AA278-AB278</f>
        <v>0</v>
      </c>
      <c r="AD278" s="39"/>
      <c r="AE278" s="39"/>
      <c r="AF278" s="39"/>
      <c r="AG278" s="39">
        <f>IFERROR(VLOOKUP("19_"&amp;A278,SyS!$B:$P,10,FALSE()),0)</f>
        <v>0</v>
      </c>
      <c r="AH278" s="39">
        <f>IFERROR(VLOOKUP("19_"&amp;A278,SyS!$B:$P,12,FALSE()),0)</f>
        <v>0</v>
      </c>
      <c r="AI278" s="39">
        <f>+AG278-AH278</f>
        <v>0</v>
      </c>
      <c r="AJ278" s="39"/>
      <c r="AK278" s="39"/>
      <c r="AL278" s="39"/>
      <c r="AM278" s="38">
        <f>IFERROR(VLOOKUP("23_"&amp;A278,SyS!$B:$P,10,FALSE()),0)</f>
        <v>0</v>
      </c>
      <c r="AN278" s="39">
        <f>IFERROR(VLOOKUP("23_"&amp;A278,SyS!$B:$P,12,FALSE()),0)</f>
        <v>0</v>
      </c>
      <c r="AO278" s="40">
        <f>+AM278-AN278</f>
        <v>0</v>
      </c>
      <c r="AP278" s="39"/>
      <c r="AQ278" s="39"/>
      <c r="AR278" s="39"/>
      <c r="AS278" s="39"/>
      <c r="AT278" s="39"/>
      <c r="AU278" s="39"/>
      <c r="AV278" s="39"/>
      <c r="AW278" s="39"/>
      <c r="AX278" s="39"/>
      <c r="AY278" s="39"/>
      <c r="AZ278" s="39"/>
      <c r="BA278" s="39"/>
      <c r="BB278" s="39"/>
      <c r="BC278" s="39"/>
      <c r="BD278" s="39"/>
      <c r="BE278" s="39"/>
      <c r="BF278" s="39"/>
      <c r="BG278" s="39"/>
      <c r="BH278" s="39"/>
      <c r="BI278" s="39"/>
      <c r="BJ278" s="39"/>
      <c r="BK278" s="39">
        <f>IFERROR(VLOOKUP("29_"&amp;A278,SyS!$B:$P,10,FALSE()),0)</f>
        <v>0</v>
      </c>
      <c r="BL278" s="39">
        <f>IFERROR(VLOOKUP("29_"&amp;A278,SyS!$B:$P,12,FALSE()),0)</f>
        <v>0</v>
      </c>
      <c r="BM278" s="39">
        <f>+BK278-BL278</f>
        <v>0</v>
      </c>
      <c r="BN278" s="38">
        <f>IFERROR(VLOOKUP("30_"&amp;A278,SyS!$B:$P,10,FALSE()),0)</f>
        <v>0</v>
      </c>
      <c r="BO278" s="39">
        <f>IFERROR(VLOOKUP("30_"&amp;A278,SyS!$B:$P,12,FALSE()),0)</f>
        <v>0</v>
      </c>
      <c r="BP278" s="40">
        <f>+BN278-BO278</f>
        <v>0</v>
      </c>
      <c r="BQ278" s="45">
        <f>+E278+H278+K278+Q278+T278+W278+Z278+AC278+AF278+AI278+AL278+AO278+AR278+AU278+AX278+BA278+BD278+BG278+BJ278+BM278+BP278</f>
        <v>0</v>
      </c>
    </row>
    <row r="279" ht="11.25" customHeight="1" spans="1:69" x14ac:dyDescent="0.25">
      <c r="A279" s="18">
        <v>421920000</v>
      </c>
      <c r="B279" s="18" t="s">
        <v>508</v>
      </c>
      <c r="C279" s="38">
        <f>IFERROR(VLOOKUP("1_"&amp;A279,SyS!$B:$P,10,FALSE()),0)</f>
        <v>0</v>
      </c>
      <c r="D279" s="39">
        <f>IFERROR(VLOOKUP("1_"&amp;A279,SyS!$B:$P,12,FALSE()),0)</f>
        <v>0</v>
      </c>
      <c r="E279" s="39">
        <f>+C279-D279</f>
        <v>0</v>
      </c>
      <c r="F279" s="38">
        <f>IFERROR(VLOOKUP("2_"&amp;A279,SyS!$B:$P,10,FALSE()),0)</f>
        <v>0</v>
      </c>
      <c r="G279" s="39">
        <f>IFERROR(VLOOKUP("2_"&amp;A279,SyS!$B:$P,12,FALSE()),0)</f>
        <v>0</v>
      </c>
      <c r="H279" s="40">
        <f>+F279-G279</f>
        <v>0</v>
      </c>
      <c r="I279" s="39"/>
      <c r="J279" s="39"/>
      <c r="K279" s="39"/>
      <c r="L279" s="39"/>
      <c r="M279" s="39"/>
      <c r="N279" s="39"/>
      <c r="O279" s="38">
        <f>IFERROR(VLOOKUP("14_"&amp;A279,SyS!$B:$P,10,FALSE()),0)</f>
        <v>0</v>
      </c>
      <c r="P279" s="39">
        <f>IFERROR(VLOOKUP("14_"&amp;A279,SyS!$B:$P,12,FALSE()),0)</f>
        <v>0</v>
      </c>
      <c r="Q279" s="40">
        <f>+O279-P279</f>
        <v>0</v>
      </c>
      <c r="R279" s="38">
        <f>IFERROR(VLOOKUP("15_"&amp;A279,SyS!$B:$P,10,FALSE()),0)</f>
        <v>0</v>
      </c>
      <c r="S279" s="39">
        <f>IFERROR(VLOOKUP("15_"&amp;A279,SyS!$B:$P,12,FALSE()),0)</f>
        <v>0</v>
      </c>
      <c r="T279" s="40">
        <f>+R279-S279</f>
        <v>0</v>
      </c>
      <c r="U279" s="38">
        <f>IFERROR(VLOOKUP("16_"&amp;A279,SyS!$B:$P,10,FALSE()),0)</f>
        <v>0</v>
      </c>
      <c r="V279" s="39">
        <f>IFERROR(VLOOKUP("16_"&amp;A279,SyS!$B:$P,12,FALSE()),0)</f>
        <v>0</v>
      </c>
      <c r="W279" s="40">
        <f>+U279-V279</f>
        <v>0</v>
      </c>
      <c r="X279" s="38">
        <f>IFERROR(VLOOKUP("13_"&amp;A279,SyS!$B:$P,10,FALSE()),0)</f>
        <v>0</v>
      </c>
      <c r="Y279" s="39">
        <f>IFERROR(VLOOKUP("13_"&amp;A279,SyS!$B:$P,12,FALSE()),0)</f>
        <v>0</v>
      </c>
      <c r="Z279" s="40">
        <f>+X279-Y279</f>
        <v>0</v>
      </c>
      <c r="AA279" s="38">
        <f>IFERROR(VLOOKUP("17_"&amp;A279,SyS!$B:$P,10,FALSE()),0)</f>
        <v>0</v>
      </c>
      <c r="AB279" s="39">
        <f>IFERROR(VLOOKUP("17_"&amp;A279,SyS!$B:$P,12,FALSE()),0)</f>
        <v>0</v>
      </c>
      <c r="AC279" s="40">
        <f>+AA279-AB279</f>
        <v>0</v>
      </c>
      <c r="AD279" s="39"/>
      <c r="AE279" s="39"/>
      <c r="AF279" s="39"/>
      <c r="AG279" s="39">
        <f>IFERROR(VLOOKUP("19_"&amp;A279,SyS!$B:$P,10,FALSE()),0)</f>
        <v>0</v>
      </c>
      <c r="AH279" s="39">
        <f>IFERROR(VLOOKUP("19_"&amp;A279,SyS!$B:$P,12,FALSE()),0)</f>
        <v>0</v>
      </c>
      <c r="AI279" s="39">
        <f>+AG279-AH279</f>
        <v>0</v>
      </c>
      <c r="AJ279" s="39"/>
      <c r="AK279" s="39"/>
      <c r="AL279" s="39"/>
      <c r="AM279" s="38">
        <f>IFERROR(VLOOKUP("23_"&amp;A279,SyS!$B:$P,10,FALSE()),0)</f>
        <v>0</v>
      </c>
      <c r="AN279" s="39">
        <f>IFERROR(VLOOKUP("23_"&amp;A279,SyS!$B:$P,12,FALSE()),0)</f>
        <v>0</v>
      </c>
      <c r="AO279" s="40">
        <f>+AM279-AN279</f>
        <v>0</v>
      </c>
      <c r="AP279" s="39"/>
      <c r="AQ279" s="39"/>
      <c r="AR279" s="39"/>
      <c r="AS279" s="39"/>
      <c r="AT279" s="39"/>
      <c r="AU279" s="39"/>
      <c r="AV279" s="39"/>
      <c r="AW279" s="39"/>
      <c r="AX279" s="39"/>
      <c r="AY279" s="39"/>
      <c r="AZ279" s="39"/>
      <c r="BA279" s="39"/>
      <c r="BB279" s="39"/>
      <c r="BC279" s="39"/>
      <c r="BD279" s="39"/>
      <c r="BE279" s="39"/>
      <c r="BF279" s="39"/>
      <c r="BG279" s="39"/>
      <c r="BH279" s="39"/>
      <c r="BI279" s="39"/>
      <c r="BJ279" s="39"/>
      <c r="BK279" s="39">
        <f>IFERROR(VLOOKUP("29_"&amp;A279,SyS!$B:$P,10,FALSE()),0)</f>
        <v>0</v>
      </c>
      <c r="BL279" s="39">
        <f>IFERROR(VLOOKUP("29_"&amp;A279,SyS!$B:$P,12,FALSE()),0)</f>
        <v>0</v>
      </c>
      <c r="BM279" s="39">
        <f>+BK279-BL279</f>
        <v>0</v>
      </c>
      <c r="BN279" s="38">
        <f>IFERROR(VLOOKUP("30_"&amp;A279,SyS!$B:$P,10,FALSE()),0)</f>
        <v>0</v>
      </c>
      <c r="BO279" s="39">
        <f>IFERROR(VLOOKUP("30_"&amp;A279,SyS!$B:$P,12,FALSE()),0)</f>
        <v>0</v>
      </c>
      <c r="BP279" s="40">
        <f>+BN279-BO279</f>
        <v>0</v>
      </c>
      <c r="BQ279" s="45">
        <f>+E279+H279+K279+Q279+T279+W279+Z279+AC279+AF279+AI279+AL279+AO279+AR279+AU279+AX279+BA279+BD279+BG279+BJ279+BM279+BP279</f>
        <v>0</v>
      </c>
    </row>
    <row r="280" ht="11.25" customHeight="1" spans="1:69" x14ac:dyDescent="0.25">
      <c r="A280" s="18">
        <v>421930000</v>
      </c>
      <c r="B280" s="18" t="s">
        <v>509</v>
      </c>
      <c r="C280" s="38">
        <f>IFERROR(VLOOKUP("1_"&amp;A280,SyS!$B:$P,10,FALSE()),0)</f>
        <v>0</v>
      </c>
      <c r="D280" s="39">
        <f>IFERROR(VLOOKUP("1_"&amp;A280,SyS!$B:$P,12,FALSE()),0)</f>
        <v>0</v>
      </c>
      <c r="E280" s="39">
        <f>+C280-D280</f>
        <v>0</v>
      </c>
      <c r="F280" s="38">
        <f>IFERROR(VLOOKUP("2_"&amp;A280,SyS!$B:$P,10,FALSE()),0)</f>
        <v>0</v>
      </c>
      <c r="G280" s="39">
        <f>IFERROR(VLOOKUP("2_"&amp;A280,SyS!$B:$P,12,FALSE()),0)</f>
        <v>0</v>
      </c>
      <c r="H280" s="40">
        <f>+F280-G280</f>
        <v>0</v>
      </c>
      <c r="I280" s="39"/>
      <c r="J280" s="39"/>
      <c r="K280" s="39"/>
      <c r="L280" s="39"/>
      <c r="M280" s="39"/>
      <c r="N280" s="39"/>
      <c r="O280" s="38">
        <f>IFERROR(VLOOKUP("14_"&amp;A280,SyS!$B:$P,10,FALSE()),0)</f>
        <v>0</v>
      </c>
      <c r="P280" s="39">
        <f>IFERROR(VLOOKUP("14_"&amp;A280,SyS!$B:$P,12,FALSE()),0)</f>
        <v>0</v>
      </c>
      <c r="Q280" s="40">
        <f>+O280-P280</f>
        <v>0</v>
      </c>
      <c r="R280" s="38">
        <f>IFERROR(VLOOKUP("15_"&amp;A280,SyS!$B:$P,10,FALSE()),0)</f>
        <v>0</v>
      </c>
      <c r="S280" s="39">
        <f>IFERROR(VLOOKUP("15_"&amp;A280,SyS!$B:$P,12,FALSE()),0)</f>
        <v>0</v>
      </c>
      <c r="T280" s="40">
        <f>+R280-S280</f>
        <v>0</v>
      </c>
      <c r="U280" s="38">
        <f>IFERROR(VLOOKUP("16_"&amp;A280,SyS!$B:$P,10,FALSE()),0)</f>
        <v>0</v>
      </c>
      <c r="V280" s="39">
        <f>IFERROR(VLOOKUP("16_"&amp;A280,SyS!$B:$P,12,FALSE()),0)</f>
        <v>0</v>
      </c>
      <c r="W280" s="40">
        <f>+U280-V280</f>
        <v>0</v>
      </c>
      <c r="X280" s="38">
        <f>IFERROR(VLOOKUP("13_"&amp;A280,SyS!$B:$P,10,FALSE()),0)</f>
        <v>0</v>
      </c>
      <c r="Y280" s="39">
        <f>IFERROR(VLOOKUP("13_"&amp;A280,SyS!$B:$P,12,FALSE()),0)</f>
        <v>0</v>
      </c>
      <c r="Z280" s="40">
        <f>+X280-Y280</f>
        <v>0</v>
      </c>
      <c r="AA280" s="38">
        <f>IFERROR(VLOOKUP("17_"&amp;A280,SyS!$B:$P,10,FALSE()),0)</f>
        <v>0</v>
      </c>
      <c r="AB280" s="39">
        <f>IFERROR(VLOOKUP("17_"&amp;A280,SyS!$B:$P,12,FALSE()),0)</f>
        <v>0</v>
      </c>
      <c r="AC280" s="40">
        <f>+AA280-AB280</f>
        <v>0</v>
      </c>
      <c r="AD280" s="39"/>
      <c r="AE280" s="39"/>
      <c r="AF280" s="39"/>
      <c r="AG280" s="39">
        <f>IFERROR(VLOOKUP("19_"&amp;A280,SyS!$B:$P,10,FALSE()),0)</f>
        <v>0</v>
      </c>
      <c r="AH280" s="39">
        <f>IFERROR(VLOOKUP("19_"&amp;A280,SyS!$B:$P,12,FALSE()),0)</f>
        <v>0</v>
      </c>
      <c r="AI280" s="39">
        <f>+AG280-AH280</f>
        <v>0</v>
      </c>
      <c r="AJ280" s="39"/>
      <c r="AK280" s="39"/>
      <c r="AL280" s="39"/>
      <c r="AM280" s="38">
        <f>IFERROR(VLOOKUP("23_"&amp;A280,SyS!$B:$P,10,FALSE()),0)</f>
        <v>0</v>
      </c>
      <c r="AN280" s="39">
        <f>IFERROR(VLOOKUP("23_"&amp;A280,SyS!$B:$P,12,FALSE()),0)</f>
        <v>0</v>
      </c>
      <c r="AO280" s="40">
        <f>+AM280-AN280</f>
        <v>0</v>
      </c>
      <c r="AP280" s="39"/>
      <c r="AQ280" s="39"/>
      <c r="AR280" s="39"/>
      <c r="AS280" s="39"/>
      <c r="AT280" s="39"/>
      <c r="AU280" s="39"/>
      <c r="AV280" s="39"/>
      <c r="AW280" s="39"/>
      <c r="AX280" s="39"/>
      <c r="AY280" s="39"/>
      <c r="AZ280" s="39"/>
      <c r="BA280" s="39"/>
      <c r="BB280" s="39"/>
      <c r="BC280" s="39"/>
      <c r="BD280" s="39"/>
      <c r="BE280" s="39"/>
      <c r="BF280" s="39"/>
      <c r="BG280" s="39"/>
      <c r="BH280" s="39"/>
      <c r="BI280" s="39"/>
      <c r="BJ280" s="39"/>
      <c r="BK280" s="39">
        <f>IFERROR(VLOOKUP("29_"&amp;A280,SyS!$B:$P,10,FALSE()),0)</f>
        <v>0</v>
      </c>
      <c r="BL280" s="39">
        <f>IFERROR(VLOOKUP("29_"&amp;A280,SyS!$B:$P,12,FALSE()),0)</f>
        <v>0</v>
      </c>
      <c r="BM280" s="39">
        <f>+BK280-BL280</f>
        <v>0</v>
      </c>
      <c r="BN280" s="38">
        <f>IFERROR(VLOOKUP("30_"&amp;A280,SyS!$B:$P,10,FALSE()),0)</f>
        <v>0</v>
      </c>
      <c r="BO280" s="39">
        <f>IFERROR(VLOOKUP("30_"&amp;A280,SyS!$B:$P,12,FALSE()),0)</f>
        <v>0</v>
      </c>
      <c r="BP280" s="40">
        <f>+BN280-BO280</f>
        <v>0</v>
      </c>
      <c r="BQ280" s="45">
        <f>+E280+H280+K280+Q280+T280+W280+Z280+AC280+AF280+AI280+AL280+AO280+AR280+AU280+AX280+BA280+BD280+BG280+BJ280+BM280+BP280</f>
        <v>0</v>
      </c>
    </row>
    <row r="281" ht="11.25" customHeight="1" spans="1:69" x14ac:dyDescent="0.25">
      <c r="A281" s="18">
        <v>421540000</v>
      </c>
      <c r="B281" s="18" t="s">
        <v>510</v>
      </c>
      <c r="C281" s="38">
        <f>IFERROR(VLOOKUP("1_"&amp;A281,SyS!$B:$P,10,FALSE()),0)</f>
        <v>0</v>
      </c>
      <c r="D281" s="39">
        <f>IFERROR(VLOOKUP("1_"&amp;A281,SyS!$B:$P,12,FALSE()),0)</f>
        <v>0</v>
      </c>
      <c r="E281" s="39">
        <f>+C281-D281</f>
        <v>0</v>
      </c>
      <c r="F281" s="38">
        <f>IFERROR(VLOOKUP("2_"&amp;A281,SyS!$B:$P,10,FALSE()),0)</f>
        <v>0</v>
      </c>
      <c r="G281" s="39">
        <f>IFERROR(VLOOKUP("2_"&amp;A281,SyS!$B:$P,12,FALSE()),0)</f>
        <v>0</v>
      </c>
      <c r="H281" s="40">
        <f>+F281-G281</f>
        <v>0</v>
      </c>
      <c r="I281" s="39"/>
      <c r="J281" s="39"/>
      <c r="K281" s="39"/>
      <c r="L281" s="39"/>
      <c r="M281" s="39"/>
      <c r="N281" s="39"/>
      <c r="O281" s="38">
        <f>IFERROR(VLOOKUP("14_"&amp;A281,SyS!$B:$P,10,FALSE()),0)</f>
        <v>0</v>
      </c>
      <c r="P281" s="39">
        <f>IFERROR(VLOOKUP("14_"&amp;A281,SyS!$B:$P,12,FALSE()),0)</f>
        <v>0</v>
      </c>
      <c r="Q281" s="40">
        <f>+O281-P281</f>
        <v>0</v>
      </c>
      <c r="R281" s="38">
        <f>IFERROR(VLOOKUP("15_"&amp;A281,SyS!$B:$P,10,FALSE()),0)</f>
        <v>0</v>
      </c>
      <c r="S281" s="39">
        <f>IFERROR(VLOOKUP("15_"&amp;A281,SyS!$B:$P,12,FALSE()),0)</f>
        <v>0</v>
      </c>
      <c r="T281" s="40">
        <f>+R281-S281</f>
        <v>0</v>
      </c>
      <c r="U281" s="38">
        <f>IFERROR(VLOOKUP("16_"&amp;A281,SyS!$B:$P,10,FALSE()),0)</f>
        <v>0</v>
      </c>
      <c r="V281" s="39">
        <f>IFERROR(VLOOKUP("16_"&amp;A281,SyS!$B:$P,12,FALSE()),0)</f>
        <v>0</v>
      </c>
      <c r="W281" s="40">
        <f>+U281-V281</f>
        <v>0</v>
      </c>
      <c r="X281" s="38">
        <f>IFERROR(VLOOKUP("13_"&amp;A281,SyS!$B:$P,10,FALSE()),0)</f>
        <v>0</v>
      </c>
      <c r="Y281" s="39">
        <f>IFERROR(VLOOKUP("13_"&amp;A281,SyS!$B:$P,12,FALSE()),0)</f>
        <v>0</v>
      </c>
      <c r="Z281" s="40">
        <f>+X281-Y281</f>
        <v>0</v>
      </c>
      <c r="AA281" s="38">
        <f>IFERROR(VLOOKUP("17_"&amp;A281,SyS!$B:$P,10,FALSE()),0)</f>
        <v>0</v>
      </c>
      <c r="AB281" s="39">
        <f>IFERROR(VLOOKUP("17_"&amp;A281,SyS!$B:$P,12,FALSE()),0)</f>
        <v>0</v>
      </c>
      <c r="AC281" s="40">
        <f>+AA281-AB281</f>
        <v>0</v>
      </c>
      <c r="AD281" s="39"/>
      <c r="AE281" s="39"/>
      <c r="AF281" s="39"/>
      <c r="AG281" s="39">
        <f>IFERROR(VLOOKUP("19_"&amp;A281,SyS!$B:$P,10,FALSE()),0)</f>
        <v>0</v>
      </c>
      <c r="AH281" s="39">
        <f>IFERROR(VLOOKUP("19_"&amp;A281,SyS!$B:$P,12,FALSE()),0)</f>
        <v>0</v>
      </c>
      <c r="AI281" s="39">
        <f>+AG281-AH281</f>
        <v>0</v>
      </c>
      <c r="AJ281" s="39"/>
      <c r="AK281" s="39"/>
      <c r="AL281" s="39"/>
      <c r="AM281" s="38">
        <f>IFERROR(VLOOKUP("23_"&amp;A281,SyS!$B:$P,10,FALSE()),0)</f>
        <v>0</v>
      </c>
      <c r="AN281" s="39">
        <f>IFERROR(VLOOKUP("23_"&amp;A281,SyS!$B:$P,12,FALSE()),0)</f>
        <v>0</v>
      </c>
      <c r="AO281" s="40">
        <f>+AM281-AN281</f>
        <v>0</v>
      </c>
      <c r="AP281" s="39"/>
      <c r="AQ281" s="39"/>
      <c r="AR281" s="39"/>
      <c r="AS281" s="39"/>
      <c r="AT281" s="39"/>
      <c r="AU281" s="39"/>
      <c r="AV281" s="39"/>
      <c r="AW281" s="39"/>
      <c r="AX281" s="39"/>
      <c r="AY281" s="39"/>
      <c r="AZ281" s="39"/>
      <c r="BA281" s="39"/>
      <c r="BB281" s="39"/>
      <c r="BC281" s="39"/>
      <c r="BD281" s="39"/>
      <c r="BE281" s="39"/>
      <c r="BF281" s="39"/>
      <c r="BG281" s="39"/>
      <c r="BH281" s="39"/>
      <c r="BI281" s="39"/>
      <c r="BJ281" s="39"/>
      <c r="BK281" s="39">
        <f>IFERROR(VLOOKUP("29_"&amp;A281,SyS!$B:$P,10,FALSE()),0)</f>
        <v>0</v>
      </c>
      <c r="BL281" s="39">
        <f>IFERROR(VLOOKUP("29_"&amp;A281,SyS!$B:$P,12,FALSE()),0)</f>
        <v>0</v>
      </c>
      <c r="BM281" s="39">
        <f>+BK281-BL281</f>
        <v>0</v>
      </c>
      <c r="BN281" s="38">
        <f>IFERROR(VLOOKUP("30_"&amp;A281,SyS!$B:$P,10,FALSE()),0)</f>
        <v>0</v>
      </c>
      <c r="BO281" s="39">
        <f>IFERROR(VLOOKUP("30_"&amp;A281,SyS!$B:$P,12,FALSE()),0)</f>
        <v>0</v>
      </c>
      <c r="BP281" s="40">
        <f>+BN281-BO281</f>
        <v>0</v>
      </c>
      <c r="BQ281" s="45">
        <f>+E281+H281+K281+Q281+T281+W281+Z281+AC281+AF281+AI281+AL281+AO281+AR281+AU281+AX281+BA281+BD281+BG281+BJ281+BM281+BP281</f>
        <v>0</v>
      </c>
    </row>
    <row r="282" ht="11.25" customHeight="1" spans="1:69" x14ac:dyDescent="0.25">
      <c r="A282" s="18">
        <v>426640000</v>
      </c>
      <c r="B282" s="18" t="s">
        <v>511</v>
      </c>
      <c r="C282" s="38">
        <f>IFERROR(VLOOKUP("1_"&amp;A282,SyS!$B:$P,10,FALSE()),0)</f>
        <v>0</v>
      </c>
      <c r="D282" s="39">
        <f>IFERROR(VLOOKUP("1_"&amp;A282,SyS!$B:$P,12,FALSE()),0)</f>
        <v>0</v>
      </c>
      <c r="E282" s="39">
        <f>+C282-D282</f>
        <v>0</v>
      </c>
      <c r="F282" s="38">
        <f>IFERROR(VLOOKUP("2_"&amp;A282,SyS!$B:$P,10,FALSE()),0)</f>
        <v>0</v>
      </c>
      <c r="G282" s="39">
        <f>IFERROR(VLOOKUP("2_"&amp;A282,SyS!$B:$P,12,FALSE()),0)</f>
        <v>0</v>
      </c>
      <c r="H282" s="40">
        <f>+F282-G282</f>
        <v>0</v>
      </c>
      <c r="I282" s="39"/>
      <c r="J282" s="39"/>
      <c r="K282" s="39"/>
      <c r="L282" s="39"/>
      <c r="M282" s="39"/>
      <c r="N282" s="39"/>
      <c r="O282" s="38">
        <f>IFERROR(VLOOKUP("14_"&amp;A282,SyS!$B:$P,10,FALSE()),0)</f>
        <v>0</v>
      </c>
      <c r="P282" s="39">
        <f>IFERROR(VLOOKUP("14_"&amp;A282,SyS!$B:$P,12,FALSE()),0)</f>
        <v>0</v>
      </c>
      <c r="Q282" s="40">
        <f>+O282-P282</f>
        <v>0</v>
      </c>
      <c r="R282" s="38">
        <f>IFERROR(VLOOKUP("15_"&amp;A282,SyS!$B:$P,10,FALSE()),0)</f>
        <v>0</v>
      </c>
      <c r="S282" s="39">
        <f>IFERROR(VLOOKUP("15_"&amp;A282,SyS!$B:$P,12,FALSE()),0)</f>
        <v>0</v>
      </c>
      <c r="T282" s="40">
        <f>+R282-S282</f>
        <v>0</v>
      </c>
      <c r="U282" s="38">
        <f>IFERROR(VLOOKUP("16_"&amp;A282,SyS!$B:$P,10,FALSE()),0)</f>
        <v>0</v>
      </c>
      <c r="V282" s="39">
        <f>IFERROR(VLOOKUP("16_"&amp;A282,SyS!$B:$P,12,FALSE()),0)</f>
        <v>0</v>
      </c>
      <c r="W282" s="40">
        <f>+U282-V282</f>
        <v>0</v>
      </c>
      <c r="X282" s="38">
        <f>IFERROR(VLOOKUP("13_"&amp;A282,SyS!$B:$P,10,FALSE()),0)</f>
        <v>0</v>
      </c>
      <c r="Y282" s="39">
        <f>IFERROR(VLOOKUP("13_"&amp;A282,SyS!$B:$P,12,FALSE()),0)</f>
        <v>0</v>
      </c>
      <c r="Z282" s="40">
        <f>+X282-Y282</f>
        <v>0</v>
      </c>
      <c r="AA282" s="38">
        <f>IFERROR(VLOOKUP("17_"&amp;A282,SyS!$B:$P,10,FALSE()),0)</f>
        <v>0</v>
      </c>
      <c r="AB282" s="39">
        <f>IFERROR(VLOOKUP("17_"&amp;A282,SyS!$B:$P,12,FALSE()),0)</f>
        <v>0</v>
      </c>
      <c r="AC282" s="40">
        <f>+AA282-AB282</f>
        <v>0</v>
      </c>
      <c r="AD282" s="39"/>
      <c r="AE282" s="39"/>
      <c r="AF282" s="39"/>
      <c r="AG282" s="39">
        <f>IFERROR(VLOOKUP("19_"&amp;A282,SyS!$B:$P,10,FALSE()),0)</f>
        <v>0</v>
      </c>
      <c r="AH282" s="39">
        <f>IFERROR(VLOOKUP("19_"&amp;A282,SyS!$B:$P,12,FALSE()),0)</f>
        <v>0</v>
      </c>
      <c r="AI282" s="39">
        <f>+AG282-AH282</f>
        <v>0</v>
      </c>
      <c r="AJ282" s="39"/>
      <c r="AK282" s="39"/>
      <c r="AL282" s="39"/>
      <c r="AM282" s="38">
        <f>IFERROR(VLOOKUP("23_"&amp;A282,SyS!$B:$P,10,FALSE()),0)</f>
        <v>0</v>
      </c>
      <c r="AN282" s="39">
        <f>IFERROR(VLOOKUP("23_"&amp;A282,SyS!$B:$P,12,FALSE()),0)</f>
        <v>0</v>
      </c>
      <c r="AO282" s="40">
        <f>+AM282-AN282</f>
        <v>0</v>
      </c>
      <c r="AP282" s="39"/>
      <c r="AQ282" s="39"/>
      <c r="AR282" s="39"/>
      <c r="AS282" s="39"/>
      <c r="AT282" s="39"/>
      <c r="AU282" s="39"/>
      <c r="AV282" s="39"/>
      <c r="AW282" s="39"/>
      <c r="AX282" s="39"/>
      <c r="AY282" s="39"/>
      <c r="AZ282" s="39"/>
      <c r="BA282" s="39"/>
      <c r="BB282" s="39"/>
      <c r="BC282" s="39"/>
      <c r="BD282" s="39"/>
      <c r="BE282" s="39"/>
      <c r="BF282" s="39"/>
      <c r="BG282" s="39"/>
      <c r="BH282" s="39"/>
      <c r="BI282" s="39"/>
      <c r="BJ282" s="39"/>
      <c r="BK282" s="39">
        <f>IFERROR(VLOOKUP("29_"&amp;A282,SyS!$B:$P,10,FALSE()),0)</f>
        <v>0</v>
      </c>
      <c r="BL282" s="39">
        <f>IFERROR(VLOOKUP("29_"&amp;A282,SyS!$B:$P,12,FALSE()),0)</f>
        <v>0</v>
      </c>
      <c r="BM282" s="39">
        <f>+BK282-BL282</f>
        <v>0</v>
      </c>
      <c r="BN282" s="38">
        <f>IFERROR(VLOOKUP("30_"&amp;A282,SyS!$B:$P,10,FALSE()),0)</f>
        <v>0</v>
      </c>
      <c r="BO282" s="39">
        <f>IFERROR(VLOOKUP("30_"&amp;A282,SyS!$B:$P,12,FALSE()),0)</f>
        <v>0</v>
      </c>
      <c r="BP282" s="40">
        <f>+BN282-BO282</f>
        <v>0</v>
      </c>
      <c r="BQ282" s="45">
        <f>+E282+H282+K282+Q282+T282+W282+Z282+AC282+AF282+AI282+AL282+AO282+AR282+AU282+AX282+BA282+BD282+BG282+BJ282+BM282+BP282</f>
        <v>0</v>
      </c>
    </row>
    <row r="283" ht="11.25" customHeight="1" spans="1:69" x14ac:dyDescent="0.25">
      <c r="A283" s="18">
        <v>426810000</v>
      </c>
      <c r="B283" s="18" t="s">
        <v>512</v>
      </c>
      <c r="C283" s="38">
        <f>IFERROR(VLOOKUP("1_"&amp;A283,SyS!$B:$P,10,FALSE()),0)</f>
        <v>0</v>
      </c>
      <c r="D283" s="39">
        <f>IFERROR(VLOOKUP("1_"&amp;A283,SyS!$B:$P,12,FALSE()),0)</f>
        <v>0</v>
      </c>
      <c r="E283" s="39">
        <f>+C283-D283</f>
        <v>0</v>
      </c>
      <c r="F283" s="38">
        <f>IFERROR(VLOOKUP("2_"&amp;A283,SyS!$B:$P,10,FALSE()),0)</f>
        <v>0</v>
      </c>
      <c r="G283" s="39">
        <f>IFERROR(VLOOKUP("2_"&amp;A283,SyS!$B:$P,12,FALSE()),0)</f>
        <v>0</v>
      </c>
      <c r="H283" s="40">
        <f>+F283-G283</f>
        <v>0</v>
      </c>
      <c r="I283" s="39"/>
      <c r="J283" s="39"/>
      <c r="K283" s="39"/>
      <c r="L283" s="39"/>
      <c r="M283" s="39"/>
      <c r="N283" s="39"/>
      <c r="O283" s="38">
        <f>IFERROR(VLOOKUP("14_"&amp;A283,SyS!$B:$P,10,FALSE()),0)</f>
        <v>0</v>
      </c>
      <c r="P283" s="39">
        <f>IFERROR(VLOOKUP("14_"&amp;A283,SyS!$B:$P,12,FALSE()),0)</f>
        <v>0</v>
      </c>
      <c r="Q283" s="40">
        <f>+O283-P283</f>
        <v>0</v>
      </c>
      <c r="R283" s="38">
        <f>IFERROR(VLOOKUP("15_"&amp;A283,SyS!$B:$P,10,FALSE()),0)</f>
        <v>0</v>
      </c>
      <c r="S283" s="39">
        <f>IFERROR(VLOOKUP("15_"&amp;A283,SyS!$B:$P,12,FALSE()),0)</f>
        <v>0</v>
      </c>
      <c r="T283" s="40">
        <f>+R283-S283</f>
        <v>0</v>
      </c>
      <c r="U283" s="38">
        <f>IFERROR(VLOOKUP("16_"&amp;A283,SyS!$B:$P,10,FALSE()),0)</f>
        <v>0</v>
      </c>
      <c r="V283" s="39">
        <f>IFERROR(VLOOKUP("16_"&amp;A283,SyS!$B:$P,12,FALSE()),0)</f>
        <v>0</v>
      </c>
      <c r="W283" s="40">
        <f>+U283-V283</f>
        <v>0</v>
      </c>
      <c r="X283" s="38">
        <f>IFERROR(VLOOKUP("13_"&amp;A283,SyS!$B:$P,10,FALSE()),0)</f>
        <v>0</v>
      </c>
      <c r="Y283" s="39">
        <f>IFERROR(VLOOKUP("13_"&amp;A283,SyS!$B:$P,12,FALSE()),0)</f>
        <v>0</v>
      </c>
      <c r="Z283" s="40">
        <f>+X283-Y283</f>
        <v>0</v>
      </c>
      <c r="AA283" s="38">
        <f>IFERROR(VLOOKUP("17_"&amp;A283,SyS!$B:$P,10,FALSE()),0)</f>
        <v>0</v>
      </c>
      <c r="AB283" s="39">
        <f>IFERROR(VLOOKUP("17_"&amp;A283,SyS!$B:$P,12,FALSE()),0)</f>
        <v>0</v>
      </c>
      <c r="AC283" s="40">
        <f>+AA283-AB283</f>
        <v>0</v>
      </c>
      <c r="AD283" s="39"/>
      <c r="AE283" s="39"/>
      <c r="AF283" s="39"/>
      <c r="AG283" s="39">
        <f>IFERROR(VLOOKUP("19_"&amp;A283,SyS!$B:$P,10,FALSE()),0)</f>
        <v>0</v>
      </c>
      <c r="AH283" s="39">
        <f>IFERROR(VLOOKUP("19_"&amp;A283,SyS!$B:$P,12,FALSE()),0)</f>
        <v>0</v>
      </c>
      <c r="AI283" s="39">
        <f>+AG283-AH283</f>
        <v>0</v>
      </c>
      <c r="AJ283" s="39"/>
      <c r="AK283" s="39"/>
      <c r="AL283" s="39"/>
      <c r="AM283" s="38">
        <f>IFERROR(VLOOKUP("23_"&amp;A283,SyS!$B:$P,10,FALSE()),0)</f>
        <v>0</v>
      </c>
      <c r="AN283" s="39">
        <f>IFERROR(VLOOKUP("23_"&amp;A283,SyS!$B:$P,12,FALSE()),0)</f>
        <v>0</v>
      </c>
      <c r="AO283" s="40">
        <f>+AM283-AN283</f>
        <v>0</v>
      </c>
      <c r="AP283" s="39"/>
      <c r="AQ283" s="39"/>
      <c r="AR283" s="39"/>
      <c r="AS283" s="39"/>
      <c r="AT283" s="39"/>
      <c r="AU283" s="39"/>
      <c r="AV283" s="39"/>
      <c r="AW283" s="39"/>
      <c r="AX283" s="39"/>
      <c r="AY283" s="39"/>
      <c r="AZ283" s="39"/>
      <c r="BA283" s="39"/>
      <c r="BB283" s="39"/>
      <c r="BC283" s="39"/>
      <c r="BD283" s="39"/>
      <c r="BE283" s="39"/>
      <c r="BF283" s="39"/>
      <c r="BG283" s="39"/>
      <c r="BH283" s="39"/>
      <c r="BI283" s="39"/>
      <c r="BJ283" s="39"/>
      <c r="BK283" s="39">
        <f>IFERROR(VLOOKUP("29_"&amp;A283,SyS!$B:$P,10,FALSE()),0)</f>
        <v>0</v>
      </c>
      <c r="BL283" s="39">
        <f>IFERROR(VLOOKUP("29_"&amp;A283,SyS!$B:$P,12,FALSE()),0)</f>
        <v>0</v>
      </c>
      <c r="BM283" s="39">
        <f>+BK283-BL283</f>
        <v>0</v>
      </c>
      <c r="BN283" s="38">
        <f>IFERROR(VLOOKUP("30_"&amp;A283,SyS!$B:$P,10,FALSE()),0)</f>
        <v>0</v>
      </c>
      <c r="BO283" s="39">
        <f>IFERROR(VLOOKUP("30_"&amp;A283,SyS!$B:$P,12,FALSE()),0)</f>
        <v>0</v>
      </c>
      <c r="BP283" s="40">
        <f>+BN283-BO283</f>
        <v>0</v>
      </c>
      <c r="BQ283" s="45">
        <f>+E283+H283+K283+Q283+T283+W283+Z283+AC283+AF283+AI283+AL283+AO283+AR283+AU283+AX283+BA283+BD283+BG283+BJ283+BM283+BP283</f>
        <v>0</v>
      </c>
    </row>
    <row r="284" ht="11.25" customHeight="1" spans="1:69" x14ac:dyDescent="0.25">
      <c r="A284" s="18">
        <v>426580000</v>
      </c>
      <c r="B284" s="18" t="s">
        <v>513</v>
      </c>
      <c r="C284" s="38">
        <f>IFERROR(VLOOKUP("1_"&amp;A284,SyS!$B:$P,10,FALSE()),0)</f>
        <v>0</v>
      </c>
      <c r="D284" s="39">
        <f>IFERROR(VLOOKUP("1_"&amp;A284,SyS!$B:$P,12,FALSE()),0)</f>
        <v>0</v>
      </c>
      <c r="E284" s="39">
        <f>+C284-D284</f>
        <v>0</v>
      </c>
      <c r="F284" s="38">
        <f>IFERROR(VLOOKUP("2_"&amp;A284,SyS!$B:$P,10,FALSE()),0)</f>
        <v>0</v>
      </c>
      <c r="G284" s="39">
        <f>IFERROR(VLOOKUP("2_"&amp;A284,SyS!$B:$P,12,FALSE()),0)</f>
        <v>0</v>
      </c>
      <c r="H284" s="40">
        <f>+F284-G284</f>
        <v>0</v>
      </c>
      <c r="I284" s="39"/>
      <c r="J284" s="39"/>
      <c r="K284" s="39"/>
      <c r="L284" s="39"/>
      <c r="M284" s="39"/>
      <c r="N284" s="39"/>
      <c r="O284" s="38">
        <f>IFERROR(VLOOKUP("14_"&amp;A284,SyS!$B:$P,10,FALSE()),0)</f>
        <v>0</v>
      </c>
      <c r="P284" s="39">
        <f>IFERROR(VLOOKUP("14_"&amp;A284,SyS!$B:$P,12,FALSE()),0)</f>
        <v>0</v>
      </c>
      <c r="Q284" s="40">
        <f>+O284-P284</f>
        <v>0</v>
      </c>
      <c r="R284" s="38">
        <f>IFERROR(VLOOKUP("15_"&amp;A284,SyS!$B:$P,10,FALSE()),0)</f>
        <v>0</v>
      </c>
      <c r="S284" s="39">
        <f>IFERROR(VLOOKUP("15_"&amp;A284,SyS!$B:$P,12,FALSE()),0)</f>
        <v>0</v>
      </c>
      <c r="T284" s="40">
        <f>+R284-S284</f>
        <v>0</v>
      </c>
      <c r="U284" s="38">
        <f>IFERROR(VLOOKUP("16_"&amp;A284,SyS!$B:$P,10,FALSE()),0)</f>
        <v>0</v>
      </c>
      <c r="V284" s="39">
        <f>IFERROR(VLOOKUP("16_"&amp;A284,SyS!$B:$P,12,FALSE()),0)</f>
        <v>0</v>
      </c>
      <c r="W284" s="40">
        <f>+U284-V284</f>
        <v>0</v>
      </c>
      <c r="X284" s="38">
        <f>IFERROR(VLOOKUP("13_"&amp;A284,SyS!$B:$P,10,FALSE()),0)</f>
        <v>0</v>
      </c>
      <c r="Y284" s="39">
        <f>IFERROR(VLOOKUP("13_"&amp;A284,SyS!$B:$P,12,FALSE()),0)</f>
        <v>0</v>
      </c>
      <c r="Z284" s="40">
        <f>+X284-Y284</f>
        <v>0</v>
      </c>
      <c r="AA284" s="38">
        <f>IFERROR(VLOOKUP("17_"&amp;A284,SyS!$B:$P,10,FALSE()),0)</f>
        <v>0</v>
      </c>
      <c r="AB284" s="39">
        <f>IFERROR(VLOOKUP("17_"&amp;A284,SyS!$B:$P,12,FALSE()),0)</f>
        <v>0</v>
      </c>
      <c r="AC284" s="40">
        <f>+AA284-AB284</f>
        <v>0</v>
      </c>
      <c r="AD284" s="39"/>
      <c r="AE284" s="39"/>
      <c r="AF284" s="39"/>
      <c r="AG284" s="39">
        <f>IFERROR(VLOOKUP("19_"&amp;A284,SyS!$B:$P,10,FALSE()),0)</f>
        <v>0</v>
      </c>
      <c r="AH284" s="39">
        <f>IFERROR(VLOOKUP("19_"&amp;A284,SyS!$B:$P,12,FALSE()),0)</f>
        <v>0</v>
      </c>
      <c r="AI284" s="39">
        <f>+AG284-AH284</f>
        <v>0</v>
      </c>
      <c r="AJ284" s="39"/>
      <c r="AK284" s="39"/>
      <c r="AL284" s="39"/>
      <c r="AM284" s="38">
        <f>IFERROR(VLOOKUP("23_"&amp;A284,SyS!$B:$P,10,FALSE()),0)</f>
        <v>0</v>
      </c>
      <c r="AN284" s="39">
        <f>IFERROR(VLOOKUP("23_"&amp;A284,SyS!$B:$P,12,FALSE()),0)</f>
        <v>0</v>
      </c>
      <c r="AO284" s="40">
        <f>+AM284-AN284</f>
        <v>0</v>
      </c>
      <c r="AP284" s="39"/>
      <c r="AQ284" s="39"/>
      <c r="AR284" s="39"/>
      <c r="AS284" s="39"/>
      <c r="AT284" s="39"/>
      <c r="AU284" s="39"/>
      <c r="AV284" s="39"/>
      <c r="AW284" s="39"/>
      <c r="AX284" s="39"/>
      <c r="AY284" s="39"/>
      <c r="AZ284" s="39"/>
      <c r="BA284" s="39"/>
      <c r="BB284" s="39"/>
      <c r="BC284" s="39"/>
      <c r="BD284" s="39"/>
      <c r="BE284" s="39"/>
      <c r="BF284" s="39"/>
      <c r="BG284" s="39"/>
      <c r="BH284" s="39"/>
      <c r="BI284" s="39"/>
      <c r="BJ284" s="39"/>
      <c r="BK284" s="39">
        <f>IFERROR(VLOOKUP("29_"&amp;A284,SyS!$B:$P,10,FALSE()),0)</f>
        <v>0</v>
      </c>
      <c r="BL284" s="39">
        <f>IFERROR(VLOOKUP("29_"&amp;A284,SyS!$B:$P,12,FALSE()),0)</f>
        <v>0</v>
      </c>
      <c r="BM284" s="39">
        <f>+BK284-BL284</f>
        <v>0</v>
      </c>
      <c r="BN284" s="38">
        <f>IFERROR(VLOOKUP("30_"&amp;A284,SyS!$B:$P,10,FALSE()),0)</f>
        <v>0</v>
      </c>
      <c r="BO284" s="39">
        <f>IFERROR(VLOOKUP("30_"&amp;A284,SyS!$B:$P,12,FALSE()),0)</f>
        <v>0</v>
      </c>
      <c r="BP284" s="40">
        <f>+BN284-BO284</f>
        <v>0</v>
      </c>
      <c r="BQ284" s="45">
        <f>+E284+H284+K284+Q284+T284+W284+Z284+AC284+AF284+AI284+AL284+AO284+AR284+AU284+AX284+BA284+BD284+BG284+BJ284+BM284+BP284</f>
        <v>0</v>
      </c>
    </row>
    <row r="285" ht="11.25" customHeight="1" spans="1:69" x14ac:dyDescent="0.25">
      <c r="A285" s="18">
        <v>421970000</v>
      </c>
      <c r="B285" s="18" t="s">
        <v>514</v>
      </c>
      <c r="C285" s="38">
        <f>IFERROR(VLOOKUP("1_"&amp;A285,SyS!$B:$P,10,FALSE()),0)</f>
        <v>0</v>
      </c>
      <c r="D285" s="39">
        <f>IFERROR(VLOOKUP("1_"&amp;A285,SyS!$B:$P,12,FALSE()),0)</f>
        <v>0</v>
      </c>
      <c r="E285" s="39">
        <f>+C285-D285</f>
        <v>0</v>
      </c>
      <c r="F285" s="38">
        <f>IFERROR(VLOOKUP("2_"&amp;A285,SyS!$B:$P,10,FALSE()),0)</f>
        <v>0</v>
      </c>
      <c r="G285" s="39">
        <f>IFERROR(VLOOKUP("2_"&amp;A285,SyS!$B:$P,12,FALSE()),0)</f>
        <v>0</v>
      </c>
      <c r="H285" s="40">
        <f>+F285-G285</f>
        <v>0</v>
      </c>
      <c r="I285" s="39"/>
      <c r="J285" s="39"/>
      <c r="K285" s="39"/>
      <c r="L285" s="39"/>
      <c r="M285" s="39"/>
      <c r="N285" s="39"/>
      <c r="O285" s="38">
        <f>IFERROR(VLOOKUP("14_"&amp;A285,SyS!$B:$P,10,FALSE()),0)</f>
        <v>0</v>
      </c>
      <c r="P285" s="39">
        <f>IFERROR(VLOOKUP("14_"&amp;A285,SyS!$B:$P,12,FALSE()),0)</f>
        <v>0</v>
      </c>
      <c r="Q285" s="40">
        <f>+O285-P285</f>
        <v>0</v>
      </c>
      <c r="R285" s="38">
        <f>IFERROR(VLOOKUP("15_"&amp;A285,SyS!$B:$P,10,FALSE()),0)</f>
        <v>0</v>
      </c>
      <c r="S285" s="39">
        <f>IFERROR(VLOOKUP("15_"&amp;A285,SyS!$B:$P,12,FALSE()),0)</f>
        <v>0</v>
      </c>
      <c r="T285" s="40">
        <f>+R285-S285</f>
        <v>0</v>
      </c>
      <c r="U285" s="38">
        <f>IFERROR(VLOOKUP("16_"&amp;A285,SyS!$B:$P,10,FALSE()),0)</f>
        <v>0</v>
      </c>
      <c r="V285" s="39">
        <f>IFERROR(VLOOKUP("16_"&amp;A285,SyS!$B:$P,12,FALSE()),0)</f>
        <v>0</v>
      </c>
      <c r="W285" s="40">
        <f>+U285-V285</f>
        <v>0</v>
      </c>
      <c r="X285" s="38">
        <f>IFERROR(VLOOKUP("13_"&amp;A285,SyS!$B:$P,10,FALSE()),0)</f>
        <v>0</v>
      </c>
      <c r="Y285" s="39">
        <f>IFERROR(VLOOKUP("13_"&amp;A285,SyS!$B:$P,12,FALSE()),0)</f>
        <v>0</v>
      </c>
      <c r="Z285" s="40">
        <f>+X285-Y285</f>
        <v>0</v>
      </c>
      <c r="AA285" s="38">
        <f>IFERROR(VLOOKUP("17_"&amp;A285,SyS!$B:$P,10,FALSE()),0)</f>
        <v>0</v>
      </c>
      <c r="AB285" s="39">
        <f>IFERROR(VLOOKUP("17_"&amp;A285,SyS!$B:$P,12,FALSE()),0)</f>
        <v>0</v>
      </c>
      <c r="AC285" s="40">
        <f>+AA285-AB285</f>
        <v>0</v>
      </c>
      <c r="AD285" s="39"/>
      <c r="AE285" s="39"/>
      <c r="AF285" s="39"/>
      <c r="AG285" s="39">
        <f>IFERROR(VLOOKUP("19_"&amp;A285,SyS!$B:$P,10,FALSE()),0)</f>
        <v>0</v>
      </c>
      <c r="AH285" s="39">
        <f>IFERROR(VLOOKUP("19_"&amp;A285,SyS!$B:$P,12,FALSE()),0)</f>
        <v>0</v>
      </c>
      <c r="AI285" s="39">
        <f>+AG285-AH285</f>
        <v>0</v>
      </c>
      <c r="AJ285" s="39"/>
      <c r="AK285" s="39"/>
      <c r="AL285" s="39"/>
      <c r="AM285" s="38">
        <f>IFERROR(VLOOKUP("23_"&amp;A285,SyS!$B:$P,10,FALSE()),0)</f>
        <v>0</v>
      </c>
      <c r="AN285" s="39">
        <f>IFERROR(VLOOKUP("23_"&amp;A285,SyS!$B:$P,12,FALSE()),0)</f>
        <v>0</v>
      </c>
      <c r="AO285" s="40">
        <f>+AM285-AN285</f>
        <v>0</v>
      </c>
      <c r="AP285" s="39"/>
      <c r="AQ285" s="39"/>
      <c r="AR285" s="39"/>
      <c r="AS285" s="39"/>
      <c r="AT285" s="39"/>
      <c r="AU285" s="39"/>
      <c r="AV285" s="39"/>
      <c r="AW285" s="39"/>
      <c r="AX285" s="39"/>
      <c r="AY285" s="39"/>
      <c r="AZ285" s="39"/>
      <c r="BA285" s="39"/>
      <c r="BB285" s="39"/>
      <c r="BC285" s="39"/>
      <c r="BD285" s="39"/>
      <c r="BE285" s="39"/>
      <c r="BF285" s="39"/>
      <c r="BG285" s="39"/>
      <c r="BH285" s="39"/>
      <c r="BI285" s="39"/>
      <c r="BJ285" s="39"/>
      <c r="BK285" s="39">
        <f>IFERROR(VLOOKUP("29_"&amp;A285,SyS!$B:$P,10,FALSE()),0)</f>
        <v>0</v>
      </c>
      <c r="BL285" s="39">
        <f>IFERROR(VLOOKUP("29_"&amp;A285,SyS!$B:$P,12,FALSE()),0)</f>
        <v>0</v>
      </c>
      <c r="BM285" s="39">
        <f>+BK285-BL285</f>
        <v>0</v>
      </c>
      <c r="BN285" s="38">
        <f>IFERROR(VLOOKUP("30_"&amp;A285,SyS!$B:$P,10,FALSE()),0)</f>
        <v>0</v>
      </c>
      <c r="BO285" s="39">
        <f>IFERROR(VLOOKUP("30_"&amp;A285,SyS!$B:$P,12,FALSE()),0)</f>
        <v>0</v>
      </c>
      <c r="BP285" s="40">
        <f>+BN285-BO285</f>
        <v>0</v>
      </c>
      <c r="BQ285" s="45">
        <f>+E285+H285+K285+Q285+T285+W285+Z285+AC285+AF285+AI285+AL285+AO285+AR285+AU285+AX285+BA285+BD285+BG285+BJ285+BM285+BP285</f>
        <v>0</v>
      </c>
    </row>
    <row r="286" ht="11.25" customHeight="1" spans="1:69" x14ac:dyDescent="0.25">
      <c r="A286" s="18">
        <v>431030000</v>
      </c>
      <c r="B286" s="18" t="s">
        <v>515</v>
      </c>
      <c r="C286" s="38">
        <f>IFERROR(VLOOKUP("1_"&amp;A286,SyS!$B:$P,10,FALSE()),0)</f>
        <v>0</v>
      </c>
      <c r="D286" s="39">
        <f>IFERROR(VLOOKUP("1_"&amp;A286,SyS!$B:$P,12,FALSE()),0)</f>
        <v>0</v>
      </c>
      <c r="E286" s="39">
        <f>+C286-D286</f>
        <v>0</v>
      </c>
      <c r="F286" s="38">
        <f>IFERROR(VLOOKUP("2_"&amp;A286,SyS!$B:$P,10,FALSE()),0)</f>
        <v>0</v>
      </c>
      <c r="G286" s="39">
        <f>IFERROR(VLOOKUP("2_"&amp;A286,SyS!$B:$P,12,FALSE()),0)</f>
        <v>0</v>
      </c>
      <c r="H286" s="40">
        <f>+F286-G286</f>
        <v>0</v>
      </c>
      <c r="I286" s="39"/>
      <c r="J286" s="39"/>
      <c r="K286" s="39"/>
      <c r="L286" s="39"/>
      <c r="M286" s="39"/>
      <c r="N286" s="39"/>
      <c r="O286" s="38">
        <f>IFERROR(VLOOKUP("14_"&amp;A286,SyS!$B:$P,10,FALSE()),0)</f>
        <v>0</v>
      </c>
      <c r="P286" s="39">
        <f>IFERROR(VLOOKUP("14_"&amp;A286,SyS!$B:$P,12,FALSE()),0)</f>
        <v>0</v>
      </c>
      <c r="Q286" s="40">
        <f>+O286-P286</f>
        <v>0</v>
      </c>
      <c r="R286" s="38">
        <f>IFERROR(VLOOKUP("15_"&amp;A286,SyS!$B:$P,10,FALSE()),0)</f>
        <v>0</v>
      </c>
      <c r="S286" s="39">
        <f>IFERROR(VLOOKUP("15_"&amp;A286,SyS!$B:$P,12,FALSE()),0)</f>
        <v>0</v>
      </c>
      <c r="T286" s="40">
        <f>+R286-S286</f>
        <v>0</v>
      </c>
      <c r="U286" s="38">
        <f>IFERROR(VLOOKUP("16_"&amp;A286,SyS!$B:$P,10,FALSE()),0)</f>
        <v>0</v>
      </c>
      <c r="V286" s="39">
        <f>IFERROR(VLOOKUP("16_"&amp;A286,SyS!$B:$P,12,FALSE()),0)</f>
        <v>0</v>
      </c>
      <c r="W286" s="40">
        <f>+U286-V286</f>
        <v>0</v>
      </c>
      <c r="X286" s="38">
        <f>IFERROR(VLOOKUP("13_"&amp;A286,SyS!$B:$P,10,FALSE()),0)</f>
        <v>0</v>
      </c>
      <c r="Y286" s="39">
        <f>IFERROR(VLOOKUP("13_"&amp;A286,SyS!$B:$P,12,FALSE()),0)</f>
        <v>0</v>
      </c>
      <c r="Z286" s="40">
        <f>+X286-Y286</f>
        <v>0</v>
      </c>
      <c r="AA286" s="38">
        <f>IFERROR(VLOOKUP("17_"&amp;A286,SyS!$B:$P,10,FALSE()),0)</f>
        <v>0</v>
      </c>
      <c r="AB286" s="39">
        <f>IFERROR(VLOOKUP("17_"&amp;A286,SyS!$B:$P,12,FALSE()),0)</f>
        <v>0</v>
      </c>
      <c r="AC286" s="40">
        <f>+AA286-AB286</f>
        <v>0</v>
      </c>
      <c r="AD286" s="39"/>
      <c r="AE286" s="39"/>
      <c r="AF286" s="39"/>
      <c r="AG286" s="39">
        <f>IFERROR(VLOOKUP("19_"&amp;A286,SyS!$B:$P,10,FALSE()),0)</f>
        <v>0</v>
      </c>
      <c r="AH286" s="39">
        <f>IFERROR(VLOOKUP("19_"&amp;A286,SyS!$B:$P,12,FALSE()),0)</f>
        <v>0</v>
      </c>
      <c r="AI286" s="39">
        <f>+AG286-AH286</f>
        <v>0</v>
      </c>
      <c r="AJ286" s="39"/>
      <c r="AK286" s="39"/>
      <c r="AL286" s="39"/>
      <c r="AM286" s="38">
        <f>IFERROR(VLOOKUP("23_"&amp;A286,SyS!$B:$P,10,FALSE()),0)</f>
        <v>0</v>
      </c>
      <c r="AN286" s="39">
        <f>IFERROR(VLOOKUP("23_"&amp;A286,SyS!$B:$P,12,FALSE()),0)</f>
        <v>0</v>
      </c>
      <c r="AO286" s="40">
        <f>+AM286-AN286</f>
        <v>0</v>
      </c>
      <c r="AP286" s="39"/>
      <c r="AQ286" s="39"/>
      <c r="AR286" s="39"/>
      <c r="AS286" s="39"/>
      <c r="AT286" s="39"/>
      <c r="AU286" s="39"/>
      <c r="AV286" s="39"/>
      <c r="AW286" s="39"/>
      <c r="AX286" s="39"/>
      <c r="AY286" s="39"/>
      <c r="AZ286" s="39"/>
      <c r="BA286" s="39"/>
      <c r="BB286" s="39"/>
      <c r="BC286" s="39"/>
      <c r="BD286" s="39"/>
      <c r="BE286" s="39"/>
      <c r="BF286" s="39"/>
      <c r="BG286" s="39"/>
      <c r="BH286" s="39"/>
      <c r="BI286" s="39"/>
      <c r="BJ286" s="39"/>
      <c r="BK286" s="39">
        <f>IFERROR(VLOOKUP("29_"&amp;A286,SyS!$B:$P,10,FALSE()),0)</f>
        <v>0</v>
      </c>
      <c r="BL286" s="39">
        <f>IFERROR(VLOOKUP("29_"&amp;A286,SyS!$B:$P,12,FALSE()),0)</f>
        <v>0</v>
      </c>
      <c r="BM286" s="39">
        <f>+BK286-BL286</f>
        <v>0</v>
      </c>
      <c r="BN286" s="38">
        <f>IFERROR(VLOOKUP("30_"&amp;A286,SyS!$B:$P,10,FALSE()),0)</f>
        <v>0</v>
      </c>
      <c r="BO286" s="39">
        <f>IFERROR(VLOOKUP("30_"&amp;A286,SyS!$B:$P,12,FALSE()),0)</f>
        <v>0</v>
      </c>
      <c r="BP286" s="40">
        <f>+BN286-BO286</f>
        <v>0</v>
      </c>
      <c r="BQ286" s="45">
        <f>+E286+H286+K286+Q286+T286+W286+Z286+AC286+AF286+AI286+AL286+AO286+AR286+AU286+AX286+BA286+BD286+BG286+BJ286+BM286+BP286</f>
        <v>0</v>
      </c>
    </row>
    <row r="287" ht="11.25" customHeight="1" spans="1:69" x14ac:dyDescent="0.25">
      <c r="A287" s="18">
        <v>421980000</v>
      </c>
      <c r="B287" s="18" t="s">
        <v>516</v>
      </c>
      <c r="C287" s="38">
        <f>IFERROR(VLOOKUP("1_"&amp;A287,SyS!$B:$P,10,FALSE()),0)</f>
        <v>0</v>
      </c>
      <c r="D287" s="39">
        <f>IFERROR(VLOOKUP("1_"&amp;A287,SyS!$B:$P,12,FALSE()),0)</f>
        <v>0</v>
      </c>
      <c r="E287" s="39">
        <f>+C287-D287</f>
        <v>0</v>
      </c>
      <c r="F287" s="38">
        <f>IFERROR(VLOOKUP("2_"&amp;A287,SyS!$B:$P,10,FALSE()),0)</f>
        <v>0</v>
      </c>
      <c r="G287" s="39">
        <f>IFERROR(VLOOKUP("2_"&amp;A287,SyS!$B:$P,12,FALSE()),0)</f>
        <v>0</v>
      </c>
      <c r="H287" s="40">
        <f>+F287-G287</f>
        <v>0</v>
      </c>
      <c r="I287" s="39"/>
      <c r="J287" s="39"/>
      <c r="K287" s="39"/>
      <c r="L287" s="39"/>
      <c r="M287" s="39"/>
      <c r="N287" s="39"/>
      <c r="O287" s="38">
        <f>IFERROR(VLOOKUP("14_"&amp;A287,SyS!$B:$P,10,FALSE()),0)</f>
        <v>0</v>
      </c>
      <c r="P287" s="39">
        <f>IFERROR(VLOOKUP("14_"&amp;A287,SyS!$B:$P,12,FALSE()),0)</f>
        <v>0</v>
      </c>
      <c r="Q287" s="40">
        <f>+O287-P287</f>
        <v>0</v>
      </c>
      <c r="R287" s="38">
        <f>IFERROR(VLOOKUP("15_"&amp;A287,SyS!$B:$P,10,FALSE()),0)</f>
        <v>0</v>
      </c>
      <c r="S287" s="39">
        <f>IFERROR(VLOOKUP("15_"&amp;A287,SyS!$B:$P,12,FALSE()),0)</f>
        <v>0</v>
      </c>
      <c r="T287" s="40">
        <f>+R287-S287</f>
        <v>0</v>
      </c>
      <c r="U287" s="38">
        <f>IFERROR(VLOOKUP("16_"&amp;A287,SyS!$B:$P,10,FALSE()),0)</f>
        <v>0</v>
      </c>
      <c r="V287" s="39">
        <f>IFERROR(VLOOKUP("16_"&amp;A287,SyS!$B:$P,12,FALSE()),0)</f>
        <v>0</v>
      </c>
      <c r="W287" s="40">
        <f>+U287-V287</f>
        <v>0</v>
      </c>
      <c r="X287" s="38">
        <f>IFERROR(VLOOKUP("13_"&amp;A287,SyS!$B:$P,10,FALSE()),0)</f>
        <v>0</v>
      </c>
      <c r="Y287" s="39">
        <f>IFERROR(VLOOKUP("13_"&amp;A287,SyS!$B:$P,12,FALSE()),0)</f>
        <v>0</v>
      </c>
      <c r="Z287" s="40">
        <f>+X287-Y287</f>
        <v>0</v>
      </c>
      <c r="AA287" s="38">
        <f>IFERROR(VLOOKUP("17_"&amp;A287,SyS!$B:$P,10,FALSE()),0)</f>
        <v>0</v>
      </c>
      <c r="AB287" s="39">
        <f>IFERROR(VLOOKUP("17_"&amp;A287,SyS!$B:$P,12,FALSE()),0)</f>
        <v>0</v>
      </c>
      <c r="AC287" s="40">
        <f>+AA287-AB287</f>
        <v>0</v>
      </c>
      <c r="AD287" s="39"/>
      <c r="AE287" s="39"/>
      <c r="AF287" s="39"/>
      <c r="AG287" s="39">
        <f>IFERROR(VLOOKUP("19_"&amp;A287,SyS!$B:$P,10,FALSE()),0)</f>
        <v>0</v>
      </c>
      <c r="AH287" s="39">
        <f>IFERROR(VLOOKUP("19_"&amp;A287,SyS!$B:$P,12,FALSE()),0)</f>
        <v>0</v>
      </c>
      <c r="AI287" s="39">
        <f>+AG287-AH287</f>
        <v>0</v>
      </c>
      <c r="AJ287" s="39"/>
      <c r="AK287" s="39"/>
      <c r="AL287" s="39"/>
      <c r="AM287" s="38">
        <f>IFERROR(VLOOKUP("23_"&amp;A287,SyS!$B:$P,10,FALSE()),0)</f>
        <v>0</v>
      </c>
      <c r="AN287" s="39">
        <f>IFERROR(VLOOKUP("23_"&amp;A287,SyS!$B:$P,12,FALSE()),0)</f>
        <v>0</v>
      </c>
      <c r="AO287" s="40">
        <f>+AM287-AN287</f>
        <v>0</v>
      </c>
      <c r="AP287" s="39"/>
      <c r="AQ287" s="39"/>
      <c r="AR287" s="39"/>
      <c r="AS287" s="39"/>
      <c r="AT287" s="39"/>
      <c r="AU287" s="39"/>
      <c r="AV287" s="39"/>
      <c r="AW287" s="39"/>
      <c r="AX287" s="39"/>
      <c r="AY287" s="39"/>
      <c r="AZ287" s="39"/>
      <c r="BA287" s="39"/>
      <c r="BB287" s="39"/>
      <c r="BC287" s="39"/>
      <c r="BD287" s="39"/>
      <c r="BE287" s="39"/>
      <c r="BF287" s="39"/>
      <c r="BG287" s="39"/>
      <c r="BH287" s="39"/>
      <c r="BI287" s="39"/>
      <c r="BJ287" s="39"/>
      <c r="BK287" s="39">
        <f>IFERROR(VLOOKUP("29_"&amp;A287,SyS!$B:$P,10,FALSE()),0)</f>
        <v>0</v>
      </c>
      <c r="BL287" s="39">
        <f>IFERROR(VLOOKUP("29_"&amp;A287,SyS!$B:$P,12,FALSE()),0)</f>
        <v>0</v>
      </c>
      <c r="BM287" s="39">
        <f>+BK287-BL287</f>
        <v>0</v>
      </c>
      <c r="BN287" s="38">
        <f>IFERROR(VLOOKUP("30_"&amp;A287,SyS!$B:$P,10,FALSE()),0)</f>
        <v>0</v>
      </c>
      <c r="BO287" s="39">
        <f>IFERROR(VLOOKUP("30_"&amp;A287,SyS!$B:$P,12,FALSE()),0)</f>
        <v>0</v>
      </c>
      <c r="BP287" s="40">
        <f>+BN287-BO287</f>
        <v>0</v>
      </c>
      <c r="BQ287" s="45">
        <f>+E287+H287+K287+Q287+T287+W287+Z287+AC287+AF287+AI287+AL287+AO287+AR287+AU287+AX287+BA287+BD287+BG287+BJ287+BM287+BP287</f>
        <v>0</v>
      </c>
    </row>
    <row r="288" ht="11.25" customHeight="1" spans="1:69" x14ac:dyDescent="0.25">
      <c r="A288" s="18">
        <v>426610000</v>
      </c>
      <c r="B288" s="18" t="s">
        <v>517</v>
      </c>
      <c r="C288" s="38">
        <f>IFERROR(VLOOKUP("1_"&amp;A288,SyS!$B:$P,10,FALSE()),0)</f>
        <v>0</v>
      </c>
      <c r="D288" s="39">
        <f>IFERROR(VLOOKUP("1_"&amp;A288,SyS!$B:$P,12,FALSE()),0)</f>
        <v>0</v>
      </c>
      <c r="E288" s="39">
        <f>+C288-D288</f>
        <v>0</v>
      </c>
      <c r="F288" s="38">
        <f>IFERROR(VLOOKUP("2_"&amp;A288,SyS!$B:$P,10,FALSE()),0)</f>
        <v>0</v>
      </c>
      <c r="G288" s="39">
        <f>IFERROR(VLOOKUP("2_"&amp;A288,SyS!$B:$P,12,FALSE()),0)</f>
        <v>0</v>
      </c>
      <c r="H288" s="40">
        <f>+F288-G288</f>
        <v>0</v>
      </c>
      <c r="I288" s="39"/>
      <c r="J288" s="39"/>
      <c r="K288" s="39"/>
      <c r="L288" s="39"/>
      <c r="M288" s="39"/>
      <c r="N288" s="39"/>
      <c r="O288" s="38">
        <f>IFERROR(VLOOKUP("14_"&amp;A288,SyS!$B:$P,10,FALSE()),0)</f>
        <v>0</v>
      </c>
      <c r="P288" s="39">
        <f>IFERROR(VLOOKUP("14_"&amp;A288,SyS!$B:$P,12,FALSE()),0)</f>
        <v>0</v>
      </c>
      <c r="Q288" s="40">
        <f>+O288-P288</f>
        <v>0</v>
      </c>
      <c r="R288" s="38">
        <f>IFERROR(VLOOKUP("15_"&amp;A288,SyS!$B:$P,10,FALSE()),0)</f>
        <v>0</v>
      </c>
      <c r="S288" s="39">
        <f>IFERROR(VLOOKUP("15_"&amp;A288,SyS!$B:$P,12,FALSE()),0)</f>
        <v>0</v>
      </c>
      <c r="T288" s="40">
        <f>+R288-S288</f>
        <v>0</v>
      </c>
      <c r="U288" s="38">
        <f>IFERROR(VLOOKUP("16_"&amp;A288,SyS!$B:$P,10,FALSE()),0)</f>
        <v>0</v>
      </c>
      <c r="V288" s="39">
        <f>IFERROR(VLOOKUP("16_"&amp;A288,SyS!$B:$P,12,FALSE()),0)</f>
        <v>0</v>
      </c>
      <c r="W288" s="40">
        <f>+U288-V288</f>
        <v>0</v>
      </c>
      <c r="X288" s="38">
        <f>IFERROR(VLOOKUP("13_"&amp;A288,SyS!$B:$P,10,FALSE()),0)</f>
        <v>0</v>
      </c>
      <c r="Y288" s="39">
        <f>IFERROR(VLOOKUP("13_"&amp;A288,SyS!$B:$P,12,FALSE()),0)</f>
        <v>0</v>
      </c>
      <c r="Z288" s="40">
        <f>+X288-Y288</f>
        <v>0</v>
      </c>
      <c r="AA288" s="38">
        <f>IFERROR(VLOOKUP("17_"&amp;A288,SyS!$B:$P,10,FALSE()),0)</f>
        <v>0</v>
      </c>
      <c r="AB288" s="39">
        <f>IFERROR(VLOOKUP("17_"&amp;A288,SyS!$B:$P,12,FALSE()),0)</f>
        <v>0</v>
      </c>
      <c r="AC288" s="40">
        <f>+AA288-AB288</f>
        <v>0</v>
      </c>
      <c r="AD288" s="39"/>
      <c r="AE288" s="39"/>
      <c r="AF288" s="39"/>
      <c r="AG288" s="39">
        <f>IFERROR(VLOOKUP("19_"&amp;A288,SyS!$B:$P,10,FALSE()),0)</f>
        <v>0</v>
      </c>
      <c r="AH288" s="39">
        <f>IFERROR(VLOOKUP("19_"&amp;A288,SyS!$B:$P,12,FALSE()),0)</f>
        <v>0</v>
      </c>
      <c r="AI288" s="39">
        <f>+AG288-AH288</f>
        <v>0</v>
      </c>
      <c r="AJ288" s="39"/>
      <c r="AK288" s="39"/>
      <c r="AL288" s="39"/>
      <c r="AM288" s="38">
        <f>IFERROR(VLOOKUP("23_"&amp;A288,SyS!$B:$P,10,FALSE()),0)</f>
        <v>0</v>
      </c>
      <c r="AN288" s="39">
        <f>IFERROR(VLOOKUP("23_"&amp;A288,SyS!$B:$P,12,FALSE()),0)</f>
        <v>0</v>
      </c>
      <c r="AO288" s="40">
        <f>+AM288-AN288</f>
        <v>0</v>
      </c>
      <c r="AP288" s="39"/>
      <c r="AQ288" s="39"/>
      <c r="AR288" s="39"/>
      <c r="AS288" s="39"/>
      <c r="AT288" s="39"/>
      <c r="AU288" s="39"/>
      <c r="AV288" s="39"/>
      <c r="AW288" s="39"/>
      <c r="AX288" s="39"/>
      <c r="AY288" s="39"/>
      <c r="AZ288" s="39"/>
      <c r="BA288" s="39"/>
      <c r="BB288" s="39"/>
      <c r="BC288" s="39"/>
      <c r="BD288" s="39"/>
      <c r="BE288" s="39"/>
      <c r="BF288" s="39"/>
      <c r="BG288" s="39"/>
      <c r="BH288" s="39"/>
      <c r="BI288" s="39"/>
      <c r="BJ288" s="39"/>
      <c r="BK288" s="39">
        <f>IFERROR(VLOOKUP("29_"&amp;A288,SyS!$B:$P,10,FALSE()),0)</f>
        <v>0</v>
      </c>
      <c r="BL288" s="39">
        <f>IFERROR(VLOOKUP("29_"&amp;A288,SyS!$B:$P,12,FALSE()),0)</f>
        <v>0</v>
      </c>
      <c r="BM288" s="39">
        <f>+BK288-BL288</f>
        <v>0</v>
      </c>
      <c r="BN288" s="38">
        <f>IFERROR(VLOOKUP("30_"&amp;A288,SyS!$B:$P,10,FALSE()),0)</f>
        <v>0</v>
      </c>
      <c r="BO288" s="39">
        <f>IFERROR(VLOOKUP("30_"&amp;A288,SyS!$B:$P,12,FALSE()),0)</f>
        <v>0</v>
      </c>
      <c r="BP288" s="40">
        <f>+BN288-BO288</f>
        <v>0</v>
      </c>
      <c r="BQ288" s="45">
        <f>+E288+H288+K288+Q288+T288+W288+Z288+AC288+AF288+AI288+AL288+AO288+AR288+AU288+AX288+BA288+BD288+BG288+BJ288+BM288+BP288</f>
        <v>0</v>
      </c>
    </row>
    <row r="289" ht="11.25" customHeight="1" spans="1:69" x14ac:dyDescent="0.25">
      <c r="A289" s="18">
        <v>426650000</v>
      </c>
      <c r="B289" s="18" t="s">
        <v>518</v>
      </c>
      <c r="C289" s="38">
        <f>IFERROR(VLOOKUP("1_"&amp;A289,SyS!$B:$P,10,FALSE()),0)</f>
        <v>0</v>
      </c>
      <c r="D289" s="39">
        <f>IFERROR(VLOOKUP("1_"&amp;A289,SyS!$B:$P,12,FALSE()),0)</f>
        <v>0</v>
      </c>
      <c r="E289" s="39">
        <f>+C289-D289</f>
        <v>0</v>
      </c>
      <c r="F289" s="38">
        <f>IFERROR(VLOOKUP("2_"&amp;A289,SyS!$B:$P,10,FALSE()),0)</f>
        <v>0</v>
      </c>
      <c r="G289" s="39">
        <f>IFERROR(VLOOKUP("2_"&amp;A289,SyS!$B:$P,12,FALSE()),0)</f>
        <v>0</v>
      </c>
      <c r="H289" s="40">
        <f>+F289-G289</f>
        <v>0</v>
      </c>
      <c r="I289" s="39"/>
      <c r="J289" s="39"/>
      <c r="K289" s="39"/>
      <c r="L289" s="39"/>
      <c r="M289" s="39"/>
      <c r="N289" s="39"/>
      <c r="O289" s="38">
        <f>IFERROR(VLOOKUP("14_"&amp;A289,SyS!$B:$P,10,FALSE()),0)</f>
        <v>0</v>
      </c>
      <c r="P289" s="39">
        <f>IFERROR(VLOOKUP("14_"&amp;A289,SyS!$B:$P,12,FALSE()),0)</f>
        <v>0</v>
      </c>
      <c r="Q289" s="40">
        <f>+O289-P289</f>
        <v>0</v>
      </c>
      <c r="R289" s="38">
        <f>IFERROR(VLOOKUP("15_"&amp;A289,SyS!$B:$P,10,FALSE()),0)</f>
        <v>0</v>
      </c>
      <c r="S289" s="39">
        <f>IFERROR(VLOOKUP("15_"&amp;A289,SyS!$B:$P,12,FALSE()),0)</f>
        <v>0</v>
      </c>
      <c r="T289" s="40">
        <f>+R289-S289</f>
        <v>0</v>
      </c>
      <c r="U289" s="38">
        <f>IFERROR(VLOOKUP("16_"&amp;A289,SyS!$B:$P,10,FALSE()),0)</f>
        <v>0</v>
      </c>
      <c r="V289" s="39">
        <f>IFERROR(VLOOKUP("16_"&amp;A289,SyS!$B:$P,12,FALSE()),0)</f>
        <v>0</v>
      </c>
      <c r="W289" s="40">
        <f>+U289-V289</f>
        <v>0</v>
      </c>
      <c r="X289" s="38">
        <f>IFERROR(VLOOKUP("13_"&amp;A289,SyS!$B:$P,10,FALSE()),0)</f>
        <v>0</v>
      </c>
      <c r="Y289" s="39">
        <f>IFERROR(VLOOKUP("13_"&amp;A289,SyS!$B:$P,12,FALSE()),0)</f>
        <v>0</v>
      </c>
      <c r="Z289" s="40">
        <f>+X289-Y289</f>
        <v>0</v>
      </c>
      <c r="AA289" s="38">
        <f>IFERROR(VLOOKUP("17_"&amp;A289,SyS!$B:$P,10,FALSE()),0)</f>
        <v>0</v>
      </c>
      <c r="AB289" s="39">
        <f>IFERROR(VLOOKUP("17_"&amp;A289,SyS!$B:$P,12,FALSE()),0)</f>
        <v>0</v>
      </c>
      <c r="AC289" s="40">
        <f>+AA289-AB289</f>
        <v>0</v>
      </c>
      <c r="AD289" s="39"/>
      <c r="AE289" s="39"/>
      <c r="AF289" s="39"/>
      <c r="AG289" s="39">
        <f>IFERROR(VLOOKUP("19_"&amp;A289,SyS!$B:$P,10,FALSE()),0)</f>
        <v>0</v>
      </c>
      <c r="AH289" s="39">
        <f>IFERROR(VLOOKUP("19_"&amp;A289,SyS!$B:$P,12,FALSE()),0)</f>
        <v>0</v>
      </c>
      <c r="AI289" s="39">
        <f>+AG289-AH289</f>
        <v>0</v>
      </c>
      <c r="AJ289" s="39"/>
      <c r="AK289" s="39"/>
      <c r="AL289" s="39"/>
      <c r="AM289" s="38">
        <f>IFERROR(VLOOKUP("23_"&amp;A289,SyS!$B:$P,10,FALSE()),0)</f>
        <v>0</v>
      </c>
      <c r="AN289" s="39">
        <f>IFERROR(VLOOKUP("23_"&amp;A289,SyS!$B:$P,12,FALSE()),0)</f>
        <v>0</v>
      </c>
      <c r="AO289" s="40">
        <f>+AM289-AN289</f>
        <v>0</v>
      </c>
      <c r="AP289" s="39"/>
      <c r="AQ289" s="39"/>
      <c r="AR289" s="39"/>
      <c r="AS289" s="39"/>
      <c r="AT289" s="39"/>
      <c r="AU289" s="39"/>
      <c r="AV289" s="39"/>
      <c r="AW289" s="39"/>
      <c r="AX289" s="39"/>
      <c r="AY289" s="39"/>
      <c r="AZ289" s="39"/>
      <c r="BA289" s="39"/>
      <c r="BB289" s="39"/>
      <c r="BC289" s="39"/>
      <c r="BD289" s="39"/>
      <c r="BE289" s="39"/>
      <c r="BF289" s="39"/>
      <c r="BG289" s="39"/>
      <c r="BH289" s="39"/>
      <c r="BI289" s="39"/>
      <c r="BJ289" s="39"/>
      <c r="BK289" s="39">
        <f>IFERROR(VLOOKUP("29_"&amp;A289,SyS!$B:$P,10,FALSE()),0)</f>
        <v>0</v>
      </c>
      <c r="BL289" s="39">
        <f>IFERROR(VLOOKUP("29_"&amp;A289,SyS!$B:$P,12,FALSE()),0)</f>
        <v>0</v>
      </c>
      <c r="BM289" s="39">
        <f>+BK289-BL289</f>
        <v>0</v>
      </c>
      <c r="BN289" s="38">
        <f>IFERROR(VLOOKUP("30_"&amp;A289,SyS!$B:$P,10,FALSE()),0)</f>
        <v>0</v>
      </c>
      <c r="BO289" s="39">
        <f>IFERROR(VLOOKUP("30_"&amp;A289,SyS!$B:$P,12,FALSE()),0)</f>
        <v>0</v>
      </c>
      <c r="BP289" s="40">
        <f>+BN289-BO289</f>
        <v>0</v>
      </c>
      <c r="BQ289" s="45">
        <f>+E289+H289+K289+Q289+T289+W289+Z289+AC289+AF289+AI289+AL289+AO289+AR289+AU289+AX289+BA289+BD289+BG289+BJ289+BM289+BP289</f>
        <v>0</v>
      </c>
    </row>
    <row r="290" ht="11.25" customHeight="1" spans="1:69" x14ac:dyDescent="0.25">
      <c r="A290" s="18">
        <v>426660000</v>
      </c>
      <c r="B290" s="18" t="s">
        <v>519</v>
      </c>
      <c r="C290" s="38">
        <f>IFERROR(VLOOKUP("1_"&amp;A290,SyS!$B:$P,10,FALSE()),0)</f>
        <v>0</v>
      </c>
      <c r="D290" s="39">
        <f>IFERROR(VLOOKUP("1_"&amp;A290,SyS!$B:$P,12,FALSE()),0)</f>
        <v>0</v>
      </c>
      <c r="E290" s="39">
        <f>+C290-D290</f>
        <v>0</v>
      </c>
      <c r="F290" s="38">
        <f>IFERROR(VLOOKUP("2_"&amp;A290,SyS!$B:$P,10,FALSE()),0)</f>
        <v>0</v>
      </c>
      <c r="G290" s="39">
        <f>IFERROR(VLOOKUP("2_"&amp;A290,SyS!$B:$P,12,FALSE()),0)</f>
        <v>0</v>
      </c>
      <c r="H290" s="40">
        <f>+F290-G290</f>
        <v>0</v>
      </c>
      <c r="I290" s="39"/>
      <c r="J290" s="39"/>
      <c r="K290" s="39"/>
      <c r="L290" s="39"/>
      <c r="M290" s="39"/>
      <c r="N290" s="39"/>
      <c r="O290" s="38">
        <f>IFERROR(VLOOKUP("14_"&amp;A290,SyS!$B:$P,10,FALSE()),0)</f>
        <v>0</v>
      </c>
      <c r="P290" s="39">
        <f>IFERROR(VLOOKUP("14_"&amp;A290,SyS!$B:$P,12,FALSE()),0)</f>
        <v>0</v>
      </c>
      <c r="Q290" s="40">
        <f>+O290-P290</f>
        <v>0</v>
      </c>
      <c r="R290" s="38">
        <f>IFERROR(VLOOKUP("15_"&amp;A290,SyS!$B:$P,10,FALSE()),0)</f>
        <v>0</v>
      </c>
      <c r="S290" s="39">
        <f>IFERROR(VLOOKUP("15_"&amp;A290,SyS!$B:$P,12,FALSE()),0)</f>
        <v>0</v>
      </c>
      <c r="T290" s="40">
        <f>+R290-S290</f>
        <v>0</v>
      </c>
      <c r="U290" s="38">
        <f>IFERROR(VLOOKUP("16_"&amp;A290,SyS!$B:$P,10,FALSE()),0)</f>
        <v>0</v>
      </c>
      <c r="V290" s="39">
        <f>IFERROR(VLOOKUP("16_"&amp;A290,SyS!$B:$P,12,FALSE()),0)</f>
        <v>0</v>
      </c>
      <c r="W290" s="40">
        <f>+U290-V290</f>
        <v>0</v>
      </c>
      <c r="X290" s="38">
        <f>IFERROR(VLOOKUP("13_"&amp;A290,SyS!$B:$P,10,FALSE()),0)</f>
        <v>0</v>
      </c>
      <c r="Y290" s="39">
        <f>IFERROR(VLOOKUP("13_"&amp;A290,SyS!$B:$P,12,FALSE()),0)</f>
        <v>0</v>
      </c>
      <c r="Z290" s="40">
        <f>+X290-Y290</f>
        <v>0</v>
      </c>
      <c r="AA290" s="38">
        <f>IFERROR(VLOOKUP("17_"&amp;A290,SyS!$B:$P,10,FALSE()),0)</f>
        <v>0</v>
      </c>
      <c r="AB290" s="39">
        <f>IFERROR(VLOOKUP("17_"&amp;A290,SyS!$B:$P,12,FALSE()),0)</f>
        <v>0</v>
      </c>
      <c r="AC290" s="40">
        <f>+AA290-AB290</f>
        <v>0</v>
      </c>
      <c r="AD290" s="39"/>
      <c r="AE290" s="39"/>
      <c r="AF290" s="39"/>
      <c r="AG290" s="39">
        <f>IFERROR(VLOOKUP("19_"&amp;A290,SyS!$B:$P,10,FALSE()),0)</f>
        <v>0</v>
      </c>
      <c r="AH290" s="39">
        <f>IFERROR(VLOOKUP("19_"&amp;A290,SyS!$B:$P,12,FALSE()),0)</f>
        <v>0</v>
      </c>
      <c r="AI290" s="39">
        <f>+AG290-AH290</f>
        <v>0</v>
      </c>
      <c r="AJ290" s="39"/>
      <c r="AK290" s="39"/>
      <c r="AL290" s="39"/>
      <c r="AM290" s="38">
        <f>IFERROR(VLOOKUP("23_"&amp;A290,SyS!$B:$P,10,FALSE()),0)</f>
        <v>0</v>
      </c>
      <c r="AN290" s="39">
        <f>IFERROR(VLOOKUP("23_"&amp;A290,SyS!$B:$P,12,FALSE()),0)</f>
        <v>0</v>
      </c>
      <c r="AO290" s="40">
        <f>+AM290-AN290</f>
        <v>0</v>
      </c>
      <c r="AP290" s="39"/>
      <c r="AQ290" s="39"/>
      <c r="AR290" s="39"/>
      <c r="AS290" s="39"/>
      <c r="AT290" s="39"/>
      <c r="AU290" s="39"/>
      <c r="AV290" s="39"/>
      <c r="AW290" s="39"/>
      <c r="AX290" s="39"/>
      <c r="AY290" s="39"/>
      <c r="AZ290" s="39"/>
      <c r="BA290" s="39"/>
      <c r="BB290" s="39"/>
      <c r="BC290" s="39"/>
      <c r="BD290" s="39"/>
      <c r="BE290" s="39"/>
      <c r="BF290" s="39"/>
      <c r="BG290" s="39"/>
      <c r="BH290" s="39"/>
      <c r="BI290" s="39"/>
      <c r="BJ290" s="39"/>
      <c r="BK290" s="39">
        <f>IFERROR(VLOOKUP("29_"&amp;A290,SyS!$B:$P,10,FALSE()),0)</f>
        <v>0</v>
      </c>
      <c r="BL290" s="39">
        <f>IFERROR(VLOOKUP("29_"&amp;A290,SyS!$B:$P,12,FALSE()),0)</f>
        <v>0</v>
      </c>
      <c r="BM290" s="39">
        <f>+BK290-BL290</f>
        <v>0</v>
      </c>
      <c r="BN290" s="38">
        <f>IFERROR(VLOOKUP("30_"&amp;A290,SyS!$B:$P,10,FALSE()),0)</f>
        <v>0</v>
      </c>
      <c r="BO290" s="39">
        <f>IFERROR(VLOOKUP("30_"&amp;A290,SyS!$B:$P,12,FALSE()),0)</f>
        <v>0</v>
      </c>
      <c r="BP290" s="40">
        <f>+BN290-BO290</f>
        <v>0</v>
      </c>
      <c r="BQ290" s="45">
        <f>+E290+H290+K290+Q290+T290+W290+Z290+AC290+AF290+AI290+AL290+AO290+AR290+AU290+AX290+BA290+BD290+BG290+BJ290+BM290+BP290</f>
        <v>0</v>
      </c>
    </row>
    <row r="291" ht="11.25" customHeight="1" spans="1:69" x14ac:dyDescent="0.25">
      <c r="A291" s="18">
        <v>421620000</v>
      </c>
      <c r="B291" s="18" t="s">
        <v>520</v>
      </c>
      <c r="C291" s="38">
        <f>IFERROR(VLOOKUP("1_"&amp;A291,SyS!$B:$P,10,FALSE()),0)</f>
        <v>0</v>
      </c>
      <c r="D291" s="39">
        <f>IFERROR(VLOOKUP("1_"&amp;A291,SyS!$B:$P,12,FALSE()),0)</f>
        <v>0</v>
      </c>
      <c r="E291" s="39">
        <f>+C291-D291</f>
        <v>0</v>
      </c>
      <c r="F291" s="38">
        <f>IFERROR(VLOOKUP("2_"&amp;A291,SyS!$B:$P,10,FALSE()),0)</f>
        <v>0</v>
      </c>
      <c r="G291" s="39">
        <f>IFERROR(VLOOKUP("2_"&amp;A291,SyS!$B:$P,12,FALSE()),0)</f>
        <v>0</v>
      </c>
      <c r="H291" s="40">
        <f>+F291-G291</f>
        <v>0</v>
      </c>
      <c r="I291" s="39"/>
      <c r="J291" s="39"/>
      <c r="K291" s="39"/>
      <c r="L291" s="39"/>
      <c r="M291" s="39"/>
      <c r="N291" s="39"/>
      <c r="O291" s="38">
        <f>IFERROR(VLOOKUP("14_"&amp;A291,SyS!$B:$P,10,FALSE()),0)</f>
        <v>0</v>
      </c>
      <c r="P291" s="39">
        <f>IFERROR(VLOOKUP("14_"&amp;A291,SyS!$B:$P,12,FALSE()),0)</f>
        <v>0</v>
      </c>
      <c r="Q291" s="40">
        <f>+O291-P291</f>
        <v>0</v>
      </c>
      <c r="R291" s="38">
        <f>IFERROR(VLOOKUP("15_"&amp;A291,SyS!$B:$P,10,FALSE()),0)</f>
        <v>0</v>
      </c>
      <c r="S291" s="39">
        <f>IFERROR(VLOOKUP("15_"&amp;A291,SyS!$B:$P,12,FALSE()),0)</f>
        <v>0</v>
      </c>
      <c r="T291" s="40">
        <f>+R291-S291</f>
        <v>0</v>
      </c>
      <c r="U291" s="38">
        <f>IFERROR(VLOOKUP("16_"&amp;A291,SyS!$B:$P,10,FALSE()),0)</f>
        <v>0</v>
      </c>
      <c r="V291" s="39">
        <f>IFERROR(VLOOKUP("16_"&amp;A291,SyS!$B:$P,12,FALSE()),0)</f>
        <v>0</v>
      </c>
      <c r="W291" s="40">
        <f>+U291-V291</f>
        <v>0</v>
      </c>
      <c r="X291" s="38">
        <f>IFERROR(VLOOKUP("13_"&amp;A291,SyS!$B:$P,10,FALSE()),0)</f>
        <v>0</v>
      </c>
      <c r="Y291" s="39">
        <f>IFERROR(VLOOKUP("13_"&amp;A291,SyS!$B:$P,12,FALSE()),0)</f>
        <v>0</v>
      </c>
      <c r="Z291" s="40">
        <f>+X291-Y291</f>
        <v>0</v>
      </c>
      <c r="AA291" s="38">
        <f>IFERROR(VLOOKUP("17_"&amp;A291,SyS!$B:$P,10,FALSE()),0)</f>
        <v>0</v>
      </c>
      <c r="AB291" s="39">
        <f>IFERROR(VLOOKUP("17_"&amp;A291,SyS!$B:$P,12,FALSE()),0)</f>
        <v>0</v>
      </c>
      <c r="AC291" s="40">
        <f>+AA291-AB291</f>
        <v>0</v>
      </c>
      <c r="AD291" s="39"/>
      <c r="AE291" s="39"/>
      <c r="AF291" s="39"/>
      <c r="AG291" s="39">
        <f>IFERROR(VLOOKUP("19_"&amp;A291,SyS!$B:$P,10,FALSE()),0)</f>
        <v>0</v>
      </c>
      <c r="AH291" s="39">
        <f>IFERROR(VLOOKUP("19_"&amp;A291,SyS!$B:$P,12,FALSE()),0)</f>
        <v>0</v>
      </c>
      <c r="AI291" s="39">
        <f>+AG291-AH291</f>
        <v>0</v>
      </c>
      <c r="AJ291" s="39"/>
      <c r="AK291" s="39"/>
      <c r="AL291" s="39"/>
      <c r="AM291" s="38">
        <f>IFERROR(VLOOKUP("23_"&amp;A291,SyS!$B:$P,10,FALSE()),0)</f>
        <v>0</v>
      </c>
      <c r="AN291" s="39">
        <f>IFERROR(VLOOKUP("23_"&amp;A291,SyS!$B:$P,12,FALSE()),0)</f>
        <v>0</v>
      </c>
      <c r="AO291" s="40">
        <f>+AM291-AN291</f>
        <v>0</v>
      </c>
      <c r="AP291" s="39"/>
      <c r="AQ291" s="39"/>
      <c r="AR291" s="39"/>
      <c r="AS291" s="39"/>
      <c r="AT291" s="39"/>
      <c r="AU291" s="39"/>
      <c r="AV291" s="39"/>
      <c r="AW291" s="39"/>
      <c r="AX291" s="39"/>
      <c r="AY291" s="39"/>
      <c r="AZ291" s="39"/>
      <c r="BA291" s="39"/>
      <c r="BB291" s="39"/>
      <c r="BC291" s="39"/>
      <c r="BD291" s="39"/>
      <c r="BE291" s="39"/>
      <c r="BF291" s="39"/>
      <c r="BG291" s="39"/>
      <c r="BH291" s="39"/>
      <c r="BI291" s="39"/>
      <c r="BJ291" s="39"/>
      <c r="BK291" s="39">
        <f>IFERROR(VLOOKUP("29_"&amp;A291,SyS!$B:$P,10,FALSE()),0)</f>
        <v>0</v>
      </c>
      <c r="BL291" s="39">
        <f>IFERROR(VLOOKUP("29_"&amp;A291,SyS!$B:$P,12,FALSE()),0)</f>
        <v>0</v>
      </c>
      <c r="BM291" s="39">
        <f>+BK291-BL291</f>
        <v>0</v>
      </c>
      <c r="BN291" s="38">
        <f>IFERROR(VLOOKUP("30_"&amp;A291,SyS!$B:$P,10,FALSE()),0)</f>
        <v>0</v>
      </c>
      <c r="BO291" s="39">
        <f>IFERROR(VLOOKUP("30_"&amp;A291,SyS!$B:$P,12,FALSE()),0)</f>
        <v>0</v>
      </c>
      <c r="BP291" s="40">
        <f>+BN291-BO291</f>
        <v>0</v>
      </c>
      <c r="BQ291" s="45">
        <f>+E291+H291+K291+Q291+T291+W291+Z291+AC291+AF291+AI291+AL291+AO291+AR291+AU291+AX291+BA291+BD291+BG291+BJ291+BM291+BP291</f>
        <v>0</v>
      </c>
    </row>
    <row r="292" ht="11.25" customHeight="1" spans="1:69" x14ac:dyDescent="0.25">
      <c r="A292" s="18">
        <v>421630000</v>
      </c>
      <c r="B292" s="18" t="s">
        <v>521</v>
      </c>
      <c r="C292" s="38">
        <f>IFERROR(VLOOKUP("1_"&amp;A292,SyS!$B:$P,10,FALSE()),0)</f>
        <v>0</v>
      </c>
      <c r="D292" s="39">
        <f>IFERROR(VLOOKUP("1_"&amp;A292,SyS!$B:$P,12,FALSE()),0)</f>
        <v>0</v>
      </c>
      <c r="E292" s="39">
        <f>+C292-D292</f>
        <v>0</v>
      </c>
      <c r="F292" s="38">
        <f>IFERROR(VLOOKUP("2_"&amp;A292,SyS!$B:$P,10,FALSE()),0)</f>
        <v>0</v>
      </c>
      <c r="G292" s="39">
        <f>IFERROR(VLOOKUP("2_"&amp;A292,SyS!$B:$P,12,FALSE()),0)</f>
        <v>0</v>
      </c>
      <c r="H292" s="40">
        <f>+F292-G292</f>
        <v>0</v>
      </c>
      <c r="I292" s="39"/>
      <c r="J292" s="39"/>
      <c r="K292" s="39"/>
      <c r="L292" s="39"/>
      <c r="M292" s="39"/>
      <c r="N292" s="39"/>
      <c r="O292" s="38">
        <f>IFERROR(VLOOKUP("14_"&amp;A292,SyS!$B:$P,10,FALSE()),0)</f>
        <v>0</v>
      </c>
      <c r="P292" s="39">
        <f>IFERROR(VLOOKUP("14_"&amp;A292,SyS!$B:$P,12,FALSE()),0)</f>
        <v>0</v>
      </c>
      <c r="Q292" s="40">
        <f>+O292-P292</f>
        <v>0</v>
      </c>
      <c r="R292" s="38">
        <f>IFERROR(VLOOKUP("15_"&amp;A292,SyS!$B:$P,10,FALSE()),0)</f>
        <v>0</v>
      </c>
      <c r="S292" s="39">
        <f>IFERROR(VLOOKUP("15_"&amp;A292,SyS!$B:$P,12,FALSE()),0)</f>
        <v>0</v>
      </c>
      <c r="T292" s="40">
        <f>+R292-S292</f>
        <v>0</v>
      </c>
      <c r="U292" s="38">
        <f>IFERROR(VLOOKUP("16_"&amp;A292,SyS!$B:$P,10,FALSE()),0)</f>
        <v>0</v>
      </c>
      <c r="V292" s="39">
        <f>IFERROR(VLOOKUP("16_"&amp;A292,SyS!$B:$P,12,FALSE()),0)</f>
        <v>0</v>
      </c>
      <c r="W292" s="40">
        <f>+U292-V292</f>
        <v>0</v>
      </c>
      <c r="X292" s="38">
        <f>IFERROR(VLOOKUP("13_"&amp;A292,SyS!$B:$P,10,FALSE()),0)</f>
        <v>0</v>
      </c>
      <c r="Y292" s="39">
        <f>IFERROR(VLOOKUP("13_"&amp;A292,SyS!$B:$P,12,FALSE()),0)</f>
        <v>0</v>
      </c>
      <c r="Z292" s="40">
        <f>+X292-Y292</f>
        <v>0</v>
      </c>
      <c r="AA292" s="38">
        <f>IFERROR(VLOOKUP("17_"&amp;A292,SyS!$B:$P,10,FALSE()),0)</f>
        <v>0</v>
      </c>
      <c r="AB292" s="39">
        <f>IFERROR(VLOOKUP("17_"&amp;A292,SyS!$B:$P,12,FALSE()),0)</f>
        <v>0</v>
      </c>
      <c r="AC292" s="40">
        <f>+AA292-AB292</f>
        <v>0</v>
      </c>
      <c r="AD292" s="39"/>
      <c r="AE292" s="39"/>
      <c r="AF292" s="39"/>
      <c r="AG292" s="39">
        <f>IFERROR(VLOOKUP("19_"&amp;A292,SyS!$B:$P,10,FALSE()),0)</f>
        <v>0</v>
      </c>
      <c r="AH292" s="39">
        <f>IFERROR(VLOOKUP("19_"&amp;A292,SyS!$B:$P,12,FALSE()),0)</f>
        <v>0</v>
      </c>
      <c r="AI292" s="39">
        <f>+AG292-AH292</f>
        <v>0</v>
      </c>
      <c r="AJ292" s="39"/>
      <c r="AK292" s="39"/>
      <c r="AL292" s="39"/>
      <c r="AM292" s="38">
        <f>IFERROR(VLOOKUP("23_"&amp;A292,SyS!$B:$P,10,FALSE()),0)</f>
        <v>0</v>
      </c>
      <c r="AN292" s="39">
        <f>IFERROR(VLOOKUP("23_"&amp;A292,SyS!$B:$P,12,FALSE()),0)</f>
        <v>0</v>
      </c>
      <c r="AO292" s="40">
        <f>+AM292-AN292</f>
        <v>0</v>
      </c>
      <c r="AP292" s="39"/>
      <c r="AQ292" s="39"/>
      <c r="AR292" s="39"/>
      <c r="AS292" s="39"/>
      <c r="AT292" s="39"/>
      <c r="AU292" s="39"/>
      <c r="AV292" s="39"/>
      <c r="AW292" s="39"/>
      <c r="AX292" s="39"/>
      <c r="AY292" s="39"/>
      <c r="AZ292" s="39"/>
      <c r="BA292" s="39"/>
      <c r="BB292" s="39"/>
      <c r="BC292" s="39"/>
      <c r="BD292" s="39"/>
      <c r="BE292" s="39"/>
      <c r="BF292" s="39"/>
      <c r="BG292" s="39"/>
      <c r="BH292" s="39"/>
      <c r="BI292" s="39"/>
      <c r="BJ292" s="39"/>
      <c r="BK292" s="39">
        <f>IFERROR(VLOOKUP("29_"&amp;A292,SyS!$B:$P,10,FALSE()),0)</f>
        <v>0</v>
      </c>
      <c r="BL292" s="39">
        <f>IFERROR(VLOOKUP("29_"&amp;A292,SyS!$B:$P,12,FALSE()),0)</f>
        <v>0</v>
      </c>
      <c r="BM292" s="39">
        <f>+BK292-BL292</f>
        <v>0</v>
      </c>
      <c r="BN292" s="38">
        <f>IFERROR(VLOOKUP("30_"&amp;A292,SyS!$B:$P,10,FALSE()),0)</f>
        <v>0</v>
      </c>
      <c r="BO292" s="39">
        <f>IFERROR(VLOOKUP("30_"&amp;A292,SyS!$B:$P,12,FALSE()),0)</f>
        <v>0</v>
      </c>
      <c r="BP292" s="40">
        <f>+BN292-BO292</f>
        <v>0</v>
      </c>
      <c r="BQ292" s="45">
        <f>+E292+H292+K292+Q292+T292+W292+Z292+AC292+AF292+AI292+AL292+AO292+AR292+AU292+AX292+BA292+BD292+BG292+BJ292+BM292+BP292</f>
        <v>0</v>
      </c>
    </row>
    <row r="293" ht="11.25" customHeight="1" spans="1:69" x14ac:dyDescent="0.25">
      <c r="A293" s="18">
        <v>421640000</v>
      </c>
      <c r="B293" s="18" t="s">
        <v>522</v>
      </c>
      <c r="C293" s="38">
        <f>IFERROR(VLOOKUP("1_"&amp;A293,SyS!$B:$P,10,FALSE()),0)</f>
        <v>0</v>
      </c>
      <c r="D293" s="39">
        <f>IFERROR(VLOOKUP("1_"&amp;A293,SyS!$B:$P,12,FALSE()),0)</f>
        <v>0</v>
      </c>
      <c r="E293" s="39">
        <f>+C293-D293</f>
        <v>0</v>
      </c>
      <c r="F293" s="38">
        <f>IFERROR(VLOOKUP("2_"&amp;A293,SyS!$B:$P,10,FALSE()),0)</f>
        <v>0</v>
      </c>
      <c r="G293" s="39">
        <f>IFERROR(VLOOKUP("2_"&amp;A293,SyS!$B:$P,12,FALSE()),0)</f>
        <v>0</v>
      </c>
      <c r="H293" s="40">
        <f>+F293-G293</f>
        <v>0</v>
      </c>
      <c r="I293" s="39"/>
      <c r="J293" s="39"/>
      <c r="K293" s="39"/>
      <c r="L293" s="39"/>
      <c r="M293" s="39"/>
      <c r="N293" s="39"/>
      <c r="O293" s="38">
        <f>IFERROR(VLOOKUP("14_"&amp;A293,SyS!$B:$P,10,FALSE()),0)</f>
        <v>0</v>
      </c>
      <c r="P293" s="39">
        <f>IFERROR(VLOOKUP("14_"&amp;A293,SyS!$B:$P,12,FALSE()),0)</f>
        <v>0</v>
      </c>
      <c r="Q293" s="40">
        <f>+O293-P293</f>
        <v>0</v>
      </c>
      <c r="R293" s="38">
        <f>IFERROR(VLOOKUP("15_"&amp;A293,SyS!$B:$P,10,FALSE()),0)</f>
        <v>0</v>
      </c>
      <c r="S293" s="39">
        <f>IFERROR(VLOOKUP("15_"&amp;A293,SyS!$B:$P,12,FALSE()),0)</f>
        <v>0</v>
      </c>
      <c r="T293" s="40">
        <f>+R293-S293</f>
        <v>0</v>
      </c>
      <c r="U293" s="38">
        <f>IFERROR(VLOOKUP("16_"&amp;A293,SyS!$B:$P,10,FALSE()),0)</f>
        <v>0</v>
      </c>
      <c r="V293" s="39">
        <f>IFERROR(VLOOKUP("16_"&amp;A293,SyS!$B:$P,12,FALSE()),0)</f>
        <v>0</v>
      </c>
      <c r="W293" s="40">
        <f>+U293-V293</f>
        <v>0</v>
      </c>
      <c r="X293" s="38">
        <f>IFERROR(VLOOKUP("13_"&amp;A293,SyS!$B:$P,10,FALSE()),0)</f>
        <v>0</v>
      </c>
      <c r="Y293" s="39">
        <f>IFERROR(VLOOKUP("13_"&amp;A293,SyS!$B:$P,12,FALSE()),0)</f>
        <v>0</v>
      </c>
      <c r="Z293" s="40">
        <f>+X293-Y293</f>
        <v>0</v>
      </c>
      <c r="AA293" s="38">
        <f>IFERROR(VLOOKUP("17_"&amp;A293,SyS!$B:$P,10,FALSE()),0)</f>
        <v>0</v>
      </c>
      <c r="AB293" s="39">
        <f>IFERROR(VLOOKUP("17_"&amp;A293,SyS!$B:$P,12,FALSE()),0)</f>
        <v>0</v>
      </c>
      <c r="AC293" s="40">
        <f>+AA293-AB293</f>
        <v>0</v>
      </c>
      <c r="AD293" s="39"/>
      <c r="AE293" s="39"/>
      <c r="AF293" s="39"/>
      <c r="AG293" s="39">
        <f>IFERROR(VLOOKUP("19_"&amp;A293,SyS!$B:$P,10,FALSE()),0)</f>
        <v>0</v>
      </c>
      <c r="AH293" s="39">
        <f>IFERROR(VLOOKUP("19_"&amp;A293,SyS!$B:$P,12,FALSE()),0)</f>
        <v>0</v>
      </c>
      <c r="AI293" s="39">
        <f>+AG293-AH293</f>
        <v>0</v>
      </c>
      <c r="AJ293" s="39"/>
      <c r="AK293" s="39"/>
      <c r="AL293" s="39"/>
      <c r="AM293" s="38">
        <f>IFERROR(VLOOKUP("23_"&amp;A293,SyS!$B:$P,10,FALSE()),0)</f>
        <v>0</v>
      </c>
      <c r="AN293" s="39">
        <f>IFERROR(VLOOKUP("23_"&amp;A293,SyS!$B:$P,12,FALSE()),0)</f>
        <v>0</v>
      </c>
      <c r="AO293" s="40">
        <f>+AM293-AN293</f>
        <v>0</v>
      </c>
      <c r="AP293" s="39"/>
      <c r="AQ293" s="39"/>
      <c r="AR293" s="39"/>
      <c r="AS293" s="39"/>
      <c r="AT293" s="39"/>
      <c r="AU293" s="39"/>
      <c r="AV293" s="39"/>
      <c r="AW293" s="39"/>
      <c r="AX293" s="39"/>
      <c r="AY293" s="39"/>
      <c r="AZ293" s="39"/>
      <c r="BA293" s="39"/>
      <c r="BB293" s="39"/>
      <c r="BC293" s="39"/>
      <c r="BD293" s="39"/>
      <c r="BE293" s="39"/>
      <c r="BF293" s="39"/>
      <c r="BG293" s="39"/>
      <c r="BH293" s="39"/>
      <c r="BI293" s="39"/>
      <c r="BJ293" s="39"/>
      <c r="BK293" s="39">
        <f>IFERROR(VLOOKUP("29_"&amp;A293,SyS!$B:$P,10,FALSE()),0)</f>
        <v>0</v>
      </c>
      <c r="BL293" s="39">
        <f>IFERROR(VLOOKUP("29_"&amp;A293,SyS!$B:$P,12,FALSE()),0)</f>
        <v>0</v>
      </c>
      <c r="BM293" s="39">
        <f>+BK293-BL293</f>
        <v>0</v>
      </c>
      <c r="BN293" s="38">
        <f>IFERROR(VLOOKUP("30_"&amp;A293,SyS!$B:$P,10,FALSE()),0)</f>
        <v>0</v>
      </c>
      <c r="BO293" s="39">
        <f>IFERROR(VLOOKUP("30_"&amp;A293,SyS!$B:$P,12,FALSE()),0)</f>
        <v>0</v>
      </c>
      <c r="BP293" s="40">
        <f>+BN293-BO293</f>
        <v>0</v>
      </c>
      <c r="BQ293" s="45">
        <f>+E293+H293+K293+Q293+T293+W293+Z293+AC293+AF293+AI293+AL293+AO293+AR293+AU293+AX293+BA293+BD293+BG293+BJ293+BM293+BP293</f>
        <v>0</v>
      </c>
    </row>
    <row r="294" ht="11.25" customHeight="1" spans="1:69" x14ac:dyDescent="0.25">
      <c r="A294" s="18">
        <v>433070000</v>
      </c>
      <c r="B294" s="18" t="s">
        <v>523</v>
      </c>
      <c r="C294" s="38">
        <f>IFERROR(VLOOKUP("1_"&amp;A294,SyS!$B:$P,10,FALSE()),0)</f>
        <v>0</v>
      </c>
      <c r="D294" s="39">
        <f>IFERROR(VLOOKUP("1_"&amp;A294,SyS!$B:$P,12,FALSE()),0)</f>
        <v>0</v>
      </c>
      <c r="E294" s="39">
        <f>+C294-D294</f>
        <v>0</v>
      </c>
      <c r="F294" s="38">
        <f>IFERROR(VLOOKUP("2_"&amp;A294,SyS!$B:$P,10,FALSE()),0)</f>
        <v>0</v>
      </c>
      <c r="G294" s="39">
        <f>IFERROR(VLOOKUP("2_"&amp;A294,SyS!$B:$P,12,FALSE()),0)</f>
        <v>0</v>
      </c>
      <c r="H294" s="40">
        <f>+F294-G294</f>
        <v>0</v>
      </c>
      <c r="I294" s="39"/>
      <c r="J294" s="39"/>
      <c r="K294" s="39"/>
      <c r="L294" s="39"/>
      <c r="M294" s="39"/>
      <c r="N294" s="39"/>
      <c r="O294" s="38">
        <f>IFERROR(VLOOKUP("14_"&amp;A294,SyS!$B:$P,10,FALSE()),0)</f>
        <v>0</v>
      </c>
      <c r="P294" s="39">
        <f>IFERROR(VLOOKUP("14_"&amp;A294,SyS!$B:$P,12,FALSE()),0)</f>
        <v>0</v>
      </c>
      <c r="Q294" s="40">
        <f>+O294-P294</f>
        <v>0</v>
      </c>
      <c r="R294" s="38">
        <f>IFERROR(VLOOKUP("15_"&amp;A294,SyS!$B:$P,10,FALSE()),0)</f>
        <v>0</v>
      </c>
      <c r="S294" s="39">
        <f>IFERROR(VLOOKUP("15_"&amp;A294,SyS!$B:$P,12,FALSE()),0)</f>
        <v>0</v>
      </c>
      <c r="T294" s="40">
        <f>+R294-S294</f>
        <v>0</v>
      </c>
      <c r="U294" s="38">
        <f>IFERROR(VLOOKUP("16_"&amp;A294,SyS!$B:$P,10,FALSE()),0)</f>
        <v>0</v>
      </c>
      <c r="V294" s="39">
        <f>IFERROR(VLOOKUP("16_"&amp;A294,SyS!$B:$P,12,FALSE()),0)</f>
        <v>0</v>
      </c>
      <c r="W294" s="40">
        <f>+U294-V294</f>
        <v>0</v>
      </c>
      <c r="X294" s="38">
        <f>IFERROR(VLOOKUP("13_"&amp;A294,SyS!$B:$P,10,FALSE()),0)</f>
        <v>0</v>
      </c>
      <c r="Y294" s="39">
        <f>IFERROR(VLOOKUP("13_"&amp;A294,SyS!$B:$P,12,FALSE()),0)</f>
        <v>0</v>
      </c>
      <c r="Z294" s="40">
        <f>+X294-Y294</f>
        <v>0</v>
      </c>
      <c r="AA294" s="38">
        <f>IFERROR(VLOOKUP("17_"&amp;A294,SyS!$B:$P,10,FALSE()),0)</f>
        <v>21.64</v>
      </c>
      <c r="AB294" s="39">
        <f>IFERROR(VLOOKUP("17_"&amp;A294,SyS!$B:$P,12,FALSE()),0)</f>
        <v>0</v>
      </c>
      <c r="AC294" s="40">
        <f>+AA294-AB294</f>
        <v>21.64</v>
      </c>
      <c r="AD294" s="39"/>
      <c r="AE294" s="39"/>
      <c r="AF294" s="39"/>
      <c r="AG294" s="39">
        <f>IFERROR(VLOOKUP("19_"&amp;A294,SyS!$B:$P,10,FALSE()),0)</f>
        <v>0</v>
      </c>
      <c r="AH294" s="39">
        <f>IFERROR(VLOOKUP("19_"&amp;A294,SyS!$B:$P,12,FALSE()),0)</f>
        <v>0</v>
      </c>
      <c r="AI294" s="39">
        <f>+AG294-AH294</f>
        <v>0</v>
      </c>
      <c r="AJ294" s="39"/>
      <c r="AK294" s="39"/>
      <c r="AL294" s="39"/>
      <c r="AM294" s="38">
        <f>IFERROR(VLOOKUP("23_"&amp;A294,SyS!$B:$P,10,FALSE()),0)</f>
        <v>0</v>
      </c>
      <c r="AN294" s="39">
        <f>IFERROR(VLOOKUP("23_"&amp;A294,SyS!$B:$P,12,FALSE()),0)</f>
        <v>0</v>
      </c>
      <c r="AO294" s="40">
        <f>+AM294-AN294</f>
        <v>0</v>
      </c>
      <c r="AP294" s="39"/>
      <c r="AQ294" s="39"/>
      <c r="AR294" s="39"/>
      <c r="AS294" s="39"/>
      <c r="AT294" s="39"/>
      <c r="AU294" s="39"/>
      <c r="AV294" s="39"/>
      <c r="AW294" s="39"/>
      <c r="AX294" s="39"/>
      <c r="AY294" s="39"/>
      <c r="AZ294" s="39"/>
      <c r="BA294" s="39"/>
      <c r="BB294" s="39"/>
      <c r="BC294" s="39"/>
      <c r="BD294" s="39"/>
      <c r="BE294" s="39"/>
      <c r="BF294" s="39"/>
      <c r="BG294" s="39"/>
      <c r="BH294" s="39"/>
      <c r="BI294" s="39"/>
      <c r="BJ294" s="39"/>
      <c r="BK294" s="39">
        <f>IFERROR(VLOOKUP("29_"&amp;A294,SyS!$B:$P,10,FALSE()),0)</f>
        <v>0</v>
      </c>
      <c r="BL294" s="39">
        <f>IFERROR(VLOOKUP("29_"&amp;A294,SyS!$B:$P,12,FALSE()),0)</f>
        <v>0</v>
      </c>
      <c r="BM294" s="39">
        <f>+BK294-BL294</f>
        <v>0</v>
      </c>
      <c r="BN294" s="38">
        <f>IFERROR(VLOOKUP("30_"&amp;A294,SyS!$B:$P,10,FALSE()),0)</f>
        <v>0</v>
      </c>
      <c r="BO294" s="39">
        <f>IFERROR(VLOOKUP("30_"&amp;A294,SyS!$B:$P,12,FALSE()),0)</f>
        <v>0</v>
      </c>
      <c r="BP294" s="40">
        <f>+BN294-BO294</f>
        <v>0</v>
      </c>
      <c r="BQ294" s="45">
        <f>+E294+H294+K294+Q294+T294+W294+Z294+AC294+AF294+AI294+AL294+AO294+AR294+AU294+AX294+BA294+BD294+BG294+BJ294+BM294+BP294</f>
        <v>21.64</v>
      </c>
    </row>
    <row r="295" ht="11.25" customHeight="1" spans="1:69" x14ac:dyDescent="0.25">
      <c r="A295" s="18">
        <v>421650000</v>
      </c>
      <c r="B295" s="18" t="s">
        <v>524</v>
      </c>
      <c r="C295" s="38">
        <f>IFERROR(VLOOKUP("1_"&amp;A295,SyS!$B:$P,10,FALSE()),0)</f>
        <v>0</v>
      </c>
      <c r="D295" s="39">
        <f>IFERROR(VLOOKUP("1_"&amp;A295,SyS!$B:$P,12,FALSE()),0)</f>
        <v>0</v>
      </c>
      <c r="E295" s="39">
        <f>+C295-D295</f>
        <v>0</v>
      </c>
      <c r="F295" s="38">
        <f>IFERROR(VLOOKUP("2_"&amp;A295,SyS!$B:$P,10,FALSE()),0)</f>
        <v>0</v>
      </c>
      <c r="G295" s="39">
        <f>IFERROR(VLOOKUP("2_"&amp;A295,SyS!$B:$P,12,FALSE()),0)</f>
        <v>0</v>
      </c>
      <c r="H295" s="40">
        <f>+F295-G295</f>
        <v>0</v>
      </c>
      <c r="I295" s="39"/>
      <c r="J295" s="39"/>
      <c r="K295" s="39"/>
      <c r="L295" s="39"/>
      <c r="M295" s="39"/>
      <c r="N295" s="39"/>
      <c r="O295" s="38">
        <f>IFERROR(VLOOKUP("14_"&amp;A295,SyS!$B:$P,10,FALSE()),0)</f>
        <v>0</v>
      </c>
      <c r="P295" s="39">
        <f>IFERROR(VLOOKUP("14_"&amp;A295,SyS!$B:$P,12,FALSE()),0)</f>
        <v>0</v>
      </c>
      <c r="Q295" s="40">
        <f>+O295-P295</f>
        <v>0</v>
      </c>
      <c r="R295" s="38">
        <f>IFERROR(VLOOKUP("15_"&amp;A295,SyS!$B:$P,10,FALSE()),0)</f>
        <v>0</v>
      </c>
      <c r="S295" s="39">
        <f>IFERROR(VLOOKUP("15_"&amp;A295,SyS!$B:$P,12,FALSE()),0)</f>
        <v>0</v>
      </c>
      <c r="T295" s="40">
        <f>+R295-S295</f>
        <v>0</v>
      </c>
      <c r="U295" s="38">
        <f>IFERROR(VLOOKUP("16_"&amp;A295,SyS!$B:$P,10,FALSE()),0)</f>
        <v>0</v>
      </c>
      <c r="V295" s="39">
        <f>IFERROR(VLOOKUP("16_"&amp;A295,SyS!$B:$P,12,FALSE()),0)</f>
        <v>0</v>
      </c>
      <c r="W295" s="40">
        <f>+U295-V295</f>
        <v>0</v>
      </c>
      <c r="X295" s="38">
        <f>IFERROR(VLOOKUP("13_"&amp;A295,SyS!$B:$P,10,FALSE()),0)</f>
        <v>0</v>
      </c>
      <c r="Y295" s="39">
        <f>IFERROR(VLOOKUP("13_"&amp;A295,SyS!$B:$P,12,FALSE()),0)</f>
        <v>0</v>
      </c>
      <c r="Z295" s="40">
        <f>+X295-Y295</f>
        <v>0</v>
      </c>
      <c r="AA295" s="38">
        <f>IFERROR(VLOOKUP("17_"&amp;A295,SyS!$B:$P,10,FALSE()),0)</f>
        <v>0</v>
      </c>
      <c r="AB295" s="39">
        <f>IFERROR(VLOOKUP("17_"&amp;A295,SyS!$B:$P,12,FALSE()),0)</f>
        <v>0</v>
      </c>
      <c r="AC295" s="40">
        <f>+AA295-AB295</f>
        <v>0</v>
      </c>
      <c r="AD295" s="39"/>
      <c r="AE295" s="39"/>
      <c r="AF295" s="39"/>
      <c r="AG295" s="39">
        <f>IFERROR(VLOOKUP("19_"&amp;A295,SyS!$B:$P,10,FALSE()),0)</f>
        <v>0</v>
      </c>
      <c r="AH295" s="39">
        <f>IFERROR(VLOOKUP("19_"&amp;A295,SyS!$B:$P,12,FALSE()),0)</f>
        <v>0</v>
      </c>
      <c r="AI295" s="39">
        <f>+AG295-AH295</f>
        <v>0</v>
      </c>
      <c r="AJ295" s="39"/>
      <c r="AK295" s="39"/>
      <c r="AL295" s="39"/>
      <c r="AM295" s="38">
        <f>IFERROR(VLOOKUP("23_"&amp;A295,SyS!$B:$P,10,FALSE()),0)</f>
        <v>0</v>
      </c>
      <c r="AN295" s="39">
        <f>IFERROR(VLOOKUP("23_"&amp;A295,SyS!$B:$P,12,FALSE()),0)</f>
        <v>0</v>
      </c>
      <c r="AO295" s="40">
        <f>+AM295-AN295</f>
        <v>0</v>
      </c>
      <c r="AP295" s="39"/>
      <c r="AQ295" s="39"/>
      <c r="AR295" s="39"/>
      <c r="AS295" s="39"/>
      <c r="AT295" s="39"/>
      <c r="AU295" s="39"/>
      <c r="AV295" s="39"/>
      <c r="AW295" s="39"/>
      <c r="AX295" s="39"/>
      <c r="AY295" s="39"/>
      <c r="AZ295" s="39"/>
      <c r="BA295" s="39"/>
      <c r="BB295" s="39"/>
      <c r="BC295" s="39"/>
      <c r="BD295" s="39"/>
      <c r="BE295" s="39"/>
      <c r="BF295" s="39"/>
      <c r="BG295" s="39"/>
      <c r="BH295" s="39"/>
      <c r="BI295" s="39"/>
      <c r="BJ295" s="39"/>
      <c r="BK295" s="39">
        <f>IFERROR(VLOOKUP("29_"&amp;A295,SyS!$B:$P,10,FALSE()),0)</f>
        <v>0</v>
      </c>
      <c r="BL295" s="39">
        <f>IFERROR(VLOOKUP("29_"&amp;A295,SyS!$B:$P,12,FALSE()),0)</f>
        <v>0</v>
      </c>
      <c r="BM295" s="39">
        <f>+BK295-BL295</f>
        <v>0</v>
      </c>
      <c r="BN295" s="38">
        <f>IFERROR(VLOOKUP("30_"&amp;A295,SyS!$B:$P,10,FALSE()),0)</f>
        <v>0</v>
      </c>
      <c r="BO295" s="39">
        <f>IFERROR(VLOOKUP("30_"&amp;A295,SyS!$B:$P,12,FALSE()),0)</f>
        <v>0</v>
      </c>
      <c r="BP295" s="40">
        <f>+BN295-BO295</f>
        <v>0</v>
      </c>
      <c r="BQ295" s="45">
        <f>+E295+H295+K295+Q295+T295+W295+Z295+AC295+AF295+AI295+AL295+AO295+AR295+AU295+AX295+BA295+BD295+BG295+BJ295+BM295+BP295</f>
        <v>0</v>
      </c>
    </row>
    <row r="296" ht="11.25" customHeight="1" spans="1:69" x14ac:dyDescent="0.25">
      <c r="A296" s="18">
        <v>421660000</v>
      </c>
      <c r="B296" s="18" t="s">
        <v>525</v>
      </c>
      <c r="C296" s="38">
        <f>IFERROR(VLOOKUP("1_"&amp;A296,SyS!$B:$P,10,FALSE()),0)</f>
        <v>0</v>
      </c>
      <c r="D296" s="39">
        <f>IFERROR(VLOOKUP("1_"&amp;A296,SyS!$B:$P,12,FALSE()),0)</f>
        <v>0</v>
      </c>
      <c r="E296" s="39">
        <f>+C296-D296</f>
        <v>0</v>
      </c>
      <c r="F296" s="38">
        <f>IFERROR(VLOOKUP("2_"&amp;A296,SyS!$B:$P,10,FALSE()),0)</f>
        <v>0</v>
      </c>
      <c r="G296" s="39">
        <f>IFERROR(VLOOKUP("2_"&amp;A296,SyS!$B:$P,12,FALSE()),0)</f>
        <v>0</v>
      </c>
      <c r="H296" s="40">
        <f>+F296-G296</f>
        <v>0</v>
      </c>
      <c r="I296" s="39"/>
      <c r="J296" s="39"/>
      <c r="K296" s="39"/>
      <c r="L296" s="39"/>
      <c r="M296" s="39"/>
      <c r="N296" s="39"/>
      <c r="O296" s="38">
        <f>IFERROR(VLOOKUP("14_"&amp;A296,SyS!$B:$P,10,FALSE()),0)</f>
        <v>0</v>
      </c>
      <c r="P296" s="39">
        <f>IFERROR(VLOOKUP("14_"&amp;A296,SyS!$B:$P,12,FALSE()),0)</f>
        <v>0</v>
      </c>
      <c r="Q296" s="40">
        <f>+O296-P296</f>
        <v>0</v>
      </c>
      <c r="R296" s="38">
        <f>IFERROR(VLOOKUP("15_"&amp;A296,SyS!$B:$P,10,FALSE()),0)</f>
        <v>0</v>
      </c>
      <c r="S296" s="39">
        <f>IFERROR(VLOOKUP("15_"&amp;A296,SyS!$B:$P,12,FALSE()),0)</f>
        <v>0</v>
      </c>
      <c r="T296" s="40">
        <f>+R296-S296</f>
        <v>0</v>
      </c>
      <c r="U296" s="38">
        <f>IFERROR(VLOOKUP("16_"&amp;A296,SyS!$B:$P,10,FALSE()),0)</f>
        <v>0</v>
      </c>
      <c r="V296" s="39">
        <f>IFERROR(VLOOKUP("16_"&amp;A296,SyS!$B:$P,12,FALSE()),0)</f>
        <v>0</v>
      </c>
      <c r="W296" s="40">
        <f>+U296-V296</f>
        <v>0</v>
      </c>
      <c r="X296" s="38">
        <f>IFERROR(VLOOKUP("13_"&amp;A296,SyS!$B:$P,10,FALSE()),0)</f>
        <v>0</v>
      </c>
      <c r="Y296" s="39">
        <f>IFERROR(VLOOKUP("13_"&amp;A296,SyS!$B:$P,12,FALSE()),0)</f>
        <v>0</v>
      </c>
      <c r="Z296" s="40">
        <f>+X296-Y296</f>
        <v>0</v>
      </c>
      <c r="AA296" s="38">
        <f>IFERROR(VLOOKUP("17_"&amp;A296,SyS!$B:$P,10,FALSE()),0)</f>
        <v>0</v>
      </c>
      <c r="AB296" s="39">
        <f>IFERROR(VLOOKUP("17_"&amp;A296,SyS!$B:$P,12,FALSE()),0)</f>
        <v>0</v>
      </c>
      <c r="AC296" s="40">
        <f>+AA296-AB296</f>
        <v>0</v>
      </c>
      <c r="AD296" s="39"/>
      <c r="AE296" s="39"/>
      <c r="AF296" s="39"/>
      <c r="AG296" s="39">
        <f>IFERROR(VLOOKUP("19_"&amp;A296,SyS!$B:$P,10,FALSE()),0)</f>
        <v>0</v>
      </c>
      <c r="AH296" s="39">
        <f>IFERROR(VLOOKUP("19_"&amp;A296,SyS!$B:$P,12,FALSE()),0)</f>
        <v>0</v>
      </c>
      <c r="AI296" s="39">
        <f>+AG296-AH296</f>
        <v>0</v>
      </c>
      <c r="AJ296" s="39"/>
      <c r="AK296" s="39"/>
      <c r="AL296" s="39"/>
      <c r="AM296" s="38">
        <f>IFERROR(VLOOKUP("23_"&amp;A296,SyS!$B:$P,10,FALSE()),0)</f>
        <v>0</v>
      </c>
      <c r="AN296" s="39">
        <f>IFERROR(VLOOKUP("23_"&amp;A296,SyS!$B:$P,12,FALSE()),0)</f>
        <v>0</v>
      </c>
      <c r="AO296" s="40">
        <f>+AM296-AN296</f>
        <v>0</v>
      </c>
      <c r="AP296" s="39"/>
      <c r="AQ296" s="39"/>
      <c r="AR296" s="39"/>
      <c r="AS296" s="39"/>
      <c r="AT296" s="39"/>
      <c r="AU296" s="39"/>
      <c r="AV296" s="39"/>
      <c r="AW296" s="39"/>
      <c r="AX296" s="39"/>
      <c r="AY296" s="39"/>
      <c r="AZ296" s="39"/>
      <c r="BA296" s="39"/>
      <c r="BB296" s="39"/>
      <c r="BC296" s="39"/>
      <c r="BD296" s="39"/>
      <c r="BE296" s="39"/>
      <c r="BF296" s="39"/>
      <c r="BG296" s="39"/>
      <c r="BH296" s="39"/>
      <c r="BI296" s="39"/>
      <c r="BJ296" s="39"/>
      <c r="BK296" s="39">
        <f>IFERROR(VLOOKUP("29_"&amp;A296,SyS!$B:$P,10,FALSE()),0)</f>
        <v>0</v>
      </c>
      <c r="BL296" s="39">
        <f>IFERROR(VLOOKUP("29_"&amp;A296,SyS!$B:$P,12,FALSE()),0)</f>
        <v>0</v>
      </c>
      <c r="BM296" s="39">
        <f>+BK296-BL296</f>
        <v>0</v>
      </c>
      <c r="BN296" s="38">
        <f>IFERROR(VLOOKUP("30_"&amp;A296,SyS!$B:$P,10,FALSE()),0)</f>
        <v>0</v>
      </c>
      <c r="BO296" s="39">
        <f>IFERROR(VLOOKUP("30_"&amp;A296,SyS!$B:$P,12,FALSE()),0)</f>
        <v>0</v>
      </c>
      <c r="BP296" s="40">
        <f>+BN296-BO296</f>
        <v>0</v>
      </c>
      <c r="BQ296" s="45">
        <f>+E296+H296+K296+Q296+T296+W296+Z296+AC296+AF296+AI296+AL296+AO296+AR296+AU296+AX296+BA296+BD296+BG296+BJ296+BM296+BP296</f>
        <v>0</v>
      </c>
    </row>
    <row r="297" ht="11.25" customHeight="1" spans="1:69" x14ac:dyDescent="0.25">
      <c r="A297" s="18">
        <v>431060000</v>
      </c>
      <c r="B297" s="18" t="s">
        <v>526</v>
      </c>
      <c r="C297" s="38">
        <f>IFERROR(VLOOKUP("1_"&amp;A297,SyS!$B:$P,10,FALSE()),0)</f>
        <v>0</v>
      </c>
      <c r="D297" s="39">
        <f>IFERROR(VLOOKUP("1_"&amp;A297,SyS!$B:$P,12,FALSE()),0)</f>
        <v>0</v>
      </c>
      <c r="E297" s="39">
        <f>+C297-D297</f>
        <v>0</v>
      </c>
      <c r="F297" s="38">
        <f>IFERROR(VLOOKUP("2_"&amp;A297,SyS!$B:$P,10,FALSE()),0)</f>
        <v>0</v>
      </c>
      <c r="G297" s="39">
        <f>IFERROR(VLOOKUP("2_"&amp;A297,SyS!$B:$P,12,FALSE()),0)</f>
        <v>0</v>
      </c>
      <c r="H297" s="40">
        <f>+F297-G297</f>
        <v>0</v>
      </c>
      <c r="I297" s="39"/>
      <c r="J297" s="39"/>
      <c r="K297" s="39"/>
      <c r="L297" s="39"/>
      <c r="M297" s="39"/>
      <c r="N297" s="39"/>
      <c r="O297" s="38">
        <f>IFERROR(VLOOKUP("14_"&amp;A297,SyS!$B:$P,10,FALSE()),0)</f>
        <v>0</v>
      </c>
      <c r="P297" s="39">
        <f>IFERROR(VLOOKUP("14_"&amp;A297,SyS!$B:$P,12,FALSE()),0)</f>
        <v>0</v>
      </c>
      <c r="Q297" s="40">
        <f>+O297-P297</f>
        <v>0</v>
      </c>
      <c r="R297" s="38">
        <f>IFERROR(VLOOKUP("15_"&amp;A297,SyS!$B:$P,10,FALSE()),0)</f>
        <v>0</v>
      </c>
      <c r="S297" s="39">
        <f>IFERROR(VLOOKUP("15_"&amp;A297,SyS!$B:$P,12,FALSE()),0)</f>
        <v>0</v>
      </c>
      <c r="T297" s="40">
        <f>+R297-S297</f>
        <v>0</v>
      </c>
      <c r="U297" s="38">
        <f>IFERROR(VLOOKUP("16_"&amp;A297,SyS!$B:$P,10,FALSE()),0)</f>
        <v>0</v>
      </c>
      <c r="V297" s="39">
        <f>IFERROR(VLOOKUP("16_"&amp;A297,SyS!$B:$P,12,FALSE()),0)</f>
        <v>0</v>
      </c>
      <c r="W297" s="40">
        <f>+U297-V297</f>
        <v>0</v>
      </c>
      <c r="X297" s="38">
        <f>IFERROR(VLOOKUP("13_"&amp;A297,SyS!$B:$P,10,FALSE()),0)</f>
        <v>0</v>
      </c>
      <c r="Y297" s="39">
        <f>IFERROR(VLOOKUP("13_"&amp;A297,SyS!$B:$P,12,FALSE()),0)</f>
        <v>0</v>
      </c>
      <c r="Z297" s="40">
        <f>+X297-Y297</f>
        <v>0</v>
      </c>
      <c r="AA297" s="38">
        <f>IFERROR(VLOOKUP("17_"&amp;A297,SyS!$B:$P,10,FALSE()),0)</f>
        <v>0</v>
      </c>
      <c r="AB297" s="39">
        <f>IFERROR(VLOOKUP("17_"&amp;A297,SyS!$B:$P,12,FALSE()),0)</f>
        <v>0</v>
      </c>
      <c r="AC297" s="40">
        <f>+AA297-AB297</f>
        <v>0</v>
      </c>
      <c r="AD297" s="39"/>
      <c r="AE297" s="39"/>
      <c r="AF297" s="39"/>
      <c r="AG297" s="39">
        <f>IFERROR(VLOOKUP("19_"&amp;A297,SyS!$B:$P,10,FALSE()),0)</f>
        <v>0</v>
      </c>
      <c r="AH297" s="39">
        <f>IFERROR(VLOOKUP("19_"&amp;A297,SyS!$B:$P,12,FALSE()),0)</f>
        <v>0</v>
      </c>
      <c r="AI297" s="39">
        <f>+AG297-AH297</f>
        <v>0</v>
      </c>
      <c r="AJ297" s="39"/>
      <c r="AK297" s="39"/>
      <c r="AL297" s="39"/>
      <c r="AM297" s="38">
        <f>IFERROR(VLOOKUP("23_"&amp;A297,SyS!$B:$P,10,FALSE()),0)</f>
        <v>0</v>
      </c>
      <c r="AN297" s="39">
        <f>IFERROR(VLOOKUP("23_"&amp;A297,SyS!$B:$P,12,FALSE()),0)</f>
        <v>0</v>
      </c>
      <c r="AO297" s="40">
        <f>+AM297-AN297</f>
        <v>0</v>
      </c>
      <c r="AP297" s="39"/>
      <c r="AQ297" s="39"/>
      <c r="AR297" s="39"/>
      <c r="AS297" s="39"/>
      <c r="AT297" s="39"/>
      <c r="AU297" s="39"/>
      <c r="AV297" s="39"/>
      <c r="AW297" s="39"/>
      <c r="AX297" s="39"/>
      <c r="AY297" s="39"/>
      <c r="AZ297" s="39"/>
      <c r="BA297" s="39"/>
      <c r="BB297" s="39"/>
      <c r="BC297" s="39"/>
      <c r="BD297" s="39"/>
      <c r="BE297" s="39"/>
      <c r="BF297" s="39"/>
      <c r="BG297" s="39"/>
      <c r="BH297" s="39"/>
      <c r="BI297" s="39"/>
      <c r="BJ297" s="39"/>
      <c r="BK297" s="39">
        <f>IFERROR(VLOOKUP("29_"&amp;A297,SyS!$B:$P,10,FALSE()),0)</f>
        <v>0</v>
      </c>
      <c r="BL297" s="39">
        <f>IFERROR(VLOOKUP("29_"&amp;A297,SyS!$B:$P,12,FALSE()),0)</f>
        <v>0</v>
      </c>
      <c r="BM297" s="39">
        <f>+BK297-BL297</f>
        <v>0</v>
      </c>
      <c r="BN297" s="38">
        <f>IFERROR(VLOOKUP("30_"&amp;A297,SyS!$B:$P,10,FALSE()),0)</f>
        <v>0</v>
      </c>
      <c r="BO297" s="39">
        <f>IFERROR(VLOOKUP("30_"&amp;A297,SyS!$B:$P,12,FALSE()),0)</f>
        <v>0</v>
      </c>
      <c r="BP297" s="40">
        <f>+BN297-BO297</f>
        <v>0</v>
      </c>
      <c r="BQ297" s="45">
        <f>+E297+H297+K297+Q297+T297+W297+Z297+AC297+AF297+AI297+AL297+AO297+AR297+AU297+AX297+BA297+BD297+BG297+BJ297+BM297+BP297</f>
        <v>0</v>
      </c>
    </row>
    <row r="298" ht="11.25" customHeight="1" spans="1:69" x14ac:dyDescent="0.25">
      <c r="A298" s="18">
        <v>421810000</v>
      </c>
      <c r="B298" s="18" t="s">
        <v>527</v>
      </c>
      <c r="C298" s="38">
        <f>IFERROR(VLOOKUP("1_"&amp;A298,SyS!$B:$P,10,FALSE()),0)</f>
        <v>0</v>
      </c>
      <c r="D298" s="39">
        <f>IFERROR(VLOOKUP("1_"&amp;A298,SyS!$B:$P,12,FALSE()),0)</f>
        <v>0</v>
      </c>
      <c r="E298" s="39">
        <f>+C298-D298</f>
        <v>0</v>
      </c>
      <c r="F298" s="38">
        <f>IFERROR(VLOOKUP("2_"&amp;A298,SyS!$B:$P,10,FALSE()),0)</f>
        <v>0</v>
      </c>
      <c r="G298" s="39">
        <f>IFERROR(VLOOKUP("2_"&amp;A298,SyS!$B:$P,12,FALSE()),0)</f>
        <v>0</v>
      </c>
      <c r="H298" s="40">
        <f>+F298-G298</f>
        <v>0</v>
      </c>
      <c r="I298" s="39"/>
      <c r="J298" s="39"/>
      <c r="K298" s="39"/>
      <c r="L298" s="39"/>
      <c r="M298" s="39"/>
      <c r="N298" s="39"/>
      <c r="O298" s="38">
        <f>IFERROR(VLOOKUP("14_"&amp;A298,SyS!$B:$P,10,FALSE()),0)</f>
        <v>0</v>
      </c>
      <c r="P298" s="39">
        <f>IFERROR(VLOOKUP("14_"&amp;A298,SyS!$B:$P,12,FALSE()),0)</f>
        <v>0</v>
      </c>
      <c r="Q298" s="40">
        <f>+O298-P298</f>
        <v>0</v>
      </c>
      <c r="R298" s="38">
        <f>IFERROR(VLOOKUP("15_"&amp;A298,SyS!$B:$P,10,FALSE()),0)</f>
        <v>0</v>
      </c>
      <c r="S298" s="39">
        <f>IFERROR(VLOOKUP("15_"&amp;A298,SyS!$B:$P,12,FALSE()),0)</f>
        <v>0</v>
      </c>
      <c r="T298" s="40">
        <f>+R298-S298</f>
        <v>0</v>
      </c>
      <c r="U298" s="38">
        <f>IFERROR(VLOOKUP("16_"&amp;A298,SyS!$B:$P,10,FALSE()),0)</f>
        <v>0</v>
      </c>
      <c r="V298" s="39">
        <f>IFERROR(VLOOKUP("16_"&amp;A298,SyS!$B:$P,12,FALSE()),0)</f>
        <v>0</v>
      </c>
      <c r="W298" s="40">
        <f>+U298-V298</f>
        <v>0</v>
      </c>
      <c r="X298" s="38">
        <f>IFERROR(VLOOKUP("13_"&amp;A298,SyS!$B:$P,10,FALSE()),0)</f>
        <v>0</v>
      </c>
      <c r="Y298" s="39">
        <f>IFERROR(VLOOKUP("13_"&amp;A298,SyS!$B:$P,12,FALSE()),0)</f>
        <v>0</v>
      </c>
      <c r="Z298" s="40">
        <f>+X298-Y298</f>
        <v>0</v>
      </c>
      <c r="AA298" s="38">
        <f>IFERROR(VLOOKUP("17_"&amp;A298,SyS!$B:$P,10,FALSE()),0)</f>
        <v>0</v>
      </c>
      <c r="AB298" s="39">
        <f>IFERROR(VLOOKUP("17_"&amp;A298,SyS!$B:$P,12,FALSE()),0)</f>
        <v>0</v>
      </c>
      <c r="AC298" s="40">
        <f>+AA298-AB298</f>
        <v>0</v>
      </c>
      <c r="AD298" s="39"/>
      <c r="AE298" s="39"/>
      <c r="AF298" s="39"/>
      <c r="AG298" s="39">
        <f>IFERROR(VLOOKUP("19_"&amp;A298,SyS!$B:$P,10,FALSE()),0)</f>
        <v>0</v>
      </c>
      <c r="AH298" s="39">
        <f>IFERROR(VLOOKUP("19_"&amp;A298,SyS!$B:$P,12,FALSE()),0)</f>
        <v>0</v>
      </c>
      <c r="AI298" s="39">
        <f>+AG298-AH298</f>
        <v>0</v>
      </c>
      <c r="AJ298" s="39"/>
      <c r="AK298" s="39"/>
      <c r="AL298" s="39"/>
      <c r="AM298" s="38">
        <f>IFERROR(VLOOKUP("23_"&amp;A298,SyS!$B:$P,10,FALSE()),0)</f>
        <v>0</v>
      </c>
      <c r="AN298" s="39">
        <f>IFERROR(VLOOKUP("23_"&amp;A298,SyS!$B:$P,12,FALSE()),0)</f>
        <v>0</v>
      </c>
      <c r="AO298" s="40">
        <f>+AM298-AN298</f>
        <v>0</v>
      </c>
      <c r="AP298" s="39"/>
      <c r="AQ298" s="39"/>
      <c r="AR298" s="39"/>
      <c r="AS298" s="39"/>
      <c r="AT298" s="39"/>
      <c r="AU298" s="39"/>
      <c r="AV298" s="39"/>
      <c r="AW298" s="39"/>
      <c r="AX298" s="39"/>
      <c r="AY298" s="39"/>
      <c r="AZ298" s="39"/>
      <c r="BA298" s="39"/>
      <c r="BB298" s="39"/>
      <c r="BC298" s="39"/>
      <c r="BD298" s="39"/>
      <c r="BE298" s="39"/>
      <c r="BF298" s="39"/>
      <c r="BG298" s="39"/>
      <c r="BH298" s="39"/>
      <c r="BI298" s="39"/>
      <c r="BJ298" s="39"/>
      <c r="BK298" s="39">
        <f>IFERROR(VLOOKUP("29_"&amp;A298,SyS!$B:$P,10,FALSE()),0)</f>
        <v>0</v>
      </c>
      <c r="BL298" s="39">
        <f>IFERROR(VLOOKUP("29_"&amp;A298,SyS!$B:$P,12,FALSE()),0)</f>
        <v>0</v>
      </c>
      <c r="BM298" s="39">
        <f>+BK298-BL298</f>
        <v>0</v>
      </c>
      <c r="BN298" s="38">
        <f>IFERROR(VLOOKUP("30_"&amp;A298,SyS!$B:$P,10,FALSE()),0)</f>
        <v>0</v>
      </c>
      <c r="BO298" s="39">
        <f>IFERROR(VLOOKUP("30_"&amp;A298,SyS!$B:$P,12,FALSE()),0)</f>
        <v>0</v>
      </c>
      <c r="BP298" s="40">
        <f>+BN298-BO298</f>
        <v>0</v>
      </c>
      <c r="BQ298" s="45">
        <f>+E298+H298+K298+Q298+T298+W298+Z298+AC298+AF298+AI298+AL298+AO298+AR298+AU298+AX298+BA298+BD298+BG298+BJ298+BM298+BP298</f>
        <v>0</v>
      </c>
    </row>
    <row r="299" ht="11.25" customHeight="1" spans="1:69" x14ac:dyDescent="0.25">
      <c r="A299" s="18">
        <v>421820000</v>
      </c>
      <c r="B299" s="18" t="s">
        <v>528</v>
      </c>
      <c r="C299" s="38">
        <f>IFERROR(VLOOKUP("1_"&amp;A299,SyS!$B:$P,10,FALSE()),0)</f>
        <v>0</v>
      </c>
      <c r="D299" s="39">
        <f>IFERROR(VLOOKUP("1_"&amp;A299,SyS!$B:$P,12,FALSE()),0)</f>
        <v>0</v>
      </c>
      <c r="E299" s="39">
        <f>+C299-D299</f>
        <v>0</v>
      </c>
      <c r="F299" s="38">
        <f>IFERROR(VLOOKUP("2_"&amp;A299,SyS!$B:$P,10,FALSE()),0)</f>
        <v>0</v>
      </c>
      <c r="G299" s="39">
        <f>IFERROR(VLOOKUP("2_"&amp;A299,SyS!$B:$P,12,FALSE()),0)</f>
        <v>0</v>
      </c>
      <c r="H299" s="40">
        <f>+F299-G299</f>
        <v>0</v>
      </c>
      <c r="I299" s="39"/>
      <c r="J299" s="39"/>
      <c r="K299" s="39"/>
      <c r="L299" s="39"/>
      <c r="M299" s="39"/>
      <c r="N299" s="39"/>
      <c r="O299" s="38">
        <f>IFERROR(VLOOKUP("14_"&amp;A299,SyS!$B:$P,10,FALSE()),0)</f>
        <v>0</v>
      </c>
      <c r="P299" s="39">
        <f>IFERROR(VLOOKUP("14_"&amp;A299,SyS!$B:$P,12,FALSE()),0)</f>
        <v>0</v>
      </c>
      <c r="Q299" s="40">
        <f>+O299-P299</f>
        <v>0</v>
      </c>
      <c r="R299" s="38">
        <f>IFERROR(VLOOKUP("15_"&amp;A299,SyS!$B:$P,10,FALSE()),0)</f>
        <v>0</v>
      </c>
      <c r="S299" s="39">
        <f>IFERROR(VLOOKUP("15_"&amp;A299,SyS!$B:$P,12,FALSE()),0)</f>
        <v>0</v>
      </c>
      <c r="T299" s="40">
        <f>+R299-S299</f>
        <v>0</v>
      </c>
      <c r="U299" s="38">
        <f>IFERROR(VLOOKUP("16_"&amp;A299,SyS!$B:$P,10,FALSE()),0)</f>
        <v>0</v>
      </c>
      <c r="V299" s="39">
        <f>IFERROR(VLOOKUP("16_"&amp;A299,SyS!$B:$P,12,FALSE()),0)</f>
        <v>0</v>
      </c>
      <c r="W299" s="40">
        <f>+U299-V299</f>
        <v>0</v>
      </c>
      <c r="X299" s="38">
        <f>IFERROR(VLOOKUP("13_"&amp;A299,SyS!$B:$P,10,FALSE()),0)</f>
        <v>0</v>
      </c>
      <c r="Y299" s="39">
        <f>IFERROR(VLOOKUP("13_"&amp;A299,SyS!$B:$P,12,FALSE()),0)</f>
        <v>0</v>
      </c>
      <c r="Z299" s="40">
        <f>+X299-Y299</f>
        <v>0</v>
      </c>
      <c r="AA299" s="38">
        <f>IFERROR(VLOOKUP("17_"&amp;A299,SyS!$B:$P,10,FALSE()),0)</f>
        <v>0</v>
      </c>
      <c r="AB299" s="39">
        <f>IFERROR(VLOOKUP("17_"&amp;A299,SyS!$B:$P,12,FALSE()),0)</f>
        <v>0</v>
      </c>
      <c r="AC299" s="40">
        <f>+AA299-AB299</f>
        <v>0</v>
      </c>
      <c r="AD299" s="39"/>
      <c r="AE299" s="39"/>
      <c r="AF299" s="39"/>
      <c r="AG299" s="39">
        <f>IFERROR(VLOOKUP("19_"&amp;A299,SyS!$B:$P,10,FALSE()),0)</f>
        <v>0</v>
      </c>
      <c r="AH299" s="39">
        <f>IFERROR(VLOOKUP("19_"&amp;A299,SyS!$B:$P,12,FALSE()),0)</f>
        <v>0</v>
      </c>
      <c r="AI299" s="39">
        <f>+AG299-AH299</f>
        <v>0</v>
      </c>
      <c r="AJ299" s="39"/>
      <c r="AK299" s="39"/>
      <c r="AL299" s="39"/>
      <c r="AM299" s="38">
        <f>IFERROR(VLOOKUP("23_"&amp;A299,SyS!$B:$P,10,FALSE()),0)</f>
        <v>0</v>
      </c>
      <c r="AN299" s="39">
        <f>IFERROR(VLOOKUP("23_"&amp;A299,SyS!$B:$P,12,FALSE()),0)</f>
        <v>0</v>
      </c>
      <c r="AO299" s="40">
        <f>+AM299-AN299</f>
        <v>0</v>
      </c>
      <c r="AP299" s="39"/>
      <c r="AQ299" s="39"/>
      <c r="AR299" s="39"/>
      <c r="AS299" s="39"/>
      <c r="AT299" s="39"/>
      <c r="AU299" s="39"/>
      <c r="AV299" s="39"/>
      <c r="AW299" s="39"/>
      <c r="AX299" s="39"/>
      <c r="AY299" s="39"/>
      <c r="AZ299" s="39"/>
      <c r="BA299" s="39"/>
      <c r="BB299" s="39"/>
      <c r="BC299" s="39"/>
      <c r="BD299" s="39"/>
      <c r="BE299" s="39"/>
      <c r="BF299" s="39"/>
      <c r="BG299" s="39"/>
      <c r="BH299" s="39"/>
      <c r="BI299" s="39"/>
      <c r="BJ299" s="39"/>
      <c r="BK299" s="39">
        <f>IFERROR(VLOOKUP("29_"&amp;A299,SyS!$B:$P,10,FALSE()),0)</f>
        <v>0</v>
      </c>
      <c r="BL299" s="39">
        <f>IFERROR(VLOOKUP("29_"&amp;A299,SyS!$B:$P,12,FALSE()),0)</f>
        <v>0</v>
      </c>
      <c r="BM299" s="39">
        <f>+BK299-BL299</f>
        <v>0</v>
      </c>
      <c r="BN299" s="38">
        <f>IFERROR(VLOOKUP("30_"&amp;A299,SyS!$B:$P,10,FALSE()),0)</f>
        <v>0</v>
      </c>
      <c r="BO299" s="39">
        <f>IFERROR(VLOOKUP("30_"&amp;A299,SyS!$B:$P,12,FALSE()),0)</f>
        <v>0</v>
      </c>
      <c r="BP299" s="40">
        <f>+BN299-BO299</f>
        <v>0</v>
      </c>
      <c r="BQ299" s="45">
        <f>+E299+H299+K299+Q299+T299+W299+Z299+AC299+AF299+AI299+AL299+AO299+AR299+AU299+AX299+BA299+BD299+BG299+BJ299+BM299+BP299</f>
        <v>0</v>
      </c>
    </row>
    <row r="300" ht="11.25" customHeight="1" spans="1:69" x14ac:dyDescent="0.25">
      <c r="A300" s="18">
        <v>421830000</v>
      </c>
      <c r="B300" s="18" t="s">
        <v>529</v>
      </c>
      <c r="C300" s="38">
        <f>IFERROR(VLOOKUP("1_"&amp;A300,SyS!$B:$P,10,FALSE()),0)</f>
        <v>0</v>
      </c>
      <c r="D300" s="39">
        <f>IFERROR(VLOOKUP("1_"&amp;A300,SyS!$B:$P,12,FALSE()),0)</f>
        <v>0</v>
      </c>
      <c r="E300" s="39">
        <f>+C300-D300</f>
        <v>0</v>
      </c>
      <c r="F300" s="38">
        <f>IFERROR(VLOOKUP("2_"&amp;A300,SyS!$B:$P,10,FALSE()),0)</f>
        <v>0</v>
      </c>
      <c r="G300" s="39">
        <f>IFERROR(VLOOKUP("2_"&amp;A300,SyS!$B:$P,12,FALSE()),0)</f>
        <v>0</v>
      </c>
      <c r="H300" s="40">
        <f>+F300-G300</f>
        <v>0</v>
      </c>
      <c r="I300" s="39"/>
      <c r="J300" s="39"/>
      <c r="K300" s="39"/>
      <c r="L300" s="39"/>
      <c r="M300" s="39"/>
      <c r="N300" s="39"/>
      <c r="O300" s="38">
        <f>IFERROR(VLOOKUP("14_"&amp;A300,SyS!$B:$P,10,FALSE()),0)</f>
        <v>0</v>
      </c>
      <c r="P300" s="39">
        <f>IFERROR(VLOOKUP("14_"&amp;A300,SyS!$B:$P,12,FALSE()),0)</f>
        <v>0</v>
      </c>
      <c r="Q300" s="40">
        <f>+O300-P300</f>
        <v>0</v>
      </c>
      <c r="R300" s="38">
        <f>IFERROR(VLOOKUP("15_"&amp;A300,SyS!$B:$P,10,FALSE()),0)</f>
        <v>0</v>
      </c>
      <c r="S300" s="39">
        <f>IFERROR(VLOOKUP("15_"&amp;A300,SyS!$B:$P,12,FALSE()),0)</f>
        <v>0</v>
      </c>
      <c r="T300" s="40">
        <f>+R300-S300</f>
        <v>0</v>
      </c>
      <c r="U300" s="38">
        <f>IFERROR(VLOOKUP("16_"&amp;A300,SyS!$B:$P,10,FALSE()),0)</f>
        <v>0</v>
      </c>
      <c r="V300" s="39">
        <f>IFERROR(VLOOKUP("16_"&amp;A300,SyS!$B:$P,12,FALSE()),0)</f>
        <v>0</v>
      </c>
      <c r="W300" s="40">
        <f>+U300-V300</f>
        <v>0</v>
      </c>
      <c r="X300" s="38">
        <f>IFERROR(VLOOKUP("13_"&amp;A300,SyS!$B:$P,10,FALSE()),0)</f>
        <v>0</v>
      </c>
      <c r="Y300" s="39">
        <f>IFERROR(VLOOKUP("13_"&amp;A300,SyS!$B:$P,12,FALSE()),0)</f>
        <v>0</v>
      </c>
      <c r="Z300" s="40">
        <f>+X300-Y300</f>
        <v>0</v>
      </c>
      <c r="AA300" s="38">
        <f>IFERROR(VLOOKUP("17_"&amp;A300,SyS!$B:$P,10,FALSE()),0)</f>
        <v>0</v>
      </c>
      <c r="AB300" s="39">
        <f>IFERROR(VLOOKUP("17_"&amp;A300,SyS!$B:$P,12,FALSE()),0)</f>
        <v>0</v>
      </c>
      <c r="AC300" s="40">
        <f>+AA300-AB300</f>
        <v>0</v>
      </c>
      <c r="AD300" s="39"/>
      <c r="AE300" s="39"/>
      <c r="AF300" s="39"/>
      <c r="AG300" s="39">
        <f>IFERROR(VLOOKUP("19_"&amp;A300,SyS!$B:$P,10,FALSE()),0)</f>
        <v>0</v>
      </c>
      <c r="AH300" s="39">
        <f>IFERROR(VLOOKUP("19_"&amp;A300,SyS!$B:$P,12,FALSE()),0)</f>
        <v>0</v>
      </c>
      <c r="AI300" s="39">
        <f>+AG300-AH300</f>
        <v>0</v>
      </c>
      <c r="AJ300" s="39"/>
      <c r="AK300" s="39"/>
      <c r="AL300" s="39"/>
      <c r="AM300" s="38">
        <f>IFERROR(VLOOKUP("23_"&amp;A300,SyS!$B:$P,10,FALSE()),0)</f>
        <v>0</v>
      </c>
      <c r="AN300" s="39">
        <f>IFERROR(VLOOKUP("23_"&amp;A300,SyS!$B:$P,12,FALSE()),0)</f>
        <v>0</v>
      </c>
      <c r="AO300" s="40">
        <f>+AM300-AN300</f>
        <v>0</v>
      </c>
      <c r="AP300" s="39"/>
      <c r="AQ300" s="39"/>
      <c r="AR300" s="39"/>
      <c r="AS300" s="39"/>
      <c r="AT300" s="39"/>
      <c r="AU300" s="39"/>
      <c r="AV300" s="39"/>
      <c r="AW300" s="39"/>
      <c r="AX300" s="39"/>
      <c r="AY300" s="39"/>
      <c r="AZ300" s="39"/>
      <c r="BA300" s="39"/>
      <c r="BB300" s="39"/>
      <c r="BC300" s="39"/>
      <c r="BD300" s="39"/>
      <c r="BE300" s="39"/>
      <c r="BF300" s="39"/>
      <c r="BG300" s="39"/>
      <c r="BH300" s="39"/>
      <c r="BI300" s="39"/>
      <c r="BJ300" s="39"/>
      <c r="BK300" s="39">
        <f>IFERROR(VLOOKUP("29_"&amp;A300,SyS!$B:$P,10,FALSE()),0)</f>
        <v>0</v>
      </c>
      <c r="BL300" s="39">
        <f>IFERROR(VLOOKUP("29_"&amp;A300,SyS!$B:$P,12,FALSE()),0)</f>
        <v>0</v>
      </c>
      <c r="BM300" s="39">
        <f>+BK300-BL300</f>
        <v>0</v>
      </c>
      <c r="BN300" s="38">
        <f>IFERROR(VLOOKUP("30_"&amp;A300,SyS!$B:$P,10,FALSE()),0)</f>
        <v>0</v>
      </c>
      <c r="BO300" s="39">
        <f>IFERROR(VLOOKUP("30_"&amp;A300,SyS!$B:$P,12,FALSE()),0)</f>
        <v>0</v>
      </c>
      <c r="BP300" s="40">
        <f>+BN300-BO300</f>
        <v>0</v>
      </c>
      <c r="BQ300" s="45">
        <f>+E300+H300+K300+Q300+T300+W300+Z300+AC300+AF300+AI300+AL300+AO300+AR300+AU300+AX300+BA300+BD300+BG300+BJ300+BM300+BP300</f>
        <v>0</v>
      </c>
    </row>
    <row r="301" ht="11.25" customHeight="1" spans="1:69" x14ac:dyDescent="0.25">
      <c r="A301" s="18">
        <v>421840000</v>
      </c>
      <c r="B301" s="18" t="s">
        <v>530</v>
      </c>
      <c r="C301" s="38">
        <f>IFERROR(VLOOKUP("1_"&amp;A301,SyS!$B:$P,10,FALSE()),0)</f>
        <v>0</v>
      </c>
      <c r="D301" s="39">
        <f>IFERROR(VLOOKUP("1_"&amp;A301,SyS!$B:$P,12,FALSE()),0)</f>
        <v>0</v>
      </c>
      <c r="E301" s="39">
        <f>+C301-D301</f>
        <v>0</v>
      </c>
      <c r="F301" s="38">
        <f>IFERROR(VLOOKUP("2_"&amp;A301,SyS!$B:$P,10,FALSE()),0)</f>
        <v>0</v>
      </c>
      <c r="G301" s="39">
        <f>IFERROR(VLOOKUP("2_"&amp;A301,SyS!$B:$P,12,FALSE()),0)</f>
        <v>0</v>
      </c>
      <c r="H301" s="40">
        <f>+F301-G301</f>
        <v>0</v>
      </c>
      <c r="I301" s="39"/>
      <c r="J301" s="39"/>
      <c r="K301" s="39"/>
      <c r="L301" s="39"/>
      <c r="M301" s="39"/>
      <c r="N301" s="39"/>
      <c r="O301" s="38">
        <f>IFERROR(VLOOKUP("14_"&amp;A301,SyS!$B:$P,10,FALSE()),0)</f>
        <v>0</v>
      </c>
      <c r="P301" s="39">
        <f>IFERROR(VLOOKUP("14_"&amp;A301,SyS!$B:$P,12,FALSE()),0)</f>
        <v>0</v>
      </c>
      <c r="Q301" s="40">
        <f>+O301-P301</f>
        <v>0</v>
      </c>
      <c r="R301" s="38">
        <f>IFERROR(VLOOKUP("15_"&amp;A301,SyS!$B:$P,10,FALSE()),0)</f>
        <v>0</v>
      </c>
      <c r="S301" s="39">
        <f>IFERROR(VLOOKUP("15_"&amp;A301,SyS!$B:$P,12,FALSE()),0)</f>
        <v>0</v>
      </c>
      <c r="T301" s="40">
        <f>+R301-S301</f>
        <v>0</v>
      </c>
      <c r="U301" s="38">
        <f>IFERROR(VLOOKUP("16_"&amp;A301,SyS!$B:$P,10,FALSE()),0)</f>
        <v>0</v>
      </c>
      <c r="V301" s="39">
        <f>IFERROR(VLOOKUP("16_"&amp;A301,SyS!$B:$P,12,FALSE()),0)</f>
        <v>0</v>
      </c>
      <c r="W301" s="40">
        <f>+U301-V301</f>
        <v>0</v>
      </c>
      <c r="X301" s="38">
        <f>IFERROR(VLOOKUP("13_"&amp;A301,SyS!$B:$P,10,FALSE()),0)</f>
        <v>0</v>
      </c>
      <c r="Y301" s="39">
        <f>IFERROR(VLOOKUP("13_"&amp;A301,SyS!$B:$P,12,FALSE()),0)</f>
        <v>0</v>
      </c>
      <c r="Z301" s="40">
        <f>+X301-Y301</f>
        <v>0</v>
      </c>
      <c r="AA301" s="38">
        <f>IFERROR(VLOOKUP("17_"&amp;A301,SyS!$B:$P,10,FALSE()),0)</f>
        <v>0</v>
      </c>
      <c r="AB301" s="39">
        <f>IFERROR(VLOOKUP("17_"&amp;A301,SyS!$B:$P,12,FALSE()),0)</f>
        <v>0</v>
      </c>
      <c r="AC301" s="40">
        <f>+AA301-AB301</f>
        <v>0</v>
      </c>
      <c r="AD301" s="39"/>
      <c r="AE301" s="39"/>
      <c r="AF301" s="39"/>
      <c r="AG301" s="39">
        <f>IFERROR(VLOOKUP("19_"&amp;A301,SyS!$B:$P,10,FALSE()),0)</f>
        <v>0</v>
      </c>
      <c r="AH301" s="39">
        <f>IFERROR(VLOOKUP("19_"&amp;A301,SyS!$B:$P,12,FALSE()),0)</f>
        <v>0</v>
      </c>
      <c r="AI301" s="39">
        <f>+AG301-AH301</f>
        <v>0</v>
      </c>
      <c r="AJ301" s="39"/>
      <c r="AK301" s="39"/>
      <c r="AL301" s="39"/>
      <c r="AM301" s="38">
        <f>IFERROR(VLOOKUP("23_"&amp;A301,SyS!$B:$P,10,FALSE()),0)</f>
        <v>0</v>
      </c>
      <c r="AN301" s="39">
        <f>IFERROR(VLOOKUP("23_"&amp;A301,SyS!$B:$P,12,FALSE()),0)</f>
        <v>0</v>
      </c>
      <c r="AO301" s="40">
        <f>+AM301-AN301</f>
        <v>0</v>
      </c>
      <c r="AP301" s="39"/>
      <c r="AQ301" s="39"/>
      <c r="AR301" s="39"/>
      <c r="AS301" s="39"/>
      <c r="AT301" s="39"/>
      <c r="AU301" s="39"/>
      <c r="AV301" s="39"/>
      <c r="AW301" s="39"/>
      <c r="AX301" s="39"/>
      <c r="AY301" s="39"/>
      <c r="AZ301" s="39"/>
      <c r="BA301" s="39"/>
      <c r="BB301" s="39"/>
      <c r="BC301" s="39"/>
      <c r="BD301" s="39"/>
      <c r="BE301" s="39"/>
      <c r="BF301" s="39"/>
      <c r="BG301" s="39"/>
      <c r="BH301" s="39"/>
      <c r="BI301" s="39"/>
      <c r="BJ301" s="39"/>
      <c r="BK301" s="39">
        <f>IFERROR(VLOOKUP("29_"&amp;A301,SyS!$B:$P,10,FALSE()),0)</f>
        <v>0</v>
      </c>
      <c r="BL301" s="39">
        <f>IFERROR(VLOOKUP("29_"&amp;A301,SyS!$B:$P,12,FALSE()),0)</f>
        <v>0</v>
      </c>
      <c r="BM301" s="39">
        <f>+BK301-BL301</f>
        <v>0</v>
      </c>
      <c r="BN301" s="38">
        <f>IFERROR(VLOOKUP("30_"&amp;A301,SyS!$B:$P,10,FALSE()),0)</f>
        <v>0</v>
      </c>
      <c r="BO301" s="39">
        <f>IFERROR(VLOOKUP("30_"&amp;A301,SyS!$B:$P,12,FALSE()),0)</f>
        <v>0</v>
      </c>
      <c r="BP301" s="40">
        <f>+BN301-BO301</f>
        <v>0</v>
      </c>
      <c r="BQ301" s="45">
        <f>+E301+H301+K301+Q301+T301+W301+Z301+AC301+AF301+AI301+AL301+AO301+AR301+AU301+AX301+BA301+BD301+BG301+BJ301+BM301+BP301</f>
        <v>0</v>
      </c>
    </row>
    <row r="302" ht="11.25" customHeight="1" spans="1:69" x14ac:dyDescent="0.25">
      <c r="A302" s="18">
        <v>421850000</v>
      </c>
      <c r="B302" s="18" t="s">
        <v>531</v>
      </c>
      <c r="C302" s="38">
        <f>IFERROR(VLOOKUP("1_"&amp;A302,SyS!$B:$P,10,FALSE()),0)</f>
        <v>0</v>
      </c>
      <c r="D302" s="39">
        <f>IFERROR(VLOOKUP("1_"&amp;A302,SyS!$B:$P,12,FALSE()),0)</f>
        <v>0</v>
      </c>
      <c r="E302" s="39">
        <f>+C302-D302</f>
        <v>0</v>
      </c>
      <c r="F302" s="38">
        <f>IFERROR(VLOOKUP("2_"&amp;A302,SyS!$B:$P,10,FALSE()),0)</f>
        <v>0</v>
      </c>
      <c r="G302" s="39">
        <f>IFERROR(VLOOKUP("2_"&amp;A302,SyS!$B:$P,12,FALSE()),0)</f>
        <v>0</v>
      </c>
      <c r="H302" s="40">
        <f>+F302-G302</f>
        <v>0</v>
      </c>
      <c r="I302" s="39"/>
      <c r="J302" s="39"/>
      <c r="K302" s="39"/>
      <c r="L302" s="39"/>
      <c r="M302" s="39"/>
      <c r="N302" s="39"/>
      <c r="O302" s="38">
        <f>IFERROR(VLOOKUP("14_"&amp;A302,SyS!$B:$P,10,FALSE()),0)</f>
        <v>0</v>
      </c>
      <c r="P302" s="39">
        <f>IFERROR(VLOOKUP("14_"&amp;A302,SyS!$B:$P,12,FALSE()),0)</f>
        <v>0</v>
      </c>
      <c r="Q302" s="40">
        <f>+O302-P302</f>
        <v>0</v>
      </c>
      <c r="R302" s="38">
        <f>IFERROR(VLOOKUP("15_"&amp;A302,SyS!$B:$P,10,FALSE()),0)</f>
        <v>0</v>
      </c>
      <c r="S302" s="39">
        <f>IFERROR(VLOOKUP("15_"&amp;A302,SyS!$B:$P,12,FALSE()),0)</f>
        <v>0</v>
      </c>
      <c r="T302" s="40">
        <f>+R302-S302</f>
        <v>0</v>
      </c>
      <c r="U302" s="38">
        <f>IFERROR(VLOOKUP("16_"&amp;A302,SyS!$B:$P,10,FALSE()),0)</f>
        <v>0</v>
      </c>
      <c r="V302" s="39">
        <f>IFERROR(VLOOKUP("16_"&amp;A302,SyS!$B:$P,12,FALSE()),0)</f>
        <v>0</v>
      </c>
      <c r="W302" s="40">
        <f>+U302-V302</f>
        <v>0</v>
      </c>
      <c r="X302" s="38">
        <f>IFERROR(VLOOKUP("13_"&amp;A302,SyS!$B:$P,10,FALSE()),0)</f>
        <v>0</v>
      </c>
      <c r="Y302" s="39">
        <f>IFERROR(VLOOKUP("13_"&amp;A302,SyS!$B:$P,12,FALSE()),0)</f>
        <v>0</v>
      </c>
      <c r="Z302" s="40">
        <f>+X302-Y302</f>
        <v>0</v>
      </c>
      <c r="AA302" s="38">
        <f>IFERROR(VLOOKUP("17_"&amp;A302,SyS!$B:$P,10,FALSE()),0)</f>
        <v>0</v>
      </c>
      <c r="AB302" s="39">
        <f>IFERROR(VLOOKUP("17_"&amp;A302,SyS!$B:$P,12,FALSE()),0)</f>
        <v>0</v>
      </c>
      <c r="AC302" s="40">
        <f>+AA302-AB302</f>
        <v>0</v>
      </c>
      <c r="AD302" s="39"/>
      <c r="AE302" s="39"/>
      <c r="AF302" s="39"/>
      <c r="AG302" s="39">
        <f>IFERROR(VLOOKUP("19_"&amp;A302,SyS!$B:$P,10,FALSE()),0)</f>
        <v>0</v>
      </c>
      <c r="AH302" s="39">
        <f>IFERROR(VLOOKUP("19_"&amp;A302,SyS!$B:$P,12,FALSE()),0)</f>
        <v>0</v>
      </c>
      <c r="AI302" s="39">
        <f>+AG302-AH302</f>
        <v>0</v>
      </c>
      <c r="AJ302" s="39"/>
      <c r="AK302" s="39"/>
      <c r="AL302" s="39"/>
      <c r="AM302" s="38">
        <f>IFERROR(VLOOKUP("23_"&amp;A302,SyS!$B:$P,10,FALSE()),0)</f>
        <v>0</v>
      </c>
      <c r="AN302" s="39">
        <f>IFERROR(VLOOKUP("23_"&amp;A302,SyS!$B:$P,12,FALSE()),0)</f>
        <v>0</v>
      </c>
      <c r="AO302" s="40">
        <f>+AM302-AN302</f>
        <v>0</v>
      </c>
      <c r="AP302" s="39"/>
      <c r="AQ302" s="39"/>
      <c r="AR302" s="39"/>
      <c r="AS302" s="39"/>
      <c r="AT302" s="39"/>
      <c r="AU302" s="39"/>
      <c r="AV302" s="39"/>
      <c r="AW302" s="39"/>
      <c r="AX302" s="39"/>
      <c r="AY302" s="39"/>
      <c r="AZ302" s="39"/>
      <c r="BA302" s="39"/>
      <c r="BB302" s="39"/>
      <c r="BC302" s="39"/>
      <c r="BD302" s="39"/>
      <c r="BE302" s="39"/>
      <c r="BF302" s="39"/>
      <c r="BG302" s="39"/>
      <c r="BH302" s="39"/>
      <c r="BI302" s="39"/>
      <c r="BJ302" s="39"/>
      <c r="BK302" s="39">
        <f>IFERROR(VLOOKUP("29_"&amp;A302,SyS!$B:$P,10,FALSE()),0)</f>
        <v>0</v>
      </c>
      <c r="BL302" s="39">
        <f>IFERROR(VLOOKUP("29_"&amp;A302,SyS!$B:$P,12,FALSE()),0)</f>
        <v>0</v>
      </c>
      <c r="BM302" s="39">
        <f>+BK302-BL302</f>
        <v>0</v>
      </c>
      <c r="BN302" s="38">
        <f>IFERROR(VLOOKUP("30_"&amp;A302,SyS!$B:$P,10,FALSE()),0)</f>
        <v>0</v>
      </c>
      <c r="BO302" s="39">
        <f>IFERROR(VLOOKUP("30_"&amp;A302,SyS!$B:$P,12,FALSE()),0)</f>
        <v>0</v>
      </c>
      <c r="BP302" s="40">
        <f>+BN302-BO302</f>
        <v>0</v>
      </c>
      <c r="BQ302" s="45">
        <f>+E302+H302+K302+Q302+T302+W302+Z302+AC302+AF302+AI302+AL302+AO302+AR302+AU302+AX302+BA302+BD302+BG302+BJ302+BM302+BP302</f>
        <v>0</v>
      </c>
    </row>
    <row r="303" ht="11.25" customHeight="1" spans="1:69" x14ac:dyDescent="0.25">
      <c r="A303" s="18">
        <v>426370000</v>
      </c>
      <c r="B303" s="18" t="s">
        <v>532</v>
      </c>
      <c r="C303" s="38">
        <f>IFERROR(VLOOKUP("1_"&amp;A303,SyS!$B:$P,10,FALSE()),0)</f>
        <v>0</v>
      </c>
      <c r="D303" s="39">
        <f>IFERROR(VLOOKUP("1_"&amp;A303,SyS!$B:$P,12,FALSE()),0)</f>
        <v>0</v>
      </c>
      <c r="E303" s="39">
        <f>+C303-D303</f>
        <v>0</v>
      </c>
      <c r="F303" s="38">
        <f>IFERROR(VLOOKUP("2_"&amp;A303,SyS!$B:$P,10,FALSE()),0)</f>
        <v>0</v>
      </c>
      <c r="G303" s="39">
        <f>IFERROR(VLOOKUP("2_"&amp;A303,SyS!$B:$P,12,FALSE()),0)</f>
        <v>0</v>
      </c>
      <c r="H303" s="40">
        <f>+F303-G303</f>
        <v>0</v>
      </c>
      <c r="I303" s="39"/>
      <c r="J303" s="39"/>
      <c r="K303" s="39"/>
      <c r="L303" s="39"/>
      <c r="M303" s="39"/>
      <c r="N303" s="39"/>
      <c r="O303" s="38">
        <f>IFERROR(VLOOKUP("14_"&amp;A303,SyS!$B:$P,10,FALSE()),0)</f>
        <v>0</v>
      </c>
      <c r="P303" s="39">
        <f>IFERROR(VLOOKUP("14_"&amp;A303,SyS!$B:$P,12,FALSE()),0)</f>
        <v>0</v>
      </c>
      <c r="Q303" s="40">
        <f>+O303-P303</f>
        <v>0</v>
      </c>
      <c r="R303" s="38">
        <f>IFERROR(VLOOKUP("15_"&amp;A303,SyS!$B:$P,10,FALSE()),0)</f>
        <v>0</v>
      </c>
      <c r="S303" s="39">
        <f>IFERROR(VLOOKUP("15_"&amp;A303,SyS!$B:$P,12,FALSE()),0)</f>
        <v>0</v>
      </c>
      <c r="T303" s="40">
        <f>+R303-S303</f>
        <v>0</v>
      </c>
      <c r="U303" s="38">
        <f>IFERROR(VLOOKUP("16_"&amp;A303,SyS!$B:$P,10,FALSE()),0)</f>
        <v>0</v>
      </c>
      <c r="V303" s="39">
        <f>IFERROR(VLOOKUP("16_"&amp;A303,SyS!$B:$P,12,FALSE()),0)</f>
        <v>0</v>
      </c>
      <c r="W303" s="40">
        <f>+U303-V303</f>
        <v>0</v>
      </c>
      <c r="X303" s="38">
        <f>IFERROR(VLOOKUP("13_"&amp;A303,SyS!$B:$P,10,FALSE()),0)</f>
        <v>0</v>
      </c>
      <c r="Y303" s="39">
        <f>IFERROR(VLOOKUP("13_"&amp;A303,SyS!$B:$P,12,FALSE()),0)</f>
        <v>0</v>
      </c>
      <c r="Z303" s="40">
        <f>+X303-Y303</f>
        <v>0</v>
      </c>
      <c r="AA303" s="38">
        <f>IFERROR(VLOOKUP("17_"&amp;A303,SyS!$B:$P,10,FALSE()),0)</f>
        <v>0</v>
      </c>
      <c r="AB303" s="39">
        <f>IFERROR(VLOOKUP("17_"&amp;A303,SyS!$B:$P,12,FALSE()),0)</f>
        <v>0</v>
      </c>
      <c r="AC303" s="40">
        <f>+AA303-AB303</f>
        <v>0</v>
      </c>
      <c r="AD303" s="39"/>
      <c r="AE303" s="39"/>
      <c r="AF303" s="39"/>
      <c r="AG303" s="39">
        <f>IFERROR(VLOOKUP("19_"&amp;A303,SyS!$B:$P,10,FALSE()),0)</f>
        <v>0</v>
      </c>
      <c r="AH303" s="39">
        <f>IFERROR(VLOOKUP("19_"&amp;A303,SyS!$B:$P,12,FALSE()),0)</f>
        <v>0</v>
      </c>
      <c r="AI303" s="39">
        <f>+AG303-AH303</f>
        <v>0</v>
      </c>
      <c r="AJ303" s="39"/>
      <c r="AK303" s="39"/>
      <c r="AL303" s="39"/>
      <c r="AM303" s="38">
        <f>IFERROR(VLOOKUP("23_"&amp;A303,SyS!$B:$P,10,FALSE()),0)</f>
        <v>0</v>
      </c>
      <c r="AN303" s="39">
        <f>IFERROR(VLOOKUP("23_"&amp;A303,SyS!$B:$P,12,FALSE()),0)</f>
        <v>0</v>
      </c>
      <c r="AO303" s="40">
        <f>+AM303-AN303</f>
        <v>0</v>
      </c>
      <c r="AP303" s="39"/>
      <c r="AQ303" s="39"/>
      <c r="AR303" s="39"/>
      <c r="AS303" s="39"/>
      <c r="AT303" s="39"/>
      <c r="AU303" s="39"/>
      <c r="AV303" s="39"/>
      <c r="AW303" s="39"/>
      <c r="AX303" s="39"/>
      <c r="AY303" s="39"/>
      <c r="AZ303" s="39"/>
      <c r="BA303" s="39"/>
      <c r="BB303" s="39"/>
      <c r="BC303" s="39"/>
      <c r="BD303" s="39"/>
      <c r="BE303" s="39"/>
      <c r="BF303" s="39"/>
      <c r="BG303" s="39"/>
      <c r="BH303" s="39"/>
      <c r="BI303" s="39"/>
      <c r="BJ303" s="39"/>
      <c r="BK303" s="39">
        <f>IFERROR(VLOOKUP("29_"&amp;A303,SyS!$B:$P,10,FALSE()),0)</f>
        <v>0</v>
      </c>
      <c r="BL303" s="39">
        <f>IFERROR(VLOOKUP("29_"&amp;A303,SyS!$B:$P,12,FALSE()),0)</f>
        <v>0</v>
      </c>
      <c r="BM303" s="39">
        <f>+BK303-BL303</f>
        <v>0</v>
      </c>
      <c r="BN303" s="38">
        <f>IFERROR(VLOOKUP("30_"&amp;A303,SyS!$B:$P,10,FALSE()),0)</f>
        <v>0</v>
      </c>
      <c r="BO303" s="39">
        <f>IFERROR(VLOOKUP("30_"&amp;A303,SyS!$B:$P,12,FALSE()),0)</f>
        <v>0</v>
      </c>
      <c r="BP303" s="40">
        <f>+BN303-BO303</f>
        <v>0</v>
      </c>
      <c r="BQ303" s="45">
        <f>+E303+H303+K303+Q303+T303+W303+Z303+AC303+AF303+AI303+AL303+AO303+AR303+AU303+AX303+BA303+BD303+BG303+BJ303+BM303+BP303</f>
        <v>0</v>
      </c>
    </row>
    <row r="304" ht="11.25" customHeight="1" spans="1:69" x14ac:dyDescent="0.25">
      <c r="A304" s="18">
        <v>426860000</v>
      </c>
      <c r="B304" s="18" t="s">
        <v>533</v>
      </c>
      <c r="C304" s="38">
        <f>IFERROR(VLOOKUP("1_"&amp;A304,SyS!$B:$P,10,FALSE()),0)</f>
        <v>0</v>
      </c>
      <c r="D304" s="39">
        <f>IFERROR(VLOOKUP("1_"&amp;A304,SyS!$B:$P,12,FALSE()),0)</f>
        <v>0</v>
      </c>
      <c r="E304" s="39">
        <f>+C304-D304</f>
        <v>0</v>
      </c>
      <c r="F304" s="38">
        <f>IFERROR(VLOOKUP("2_"&amp;A304,SyS!$B:$P,10,FALSE()),0)</f>
        <v>0</v>
      </c>
      <c r="G304" s="39">
        <f>IFERROR(VLOOKUP("2_"&amp;A304,SyS!$B:$P,12,FALSE()),0)</f>
        <v>0</v>
      </c>
      <c r="H304" s="40">
        <f>+F304-G304</f>
        <v>0</v>
      </c>
      <c r="I304" s="39"/>
      <c r="J304" s="39"/>
      <c r="K304" s="39"/>
      <c r="L304" s="39"/>
      <c r="M304" s="39"/>
      <c r="N304" s="39"/>
      <c r="O304" s="38">
        <f>IFERROR(VLOOKUP("14_"&amp;A304,SyS!$B:$P,10,FALSE()),0)</f>
        <v>0</v>
      </c>
      <c r="P304" s="39">
        <f>IFERROR(VLOOKUP("14_"&amp;A304,SyS!$B:$P,12,FALSE()),0)</f>
        <v>0</v>
      </c>
      <c r="Q304" s="40">
        <f>+O304-P304</f>
        <v>0</v>
      </c>
      <c r="R304" s="38">
        <f>IFERROR(VLOOKUP("15_"&amp;A304,SyS!$B:$P,10,FALSE()),0)</f>
        <v>0</v>
      </c>
      <c r="S304" s="39">
        <f>IFERROR(VLOOKUP("15_"&amp;A304,SyS!$B:$P,12,FALSE()),0)</f>
        <v>0</v>
      </c>
      <c r="T304" s="40">
        <f>+R304-S304</f>
        <v>0</v>
      </c>
      <c r="U304" s="38">
        <f>IFERROR(VLOOKUP("16_"&amp;A304,SyS!$B:$P,10,FALSE()),0)</f>
        <v>0</v>
      </c>
      <c r="V304" s="39">
        <f>IFERROR(VLOOKUP("16_"&amp;A304,SyS!$B:$P,12,FALSE()),0)</f>
        <v>0</v>
      </c>
      <c r="W304" s="40">
        <f>+U304-V304</f>
        <v>0</v>
      </c>
      <c r="X304" s="38">
        <f>IFERROR(VLOOKUP("13_"&amp;A304,SyS!$B:$P,10,FALSE()),0)</f>
        <v>0</v>
      </c>
      <c r="Y304" s="39">
        <f>IFERROR(VLOOKUP("13_"&amp;A304,SyS!$B:$P,12,FALSE()),0)</f>
        <v>0</v>
      </c>
      <c r="Z304" s="40">
        <f>+X304-Y304</f>
        <v>0</v>
      </c>
      <c r="AA304" s="38">
        <f>IFERROR(VLOOKUP("17_"&amp;A304,SyS!$B:$P,10,FALSE()),0)</f>
        <v>0</v>
      </c>
      <c r="AB304" s="39">
        <f>IFERROR(VLOOKUP("17_"&amp;A304,SyS!$B:$P,12,FALSE()),0)</f>
        <v>0</v>
      </c>
      <c r="AC304" s="40">
        <f>+AA304-AB304</f>
        <v>0</v>
      </c>
      <c r="AD304" s="39"/>
      <c r="AE304" s="39"/>
      <c r="AF304" s="39"/>
      <c r="AG304" s="39">
        <f>IFERROR(VLOOKUP("19_"&amp;A304,SyS!$B:$P,10,FALSE()),0)</f>
        <v>0</v>
      </c>
      <c r="AH304" s="39">
        <f>IFERROR(VLOOKUP("19_"&amp;A304,SyS!$B:$P,12,FALSE()),0)</f>
        <v>0</v>
      </c>
      <c r="AI304" s="39">
        <f>+AG304-AH304</f>
        <v>0</v>
      </c>
      <c r="AJ304" s="39"/>
      <c r="AK304" s="39"/>
      <c r="AL304" s="39"/>
      <c r="AM304" s="38">
        <f>IFERROR(VLOOKUP("23_"&amp;A304,SyS!$B:$P,10,FALSE()),0)</f>
        <v>0</v>
      </c>
      <c r="AN304" s="39">
        <f>IFERROR(VLOOKUP("23_"&amp;A304,SyS!$B:$P,12,FALSE()),0)</f>
        <v>0</v>
      </c>
      <c r="AO304" s="40">
        <f>+AM304-AN304</f>
        <v>0</v>
      </c>
      <c r="AP304" s="39"/>
      <c r="AQ304" s="39"/>
      <c r="AR304" s="39"/>
      <c r="AS304" s="39"/>
      <c r="AT304" s="39"/>
      <c r="AU304" s="39"/>
      <c r="AV304" s="39"/>
      <c r="AW304" s="39"/>
      <c r="AX304" s="39"/>
      <c r="AY304" s="39"/>
      <c r="AZ304" s="39"/>
      <c r="BA304" s="39"/>
      <c r="BB304" s="39"/>
      <c r="BC304" s="39"/>
      <c r="BD304" s="39"/>
      <c r="BE304" s="39"/>
      <c r="BF304" s="39"/>
      <c r="BG304" s="39"/>
      <c r="BH304" s="39"/>
      <c r="BI304" s="39"/>
      <c r="BJ304" s="39"/>
      <c r="BK304" s="39">
        <f>IFERROR(VLOOKUP("29_"&amp;A304,SyS!$B:$P,10,FALSE()),0)</f>
        <v>0</v>
      </c>
      <c r="BL304" s="39">
        <f>IFERROR(VLOOKUP("29_"&amp;A304,SyS!$B:$P,12,FALSE()),0)</f>
        <v>0</v>
      </c>
      <c r="BM304" s="39">
        <f>+BK304-BL304</f>
        <v>0</v>
      </c>
      <c r="BN304" s="38">
        <f>IFERROR(VLOOKUP("30_"&amp;A304,SyS!$B:$P,10,FALSE()),0)</f>
        <v>0</v>
      </c>
      <c r="BO304" s="39">
        <f>IFERROR(VLOOKUP("30_"&amp;A304,SyS!$B:$P,12,FALSE()),0)</f>
        <v>0</v>
      </c>
      <c r="BP304" s="40">
        <f>+BN304-BO304</f>
        <v>0</v>
      </c>
      <c r="BQ304" s="45">
        <f>+E304+H304+K304+Q304+T304+W304+Z304+AC304+AF304+AI304+AL304+AO304+AR304+AU304+AX304+BA304+BD304+BG304+BJ304+BM304+BP304</f>
        <v>0</v>
      </c>
    </row>
    <row r="305" ht="11.25" customHeight="1" spans="1:69" x14ac:dyDescent="0.25">
      <c r="A305" s="18">
        <v>426850000</v>
      </c>
      <c r="B305" s="18" t="s">
        <v>534</v>
      </c>
      <c r="C305" s="38">
        <f>IFERROR(VLOOKUP("1_"&amp;A305,SyS!$B:$P,10,FALSE()),0)</f>
        <v>0</v>
      </c>
      <c r="D305" s="39">
        <f>IFERROR(VLOOKUP("1_"&amp;A305,SyS!$B:$P,12,FALSE()),0)</f>
        <v>0</v>
      </c>
      <c r="E305" s="39">
        <f>+C305-D305</f>
        <v>0</v>
      </c>
      <c r="F305" s="38">
        <f>IFERROR(VLOOKUP("2_"&amp;A305,SyS!$B:$P,10,FALSE()),0)</f>
        <v>0</v>
      </c>
      <c r="G305" s="39">
        <f>IFERROR(VLOOKUP("2_"&amp;A305,SyS!$B:$P,12,FALSE()),0)</f>
        <v>0</v>
      </c>
      <c r="H305" s="40">
        <f>+F305-G305</f>
        <v>0</v>
      </c>
      <c r="I305" s="39"/>
      <c r="J305" s="39"/>
      <c r="K305" s="39"/>
      <c r="L305" s="39"/>
      <c r="M305" s="39"/>
      <c r="N305" s="39"/>
      <c r="O305" s="38">
        <f>IFERROR(VLOOKUP("14_"&amp;A305,SyS!$B:$P,10,FALSE()),0)</f>
        <v>0</v>
      </c>
      <c r="P305" s="39">
        <f>IFERROR(VLOOKUP("14_"&amp;A305,SyS!$B:$P,12,FALSE()),0)</f>
        <v>0</v>
      </c>
      <c r="Q305" s="40">
        <f>+O305-P305</f>
        <v>0</v>
      </c>
      <c r="R305" s="38">
        <f>IFERROR(VLOOKUP("15_"&amp;A305,SyS!$B:$P,10,FALSE()),0)</f>
        <v>0</v>
      </c>
      <c r="S305" s="39">
        <f>IFERROR(VLOOKUP("15_"&amp;A305,SyS!$B:$P,12,FALSE()),0)</f>
        <v>0</v>
      </c>
      <c r="T305" s="40">
        <f>+R305-S305</f>
        <v>0</v>
      </c>
      <c r="U305" s="38">
        <f>IFERROR(VLOOKUP("16_"&amp;A305,SyS!$B:$P,10,FALSE()),0)</f>
        <v>0</v>
      </c>
      <c r="V305" s="39">
        <f>IFERROR(VLOOKUP("16_"&amp;A305,SyS!$B:$P,12,FALSE()),0)</f>
        <v>0</v>
      </c>
      <c r="W305" s="40">
        <f>+U305-V305</f>
        <v>0</v>
      </c>
      <c r="X305" s="38">
        <f>IFERROR(VLOOKUP("13_"&amp;A305,SyS!$B:$P,10,FALSE()),0)</f>
        <v>0</v>
      </c>
      <c r="Y305" s="39">
        <f>IFERROR(VLOOKUP("13_"&amp;A305,SyS!$B:$P,12,FALSE()),0)</f>
        <v>0</v>
      </c>
      <c r="Z305" s="40">
        <f>+X305-Y305</f>
        <v>0</v>
      </c>
      <c r="AA305" s="38">
        <f>IFERROR(VLOOKUP("17_"&amp;A305,SyS!$B:$P,10,FALSE()),0)</f>
        <v>0</v>
      </c>
      <c r="AB305" s="39">
        <f>IFERROR(VLOOKUP("17_"&amp;A305,SyS!$B:$P,12,FALSE()),0)</f>
        <v>0</v>
      </c>
      <c r="AC305" s="40">
        <f>+AA305-AB305</f>
        <v>0</v>
      </c>
      <c r="AD305" s="39"/>
      <c r="AE305" s="39"/>
      <c r="AF305" s="39"/>
      <c r="AG305" s="39">
        <f>IFERROR(VLOOKUP("19_"&amp;A305,SyS!$B:$P,10,FALSE()),0)</f>
        <v>0</v>
      </c>
      <c r="AH305" s="39">
        <f>IFERROR(VLOOKUP("19_"&amp;A305,SyS!$B:$P,12,FALSE()),0)</f>
        <v>0</v>
      </c>
      <c r="AI305" s="39">
        <f>+AG305-AH305</f>
        <v>0</v>
      </c>
      <c r="AJ305" s="39"/>
      <c r="AK305" s="39"/>
      <c r="AL305" s="39"/>
      <c r="AM305" s="38">
        <f>IFERROR(VLOOKUP("23_"&amp;A305,SyS!$B:$P,10,FALSE()),0)</f>
        <v>0</v>
      </c>
      <c r="AN305" s="39">
        <f>IFERROR(VLOOKUP("23_"&amp;A305,SyS!$B:$P,12,FALSE()),0)</f>
        <v>0</v>
      </c>
      <c r="AO305" s="40">
        <f>+AM305-AN305</f>
        <v>0</v>
      </c>
      <c r="AP305" s="39"/>
      <c r="AQ305" s="39"/>
      <c r="AR305" s="39"/>
      <c r="AS305" s="39"/>
      <c r="AT305" s="39"/>
      <c r="AU305" s="39"/>
      <c r="AV305" s="39"/>
      <c r="AW305" s="39"/>
      <c r="AX305" s="39"/>
      <c r="AY305" s="39"/>
      <c r="AZ305" s="39"/>
      <c r="BA305" s="39"/>
      <c r="BB305" s="39"/>
      <c r="BC305" s="39"/>
      <c r="BD305" s="39"/>
      <c r="BE305" s="39"/>
      <c r="BF305" s="39"/>
      <c r="BG305" s="39"/>
      <c r="BH305" s="39"/>
      <c r="BI305" s="39"/>
      <c r="BJ305" s="39"/>
      <c r="BK305" s="39">
        <f>IFERROR(VLOOKUP("29_"&amp;A305,SyS!$B:$P,10,FALSE()),0)</f>
        <v>0</v>
      </c>
      <c r="BL305" s="39">
        <f>IFERROR(VLOOKUP("29_"&amp;A305,SyS!$B:$P,12,FALSE()),0)</f>
        <v>0</v>
      </c>
      <c r="BM305" s="39">
        <f>+BK305-BL305</f>
        <v>0</v>
      </c>
      <c r="BN305" s="38">
        <f>IFERROR(VLOOKUP("30_"&amp;A305,SyS!$B:$P,10,FALSE()),0)</f>
        <v>0</v>
      </c>
      <c r="BO305" s="39">
        <f>IFERROR(VLOOKUP("30_"&amp;A305,SyS!$B:$P,12,FALSE()),0)</f>
        <v>0</v>
      </c>
      <c r="BP305" s="40">
        <f>+BN305-BO305</f>
        <v>0</v>
      </c>
      <c r="BQ305" s="45">
        <f>+E305+H305+K305+Q305+T305+W305+Z305+AC305+AF305+AI305+AL305+AO305+AR305+AU305+AX305+BA305+BD305+BG305+BJ305+BM305+BP305</f>
        <v>0</v>
      </c>
    </row>
    <row r="306" ht="11.25" customHeight="1" spans="1:69" x14ac:dyDescent="0.25">
      <c r="A306" s="18">
        <v>426870000</v>
      </c>
      <c r="B306" s="18" t="s">
        <v>535</v>
      </c>
      <c r="C306" s="38">
        <f>IFERROR(VLOOKUP("1_"&amp;A306,SyS!$B:$P,10,FALSE()),0)</f>
        <v>0</v>
      </c>
      <c r="D306" s="39">
        <f>IFERROR(VLOOKUP("1_"&amp;A306,SyS!$B:$P,12,FALSE()),0)</f>
        <v>0</v>
      </c>
      <c r="E306" s="39">
        <f>+C306-D306</f>
        <v>0</v>
      </c>
      <c r="F306" s="38">
        <f>IFERROR(VLOOKUP("2_"&amp;A306,SyS!$B:$P,10,FALSE()),0)</f>
        <v>0</v>
      </c>
      <c r="G306" s="39">
        <f>IFERROR(VLOOKUP("2_"&amp;A306,SyS!$B:$P,12,FALSE()),0)</f>
        <v>0</v>
      </c>
      <c r="H306" s="40">
        <f>+F306-G306</f>
        <v>0</v>
      </c>
      <c r="I306" s="39"/>
      <c r="J306" s="39"/>
      <c r="K306" s="39"/>
      <c r="L306" s="39"/>
      <c r="M306" s="39"/>
      <c r="N306" s="39"/>
      <c r="O306" s="38">
        <f>IFERROR(VLOOKUP("14_"&amp;A306,SyS!$B:$P,10,FALSE()),0)</f>
        <v>0</v>
      </c>
      <c r="P306" s="39">
        <f>IFERROR(VLOOKUP("14_"&amp;A306,SyS!$B:$P,12,FALSE()),0)</f>
        <v>0</v>
      </c>
      <c r="Q306" s="40">
        <f>+O306-P306</f>
        <v>0</v>
      </c>
      <c r="R306" s="38">
        <f>IFERROR(VLOOKUP("15_"&amp;A306,SyS!$B:$P,10,FALSE()),0)</f>
        <v>0</v>
      </c>
      <c r="S306" s="39">
        <f>IFERROR(VLOOKUP("15_"&amp;A306,SyS!$B:$P,12,FALSE()),0)</f>
        <v>0</v>
      </c>
      <c r="T306" s="40">
        <f>+R306-S306</f>
        <v>0</v>
      </c>
      <c r="U306" s="38">
        <f>IFERROR(VLOOKUP("16_"&amp;A306,SyS!$B:$P,10,FALSE()),0)</f>
        <v>0</v>
      </c>
      <c r="V306" s="39">
        <f>IFERROR(VLOOKUP("16_"&amp;A306,SyS!$B:$P,12,FALSE()),0)</f>
        <v>0</v>
      </c>
      <c r="W306" s="40">
        <f>+U306-V306</f>
        <v>0</v>
      </c>
      <c r="X306" s="38">
        <f>IFERROR(VLOOKUP("13_"&amp;A306,SyS!$B:$P,10,FALSE()),0)</f>
        <v>0</v>
      </c>
      <c r="Y306" s="39">
        <f>IFERROR(VLOOKUP("13_"&amp;A306,SyS!$B:$P,12,FALSE()),0)</f>
        <v>0</v>
      </c>
      <c r="Z306" s="40">
        <f>+X306-Y306</f>
        <v>0</v>
      </c>
      <c r="AA306" s="38">
        <f>IFERROR(VLOOKUP("17_"&amp;A306,SyS!$B:$P,10,FALSE()),0)</f>
        <v>0</v>
      </c>
      <c r="AB306" s="39">
        <f>IFERROR(VLOOKUP("17_"&amp;A306,SyS!$B:$P,12,FALSE()),0)</f>
        <v>0</v>
      </c>
      <c r="AC306" s="40">
        <f>+AA306-AB306</f>
        <v>0</v>
      </c>
      <c r="AD306" s="39"/>
      <c r="AE306" s="39"/>
      <c r="AF306" s="39"/>
      <c r="AG306" s="39">
        <f>IFERROR(VLOOKUP("19_"&amp;A306,SyS!$B:$P,10,FALSE()),0)</f>
        <v>0</v>
      </c>
      <c r="AH306" s="39">
        <f>IFERROR(VLOOKUP("19_"&amp;A306,SyS!$B:$P,12,FALSE()),0)</f>
        <v>0</v>
      </c>
      <c r="AI306" s="39">
        <f>+AG306-AH306</f>
        <v>0</v>
      </c>
      <c r="AJ306" s="39"/>
      <c r="AK306" s="39"/>
      <c r="AL306" s="39"/>
      <c r="AM306" s="38">
        <f>IFERROR(VLOOKUP("23_"&amp;A306,SyS!$B:$P,10,FALSE()),0)</f>
        <v>0</v>
      </c>
      <c r="AN306" s="39">
        <f>IFERROR(VLOOKUP("23_"&amp;A306,SyS!$B:$P,12,FALSE()),0)</f>
        <v>0</v>
      </c>
      <c r="AO306" s="40">
        <f>+AM306-AN306</f>
        <v>0</v>
      </c>
      <c r="AP306" s="39"/>
      <c r="AQ306" s="39"/>
      <c r="AR306" s="39"/>
      <c r="AS306" s="39"/>
      <c r="AT306" s="39"/>
      <c r="AU306" s="39"/>
      <c r="AV306" s="39"/>
      <c r="AW306" s="39"/>
      <c r="AX306" s="39"/>
      <c r="AY306" s="39"/>
      <c r="AZ306" s="39"/>
      <c r="BA306" s="39"/>
      <c r="BB306" s="39"/>
      <c r="BC306" s="39"/>
      <c r="BD306" s="39"/>
      <c r="BE306" s="39"/>
      <c r="BF306" s="39"/>
      <c r="BG306" s="39"/>
      <c r="BH306" s="39"/>
      <c r="BI306" s="39"/>
      <c r="BJ306" s="39"/>
      <c r="BK306" s="39">
        <f>IFERROR(VLOOKUP("29_"&amp;A306,SyS!$B:$P,10,FALSE()),0)</f>
        <v>0</v>
      </c>
      <c r="BL306" s="39">
        <f>IFERROR(VLOOKUP("29_"&amp;A306,SyS!$B:$P,12,FALSE()),0)</f>
        <v>0</v>
      </c>
      <c r="BM306" s="39">
        <f>+BK306-BL306</f>
        <v>0</v>
      </c>
      <c r="BN306" s="38">
        <f>IFERROR(VLOOKUP("30_"&amp;A306,SyS!$B:$P,10,FALSE()),0)</f>
        <v>0</v>
      </c>
      <c r="BO306" s="39">
        <f>IFERROR(VLOOKUP("30_"&amp;A306,SyS!$B:$P,12,FALSE()),0)</f>
        <v>0</v>
      </c>
      <c r="BP306" s="40">
        <f>+BN306-BO306</f>
        <v>0</v>
      </c>
      <c r="BQ306" s="45">
        <f>+E306+H306+K306+Q306+T306+W306+Z306+AC306+AF306+AI306+AL306+AO306+AR306+AU306+AX306+BA306+BD306+BG306+BJ306+BM306+BP306</f>
        <v>0</v>
      </c>
    </row>
    <row r="307" ht="11.25" customHeight="1" spans="1:69" x14ac:dyDescent="0.25">
      <c r="A307" s="18">
        <v>412600000</v>
      </c>
      <c r="B307" s="18" t="s">
        <v>536</v>
      </c>
      <c r="C307" s="38">
        <f>IFERROR(VLOOKUP("1_"&amp;A307,SyS!$B:$P,10,FALSE()),0)</f>
        <v>0</v>
      </c>
      <c r="D307" s="39">
        <f>IFERROR(VLOOKUP("1_"&amp;A307,SyS!$B:$P,12,FALSE()),0)</f>
        <v>0</v>
      </c>
      <c r="E307" s="39">
        <f>+C307-D307</f>
        <v>0</v>
      </c>
      <c r="F307" s="38">
        <f>IFERROR(VLOOKUP("2_"&amp;A307,SyS!$B:$P,10,FALSE()),0)</f>
        <v>0</v>
      </c>
      <c r="G307" s="39">
        <f>IFERROR(VLOOKUP("2_"&amp;A307,SyS!$B:$P,12,FALSE()),0)</f>
        <v>0</v>
      </c>
      <c r="H307" s="40">
        <f>+F307-G307</f>
        <v>0</v>
      </c>
      <c r="I307" s="39"/>
      <c r="J307" s="39"/>
      <c r="K307" s="39"/>
      <c r="L307" s="39"/>
      <c r="M307" s="39"/>
      <c r="N307" s="39"/>
      <c r="O307" s="38">
        <f>IFERROR(VLOOKUP("14_"&amp;A307,SyS!$B:$P,10,FALSE()),0)</f>
        <v>0</v>
      </c>
      <c r="P307" s="39">
        <f>IFERROR(VLOOKUP("14_"&amp;A307,SyS!$B:$P,12,FALSE()),0)</f>
        <v>0</v>
      </c>
      <c r="Q307" s="40">
        <f>+O307-P307</f>
        <v>0</v>
      </c>
      <c r="R307" s="38">
        <f>IFERROR(VLOOKUP("15_"&amp;A307,SyS!$B:$P,10,FALSE()),0)</f>
        <v>0</v>
      </c>
      <c r="S307" s="39">
        <f>IFERROR(VLOOKUP("15_"&amp;A307,SyS!$B:$P,12,FALSE()),0)</f>
        <v>0</v>
      </c>
      <c r="T307" s="40">
        <f>+R307-S307</f>
        <v>0</v>
      </c>
      <c r="U307" s="38">
        <f>IFERROR(VLOOKUP("16_"&amp;A307,SyS!$B:$P,10,FALSE()),0)</f>
        <v>0</v>
      </c>
      <c r="V307" s="39">
        <f>IFERROR(VLOOKUP("16_"&amp;A307,SyS!$B:$P,12,FALSE()),0)</f>
        <v>0</v>
      </c>
      <c r="W307" s="40">
        <f>+U307-V307</f>
        <v>0</v>
      </c>
      <c r="X307" s="38">
        <f>IFERROR(VLOOKUP("13_"&amp;A307,SyS!$B:$P,10,FALSE()),0)</f>
        <v>0</v>
      </c>
      <c r="Y307" s="39">
        <f>IFERROR(VLOOKUP("13_"&amp;A307,SyS!$B:$P,12,FALSE()),0)</f>
        <v>0</v>
      </c>
      <c r="Z307" s="40">
        <f>+X307-Y307</f>
        <v>0</v>
      </c>
      <c r="AA307" s="38">
        <f>IFERROR(VLOOKUP("17_"&amp;A307,SyS!$B:$P,10,FALSE()),0)</f>
        <v>0</v>
      </c>
      <c r="AB307" s="39">
        <f>IFERROR(VLOOKUP("17_"&amp;A307,SyS!$B:$P,12,FALSE()),0)</f>
        <v>0</v>
      </c>
      <c r="AC307" s="40">
        <f>+AA307-AB307</f>
        <v>0</v>
      </c>
      <c r="AD307" s="39"/>
      <c r="AE307" s="39"/>
      <c r="AF307" s="39"/>
      <c r="AG307" s="39">
        <f>IFERROR(VLOOKUP("19_"&amp;A307,SyS!$B:$P,10,FALSE()),0)</f>
        <v>0</v>
      </c>
      <c r="AH307" s="39">
        <f>IFERROR(VLOOKUP("19_"&amp;A307,SyS!$B:$P,12,FALSE()),0)</f>
        <v>0</v>
      </c>
      <c r="AI307" s="39">
        <f>+AG307-AH307</f>
        <v>0</v>
      </c>
      <c r="AJ307" s="39"/>
      <c r="AK307" s="39"/>
      <c r="AL307" s="39"/>
      <c r="AM307" s="38">
        <f>IFERROR(VLOOKUP("23_"&amp;A307,SyS!$B:$P,10,FALSE()),0)</f>
        <v>0</v>
      </c>
      <c r="AN307" s="39">
        <f>IFERROR(VLOOKUP("23_"&amp;A307,SyS!$B:$P,12,FALSE()),0)</f>
        <v>0</v>
      </c>
      <c r="AO307" s="40">
        <f>+AM307-AN307</f>
        <v>0</v>
      </c>
      <c r="AP307" s="39"/>
      <c r="AQ307" s="39"/>
      <c r="AR307" s="39"/>
      <c r="AS307" s="39"/>
      <c r="AT307" s="39"/>
      <c r="AU307" s="39"/>
      <c r="AV307" s="39"/>
      <c r="AW307" s="39"/>
      <c r="AX307" s="39"/>
      <c r="AY307" s="39"/>
      <c r="AZ307" s="39"/>
      <c r="BA307" s="39"/>
      <c r="BB307" s="39"/>
      <c r="BC307" s="39"/>
      <c r="BD307" s="39"/>
      <c r="BE307" s="39"/>
      <c r="BF307" s="39"/>
      <c r="BG307" s="39"/>
      <c r="BH307" s="39"/>
      <c r="BI307" s="39"/>
      <c r="BJ307" s="39"/>
      <c r="BK307" s="39">
        <f>IFERROR(VLOOKUP("29_"&amp;A307,SyS!$B:$P,10,FALSE()),0)</f>
        <v>0</v>
      </c>
      <c r="BL307" s="39">
        <f>IFERROR(VLOOKUP("29_"&amp;A307,SyS!$B:$P,12,FALSE()),0)</f>
        <v>0</v>
      </c>
      <c r="BM307" s="39">
        <f>+BK307-BL307</f>
        <v>0</v>
      </c>
      <c r="BN307" s="38">
        <f>IFERROR(VLOOKUP("30_"&amp;A307,SyS!$B:$P,10,FALSE()),0)</f>
        <v>0</v>
      </c>
      <c r="BO307" s="39">
        <f>IFERROR(VLOOKUP("30_"&amp;A307,SyS!$B:$P,12,FALSE()),0)</f>
        <v>0</v>
      </c>
      <c r="BP307" s="40">
        <f>+BN307-BO307</f>
        <v>0</v>
      </c>
      <c r="BQ307" s="45">
        <f>+E307+H307+K307+Q307+T307+W307+Z307+AC307+AF307+AI307+AL307+AO307+AR307+AU307+AX307+BA307+BD307+BG307+BJ307+BM307+BP307</f>
        <v>0</v>
      </c>
    </row>
    <row r="308" ht="11.25" customHeight="1" spans="1:69" x14ac:dyDescent="0.25">
      <c r="A308" s="18">
        <v>426670000</v>
      </c>
      <c r="B308" s="18" t="s">
        <v>537</v>
      </c>
      <c r="C308" s="38">
        <f>IFERROR(VLOOKUP("1_"&amp;A308,SyS!$B:$P,10,FALSE()),0)</f>
        <v>0</v>
      </c>
      <c r="D308" s="39">
        <f>IFERROR(VLOOKUP("1_"&amp;A308,SyS!$B:$P,12,FALSE()),0)</f>
        <v>0</v>
      </c>
      <c r="E308" s="39">
        <f>+C308-D308</f>
        <v>0</v>
      </c>
      <c r="F308" s="38">
        <f>IFERROR(VLOOKUP("2_"&amp;A308,SyS!$B:$P,10,FALSE()),0)</f>
        <v>0</v>
      </c>
      <c r="G308" s="39">
        <f>IFERROR(VLOOKUP("2_"&amp;A308,SyS!$B:$P,12,FALSE()),0)</f>
        <v>0</v>
      </c>
      <c r="H308" s="40">
        <f>+F308-G308</f>
        <v>0</v>
      </c>
      <c r="I308" s="39"/>
      <c r="J308" s="39"/>
      <c r="K308" s="39"/>
      <c r="L308" s="39"/>
      <c r="M308" s="39"/>
      <c r="N308" s="39"/>
      <c r="O308" s="38">
        <f>IFERROR(VLOOKUP("14_"&amp;A308,SyS!$B:$P,10,FALSE()),0)</f>
        <v>0</v>
      </c>
      <c r="P308" s="39">
        <f>IFERROR(VLOOKUP("14_"&amp;A308,SyS!$B:$P,12,FALSE()),0)</f>
        <v>0</v>
      </c>
      <c r="Q308" s="40">
        <f>+O308-P308</f>
        <v>0</v>
      </c>
      <c r="R308" s="38">
        <f>IFERROR(VLOOKUP("15_"&amp;A308,SyS!$B:$P,10,FALSE()),0)</f>
        <v>0</v>
      </c>
      <c r="S308" s="39">
        <f>IFERROR(VLOOKUP("15_"&amp;A308,SyS!$B:$P,12,FALSE()),0)</f>
        <v>0</v>
      </c>
      <c r="T308" s="40">
        <f>+R308-S308</f>
        <v>0</v>
      </c>
      <c r="U308" s="38">
        <f>IFERROR(VLOOKUP("16_"&amp;A308,SyS!$B:$P,10,FALSE()),0)</f>
        <v>0</v>
      </c>
      <c r="V308" s="39">
        <f>IFERROR(VLOOKUP("16_"&amp;A308,SyS!$B:$P,12,FALSE()),0)</f>
        <v>0</v>
      </c>
      <c r="W308" s="40">
        <f>+U308-V308</f>
        <v>0</v>
      </c>
      <c r="X308" s="38">
        <f>IFERROR(VLOOKUP("13_"&amp;A308,SyS!$B:$P,10,FALSE()),0)</f>
        <v>0</v>
      </c>
      <c r="Y308" s="39">
        <f>IFERROR(VLOOKUP("13_"&amp;A308,SyS!$B:$P,12,FALSE()),0)</f>
        <v>0</v>
      </c>
      <c r="Z308" s="40">
        <f>+X308-Y308</f>
        <v>0</v>
      </c>
      <c r="AA308" s="38">
        <f>IFERROR(VLOOKUP("17_"&amp;A308,SyS!$B:$P,10,FALSE()),0)</f>
        <v>0</v>
      </c>
      <c r="AB308" s="39">
        <f>IFERROR(VLOOKUP("17_"&amp;A308,SyS!$B:$P,12,FALSE()),0)</f>
        <v>0</v>
      </c>
      <c r="AC308" s="40">
        <f>+AA308-AB308</f>
        <v>0</v>
      </c>
      <c r="AD308" s="39"/>
      <c r="AE308" s="39"/>
      <c r="AF308" s="39"/>
      <c r="AG308" s="39">
        <f>IFERROR(VLOOKUP("19_"&amp;A308,SyS!$B:$P,10,FALSE()),0)</f>
        <v>0</v>
      </c>
      <c r="AH308" s="39">
        <f>IFERROR(VLOOKUP("19_"&amp;A308,SyS!$B:$P,12,FALSE()),0)</f>
        <v>0</v>
      </c>
      <c r="AI308" s="39">
        <f>+AG308-AH308</f>
        <v>0</v>
      </c>
      <c r="AJ308" s="39"/>
      <c r="AK308" s="39"/>
      <c r="AL308" s="39"/>
      <c r="AM308" s="38">
        <f>IFERROR(VLOOKUP("23_"&amp;A308,SyS!$B:$P,10,FALSE()),0)</f>
        <v>0</v>
      </c>
      <c r="AN308" s="39">
        <f>IFERROR(VLOOKUP("23_"&amp;A308,SyS!$B:$P,12,FALSE()),0)</f>
        <v>0</v>
      </c>
      <c r="AO308" s="40">
        <f>+AM308-AN308</f>
        <v>0</v>
      </c>
      <c r="AP308" s="39"/>
      <c r="AQ308" s="39"/>
      <c r="AR308" s="39"/>
      <c r="AS308" s="39"/>
      <c r="AT308" s="39"/>
      <c r="AU308" s="39"/>
      <c r="AV308" s="39"/>
      <c r="AW308" s="39"/>
      <c r="AX308" s="39"/>
      <c r="AY308" s="39"/>
      <c r="AZ308" s="39"/>
      <c r="BA308" s="39"/>
      <c r="BB308" s="39"/>
      <c r="BC308" s="39"/>
      <c r="BD308" s="39"/>
      <c r="BE308" s="39"/>
      <c r="BF308" s="39"/>
      <c r="BG308" s="39"/>
      <c r="BH308" s="39"/>
      <c r="BI308" s="39"/>
      <c r="BJ308" s="39"/>
      <c r="BK308" s="39">
        <f>IFERROR(VLOOKUP("29_"&amp;A308,SyS!$B:$P,10,FALSE()),0)</f>
        <v>0</v>
      </c>
      <c r="BL308" s="39">
        <f>IFERROR(VLOOKUP("29_"&amp;A308,SyS!$B:$P,12,FALSE()),0)</f>
        <v>0</v>
      </c>
      <c r="BM308" s="39">
        <f>+BK308-BL308</f>
        <v>0</v>
      </c>
      <c r="BN308" s="38">
        <f>IFERROR(VLOOKUP("30_"&amp;A308,SyS!$B:$P,10,FALSE()),0)</f>
        <v>0</v>
      </c>
      <c r="BO308" s="39">
        <f>IFERROR(VLOOKUP("30_"&amp;A308,SyS!$B:$P,12,FALSE()),0)</f>
        <v>0</v>
      </c>
      <c r="BP308" s="40">
        <f>+BN308-BO308</f>
        <v>0</v>
      </c>
      <c r="BQ308" s="45">
        <f>+E308+H308+K308+Q308+T308+W308+Z308+AC308+AF308+AI308+AL308+AO308+AR308+AU308+AX308+BA308+BD308+BG308+BJ308+BM308+BP308</f>
        <v>0</v>
      </c>
    </row>
    <row r="309" ht="11.25" customHeight="1" spans="1:69" x14ac:dyDescent="0.25">
      <c r="A309" s="18">
        <v>433010000</v>
      </c>
      <c r="B309" s="18" t="s">
        <v>538</v>
      </c>
      <c r="C309" s="38">
        <f>IFERROR(VLOOKUP("1_"&amp;A309,SyS!$B:$P,10,FALSE()),0)</f>
        <v>0</v>
      </c>
      <c r="D309" s="39">
        <f>IFERROR(VLOOKUP("1_"&amp;A309,SyS!$B:$P,12,FALSE()),0)</f>
        <v>0</v>
      </c>
      <c r="E309" s="39">
        <f>+C309-D309</f>
        <v>0</v>
      </c>
      <c r="F309" s="38">
        <f>IFERROR(VLOOKUP("2_"&amp;A309,SyS!$B:$P,10,FALSE()),0)</f>
        <v>0</v>
      </c>
      <c r="G309" s="39">
        <f>IFERROR(VLOOKUP("2_"&amp;A309,SyS!$B:$P,12,FALSE()),0)</f>
        <v>0</v>
      </c>
      <c r="H309" s="40">
        <f>+F309-G309</f>
        <v>0</v>
      </c>
      <c r="I309" s="39"/>
      <c r="J309" s="39"/>
      <c r="K309" s="39"/>
      <c r="L309" s="39"/>
      <c r="M309" s="39"/>
      <c r="N309" s="39"/>
      <c r="O309" s="38">
        <f>IFERROR(VLOOKUP("14_"&amp;A309,SyS!$B:$P,10,FALSE()),0)</f>
        <v>0</v>
      </c>
      <c r="P309" s="39">
        <f>IFERROR(VLOOKUP("14_"&amp;A309,SyS!$B:$P,12,FALSE()),0)</f>
        <v>0</v>
      </c>
      <c r="Q309" s="40">
        <f>+O309-P309</f>
        <v>0</v>
      </c>
      <c r="R309" s="38">
        <f>IFERROR(VLOOKUP("15_"&amp;A309,SyS!$B:$P,10,FALSE()),0)</f>
        <v>0</v>
      </c>
      <c r="S309" s="39">
        <f>IFERROR(VLOOKUP("15_"&amp;A309,SyS!$B:$P,12,FALSE()),0)</f>
        <v>0</v>
      </c>
      <c r="T309" s="40">
        <f>+R309-S309</f>
        <v>0</v>
      </c>
      <c r="U309" s="38">
        <f>IFERROR(VLOOKUP("16_"&amp;A309,SyS!$B:$P,10,FALSE()),0)</f>
        <v>0</v>
      </c>
      <c r="V309" s="39">
        <f>IFERROR(VLOOKUP("16_"&amp;A309,SyS!$B:$P,12,FALSE()),0)</f>
        <v>0</v>
      </c>
      <c r="W309" s="40">
        <f>+U309-V309</f>
        <v>0</v>
      </c>
      <c r="X309" s="38">
        <f>IFERROR(VLOOKUP("13_"&amp;A309,SyS!$B:$P,10,FALSE()),0)</f>
        <v>0</v>
      </c>
      <c r="Y309" s="39">
        <f>IFERROR(VLOOKUP("13_"&amp;A309,SyS!$B:$P,12,FALSE()),0)</f>
        <v>0</v>
      </c>
      <c r="Z309" s="40">
        <f>+X309-Y309</f>
        <v>0</v>
      </c>
      <c r="AA309" s="38">
        <f>IFERROR(VLOOKUP("17_"&amp;A309,SyS!$B:$P,10,FALSE()),0)</f>
        <v>0</v>
      </c>
      <c r="AB309" s="39">
        <f>IFERROR(VLOOKUP("17_"&amp;A309,SyS!$B:$P,12,FALSE()),0)</f>
        <v>0</v>
      </c>
      <c r="AC309" s="40">
        <f>+AA309-AB309</f>
        <v>0</v>
      </c>
      <c r="AD309" s="39"/>
      <c r="AE309" s="39"/>
      <c r="AF309" s="39"/>
      <c r="AG309" s="39">
        <f>IFERROR(VLOOKUP("19_"&amp;A309,SyS!$B:$P,10,FALSE()),0)</f>
        <v>0</v>
      </c>
      <c r="AH309" s="39">
        <f>IFERROR(VLOOKUP("19_"&amp;A309,SyS!$B:$P,12,FALSE()),0)</f>
        <v>0</v>
      </c>
      <c r="AI309" s="39">
        <f>+AG309-AH309</f>
        <v>0</v>
      </c>
      <c r="AJ309" s="39"/>
      <c r="AK309" s="39"/>
      <c r="AL309" s="39"/>
      <c r="AM309" s="38">
        <f>IFERROR(VLOOKUP("23_"&amp;A309,SyS!$B:$P,10,FALSE()),0)</f>
        <v>0</v>
      </c>
      <c r="AN309" s="39">
        <f>IFERROR(VLOOKUP("23_"&amp;A309,SyS!$B:$P,12,FALSE()),0)</f>
        <v>0</v>
      </c>
      <c r="AO309" s="40">
        <f>+AM309-AN309</f>
        <v>0</v>
      </c>
      <c r="AP309" s="39"/>
      <c r="AQ309" s="39"/>
      <c r="AR309" s="39"/>
      <c r="AS309" s="39"/>
      <c r="AT309" s="39"/>
      <c r="AU309" s="39"/>
      <c r="AV309" s="39"/>
      <c r="AW309" s="39"/>
      <c r="AX309" s="39"/>
      <c r="AY309" s="39"/>
      <c r="AZ309" s="39"/>
      <c r="BA309" s="39"/>
      <c r="BB309" s="39"/>
      <c r="BC309" s="39"/>
      <c r="BD309" s="39"/>
      <c r="BE309" s="39"/>
      <c r="BF309" s="39"/>
      <c r="BG309" s="39"/>
      <c r="BH309" s="39"/>
      <c r="BI309" s="39"/>
      <c r="BJ309" s="39"/>
      <c r="BK309" s="39">
        <f>IFERROR(VLOOKUP("29_"&amp;A309,SyS!$B:$P,10,FALSE()),0)</f>
        <v>0</v>
      </c>
      <c r="BL309" s="39">
        <f>IFERROR(VLOOKUP("29_"&amp;A309,SyS!$B:$P,12,FALSE()),0)</f>
        <v>0</v>
      </c>
      <c r="BM309" s="39">
        <f>+BK309-BL309</f>
        <v>0</v>
      </c>
      <c r="BN309" s="38">
        <f>IFERROR(VLOOKUP("30_"&amp;A309,SyS!$B:$P,10,FALSE()),0)</f>
        <v>0</v>
      </c>
      <c r="BO309" s="39">
        <f>IFERROR(VLOOKUP("30_"&amp;A309,SyS!$B:$P,12,FALSE()),0)</f>
        <v>0</v>
      </c>
      <c r="BP309" s="40">
        <f>+BN309-BO309</f>
        <v>0</v>
      </c>
      <c r="BQ309" s="45">
        <f>+E309+H309+K309+Q309+T309+W309+Z309+AC309+AF309+AI309+AL309+AO309+AR309+AU309+AX309+BA309+BD309+BG309+BJ309+BM309+BP309</f>
        <v>0</v>
      </c>
    </row>
    <row r="310" ht="11.25" customHeight="1" spans="1:69" x14ac:dyDescent="0.25">
      <c r="A310" s="18">
        <v>433020000</v>
      </c>
      <c r="B310" s="18" t="s">
        <v>539</v>
      </c>
      <c r="C310" s="38">
        <f>IFERROR(VLOOKUP("1_"&amp;A310,SyS!$B:$P,10,FALSE()),0)</f>
        <v>0</v>
      </c>
      <c r="D310" s="39">
        <f>IFERROR(VLOOKUP("1_"&amp;A310,SyS!$B:$P,12,FALSE()),0)</f>
        <v>0</v>
      </c>
      <c r="E310" s="39">
        <f>+C310-D310</f>
        <v>0</v>
      </c>
      <c r="F310" s="38">
        <f>IFERROR(VLOOKUP("2_"&amp;A310,SyS!$B:$P,10,FALSE()),0)</f>
        <v>0</v>
      </c>
      <c r="G310" s="39">
        <f>IFERROR(VLOOKUP("2_"&amp;A310,SyS!$B:$P,12,FALSE()),0)</f>
        <v>0</v>
      </c>
      <c r="H310" s="40">
        <f>+F310-G310</f>
        <v>0</v>
      </c>
      <c r="I310" s="39"/>
      <c r="J310" s="39"/>
      <c r="K310" s="39"/>
      <c r="L310" s="39"/>
      <c r="M310" s="39"/>
      <c r="N310" s="39"/>
      <c r="O310" s="38">
        <f>IFERROR(VLOOKUP("14_"&amp;A310,SyS!$B:$P,10,FALSE()),0)</f>
        <v>0</v>
      </c>
      <c r="P310" s="39">
        <f>IFERROR(VLOOKUP("14_"&amp;A310,SyS!$B:$P,12,FALSE()),0)</f>
        <v>0</v>
      </c>
      <c r="Q310" s="40">
        <f>+O310-P310</f>
        <v>0</v>
      </c>
      <c r="R310" s="38">
        <f>IFERROR(VLOOKUP("15_"&amp;A310,SyS!$B:$P,10,FALSE()),0)</f>
        <v>0</v>
      </c>
      <c r="S310" s="39">
        <f>IFERROR(VLOOKUP("15_"&amp;A310,SyS!$B:$P,12,FALSE()),0)</f>
        <v>0</v>
      </c>
      <c r="T310" s="40">
        <f>+R310-S310</f>
        <v>0</v>
      </c>
      <c r="U310" s="38">
        <f>IFERROR(VLOOKUP("16_"&amp;A310,SyS!$B:$P,10,FALSE()),0)</f>
        <v>0</v>
      </c>
      <c r="V310" s="39">
        <f>IFERROR(VLOOKUP("16_"&amp;A310,SyS!$B:$P,12,FALSE()),0)</f>
        <v>0</v>
      </c>
      <c r="W310" s="40">
        <f>+U310-V310</f>
        <v>0</v>
      </c>
      <c r="X310" s="38">
        <f>IFERROR(VLOOKUP("13_"&amp;A310,SyS!$B:$P,10,FALSE()),0)</f>
        <v>0</v>
      </c>
      <c r="Y310" s="39">
        <f>IFERROR(VLOOKUP("13_"&amp;A310,SyS!$B:$P,12,FALSE()),0)</f>
        <v>0</v>
      </c>
      <c r="Z310" s="40">
        <f>+X310-Y310</f>
        <v>0</v>
      </c>
      <c r="AA310" s="38">
        <f>IFERROR(VLOOKUP("17_"&amp;A310,SyS!$B:$P,10,FALSE()),0)</f>
        <v>0</v>
      </c>
      <c r="AB310" s="39">
        <f>IFERROR(VLOOKUP("17_"&amp;A310,SyS!$B:$P,12,FALSE()),0)</f>
        <v>0</v>
      </c>
      <c r="AC310" s="40">
        <f>+AA310-AB310</f>
        <v>0</v>
      </c>
      <c r="AD310" s="39"/>
      <c r="AE310" s="39"/>
      <c r="AF310" s="39"/>
      <c r="AG310" s="39">
        <f>IFERROR(VLOOKUP("19_"&amp;A310,SyS!$B:$P,10,FALSE()),0)</f>
        <v>0</v>
      </c>
      <c r="AH310" s="39">
        <f>IFERROR(VLOOKUP("19_"&amp;A310,SyS!$B:$P,12,FALSE()),0)</f>
        <v>0</v>
      </c>
      <c r="AI310" s="39">
        <f>+AG310-AH310</f>
        <v>0</v>
      </c>
      <c r="AJ310" s="39"/>
      <c r="AK310" s="39"/>
      <c r="AL310" s="39"/>
      <c r="AM310" s="38">
        <f>IFERROR(VLOOKUP("23_"&amp;A310,SyS!$B:$P,10,FALSE()),0)</f>
        <v>0</v>
      </c>
      <c r="AN310" s="39">
        <f>IFERROR(VLOOKUP("23_"&amp;A310,SyS!$B:$P,12,FALSE()),0)</f>
        <v>0</v>
      </c>
      <c r="AO310" s="40">
        <f>+AM310-AN310</f>
        <v>0</v>
      </c>
      <c r="AP310" s="39"/>
      <c r="AQ310" s="39"/>
      <c r="AR310" s="39"/>
      <c r="AS310" s="39"/>
      <c r="AT310" s="39"/>
      <c r="AU310" s="39"/>
      <c r="AV310" s="39"/>
      <c r="AW310" s="39"/>
      <c r="AX310" s="39"/>
      <c r="AY310" s="39"/>
      <c r="AZ310" s="39"/>
      <c r="BA310" s="39"/>
      <c r="BB310" s="39"/>
      <c r="BC310" s="39"/>
      <c r="BD310" s="39"/>
      <c r="BE310" s="39"/>
      <c r="BF310" s="39"/>
      <c r="BG310" s="39"/>
      <c r="BH310" s="39"/>
      <c r="BI310" s="39"/>
      <c r="BJ310" s="39"/>
      <c r="BK310" s="39">
        <f>IFERROR(VLOOKUP("29_"&amp;A310,SyS!$B:$P,10,FALSE()),0)</f>
        <v>0</v>
      </c>
      <c r="BL310" s="39">
        <f>IFERROR(VLOOKUP("29_"&amp;A310,SyS!$B:$P,12,FALSE()),0)</f>
        <v>0</v>
      </c>
      <c r="BM310" s="39">
        <f>+BK310-BL310</f>
        <v>0</v>
      </c>
      <c r="BN310" s="38">
        <f>IFERROR(VLOOKUP("30_"&amp;A310,SyS!$B:$P,10,FALSE()),0)</f>
        <v>0</v>
      </c>
      <c r="BO310" s="39">
        <f>IFERROR(VLOOKUP("30_"&amp;A310,SyS!$B:$P,12,FALSE()),0)</f>
        <v>0</v>
      </c>
      <c r="BP310" s="40">
        <f>+BN310-BO310</f>
        <v>0</v>
      </c>
      <c r="BQ310" s="45">
        <f>+E310+H310+K310+Q310+T310+W310+Z310+AC310+AF310+AI310+AL310+AO310+AR310+AU310+AX310+BA310+BD310+BG310+BJ310+BM310+BP310</f>
        <v>0</v>
      </c>
    </row>
    <row r="311" ht="11.25" customHeight="1" spans="1:69" x14ac:dyDescent="0.25">
      <c r="A311" s="51">
        <v>433090000</v>
      </c>
      <c r="B311" s="18" t="s">
        <v>540</v>
      </c>
      <c r="C311" s="38">
        <f>IFERROR(VLOOKUP("1_"&amp;A311,SyS!$B:$P,10,FALSE()),0)</f>
        <v>0</v>
      </c>
      <c r="D311" s="39">
        <f>IFERROR(VLOOKUP("1_"&amp;A311,SyS!$B:$P,12,FALSE()),0)</f>
        <v>0</v>
      </c>
      <c r="E311" s="39">
        <f>+C311-D311</f>
        <v>0</v>
      </c>
      <c r="F311" s="38">
        <f>IFERROR(VLOOKUP("2_"&amp;A311,SyS!$B:$P,10,FALSE()),0)</f>
        <v>0</v>
      </c>
      <c r="G311" s="39">
        <f>IFERROR(VLOOKUP("2_"&amp;A311,SyS!$B:$P,12,FALSE()),0)</f>
        <v>0</v>
      </c>
      <c r="H311" s="40">
        <f>+F311-G311</f>
        <v>0</v>
      </c>
      <c r="I311" s="39"/>
      <c r="J311" s="39"/>
      <c r="K311" s="39"/>
      <c r="L311" s="39"/>
      <c r="M311" s="39"/>
      <c r="N311" s="39"/>
      <c r="O311" s="38">
        <f>IFERROR(VLOOKUP("14_"&amp;A311,SyS!$B:$P,10,FALSE()),0)</f>
        <v>0</v>
      </c>
      <c r="P311" s="39">
        <f>IFERROR(VLOOKUP("14_"&amp;A311,SyS!$B:$P,12,FALSE()),0)</f>
        <v>0</v>
      </c>
      <c r="Q311" s="40">
        <f>+O311-P311</f>
        <v>0</v>
      </c>
      <c r="R311" s="38">
        <f>IFERROR(VLOOKUP("15_"&amp;A311,SyS!$B:$P,10,FALSE()),0)</f>
        <v>0</v>
      </c>
      <c r="S311" s="39">
        <f>IFERROR(VLOOKUP("15_"&amp;A311,SyS!$B:$P,12,FALSE()),0)</f>
        <v>0</v>
      </c>
      <c r="T311" s="40">
        <f>+R311-S311</f>
        <v>0</v>
      </c>
      <c r="U311" s="38">
        <f>IFERROR(VLOOKUP("16_"&amp;A311,SyS!$B:$P,10,FALSE()),0)</f>
        <v>0</v>
      </c>
      <c r="V311" s="39">
        <f>IFERROR(VLOOKUP("16_"&amp;A311,SyS!$B:$P,12,FALSE()),0)</f>
        <v>0</v>
      </c>
      <c r="W311" s="40">
        <f>+U311-V311</f>
        <v>0</v>
      </c>
      <c r="X311" s="38">
        <f>IFERROR(VLOOKUP("13_"&amp;A311,SyS!$B:$P,10,FALSE()),0)</f>
        <v>0</v>
      </c>
      <c r="Y311" s="39">
        <f>IFERROR(VLOOKUP("13_"&amp;A311,SyS!$B:$P,12,FALSE()),0)</f>
        <v>0</v>
      </c>
      <c r="Z311" s="40">
        <f>+X311-Y311</f>
        <v>0</v>
      </c>
      <c r="AA311" s="38">
        <f>IFERROR(VLOOKUP("17_"&amp;A311,SyS!$B:$P,10,FALSE()),0)</f>
        <v>359.96</v>
      </c>
      <c r="AB311" s="39">
        <f>IFERROR(VLOOKUP("17_"&amp;A311,SyS!$B:$P,12,FALSE()),0)</f>
        <v>0</v>
      </c>
      <c r="AC311" s="40">
        <f>+AA311-AB311</f>
        <v>359.96</v>
      </c>
      <c r="AD311" s="39"/>
      <c r="AE311" s="39"/>
      <c r="AF311" s="39"/>
      <c r="AG311" s="39">
        <f>IFERROR(VLOOKUP("19_"&amp;A311,SyS!$B:$P,10,FALSE()),0)</f>
        <v>0</v>
      </c>
      <c r="AH311" s="39">
        <f>IFERROR(VLOOKUP("19_"&amp;A311,SyS!$B:$P,12,FALSE()),0)</f>
        <v>0</v>
      </c>
      <c r="AI311" s="39">
        <f>+AG311-AH311</f>
        <v>0</v>
      </c>
      <c r="AJ311" s="39"/>
      <c r="AK311" s="39"/>
      <c r="AL311" s="39"/>
      <c r="AM311" s="38">
        <f>IFERROR(VLOOKUP("23_"&amp;A311,SyS!$B:$P,10,FALSE()),0)</f>
        <v>0</v>
      </c>
      <c r="AN311" s="39">
        <f>IFERROR(VLOOKUP("23_"&amp;A311,SyS!$B:$P,12,FALSE()),0)</f>
        <v>0</v>
      </c>
      <c r="AO311" s="40">
        <f>+AM311-AN311</f>
        <v>0</v>
      </c>
      <c r="AP311" s="39"/>
      <c r="AQ311" s="39"/>
      <c r="AR311" s="39"/>
      <c r="AS311" s="39"/>
      <c r="AT311" s="39"/>
      <c r="AU311" s="39"/>
      <c r="AV311" s="39"/>
      <c r="AW311" s="39"/>
      <c r="AX311" s="39"/>
      <c r="AY311" s="39"/>
      <c r="AZ311" s="39"/>
      <c r="BA311" s="39"/>
      <c r="BB311" s="39"/>
      <c r="BC311" s="39"/>
      <c r="BD311" s="39"/>
      <c r="BE311" s="39"/>
      <c r="BF311" s="39"/>
      <c r="BG311" s="39"/>
      <c r="BH311" s="39"/>
      <c r="BI311" s="39"/>
      <c r="BJ311" s="39"/>
      <c r="BK311" s="39">
        <f>IFERROR(VLOOKUP("29_"&amp;A311,SyS!$B:$P,10,FALSE()),0)</f>
        <v>0</v>
      </c>
      <c r="BL311" s="39">
        <f>IFERROR(VLOOKUP("29_"&amp;A311,SyS!$B:$P,12,FALSE()),0)</f>
        <v>0</v>
      </c>
      <c r="BM311" s="39">
        <f>+BK311-BL311</f>
        <v>0</v>
      </c>
      <c r="BN311" s="38">
        <f>IFERROR(VLOOKUP("30_"&amp;A311,SyS!$B:$P,10,FALSE()),0)</f>
        <v>0</v>
      </c>
      <c r="BO311" s="39">
        <f>IFERROR(VLOOKUP("30_"&amp;A311,SyS!$B:$P,12,FALSE()),0)</f>
        <v>0</v>
      </c>
      <c r="BP311" s="40">
        <f>+BN311-BO311</f>
        <v>0</v>
      </c>
      <c r="BQ311" s="45">
        <f>+E311+H311+K311+Q311+T311+W311+Z311+AC311+AF311+AI311+AL311+AO311+AR311+AU311+AX311+BA311+BD311+BG311+BJ311+BM311+BP311</f>
        <v>359.96</v>
      </c>
    </row>
    <row r="312" ht="11.25" customHeight="1" spans="1:69" x14ac:dyDescent="0.25">
      <c r="A312" s="18">
        <v>426950000</v>
      </c>
      <c r="B312" s="18" t="s">
        <v>541</v>
      </c>
      <c r="C312" s="38">
        <f>IFERROR(VLOOKUP("1_"&amp;A312,SyS!$B:$P,10,FALSE()),0)</f>
        <v>0</v>
      </c>
      <c r="D312" s="39">
        <f>IFERROR(VLOOKUP("1_"&amp;A312,SyS!$B:$P,12,FALSE()),0)</f>
        <v>0</v>
      </c>
      <c r="E312" s="39">
        <f>+C312-D312</f>
        <v>0</v>
      </c>
      <c r="F312" s="38">
        <f>IFERROR(VLOOKUP("2_"&amp;A312,SyS!$B:$P,10,FALSE()),0)</f>
        <v>0</v>
      </c>
      <c r="G312" s="39">
        <f>IFERROR(VLOOKUP("2_"&amp;A312,SyS!$B:$P,12,FALSE()),0)</f>
        <v>0</v>
      </c>
      <c r="H312" s="40">
        <f>+F312-G312</f>
        <v>0</v>
      </c>
      <c r="I312" s="39"/>
      <c r="J312" s="39"/>
      <c r="K312" s="39"/>
      <c r="L312" s="39"/>
      <c r="M312" s="39"/>
      <c r="N312" s="39"/>
      <c r="O312" s="38">
        <f>IFERROR(VLOOKUP("14_"&amp;A312,SyS!$B:$P,10,FALSE()),0)</f>
        <v>0</v>
      </c>
      <c r="P312" s="39">
        <f>IFERROR(VLOOKUP("14_"&amp;A312,SyS!$B:$P,12,FALSE()),0)</f>
        <v>0</v>
      </c>
      <c r="Q312" s="40">
        <f>+O312-P312</f>
        <v>0</v>
      </c>
      <c r="R312" s="38">
        <f>IFERROR(VLOOKUP("15_"&amp;A312,SyS!$B:$P,10,FALSE()),0)</f>
        <v>0</v>
      </c>
      <c r="S312" s="39">
        <f>IFERROR(VLOOKUP("15_"&amp;A312,SyS!$B:$P,12,FALSE()),0)</f>
        <v>0</v>
      </c>
      <c r="T312" s="40">
        <f>+R312-S312</f>
        <v>0</v>
      </c>
      <c r="U312" s="38">
        <f>IFERROR(VLOOKUP("16_"&amp;A312,SyS!$B:$P,10,FALSE()),0)</f>
        <v>0</v>
      </c>
      <c r="V312" s="39">
        <f>IFERROR(VLOOKUP("16_"&amp;A312,SyS!$B:$P,12,FALSE()),0)</f>
        <v>0</v>
      </c>
      <c r="W312" s="40">
        <f>+U312-V312</f>
        <v>0</v>
      </c>
      <c r="X312" s="38">
        <f>IFERROR(VLOOKUP("13_"&amp;A312,SyS!$B:$P,10,FALSE()),0)</f>
        <v>0</v>
      </c>
      <c r="Y312" s="39">
        <f>IFERROR(VLOOKUP("13_"&amp;A312,SyS!$B:$P,12,FALSE()),0)</f>
        <v>0</v>
      </c>
      <c r="Z312" s="40">
        <f>+X312-Y312</f>
        <v>0</v>
      </c>
      <c r="AA312" s="38">
        <f>IFERROR(VLOOKUP("17_"&amp;A312,SyS!$B:$P,10,FALSE()),0)</f>
        <v>0</v>
      </c>
      <c r="AB312" s="39">
        <f>IFERROR(VLOOKUP("17_"&amp;A312,SyS!$B:$P,12,FALSE()),0)</f>
        <v>0</v>
      </c>
      <c r="AC312" s="40">
        <f>+AA312-AB312</f>
        <v>0</v>
      </c>
      <c r="AD312" s="39"/>
      <c r="AE312" s="39"/>
      <c r="AF312" s="39"/>
      <c r="AG312" s="39">
        <f>IFERROR(VLOOKUP("19_"&amp;A312,SyS!$B:$P,10,FALSE()),0)</f>
        <v>0</v>
      </c>
      <c r="AH312" s="39">
        <f>IFERROR(VLOOKUP("19_"&amp;A312,SyS!$B:$P,12,FALSE()),0)</f>
        <v>0</v>
      </c>
      <c r="AI312" s="39">
        <f>+AG312-AH312</f>
        <v>0</v>
      </c>
      <c r="AJ312" s="39"/>
      <c r="AK312" s="39"/>
      <c r="AL312" s="39"/>
      <c r="AM312" s="38">
        <f>IFERROR(VLOOKUP("23_"&amp;A312,SyS!$B:$P,10,FALSE()),0)</f>
        <v>0</v>
      </c>
      <c r="AN312" s="39">
        <f>IFERROR(VLOOKUP("23_"&amp;A312,SyS!$B:$P,12,FALSE()),0)</f>
        <v>0</v>
      </c>
      <c r="AO312" s="40">
        <f>+AM312-AN312</f>
        <v>0</v>
      </c>
      <c r="AP312" s="39"/>
      <c r="AQ312" s="39"/>
      <c r="AR312" s="39"/>
      <c r="AS312" s="39"/>
      <c r="AT312" s="39"/>
      <c r="AU312" s="39"/>
      <c r="AV312" s="39"/>
      <c r="AW312" s="39"/>
      <c r="AX312" s="39"/>
      <c r="AY312" s="39"/>
      <c r="AZ312" s="39"/>
      <c r="BA312" s="39"/>
      <c r="BB312" s="39"/>
      <c r="BC312" s="39"/>
      <c r="BD312" s="39"/>
      <c r="BE312" s="39"/>
      <c r="BF312" s="39"/>
      <c r="BG312" s="39"/>
      <c r="BH312" s="39"/>
      <c r="BI312" s="39"/>
      <c r="BJ312" s="39"/>
      <c r="BK312" s="39">
        <f>IFERROR(VLOOKUP("29_"&amp;A312,SyS!$B:$P,10,FALSE()),0)</f>
        <v>0</v>
      </c>
      <c r="BL312" s="39">
        <f>IFERROR(VLOOKUP("29_"&amp;A312,SyS!$B:$P,12,FALSE()),0)</f>
        <v>0</v>
      </c>
      <c r="BM312" s="39">
        <f>+BK312-BL312</f>
        <v>0</v>
      </c>
      <c r="BN312" s="38">
        <f>IFERROR(VLOOKUP("30_"&amp;A312,SyS!$B:$P,10,FALSE()),0)</f>
        <v>0</v>
      </c>
      <c r="BO312" s="39">
        <f>IFERROR(VLOOKUP("30_"&amp;A312,SyS!$B:$P,12,FALSE()),0)</f>
        <v>0</v>
      </c>
      <c r="BP312" s="40">
        <f>+BN312-BO312</f>
        <v>0</v>
      </c>
      <c r="BQ312" s="45">
        <f>+E312+H312+K312+Q312+T312+W312+Z312+AC312+AF312+AI312+AL312+AO312+AR312+AU312+AX312+BA312+BD312+BG312+BJ312+BM312+BP312</f>
        <v>0</v>
      </c>
    </row>
    <row r="313" ht="12" customHeight="1" spans="1:69" x14ac:dyDescent="0.25">
      <c r="A313" s="18">
        <v>426880000</v>
      </c>
      <c r="B313" s="18" t="s">
        <v>542</v>
      </c>
      <c r="C313" s="38">
        <f>IFERROR(VLOOKUP("1_"&amp;A313,SyS!$B:$P,10,FALSE()),0)</f>
        <v>0</v>
      </c>
      <c r="D313" s="39">
        <f>IFERROR(VLOOKUP("1_"&amp;A313,SyS!$B:$P,12,FALSE()),0)</f>
        <v>0</v>
      </c>
      <c r="E313" s="39">
        <f>+C313-D313</f>
        <v>0</v>
      </c>
      <c r="F313" s="38">
        <f>IFERROR(VLOOKUP("2_"&amp;A313,SyS!$B:$P,10,FALSE()),0)</f>
        <v>0</v>
      </c>
      <c r="G313" s="39">
        <f>IFERROR(VLOOKUP("2_"&amp;A313,SyS!$B:$P,12,FALSE()),0)</f>
        <v>0</v>
      </c>
      <c r="H313" s="40">
        <f>+F313-G313</f>
        <v>0</v>
      </c>
      <c r="I313" s="39"/>
      <c r="J313" s="39"/>
      <c r="K313" s="39"/>
      <c r="L313" s="39"/>
      <c r="M313" s="39"/>
      <c r="N313" s="39"/>
      <c r="O313" s="38">
        <f>IFERROR(VLOOKUP("14_"&amp;A313,SyS!$B:$P,10,FALSE()),0)</f>
        <v>0</v>
      </c>
      <c r="P313" s="39">
        <f>IFERROR(VLOOKUP("14_"&amp;A313,SyS!$B:$P,12,FALSE()),0)</f>
        <v>0</v>
      </c>
      <c r="Q313" s="40">
        <f>+O313-P313</f>
        <v>0</v>
      </c>
      <c r="R313" s="38">
        <f>IFERROR(VLOOKUP("15_"&amp;A313,SyS!$B:$P,10,FALSE()),0)</f>
        <v>0</v>
      </c>
      <c r="S313" s="39">
        <f>IFERROR(VLOOKUP("15_"&amp;A313,SyS!$B:$P,12,FALSE()),0)</f>
        <v>0</v>
      </c>
      <c r="T313" s="40">
        <f>+R313-S313</f>
        <v>0</v>
      </c>
      <c r="U313" s="38">
        <f>IFERROR(VLOOKUP("16_"&amp;A313,SyS!$B:$P,10,FALSE()),0)</f>
        <v>0</v>
      </c>
      <c r="V313" s="39">
        <f>IFERROR(VLOOKUP("16_"&amp;A313,SyS!$B:$P,12,FALSE()),0)</f>
        <v>0</v>
      </c>
      <c r="W313" s="40">
        <f>+U313-V313</f>
        <v>0</v>
      </c>
      <c r="X313" s="38">
        <f>IFERROR(VLOOKUP("13_"&amp;A313,SyS!$B:$P,10,FALSE()),0)</f>
        <v>0</v>
      </c>
      <c r="Y313" s="39">
        <f>IFERROR(VLOOKUP("13_"&amp;A313,SyS!$B:$P,12,FALSE()),0)</f>
        <v>0</v>
      </c>
      <c r="Z313" s="40">
        <f>+X313-Y313</f>
        <v>0</v>
      </c>
      <c r="AA313" s="38">
        <f>IFERROR(VLOOKUP("17_"&amp;A313,SyS!$B:$P,10,FALSE()),0)</f>
        <v>0</v>
      </c>
      <c r="AB313" s="39">
        <f>IFERROR(VLOOKUP("17_"&amp;A313,SyS!$B:$P,12,FALSE()),0)</f>
        <v>0</v>
      </c>
      <c r="AC313" s="40">
        <f>+AA313-AB313</f>
        <v>0</v>
      </c>
      <c r="AD313" s="39"/>
      <c r="AE313" s="39"/>
      <c r="AF313" s="39"/>
      <c r="AG313" s="39">
        <f>IFERROR(VLOOKUP("19_"&amp;A313,SyS!$B:$P,10,FALSE()),0)</f>
        <v>0</v>
      </c>
      <c r="AH313" s="39">
        <f>IFERROR(VLOOKUP("19_"&amp;A313,SyS!$B:$P,12,FALSE()),0)</f>
        <v>0</v>
      </c>
      <c r="AI313" s="39">
        <f>+AG313-AH313</f>
        <v>0</v>
      </c>
      <c r="AJ313" s="39"/>
      <c r="AK313" s="39"/>
      <c r="AL313" s="39"/>
      <c r="AM313" s="38">
        <f>IFERROR(VLOOKUP("23_"&amp;A313,SyS!$B:$P,10,FALSE()),0)</f>
        <v>0</v>
      </c>
      <c r="AN313" s="39">
        <f>IFERROR(VLOOKUP("23_"&amp;A313,SyS!$B:$P,12,FALSE()),0)</f>
        <v>0</v>
      </c>
      <c r="AO313" s="40">
        <f>+AM313-AN313</f>
        <v>0</v>
      </c>
      <c r="AP313" s="39"/>
      <c r="AQ313" s="39"/>
      <c r="AR313" s="39"/>
      <c r="AS313" s="39"/>
      <c r="AT313" s="39"/>
      <c r="AU313" s="39"/>
      <c r="AV313" s="39"/>
      <c r="AW313" s="39"/>
      <c r="AX313" s="39"/>
      <c r="AY313" s="39"/>
      <c r="AZ313" s="39"/>
      <c r="BA313" s="39"/>
      <c r="BB313" s="39"/>
      <c r="BC313" s="39"/>
      <c r="BD313" s="39"/>
      <c r="BE313" s="39"/>
      <c r="BF313" s="39"/>
      <c r="BG313" s="39"/>
      <c r="BH313" s="39"/>
      <c r="BI313" s="39"/>
      <c r="BJ313" s="39"/>
      <c r="BK313" s="39">
        <f>IFERROR(VLOOKUP("29_"&amp;A313,SyS!$B:$P,10,FALSE()),0)</f>
        <v>0</v>
      </c>
      <c r="BL313" s="39">
        <f>IFERROR(VLOOKUP("29_"&amp;A313,SyS!$B:$P,12,FALSE()),0)</f>
        <v>0</v>
      </c>
      <c r="BM313" s="39">
        <f>+BK313-BL313</f>
        <v>0</v>
      </c>
      <c r="BN313" s="38">
        <f>IFERROR(VLOOKUP("30_"&amp;A313,SyS!$B:$P,10,FALSE()),0)</f>
        <v>0</v>
      </c>
      <c r="BO313" s="39">
        <f>IFERROR(VLOOKUP("30_"&amp;A313,SyS!$B:$P,12,FALSE()),0)</f>
        <v>0</v>
      </c>
      <c r="BP313" s="40">
        <f>+BN313-BO313</f>
        <v>0</v>
      </c>
      <c r="BQ313" s="45">
        <f>+E313+H313+K313+Q313+T313+W313+Z313+AC313+AF313+AI313+AL313+AO313+AR313+AU313+AX313+BA313+BD313+BG313+BJ313+BM313+BP313</f>
        <v>0</v>
      </c>
    </row>
    <row r="314" ht="11.25" customHeight="1" spans="1:69" x14ac:dyDescent="0.25">
      <c r="A314" s="49"/>
      <c r="B314" s="50" t="s">
        <v>543</v>
      </c>
      <c r="C314" s="38"/>
      <c r="D314" s="39"/>
      <c r="E314" s="39"/>
      <c r="F314" s="38"/>
      <c r="G314" s="39"/>
      <c r="H314" s="40"/>
      <c r="I314" s="39"/>
      <c r="J314" s="39"/>
      <c r="K314" s="39"/>
      <c r="L314" s="39"/>
      <c r="M314" s="39"/>
      <c r="N314" s="39"/>
      <c r="O314" s="38"/>
      <c r="P314" s="39"/>
      <c r="Q314" s="40"/>
      <c r="R314" s="38"/>
      <c r="S314" s="39"/>
      <c r="T314" s="40"/>
      <c r="U314" s="38"/>
      <c r="V314" s="39"/>
      <c r="W314" s="40"/>
      <c r="X314" s="38"/>
      <c r="Y314" s="39"/>
      <c r="Z314" s="40"/>
      <c r="AA314" s="38"/>
      <c r="AB314" s="39"/>
      <c r="AC314" s="40"/>
      <c r="AD314" s="39"/>
      <c r="AE314" s="39"/>
      <c r="AF314" s="39"/>
      <c r="AG314" s="39">
        <f>IFERROR(VLOOKUP("19_"&amp;A314,SyS!$B:$P,10,FALSE()),0)</f>
        <v>0</v>
      </c>
      <c r="AH314" s="39">
        <f>IFERROR(VLOOKUP("19_"&amp;A314,SyS!$B:$P,12,FALSE()),0)</f>
        <v>0</v>
      </c>
      <c r="AI314" s="39">
        <f>+AG314-AH314</f>
        <v>0</v>
      </c>
      <c r="AJ314" s="39"/>
      <c r="AK314" s="39"/>
      <c r="AL314" s="39"/>
      <c r="AM314" s="38"/>
      <c r="AN314" s="39"/>
      <c r="AO314" s="40"/>
      <c r="AP314" s="39"/>
      <c r="AQ314" s="39"/>
      <c r="AR314" s="39"/>
      <c r="AS314" s="39"/>
      <c r="AT314" s="39"/>
      <c r="AU314" s="39"/>
      <c r="AV314" s="39"/>
      <c r="AW314" s="39"/>
      <c r="AX314" s="39"/>
      <c r="AY314" s="39"/>
      <c r="AZ314" s="39"/>
      <c r="BA314" s="39"/>
      <c r="BB314" s="39"/>
      <c r="BC314" s="39"/>
      <c r="BD314" s="39"/>
      <c r="BE314" s="39"/>
      <c r="BF314" s="39"/>
      <c r="BG314" s="39"/>
      <c r="BH314" s="39"/>
      <c r="BI314" s="39"/>
      <c r="BJ314" s="39"/>
      <c r="BK314" s="39"/>
      <c r="BL314" s="39"/>
      <c r="BM314" s="39"/>
      <c r="BN314" s="38"/>
      <c r="BO314" s="39"/>
      <c r="BP314" s="40"/>
      <c r="BQ314" s="45"/>
    </row>
    <row r="315" ht="11.25" customHeight="1" spans="1:69" x14ac:dyDescent="0.25">
      <c r="A315" s="18">
        <v>427110000</v>
      </c>
      <c r="B315" s="18" t="s">
        <v>544</v>
      </c>
      <c r="C315" s="38">
        <f>IFERROR(VLOOKUP("1_"&amp;A315,SyS!$B:$P,10,FALSE()),0)</f>
        <v>0</v>
      </c>
      <c r="D315" s="39">
        <f>IFERROR(VLOOKUP("1_"&amp;A315,SyS!$B:$P,12,FALSE()),0)</f>
        <v>0</v>
      </c>
      <c r="E315" s="39">
        <f>+C315-D315</f>
        <v>0</v>
      </c>
      <c r="F315" s="38">
        <f>IFERROR(VLOOKUP("2_"&amp;A315,SyS!$B:$P,10,FALSE()),0)</f>
        <v>0</v>
      </c>
      <c r="G315" s="39">
        <f>IFERROR(VLOOKUP("2_"&amp;A315,SyS!$B:$P,12,FALSE()),0)</f>
        <v>0</v>
      </c>
      <c r="H315" s="40">
        <f>+F315-G315</f>
        <v>0</v>
      </c>
      <c r="I315" s="39"/>
      <c r="J315" s="39"/>
      <c r="K315" s="39"/>
      <c r="L315" s="39"/>
      <c r="M315" s="39"/>
      <c r="N315" s="39"/>
      <c r="O315" s="38">
        <f>IFERROR(VLOOKUP("14_"&amp;A315,SyS!$B:$P,10,FALSE()),0)</f>
        <v>0</v>
      </c>
      <c r="P315" s="39">
        <f>IFERROR(VLOOKUP("14_"&amp;A315,SyS!$B:$P,12,FALSE()),0)</f>
        <v>0</v>
      </c>
      <c r="Q315" s="40">
        <f>+O315-P315</f>
        <v>0</v>
      </c>
      <c r="R315" s="38">
        <f>IFERROR(VLOOKUP("15_"&amp;A315,SyS!$B:$P,10,FALSE()),0)</f>
        <v>0</v>
      </c>
      <c r="S315" s="39">
        <f>IFERROR(VLOOKUP("15_"&amp;A315,SyS!$B:$P,12,FALSE()),0)</f>
        <v>0</v>
      </c>
      <c r="T315" s="40">
        <f>+R315-S315</f>
        <v>0</v>
      </c>
      <c r="U315" s="38">
        <f>IFERROR(VLOOKUP("16_"&amp;A315,SyS!$B:$P,10,FALSE()),0)</f>
        <v>0</v>
      </c>
      <c r="V315" s="39">
        <f>IFERROR(VLOOKUP("16_"&amp;A315,SyS!$B:$P,12,FALSE()),0)</f>
        <v>0</v>
      </c>
      <c r="W315" s="40">
        <f>+U315-V315</f>
        <v>0</v>
      </c>
      <c r="X315" s="38">
        <f>IFERROR(VLOOKUP("13_"&amp;A315,SyS!$B:$P,10,FALSE()),0)</f>
        <v>0</v>
      </c>
      <c r="Y315" s="39">
        <f>IFERROR(VLOOKUP("13_"&amp;A315,SyS!$B:$P,12,FALSE()),0)</f>
        <v>0</v>
      </c>
      <c r="Z315" s="40">
        <f>+X315-Y315</f>
        <v>0</v>
      </c>
      <c r="AA315" s="38">
        <f>IFERROR(VLOOKUP("17_"&amp;A315,SyS!$B:$P,10,FALSE()),0)</f>
        <v>0</v>
      </c>
      <c r="AB315" s="39">
        <f>IFERROR(VLOOKUP("17_"&amp;A315,SyS!$B:$P,12,FALSE()),0)</f>
        <v>0</v>
      </c>
      <c r="AC315" s="40">
        <f>+AA315-AB315</f>
        <v>0</v>
      </c>
      <c r="AD315" s="39"/>
      <c r="AE315" s="39"/>
      <c r="AF315" s="39"/>
      <c r="AG315" s="39">
        <f>IFERROR(VLOOKUP("19_"&amp;A315,SyS!$B:$P,10,FALSE()),0)</f>
        <v>0</v>
      </c>
      <c r="AH315" s="39">
        <f>IFERROR(VLOOKUP("19_"&amp;A315,SyS!$B:$P,12,FALSE()),0)</f>
        <v>0</v>
      </c>
      <c r="AI315" s="39">
        <f>+AG315-AH315</f>
        <v>0</v>
      </c>
      <c r="AJ315" s="39"/>
      <c r="AK315" s="39"/>
      <c r="AL315" s="39"/>
      <c r="AM315" s="38">
        <f>IFERROR(VLOOKUP("23_"&amp;A315,SyS!$B:$P,10,FALSE()),0)</f>
        <v>0</v>
      </c>
      <c r="AN315" s="39">
        <f>IFERROR(VLOOKUP("23_"&amp;A315,SyS!$B:$P,12,FALSE()),0)</f>
        <v>0</v>
      </c>
      <c r="AO315" s="40">
        <f>+AM315-AN315</f>
        <v>0</v>
      </c>
      <c r="AP315" s="39"/>
      <c r="AQ315" s="39"/>
      <c r="AR315" s="39"/>
      <c r="AS315" s="39"/>
      <c r="AT315" s="39"/>
      <c r="AU315" s="39"/>
      <c r="AV315" s="39"/>
      <c r="AW315" s="39"/>
      <c r="AX315" s="39"/>
      <c r="AY315" s="39"/>
      <c r="AZ315" s="39"/>
      <c r="BA315" s="39"/>
      <c r="BB315" s="39"/>
      <c r="BC315" s="39"/>
      <c r="BD315" s="39"/>
      <c r="BE315" s="39"/>
      <c r="BF315" s="39"/>
      <c r="BG315" s="39"/>
      <c r="BH315" s="39"/>
      <c r="BI315" s="39"/>
      <c r="BJ315" s="39"/>
      <c r="BK315" s="39">
        <f>IFERROR(VLOOKUP("29_"&amp;A315,SyS!$B:$P,10,FALSE()),0)</f>
        <v>0</v>
      </c>
      <c r="BL315" s="39">
        <f>IFERROR(VLOOKUP("29_"&amp;A315,SyS!$B:$P,12,FALSE()),0)</f>
        <v>0</v>
      </c>
      <c r="BM315" s="39">
        <f>+BK315-BL315</f>
        <v>0</v>
      </c>
      <c r="BN315" s="38">
        <f>IFERROR(VLOOKUP("30_"&amp;A315,SyS!$B:$P,10,FALSE()),0)</f>
        <v>0</v>
      </c>
      <c r="BO315" s="39">
        <f>IFERROR(VLOOKUP("30_"&amp;A315,SyS!$B:$P,12,FALSE()),0)</f>
        <v>0</v>
      </c>
      <c r="BP315" s="40">
        <f>+BN315-BO315</f>
        <v>0</v>
      </c>
      <c r="BQ315" s="45">
        <f>+E315+H315+K315+Q315+T315+W315+Z315+AC315+AF315+AI315+AL315+AO315+AR315+AU315+AX315+BA315+BD315+BG315+BJ315+BM315+BP315</f>
        <v>0</v>
      </c>
    </row>
    <row r="316" ht="11.25" customHeight="1" spans="1:69" x14ac:dyDescent="0.25">
      <c r="A316" s="18">
        <v>427120000</v>
      </c>
      <c r="B316" s="18" t="s">
        <v>545</v>
      </c>
      <c r="C316" s="38">
        <f>IFERROR(VLOOKUP("1_"&amp;A316,SyS!$B:$P,10,FALSE()),0)</f>
        <v>0</v>
      </c>
      <c r="D316" s="39">
        <f>IFERROR(VLOOKUP("1_"&amp;A316,SyS!$B:$P,12,FALSE()),0)</f>
        <v>0</v>
      </c>
      <c r="E316" s="39">
        <f>+C316-D316</f>
        <v>0</v>
      </c>
      <c r="F316" s="38">
        <f>IFERROR(VLOOKUP("2_"&amp;A316,SyS!$B:$P,10,FALSE()),0)</f>
        <v>0</v>
      </c>
      <c r="G316" s="39">
        <f>IFERROR(VLOOKUP("2_"&amp;A316,SyS!$B:$P,12,FALSE()),0)</f>
        <v>0</v>
      </c>
      <c r="H316" s="40">
        <f>+F316-G316</f>
        <v>0</v>
      </c>
      <c r="I316" s="39"/>
      <c r="J316" s="39"/>
      <c r="K316" s="39"/>
      <c r="L316" s="39"/>
      <c r="M316" s="39"/>
      <c r="N316" s="39"/>
      <c r="O316" s="38">
        <f>IFERROR(VLOOKUP("14_"&amp;A316,SyS!$B:$P,10,FALSE()),0)</f>
        <v>0</v>
      </c>
      <c r="P316" s="39">
        <f>IFERROR(VLOOKUP("14_"&amp;A316,SyS!$B:$P,12,FALSE()),0)</f>
        <v>0</v>
      </c>
      <c r="Q316" s="40">
        <f>+O316-P316</f>
        <v>0</v>
      </c>
      <c r="R316" s="38">
        <f>IFERROR(VLOOKUP("15_"&amp;A316,SyS!$B:$P,10,FALSE()),0)</f>
        <v>0</v>
      </c>
      <c r="S316" s="39">
        <f>IFERROR(VLOOKUP("15_"&amp;A316,SyS!$B:$P,12,FALSE()),0)</f>
        <v>0</v>
      </c>
      <c r="T316" s="40">
        <f>+R316-S316</f>
        <v>0</v>
      </c>
      <c r="U316" s="38">
        <f>IFERROR(VLOOKUP("16_"&amp;A316,SyS!$B:$P,10,FALSE()),0)</f>
        <v>0</v>
      </c>
      <c r="V316" s="39">
        <f>IFERROR(VLOOKUP("16_"&amp;A316,SyS!$B:$P,12,FALSE()),0)</f>
        <v>0</v>
      </c>
      <c r="W316" s="40">
        <f>+U316-V316</f>
        <v>0</v>
      </c>
      <c r="X316" s="38">
        <f>IFERROR(VLOOKUP("13_"&amp;A316,SyS!$B:$P,10,FALSE()),0)</f>
        <v>0</v>
      </c>
      <c r="Y316" s="39">
        <f>IFERROR(VLOOKUP("13_"&amp;A316,SyS!$B:$P,12,FALSE()),0)</f>
        <v>0</v>
      </c>
      <c r="Z316" s="40">
        <f>+X316-Y316</f>
        <v>0</v>
      </c>
      <c r="AA316" s="38">
        <f>IFERROR(VLOOKUP("17_"&amp;A316,SyS!$B:$P,10,FALSE()),0)</f>
        <v>0</v>
      </c>
      <c r="AB316" s="39">
        <f>IFERROR(VLOOKUP("17_"&amp;A316,SyS!$B:$P,12,FALSE()),0)</f>
        <v>0</v>
      </c>
      <c r="AC316" s="40">
        <f>+AA316-AB316</f>
        <v>0</v>
      </c>
      <c r="AD316" s="39"/>
      <c r="AE316" s="39"/>
      <c r="AF316" s="39"/>
      <c r="AG316" s="39">
        <f>IFERROR(VLOOKUP("19_"&amp;A316,SyS!$B:$P,10,FALSE()),0)</f>
        <v>0</v>
      </c>
      <c r="AH316" s="39">
        <f>IFERROR(VLOOKUP("19_"&amp;A316,SyS!$B:$P,12,FALSE()),0)</f>
        <v>0</v>
      </c>
      <c r="AI316" s="39">
        <f>+AG316-AH316</f>
        <v>0</v>
      </c>
      <c r="AJ316" s="39"/>
      <c r="AK316" s="39"/>
      <c r="AL316" s="39"/>
      <c r="AM316" s="38">
        <f>IFERROR(VLOOKUP("23_"&amp;A316,SyS!$B:$P,10,FALSE()),0)</f>
        <v>0</v>
      </c>
      <c r="AN316" s="39">
        <f>IFERROR(VLOOKUP("23_"&amp;A316,SyS!$B:$P,12,FALSE()),0)</f>
        <v>0</v>
      </c>
      <c r="AO316" s="40">
        <f>+AM316-AN316</f>
        <v>0</v>
      </c>
      <c r="AP316" s="39"/>
      <c r="AQ316" s="39"/>
      <c r="AR316" s="39"/>
      <c r="AS316" s="39"/>
      <c r="AT316" s="39"/>
      <c r="AU316" s="39"/>
      <c r="AV316" s="39"/>
      <c r="AW316" s="39"/>
      <c r="AX316" s="39"/>
      <c r="AY316" s="39"/>
      <c r="AZ316" s="39"/>
      <c r="BA316" s="39"/>
      <c r="BB316" s="39"/>
      <c r="BC316" s="39"/>
      <c r="BD316" s="39"/>
      <c r="BE316" s="39"/>
      <c r="BF316" s="39"/>
      <c r="BG316" s="39"/>
      <c r="BH316" s="39"/>
      <c r="BI316" s="39"/>
      <c r="BJ316" s="39"/>
      <c r="BK316" s="39">
        <f>IFERROR(VLOOKUP("29_"&amp;A316,SyS!$B:$P,10,FALSE()),0)</f>
        <v>0</v>
      </c>
      <c r="BL316" s="39">
        <f>IFERROR(VLOOKUP("29_"&amp;A316,SyS!$B:$P,12,FALSE()),0)</f>
        <v>0</v>
      </c>
      <c r="BM316" s="39">
        <f>+BK316-BL316</f>
        <v>0</v>
      </c>
      <c r="BN316" s="38">
        <f>IFERROR(VLOOKUP("30_"&amp;A316,SyS!$B:$P,10,FALSE()),0)</f>
        <v>0</v>
      </c>
      <c r="BO316" s="39">
        <f>IFERROR(VLOOKUP("30_"&amp;A316,SyS!$B:$P,12,FALSE()),0)</f>
        <v>0</v>
      </c>
      <c r="BP316" s="40">
        <f>+BN316-BO316</f>
        <v>0</v>
      </c>
      <c r="BQ316" s="45">
        <f>+E316+H316+K316+Q316+T316+W316+Z316+AC316+AF316+AI316+AL316+AO316+AR316+AU316+AX316+BA316+BD316+BG316+BJ316+BM316+BP316</f>
        <v>0</v>
      </c>
    </row>
    <row r="317" ht="11.25" customHeight="1" spans="1:69" x14ac:dyDescent="0.25">
      <c r="A317" s="18">
        <v>427140000</v>
      </c>
      <c r="B317" s="18" t="s">
        <v>546</v>
      </c>
      <c r="C317" s="38">
        <f>IFERROR(VLOOKUP("1_"&amp;A317,SyS!$B:$P,10,FALSE()),0)</f>
        <v>0</v>
      </c>
      <c r="D317" s="39">
        <f>IFERROR(VLOOKUP("1_"&amp;A317,SyS!$B:$P,12,FALSE()),0)</f>
        <v>0</v>
      </c>
      <c r="E317" s="39">
        <f>+C317-D317</f>
        <v>0</v>
      </c>
      <c r="F317" s="38">
        <f>IFERROR(VLOOKUP("2_"&amp;A317,SyS!$B:$P,10,FALSE()),0)</f>
        <v>0</v>
      </c>
      <c r="G317" s="39">
        <f>IFERROR(VLOOKUP("2_"&amp;A317,SyS!$B:$P,12,FALSE()),0)</f>
        <v>0</v>
      </c>
      <c r="H317" s="40">
        <f>+F317-G317</f>
        <v>0</v>
      </c>
      <c r="I317" s="39"/>
      <c r="J317" s="39"/>
      <c r="K317" s="39"/>
      <c r="L317" s="39"/>
      <c r="M317" s="39"/>
      <c r="N317" s="39"/>
      <c r="O317" s="38">
        <f>IFERROR(VLOOKUP("14_"&amp;A317,SyS!$B:$P,10,FALSE()),0)</f>
        <v>0</v>
      </c>
      <c r="P317" s="39">
        <f>IFERROR(VLOOKUP("14_"&amp;A317,SyS!$B:$P,12,FALSE()),0)</f>
        <v>0</v>
      </c>
      <c r="Q317" s="40">
        <f>+O317-P317</f>
        <v>0</v>
      </c>
      <c r="R317" s="38">
        <f>IFERROR(VLOOKUP("15_"&amp;A317,SyS!$B:$P,10,FALSE()),0)</f>
        <v>0</v>
      </c>
      <c r="S317" s="39">
        <f>IFERROR(VLOOKUP("15_"&amp;A317,SyS!$B:$P,12,FALSE()),0)</f>
        <v>0</v>
      </c>
      <c r="T317" s="40">
        <f>+R317-S317</f>
        <v>0</v>
      </c>
      <c r="U317" s="38">
        <f>IFERROR(VLOOKUP("16_"&amp;A317,SyS!$B:$P,10,FALSE()),0)</f>
        <v>0</v>
      </c>
      <c r="V317" s="39">
        <f>IFERROR(VLOOKUP("16_"&amp;A317,SyS!$B:$P,12,FALSE()),0)</f>
        <v>0</v>
      </c>
      <c r="W317" s="40">
        <f>+U317-V317</f>
        <v>0</v>
      </c>
      <c r="X317" s="38">
        <f>IFERROR(VLOOKUP("13_"&amp;A317,SyS!$B:$P,10,FALSE()),0)</f>
        <v>0</v>
      </c>
      <c r="Y317" s="39">
        <f>IFERROR(VLOOKUP("13_"&amp;A317,SyS!$B:$P,12,FALSE()),0)</f>
        <v>0</v>
      </c>
      <c r="Z317" s="40">
        <f>+X317-Y317</f>
        <v>0</v>
      </c>
      <c r="AA317" s="38">
        <f>IFERROR(VLOOKUP("17_"&amp;A317,SyS!$B:$P,10,FALSE()),0)</f>
        <v>0</v>
      </c>
      <c r="AB317" s="39">
        <f>IFERROR(VLOOKUP("17_"&amp;A317,SyS!$B:$P,12,FALSE()),0)</f>
        <v>0</v>
      </c>
      <c r="AC317" s="40">
        <f>+AA317-AB317</f>
        <v>0</v>
      </c>
      <c r="AD317" s="39"/>
      <c r="AE317" s="39"/>
      <c r="AF317" s="39"/>
      <c r="AG317" s="39">
        <f>IFERROR(VLOOKUP("19_"&amp;A317,SyS!$B:$P,10,FALSE()),0)</f>
        <v>0</v>
      </c>
      <c r="AH317" s="39">
        <f>IFERROR(VLOOKUP("19_"&amp;A317,SyS!$B:$P,12,FALSE()),0)</f>
        <v>0</v>
      </c>
      <c r="AI317" s="39">
        <f>+AG317-AH317</f>
        <v>0</v>
      </c>
      <c r="AJ317" s="39"/>
      <c r="AK317" s="39"/>
      <c r="AL317" s="39"/>
      <c r="AM317" s="38">
        <f>IFERROR(VLOOKUP("23_"&amp;A317,SyS!$B:$P,10,FALSE()),0)</f>
        <v>0</v>
      </c>
      <c r="AN317" s="39">
        <f>IFERROR(VLOOKUP("23_"&amp;A317,SyS!$B:$P,12,FALSE()),0)</f>
        <v>0</v>
      </c>
      <c r="AO317" s="40">
        <f>+AM317-AN317</f>
        <v>0</v>
      </c>
      <c r="AP317" s="39"/>
      <c r="AQ317" s="39"/>
      <c r="AR317" s="39"/>
      <c r="AS317" s="39"/>
      <c r="AT317" s="39"/>
      <c r="AU317" s="39"/>
      <c r="AV317" s="39"/>
      <c r="AW317" s="39"/>
      <c r="AX317" s="39"/>
      <c r="AY317" s="39"/>
      <c r="AZ317" s="39"/>
      <c r="BA317" s="39"/>
      <c r="BB317" s="39"/>
      <c r="BC317" s="39"/>
      <c r="BD317" s="39"/>
      <c r="BE317" s="39"/>
      <c r="BF317" s="39"/>
      <c r="BG317" s="39"/>
      <c r="BH317" s="39"/>
      <c r="BI317" s="39"/>
      <c r="BJ317" s="39"/>
      <c r="BK317" s="39">
        <f>IFERROR(VLOOKUP("29_"&amp;A317,SyS!$B:$P,10,FALSE()),0)</f>
        <v>0</v>
      </c>
      <c r="BL317" s="39">
        <f>IFERROR(VLOOKUP("29_"&amp;A317,SyS!$B:$P,12,FALSE()),0)</f>
        <v>0</v>
      </c>
      <c r="BM317" s="39">
        <f>+BK317-BL317</f>
        <v>0</v>
      </c>
      <c r="BN317" s="38">
        <f>IFERROR(VLOOKUP("30_"&amp;A317,SyS!$B:$P,10,FALSE()),0)</f>
        <v>0</v>
      </c>
      <c r="BO317" s="39">
        <f>IFERROR(VLOOKUP("30_"&amp;A317,SyS!$B:$P,12,FALSE()),0)</f>
        <v>0</v>
      </c>
      <c r="BP317" s="40">
        <f>+BN317-BO317</f>
        <v>0</v>
      </c>
      <c r="BQ317" s="45">
        <f>+E317+H317+K317+Q317+T317+W317+Z317+AC317+AF317+AI317+AL317+AO317+AR317+AU317+AX317+BA317+BD317+BG317+BJ317+BM317+BP317</f>
        <v>0</v>
      </c>
    </row>
    <row r="318" ht="11.25" customHeight="1" spans="1:69" x14ac:dyDescent="0.25">
      <c r="A318" s="18">
        <v>427150000</v>
      </c>
      <c r="B318" s="18" t="s">
        <v>547</v>
      </c>
      <c r="C318" s="38">
        <f>IFERROR(VLOOKUP("1_"&amp;A318,SyS!$B:$P,10,FALSE()),0)</f>
        <v>0</v>
      </c>
      <c r="D318" s="39">
        <f>IFERROR(VLOOKUP("1_"&amp;A318,SyS!$B:$P,12,FALSE()),0)</f>
        <v>0</v>
      </c>
      <c r="E318" s="39">
        <f>+C318-D318</f>
        <v>0</v>
      </c>
      <c r="F318" s="38">
        <f>IFERROR(VLOOKUP("2_"&amp;A318,SyS!$B:$P,10,FALSE()),0)</f>
        <v>0</v>
      </c>
      <c r="G318" s="39">
        <f>IFERROR(VLOOKUP("2_"&amp;A318,SyS!$B:$P,12,FALSE()),0)</f>
        <v>0</v>
      </c>
      <c r="H318" s="40">
        <f>+F318-G318</f>
        <v>0</v>
      </c>
      <c r="I318" s="39"/>
      <c r="J318" s="39"/>
      <c r="K318" s="39"/>
      <c r="L318" s="39"/>
      <c r="M318" s="39"/>
      <c r="N318" s="39"/>
      <c r="O318" s="38">
        <f>IFERROR(VLOOKUP("14_"&amp;A318,SyS!$B:$P,10,FALSE()),0)</f>
        <v>0</v>
      </c>
      <c r="P318" s="39">
        <f>IFERROR(VLOOKUP("14_"&amp;A318,SyS!$B:$P,12,FALSE()),0)</f>
        <v>0</v>
      </c>
      <c r="Q318" s="40">
        <f>+O318-P318</f>
        <v>0</v>
      </c>
      <c r="R318" s="38">
        <f>IFERROR(VLOOKUP("15_"&amp;A318,SyS!$B:$P,10,FALSE()),0)</f>
        <v>0</v>
      </c>
      <c r="S318" s="39">
        <f>IFERROR(VLOOKUP("15_"&amp;A318,SyS!$B:$P,12,FALSE()),0)</f>
        <v>0</v>
      </c>
      <c r="T318" s="40">
        <f>+R318-S318</f>
        <v>0</v>
      </c>
      <c r="U318" s="38">
        <f>IFERROR(VLOOKUP("16_"&amp;A318,SyS!$B:$P,10,FALSE()),0)</f>
        <v>0</v>
      </c>
      <c r="V318" s="39">
        <f>IFERROR(VLOOKUP("16_"&amp;A318,SyS!$B:$P,12,FALSE()),0)</f>
        <v>0</v>
      </c>
      <c r="W318" s="40">
        <f>+U318-V318</f>
        <v>0</v>
      </c>
      <c r="X318" s="38">
        <f>IFERROR(VLOOKUP("13_"&amp;A318,SyS!$B:$P,10,FALSE()),0)</f>
        <v>0</v>
      </c>
      <c r="Y318" s="39">
        <f>IFERROR(VLOOKUP("13_"&amp;A318,SyS!$B:$P,12,FALSE()),0)</f>
        <v>0</v>
      </c>
      <c r="Z318" s="40">
        <f>+X318-Y318</f>
        <v>0</v>
      </c>
      <c r="AA318" s="38">
        <f>IFERROR(VLOOKUP("17_"&amp;A318,SyS!$B:$P,10,FALSE()),0)</f>
        <v>0</v>
      </c>
      <c r="AB318" s="39">
        <f>IFERROR(VLOOKUP("17_"&amp;A318,SyS!$B:$P,12,FALSE()),0)</f>
        <v>0</v>
      </c>
      <c r="AC318" s="40">
        <f>+AA318-AB318</f>
        <v>0</v>
      </c>
      <c r="AD318" s="39"/>
      <c r="AE318" s="39"/>
      <c r="AF318" s="39"/>
      <c r="AG318" s="39">
        <f>IFERROR(VLOOKUP("19_"&amp;A318,SyS!$B:$P,10,FALSE()),0)</f>
        <v>0</v>
      </c>
      <c r="AH318" s="39">
        <f>IFERROR(VLOOKUP("19_"&amp;A318,SyS!$B:$P,12,FALSE()),0)</f>
        <v>0</v>
      </c>
      <c r="AI318" s="39">
        <f>+AG318-AH318</f>
        <v>0</v>
      </c>
      <c r="AJ318" s="39"/>
      <c r="AK318" s="39"/>
      <c r="AL318" s="39"/>
      <c r="AM318" s="38">
        <f>IFERROR(VLOOKUP("23_"&amp;A318,SyS!$B:$P,10,FALSE()),0)</f>
        <v>0</v>
      </c>
      <c r="AN318" s="39">
        <f>IFERROR(VLOOKUP("23_"&amp;A318,SyS!$B:$P,12,FALSE()),0)</f>
        <v>0</v>
      </c>
      <c r="AO318" s="40">
        <f>+AM318-AN318</f>
        <v>0</v>
      </c>
      <c r="AP318" s="39"/>
      <c r="AQ318" s="39"/>
      <c r="AR318" s="39"/>
      <c r="AS318" s="39"/>
      <c r="AT318" s="39"/>
      <c r="AU318" s="39"/>
      <c r="AV318" s="39"/>
      <c r="AW318" s="39"/>
      <c r="AX318" s="39"/>
      <c r="AY318" s="39"/>
      <c r="AZ318" s="39"/>
      <c r="BA318" s="39"/>
      <c r="BB318" s="39"/>
      <c r="BC318" s="39"/>
      <c r="BD318" s="39"/>
      <c r="BE318" s="39"/>
      <c r="BF318" s="39"/>
      <c r="BG318" s="39"/>
      <c r="BH318" s="39"/>
      <c r="BI318" s="39"/>
      <c r="BJ318" s="39"/>
      <c r="BK318" s="39">
        <f>IFERROR(VLOOKUP("29_"&amp;A318,SyS!$B:$P,10,FALSE()),0)</f>
        <v>0</v>
      </c>
      <c r="BL318" s="39">
        <f>IFERROR(VLOOKUP("29_"&amp;A318,SyS!$B:$P,12,FALSE()),0)</f>
        <v>0</v>
      </c>
      <c r="BM318" s="39">
        <f>+BK318-BL318</f>
        <v>0</v>
      </c>
      <c r="BN318" s="38">
        <f>IFERROR(VLOOKUP("30_"&amp;A318,SyS!$B:$P,10,FALSE()),0)</f>
        <v>0</v>
      </c>
      <c r="BO318" s="39">
        <f>IFERROR(VLOOKUP("30_"&amp;A318,SyS!$B:$P,12,FALSE()),0)</f>
        <v>0</v>
      </c>
      <c r="BP318" s="40">
        <f>+BN318-BO318</f>
        <v>0</v>
      </c>
      <c r="BQ318" s="45">
        <f>+E318+H318+K318+Q318+T318+W318+Z318+AC318+AF318+AI318+AL318+AO318+AR318+AU318+AX318+BA318+BD318+BG318+BJ318+BM318+BP318</f>
        <v>0</v>
      </c>
    </row>
    <row r="319" ht="11.25" customHeight="1" spans="1:69" x14ac:dyDescent="0.25">
      <c r="A319" s="18">
        <v>427160000</v>
      </c>
      <c r="B319" s="18" t="s">
        <v>548</v>
      </c>
      <c r="C319" s="38">
        <f>IFERROR(VLOOKUP("1_"&amp;A319,SyS!$B:$P,10,FALSE()),0)</f>
        <v>0</v>
      </c>
      <c r="D319" s="39">
        <f>IFERROR(VLOOKUP("1_"&amp;A319,SyS!$B:$P,12,FALSE()),0)</f>
        <v>0</v>
      </c>
      <c r="E319" s="39">
        <f>+C319-D319</f>
        <v>0</v>
      </c>
      <c r="F319" s="38">
        <f>IFERROR(VLOOKUP("2_"&amp;A319,SyS!$B:$P,10,FALSE()),0)</f>
        <v>0</v>
      </c>
      <c r="G319" s="39">
        <f>IFERROR(VLOOKUP("2_"&amp;A319,SyS!$B:$P,12,FALSE()),0)</f>
        <v>0</v>
      </c>
      <c r="H319" s="40">
        <f>+F319-G319</f>
        <v>0</v>
      </c>
      <c r="I319" s="39"/>
      <c r="J319" s="39"/>
      <c r="K319" s="39"/>
      <c r="L319" s="39"/>
      <c r="M319" s="39"/>
      <c r="N319" s="39"/>
      <c r="O319" s="38">
        <f>IFERROR(VLOOKUP("14_"&amp;A319,SyS!$B:$P,10,FALSE()),0)</f>
        <v>0</v>
      </c>
      <c r="P319" s="39">
        <f>IFERROR(VLOOKUP("14_"&amp;A319,SyS!$B:$P,12,FALSE()),0)</f>
        <v>0</v>
      </c>
      <c r="Q319" s="40">
        <f>+O319-P319</f>
        <v>0</v>
      </c>
      <c r="R319" s="38">
        <f>IFERROR(VLOOKUP("15_"&amp;A319,SyS!$B:$P,10,FALSE()),0)</f>
        <v>0</v>
      </c>
      <c r="S319" s="39">
        <f>IFERROR(VLOOKUP("15_"&amp;A319,SyS!$B:$P,12,FALSE()),0)</f>
        <v>0</v>
      </c>
      <c r="T319" s="40">
        <f>+R319-S319</f>
        <v>0</v>
      </c>
      <c r="U319" s="38">
        <f>IFERROR(VLOOKUP("16_"&amp;A319,SyS!$B:$P,10,FALSE()),0)</f>
        <v>0</v>
      </c>
      <c r="V319" s="39">
        <f>IFERROR(VLOOKUP("16_"&amp;A319,SyS!$B:$P,12,FALSE()),0)</f>
        <v>0</v>
      </c>
      <c r="W319" s="40">
        <f>+U319-V319</f>
        <v>0</v>
      </c>
      <c r="X319" s="38">
        <f>IFERROR(VLOOKUP("13_"&amp;A319,SyS!$B:$P,10,FALSE()),0)</f>
        <v>0</v>
      </c>
      <c r="Y319" s="39">
        <f>IFERROR(VLOOKUP("13_"&amp;A319,SyS!$B:$P,12,FALSE()),0)</f>
        <v>0</v>
      </c>
      <c r="Z319" s="40">
        <f>+X319-Y319</f>
        <v>0</v>
      </c>
      <c r="AA319" s="38">
        <f>IFERROR(VLOOKUP("17_"&amp;A319,SyS!$B:$P,10,FALSE()),0)</f>
        <v>0</v>
      </c>
      <c r="AB319" s="39">
        <f>IFERROR(VLOOKUP("17_"&amp;A319,SyS!$B:$P,12,FALSE()),0)</f>
        <v>0</v>
      </c>
      <c r="AC319" s="40">
        <f>+AA319-AB319</f>
        <v>0</v>
      </c>
      <c r="AD319" s="39"/>
      <c r="AE319" s="39"/>
      <c r="AF319" s="39"/>
      <c r="AG319" s="39">
        <f>IFERROR(VLOOKUP("19_"&amp;A319,SyS!$B:$P,10,FALSE()),0)</f>
        <v>0</v>
      </c>
      <c r="AH319" s="39">
        <f>IFERROR(VLOOKUP("19_"&amp;A319,SyS!$B:$P,12,FALSE()),0)</f>
        <v>0</v>
      </c>
      <c r="AI319" s="39">
        <f>+AG319-AH319</f>
        <v>0</v>
      </c>
      <c r="AJ319" s="39"/>
      <c r="AK319" s="39"/>
      <c r="AL319" s="39"/>
      <c r="AM319" s="38">
        <f>IFERROR(VLOOKUP("23_"&amp;A319,SyS!$B:$P,10,FALSE()),0)</f>
        <v>0</v>
      </c>
      <c r="AN319" s="39">
        <f>IFERROR(VLOOKUP("23_"&amp;A319,SyS!$B:$P,12,FALSE()),0)</f>
        <v>0</v>
      </c>
      <c r="AO319" s="40">
        <f>+AM319-AN319</f>
        <v>0</v>
      </c>
      <c r="AP319" s="39"/>
      <c r="AQ319" s="39"/>
      <c r="AR319" s="39"/>
      <c r="AS319" s="39"/>
      <c r="AT319" s="39"/>
      <c r="AU319" s="39"/>
      <c r="AV319" s="39"/>
      <c r="AW319" s="39"/>
      <c r="AX319" s="39"/>
      <c r="AY319" s="39"/>
      <c r="AZ319" s="39"/>
      <c r="BA319" s="39"/>
      <c r="BB319" s="39"/>
      <c r="BC319" s="39"/>
      <c r="BD319" s="39"/>
      <c r="BE319" s="39"/>
      <c r="BF319" s="39"/>
      <c r="BG319" s="39"/>
      <c r="BH319" s="39"/>
      <c r="BI319" s="39"/>
      <c r="BJ319" s="39"/>
      <c r="BK319" s="39">
        <f>IFERROR(VLOOKUP("29_"&amp;A319,SyS!$B:$P,10,FALSE()),0)</f>
        <v>0</v>
      </c>
      <c r="BL319" s="39">
        <f>IFERROR(VLOOKUP("29_"&amp;A319,SyS!$B:$P,12,FALSE()),0)</f>
        <v>0</v>
      </c>
      <c r="BM319" s="39">
        <f>+BK319-BL319</f>
        <v>0</v>
      </c>
      <c r="BN319" s="38">
        <f>IFERROR(VLOOKUP("30_"&amp;A319,SyS!$B:$P,10,FALSE()),0)</f>
        <v>0</v>
      </c>
      <c r="BO319" s="39">
        <f>IFERROR(VLOOKUP("30_"&amp;A319,SyS!$B:$P,12,FALSE()),0)</f>
        <v>0</v>
      </c>
      <c r="BP319" s="40">
        <f>+BN319-BO319</f>
        <v>0</v>
      </c>
      <c r="BQ319" s="45">
        <f>+E319+H319+K319+Q319+T319+W319+Z319+AC319+AF319+AI319+AL319+AO319+AR319+AU319+AX319+BA319+BD319+BG319+BJ319+BM319+BP319</f>
        <v>0</v>
      </c>
    </row>
    <row r="320" ht="11.25" customHeight="1" spans="1:69" x14ac:dyDescent="0.25">
      <c r="A320" s="18">
        <v>427170000</v>
      </c>
      <c r="B320" s="18" t="s">
        <v>549</v>
      </c>
      <c r="C320" s="38">
        <f>IFERROR(VLOOKUP("1_"&amp;A320,SyS!$B:$P,10,FALSE()),0)</f>
        <v>0</v>
      </c>
      <c r="D320" s="39">
        <f>IFERROR(VLOOKUP("1_"&amp;A320,SyS!$B:$P,12,FALSE()),0)</f>
        <v>0</v>
      </c>
      <c r="E320" s="39">
        <f>+C320-D320</f>
        <v>0</v>
      </c>
      <c r="F320" s="38">
        <f>IFERROR(VLOOKUP("2_"&amp;A320,SyS!$B:$P,10,FALSE()),0)</f>
        <v>0</v>
      </c>
      <c r="G320" s="39">
        <f>IFERROR(VLOOKUP("2_"&amp;A320,SyS!$B:$P,12,FALSE()),0)</f>
        <v>0</v>
      </c>
      <c r="H320" s="40">
        <f>+F320-G320</f>
        <v>0</v>
      </c>
      <c r="I320" s="39"/>
      <c r="J320" s="39"/>
      <c r="K320" s="39"/>
      <c r="L320" s="39"/>
      <c r="M320" s="39"/>
      <c r="N320" s="39"/>
      <c r="O320" s="38">
        <f>IFERROR(VLOOKUP("14_"&amp;A320,SyS!$B:$P,10,FALSE()),0)</f>
        <v>0</v>
      </c>
      <c r="P320" s="39">
        <f>IFERROR(VLOOKUP("14_"&amp;A320,SyS!$B:$P,12,FALSE()),0)</f>
        <v>0</v>
      </c>
      <c r="Q320" s="40">
        <f>+O320-P320</f>
        <v>0</v>
      </c>
      <c r="R320" s="38">
        <f>IFERROR(VLOOKUP("15_"&amp;A320,SyS!$B:$P,10,FALSE()),0)</f>
        <v>0</v>
      </c>
      <c r="S320" s="39">
        <f>IFERROR(VLOOKUP("15_"&amp;A320,SyS!$B:$P,12,FALSE()),0)</f>
        <v>0</v>
      </c>
      <c r="T320" s="40">
        <f>+R320-S320</f>
        <v>0</v>
      </c>
      <c r="U320" s="38">
        <f>IFERROR(VLOOKUP("16_"&amp;A320,SyS!$B:$P,10,FALSE()),0)</f>
        <v>0</v>
      </c>
      <c r="V320" s="39">
        <f>IFERROR(VLOOKUP("16_"&amp;A320,SyS!$B:$P,12,FALSE()),0)</f>
        <v>0</v>
      </c>
      <c r="W320" s="40">
        <f>+U320-V320</f>
        <v>0</v>
      </c>
      <c r="X320" s="38">
        <f>IFERROR(VLOOKUP("13_"&amp;A320,SyS!$B:$P,10,FALSE()),0)</f>
        <v>0</v>
      </c>
      <c r="Y320" s="39">
        <f>IFERROR(VLOOKUP("13_"&amp;A320,SyS!$B:$P,12,FALSE()),0)</f>
        <v>0</v>
      </c>
      <c r="Z320" s="40">
        <f>+X320-Y320</f>
        <v>0</v>
      </c>
      <c r="AA320" s="38">
        <f>IFERROR(VLOOKUP("17_"&amp;A320,SyS!$B:$P,10,FALSE()),0)</f>
        <v>0</v>
      </c>
      <c r="AB320" s="39">
        <f>IFERROR(VLOOKUP("17_"&amp;A320,SyS!$B:$P,12,FALSE()),0)</f>
        <v>0</v>
      </c>
      <c r="AC320" s="40">
        <f>+AA320-AB320</f>
        <v>0</v>
      </c>
      <c r="AD320" s="39"/>
      <c r="AE320" s="39"/>
      <c r="AF320" s="39"/>
      <c r="AG320" s="39">
        <f>IFERROR(VLOOKUP("19_"&amp;A320,SyS!$B:$P,10,FALSE()),0)</f>
        <v>0</v>
      </c>
      <c r="AH320" s="39">
        <f>IFERROR(VLOOKUP("19_"&amp;A320,SyS!$B:$P,12,FALSE()),0)</f>
        <v>0</v>
      </c>
      <c r="AI320" s="39">
        <f>+AG320-AH320</f>
        <v>0</v>
      </c>
      <c r="AJ320" s="39"/>
      <c r="AK320" s="39"/>
      <c r="AL320" s="39"/>
      <c r="AM320" s="38">
        <f>IFERROR(VLOOKUP("23_"&amp;A320,SyS!$B:$P,10,FALSE()),0)</f>
        <v>0</v>
      </c>
      <c r="AN320" s="39">
        <f>IFERROR(VLOOKUP("23_"&amp;A320,SyS!$B:$P,12,FALSE()),0)</f>
        <v>0</v>
      </c>
      <c r="AO320" s="40">
        <f>+AM320-AN320</f>
        <v>0</v>
      </c>
      <c r="AP320" s="39"/>
      <c r="AQ320" s="39"/>
      <c r="AR320" s="39"/>
      <c r="AS320" s="39"/>
      <c r="AT320" s="39"/>
      <c r="AU320" s="39"/>
      <c r="AV320" s="39"/>
      <c r="AW320" s="39"/>
      <c r="AX320" s="39"/>
      <c r="AY320" s="39"/>
      <c r="AZ320" s="39"/>
      <c r="BA320" s="39"/>
      <c r="BB320" s="39"/>
      <c r="BC320" s="39"/>
      <c r="BD320" s="39"/>
      <c r="BE320" s="39"/>
      <c r="BF320" s="39"/>
      <c r="BG320" s="39"/>
      <c r="BH320" s="39"/>
      <c r="BI320" s="39"/>
      <c r="BJ320" s="39"/>
      <c r="BK320" s="39">
        <f>IFERROR(VLOOKUP("29_"&amp;A320,SyS!$B:$P,10,FALSE()),0)</f>
        <v>0</v>
      </c>
      <c r="BL320" s="39">
        <f>IFERROR(VLOOKUP("29_"&amp;A320,SyS!$B:$P,12,FALSE()),0)</f>
        <v>0</v>
      </c>
      <c r="BM320" s="39">
        <f>+BK320-BL320</f>
        <v>0</v>
      </c>
      <c r="BN320" s="38">
        <f>IFERROR(VLOOKUP("30_"&amp;A320,SyS!$B:$P,10,FALSE()),0)</f>
        <v>0</v>
      </c>
      <c r="BO320" s="39">
        <f>IFERROR(VLOOKUP("30_"&amp;A320,SyS!$B:$P,12,FALSE()),0)</f>
        <v>0</v>
      </c>
      <c r="BP320" s="40">
        <f>+BN320-BO320</f>
        <v>0</v>
      </c>
      <c r="BQ320" s="45">
        <f>+E320+H320+K320+Q320+T320+W320+Z320+AC320+AF320+AI320+AL320+AO320+AR320+AU320+AX320+BA320+BD320+BG320+BJ320+BM320+BP320</f>
        <v>0</v>
      </c>
    </row>
    <row r="321" ht="11.25" customHeight="1" spans="1:69" x14ac:dyDescent="0.25">
      <c r="A321" s="18">
        <v>427180000</v>
      </c>
      <c r="B321" s="18" t="s">
        <v>550</v>
      </c>
      <c r="C321" s="38">
        <f>IFERROR(VLOOKUP("1_"&amp;A321,SyS!$B:$P,10,FALSE()),0)</f>
        <v>0</v>
      </c>
      <c r="D321" s="39">
        <f>IFERROR(VLOOKUP("1_"&amp;A321,SyS!$B:$P,12,FALSE()),0)</f>
        <v>0</v>
      </c>
      <c r="E321" s="39">
        <f>+C321-D321</f>
        <v>0</v>
      </c>
      <c r="F321" s="38">
        <f>IFERROR(VLOOKUP("2_"&amp;A321,SyS!$B:$P,10,FALSE()),0)</f>
        <v>0</v>
      </c>
      <c r="G321" s="39">
        <f>IFERROR(VLOOKUP("2_"&amp;A321,SyS!$B:$P,12,FALSE()),0)</f>
        <v>0</v>
      </c>
      <c r="H321" s="40">
        <f>+F321-G321</f>
        <v>0</v>
      </c>
      <c r="I321" s="39"/>
      <c r="J321" s="39"/>
      <c r="K321" s="39"/>
      <c r="L321" s="39"/>
      <c r="M321" s="39"/>
      <c r="N321" s="39"/>
      <c r="O321" s="38">
        <f>IFERROR(VLOOKUP("14_"&amp;A321,SyS!$B:$P,10,FALSE()),0)</f>
        <v>0</v>
      </c>
      <c r="P321" s="39">
        <f>IFERROR(VLOOKUP("14_"&amp;A321,SyS!$B:$P,12,FALSE()),0)</f>
        <v>0</v>
      </c>
      <c r="Q321" s="40">
        <f>+O321-P321</f>
        <v>0</v>
      </c>
      <c r="R321" s="38">
        <f>IFERROR(VLOOKUP("15_"&amp;A321,SyS!$B:$P,10,FALSE()),0)</f>
        <v>0</v>
      </c>
      <c r="S321" s="39">
        <f>IFERROR(VLOOKUP("15_"&amp;A321,SyS!$B:$P,12,FALSE()),0)</f>
        <v>0</v>
      </c>
      <c r="T321" s="40">
        <f>+R321-S321</f>
        <v>0</v>
      </c>
      <c r="U321" s="38">
        <f>IFERROR(VLOOKUP("16_"&amp;A321,SyS!$B:$P,10,FALSE()),0)</f>
        <v>0</v>
      </c>
      <c r="V321" s="39">
        <f>IFERROR(VLOOKUP("16_"&amp;A321,SyS!$B:$P,12,FALSE()),0)</f>
        <v>0</v>
      </c>
      <c r="W321" s="40">
        <f>+U321-V321</f>
        <v>0</v>
      </c>
      <c r="X321" s="38">
        <f>IFERROR(VLOOKUP("13_"&amp;A321,SyS!$B:$P,10,FALSE()),0)</f>
        <v>0</v>
      </c>
      <c r="Y321" s="39">
        <f>IFERROR(VLOOKUP("13_"&amp;A321,SyS!$B:$P,12,FALSE()),0)</f>
        <v>0</v>
      </c>
      <c r="Z321" s="40">
        <f>+X321-Y321</f>
        <v>0</v>
      </c>
      <c r="AA321" s="38">
        <f>IFERROR(VLOOKUP("17_"&amp;A321,SyS!$B:$P,10,FALSE()),0)</f>
        <v>0</v>
      </c>
      <c r="AB321" s="39">
        <f>IFERROR(VLOOKUP("17_"&amp;A321,SyS!$B:$P,12,FALSE()),0)</f>
        <v>0</v>
      </c>
      <c r="AC321" s="40">
        <f>+AA321-AB321</f>
        <v>0</v>
      </c>
      <c r="AD321" s="39"/>
      <c r="AE321" s="39"/>
      <c r="AF321" s="39"/>
      <c r="AG321" s="39">
        <f>IFERROR(VLOOKUP("19_"&amp;A321,SyS!$B:$P,10,FALSE()),0)</f>
        <v>0</v>
      </c>
      <c r="AH321" s="39">
        <f>IFERROR(VLOOKUP("19_"&amp;A321,SyS!$B:$P,12,FALSE()),0)</f>
        <v>0</v>
      </c>
      <c r="AI321" s="39">
        <f>+AG321-AH321</f>
        <v>0</v>
      </c>
      <c r="AJ321" s="39"/>
      <c r="AK321" s="39"/>
      <c r="AL321" s="39"/>
      <c r="AM321" s="38">
        <f>IFERROR(VLOOKUP("23_"&amp;A321,SyS!$B:$P,10,FALSE()),0)</f>
        <v>0</v>
      </c>
      <c r="AN321" s="39">
        <f>IFERROR(VLOOKUP("23_"&amp;A321,SyS!$B:$P,12,FALSE()),0)</f>
        <v>0</v>
      </c>
      <c r="AO321" s="40">
        <f>+AM321-AN321</f>
        <v>0</v>
      </c>
      <c r="AP321" s="39"/>
      <c r="AQ321" s="39"/>
      <c r="AR321" s="39"/>
      <c r="AS321" s="39"/>
      <c r="AT321" s="39"/>
      <c r="AU321" s="39"/>
      <c r="AV321" s="39"/>
      <c r="AW321" s="39"/>
      <c r="AX321" s="39"/>
      <c r="AY321" s="39"/>
      <c r="AZ321" s="39"/>
      <c r="BA321" s="39"/>
      <c r="BB321" s="39"/>
      <c r="BC321" s="39"/>
      <c r="BD321" s="39"/>
      <c r="BE321" s="39"/>
      <c r="BF321" s="39"/>
      <c r="BG321" s="39"/>
      <c r="BH321" s="39"/>
      <c r="BI321" s="39"/>
      <c r="BJ321" s="39"/>
      <c r="BK321" s="39">
        <f>IFERROR(VLOOKUP("29_"&amp;A321,SyS!$B:$P,10,FALSE()),0)</f>
        <v>0</v>
      </c>
      <c r="BL321" s="39">
        <f>IFERROR(VLOOKUP("29_"&amp;A321,SyS!$B:$P,12,FALSE()),0)</f>
        <v>0</v>
      </c>
      <c r="BM321" s="39">
        <f>+BK321-BL321</f>
        <v>0</v>
      </c>
      <c r="BN321" s="38">
        <f>IFERROR(VLOOKUP("30_"&amp;A321,SyS!$B:$P,10,FALSE()),0)</f>
        <v>0</v>
      </c>
      <c r="BO321" s="39">
        <f>IFERROR(VLOOKUP("30_"&amp;A321,SyS!$B:$P,12,FALSE()),0)</f>
        <v>0</v>
      </c>
      <c r="BP321" s="40">
        <f>+BN321-BO321</f>
        <v>0</v>
      </c>
      <c r="BQ321" s="45">
        <f>+E321+H321+K321+Q321+T321+W321+Z321+AC321+AF321+AI321+AL321+AO321+AR321+AU321+AX321+BA321+BD321+BG321+BJ321+BM321+BP321</f>
        <v>0</v>
      </c>
    </row>
    <row r="322" ht="11.25" customHeight="1" spans="1:69" x14ac:dyDescent="0.25">
      <c r="A322" s="18">
        <v>427210000</v>
      </c>
      <c r="B322" s="18" t="s">
        <v>551</v>
      </c>
      <c r="C322" s="38">
        <f>IFERROR(VLOOKUP("1_"&amp;A322,SyS!$B:$P,10,FALSE()),0)</f>
        <v>0</v>
      </c>
      <c r="D322" s="39">
        <f>IFERROR(VLOOKUP("1_"&amp;A322,SyS!$B:$P,12,FALSE()),0)</f>
        <v>0</v>
      </c>
      <c r="E322" s="39">
        <f>+C322-D322</f>
        <v>0</v>
      </c>
      <c r="F322" s="38">
        <f>IFERROR(VLOOKUP("2_"&amp;A322,SyS!$B:$P,10,FALSE()),0)</f>
        <v>0</v>
      </c>
      <c r="G322" s="39">
        <f>IFERROR(VLOOKUP("2_"&amp;A322,SyS!$B:$P,12,FALSE()),0)</f>
        <v>0</v>
      </c>
      <c r="H322" s="40">
        <f>+F322-G322</f>
        <v>0</v>
      </c>
      <c r="I322" s="39"/>
      <c r="J322" s="39"/>
      <c r="K322" s="39"/>
      <c r="L322" s="39"/>
      <c r="M322" s="39"/>
      <c r="N322" s="39"/>
      <c r="O322" s="38">
        <f>IFERROR(VLOOKUP("14_"&amp;A322,SyS!$B:$P,10,FALSE()),0)</f>
        <v>0</v>
      </c>
      <c r="P322" s="39">
        <f>IFERROR(VLOOKUP("14_"&amp;A322,SyS!$B:$P,12,FALSE()),0)</f>
        <v>0</v>
      </c>
      <c r="Q322" s="40">
        <f>+O322-P322</f>
        <v>0</v>
      </c>
      <c r="R322" s="38">
        <f>IFERROR(VLOOKUP("15_"&amp;A322,SyS!$B:$P,10,FALSE()),0)</f>
        <v>0</v>
      </c>
      <c r="S322" s="39">
        <f>IFERROR(VLOOKUP("15_"&amp;A322,SyS!$B:$P,12,FALSE()),0)</f>
        <v>0</v>
      </c>
      <c r="T322" s="40">
        <f>+R322-S322</f>
        <v>0</v>
      </c>
      <c r="U322" s="38">
        <f>IFERROR(VLOOKUP("16_"&amp;A322,SyS!$B:$P,10,FALSE()),0)</f>
        <v>0</v>
      </c>
      <c r="V322" s="39">
        <f>IFERROR(VLOOKUP("16_"&amp;A322,SyS!$B:$P,12,FALSE()),0)</f>
        <v>0</v>
      </c>
      <c r="W322" s="40">
        <f>+U322-V322</f>
        <v>0</v>
      </c>
      <c r="X322" s="38">
        <f>IFERROR(VLOOKUP("13_"&amp;A322,SyS!$B:$P,10,FALSE()),0)</f>
        <v>0</v>
      </c>
      <c r="Y322" s="39">
        <f>IFERROR(VLOOKUP("13_"&amp;A322,SyS!$B:$P,12,FALSE()),0)</f>
        <v>0</v>
      </c>
      <c r="Z322" s="40">
        <f>+X322-Y322</f>
        <v>0</v>
      </c>
      <c r="AA322" s="38">
        <f>IFERROR(VLOOKUP("17_"&amp;A322,SyS!$B:$P,10,FALSE()),0)</f>
        <v>0</v>
      </c>
      <c r="AB322" s="39">
        <f>IFERROR(VLOOKUP("17_"&amp;A322,SyS!$B:$P,12,FALSE()),0)</f>
        <v>0</v>
      </c>
      <c r="AC322" s="40">
        <f>+AA322-AB322</f>
        <v>0</v>
      </c>
      <c r="AD322" s="39"/>
      <c r="AE322" s="39"/>
      <c r="AF322" s="39"/>
      <c r="AG322" s="39">
        <f>IFERROR(VLOOKUP("19_"&amp;A322,SyS!$B:$P,10,FALSE()),0)</f>
        <v>0</v>
      </c>
      <c r="AH322" s="39">
        <f>IFERROR(VLOOKUP("19_"&amp;A322,SyS!$B:$P,12,FALSE()),0)</f>
        <v>0</v>
      </c>
      <c r="AI322" s="39">
        <f>+AG322-AH322</f>
        <v>0</v>
      </c>
      <c r="AJ322" s="39"/>
      <c r="AK322" s="39"/>
      <c r="AL322" s="39"/>
      <c r="AM322" s="38">
        <f>IFERROR(VLOOKUP("23_"&amp;A322,SyS!$B:$P,10,FALSE()),0)</f>
        <v>0</v>
      </c>
      <c r="AN322" s="39">
        <f>IFERROR(VLOOKUP("23_"&amp;A322,SyS!$B:$P,12,FALSE()),0)</f>
        <v>0</v>
      </c>
      <c r="AO322" s="40">
        <f>+AM322-AN322</f>
        <v>0</v>
      </c>
      <c r="AP322" s="39"/>
      <c r="AQ322" s="39"/>
      <c r="AR322" s="39"/>
      <c r="AS322" s="39"/>
      <c r="AT322" s="39"/>
      <c r="AU322" s="39"/>
      <c r="AV322" s="39"/>
      <c r="AW322" s="39"/>
      <c r="AX322" s="39"/>
      <c r="AY322" s="39"/>
      <c r="AZ322" s="39"/>
      <c r="BA322" s="39"/>
      <c r="BB322" s="39"/>
      <c r="BC322" s="39"/>
      <c r="BD322" s="39"/>
      <c r="BE322" s="39"/>
      <c r="BF322" s="39"/>
      <c r="BG322" s="39"/>
      <c r="BH322" s="39"/>
      <c r="BI322" s="39"/>
      <c r="BJ322" s="39"/>
      <c r="BK322" s="39">
        <f>IFERROR(VLOOKUP("29_"&amp;A322,SyS!$B:$P,10,FALSE()),0)</f>
        <v>0</v>
      </c>
      <c r="BL322" s="39">
        <f>IFERROR(VLOOKUP("29_"&amp;A322,SyS!$B:$P,12,FALSE()),0)</f>
        <v>0</v>
      </c>
      <c r="BM322" s="39">
        <f>+BK322-BL322</f>
        <v>0</v>
      </c>
      <c r="BN322" s="38">
        <f>IFERROR(VLOOKUP("30_"&amp;A322,SyS!$B:$P,10,FALSE()),0)</f>
        <v>0</v>
      </c>
      <c r="BO322" s="39">
        <f>IFERROR(VLOOKUP("30_"&amp;A322,SyS!$B:$P,12,FALSE()),0)</f>
        <v>0</v>
      </c>
      <c r="BP322" s="40">
        <f>+BN322-BO322</f>
        <v>0</v>
      </c>
      <c r="BQ322" s="45">
        <f>+E322+H322+K322+Q322+T322+W322+Z322+AC322+AF322+AI322+AL322+AO322+AR322+AU322+AX322+BA322+BD322+BG322+BJ322+BM322+BP322</f>
        <v>0</v>
      </c>
    </row>
    <row r="323" ht="11.25" customHeight="1" spans="1:69" x14ac:dyDescent="0.25">
      <c r="A323" s="18">
        <v>427220000</v>
      </c>
      <c r="B323" s="18" t="s">
        <v>552</v>
      </c>
      <c r="C323" s="38">
        <f>IFERROR(VLOOKUP("1_"&amp;A323,SyS!$B:$P,10,FALSE()),0)</f>
        <v>0</v>
      </c>
      <c r="D323" s="39">
        <f>IFERROR(VLOOKUP("1_"&amp;A323,SyS!$B:$P,12,FALSE()),0)</f>
        <v>0</v>
      </c>
      <c r="E323" s="39">
        <f>+C323-D323</f>
        <v>0</v>
      </c>
      <c r="F323" s="38">
        <f>IFERROR(VLOOKUP("2_"&amp;A323,SyS!$B:$P,10,FALSE()),0)</f>
        <v>0</v>
      </c>
      <c r="G323" s="39">
        <f>IFERROR(VLOOKUP("2_"&amp;A323,SyS!$B:$P,12,FALSE()),0)</f>
        <v>0</v>
      </c>
      <c r="H323" s="40">
        <f>+F323-G323</f>
        <v>0</v>
      </c>
      <c r="I323" s="39"/>
      <c r="J323" s="39"/>
      <c r="K323" s="39"/>
      <c r="L323" s="39"/>
      <c r="M323" s="39"/>
      <c r="N323" s="39"/>
      <c r="O323" s="38">
        <f>IFERROR(VLOOKUP("14_"&amp;A323,SyS!$B:$P,10,FALSE()),0)</f>
        <v>0</v>
      </c>
      <c r="P323" s="39">
        <f>IFERROR(VLOOKUP("14_"&amp;A323,SyS!$B:$P,12,FALSE()),0)</f>
        <v>0</v>
      </c>
      <c r="Q323" s="40">
        <f>+O323-P323</f>
        <v>0</v>
      </c>
      <c r="R323" s="38">
        <f>IFERROR(VLOOKUP("15_"&amp;A323,SyS!$B:$P,10,FALSE()),0)</f>
        <v>0</v>
      </c>
      <c r="S323" s="39">
        <f>IFERROR(VLOOKUP("15_"&amp;A323,SyS!$B:$P,12,FALSE()),0)</f>
        <v>0</v>
      </c>
      <c r="T323" s="40">
        <f>+R323-S323</f>
        <v>0</v>
      </c>
      <c r="U323" s="38">
        <f>IFERROR(VLOOKUP("16_"&amp;A323,SyS!$B:$P,10,FALSE()),0)</f>
        <v>0</v>
      </c>
      <c r="V323" s="39">
        <f>IFERROR(VLOOKUP("16_"&amp;A323,SyS!$B:$P,12,FALSE()),0)</f>
        <v>0</v>
      </c>
      <c r="W323" s="40">
        <f>+U323-V323</f>
        <v>0</v>
      </c>
      <c r="X323" s="38">
        <f>IFERROR(VLOOKUP("13_"&amp;A323,SyS!$B:$P,10,FALSE()),0)</f>
        <v>0</v>
      </c>
      <c r="Y323" s="39">
        <f>IFERROR(VLOOKUP("13_"&amp;A323,SyS!$B:$P,12,FALSE()),0)</f>
        <v>0</v>
      </c>
      <c r="Z323" s="40">
        <f>+X323-Y323</f>
        <v>0</v>
      </c>
      <c r="AA323" s="38">
        <f>IFERROR(VLOOKUP("17_"&amp;A323,SyS!$B:$P,10,FALSE()),0)</f>
        <v>0</v>
      </c>
      <c r="AB323" s="39">
        <f>IFERROR(VLOOKUP("17_"&amp;A323,SyS!$B:$P,12,FALSE()),0)</f>
        <v>0</v>
      </c>
      <c r="AC323" s="40">
        <f>+AA323-AB323</f>
        <v>0</v>
      </c>
      <c r="AD323" s="39"/>
      <c r="AE323" s="39"/>
      <c r="AF323" s="39"/>
      <c r="AG323" s="39">
        <f>IFERROR(VLOOKUP("19_"&amp;A323,SyS!$B:$P,10,FALSE()),0)</f>
        <v>0</v>
      </c>
      <c r="AH323" s="39">
        <f>IFERROR(VLOOKUP("19_"&amp;A323,SyS!$B:$P,12,FALSE()),0)</f>
        <v>0</v>
      </c>
      <c r="AI323" s="39">
        <f>+AG323-AH323</f>
        <v>0</v>
      </c>
      <c r="AJ323" s="39"/>
      <c r="AK323" s="39"/>
      <c r="AL323" s="39"/>
      <c r="AM323" s="38">
        <f>IFERROR(VLOOKUP("23_"&amp;A323,SyS!$B:$P,10,FALSE()),0)</f>
        <v>0</v>
      </c>
      <c r="AN323" s="39">
        <f>IFERROR(VLOOKUP("23_"&amp;A323,SyS!$B:$P,12,FALSE()),0)</f>
        <v>0</v>
      </c>
      <c r="AO323" s="40">
        <f>+AM323-AN323</f>
        <v>0</v>
      </c>
      <c r="AP323" s="39"/>
      <c r="AQ323" s="39"/>
      <c r="AR323" s="39"/>
      <c r="AS323" s="39"/>
      <c r="AT323" s="39"/>
      <c r="AU323" s="39"/>
      <c r="AV323" s="39"/>
      <c r="AW323" s="39"/>
      <c r="AX323" s="39"/>
      <c r="AY323" s="39"/>
      <c r="AZ323" s="39"/>
      <c r="BA323" s="39"/>
      <c r="BB323" s="39"/>
      <c r="BC323" s="39"/>
      <c r="BD323" s="39"/>
      <c r="BE323" s="39"/>
      <c r="BF323" s="39"/>
      <c r="BG323" s="39"/>
      <c r="BH323" s="39"/>
      <c r="BI323" s="39"/>
      <c r="BJ323" s="39"/>
      <c r="BK323" s="39">
        <f>IFERROR(VLOOKUP("29_"&amp;A323,SyS!$B:$P,10,FALSE()),0)</f>
        <v>0</v>
      </c>
      <c r="BL323" s="39">
        <f>IFERROR(VLOOKUP("29_"&amp;A323,SyS!$B:$P,12,FALSE()),0)</f>
        <v>0</v>
      </c>
      <c r="BM323" s="39">
        <f>+BK323-BL323</f>
        <v>0</v>
      </c>
      <c r="BN323" s="38">
        <f>IFERROR(VLOOKUP("30_"&amp;A323,SyS!$B:$P,10,FALSE()),0)</f>
        <v>0</v>
      </c>
      <c r="BO323" s="39">
        <f>IFERROR(VLOOKUP("30_"&amp;A323,SyS!$B:$P,12,FALSE()),0)</f>
        <v>0</v>
      </c>
      <c r="BP323" s="40">
        <f>+BN323-BO323</f>
        <v>0</v>
      </c>
      <c r="BQ323" s="45">
        <f>+E323+H323+K323+Q323+T323+W323+Z323+AC323+AF323+AI323+AL323+AO323+AR323+AU323+AX323+BA323+BD323+BG323+BJ323+BM323+BP323</f>
        <v>0</v>
      </c>
    </row>
    <row r="324" ht="11.25" customHeight="1" spans="1:69" x14ac:dyDescent="0.25">
      <c r="A324" s="18">
        <v>427230000</v>
      </c>
      <c r="B324" s="18" t="s">
        <v>553</v>
      </c>
      <c r="C324" s="38">
        <f>IFERROR(VLOOKUP("1_"&amp;A324,SyS!$B:$P,10,FALSE()),0)</f>
        <v>0</v>
      </c>
      <c r="D324" s="39">
        <f>IFERROR(VLOOKUP("1_"&amp;A324,SyS!$B:$P,12,FALSE()),0)</f>
        <v>0</v>
      </c>
      <c r="E324" s="39">
        <f>+C324-D324</f>
        <v>0</v>
      </c>
      <c r="F324" s="38">
        <f>IFERROR(VLOOKUP("2_"&amp;A324,SyS!$B:$P,10,FALSE()),0)</f>
        <v>0</v>
      </c>
      <c r="G324" s="39">
        <f>IFERROR(VLOOKUP("2_"&amp;A324,SyS!$B:$P,12,FALSE()),0)</f>
        <v>0</v>
      </c>
      <c r="H324" s="40">
        <f>+F324-G324</f>
        <v>0</v>
      </c>
      <c r="I324" s="39"/>
      <c r="J324" s="39"/>
      <c r="K324" s="39"/>
      <c r="L324" s="39"/>
      <c r="M324" s="39"/>
      <c r="N324" s="39"/>
      <c r="O324" s="38">
        <f>IFERROR(VLOOKUP("14_"&amp;A324,SyS!$B:$P,10,FALSE()),0)</f>
        <v>0</v>
      </c>
      <c r="P324" s="39">
        <f>IFERROR(VLOOKUP("14_"&amp;A324,SyS!$B:$P,12,FALSE()),0)</f>
        <v>0</v>
      </c>
      <c r="Q324" s="40">
        <f>+O324-P324</f>
        <v>0</v>
      </c>
      <c r="R324" s="38">
        <f>IFERROR(VLOOKUP("15_"&amp;A324,SyS!$B:$P,10,FALSE()),0)</f>
        <v>0</v>
      </c>
      <c r="S324" s="39">
        <f>IFERROR(VLOOKUP("15_"&amp;A324,SyS!$B:$P,12,FALSE()),0)</f>
        <v>0</v>
      </c>
      <c r="T324" s="40">
        <f>+R324-S324</f>
        <v>0</v>
      </c>
      <c r="U324" s="38">
        <f>IFERROR(VLOOKUP("16_"&amp;A324,SyS!$B:$P,10,FALSE()),0)</f>
        <v>0</v>
      </c>
      <c r="V324" s="39">
        <f>IFERROR(VLOOKUP("16_"&amp;A324,SyS!$B:$P,12,FALSE()),0)</f>
        <v>0</v>
      </c>
      <c r="W324" s="40">
        <f>+U324-V324</f>
        <v>0</v>
      </c>
      <c r="X324" s="38">
        <f>IFERROR(VLOOKUP("13_"&amp;A324,SyS!$B:$P,10,FALSE()),0)</f>
        <v>0</v>
      </c>
      <c r="Y324" s="39">
        <f>IFERROR(VLOOKUP("13_"&amp;A324,SyS!$B:$P,12,FALSE()),0)</f>
        <v>0</v>
      </c>
      <c r="Z324" s="40">
        <f>+X324-Y324</f>
        <v>0</v>
      </c>
      <c r="AA324" s="38">
        <f>IFERROR(VLOOKUP("17_"&amp;A324,SyS!$B:$P,10,FALSE()),0)</f>
        <v>0</v>
      </c>
      <c r="AB324" s="39">
        <f>IFERROR(VLOOKUP("17_"&amp;A324,SyS!$B:$P,12,FALSE()),0)</f>
        <v>0</v>
      </c>
      <c r="AC324" s="40">
        <f>+AA324-AB324</f>
        <v>0</v>
      </c>
      <c r="AD324" s="39"/>
      <c r="AE324" s="39"/>
      <c r="AF324" s="39"/>
      <c r="AG324" s="39">
        <f>IFERROR(VLOOKUP("19_"&amp;A324,SyS!$B:$P,10,FALSE()),0)</f>
        <v>0</v>
      </c>
      <c r="AH324" s="39">
        <f>IFERROR(VLOOKUP("19_"&amp;A324,SyS!$B:$P,12,FALSE()),0)</f>
        <v>0</v>
      </c>
      <c r="AI324" s="39">
        <f>+AG324-AH324</f>
        <v>0</v>
      </c>
      <c r="AJ324" s="39"/>
      <c r="AK324" s="39"/>
      <c r="AL324" s="39"/>
      <c r="AM324" s="38">
        <f>IFERROR(VLOOKUP("23_"&amp;A324,SyS!$B:$P,10,FALSE()),0)</f>
        <v>0</v>
      </c>
      <c r="AN324" s="39">
        <f>IFERROR(VLOOKUP("23_"&amp;A324,SyS!$B:$P,12,FALSE()),0)</f>
        <v>0</v>
      </c>
      <c r="AO324" s="40">
        <f>+AM324-AN324</f>
        <v>0</v>
      </c>
      <c r="AP324" s="39"/>
      <c r="AQ324" s="39"/>
      <c r="AR324" s="39"/>
      <c r="AS324" s="39"/>
      <c r="AT324" s="39"/>
      <c r="AU324" s="39"/>
      <c r="AV324" s="39"/>
      <c r="AW324" s="39"/>
      <c r="AX324" s="39"/>
      <c r="AY324" s="39"/>
      <c r="AZ324" s="39"/>
      <c r="BA324" s="39"/>
      <c r="BB324" s="39"/>
      <c r="BC324" s="39"/>
      <c r="BD324" s="39"/>
      <c r="BE324" s="39"/>
      <c r="BF324" s="39"/>
      <c r="BG324" s="39"/>
      <c r="BH324" s="39"/>
      <c r="BI324" s="39"/>
      <c r="BJ324" s="39"/>
      <c r="BK324" s="39">
        <f>IFERROR(VLOOKUP("29_"&amp;A324,SyS!$B:$P,10,FALSE()),0)</f>
        <v>0</v>
      </c>
      <c r="BL324" s="39">
        <f>IFERROR(VLOOKUP("29_"&amp;A324,SyS!$B:$P,12,FALSE()),0)</f>
        <v>0</v>
      </c>
      <c r="BM324" s="39">
        <f>+BK324-BL324</f>
        <v>0</v>
      </c>
      <c r="BN324" s="38">
        <f>IFERROR(VLOOKUP("30_"&amp;A324,SyS!$B:$P,10,FALSE()),0)</f>
        <v>0</v>
      </c>
      <c r="BO324" s="39">
        <f>IFERROR(VLOOKUP("30_"&amp;A324,SyS!$B:$P,12,FALSE()),0)</f>
        <v>0</v>
      </c>
      <c r="BP324" s="40">
        <f>+BN324-BO324</f>
        <v>0</v>
      </c>
      <c r="BQ324" s="45">
        <f>+E324+H324+K324+Q324+T324+W324+Z324+AC324+AF324+AI324+AL324+AO324+AR324+AU324+AX324+BA324+BD324+BG324+BJ324+BM324+BP324</f>
        <v>0</v>
      </c>
    </row>
    <row r="325" ht="11.25" customHeight="1" spans="1:69" x14ac:dyDescent="0.25">
      <c r="A325" s="18">
        <v>427240000</v>
      </c>
      <c r="B325" s="18" t="s">
        <v>554</v>
      </c>
      <c r="C325" s="38">
        <f>IFERROR(VLOOKUP("1_"&amp;A325,SyS!$B:$P,10,FALSE()),0)</f>
        <v>0</v>
      </c>
      <c r="D325" s="39">
        <f>IFERROR(VLOOKUP("1_"&amp;A325,SyS!$B:$P,12,FALSE()),0)</f>
        <v>0</v>
      </c>
      <c r="E325" s="39">
        <f>+C325-D325</f>
        <v>0</v>
      </c>
      <c r="F325" s="38">
        <f>IFERROR(VLOOKUP("2_"&amp;A325,SyS!$B:$P,10,FALSE()),0)</f>
        <v>0</v>
      </c>
      <c r="G325" s="39">
        <f>IFERROR(VLOOKUP("2_"&amp;A325,SyS!$B:$P,12,FALSE()),0)</f>
        <v>0</v>
      </c>
      <c r="H325" s="40">
        <f>+F325-G325</f>
        <v>0</v>
      </c>
      <c r="I325" s="39"/>
      <c r="J325" s="39"/>
      <c r="K325" s="39"/>
      <c r="L325" s="39"/>
      <c r="M325" s="39"/>
      <c r="N325" s="39"/>
      <c r="O325" s="38">
        <f>IFERROR(VLOOKUP("14_"&amp;A325,SyS!$B:$P,10,FALSE()),0)</f>
        <v>0</v>
      </c>
      <c r="P325" s="39">
        <f>IFERROR(VLOOKUP("14_"&amp;A325,SyS!$B:$P,12,FALSE()),0)</f>
        <v>0</v>
      </c>
      <c r="Q325" s="40">
        <f>+O325-P325</f>
        <v>0</v>
      </c>
      <c r="R325" s="38">
        <f>IFERROR(VLOOKUP("15_"&amp;A325,SyS!$B:$P,10,FALSE()),0)</f>
        <v>0</v>
      </c>
      <c r="S325" s="39">
        <f>IFERROR(VLOOKUP("15_"&amp;A325,SyS!$B:$P,12,FALSE()),0)</f>
        <v>0</v>
      </c>
      <c r="T325" s="40">
        <f>+R325-S325</f>
        <v>0</v>
      </c>
      <c r="U325" s="38">
        <f>IFERROR(VLOOKUP("16_"&amp;A325,SyS!$B:$P,10,FALSE()),0)</f>
        <v>0</v>
      </c>
      <c r="V325" s="39">
        <f>IFERROR(VLOOKUP("16_"&amp;A325,SyS!$B:$P,12,FALSE()),0)</f>
        <v>0</v>
      </c>
      <c r="W325" s="40">
        <f>+U325-V325</f>
        <v>0</v>
      </c>
      <c r="X325" s="38">
        <f>IFERROR(VLOOKUP("13_"&amp;A325,SyS!$B:$P,10,FALSE()),0)</f>
        <v>0</v>
      </c>
      <c r="Y325" s="39">
        <f>IFERROR(VLOOKUP("13_"&amp;A325,SyS!$B:$P,12,FALSE()),0)</f>
        <v>0</v>
      </c>
      <c r="Z325" s="40">
        <f>+X325-Y325</f>
        <v>0</v>
      </c>
      <c r="AA325" s="38">
        <f>IFERROR(VLOOKUP("17_"&amp;A325,SyS!$B:$P,10,FALSE()),0)</f>
        <v>0</v>
      </c>
      <c r="AB325" s="39">
        <f>IFERROR(VLOOKUP("17_"&amp;A325,SyS!$B:$P,12,FALSE()),0)</f>
        <v>0</v>
      </c>
      <c r="AC325" s="40">
        <f>+AA325-AB325</f>
        <v>0</v>
      </c>
      <c r="AD325" s="39"/>
      <c r="AE325" s="39"/>
      <c r="AF325" s="39"/>
      <c r="AG325" s="39">
        <f>IFERROR(VLOOKUP("19_"&amp;A325,SyS!$B:$P,10,FALSE()),0)</f>
        <v>0</v>
      </c>
      <c r="AH325" s="39">
        <f>IFERROR(VLOOKUP("19_"&amp;A325,SyS!$B:$P,12,FALSE()),0)</f>
        <v>0</v>
      </c>
      <c r="AI325" s="39">
        <f>+AG325-AH325</f>
        <v>0</v>
      </c>
      <c r="AJ325" s="39"/>
      <c r="AK325" s="39"/>
      <c r="AL325" s="39"/>
      <c r="AM325" s="38">
        <f>IFERROR(VLOOKUP("23_"&amp;A325,SyS!$B:$P,10,FALSE()),0)</f>
        <v>0</v>
      </c>
      <c r="AN325" s="39">
        <f>IFERROR(VLOOKUP("23_"&amp;A325,SyS!$B:$P,12,FALSE()),0)</f>
        <v>0</v>
      </c>
      <c r="AO325" s="40">
        <f>+AM325-AN325</f>
        <v>0</v>
      </c>
      <c r="AP325" s="39"/>
      <c r="AQ325" s="39"/>
      <c r="AR325" s="39"/>
      <c r="AS325" s="39"/>
      <c r="AT325" s="39"/>
      <c r="AU325" s="39"/>
      <c r="AV325" s="39"/>
      <c r="AW325" s="39"/>
      <c r="AX325" s="39"/>
      <c r="AY325" s="39"/>
      <c r="AZ325" s="39"/>
      <c r="BA325" s="39"/>
      <c r="BB325" s="39"/>
      <c r="BC325" s="39"/>
      <c r="BD325" s="39"/>
      <c r="BE325" s="39"/>
      <c r="BF325" s="39"/>
      <c r="BG325" s="39"/>
      <c r="BH325" s="39"/>
      <c r="BI325" s="39"/>
      <c r="BJ325" s="39"/>
      <c r="BK325" s="39">
        <f>IFERROR(VLOOKUP("29_"&amp;A325,SyS!$B:$P,10,FALSE()),0)</f>
        <v>0</v>
      </c>
      <c r="BL325" s="39">
        <f>IFERROR(VLOOKUP("29_"&amp;A325,SyS!$B:$P,12,FALSE()),0)</f>
        <v>0</v>
      </c>
      <c r="BM325" s="39">
        <f>+BK325-BL325</f>
        <v>0</v>
      </c>
      <c r="BN325" s="38">
        <f>IFERROR(VLOOKUP("30_"&amp;A325,SyS!$B:$P,10,FALSE()),0)</f>
        <v>0</v>
      </c>
      <c r="BO325" s="39">
        <f>IFERROR(VLOOKUP("30_"&amp;A325,SyS!$B:$P,12,FALSE()),0)</f>
        <v>0</v>
      </c>
      <c r="BP325" s="40">
        <f>+BN325-BO325</f>
        <v>0</v>
      </c>
      <c r="BQ325" s="45">
        <f>+E325+H325+K325+Q325+T325+W325+Z325+AC325+AF325+AI325+AL325+AO325+AR325+AU325+AX325+BA325+BD325+BG325+BJ325+BM325+BP325</f>
        <v>0</v>
      </c>
    </row>
    <row r="326" ht="11.25" customHeight="1" spans="1:69" x14ac:dyDescent="0.25">
      <c r="A326" s="18">
        <v>427250000</v>
      </c>
      <c r="B326" s="18" t="s">
        <v>555</v>
      </c>
      <c r="C326" s="38">
        <f>IFERROR(VLOOKUP("1_"&amp;A326,SyS!$B:$P,10,FALSE()),0)</f>
        <v>0</v>
      </c>
      <c r="D326" s="39">
        <f>IFERROR(VLOOKUP("1_"&amp;A326,SyS!$B:$P,12,FALSE()),0)</f>
        <v>0</v>
      </c>
      <c r="E326" s="39">
        <f>+C326-D326</f>
        <v>0</v>
      </c>
      <c r="F326" s="38">
        <f>IFERROR(VLOOKUP("2_"&amp;A326,SyS!$B:$P,10,FALSE()),0)</f>
        <v>0</v>
      </c>
      <c r="G326" s="39">
        <f>IFERROR(VLOOKUP("2_"&amp;A326,SyS!$B:$P,12,FALSE()),0)</f>
        <v>0</v>
      </c>
      <c r="H326" s="40">
        <f>+F326-G326</f>
        <v>0</v>
      </c>
      <c r="I326" s="39"/>
      <c r="J326" s="39"/>
      <c r="K326" s="39"/>
      <c r="L326" s="39"/>
      <c r="M326" s="39"/>
      <c r="N326" s="39"/>
      <c r="O326" s="38">
        <f>IFERROR(VLOOKUP("14_"&amp;A326,SyS!$B:$P,10,FALSE()),0)</f>
        <v>0</v>
      </c>
      <c r="P326" s="39">
        <f>IFERROR(VLOOKUP("14_"&amp;A326,SyS!$B:$P,12,FALSE()),0)</f>
        <v>0</v>
      </c>
      <c r="Q326" s="40">
        <f>+O326-P326</f>
        <v>0</v>
      </c>
      <c r="R326" s="38">
        <f>IFERROR(VLOOKUP("15_"&amp;A326,SyS!$B:$P,10,FALSE()),0)</f>
        <v>0</v>
      </c>
      <c r="S326" s="39">
        <f>IFERROR(VLOOKUP("15_"&amp;A326,SyS!$B:$P,12,FALSE()),0)</f>
        <v>0</v>
      </c>
      <c r="T326" s="40">
        <f>+R326-S326</f>
        <v>0</v>
      </c>
      <c r="U326" s="38">
        <f>IFERROR(VLOOKUP("16_"&amp;A326,SyS!$B:$P,10,FALSE()),0)</f>
        <v>0</v>
      </c>
      <c r="V326" s="39">
        <f>IFERROR(VLOOKUP("16_"&amp;A326,SyS!$B:$P,12,FALSE()),0)</f>
        <v>0</v>
      </c>
      <c r="W326" s="40">
        <f>+U326-V326</f>
        <v>0</v>
      </c>
      <c r="X326" s="38">
        <f>IFERROR(VLOOKUP("13_"&amp;A326,SyS!$B:$P,10,FALSE()),0)</f>
        <v>0</v>
      </c>
      <c r="Y326" s="39">
        <f>IFERROR(VLOOKUP("13_"&amp;A326,SyS!$B:$P,12,FALSE()),0)</f>
        <v>0</v>
      </c>
      <c r="Z326" s="40">
        <f>+X326-Y326</f>
        <v>0</v>
      </c>
      <c r="AA326" s="38">
        <f>IFERROR(VLOOKUP("17_"&amp;A326,SyS!$B:$P,10,FALSE()),0)</f>
        <v>0</v>
      </c>
      <c r="AB326" s="39">
        <f>IFERROR(VLOOKUP("17_"&amp;A326,SyS!$B:$P,12,FALSE()),0)</f>
        <v>0</v>
      </c>
      <c r="AC326" s="40">
        <f>+AA326-AB326</f>
        <v>0</v>
      </c>
      <c r="AD326" s="39"/>
      <c r="AE326" s="39"/>
      <c r="AF326" s="39"/>
      <c r="AG326" s="39">
        <f>IFERROR(VLOOKUP("19_"&amp;A326,SyS!$B:$P,10,FALSE()),0)</f>
        <v>0</v>
      </c>
      <c r="AH326" s="39">
        <f>IFERROR(VLOOKUP("19_"&amp;A326,SyS!$B:$P,12,FALSE()),0)</f>
        <v>0</v>
      </c>
      <c r="AI326" s="39">
        <f>+AG326-AH326</f>
        <v>0</v>
      </c>
      <c r="AJ326" s="39"/>
      <c r="AK326" s="39"/>
      <c r="AL326" s="39"/>
      <c r="AM326" s="38">
        <f>IFERROR(VLOOKUP("23_"&amp;A326,SyS!$B:$P,10,FALSE()),0)</f>
        <v>0</v>
      </c>
      <c r="AN326" s="39">
        <f>IFERROR(VLOOKUP("23_"&amp;A326,SyS!$B:$P,12,FALSE()),0)</f>
        <v>0</v>
      </c>
      <c r="AO326" s="40">
        <f>+AM326-AN326</f>
        <v>0</v>
      </c>
      <c r="AP326" s="39"/>
      <c r="AQ326" s="39"/>
      <c r="AR326" s="39"/>
      <c r="AS326" s="39"/>
      <c r="AT326" s="39"/>
      <c r="AU326" s="39"/>
      <c r="AV326" s="39"/>
      <c r="AW326" s="39"/>
      <c r="AX326" s="39"/>
      <c r="AY326" s="39"/>
      <c r="AZ326" s="39"/>
      <c r="BA326" s="39"/>
      <c r="BB326" s="39"/>
      <c r="BC326" s="39"/>
      <c r="BD326" s="39"/>
      <c r="BE326" s="39"/>
      <c r="BF326" s="39"/>
      <c r="BG326" s="39"/>
      <c r="BH326" s="39"/>
      <c r="BI326" s="39"/>
      <c r="BJ326" s="39"/>
      <c r="BK326" s="39">
        <f>IFERROR(VLOOKUP("29_"&amp;A326,SyS!$B:$P,10,FALSE()),0)</f>
        <v>0</v>
      </c>
      <c r="BL326" s="39">
        <f>IFERROR(VLOOKUP("29_"&amp;A326,SyS!$B:$P,12,FALSE()),0)</f>
        <v>0</v>
      </c>
      <c r="BM326" s="39">
        <f>+BK326-BL326</f>
        <v>0</v>
      </c>
      <c r="BN326" s="38">
        <f>IFERROR(VLOOKUP("30_"&amp;A326,SyS!$B:$P,10,FALSE()),0)</f>
        <v>0</v>
      </c>
      <c r="BO326" s="39">
        <f>IFERROR(VLOOKUP("30_"&amp;A326,SyS!$B:$P,12,FALSE()),0)</f>
        <v>0</v>
      </c>
      <c r="BP326" s="40">
        <f>+BN326-BO326</f>
        <v>0</v>
      </c>
      <c r="BQ326" s="45">
        <f>+E326+H326+K326+Q326+T326+W326+Z326+AC326+AF326+AI326+AL326+AO326+AR326+AU326+AX326+BA326+BD326+BG326+BJ326+BM326+BP326</f>
        <v>0</v>
      </c>
    </row>
    <row r="327" ht="11.25" customHeight="1" spans="1:69" x14ac:dyDescent="0.25">
      <c r="A327" s="18">
        <v>427270000</v>
      </c>
      <c r="B327" s="18" t="s">
        <v>556</v>
      </c>
      <c r="C327" s="38">
        <f>IFERROR(VLOOKUP("1_"&amp;A327,SyS!$B:$P,10,FALSE()),0)</f>
        <v>0</v>
      </c>
      <c r="D327" s="39">
        <f>IFERROR(VLOOKUP("1_"&amp;A327,SyS!$B:$P,12,FALSE()),0)</f>
        <v>0</v>
      </c>
      <c r="E327" s="39">
        <f>+C327-D327</f>
        <v>0</v>
      </c>
      <c r="F327" s="38">
        <f>IFERROR(VLOOKUP("2_"&amp;A327,SyS!$B:$P,10,FALSE()),0)</f>
        <v>0</v>
      </c>
      <c r="G327" s="39">
        <f>IFERROR(VLOOKUP("2_"&amp;A327,SyS!$B:$P,12,FALSE()),0)</f>
        <v>0</v>
      </c>
      <c r="H327" s="40">
        <f>+F327-G327</f>
        <v>0</v>
      </c>
      <c r="I327" s="39"/>
      <c r="J327" s="39"/>
      <c r="K327" s="39"/>
      <c r="L327" s="39"/>
      <c r="M327" s="39"/>
      <c r="N327" s="39"/>
      <c r="O327" s="38">
        <f>IFERROR(VLOOKUP("14_"&amp;A327,SyS!$B:$P,10,FALSE()),0)</f>
        <v>0</v>
      </c>
      <c r="P327" s="39">
        <f>IFERROR(VLOOKUP("14_"&amp;A327,SyS!$B:$P,12,FALSE()),0)</f>
        <v>0</v>
      </c>
      <c r="Q327" s="40">
        <f>+O327-P327</f>
        <v>0</v>
      </c>
      <c r="R327" s="38">
        <f>IFERROR(VLOOKUP("15_"&amp;A327,SyS!$B:$P,10,FALSE()),0)</f>
        <v>0</v>
      </c>
      <c r="S327" s="39">
        <f>IFERROR(VLOOKUP("15_"&amp;A327,SyS!$B:$P,12,FALSE()),0)</f>
        <v>0</v>
      </c>
      <c r="T327" s="40">
        <f>+R327-S327</f>
        <v>0</v>
      </c>
      <c r="U327" s="38">
        <f>IFERROR(VLOOKUP("16_"&amp;A327,SyS!$B:$P,10,FALSE()),0)</f>
        <v>0</v>
      </c>
      <c r="V327" s="39">
        <f>IFERROR(VLOOKUP("16_"&amp;A327,SyS!$B:$P,12,FALSE()),0)</f>
        <v>0</v>
      </c>
      <c r="W327" s="40">
        <f>+U327-V327</f>
        <v>0</v>
      </c>
      <c r="X327" s="38">
        <f>IFERROR(VLOOKUP("13_"&amp;A327,SyS!$B:$P,10,FALSE()),0)</f>
        <v>0</v>
      </c>
      <c r="Y327" s="39">
        <f>IFERROR(VLOOKUP("13_"&amp;A327,SyS!$B:$P,12,FALSE()),0)</f>
        <v>0</v>
      </c>
      <c r="Z327" s="40">
        <f>+X327-Y327</f>
        <v>0</v>
      </c>
      <c r="AA327" s="38">
        <f>IFERROR(VLOOKUP("17_"&amp;A327,SyS!$B:$P,10,FALSE()),0)</f>
        <v>0</v>
      </c>
      <c r="AB327" s="39">
        <f>IFERROR(VLOOKUP("17_"&amp;A327,SyS!$B:$P,12,FALSE()),0)</f>
        <v>0</v>
      </c>
      <c r="AC327" s="40">
        <f>+AA327-AB327</f>
        <v>0</v>
      </c>
      <c r="AD327" s="39"/>
      <c r="AE327" s="39"/>
      <c r="AF327" s="39"/>
      <c r="AG327" s="39">
        <f>IFERROR(VLOOKUP("19_"&amp;A327,SyS!$B:$P,10,FALSE()),0)</f>
        <v>0</v>
      </c>
      <c r="AH327" s="39">
        <f>IFERROR(VLOOKUP("19_"&amp;A327,SyS!$B:$P,12,FALSE()),0)</f>
        <v>0</v>
      </c>
      <c r="AI327" s="39">
        <f>+AG327-AH327</f>
        <v>0</v>
      </c>
      <c r="AJ327" s="39"/>
      <c r="AK327" s="39"/>
      <c r="AL327" s="39"/>
      <c r="AM327" s="38">
        <f>IFERROR(VLOOKUP("23_"&amp;A327,SyS!$B:$P,10,FALSE()),0)</f>
        <v>0</v>
      </c>
      <c r="AN327" s="39">
        <f>IFERROR(VLOOKUP("23_"&amp;A327,SyS!$B:$P,12,FALSE()),0)</f>
        <v>0</v>
      </c>
      <c r="AO327" s="40">
        <f>+AM327-AN327</f>
        <v>0</v>
      </c>
      <c r="AP327" s="39"/>
      <c r="AQ327" s="39"/>
      <c r="AR327" s="39"/>
      <c r="AS327" s="39"/>
      <c r="AT327" s="39"/>
      <c r="AU327" s="39"/>
      <c r="AV327" s="39"/>
      <c r="AW327" s="39"/>
      <c r="AX327" s="39"/>
      <c r="AY327" s="39"/>
      <c r="AZ327" s="39"/>
      <c r="BA327" s="39"/>
      <c r="BB327" s="39"/>
      <c r="BC327" s="39"/>
      <c r="BD327" s="39"/>
      <c r="BE327" s="39"/>
      <c r="BF327" s="39"/>
      <c r="BG327" s="39"/>
      <c r="BH327" s="39"/>
      <c r="BI327" s="39"/>
      <c r="BJ327" s="39"/>
      <c r="BK327" s="39">
        <f>IFERROR(VLOOKUP("29_"&amp;A327,SyS!$B:$P,10,FALSE()),0)</f>
        <v>0</v>
      </c>
      <c r="BL327" s="39">
        <f>IFERROR(VLOOKUP("29_"&amp;A327,SyS!$B:$P,12,FALSE()),0)</f>
        <v>0</v>
      </c>
      <c r="BM327" s="39">
        <f>+BK327-BL327</f>
        <v>0</v>
      </c>
      <c r="BN327" s="38">
        <f>IFERROR(VLOOKUP("30_"&amp;A327,SyS!$B:$P,10,FALSE()),0)</f>
        <v>0</v>
      </c>
      <c r="BO327" s="39">
        <f>IFERROR(VLOOKUP("30_"&amp;A327,SyS!$B:$P,12,FALSE()),0)</f>
        <v>0</v>
      </c>
      <c r="BP327" s="40">
        <f>+BN327-BO327</f>
        <v>0</v>
      </c>
      <c r="BQ327" s="45">
        <f>+E327+H327+K327+Q327+T327+W327+Z327+AC327+AF327+AI327+AL327+AO327+AR327+AU327+AX327+BA327+BD327+BG327+BJ327+BM327+BP327</f>
        <v>0</v>
      </c>
    </row>
    <row r="328" ht="11.25" customHeight="1" spans="1:69" x14ac:dyDescent="0.25">
      <c r="A328" s="18">
        <v>427260000</v>
      </c>
      <c r="B328" s="18" t="s">
        <v>557</v>
      </c>
      <c r="C328" s="38">
        <f>IFERROR(VLOOKUP("1_"&amp;A328,SyS!$B:$P,10,FALSE()),0)</f>
        <v>0</v>
      </c>
      <c r="D328" s="39">
        <f>IFERROR(VLOOKUP("1_"&amp;A328,SyS!$B:$P,12,FALSE()),0)</f>
        <v>0</v>
      </c>
      <c r="E328" s="39">
        <f>+C328-D328</f>
        <v>0</v>
      </c>
      <c r="F328" s="38">
        <f>IFERROR(VLOOKUP("2_"&amp;A328,SyS!$B:$P,10,FALSE()),0)</f>
        <v>0</v>
      </c>
      <c r="G328" s="39">
        <f>IFERROR(VLOOKUP("2_"&amp;A328,SyS!$B:$P,12,FALSE()),0)</f>
        <v>0</v>
      </c>
      <c r="H328" s="40">
        <f>+F328-G328</f>
        <v>0</v>
      </c>
      <c r="I328" s="39"/>
      <c r="J328" s="39"/>
      <c r="K328" s="39"/>
      <c r="L328" s="39"/>
      <c r="M328" s="39"/>
      <c r="N328" s="39"/>
      <c r="O328" s="38">
        <f>IFERROR(VLOOKUP("14_"&amp;A328,SyS!$B:$P,10,FALSE()),0)</f>
        <v>0</v>
      </c>
      <c r="P328" s="39">
        <f>IFERROR(VLOOKUP("14_"&amp;A328,SyS!$B:$P,12,FALSE()),0)</f>
        <v>0</v>
      </c>
      <c r="Q328" s="40">
        <f>+O328-P328</f>
        <v>0</v>
      </c>
      <c r="R328" s="38">
        <f>IFERROR(VLOOKUP("15_"&amp;A328,SyS!$B:$P,10,FALSE()),0)</f>
        <v>0</v>
      </c>
      <c r="S328" s="39">
        <f>IFERROR(VLOOKUP("15_"&amp;A328,SyS!$B:$P,12,FALSE()),0)</f>
        <v>0</v>
      </c>
      <c r="T328" s="40">
        <f>+R328-S328</f>
        <v>0</v>
      </c>
      <c r="U328" s="38">
        <f>IFERROR(VLOOKUP("16_"&amp;A328,SyS!$B:$P,10,FALSE()),0)</f>
        <v>0</v>
      </c>
      <c r="V328" s="39">
        <f>IFERROR(VLOOKUP("16_"&amp;A328,SyS!$B:$P,12,FALSE()),0)</f>
        <v>0</v>
      </c>
      <c r="W328" s="40">
        <f>+U328-V328</f>
        <v>0</v>
      </c>
      <c r="X328" s="38">
        <f>IFERROR(VLOOKUP("13_"&amp;A328,SyS!$B:$P,10,FALSE()),0)</f>
        <v>0</v>
      </c>
      <c r="Y328" s="39">
        <f>IFERROR(VLOOKUP("13_"&amp;A328,SyS!$B:$P,12,FALSE()),0)</f>
        <v>0</v>
      </c>
      <c r="Z328" s="40">
        <f>+X328-Y328</f>
        <v>0</v>
      </c>
      <c r="AA328" s="38">
        <f>IFERROR(VLOOKUP("17_"&amp;A328,SyS!$B:$P,10,FALSE()),0)</f>
        <v>0</v>
      </c>
      <c r="AB328" s="39">
        <f>IFERROR(VLOOKUP("17_"&amp;A328,SyS!$B:$P,12,FALSE()),0)</f>
        <v>0</v>
      </c>
      <c r="AC328" s="40">
        <f>+AA328-AB328</f>
        <v>0</v>
      </c>
      <c r="AD328" s="39"/>
      <c r="AE328" s="39"/>
      <c r="AF328" s="39"/>
      <c r="AG328" s="39">
        <f>IFERROR(VLOOKUP("19_"&amp;A328,SyS!$B:$P,10,FALSE()),0)</f>
        <v>0</v>
      </c>
      <c r="AH328" s="39">
        <f>IFERROR(VLOOKUP("19_"&amp;A328,SyS!$B:$P,12,FALSE()),0)</f>
        <v>0</v>
      </c>
      <c r="AI328" s="39">
        <f>+AG328-AH328</f>
        <v>0</v>
      </c>
      <c r="AJ328" s="39"/>
      <c r="AK328" s="39"/>
      <c r="AL328" s="39"/>
      <c r="AM328" s="38">
        <f>IFERROR(VLOOKUP("23_"&amp;A328,SyS!$B:$P,10,FALSE()),0)</f>
        <v>0</v>
      </c>
      <c r="AN328" s="39">
        <f>IFERROR(VLOOKUP("23_"&amp;A328,SyS!$B:$P,12,FALSE()),0)</f>
        <v>0</v>
      </c>
      <c r="AO328" s="40">
        <f>+AM328-AN328</f>
        <v>0</v>
      </c>
      <c r="AP328" s="39"/>
      <c r="AQ328" s="39"/>
      <c r="AR328" s="39"/>
      <c r="AS328" s="39"/>
      <c r="AT328" s="39"/>
      <c r="AU328" s="39"/>
      <c r="AV328" s="39"/>
      <c r="AW328" s="39"/>
      <c r="AX328" s="39"/>
      <c r="AY328" s="39"/>
      <c r="AZ328" s="39"/>
      <c r="BA328" s="39"/>
      <c r="BB328" s="39"/>
      <c r="BC328" s="39"/>
      <c r="BD328" s="39"/>
      <c r="BE328" s="39"/>
      <c r="BF328" s="39"/>
      <c r="BG328" s="39"/>
      <c r="BH328" s="39"/>
      <c r="BI328" s="39"/>
      <c r="BJ328" s="39"/>
      <c r="BK328" s="39">
        <f>IFERROR(VLOOKUP("29_"&amp;A328,SyS!$B:$P,10,FALSE()),0)</f>
        <v>0</v>
      </c>
      <c r="BL328" s="39">
        <f>IFERROR(VLOOKUP("29_"&amp;A328,SyS!$B:$P,12,FALSE()),0)</f>
        <v>0</v>
      </c>
      <c r="BM328" s="39">
        <f>+BK328-BL328</f>
        <v>0</v>
      </c>
      <c r="BN328" s="38">
        <f>IFERROR(VLOOKUP("30_"&amp;A328,SyS!$B:$P,10,FALSE()),0)</f>
        <v>0</v>
      </c>
      <c r="BO328" s="39">
        <f>IFERROR(VLOOKUP("30_"&amp;A328,SyS!$B:$P,12,FALSE()),0)</f>
        <v>0</v>
      </c>
      <c r="BP328" s="40">
        <f>+BN328-BO328</f>
        <v>0</v>
      </c>
      <c r="BQ328" s="45">
        <f>+E328+H328+K328+Q328+T328+W328+Z328+AC328+AF328+AI328+AL328+AO328+AR328+AU328+AX328+BA328+BD328+BG328+BJ328+BM328+BP328</f>
        <v>0</v>
      </c>
    </row>
    <row r="329" ht="11.25" customHeight="1" spans="1:69" x14ac:dyDescent="0.25">
      <c r="A329" s="18">
        <v>427280000</v>
      </c>
      <c r="B329" s="18" t="s">
        <v>558</v>
      </c>
      <c r="C329" s="38">
        <f>IFERROR(VLOOKUP("1_"&amp;A329,SyS!$B:$P,10,FALSE()),0)</f>
        <v>0</v>
      </c>
      <c r="D329" s="39">
        <f>IFERROR(VLOOKUP("1_"&amp;A329,SyS!$B:$P,12,FALSE()),0)</f>
        <v>0</v>
      </c>
      <c r="E329" s="39">
        <f>+C329-D329</f>
        <v>0</v>
      </c>
      <c r="F329" s="38">
        <f>IFERROR(VLOOKUP("2_"&amp;A329,SyS!$B:$P,10,FALSE()),0)</f>
        <v>0</v>
      </c>
      <c r="G329" s="39">
        <f>IFERROR(VLOOKUP("2_"&amp;A329,SyS!$B:$P,12,FALSE()),0)</f>
        <v>0</v>
      </c>
      <c r="H329" s="40">
        <f>+F329-G329</f>
        <v>0</v>
      </c>
      <c r="I329" s="39"/>
      <c r="J329" s="39"/>
      <c r="K329" s="39"/>
      <c r="L329" s="39"/>
      <c r="M329" s="39"/>
      <c r="N329" s="39"/>
      <c r="O329" s="38">
        <f>IFERROR(VLOOKUP("14_"&amp;A329,SyS!$B:$P,10,FALSE()),0)</f>
        <v>0</v>
      </c>
      <c r="P329" s="39">
        <f>IFERROR(VLOOKUP("14_"&amp;A329,SyS!$B:$P,12,FALSE()),0)</f>
        <v>0</v>
      </c>
      <c r="Q329" s="40">
        <f>+O329-P329</f>
        <v>0</v>
      </c>
      <c r="R329" s="38">
        <f>IFERROR(VLOOKUP("15_"&amp;A329,SyS!$B:$P,10,FALSE()),0)</f>
        <v>0</v>
      </c>
      <c r="S329" s="39">
        <f>IFERROR(VLOOKUP("15_"&amp;A329,SyS!$B:$P,12,FALSE()),0)</f>
        <v>0</v>
      </c>
      <c r="T329" s="40">
        <f>+R329-S329</f>
        <v>0</v>
      </c>
      <c r="U329" s="38">
        <f>IFERROR(VLOOKUP("16_"&amp;A329,SyS!$B:$P,10,FALSE()),0)</f>
        <v>0</v>
      </c>
      <c r="V329" s="39">
        <f>IFERROR(VLOOKUP("16_"&amp;A329,SyS!$B:$P,12,FALSE()),0)</f>
        <v>0</v>
      </c>
      <c r="W329" s="40">
        <f>+U329-V329</f>
        <v>0</v>
      </c>
      <c r="X329" s="38">
        <f>IFERROR(VLOOKUP("13_"&amp;A329,SyS!$B:$P,10,FALSE()),0)</f>
        <v>0</v>
      </c>
      <c r="Y329" s="39">
        <f>IFERROR(VLOOKUP("13_"&amp;A329,SyS!$B:$P,12,FALSE()),0)</f>
        <v>0</v>
      </c>
      <c r="Z329" s="40">
        <f>+X329-Y329</f>
        <v>0</v>
      </c>
      <c r="AA329" s="38">
        <f>IFERROR(VLOOKUP("17_"&amp;A329,SyS!$B:$P,10,FALSE()),0)</f>
        <v>0</v>
      </c>
      <c r="AB329" s="39">
        <f>IFERROR(VLOOKUP("17_"&amp;A329,SyS!$B:$P,12,FALSE()),0)</f>
        <v>0</v>
      </c>
      <c r="AC329" s="40">
        <f>+AA329-AB329</f>
        <v>0</v>
      </c>
      <c r="AD329" s="39"/>
      <c r="AE329" s="39"/>
      <c r="AF329" s="39"/>
      <c r="AG329" s="39">
        <f>IFERROR(VLOOKUP("19_"&amp;A329,SyS!$B:$P,10,FALSE()),0)</f>
        <v>0</v>
      </c>
      <c r="AH329" s="39">
        <f>IFERROR(VLOOKUP("19_"&amp;A329,SyS!$B:$P,12,FALSE()),0)</f>
        <v>0</v>
      </c>
      <c r="AI329" s="39">
        <f>+AG329-AH329</f>
        <v>0</v>
      </c>
      <c r="AJ329" s="39"/>
      <c r="AK329" s="39"/>
      <c r="AL329" s="39"/>
      <c r="AM329" s="38">
        <f>IFERROR(VLOOKUP("23_"&amp;A329,SyS!$B:$P,10,FALSE()),0)</f>
        <v>0</v>
      </c>
      <c r="AN329" s="39">
        <f>IFERROR(VLOOKUP("23_"&amp;A329,SyS!$B:$P,12,FALSE()),0)</f>
        <v>0</v>
      </c>
      <c r="AO329" s="40">
        <f>+AM329-AN329</f>
        <v>0</v>
      </c>
      <c r="AP329" s="39"/>
      <c r="AQ329" s="39"/>
      <c r="AR329" s="39"/>
      <c r="AS329" s="39"/>
      <c r="AT329" s="39"/>
      <c r="AU329" s="39"/>
      <c r="AV329" s="39"/>
      <c r="AW329" s="39"/>
      <c r="AX329" s="39"/>
      <c r="AY329" s="39"/>
      <c r="AZ329" s="39"/>
      <c r="BA329" s="39"/>
      <c r="BB329" s="39"/>
      <c r="BC329" s="39"/>
      <c r="BD329" s="39"/>
      <c r="BE329" s="39"/>
      <c r="BF329" s="39"/>
      <c r="BG329" s="39"/>
      <c r="BH329" s="39"/>
      <c r="BI329" s="39"/>
      <c r="BJ329" s="39"/>
      <c r="BK329" s="39">
        <f>IFERROR(VLOOKUP("29_"&amp;A329,SyS!$B:$P,10,FALSE()),0)</f>
        <v>0</v>
      </c>
      <c r="BL329" s="39">
        <f>IFERROR(VLOOKUP("29_"&amp;A329,SyS!$B:$P,12,FALSE()),0)</f>
        <v>0</v>
      </c>
      <c r="BM329" s="39">
        <f>+BK329-BL329</f>
        <v>0</v>
      </c>
      <c r="BN329" s="38">
        <f>IFERROR(VLOOKUP("30_"&amp;A329,SyS!$B:$P,10,FALSE()),0)</f>
        <v>0</v>
      </c>
      <c r="BO329" s="39">
        <f>IFERROR(VLOOKUP("30_"&amp;A329,SyS!$B:$P,12,FALSE()),0)</f>
        <v>0</v>
      </c>
      <c r="BP329" s="40">
        <f>+BN329-BO329</f>
        <v>0</v>
      </c>
      <c r="BQ329" s="45">
        <f>+E329+H329+K329+Q329+T329+W329+Z329+AC329+AF329+AI329+AL329+AO329+AR329+AU329+AX329+BA329+BD329+BG329+BJ329+BM329+BP329</f>
        <v>0</v>
      </c>
    </row>
    <row r="330" ht="11.25" customHeight="1" spans="1:69" x14ac:dyDescent="0.25">
      <c r="A330" s="18">
        <v>421170000</v>
      </c>
      <c r="B330" s="18" t="s">
        <v>559</v>
      </c>
      <c r="C330" s="38">
        <f>IFERROR(VLOOKUP("1_"&amp;A330,SyS!$B:$P,10,FALSE()),0)</f>
        <v>0</v>
      </c>
      <c r="D330" s="39">
        <f>IFERROR(VLOOKUP("1_"&amp;A330,SyS!$B:$P,12,FALSE()),0)</f>
        <v>0</v>
      </c>
      <c r="E330" s="39">
        <f>+C330-D330</f>
        <v>0</v>
      </c>
      <c r="F330" s="38">
        <f>IFERROR(VLOOKUP("2_"&amp;A330,SyS!$B:$P,10,FALSE()),0)</f>
        <v>0</v>
      </c>
      <c r="G330" s="39">
        <f>IFERROR(VLOOKUP("2_"&amp;A330,SyS!$B:$P,12,FALSE()),0)</f>
        <v>0</v>
      </c>
      <c r="H330" s="40">
        <f>+F330-G330</f>
        <v>0</v>
      </c>
      <c r="I330" s="39"/>
      <c r="J330" s="39"/>
      <c r="K330" s="39"/>
      <c r="L330" s="39"/>
      <c r="M330" s="39"/>
      <c r="N330" s="39"/>
      <c r="O330" s="38">
        <f>IFERROR(VLOOKUP("14_"&amp;A330,SyS!$B:$P,10,FALSE()),0)</f>
        <v>0</v>
      </c>
      <c r="P330" s="39">
        <f>IFERROR(VLOOKUP("14_"&amp;A330,SyS!$B:$P,12,FALSE()),0)</f>
        <v>0</v>
      </c>
      <c r="Q330" s="40">
        <f>+O330-P330</f>
        <v>0</v>
      </c>
      <c r="R330" s="38">
        <f>IFERROR(VLOOKUP("15_"&amp;A330,SyS!$B:$P,10,FALSE()),0)</f>
        <v>0</v>
      </c>
      <c r="S330" s="39">
        <f>IFERROR(VLOOKUP("15_"&amp;A330,SyS!$B:$P,12,FALSE()),0)</f>
        <v>0</v>
      </c>
      <c r="T330" s="40">
        <f>+R330-S330</f>
        <v>0</v>
      </c>
      <c r="U330" s="38">
        <f>IFERROR(VLOOKUP("16_"&amp;A330,SyS!$B:$P,10,FALSE()),0)</f>
        <v>0</v>
      </c>
      <c r="V330" s="39">
        <f>IFERROR(VLOOKUP("16_"&amp;A330,SyS!$B:$P,12,FALSE()),0)</f>
        <v>0</v>
      </c>
      <c r="W330" s="40">
        <f>+U330-V330</f>
        <v>0</v>
      </c>
      <c r="X330" s="38">
        <f>IFERROR(VLOOKUP("13_"&amp;A330,SyS!$B:$P,10,FALSE()),0)</f>
        <v>0</v>
      </c>
      <c r="Y330" s="39">
        <f>IFERROR(VLOOKUP("13_"&amp;A330,SyS!$B:$P,12,FALSE()),0)</f>
        <v>0</v>
      </c>
      <c r="Z330" s="40">
        <f>+X330-Y330</f>
        <v>0</v>
      </c>
      <c r="AA330" s="38">
        <f>IFERROR(VLOOKUP("17_"&amp;A330,SyS!$B:$P,10,FALSE()),0)</f>
        <v>0</v>
      </c>
      <c r="AB330" s="39">
        <f>IFERROR(VLOOKUP("17_"&amp;A330,SyS!$B:$P,12,FALSE()),0)</f>
        <v>0</v>
      </c>
      <c r="AC330" s="40">
        <f>+AA330-AB330</f>
        <v>0</v>
      </c>
      <c r="AD330" s="39"/>
      <c r="AE330" s="39"/>
      <c r="AF330" s="39"/>
      <c r="AG330" s="39">
        <f>IFERROR(VLOOKUP("19_"&amp;A330,SyS!$B:$P,10,FALSE()),0)</f>
        <v>0</v>
      </c>
      <c r="AH330" s="39">
        <f>IFERROR(VLOOKUP("19_"&amp;A330,SyS!$B:$P,12,FALSE()),0)</f>
        <v>0</v>
      </c>
      <c r="AI330" s="39">
        <f>+AG330-AH330</f>
        <v>0</v>
      </c>
      <c r="AJ330" s="39"/>
      <c r="AK330" s="39"/>
      <c r="AL330" s="39"/>
      <c r="AM330" s="38">
        <f>IFERROR(VLOOKUP("23_"&amp;A330,SyS!$B:$P,10,FALSE()),0)</f>
        <v>0</v>
      </c>
      <c r="AN330" s="39">
        <f>IFERROR(VLOOKUP("23_"&amp;A330,SyS!$B:$P,12,FALSE()),0)</f>
        <v>0</v>
      </c>
      <c r="AO330" s="40">
        <f>+AM330-AN330</f>
        <v>0</v>
      </c>
      <c r="AP330" s="39"/>
      <c r="AQ330" s="39"/>
      <c r="AR330" s="39"/>
      <c r="AS330" s="39"/>
      <c r="AT330" s="39"/>
      <c r="AU330" s="39"/>
      <c r="AV330" s="39"/>
      <c r="AW330" s="39"/>
      <c r="AX330" s="39"/>
      <c r="AY330" s="39"/>
      <c r="AZ330" s="39"/>
      <c r="BA330" s="39"/>
      <c r="BB330" s="39"/>
      <c r="BC330" s="39"/>
      <c r="BD330" s="39"/>
      <c r="BE330" s="39"/>
      <c r="BF330" s="39"/>
      <c r="BG330" s="39"/>
      <c r="BH330" s="39"/>
      <c r="BI330" s="39"/>
      <c r="BJ330" s="39"/>
      <c r="BK330" s="39">
        <f>IFERROR(VLOOKUP("29_"&amp;A330,SyS!$B:$P,10,FALSE()),0)</f>
        <v>0</v>
      </c>
      <c r="BL330" s="39">
        <f>IFERROR(VLOOKUP("29_"&amp;A330,SyS!$B:$P,12,FALSE()),0)</f>
        <v>0</v>
      </c>
      <c r="BM330" s="39">
        <f>+BK330-BL330</f>
        <v>0</v>
      </c>
      <c r="BN330" s="38">
        <f>IFERROR(VLOOKUP("30_"&amp;A330,SyS!$B:$P,10,FALSE()),0)</f>
        <v>0</v>
      </c>
      <c r="BO330" s="39">
        <f>IFERROR(VLOOKUP("30_"&amp;A330,SyS!$B:$P,12,FALSE()),0)</f>
        <v>0</v>
      </c>
      <c r="BP330" s="40">
        <f>+BN330-BO330</f>
        <v>0</v>
      </c>
      <c r="BQ330" s="45">
        <f>+E330+H330+K330+Q330+T330+W330+Z330+AC330+AF330+AI330+AL330+AO330+AR330+AU330+AX330+BA330+BD330+BG330+BJ330+BM330+BP330</f>
        <v>0</v>
      </c>
    </row>
    <row r="331" ht="11.25" customHeight="1" spans="1:69" x14ac:dyDescent="0.25">
      <c r="A331" s="18">
        <v>421180000</v>
      </c>
      <c r="B331" s="18" t="s">
        <v>560</v>
      </c>
      <c r="C331" s="38">
        <f>IFERROR(VLOOKUP("1_"&amp;A331,SyS!$B:$P,10,FALSE()),0)</f>
        <v>0</v>
      </c>
      <c r="D331" s="39">
        <f>IFERROR(VLOOKUP("1_"&amp;A331,SyS!$B:$P,12,FALSE()),0)</f>
        <v>0</v>
      </c>
      <c r="E331" s="39">
        <f>+C331-D331</f>
        <v>0</v>
      </c>
      <c r="F331" s="38">
        <f>IFERROR(VLOOKUP("2_"&amp;A331,SyS!$B:$P,10,FALSE()),0)</f>
        <v>0</v>
      </c>
      <c r="G331" s="39">
        <f>IFERROR(VLOOKUP("2_"&amp;A331,SyS!$B:$P,12,FALSE()),0)</f>
        <v>0</v>
      </c>
      <c r="H331" s="40">
        <f>+F331-G331</f>
        <v>0</v>
      </c>
      <c r="I331" s="39"/>
      <c r="J331" s="39"/>
      <c r="K331" s="39"/>
      <c r="L331" s="39"/>
      <c r="M331" s="39"/>
      <c r="N331" s="39"/>
      <c r="O331" s="38">
        <f>IFERROR(VLOOKUP("14_"&amp;A331,SyS!$B:$P,10,FALSE()),0)</f>
        <v>0</v>
      </c>
      <c r="P331" s="39">
        <f>IFERROR(VLOOKUP("14_"&amp;A331,SyS!$B:$P,12,FALSE()),0)</f>
        <v>0</v>
      </c>
      <c r="Q331" s="40">
        <f>+O331-P331</f>
        <v>0</v>
      </c>
      <c r="R331" s="38">
        <f>IFERROR(VLOOKUP("15_"&amp;A331,SyS!$B:$P,10,FALSE()),0)</f>
        <v>0</v>
      </c>
      <c r="S331" s="39">
        <f>IFERROR(VLOOKUP("15_"&amp;A331,SyS!$B:$P,12,FALSE()),0)</f>
        <v>0</v>
      </c>
      <c r="T331" s="40">
        <f>+R331-S331</f>
        <v>0</v>
      </c>
      <c r="U331" s="38">
        <f>IFERROR(VLOOKUP("16_"&amp;A331,SyS!$B:$P,10,FALSE()),0)</f>
        <v>0</v>
      </c>
      <c r="V331" s="39">
        <f>IFERROR(VLOOKUP("16_"&amp;A331,SyS!$B:$P,12,FALSE()),0)</f>
        <v>0</v>
      </c>
      <c r="W331" s="40">
        <f>+U331-V331</f>
        <v>0</v>
      </c>
      <c r="X331" s="38">
        <f>IFERROR(VLOOKUP("13_"&amp;A331,SyS!$B:$P,10,FALSE()),0)</f>
        <v>0</v>
      </c>
      <c r="Y331" s="39">
        <f>IFERROR(VLOOKUP("13_"&amp;A331,SyS!$B:$P,12,FALSE()),0)</f>
        <v>0</v>
      </c>
      <c r="Z331" s="40">
        <f>+X331-Y331</f>
        <v>0</v>
      </c>
      <c r="AA331" s="38">
        <f>IFERROR(VLOOKUP("17_"&amp;A331,SyS!$B:$P,10,FALSE()),0)</f>
        <v>0</v>
      </c>
      <c r="AB331" s="39">
        <f>IFERROR(VLOOKUP("17_"&amp;A331,SyS!$B:$P,12,FALSE()),0)</f>
        <v>0</v>
      </c>
      <c r="AC331" s="40">
        <f>+AA331-AB331</f>
        <v>0</v>
      </c>
      <c r="AD331" s="39"/>
      <c r="AE331" s="39"/>
      <c r="AF331" s="39"/>
      <c r="AG331" s="39">
        <f>IFERROR(VLOOKUP("19_"&amp;A331,SyS!$B:$P,10,FALSE()),0)</f>
        <v>0</v>
      </c>
      <c r="AH331" s="39">
        <f>IFERROR(VLOOKUP("19_"&amp;A331,SyS!$B:$P,12,FALSE()),0)</f>
        <v>0</v>
      </c>
      <c r="AI331" s="39">
        <f>+AG331-AH331</f>
        <v>0</v>
      </c>
      <c r="AJ331" s="39"/>
      <c r="AK331" s="39"/>
      <c r="AL331" s="39"/>
      <c r="AM331" s="38">
        <f>IFERROR(VLOOKUP("23_"&amp;A331,SyS!$B:$P,10,FALSE()),0)</f>
        <v>0</v>
      </c>
      <c r="AN331" s="39">
        <f>IFERROR(VLOOKUP("23_"&amp;A331,SyS!$B:$P,12,FALSE()),0)</f>
        <v>0</v>
      </c>
      <c r="AO331" s="40">
        <f>+AM331-AN331</f>
        <v>0</v>
      </c>
      <c r="AP331" s="39"/>
      <c r="AQ331" s="39"/>
      <c r="AR331" s="39"/>
      <c r="AS331" s="39"/>
      <c r="AT331" s="39"/>
      <c r="AU331" s="39"/>
      <c r="AV331" s="39"/>
      <c r="AW331" s="39"/>
      <c r="AX331" s="39"/>
      <c r="AY331" s="39"/>
      <c r="AZ331" s="39"/>
      <c r="BA331" s="39"/>
      <c r="BB331" s="39"/>
      <c r="BC331" s="39"/>
      <c r="BD331" s="39"/>
      <c r="BE331" s="39"/>
      <c r="BF331" s="39"/>
      <c r="BG331" s="39"/>
      <c r="BH331" s="39"/>
      <c r="BI331" s="39"/>
      <c r="BJ331" s="39"/>
      <c r="BK331" s="39">
        <f>IFERROR(VLOOKUP("29_"&amp;A331,SyS!$B:$P,10,FALSE()),0)</f>
        <v>0</v>
      </c>
      <c r="BL331" s="39">
        <f>IFERROR(VLOOKUP("29_"&amp;A331,SyS!$B:$P,12,FALSE()),0)</f>
        <v>0</v>
      </c>
      <c r="BM331" s="39">
        <f>+BK331-BL331</f>
        <v>0</v>
      </c>
      <c r="BN331" s="38">
        <f>IFERROR(VLOOKUP("30_"&amp;A331,SyS!$B:$P,10,FALSE()),0)</f>
        <v>0</v>
      </c>
      <c r="BO331" s="39">
        <f>IFERROR(VLOOKUP("30_"&amp;A331,SyS!$B:$P,12,FALSE()),0)</f>
        <v>0</v>
      </c>
      <c r="BP331" s="40">
        <f>+BN331-BO331</f>
        <v>0</v>
      </c>
      <c r="BQ331" s="45">
        <f>+E331+H331+K331+Q331+T331+W331+Z331+AC331+AF331+AI331+AL331+AO331+AR331+AU331+AX331+BA331+BD331+BG331+BJ331+BM331+BP331</f>
        <v>0</v>
      </c>
    </row>
    <row r="332" ht="11.25" customHeight="1" spans="1:69" x14ac:dyDescent="0.25">
      <c r="A332" s="18">
        <v>421350000</v>
      </c>
      <c r="B332" s="18" t="s">
        <v>561</v>
      </c>
      <c r="C332" s="38">
        <f>IFERROR(VLOOKUP("1_"&amp;A332,SyS!$B:$P,10,FALSE()),0)</f>
        <v>0</v>
      </c>
      <c r="D332" s="39">
        <f>IFERROR(VLOOKUP("1_"&amp;A332,SyS!$B:$P,12,FALSE()),0)</f>
        <v>0</v>
      </c>
      <c r="E332" s="39">
        <f>+C332-D332</f>
        <v>0</v>
      </c>
      <c r="F332" s="38">
        <f>IFERROR(VLOOKUP("2_"&amp;A332,SyS!$B:$P,10,FALSE()),0)</f>
        <v>0</v>
      </c>
      <c r="G332" s="39">
        <f>IFERROR(VLOOKUP("2_"&amp;A332,SyS!$B:$P,12,FALSE()),0)</f>
        <v>0</v>
      </c>
      <c r="H332" s="40">
        <f>+F332-G332</f>
        <v>0</v>
      </c>
      <c r="I332" s="39"/>
      <c r="J332" s="39"/>
      <c r="K332" s="39"/>
      <c r="L332" s="39"/>
      <c r="M332" s="39"/>
      <c r="N332" s="39"/>
      <c r="O332" s="38">
        <f>IFERROR(VLOOKUP("14_"&amp;A332,SyS!$B:$P,10,FALSE()),0)</f>
        <v>0</v>
      </c>
      <c r="P332" s="39">
        <f>IFERROR(VLOOKUP("14_"&amp;A332,SyS!$B:$P,12,FALSE()),0)</f>
        <v>0</v>
      </c>
      <c r="Q332" s="40">
        <f>+O332-P332</f>
        <v>0</v>
      </c>
      <c r="R332" s="38">
        <f>IFERROR(VLOOKUP("15_"&amp;A332,SyS!$B:$P,10,FALSE()),0)</f>
        <v>0</v>
      </c>
      <c r="S332" s="39">
        <f>IFERROR(VLOOKUP("15_"&amp;A332,SyS!$B:$P,12,FALSE()),0)</f>
        <v>0</v>
      </c>
      <c r="T332" s="40">
        <f>+R332-S332</f>
        <v>0</v>
      </c>
      <c r="U332" s="38">
        <f>IFERROR(VLOOKUP("16_"&amp;A332,SyS!$B:$P,10,FALSE()),0)</f>
        <v>0</v>
      </c>
      <c r="V332" s="39">
        <f>IFERROR(VLOOKUP("16_"&amp;A332,SyS!$B:$P,12,FALSE()),0)</f>
        <v>0</v>
      </c>
      <c r="W332" s="40">
        <f>+U332-V332</f>
        <v>0</v>
      </c>
      <c r="X332" s="38">
        <f>IFERROR(VLOOKUP("13_"&amp;A332,SyS!$B:$P,10,FALSE()),0)</f>
        <v>0</v>
      </c>
      <c r="Y332" s="39">
        <f>IFERROR(VLOOKUP("13_"&amp;A332,SyS!$B:$P,12,FALSE()),0)</f>
        <v>0</v>
      </c>
      <c r="Z332" s="40">
        <f>+X332-Y332</f>
        <v>0</v>
      </c>
      <c r="AA332" s="38">
        <f>IFERROR(VLOOKUP("17_"&amp;A332,SyS!$B:$P,10,FALSE()),0)</f>
        <v>0</v>
      </c>
      <c r="AB332" s="39">
        <f>IFERROR(VLOOKUP("17_"&amp;A332,SyS!$B:$P,12,FALSE()),0)</f>
        <v>0</v>
      </c>
      <c r="AC332" s="40">
        <f>+AA332-AB332</f>
        <v>0</v>
      </c>
      <c r="AD332" s="39"/>
      <c r="AE332" s="39"/>
      <c r="AF332" s="39"/>
      <c r="AG332" s="39">
        <f>IFERROR(VLOOKUP("19_"&amp;A332,SyS!$B:$P,10,FALSE()),0)</f>
        <v>0</v>
      </c>
      <c r="AH332" s="39">
        <f>IFERROR(VLOOKUP("19_"&amp;A332,SyS!$B:$P,12,FALSE()),0)</f>
        <v>0</v>
      </c>
      <c r="AI332" s="39">
        <f>+AG332-AH332</f>
        <v>0</v>
      </c>
      <c r="AJ332" s="39"/>
      <c r="AK332" s="39"/>
      <c r="AL332" s="39"/>
      <c r="AM332" s="38">
        <f>IFERROR(VLOOKUP("23_"&amp;A332,SyS!$B:$P,10,FALSE()),0)</f>
        <v>0</v>
      </c>
      <c r="AN332" s="39">
        <f>IFERROR(VLOOKUP("23_"&amp;A332,SyS!$B:$P,12,FALSE()),0)</f>
        <v>0</v>
      </c>
      <c r="AO332" s="40">
        <f>+AM332-AN332</f>
        <v>0</v>
      </c>
      <c r="AP332" s="39"/>
      <c r="AQ332" s="39"/>
      <c r="AR332" s="39"/>
      <c r="AS332" s="39"/>
      <c r="AT332" s="39"/>
      <c r="AU332" s="39"/>
      <c r="AV332" s="39"/>
      <c r="AW332" s="39"/>
      <c r="AX332" s="39"/>
      <c r="AY332" s="39"/>
      <c r="AZ332" s="39"/>
      <c r="BA332" s="39"/>
      <c r="BB332" s="39"/>
      <c r="BC332" s="39"/>
      <c r="BD332" s="39"/>
      <c r="BE332" s="39"/>
      <c r="BF332" s="39"/>
      <c r="BG332" s="39"/>
      <c r="BH332" s="39"/>
      <c r="BI332" s="39"/>
      <c r="BJ332" s="39"/>
      <c r="BK332" s="39">
        <f>IFERROR(VLOOKUP("29_"&amp;A332,SyS!$B:$P,10,FALSE()),0)</f>
        <v>0</v>
      </c>
      <c r="BL332" s="39">
        <f>IFERROR(VLOOKUP("29_"&amp;A332,SyS!$B:$P,12,FALSE()),0)</f>
        <v>0</v>
      </c>
      <c r="BM332" s="39">
        <f>+BK332-BL332</f>
        <v>0</v>
      </c>
      <c r="BN332" s="38">
        <f>IFERROR(VLOOKUP("30_"&amp;A332,SyS!$B:$P,10,FALSE()),0)</f>
        <v>0</v>
      </c>
      <c r="BO332" s="39">
        <f>IFERROR(VLOOKUP("30_"&amp;A332,SyS!$B:$P,12,FALSE()),0)</f>
        <v>0</v>
      </c>
      <c r="BP332" s="40">
        <f>+BN332-BO332</f>
        <v>0</v>
      </c>
      <c r="BQ332" s="45">
        <f>+E332+H332+K332+Q332+T332+W332+Z332+AC332+AF332+AI332+AL332+AO332+AR332+AU332+AX332+BA332+BD332+BG332+BJ332+BM332+BP332</f>
        <v>0</v>
      </c>
    </row>
    <row r="333" ht="11.25" customHeight="1" spans="1:69" x14ac:dyDescent="0.25">
      <c r="A333" s="18">
        <v>421330000</v>
      </c>
      <c r="B333" s="18" t="s">
        <v>562</v>
      </c>
      <c r="C333" s="38">
        <f>IFERROR(VLOOKUP("1_"&amp;A333,SyS!$B:$P,10,FALSE()),0)</f>
        <v>0</v>
      </c>
      <c r="D333" s="39">
        <f>IFERROR(VLOOKUP("1_"&amp;A333,SyS!$B:$P,12,FALSE()),0)</f>
        <v>0</v>
      </c>
      <c r="E333" s="39">
        <f>+C333-D333</f>
        <v>0</v>
      </c>
      <c r="F333" s="38">
        <f>IFERROR(VLOOKUP("2_"&amp;A333,SyS!$B:$P,10,FALSE()),0)</f>
        <v>0</v>
      </c>
      <c r="G333" s="39">
        <f>IFERROR(VLOOKUP("2_"&amp;A333,SyS!$B:$P,12,FALSE()),0)</f>
        <v>0</v>
      </c>
      <c r="H333" s="40">
        <f>+F333-G333</f>
        <v>0</v>
      </c>
      <c r="I333" s="39"/>
      <c r="J333" s="39"/>
      <c r="K333" s="39"/>
      <c r="L333" s="39"/>
      <c r="M333" s="39"/>
      <c r="N333" s="39"/>
      <c r="O333" s="38">
        <f>IFERROR(VLOOKUP("14_"&amp;A333,SyS!$B:$P,10,FALSE()),0)</f>
        <v>0</v>
      </c>
      <c r="P333" s="39">
        <f>IFERROR(VLOOKUP("14_"&amp;A333,SyS!$B:$P,12,FALSE()),0)</f>
        <v>0</v>
      </c>
      <c r="Q333" s="40">
        <f>+O333-P333</f>
        <v>0</v>
      </c>
      <c r="R333" s="38">
        <f>IFERROR(VLOOKUP("15_"&amp;A333,SyS!$B:$P,10,FALSE()),0)</f>
        <v>0</v>
      </c>
      <c r="S333" s="39">
        <f>IFERROR(VLOOKUP("15_"&amp;A333,SyS!$B:$P,12,FALSE()),0)</f>
        <v>0</v>
      </c>
      <c r="T333" s="40">
        <f>+R333-S333</f>
        <v>0</v>
      </c>
      <c r="U333" s="38">
        <f>IFERROR(VLOOKUP("16_"&amp;A333,SyS!$B:$P,10,FALSE()),0)</f>
        <v>0</v>
      </c>
      <c r="V333" s="39">
        <f>IFERROR(VLOOKUP("16_"&amp;A333,SyS!$B:$P,12,FALSE()),0)</f>
        <v>0</v>
      </c>
      <c r="W333" s="40">
        <f>+U333-V333</f>
        <v>0</v>
      </c>
      <c r="X333" s="38">
        <f>IFERROR(VLOOKUP("13_"&amp;A333,SyS!$B:$P,10,FALSE()),0)</f>
        <v>0</v>
      </c>
      <c r="Y333" s="39">
        <f>IFERROR(VLOOKUP("13_"&amp;A333,SyS!$B:$P,12,FALSE()),0)</f>
        <v>0</v>
      </c>
      <c r="Z333" s="40">
        <f>+X333-Y333</f>
        <v>0</v>
      </c>
      <c r="AA333" s="38">
        <f>IFERROR(VLOOKUP("17_"&amp;A333,SyS!$B:$P,10,FALSE()),0)</f>
        <v>0</v>
      </c>
      <c r="AB333" s="39">
        <f>IFERROR(VLOOKUP("17_"&amp;A333,SyS!$B:$P,12,FALSE()),0)</f>
        <v>0</v>
      </c>
      <c r="AC333" s="40">
        <f>+AA333-AB333</f>
        <v>0</v>
      </c>
      <c r="AD333" s="39"/>
      <c r="AE333" s="39"/>
      <c r="AF333" s="39"/>
      <c r="AG333" s="39">
        <f>IFERROR(VLOOKUP("19_"&amp;A333,SyS!$B:$P,10,FALSE()),0)</f>
        <v>0</v>
      </c>
      <c r="AH333" s="39">
        <f>IFERROR(VLOOKUP("19_"&amp;A333,SyS!$B:$P,12,FALSE()),0)</f>
        <v>0</v>
      </c>
      <c r="AI333" s="39">
        <f>+AG333-AH333</f>
        <v>0</v>
      </c>
      <c r="AJ333" s="39"/>
      <c r="AK333" s="39"/>
      <c r="AL333" s="39"/>
      <c r="AM333" s="38">
        <f>IFERROR(VLOOKUP("23_"&amp;A333,SyS!$B:$P,10,FALSE()),0)</f>
        <v>0</v>
      </c>
      <c r="AN333" s="39">
        <f>IFERROR(VLOOKUP("23_"&amp;A333,SyS!$B:$P,12,FALSE()),0)</f>
        <v>0</v>
      </c>
      <c r="AO333" s="40">
        <f>+AM333-AN333</f>
        <v>0</v>
      </c>
      <c r="AP333" s="39"/>
      <c r="AQ333" s="39"/>
      <c r="AR333" s="39"/>
      <c r="AS333" s="39"/>
      <c r="AT333" s="39"/>
      <c r="AU333" s="39"/>
      <c r="AV333" s="39"/>
      <c r="AW333" s="39"/>
      <c r="AX333" s="39"/>
      <c r="AY333" s="39"/>
      <c r="AZ333" s="39"/>
      <c r="BA333" s="39"/>
      <c r="BB333" s="39"/>
      <c r="BC333" s="39"/>
      <c r="BD333" s="39"/>
      <c r="BE333" s="39"/>
      <c r="BF333" s="39"/>
      <c r="BG333" s="39"/>
      <c r="BH333" s="39"/>
      <c r="BI333" s="39"/>
      <c r="BJ333" s="39"/>
      <c r="BK333" s="39">
        <f>IFERROR(VLOOKUP("29_"&amp;A333,SyS!$B:$P,10,FALSE()),0)</f>
        <v>0</v>
      </c>
      <c r="BL333" s="39">
        <f>IFERROR(VLOOKUP("29_"&amp;A333,SyS!$B:$P,12,FALSE()),0)</f>
        <v>0</v>
      </c>
      <c r="BM333" s="39">
        <f>+BK333-BL333</f>
        <v>0</v>
      </c>
      <c r="BN333" s="38">
        <f>IFERROR(VLOOKUP("30_"&amp;A333,SyS!$B:$P,10,FALSE()),0)</f>
        <v>0</v>
      </c>
      <c r="BO333" s="39">
        <f>IFERROR(VLOOKUP("30_"&amp;A333,SyS!$B:$P,12,FALSE()),0)</f>
        <v>0</v>
      </c>
      <c r="BP333" s="40">
        <f>+BN333-BO333</f>
        <v>0</v>
      </c>
      <c r="BQ333" s="45">
        <f>+E333+H333+K333+Q333+T333+W333+Z333+AC333+AF333+AI333+AL333+AO333+AR333+AU333+AX333+BA333+BD333+BG333+BJ333+BM333+BP333</f>
        <v>0</v>
      </c>
    </row>
    <row r="334" ht="11.25" customHeight="1" spans="1:69" x14ac:dyDescent="0.25">
      <c r="A334" s="18">
        <v>421360000</v>
      </c>
      <c r="B334" s="18" t="s">
        <v>563</v>
      </c>
      <c r="C334" s="38">
        <f>IFERROR(VLOOKUP("1_"&amp;A334,SyS!$B:$P,10,FALSE()),0)</f>
        <v>0</v>
      </c>
      <c r="D334" s="39">
        <f>IFERROR(VLOOKUP("1_"&amp;A334,SyS!$B:$P,12,FALSE()),0)</f>
        <v>0</v>
      </c>
      <c r="E334" s="39">
        <f>+C334-D334</f>
        <v>0</v>
      </c>
      <c r="F334" s="38">
        <f>IFERROR(VLOOKUP("2_"&amp;A334,SyS!$B:$P,10,FALSE()),0)</f>
        <v>0</v>
      </c>
      <c r="G334" s="39">
        <f>IFERROR(VLOOKUP("2_"&amp;A334,SyS!$B:$P,12,FALSE()),0)</f>
        <v>0</v>
      </c>
      <c r="H334" s="40">
        <f>+F334-G334</f>
        <v>0</v>
      </c>
      <c r="I334" s="39"/>
      <c r="J334" s="39"/>
      <c r="K334" s="39"/>
      <c r="L334" s="39"/>
      <c r="M334" s="39"/>
      <c r="N334" s="39"/>
      <c r="O334" s="38">
        <f>IFERROR(VLOOKUP("14_"&amp;A334,SyS!$B:$P,10,FALSE()),0)</f>
        <v>0</v>
      </c>
      <c r="P334" s="39">
        <f>IFERROR(VLOOKUP("14_"&amp;A334,SyS!$B:$P,12,FALSE()),0)</f>
        <v>0</v>
      </c>
      <c r="Q334" s="40">
        <f>+O334-P334</f>
        <v>0</v>
      </c>
      <c r="R334" s="38">
        <f>IFERROR(VLOOKUP("15_"&amp;A334,SyS!$B:$P,10,FALSE()),0)</f>
        <v>0</v>
      </c>
      <c r="S334" s="39">
        <f>IFERROR(VLOOKUP("15_"&amp;A334,SyS!$B:$P,12,FALSE()),0)</f>
        <v>0</v>
      </c>
      <c r="T334" s="40">
        <f>+R334-S334</f>
        <v>0</v>
      </c>
      <c r="U334" s="38">
        <f>IFERROR(VLOOKUP("16_"&amp;A334,SyS!$B:$P,10,FALSE()),0)</f>
        <v>0</v>
      </c>
      <c r="V334" s="39">
        <f>IFERROR(VLOOKUP("16_"&amp;A334,SyS!$B:$P,12,FALSE()),0)</f>
        <v>0</v>
      </c>
      <c r="W334" s="40">
        <f>+U334-V334</f>
        <v>0</v>
      </c>
      <c r="X334" s="38">
        <f>IFERROR(VLOOKUP("13_"&amp;A334,SyS!$B:$P,10,FALSE()),0)</f>
        <v>0</v>
      </c>
      <c r="Y334" s="39">
        <f>IFERROR(VLOOKUP("13_"&amp;A334,SyS!$B:$P,12,FALSE()),0)</f>
        <v>0</v>
      </c>
      <c r="Z334" s="40">
        <f>+X334-Y334</f>
        <v>0</v>
      </c>
      <c r="AA334" s="38">
        <f>IFERROR(VLOOKUP("17_"&amp;A334,SyS!$B:$P,10,FALSE()),0)</f>
        <v>0</v>
      </c>
      <c r="AB334" s="39">
        <f>IFERROR(VLOOKUP("17_"&amp;A334,SyS!$B:$P,12,FALSE()),0)</f>
        <v>0</v>
      </c>
      <c r="AC334" s="40">
        <f>+AA334-AB334</f>
        <v>0</v>
      </c>
      <c r="AD334" s="39"/>
      <c r="AE334" s="39"/>
      <c r="AF334" s="39"/>
      <c r="AG334" s="39">
        <f>IFERROR(VLOOKUP("19_"&amp;A334,SyS!$B:$P,10,FALSE()),0)</f>
        <v>0</v>
      </c>
      <c r="AH334" s="39">
        <f>IFERROR(VLOOKUP("19_"&amp;A334,SyS!$B:$P,12,FALSE()),0)</f>
        <v>0</v>
      </c>
      <c r="AI334" s="39">
        <f>+AG334-AH334</f>
        <v>0</v>
      </c>
      <c r="AJ334" s="39"/>
      <c r="AK334" s="39"/>
      <c r="AL334" s="39"/>
      <c r="AM334" s="38">
        <f>IFERROR(VLOOKUP("23_"&amp;A334,SyS!$B:$P,10,FALSE()),0)</f>
        <v>0</v>
      </c>
      <c r="AN334" s="39">
        <f>IFERROR(VLOOKUP("23_"&amp;A334,SyS!$B:$P,12,FALSE()),0)</f>
        <v>0</v>
      </c>
      <c r="AO334" s="40">
        <f>+AM334-AN334</f>
        <v>0</v>
      </c>
      <c r="AP334" s="39"/>
      <c r="AQ334" s="39"/>
      <c r="AR334" s="39"/>
      <c r="AS334" s="39"/>
      <c r="AT334" s="39"/>
      <c r="AU334" s="39"/>
      <c r="AV334" s="39"/>
      <c r="AW334" s="39"/>
      <c r="AX334" s="39"/>
      <c r="AY334" s="39"/>
      <c r="AZ334" s="39"/>
      <c r="BA334" s="39"/>
      <c r="BB334" s="39"/>
      <c r="BC334" s="39"/>
      <c r="BD334" s="39"/>
      <c r="BE334" s="39"/>
      <c r="BF334" s="39"/>
      <c r="BG334" s="39"/>
      <c r="BH334" s="39"/>
      <c r="BI334" s="39"/>
      <c r="BJ334" s="39"/>
      <c r="BK334" s="39">
        <f>IFERROR(VLOOKUP("29_"&amp;A334,SyS!$B:$P,10,FALSE()),0)</f>
        <v>0</v>
      </c>
      <c r="BL334" s="39">
        <f>IFERROR(VLOOKUP("29_"&amp;A334,SyS!$B:$P,12,FALSE()),0)</f>
        <v>0</v>
      </c>
      <c r="BM334" s="39">
        <f>+BK334-BL334</f>
        <v>0</v>
      </c>
      <c r="BN334" s="38">
        <f>IFERROR(VLOOKUP("30_"&amp;A334,SyS!$B:$P,10,FALSE()),0)</f>
        <v>0</v>
      </c>
      <c r="BO334" s="39">
        <f>IFERROR(VLOOKUP("30_"&amp;A334,SyS!$B:$P,12,FALSE()),0)</f>
        <v>0</v>
      </c>
      <c r="BP334" s="40">
        <f>+BN334-BO334</f>
        <v>0</v>
      </c>
      <c r="BQ334" s="45">
        <f>+E334+H334+K334+Q334+T334+W334+Z334+AC334+AF334+AI334+AL334+AO334+AR334+AU334+AX334+BA334+BD334+BG334+BJ334+BM334+BP334</f>
        <v>0</v>
      </c>
    </row>
    <row r="335" ht="11.25" customHeight="1" spans="1:69" x14ac:dyDescent="0.25">
      <c r="A335" s="18">
        <v>421370000</v>
      </c>
      <c r="B335" s="18" t="s">
        <v>564</v>
      </c>
      <c r="C335" s="38">
        <f>IFERROR(VLOOKUP("1_"&amp;A335,SyS!$B:$P,10,FALSE()),0)</f>
        <v>0</v>
      </c>
      <c r="D335" s="39">
        <f>IFERROR(VLOOKUP("1_"&amp;A335,SyS!$B:$P,12,FALSE()),0)</f>
        <v>0</v>
      </c>
      <c r="E335" s="39">
        <f>+C335-D335</f>
        <v>0</v>
      </c>
      <c r="F335" s="38">
        <f>IFERROR(VLOOKUP("2_"&amp;A335,SyS!$B:$P,10,FALSE()),0)</f>
        <v>0</v>
      </c>
      <c r="G335" s="39">
        <f>IFERROR(VLOOKUP("2_"&amp;A335,SyS!$B:$P,12,FALSE()),0)</f>
        <v>0</v>
      </c>
      <c r="H335" s="40">
        <f>+F335-G335</f>
        <v>0</v>
      </c>
      <c r="I335" s="39"/>
      <c r="J335" s="39"/>
      <c r="K335" s="39"/>
      <c r="L335" s="39"/>
      <c r="M335" s="39"/>
      <c r="N335" s="39"/>
      <c r="O335" s="38">
        <f>IFERROR(VLOOKUP("14_"&amp;A335,SyS!$B:$P,10,FALSE()),0)</f>
        <v>0</v>
      </c>
      <c r="P335" s="39">
        <f>IFERROR(VLOOKUP("14_"&amp;A335,SyS!$B:$P,12,FALSE()),0)</f>
        <v>0</v>
      </c>
      <c r="Q335" s="40">
        <f>+O335-P335</f>
        <v>0</v>
      </c>
      <c r="R335" s="38">
        <f>IFERROR(VLOOKUP("15_"&amp;A335,SyS!$B:$P,10,FALSE()),0)</f>
        <v>0</v>
      </c>
      <c r="S335" s="39">
        <f>IFERROR(VLOOKUP("15_"&amp;A335,SyS!$B:$P,12,FALSE()),0)</f>
        <v>0</v>
      </c>
      <c r="T335" s="40">
        <f>+R335-S335</f>
        <v>0</v>
      </c>
      <c r="U335" s="38">
        <f>IFERROR(VLOOKUP("16_"&amp;A335,SyS!$B:$P,10,FALSE()),0)</f>
        <v>0</v>
      </c>
      <c r="V335" s="39">
        <f>IFERROR(VLOOKUP("16_"&amp;A335,SyS!$B:$P,12,FALSE()),0)</f>
        <v>0</v>
      </c>
      <c r="W335" s="40">
        <f>+U335-V335</f>
        <v>0</v>
      </c>
      <c r="X335" s="38">
        <f>IFERROR(VLOOKUP("13_"&amp;A335,SyS!$B:$P,10,FALSE()),0)</f>
        <v>0</v>
      </c>
      <c r="Y335" s="39">
        <f>IFERROR(VLOOKUP("13_"&amp;A335,SyS!$B:$P,12,FALSE()),0)</f>
        <v>0</v>
      </c>
      <c r="Z335" s="40">
        <f>+X335-Y335</f>
        <v>0</v>
      </c>
      <c r="AA335" s="38">
        <f>IFERROR(VLOOKUP("17_"&amp;A335,SyS!$B:$P,10,FALSE()),0)</f>
        <v>0</v>
      </c>
      <c r="AB335" s="39">
        <f>IFERROR(VLOOKUP("17_"&amp;A335,SyS!$B:$P,12,FALSE()),0)</f>
        <v>0</v>
      </c>
      <c r="AC335" s="40">
        <f>+AA335-AB335</f>
        <v>0</v>
      </c>
      <c r="AD335" s="39"/>
      <c r="AE335" s="39"/>
      <c r="AF335" s="39"/>
      <c r="AG335" s="39">
        <f>IFERROR(VLOOKUP("19_"&amp;A335,SyS!$B:$P,10,FALSE()),0)</f>
        <v>0</v>
      </c>
      <c r="AH335" s="39">
        <f>IFERROR(VLOOKUP("19_"&amp;A335,SyS!$B:$P,12,FALSE()),0)</f>
        <v>0</v>
      </c>
      <c r="AI335" s="39">
        <f>+AG335-AH335</f>
        <v>0</v>
      </c>
      <c r="AJ335" s="39"/>
      <c r="AK335" s="39"/>
      <c r="AL335" s="39"/>
      <c r="AM335" s="38">
        <f>IFERROR(VLOOKUP("23_"&amp;A335,SyS!$B:$P,10,FALSE()),0)</f>
        <v>0</v>
      </c>
      <c r="AN335" s="39">
        <f>IFERROR(VLOOKUP("23_"&amp;A335,SyS!$B:$P,12,FALSE()),0)</f>
        <v>0</v>
      </c>
      <c r="AO335" s="40">
        <f>+AM335-AN335</f>
        <v>0</v>
      </c>
      <c r="AP335" s="39"/>
      <c r="AQ335" s="39"/>
      <c r="AR335" s="39"/>
      <c r="AS335" s="39"/>
      <c r="AT335" s="39"/>
      <c r="AU335" s="39"/>
      <c r="AV335" s="39"/>
      <c r="AW335" s="39"/>
      <c r="AX335" s="39"/>
      <c r="AY335" s="39"/>
      <c r="AZ335" s="39"/>
      <c r="BA335" s="39"/>
      <c r="BB335" s="39"/>
      <c r="BC335" s="39"/>
      <c r="BD335" s="39"/>
      <c r="BE335" s="39"/>
      <c r="BF335" s="39"/>
      <c r="BG335" s="39"/>
      <c r="BH335" s="39"/>
      <c r="BI335" s="39"/>
      <c r="BJ335" s="39"/>
      <c r="BK335" s="39">
        <f>IFERROR(VLOOKUP("29_"&amp;A335,SyS!$B:$P,10,FALSE()),0)</f>
        <v>0</v>
      </c>
      <c r="BL335" s="39">
        <f>IFERROR(VLOOKUP("29_"&amp;A335,SyS!$B:$P,12,FALSE()),0)</f>
        <v>0</v>
      </c>
      <c r="BM335" s="39">
        <f>+BK335-BL335</f>
        <v>0</v>
      </c>
      <c r="BN335" s="38">
        <f>IFERROR(VLOOKUP("30_"&amp;A335,SyS!$B:$P,10,FALSE()),0)</f>
        <v>0</v>
      </c>
      <c r="BO335" s="39">
        <f>IFERROR(VLOOKUP("30_"&amp;A335,SyS!$B:$P,12,FALSE()),0)</f>
        <v>0</v>
      </c>
      <c r="BP335" s="40">
        <f>+BN335-BO335</f>
        <v>0</v>
      </c>
      <c r="BQ335" s="45">
        <f>+E335+H335+K335+Q335+T335+W335+Z335+AC335+AF335+AI335+AL335+AO335+AR335+AU335+AX335+BA335+BD335+BG335+BJ335+BM335+BP335</f>
        <v>0</v>
      </c>
    </row>
    <row r="336" ht="11.25" customHeight="1" spans="1:69" x14ac:dyDescent="0.25">
      <c r="A336" s="18">
        <v>421380000</v>
      </c>
      <c r="B336" s="18" t="s">
        <v>565</v>
      </c>
      <c r="C336" s="38">
        <f>IFERROR(VLOOKUP("1_"&amp;A336,SyS!$B:$P,10,FALSE()),0)</f>
        <v>0</v>
      </c>
      <c r="D336" s="39">
        <f>IFERROR(VLOOKUP("1_"&amp;A336,SyS!$B:$P,12,FALSE()),0)</f>
        <v>0</v>
      </c>
      <c r="E336" s="39">
        <f>+C336-D336</f>
        <v>0</v>
      </c>
      <c r="F336" s="38">
        <f>IFERROR(VLOOKUP("2_"&amp;A336,SyS!$B:$P,10,FALSE()),0)</f>
        <v>0</v>
      </c>
      <c r="G336" s="39">
        <f>IFERROR(VLOOKUP("2_"&amp;A336,SyS!$B:$P,12,FALSE()),0)</f>
        <v>0</v>
      </c>
      <c r="H336" s="40">
        <f>+F336-G336</f>
        <v>0</v>
      </c>
      <c r="I336" s="39"/>
      <c r="J336" s="39"/>
      <c r="K336" s="39"/>
      <c r="L336" s="39"/>
      <c r="M336" s="39"/>
      <c r="N336" s="39"/>
      <c r="O336" s="38">
        <f>IFERROR(VLOOKUP("14_"&amp;A336,SyS!$B:$P,10,FALSE()),0)</f>
        <v>0</v>
      </c>
      <c r="P336" s="39">
        <f>IFERROR(VLOOKUP("14_"&amp;A336,SyS!$B:$P,12,FALSE()),0)</f>
        <v>0</v>
      </c>
      <c r="Q336" s="40">
        <f>+O336-P336</f>
        <v>0</v>
      </c>
      <c r="R336" s="38">
        <f>IFERROR(VLOOKUP("15_"&amp;A336,SyS!$B:$P,10,FALSE()),0)</f>
        <v>0</v>
      </c>
      <c r="S336" s="39">
        <f>IFERROR(VLOOKUP("15_"&amp;A336,SyS!$B:$P,12,FALSE()),0)</f>
        <v>0</v>
      </c>
      <c r="T336" s="40">
        <f>+R336-S336</f>
        <v>0</v>
      </c>
      <c r="U336" s="38">
        <f>IFERROR(VLOOKUP("16_"&amp;A336,SyS!$B:$P,10,FALSE()),0)</f>
        <v>0</v>
      </c>
      <c r="V336" s="39">
        <f>IFERROR(VLOOKUP("16_"&amp;A336,SyS!$B:$P,12,FALSE()),0)</f>
        <v>0</v>
      </c>
      <c r="W336" s="40">
        <f>+U336-V336</f>
        <v>0</v>
      </c>
      <c r="X336" s="38">
        <f>IFERROR(VLOOKUP("13_"&amp;A336,SyS!$B:$P,10,FALSE()),0)</f>
        <v>0</v>
      </c>
      <c r="Y336" s="39">
        <f>IFERROR(VLOOKUP("13_"&amp;A336,SyS!$B:$P,12,FALSE()),0)</f>
        <v>0</v>
      </c>
      <c r="Z336" s="40">
        <f>+X336-Y336</f>
        <v>0</v>
      </c>
      <c r="AA336" s="38">
        <f>IFERROR(VLOOKUP("17_"&amp;A336,SyS!$B:$P,10,FALSE()),0)</f>
        <v>0</v>
      </c>
      <c r="AB336" s="39">
        <f>IFERROR(VLOOKUP("17_"&amp;A336,SyS!$B:$P,12,FALSE()),0)</f>
        <v>0</v>
      </c>
      <c r="AC336" s="40">
        <f>+AA336-AB336</f>
        <v>0</v>
      </c>
      <c r="AD336" s="39"/>
      <c r="AE336" s="39"/>
      <c r="AF336" s="39"/>
      <c r="AG336" s="39">
        <f>IFERROR(VLOOKUP("19_"&amp;A336,SyS!$B:$P,10,FALSE()),0)</f>
        <v>0</v>
      </c>
      <c r="AH336" s="39">
        <f>IFERROR(VLOOKUP("19_"&amp;A336,SyS!$B:$P,12,FALSE()),0)</f>
        <v>0</v>
      </c>
      <c r="AI336" s="39">
        <f>+AG336-AH336</f>
        <v>0</v>
      </c>
      <c r="AJ336" s="39"/>
      <c r="AK336" s="39"/>
      <c r="AL336" s="39"/>
      <c r="AM336" s="38">
        <f>IFERROR(VLOOKUP("23_"&amp;A336,SyS!$B:$P,10,FALSE()),0)</f>
        <v>0</v>
      </c>
      <c r="AN336" s="39">
        <f>IFERROR(VLOOKUP("23_"&amp;A336,SyS!$B:$P,12,FALSE()),0)</f>
        <v>0</v>
      </c>
      <c r="AO336" s="40">
        <f>+AM336-AN336</f>
        <v>0</v>
      </c>
      <c r="AP336" s="39"/>
      <c r="AQ336" s="39"/>
      <c r="AR336" s="39"/>
      <c r="AS336" s="39"/>
      <c r="AT336" s="39"/>
      <c r="AU336" s="39"/>
      <c r="AV336" s="39"/>
      <c r="AW336" s="39"/>
      <c r="AX336" s="39"/>
      <c r="AY336" s="39"/>
      <c r="AZ336" s="39"/>
      <c r="BA336" s="39"/>
      <c r="BB336" s="39"/>
      <c r="BC336" s="39"/>
      <c r="BD336" s="39"/>
      <c r="BE336" s="39"/>
      <c r="BF336" s="39"/>
      <c r="BG336" s="39"/>
      <c r="BH336" s="39"/>
      <c r="BI336" s="39"/>
      <c r="BJ336" s="39"/>
      <c r="BK336" s="39">
        <f>IFERROR(VLOOKUP("29_"&amp;A336,SyS!$B:$P,10,FALSE()),0)</f>
        <v>0</v>
      </c>
      <c r="BL336" s="39">
        <f>IFERROR(VLOOKUP("29_"&amp;A336,SyS!$B:$P,12,FALSE()),0)</f>
        <v>0</v>
      </c>
      <c r="BM336" s="39">
        <f>+BK336-BL336</f>
        <v>0</v>
      </c>
      <c r="BN336" s="38">
        <f>IFERROR(VLOOKUP("30_"&amp;A336,SyS!$B:$P,10,FALSE()),0)</f>
        <v>0</v>
      </c>
      <c r="BO336" s="39">
        <f>IFERROR(VLOOKUP("30_"&amp;A336,SyS!$B:$P,12,FALSE()),0)</f>
        <v>0</v>
      </c>
      <c r="BP336" s="40">
        <f>+BN336-BO336</f>
        <v>0</v>
      </c>
      <c r="BQ336" s="45">
        <f>+E336+H336+K336+Q336+T336+W336+Z336+AC336+AF336+AI336+AL336+AO336+AR336+AU336+AX336+BA336+BD336+BG336+BJ336+BM336+BP336</f>
        <v>0</v>
      </c>
    </row>
    <row r="337" ht="11.25" customHeight="1" spans="1:69" x14ac:dyDescent="0.25">
      <c r="A337" s="18">
        <v>421450000</v>
      </c>
      <c r="B337" s="18" t="s">
        <v>566</v>
      </c>
      <c r="C337" s="38">
        <f>IFERROR(VLOOKUP("1_"&amp;A337,SyS!$B:$P,10,FALSE()),0)</f>
        <v>0</v>
      </c>
      <c r="D337" s="39">
        <f>IFERROR(VLOOKUP("1_"&amp;A337,SyS!$B:$P,12,FALSE()),0)</f>
        <v>0</v>
      </c>
      <c r="E337" s="39">
        <f>+C337-D337</f>
        <v>0</v>
      </c>
      <c r="F337" s="38">
        <f>IFERROR(VLOOKUP("2_"&amp;A337,SyS!$B:$P,10,FALSE()),0)</f>
        <v>0</v>
      </c>
      <c r="G337" s="39">
        <f>IFERROR(VLOOKUP("2_"&amp;A337,SyS!$B:$P,12,FALSE()),0)</f>
        <v>0</v>
      </c>
      <c r="H337" s="40">
        <f>+F337-G337</f>
        <v>0</v>
      </c>
      <c r="I337" s="39"/>
      <c r="J337" s="39"/>
      <c r="K337" s="39"/>
      <c r="L337" s="39"/>
      <c r="M337" s="39"/>
      <c r="N337" s="39"/>
      <c r="O337" s="38">
        <f>IFERROR(VLOOKUP("14_"&amp;A337,SyS!$B:$P,10,FALSE()),0)</f>
        <v>0</v>
      </c>
      <c r="P337" s="39">
        <f>IFERROR(VLOOKUP("14_"&amp;A337,SyS!$B:$P,12,FALSE()),0)</f>
        <v>0</v>
      </c>
      <c r="Q337" s="40">
        <f>+O337-P337</f>
        <v>0</v>
      </c>
      <c r="R337" s="38">
        <f>IFERROR(VLOOKUP("15_"&amp;A337,SyS!$B:$P,10,FALSE()),0)</f>
        <v>0</v>
      </c>
      <c r="S337" s="39">
        <f>IFERROR(VLOOKUP("15_"&amp;A337,SyS!$B:$P,12,FALSE()),0)</f>
        <v>0</v>
      </c>
      <c r="T337" s="40">
        <f>+R337-S337</f>
        <v>0</v>
      </c>
      <c r="U337" s="38">
        <f>IFERROR(VLOOKUP("16_"&amp;A337,SyS!$B:$P,10,FALSE()),0)</f>
        <v>0</v>
      </c>
      <c r="V337" s="39">
        <f>IFERROR(VLOOKUP("16_"&amp;A337,SyS!$B:$P,12,FALSE()),0)</f>
        <v>0</v>
      </c>
      <c r="W337" s="40">
        <f>+U337-V337</f>
        <v>0</v>
      </c>
      <c r="X337" s="38">
        <f>IFERROR(VLOOKUP("13_"&amp;A337,SyS!$B:$P,10,FALSE()),0)</f>
        <v>0</v>
      </c>
      <c r="Y337" s="39">
        <f>IFERROR(VLOOKUP("13_"&amp;A337,SyS!$B:$P,12,FALSE()),0)</f>
        <v>0</v>
      </c>
      <c r="Z337" s="40">
        <f>+X337-Y337</f>
        <v>0</v>
      </c>
      <c r="AA337" s="38">
        <f>IFERROR(VLOOKUP("17_"&amp;A337,SyS!$B:$P,10,FALSE()),0)</f>
        <v>0</v>
      </c>
      <c r="AB337" s="39">
        <f>IFERROR(VLOOKUP("17_"&amp;A337,SyS!$B:$P,12,FALSE()),0)</f>
        <v>0</v>
      </c>
      <c r="AC337" s="40">
        <f>+AA337-AB337</f>
        <v>0</v>
      </c>
      <c r="AD337" s="39"/>
      <c r="AE337" s="39"/>
      <c r="AF337" s="39"/>
      <c r="AG337" s="39">
        <f>IFERROR(VLOOKUP("19_"&amp;A337,SyS!$B:$P,10,FALSE()),0)</f>
        <v>0</v>
      </c>
      <c r="AH337" s="39">
        <f>IFERROR(VLOOKUP("19_"&amp;A337,SyS!$B:$P,12,FALSE()),0)</f>
        <v>0</v>
      </c>
      <c r="AI337" s="39">
        <f>+AG337-AH337</f>
        <v>0</v>
      </c>
      <c r="AJ337" s="39"/>
      <c r="AK337" s="39"/>
      <c r="AL337" s="39"/>
      <c r="AM337" s="38">
        <f>IFERROR(VLOOKUP("23_"&amp;A337,SyS!$B:$P,10,FALSE()),0)</f>
        <v>0</v>
      </c>
      <c r="AN337" s="39">
        <f>IFERROR(VLOOKUP("23_"&amp;A337,SyS!$B:$P,12,FALSE()),0)</f>
        <v>0</v>
      </c>
      <c r="AO337" s="40">
        <f>+AM337-AN337</f>
        <v>0</v>
      </c>
      <c r="AP337" s="39"/>
      <c r="AQ337" s="39"/>
      <c r="AR337" s="39"/>
      <c r="AS337" s="39"/>
      <c r="AT337" s="39"/>
      <c r="AU337" s="39"/>
      <c r="AV337" s="39"/>
      <c r="AW337" s="39"/>
      <c r="AX337" s="39"/>
      <c r="AY337" s="39"/>
      <c r="AZ337" s="39"/>
      <c r="BA337" s="39"/>
      <c r="BB337" s="39"/>
      <c r="BC337" s="39"/>
      <c r="BD337" s="39"/>
      <c r="BE337" s="39"/>
      <c r="BF337" s="39"/>
      <c r="BG337" s="39"/>
      <c r="BH337" s="39"/>
      <c r="BI337" s="39"/>
      <c r="BJ337" s="39"/>
      <c r="BK337" s="39">
        <f>IFERROR(VLOOKUP("29_"&amp;A337,SyS!$B:$P,10,FALSE()),0)</f>
        <v>0</v>
      </c>
      <c r="BL337" s="39">
        <f>IFERROR(VLOOKUP("29_"&amp;A337,SyS!$B:$P,12,FALSE()),0)</f>
        <v>0</v>
      </c>
      <c r="BM337" s="39">
        <f>+BK337-BL337</f>
        <v>0</v>
      </c>
      <c r="BN337" s="38">
        <f>IFERROR(VLOOKUP("30_"&amp;A337,SyS!$B:$P,10,FALSE()),0)</f>
        <v>0</v>
      </c>
      <c r="BO337" s="39">
        <f>IFERROR(VLOOKUP("30_"&amp;A337,SyS!$B:$P,12,FALSE()),0)</f>
        <v>0</v>
      </c>
      <c r="BP337" s="40">
        <f>+BN337-BO337</f>
        <v>0</v>
      </c>
      <c r="BQ337" s="45">
        <f>+E337+H337+K337+Q337+T337+W337+Z337+AC337+AF337+AI337+AL337+AO337+AR337+AU337+AX337+BA337+BD337+BG337+BJ337+BM337+BP337</f>
        <v>0</v>
      </c>
    </row>
    <row r="338" ht="11.25" customHeight="1" spans="1:69" x14ac:dyDescent="0.25">
      <c r="A338" s="18">
        <v>427290000</v>
      </c>
      <c r="B338" s="18" t="s">
        <v>567</v>
      </c>
      <c r="C338" s="38">
        <f>IFERROR(VLOOKUP("1_"&amp;A338,SyS!$B:$P,10,FALSE()),0)</f>
        <v>0</v>
      </c>
      <c r="D338" s="39">
        <f>IFERROR(VLOOKUP("1_"&amp;A338,SyS!$B:$P,12,FALSE()),0)</f>
        <v>0</v>
      </c>
      <c r="E338" s="39">
        <f>+C338-D338</f>
        <v>0</v>
      </c>
      <c r="F338" s="38">
        <f>IFERROR(VLOOKUP("2_"&amp;A338,SyS!$B:$P,10,FALSE()),0)</f>
        <v>0</v>
      </c>
      <c r="G338" s="39">
        <f>IFERROR(VLOOKUP("2_"&amp;A338,SyS!$B:$P,12,FALSE()),0)</f>
        <v>0</v>
      </c>
      <c r="H338" s="40">
        <f>+F338-G338</f>
        <v>0</v>
      </c>
      <c r="I338" s="39"/>
      <c r="J338" s="39"/>
      <c r="K338" s="39"/>
      <c r="L338" s="39"/>
      <c r="M338" s="39"/>
      <c r="N338" s="39"/>
      <c r="O338" s="38">
        <f>IFERROR(VLOOKUP("14_"&amp;A338,SyS!$B:$P,10,FALSE()),0)</f>
        <v>0</v>
      </c>
      <c r="P338" s="39">
        <f>IFERROR(VLOOKUP("14_"&amp;A338,SyS!$B:$P,12,FALSE()),0)</f>
        <v>0</v>
      </c>
      <c r="Q338" s="40">
        <f>+O338-P338</f>
        <v>0</v>
      </c>
      <c r="R338" s="38">
        <f>IFERROR(VLOOKUP("15_"&amp;A338,SyS!$B:$P,10,FALSE()),0)</f>
        <v>0</v>
      </c>
      <c r="S338" s="39">
        <f>IFERROR(VLOOKUP("15_"&amp;A338,SyS!$B:$P,12,FALSE()),0)</f>
        <v>0</v>
      </c>
      <c r="T338" s="40">
        <f>+R338-S338</f>
        <v>0</v>
      </c>
      <c r="U338" s="38">
        <f>IFERROR(VLOOKUP("16_"&amp;A338,SyS!$B:$P,10,FALSE()),0)</f>
        <v>0</v>
      </c>
      <c r="V338" s="39">
        <f>IFERROR(VLOOKUP("16_"&amp;A338,SyS!$B:$P,12,FALSE()),0)</f>
        <v>0</v>
      </c>
      <c r="W338" s="40">
        <f>+U338-V338</f>
        <v>0</v>
      </c>
      <c r="X338" s="38">
        <f>IFERROR(VLOOKUP("13_"&amp;A338,SyS!$B:$P,10,FALSE()),0)</f>
        <v>0</v>
      </c>
      <c r="Y338" s="39">
        <f>IFERROR(VLOOKUP("13_"&amp;A338,SyS!$B:$P,12,FALSE()),0)</f>
        <v>0</v>
      </c>
      <c r="Z338" s="40">
        <f>+X338-Y338</f>
        <v>0</v>
      </c>
      <c r="AA338" s="38">
        <f>IFERROR(VLOOKUP("17_"&amp;A338,SyS!$B:$P,10,FALSE()),0)</f>
        <v>0</v>
      </c>
      <c r="AB338" s="39">
        <f>IFERROR(VLOOKUP("17_"&amp;A338,SyS!$B:$P,12,FALSE()),0)</f>
        <v>0</v>
      </c>
      <c r="AC338" s="40">
        <f>+AA338-AB338</f>
        <v>0</v>
      </c>
      <c r="AD338" s="39"/>
      <c r="AE338" s="39"/>
      <c r="AF338" s="39"/>
      <c r="AG338" s="39">
        <f>IFERROR(VLOOKUP("19_"&amp;A338,SyS!$B:$P,10,FALSE()),0)</f>
        <v>0</v>
      </c>
      <c r="AH338" s="39">
        <f>IFERROR(VLOOKUP("19_"&amp;A338,SyS!$B:$P,12,FALSE()),0)</f>
        <v>0</v>
      </c>
      <c r="AI338" s="39">
        <f>+AG338-AH338</f>
        <v>0</v>
      </c>
      <c r="AJ338" s="39"/>
      <c r="AK338" s="39"/>
      <c r="AL338" s="39"/>
      <c r="AM338" s="38">
        <f>IFERROR(VLOOKUP("23_"&amp;A338,SyS!$B:$P,10,FALSE()),0)</f>
        <v>0</v>
      </c>
      <c r="AN338" s="39">
        <f>IFERROR(VLOOKUP("23_"&amp;A338,SyS!$B:$P,12,FALSE()),0)</f>
        <v>0</v>
      </c>
      <c r="AO338" s="40">
        <f>+AM338-AN338</f>
        <v>0</v>
      </c>
      <c r="AP338" s="39"/>
      <c r="AQ338" s="39"/>
      <c r="AR338" s="39"/>
      <c r="AS338" s="39"/>
      <c r="AT338" s="39"/>
      <c r="AU338" s="39"/>
      <c r="AV338" s="39"/>
      <c r="AW338" s="39"/>
      <c r="AX338" s="39"/>
      <c r="AY338" s="39"/>
      <c r="AZ338" s="39"/>
      <c r="BA338" s="39"/>
      <c r="BB338" s="39"/>
      <c r="BC338" s="39"/>
      <c r="BD338" s="39"/>
      <c r="BE338" s="39"/>
      <c r="BF338" s="39"/>
      <c r="BG338" s="39"/>
      <c r="BH338" s="39"/>
      <c r="BI338" s="39"/>
      <c r="BJ338" s="39"/>
      <c r="BK338" s="39">
        <f>IFERROR(VLOOKUP("29_"&amp;A338,SyS!$B:$P,10,FALSE()),0)</f>
        <v>0</v>
      </c>
      <c r="BL338" s="39">
        <f>IFERROR(VLOOKUP("29_"&amp;A338,SyS!$B:$P,12,FALSE()),0)</f>
        <v>0</v>
      </c>
      <c r="BM338" s="39">
        <f>+BK338-BL338</f>
        <v>0</v>
      </c>
      <c r="BN338" s="38">
        <f>IFERROR(VLOOKUP("30_"&amp;A338,SyS!$B:$P,10,FALSE()),0)</f>
        <v>0</v>
      </c>
      <c r="BO338" s="39">
        <f>IFERROR(VLOOKUP("30_"&amp;A338,SyS!$B:$P,12,FALSE()),0)</f>
        <v>0</v>
      </c>
      <c r="BP338" s="40">
        <f>+BN338-BO338</f>
        <v>0</v>
      </c>
      <c r="BQ338" s="45">
        <f>+E338+H338+K338+Q338+T338+W338+Z338+AC338+AF338+AI338+AL338+AO338+AR338+AU338+AX338+BA338+BD338+BG338+BJ338+BM338+BP338</f>
        <v>0</v>
      </c>
    </row>
    <row r="339" ht="11.25" customHeight="1" spans="1:69" x14ac:dyDescent="0.25">
      <c r="A339" s="18">
        <v>427300000</v>
      </c>
      <c r="B339" s="18" t="s">
        <v>568</v>
      </c>
      <c r="C339" s="38">
        <f>IFERROR(VLOOKUP("1_"&amp;A339,SyS!$B:$P,10,FALSE()),0)</f>
        <v>0</v>
      </c>
      <c r="D339" s="39">
        <f>IFERROR(VLOOKUP("1_"&amp;A339,SyS!$B:$P,12,FALSE()),0)</f>
        <v>0</v>
      </c>
      <c r="E339" s="39">
        <f>+C339-D339</f>
        <v>0</v>
      </c>
      <c r="F339" s="38">
        <f>IFERROR(VLOOKUP("2_"&amp;A339,SyS!$B:$P,10,FALSE()),0)</f>
        <v>0</v>
      </c>
      <c r="G339" s="39">
        <f>IFERROR(VLOOKUP("2_"&amp;A339,SyS!$B:$P,12,FALSE()),0)</f>
        <v>0</v>
      </c>
      <c r="H339" s="40">
        <f>+F339-G339</f>
        <v>0</v>
      </c>
      <c r="I339" s="39"/>
      <c r="J339" s="39"/>
      <c r="K339" s="39"/>
      <c r="L339" s="39"/>
      <c r="M339" s="39"/>
      <c r="N339" s="39"/>
      <c r="O339" s="38">
        <f>IFERROR(VLOOKUP("14_"&amp;A339,SyS!$B:$P,10,FALSE()),0)</f>
        <v>0</v>
      </c>
      <c r="P339" s="39">
        <f>IFERROR(VLOOKUP("14_"&amp;A339,SyS!$B:$P,12,FALSE()),0)</f>
        <v>0</v>
      </c>
      <c r="Q339" s="40">
        <f>+O339-P339</f>
        <v>0</v>
      </c>
      <c r="R339" s="38">
        <f>IFERROR(VLOOKUP("15_"&amp;A339,SyS!$B:$P,10,FALSE()),0)</f>
        <v>0</v>
      </c>
      <c r="S339" s="39">
        <f>IFERROR(VLOOKUP("15_"&amp;A339,SyS!$B:$P,12,FALSE()),0)</f>
        <v>0</v>
      </c>
      <c r="T339" s="40">
        <f>+R339-S339</f>
        <v>0</v>
      </c>
      <c r="U339" s="38">
        <f>IFERROR(VLOOKUP("16_"&amp;A339,SyS!$B:$P,10,FALSE()),0)</f>
        <v>0</v>
      </c>
      <c r="V339" s="39">
        <f>IFERROR(VLOOKUP("16_"&amp;A339,SyS!$B:$P,12,FALSE()),0)</f>
        <v>0</v>
      </c>
      <c r="W339" s="40">
        <f>+U339-V339</f>
        <v>0</v>
      </c>
      <c r="X339" s="38">
        <f>IFERROR(VLOOKUP("13_"&amp;A339,SyS!$B:$P,10,FALSE()),0)</f>
        <v>0</v>
      </c>
      <c r="Y339" s="39">
        <f>IFERROR(VLOOKUP("13_"&amp;A339,SyS!$B:$P,12,FALSE()),0)</f>
        <v>0</v>
      </c>
      <c r="Z339" s="40">
        <f>+X339-Y339</f>
        <v>0</v>
      </c>
      <c r="AA339" s="38">
        <f>IFERROR(VLOOKUP("17_"&amp;A339,SyS!$B:$P,10,FALSE()),0)</f>
        <v>0</v>
      </c>
      <c r="AB339" s="39">
        <f>IFERROR(VLOOKUP("17_"&amp;A339,SyS!$B:$P,12,FALSE()),0)</f>
        <v>0</v>
      </c>
      <c r="AC339" s="40">
        <f>+AA339-AB339</f>
        <v>0</v>
      </c>
      <c r="AD339" s="39"/>
      <c r="AE339" s="39"/>
      <c r="AF339" s="39"/>
      <c r="AG339" s="39">
        <f>IFERROR(VLOOKUP("19_"&amp;A339,SyS!$B:$P,10,FALSE()),0)</f>
        <v>0</v>
      </c>
      <c r="AH339" s="39">
        <f>IFERROR(VLOOKUP("19_"&amp;A339,SyS!$B:$P,12,FALSE()),0)</f>
        <v>0</v>
      </c>
      <c r="AI339" s="39">
        <f>+AG339-AH339</f>
        <v>0</v>
      </c>
      <c r="AJ339" s="39"/>
      <c r="AK339" s="39"/>
      <c r="AL339" s="39"/>
      <c r="AM339" s="38">
        <f>IFERROR(VLOOKUP("23_"&amp;A339,SyS!$B:$P,10,FALSE()),0)</f>
        <v>0</v>
      </c>
      <c r="AN339" s="39">
        <f>IFERROR(VLOOKUP("23_"&amp;A339,SyS!$B:$P,12,FALSE()),0)</f>
        <v>0</v>
      </c>
      <c r="AO339" s="40">
        <f>+AM339-AN339</f>
        <v>0</v>
      </c>
      <c r="AP339" s="39"/>
      <c r="AQ339" s="39"/>
      <c r="AR339" s="39"/>
      <c r="AS339" s="39"/>
      <c r="AT339" s="39"/>
      <c r="AU339" s="39"/>
      <c r="AV339" s="39"/>
      <c r="AW339" s="39"/>
      <c r="AX339" s="39"/>
      <c r="AY339" s="39"/>
      <c r="AZ339" s="39"/>
      <c r="BA339" s="39"/>
      <c r="BB339" s="39"/>
      <c r="BC339" s="39"/>
      <c r="BD339" s="39"/>
      <c r="BE339" s="39"/>
      <c r="BF339" s="39"/>
      <c r="BG339" s="39"/>
      <c r="BH339" s="39"/>
      <c r="BI339" s="39"/>
      <c r="BJ339" s="39"/>
      <c r="BK339" s="39">
        <f>IFERROR(VLOOKUP("29_"&amp;A339,SyS!$B:$P,10,FALSE()),0)</f>
        <v>0</v>
      </c>
      <c r="BL339" s="39">
        <f>IFERROR(VLOOKUP("29_"&amp;A339,SyS!$B:$P,12,FALSE()),0)</f>
        <v>0</v>
      </c>
      <c r="BM339" s="39">
        <f>+BK339-BL339</f>
        <v>0</v>
      </c>
      <c r="BN339" s="38">
        <f>IFERROR(VLOOKUP("30_"&amp;A339,SyS!$B:$P,10,FALSE()),0)</f>
        <v>0</v>
      </c>
      <c r="BO339" s="39">
        <f>IFERROR(VLOOKUP("30_"&amp;A339,SyS!$B:$P,12,FALSE()),0)</f>
        <v>0</v>
      </c>
      <c r="BP339" s="40">
        <f>+BN339-BO339</f>
        <v>0</v>
      </c>
      <c r="BQ339" s="45">
        <f>+E339+H339+K339+Q339+T339+W339+Z339+AC339+AF339+AI339+AL339+AO339+AR339+AU339+AX339+BA339+BD339+BG339+BJ339+BM339+BP339</f>
        <v>0</v>
      </c>
    </row>
    <row r="340" ht="11.25" customHeight="1" spans="1:69" x14ac:dyDescent="0.25">
      <c r="A340" s="18">
        <v>427310000</v>
      </c>
      <c r="B340" s="18" t="s">
        <v>569</v>
      </c>
      <c r="C340" s="38">
        <f>IFERROR(VLOOKUP("1_"&amp;A340,SyS!$B:$P,10,FALSE()),0)</f>
        <v>0</v>
      </c>
      <c r="D340" s="39">
        <f>IFERROR(VLOOKUP("1_"&amp;A340,SyS!$B:$P,12,FALSE()),0)</f>
        <v>0</v>
      </c>
      <c r="E340" s="39">
        <f>+C340-D340</f>
        <v>0</v>
      </c>
      <c r="F340" s="38">
        <f>IFERROR(VLOOKUP("2_"&amp;A340,SyS!$B:$P,10,FALSE()),0)</f>
        <v>0</v>
      </c>
      <c r="G340" s="39">
        <f>IFERROR(VLOOKUP("2_"&amp;A340,SyS!$B:$P,12,FALSE()),0)</f>
        <v>0</v>
      </c>
      <c r="H340" s="40">
        <f>+F340-G340</f>
        <v>0</v>
      </c>
      <c r="I340" s="39"/>
      <c r="J340" s="39"/>
      <c r="K340" s="39"/>
      <c r="L340" s="39"/>
      <c r="M340" s="39"/>
      <c r="N340" s="39"/>
      <c r="O340" s="38">
        <f>IFERROR(VLOOKUP("14_"&amp;A340,SyS!$B:$P,10,FALSE()),0)</f>
        <v>0</v>
      </c>
      <c r="P340" s="39">
        <f>IFERROR(VLOOKUP("14_"&amp;A340,SyS!$B:$P,12,FALSE()),0)</f>
        <v>0</v>
      </c>
      <c r="Q340" s="40">
        <f>+O340-P340</f>
        <v>0</v>
      </c>
      <c r="R340" s="38">
        <f>IFERROR(VLOOKUP("15_"&amp;A340,SyS!$B:$P,10,FALSE()),0)</f>
        <v>0</v>
      </c>
      <c r="S340" s="39">
        <f>IFERROR(VLOOKUP("15_"&amp;A340,SyS!$B:$P,12,FALSE()),0)</f>
        <v>0</v>
      </c>
      <c r="T340" s="40">
        <f>+R340-S340</f>
        <v>0</v>
      </c>
      <c r="U340" s="38">
        <f>IFERROR(VLOOKUP("16_"&amp;A340,SyS!$B:$P,10,FALSE()),0)</f>
        <v>0</v>
      </c>
      <c r="V340" s="39">
        <f>IFERROR(VLOOKUP("16_"&amp;A340,SyS!$B:$P,12,FALSE()),0)</f>
        <v>0</v>
      </c>
      <c r="W340" s="40">
        <f>+U340-V340</f>
        <v>0</v>
      </c>
      <c r="X340" s="38">
        <f>IFERROR(VLOOKUP("13_"&amp;A340,SyS!$B:$P,10,FALSE()),0)</f>
        <v>0</v>
      </c>
      <c r="Y340" s="39">
        <f>IFERROR(VLOOKUP("13_"&amp;A340,SyS!$B:$P,12,FALSE()),0)</f>
        <v>0</v>
      </c>
      <c r="Z340" s="40">
        <f>+X340-Y340</f>
        <v>0</v>
      </c>
      <c r="AA340" s="38">
        <f>IFERROR(VLOOKUP("17_"&amp;A340,SyS!$B:$P,10,FALSE()),0)</f>
        <v>0</v>
      </c>
      <c r="AB340" s="39">
        <f>IFERROR(VLOOKUP("17_"&amp;A340,SyS!$B:$P,12,FALSE()),0)</f>
        <v>0</v>
      </c>
      <c r="AC340" s="40">
        <f>+AA340-AB340</f>
        <v>0</v>
      </c>
      <c r="AD340" s="39"/>
      <c r="AE340" s="39"/>
      <c r="AF340" s="39"/>
      <c r="AG340" s="39">
        <f>IFERROR(VLOOKUP("19_"&amp;A340,SyS!$B:$P,10,FALSE()),0)</f>
        <v>0</v>
      </c>
      <c r="AH340" s="39">
        <f>IFERROR(VLOOKUP("19_"&amp;A340,SyS!$B:$P,12,FALSE()),0)</f>
        <v>0</v>
      </c>
      <c r="AI340" s="39">
        <f>+AG340-AH340</f>
        <v>0</v>
      </c>
      <c r="AJ340" s="39"/>
      <c r="AK340" s="39"/>
      <c r="AL340" s="39"/>
      <c r="AM340" s="38">
        <f>IFERROR(VLOOKUP("23_"&amp;A340,SyS!$B:$P,10,FALSE()),0)</f>
        <v>0</v>
      </c>
      <c r="AN340" s="39">
        <f>IFERROR(VLOOKUP("23_"&amp;A340,SyS!$B:$P,12,FALSE()),0)</f>
        <v>0</v>
      </c>
      <c r="AO340" s="40">
        <f>+AM340-AN340</f>
        <v>0</v>
      </c>
      <c r="AP340" s="39"/>
      <c r="AQ340" s="39"/>
      <c r="AR340" s="39"/>
      <c r="AS340" s="39"/>
      <c r="AT340" s="39"/>
      <c r="AU340" s="39"/>
      <c r="AV340" s="39"/>
      <c r="AW340" s="39"/>
      <c r="AX340" s="39"/>
      <c r="AY340" s="39"/>
      <c r="AZ340" s="39"/>
      <c r="BA340" s="39"/>
      <c r="BB340" s="39"/>
      <c r="BC340" s="39"/>
      <c r="BD340" s="39"/>
      <c r="BE340" s="39"/>
      <c r="BF340" s="39"/>
      <c r="BG340" s="39"/>
      <c r="BH340" s="39"/>
      <c r="BI340" s="39"/>
      <c r="BJ340" s="39"/>
      <c r="BK340" s="39">
        <f>IFERROR(VLOOKUP("29_"&amp;A340,SyS!$B:$P,10,FALSE()),0)</f>
        <v>0</v>
      </c>
      <c r="BL340" s="39">
        <f>IFERROR(VLOOKUP("29_"&amp;A340,SyS!$B:$P,12,FALSE()),0)</f>
        <v>0</v>
      </c>
      <c r="BM340" s="39">
        <f>+BK340-BL340</f>
        <v>0</v>
      </c>
      <c r="BN340" s="38">
        <f>IFERROR(VLOOKUP("30_"&amp;A340,SyS!$B:$P,10,FALSE()),0)</f>
        <v>0</v>
      </c>
      <c r="BO340" s="39">
        <f>IFERROR(VLOOKUP("30_"&amp;A340,SyS!$B:$P,12,FALSE()),0)</f>
        <v>0</v>
      </c>
      <c r="BP340" s="40">
        <f>+BN340-BO340</f>
        <v>0</v>
      </c>
      <c r="BQ340" s="45">
        <f>+E340+H340+K340+Q340+T340+W340+Z340+AC340+AF340+AI340+AL340+AO340+AR340+AU340+AX340+BA340+BD340+BG340+BJ340+BM340+BP340</f>
        <v>0</v>
      </c>
    </row>
    <row r="341" ht="11.25" customHeight="1" spans="1:69" x14ac:dyDescent="0.25">
      <c r="A341" s="18">
        <v>421800000</v>
      </c>
      <c r="B341" s="18" t="s">
        <v>570</v>
      </c>
      <c r="C341" s="38">
        <f>IFERROR(VLOOKUP("1_"&amp;A341,SyS!$B:$P,10,FALSE()),0)</f>
        <v>0</v>
      </c>
      <c r="D341" s="39">
        <f>IFERROR(VLOOKUP("1_"&amp;A341,SyS!$B:$P,12,FALSE()),0)</f>
        <v>0</v>
      </c>
      <c r="E341" s="39">
        <f>+C341-D341</f>
        <v>0</v>
      </c>
      <c r="F341" s="38">
        <f>IFERROR(VLOOKUP("2_"&amp;A341,SyS!$B:$P,10,FALSE()),0)</f>
        <v>0</v>
      </c>
      <c r="G341" s="39">
        <f>IFERROR(VLOOKUP("2_"&amp;A341,SyS!$B:$P,12,FALSE()),0)</f>
        <v>0</v>
      </c>
      <c r="H341" s="40">
        <f>+F341-G341</f>
        <v>0</v>
      </c>
      <c r="I341" s="39"/>
      <c r="J341" s="39"/>
      <c r="K341" s="39"/>
      <c r="L341" s="39"/>
      <c r="M341" s="39"/>
      <c r="N341" s="39"/>
      <c r="O341" s="38">
        <f>IFERROR(VLOOKUP("14_"&amp;A341,SyS!$B:$P,10,FALSE()),0)</f>
        <v>0</v>
      </c>
      <c r="P341" s="39">
        <f>IFERROR(VLOOKUP("14_"&amp;A341,SyS!$B:$P,12,FALSE()),0)</f>
        <v>0</v>
      </c>
      <c r="Q341" s="40">
        <f>+O341-P341</f>
        <v>0</v>
      </c>
      <c r="R341" s="38">
        <f>IFERROR(VLOOKUP("15_"&amp;A341,SyS!$B:$P,10,FALSE()),0)</f>
        <v>0</v>
      </c>
      <c r="S341" s="39">
        <f>IFERROR(VLOOKUP("15_"&amp;A341,SyS!$B:$P,12,FALSE()),0)</f>
        <v>0</v>
      </c>
      <c r="T341" s="40">
        <f>+R341-S341</f>
        <v>0</v>
      </c>
      <c r="U341" s="38">
        <f>IFERROR(VLOOKUP("16_"&amp;A341,SyS!$B:$P,10,FALSE()),0)</f>
        <v>0</v>
      </c>
      <c r="V341" s="39">
        <f>IFERROR(VLOOKUP("16_"&amp;A341,SyS!$B:$P,12,FALSE()),0)</f>
        <v>0</v>
      </c>
      <c r="W341" s="40">
        <f>+U341-V341</f>
        <v>0</v>
      </c>
      <c r="X341" s="38">
        <f>IFERROR(VLOOKUP("13_"&amp;A341,SyS!$B:$P,10,FALSE()),0)</f>
        <v>0</v>
      </c>
      <c r="Y341" s="39">
        <f>IFERROR(VLOOKUP("13_"&amp;A341,SyS!$B:$P,12,FALSE()),0)</f>
        <v>0</v>
      </c>
      <c r="Z341" s="40">
        <f>+X341-Y341</f>
        <v>0</v>
      </c>
      <c r="AA341" s="38">
        <f>IFERROR(VLOOKUP("17_"&amp;A341,SyS!$B:$P,10,FALSE()),0)</f>
        <v>0</v>
      </c>
      <c r="AB341" s="39">
        <f>IFERROR(VLOOKUP("17_"&amp;A341,SyS!$B:$P,12,FALSE()),0)</f>
        <v>0</v>
      </c>
      <c r="AC341" s="40">
        <f>+AA341-AB341</f>
        <v>0</v>
      </c>
      <c r="AD341" s="39"/>
      <c r="AE341" s="39"/>
      <c r="AF341" s="39"/>
      <c r="AG341" s="39">
        <f>IFERROR(VLOOKUP("19_"&amp;A341,SyS!$B:$P,10,FALSE()),0)</f>
        <v>0</v>
      </c>
      <c r="AH341" s="39">
        <f>IFERROR(VLOOKUP("19_"&amp;A341,SyS!$B:$P,12,FALSE()),0)</f>
        <v>0</v>
      </c>
      <c r="AI341" s="39">
        <f>+AG341-AH341</f>
        <v>0</v>
      </c>
      <c r="AJ341" s="39"/>
      <c r="AK341" s="39"/>
      <c r="AL341" s="39"/>
      <c r="AM341" s="38">
        <f>IFERROR(VLOOKUP("23_"&amp;A341,SyS!$B:$P,10,FALSE()),0)</f>
        <v>0</v>
      </c>
      <c r="AN341" s="39">
        <f>IFERROR(VLOOKUP("23_"&amp;A341,SyS!$B:$P,12,FALSE()),0)</f>
        <v>0</v>
      </c>
      <c r="AO341" s="40">
        <f>+AM341-AN341</f>
        <v>0</v>
      </c>
      <c r="AP341" s="39"/>
      <c r="AQ341" s="39"/>
      <c r="AR341" s="39"/>
      <c r="AS341" s="39"/>
      <c r="AT341" s="39"/>
      <c r="AU341" s="39"/>
      <c r="AV341" s="39"/>
      <c r="AW341" s="39"/>
      <c r="AX341" s="39"/>
      <c r="AY341" s="39"/>
      <c r="AZ341" s="39"/>
      <c r="BA341" s="39"/>
      <c r="BB341" s="39"/>
      <c r="BC341" s="39"/>
      <c r="BD341" s="39"/>
      <c r="BE341" s="39"/>
      <c r="BF341" s="39"/>
      <c r="BG341" s="39"/>
      <c r="BH341" s="39"/>
      <c r="BI341" s="39"/>
      <c r="BJ341" s="39"/>
      <c r="BK341" s="39">
        <f>IFERROR(VLOOKUP("29_"&amp;A341,SyS!$B:$P,10,FALSE()),0)</f>
        <v>0</v>
      </c>
      <c r="BL341" s="39">
        <f>IFERROR(VLOOKUP("29_"&amp;A341,SyS!$B:$P,12,FALSE()),0)</f>
        <v>0</v>
      </c>
      <c r="BM341" s="39">
        <f>+BK341-BL341</f>
        <v>0</v>
      </c>
      <c r="BN341" s="38">
        <f>IFERROR(VLOOKUP("30_"&amp;A341,SyS!$B:$P,10,FALSE()),0)</f>
        <v>0</v>
      </c>
      <c r="BO341" s="39">
        <f>IFERROR(VLOOKUP("30_"&amp;A341,SyS!$B:$P,12,FALSE()),0)</f>
        <v>0</v>
      </c>
      <c r="BP341" s="40">
        <f>+BN341-BO341</f>
        <v>0</v>
      </c>
      <c r="BQ341" s="45">
        <f>+E341+H341+K341+Q341+T341+W341+Z341+AC341+AF341+AI341+AL341+AO341+AR341+AU341+AX341+BA341+BD341+BG341+BJ341+BM341+BP341</f>
        <v>0</v>
      </c>
    </row>
    <row r="342" ht="11.25" customHeight="1" spans="1:69" x14ac:dyDescent="0.25">
      <c r="A342" s="18">
        <v>421550000</v>
      </c>
      <c r="B342" s="18" t="s">
        <v>571</v>
      </c>
      <c r="C342" s="38">
        <f>IFERROR(VLOOKUP("1_"&amp;A342,SyS!$B:$P,10,FALSE()),0)</f>
        <v>0</v>
      </c>
      <c r="D342" s="39">
        <f>IFERROR(VLOOKUP("1_"&amp;A342,SyS!$B:$P,12,FALSE()),0)</f>
        <v>0</v>
      </c>
      <c r="E342" s="39">
        <f>+C342-D342</f>
        <v>0</v>
      </c>
      <c r="F342" s="38">
        <f>IFERROR(VLOOKUP("2_"&amp;A342,SyS!$B:$P,10,FALSE()),0)</f>
        <v>0</v>
      </c>
      <c r="G342" s="39">
        <f>IFERROR(VLOOKUP("2_"&amp;A342,SyS!$B:$P,12,FALSE()),0)</f>
        <v>0</v>
      </c>
      <c r="H342" s="40">
        <f>+F342-G342</f>
        <v>0</v>
      </c>
      <c r="I342" s="39"/>
      <c r="J342" s="39"/>
      <c r="K342" s="39"/>
      <c r="L342" s="39"/>
      <c r="M342" s="39"/>
      <c r="N342" s="39"/>
      <c r="O342" s="38">
        <f>IFERROR(VLOOKUP("14_"&amp;A342,SyS!$B:$P,10,FALSE()),0)</f>
        <v>0</v>
      </c>
      <c r="P342" s="39">
        <f>IFERROR(VLOOKUP("14_"&amp;A342,SyS!$B:$P,12,FALSE()),0)</f>
        <v>0</v>
      </c>
      <c r="Q342" s="40">
        <f>+O342-P342</f>
        <v>0</v>
      </c>
      <c r="R342" s="38">
        <f>IFERROR(VLOOKUP("15_"&amp;A342,SyS!$B:$P,10,FALSE()),0)</f>
        <v>0</v>
      </c>
      <c r="S342" s="39">
        <f>IFERROR(VLOOKUP("15_"&amp;A342,SyS!$B:$P,12,FALSE()),0)</f>
        <v>0</v>
      </c>
      <c r="T342" s="40">
        <f>+R342-S342</f>
        <v>0</v>
      </c>
      <c r="U342" s="38">
        <f>IFERROR(VLOOKUP("16_"&amp;A342,SyS!$B:$P,10,FALSE()),0)</f>
        <v>0</v>
      </c>
      <c r="V342" s="39">
        <f>IFERROR(VLOOKUP("16_"&amp;A342,SyS!$B:$P,12,FALSE()),0)</f>
        <v>0</v>
      </c>
      <c r="W342" s="40">
        <f>+U342-V342</f>
        <v>0</v>
      </c>
      <c r="X342" s="38">
        <f>IFERROR(VLOOKUP("13_"&amp;A342,SyS!$B:$P,10,FALSE()),0)</f>
        <v>0</v>
      </c>
      <c r="Y342" s="39">
        <f>IFERROR(VLOOKUP("13_"&amp;A342,SyS!$B:$P,12,FALSE()),0)</f>
        <v>0</v>
      </c>
      <c r="Z342" s="40">
        <f>+X342-Y342</f>
        <v>0</v>
      </c>
      <c r="AA342" s="38">
        <f>IFERROR(VLOOKUP("17_"&amp;A342,SyS!$B:$P,10,FALSE()),0)</f>
        <v>0</v>
      </c>
      <c r="AB342" s="39">
        <f>IFERROR(VLOOKUP("17_"&amp;A342,SyS!$B:$P,12,FALSE()),0)</f>
        <v>0</v>
      </c>
      <c r="AC342" s="40">
        <f>+AA342-AB342</f>
        <v>0</v>
      </c>
      <c r="AD342" s="39"/>
      <c r="AE342" s="39"/>
      <c r="AF342" s="39"/>
      <c r="AG342" s="39">
        <f>IFERROR(VLOOKUP("19_"&amp;A342,SyS!$B:$P,10,FALSE()),0)</f>
        <v>0</v>
      </c>
      <c r="AH342" s="39">
        <f>IFERROR(VLOOKUP("19_"&amp;A342,SyS!$B:$P,12,FALSE()),0)</f>
        <v>0</v>
      </c>
      <c r="AI342" s="39">
        <f>+AG342-AH342</f>
        <v>0</v>
      </c>
      <c r="AJ342" s="39"/>
      <c r="AK342" s="39"/>
      <c r="AL342" s="39"/>
      <c r="AM342" s="38">
        <f>IFERROR(VLOOKUP("23_"&amp;A342,SyS!$B:$P,10,FALSE()),0)</f>
        <v>0</v>
      </c>
      <c r="AN342" s="39">
        <f>IFERROR(VLOOKUP("23_"&amp;A342,SyS!$B:$P,12,FALSE()),0)</f>
        <v>0</v>
      </c>
      <c r="AO342" s="40">
        <f>+AM342-AN342</f>
        <v>0</v>
      </c>
      <c r="AP342" s="39"/>
      <c r="AQ342" s="39"/>
      <c r="AR342" s="39"/>
      <c r="AS342" s="39"/>
      <c r="AT342" s="39"/>
      <c r="AU342" s="39"/>
      <c r="AV342" s="39"/>
      <c r="AW342" s="39"/>
      <c r="AX342" s="39"/>
      <c r="AY342" s="39"/>
      <c r="AZ342" s="39"/>
      <c r="BA342" s="39"/>
      <c r="BB342" s="39"/>
      <c r="BC342" s="39"/>
      <c r="BD342" s="39"/>
      <c r="BE342" s="39"/>
      <c r="BF342" s="39"/>
      <c r="BG342" s="39"/>
      <c r="BH342" s="39"/>
      <c r="BI342" s="39"/>
      <c r="BJ342" s="39"/>
      <c r="BK342" s="39">
        <f>IFERROR(VLOOKUP("29_"&amp;A342,SyS!$B:$P,10,FALSE()),0)</f>
        <v>0</v>
      </c>
      <c r="BL342" s="39">
        <f>IFERROR(VLOOKUP("29_"&amp;A342,SyS!$B:$P,12,FALSE()),0)</f>
        <v>0</v>
      </c>
      <c r="BM342" s="39">
        <f>+BK342-BL342</f>
        <v>0</v>
      </c>
      <c r="BN342" s="38">
        <f>IFERROR(VLOOKUP("30_"&amp;A342,SyS!$B:$P,10,FALSE()),0)</f>
        <v>0</v>
      </c>
      <c r="BO342" s="39">
        <f>IFERROR(VLOOKUP("30_"&amp;A342,SyS!$B:$P,12,FALSE()),0)</f>
        <v>0</v>
      </c>
      <c r="BP342" s="40">
        <f>+BN342-BO342</f>
        <v>0</v>
      </c>
      <c r="BQ342" s="45">
        <f>+E342+H342+K342+Q342+T342+W342+Z342+AC342+AF342+AI342+AL342+AO342+AR342+AU342+AX342+BA342+BD342+BG342+BJ342+BM342+BP342</f>
        <v>0</v>
      </c>
    </row>
    <row r="343" ht="11.25" customHeight="1" spans="1:69" x14ac:dyDescent="0.25">
      <c r="A343" s="18">
        <v>421080000</v>
      </c>
      <c r="B343" s="18" t="s">
        <v>253</v>
      </c>
      <c r="C343" s="38">
        <f>IFERROR(VLOOKUP("1_"&amp;A343,SyS!$B:$P,10,FALSE()),0)</f>
        <v>0</v>
      </c>
      <c r="D343" s="39">
        <f>IFERROR(VLOOKUP("1_"&amp;A343,SyS!$B:$P,12,FALSE()),0)</f>
        <v>0</v>
      </c>
      <c r="E343" s="39">
        <f>+C343-D343</f>
        <v>0</v>
      </c>
      <c r="F343" s="38">
        <f>IFERROR(VLOOKUP("2_"&amp;A343,SyS!$B:$P,10,FALSE()),0)</f>
        <v>0</v>
      </c>
      <c r="G343" s="39">
        <f>IFERROR(VLOOKUP("2_"&amp;A343,SyS!$B:$P,12,FALSE()),0)</f>
        <v>0</v>
      </c>
      <c r="H343" s="40">
        <f>+F343-G343</f>
        <v>0</v>
      </c>
      <c r="I343" s="39"/>
      <c r="J343" s="39"/>
      <c r="K343" s="39"/>
      <c r="L343" s="39"/>
      <c r="M343" s="39"/>
      <c r="N343" s="39"/>
      <c r="O343" s="38">
        <f>IFERROR(VLOOKUP("14_"&amp;A343,SyS!$B:$P,10,FALSE()),0)</f>
        <v>0</v>
      </c>
      <c r="P343" s="39">
        <f>IFERROR(VLOOKUP("14_"&amp;A343,SyS!$B:$P,12,FALSE()),0)</f>
        <v>0</v>
      </c>
      <c r="Q343" s="40">
        <f>+O343-P343</f>
        <v>0</v>
      </c>
      <c r="R343" s="38">
        <f>IFERROR(VLOOKUP("15_"&amp;A343,SyS!$B:$P,10,FALSE()),0)</f>
        <v>0</v>
      </c>
      <c r="S343" s="39">
        <f>IFERROR(VLOOKUP("15_"&amp;A343,SyS!$B:$P,12,FALSE()),0)</f>
        <v>0</v>
      </c>
      <c r="T343" s="40">
        <f>+R343-S343</f>
        <v>0</v>
      </c>
      <c r="U343" s="38">
        <f>IFERROR(VLOOKUP("16_"&amp;A343,SyS!$B:$P,10,FALSE()),0)</f>
        <v>0</v>
      </c>
      <c r="V343" s="39">
        <f>IFERROR(VLOOKUP("16_"&amp;A343,SyS!$B:$P,12,FALSE()),0)</f>
        <v>0</v>
      </c>
      <c r="W343" s="40">
        <f>+U343-V343</f>
        <v>0</v>
      </c>
      <c r="X343" s="38">
        <f>IFERROR(VLOOKUP("13_"&amp;A343,SyS!$B:$P,10,FALSE()),0)</f>
        <v>0</v>
      </c>
      <c r="Y343" s="39">
        <f>IFERROR(VLOOKUP("13_"&amp;A343,SyS!$B:$P,12,FALSE()),0)</f>
        <v>0</v>
      </c>
      <c r="Z343" s="40">
        <f>+X343-Y343</f>
        <v>0</v>
      </c>
      <c r="AA343" s="38">
        <f>IFERROR(VLOOKUP("17_"&amp;A343,SyS!$B:$P,10,FALSE()),0)</f>
        <v>0</v>
      </c>
      <c r="AB343" s="39">
        <f>IFERROR(VLOOKUP("17_"&amp;A343,SyS!$B:$P,12,FALSE()),0)</f>
        <v>0</v>
      </c>
      <c r="AC343" s="40">
        <f>+AA343-AB343</f>
        <v>0</v>
      </c>
      <c r="AD343" s="39"/>
      <c r="AE343" s="39"/>
      <c r="AF343" s="39"/>
      <c r="AG343" s="39">
        <f>IFERROR(VLOOKUP("19_"&amp;A343,SyS!$B:$P,10,FALSE()),0)</f>
        <v>0</v>
      </c>
      <c r="AH343" s="39">
        <f>IFERROR(VLOOKUP("19_"&amp;A343,SyS!$B:$P,12,FALSE()),0)</f>
        <v>0</v>
      </c>
      <c r="AI343" s="39">
        <f>+AG343-AH343</f>
        <v>0</v>
      </c>
      <c r="AJ343" s="39"/>
      <c r="AK343" s="39"/>
      <c r="AL343" s="39"/>
      <c r="AM343" s="38">
        <f>IFERROR(VLOOKUP("23_"&amp;A343,SyS!$B:$P,10,FALSE()),0)</f>
        <v>0</v>
      </c>
      <c r="AN343" s="39">
        <f>IFERROR(VLOOKUP("23_"&amp;A343,SyS!$B:$P,12,FALSE()),0)</f>
        <v>0</v>
      </c>
      <c r="AO343" s="40">
        <f>+AM343-AN343</f>
        <v>0</v>
      </c>
      <c r="AP343" s="39"/>
      <c r="AQ343" s="39"/>
      <c r="AR343" s="39"/>
      <c r="AS343" s="39"/>
      <c r="AT343" s="39"/>
      <c r="AU343" s="39"/>
      <c r="AV343" s="39"/>
      <c r="AW343" s="39"/>
      <c r="AX343" s="39"/>
      <c r="AY343" s="39"/>
      <c r="AZ343" s="39"/>
      <c r="BA343" s="39"/>
      <c r="BB343" s="39"/>
      <c r="BC343" s="39"/>
      <c r="BD343" s="39"/>
      <c r="BE343" s="39"/>
      <c r="BF343" s="39"/>
      <c r="BG343" s="39"/>
      <c r="BH343" s="39"/>
      <c r="BI343" s="39"/>
      <c r="BJ343" s="39"/>
      <c r="BK343" s="39">
        <f>IFERROR(VLOOKUP("29_"&amp;A343,SyS!$B:$P,10,FALSE()),0)</f>
        <v>0</v>
      </c>
      <c r="BL343" s="39">
        <f>IFERROR(VLOOKUP("29_"&amp;A343,SyS!$B:$P,12,FALSE()),0)</f>
        <v>0</v>
      </c>
      <c r="BM343" s="39">
        <f>+BK343-BL343</f>
        <v>0</v>
      </c>
      <c r="BN343" s="38">
        <f>IFERROR(VLOOKUP("30_"&amp;A343,SyS!$B:$P,10,FALSE()),0)</f>
        <v>0</v>
      </c>
      <c r="BO343" s="39">
        <f>IFERROR(VLOOKUP("30_"&amp;A343,SyS!$B:$P,12,FALSE()),0)</f>
        <v>0</v>
      </c>
      <c r="BP343" s="40">
        <f>+BN343-BO343</f>
        <v>0</v>
      </c>
      <c r="BQ343" s="45">
        <f>+E343+H343+K343+Q343+T343+W343+Z343+AC343+AF343+AI343+AL343+AO343+AR343+AU343+AX343+BA343+BD343+BG343+BJ343+BM343+BP343</f>
        <v>0</v>
      </c>
    </row>
    <row r="344" ht="11.25" customHeight="1" spans="1:69" x14ac:dyDescent="0.25">
      <c r="A344" s="18">
        <v>427400000</v>
      </c>
      <c r="B344" s="18" t="s">
        <v>572</v>
      </c>
      <c r="C344" s="38">
        <f>IFERROR(VLOOKUP("1_"&amp;A344,SyS!$B:$P,10,FALSE()),0)</f>
        <v>0</v>
      </c>
      <c r="D344" s="39">
        <f>IFERROR(VLOOKUP("1_"&amp;A344,SyS!$B:$P,12,FALSE()),0)</f>
        <v>0</v>
      </c>
      <c r="E344" s="39">
        <f>+C344-D344</f>
        <v>0</v>
      </c>
      <c r="F344" s="38">
        <f>IFERROR(VLOOKUP("2_"&amp;A344,SyS!$B:$P,10,FALSE()),0)</f>
        <v>0</v>
      </c>
      <c r="G344" s="39">
        <f>IFERROR(VLOOKUP("2_"&amp;A344,SyS!$B:$P,12,FALSE()),0)</f>
        <v>0</v>
      </c>
      <c r="H344" s="40">
        <f>+F344-G344</f>
        <v>0</v>
      </c>
      <c r="I344" s="39"/>
      <c r="J344" s="39"/>
      <c r="K344" s="39"/>
      <c r="L344" s="39"/>
      <c r="M344" s="39"/>
      <c r="N344" s="39"/>
      <c r="O344" s="38">
        <f>IFERROR(VLOOKUP("14_"&amp;A344,SyS!$B:$P,10,FALSE()),0)</f>
        <v>0</v>
      </c>
      <c r="P344" s="39">
        <f>IFERROR(VLOOKUP("14_"&amp;A344,SyS!$B:$P,12,FALSE()),0)</f>
        <v>0</v>
      </c>
      <c r="Q344" s="40">
        <f>+O344-P344</f>
        <v>0</v>
      </c>
      <c r="R344" s="38">
        <f>IFERROR(VLOOKUP("15_"&amp;A344,SyS!$B:$P,10,FALSE()),0)</f>
        <v>0</v>
      </c>
      <c r="S344" s="39">
        <f>IFERROR(VLOOKUP("15_"&amp;A344,SyS!$B:$P,12,FALSE()),0)</f>
        <v>0</v>
      </c>
      <c r="T344" s="40">
        <f>+R344-S344</f>
        <v>0</v>
      </c>
      <c r="U344" s="38">
        <f>IFERROR(VLOOKUP("16_"&amp;A344,SyS!$B:$P,10,FALSE()),0)</f>
        <v>0</v>
      </c>
      <c r="V344" s="39">
        <f>IFERROR(VLOOKUP("16_"&amp;A344,SyS!$B:$P,12,FALSE()),0)</f>
        <v>0</v>
      </c>
      <c r="W344" s="40">
        <f>+U344-V344</f>
        <v>0</v>
      </c>
      <c r="X344" s="38">
        <f>IFERROR(VLOOKUP("13_"&amp;A344,SyS!$B:$P,10,FALSE()),0)</f>
        <v>0</v>
      </c>
      <c r="Y344" s="39">
        <f>IFERROR(VLOOKUP("13_"&amp;A344,SyS!$B:$P,12,FALSE()),0)</f>
        <v>0</v>
      </c>
      <c r="Z344" s="40">
        <f>+X344-Y344</f>
        <v>0</v>
      </c>
      <c r="AA344" s="38">
        <f>IFERROR(VLOOKUP("17_"&amp;A344,SyS!$B:$P,10,FALSE()),0)</f>
        <v>0</v>
      </c>
      <c r="AB344" s="39">
        <f>IFERROR(VLOOKUP("17_"&amp;A344,SyS!$B:$P,12,FALSE()),0)</f>
        <v>0</v>
      </c>
      <c r="AC344" s="40">
        <f>+AA344-AB344</f>
        <v>0</v>
      </c>
      <c r="AD344" s="39"/>
      <c r="AE344" s="39"/>
      <c r="AF344" s="39"/>
      <c r="AG344" s="39">
        <f>IFERROR(VLOOKUP("19_"&amp;A344,SyS!$B:$P,10,FALSE()),0)</f>
        <v>0</v>
      </c>
      <c r="AH344" s="39">
        <f>IFERROR(VLOOKUP("19_"&amp;A344,SyS!$B:$P,12,FALSE()),0)</f>
        <v>0</v>
      </c>
      <c r="AI344" s="39">
        <f>+AG344-AH344</f>
        <v>0</v>
      </c>
      <c r="AJ344" s="39"/>
      <c r="AK344" s="39"/>
      <c r="AL344" s="39"/>
      <c r="AM344" s="38">
        <f>IFERROR(VLOOKUP("23_"&amp;A344,SyS!$B:$P,10,FALSE()),0)</f>
        <v>0</v>
      </c>
      <c r="AN344" s="39">
        <f>IFERROR(VLOOKUP("23_"&amp;A344,SyS!$B:$P,12,FALSE()),0)</f>
        <v>0</v>
      </c>
      <c r="AO344" s="40">
        <f>+AM344-AN344</f>
        <v>0</v>
      </c>
      <c r="AP344" s="39"/>
      <c r="AQ344" s="39"/>
      <c r="AR344" s="39"/>
      <c r="AS344" s="39"/>
      <c r="AT344" s="39"/>
      <c r="AU344" s="39"/>
      <c r="AV344" s="39"/>
      <c r="AW344" s="39"/>
      <c r="AX344" s="39"/>
      <c r="AY344" s="39"/>
      <c r="AZ344" s="39"/>
      <c r="BA344" s="39"/>
      <c r="BB344" s="39"/>
      <c r="BC344" s="39"/>
      <c r="BD344" s="39"/>
      <c r="BE344" s="39"/>
      <c r="BF344" s="39"/>
      <c r="BG344" s="39"/>
      <c r="BH344" s="39"/>
      <c r="BI344" s="39"/>
      <c r="BJ344" s="39"/>
      <c r="BK344" s="39">
        <f>IFERROR(VLOOKUP("29_"&amp;A344,SyS!$B:$P,10,FALSE()),0)</f>
        <v>0</v>
      </c>
      <c r="BL344" s="39">
        <f>IFERROR(VLOOKUP("29_"&amp;A344,SyS!$B:$P,12,FALSE()),0)</f>
        <v>0</v>
      </c>
      <c r="BM344" s="39">
        <f>+BK344-BL344</f>
        <v>0</v>
      </c>
      <c r="BN344" s="38">
        <f>IFERROR(VLOOKUP("30_"&amp;A344,SyS!$B:$P,10,FALSE()),0)</f>
        <v>0</v>
      </c>
      <c r="BO344" s="39">
        <f>IFERROR(VLOOKUP("30_"&amp;A344,SyS!$B:$P,12,FALSE()),0)</f>
        <v>0</v>
      </c>
      <c r="BP344" s="40">
        <f>+BN344-BO344</f>
        <v>0</v>
      </c>
      <c r="BQ344" s="45">
        <f>+E344+H344+K344+Q344+T344+W344+Z344+AC344+AF344+AI344+AL344+AO344+AR344+AU344+AX344+BA344+BD344+BG344+BJ344+BM344+BP344</f>
        <v>0</v>
      </c>
    </row>
    <row r="345" ht="11.25" customHeight="1" spans="1:69" x14ac:dyDescent="0.25">
      <c r="A345" s="18">
        <v>427500000</v>
      </c>
      <c r="B345" s="18" t="s">
        <v>573</v>
      </c>
      <c r="C345" s="38">
        <f>IFERROR(VLOOKUP("1_"&amp;A345,SyS!$B:$P,10,FALSE()),0)</f>
        <v>0</v>
      </c>
      <c r="D345" s="39">
        <f>IFERROR(VLOOKUP("1_"&amp;A345,SyS!$B:$P,12,FALSE()),0)</f>
        <v>0</v>
      </c>
      <c r="E345" s="39">
        <f>+C345-D345</f>
        <v>0</v>
      </c>
      <c r="F345" s="38">
        <f>IFERROR(VLOOKUP("2_"&amp;A345,SyS!$B:$P,10,FALSE()),0)</f>
        <v>0</v>
      </c>
      <c r="G345" s="39">
        <f>IFERROR(VLOOKUP("2_"&amp;A345,SyS!$B:$P,12,FALSE()),0)</f>
        <v>0</v>
      </c>
      <c r="H345" s="40">
        <f>+F345-G345</f>
        <v>0</v>
      </c>
      <c r="I345" s="39"/>
      <c r="J345" s="39"/>
      <c r="K345" s="39"/>
      <c r="L345" s="39"/>
      <c r="M345" s="39"/>
      <c r="N345" s="39"/>
      <c r="O345" s="38">
        <f>IFERROR(VLOOKUP("14_"&amp;A345,SyS!$B:$P,10,FALSE()),0)</f>
        <v>0</v>
      </c>
      <c r="P345" s="39">
        <f>IFERROR(VLOOKUP("14_"&amp;A345,SyS!$B:$P,12,FALSE()),0)</f>
        <v>0</v>
      </c>
      <c r="Q345" s="40">
        <f>+O345-P345</f>
        <v>0</v>
      </c>
      <c r="R345" s="38">
        <f>IFERROR(VLOOKUP("15_"&amp;A345,SyS!$B:$P,10,FALSE()),0)</f>
        <v>0</v>
      </c>
      <c r="S345" s="39">
        <f>IFERROR(VLOOKUP("15_"&amp;A345,SyS!$B:$P,12,FALSE()),0)</f>
        <v>0</v>
      </c>
      <c r="T345" s="40">
        <f>+R345-S345</f>
        <v>0</v>
      </c>
      <c r="U345" s="38">
        <f>IFERROR(VLOOKUP("16_"&amp;A345,SyS!$B:$P,10,FALSE()),0)</f>
        <v>0</v>
      </c>
      <c r="V345" s="39">
        <f>IFERROR(VLOOKUP("16_"&amp;A345,SyS!$B:$P,12,FALSE()),0)</f>
        <v>0</v>
      </c>
      <c r="W345" s="40">
        <f>+U345-V345</f>
        <v>0</v>
      </c>
      <c r="X345" s="38">
        <f>IFERROR(VLOOKUP("13_"&amp;A345,SyS!$B:$P,10,FALSE()),0)</f>
        <v>0</v>
      </c>
      <c r="Y345" s="39">
        <f>IFERROR(VLOOKUP("13_"&amp;A345,SyS!$B:$P,12,FALSE()),0)</f>
        <v>0</v>
      </c>
      <c r="Z345" s="40">
        <f>+X345-Y345</f>
        <v>0</v>
      </c>
      <c r="AA345" s="38">
        <f>IFERROR(VLOOKUP("17_"&amp;A345,SyS!$B:$P,10,FALSE()),0)</f>
        <v>0</v>
      </c>
      <c r="AB345" s="39">
        <f>IFERROR(VLOOKUP("17_"&amp;A345,SyS!$B:$P,12,FALSE()),0)</f>
        <v>0</v>
      </c>
      <c r="AC345" s="40">
        <f>+AA345-AB345</f>
        <v>0</v>
      </c>
      <c r="AD345" s="39"/>
      <c r="AE345" s="39"/>
      <c r="AF345" s="39"/>
      <c r="AG345" s="39">
        <f>IFERROR(VLOOKUP("19_"&amp;A345,SyS!$B:$P,10,FALSE()),0)</f>
        <v>0</v>
      </c>
      <c r="AH345" s="39">
        <f>IFERROR(VLOOKUP("19_"&amp;A345,SyS!$B:$P,12,FALSE()),0)</f>
        <v>0</v>
      </c>
      <c r="AI345" s="39">
        <f>+AG345-AH345</f>
        <v>0</v>
      </c>
      <c r="AJ345" s="39"/>
      <c r="AK345" s="39"/>
      <c r="AL345" s="39"/>
      <c r="AM345" s="38">
        <f>IFERROR(VLOOKUP("23_"&amp;A345,SyS!$B:$P,10,FALSE()),0)</f>
        <v>0</v>
      </c>
      <c r="AN345" s="39">
        <f>IFERROR(VLOOKUP("23_"&amp;A345,SyS!$B:$P,12,FALSE()),0)</f>
        <v>0</v>
      </c>
      <c r="AO345" s="40">
        <f>+AM345-AN345</f>
        <v>0</v>
      </c>
      <c r="AP345" s="39"/>
      <c r="AQ345" s="39"/>
      <c r="AR345" s="39"/>
      <c r="AS345" s="39"/>
      <c r="AT345" s="39"/>
      <c r="AU345" s="39"/>
      <c r="AV345" s="39"/>
      <c r="AW345" s="39"/>
      <c r="AX345" s="39"/>
      <c r="AY345" s="39"/>
      <c r="AZ345" s="39"/>
      <c r="BA345" s="39"/>
      <c r="BB345" s="39"/>
      <c r="BC345" s="39"/>
      <c r="BD345" s="39"/>
      <c r="BE345" s="39"/>
      <c r="BF345" s="39"/>
      <c r="BG345" s="39"/>
      <c r="BH345" s="39"/>
      <c r="BI345" s="39"/>
      <c r="BJ345" s="39"/>
      <c r="BK345" s="39">
        <f>IFERROR(VLOOKUP("29_"&amp;A345,SyS!$B:$P,10,FALSE()),0)</f>
        <v>0</v>
      </c>
      <c r="BL345" s="39">
        <f>IFERROR(VLOOKUP("29_"&amp;A345,SyS!$B:$P,12,FALSE()),0)</f>
        <v>0</v>
      </c>
      <c r="BM345" s="39">
        <f>+BK345-BL345</f>
        <v>0</v>
      </c>
      <c r="BN345" s="38">
        <f>IFERROR(VLOOKUP("30_"&amp;A345,SyS!$B:$P,10,FALSE()),0)</f>
        <v>0</v>
      </c>
      <c r="BO345" s="39">
        <f>IFERROR(VLOOKUP("30_"&amp;A345,SyS!$B:$P,12,FALSE()),0)</f>
        <v>0</v>
      </c>
      <c r="BP345" s="40">
        <f>+BN345-BO345</f>
        <v>0</v>
      </c>
      <c r="BQ345" s="45">
        <f>+E345+H345+K345+Q345+T345+W345+Z345+AC345+AF345+AI345+AL345+AO345+AR345+AU345+AX345+BA345+BD345+BG345+BJ345+BM345+BP345</f>
        <v>0</v>
      </c>
    </row>
    <row r="346" ht="11.25" customHeight="1" spans="1:69" x14ac:dyDescent="0.25">
      <c r="A346" s="18">
        <v>427700000</v>
      </c>
      <c r="B346" s="18" t="s">
        <v>574</v>
      </c>
      <c r="C346" s="38">
        <f>IFERROR(VLOOKUP("1_"&amp;A346,SyS!$B:$P,10,FALSE()),0)</f>
        <v>0</v>
      </c>
      <c r="D346" s="39">
        <f>IFERROR(VLOOKUP("1_"&amp;A346,SyS!$B:$P,12,FALSE()),0)</f>
        <v>0</v>
      </c>
      <c r="E346" s="39">
        <f>+C346-D346</f>
        <v>0</v>
      </c>
      <c r="F346" s="38">
        <f>IFERROR(VLOOKUP("2_"&amp;A346,SyS!$B:$P,10,FALSE()),0)</f>
        <v>0</v>
      </c>
      <c r="G346" s="39">
        <f>IFERROR(VLOOKUP("2_"&amp;A346,SyS!$B:$P,12,FALSE()),0)</f>
        <v>0</v>
      </c>
      <c r="H346" s="40">
        <f>+F346-G346</f>
        <v>0</v>
      </c>
      <c r="I346" s="39"/>
      <c r="J346" s="39"/>
      <c r="K346" s="39"/>
      <c r="L346" s="39"/>
      <c r="M346" s="39"/>
      <c r="N346" s="39"/>
      <c r="O346" s="38">
        <f>IFERROR(VLOOKUP("14_"&amp;A346,SyS!$B:$P,10,FALSE()),0)</f>
        <v>0</v>
      </c>
      <c r="P346" s="39">
        <f>IFERROR(VLOOKUP("14_"&amp;A346,SyS!$B:$P,12,FALSE()),0)</f>
        <v>0</v>
      </c>
      <c r="Q346" s="40">
        <f>+O346-P346</f>
        <v>0</v>
      </c>
      <c r="R346" s="38">
        <f>IFERROR(VLOOKUP("15_"&amp;A346,SyS!$B:$P,10,FALSE()),0)</f>
        <v>0</v>
      </c>
      <c r="S346" s="39">
        <f>IFERROR(VLOOKUP("15_"&amp;A346,SyS!$B:$P,12,FALSE()),0)</f>
        <v>0</v>
      </c>
      <c r="T346" s="40">
        <f>+R346-S346</f>
        <v>0</v>
      </c>
      <c r="U346" s="38">
        <f>IFERROR(VLOOKUP("16_"&amp;A346,SyS!$B:$P,10,FALSE()),0)</f>
        <v>0</v>
      </c>
      <c r="V346" s="39">
        <f>IFERROR(VLOOKUP("16_"&amp;A346,SyS!$B:$P,12,FALSE()),0)</f>
        <v>0</v>
      </c>
      <c r="W346" s="40">
        <f>+U346-V346</f>
        <v>0</v>
      </c>
      <c r="X346" s="38">
        <f>IFERROR(VLOOKUP("13_"&amp;A346,SyS!$B:$P,10,FALSE()),0)</f>
        <v>0</v>
      </c>
      <c r="Y346" s="39">
        <f>IFERROR(VLOOKUP("13_"&amp;A346,SyS!$B:$P,12,FALSE()),0)</f>
        <v>0</v>
      </c>
      <c r="Z346" s="40">
        <f>+X346-Y346</f>
        <v>0</v>
      </c>
      <c r="AA346" s="38">
        <f>IFERROR(VLOOKUP("17_"&amp;A346,SyS!$B:$P,10,FALSE()),0)</f>
        <v>0</v>
      </c>
      <c r="AB346" s="39">
        <f>IFERROR(VLOOKUP("17_"&amp;A346,SyS!$B:$P,12,FALSE()),0)</f>
        <v>0</v>
      </c>
      <c r="AC346" s="40">
        <f>+AA346-AB346</f>
        <v>0</v>
      </c>
      <c r="AD346" s="39"/>
      <c r="AE346" s="39"/>
      <c r="AF346" s="39"/>
      <c r="AG346" s="39">
        <f>IFERROR(VLOOKUP("19_"&amp;A346,SyS!$B:$P,10,FALSE()),0)</f>
        <v>0</v>
      </c>
      <c r="AH346" s="39">
        <f>IFERROR(VLOOKUP("19_"&amp;A346,SyS!$B:$P,12,FALSE()),0)</f>
        <v>0</v>
      </c>
      <c r="AI346" s="39">
        <f>+AG346-AH346</f>
        <v>0</v>
      </c>
      <c r="AJ346" s="39"/>
      <c r="AK346" s="39"/>
      <c r="AL346" s="39"/>
      <c r="AM346" s="38">
        <f>IFERROR(VLOOKUP("23_"&amp;A346,SyS!$B:$P,10,FALSE()),0)</f>
        <v>0</v>
      </c>
      <c r="AN346" s="39">
        <f>IFERROR(VLOOKUP("23_"&amp;A346,SyS!$B:$P,12,FALSE()),0)</f>
        <v>0</v>
      </c>
      <c r="AO346" s="40">
        <f>+AM346-AN346</f>
        <v>0</v>
      </c>
      <c r="AP346" s="39"/>
      <c r="AQ346" s="39"/>
      <c r="AR346" s="39"/>
      <c r="AS346" s="39"/>
      <c r="AT346" s="39"/>
      <c r="AU346" s="39"/>
      <c r="AV346" s="39"/>
      <c r="AW346" s="39"/>
      <c r="AX346" s="39"/>
      <c r="AY346" s="39"/>
      <c r="AZ346" s="39"/>
      <c r="BA346" s="39"/>
      <c r="BB346" s="39"/>
      <c r="BC346" s="39"/>
      <c r="BD346" s="39"/>
      <c r="BE346" s="39"/>
      <c r="BF346" s="39"/>
      <c r="BG346" s="39"/>
      <c r="BH346" s="39"/>
      <c r="BI346" s="39"/>
      <c r="BJ346" s="39"/>
      <c r="BK346" s="39">
        <f>IFERROR(VLOOKUP("29_"&amp;A346,SyS!$B:$P,10,FALSE()),0)</f>
        <v>0</v>
      </c>
      <c r="BL346" s="39">
        <f>IFERROR(VLOOKUP("29_"&amp;A346,SyS!$B:$P,12,FALSE()),0)</f>
        <v>0</v>
      </c>
      <c r="BM346" s="39">
        <f>+BK346-BL346</f>
        <v>0</v>
      </c>
      <c r="BN346" s="38">
        <f>IFERROR(VLOOKUP("30_"&amp;A346,SyS!$B:$P,10,FALSE()),0)</f>
        <v>0</v>
      </c>
      <c r="BO346" s="39">
        <f>IFERROR(VLOOKUP("30_"&amp;A346,SyS!$B:$P,12,FALSE()),0)</f>
        <v>0</v>
      </c>
      <c r="BP346" s="40">
        <f>+BN346-BO346</f>
        <v>0</v>
      </c>
      <c r="BQ346" s="45">
        <f>+E346+H346+K346+Q346+T346+W346+Z346+AC346+AF346+AI346+AL346+AO346+AR346+AU346+AX346+BA346+BD346+BG346+BJ346+BM346+BP346</f>
        <v>0</v>
      </c>
    </row>
    <row r="347" ht="11.25" customHeight="1" spans="1:69" x14ac:dyDescent="0.25">
      <c r="A347" s="18">
        <v>421940000</v>
      </c>
      <c r="B347" s="18" t="s">
        <v>575</v>
      </c>
      <c r="C347" s="38">
        <f>IFERROR(VLOOKUP("1_"&amp;A347,SyS!$B:$P,10,FALSE()),0)</f>
        <v>0</v>
      </c>
      <c r="D347" s="39">
        <f>IFERROR(VLOOKUP("1_"&amp;A347,SyS!$B:$P,12,FALSE()),0)</f>
        <v>0</v>
      </c>
      <c r="E347" s="39">
        <f>+C347-D347</f>
        <v>0</v>
      </c>
      <c r="F347" s="38">
        <f>IFERROR(VLOOKUP("2_"&amp;A347,SyS!$B:$P,10,FALSE()),0)</f>
        <v>0</v>
      </c>
      <c r="G347" s="39">
        <f>IFERROR(VLOOKUP("2_"&amp;A347,SyS!$B:$P,12,FALSE()),0)</f>
        <v>0</v>
      </c>
      <c r="H347" s="40">
        <f>+F347-G347</f>
        <v>0</v>
      </c>
      <c r="I347" s="39"/>
      <c r="J347" s="39"/>
      <c r="K347" s="39"/>
      <c r="L347" s="39"/>
      <c r="M347" s="39"/>
      <c r="N347" s="39"/>
      <c r="O347" s="38">
        <f>IFERROR(VLOOKUP("14_"&amp;A347,SyS!$B:$P,10,FALSE()),0)</f>
        <v>0</v>
      </c>
      <c r="P347" s="39">
        <f>IFERROR(VLOOKUP("14_"&amp;A347,SyS!$B:$P,12,FALSE()),0)</f>
        <v>0</v>
      </c>
      <c r="Q347" s="40">
        <f>+O347-P347</f>
        <v>0</v>
      </c>
      <c r="R347" s="38">
        <f>IFERROR(VLOOKUP("15_"&amp;A347,SyS!$B:$P,10,FALSE()),0)</f>
        <v>0</v>
      </c>
      <c r="S347" s="39">
        <f>IFERROR(VLOOKUP("15_"&amp;A347,SyS!$B:$P,12,FALSE()),0)</f>
        <v>0</v>
      </c>
      <c r="T347" s="40">
        <f>+R347-S347</f>
        <v>0</v>
      </c>
      <c r="U347" s="38">
        <f>IFERROR(VLOOKUP("16_"&amp;A347,SyS!$B:$P,10,FALSE()),0)</f>
        <v>0</v>
      </c>
      <c r="V347" s="39">
        <f>IFERROR(VLOOKUP("16_"&amp;A347,SyS!$B:$P,12,FALSE()),0)</f>
        <v>0</v>
      </c>
      <c r="W347" s="40">
        <f>+U347-V347</f>
        <v>0</v>
      </c>
      <c r="X347" s="38">
        <f>IFERROR(VLOOKUP("13_"&amp;A347,SyS!$B:$P,10,FALSE()),0)</f>
        <v>0</v>
      </c>
      <c r="Y347" s="39">
        <f>IFERROR(VLOOKUP("13_"&amp;A347,SyS!$B:$P,12,FALSE()),0)</f>
        <v>0</v>
      </c>
      <c r="Z347" s="40">
        <f>+X347-Y347</f>
        <v>0</v>
      </c>
      <c r="AA347" s="38">
        <f>IFERROR(VLOOKUP("17_"&amp;A347,SyS!$B:$P,10,FALSE()),0)</f>
        <v>0</v>
      </c>
      <c r="AB347" s="39">
        <f>IFERROR(VLOOKUP("17_"&amp;A347,SyS!$B:$P,12,FALSE()),0)</f>
        <v>0</v>
      </c>
      <c r="AC347" s="40">
        <f>+AA347-AB347</f>
        <v>0</v>
      </c>
      <c r="AD347" s="39"/>
      <c r="AE347" s="39"/>
      <c r="AF347" s="39"/>
      <c r="AG347" s="39">
        <f>IFERROR(VLOOKUP("19_"&amp;A347,SyS!$B:$P,10,FALSE()),0)</f>
        <v>0</v>
      </c>
      <c r="AH347" s="39">
        <f>IFERROR(VLOOKUP("19_"&amp;A347,SyS!$B:$P,12,FALSE()),0)</f>
        <v>0</v>
      </c>
      <c r="AI347" s="39">
        <f>+AG347-AH347</f>
        <v>0</v>
      </c>
      <c r="AJ347" s="39"/>
      <c r="AK347" s="39"/>
      <c r="AL347" s="39"/>
      <c r="AM347" s="38">
        <f>IFERROR(VLOOKUP("23_"&amp;A347,SyS!$B:$P,10,FALSE()),0)</f>
        <v>0</v>
      </c>
      <c r="AN347" s="39">
        <f>IFERROR(VLOOKUP("23_"&amp;A347,SyS!$B:$P,12,FALSE()),0)</f>
        <v>0</v>
      </c>
      <c r="AO347" s="40">
        <f>+AM347-AN347</f>
        <v>0</v>
      </c>
      <c r="AP347" s="39"/>
      <c r="AQ347" s="39"/>
      <c r="AR347" s="39"/>
      <c r="AS347" s="39"/>
      <c r="AT347" s="39"/>
      <c r="AU347" s="39"/>
      <c r="AV347" s="39"/>
      <c r="AW347" s="39"/>
      <c r="AX347" s="39"/>
      <c r="AY347" s="39"/>
      <c r="AZ347" s="39"/>
      <c r="BA347" s="39"/>
      <c r="BB347" s="39"/>
      <c r="BC347" s="39"/>
      <c r="BD347" s="39"/>
      <c r="BE347" s="39"/>
      <c r="BF347" s="39"/>
      <c r="BG347" s="39"/>
      <c r="BH347" s="39"/>
      <c r="BI347" s="39"/>
      <c r="BJ347" s="39"/>
      <c r="BK347" s="39">
        <f>IFERROR(VLOOKUP("29_"&amp;A347,SyS!$B:$P,10,FALSE()),0)</f>
        <v>0</v>
      </c>
      <c r="BL347" s="39">
        <f>IFERROR(VLOOKUP("29_"&amp;A347,SyS!$B:$P,12,FALSE()),0)</f>
        <v>0</v>
      </c>
      <c r="BM347" s="39">
        <f>+BK347-BL347</f>
        <v>0</v>
      </c>
      <c r="BN347" s="38">
        <f>IFERROR(VLOOKUP("30_"&amp;A347,SyS!$B:$P,10,FALSE()),0)</f>
        <v>0</v>
      </c>
      <c r="BO347" s="39">
        <f>IFERROR(VLOOKUP("30_"&amp;A347,SyS!$B:$P,12,FALSE()),0)</f>
        <v>0</v>
      </c>
      <c r="BP347" s="40">
        <f>+BN347-BO347</f>
        <v>0</v>
      </c>
      <c r="BQ347" s="45">
        <f>+E347+H347+K347+Q347+T347+W347+Z347+AC347+AF347+AI347+AL347+AO347+AR347+AU347+AX347+BA347+BD347+BG347+BJ347+BM347+BP347</f>
        <v>0</v>
      </c>
    </row>
    <row r="348" ht="11.25" customHeight="1" spans="1:69" x14ac:dyDescent="0.25">
      <c r="A348" s="18">
        <v>421580000</v>
      </c>
      <c r="B348" s="18" t="s">
        <v>576</v>
      </c>
      <c r="C348" s="38">
        <f>IFERROR(VLOOKUP("1_"&amp;A348,SyS!$B:$P,10,FALSE()),0)</f>
        <v>0</v>
      </c>
      <c r="D348" s="39">
        <f>IFERROR(VLOOKUP("1_"&amp;A348,SyS!$B:$P,12,FALSE()),0)</f>
        <v>0</v>
      </c>
      <c r="E348" s="39">
        <f>+C348-D348</f>
        <v>0</v>
      </c>
      <c r="F348" s="38">
        <f>IFERROR(VLOOKUP("2_"&amp;A348,SyS!$B:$P,10,FALSE()),0)</f>
        <v>0</v>
      </c>
      <c r="G348" s="39">
        <f>IFERROR(VLOOKUP("2_"&amp;A348,SyS!$B:$P,12,FALSE()),0)</f>
        <v>0</v>
      </c>
      <c r="H348" s="40">
        <f>+F348-G348</f>
        <v>0</v>
      </c>
      <c r="I348" s="39"/>
      <c r="J348" s="39"/>
      <c r="K348" s="39"/>
      <c r="L348" s="39"/>
      <c r="M348" s="39"/>
      <c r="N348" s="39"/>
      <c r="O348" s="38">
        <f>IFERROR(VLOOKUP("14_"&amp;A348,SyS!$B:$P,10,FALSE()),0)</f>
        <v>0</v>
      </c>
      <c r="P348" s="39">
        <f>IFERROR(VLOOKUP("14_"&amp;A348,SyS!$B:$P,12,FALSE()),0)</f>
        <v>0</v>
      </c>
      <c r="Q348" s="40">
        <f>+O348-P348</f>
        <v>0</v>
      </c>
      <c r="R348" s="38">
        <f>IFERROR(VLOOKUP("15_"&amp;A348,SyS!$B:$P,10,FALSE()),0)</f>
        <v>0</v>
      </c>
      <c r="S348" s="39">
        <f>IFERROR(VLOOKUP("15_"&amp;A348,SyS!$B:$P,12,FALSE()),0)</f>
        <v>0</v>
      </c>
      <c r="T348" s="40">
        <f>+R348-S348</f>
        <v>0</v>
      </c>
      <c r="U348" s="38">
        <f>IFERROR(VLOOKUP("16_"&amp;A348,SyS!$B:$P,10,FALSE()),0)</f>
        <v>0</v>
      </c>
      <c r="V348" s="39">
        <f>IFERROR(VLOOKUP("16_"&amp;A348,SyS!$B:$P,12,FALSE()),0)</f>
        <v>0</v>
      </c>
      <c r="W348" s="40">
        <f>+U348-V348</f>
        <v>0</v>
      </c>
      <c r="X348" s="38">
        <f>IFERROR(VLOOKUP("13_"&amp;A348,SyS!$B:$P,10,FALSE()),0)</f>
        <v>0</v>
      </c>
      <c r="Y348" s="39">
        <f>IFERROR(VLOOKUP("13_"&amp;A348,SyS!$B:$P,12,FALSE()),0)</f>
        <v>0</v>
      </c>
      <c r="Z348" s="40">
        <f>+X348-Y348</f>
        <v>0</v>
      </c>
      <c r="AA348" s="38">
        <f>IFERROR(VLOOKUP("17_"&amp;A348,SyS!$B:$P,10,FALSE()),0)</f>
        <v>0</v>
      </c>
      <c r="AB348" s="39">
        <f>IFERROR(VLOOKUP("17_"&amp;A348,SyS!$B:$P,12,FALSE()),0)</f>
        <v>0</v>
      </c>
      <c r="AC348" s="40">
        <f>+AA348-AB348</f>
        <v>0</v>
      </c>
      <c r="AD348" s="39"/>
      <c r="AE348" s="39"/>
      <c r="AF348" s="39"/>
      <c r="AG348" s="39">
        <f>IFERROR(VLOOKUP("19_"&amp;A348,SyS!$B:$P,10,FALSE()),0)</f>
        <v>0</v>
      </c>
      <c r="AH348" s="39">
        <f>IFERROR(VLOOKUP("19_"&amp;A348,SyS!$B:$P,12,FALSE()),0)</f>
        <v>0</v>
      </c>
      <c r="AI348" s="39">
        <f>+AG348-AH348</f>
        <v>0</v>
      </c>
      <c r="AJ348" s="39"/>
      <c r="AK348" s="39"/>
      <c r="AL348" s="39"/>
      <c r="AM348" s="38">
        <f>IFERROR(VLOOKUP("23_"&amp;A348,SyS!$B:$P,10,FALSE()),0)</f>
        <v>0</v>
      </c>
      <c r="AN348" s="39">
        <f>IFERROR(VLOOKUP("23_"&amp;A348,SyS!$B:$P,12,FALSE()),0)</f>
        <v>0</v>
      </c>
      <c r="AO348" s="40">
        <f>+AM348-AN348</f>
        <v>0</v>
      </c>
      <c r="AP348" s="39"/>
      <c r="AQ348" s="39"/>
      <c r="AR348" s="39"/>
      <c r="AS348" s="39"/>
      <c r="AT348" s="39"/>
      <c r="AU348" s="39"/>
      <c r="AV348" s="39"/>
      <c r="AW348" s="39"/>
      <c r="AX348" s="39"/>
      <c r="AY348" s="39"/>
      <c r="AZ348" s="39"/>
      <c r="BA348" s="39"/>
      <c r="BB348" s="39"/>
      <c r="BC348" s="39"/>
      <c r="BD348" s="39"/>
      <c r="BE348" s="39"/>
      <c r="BF348" s="39"/>
      <c r="BG348" s="39"/>
      <c r="BH348" s="39"/>
      <c r="BI348" s="39"/>
      <c r="BJ348" s="39"/>
      <c r="BK348" s="39">
        <f>IFERROR(VLOOKUP("29_"&amp;A348,SyS!$B:$P,10,FALSE()),0)</f>
        <v>0</v>
      </c>
      <c r="BL348" s="39">
        <f>IFERROR(VLOOKUP("29_"&amp;A348,SyS!$B:$P,12,FALSE()),0)</f>
        <v>0</v>
      </c>
      <c r="BM348" s="39">
        <f>+BK348-BL348</f>
        <v>0</v>
      </c>
      <c r="BN348" s="38">
        <f>IFERROR(VLOOKUP("30_"&amp;A348,SyS!$B:$P,10,FALSE()),0)</f>
        <v>0</v>
      </c>
      <c r="BO348" s="39">
        <f>IFERROR(VLOOKUP("30_"&amp;A348,SyS!$B:$P,12,FALSE()),0)</f>
        <v>0</v>
      </c>
      <c r="BP348" s="40">
        <f>+BN348-BO348</f>
        <v>0</v>
      </c>
      <c r="BQ348" s="45">
        <f>+E348+H348+K348+Q348+T348+W348+Z348+AC348+AF348+AI348+AL348+AO348+AR348+AU348+AX348+BA348+BD348+BG348+BJ348+BM348+BP348</f>
        <v>0</v>
      </c>
    </row>
    <row r="349" ht="11.25" customHeight="1" spans="1:69" x14ac:dyDescent="0.25">
      <c r="A349" s="18">
        <v>421590000</v>
      </c>
      <c r="B349" s="18" t="s">
        <v>577</v>
      </c>
      <c r="C349" s="38">
        <f>IFERROR(VLOOKUP("1_"&amp;A349,SyS!$B:$P,10,FALSE()),0)</f>
        <v>0</v>
      </c>
      <c r="D349" s="39">
        <f>IFERROR(VLOOKUP("1_"&amp;A349,SyS!$B:$P,12,FALSE()),0)</f>
        <v>0</v>
      </c>
      <c r="E349" s="39">
        <f>+C349-D349</f>
        <v>0</v>
      </c>
      <c r="F349" s="38">
        <f>IFERROR(VLOOKUP("2_"&amp;A349,SyS!$B:$P,10,FALSE()),0)</f>
        <v>0</v>
      </c>
      <c r="G349" s="39">
        <f>IFERROR(VLOOKUP("2_"&amp;A349,SyS!$B:$P,12,FALSE()),0)</f>
        <v>0</v>
      </c>
      <c r="H349" s="40">
        <f>+F349-G349</f>
        <v>0</v>
      </c>
      <c r="I349" s="39"/>
      <c r="J349" s="39"/>
      <c r="K349" s="39"/>
      <c r="L349" s="39"/>
      <c r="M349" s="39"/>
      <c r="N349" s="39"/>
      <c r="O349" s="38">
        <f>IFERROR(VLOOKUP("14_"&amp;A349,SyS!$B:$P,10,FALSE()),0)</f>
        <v>0</v>
      </c>
      <c r="P349" s="39">
        <f>IFERROR(VLOOKUP("14_"&amp;A349,SyS!$B:$P,12,FALSE()),0)</f>
        <v>0</v>
      </c>
      <c r="Q349" s="40">
        <f>+O349-P349</f>
        <v>0</v>
      </c>
      <c r="R349" s="38">
        <f>IFERROR(VLOOKUP("15_"&amp;A349,SyS!$B:$P,10,FALSE()),0)</f>
        <v>0</v>
      </c>
      <c r="S349" s="39">
        <f>IFERROR(VLOOKUP("15_"&amp;A349,SyS!$B:$P,12,FALSE()),0)</f>
        <v>0</v>
      </c>
      <c r="T349" s="40">
        <f>+R349-S349</f>
        <v>0</v>
      </c>
      <c r="U349" s="38">
        <f>IFERROR(VLOOKUP("16_"&amp;A349,SyS!$B:$P,10,FALSE()),0)</f>
        <v>0</v>
      </c>
      <c r="V349" s="39">
        <f>IFERROR(VLOOKUP("16_"&amp;A349,SyS!$B:$P,12,FALSE()),0)</f>
        <v>0</v>
      </c>
      <c r="W349" s="40">
        <f>+U349-V349</f>
        <v>0</v>
      </c>
      <c r="X349" s="38">
        <f>IFERROR(VLOOKUP("13_"&amp;A349,SyS!$B:$P,10,FALSE()),0)</f>
        <v>0</v>
      </c>
      <c r="Y349" s="39">
        <f>IFERROR(VLOOKUP("13_"&amp;A349,SyS!$B:$P,12,FALSE()),0)</f>
        <v>0</v>
      </c>
      <c r="Z349" s="40">
        <f>+X349-Y349</f>
        <v>0</v>
      </c>
      <c r="AA349" s="38">
        <f>IFERROR(VLOOKUP("17_"&amp;A349,SyS!$B:$P,10,FALSE()),0)</f>
        <v>0</v>
      </c>
      <c r="AB349" s="39">
        <f>IFERROR(VLOOKUP("17_"&amp;A349,SyS!$B:$P,12,FALSE()),0)</f>
        <v>0</v>
      </c>
      <c r="AC349" s="40">
        <f>+AA349-AB349</f>
        <v>0</v>
      </c>
      <c r="AD349" s="39"/>
      <c r="AE349" s="39"/>
      <c r="AF349" s="39"/>
      <c r="AG349" s="39">
        <f>IFERROR(VLOOKUP("19_"&amp;A349,SyS!$B:$P,10,FALSE()),0)</f>
        <v>0</v>
      </c>
      <c r="AH349" s="39">
        <f>IFERROR(VLOOKUP("19_"&amp;A349,SyS!$B:$P,12,FALSE()),0)</f>
        <v>0</v>
      </c>
      <c r="AI349" s="39">
        <f>+AG349-AH349</f>
        <v>0</v>
      </c>
      <c r="AJ349" s="39"/>
      <c r="AK349" s="39"/>
      <c r="AL349" s="39"/>
      <c r="AM349" s="38">
        <f>IFERROR(VLOOKUP("23_"&amp;A349,SyS!$B:$P,10,FALSE()),0)</f>
        <v>0</v>
      </c>
      <c r="AN349" s="39">
        <f>IFERROR(VLOOKUP("23_"&amp;A349,SyS!$B:$P,12,FALSE()),0)</f>
        <v>0</v>
      </c>
      <c r="AO349" s="40">
        <f>+AM349-AN349</f>
        <v>0</v>
      </c>
      <c r="AP349" s="39"/>
      <c r="AQ349" s="39"/>
      <c r="AR349" s="39"/>
      <c r="AS349" s="39"/>
      <c r="AT349" s="39"/>
      <c r="AU349" s="39"/>
      <c r="AV349" s="39"/>
      <c r="AW349" s="39"/>
      <c r="AX349" s="39"/>
      <c r="AY349" s="39"/>
      <c r="AZ349" s="39"/>
      <c r="BA349" s="39"/>
      <c r="BB349" s="39"/>
      <c r="BC349" s="39"/>
      <c r="BD349" s="39"/>
      <c r="BE349" s="39"/>
      <c r="BF349" s="39"/>
      <c r="BG349" s="39"/>
      <c r="BH349" s="39"/>
      <c r="BI349" s="39"/>
      <c r="BJ349" s="39"/>
      <c r="BK349" s="39">
        <f>IFERROR(VLOOKUP("29_"&amp;A349,SyS!$B:$P,10,FALSE()),0)</f>
        <v>0</v>
      </c>
      <c r="BL349" s="39">
        <f>IFERROR(VLOOKUP("29_"&amp;A349,SyS!$B:$P,12,FALSE()),0)</f>
        <v>0</v>
      </c>
      <c r="BM349" s="39">
        <f>+BK349-BL349</f>
        <v>0</v>
      </c>
      <c r="BN349" s="38">
        <f>IFERROR(VLOOKUP("30_"&amp;A349,SyS!$B:$P,10,FALSE()),0)</f>
        <v>0</v>
      </c>
      <c r="BO349" s="39">
        <f>IFERROR(VLOOKUP("30_"&amp;A349,SyS!$B:$P,12,FALSE()),0)</f>
        <v>0</v>
      </c>
      <c r="BP349" s="40">
        <f>+BN349-BO349</f>
        <v>0</v>
      </c>
      <c r="BQ349" s="45">
        <f>+E349+H349+K349+Q349+T349+W349+Z349+AC349+AF349+AI349+AL349+AO349+AR349+AU349+AX349+BA349+BD349+BG349+BJ349+BM349+BP349</f>
        <v>0</v>
      </c>
    </row>
    <row r="350" ht="11.25" customHeight="1" spans="1:69" x14ac:dyDescent="0.25">
      <c r="A350" s="18">
        <v>427800000</v>
      </c>
      <c r="B350" s="18" t="s">
        <v>578</v>
      </c>
      <c r="C350" s="38">
        <f>IFERROR(VLOOKUP("1_"&amp;A350,SyS!$B:$P,10,FALSE()),0)</f>
        <v>0</v>
      </c>
      <c r="D350" s="39">
        <f>IFERROR(VLOOKUP("1_"&amp;A350,SyS!$B:$P,12,FALSE()),0)</f>
        <v>0</v>
      </c>
      <c r="E350" s="39">
        <f>+C350-D350</f>
        <v>0</v>
      </c>
      <c r="F350" s="38">
        <f>IFERROR(VLOOKUP("2_"&amp;A350,SyS!$B:$P,10,FALSE()),0)</f>
        <v>0</v>
      </c>
      <c r="G350" s="39">
        <f>IFERROR(VLOOKUP("2_"&amp;A350,SyS!$B:$P,12,FALSE()),0)</f>
        <v>0</v>
      </c>
      <c r="H350" s="40">
        <f>+F350-G350</f>
        <v>0</v>
      </c>
      <c r="I350" s="39"/>
      <c r="J350" s="39"/>
      <c r="K350" s="39"/>
      <c r="L350" s="39"/>
      <c r="M350" s="39"/>
      <c r="N350" s="39"/>
      <c r="O350" s="38">
        <f>IFERROR(VLOOKUP("14_"&amp;A350,SyS!$B:$P,10,FALSE()),0)</f>
        <v>0</v>
      </c>
      <c r="P350" s="39">
        <f>IFERROR(VLOOKUP("14_"&amp;A350,SyS!$B:$P,12,FALSE()),0)</f>
        <v>0</v>
      </c>
      <c r="Q350" s="40">
        <f>+O350-P350</f>
        <v>0</v>
      </c>
      <c r="R350" s="38">
        <f>IFERROR(VLOOKUP("15_"&amp;A350,SyS!$B:$P,10,FALSE()),0)</f>
        <v>0</v>
      </c>
      <c r="S350" s="39">
        <f>IFERROR(VLOOKUP("15_"&amp;A350,SyS!$B:$P,12,FALSE()),0)</f>
        <v>0</v>
      </c>
      <c r="T350" s="40">
        <f>+R350-S350</f>
        <v>0</v>
      </c>
      <c r="U350" s="38">
        <f>IFERROR(VLOOKUP("16_"&amp;A350,SyS!$B:$P,10,FALSE()),0)</f>
        <v>0</v>
      </c>
      <c r="V350" s="39">
        <f>IFERROR(VLOOKUP("16_"&amp;A350,SyS!$B:$P,12,FALSE()),0)</f>
        <v>0</v>
      </c>
      <c r="W350" s="40">
        <f>+U350-V350</f>
        <v>0</v>
      </c>
      <c r="X350" s="38">
        <f>IFERROR(VLOOKUP("13_"&amp;A350,SyS!$B:$P,10,FALSE()),0)</f>
        <v>0</v>
      </c>
      <c r="Y350" s="39">
        <f>IFERROR(VLOOKUP("13_"&amp;A350,SyS!$B:$P,12,FALSE()),0)</f>
        <v>0</v>
      </c>
      <c r="Z350" s="40">
        <f>+X350-Y350</f>
        <v>0</v>
      </c>
      <c r="AA350" s="38">
        <f>IFERROR(VLOOKUP("17_"&amp;A350,SyS!$B:$P,10,FALSE()),0)</f>
        <v>0</v>
      </c>
      <c r="AB350" s="39">
        <f>IFERROR(VLOOKUP("17_"&amp;A350,SyS!$B:$P,12,FALSE()),0)</f>
        <v>0</v>
      </c>
      <c r="AC350" s="40">
        <f>+AA350-AB350</f>
        <v>0</v>
      </c>
      <c r="AD350" s="39"/>
      <c r="AE350" s="39"/>
      <c r="AF350" s="39"/>
      <c r="AG350" s="39">
        <f>IFERROR(VLOOKUP("19_"&amp;A350,SyS!$B:$P,10,FALSE()),0)</f>
        <v>0</v>
      </c>
      <c r="AH350" s="39">
        <f>IFERROR(VLOOKUP("19_"&amp;A350,SyS!$B:$P,12,FALSE()),0)</f>
        <v>0</v>
      </c>
      <c r="AI350" s="39">
        <f>+AG350-AH350</f>
        <v>0</v>
      </c>
      <c r="AJ350" s="39"/>
      <c r="AK350" s="39"/>
      <c r="AL350" s="39"/>
      <c r="AM350" s="38">
        <f>IFERROR(VLOOKUP("23_"&amp;A350,SyS!$B:$P,10,FALSE()),0)</f>
        <v>0</v>
      </c>
      <c r="AN350" s="39">
        <f>IFERROR(VLOOKUP("23_"&amp;A350,SyS!$B:$P,12,FALSE()),0)</f>
        <v>0</v>
      </c>
      <c r="AO350" s="40">
        <f>+AM350-AN350</f>
        <v>0</v>
      </c>
      <c r="AP350" s="39"/>
      <c r="AQ350" s="39"/>
      <c r="AR350" s="39"/>
      <c r="AS350" s="39"/>
      <c r="AT350" s="39"/>
      <c r="AU350" s="39"/>
      <c r="AV350" s="39"/>
      <c r="AW350" s="39"/>
      <c r="AX350" s="39"/>
      <c r="AY350" s="39"/>
      <c r="AZ350" s="39"/>
      <c r="BA350" s="39"/>
      <c r="BB350" s="39"/>
      <c r="BC350" s="39"/>
      <c r="BD350" s="39"/>
      <c r="BE350" s="39"/>
      <c r="BF350" s="39"/>
      <c r="BG350" s="39"/>
      <c r="BH350" s="39"/>
      <c r="BI350" s="39"/>
      <c r="BJ350" s="39"/>
      <c r="BK350" s="39">
        <f>IFERROR(VLOOKUP("29_"&amp;A350,SyS!$B:$P,10,FALSE()),0)</f>
        <v>0</v>
      </c>
      <c r="BL350" s="39">
        <f>IFERROR(VLOOKUP("29_"&amp;A350,SyS!$B:$P,12,FALSE()),0)</f>
        <v>0</v>
      </c>
      <c r="BM350" s="39">
        <f>+BK350-BL350</f>
        <v>0</v>
      </c>
      <c r="BN350" s="38">
        <f>IFERROR(VLOOKUP("30_"&amp;A350,SyS!$B:$P,10,FALSE()),0)</f>
        <v>0</v>
      </c>
      <c r="BO350" s="39">
        <f>IFERROR(VLOOKUP("30_"&amp;A350,SyS!$B:$P,12,FALSE()),0)</f>
        <v>0</v>
      </c>
      <c r="BP350" s="40">
        <f>+BN350-BO350</f>
        <v>0</v>
      </c>
      <c r="BQ350" s="45">
        <f>+E350+H350+K350+Q350+T350+W350+Z350+AC350+AF350+AI350+AL350+AO350+AR350+AU350+AX350+BA350+BD350+BG350+BJ350+BM350+BP350</f>
        <v>0</v>
      </c>
    </row>
    <row r="351" ht="11.25" customHeight="1" spans="1:69" x14ac:dyDescent="0.25">
      <c r="A351" s="18">
        <v>427900000</v>
      </c>
      <c r="B351" s="18" t="s">
        <v>579</v>
      </c>
      <c r="C351" s="38">
        <f>IFERROR(VLOOKUP("1_"&amp;A351,SyS!$B:$P,10,FALSE()),0)</f>
        <v>0</v>
      </c>
      <c r="D351" s="39">
        <f>IFERROR(VLOOKUP("1_"&amp;A351,SyS!$B:$P,12,FALSE()),0)</f>
        <v>0</v>
      </c>
      <c r="E351" s="39">
        <f>+C351-D351</f>
        <v>0</v>
      </c>
      <c r="F351" s="38">
        <f>IFERROR(VLOOKUP("2_"&amp;A351,SyS!$B:$P,10,FALSE()),0)</f>
        <v>0</v>
      </c>
      <c r="G351" s="39">
        <f>IFERROR(VLOOKUP("2_"&amp;A351,SyS!$B:$P,12,FALSE()),0)</f>
        <v>0</v>
      </c>
      <c r="H351" s="40">
        <f>+F351-G351</f>
        <v>0</v>
      </c>
      <c r="I351" s="39"/>
      <c r="J351" s="39"/>
      <c r="K351" s="39"/>
      <c r="L351" s="39"/>
      <c r="M351" s="39"/>
      <c r="N351" s="39"/>
      <c r="O351" s="38">
        <f>IFERROR(VLOOKUP("14_"&amp;A351,SyS!$B:$P,10,FALSE()),0)</f>
        <v>0</v>
      </c>
      <c r="P351" s="39">
        <f>IFERROR(VLOOKUP("14_"&amp;A351,SyS!$B:$P,12,FALSE()),0)</f>
        <v>0</v>
      </c>
      <c r="Q351" s="40">
        <f>+O351-P351</f>
        <v>0</v>
      </c>
      <c r="R351" s="38">
        <f>IFERROR(VLOOKUP("15_"&amp;A351,SyS!$B:$P,10,FALSE()),0)</f>
        <v>0</v>
      </c>
      <c r="S351" s="39">
        <f>IFERROR(VLOOKUP("15_"&amp;A351,SyS!$B:$P,12,FALSE()),0)</f>
        <v>0</v>
      </c>
      <c r="T351" s="40">
        <f>+R351-S351</f>
        <v>0</v>
      </c>
      <c r="U351" s="38">
        <f>IFERROR(VLOOKUP("16_"&amp;A351,SyS!$B:$P,10,FALSE()),0)</f>
        <v>0</v>
      </c>
      <c r="V351" s="39">
        <f>IFERROR(VLOOKUP("16_"&amp;A351,SyS!$B:$P,12,FALSE()),0)</f>
        <v>0</v>
      </c>
      <c r="W351" s="40">
        <f>+U351-V351</f>
        <v>0</v>
      </c>
      <c r="X351" s="38">
        <f>IFERROR(VLOOKUP("13_"&amp;A351,SyS!$B:$P,10,FALSE()),0)</f>
        <v>0</v>
      </c>
      <c r="Y351" s="39">
        <f>IFERROR(VLOOKUP("13_"&amp;A351,SyS!$B:$P,12,FALSE()),0)</f>
        <v>0</v>
      </c>
      <c r="Z351" s="40">
        <f>+X351-Y351</f>
        <v>0</v>
      </c>
      <c r="AA351" s="38">
        <f>IFERROR(VLOOKUP("17_"&amp;A351,SyS!$B:$P,10,FALSE()),0)</f>
        <v>0</v>
      </c>
      <c r="AB351" s="39">
        <f>IFERROR(VLOOKUP("17_"&amp;A351,SyS!$B:$P,12,FALSE()),0)</f>
        <v>0</v>
      </c>
      <c r="AC351" s="40">
        <f>+AA351-AB351</f>
        <v>0</v>
      </c>
      <c r="AD351" s="39"/>
      <c r="AE351" s="39"/>
      <c r="AF351" s="39"/>
      <c r="AG351" s="39">
        <f>IFERROR(VLOOKUP("19_"&amp;A351,SyS!$B:$P,10,FALSE()),0)</f>
        <v>0</v>
      </c>
      <c r="AH351" s="39">
        <f>IFERROR(VLOOKUP("19_"&amp;A351,SyS!$B:$P,12,FALSE()),0)</f>
        <v>0</v>
      </c>
      <c r="AI351" s="39">
        <f>+AG351-AH351</f>
        <v>0</v>
      </c>
      <c r="AJ351" s="39"/>
      <c r="AK351" s="39"/>
      <c r="AL351" s="39"/>
      <c r="AM351" s="38">
        <f>IFERROR(VLOOKUP("23_"&amp;A351,SyS!$B:$P,10,FALSE()),0)</f>
        <v>0</v>
      </c>
      <c r="AN351" s="39">
        <f>IFERROR(VLOOKUP("23_"&amp;A351,SyS!$B:$P,12,FALSE()),0)</f>
        <v>0</v>
      </c>
      <c r="AO351" s="40">
        <f>+AM351-AN351</f>
        <v>0</v>
      </c>
      <c r="AP351" s="39"/>
      <c r="AQ351" s="39"/>
      <c r="AR351" s="39"/>
      <c r="AS351" s="39"/>
      <c r="AT351" s="39"/>
      <c r="AU351" s="39"/>
      <c r="AV351" s="39"/>
      <c r="AW351" s="39"/>
      <c r="AX351" s="39"/>
      <c r="AY351" s="39"/>
      <c r="AZ351" s="39"/>
      <c r="BA351" s="39"/>
      <c r="BB351" s="39"/>
      <c r="BC351" s="39"/>
      <c r="BD351" s="39"/>
      <c r="BE351" s="39"/>
      <c r="BF351" s="39"/>
      <c r="BG351" s="39"/>
      <c r="BH351" s="39"/>
      <c r="BI351" s="39"/>
      <c r="BJ351" s="39"/>
      <c r="BK351" s="39">
        <f>IFERROR(VLOOKUP("29_"&amp;A351,SyS!$B:$P,10,FALSE()),0)</f>
        <v>0</v>
      </c>
      <c r="BL351" s="39">
        <f>IFERROR(VLOOKUP("29_"&amp;A351,SyS!$B:$P,12,FALSE()),0)</f>
        <v>0</v>
      </c>
      <c r="BM351" s="39">
        <f>+BK351-BL351</f>
        <v>0</v>
      </c>
      <c r="BN351" s="38">
        <f>IFERROR(VLOOKUP("30_"&amp;A351,SyS!$B:$P,10,FALSE()),0)</f>
        <v>0</v>
      </c>
      <c r="BO351" s="39">
        <f>IFERROR(VLOOKUP("30_"&amp;A351,SyS!$B:$P,12,FALSE()),0)</f>
        <v>0</v>
      </c>
      <c r="BP351" s="40">
        <f>+BN351-BO351</f>
        <v>0</v>
      </c>
      <c r="BQ351" s="45">
        <f>+E351+H351+K351+Q351+T351+W351+Z351+AC351+AF351+AI351+AL351+AO351+AR351+AU351+AX351+BA351+BD351+BG351+BJ351+BM351+BP351</f>
        <v>0</v>
      </c>
    </row>
    <row r="352" ht="11.25" customHeight="1" spans="1:69" x14ac:dyDescent="0.25">
      <c r="A352" s="18">
        <v>427510000</v>
      </c>
      <c r="B352" s="18" t="s">
        <v>580</v>
      </c>
      <c r="C352" s="38">
        <f>IFERROR(VLOOKUP("1_"&amp;A352,SyS!$B:$P,10,FALSE()),0)</f>
        <v>0</v>
      </c>
      <c r="D352" s="39">
        <f>IFERROR(VLOOKUP("1_"&amp;A352,SyS!$B:$P,12,FALSE()),0)</f>
        <v>0</v>
      </c>
      <c r="E352" s="39">
        <f>+C352-D352</f>
        <v>0</v>
      </c>
      <c r="F352" s="38">
        <f>IFERROR(VLOOKUP("2_"&amp;A352,SyS!$B:$P,10,FALSE()),0)</f>
        <v>0</v>
      </c>
      <c r="G352" s="39">
        <f>IFERROR(VLOOKUP("2_"&amp;A352,SyS!$B:$P,12,FALSE()),0)</f>
        <v>0</v>
      </c>
      <c r="H352" s="40">
        <f>+F352-G352</f>
        <v>0</v>
      </c>
      <c r="I352" s="39"/>
      <c r="J352" s="39"/>
      <c r="K352" s="39"/>
      <c r="L352" s="39"/>
      <c r="M352" s="39"/>
      <c r="N352" s="39"/>
      <c r="O352" s="38">
        <f>IFERROR(VLOOKUP("14_"&amp;A352,SyS!$B:$P,10,FALSE()),0)</f>
        <v>0</v>
      </c>
      <c r="P352" s="39">
        <f>IFERROR(VLOOKUP("14_"&amp;A352,SyS!$B:$P,12,FALSE()),0)</f>
        <v>0</v>
      </c>
      <c r="Q352" s="40">
        <f>+O352-P352</f>
        <v>0</v>
      </c>
      <c r="R352" s="38">
        <f>IFERROR(VLOOKUP("15_"&amp;A352,SyS!$B:$P,10,FALSE()),0)</f>
        <v>0</v>
      </c>
      <c r="S352" s="39">
        <f>IFERROR(VLOOKUP("15_"&amp;A352,SyS!$B:$P,12,FALSE()),0)</f>
        <v>0</v>
      </c>
      <c r="T352" s="40">
        <f>+R352-S352</f>
        <v>0</v>
      </c>
      <c r="U352" s="38">
        <f>IFERROR(VLOOKUP("16_"&amp;A352,SyS!$B:$P,10,FALSE()),0)</f>
        <v>0</v>
      </c>
      <c r="V352" s="39">
        <f>IFERROR(VLOOKUP("16_"&amp;A352,SyS!$B:$P,12,FALSE()),0)</f>
        <v>0</v>
      </c>
      <c r="W352" s="40">
        <f>+U352-V352</f>
        <v>0</v>
      </c>
      <c r="X352" s="38">
        <f>IFERROR(VLOOKUP("13_"&amp;A352,SyS!$B:$P,10,FALSE()),0)</f>
        <v>0</v>
      </c>
      <c r="Y352" s="39">
        <f>IFERROR(VLOOKUP("13_"&amp;A352,SyS!$B:$P,12,FALSE()),0)</f>
        <v>0</v>
      </c>
      <c r="Z352" s="40">
        <f>+X352-Y352</f>
        <v>0</v>
      </c>
      <c r="AA352" s="38">
        <f>IFERROR(VLOOKUP("17_"&amp;A352,SyS!$B:$P,10,FALSE()),0)</f>
        <v>0</v>
      </c>
      <c r="AB352" s="39">
        <f>IFERROR(VLOOKUP("17_"&amp;A352,SyS!$B:$P,12,FALSE()),0)</f>
        <v>0</v>
      </c>
      <c r="AC352" s="40">
        <f>+AA352-AB352</f>
        <v>0</v>
      </c>
      <c r="AD352" s="39"/>
      <c r="AE352" s="39"/>
      <c r="AF352" s="39"/>
      <c r="AG352" s="39">
        <f>IFERROR(VLOOKUP("19_"&amp;A352,SyS!$B:$P,10,FALSE()),0)</f>
        <v>0</v>
      </c>
      <c r="AH352" s="39">
        <f>IFERROR(VLOOKUP("19_"&amp;A352,SyS!$B:$P,12,FALSE()),0)</f>
        <v>0</v>
      </c>
      <c r="AI352" s="39">
        <f>+AG352-AH352</f>
        <v>0</v>
      </c>
      <c r="AJ352" s="39"/>
      <c r="AK352" s="39"/>
      <c r="AL352" s="39"/>
      <c r="AM352" s="38">
        <f>IFERROR(VLOOKUP("23_"&amp;A352,SyS!$B:$P,10,FALSE()),0)</f>
        <v>0</v>
      </c>
      <c r="AN352" s="39">
        <f>IFERROR(VLOOKUP("23_"&amp;A352,SyS!$B:$P,12,FALSE()),0)</f>
        <v>0</v>
      </c>
      <c r="AO352" s="40">
        <f>+AM352-AN352</f>
        <v>0</v>
      </c>
      <c r="AP352" s="39"/>
      <c r="AQ352" s="39"/>
      <c r="AR352" s="39"/>
      <c r="AS352" s="39"/>
      <c r="AT352" s="39"/>
      <c r="AU352" s="39"/>
      <c r="AV352" s="39"/>
      <c r="AW352" s="39"/>
      <c r="AX352" s="39"/>
      <c r="AY352" s="39"/>
      <c r="AZ352" s="39"/>
      <c r="BA352" s="39"/>
      <c r="BB352" s="39"/>
      <c r="BC352" s="39"/>
      <c r="BD352" s="39"/>
      <c r="BE352" s="39"/>
      <c r="BF352" s="39"/>
      <c r="BG352" s="39"/>
      <c r="BH352" s="39"/>
      <c r="BI352" s="39"/>
      <c r="BJ352" s="39"/>
      <c r="BK352" s="39">
        <f>IFERROR(VLOOKUP("29_"&amp;A352,SyS!$B:$P,10,FALSE()),0)</f>
        <v>0</v>
      </c>
      <c r="BL352" s="39">
        <f>IFERROR(VLOOKUP("29_"&amp;A352,SyS!$B:$P,12,FALSE()),0)</f>
        <v>0</v>
      </c>
      <c r="BM352" s="39">
        <f>+BK352-BL352</f>
        <v>0</v>
      </c>
      <c r="BN352" s="38">
        <f>IFERROR(VLOOKUP("30_"&amp;A352,SyS!$B:$P,10,FALSE()),0)</f>
        <v>0</v>
      </c>
      <c r="BO352" s="39">
        <f>IFERROR(VLOOKUP("30_"&amp;A352,SyS!$B:$P,12,FALSE()),0)</f>
        <v>0</v>
      </c>
      <c r="BP352" s="40">
        <f>+BN352-BO352</f>
        <v>0</v>
      </c>
      <c r="BQ352" s="45">
        <f>+E352+H352+K352+Q352+T352+W352+Z352+AC352+AF352+AI352+AL352+AO352+AR352+AU352+AX352+BA352+BD352+BG352+BJ352+BM352+BP352</f>
        <v>0</v>
      </c>
    </row>
    <row r="353" ht="11.25" customHeight="1" spans="1:69" x14ac:dyDescent="0.25">
      <c r="A353" s="18">
        <v>427520000</v>
      </c>
      <c r="B353" s="18" t="s">
        <v>581</v>
      </c>
      <c r="C353" s="38">
        <f>IFERROR(VLOOKUP("1_"&amp;A353,SyS!$B:$P,10,FALSE()),0)</f>
        <v>0</v>
      </c>
      <c r="D353" s="39">
        <f>IFERROR(VLOOKUP("1_"&amp;A353,SyS!$B:$P,12,FALSE()),0)</f>
        <v>0</v>
      </c>
      <c r="E353" s="39">
        <f>+C353-D353</f>
        <v>0</v>
      </c>
      <c r="F353" s="38">
        <f>IFERROR(VLOOKUP("2_"&amp;A353,SyS!$B:$P,10,FALSE()),0)</f>
        <v>0</v>
      </c>
      <c r="G353" s="39">
        <f>IFERROR(VLOOKUP("2_"&amp;A353,SyS!$B:$P,12,FALSE()),0)</f>
        <v>0</v>
      </c>
      <c r="H353" s="40">
        <f>+F353-G353</f>
        <v>0</v>
      </c>
      <c r="I353" s="39"/>
      <c r="J353" s="39"/>
      <c r="K353" s="39"/>
      <c r="L353" s="39"/>
      <c r="M353" s="39"/>
      <c r="N353" s="39"/>
      <c r="O353" s="38">
        <f>IFERROR(VLOOKUP("14_"&amp;A353,SyS!$B:$P,10,FALSE()),0)</f>
        <v>0</v>
      </c>
      <c r="P353" s="39">
        <f>IFERROR(VLOOKUP("14_"&amp;A353,SyS!$B:$P,12,FALSE()),0)</f>
        <v>0</v>
      </c>
      <c r="Q353" s="40">
        <f>+O353-P353</f>
        <v>0</v>
      </c>
      <c r="R353" s="38">
        <f>IFERROR(VLOOKUP("15_"&amp;A353,SyS!$B:$P,10,FALSE()),0)</f>
        <v>0</v>
      </c>
      <c r="S353" s="39">
        <f>IFERROR(VLOOKUP("15_"&amp;A353,SyS!$B:$P,12,FALSE()),0)</f>
        <v>0</v>
      </c>
      <c r="T353" s="40">
        <f>+R353-S353</f>
        <v>0</v>
      </c>
      <c r="U353" s="38">
        <f>IFERROR(VLOOKUP("16_"&amp;A353,SyS!$B:$P,10,FALSE()),0)</f>
        <v>0</v>
      </c>
      <c r="V353" s="39">
        <f>IFERROR(VLOOKUP("16_"&amp;A353,SyS!$B:$P,12,FALSE()),0)</f>
        <v>0</v>
      </c>
      <c r="W353" s="40">
        <f>+U353-V353</f>
        <v>0</v>
      </c>
      <c r="X353" s="38">
        <f>IFERROR(VLOOKUP("13_"&amp;A353,SyS!$B:$P,10,FALSE()),0)</f>
        <v>0</v>
      </c>
      <c r="Y353" s="39">
        <f>IFERROR(VLOOKUP("13_"&amp;A353,SyS!$B:$P,12,FALSE()),0)</f>
        <v>0</v>
      </c>
      <c r="Z353" s="40">
        <f>+X353-Y353</f>
        <v>0</v>
      </c>
      <c r="AA353" s="38">
        <f>IFERROR(VLOOKUP("17_"&amp;A353,SyS!$B:$P,10,FALSE()),0)</f>
        <v>0</v>
      </c>
      <c r="AB353" s="39">
        <f>IFERROR(VLOOKUP("17_"&amp;A353,SyS!$B:$P,12,FALSE()),0)</f>
        <v>0</v>
      </c>
      <c r="AC353" s="40">
        <f>+AA353-AB353</f>
        <v>0</v>
      </c>
      <c r="AD353" s="39"/>
      <c r="AE353" s="39"/>
      <c r="AF353" s="39"/>
      <c r="AG353" s="39">
        <f>IFERROR(VLOOKUP("19_"&amp;A353,SyS!$B:$P,10,FALSE()),0)</f>
        <v>0</v>
      </c>
      <c r="AH353" s="39">
        <f>IFERROR(VLOOKUP("19_"&amp;A353,SyS!$B:$P,12,FALSE()),0)</f>
        <v>0</v>
      </c>
      <c r="AI353" s="39">
        <f>+AG353-AH353</f>
        <v>0</v>
      </c>
      <c r="AJ353" s="39"/>
      <c r="AK353" s="39"/>
      <c r="AL353" s="39"/>
      <c r="AM353" s="38">
        <f>IFERROR(VLOOKUP("23_"&amp;A353,SyS!$B:$P,10,FALSE()),0)</f>
        <v>0</v>
      </c>
      <c r="AN353" s="39">
        <f>IFERROR(VLOOKUP("23_"&amp;A353,SyS!$B:$P,12,FALSE()),0)</f>
        <v>0</v>
      </c>
      <c r="AO353" s="40">
        <f>+AM353-AN353</f>
        <v>0</v>
      </c>
      <c r="AP353" s="39"/>
      <c r="AQ353" s="39"/>
      <c r="AR353" s="39"/>
      <c r="AS353" s="39"/>
      <c r="AT353" s="39"/>
      <c r="AU353" s="39"/>
      <c r="AV353" s="39"/>
      <c r="AW353" s="39"/>
      <c r="AX353" s="39"/>
      <c r="AY353" s="39"/>
      <c r="AZ353" s="39"/>
      <c r="BA353" s="39"/>
      <c r="BB353" s="39"/>
      <c r="BC353" s="39"/>
      <c r="BD353" s="39"/>
      <c r="BE353" s="39"/>
      <c r="BF353" s="39"/>
      <c r="BG353" s="39"/>
      <c r="BH353" s="39"/>
      <c r="BI353" s="39"/>
      <c r="BJ353" s="39"/>
      <c r="BK353" s="39">
        <f>IFERROR(VLOOKUP("29_"&amp;A353,SyS!$B:$P,10,FALSE()),0)</f>
        <v>0</v>
      </c>
      <c r="BL353" s="39">
        <f>IFERROR(VLOOKUP("29_"&amp;A353,SyS!$B:$P,12,FALSE()),0)</f>
        <v>0</v>
      </c>
      <c r="BM353" s="39">
        <f>+BK353-BL353</f>
        <v>0</v>
      </c>
      <c r="BN353" s="38">
        <f>IFERROR(VLOOKUP("30_"&amp;A353,SyS!$B:$P,10,FALSE()),0)</f>
        <v>0</v>
      </c>
      <c r="BO353" s="39">
        <f>IFERROR(VLOOKUP("30_"&amp;A353,SyS!$B:$P,12,FALSE()),0)</f>
        <v>0</v>
      </c>
      <c r="BP353" s="40">
        <f>+BN353-BO353</f>
        <v>0</v>
      </c>
      <c r="BQ353" s="45">
        <f>+E353+H353+K353+Q353+T353+W353+Z353+AC353+AF353+AI353+AL353+AO353+AR353+AU353+AX353+BA353+BD353+BG353+BJ353+BM353+BP353</f>
        <v>0</v>
      </c>
    </row>
    <row r="354" ht="11.25" customHeight="1" spans="1:253" x14ac:dyDescent="0.25">
      <c r="A354" s="18">
        <v>427320000</v>
      </c>
      <c r="B354" s="18" t="s">
        <v>582</v>
      </c>
      <c r="C354" s="38">
        <f>IFERROR(VLOOKUP("1_"&amp;A354,SyS!$B:$P,10,FALSE()),0)</f>
        <v>0</v>
      </c>
      <c r="D354" s="39">
        <f>IFERROR(VLOOKUP("1_"&amp;A354,SyS!$B:$P,12,FALSE()),0)</f>
        <v>0</v>
      </c>
      <c r="E354" s="39">
        <f>+C354-D354</f>
        <v>0</v>
      </c>
      <c r="F354" s="38">
        <f>IFERROR(VLOOKUP("2_"&amp;A354,SyS!$B:$P,10,FALSE()),0)</f>
        <v>0</v>
      </c>
      <c r="G354" s="39">
        <f>IFERROR(VLOOKUP("2_"&amp;A354,SyS!$B:$P,12,FALSE()),0)</f>
        <v>0</v>
      </c>
      <c r="H354" s="40">
        <f>+F354-G354</f>
        <v>0</v>
      </c>
      <c r="I354" s="39"/>
      <c r="J354" s="39"/>
      <c r="K354" s="39"/>
      <c r="L354" s="39"/>
      <c r="M354" s="39"/>
      <c r="N354" s="39"/>
      <c r="O354" s="38">
        <f>IFERROR(VLOOKUP("14_"&amp;A354,SyS!$B:$P,10,FALSE()),0)</f>
        <v>0</v>
      </c>
      <c r="P354" s="39">
        <f>IFERROR(VLOOKUP("14_"&amp;A354,SyS!$B:$P,12,FALSE()),0)</f>
        <v>0</v>
      </c>
      <c r="Q354" s="40">
        <f>+O354-P354</f>
        <v>0</v>
      </c>
      <c r="R354" s="38">
        <f>IFERROR(VLOOKUP("15_"&amp;A354,SyS!$B:$P,10,FALSE()),0)</f>
        <v>0</v>
      </c>
      <c r="S354" s="39">
        <f>IFERROR(VLOOKUP("15_"&amp;A354,SyS!$B:$P,12,FALSE()),0)</f>
        <v>0</v>
      </c>
      <c r="T354" s="40">
        <f>+R354-S354</f>
        <v>0</v>
      </c>
      <c r="U354" s="38">
        <f>IFERROR(VLOOKUP("16_"&amp;A354,SyS!$B:$P,10,FALSE()),0)</f>
        <v>0</v>
      </c>
      <c r="V354" s="39">
        <f>IFERROR(VLOOKUP("16_"&amp;A354,SyS!$B:$P,12,FALSE()),0)</f>
        <v>0</v>
      </c>
      <c r="W354" s="40">
        <f>+U354-V354</f>
        <v>0</v>
      </c>
      <c r="X354" s="38">
        <f>IFERROR(VLOOKUP("13_"&amp;A354,SyS!$B:$P,10,FALSE()),0)</f>
        <v>0</v>
      </c>
      <c r="Y354" s="39">
        <f>IFERROR(VLOOKUP("13_"&amp;A354,SyS!$B:$P,12,FALSE()),0)</f>
        <v>0</v>
      </c>
      <c r="Z354" s="40">
        <f>+X354-Y354</f>
        <v>0</v>
      </c>
      <c r="AA354" s="38">
        <f>IFERROR(VLOOKUP("17_"&amp;A354,SyS!$B:$P,10,FALSE()),0)</f>
        <v>0</v>
      </c>
      <c r="AB354" s="39">
        <f>IFERROR(VLOOKUP("17_"&amp;A354,SyS!$B:$P,12,FALSE()),0)</f>
        <v>0</v>
      </c>
      <c r="AC354" s="40">
        <f>+AA354-AB354</f>
        <v>0</v>
      </c>
      <c r="AD354" s="39"/>
      <c r="AE354" s="39"/>
      <c r="AF354" s="39"/>
      <c r="AG354" s="39">
        <f>IFERROR(VLOOKUP("19_"&amp;A354,SyS!$B:$P,10,FALSE()),0)</f>
        <v>0</v>
      </c>
      <c r="AH354" s="39">
        <f>IFERROR(VLOOKUP("19_"&amp;A354,SyS!$B:$P,12,FALSE()),0)</f>
        <v>0</v>
      </c>
      <c r="AI354" s="39">
        <f>+AG354-AH354</f>
        <v>0</v>
      </c>
      <c r="AJ354" s="39"/>
      <c r="AK354" s="39"/>
      <c r="AL354" s="39"/>
      <c r="AM354" s="38">
        <f>IFERROR(VLOOKUP("23_"&amp;A354,SyS!$B:$P,10,FALSE()),0)</f>
        <v>0</v>
      </c>
      <c r="AN354" s="39">
        <f>IFERROR(VLOOKUP("23_"&amp;A354,SyS!$B:$P,12,FALSE()),0)</f>
        <v>0</v>
      </c>
      <c r="AO354" s="40">
        <f>+AM354-AN354</f>
        <v>0</v>
      </c>
      <c r="AP354" s="39"/>
      <c r="AQ354" s="39"/>
      <c r="AR354" s="39"/>
      <c r="AS354" s="39"/>
      <c r="AT354" s="39"/>
      <c r="AU354" s="39"/>
      <c r="AV354" s="39"/>
      <c r="AW354" s="39"/>
      <c r="AX354" s="39"/>
      <c r="AY354" s="39"/>
      <c r="AZ354" s="39"/>
      <c r="BA354" s="39"/>
      <c r="BB354" s="39"/>
      <c r="BC354" s="39"/>
      <c r="BD354" s="39"/>
      <c r="BE354" s="39"/>
      <c r="BF354" s="39"/>
      <c r="BG354" s="39"/>
      <c r="BH354" s="39"/>
      <c r="BI354" s="39"/>
      <c r="BJ354" s="39"/>
      <c r="BK354" s="39">
        <f>IFERROR(VLOOKUP("29_"&amp;A354,SyS!$B:$P,10,FALSE()),0)</f>
        <v>0</v>
      </c>
      <c r="BL354" s="39">
        <f>IFERROR(VLOOKUP("29_"&amp;A354,SyS!$B:$P,12,FALSE()),0)</f>
        <v>0</v>
      </c>
      <c r="BM354" s="39">
        <f>+BK354-BL354</f>
        <v>0</v>
      </c>
      <c r="BN354" s="38">
        <f>IFERROR(VLOOKUP("30_"&amp;A354,SyS!$B:$P,10,FALSE()),0)</f>
        <v>0</v>
      </c>
      <c r="BO354" s="39">
        <f>IFERROR(VLOOKUP("30_"&amp;A354,SyS!$B:$P,12,FALSE()),0)</f>
        <v>0</v>
      </c>
      <c r="BP354" s="40">
        <f>+BN354-BO354</f>
        <v>0</v>
      </c>
      <c r="BQ354" s="45">
        <f>+E354+H354+K354+Q354+T354+W354+Z354+AC354+AF354+AI354+AL354+AO354+AR354+AU354+AX354+BA354+BD354+BG354+BJ354+BM354+BP354</f>
        <v>0</v>
      </c>
      <c r="BR354" s="39"/>
      <c r="BS354" s="39"/>
      <c r="BT354" s="39"/>
      <c r="BU354" s="39"/>
      <c r="BV354" s="39"/>
      <c r="BW354" s="39"/>
      <c r="BX354" s="39"/>
      <c r="BY354" s="39"/>
      <c r="BZ354" s="39"/>
      <c r="CA354" s="39"/>
      <c r="CB354" s="39"/>
      <c r="CC354" s="39"/>
      <c r="CD354" s="39"/>
      <c r="CE354" s="39"/>
      <c r="CF354" s="52"/>
      <c r="CG354" s="52"/>
      <c r="CH354" s="52"/>
      <c r="CI354" s="52"/>
      <c r="CJ354" s="52"/>
      <c r="CK354" s="52"/>
      <c r="CL354" s="52"/>
      <c r="CM354" s="52"/>
      <c r="CN354" s="52"/>
      <c r="CO354" s="52"/>
      <c r="CP354" s="52"/>
      <c r="CQ354" s="52"/>
      <c r="CR354" s="52"/>
      <c r="CS354" s="52"/>
      <c r="CT354" s="52"/>
      <c r="CU354" s="52"/>
      <c r="CV354" s="52"/>
      <c r="CW354" s="52"/>
      <c r="CX354" s="52"/>
      <c r="CY354" s="52"/>
      <c r="CZ354" s="52"/>
      <c r="DA354" s="52"/>
      <c r="DB354" s="52"/>
      <c r="DC354" s="52"/>
      <c r="DD354" s="52"/>
      <c r="DE354" s="52"/>
      <c r="DF354" s="52"/>
      <c r="DG354" s="52"/>
      <c r="DH354" s="52"/>
      <c r="DI354" s="52"/>
      <c r="DJ354" s="52"/>
      <c r="DK354" s="52"/>
      <c r="DL354" s="52"/>
      <c r="DM354" s="52"/>
      <c r="DN354" s="52"/>
      <c r="DO354" s="52"/>
      <c r="DP354" s="52"/>
      <c r="DQ354" s="52"/>
      <c r="DR354" s="52"/>
      <c r="DS354" s="52"/>
      <c r="DT354" s="52"/>
      <c r="DU354" s="52"/>
      <c r="DV354" s="52"/>
      <c r="DW354" s="52"/>
      <c r="DX354" s="52"/>
      <c r="DY354" s="52"/>
      <c r="DZ354" s="52"/>
      <c r="EA354" s="52"/>
      <c r="EB354" s="52"/>
      <c r="EC354" s="52"/>
      <c r="ED354" s="52"/>
      <c r="EE354" s="52"/>
      <c r="EF354" s="52"/>
      <c r="EG354" s="52"/>
      <c r="EH354" s="52"/>
      <c r="EI354" s="52"/>
      <c r="EJ354" s="52"/>
      <c r="EK354" s="52"/>
      <c r="EL354" s="52"/>
      <c r="EM354" s="52"/>
      <c r="EN354" s="52"/>
      <c r="EO354" s="52"/>
      <c r="EP354" s="52"/>
      <c r="EQ354" s="52"/>
      <c r="ER354" s="52"/>
      <c r="ES354" s="52"/>
      <c r="ET354" s="52"/>
      <c r="EU354" s="52"/>
      <c r="EV354" s="52"/>
      <c r="EW354" s="52"/>
      <c r="EX354" s="52"/>
      <c r="EY354" s="52"/>
      <c r="EZ354" s="52"/>
      <c r="FA354" s="52"/>
      <c r="FB354" s="52"/>
      <c r="FC354" s="52"/>
      <c r="FD354" s="52"/>
      <c r="FE354" s="52"/>
      <c r="FF354" s="52"/>
      <c r="FG354" s="52"/>
      <c r="FH354" s="52"/>
      <c r="FI354" s="52"/>
      <c r="FJ354" s="52"/>
      <c r="FK354" s="52"/>
      <c r="FL354" s="52"/>
      <c r="FM354" s="52"/>
      <c r="FN354" s="52"/>
      <c r="FO354" s="52"/>
      <c r="FP354" s="52"/>
      <c r="FQ354" s="52"/>
      <c r="FR354" s="52"/>
      <c r="FS354" s="52"/>
      <c r="FT354" s="52"/>
      <c r="FU354" s="52"/>
      <c r="FV354" s="52"/>
      <c r="FW354" s="52"/>
      <c r="FX354" s="52"/>
      <c r="FY354" s="52"/>
      <c r="FZ354" s="52"/>
      <c r="GA354" s="52"/>
      <c r="GB354" s="52"/>
      <c r="GC354" s="52"/>
      <c r="GD354" s="52"/>
      <c r="GE354" s="52"/>
      <c r="GF354" s="52"/>
      <c r="GG354" s="52"/>
      <c r="GH354" s="52"/>
      <c r="GI354" s="52"/>
      <c r="GJ354" s="52"/>
      <c r="GK354" s="52"/>
      <c r="GL354" s="52"/>
      <c r="GM354" s="52"/>
      <c r="GN354" s="52"/>
      <c r="GO354" s="52"/>
      <c r="GP354" s="52"/>
      <c r="GQ354" s="52"/>
      <c r="GR354" s="52"/>
      <c r="GS354" s="52"/>
      <c r="GT354" s="52"/>
      <c r="GU354" s="52"/>
      <c r="GV354" s="52"/>
      <c r="GW354" s="52"/>
      <c r="GX354" s="52"/>
      <c r="GY354" s="52"/>
      <c r="GZ354" s="52"/>
      <c r="HA354" s="52"/>
      <c r="HB354" s="52"/>
      <c r="HC354" s="52"/>
      <c r="HD354" s="52"/>
      <c r="HE354" s="52"/>
      <c r="HF354" s="52"/>
      <c r="HG354" s="52"/>
      <c r="HH354" s="52"/>
      <c r="HI354" s="52"/>
      <c r="HJ354" s="52"/>
      <c r="HK354" s="52"/>
      <c r="HL354" s="52"/>
      <c r="HM354" s="52"/>
      <c r="HN354" s="52"/>
      <c r="HO354" s="52"/>
      <c r="HP354" s="52"/>
      <c r="HQ354" s="52"/>
      <c r="HR354" s="52"/>
      <c r="HS354" s="52"/>
      <c r="HT354" s="52"/>
      <c r="HU354" s="52"/>
      <c r="HV354" s="52"/>
      <c r="HW354" s="52"/>
      <c r="HX354" s="52"/>
      <c r="HY354" s="52"/>
      <c r="HZ354" s="52"/>
      <c r="IA354" s="52"/>
      <c r="IB354" s="52"/>
      <c r="IC354" s="52"/>
      <c r="ID354" s="52"/>
      <c r="IE354" s="52"/>
      <c r="IF354" s="52"/>
      <c r="IG354" s="52"/>
      <c r="IH354" s="52"/>
      <c r="II354" s="52"/>
      <c r="IJ354" s="52"/>
      <c r="IK354" s="52"/>
      <c r="IL354" s="52"/>
      <c r="IM354" s="52"/>
      <c r="IN354" s="52"/>
      <c r="IO354" s="52"/>
      <c r="IP354" s="52"/>
      <c r="IQ354" s="52"/>
      <c r="IR354" s="52"/>
      <c r="IS354" s="52"/>
    </row>
    <row r="355" ht="11.25" customHeight="1" spans="1:253" x14ac:dyDescent="0.25">
      <c r="A355" s="18">
        <v>427330000</v>
      </c>
      <c r="B355" s="18" t="s">
        <v>583</v>
      </c>
      <c r="C355" s="38">
        <f>IFERROR(VLOOKUP("1_"&amp;A355,SyS!$B:$P,10,FALSE()),0)</f>
        <v>0</v>
      </c>
      <c r="D355" s="39">
        <f>IFERROR(VLOOKUP("1_"&amp;A355,SyS!$B:$P,12,FALSE()),0)</f>
        <v>0</v>
      </c>
      <c r="E355" s="39">
        <f>+C355-D355</f>
        <v>0</v>
      </c>
      <c r="F355" s="38">
        <f>IFERROR(VLOOKUP("2_"&amp;A355,SyS!$B:$P,10,FALSE()),0)</f>
        <v>0</v>
      </c>
      <c r="G355" s="39">
        <f>IFERROR(VLOOKUP("2_"&amp;A355,SyS!$B:$P,12,FALSE()),0)</f>
        <v>0</v>
      </c>
      <c r="H355" s="40">
        <f>+F355-G355</f>
        <v>0</v>
      </c>
      <c r="I355" s="39"/>
      <c r="J355" s="39"/>
      <c r="K355" s="39"/>
      <c r="L355" s="39"/>
      <c r="M355" s="39"/>
      <c r="N355" s="39"/>
      <c r="O355" s="38">
        <f>IFERROR(VLOOKUP("14_"&amp;A355,SyS!$B:$P,10,FALSE()),0)</f>
        <v>0</v>
      </c>
      <c r="P355" s="39">
        <f>IFERROR(VLOOKUP("14_"&amp;A355,SyS!$B:$P,12,FALSE()),0)</f>
        <v>0</v>
      </c>
      <c r="Q355" s="40">
        <f>+O355-P355</f>
        <v>0</v>
      </c>
      <c r="R355" s="38">
        <f>IFERROR(VLOOKUP("15_"&amp;A355,SyS!$B:$P,10,FALSE()),0)</f>
        <v>0</v>
      </c>
      <c r="S355" s="39">
        <f>IFERROR(VLOOKUP("15_"&amp;A355,SyS!$B:$P,12,FALSE()),0)</f>
        <v>0</v>
      </c>
      <c r="T355" s="40">
        <f>+R355-S355</f>
        <v>0</v>
      </c>
      <c r="U355" s="38">
        <f>IFERROR(VLOOKUP("16_"&amp;A355,SyS!$B:$P,10,FALSE()),0)</f>
        <v>0</v>
      </c>
      <c r="V355" s="39">
        <f>IFERROR(VLOOKUP("16_"&amp;A355,SyS!$B:$P,12,FALSE()),0)</f>
        <v>0</v>
      </c>
      <c r="W355" s="40">
        <f>+U355-V355</f>
        <v>0</v>
      </c>
      <c r="X355" s="38">
        <f>IFERROR(VLOOKUP("13_"&amp;A355,SyS!$B:$P,10,FALSE()),0)</f>
        <v>0</v>
      </c>
      <c r="Y355" s="39">
        <f>IFERROR(VLOOKUP("13_"&amp;A355,SyS!$B:$P,12,FALSE()),0)</f>
        <v>0</v>
      </c>
      <c r="Z355" s="40">
        <f>+X355-Y355</f>
        <v>0</v>
      </c>
      <c r="AA355" s="38">
        <f>IFERROR(VLOOKUP("17_"&amp;A355,SyS!$B:$P,10,FALSE()),0)</f>
        <v>0</v>
      </c>
      <c r="AB355" s="39">
        <f>IFERROR(VLOOKUP("17_"&amp;A355,SyS!$B:$P,12,FALSE()),0)</f>
        <v>0</v>
      </c>
      <c r="AC355" s="40">
        <f>+AA355-AB355</f>
        <v>0</v>
      </c>
      <c r="AD355" s="39"/>
      <c r="AE355" s="39"/>
      <c r="AF355" s="39"/>
      <c r="AG355" s="39">
        <f>IFERROR(VLOOKUP("19_"&amp;A355,SyS!$B:$P,10,FALSE()),0)</f>
        <v>0</v>
      </c>
      <c r="AH355" s="39">
        <f>IFERROR(VLOOKUP("19_"&amp;A355,SyS!$B:$P,12,FALSE()),0)</f>
        <v>0</v>
      </c>
      <c r="AI355" s="39">
        <f>+AG355-AH355</f>
        <v>0</v>
      </c>
      <c r="AJ355" s="39"/>
      <c r="AK355" s="39"/>
      <c r="AL355" s="39"/>
      <c r="AM355" s="38">
        <f>IFERROR(VLOOKUP("23_"&amp;A355,SyS!$B:$P,10,FALSE()),0)</f>
        <v>0</v>
      </c>
      <c r="AN355" s="39">
        <f>IFERROR(VLOOKUP("23_"&amp;A355,SyS!$B:$P,12,FALSE()),0)</f>
        <v>0</v>
      </c>
      <c r="AO355" s="40">
        <f>+AM355-AN355</f>
        <v>0</v>
      </c>
      <c r="AP355" s="39"/>
      <c r="AQ355" s="39"/>
      <c r="AR355" s="39"/>
      <c r="AS355" s="39"/>
      <c r="AT355" s="39"/>
      <c r="AU355" s="39"/>
      <c r="AV355" s="39"/>
      <c r="AW355" s="39"/>
      <c r="AX355" s="39"/>
      <c r="AY355" s="39"/>
      <c r="AZ355" s="39"/>
      <c r="BA355" s="39"/>
      <c r="BB355" s="39"/>
      <c r="BC355" s="39"/>
      <c r="BD355" s="39"/>
      <c r="BE355" s="39"/>
      <c r="BF355" s="39"/>
      <c r="BG355" s="39"/>
      <c r="BH355" s="39"/>
      <c r="BI355" s="39"/>
      <c r="BJ355" s="39"/>
      <c r="BK355" s="39">
        <f>IFERROR(VLOOKUP("29_"&amp;A355,SyS!$B:$P,10,FALSE()),0)</f>
        <v>0</v>
      </c>
      <c r="BL355" s="39">
        <f>IFERROR(VLOOKUP("29_"&amp;A355,SyS!$B:$P,12,FALSE()),0)</f>
        <v>0</v>
      </c>
      <c r="BM355" s="39">
        <f>+BK355-BL355</f>
        <v>0</v>
      </c>
      <c r="BN355" s="38">
        <f>IFERROR(VLOOKUP("30_"&amp;A355,SyS!$B:$P,10,FALSE()),0)</f>
        <v>0</v>
      </c>
      <c r="BO355" s="39">
        <f>IFERROR(VLOOKUP("30_"&amp;A355,SyS!$B:$P,12,FALSE()),0)</f>
        <v>0</v>
      </c>
      <c r="BP355" s="40">
        <f>+BN355-BO355</f>
        <v>0</v>
      </c>
      <c r="BQ355" s="45">
        <f>+E355+H355+K355+Q355+T355+W355+Z355+AC355+AF355+AI355+AL355+AO355+AR355+AU355+AX355+BA355+BD355+BG355+BJ355+BM355+BP355</f>
        <v>0</v>
      </c>
      <c r="BR355" s="39"/>
      <c r="BS355" s="39"/>
      <c r="BT355" s="39"/>
      <c r="BU355" s="39"/>
      <c r="BV355" s="39"/>
      <c r="BW355" s="39"/>
      <c r="BX355" s="39"/>
      <c r="BY355" s="39"/>
      <c r="BZ355" s="39"/>
      <c r="CA355" s="39"/>
      <c r="CB355" s="39"/>
      <c r="CC355" s="39"/>
      <c r="CD355" s="39"/>
      <c r="CE355" s="39"/>
      <c r="CF355" s="52"/>
      <c r="CG355" s="52"/>
      <c r="CH355" s="52"/>
      <c r="CI355" s="52"/>
      <c r="CJ355" s="52"/>
      <c r="CK355" s="52"/>
      <c r="CL355" s="52"/>
      <c r="CM355" s="52"/>
      <c r="CN355" s="52"/>
      <c r="CO355" s="52"/>
      <c r="CP355" s="52"/>
      <c r="CQ355" s="52"/>
      <c r="CR355" s="52"/>
      <c r="CS355" s="52"/>
      <c r="CT355" s="52"/>
      <c r="CU355" s="52"/>
      <c r="CV355" s="52"/>
      <c r="CW355" s="52"/>
      <c r="CX355" s="52"/>
      <c r="CY355" s="52"/>
      <c r="CZ355" s="52"/>
      <c r="DA355" s="52"/>
      <c r="DB355" s="52"/>
      <c r="DC355" s="52"/>
      <c r="DD355" s="52"/>
      <c r="DE355" s="52"/>
      <c r="DF355" s="52"/>
      <c r="DG355" s="52"/>
      <c r="DH355" s="52"/>
      <c r="DI355" s="52"/>
      <c r="DJ355" s="52"/>
      <c r="DK355" s="52"/>
      <c r="DL355" s="52"/>
      <c r="DM355" s="52"/>
      <c r="DN355" s="52"/>
      <c r="DO355" s="52"/>
      <c r="DP355" s="52"/>
      <c r="DQ355" s="52"/>
      <c r="DR355" s="52"/>
      <c r="DS355" s="52"/>
      <c r="DT355" s="52"/>
      <c r="DU355" s="52"/>
      <c r="DV355" s="52"/>
      <c r="DW355" s="52"/>
      <c r="DX355" s="52"/>
      <c r="DY355" s="52"/>
      <c r="DZ355" s="52"/>
      <c r="EA355" s="52"/>
      <c r="EB355" s="52"/>
      <c r="EC355" s="52"/>
      <c r="ED355" s="52"/>
      <c r="EE355" s="52"/>
      <c r="EF355" s="52"/>
      <c r="EG355" s="52"/>
      <c r="EH355" s="52"/>
      <c r="EI355" s="52"/>
      <c r="EJ355" s="52"/>
      <c r="EK355" s="52"/>
      <c r="EL355" s="52"/>
      <c r="EM355" s="52"/>
      <c r="EN355" s="52"/>
      <c r="EO355" s="52"/>
      <c r="EP355" s="52"/>
      <c r="EQ355" s="52"/>
      <c r="ER355" s="52"/>
      <c r="ES355" s="52"/>
      <c r="ET355" s="52"/>
      <c r="EU355" s="52"/>
      <c r="EV355" s="52"/>
      <c r="EW355" s="52"/>
      <c r="EX355" s="52"/>
      <c r="EY355" s="52"/>
      <c r="EZ355" s="52"/>
      <c r="FA355" s="52"/>
      <c r="FB355" s="52"/>
      <c r="FC355" s="52"/>
      <c r="FD355" s="52"/>
      <c r="FE355" s="52"/>
      <c r="FF355" s="52"/>
      <c r="FG355" s="52"/>
      <c r="FH355" s="52"/>
      <c r="FI355" s="52"/>
      <c r="FJ355" s="52"/>
      <c r="FK355" s="52"/>
      <c r="FL355" s="52"/>
      <c r="FM355" s="52"/>
      <c r="FN355" s="52"/>
      <c r="FO355" s="52"/>
      <c r="FP355" s="52"/>
      <c r="FQ355" s="52"/>
      <c r="FR355" s="52"/>
      <c r="FS355" s="52"/>
      <c r="FT355" s="52"/>
      <c r="FU355" s="52"/>
      <c r="FV355" s="52"/>
      <c r="FW355" s="52"/>
      <c r="FX355" s="52"/>
      <c r="FY355" s="52"/>
      <c r="FZ355" s="52"/>
      <c r="GA355" s="52"/>
      <c r="GB355" s="52"/>
      <c r="GC355" s="52"/>
      <c r="GD355" s="52"/>
      <c r="GE355" s="52"/>
      <c r="GF355" s="52"/>
      <c r="GG355" s="52"/>
      <c r="GH355" s="52"/>
      <c r="GI355" s="52"/>
      <c r="GJ355" s="52"/>
      <c r="GK355" s="52"/>
      <c r="GL355" s="52"/>
      <c r="GM355" s="52"/>
      <c r="GN355" s="52"/>
      <c r="GO355" s="52"/>
      <c r="GP355" s="52"/>
      <c r="GQ355" s="52"/>
      <c r="GR355" s="52"/>
      <c r="GS355" s="52"/>
      <c r="GT355" s="52"/>
      <c r="GU355" s="52"/>
      <c r="GV355" s="52"/>
      <c r="GW355" s="52"/>
      <c r="GX355" s="52"/>
      <c r="GY355" s="52"/>
      <c r="GZ355" s="52"/>
      <c r="HA355" s="52"/>
      <c r="HB355" s="52"/>
      <c r="HC355" s="52"/>
      <c r="HD355" s="52"/>
      <c r="HE355" s="52"/>
      <c r="HF355" s="52"/>
      <c r="HG355" s="52"/>
      <c r="HH355" s="52"/>
      <c r="HI355" s="52"/>
      <c r="HJ355" s="52"/>
      <c r="HK355" s="52"/>
      <c r="HL355" s="52"/>
      <c r="HM355" s="52"/>
      <c r="HN355" s="52"/>
      <c r="HO355" s="52"/>
      <c r="HP355" s="52"/>
      <c r="HQ355" s="52"/>
      <c r="HR355" s="52"/>
      <c r="HS355" s="52"/>
      <c r="HT355" s="52"/>
      <c r="HU355" s="52"/>
      <c r="HV355" s="52"/>
      <c r="HW355" s="52"/>
      <c r="HX355" s="52"/>
      <c r="HY355" s="52"/>
      <c r="HZ355" s="52"/>
      <c r="IA355" s="52"/>
      <c r="IB355" s="52"/>
      <c r="IC355" s="52"/>
      <c r="ID355" s="52"/>
      <c r="IE355" s="52"/>
      <c r="IF355" s="52"/>
      <c r="IG355" s="52"/>
      <c r="IH355" s="52"/>
      <c r="II355" s="52"/>
      <c r="IJ355" s="52"/>
      <c r="IK355" s="52"/>
      <c r="IL355" s="52"/>
      <c r="IM355" s="52"/>
      <c r="IN355" s="52"/>
      <c r="IO355" s="52"/>
      <c r="IP355" s="52"/>
      <c r="IQ355" s="52"/>
      <c r="IR355" s="52"/>
      <c r="IS355" s="52"/>
    </row>
    <row r="356" ht="12" customHeight="1" spans="1:253" x14ac:dyDescent="0.25">
      <c r="A356" s="18">
        <v>427190000</v>
      </c>
      <c r="B356" s="18" t="s">
        <v>584</v>
      </c>
      <c r="C356" s="38">
        <f>IFERROR(VLOOKUP("1_"&amp;A356,SyS!$B:$P,10,FALSE()),0)</f>
        <v>0</v>
      </c>
      <c r="D356" s="39">
        <f>IFERROR(VLOOKUP("1_"&amp;A356,SyS!$B:$P,12,FALSE()),0)</f>
        <v>0</v>
      </c>
      <c r="E356" s="39">
        <f>+C356-D356</f>
        <v>0</v>
      </c>
      <c r="F356" s="38">
        <f>IFERROR(VLOOKUP("2_"&amp;A356,SyS!$B:$P,10,FALSE()),0)</f>
        <v>0</v>
      </c>
      <c r="G356" s="39">
        <f>IFERROR(VLOOKUP("2_"&amp;A356,SyS!$B:$P,12,FALSE()),0)</f>
        <v>0</v>
      </c>
      <c r="H356" s="40">
        <f>+F356-G356</f>
        <v>0</v>
      </c>
      <c r="I356" s="39"/>
      <c r="J356" s="39"/>
      <c r="K356" s="39"/>
      <c r="L356" s="39"/>
      <c r="M356" s="39"/>
      <c r="N356" s="39"/>
      <c r="O356" s="38">
        <f>IFERROR(VLOOKUP("14_"&amp;A356,SyS!$B:$P,10,FALSE()),0)</f>
        <v>0</v>
      </c>
      <c r="P356" s="39">
        <f>IFERROR(VLOOKUP("14_"&amp;A356,SyS!$B:$P,12,FALSE()),0)</f>
        <v>0</v>
      </c>
      <c r="Q356" s="40">
        <f>+O356-P356</f>
        <v>0</v>
      </c>
      <c r="R356" s="38">
        <f>IFERROR(VLOOKUP("15_"&amp;A356,SyS!$B:$P,10,FALSE()),0)</f>
        <v>0</v>
      </c>
      <c r="S356" s="39">
        <f>IFERROR(VLOOKUP("15_"&amp;A356,SyS!$B:$P,12,FALSE()),0)</f>
        <v>0</v>
      </c>
      <c r="T356" s="40">
        <f>+R356-S356</f>
        <v>0</v>
      </c>
      <c r="U356" s="38">
        <f>IFERROR(VLOOKUP("16_"&amp;A356,SyS!$B:$P,10,FALSE()),0)</f>
        <v>0</v>
      </c>
      <c r="V356" s="39">
        <f>IFERROR(VLOOKUP("16_"&amp;A356,SyS!$B:$P,12,FALSE()),0)</f>
        <v>0</v>
      </c>
      <c r="W356" s="40">
        <f>+U356-V356</f>
        <v>0</v>
      </c>
      <c r="X356" s="38">
        <f>IFERROR(VLOOKUP("13_"&amp;A356,SyS!$B:$P,10,FALSE()),0)</f>
        <v>0</v>
      </c>
      <c r="Y356" s="39">
        <f>IFERROR(VLOOKUP("13_"&amp;A356,SyS!$B:$P,12,FALSE()),0)</f>
        <v>0</v>
      </c>
      <c r="Z356" s="40">
        <f>+X356-Y356</f>
        <v>0</v>
      </c>
      <c r="AA356" s="38">
        <f>IFERROR(VLOOKUP("17_"&amp;A356,SyS!$B:$P,10,FALSE()),0)</f>
        <v>0</v>
      </c>
      <c r="AB356" s="39">
        <f>IFERROR(VLOOKUP("17_"&amp;A356,SyS!$B:$P,12,FALSE()),0)</f>
        <v>0</v>
      </c>
      <c r="AC356" s="40">
        <f>+AA356-AB356</f>
        <v>0</v>
      </c>
      <c r="AD356" s="39"/>
      <c r="AE356" s="39"/>
      <c r="AF356" s="39"/>
      <c r="AG356" s="39">
        <f>IFERROR(VLOOKUP("19_"&amp;A356,SyS!$B:$P,10,FALSE()),0)</f>
        <v>0</v>
      </c>
      <c r="AH356" s="39">
        <f>IFERROR(VLOOKUP("19_"&amp;A356,SyS!$B:$P,12,FALSE()),0)</f>
        <v>0</v>
      </c>
      <c r="AI356" s="39">
        <f>+AG356-AH356</f>
        <v>0</v>
      </c>
      <c r="AJ356" s="39"/>
      <c r="AK356" s="39"/>
      <c r="AL356" s="39"/>
      <c r="AM356" s="38">
        <f>IFERROR(VLOOKUP("23_"&amp;A356,SyS!$B:$P,10,FALSE()),0)</f>
        <v>0</v>
      </c>
      <c r="AN356" s="39">
        <f>IFERROR(VLOOKUP("23_"&amp;A356,SyS!$B:$P,12,FALSE()),0)</f>
        <v>0</v>
      </c>
      <c r="AO356" s="40">
        <f>+AM356-AN356</f>
        <v>0</v>
      </c>
      <c r="AP356" s="39"/>
      <c r="AQ356" s="39"/>
      <c r="AR356" s="39"/>
      <c r="AS356" s="39"/>
      <c r="AT356" s="39"/>
      <c r="AU356" s="39"/>
      <c r="AV356" s="39"/>
      <c r="AW356" s="39"/>
      <c r="AX356" s="39"/>
      <c r="AY356" s="39"/>
      <c r="AZ356" s="39"/>
      <c r="BA356" s="39"/>
      <c r="BB356" s="39"/>
      <c r="BC356" s="39"/>
      <c r="BD356" s="39"/>
      <c r="BE356" s="39"/>
      <c r="BF356" s="39"/>
      <c r="BG356" s="39"/>
      <c r="BH356" s="39"/>
      <c r="BI356" s="39"/>
      <c r="BJ356" s="39"/>
      <c r="BK356" s="39">
        <f>IFERROR(VLOOKUP("29_"&amp;A356,SyS!$B:$P,10,FALSE()),0)</f>
        <v>0</v>
      </c>
      <c r="BL356" s="39">
        <f>IFERROR(VLOOKUP("29_"&amp;A356,SyS!$B:$P,12,FALSE()),0)</f>
        <v>0</v>
      </c>
      <c r="BM356" s="39">
        <f>+BK356-BL356</f>
        <v>0</v>
      </c>
      <c r="BN356" s="38">
        <f>IFERROR(VLOOKUP("30_"&amp;A356,SyS!$B:$P,10,FALSE()),0)</f>
        <v>0</v>
      </c>
      <c r="BO356" s="39">
        <f>IFERROR(VLOOKUP("30_"&amp;A356,SyS!$B:$P,12,FALSE()),0)</f>
        <v>0</v>
      </c>
      <c r="BP356" s="40">
        <f>+BN356-BO356</f>
        <v>0</v>
      </c>
      <c r="BQ356" s="45">
        <f>+E356+H356+K356+Q356+T356+W356+Z356+AC356+AF356+AI356+AL356+AO356+AR356+AU356+AX356+BA356+BD356+BG356+BJ356+BM356+BP356</f>
        <v>0</v>
      </c>
      <c r="BR356" s="39"/>
      <c r="BS356" s="39"/>
      <c r="BT356" s="39"/>
      <c r="BU356" s="39"/>
      <c r="BV356" s="39"/>
      <c r="BW356" s="39"/>
      <c r="BX356" s="39"/>
      <c r="BY356" s="39"/>
      <c r="BZ356" s="39"/>
      <c r="CA356" s="39"/>
      <c r="CB356" s="39"/>
      <c r="CC356" s="39"/>
      <c r="CD356" s="39"/>
      <c r="CE356" s="39"/>
      <c r="CF356" s="52"/>
      <c r="CG356" s="52"/>
      <c r="CH356" s="52"/>
      <c r="CI356" s="52"/>
      <c r="CJ356" s="52"/>
      <c r="CK356" s="52"/>
      <c r="CL356" s="52"/>
      <c r="CM356" s="52"/>
      <c r="CN356" s="52"/>
      <c r="CO356" s="52"/>
      <c r="CP356" s="52"/>
      <c r="CQ356" s="52"/>
      <c r="CR356" s="52"/>
      <c r="CS356" s="52"/>
      <c r="CT356" s="52"/>
      <c r="CU356" s="52"/>
      <c r="CV356" s="52"/>
      <c r="CW356" s="52"/>
      <c r="CX356" s="52"/>
      <c r="CY356" s="52"/>
      <c r="CZ356" s="52"/>
      <c r="DA356" s="52"/>
      <c r="DB356" s="52"/>
      <c r="DC356" s="52"/>
      <c r="DD356" s="52"/>
      <c r="DE356" s="52"/>
      <c r="DF356" s="52"/>
      <c r="DG356" s="52"/>
      <c r="DH356" s="52"/>
      <c r="DI356" s="52"/>
      <c r="DJ356" s="52"/>
      <c r="DK356" s="52"/>
      <c r="DL356" s="52"/>
      <c r="DM356" s="52"/>
      <c r="DN356" s="52"/>
      <c r="DO356" s="52"/>
      <c r="DP356" s="52"/>
      <c r="DQ356" s="52"/>
      <c r="DR356" s="52"/>
      <c r="DS356" s="52"/>
      <c r="DT356" s="52"/>
      <c r="DU356" s="52"/>
      <c r="DV356" s="52"/>
      <c r="DW356" s="52"/>
      <c r="DX356" s="52"/>
      <c r="DY356" s="52"/>
      <c r="DZ356" s="52"/>
      <c r="EA356" s="52"/>
      <c r="EB356" s="52"/>
      <c r="EC356" s="52"/>
      <c r="ED356" s="52"/>
      <c r="EE356" s="52"/>
      <c r="EF356" s="52"/>
      <c r="EG356" s="52"/>
      <c r="EH356" s="52"/>
      <c r="EI356" s="52"/>
      <c r="EJ356" s="52"/>
      <c r="EK356" s="52"/>
      <c r="EL356" s="52"/>
      <c r="EM356" s="52"/>
      <c r="EN356" s="52"/>
      <c r="EO356" s="52"/>
      <c r="EP356" s="52"/>
      <c r="EQ356" s="52"/>
      <c r="ER356" s="52"/>
      <c r="ES356" s="52"/>
      <c r="ET356" s="52"/>
      <c r="EU356" s="52"/>
      <c r="EV356" s="52"/>
      <c r="EW356" s="52"/>
      <c r="EX356" s="52"/>
      <c r="EY356" s="52"/>
      <c r="EZ356" s="52"/>
      <c r="FA356" s="52"/>
      <c r="FB356" s="52"/>
      <c r="FC356" s="52"/>
      <c r="FD356" s="52"/>
      <c r="FE356" s="52"/>
      <c r="FF356" s="52"/>
      <c r="FG356" s="52"/>
      <c r="FH356" s="52"/>
      <c r="FI356" s="52"/>
      <c r="FJ356" s="52"/>
      <c r="FK356" s="52"/>
      <c r="FL356" s="52"/>
      <c r="FM356" s="52"/>
      <c r="FN356" s="52"/>
      <c r="FO356" s="52"/>
      <c r="FP356" s="52"/>
      <c r="FQ356" s="52"/>
      <c r="FR356" s="52"/>
      <c r="FS356" s="52"/>
      <c r="FT356" s="52"/>
      <c r="FU356" s="52"/>
      <c r="FV356" s="52"/>
      <c r="FW356" s="52"/>
      <c r="FX356" s="52"/>
      <c r="FY356" s="52"/>
      <c r="FZ356" s="52"/>
      <c r="GA356" s="52"/>
      <c r="GB356" s="52"/>
      <c r="GC356" s="52"/>
      <c r="GD356" s="52"/>
      <c r="GE356" s="52"/>
      <c r="GF356" s="52"/>
      <c r="GG356" s="52"/>
      <c r="GH356" s="52"/>
      <c r="GI356" s="52"/>
      <c r="GJ356" s="52"/>
      <c r="GK356" s="52"/>
      <c r="GL356" s="52"/>
      <c r="GM356" s="52"/>
      <c r="GN356" s="52"/>
      <c r="GO356" s="52"/>
      <c r="GP356" s="52"/>
      <c r="GQ356" s="52"/>
      <c r="GR356" s="52"/>
      <c r="GS356" s="52"/>
      <c r="GT356" s="52"/>
      <c r="GU356" s="52"/>
      <c r="GV356" s="52"/>
      <c r="GW356" s="52"/>
      <c r="GX356" s="52"/>
      <c r="GY356" s="52"/>
      <c r="GZ356" s="52"/>
      <c r="HA356" s="52"/>
      <c r="HB356" s="52"/>
      <c r="HC356" s="52"/>
      <c r="HD356" s="52"/>
      <c r="HE356" s="52"/>
      <c r="HF356" s="52"/>
      <c r="HG356" s="52"/>
      <c r="HH356" s="52"/>
      <c r="HI356" s="52"/>
      <c r="HJ356" s="52"/>
      <c r="HK356" s="52"/>
      <c r="HL356" s="52"/>
      <c r="HM356" s="52"/>
      <c r="HN356" s="52"/>
      <c r="HO356" s="52"/>
      <c r="HP356" s="52"/>
      <c r="HQ356" s="52"/>
      <c r="HR356" s="52"/>
      <c r="HS356" s="52"/>
      <c r="HT356" s="52"/>
      <c r="HU356" s="52"/>
      <c r="HV356" s="52"/>
      <c r="HW356" s="52"/>
      <c r="HX356" s="52"/>
      <c r="HY356" s="52"/>
      <c r="HZ356" s="52"/>
      <c r="IA356" s="52"/>
      <c r="IB356" s="52"/>
      <c r="IC356" s="52"/>
      <c r="ID356" s="52"/>
      <c r="IE356" s="52"/>
      <c r="IF356" s="52"/>
      <c r="IG356" s="52"/>
      <c r="IH356" s="52"/>
      <c r="II356" s="52"/>
      <c r="IJ356" s="52"/>
      <c r="IK356" s="52"/>
      <c r="IL356" s="52"/>
      <c r="IM356" s="52"/>
      <c r="IN356" s="52"/>
      <c r="IO356" s="52"/>
      <c r="IP356" s="52"/>
      <c r="IQ356" s="52"/>
      <c r="IR356" s="52"/>
      <c r="IS356" s="52"/>
    </row>
    <row r="357" ht="11.25" customHeight="1" spans="1:69" x14ac:dyDescent="0.25">
      <c r="A357" s="49"/>
      <c r="B357" s="50" t="s">
        <v>585</v>
      </c>
      <c r="C357" s="38">
        <f>IFERROR(VLOOKUP("1_"&amp;A357,SyS!$B:$P,10,FALSE()),0)</f>
        <v>0</v>
      </c>
      <c r="D357" s="39">
        <f>IFERROR(VLOOKUP("1_"&amp;A357,SyS!$B:$P,12,FALSE()),0)</f>
        <v>0</v>
      </c>
      <c r="E357" s="39">
        <f>+C357-D357</f>
        <v>0</v>
      </c>
      <c r="F357" s="38"/>
      <c r="G357" s="39"/>
      <c r="H357" s="40"/>
      <c r="I357" s="39"/>
      <c r="J357" s="39"/>
      <c r="K357" s="39"/>
      <c r="L357" s="39"/>
      <c r="M357" s="39"/>
      <c r="N357" s="39"/>
      <c r="O357" s="38"/>
      <c r="P357" s="39"/>
      <c r="Q357" s="40"/>
      <c r="R357" s="38"/>
      <c r="S357" s="39"/>
      <c r="T357" s="40"/>
      <c r="U357" s="38"/>
      <c r="V357" s="39"/>
      <c r="W357" s="40"/>
      <c r="X357" s="38"/>
      <c r="Y357" s="39"/>
      <c r="Z357" s="40"/>
      <c r="AA357" s="38"/>
      <c r="AB357" s="39"/>
      <c r="AC357" s="40"/>
      <c r="AD357" s="39"/>
      <c r="AE357" s="39"/>
      <c r="AF357" s="39"/>
      <c r="AG357" s="39"/>
      <c r="AH357" s="39"/>
      <c r="AI357" s="39"/>
      <c r="AJ357" s="39"/>
      <c r="AK357" s="39"/>
      <c r="AL357" s="39"/>
      <c r="AM357" s="38"/>
      <c r="AN357" s="39"/>
      <c r="AO357" s="40"/>
      <c r="AP357" s="39"/>
      <c r="AQ357" s="39"/>
      <c r="AR357" s="39"/>
      <c r="AS357" s="39"/>
      <c r="AT357" s="39"/>
      <c r="AU357" s="39"/>
      <c r="AV357" s="39"/>
      <c r="AW357" s="39"/>
      <c r="AX357" s="39"/>
      <c r="AY357" s="39"/>
      <c r="AZ357" s="39"/>
      <c r="BA357" s="39"/>
      <c r="BB357" s="39"/>
      <c r="BC357" s="39"/>
      <c r="BD357" s="39"/>
      <c r="BE357" s="39"/>
      <c r="BF357" s="39"/>
      <c r="BG357" s="39"/>
      <c r="BH357" s="39"/>
      <c r="BI357" s="39"/>
      <c r="BJ357" s="39"/>
      <c r="BK357" s="39"/>
      <c r="BL357" s="39"/>
      <c r="BM357" s="39"/>
      <c r="BN357" s="38"/>
      <c r="BO357" s="39"/>
      <c r="BP357" s="40"/>
      <c r="BQ357" s="45"/>
    </row>
    <row r="358" ht="11.25" customHeight="1" spans="1:69" x14ac:dyDescent="0.25">
      <c r="A358" s="18">
        <v>428100000</v>
      </c>
      <c r="B358" s="18" t="s">
        <v>586</v>
      </c>
      <c r="C358" s="38">
        <f>IFERROR(VLOOKUP("1_"&amp;A358,SyS!$B:$P,10,FALSE()),0)</f>
        <v>0</v>
      </c>
      <c r="D358" s="39">
        <f>IFERROR(VLOOKUP("1_"&amp;A358,SyS!$B:$P,12,FALSE()),0)</f>
        <v>0</v>
      </c>
      <c r="E358" s="39">
        <f>+C358-D358</f>
        <v>0</v>
      </c>
      <c r="F358" s="38">
        <f>IFERROR(VLOOKUP("2_"&amp;A358,SyS!$B:$P,10,FALSE()),0)</f>
        <v>0</v>
      </c>
      <c r="G358" s="39">
        <f>IFERROR(VLOOKUP("2_"&amp;A358,SyS!$B:$P,12,FALSE()),0)</f>
        <v>0</v>
      </c>
      <c r="H358" s="40">
        <f>+F358-G358</f>
        <v>0</v>
      </c>
      <c r="I358" s="39"/>
      <c r="J358" s="39"/>
      <c r="K358" s="39"/>
      <c r="L358" s="39"/>
      <c r="M358" s="39"/>
      <c r="N358" s="39"/>
      <c r="O358" s="38">
        <f>IFERROR(VLOOKUP("14_"&amp;A358,SyS!$B:$P,10,FALSE()),0)</f>
        <v>0</v>
      </c>
      <c r="P358" s="39">
        <f>IFERROR(VLOOKUP("14_"&amp;A358,SyS!$B:$P,12,FALSE()),0)</f>
        <v>0</v>
      </c>
      <c r="Q358" s="40">
        <f>+O358-P358</f>
        <v>0</v>
      </c>
      <c r="R358" s="38">
        <f>IFERROR(VLOOKUP("15_"&amp;A358,SyS!$B:$P,10,FALSE()),0)</f>
        <v>0</v>
      </c>
      <c r="S358" s="39">
        <f>IFERROR(VLOOKUP("15_"&amp;A358,SyS!$B:$P,12,FALSE()),0)</f>
        <v>0</v>
      </c>
      <c r="T358" s="40">
        <f>+R358-S358</f>
        <v>0</v>
      </c>
      <c r="U358" s="38">
        <f>IFERROR(VLOOKUP("16_"&amp;A358,SyS!$B:$P,10,FALSE()),0)</f>
        <v>0</v>
      </c>
      <c r="V358" s="39">
        <f>IFERROR(VLOOKUP("16_"&amp;A358,SyS!$B:$P,12,FALSE()),0)</f>
        <v>0</v>
      </c>
      <c r="W358" s="40">
        <f>+U358-V358</f>
        <v>0</v>
      </c>
      <c r="X358" s="38">
        <f>IFERROR(VLOOKUP("13_"&amp;A358,SyS!$B:$P,10,FALSE()),0)</f>
        <v>0</v>
      </c>
      <c r="Y358" s="39">
        <f>IFERROR(VLOOKUP("13_"&amp;A358,SyS!$B:$P,12,FALSE()),0)</f>
        <v>0</v>
      </c>
      <c r="Z358" s="40">
        <f>+X358-Y358</f>
        <v>0</v>
      </c>
      <c r="AA358" s="38">
        <f>IFERROR(VLOOKUP("17_"&amp;A358,SyS!$B:$P,10,FALSE()),0)</f>
        <v>0</v>
      </c>
      <c r="AB358" s="39">
        <f>IFERROR(VLOOKUP("17_"&amp;A358,SyS!$B:$P,12,FALSE()),0)</f>
        <v>0</v>
      </c>
      <c r="AC358" s="40">
        <f>+AA358-AB358</f>
        <v>0</v>
      </c>
      <c r="AD358" s="39"/>
      <c r="AE358" s="39"/>
      <c r="AF358" s="39"/>
      <c r="AG358" s="39">
        <f>IFERROR(VLOOKUP("19_"&amp;A358,SyS!$B:$P,10,FALSE()),0)</f>
        <v>0</v>
      </c>
      <c r="AH358" s="39">
        <f>IFERROR(VLOOKUP("19_"&amp;A358,SyS!$B:$P,12,FALSE()),0)</f>
        <v>0</v>
      </c>
      <c r="AI358" s="39">
        <f>+AG358-AH358</f>
        <v>0</v>
      </c>
      <c r="AJ358" s="39"/>
      <c r="AK358" s="39"/>
      <c r="AL358" s="39"/>
      <c r="AM358" s="38">
        <f>IFERROR(VLOOKUP("23_"&amp;A358,SyS!$B:$P,10,FALSE()),0)</f>
        <v>0</v>
      </c>
      <c r="AN358" s="39">
        <f>IFERROR(VLOOKUP("23_"&amp;A358,SyS!$B:$P,12,FALSE()),0)</f>
        <v>0</v>
      </c>
      <c r="AO358" s="40">
        <f>+AM358-AN358</f>
        <v>0</v>
      </c>
      <c r="AP358" s="39"/>
      <c r="AQ358" s="39"/>
      <c r="AR358" s="39"/>
      <c r="AS358" s="39"/>
      <c r="AT358" s="39"/>
      <c r="AU358" s="39"/>
      <c r="AV358" s="39"/>
      <c r="AW358" s="39"/>
      <c r="AX358" s="39"/>
      <c r="AY358" s="39"/>
      <c r="AZ358" s="39"/>
      <c r="BA358" s="39"/>
      <c r="BB358" s="39"/>
      <c r="BC358" s="39"/>
      <c r="BD358" s="39"/>
      <c r="BE358" s="39"/>
      <c r="BF358" s="39"/>
      <c r="BG358" s="39"/>
      <c r="BH358" s="39"/>
      <c r="BI358" s="39"/>
      <c r="BJ358" s="39"/>
      <c r="BK358" s="39">
        <f>IFERROR(VLOOKUP("29_"&amp;A358,SyS!$B:$P,10,FALSE()),0)</f>
        <v>0</v>
      </c>
      <c r="BL358" s="39">
        <f>IFERROR(VLOOKUP("29_"&amp;A358,SyS!$B:$P,12,FALSE()),0)</f>
        <v>0</v>
      </c>
      <c r="BM358" s="39">
        <f>+BK358-BL358</f>
        <v>0</v>
      </c>
      <c r="BN358" s="38">
        <f>IFERROR(VLOOKUP("30_"&amp;A358,SyS!$B:$P,10,FALSE()),0)</f>
        <v>0</v>
      </c>
      <c r="BO358" s="39">
        <f>IFERROR(VLOOKUP("30_"&amp;A358,SyS!$B:$P,12,FALSE()),0)</f>
        <v>0</v>
      </c>
      <c r="BP358" s="40">
        <f>+BN358-BO358</f>
        <v>0</v>
      </c>
      <c r="BQ358" s="45">
        <f>+E358+H358+K358+Q358+T358+W358+Z358+AC358+AF358+AI358+AL358+AO358+AR358+AU358+AX358+BA358+BD358+BG358+BJ358+BM358+BP358</f>
        <v>0</v>
      </c>
    </row>
    <row r="359" ht="11.25" customHeight="1" spans="1:69" x14ac:dyDescent="0.25">
      <c r="A359" s="18">
        <v>428300000</v>
      </c>
      <c r="B359" s="18" t="s">
        <v>587</v>
      </c>
      <c r="C359" s="38">
        <f>IFERROR(VLOOKUP("1_"&amp;A359,SyS!$B:$P,10,FALSE()),0)</f>
        <v>0</v>
      </c>
      <c r="D359" s="39">
        <f>IFERROR(VLOOKUP("1_"&amp;A359,SyS!$B:$P,12,FALSE()),0)</f>
        <v>0</v>
      </c>
      <c r="E359" s="39">
        <f>+C359-D359</f>
        <v>0</v>
      </c>
      <c r="F359" s="38">
        <f>IFERROR(VLOOKUP("2_"&amp;A359,SyS!$B:$P,10,FALSE()),0)</f>
        <v>0</v>
      </c>
      <c r="G359" s="39">
        <f>IFERROR(VLOOKUP("2_"&amp;A359,SyS!$B:$P,12,FALSE()),0)</f>
        <v>0</v>
      </c>
      <c r="H359" s="40">
        <f>+F359-G359</f>
        <v>0</v>
      </c>
      <c r="I359" s="39"/>
      <c r="J359" s="39"/>
      <c r="K359" s="39"/>
      <c r="L359" s="39"/>
      <c r="M359" s="39"/>
      <c r="N359" s="39"/>
      <c r="O359" s="38">
        <f>IFERROR(VLOOKUP("14_"&amp;A359,SyS!$B:$P,10,FALSE()),0)</f>
        <v>0</v>
      </c>
      <c r="P359" s="39">
        <f>IFERROR(VLOOKUP("14_"&amp;A359,SyS!$B:$P,12,FALSE()),0)</f>
        <v>0</v>
      </c>
      <c r="Q359" s="40">
        <f>+O359-P359</f>
        <v>0</v>
      </c>
      <c r="R359" s="38">
        <f>IFERROR(VLOOKUP("15_"&amp;A359,SyS!$B:$P,10,FALSE()),0)</f>
        <v>0</v>
      </c>
      <c r="S359" s="39">
        <f>IFERROR(VLOOKUP("15_"&amp;A359,SyS!$B:$P,12,FALSE()),0)</f>
        <v>0</v>
      </c>
      <c r="T359" s="40">
        <f>+R359-S359</f>
        <v>0</v>
      </c>
      <c r="U359" s="38">
        <f>IFERROR(VLOOKUP("16_"&amp;A359,SyS!$B:$P,10,FALSE()),0)</f>
        <v>0</v>
      </c>
      <c r="V359" s="39">
        <f>IFERROR(VLOOKUP("16_"&amp;A359,SyS!$B:$P,12,FALSE()),0)</f>
        <v>0</v>
      </c>
      <c r="W359" s="40">
        <f>+U359-V359</f>
        <v>0</v>
      </c>
      <c r="X359" s="38">
        <f>IFERROR(VLOOKUP("13_"&amp;A359,SyS!$B:$P,10,FALSE()),0)</f>
        <v>0</v>
      </c>
      <c r="Y359" s="39">
        <f>IFERROR(VLOOKUP("13_"&amp;A359,SyS!$B:$P,12,FALSE()),0)</f>
        <v>0</v>
      </c>
      <c r="Z359" s="40">
        <f>+X359-Y359</f>
        <v>0</v>
      </c>
      <c r="AA359" s="38">
        <f>IFERROR(VLOOKUP("17_"&amp;A359,SyS!$B:$P,10,FALSE()),0)</f>
        <v>0</v>
      </c>
      <c r="AB359" s="39">
        <f>IFERROR(VLOOKUP("17_"&amp;A359,SyS!$B:$P,12,FALSE()),0)</f>
        <v>0</v>
      </c>
      <c r="AC359" s="40">
        <f>+AA359-AB359</f>
        <v>0</v>
      </c>
      <c r="AD359" s="39"/>
      <c r="AE359" s="39"/>
      <c r="AF359" s="39"/>
      <c r="AG359" s="39">
        <f>IFERROR(VLOOKUP("19_"&amp;A359,SyS!$B:$P,10,FALSE()),0)</f>
        <v>0</v>
      </c>
      <c r="AH359" s="39">
        <f>IFERROR(VLOOKUP("19_"&amp;A359,SyS!$B:$P,12,FALSE()),0)</f>
        <v>0</v>
      </c>
      <c r="AI359" s="39">
        <f>+AG359-AH359</f>
        <v>0</v>
      </c>
      <c r="AJ359" s="39"/>
      <c r="AK359" s="39"/>
      <c r="AL359" s="39"/>
      <c r="AM359" s="38">
        <f>IFERROR(VLOOKUP("23_"&amp;A359,SyS!$B:$P,10,FALSE()),0)</f>
        <v>0</v>
      </c>
      <c r="AN359" s="39">
        <f>IFERROR(VLOOKUP("23_"&amp;A359,SyS!$B:$P,12,FALSE()),0)</f>
        <v>0</v>
      </c>
      <c r="AO359" s="40">
        <f>+AM359-AN359</f>
        <v>0</v>
      </c>
      <c r="AP359" s="39"/>
      <c r="AQ359" s="39"/>
      <c r="AR359" s="39"/>
      <c r="AS359" s="39"/>
      <c r="AT359" s="39"/>
      <c r="AU359" s="39"/>
      <c r="AV359" s="39"/>
      <c r="AW359" s="39"/>
      <c r="AX359" s="39"/>
      <c r="AY359" s="39"/>
      <c r="AZ359" s="39"/>
      <c r="BA359" s="39"/>
      <c r="BB359" s="39"/>
      <c r="BC359" s="39"/>
      <c r="BD359" s="39"/>
      <c r="BE359" s="39"/>
      <c r="BF359" s="39"/>
      <c r="BG359" s="39"/>
      <c r="BH359" s="39"/>
      <c r="BI359" s="39"/>
      <c r="BJ359" s="39"/>
      <c r="BK359" s="39">
        <f>IFERROR(VLOOKUP("29_"&amp;A359,SyS!$B:$P,10,FALSE()),0)</f>
        <v>0</v>
      </c>
      <c r="BL359" s="39">
        <f>IFERROR(VLOOKUP("29_"&amp;A359,SyS!$B:$P,12,FALSE()),0)</f>
        <v>0</v>
      </c>
      <c r="BM359" s="39">
        <f>+BK359-BL359</f>
        <v>0</v>
      </c>
      <c r="BN359" s="38">
        <f>IFERROR(VLOOKUP("30_"&amp;A359,SyS!$B:$P,10,FALSE()),0)</f>
        <v>0</v>
      </c>
      <c r="BO359" s="39">
        <f>IFERROR(VLOOKUP("30_"&amp;A359,SyS!$B:$P,12,FALSE()),0)</f>
        <v>0</v>
      </c>
      <c r="BP359" s="40">
        <f>+BN359-BO359</f>
        <v>0</v>
      </c>
      <c r="BQ359" s="45">
        <f>+E359+H359+K359+Q359+T359+W359+Z359+AC359+AF359+AI359+AL359+AO359+AR359+AU359+AX359+BA359+BD359+BG359+BJ359+BM359+BP359</f>
        <v>0</v>
      </c>
    </row>
    <row r="360" ht="11.25" customHeight="1" spans="1:69" x14ac:dyDescent="0.25">
      <c r="A360" s="18">
        <v>428200000</v>
      </c>
      <c r="B360" s="18" t="s">
        <v>588</v>
      </c>
      <c r="C360" s="38">
        <f>IFERROR(VLOOKUP("1_"&amp;A360,SyS!$B:$P,10,FALSE()),0)</f>
        <v>0</v>
      </c>
      <c r="D360" s="39">
        <f>IFERROR(VLOOKUP("1_"&amp;A360,SyS!$B:$P,12,FALSE()),0)</f>
        <v>0</v>
      </c>
      <c r="E360" s="39">
        <f>+C360-D360</f>
        <v>0</v>
      </c>
      <c r="F360" s="38">
        <f>IFERROR(VLOOKUP("2_"&amp;A360,SyS!$B:$P,10,FALSE()),0)</f>
        <v>0</v>
      </c>
      <c r="G360" s="39">
        <f>IFERROR(VLOOKUP("2_"&amp;A360,SyS!$B:$P,12,FALSE()),0)</f>
        <v>0</v>
      </c>
      <c r="H360" s="40">
        <f>+F360-G360</f>
        <v>0</v>
      </c>
      <c r="I360" s="39"/>
      <c r="J360" s="39"/>
      <c r="K360" s="39"/>
      <c r="L360" s="39"/>
      <c r="M360" s="39"/>
      <c r="N360" s="39"/>
      <c r="O360" s="38">
        <f>IFERROR(VLOOKUP("14_"&amp;A360,SyS!$B:$P,10,FALSE()),0)</f>
        <v>0</v>
      </c>
      <c r="P360" s="39">
        <f>IFERROR(VLOOKUP("14_"&amp;A360,SyS!$B:$P,12,FALSE()),0)</f>
        <v>0</v>
      </c>
      <c r="Q360" s="40">
        <f>+O360-P360</f>
        <v>0</v>
      </c>
      <c r="R360" s="38">
        <f>IFERROR(VLOOKUP("15_"&amp;A360,SyS!$B:$P,10,FALSE()),0)</f>
        <v>0</v>
      </c>
      <c r="S360" s="39">
        <f>IFERROR(VLOOKUP("15_"&amp;A360,SyS!$B:$P,12,FALSE()),0)</f>
        <v>0</v>
      </c>
      <c r="T360" s="40">
        <f>+R360-S360</f>
        <v>0</v>
      </c>
      <c r="U360" s="38">
        <f>IFERROR(VLOOKUP("16_"&amp;A360,SyS!$B:$P,10,FALSE()),0)</f>
        <v>0</v>
      </c>
      <c r="V360" s="39">
        <f>IFERROR(VLOOKUP("16_"&amp;A360,SyS!$B:$P,12,FALSE()),0)</f>
        <v>0</v>
      </c>
      <c r="W360" s="40">
        <f>+U360-V360</f>
        <v>0</v>
      </c>
      <c r="X360" s="38">
        <f>IFERROR(VLOOKUP("13_"&amp;A360,SyS!$B:$P,10,FALSE()),0)</f>
        <v>0</v>
      </c>
      <c r="Y360" s="39">
        <f>IFERROR(VLOOKUP("13_"&amp;A360,SyS!$B:$P,12,FALSE()),0)</f>
        <v>0</v>
      </c>
      <c r="Z360" s="40">
        <f>+X360-Y360</f>
        <v>0</v>
      </c>
      <c r="AA360" s="38">
        <f>IFERROR(VLOOKUP("17_"&amp;A360,SyS!$B:$P,10,FALSE()),0)</f>
        <v>0</v>
      </c>
      <c r="AB360" s="39">
        <f>IFERROR(VLOOKUP("17_"&amp;A360,SyS!$B:$P,12,FALSE()),0)</f>
        <v>0</v>
      </c>
      <c r="AC360" s="40">
        <f>+AA360-AB360</f>
        <v>0</v>
      </c>
      <c r="AD360" s="39"/>
      <c r="AE360" s="39"/>
      <c r="AF360" s="39"/>
      <c r="AG360" s="39">
        <f>IFERROR(VLOOKUP("19_"&amp;A360,SyS!$B:$P,10,FALSE()),0)</f>
        <v>0</v>
      </c>
      <c r="AH360" s="39">
        <f>IFERROR(VLOOKUP("19_"&amp;A360,SyS!$B:$P,12,FALSE()),0)</f>
        <v>0</v>
      </c>
      <c r="AI360" s="39">
        <f>+AG360-AH360</f>
        <v>0</v>
      </c>
      <c r="AJ360" s="39"/>
      <c r="AK360" s="39"/>
      <c r="AL360" s="39"/>
      <c r="AM360" s="38">
        <f>IFERROR(VLOOKUP("23_"&amp;A360,SyS!$B:$P,10,FALSE()),0)</f>
        <v>0</v>
      </c>
      <c r="AN360" s="39">
        <f>IFERROR(VLOOKUP("23_"&amp;A360,SyS!$B:$P,12,FALSE()),0)</f>
        <v>0</v>
      </c>
      <c r="AO360" s="40">
        <f>+AM360-AN360</f>
        <v>0</v>
      </c>
      <c r="AP360" s="39"/>
      <c r="AQ360" s="39"/>
      <c r="AR360" s="39"/>
      <c r="AS360" s="39"/>
      <c r="AT360" s="39"/>
      <c r="AU360" s="39"/>
      <c r="AV360" s="39"/>
      <c r="AW360" s="39"/>
      <c r="AX360" s="39"/>
      <c r="AY360" s="39"/>
      <c r="AZ360" s="39"/>
      <c r="BA360" s="39"/>
      <c r="BB360" s="39"/>
      <c r="BC360" s="39"/>
      <c r="BD360" s="39"/>
      <c r="BE360" s="39"/>
      <c r="BF360" s="39"/>
      <c r="BG360" s="39"/>
      <c r="BH360" s="39"/>
      <c r="BI360" s="39"/>
      <c r="BJ360" s="39"/>
      <c r="BK360" s="39">
        <f>IFERROR(VLOOKUP("29_"&amp;A360,SyS!$B:$P,10,FALSE()),0)</f>
        <v>0</v>
      </c>
      <c r="BL360" s="39">
        <f>IFERROR(VLOOKUP("29_"&amp;A360,SyS!$B:$P,12,FALSE()),0)</f>
        <v>0</v>
      </c>
      <c r="BM360" s="39">
        <f>+BK360-BL360</f>
        <v>0</v>
      </c>
      <c r="BN360" s="38">
        <f>IFERROR(VLOOKUP("30_"&amp;A360,SyS!$B:$P,10,FALSE()),0)</f>
        <v>0</v>
      </c>
      <c r="BO360" s="39">
        <f>IFERROR(VLOOKUP("30_"&amp;A360,SyS!$B:$P,12,FALSE()),0)</f>
        <v>0</v>
      </c>
      <c r="BP360" s="40">
        <f>+BN360-BO360</f>
        <v>0</v>
      </c>
      <c r="BQ360" s="45">
        <f>+E360+H360+K360+Q360+T360+W360+Z360+AC360+AF360+AI360+AL360+AO360+AR360+AU360+AX360+BA360+BD360+BG360+BJ360+BM360+BP360</f>
        <v>0</v>
      </c>
    </row>
    <row r="361" ht="12" customHeight="1" spans="1:69" x14ac:dyDescent="0.25">
      <c r="A361" s="18">
        <v>421950000</v>
      </c>
      <c r="B361" s="18" t="s">
        <v>589</v>
      </c>
      <c r="C361" s="38">
        <f>IFERROR(VLOOKUP("1_"&amp;A361,SyS!$B:$P,10,FALSE()),0)</f>
        <v>0</v>
      </c>
      <c r="D361" s="39">
        <f>IFERROR(VLOOKUP("1_"&amp;A361,SyS!$B:$P,12,FALSE()),0)</f>
        <v>0</v>
      </c>
      <c r="E361" s="39">
        <f>+C361-D361</f>
        <v>0</v>
      </c>
      <c r="F361" s="38">
        <f>IFERROR(VLOOKUP("2_"&amp;A361,SyS!$B:$P,10,FALSE()),0)</f>
        <v>0</v>
      </c>
      <c r="G361" s="39">
        <f>IFERROR(VLOOKUP("2_"&amp;A361,SyS!$B:$P,12,FALSE()),0)</f>
        <v>0</v>
      </c>
      <c r="H361" s="40">
        <f>+F361-G361</f>
        <v>0</v>
      </c>
      <c r="I361" s="39"/>
      <c r="J361" s="39"/>
      <c r="K361" s="39"/>
      <c r="L361" s="39"/>
      <c r="M361" s="39"/>
      <c r="N361" s="39"/>
      <c r="O361" s="38">
        <f>IFERROR(VLOOKUP("14_"&amp;A361,SyS!$B:$P,10,FALSE()),0)</f>
        <v>0</v>
      </c>
      <c r="P361" s="39">
        <f>IFERROR(VLOOKUP("14_"&amp;A361,SyS!$B:$P,12,FALSE()),0)</f>
        <v>0</v>
      </c>
      <c r="Q361" s="40">
        <f>+O361-P361</f>
        <v>0</v>
      </c>
      <c r="R361" s="38">
        <f>IFERROR(VLOOKUP("15_"&amp;A361,SyS!$B:$P,10,FALSE()),0)</f>
        <v>0</v>
      </c>
      <c r="S361" s="39">
        <f>IFERROR(VLOOKUP("15_"&amp;A361,SyS!$B:$P,12,FALSE()),0)</f>
        <v>0</v>
      </c>
      <c r="T361" s="40">
        <f>+R361-S361</f>
        <v>0</v>
      </c>
      <c r="U361" s="38">
        <f>IFERROR(VLOOKUP("16_"&amp;A361,SyS!$B:$P,10,FALSE()),0)</f>
        <v>0</v>
      </c>
      <c r="V361" s="39">
        <f>IFERROR(VLOOKUP("16_"&amp;A361,SyS!$B:$P,12,FALSE()),0)</f>
        <v>0</v>
      </c>
      <c r="W361" s="40">
        <f>+U361-V361</f>
        <v>0</v>
      </c>
      <c r="X361" s="38">
        <f>IFERROR(VLOOKUP("13_"&amp;A361,SyS!$B:$P,10,FALSE()),0)</f>
        <v>0</v>
      </c>
      <c r="Y361" s="39">
        <f>IFERROR(VLOOKUP("13_"&amp;A361,SyS!$B:$P,12,FALSE()),0)</f>
        <v>0</v>
      </c>
      <c r="Z361" s="40">
        <f>+X361-Y361</f>
        <v>0</v>
      </c>
      <c r="AA361" s="38">
        <f>IFERROR(VLOOKUP("17_"&amp;A361,SyS!$B:$P,10,FALSE()),0)</f>
        <v>0</v>
      </c>
      <c r="AB361" s="39">
        <f>IFERROR(VLOOKUP("17_"&amp;A361,SyS!$B:$P,12,FALSE()),0)</f>
        <v>0</v>
      </c>
      <c r="AC361" s="40">
        <f>+AA361-AB361</f>
        <v>0</v>
      </c>
      <c r="AD361" s="39"/>
      <c r="AE361" s="39"/>
      <c r="AF361" s="39"/>
      <c r="AG361" s="39">
        <f>IFERROR(VLOOKUP("19_"&amp;A361,SyS!$B:$P,10,FALSE()),0)</f>
        <v>0</v>
      </c>
      <c r="AH361" s="39">
        <f>IFERROR(VLOOKUP("19_"&amp;A361,SyS!$B:$P,12,FALSE()),0)</f>
        <v>0</v>
      </c>
      <c r="AI361" s="39">
        <f>+AG361-AH361</f>
        <v>0</v>
      </c>
      <c r="AJ361" s="39"/>
      <c r="AK361" s="39"/>
      <c r="AL361" s="39"/>
      <c r="AM361" s="38">
        <f>IFERROR(VLOOKUP("23_"&amp;A361,SyS!$B:$P,10,FALSE()),0)</f>
        <v>0</v>
      </c>
      <c r="AN361" s="39">
        <f>IFERROR(VLOOKUP("23_"&amp;A361,SyS!$B:$P,12,FALSE()),0)</f>
        <v>0</v>
      </c>
      <c r="AO361" s="40">
        <f>+AM361-AN361</f>
        <v>0</v>
      </c>
      <c r="AP361" s="39"/>
      <c r="AQ361" s="39"/>
      <c r="AR361" s="39"/>
      <c r="AS361" s="39"/>
      <c r="AT361" s="39"/>
      <c r="AU361" s="39"/>
      <c r="AV361" s="39"/>
      <c r="AW361" s="39"/>
      <c r="AX361" s="39"/>
      <c r="AY361" s="39"/>
      <c r="AZ361" s="39"/>
      <c r="BA361" s="39"/>
      <c r="BB361" s="39"/>
      <c r="BC361" s="39"/>
      <c r="BD361" s="39"/>
      <c r="BE361" s="39"/>
      <c r="BF361" s="39"/>
      <c r="BG361" s="39"/>
      <c r="BH361" s="39"/>
      <c r="BI361" s="39"/>
      <c r="BJ361" s="39"/>
      <c r="BK361" s="39">
        <f>IFERROR(VLOOKUP("29_"&amp;A361,SyS!$B:$P,10,FALSE()),0)</f>
        <v>0</v>
      </c>
      <c r="BL361" s="39">
        <f>IFERROR(VLOOKUP("29_"&amp;A361,SyS!$B:$P,12,FALSE()),0)</f>
        <v>0</v>
      </c>
      <c r="BM361" s="39">
        <f>+BK361-BL361</f>
        <v>0</v>
      </c>
      <c r="BN361" s="38">
        <f>IFERROR(VLOOKUP("30_"&amp;A361,SyS!$B:$P,10,FALSE()),0)</f>
        <v>0</v>
      </c>
      <c r="BO361" s="39">
        <f>IFERROR(VLOOKUP("30_"&amp;A361,SyS!$B:$P,12,FALSE()),0)</f>
        <v>0</v>
      </c>
      <c r="BP361" s="40">
        <f>+BN361-BO361</f>
        <v>0</v>
      </c>
      <c r="BQ361" s="45">
        <f>+E361+H361+K361+Q361+T361+W361+Z361+AC361+AF361+AI361+AL361+AO361+AR361+AU361+AX361+BA361+BD361+BG361+BJ361+BM361+BP361</f>
        <v>0</v>
      </c>
    </row>
    <row r="362" ht="11.25" customHeight="1" spans="1:69" x14ac:dyDescent="0.25">
      <c r="A362" s="49"/>
      <c r="B362" s="50" t="s">
        <v>590</v>
      </c>
      <c r="C362" s="38">
        <f>IFERROR(VLOOKUP("1_"&amp;A362,SyS!$B:$P,10,FALSE()),0)</f>
        <v>0</v>
      </c>
      <c r="D362" s="39">
        <f>IFERROR(VLOOKUP("1_"&amp;A362,SyS!$B:$P,12,FALSE()),0)</f>
        <v>0</v>
      </c>
      <c r="E362" s="39">
        <f>+C362-D362</f>
        <v>0</v>
      </c>
      <c r="F362" s="38"/>
      <c r="G362" s="39"/>
      <c r="H362" s="40"/>
      <c r="I362" s="39"/>
      <c r="J362" s="39"/>
      <c r="K362" s="39"/>
      <c r="L362" s="39"/>
      <c r="M362" s="39"/>
      <c r="N362" s="39"/>
      <c r="O362" s="38"/>
      <c r="P362" s="39"/>
      <c r="Q362" s="40"/>
      <c r="R362" s="38"/>
      <c r="S362" s="39"/>
      <c r="T362" s="40"/>
      <c r="U362" s="38"/>
      <c r="V362" s="39"/>
      <c r="W362" s="40"/>
      <c r="X362" s="38"/>
      <c r="Y362" s="39"/>
      <c r="Z362" s="40"/>
      <c r="AA362" s="38"/>
      <c r="AB362" s="39"/>
      <c r="AC362" s="40"/>
      <c r="AD362" s="39"/>
      <c r="AE362" s="39"/>
      <c r="AF362" s="39"/>
      <c r="AG362" s="39"/>
      <c r="AH362" s="39"/>
      <c r="AI362" s="39"/>
      <c r="AJ362" s="39"/>
      <c r="AK362" s="39"/>
      <c r="AL362" s="39"/>
      <c r="AM362" s="38"/>
      <c r="AN362" s="39"/>
      <c r="AO362" s="40"/>
      <c r="AP362" s="39"/>
      <c r="AQ362" s="39"/>
      <c r="AR362" s="39"/>
      <c r="AS362" s="39"/>
      <c r="AT362" s="39"/>
      <c r="AU362" s="39"/>
      <c r="AV362" s="39"/>
      <c r="AW362" s="39"/>
      <c r="AX362" s="39"/>
      <c r="AY362" s="39"/>
      <c r="AZ362" s="39"/>
      <c r="BA362" s="39"/>
      <c r="BB362" s="39"/>
      <c r="BC362" s="39"/>
      <c r="BD362" s="39"/>
      <c r="BE362" s="39"/>
      <c r="BF362" s="39"/>
      <c r="BG362" s="39"/>
      <c r="BH362" s="39"/>
      <c r="BI362" s="39"/>
      <c r="BJ362" s="39"/>
      <c r="BK362" s="39"/>
      <c r="BL362" s="39"/>
      <c r="BM362" s="39"/>
      <c r="BN362" s="38"/>
      <c r="BO362" s="39"/>
      <c r="BP362" s="40"/>
      <c r="BQ362" s="45"/>
    </row>
    <row r="363" ht="11.25" customHeight="1" spans="1:69" x14ac:dyDescent="0.25">
      <c r="A363" s="18">
        <v>429100000</v>
      </c>
      <c r="B363" s="18" t="s">
        <v>591</v>
      </c>
      <c r="C363" s="38">
        <f>IFERROR(VLOOKUP("1_"&amp;A363,SyS!$B:$P,10,FALSE()),0)</f>
        <v>0</v>
      </c>
      <c r="D363" s="39">
        <f>IFERROR(VLOOKUP("1_"&amp;A363,SyS!$B:$P,12,FALSE()),0)</f>
        <v>0</v>
      </c>
      <c r="E363" s="39">
        <f>+C363-D363</f>
        <v>0</v>
      </c>
      <c r="F363" s="38">
        <f>IFERROR(VLOOKUP("2_"&amp;A363,SyS!$B:$P,10,FALSE()),0)</f>
        <v>0</v>
      </c>
      <c r="G363" s="39">
        <f>IFERROR(VLOOKUP("2_"&amp;A363,SyS!$B:$P,12,FALSE()),0)</f>
        <v>0</v>
      </c>
      <c r="H363" s="40">
        <f>+F363-G363</f>
        <v>0</v>
      </c>
      <c r="I363" s="39"/>
      <c r="J363" s="39"/>
      <c r="K363" s="39"/>
      <c r="L363" s="39"/>
      <c r="M363" s="39"/>
      <c r="N363" s="39"/>
      <c r="O363" s="38">
        <f>IFERROR(VLOOKUP("14_"&amp;A363,SyS!$B:$P,10,FALSE()),0)</f>
        <v>0</v>
      </c>
      <c r="P363" s="39">
        <f>IFERROR(VLOOKUP("14_"&amp;A363,SyS!$B:$P,12,FALSE()),0)</f>
        <v>0</v>
      </c>
      <c r="Q363" s="40">
        <f>+O363-P363</f>
        <v>0</v>
      </c>
      <c r="R363" s="38">
        <f>IFERROR(VLOOKUP("15_"&amp;A363,SyS!$B:$P,10,FALSE()),0)</f>
        <v>0</v>
      </c>
      <c r="S363" s="39">
        <f>IFERROR(VLOOKUP("15_"&amp;A363,SyS!$B:$P,12,FALSE()),0)</f>
        <v>0</v>
      </c>
      <c r="T363" s="40">
        <f>+R363-S363</f>
        <v>0</v>
      </c>
      <c r="U363" s="38">
        <f>IFERROR(VLOOKUP("16_"&amp;A363,SyS!$B:$P,10,FALSE()),0)</f>
        <v>0</v>
      </c>
      <c r="V363" s="39">
        <f>IFERROR(VLOOKUP("16_"&amp;A363,SyS!$B:$P,12,FALSE()),0)</f>
        <v>0</v>
      </c>
      <c r="W363" s="40">
        <f>+U363-V363</f>
        <v>0</v>
      </c>
      <c r="X363" s="38">
        <f>IFERROR(VLOOKUP("13_"&amp;A363,SyS!$B:$P,10,FALSE()),0)</f>
        <v>0</v>
      </c>
      <c r="Y363" s="39">
        <f>IFERROR(VLOOKUP("13_"&amp;A363,SyS!$B:$P,12,FALSE()),0)</f>
        <v>0</v>
      </c>
      <c r="Z363" s="40">
        <f>+X363-Y363</f>
        <v>0</v>
      </c>
      <c r="AA363" s="38">
        <f>IFERROR(VLOOKUP("17_"&amp;A363,SyS!$B:$P,10,FALSE()),0)</f>
        <v>0</v>
      </c>
      <c r="AB363" s="39">
        <f>IFERROR(VLOOKUP("17_"&amp;A363,SyS!$B:$P,12,FALSE()),0)</f>
        <v>0</v>
      </c>
      <c r="AC363" s="40">
        <f>+AA363-AB363</f>
        <v>0</v>
      </c>
      <c r="AD363" s="39"/>
      <c r="AE363" s="39"/>
      <c r="AF363" s="39"/>
      <c r="AG363" s="39">
        <f>IFERROR(VLOOKUP("19_"&amp;A363,SyS!$B:$P,10,FALSE()),0)</f>
        <v>0</v>
      </c>
      <c r="AH363" s="39">
        <f>IFERROR(VLOOKUP("19_"&amp;A363,SyS!$B:$P,12,FALSE()),0)</f>
        <v>0</v>
      </c>
      <c r="AI363" s="39">
        <f>+AG363-AH363</f>
        <v>0</v>
      </c>
      <c r="AJ363" s="39"/>
      <c r="AK363" s="39"/>
      <c r="AL363" s="39"/>
      <c r="AM363" s="38">
        <f>IFERROR(VLOOKUP("23_"&amp;A363,SyS!$B:$P,10,FALSE()),0)</f>
        <v>0</v>
      </c>
      <c r="AN363" s="39">
        <f>IFERROR(VLOOKUP("23_"&amp;A363,SyS!$B:$P,12,FALSE()),0)</f>
        <v>0</v>
      </c>
      <c r="AO363" s="40">
        <f>+AM363-AN363</f>
        <v>0</v>
      </c>
      <c r="AP363" s="39"/>
      <c r="AQ363" s="39"/>
      <c r="AR363" s="39"/>
      <c r="AS363" s="39"/>
      <c r="AT363" s="39"/>
      <c r="AU363" s="39"/>
      <c r="AV363" s="39"/>
      <c r="AW363" s="39"/>
      <c r="AX363" s="39"/>
      <c r="AY363" s="39"/>
      <c r="AZ363" s="39"/>
      <c r="BA363" s="39"/>
      <c r="BB363" s="39"/>
      <c r="BC363" s="39"/>
      <c r="BD363" s="39"/>
      <c r="BE363" s="39"/>
      <c r="BF363" s="39"/>
      <c r="BG363" s="39"/>
      <c r="BH363" s="39"/>
      <c r="BI363" s="39"/>
      <c r="BJ363" s="39"/>
      <c r="BK363" s="39">
        <f>IFERROR(VLOOKUP("29_"&amp;A363,SyS!$B:$P,10,FALSE()),0)</f>
        <v>0</v>
      </c>
      <c r="BL363" s="39">
        <f>IFERROR(VLOOKUP("29_"&amp;A363,SyS!$B:$P,12,FALSE()),0)</f>
        <v>0</v>
      </c>
      <c r="BM363" s="39">
        <f>+BK363-BL363</f>
        <v>0</v>
      </c>
      <c r="BN363" s="38">
        <f>IFERROR(VLOOKUP("30_"&amp;A363,SyS!$B:$P,10,FALSE()),0)</f>
        <v>0</v>
      </c>
      <c r="BO363" s="39">
        <f>IFERROR(VLOOKUP("30_"&amp;A363,SyS!$B:$P,12,FALSE()),0)</f>
        <v>0</v>
      </c>
      <c r="BP363" s="40">
        <f>+BN363-BO363</f>
        <v>0</v>
      </c>
      <c r="BQ363" s="45">
        <f>+E363+H363+K363+Q363+T363+W363+Z363+AC363+AF363+AI363+AL363+AO363+AR363+AU363+AX363+BA363+BD363+BG363+BJ363+BM363+BP363</f>
        <v>0</v>
      </c>
    </row>
    <row r="364" ht="11.25" customHeight="1" spans="1:69" x14ac:dyDescent="0.25">
      <c r="A364" s="18">
        <v>429200000</v>
      </c>
      <c r="B364" s="18" t="s">
        <v>592</v>
      </c>
      <c r="C364" s="38">
        <f>IFERROR(VLOOKUP("1_"&amp;A364,SyS!$B:$P,10,FALSE()),0)</f>
        <v>0</v>
      </c>
      <c r="D364" s="39">
        <f>IFERROR(VLOOKUP("1_"&amp;A364,SyS!$B:$P,12,FALSE()),0)</f>
        <v>0</v>
      </c>
      <c r="E364" s="39">
        <f>+C364-D364</f>
        <v>0</v>
      </c>
      <c r="F364" s="38">
        <f>IFERROR(VLOOKUP("2_"&amp;A364,SyS!$B:$P,10,FALSE()),0)</f>
        <v>0</v>
      </c>
      <c r="G364" s="39">
        <f>IFERROR(VLOOKUP("2_"&amp;A364,SyS!$B:$P,12,FALSE()),0)</f>
        <v>0</v>
      </c>
      <c r="H364" s="40">
        <f>+F364-G364</f>
        <v>0</v>
      </c>
      <c r="I364" s="39"/>
      <c r="J364" s="39"/>
      <c r="K364" s="39"/>
      <c r="L364" s="39"/>
      <c r="M364" s="39"/>
      <c r="N364" s="39"/>
      <c r="O364" s="38">
        <f>IFERROR(VLOOKUP("14_"&amp;A364,SyS!$B:$P,10,FALSE()),0)</f>
        <v>0</v>
      </c>
      <c r="P364" s="39">
        <f>IFERROR(VLOOKUP("14_"&amp;A364,SyS!$B:$P,12,FALSE()),0)</f>
        <v>0</v>
      </c>
      <c r="Q364" s="40">
        <f>+O364-P364</f>
        <v>0</v>
      </c>
      <c r="R364" s="38">
        <f>IFERROR(VLOOKUP("15_"&amp;A364,SyS!$B:$P,10,FALSE()),0)</f>
        <v>0</v>
      </c>
      <c r="S364" s="39">
        <f>IFERROR(VLOOKUP("15_"&amp;A364,SyS!$B:$P,12,FALSE()),0)</f>
        <v>0</v>
      </c>
      <c r="T364" s="40">
        <f>+R364-S364</f>
        <v>0</v>
      </c>
      <c r="U364" s="38">
        <f>IFERROR(VLOOKUP("16_"&amp;A364,SyS!$B:$P,10,FALSE()),0)</f>
        <v>0</v>
      </c>
      <c r="V364" s="39">
        <f>IFERROR(VLOOKUP("16_"&amp;A364,SyS!$B:$P,12,FALSE()),0)</f>
        <v>0</v>
      </c>
      <c r="W364" s="40">
        <f>+U364-V364</f>
        <v>0</v>
      </c>
      <c r="X364" s="38">
        <f>IFERROR(VLOOKUP("13_"&amp;A364,SyS!$B:$P,10,FALSE()),0)</f>
        <v>0</v>
      </c>
      <c r="Y364" s="39">
        <f>IFERROR(VLOOKUP("13_"&amp;A364,SyS!$B:$P,12,FALSE()),0)</f>
        <v>0</v>
      </c>
      <c r="Z364" s="40">
        <f>+X364-Y364</f>
        <v>0</v>
      </c>
      <c r="AA364" s="38">
        <f>IFERROR(VLOOKUP("17_"&amp;A364,SyS!$B:$P,10,FALSE()),0)</f>
        <v>0</v>
      </c>
      <c r="AB364" s="39">
        <f>IFERROR(VLOOKUP("17_"&amp;A364,SyS!$B:$P,12,FALSE()),0)</f>
        <v>0</v>
      </c>
      <c r="AC364" s="40">
        <f>+AA364-AB364</f>
        <v>0</v>
      </c>
      <c r="AD364" s="39"/>
      <c r="AE364" s="39"/>
      <c r="AF364" s="39"/>
      <c r="AG364" s="39">
        <f>IFERROR(VLOOKUP("19_"&amp;A364,SyS!$B:$P,10,FALSE()),0)</f>
        <v>0</v>
      </c>
      <c r="AH364" s="39">
        <f>IFERROR(VLOOKUP("19_"&amp;A364,SyS!$B:$P,12,FALSE()),0)</f>
        <v>0</v>
      </c>
      <c r="AI364" s="39">
        <f>+AG364-AH364</f>
        <v>0</v>
      </c>
      <c r="AJ364" s="39"/>
      <c r="AK364" s="39"/>
      <c r="AL364" s="39"/>
      <c r="AM364" s="38">
        <f>IFERROR(VLOOKUP("23_"&amp;A364,SyS!$B:$P,10,FALSE()),0)</f>
        <v>0</v>
      </c>
      <c r="AN364" s="39">
        <f>IFERROR(VLOOKUP("23_"&amp;A364,SyS!$B:$P,12,FALSE()),0)</f>
        <v>0</v>
      </c>
      <c r="AO364" s="40">
        <f>+AM364-AN364</f>
        <v>0</v>
      </c>
      <c r="AP364" s="39"/>
      <c r="AQ364" s="39"/>
      <c r="AR364" s="39"/>
      <c r="AS364" s="39"/>
      <c r="AT364" s="39"/>
      <c r="AU364" s="39"/>
      <c r="AV364" s="39"/>
      <c r="AW364" s="39"/>
      <c r="AX364" s="39"/>
      <c r="AY364" s="39"/>
      <c r="AZ364" s="39"/>
      <c r="BA364" s="39"/>
      <c r="BB364" s="39"/>
      <c r="BC364" s="39"/>
      <c r="BD364" s="39"/>
      <c r="BE364" s="39"/>
      <c r="BF364" s="39"/>
      <c r="BG364" s="39"/>
      <c r="BH364" s="39"/>
      <c r="BI364" s="39"/>
      <c r="BJ364" s="39"/>
      <c r="BK364" s="39">
        <f>IFERROR(VLOOKUP("29_"&amp;A364,SyS!$B:$P,10,FALSE()),0)</f>
        <v>0</v>
      </c>
      <c r="BL364" s="39">
        <f>IFERROR(VLOOKUP("29_"&amp;A364,SyS!$B:$P,12,FALSE()),0)</f>
        <v>0</v>
      </c>
      <c r="BM364" s="39">
        <f>+BK364-BL364</f>
        <v>0</v>
      </c>
      <c r="BN364" s="38">
        <f>IFERROR(VLOOKUP("30_"&amp;A364,SyS!$B:$P,10,FALSE()),0)</f>
        <v>0</v>
      </c>
      <c r="BO364" s="39">
        <f>IFERROR(VLOOKUP("30_"&amp;A364,SyS!$B:$P,12,FALSE()),0)</f>
        <v>0</v>
      </c>
      <c r="BP364" s="40">
        <f>+BN364-BO364</f>
        <v>0</v>
      </c>
      <c r="BQ364" s="45">
        <f>+E364+H364+K364+Q364+T364+W364+Z364+AC364+AF364+AI364+AL364+AO364+AR364+AU364+AX364+BA364+BD364+BG364+BJ364+BM364+BP364</f>
        <v>0</v>
      </c>
    </row>
    <row r="365" ht="11.25" customHeight="1" spans="1:69" x14ac:dyDescent="0.25">
      <c r="A365" s="18">
        <v>429300000</v>
      </c>
      <c r="B365" s="18" t="s">
        <v>593</v>
      </c>
      <c r="C365" s="38">
        <f>IFERROR(VLOOKUP("1_"&amp;A365,SyS!$B:$P,10,FALSE()),0)</f>
        <v>0</v>
      </c>
      <c r="D365" s="39">
        <f>IFERROR(VLOOKUP("1_"&amp;A365,SyS!$B:$P,12,FALSE()),0)</f>
        <v>0</v>
      </c>
      <c r="E365" s="39">
        <f>+C365-D365</f>
        <v>0</v>
      </c>
      <c r="F365" s="38">
        <f>IFERROR(VLOOKUP("2_"&amp;A365,SyS!$B:$P,10,FALSE()),0)</f>
        <v>0</v>
      </c>
      <c r="G365" s="39">
        <f>IFERROR(VLOOKUP("2_"&amp;A365,SyS!$B:$P,12,FALSE()),0)</f>
        <v>0</v>
      </c>
      <c r="H365" s="40">
        <f>+F365-G365</f>
        <v>0</v>
      </c>
      <c r="I365" s="39"/>
      <c r="J365" s="39"/>
      <c r="K365" s="39"/>
      <c r="L365" s="39"/>
      <c r="M365" s="39"/>
      <c r="N365" s="39"/>
      <c r="O365" s="38">
        <f>IFERROR(VLOOKUP("14_"&amp;A365,SyS!$B:$P,10,FALSE()),0)</f>
        <v>0</v>
      </c>
      <c r="P365" s="39">
        <f>IFERROR(VLOOKUP("14_"&amp;A365,SyS!$B:$P,12,FALSE()),0)</f>
        <v>0</v>
      </c>
      <c r="Q365" s="40">
        <f>+O365-P365</f>
        <v>0</v>
      </c>
      <c r="R365" s="38">
        <f>IFERROR(VLOOKUP("15_"&amp;A365,SyS!$B:$P,10,FALSE()),0)</f>
        <v>0</v>
      </c>
      <c r="S365" s="39">
        <f>IFERROR(VLOOKUP("15_"&amp;A365,SyS!$B:$P,12,FALSE()),0)</f>
        <v>0</v>
      </c>
      <c r="T365" s="40">
        <f>+R365-S365</f>
        <v>0</v>
      </c>
      <c r="U365" s="38">
        <f>IFERROR(VLOOKUP("16_"&amp;A365,SyS!$B:$P,10,FALSE()),0)</f>
        <v>0</v>
      </c>
      <c r="V365" s="39">
        <f>IFERROR(VLOOKUP("16_"&amp;A365,SyS!$B:$P,12,FALSE()),0)</f>
        <v>0</v>
      </c>
      <c r="W365" s="40">
        <f>+U365-V365</f>
        <v>0</v>
      </c>
      <c r="X365" s="38">
        <f>IFERROR(VLOOKUP("13_"&amp;A365,SyS!$B:$P,10,FALSE()),0)</f>
        <v>0</v>
      </c>
      <c r="Y365" s="39">
        <f>IFERROR(VLOOKUP("13_"&amp;A365,SyS!$B:$P,12,FALSE()),0)</f>
        <v>0</v>
      </c>
      <c r="Z365" s="40">
        <f>+X365-Y365</f>
        <v>0</v>
      </c>
      <c r="AA365" s="38">
        <f>IFERROR(VLOOKUP("17_"&amp;A365,SyS!$B:$P,10,FALSE()),0)</f>
        <v>0</v>
      </c>
      <c r="AB365" s="39">
        <f>IFERROR(VLOOKUP("17_"&amp;A365,SyS!$B:$P,12,FALSE()),0)</f>
        <v>0</v>
      </c>
      <c r="AC365" s="40">
        <f>+AA365-AB365</f>
        <v>0</v>
      </c>
      <c r="AD365" s="39"/>
      <c r="AE365" s="39"/>
      <c r="AF365" s="39"/>
      <c r="AG365" s="39">
        <f>IFERROR(VLOOKUP("19_"&amp;A365,SyS!$B:$P,10,FALSE()),0)</f>
        <v>0</v>
      </c>
      <c r="AH365" s="39">
        <f>IFERROR(VLOOKUP("19_"&amp;A365,SyS!$B:$P,12,FALSE()),0)</f>
        <v>0</v>
      </c>
      <c r="AI365" s="39">
        <f>+AG365-AH365</f>
        <v>0</v>
      </c>
      <c r="AJ365" s="39"/>
      <c r="AK365" s="39"/>
      <c r="AL365" s="39"/>
      <c r="AM365" s="38">
        <f>IFERROR(VLOOKUP("23_"&amp;A365,SyS!$B:$P,10,FALSE()),0)</f>
        <v>0</v>
      </c>
      <c r="AN365" s="39">
        <f>IFERROR(VLOOKUP("23_"&amp;A365,SyS!$B:$P,12,FALSE()),0)</f>
        <v>0</v>
      </c>
      <c r="AO365" s="40">
        <f>+AM365-AN365</f>
        <v>0</v>
      </c>
      <c r="AP365" s="39"/>
      <c r="AQ365" s="39"/>
      <c r="AR365" s="39"/>
      <c r="AS365" s="39"/>
      <c r="AT365" s="39"/>
      <c r="AU365" s="39"/>
      <c r="AV365" s="39"/>
      <c r="AW365" s="39"/>
      <c r="AX365" s="39"/>
      <c r="AY365" s="39"/>
      <c r="AZ365" s="39"/>
      <c r="BA365" s="39"/>
      <c r="BB365" s="39"/>
      <c r="BC365" s="39"/>
      <c r="BD365" s="39"/>
      <c r="BE365" s="39"/>
      <c r="BF365" s="39"/>
      <c r="BG365" s="39"/>
      <c r="BH365" s="39"/>
      <c r="BI365" s="39"/>
      <c r="BJ365" s="39"/>
      <c r="BK365" s="39">
        <f>IFERROR(VLOOKUP("29_"&amp;A365,SyS!$B:$P,10,FALSE()),0)</f>
        <v>0</v>
      </c>
      <c r="BL365" s="39">
        <f>IFERROR(VLOOKUP("29_"&amp;A365,SyS!$B:$P,12,FALSE()),0)</f>
        <v>0</v>
      </c>
      <c r="BM365" s="39">
        <f>+BK365-BL365</f>
        <v>0</v>
      </c>
      <c r="BN365" s="38">
        <f>IFERROR(VLOOKUP("30_"&amp;A365,SyS!$B:$P,10,FALSE()),0)</f>
        <v>0</v>
      </c>
      <c r="BO365" s="39">
        <f>IFERROR(VLOOKUP("30_"&amp;A365,SyS!$B:$P,12,FALSE()),0)</f>
        <v>0</v>
      </c>
      <c r="BP365" s="40">
        <f>+BN365-BO365</f>
        <v>0</v>
      </c>
      <c r="BQ365" s="45">
        <f>+E365+H365+K365+Q365+T365+W365+Z365+AC365+AF365+AI365+AL365+AO365+AR365+AU365+AX365+BA365+BD365+BG365+BJ365+BM365+BP365</f>
        <v>0</v>
      </c>
    </row>
    <row r="366" ht="11.25" customHeight="1" spans="1:69" x14ac:dyDescent="0.25">
      <c r="A366" s="18">
        <v>429400000</v>
      </c>
      <c r="B366" s="18" t="s">
        <v>594</v>
      </c>
      <c r="C366" s="38">
        <f>IFERROR(VLOOKUP("1_"&amp;A366,SyS!$B:$P,10,FALSE()),0)</f>
        <v>0</v>
      </c>
      <c r="D366" s="39">
        <f>IFERROR(VLOOKUP("1_"&amp;A366,SyS!$B:$P,12,FALSE()),0)</f>
        <v>0</v>
      </c>
      <c r="E366" s="39">
        <f>+C366-D366</f>
        <v>0</v>
      </c>
      <c r="F366" s="38">
        <f>IFERROR(VLOOKUP("2_"&amp;A366,SyS!$B:$P,10,FALSE()),0)</f>
        <v>0</v>
      </c>
      <c r="G366" s="39">
        <f>IFERROR(VLOOKUP("2_"&amp;A366,SyS!$B:$P,12,FALSE()),0)</f>
        <v>0</v>
      </c>
      <c r="H366" s="40">
        <f>+F366-G366</f>
        <v>0</v>
      </c>
      <c r="I366" s="39"/>
      <c r="J366" s="39"/>
      <c r="K366" s="39"/>
      <c r="L366" s="39"/>
      <c r="M366" s="39"/>
      <c r="N366" s="39"/>
      <c r="O366" s="38">
        <f>IFERROR(VLOOKUP("14_"&amp;A366,SyS!$B:$P,10,FALSE()),0)</f>
        <v>0</v>
      </c>
      <c r="P366" s="39">
        <f>IFERROR(VLOOKUP("14_"&amp;A366,SyS!$B:$P,12,FALSE()),0)</f>
        <v>0</v>
      </c>
      <c r="Q366" s="40">
        <f>+O366-P366</f>
        <v>0</v>
      </c>
      <c r="R366" s="38">
        <f>IFERROR(VLOOKUP("15_"&amp;A366,SyS!$B:$P,10,FALSE()),0)</f>
        <v>0</v>
      </c>
      <c r="S366" s="39">
        <f>IFERROR(VLOOKUP("15_"&amp;A366,SyS!$B:$P,12,FALSE()),0)</f>
        <v>0</v>
      </c>
      <c r="T366" s="40">
        <f>+R366-S366</f>
        <v>0</v>
      </c>
      <c r="U366" s="38">
        <f>IFERROR(VLOOKUP("16_"&amp;A366,SyS!$B:$P,10,FALSE()),0)</f>
        <v>0</v>
      </c>
      <c r="V366" s="39">
        <f>IFERROR(VLOOKUP("16_"&amp;A366,SyS!$B:$P,12,FALSE()),0)</f>
        <v>0</v>
      </c>
      <c r="W366" s="40">
        <f>+U366-V366</f>
        <v>0</v>
      </c>
      <c r="X366" s="38">
        <f>IFERROR(VLOOKUP("13_"&amp;A366,SyS!$B:$P,10,FALSE()),0)</f>
        <v>0</v>
      </c>
      <c r="Y366" s="39">
        <f>IFERROR(VLOOKUP("13_"&amp;A366,SyS!$B:$P,12,FALSE()),0)</f>
        <v>0</v>
      </c>
      <c r="Z366" s="40">
        <f>+X366-Y366</f>
        <v>0</v>
      </c>
      <c r="AA366" s="38">
        <f>IFERROR(VLOOKUP("17_"&amp;A366,SyS!$B:$P,10,FALSE()),0)</f>
        <v>0</v>
      </c>
      <c r="AB366" s="39">
        <f>IFERROR(VLOOKUP("17_"&amp;A366,SyS!$B:$P,12,FALSE()),0)</f>
        <v>0</v>
      </c>
      <c r="AC366" s="40">
        <f>+AA366-AB366</f>
        <v>0</v>
      </c>
      <c r="AD366" s="39"/>
      <c r="AE366" s="39"/>
      <c r="AF366" s="39"/>
      <c r="AG366" s="39">
        <f>IFERROR(VLOOKUP("19_"&amp;A366,SyS!$B:$P,10,FALSE()),0)</f>
        <v>0</v>
      </c>
      <c r="AH366" s="39">
        <f>IFERROR(VLOOKUP("19_"&amp;A366,SyS!$B:$P,12,FALSE()),0)</f>
        <v>0</v>
      </c>
      <c r="AI366" s="39">
        <f>+AG366-AH366</f>
        <v>0</v>
      </c>
      <c r="AJ366" s="39"/>
      <c r="AK366" s="39"/>
      <c r="AL366" s="39"/>
      <c r="AM366" s="38">
        <f>IFERROR(VLOOKUP("23_"&amp;A366,SyS!$B:$P,10,FALSE()),0)</f>
        <v>0</v>
      </c>
      <c r="AN366" s="39">
        <f>IFERROR(VLOOKUP("23_"&amp;A366,SyS!$B:$P,12,FALSE()),0)</f>
        <v>0</v>
      </c>
      <c r="AO366" s="40">
        <f>+AM366-AN366</f>
        <v>0</v>
      </c>
      <c r="AP366" s="39"/>
      <c r="AQ366" s="39"/>
      <c r="AR366" s="39"/>
      <c r="AS366" s="39"/>
      <c r="AT366" s="39"/>
      <c r="AU366" s="39"/>
      <c r="AV366" s="39"/>
      <c r="AW366" s="39"/>
      <c r="AX366" s="39"/>
      <c r="AY366" s="39"/>
      <c r="AZ366" s="39"/>
      <c r="BA366" s="39"/>
      <c r="BB366" s="39"/>
      <c r="BC366" s="39"/>
      <c r="BD366" s="39"/>
      <c r="BE366" s="39"/>
      <c r="BF366" s="39"/>
      <c r="BG366" s="39"/>
      <c r="BH366" s="39"/>
      <c r="BI366" s="39"/>
      <c r="BJ366" s="39"/>
      <c r="BK366" s="39">
        <f>IFERROR(VLOOKUP("29_"&amp;A366,SyS!$B:$P,10,FALSE()),0)</f>
        <v>0</v>
      </c>
      <c r="BL366" s="39">
        <f>IFERROR(VLOOKUP("29_"&amp;A366,SyS!$B:$P,12,FALSE()),0)</f>
        <v>0</v>
      </c>
      <c r="BM366" s="39">
        <f>+BK366-BL366</f>
        <v>0</v>
      </c>
      <c r="BN366" s="38">
        <f>IFERROR(VLOOKUP("30_"&amp;A366,SyS!$B:$P,10,FALSE()),0)</f>
        <v>0</v>
      </c>
      <c r="BO366" s="39">
        <f>IFERROR(VLOOKUP("30_"&amp;A366,SyS!$B:$P,12,FALSE()),0)</f>
        <v>0</v>
      </c>
      <c r="BP366" s="40">
        <f>+BN366-BO366</f>
        <v>0</v>
      </c>
      <c r="BQ366" s="45">
        <f>+E366+H366+K366+Q366+T366+W366+Z366+AC366+AF366+AI366+AL366+AO366+AR366+AU366+AX366+BA366+BD366+BG366+BJ366+BM366+BP366</f>
        <v>0</v>
      </c>
    </row>
    <row r="367" ht="11.25" customHeight="1" spans="1:69" x14ac:dyDescent="0.25">
      <c r="A367" s="18">
        <v>429500000</v>
      </c>
      <c r="B367" s="18" t="s">
        <v>595</v>
      </c>
      <c r="C367" s="38">
        <f>IFERROR(VLOOKUP("1_"&amp;A367,SyS!$B:$P,10,FALSE()),0)</f>
        <v>0</v>
      </c>
      <c r="D367" s="39">
        <f>IFERROR(VLOOKUP("1_"&amp;A367,SyS!$B:$P,12,FALSE()),0)</f>
        <v>0</v>
      </c>
      <c r="E367" s="39">
        <f>+C367-D367</f>
        <v>0</v>
      </c>
      <c r="F367" s="38">
        <f>IFERROR(VLOOKUP("2_"&amp;A367,SyS!$B:$P,10,FALSE()),0)</f>
        <v>0</v>
      </c>
      <c r="G367" s="39">
        <f>IFERROR(VLOOKUP("2_"&amp;A367,SyS!$B:$P,12,FALSE()),0)</f>
        <v>0</v>
      </c>
      <c r="H367" s="40">
        <f>+F367-G367</f>
        <v>0</v>
      </c>
      <c r="I367" s="39"/>
      <c r="J367" s="39"/>
      <c r="K367" s="39"/>
      <c r="L367" s="39"/>
      <c r="M367" s="39"/>
      <c r="N367" s="39"/>
      <c r="O367" s="38">
        <f>IFERROR(VLOOKUP("14_"&amp;A367,SyS!$B:$P,10,FALSE()),0)</f>
        <v>0</v>
      </c>
      <c r="P367" s="39">
        <f>IFERROR(VLOOKUP("14_"&amp;A367,SyS!$B:$P,12,FALSE()),0)</f>
        <v>0</v>
      </c>
      <c r="Q367" s="40">
        <f>+O367-P367</f>
        <v>0</v>
      </c>
      <c r="R367" s="38">
        <f>IFERROR(VLOOKUP("15_"&amp;A367,SyS!$B:$P,10,FALSE()),0)</f>
        <v>0</v>
      </c>
      <c r="S367" s="39">
        <f>IFERROR(VLOOKUP("15_"&amp;A367,SyS!$B:$P,12,FALSE()),0)</f>
        <v>0</v>
      </c>
      <c r="T367" s="40">
        <f>+R367-S367</f>
        <v>0</v>
      </c>
      <c r="U367" s="38">
        <f>IFERROR(VLOOKUP("16_"&amp;A367,SyS!$B:$P,10,FALSE()),0)</f>
        <v>0</v>
      </c>
      <c r="V367" s="39">
        <f>IFERROR(VLOOKUP("16_"&amp;A367,SyS!$B:$P,12,FALSE()),0)</f>
        <v>0</v>
      </c>
      <c r="W367" s="40">
        <f>+U367-V367</f>
        <v>0</v>
      </c>
      <c r="X367" s="38">
        <f>IFERROR(VLOOKUP("13_"&amp;A367,SyS!$B:$P,10,FALSE()),0)</f>
        <v>0</v>
      </c>
      <c r="Y367" s="39">
        <f>IFERROR(VLOOKUP("13_"&amp;A367,SyS!$B:$P,12,FALSE()),0)</f>
        <v>0</v>
      </c>
      <c r="Z367" s="40">
        <f>+X367-Y367</f>
        <v>0</v>
      </c>
      <c r="AA367" s="38">
        <f>IFERROR(VLOOKUP("17_"&amp;A367,SyS!$B:$P,10,FALSE()),0)</f>
        <v>0</v>
      </c>
      <c r="AB367" s="39">
        <f>IFERROR(VLOOKUP("17_"&amp;A367,SyS!$B:$P,12,FALSE()),0)</f>
        <v>0</v>
      </c>
      <c r="AC367" s="40">
        <f>+AA367-AB367</f>
        <v>0</v>
      </c>
      <c r="AD367" s="39"/>
      <c r="AE367" s="39"/>
      <c r="AF367" s="39"/>
      <c r="AG367" s="39">
        <f>IFERROR(VLOOKUP("19_"&amp;A367,SyS!$B:$P,10,FALSE()),0)</f>
        <v>0</v>
      </c>
      <c r="AH367" s="39">
        <f>IFERROR(VLOOKUP("19_"&amp;A367,SyS!$B:$P,12,FALSE()),0)</f>
        <v>0</v>
      </c>
      <c r="AI367" s="39">
        <f>+AG367-AH367</f>
        <v>0</v>
      </c>
      <c r="AJ367" s="39"/>
      <c r="AK367" s="39"/>
      <c r="AL367" s="39"/>
      <c r="AM367" s="38">
        <f>IFERROR(VLOOKUP("23_"&amp;A367,SyS!$B:$P,10,FALSE()),0)</f>
        <v>0</v>
      </c>
      <c r="AN367" s="39">
        <f>IFERROR(VLOOKUP("23_"&amp;A367,SyS!$B:$P,12,FALSE()),0)</f>
        <v>0</v>
      </c>
      <c r="AO367" s="40">
        <f>+AM367-AN367</f>
        <v>0</v>
      </c>
      <c r="AP367" s="39"/>
      <c r="AQ367" s="39"/>
      <c r="AR367" s="39"/>
      <c r="AS367" s="39"/>
      <c r="AT367" s="39"/>
      <c r="AU367" s="39"/>
      <c r="AV367" s="39"/>
      <c r="AW367" s="39"/>
      <c r="AX367" s="39"/>
      <c r="AY367" s="39"/>
      <c r="AZ367" s="39"/>
      <c r="BA367" s="39"/>
      <c r="BB367" s="39"/>
      <c r="BC367" s="39"/>
      <c r="BD367" s="39"/>
      <c r="BE367" s="39"/>
      <c r="BF367" s="39"/>
      <c r="BG367" s="39"/>
      <c r="BH367" s="39"/>
      <c r="BI367" s="39"/>
      <c r="BJ367" s="39"/>
      <c r="BK367" s="39">
        <f>IFERROR(VLOOKUP("29_"&amp;A367,SyS!$B:$P,10,FALSE()),0)</f>
        <v>0</v>
      </c>
      <c r="BL367" s="39">
        <f>IFERROR(VLOOKUP("29_"&amp;A367,SyS!$B:$P,12,FALSE()),0)</f>
        <v>0</v>
      </c>
      <c r="BM367" s="39">
        <f>+BK367-BL367</f>
        <v>0</v>
      </c>
      <c r="BN367" s="38">
        <f>IFERROR(VLOOKUP("30_"&amp;A367,SyS!$B:$P,10,FALSE()),0)</f>
        <v>0</v>
      </c>
      <c r="BO367" s="39">
        <f>IFERROR(VLOOKUP("30_"&amp;A367,SyS!$B:$P,12,FALSE()),0)</f>
        <v>0</v>
      </c>
      <c r="BP367" s="40">
        <f>+BN367-BO367</f>
        <v>0</v>
      </c>
      <c r="BQ367" s="45">
        <f>+E367+H367+K367+Q367+T367+W367+Z367+AC367+AF367+AI367+AL367+AO367+AR367+AU367+AX367+BA367+BD367+BG367+BJ367+BM367+BP367</f>
        <v>0</v>
      </c>
    </row>
    <row r="368" ht="11.25" customHeight="1" spans="1:69" x14ac:dyDescent="0.25">
      <c r="A368" s="18">
        <v>429800000</v>
      </c>
      <c r="B368" s="18" t="s">
        <v>596</v>
      </c>
      <c r="C368" s="38">
        <f>IFERROR(VLOOKUP("1_"&amp;A368,SyS!$B:$P,10,FALSE()),0)</f>
        <v>0</v>
      </c>
      <c r="D368" s="39">
        <f>IFERROR(VLOOKUP("1_"&amp;A368,SyS!$B:$P,12,FALSE()),0)</f>
        <v>0</v>
      </c>
      <c r="E368" s="39">
        <f>+C368-D368</f>
        <v>0</v>
      </c>
      <c r="F368" s="38">
        <f>IFERROR(VLOOKUP("2_"&amp;A368,SyS!$B:$P,10,FALSE()),0)</f>
        <v>0</v>
      </c>
      <c r="G368" s="39">
        <f>IFERROR(VLOOKUP("2_"&amp;A368,SyS!$B:$P,12,FALSE()),0)</f>
        <v>0</v>
      </c>
      <c r="H368" s="40">
        <f>+F368-G368</f>
        <v>0</v>
      </c>
      <c r="I368" s="39"/>
      <c r="J368" s="39"/>
      <c r="K368" s="39"/>
      <c r="L368" s="39"/>
      <c r="M368" s="39"/>
      <c r="N368" s="39"/>
      <c r="O368" s="38">
        <f>IFERROR(VLOOKUP("14_"&amp;A368,SyS!$B:$P,10,FALSE()),0)</f>
        <v>0</v>
      </c>
      <c r="P368" s="39">
        <f>IFERROR(VLOOKUP("14_"&amp;A368,SyS!$B:$P,12,FALSE()),0)</f>
        <v>0</v>
      </c>
      <c r="Q368" s="40">
        <f>+O368-P368</f>
        <v>0</v>
      </c>
      <c r="R368" s="38">
        <f>IFERROR(VLOOKUP("15_"&amp;A368,SyS!$B:$P,10,FALSE()),0)</f>
        <v>0</v>
      </c>
      <c r="S368" s="39">
        <f>IFERROR(VLOOKUP("15_"&amp;A368,SyS!$B:$P,12,FALSE()),0)</f>
        <v>0</v>
      </c>
      <c r="T368" s="40">
        <f>+R368-S368</f>
        <v>0</v>
      </c>
      <c r="U368" s="38">
        <f>IFERROR(VLOOKUP("16_"&amp;A368,SyS!$B:$P,10,FALSE()),0)</f>
        <v>0</v>
      </c>
      <c r="V368" s="39">
        <f>IFERROR(VLOOKUP("16_"&amp;A368,SyS!$B:$P,12,FALSE()),0)</f>
        <v>0</v>
      </c>
      <c r="W368" s="40">
        <f>+U368-V368</f>
        <v>0</v>
      </c>
      <c r="X368" s="38">
        <f>IFERROR(VLOOKUP("13_"&amp;A368,SyS!$B:$P,10,FALSE()),0)</f>
        <v>0</v>
      </c>
      <c r="Y368" s="39">
        <f>IFERROR(VLOOKUP("13_"&amp;A368,SyS!$B:$P,12,FALSE()),0)</f>
        <v>0</v>
      </c>
      <c r="Z368" s="40">
        <f>+X368-Y368</f>
        <v>0</v>
      </c>
      <c r="AA368" s="38">
        <f>IFERROR(VLOOKUP("17_"&amp;A368,SyS!$B:$P,10,FALSE()),0)</f>
        <v>0</v>
      </c>
      <c r="AB368" s="39">
        <f>IFERROR(VLOOKUP("17_"&amp;A368,SyS!$B:$P,12,FALSE()),0)</f>
        <v>0</v>
      </c>
      <c r="AC368" s="40">
        <f>+AA368-AB368</f>
        <v>0</v>
      </c>
      <c r="AD368" s="39"/>
      <c r="AE368" s="39"/>
      <c r="AF368" s="39"/>
      <c r="AG368" s="39">
        <f>IFERROR(VLOOKUP("19_"&amp;A368,SyS!$B:$P,10,FALSE()),0)</f>
        <v>0</v>
      </c>
      <c r="AH368" s="39">
        <f>IFERROR(VLOOKUP("19_"&amp;A368,SyS!$B:$P,12,FALSE()),0)</f>
        <v>0</v>
      </c>
      <c r="AI368" s="39">
        <f>+AG368-AH368</f>
        <v>0</v>
      </c>
      <c r="AJ368" s="39"/>
      <c r="AK368" s="39"/>
      <c r="AL368" s="39"/>
      <c r="AM368" s="38">
        <f>IFERROR(VLOOKUP("23_"&amp;A368,SyS!$B:$P,10,FALSE()),0)</f>
        <v>0</v>
      </c>
      <c r="AN368" s="39">
        <f>IFERROR(VLOOKUP("23_"&amp;A368,SyS!$B:$P,12,FALSE()),0)</f>
        <v>0</v>
      </c>
      <c r="AO368" s="40">
        <f>+AM368-AN368</f>
        <v>0</v>
      </c>
      <c r="AP368" s="39"/>
      <c r="AQ368" s="39"/>
      <c r="AR368" s="39"/>
      <c r="AS368" s="39"/>
      <c r="AT368" s="39"/>
      <c r="AU368" s="39"/>
      <c r="AV368" s="39"/>
      <c r="AW368" s="39"/>
      <c r="AX368" s="39"/>
      <c r="AY368" s="39"/>
      <c r="AZ368" s="39"/>
      <c r="BA368" s="39"/>
      <c r="BB368" s="39"/>
      <c r="BC368" s="39"/>
      <c r="BD368" s="39"/>
      <c r="BE368" s="39"/>
      <c r="BF368" s="39"/>
      <c r="BG368" s="39"/>
      <c r="BH368" s="39"/>
      <c r="BI368" s="39"/>
      <c r="BJ368" s="39"/>
      <c r="BK368" s="39">
        <f>IFERROR(VLOOKUP("29_"&amp;A368,SyS!$B:$P,10,FALSE()),0)</f>
        <v>0</v>
      </c>
      <c r="BL368" s="39">
        <f>IFERROR(VLOOKUP("29_"&amp;A368,SyS!$B:$P,12,FALSE()),0)</f>
        <v>0</v>
      </c>
      <c r="BM368" s="39">
        <f>+BK368-BL368</f>
        <v>0</v>
      </c>
      <c r="BN368" s="38">
        <f>IFERROR(VLOOKUP("30_"&amp;A368,SyS!$B:$P,10,FALSE()),0)</f>
        <v>0</v>
      </c>
      <c r="BO368" s="39">
        <f>IFERROR(VLOOKUP("30_"&amp;A368,SyS!$B:$P,12,FALSE()),0)</f>
        <v>0</v>
      </c>
      <c r="BP368" s="40">
        <f>+BN368-BO368</f>
        <v>0</v>
      </c>
      <c r="BQ368" s="45">
        <f>+E368+H368+K368+Q368+T368+W368+Z368+AC368+AF368+AI368+AL368+AO368+AR368+AU368+AX368+BA368+BD368+BG368+BJ368+BM368+BP368</f>
        <v>0</v>
      </c>
    </row>
    <row r="369" ht="11.25" customHeight="1" spans="1:69" x14ac:dyDescent="0.25">
      <c r="A369" s="18">
        <v>429700000</v>
      </c>
      <c r="B369" s="18" t="s">
        <v>597</v>
      </c>
      <c r="C369" s="38">
        <f>IFERROR(VLOOKUP("1_"&amp;A369,SyS!$B:$P,10,FALSE()),0)</f>
        <v>0</v>
      </c>
      <c r="D369" s="39">
        <f>IFERROR(VLOOKUP("1_"&amp;A369,SyS!$B:$P,12,FALSE()),0)</f>
        <v>0</v>
      </c>
      <c r="E369" s="39">
        <f>+C369-D369</f>
        <v>0</v>
      </c>
      <c r="F369" s="38">
        <f>IFERROR(VLOOKUP("2_"&amp;A369,SyS!$B:$P,10,FALSE()),0)</f>
        <v>0</v>
      </c>
      <c r="G369" s="39">
        <f>IFERROR(VLOOKUP("2_"&amp;A369,SyS!$B:$P,12,FALSE()),0)</f>
        <v>0</v>
      </c>
      <c r="H369" s="40">
        <f>+F369-G369</f>
        <v>0</v>
      </c>
      <c r="I369" s="39"/>
      <c r="J369" s="39"/>
      <c r="K369" s="39"/>
      <c r="L369" s="39"/>
      <c r="M369" s="39"/>
      <c r="N369" s="39"/>
      <c r="O369" s="38">
        <f>IFERROR(VLOOKUP("14_"&amp;A369,SyS!$B:$P,10,FALSE()),0)</f>
        <v>0</v>
      </c>
      <c r="P369" s="39">
        <f>IFERROR(VLOOKUP("14_"&amp;A369,SyS!$B:$P,12,FALSE()),0)</f>
        <v>0</v>
      </c>
      <c r="Q369" s="40">
        <f>+O369-P369</f>
        <v>0</v>
      </c>
      <c r="R369" s="38">
        <f>IFERROR(VLOOKUP("15_"&amp;A369,SyS!$B:$P,10,FALSE()),0)</f>
        <v>0</v>
      </c>
      <c r="S369" s="39">
        <f>IFERROR(VLOOKUP("15_"&amp;A369,SyS!$B:$P,12,FALSE()),0)</f>
        <v>0</v>
      </c>
      <c r="T369" s="40">
        <f>+R369-S369</f>
        <v>0</v>
      </c>
      <c r="U369" s="38">
        <f>IFERROR(VLOOKUP("16_"&amp;A369,SyS!$B:$P,10,FALSE()),0)</f>
        <v>0</v>
      </c>
      <c r="V369" s="39">
        <f>IFERROR(VLOOKUP("16_"&amp;A369,SyS!$B:$P,12,FALSE()),0)</f>
        <v>0</v>
      </c>
      <c r="W369" s="40">
        <f>+U369-V369</f>
        <v>0</v>
      </c>
      <c r="X369" s="38">
        <f>IFERROR(VLOOKUP("13_"&amp;A369,SyS!$B:$P,10,FALSE()),0)</f>
        <v>0</v>
      </c>
      <c r="Y369" s="39">
        <f>IFERROR(VLOOKUP("13_"&amp;A369,SyS!$B:$P,12,FALSE()),0)</f>
        <v>0</v>
      </c>
      <c r="Z369" s="40">
        <f>+X369-Y369</f>
        <v>0</v>
      </c>
      <c r="AA369" s="38">
        <f>IFERROR(VLOOKUP("17_"&amp;A369,SyS!$B:$P,10,FALSE()),0)</f>
        <v>0</v>
      </c>
      <c r="AB369" s="39">
        <f>IFERROR(VLOOKUP("17_"&amp;A369,SyS!$B:$P,12,FALSE()),0)</f>
        <v>0</v>
      </c>
      <c r="AC369" s="40">
        <f>+AA369-AB369</f>
        <v>0</v>
      </c>
      <c r="AD369" s="39"/>
      <c r="AE369" s="39"/>
      <c r="AF369" s="39"/>
      <c r="AG369" s="39">
        <f>IFERROR(VLOOKUP("19_"&amp;A369,SyS!$B:$P,10,FALSE()),0)</f>
        <v>0</v>
      </c>
      <c r="AH369" s="39">
        <f>IFERROR(VLOOKUP("19_"&amp;A369,SyS!$B:$P,12,FALSE()),0)</f>
        <v>0</v>
      </c>
      <c r="AI369" s="39">
        <f>+AG369-AH369</f>
        <v>0</v>
      </c>
      <c r="AJ369" s="39"/>
      <c r="AK369" s="39"/>
      <c r="AL369" s="39"/>
      <c r="AM369" s="38">
        <f>IFERROR(VLOOKUP("23_"&amp;A369,SyS!$B:$P,10,FALSE()),0)</f>
        <v>0</v>
      </c>
      <c r="AN369" s="39">
        <f>IFERROR(VLOOKUP("23_"&amp;A369,SyS!$B:$P,12,FALSE()),0)</f>
        <v>0</v>
      </c>
      <c r="AO369" s="40">
        <f>+AM369-AN369</f>
        <v>0</v>
      </c>
      <c r="AP369" s="39"/>
      <c r="AQ369" s="39"/>
      <c r="AR369" s="39"/>
      <c r="AS369" s="39"/>
      <c r="AT369" s="39"/>
      <c r="AU369" s="39"/>
      <c r="AV369" s="39"/>
      <c r="AW369" s="39"/>
      <c r="AX369" s="39"/>
      <c r="AY369" s="39"/>
      <c r="AZ369" s="39"/>
      <c r="BA369" s="39"/>
      <c r="BB369" s="39"/>
      <c r="BC369" s="39"/>
      <c r="BD369" s="39"/>
      <c r="BE369" s="39"/>
      <c r="BF369" s="39"/>
      <c r="BG369" s="39"/>
      <c r="BH369" s="39"/>
      <c r="BI369" s="39"/>
      <c r="BJ369" s="39"/>
      <c r="BK369" s="39">
        <f>IFERROR(VLOOKUP("29_"&amp;A369,SyS!$B:$P,10,FALSE()),0)</f>
        <v>0</v>
      </c>
      <c r="BL369" s="39">
        <f>IFERROR(VLOOKUP("29_"&amp;A369,SyS!$B:$P,12,FALSE()),0)</f>
        <v>0</v>
      </c>
      <c r="BM369" s="39">
        <f>+BK369-BL369</f>
        <v>0</v>
      </c>
      <c r="BN369" s="38">
        <f>IFERROR(VLOOKUP("30_"&amp;A369,SyS!$B:$P,10,FALSE()),0)</f>
        <v>0</v>
      </c>
      <c r="BO369" s="39">
        <f>IFERROR(VLOOKUP("30_"&amp;A369,SyS!$B:$P,12,FALSE()),0)</f>
        <v>0</v>
      </c>
      <c r="BP369" s="40">
        <f>+BN369-BO369</f>
        <v>0</v>
      </c>
      <c r="BQ369" s="45">
        <f>+E369+H369+K369+Q369+T369+W369+Z369+AC369+AF369+AI369+AL369+AO369+AR369+AU369+AX369+BA369+BD369+BG369+BJ369+BM369+BP369</f>
        <v>0</v>
      </c>
    </row>
    <row r="370" ht="11.25" customHeight="1" spans="1:69" x14ac:dyDescent="0.25">
      <c r="A370" s="18">
        <v>429900000</v>
      </c>
      <c r="B370" s="18" t="s">
        <v>598</v>
      </c>
      <c r="C370" s="38">
        <f>IFERROR(VLOOKUP("1_"&amp;A370,SyS!$B:$P,10,FALSE()),0)</f>
        <v>0</v>
      </c>
      <c r="D370" s="39">
        <f>IFERROR(VLOOKUP("1_"&amp;A370,SyS!$B:$P,12,FALSE()),0)</f>
        <v>0</v>
      </c>
      <c r="E370" s="39">
        <f>+C370-D370</f>
        <v>0</v>
      </c>
      <c r="F370" s="38">
        <f>IFERROR(VLOOKUP("2_"&amp;A370,SyS!$B:$P,10,FALSE()),0)</f>
        <v>0</v>
      </c>
      <c r="G370" s="39">
        <f>IFERROR(VLOOKUP("2_"&amp;A370,SyS!$B:$P,12,FALSE()),0)</f>
        <v>0</v>
      </c>
      <c r="H370" s="40">
        <f>+F370-G370</f>
        <v>0</v>
      </c>
      <c r="I370" s="39"/>
      <c r="J370" s="39"/>
      <c r="K370" s="39"/>
      <c r="L370" s="39"/>
      <c r="M370" s="39"/>
      <c r="N370" s="39"/>
      <c r="O370" s="38">
        <f>IFERROR(VLOOKUP("14_"&amp;A370,SyS!$B:$P,10,FALSE()),0)</f>
        <v>0</v>
      </c>
      <c r="P370" s="39">
        <f>IFERROR(VLOOKUP("14_"&amp;A370,SyS!$B:$P,12,FALSE()),0)</f>
        <v>0</v>
      </c>
      <c r="Q370" s="40">
        <f>+O370-P370</f>
        <v>0</v>
      </c>
      <c r="R370" s="38">
        <f>IFERROR(VLOOKUP("15_"&amp;A370,SyS!$B:$P,10,FALSE()),0)</f>
        <v>0</v>
      </c>
      <c r="S370" s="39">
        <f>IFERROR(VLOOKUP("15_"&amp;A370,SyS!$B:$P,12,FALSE()),0)</f>
        <v>0</v>
      </c>
      <c r="T370" s="40">
        <f>+R370-S370</f>
        <v>0</v>
      </c>
      <c r="U370" s="38">
        <f>IFERROR(VLOOKUP("16_"&amp;A370,SyS!$B:$P,10,FALSE()),0)</f>
        <v>0</v>
      </c>
      <c r="V370" s="39">
        <f>IFERROR(VLOOKUP("16_"&amp;A370,SyS!$B:$P,12,FALSE()),0)</f>
        <v>0</v>
      </c>
      <c r="W370" s="40">
        <f>+U370-V370</f>
        <v>0</v>
      </c>
      <c r="X370" s="38">
        <f>IFERROR(VLOOKUP("13_"&amp;A370,SyS!$B:$P,10,FALSE()),0)</f>
        <v>0</v>
      </c>
      <c r="Y370" s="39">
        <f>IFERROR(VLOOKUP("13_"&amp;A370,SyS!$B:$P,12,FALSE()),0)</f>
        <v>0</v>
      </c>
      <c r="Z370" s="40">
        <f>+X370-Y370</f>
        <v>0</v>
      </c>
      <c r="AA370" s="38">
        <f>IFERROR(VLOOKUP("17_"&amp;A370,SyS!$B:$P,10,FALSE()),0)</f>
        <v>0</v>
      </c>
      <c r="AB370" s="39">
        <f>IFERROR(VLOOKUP("17_"&amp;A370,SyS!$B:$P,12,FALSE()),0)</f>
        <v>0</v>
      </c>
      <c r="AC370" s="40">
        <f>+AA370-AB370</f>
        <v>0</v>
      </c>
      <c r="AD370" s="39"/>
      <c r="AE370" s="39"/>
      <c r="AF370" s="39"/>
      <c r="AG370" s="39">
        <f>IFERROR(VLOOKUP("19_"&amp;A370,SyS!$B:$P,10,FALSE()),0)</f>
        <v>0</v>
      </c>
      <c r="AH370" s="39">
        <f>IFERROR(VLOOKUP("19_"&amp;A370,SyS!$B:$P,12,FALSE()),0)</f>
        <v>0</v>
      </c>
      <c r="AI370" s="39">
        <f>+AG370-AH370</f>
        <v>0</v>
      </c>
      <c r="AJ370" s="39"/>
      <c r="AK370" s="39"/>
      <c r="AL370" s="39"/>
      <c r="AM370" s="38">
        <f>IFERROR(VLOOKUP("23_"&amp;A370,SyS!$B:$P,10,FALSE()),0)</f>
        <v>0</v>
      </c>
      <c r="AN370" s="39">
        <f>IFERROR(VLOOKUP("23_"&amp;A370,SyS!$B:$P,12,FALSE()),0)</f>
        <v>0</v>
      </c>
      <c r="AO370" s="40">
        <f>+AM370-AN370</f>
        <v>0</v>
      </c>
      <c r="AP370" s="39"/>
      <c r="AQ370" s="39"/>
      <c r="AR370" s="39"/>
      <c r="AS370" s="39"/>
      <c r="AT370" s="39"/>
      <c r="AU370" s="39"/>
      <c r="AV370" s="39"/>
      <c r="AW370" s="39"/>
      <c r="AX370" s="39"/>
      <c r="AY370" s="39"/>
      <c r="AZ370" s="39"/>
      <c r="BA370" s="39"/>
      <c r="BB370" s="39"/>
      <c r="BC370" s="39"/>
      <c r="BD370" s="39"/>
      <c r="BE370" s="39"/>
      <c r="BF370" s="39"/>
      <c r="BG370" s="39"/>
      <c r="BH370" s="39"/>
      <c r="BI370" s="39"/>
      <c r="BJ370" s="39"/>
      <c r="BK370" s="39">
        <f>IFERROR(VLOOKUP("29_"&amp;A370,SyS!$B:$P,10,FALSE()),0)</f>
        <v>0</v>
      </c>
      <c r="BL370" s="39">
        <f>IFERROR(VLOOKUP("29_"&amp;A370,SyS!$B:$P,12,FALSE()),0)</f>
        <v>0</v>
      </c>
      <c r="BM370" s="39">
        <f>+BK370-BL370</f>
        <v>0</v>
      </c>
      <c r="BN370" s="38">
        <f>IFERROR(VLOOKUP("30_"&amp;A370,SyS!$B:$P,10,FALSE()),0)</f>
        <v>0</v>
      </c>
      <c r="BO370" s="39">
        <f>IFERROR(VLOOKUP("30_"&amp;A370,SyS!$B:$P,12,FALSE()),0)</f>
        <v>0</v>
      </c>
      <c r="BP370" s="40">
        <f>+BN370-BO370</f>
        <v>0</v>
      </c>
      <c r="BQ370" s="45">
        <f>+E370+H370+K370+Q370+T370+W370+Z370+AC370+AF370+AI370+AL370+AO370+AR370+AU370+AX370+BA370+BD370+BG370+BJ370+BM370+BP370</f>
        <v>0</v>
      </c>
    </row>
    <row r="371" ht="11.25" customHeight="1" spans="1:69" x14ac:dyDescent="0.25">
      <c r="A371" s="18">
        <v>429910000</v>
      </c>
      <c r="B371" s="18" t="s">
        <v>599</v>
      </c>
      <c r="C371" s="38">
        <f>IFERROR(VLOOKUP("1_"&amp;A371,SyS!$B:$P,10,FALSE()),0)</f>
        <v>0</v>
      </c>
      <c r="D371" s="39">
        <f>IFERROR(VLOOKUP("1_"&amp;A371,SyS!$B:$P,12,FALSE()),0)</f>
        <v>0</v>
      </c>
      <c r="E371" s="39">
        <f>+C371-D371</f>
        <v>0</v>
      </c>
      <c r="F371" s="38">
        <f>IFERROR(VLOOKUP("2_"&amp;A371,SyS!$B:$P,10,FALSE()),0)</f>
        <v>0</v>
      </c>
      <c r="G371" s="39">
        <f>IFERROR(VLOOKUP("2_"&amp;A371,SyS!$B:$P,12,FALSE()),0)</f>
        <v>0</v>
      </c>
      <c r="H371" s="40">
        <f>+F371-G371</f>
        <v>0</v>
      </c>
      <c r="I371" s="39"/>
      <c r="J371" s="39"/>
      <c r="K371" s="39"/>
      <c r="L371" s="39"/>
      <c r="M371" s="39"/>
      <c r="N371" s="39"/>
      <c r="O371" s="38">
        <f>IFERROR(VLOOKUP("14_"&amp;A371,SyS!$B:$P,10,FALSE()),0)</f>
        <v>0</v>
      </c>
      <c r="P371" s="39">
        <f>IFERROR(VLOOKUP("14_"&amp;A371,SyS!$B:$P,12,FALSE()),0)</f>
        <v>0</v>
      </c>
      <c r="Q371" s="40">
        <f>+O371-P371</f>
        <v>0</v>
      </c>
      <c r="R371" s="38">
        <f>IFERROR(VLOOKUP("15_"&amp;A371,SyS!$B:$P,10,FALSE()),0)</f>
        <v>0</v>
      </c>
      <c r="S371" s="39">
        <f>IFERROR(VLOOKUP("15_"&amp;A371,SyS!$B:$P,12,FALSE()),0)</f>
        <v>0</v>
      </c>
      <c r="T371" s="40">
        <f>+R371-S371</f>
        <v>0</v>
      </c>
      <c r="U371" s="38">
        <f>IFERROR(VLOOKUP("16_"&amp;A371,SyS!$B:$P,10,FALSE()),0)</f>
        <v>0</v>
      </c>
      <c r="V371" s="39">
        <f>IFERROR(VLOOKUP("16_"&amp;A371,SyS!$B:$P,12,FALSE()),0)</f>
        <v>0</v>
      </c>
      <c r="W371" s="40">
        <f>+U371-V371</f>
        <v>0</v>
      </c>
      <c r="X371" s="38">
        <f>IFERROR(VLOOKUP("13_"&amp;A371,SyS!$B:$P,10,FALSE()),0)</f>
        <v>0</v>
      </c>
      <c r="Y371" s="39">
        <f>IFERROR(VLOOKUP("13_"&amp;A371,SyS!$B:$P,12,FALSE()),0)</f>
        <v>0</v>
      </c>
      <c r="Z371" s="40">
        <f>+X371-Y371</f>
        <v>0</v>
      </c>
      <c r="AA371" s="38">
        <f>IFERROR(VLOOKUP("17_"&amp;A371,SyS!$B:$P,10,FALSE()),0)</f>
        <v>0</v>
      </c>
      <c r="AB371" s="39">
        <f>IFERROR(VLOOKUP("17_"&amp;A371,SyS!$B:$P,12,FALSE()),0)</f>
        <v>0</v>
      </c>
      <c r="AC371" s="40">
        <f>+AA371-AB371</f>
        <v>0</v>
      </c>
      <c r="AD371" s="39"/>
      <c r="AE371" s="39"/>
      <c r="AF371" s="39"/>
      <c r="AG371" s="39">
        <f>IFERROR(VLOOKUP("19_"&amp;A371,SyS!$B:$P,10,FALSE()),0)</f>
        <v>0</v>
      </c>
      <c r="AH371" s="39">
        <f>IFERROR(VLOOKUP("19_"&amp;A371,SyS!$B:$P,12,FALSE()),0)</f>
        <v>0</v>
      </c>
      <c r="AI371" s="39">
        <f>+AG371-AH371</f>
        <v>0</v>
      </c>
      <c r="AJ371" s="39"/>
      <c r="AK371" s="39"/>
      <c r="AL371" s="39"/>
      <c r="AM371" s="38">
        <f>IFERROR(VLOOKUP("23_"&amp;A371,SyS!$B:$P,10,FALSE()),0)</f>
        <v>0</v>
      </c>
      <c r="AN371" s="39">
        <f>IFERROR(VLOOKUP("23_"&amp;A371,SyS!$B:$P,12,FALSE()),0)</f>
        <v>0</v>
      </c>
      <c r="AO371" s="40">
        <f>+AM371-AN371</f>
        <v>0</v>
      </c>
      <c r="AP371" s="39"/>
      <c r="AQ371" s="39"/>
      <c r="AR371" s="39"/>
      <c r="AS371" s="39"/>
      <c r="AT371" s="39"/>
      <c r="AU371" s="39"/>
      <c r="AV371" s="39"/>
      <c r="AW371" s="39"/>
      <c r="AX371" s="39"/>
      <c r="AY371" s="39"/>
      <c r="AZ371" s="39"/>
      <c r="BA371" s="39"/>
      <c r="BB371" s="39"/>
      <c r="BC371" s="39"/>
      <c r="BD371" s="39"/>
      <c r="BE371" s="39"/>
      <c r="BF371" s="39"/>
      <c r="BG371" s="39"/>
      <c r="BH371" s="39"/>
      <c r="BI371" s="39"/>
      <c r="BJ371" s="39"/>
      <c r="BK371" s="39">
        <f>IFERROR(VLOOKUP("29_"&amp;A371,SyS!$B:$P,10,FALSE()),0)</f>
        <v>0</v>
      </c>
      <c r="BL371" s="39">
        <f>IFERROR(VLOOKUP("29_"&amp;A371,SyS!$B:$P,12,FALSE()),0)</f>
        <v>0</v>
      </c>
      <c r="BM371" s="39">
        <f>+BK371-BL371</f>
        <v>0</v>
      </c>
      <c r="BN371" s="38">
        <f>IFERROR(VLOOKUP("30_"&amp;A371,SyS!$B:$P,10,FALSE()),0)</f>
        <v>0</v>
      </c>
      <c r="BO371" s="39">
        <f>IFERROR(VLOOKUP("30_"&amp;A371,SyS!$B:$P,12,FALSE()),0)</f>
        <v>0</v>
      </c>
      <c r="BP371" s="40">
        <f>+BN371-BO371</f>
        <v>0</v>
      </c>
      <c r="BQ371" s="45">
        <f>+E371+H371+K371+Q371+T371+W371+Z371+AC371+AF371+AI371+AL371+AO371+AR371+AU371+AX371+BA371+BD371+BG371+BJ371+BM371+BP371</f>
        <v>0</v>
      </c>
    </row>
    <row r="372" ht="11.25" customHeight="1" spans="1:69" x14ac:dyDescent="0.25">
      <c r="A372" s="18">
        <v>429920000</v>
      </c>
      <c r="B372" s="18" t="s">
        <v>600</v>
      </c>
      <c r="C372" s="38">
        <f>IFERROR(VLOOKUP("1_"&amp;A372,SyS!$B:$P,10,FALSE()),0)</f>
        <v>0</v>
      </c>
      <c r="D372" s="39">
        <f>IFERROR(VLOOKUP("1_"&amp;A372,SyS!$B:$P,12,FALSE()),0)</f>
        <v>0</v>
      </c>
      <c r="E372" s="39">
        <f>+C372-D372</f>
        <v>0</v>
      </c>
      <c r="F372" s="38">
        <f>IFERROR(VLOOKUP("2_"&amp;A372,SyS!$B:$P,10,FALSE()),0)</f>
        <v>0</v>
      </c>
      <c r="G372" s="39">
        <f>IFERROR(VLOOKUP("2_"&amp;A372,SyS!$B:$P,12,FALSE()),0)</f>
        <v>0</v>
      </c>
      <c r="H372" s="40">
        <f>+F372-G372</f>
        <v>0</v>
      </c>
      <c r="I372" s="39"/>
      <c r="J372" s="39"/>
      <c r="K372" s="39"/>
      <c r="L372" s="39"/>
      <c r="M372" s="39"/>
      <c r="N372" s="39"/>
      <c r="O372" s="38">
        <f>IFERROR(VLOOKUP("14_"&amp;A372,SyS!$B:$P,10,FALSE()),0)</f>
        <v>0</v>
      </c>
      <c r="P372" s="39">
        <f>IFERROR(VLOOKUP("14_"&amp;A372,SyS!$B:$P,12,FALSE()),0)</f>
        <v>0</v>
      </c>
      <c r="Q372" s="40">
        <f>+O372-P372</f>
        <v>0</v>
      </c>
      <c r="R372" s="38">
        <f>IFERROR(VLOOKUP("15_"&amp;A372,SyS!$B:$P,10,FALSE()),0)</f>
        <v>0</v>
      </c>
      <c r="S372" s="39">
        <f>IFERROR(VLOOKUP("15_"&amp;A372,SyS!$B:$P,12,FALSE()),0)</f>
        <v>0</v>
      </c>
      <c r="T372" s="40">
        <f>+R372-S372</f>
        <v>0</v>
      </c>
      <c r="U372" s="38">
        <f>IFERROR(VLOOKUP("16_"&amp;A372,SyS!$B:$P,10,FALSE()),0)</f>
        <v>0</v>
      </c>
      <c r="V372" s="39">
        <f>IFERROR(VLOOKUP("16_"&amp;A372,SyS!$B:$P,12,FALSE()),0)</f>
        <v>0</v>
      </c>
      <c r="W372" s="40">
        <f>+U372-V372</f>
        <v>0</v>
      </c>
      <c r="X372" s="38">
        <f>IFERROR(VLOOKUP("13_"&amp;A372,SyS!$B:$P,10,FALSE()),0)</f>
        <v>0</v>
      </c>
      <c r="Y372" s="39">
        <f>IFERROR(VLOOKUP("13_"&amp;A372,SyS!$B:$P,12,FALSE()),0)</f>
        <v>0</v>
      </c>
      <c r="Z372" s="40">
        <f>+X372-Y372</f>
        <v>0</v>
      </c>
      <c r="AA372" s="38">
        <f>IFERROR(VLOOKUP("17_"&amp;A372,SyS!$B:$P,10,FALSE()),0)</f>
        <v>0</v>
      </c>
      <c r="AB372" s="39">
        <f>IFERROR(VLOOKUP("17_"&amp;A372,SyS!$B:$P,12,FALSE()),0)</f>
        <v>0</v>
      </c>
      <c r="AC372" s="40">
        <f>+AA372-AB372</f>
        <v>0</v>
      </c>
      <c r="AD372" s="39"/>
      <c r="AE372" s="39"/>
      <c r="AF372" s="39"/>
      <c r="AG372" s="39">
        <f>IFERROR(VLOOKUP("19_"&amp;A372,SyS!$B:$P,10,FALSE()),0)</f>
        <v>0</v>
      </c>
      <c r="AH372" s="39">
        <f>IFERROR(VLOOKUP("19_"&amp;A372,SyS!$B:$P,12,FALSE()),0)</f>
        <v>0</v>
      </c>
      <c r="AI372" s="39">
        <f>+AG372-AH372</f>
        <v>0</v>
      </c>
      <c r="AJ372" s="39"/>
      <c r="AK372" s="39"/>
      <c r="AL372" s="39"/>
      <c r="AM372" s="38">
        <f>IFERROR(VLOOKUP("23_"&amp;A372,SyS!$B:$P,10,FALSE()),0)</f>
        <v>0</v>
      </c>
      <c r="AN372" s="39">
        <f>IFERROR(VLOOKUP("23_"&amp;A372,SyS!$B:$P,12,FALSE()),0)</f>
        <v>0</v>
      </c>
      <c r="AO372" s="40">
        <f>+AM372-AN372</f>
        <v>0</v>
      </c>
      <c r="AP372" s="39"/>
      <c r="AQ372" s="39"/>
      <c r="AR372" s="39"/>
      <c r="AS372" s="39"/>
      <c r="AT372" s="39"/>
      <c r="AU372" s="39"/>
      <c r="AV372" s="39"/>
      <c r="AW372" s="39"/>
      <c r="AX372" s="39"/>
      <c r="AY372" s="39"/>
      <c r="AZ372" s="39"/>
      <c r="BA372" s="39"/>
      <c r="BB372" s="39"/>
      <c r="BC372" s="39"/>
      <c r="BD372" s="39"/>
      <c r="BE372" s="39"/>
      <c r="BF372" s="39"/>
      <c r="BG372" s="39"/>
      <c r="BH372" s="39"/>
      <c r="BI372" s="39"/>
      <c r="BJ372" s="39"/>
      <c r="BK372" s="39">
        <f>IFERROR(VLOOKUP("29_"&amp;A372,SyS!$B:$P,10,FALSE()),0)</f>
        <v>0</v>
      </c>
      <c r="BL372" s="39">
        <f>IFERROR(VLOOKUP("29_"&amp;A372,SyS!$B:$P,12,FALSE()),0)</f>
        <v>0</v>
      </c>
      <c r="BM372" s="39">
        <f>+BK372-BL372</f>
        <v>0</v>
      </c>
      <c r="BN372" s="38">
        <f>IFERROR(VLOOKUP("30_"&amp;A372,SyS!$B:$P,10,FALSE()),0)</f>
        <v>0</v>
      </c>
      <c r="BO372" s="39">
        <f>IFERROR(VLOOKUP("30_"&amp;A372,SyS!$B:$P,12,FALSE()),0)</f>
        <v>0</v>
      </c>
      <c r="BP372" s="40">
        <f>+BN372-BO372</f>
        <v>0</v>
      </c>
      <c r="BQ372" s="45">
        <f>+E372+H372+K372+Q372+T372+W372+Z372+AC372+AF372+AI372+AL372+AO372+AR372+AU372+AX372+BA372+BD372+BG372+BJ372+BM372+BP372</f>
        <v>0</v>
      </c>
    </row>
    <row r="373" ht="11.25" customHeight="1" spans="1:69" x14ac:dyDescent="0.25">
      <c r="A373" s="18">
        <v>429210000</v>
      </c>
      <c r="B373" s="18" t="s">
        <v>601</v>
      </c>
      <c r="C373" s="38">
        <f>IFERROR(VLOOKUP("1_"&amp;A373,SyS!$B:$P,10,FALSE()),0)</f>
        <v>0</v>
      </c>
      <c r="D373" s="39">
        <f>IFERROR(VLOOKUP("1_"&amp;A373,SyS!$B:$P,12,FALSE()),0)</f>
        <v>0</v>
      </c>
      <c r="E373" s="39">
        <f>+C373-D373</f>
        <v>0</v>
      </c>
      <c r="F373" s="38">
        <f>IFERROR(VLOOKUP("2_"&amp;A373,SyS!$B:$P,10,FALSE()),0)</f>
        <v>0</v>
      </c>
      <c r="G373" s="39">
        <f>IFERROR(VLOOKUP("2_"&amp;A373,SyS!$B:$P,12,FALSE()),0)</f>
        <v>0</v>
      </c>
      <c r="H373" s="40">
        <f>+F373-G373</f>
        <v>0</v>
      </c>
      <c r="I373" s="39"/>
      <c r="J373" s="39"/>
      <c r="K373" s="39"/>
      <c r="L373" s="39"/>
      <c r="M373" s="39"/>
      <c r="N373" s="39"/>
      <c r="O373" s="38">
        <f>IFERROR(VLOOKUP("14_"&amp;A373,SyS!$B:$P,10,FALSE()),0)</f>
        <v>0</v>
      </c>
      <c r="P373" s="39">
        <f>IFERROR(VLOOKUP("14_"&amp;A373,SyS!$B:$P,12,FALSE()),0)</f>
        <v>0</v>
      </c>
      <c r="Q373" s="40">
        <f>+O373-P373</f>
        <v>0</v>
      </c>
      <c r="R373" s="38">
        <f>IFERROR(VLOOKUP("15_"&amp;A373,SyS!$B:$P,10,FALSE()),0)</f>
        <v>0</v>
      </c>
      <c r="S373" s="39">
        <f>IFERROR(VLOOKUP("15_"&amp;A373,SyS!$B:$P,12,FALSE()),0)</f>
        <v>0</v>
      </c>
      <c r="T373" s="40">
        <f>+R373-S373</f>
        <v>0</v>
      </c>
      <c r="U373" s="38">
        <f>IFERROR(VLOOKUP("16_"&amp;A373,SyS!$B:$P,10,FALSE()),0)</f>
        <v>0</v>
      </c>
      <c r="V373" s="39">
        <f>IFERROR(VLOOKUP("16_"&amp;A373,SyS!$B:$P,12,FALSE()),0)</f>
        <v>0</v>
      </c>
      <c r="W373" s="40">
        <f>+U373-V373</f>
        <v>0</v>
      </c>
      <c r="X373" s="38">
        <f>IFERROR(VLOOKUP("13_"&amp;A373,SyS!$B:$P,10,FALSE()),0)</f>
        <v>0</v>
      </c>
      <c r="Y373" s="39">
        <f>IFERROR(VLOOKUP("13_"&amp;A373,SyS!$B:$P,12,FALSE()),0)</f>
        <v>0</v>
      </c>
      <c r="Z373" s="40">
        <f>+X373-Y373</f>
        <v>0</v>
      </c>
      <c r="AA373" s="38">
        <f>IFERROR(VLOOKUP("17_"&amp;A373,SyS!$B:$P,10,FALSE()),0)</f>
        <v>0</v>
      </c>
      <c r="AB373" s="39">
        <f>IFERROR(VLOOKUP("17_"&amp;A373,SyS!$B:$P,12,FALSE()),0)</f>
        <v>0</v>
      </c>
      <c r="AC373" s="40">
        <f>+AA373-AB373</f>
        <v>0</v>
      </c>
      <c r="AD373" s="39"/>
      <c r="AE373" s="39"/>
      <c r="AF373" s="39"/>
      <c r="AG373" s="39">
        <f>IFERROR(VLOOKUP("19_"&amp;A373,SyS!$B:$P,10,FALSE()),0)</f>
        <v>0</v>
      </c>
      <c r="AH373" s="39">
        <f>IFERROR(VLOOKUP("19_"&amp;A373,SyS!$B:$P,12,FALSE()),0)</f>
        <v>0</v>
      </c>
      <c r="AI373" s="39">
        <f>+AG373-AH373</f>
        <v>0</v>
      </c>
      <c r="AJ373" s="39"/>
      <c r="AK373" s="39"/>
      <c r="AL373" s="39"/>
      <c r="AM373" s="38">
        <f>IFERROR(VLOOKUP("23_"&amp;A373,SyS!$B:$P,10,FALSE()),0)</f>
        <v>0</v>
      </c>
      <c r="AN373" s="39">
        <f>IFERROR(VLOOKUP("23_"&amp;A373,SyS!$B:$P,12,FALSE()),0)</f>
        <v>0</v>
      </c>
      <c r="AO373" s="40">
        <f>+AM373-AN373</f>
        <v>0</v>
      </c>
      <c r="AP373" s="39"/>
      <c r="AQ373" s="39"/>
      <c r="AR373" s="39"/>
      <c r="AS373" s="39"/>
      <c r="AT373" s="39"/>
      <c r="AU373" s="39"/>
      <c r="AV373" s="39"/>
      <c r="AW373" s="39"/>
      <c r="AX373" s="39"/>
      <c r="AY373" s="39"/>
      <c r="AZ373" s="39"/>
      <c r="BA373" s="39"/>
      <c r="BB373" s="39"/>
      <c r="BC373" s="39"/>
      <c r="BD373" s="39"/>
      <c r="BE373" s="39"/>
      <c r="BF373" s="39"/>
      <c r="BG373" s="39"/>
      <c r="BH373" s="39"/>
      <c r="BI373" s="39"/>
      <c r="BJ373" s="39"/>
      <c r="BK373" s="39">
        <f>IFERROR(VLOOKUP("29_"&amp;A373,SyS!$B:$P,10,FALSE()),0)</f>
        <v>0</v>
      </c>
      <c r="BL373" s="39">
        <f>IFERROR(VLOOKUP("29_"&amp;A373,SyS!$B:$P,12,FALSE()),0)</f>
        <v>0</v>
      </c>
      <c r="BM373" s="39">
        <f>+BK373-BL373</f>
        <v>0</v>
      </c>
      <c r="BN373" s="38">
        <f>IFERROR(VLOOKUP("30_"&amp;A373,SyS!$B:$P,10,FALSE()),0)</f>
        <v>0</v>
      </c>
      <c r="BO373" s="39">
        <f>IFERROR(VLOOKUP("30_"&amp;A373,SyS!$B:$P,12,FALSE()),0)</f>
        <v>0</v>
      </c>
      <c r="BP373" s="40">
        <f>+BN373-BO373</f>
        <v>0</v>
      </c>
      <c r="BQ373" s="45">
        <f>+E373+H373+K373+Q373+T373+W373+Z373+AC373+AF373+AI373+AL373+AO373+AR373+AU373+AX373+BA373+BD373+BG373+BJ373+BM373+BP373</f>
        <v>0</v>
      </c>
    </row>
    <row r="374" ht="11.25" customHeight="1" spans="1:69" x14ac:dyDescent="0.25">
      <c r="A374" s="18">
        <v>429220000</v>
      </c>
      <c r="B374" s="18" t="s">
        <v>602</v>
      </c>
      <c r="C374" s="38">
        <f>IFERROR(VLOOKUP("1_"&amp;A374,SyS!$B:$P,10,FALSE()),0)</f>
        <v>0</v>
      </c>
      <c r="D374" s="39">
        <f>IFERROR(VLOOKUP("1_"&amp;A374,SyS!$B:$P,12,FALSE()),0)</f>
        <v>0</v>
      </c>
      <c r="E374" s="39">
        <f>+C374-D374</f>
        <v>0</v>
      </c>
      <c r="F374" s="38">
        <f>IFERROR(VLOOKUP("2_"&amp;A374,SyS!$B:$P,10,FALSE()),0)</f>
        <v>0</v>
      </c>
      <c r="G374" s="39">
        <f>IFERROR(VLOOKUP("2_"&amp;A374,SyS!$B:$P,12,FALSE()),0)</f>
        <v>0</v>
      </c>
      <c r="H374" s="40">
        <f>+F374-G374</f>
        <v>0</v>
      </c>
      <c r="I374" s="39"/>
      <c r="J374" s="39"/>
      <c r="K374" s="39"/>
      <c r="L374" s="39"/>
      <c r="M374" s="39"/>
      <c r="N374" s="39"/>
      <c r="O374" s="38">
        <f>IFERROR(VLOOKUP("14_"&amp;A374,SyS!$B:$P,10,FALSE()),0)</f>
        <v>0</v>
      </c>
      <c r="P374" s="39">
        <f>IFERROR(VLOOKUP("14_"&amp;A374,SyS!$B:$P,12,FALSE()),0)</f>
        <v>0</v>
      </c>
      <c r="Q374" s="40">
        <f>+O374-P374</f>
        <v>0</v>
      </c>
      <c r="R374" s="38">
        <f>IFERROR(VLOOKUP("15_"&amp;A374,SyS!$B:$P,10,FALSE()),0)</f>
        <v>0</v>
      </c>
      <c r="S374" s="39">
        <f>IFERROR(VLOOKUP("15_"&amp;A374,SyS!$B:$P,12,FALSE()),0)</f>
        <v>0</v>
      </c>
      <c r="T374" s="40">
        <f>+R374-S374</f>
        <v>0</v>
      </c>
      <c r="U374" s="38">
        <f>IFERROR(VLOOKUP("16_"&amp;A374,SyS!$B:$P,10,FALSE()),0)</f>
        <v>0</v>
      </c>
      <c r="V374" s="39">
        <f>IFERROR(VLOOKUP("16_"&amp;A374,SyS!$B:$P,12,FALSE()),0)</f>
        <v>0</v>
      </c>
      <c r="W374" s="40">
        <f>+U374-V374</f>
        <v>0</v>
      </c>
      <c r="X374" s="38">
        <f>IFERROR(VLOOKUP("13_"&amp;A374,SyS!$B:$P,10,FALSE()),0)</f>
        <v>0</v>
      </c>
      <c r="Y374" s="39">
        <f>IFERROR(VLOOKUP("13_"&amp;A374,SyS!$B:$P,12,FALSE()),0)</f>
        <v>0</v>
      </c>
      <c r="Z374" s="40">
        <f>+X374-Y374</f>
        <v>0</v>
      </c>
      <c r="AA374" s="38">
        <f>IFERROR(VLOOKUP("17_"&amp;A374,SyS!$B:$P,10,FALSE()),0)</f>
        <v>0</v>
      </c>
      <c r="AB374" s="39">
        <f>IFERROR(VLOOKUP("17_"&amp;A374,SyS!$B:$P,12,FALSE()),0)</f>
        <v>0</v>
      </c>
      <c r="AC374" s="40">
        <f>+AA374-AB374</f>
        <v>0</v>
      </c>
      <c r="AD374" s="39"/>
      <c r="AE374" s="39"/>
      <c r="AF374" s="39"/>
      <c r="AG374" s="39">
        <f>IFERROR(VLOOKUP("19_"&amp;A374,SyS!$B:$P,10,FALSE()),0)</f>
        <v>0</v>
      </c>
      <c r="AH374" s="39">
        <f>IFERROR(VLOOKUP("19_"&amp;A374,SyS!$B:$P,12,FALSE()),0)</f>
        <v>0</v>
      </c>
      <c r="AI374" s="39">
        <f>+AG374-AH374</f>
        <v>0</v>
      </c>
      <c r="AJ374" s="39"/>
      <c r="AK374" s="39"/>
      <c r="AL374" s="39"/>
      <c r="AM374" s="38">
        <f>IFERROR(VLOOKUP("23_"&amp;A374,SyS!$B:$P,10,FALSE()),0)</f>
        <v>0</v>
      </c>
      <c r="AN374" s="39">
        <f>IFERROR(VLOOKUP("23_"&amp;A374,SyS!$B:$P,12,FALSE()),0)</f>
        <v>0</v>
      </c>
      <c r="AO374" s="40">
        <f>+AM374-AN374</f>
        <v>0</v>
      </c>
      <c r="AP374" s="39"/>
      <c r="AQ374" s="39"/>
      <c r="AR374" s="39"/>
      <c r="AS374" s="39"/>
      <c r="AT374" s="39"/>
      <c r="AU374" s="39"/>
      <c r="AV374" s="39"/>
      <c r="AW374" s="39"/>
      <c r="AX374" s="39"/>
      <c r="AY374" s="39"/>
      <c r="AZ374" s="39"/>
      <c r="BA374" s="39"/>
      <c r="BB374" s="39"/>
      <c r="BC374" s="39"/>
      <c r="BD374" s="39"/>
      <c r="BE374" s="39"/>
      <c r="BF374" s="39"/>
      <c r="BG374" s="39"/>
      <c r="BH374" s="39"/>
      <c r="BI374" s="39"/>
      <c r="BJ374" s="39"/>
      <c r="BK374" s="39">
        <f>IFERROR(VLOOKUP("29_"&amp;A374,SyS!$B:$P,10,FALSE()),0)</f>
        <v>0</v>
      </c>
      <c r="BL374" s="39">
        <f>IFERROR(VLOOKUP("29_"&amp;A374,SyS!$B:$P,12,FALSE()),0)</f>
        <v>0</v>
      </c>
      <c r="BM374" s="39">
        <f>+BK374-BL374</f>
        <v>0</v>
      </c>
      <c r="BN374" s="38">
        <f>IFERROR(VLOOKUP("30_"&amp;A374,SyS!$B:$P,10,FALSE()),0)</f>
        <v>0</v>
      </c>
      <c r="BO374" s="39">
        <f>IFERROR(VLOOKUP("30_"&amp;A374,SyS!$B:$P,12,FALSE()),0)</f>
        <v>0</v>
      </c>
      <c r="BP374" s="40">
        <f>+BN374-BO374</f>
        <v>0</v>
      </c>
      <c r="BQ374" s="45">
        <f>+E374+H374+K374+Q374+T374+W374+Z374+AC374+AF374+AI374+AL374+AO374+AR374+AU374+AX374+BA374+BD374+BG374+BJ374+BM374+BP374</f>
        <v>0</v>
      </c>
    </row>
    <row r="375" ht="11.25" customHeight="1" spans="1:69" x14ac:dyDescent="0.25">
      <c r="A375" s="18">
        <v>429110000</v>
      </c>
      <c r="B375" s="18" t="s">
        <v>603</v>
      </c>
      <c r="C375" s="38">
        <f>IFERROR(VLOOKUP("1_"&amp;A375,SyS!$B:$P,10,FALSE()),0)</f>
        <v>0</v>
      </c>
      <c r="D375" s="39">
        <f>IFERROR(VLOOKUP("1_"&amp;A375,SyS!$B:$P,12,FALSE()),0)</f>
        <v>0</v>
      </c>
      <c r="E375" s="39">
        <f>+C375-D375</f>
        <v>0</v>
      </c>
      <c r="F375" s="38">
        <f>IFERROR(VLOOKUP("2_"&amp;A375,SyS!$B:$P,10,FALSE()),0)</f>
        <v>0</v>
      </c>
      <c r="G375" s="39">
        <f>IFERROR(VLOOKUP("2_"&amp;A375,SyS!$B:$P,12,FALSE()),0)</f>
        <v>0</v>
      </c>
      <c r="H375" s="40">
        <f>+F375-G375</f>
        <v>0</v>
      </c>
      <c r="I375" s="39"/>
      <c r="J375" s="39"/>
      <c r="K375" s="39"/>
      <c r="L375" s="39"/>
      <c r="M375" s="39"/>
      <c r="N375" s="39"/>
      <c r="O375" s="38">
        <f>IFERROR(VLOOKUP("14_"&amp;A375,SyS!$B:$P,10,FALSE()),0)</f>
        <v>0</v>
      </c>
      <c r="P375" s="39">
        <f>IFERROR(VLOOKUP("14_"&amp;A375,SyS!$B:$P,12,FALSE()),0)</f>
        <v>0</v>
      </c>
      <c r="Q375" s="40">
        <f>+O375-P375</f>
        <v>0</v>
      </c>
      <c r="R375" s="38">
        <f>IFERROR(VLOOKUP("15_"&amp;A375,SyS!$B:$P,10,FALSE()),0)</f>
        <v>0</v>
      </c>
      <c r="S375" s="39">
        <f>IFERROR(VLOOKUP("15_"&amp;A375,SyS!$B:$P,12,FALSE()),0)</f>
        <v>0</v>
      </c>
      <c r="T375" s="40">
        <f>+R375-S375</f>
        <v>0</v>
      </c>
      <c r="U375" s="38">
        <f>IFERROR(VLOOKUP("16_"&amp;A375,SyS!$B:$P,10,FALSE()),0)</f>
        <v>0</v>
      </c>
      <c r="V375" s="39">
        <f>IFERROR(VLOOKUP("16_"&amp;A375,SyS!$B:$P,12,FALSE()),0)</f>
        <v>0</v>
      </c>
      <c r="W375" s="40">
        <f>+U375-V375</f>
        <v>0</v>
      </c>
      <c r="X375" s="38">
        <f>IFERROR(VLOOKUP("13_"&amp;A375,SyS!$B:$P,10,FALSE()),0)</f>
        <v>0</v>
      </c>
      <c r="Y375" s="39">
        <f>IFERROR(VLOOKUP("13_"&amp;A375,SyS!$B:$P,12,FALSE()),0)</f>
        <v>0</v>
      </c>
      <c r="Z375" s="40">
        <f>+X375-Y375</f>
        <v>0</v>
      </c>
      <c r="AA375" s="38">
        <f>IFERROR(VLOOKUP("17_"&amp;A375,SyS!$B:$P,10,FALSE()),0)</f>
        <v>0</v>
      </c>
      <c r="AB375" s="39">
        <f>IFERROR(VLOOKUP("17_"&amp;A375,SyS!$B:$P,12,FALSE()),0)</f>
        <v>0</v>
      </c>
      <c r="AC375" s="40">
        <f>+AA375-AB375</f>
        <v>0</v>
      </c>
      <c r="AD375" s="39"/>
      <c r="AE375" s="39"/>
      <c r="AF375" s="39"/>
      <c r="AG375" s="39">
        <f>IFERROR(VLOOKUP("19_"&amp;A375,SyS!$B:$P,10,FALSE()),0)</f>
        <v>0</v>
      </c>
      <c r="AH375" s="39">
        <f>IFERROR(VLOOKUP("19_"&amp;A375,SyS!$B:$P,12,FALSE()),0)</f>
        <v>0</v>
      </c>
      <c r="AI375" s="39">
        <f>+AG375-AH375</f>
        <v>0</v>
      </c>
      <c r="AJ375" s="39"/>
      <c r="AK375" s="39"/>
      <c r="AL375" s="39"/>
      <c r="AM375" s="38">
        <f>IFERROR(VLOOKUP("23_"&amp;A375,SyS!$B:$P,10,FALSE()),0)</f>
        <v>0</v>
      </c>
      <c r="AN375" s="39">
        <f>IFERROR(VLOOKUP("23_"&amp;A375,SyS!$B:$P,12,FALSE()),0)</f>
        <v>0</v>
      </c>
      <c r="AO375" s="40">
        <f>+AM375-AN375</f>
        <v>0</v>
      </c>
      <c r="AP375" s="39"/>
      <c r="AQ375" s="39"/>
      <c r="AR375" s="39"/>
      <c r="AS375" s="39"/>
      <c r="AT375" s="39"/>
      <c r="AU375" s="39"/>
      <c r="AV375" s="39"/>
      <c r="AW375" s="39"/>
      <c r="AX375" s="39"/>
      <c r="AY375" s="39"/>
      <c r="AZ375" s="39"/>
      <c r="BA375" s="39"/>
      <c r="BB375" s="39"/>
      <c r="BC375" s="39"/>
      <c r="BD375" s="39"/>
      <c r="BE375" s="39"/>
      <c r="BF375" s="39"/>
      <c r="BG375" s="39"/>
      <c r="BH375" s="39"/>
      <c r="BI375" s="39"/>
      <c r="BJ375" s="39"/>
      <c r="BK375" s="39">
        <f>IFERROR(VLOOKUP("29_"&amp;A375,SyS!$B:$P,10,FALSE()),0)</f>
        <v>0</v>
      </c>
      <c r="BL375" s="39">
        <f>IFERROR(VLOOKUP("29_"&amp;A375,SyS!$B:$P,12,FALSE()),0)</f>
        <v>0</v>
      </c>
      <c r="BM375" s="39">
        <f>+BK375-BL375</f>
        <v>0</v>
      </c>
      <c r="BN375" s="38">
        <f>IFERROR(VLOOKUP("30_"&amp;A375,SyS!$B:$P,10,FALSE()),0)</f>
        <v>0</v>
      </c>
      <c r="BO375" s="39">
        <f>IFERROR(VLOOKUP("30_"&amp;A375,SyS!$B:$P,12,FALSE()),0)</f>
        <v>0</v>
      </c>
      <c r="BP375" s="40">
        <f>+BN375-BO375</f>
        <v>0</v>
      </c>
      <c r="BQ375" s="45">
        <f>+E375+H375+K375+Q375+T375+W375+Z375+AC375+AF375+AI375+AL375+AO375+AR375+AU375+AX375+BA375+BD375+BG375+BJ375+BM375+BP375</f>
        <v>0</v>
      </c>
    </row>
    <row r="376" ht="11.25" customHeight="1" spans="1:69" x14ac:dyDescent="0.25">
      <c r="A376" s="18">
        <v>429240000</v>
      </c>
      <c r="B376" s="18" t="s">
        <v>604</v>
      </c>
      <c r="C376" s="38">
        <f>IFERROR(VLOOKUP("1_"&amp;A376,SyS!$B:$P,10,FALSE()),0)</f>
        <v>0</v>
      </c>
      <c r="D376" s="39">
        <f>IFERROR(VLOOKUP("1_"&amp;A376,SyS!$B:$P,12,FALSE()),0)</f>
        <v>0</v>
      </c>
      <c r="E376" s="39">
        <f>+C376-D376</f>
        <v>0</v>
      </c>
      <c r="F376" s="38">
        <f>IFERROR(VLOOKUP("2_"&amp;A376,SyS!$B:$P,10,FALSE()),0)</f>
        <v>0</v>
      </c>
      <c r="G376" s="39">
        <f>IFERROR(VLOOKUP("2_"&amp;A376,SyS!$B:$P,12,FALSE()),0)</f>
        <v>0</v>
      </c>
      <c r="H376" s="40">
        <f>+F376-G376</f>
        <v>0</v>
      </c>
      <c r="I376" s="39"/>
      <c r="J376" s="39"/>
      <c r="K376" s="39"/>
      <c r="L376" s="39"/>
      <c r="M376" s="39"/>
      <c r="N376" s="39"/>
      <c r="O376" s="38">
        <f>IFERROR(VLOOKUP("14_"&amp;A376,SyS!$B:$P,10,FALSE()),0)</f>
        <v>0</v>
      </c>
      <c r="P376" s="39">
        <f>IFERROR(VLOOKUP("14_"&amp;A376,SyS!$B:$P,12,FALSE()),0)</f>
        <v>0</v>
      </c>
      <c r="Q376" s="40">
        <f>+O376-P376</f>
        <v>0</v>
      </c>
      <c r="R376" s="38">
        <f>IFERROR(VLOOKUP("15_"&amp;A376,SyS!$B:$P,10,FALSE()),0)</f>
        <v>0</v>
      </c>
      <c r="S376" s="39">
        <f>IFERROR(VLOOKUP("15_"&amp;A376,SyS!$B:$P,12,FALSE()),0)</f>
        <v>0</v>
      </c>
      <c r="T376" s="40">
        <f>+R376-S376</f>
        <v>0</v>
      </c>
      <c r="U376" s="38">
        <f>IFERROR(VLOOKUP("16_"&amp;A376,SyS!$B:$P,10,FALSE()),0)</f>
        <v>0</v>
      </c>
      <c r="V376" s="39">
        <f>IFERROR(VLOOKUP("16_"&amp;A376,SyS!$B:$P,12,FALSE()),0)</f>
        <v>0</v>
      </c>
      <c r="W376" s="40">
        <f>+U376-V376</f>
        <v>0</v>
      </c>
      <c r="X376" s="38">
        <f>IFERROR(VLOOKUP("13_"&amp;A376,SyS!$B:$P,10,FALSE()),0)</f>
        <v>0</v>
      </c>
      <c r="Y376" s="39">
        <f>IFERROR(VLOOKUP("13_"&amp;A376,SyS!$B:$P,12,FALSE()),0)</f>
        <v>0</v>
      </c>
      <c r="Z376" s="40">
        <f>+X376-Y376</f>
        <v>0</v>
      </c>
      <c r="AA376" s="38">
        <f>IFERROR(VLOOKUP("17_"&amp;A376,SyS!$B:$P,10,FALSE()),0)</f>
        <v>0</v>
      </c>
      <c r="AB376" s="39">
        <f>IFERROR(VLOOKUP("17_"&amp;A376,SyS!$B:$P,12,FALSE()),0)</f>
        <v>0</v>
      </c>
      <c r="AC376" s="40">
        <f>+AA376-AB376</f>
        <v>0</v>
      </c>
      <c r="AD376" s="39"/>
      <c r="AE376" s="39"/>
      <c r="AF376" s="39"/>
      <c r="AG376" s="39">
        <f>IFERROR(VLOOKUP("19_"&amp;A376,SyS!$B:$P,10,FALSE()),0)</f>
        <v>0</v>
      </c>
      <c r="AH376" s="39">
        <f>IFERROR(VLOOKUP("19_"&amp;A376,SyS!$B:$P,12,FALSE()),0)</f>
        <v>0</v>
      </c>
      <c r="AI376" s="39">
        <f>+AG376-AH376</f>
        <v>0</v>
      </c>
      <c r="AJ376" s="39"/>
      <c r="AK376" s="39"/>
      <c r="AL376" s="39"/>
      <c r="AM376" s="38">
        <f>IFERROR(VLOOKUP("23_"&amp;A376,SyS!$B:$P,10,FALSE()),0)</f>
        <v>0</v>
      </c>
      <c r="AN376" s="39">
        <f>IFERROR(VLOOKUP("23_"&amp;A376,SyS!$B:$P,12,FALSE()),0)</f>
        <v>0</v>
      </c>
      <c r="AO376" s="40">
        <f>+AM376-AN376</f>
        <v>0</v>
      </c>
      <c r="AP376" s="39"/>
      <c r="AQ376" s="39"/>
      <c r="AR376" s="39"/>
      <c r="AS376" s="39"/>
      <c r="AT376" s="39"/>
      <c r="AU376" s="39"/>
      <c r="AV376" s="39"/>
      <c r="AW376" s="39"/>
      <c r="AX376" s="39"/>
      <c r="AY376" s="39"/>
      <c r="AZ376" s="39"/>
      <c r="BA376" s="39"/>
      <c r="BB376" s="39"/>
      <c r="BC376" s="39"/>
      <c r="BD376" s="39"/>
      <c r="BE376" s="39"/>
      <c r="BF376" s="39"/>
      <c r="BG376" s="39"/>
      <c r="BH376" s="39"/>
      <c r="BI376" s="39"/>
      <c r="BJ376" s="39"/>
      <c r="BK376" s="39">
        <f>IFERROR(VLOOKUP("29_"&amp;A376,SyS!$B:$P,10,FALSE()),0)</f>
        <v>0</v>
      </c>
      <c r="BL376" s="39">
        <f>IFERROR(VLOOKUP("29_"&amp;A376,SyS!$B:$P,12,FALSE()),0)</f>
        <v>0</v>
      </c>
      <c r="BM376" s="39">
        <f>+BK376-BL376</f>
        <v>0</v>
      </c>
      <c r="BN376" s="38">
        <f>IFERROR(VLOOKUP("30_"&amp;A376,SyS!$B:$P,10,FALSE()),0)</f>
        <v>0</v>
      </c>
      <c r="BO376" s="39">
        <f>IFERROR(VLOOKUP("30_"&amp;A376,SyS!$B:$P,12,FALSE()),0)</f>
        <v>0</v>
      </c>
      <c r="BP376" s="40">
        <f>+BN376-BO376</f>
        <v>0</v>
      </c>
      <c r="BQ376" s="45">
        <f>+E376+H376+K376+Q376+T376+W376+Z376+AC376+AF376+AI376+AL376+AO376+AR376+AU376+AX376+BA376+BD376+BG376+BJ376+BM376+BP376</f>
        <v>0</v>
      </c>
    </row>
    <row r="377" ht="11.25" customHeight="1" spans="1:69" x14ac:dyDescent="0.25">
      <c r="A377" s="18">
        <v>429250000</v>
      </c>
      <c r="B377" s="18" t="s">
        <v>605</v>
      </c>
      <c r="C377" s="38">
        <f>IFERROR(VLOOKUP("1_"&amp;A377,SyS!$B:$P,10,FALSE()),0)</f>
        <v>0</v>
      </c>
      <c r="D377" s="39">
        <f>IFERROR(VLOOKUP("1_"&amp;A377,SyS!$B:$P,12,FALSE()),0)</f>
        <v>0</v>
      </c>
      <c r="E377" s="39">
        <f>+C377-D377</f>
        <v>0</v>
      </c>
      <c r="F377" s="38">
        <f>IFERROR(VLOOKUP("2_"&amp;A377,SyS!$B:$P,10,FALSE()),0)</f>
        <v>0</v>
      </c>
      <c r="G377" s="39">
        <f>IFERROR(VLOOKUP("2_"&amp;A377,SyS!$B:$P,12,FALSE()),0)</f>
        <v>0</v>
      </c>
      <c r="H377" s="40">
        <f>+F377-G377</f>
        <v>0</v>
      </c>
      <c r="I377" s="39"/>
      <c r="J377" s="39"/>
      <c r="K377" s="39"/>
      <c r="L377" s="39"/>
      <c r="M377" s="39"/>
      <c r="N377" s="39"/>
      <c r="O377" s="38">
        <f>IFERROR(VLOOKUP("14_"&amp;A377,SyS!$B:$P,10,FALSE()),0)</f>
        <v>0</v>
      </c>
      <c r="P377" s="39">
        <f>IFERROR(VLOOKUP("14_"&amp;A377,SyS!$B:$P,12,FALSE()),0)</f>
        <v>0</v>
      </c>
      <c r="Q377" s="40">
        <f>+O377-P377</f>
        <v>0</v>
      </c>
      <c r="R377" s="38">
        <f>IFERROR(VLOOKUP("15_"&amp;A377,SyS!$B:$P,10,FALSE()),0)</f>
        <v>0</v>
      </c>
      <c r="S377" s="39">
        <f>IFERROR(VLOOKUP("15_"&amp;A377,SyS!$B:$P,12,FALSE()),0)</f>
        <v>0</v>
      </c>
      <c r="T377" s="40">
        <f>+R377-S377</f>
        <v>0</v>
      </c>
      <c r="U377" s="38">
        <f>IFERROR(VLOOKUP("16_"&amp;A377,SyS!$B:$P,10,FALSE()),0)</f>
        <v>0</v>
      </c>
      <c r="V377" s="39">
        <f>IFERROR(VLOOKUP("16_"&amp;A377,SyS!$B:$P,12,FALSE()),0)</f>
        <v>0</v>
      </c>
      <c r="W377" s="40">
        <f>+U377-V377</f>
        <v>0</v>
      </c>
      <c r="X377" s="38">
        <f>IFERROR(VLOOKUP("13_"&amp;A377,SyS!$B:$P,10,FALSE()),0)</f>
        <v>0</v>
      </c>
      <c r="Y377" s="39">
        <f>IFERROR(VLOOKUP("13_"&amp;A377,SyS!$B:$P,12,FALSE()),0)</f>
        <v>0</v>
      </c>
      <c r="Z377" s="40">
        <f>+X377-Y377</f>
        <v>0</v>
      </c>
      <c r="AA377" s="38">
        <f>IFERROR(VLOOKUP("17_"&amp;A377,SyS!$B:$P,10,FALSE()),0)</f>
        <v>0</v>
      </c>
      <c r="AB377" s="39">
        <f>IFERROR(VLOOKUP("17_"&amp;A377,SyS!$B:$P,12,FALSE()),0)</f>
        <v>0</v>
      </c>
      <c r="AC377" s="40">
        <f>+AA377-AB377</f>
        <v>0</v>
      </c>
      <c r="AD377" s="39"/>
      <c r="AE377" s="39"/>
      <c r="AF377" s="39"/>
      <c r="AG377" s="39">
        <f>IFERROR(VLOOKUP("19_"&amp;A377,SyS!$B:$P,10,FALSE()),0)</f>
        <v>0</v>
      </c>
      <c r="AH377" s="39">
        <f>IFERROR(VLOOKUP("19_"&amp;A377,SyS!$B:$P,12,FALSE()),0)</f>
        <v>0</v>
      </c>
      <c r="AI377" s="39">
        <f>+AG377-AH377</f>
        <v>0</v>
      </c>
      <c r="AJ377" s="39"/>
      <c r="AK377" s="39"/>
      <c r="AL377" s="39"/>
      <c r="AM377" s="38">
        <f>IFERROR(VLOOKUP("23_"&amp;A377,SyS!$B:$P,10,FALSE()),0)</f>
        <v>0</v>
      </c>
      <c r="AN377" s="39">
        <f>IFERROR(VLOOKUP("23_"&amp;A377,SyS!$B:$P,12,FALSE()),0)</f>
        <v>0</v>
      </c>
      <c r="AO377" s="40">
        <f>+AM377-AN377</f>
        <v>0</v>
      </c>
      <c r="AP377" s="39"/>
      <c r="AQ377" s="39"/>
      <c r="AR377" s="39"/>
      <c r="AS377" s="39"/>
      <c r="AT377" s="39"/>
      <c r="AU377" s="39"/>
      <c r="AV377" s="39"/>
      <c r="AW377" s="39"/>
      <c r="AX377" s="39"/>
      <c r="AY377" s="39"/>
      <c r="AZ377" s="39"/>
      <c r="BA377" s="39"/>
      <c r="BB377" s="39"/>
      <c r="BC377" s="39"/>
      <c r="BD377" s="39"/>
      <c r="BE377" s="39"/>
      <c r="BF377" s="39"/>
      <c r="BG377" s="39"/>
      <c r="BH377" s="39"/>
      <c r="BI377" s="39"/>
      <c r="BJ377" s="39"/>
      <c r="BK377" s="39">
        <f>IFERROR(VLOOKUP("29_"&amp;A377,SyS!$B:$P,10,FALSE()),0)</f>
        <v>0</v>
      </c>
      <c r="BL377" s="39">
        <f>IFERROR(VLOOKUP("29_"&amp;A377,SyS!$B:$P,12,FALSE()),0)</f>
        <v>0</v>
      </c>
      <c r="BM377" s="39">
        <f>+BK377-BL377</f>
        <v>0</v>
      </c>
      <c r="BN377" s="38">
        <f>IFERROR(VLOOKUP("30_"&amp;A377,SyS!$B:$P,10,FALSE()),0)</f>
        <v>0</v>
      </c>
      <c r="BO377" s="39">
        <f>IFERROR(VLOOKUP("30_"&amp;A377,SyS!$B:$P,12,FALSE()),0)</f>
        <v>0</v>
      </c>
      <c r="BP377" s="40">
        <f>+BN377-BO377</f>
        <v>0</v>
      </c>
      <c r="BQ377" s="45">
        <f>+E377+H377+K377+Q377+T377+W377+Z377+AC377+AF377+AI377+AL377+AO377+AR377+AU377+AX377+BA377+BD377+BG377+BJ377+BM377+BP377</f>
        <v>0</v>
      </c>
    </row>
    <row r="378" ht="11.25" customHeight="1" spans="1:69" x14ac:dyDescent="0.25">
      <c r="A378" s="18">
        <v>429260000</v>
      </c>
      <c r="B378" s="18" t="s">
        <v>606</v>
      </c>
      <c r="C378" s="38">
        <f>IFERROR(VLOOKUP("1_"&amp;A378,SyS!$B:$P,10,FALSE()),0)</f>
        <v>0</v>
      </c>
      <c r="D378" s="39">
        <f>IFERROR(VLOOKUP("1_"&amp;A378,SyS!$B:$P,12,FALSE()),0)</f>
        <v>0</v>
      </c>
      <c r="E378" s="39">
        <f>+C378-D378</f>
        <v>0</v>
      </c>
      <c r="F378" s="38">
        <f>IFERROR(VLOOKUP("2_"&amp;A378,SyS!$B:$P,10,FALSE()),0)</f>
        <v>0</v>
      </c>
      <c r="G378" s="39">
        <f>IFERROR(VLOOKUP("2_"&amp;A378,SyS!$B:$P,12,FALSE()),0)</f>
        <v>0</v>
      </c>
      <c r="H378" s="40">
        <f>+F378-G378</f>
        <v>0</v>
      </c>
      <c r="I378" s="39"/>
      <c r="J378" s="39"/>
      <c r="K378" s="39"/>
      <c r="L378" s="39"/>
      <c r="M378" s="39"/>
      <c r="N378" s="39"/>
      <c r="O378" s="38">
        <f>IFERROR(VLOOKUP("14_"&amp;A378,SyS!$B:$P,10,FALSE()),0)</f>
        <v>0</v>
      </c>
      <c r="P378" s="39">
        <f>IFERROR(VLOOKUP("14_"&amp;A378,SyS!$B:$P,12,FALSE()),0)</f>
        <v>0</v>
      </c>
      <c r="Q378" s="40">
        <f>+O378-P378</f>
        <v>0</v>
      </c>
      <c r="R378" s="38">
        <f>IFERROR(VLOOKUP("15_"&amp;A378,SyS!$B:$P,10,FALSE()),0)</f>
        <v>0</v>
      </c>
      <c r="S378" s="39">
        <f>IFERROR(VLOOKUP("15_"&amp;A378,SyS!$B:$P,12,FALSE()),0)</f>
        <v>0</v>
      </c>
      <c r="T378" s="40">
        <f>+R378-S378</f>
        <v>0</v>
      </c>
      <c r="U378" s="38">
        <f>IFERROR(VLOOKUP("16_"&amp;A378,SyS!$B:$P,10,FALSE()),0)</f>
        <v>0</v>
      </c>
      <c r="V378" s="39">
        <f>IFERROR(VLOOKUP("16_"&amp;A378,SyS!$B:$P,12,FALSE()),0)</f>
        <v>0</v>
      </c>
      <c r="W378" s="40">
        <f>+U378-V378</f>
        <v>0</v>
      </c>
      <c r="X378" s="38">
        <f>IFERROR(VLOOKUP("13_"&amp;A378,SyS!$B:$P,10,FALSE()),0)</f>
        <v>0</v>
      </c>
      <c r="Y378" s="39">
        <f>IFERROR(VLOOKUP("13_"&amp;A378,SyS!$B:$P,12,FALSE()),0)</f>
        <v>0</v>
      </c>
      <c r="Z378" s="40">
        <f>+X378-Y378</f>
        <v>0</v>
      </c>
      <c r="AA378" s="38">
        <f>IFERROR(VLOOKUP("17_"&amp;A378,SyS!$B:$P,10,FALSE()),0)</f>
        <v>0</v>
      </c>
      <c r="AB378" s="39">
        <f>IFERROR(VLOOKUP("17_"&amp;A378,SyS!$B:$P,12,FALSE()),0)</f>
        <v>0</v>
      </c>
      <c r="AC378" s="40">
        <f>+AA378-AB378</f>
        <v>0</v>
      </c>
      <c r="AD378" s="39"/>
      <c r="AE378" s="39"/>
      <c r="AF378" s="39"/>
      <c r="AG378" s="39">
        <f>IFERROR(VLOOKUP("19_"&amp;A378,SyS!$B:$P,10,FALSE()),0)</f>
        <v>0</v>
      </c>
      <c r="AH378" s="39">
        <f>IFERROR(VLOOKUP("19_"&amp;A378,SyS!$B:$P,12,FALSE()),0)</f>
        <v>0</v>
      </c>
      <c r="AI378" s="39">
        <f>+AG378-AH378</f>
        <v>0</v>
      </c>
      <c r="AJ378" s="39"/>
      <c r="AK378" s="39"/>
      <c r="AL378" s="39"/>
      <c r="AM378" s="38">
        <f>IFERROR(VLOOKUP("23_"&amp;A378,SyS!$B:$P,10,FALSE()),0)</f>
        <v>0</v>
      </c>
      <c r="AN378" s="39">
        <f>IFERROR(VLOOKUP("23_"&amp;A378,SyS!$B:$P,12,FALSE()),0)</f>
        <v>0</v>
      </c>
      <c r="AO378" s="40">
        <f>+AM378-AN378</f>
        <v>0</v>
      </c>
      <c r="AP378" s="39"/>
      <c r="AQ378" s="39"/>
      <c r="AR378" s="39"/>
      <c r="AS378" s="39"/>
      <c r="AT378" s="39"/>
      <c r="AU378" s="39"/>
      <c r="AV378" s="39"/>
      <c r="AW378" s="39"/>
      <c r="AX378" s="39"/>
      <c r="AY378" s="39"/>
      <c r="AZ378" s="39"/>
      <c r="BA378" s="39"/>
      <c r="BB378" s="39"/>
      <c r="BC378" s="39"/>
      <c r="BD378" s="39"/>
      <c r="BE378" s="39"/>
      <c r="BF378" s="39"/>
      <c r="BG378" s="39"/>
      <c r="BH378" s="39"/>
      <c r="BI378" s="39"/>
      <c r="BJ378" s="39"/>
      <c r="BK378" s="39">
        <f>IFERROR(VLOOKUP("29_"&amp;A378,SyS!$B:$P,10,FALSE()),0)</f>
        <v>0</v>
      </c>
      <c r="BL378" s="39">
        <f>IFERROR(VLOOKUP("29_"&amp;A378,SyS!$B:$P,12,FALSE()),0)</f>
        <v>0</v>
      </c>
      <c r="BM378" s="39">
        <f>+BK378-BL378</f>
        <v>0</v>
      </c>
      <c r="BN378" s="38">
        <f>IFERROR(VLOOKUP("30_"&amp;A378,SyS!$B:$P,10,FALSE()),0)</f>
        <v>0</v>
      </c>
      <c r="BO378" s="39">
        <f>IFERROR(VLOOKUP("30_"&amp;A378,SyS!$B:$P,12,FALSE()),0)</f>
        <v>0</v>
      </c>
      <c r="BP378" s="40">
        <f>+BN378-BO378</f>
        <v>0</v>
      </c>
      <c r="BQ378" s="45">
        <f>+E378+H378+K378+Q378+T378+W378+Z378+AC378+AF378+AI378+AL378+AO378+AR378+AU378+AX378+BA378+BD378+BG378+BJ378+BM378+BP378</f>
        <v>0</v>
      </c>
    </row>
    <row r="379" ht="11.25" customHeight="1" spans="1:69" x14ac:dyDescent="0.25">
      <c r="A379" s="18">
        <v>429270000</v>
      </c>
      <c r="B379" s="18" t="s">
        <v>607</v>
      </c>
      <c r="C379" s="38">
        <f>IFERROR(VLOOKUP("1_"&amp;A379,SyS!$B:$P,10,FALSE()),0)</f>
        <v>0</v>
      </c>
      <c r="D379" s="39">
        <f>IFERROR(VLOOKUP("1_"&amp;A379,SyS!$B:$P,12,FALSE()),0)</f>
        <v>0</v>
      </c>
      <c r="E379" s="39">
        <f>+C379-D379</f>
        <v>0</v>
      </c>
      <c r="F379" s="38">
        <f>IFERROR(VLOOKUP("2_"&amp;A379,SyS!$B:$P,10,FALSE()),0)</f>
        <v>0</v>
      </c>
      <c r="G379" s="39">
        <f>IFERROR(VLOOKUP("2_"&amp;A379,SyS!$B:$P,12,FALSE()),0)</f>
        <v>0</v>
      </c>
      <c r="H379" s="40">
        <f>+F379-G379</f>
        <v>0</v>
      </c>
      <c r="I379" s="39"/>
      <c r="J379" s="39"/>
      <c r="K379" s="39"/>
      <c r="L379" s="39"/>
      <c r="M379" s="39"/>
      <c r="N379" s="39"/>
      <c r="O379" s="38">
        <f>IFERROR(VLOOKUP("14_"&amp;A379,SyS!$B:$P,10,FALSE()),0)</f>
        <v>0</v>
      </c>
      <c r="P379" s="39">
        <f>IFERROR(VLOOKUP("14_"&amp;A379,SyS!$B:$P,12,FALSE()),0)</f>
        <v>0</v>
      </c>
      <c r="Q379" s="40">
        <f>+O379-P379</f>
        <v>0</v>
      </c>
      <c r="R379" s="38">
        <f>IFERROR(VLOOKUP("15_"&amp;A379,SyS!$B:$P,10,FALSE()),0)</f>
        <v>0</v>
      </c>
      <c r="S379" s="39">
        <f>IFERROR(VLOOKUP("15_"&amp;A379,SyS!$B:$P,12,FALSE()),0)</f>
        <v>0</v>
      </c>
      <c r="T379" s="40">
        <f>+R379-S379</f>
        <v>0</v>
      </c>
      <c r="U379" s="38">
        <f>IFERROR(VLOOKUP("16_"&amp;A379,SyS!$B:$P,10,FALSE()),0)</f>
        <v>0</v>
      </c>
      <c r="V379" s="39">
        <f>IFERROR(VLOOKUP("16_"&amp;A379,SyS!$B:$P,12,FALSE()),0)</f>
        <v>0</v>
      </c>
      <c r="W379" s="40">
        <f>+U379-V379</f>
        <v>0</v>
      </c>
      <c r="X379" s="38">
        <f>IFERROR(VLOOKUP("13_"&amp;A379,SyS!$B:$P,10,FALSE()),0)</f>
        <v>0</v>
      </c>
      <c r="Y379" s="39">
        <f>IFERROR(VLOOKUP("13_"&amp;A379,SyS!$B:$P,12,FALSE()),0)</f>
        <v>0</v>
      </c>
      <c r="Z379" s="40">
        <f>+X379-Y379</f>
        <v>0</v>
      </c>
      <c r="AA379" s="38">
        <f>IFERROR(VLOOKUP("17_"&amp;A379,SyS!$B:$P,10,FALSE()),0)</f>
        <v>0</v>
      </c>
      <c r="AB379" s="39">
        <f>IFERROR(VLOOKUP("17_"&amp;A379,SyS!$B:$P,12,FALSE()),0)</f>
        <v>0</v>
      </c>
      <c r="AC379" s="40">
        <f>+AA379-AB379</f>
        <v>0</v>
      </c>
      <c r="AD379" s="39"/>
      <c r="AE379" s="39"/>
      <c r="AF379" s="39"/>
      <c r="AG379" s="39">
        <f>IFERROR(VLOOKUP("19_"&amp;A379,SyS!$B:$P,10,FALSE()),0)</f>
        <v>0</v>
      </c>
      <c r="AH379" s="39">
        <f>IFERROR(VLOOKUP("19_"&amp;A379,SyS!$B:$P,12,FALSE()),0)</f>
        <v>0</v>
      </c>
      <c r="AI379" s="39">
        <f>+AG379-AH379</f>
        <v>0</v>
      </c>
      <c r="AJ379" s="39"/>
      <c r="AK379" s="39"/>
      <c r="AL379" s="39"/>
      <c r="AM379" s="38">
        <f>IFERROR(VLOOKUP("23_"&amp;A379,SyS!$B:$P,10,FALSE()),0)</f>
        <v>0</v>
      </c>
      <c r="AN379" s="39">
        <f>IFERROR(VLOOKUP("23_"&amp;A379,SyS!$B:$P,12,FALSE()),0)</f>
        <v>0</v>
      </c>
      <c r="AO379" s="40">
        <f>+AM379-AN379</f>
        <v>0</v>
      </c>
      <c r="AP379" s="39"/>
      <c r="AQ379" s="39"/>
      <c r="AR379" s="39"/>
      <c r="AS379" s="39"/>
      <c r="AT379" s="39"/>
      <c r="AU379" s="39"/>
      <c r="AV379" s="39"/>
      <c r="AW379" s="39"/>
      <c r="AX379" s="39"/>
      <c r="AY379" s="39"/>
      <c r="AZ379" s="39"/>
      <c r="BA379" s="39"/>
      <c r="BB379" s="39"/>
      <c r="BC379" s="39"/>
      <c r="BD379" s="39"/>
      <c r="BE379" s="39"/>
      <c r="BF379" s="39"/>
      <c r="BG379" s="39"/>
      <c r="BH379" s="39"/>
      <c r="BI379" s="39"/>
      <c r="BJ379" s="39"/>
      <c r="BK379" s="39">
        <f>IFERROR(VLOOKUP("29_"&amp;A379,SyS!$B:$P,10,FALSE()),0)</f>
        <v>0</v>
      </c>
      <c r="BL379" s="39">
        <f>IFERROR(VLOOKUP("29_"&amp;A379,SyS!$B:$P,12,FALSE()),0)</f>
        <v>0</v>
      </c>
      <c r="BM379" s="39">
        <f>+BK379-BL379</f>
        <v>0</v>
      </c>
      <c r="BN379" s="38">
        <f>IFERROR(VLOOKUP("30_"&amp;A379,SyS!$B:$P,10,FALSE()),0)</f>
        <v>0</v>
      </c>
      <c r="BO379" s="39">
        <f>IFERROR(VLOOKUP("30_"&amp;A379,SyS!$B:$P,12,FALSE()),0)</f>
        <v>0</v>
      </c>
      <c r="BP379" s="40">
        <f>+BN379-BO379</f>
        <v>0</v>
      </c>
      <c r="BQ379" s="45">
        <f>+E379+H379+K379+Q379+T379+W379+Z379+AC379+AF379+AI379+AL379+AO379+AR379+AU379+AX379+BA379+BD379+BG379+BJ379+BM379+BP379</f>
        <v>0</v>
      </c>
    </row>
    <row r="380" ht="11.25" customHeight="1" spans="1:69" x14ac:dyDescent="0.25">
      <c r="A380" s="18">
        <v>429280000</v>
      </c>
      <c r="B380" s="18" t="s">
        <v>608</v>
      </c>
      <c r="C380" s="38">
        <f>IFERROR(VLOOKUP("1_"&amp;A380,SyS!$B:$P,10,FALSE()),0)</f>
        <v>0</v>
      </c>
      <c r="D380" s="39">
        <f>IFERROR(VLOOKUP("1_"&amp;A380,SyS!$B:$P,12,FALSE()),0)</f>
        <v>0</v>
      </c>
      <c r="E380" s="39">
        <f>+C380-D380</f>
        <v>0</v>
      </c>
      <c r="F380" s="38">
        <f>IFERROR(VLOOKUP("2_"&amp;A380,SyS!$B:$P,10,FALSE()),0)</f>
        <v>0</v>
      </c>
      <c r="G380" s="39">
        <f>IFERROR(VLOOKUP("2_"&amp;A380,SyS!$B:$P,12,FALSE()),0)</f>
        <v>0</v>
      </c>
      <c r="H380" s="40">
        <f>+F380-G380</f>
        <v>0</v>
      </c>
      <c r="I380" s="39"/>
      <c r="J380" s="39"/>
      <c r="K380" s="39"/>
      <c r="L380" s="39"/>
      <c r="M380" s="39"/>
      <c r="N380" s="39"/>
      <c r="O380" s="38">
        <f>IFERROR(VLOOKUP("14_"&amp;A380,SyS!$B:$P,10,FALSE()),0)</f>
        <v>0</v>
      </c>
      <c r="P380" s="39">
        <f>IFERROR(VLOOKUP("14_"&amp;A380,SyS!$B:$P,12,FALSE()),0)</f>
        <v>0</v>
      </c>
      <c r="Q380" s="40">
        <f>+O380-P380</f>
        <v>0</v>
      </c>
      <c r="R380" s="38">
        <f>IFERROR(VLOOKUP("15_"&amp;A380,SyS!$B:$P,10,FALSE()),0)</f>
        <v>0</v>
      </c>
      <c r="S380" s="39">
        <f>IFERROR(VLOOKUP("15_"&amp;A380,SyS!$B:$P,12,FALSE()),0)</f>
        <v>0</v>
      </c>
      <c r="T380" s="40">
        <f>+R380-S380</f>
        <v>0</v>
      </c>
      <c r="U380" s="38">
        <f>IFERROR(VLOOKUP("16_"&amp;A380,SyS!$B:$P,10,FALSE()),0)</f>
        <v>0</v>
      </c>
      <c r="V380" s="39">
        <f>IFERROR(VLOOKUP("16_"&amp;A380,SyS!$B:$P,12,FALSE()),0)</f>
        <v>0</v>
      </c>
      <c r="W380" s="40">
        <f>+U380-V380</f>
        <v>0</v>
      </c>
      <c r="X380" s="38">
        <f>IFERROR(VLOOKUP("13_"&amp;A380,SyS!$B:$P,10,FALSE()),0)</f>
        <v>0</v>
      </c>
      <c r="Y380" s="39">
        <f>IFERROR(VLOOKUP("13_"&amp;A380,SyS!$B:$P,12,FALSE()),0)</f>
        <v>0</v>
      </c>
      <c r="Z380" s="40">
        <f>+X380-Y380</f>
        <v>0</v>
      </c>
      <c r="AA380" s="38">
        <f>IFERROR(VLOOKUP("17_"&amp;A380,SyS!$B:$P,10,FALSE()),0)</f>
        <v>0</v>
      </c>
      <c r="AB380" s="39">
        <f>IFERROR(VLOOKUP("17_"&amp;A380,SyS!$B:$P,12,FALSE()),0)</f>
        <v>0</v>
      </c>
      <c r="AC380" s="40">
        <f>+AA380-AB380</f>
        <v>0</v>
      </c>
      <c r="AD380" s="39"/>
      <c r="AE380" s="39"/>
      <c r="AF380" s="39"/>
      <c r="AG380" s="39">
        <f>IFERROR(VLOOKUP("19_"&amp;A380,SyS!$B:$P,10,FALSE()),0)</f>
        <v>0</v>
      </c>
      <c r="AH380" s="39">
        <f>IFERROR(VLOOKUP("19_"&amp;A380,SyS!$B:$P,12,FALSE()),0)</f>
        <v>0</v>
      </c>
      <c r="AI380" s="39">
        <f>+AG380-AH380</f>
        <v>0</v>
      </c>
      <c r="AJ380" s="39"/>
      <c r="AK380" s="39"/>
      <c r="AL380" s="39"/>
      <c r="AM380" s="38">
        <f>IFERROR(VLOOKUP("23_"&amp;A380,SyS!$B:$P,10,FALSE()),0)</f>
        <v>0</v>
      </c>
      <c r="AN380" s="39">
        <f>IFERROR(VLOOKUP("23_"&amp;A380,SyS!$B:$P,12,FALSE()),0)</f>
        <v>0</v>
      </c>
      <c r="AO380" s="40">
        <f>+AM380-AN380</f>
        <v>0</v>
      </c>
      <c r="AP380" s="39"/>
      <c r="AQ380" s="39"/>
      <c r="AR380" s="39"/>
      <c r="AS380" s="39"/>
      <c r="AT380" s="39"/>
      <c r="AU380" s="39"/>
      <c r="AV380" s="39"/>
      <c r="AW380" s="39"/>
      <c r="AX380" s="39"/>
      <c r="AY380" s="39"/>
      <c r="AZ380" s="39"/>
      <c r="BA380" s="39"/>
      <c r="BB380" s="39"/>
      <c r="BC380" s="39"/>
      <c r="BD380" s="39"/>
      <c r="BE380" s="39"/>
      <c r="BF380" s="39"/>
      <c r="BG380" s="39"/>
      <c r="BH380" s="39"/>
      <c r="BI380" s="39"/>
      <c r="BJ380" s="39"/>
      <c r="BK380" s="39">
        <f>IFERROR(VLOOKUP("29_"&amp;A380,SyS!$B:$P,10,FALSE()),0)</f>
        <v>0</v>
      </c>
      <c r="BL380" s="39">
        <f>IFERROR(VLOOKUP("29_"&amp;A380,SyS!$B:$P,12,FALSE()),0)</f>
        <v>0</v>
      </c>
      <c r="BM380" s="39">
        <f>+BK380-BL380</f>
        <v>0</v>
      </c>
      <c r="BN380" s="38">
        <f>IFERROR(VLOOKUP("30_"&amp;A380,SyS!$B:$P,10,FALSE()),0)</f>
        <v>0</v>
      </c>
      <c r="BO380" s="39">
        <f>IFERROR(VLOOKUP("30_"&amp;A380,SyS!$B:$P,12,FALSE()),0)</f>
        <v>0</v>
      </c>
      <c r="BP380" s="40">
        <f>+BN380-BO380</f>
        <v>0</v>
      </c>
      <c r="BQ380" s="45">
        <f>+E380+H380+K380+Q380+T380+W380+Z380+AC380+AF380+AI380+AL380+AO380+AR380+AU380+AX380+BA380+BD380+BG380+BJ380+BM380+BP380</f>
        <v>0</v>
      </c>
    </row>
    <row r="381" ht="11.25" customHeight="1" spans="1:69" x14ac:dyDescent="0.25">
      <c r="A381" s="18">
        <v>429310000</v>
      </c>
      <c r="B381" s="18" t="s">
        <v>609</v>
      </c>
      <c r="C381" s="38">
        <f>IFERROR(VLOOKUP("1_"&amp;A381,SyS!$B:$P,10,FALSE()),0)</f>
        <v>0</v>
      </c>
      <c r="D381" s="39">
        <f>IFERROR(VLOOKUP("1_"&amp;A381,SyS!$B:$P,12,FALSE()),0)</f>
        <v>0</v>
      </c>
      <c r="E381" s="39">
        <f>+C381-D381</f>
        <v>0</v>
      </c>
      <c r="F381" s="38">
        <f>IFERROR(VLOOKUP("2_"&amp;A381,SyS!$B:$P,10,FALSE()),0)</f>
        <v>0</v>
      </c>
      <c r="G381" s="39">
        <f>IFERROR(VLOOKUP("2_"&amp;A381,SyS!$B:$P,12,FALSE()),0)</f>
        <v>0</v>
      </c>
      <c r="H381" s="40">
        <f>+F381-G381</f>
        <v>0</v>
      </c>
      <c r="I381" s="39"/>
      <c r="J381" s="39"/>
      <c r="K381" s="39"/>
      <c r="L381" s="39"/>
      <c r="M381" s="39"/>
      <c r="N381" s="39"/>
      <c r="O381" s="38">
        <f>IFERROR(VLOOKUP("14_"&amp;A381,SyS!$B:$P,10,FALSE()),0)</f>
        <v>0</v>
      </c>
      <c r="P381" s="39">
        <f>IFERROR(VLOOKUP("14_"&amp;A381,SyS!$B:$P,12,FALSE()),0)</f>
        <v>0</v>
      </c>
      <c r="Q381" s="40">
        <f>+O381-P381</f>
        <v>0</v>
      </c>
      <c r="R381" s="38">
        <f>IFERROR(VLOOKUP("15_"&amp;A381,SyS!$B:$P,10,FALSE()),0)</f>
        <v>0</v>
      </c>
      <c r="S381" s="39">
        <f>IFERROR(VLOOKUP("15_"&amp;A381,SyS!$B:$P,12,FALSE()),0)</f>
        <v>0</v>
      </c>
      <c r="T381" s="40">
        <f>+R381-S381</f>
        <v>0</v>
      </c>
      <c r="U381" s="38">
        <f>IFERROR(VLOOKUP("16_"&amp;A381,SyS!$B:$P,10,FALSE()),0)</f>
        <v>0</v>
      </c>
      <c r="V381" s="39">
        <f>IFERROR(VLOOKUP("16_"&amp;A381,SyS!$B:$P,12,FALSE()),0)</f>
        <v>0</v>
      </c>
      <c r="W381" s="40">
        <f>+U381-V381</f>
        <v>0</v>
      </c>
      <c r="X381" s="38">
        <f>IFERROR(VLOOKUP("13_"&amp;A381,SyS!$B:$P,10,FALSE()),0)</f>
        <v>0</v>
      </c>
      <c r="Y381" s="39">
        <f>IFERROR(VLOOKUP("13_"&amp;A381,SyS!$B:$P,12,FALSE()),0)</f>
        <v>0</v>
      </c>
      <c r="Z381" s="40">
        <f>+X381-Y381</f>
        <v>0</v>
      </c>
      <c r="AA381" s="38">
        <f>IFERROR(VLOOKUP("17_"&amp;A381,SyS!$B:$P,10,FALSE()),0)</f>
        <v>0</v>
      </c>
      <c r="AB381" s="39">
        <f>IFERROR(VLOOKUP("17_"&amp;A381,SyS!$B:$P,12,FALSE()),0)</f>
        <v>0</v>
      </c>
      <c r="AC381" s="40">
        <f>+AA381-AB381</f>
        <v>0</v>
      </c>
      <c r="AD381" s="39"/>
      <c r="AE381" s="39"/>
      <c r="AF381" s="39"/>
      <c r="AG381" s="39">
        <f>IFERROR(VLOOKUP("19_"&amp;A381,SyS!$B:$P,10,FALSE()),0)</f>
        <v>0</v>
      </c>
      <c r="AH381" s="39">
        <f>IFERROR(VLOOKUP("19_"&amp;A381,SyS!$B:$P,12,FALSE()),0)</f>
        <v>0</v>
      </c>
      <c r="AI381" s="39">
        <f>+AG381-AH381</f>
        <v>0</v>
      </c>
      <c r="AJ381" s="39"/>
      <c r="AK381" s="39"/>
      <c r="AL381" s="39"/>
      <c r="AM381" s="38">
        <f>IFERROR(VLOOKUP("23_"&amp;A381,SyS!$B:$P,10,FALSE()),0)</f>
        <v>0</v>
      </c>
      <c r="AN381" s="39">
        <f>IFERROR(VLOOKUP("23_"&amp;A381,SyS!$B:$P,12,FALSE()),0)</f>
        <v>0</v>
      </c>
      <c r="AO381" s="40">
        <f>+AM381-AN381</f>
        <v>0</v>
      </c>
      <c r="AP381" s="39"/>
      <c r="AQ381" s="39"/>
      <c r="AR381" s="39"/>
      <c r="AS381" s="39"/>
      <c r="AT381" s="39"/>
      <c r="AU381" s="39"/>
      <c r="AV381" s="39"/>
      <c r="AW381" s="39"/>
      <c r="AX381" s="39"/>
      <c r="AY381" s="39"/>
      <c r="AZ381" s="39"/>
      <c r="BA381" s="39"/>
      <c r="BB381" s="39"/>
      <c r="BC381" s="39"/>
      <c r="BD381" s="39"/>
      <c r="BE381" s="39"/>
      <c r="BF381" s="39"/>
      <c r="BG381" s="39"/>
      <c r="BH381" s="39"/>
      <c r="BI381" s="39"/>
      <c r="BJ381" s="39"/>
      <c r="BK381" s="39">
        <f>IFERROR(VLOOKUP("29_"&amp;A381,SyS!$B:$P,10,FALSE()),0)</f>
        <v>0</v>
      </c>
      <c r="BL381" s="39">
        <f>IFERROR(VLOOKUP("29_"&amp;A381,SyS!$B:$P,12,FALSE()),0)</f>
        <v>0</v>
      </c>
      <c r="BM381" s="39">
        <f>+BK381-BL381</f>
        <v>0</v>
      </c>
      <c r="BN381" s="38">
        <f>IFERROR(VLOOKUP("30_"&amp;A381,SyS!$B:$P,10,FALSE()),0)</f>
        <v>0</v>
      </c>
      <c r="BO381" s="39">
        <f>IFERROR(VLOOKUP("30_"&amp;A381,SyS!$B:$P,12,FALSE()),0)</f>
        <v>0</v>
      </c>
      <c r="BP381" s="40">
        <f>+BN381-BO381</f>
        <v>0</v>
      </c>
      <c r="BQ381" s="45">
        <f>+E381+H381+K381+Q381+T381+W381+Z381+AC381+AF381+AI381+AL381+AO381+AR381+AU381+AX381+BA381+BD381+BG381+BJ381+BM381+BP381</f>
        <v>0</v>
      </c>
    </row>
    <row r="382" ht="11.25" customHeight="1" spans="1:69" x14ac:dyDescent="0.25">
      <c r="A382" s="18">
        <v>429930000</v>
      </c>
      <c r="B382" s="18" t="s">
        <v>610</v>
      </c>
      <c r="C382" s="38">
        <f>IFERROR(VLOOKUP("1_"&amp;A382,SyS!$B:$P,10,FALSE()),0)</f>
        <v>0</v>
      </c>
      <c r="D382" s="39">
        <f>IFERROR(VLOOKUP("1_"&amp;A382,SyS!$B:$P,12,FALSE()),0)</f>
        <v>0</v>
      </c>
      <c r="E382" s="39">
        <f>+C382-D382</f>
        <v>0</v>
      </c>
      <c r="F382" s="38">
        <f>IFERROR(VLOOKUP("2_"&amp;A382,SyS!$B:$P,10,FALSE()),0)</f>
        <v>0</v>
      </c>
      <c r="G382" s="39">
        <f>IFERROR(VLOOKUP("2_"&amp;A382,SyS!$B:$P,12,FALSE()),0)</f>
        <v>0</v>
      </c>
      <c r="H382" s="40">
        <f>+F382-G382</f>
        <v>0</v>
      </c>
      <c r="I382" s="39"/>
      <c r="J382" s="39"/>
      <c r="K382" s="39"/>
      <c r="L382" s="39"/>
      <c r="M382" s="39"/>
      <c r="N382" s="39"/>
      <c r="O382" s="38">
        <f>IFERROR(VLOOKUP("14_"&amp;A382,SyS!$B:$P,10,FALSE()),0)</f>
        <v>0</v>
      </c>
      <c r="P382" s="39">
        <f>IFERROR(VLOOKUP("14_"&amp;A382,SyS!$B:$P,12,FALSE()),0)</f>
        <v>0</v>
      </c>
      <c r="Q382" s="40">
        <f>+O382-P382</f>
        <v>0</v>
      </c>
      <c r="R382" s="38">
        <f>IFERROR(VLOOKUP("15_"&amp;A382,SyS!$B:$P,10,FALSE()),0)</f>
        <v>0</v>
      </c>
      <c r="S382" s="39">
        <f>IFERROR(VLOOKUP("15_"&amp;A382,SyS!$B:$P,12,FALSE()),0)</f>
        <v>0</v>
      </c>
      <c r="T382" s="40">
        <f>+R382-S382</f>
        <v>0</v>
      </c>
      <c r="U382" s="38">
        <f>IFERROR(VLOOKUP("16_"&amp;A382,SyS!$B:$P,10,FALSE()),0)</f>
        <v>0</v>
      </c>
      <c r="V382" s="39">
        <f>IFERROR(VLOOKUP("16_"&amp;A382,SyS!$B:$P,12,FALSE()),0)</f>
        <v>0</v>
      </c>
      <c r="W382" s="40">
        <f>+U382-V382</f>
        <v>0</v>
      </c>
      <c r="X382" s="38">
        <f>IFERROR(VLOOKUP("13_"&amp;A382,SyS!$B:$P,10,FALSE()),0)</f>
        <v>0</v>
      </c>
      <c r="Y382" s="39">
        <f>IFERROR(VLOOKUP("13_"&amp;A382,SyS!$B:$P,12,FALSE()),0)</f>
        <v>0</v>
      </c>
      <c r="Z382" s="40">
        <f>+X382-Y382</f>
        <v>0</v>
      </c>
      <c r="AA382" s="38">
        <f>IFERROR(VLOOKUP("17_"&amp;A382,SyS!$B:$P,10,FALSE()),0)</f>
        <v>0</v>
      </c>
      <c r="AB382" s="39">
        <f>IFERROR(VLOOKUP("17_"&amp;A382,SyS!$B:$P,12,FALSE()),0)</f>
        <v>0</v>
      </c>
      <c r="AC382" s="40">
        <f>+AA382-AB382</f>
        <v>0</v>
      </c>
      <c r="AD382" s="39"/>
      <c r="AE382" s="39"/>
      <c r="AF382" s="39"/>
      <c r="AG382" s="39">
        <f>IFERROR(VLOOKUP("19_"&amp;A382,SyS!$B:$P,10,FALSE()),0)</f>
        <v>0</v>
      </c>
      <c r="AH382" s="39">
        <f>IFERROR(VLOOKUP("19_"&amp;A382,SyS!$B:$P,12,FALSE()),0)</f>
        <v>0</v>
      </c>
      <c r="AI382" s="39">
        <f>+AG382-AH382</f>
        <v>0</v>
      </c>
      <c r="AJ382" s="39"/>
      <c r="AK382" s="39"/>
      <c r="AL382" s="39"/>
      <c r="AM382" s="38">
        <f>IFERROR(VLOOKUP("23_"&amp;A382,SyS!$B:$P,10,FALSE()),0)</f>
        <v>0</v>
      </c>
      <c r="AN382" s="39">
        <f>IFERROR(VLOOKUP("23_"&amp;A382,SyS!$B:$P,12,FALSE()),0)</f>
        <v>0</v>
      </c>
      <c r="AO382" s="40">
        <f>+AM382-AN382</f>
        <v>0</v>
      </c>
      <c r="AP382" s="39"/>
      <c r="AQ382" s="39"/>
      <c r="AR382" s="39"/>
      <c r="AS382" s="39"/>
      <c r="AT382" s="39"/>
      <c r="AU382" s="39"/>
      <c r="AV382" s="39"/>
      <c r="AW382" s="39"/>
      <c r="AX382" s="39"/>
      <c r="AY382" s="39"/>
      <c r="AZ382" s="39"/>
      <c r="BA382" s="39"/>
      <c r="BB382" s="39"/>
      <c r="BC382" s="39"/>
      <c r="BD382" s="39"/>
      <c r="BE382" s="39"/>
      <c r="BF382" s="39"/>
      <c r="BG382" s="39"/>
      <c r="BH382" s="39"/>
      <c r="BI382" s="39"/>
      <c r="BJ382" s="39"/>
      <c r="BK382" s="39">
        <f>IFERROR(VLOOKUP("29_"&amp;A382,SyS!$B:$P,10,FALSE()),0)</f>
        <v>0</v>
      </c>
      <c r="BL382" s="39">
        <f>IFERROR(VLOOKUP("29_"&amp;A382,SyS!$B:$P,12,FALSE()),0)</f>
        <v>0</v>
      </c>
      <c r="BM382" s="39">
        <f>+BK382-BL382</f>
        <v>0</v>
      </c>
      <c r="BN382" s="38">
        <f>IFERROR(VLOOKUP("30_"&amp;A382,SyS!$B:$P,10,FALSE()),0)</f>
        <v>0</v>
      </c>
      <c r="BO382" s="39">
        <f>IFERROR(VLOOKUP("30_"&amp;A382,SyS!$B:$P,12,FALSE()),0)</f>
        <v>0</v>
      </c>
      <c r="BP382" s="40">
        <f>+BN382-BO382</f>
        <v>0</v>
      </c>
      <c r="BQ382" s="45">
        <f>+E382+H382+K382+Q382+T382+W382+Z382+AC382+AF382+AI382+AL382+AO382+AR382+AU382+AX382+BA382+BD382+BG382+BJ382+BM382+BP382</f>
        <v>0</v>
      </c>
    </row>
    <row r="383" ht="11.25" customHeight="1" spans="1:69" x14ac:dyDescent="0.25">
      <c r="A383" s="18">
        <v>429940000</v>
      </c>
      <c r="B383" s="18" t="s">
        <v>611</v>
      </c>
      <c r="C383" s="38">
        <f>IFERROR(VLOOKUP("1_"&amp;A383,SyS!$B:$P,10,FALSE()),0)</f>
        <v>0</v>
      </c>
      <c r="D383" s="39">
        <f>IFERROR(VLOOKUP("1_"&amp;A383,SyS!$B:$P,12,FALSE()),0)</f>
        <v>0</v>
      </c>
      <c r="E383" s="39">
        <f>+C383-D383</f>
        <v>0</v>
      </c>
      <c r="F383" s="38">
        <f>IFERROR(VLOOKUP("2_"&amp;A383,SyS!$B:$P,10,FALSE()),0)</f>
        <v>0</v>
      </c>
      <c r="G383" s="39">
        <f>IFERROR(VLOOKUP("2_"&amp;A383,SyS!$B:$P,12,FALSE()),0)</f>
        <v>0</v>
      </c>
      <c r="H383" s="40">
        <f>+F383-G383</f>
        <v>0</v>
      </c>
      <c r="I383" s="39"/>
      <c r="J383" s="39"/>
      <c r="K383" s="39"/>
      <c r="L383" s="39"/>
      <c r="M383" s="39"/>
      <c r="N383" s="39"/>
      <c r="O383" s="38">
        <f>IFERROR(VLOOKUP("14_"&amp;A383,SyS!$B:$P,10,FALSE()),0)</f>
        <v>0</v>
      </c>
      <c r="P383" s="39">
        <f>IFERROR(VLOOKUP("14_"&amp;A383,SyS!$B:$P,12,FALSE()),0)</f>
        <v>0</v>
      </c>
      <c r="Q383" s="40">
        <f>+O383-P383</f>
        <v>0</v>
      </c>
      <c r="R383" s="38">
        <f>IFERROR(VLOOKUP("15_"&amp;A383,SyS!$B:$P,10,FALSE()),0)</f>
        <v>0</v>
      </c>
      <c r="S383" s="39">
        <f>IFERROR(VLOOKUP("15_"&amp;A383,SyS!$B:$P,12,FALSE()),0)</f>
        <v>0</v>
      </c>
      <c r="T383" s="40">
        <f>+R383-S383</f>
        <v>0</v>
      </c>
      <c r="U383" s="38">
        <f>IFERROR(VLOOKUP("16_"&amp;A383,SyS!$B:$P,10,FALSE()),0)</f>
        <v>0</v>
      </c>
      <c r="V383" s="39">
        <f>IFERROR(VLOOKUP("16_"&amp;A383,SyS!$B:$P,12,FALSE()),0)</f>
        <v>0</v>
      </c>
      <c r="W383" s="40">
        <f>+U383-V383</f>
        <v>0</v>
      </c>
      <c r="X383" s="38">
        <f>IFERROR(VLOOKUP("13_"&amp;A383,SyS!$B:$P,10,FALSE()),0)</f>
        <v>0</v>
      </c>
      <c r="Y383" s="39">
        <f>IFERROR(VLOOKUP("13_"&amp;A383,SyS!$B:$P,12,FALSE()),0)</f>
        <v>0</v>
      </c>
      <c r="Z383" s="40">
        <f>+X383-Y383</f>
        <v>0</v>
      </c>
      <c r="AA383" s="38">
        <f>IFERROR(VLOOKUP("17_"&amp;A383,SyS!$B:$P,10,FALSE()),0)</f>
        <v>0</v>
      </c>
      <c r="AB383" s="39">
        <f>IFERROR(VLOOKUP("17_"&amp;A383,SyS!$B:$P,12,FALSE()),0)</f>
        <v>0</v>
      </c>
      <c r="AC383" s="40">
        <f>+AA383-AB383</f>
        <v>0</v>
      </c>
      <c r="AD383" s="39"/>
      <c r="AE383" s="39"/>
      <c r="AF383" s="39"/>
      <c r="AG383" s="39">
        <f>IFERROR(VLOOKUP("19_"&amp;A383,SyS!$B:$P,10,FALSE()),0)</f>
        <v>0</v>
      </c>
      <c r="AH383" s="39">
        <f>IFERROR(VLOOKUP("19_"&amp;A383,SyS!$B:$P,12,FALSE()),0)</f>
        <v>0</v>
      </c>
      <c r="AI383" s="39">
        <f>+AG383-AH383</f>
        <v>0</v>
      </c>
      <c r="AJ383" s="39"/>
      <c r="AK383" s="39"/>
      <c r="AL383" s="39"/>
      <c r="AM383" s="38">
        <f>IFERROR(VLOOKUP("23_"&amp;A383,SyS!$B:$P,10,FALSE()),0)</f>
        <v>0</v>
      </c>
      <c r="AN383" s="39">
        <f>IFERROR(VLOOKUP("23_"&amp;A383,SyS!$B:$P,12,FALSE()),0)</f>
        <v>0</v>
      </c>
      <c r="AO383" s="40">
        <f>+AM383-AN383</f>
        <v>0</v>
      </c>
      <c r="AP383" s="39"/>
      <c r="AQ383" s="39"/>
      <c r="AR383" s="39"/>
      <c r="AS383" s="39"/>
      <c r="AT383" s="39"/>
      <c r="AU383" s="39"/>
      <c r="AV383" s="39"/>
      <c r="AW383" s="39"/>
      <c r="AX383" s="39"/>
      <c r="AY383" s="39"/>
      <c r="AZ383" s="39"/>
      <c r="BA383" s="39"/>
      <c r="BB383" s="39"/>
      <c r="BC383" s="39"/>
      <c r="BD383" s="39"/>
      <c r="BE383" s="39"/>
      <c r="BF383" s="39"/>
      <c r="BG383" s="39"/>
      <c r="BH383" s="39"/>
      <c r="BI383" s="39"/>
      <c r="BJ383" s="39"/>
      <c r="BK383" s="39">
        <f>IFERROR(VLOOKUP("29_"&amp;A383,SyS!$B:$P,10,FALSE()),0)</f>
        <v>0</v>
      </c>
      <c r="BL383" s="39">
        <f>IFERROR(VLOOKUP("29_"&amp;A383,SyS!$B:$P,12,FALSE()),0)</f>
        <v>0</v>
      </c>
      <c r="BM383" s="39">
        <f>+BK383-BL383</f>
        <v>0</v>
      </c>
      <c r="BN383" s="38">
        <f>IFERROR(VLOOKUP("30_"&amp;A383,SyS!$B:$P,10,FALSE()),0)</f>
        <v>0</v>
      </c>
      <c r="BO383" s="39">
        <f>IFERROR(VLOOKUP("30_"&amp;A383,SyS!$B:$P,12,FALSE()),0)</f>
        <v>0</v>
      </c>
      <c r="BP383" s="40">
        <f>+BN383-BO383</f>
        <v>0</v>
      </c>
      <c r="BQ383" s="45">
        <f>+E383+H383+K383+Q383+T383+W383+Z383+AC383+AF383+AI383+AL383+AO383+AR383+AU383+AX383+BA383+BD383+BG383+BJ383+BM383+BP383</f>
        <v>0</v>
      </c>
    </row>
    <row r="384" ht="11.25" customHeight="1" spans="1:69" x14ac:dyDescent="0.25">
      <c r="A384" s="18">
        <v>429950000</v>
      </c>
      <c r="B384" s="18" t="s">
        <v>612</v>
      </c>
      <c r="C384" s="38">
        <f>IFERROR(VLOOKUP("1_"&amp;A384,SyS!$B:$P,10,FALSE()),0)</f>
        <v>0</v>
      </c>
      <c r="D384" s="39">
        <f>IFERROR(VLOOKUP("1_"&amp;A384,SyS!$B:$P,12,FALSE()),0)</f>
        <v>0</v>
      </c>
      <c r="E384" s="39">
        <f>+C384-D384</f>
        <v>0</v>
      </c>
      <c r="F384" s="38">
        <f>IFERROR(VLOOKUP("2_"&amp;A384,SyS!$B:$P,10,FALSE()),0)</f>
        <v>0</v>
      </c>
      <c r="G384" s="39">
        <f>IFERROR(VLOOKUP("2_"&amp;A384,SyS!$B:$P,12,FALSE()),0)</f>
        <v>0</v>
      </c>
      <c r="H384" s="40">
        <f>+F384-G384</f>
        <v>0</v>
      </c>
      <c r="I384" s="39"/>
      <c r="J384" s="39"/>
      <c r="K384" s="39"/>
      <c r="L384" s="39"/>
      <c r="M384" s="39"/>
      <c r="N384" s="39"/>
      <c r="O384" s="38">
        <f>IFERROR(VLOOKUP("14_"&amp;A384,SyS!$B:$P,10,FALSE()),0)</f>
        <v>0</v>
      </c>
      <c r="P384" s="39">
        <f>IFERROR(VLOOKUP("14_"&amp;A384,SyS!$B:$P,12,FALSE()),0)</f>
        <v>0</v>
      </c>
      <c r="Q384" s="40">
        <f>+O384-P384</f>
        <v>0</v>
      </c>
      <c r="R384" s="38">
        <f>IFERROR(VLOOKUP("15_"&amp;A384,SyS!$B:$P,10,FALSE()),0)</f>
        <v>0</v>
      </c>
      <c r="S384" s="39">
        <f>IFERROR(VLOOKUP("15_"&amp;A384,SyS!$B:$P,12,FALSE()),0)</f>
        <v>0</v>
      </c>
      <c r="T384" s="40">
        <f>+R384-S384</f>
        <v>0</v>
      </c>
      <c r="U384" s="38">
        <f>IFERROR(VLOOKUP("16_"&amp;A384,SyS!$B:$P,10,FALSE()),0)</f>
        <v>0</v>
      </c>
      <c r="V384" s="39">
        <f>IFERROR(VLOOKUP("16_"&amp;A384,SyS!$B:$P,12,FALSE()),0)</f>
        <v>0</v>
      </c>
      <c r="W384" s="40">
        <f>+U384-V384</f>
        <v>0</v>
      </c>
      <c r="X384" s="38">
        <f>IFERROR(VLOOKUP("13_"&amp;A384,SyS!$B:$P,10,FALSE()),0)</f>
        <v>0</v>
      </c>
      <c r="Y384" s="39">
        <f>IFERROR(VLOOKUP("13_"&amp;A384,SyS!$B:$P,12,FALSE()),0)</f>
        <v>0</v>
      </c>
      <c r="Z384" s="40">
        <f>+X384-Y384</f>
        <v>0</v>
      </c>
      <c r="AA384" s="38">
        <f>IFERROR(VLOOKUP("17_"&amp;A384,SyS!$B:$P,10,FALSE()),0)</f>
        <v>0</v>
      </c>
      <c r="AB384" s="39">
        <f>IFERROR(VLOOKUP("17_"&amp;A384,SyS!$B:$P,12,FALSE()),0)</f>
        <v>0</v>
      </c>
      <c r="AC384" s="40">
        <f>+AA384-AB384</f>
        <v>0</v>
      </c>
      <c r="AD384" s="39"/>
      <c r="AE384" s="39"/>
      <c r="AF384" s="39"/>
      <c r="AG384" s="39">
        <f>IFERROR(VLOOKUP("19_"&amp;A384,SyS!$B:$P,10,FALSE()),0)</f>
        <v>0</v>
      </c>
      <c r="AH384" s="39">
        <f>IFERROR(VLOOKUP("19_"&amp;A384,SyS!$B:$P,12,FALSE()),0)</f>
        <v>0</v>
      </c>
      <c r="AI384" s="39">
        <f>+AG384-AH384</f>
        <v>0</v>
      </c>
      <c r="AJ384" s="39"/>
      <c r="AK384" s="39"/>
      <c r="AL384" s="39"/>
      <c r="AM384" s="38">
        <f>IFERROR(VLOOKUP("23_"&amp;A384,SyS!$B:$P,10,FALSE()),0)</f>
        <v>0</v>
      </c>
      <c r="AN384" s="39">
        <f>IFERROR(VLOOKUP("23_"&amp;A384,SyS!$B:$P,12,FALSE()),0)</f>
        <v>0</v>
      </c>
      <c r="AO384" s="40">
        <f>+AM384-AN384</f>
        <v>0</v>
      </c>
      <c r="AP384" s="39"/>
      <c r="AQ384" s="39"/>
      <c r="AR384" s="39"/>
      <c r="AS384" s="39"/>
      <c r="AT384" s="39"/>
      <c r="AU384" s="39"/>
      <c r="AV384" s="39"/>
      <c r="AW384" s="39"/>
      <c r="AX384" s="39"/>
      <c r="AY384" s="39"/>
      <c r="AZ384" s="39"/>
      <c r="BA384" s="39"/>
      <c r="BB384" s="39"/>
      <c r="BC384" s="39"/>
      <c r="BD384" s="39"/>
      <c r="BE384" s="39"/>
      <c r="BF384" s="39"/>
      <c r="BG384" s="39"/>
      <c r="BH384" s="39"/>
      <c r="BI384" s="39"/>
      <c r="BJ384" s="39"/>
      <c r="BK384" s="39">
        <f>IFERROR(VLOOKUP("29_"&amp;A384,SyS!$B:$P,10,FALSE()),0)</f>
        <v>0</v>
      </c>
      <c r="BL384" s="39">
        <f>IFERROR(VLOOKUP("29_"&amp;A384,SyS!$B:$P,12,FALSE()),0)</f>
        <v>0</v>
      </c>
      <c r="BM384" s="39">
        <f>+BK384-BL384</f>
        <v>0</v>
      </c>
      <c r="BN384" s="38">
        <f>IFERROR(VLOOKUP("30_"&amp;A384,SyS!$B:$P,10,FALSE()),0)</f>
        <v>0</v>
      </c>
      <c r="BO384" s="39">
        <f>IFERROR(VLOOKUP("30_"&amp;A384,SyS!$B:$P,12,FALSE()),0)</f>
        <v>0</v>
      </c>
      <c r="BP384" s="40">
        <f>+BN384-BO384</f>
        <v>0</v>
      </c>
      <c r="BQ384" s="45">
        <f>+E384+H384+K384+Q384+T384+W384+Z384+AC384+AF384+AI384+AL384+AO384+AR384+AU384+AX384+BA384+BD384+BG384+BJ384+BM384+BP384</f>
        <v>0</v>
      </c>
    </row>
    <row r="385" ht="12" customHeight="1" spans="1:69" x14ac:dyDescent="0.25">
      <c r="A385" s="18">
        <v>429960000</v>
      </c>
      <c r="B385" s="18" t="s">
        <v>613</v>
      </c>
      <c r="C385" s="38">
        <f>IFERROR(VLOOKUP("1_"&amp;A385,SyS!$B:$P,10,FALSE()),0)</f>
        <v>0</v>
      </c>
      <c r="D385" s="39">
        <f>IFERROR(VLOOKUP("1_"&amp;A385,SyS!$B:$P,12,FALSE()),0)</f>
        <v>0</v>
      </c>
      <c r="E385" s="39">
        <f>+C385-D385</f>
        <v>0</v>
      </c>
      <c r="F385" s="38">
        <f>IFERROR(VLOOKUP("2_"&amp;A385,SyS!$B:$P,10,FALSE()),0)</f>
        <v>0</v>
      </c>
      <c r="G385" s="39">
        <f>IFERROR(VLOOKUP("2_"&amp;A385,SyS!$B:$P,12,FALSE()),0)</f>
        <v>0</v>
      </c>
      <c r="H385" s="40">
        <f>+F385-G385</f>
        <v>0</v>
      </c>
      <c r="I385" s="39"/>
      <c r="J385" s="39"/>
      <c r="K385" s="39"/>
      <c r="L385" s="39"/>
      <c r="M385" s="39"/>
      <c r="N385" s="39"/>
      <c r="O385" s="38">
        <f>IFERROR(VLOOKUP("14_"&amp;A385,SyS!$B:$P,10,FALSE()),0)</f>
        <v>0</v>
      </c>
      <c r="P385" s="39">
        <f>IFERROR(VLOOKUP("14_"&amp;A385,SyS!$B:$P,12,FALSE()),0)</f>
        <v>0</v>
      </c>
      <c r="Q385" s="40">
        <f>+O385-P385</f>
        <v>0</v>
      </c>
      <c r="R385" s="38">
        <f>IFERROR(VLOOKUP("15_"&amp;A385,SyS!$B:$P,10,FALSE()),0)</f>
        <v>0</v>
      </c>
      <c r="S385" s="39">
        <f>IFERROR(VLOOKUP("15_"&amp;A385,SyS!$B:$P,12,FALSE()),0)</f>
        <v>0</v>
      </c>
      <c r="T385" s="40">
        <f>+R385-S385</f>
        <v>0</v>
      </c>
      <c r="U385" s="38">
        <f>IFERROR(VLOOKUP("16_"&amp;A385,SyS!$B:$P,10,FALSE()),0)</f>
        <v>0</v>
      </c>
      <c r="V385" s="39">
        <f>IFERROR(VLOOKUP("16_"&amp;A385,SyS!$B:$P,12,FALSE()),0)</f>
        <v>0</v>
      </c>
      <c r="W385" s="40">
        <f>+U385-V385</f>
        <v>0</v>
      </c>
      <c r="X385" s="38">
        <f>IFERROR(VLOOKUP("13_"&amp;A385,SyS!$B:$P,10,FALSE()),0)</f>
        <v>0</v>
      </c>
      <c r="Y385" s="39">
        <f>IFERROR(VLOOKUP("13_"&amp;A385,SyS!$B:$P,12,FALSE()),0)</f>
        <v>0</v>
      </c>
      <c r="Z385" s="40">
        <f>+X385-Y385</f>
        <v>0</v>
      </c>
      <c r="AA385" s="38">
        <f>IFERROR(VLOOKUP("17_"&amp;A385,SyS!$B:$P,10,FALSE()),0)</f>
        <v>0</v>
      </c>
      <c r="AB385" s="39">
        <f>IFERROR(VLOOKUP("17_"&amp;A385,SyS!$B:$P,12,FALSE()),0)</f>
        <v>0</v>
      </c>
      <c r="AC385" s="40">
        <f>+AA385-AB385</f>
        <v>0</v>
      </c>
      <c r="AD385" s="39"/>
      <c r="AE385" s="39"/>
      <c r="AF385" s="39"/>
      <c r="AG385" s="39">
        <f>IFERROR(VLOOKUP("19_"&amp;A385,SyS!$B:$P,10,FALSE()),0)</f>
        <v>0</v>
      </c>
      <c r="AH385" s="39">
        <f>IFERROR(VLOOKUP("19_"&amp;A385,SyS!$B:$P,12,FALSE()),0)</f>
        <v>0</v>
      </c>
      <c r="AI385" s="39">
        <f>+AG385-AH385</f>
        <v>0</v>
      </c>
      <c r="AJ385" s="39"/>
      <c r="AK385" s="39"/>
      <c r="AL385" s="39"/>
      <c r="AM385" s="38">
        <f>IFERROR(VLOOKUP("23_"&amp;A385,SyS!$B:$P,10,FALSE()),0)</f>
        <v>0</v>
      </c>
      <c r="AN385" s="39">
        <f>IFERROR(VLOOKUP("23_"&amp;A385,SyS!$B:$P,12,FALSE()),0)</f>
        <v>0</v>
      </c>
      <c r="AO385" s="40">
        <f>+AM385-AN385</f>
        <v>0</v>
      </c>
      <c r="AP385" s="39"/>
      <c r="AQ385" s="39"/>
      <c r="AR385" s="39"/>
      <c r="AS385" s="39"/>
      <c r="AT385" s="39"/>
      <c r="AU385" s="39"/>
      <c r="AV385" s="39"/>
      <c r="AW385" s="39"/>
      <c r="AX385" s="39"/>
      <c r="AY385" s="39"/>
      <c r="AZ385" s="39"/>
      <c r="BA385" s="39"/>
      <c r="BB385" s="39"/>
      <c r="BC385" s="39"/>
      <c r="BD385" s="39"/>
      <c r="BE385" s="39"/>
      <c r="BF385" s="39"/>
      <c r="BG385" s="39"/>
      <c r="BH385" s="39"/>
      <c r="BI385" s="39"/>
      <c r="BJ385" s="39"/>
      <c r="BK385" s="39">
        <f>IFERROR(VLOOKUP("29_"&amp;A385,SyS!$B:$P,10,FALSE()),0)</f>
        <v>0</v>
      </c>
      <c r="BL385" s="39">
        <f>IFERROR(VLOOKUP("29_"&amp;A385,SyS!$B:$P,12,FALSE()),0)</f>
        <v>0</v>
      </c>
      <c r="BM385" s="39">
        <f>+BK385-BL385</f>
        <v>0</v>
      </c>
      <c r="BN385" s="38">
        <f>IFERROR(VLOOKUP("30_"&amp;A385,SyS!$B:$P,10,FALSE()),0)</f>
        <v>0</v>
      </c>
      <c r="BO385" s="39">
        <f>IFERROR(VLOOKUP("30_"&amp;A385,SyS!$B:$P,12,FALSE()),0)</f>
        <v>0</v>
      </c>
      <c r="BP385" s="40">
        <f>+BN385-BO385</f>
        <v>0</v>
      </c>
      <c r="BQ385" s="45">
        <f>+E385+H385+K385+Q385+T385+W385+Z385+AC385+AF385+AI385+AL385+AO385+AR385+AU385+AX385+BA385+BD385+BG385+BJ385+BM385+BP385</f>
        <v>0</v>
      </c>
    </row>
    <row r="386" ht="11.25" customHeight="1" spans="1:69" x14ac:dyDescent="0.25">
      <c r="A386" s="49"/>
      <c r="B386" s="50" t="s">
        <v>614</v>
      </c>
      <c r="C386" s="38">
        <f>IFERROR(VLOOKUP("1_"&amp;A386,SyS!$B:$P,10,FALSE()),0)</f>
        <v>0</v>
      </c>
      <c r="D386" s="39">
        <f>IFERROR(VLOOKUP("1_"&amp;A386,SyS!$B:$P,12,FALSE()),0)</f>
        <v>0</v>
      </c>
      <c r="E386" s="39">
        <f>+C386-D386</f>
        <v>0</v>
      </c>
      <c r="F386" s="38"/>
      <c r="G386" s="39"/>
      <c r="H386" s="40"/>
      <c r="I386" s="39"/>
      <c r="J386" s="39"/>
      <c r="K386" s="39"/>
      <c r="L386" s="39"/>
      <c r="M386" s="39"/>
      <c r="N386" s="39"/>
      <c r="O386" s="38"/>
      <c r="P386" s="39"/>
      <c r="Q386" s="40"/>
      <c r="R386" s="38"/>
      <c r="S386" s="39"/>
      <c r="T386" s="40"/>
      <c r="U386" s="38"/>
      <c r="V386" s="39"/>
      <c r="W386" s="40"/>
      <c r="X386" s="38"/>
      <c r="Y386" s="39"/>
      <c r="Z386" s="40"/>
      <c r="AA386" s="38"/>
      <c r="AB386" s="39"/>
      <c r="AC386" s="40"/>
      <c r="AD386" s="39"/>
      <c r="AE386" s="39"/>
      <c r="AF386" s="39"/>
      <c r="AG386" s="39"/>
      <c r="AH386" s="39"/>
      <c r="AI386" s="39"/>
      <c r="AJ386" s="39"/>
      <c r="AK386" s="39"/>
      <c r="AL386" s="39"/>
      <c r="AM386" s="38"/>
      <c r="AN386" s="39"/>
      <c r="AO386" s="40"/>
      <c r="AP386" s="39"/>
      <c r="AQ386" s="39"/>
      <c r="AR386" s="39"/>
      <c r="AS386" s="39"/>
      <c r="AT386" s="39"/>
      <c r="AU386" s="39"/>
      <c r="AV386" s="39"/>
      <c r="AW386" s="39"/>
      <c r="AX386" s="39"/>
      <c r="AY386" s="39"/>
      <c r="AZ386" s="39"/>
      <c r="BA386" s="39"/>
      <c r="BB386" s="39"/>
      <c r="BC386" s="39"/>
      <c r="BD386" s="39"/>
      <c r="BE386" s="39"/>
      <c r="BF386" s="39"/>
      <c r="BG386" s="39"/>
      <c r="BH386" s="39"/>
      <c r="BI386" s="39"/>
      <c r="BJ386" s="39"/>
      <c r="BK386" s="39"/>
      <c r="BL386" s="39"/>
      <c r="BM386" s="39"/>
      <c r="BN386" s="38"/>
      <c r="BO386" s="39"/>
      <c r="BP386" s="40"/>
      <c r="BQ386" s="45"/>
    </row>
    <row r="387" ht="11.25" customHeight="1" spans="1:69" x14ac:dyDescent="0.25">
      <c r="A387" s="18">
        <v>426560000</v>
      </c>
      <c r="B387" s="18" t="s">
        <v>615</v>
      </c>
      <c r="C387" s="38">
        <f>IFERROR(VLOOKUP("1_"&amp;A387,SyS!$B:$P,10,FALSE()),0)</f>
        <v>0</v>
      </c>
      <c r="D387" s="39">
        <f>IFERROR(VLOOKUP("1_"&amp;A387,SyS!$B:$P,12,FALSE()),0)</f>
        <v>0</v>
      </c>
      <c r="E387" s="39">
        <f>+C387-D387</f>
        <v>0</v>
      </c>
      <c r="F387" s="38">
        <f>IFERROR(VLOOKUP("2_"&amp;A387,SyS!$B:$P,10,FALSE()),0)</f>
        <v>0</v>
      </c>
      <c r="G387" s="39">
        <f>IFERROR(VLOOKUP("2_"&amp;A387,SyS!$B:$P,12,FALSE()),0)</f>
        <v>0</v>
      </c>
      <c r="H387" s="40">
        <f>+F387-G387</f>
        <v>0</v>
      </c>
      <c r="I387" s="39"/>
      <c r="J387" s="39"/>
      <c r="K387" s="39"/>
      <c r="L387" s="39"/>
      <c r="M387" s="39"/>
      <c r="N387" s="39"/>
      <c r="O387" s="38">
        <f>IFERROR(VLOOKUP("14_"&amp;A387,SyS!$B:$P,10,FALSE()),0)</f>
        <v>0</v>
      </c>
      <c r="P387" s="39">
        <f>IFERROR(VLOOKUP("14_"&amp;A387,SyS!$B:$P,12,FALSE()),0)</f>
        <v>0</v>
      </c>
      <c r="Q387" s="40">
        <f>+O387-P387</f>
        <v>0</v>
      </c>
      <c r="R387" s="38">
        <f>IFERROR(VLOOKUP("15_"&amp;A387,SyS!$B:$P,10,FALSE()),0)</f>
        <v>0</v>
      </c>
      <c r="S387" s="39">
        <f>IFERROR(VLOOKUP("15_"&amp;A387,SyS!$B:$P,12,FALSE()),0)</f>
        <v>0</v>
      </c>
      <c r="T387" s="40">
        <f>+R387-S387</f>
        <v>0</v>
      </c>
      <c r="U387" s="38">
        <f>IFERROR(VLOOKUP("16_"&amp;A387,SyS!$B:$P,10,FALSE()),0)</f>
        <v>0</v>
      </c>
      <c r="V387" s="39">
        <f>IFERROR(VLOOKUP("16_"&amp;A387,SyS!$B:$P,12,FALSE()),0)</f>
        <v>0</v>
      </c>
      <c r="W387" s="40">
        <f>+U387-V387</f>
        <v>0</v>
      </c>
      <c r="X387" s="38">
        <f>IFERROR(VLOOKUP("13_"&amp;A387,SyS!$B:$P,10,FALSE()),0)</f>
        <v>0</v>
      </c>
      <c r="Y387" s="39">
        <f>IFERROR(VLOOKUP("13_"&amp;A387,SyS!$B:$P,12,FALSE()),0)</f>
        <v>0</v>
      </c>
      <c r="Z387" s="40">
        <f>+X387-Y387</f>
        <v>0</v>
      </c>
      <c r="AA387" s="38">
        <f>IFERROR(VLOOKUP("17_"&amp;A387,SyS!$B:$P,10,FALSE()),0)</f>
        <v>0</v>
      </c>
      <c r="AB387" s="39">
        <f>IFERROR(VLOOKUP("17_"&amp;A387,SyS!$B:$P,12,FALSE()),0)</f>
        <v>0</v>
      </c>
      <c r="AC387" s="40">
        <f>+AA387-AB387</f>
        <v>0</v>
      </c>
      <c r="AD387" s="39"/>
      <c r="AE387" s="39"/>
      <c r="AF387" s="39"/>
      <c r="AG387" s="39">
        <f>IFERROR(VLOOKUP("19_"&amp;A387,SyS!$B:$P,10,FALSE()),0)</f>
        <v>0</v>
      </c>
      <c r="AH387" s="39">
        <f>IFERROR(VLOOKUP("19_"&amp;A387,SyS!$B:$P,12,FALSE()),0)</f>
        <v>0</v>
      </c>
      <c r="AI387" s="39">
        <f>+AG387-AH387</f>
        <v>0</v>
      </c>
      <c r="AJ387" s="39"/>
      <c r="AK387" s="39"/>
      <c r="AL387" s="39"/>
      <c r="AM387" s="38">
        <f>IFERROR(VLOOKUP("23_"&amp;A387,SyS!$B:$P,10,FALSE()),0)</f>
        <v>0</v>
      </c>
      <c r="AN387" s="39">
        <f>IFERROR(VLOOKUP("23_"&amp;A387,SyS!$B:$P,12,FALSE()),0)</f>
        <v>0</v>
      </c>
      <c r="AO387" s="40">
        <f>+AM387-AN387</f>
        <v>0</v>
      </c>
      <c r="AP387" s="39"/>
      <c r="AQ387" s="39"/>
      <c r="AR387" s="39"/>
      <c r="AS387" s="39"/>
      <c r="AT387" s="39"/>
      <c r="AU387" s="39"/>
      <c r="AV387" s="39"/>
      <c r="AW387" s="39"/>
      <c r="AX387" s="39"/>
      <c r="AY387" s="39"/>
      <c r="AZ387" s="39"/>
      <c r="BA387" s="39"/>
      <c r="BB387" s="39"/>
      <c r="BC387" s="39"/>
      <c r="BD387" s="39"/>
      <c r="BE387" s="39"/>
      <c r="BF387" s="39"/>
      <c r="BG387" s="39"/>
      <c r="BH387" s="39"/>
      <c r="BI387" s="39"/>
      <c r="BJ387" s="39"/>
      <c r="BK387" s="39">
        <f>IFERROR(VLOOKUP("29_"&amp;A387,SyS!$B:$P,10,FALSE()),0)</f>
        <v>0</v>
      </c>
      <c r="BL387" s="39">
        <f>IFERROR(VLOOKUP("29_"&amp;A387,SyS!$B:$P,12,FALSE()),0)</f>
        <v>0</v>
      </c>
      <c r="BM387" s="39">
        <f>+BK387-BL387</f>
        <v>0</v>
      </c>
      <c r="BN387" s="38">
        <f>IFERROR(VLOOKUP("30_"&amp;A387,SyS!$B:$P,10,FALSE()),0)</f>
        <v>0</v>
      </c>
      <c r="BO387" s="39">
        <f>IFERROR(VLOOKUP("30_"&amp;A387,SyS!$B:$P,12,FALSE()),0)</f>
        <v>0</v>
      </c>
      <c r="BP387" s="40">
        <f>+BN387-BO387</f>
        <v>0</v>
      </c>
      <c r="BQ387" s="45">
        <f>+E387+H387+K387+Q387+T387+W387+Z387+AC387+AF387+AI387+AL387+AO387+AR387+AU387+AX387+BA387+BD387+BG387+BJ387+BM387+BP387</f>
        <v>0</v>
      </c>
    </row>
    <row r="388" ht="11.25" customHeight="1" spans="1:69" x14ac:dyDescent="0.25">
      <c r="A388" s="18">
        <v>426570000</v>
      </c>
      <c r="B388" s="18" t="s">
        <v>616</v>
      </c>
      <c r="C388" s="38">
        <f>IFERROR(VLOOKUP("1_"&amp;A388,SyS!$B:$P,10,FALSE()),0)</f>
        <v>0</v>
      </c>
      <c r="D388" s="39">
        <f>IFERROR(VLOOKUP("1_"&amp;A388,SyS!$B:$P,12,FALSE()),0)</f>
        <v>0</v>
      </c>
      <c r="E388" s="39">
        <f>+C388-D388</f>
        <v>0</v>
      </c>
      <c r="F388" s="38">
        <f>IFERROR(VLOOKUP("2_"&amp;A388,SyS!$B:$P,10,FALSE()),0)</f>
        <v>0</v>
      </c>
      <c r="G388" s="39">
        <f>IFERROR(VLOOKUP("2_"&amp;A388,SyS!$B:$P,12,FALSE()),0)</f>
        <v>0</v>
      </c>
      <c r="H388" s="40">
        <f>+F388-G388</f>
        <v>0</v>
      </c>
      <c r="I388" s="39"/>
      <c r="J388" s="39"/>
      <c r="K388" s="39"/>
      <c r="L388" s="39"/>
      <c r="M388" s="39"/>
      <c r="N388" s="39"/>
      <c r="O388" s="38">
        <f>IFERROR(VLOOKUP("14_"&amp;A388,SyS!$B:$P,10,FALSE()),0)</f>
        <v>0</v>
      </c>
      <c r="P388" s="39">
        <f>IFERROR(VLOOKUP("14_"&amp;A388,SyS!$B:$P,12,FALSE()),0)</f>
        <v>0</v>
      </c>
      <c r="Q388" s="40">
        <f>+O388-P388</f>
        <v>0</v>
      </c>
      <c r="R388" s="38">
        <f>IFERROR(VLOOKUP("15_"&amp;A388,SyS!$B:$P,10,FALSE()),0)</f>
        <v>0</v>
      </c>
      <c r="S388" s="39">
        <f>IFERROR(VLOOKUP("15_"&amp;A388,SyS!$B:$P,12,FALSE()),0)</f>
        <v>0</v>
      </c>
      <c r="T388" s="40">
        <f>+R388-S388</f>
        <v>0</v>
      </c>
      <c r="U388" s="38">
        <f>IFERROR(VLOOKUP("16_"&amp;A388,SyS!$B:$P,10,FALSE()),0)</f>
        <v>0</v>
      </c>
      <c r="V388" s="39">
        <f>IFERROR(VLOOKUP("16_"&amp;A388,SyS!$B:$P,12,FALSE()),0)</f>
        <v>0</v>
      </c>
      <c r="W388" s="40">
        <f>+U388-V388</f>
        <v>0</v>
      </c>
      <c r="X388" s="38">
        <f>IFERROR(VLOOKUP("13_"&amp;A388,SyS!$B:$P,10,FALSE()),0)</f>
        <v>0</v>
      </c>
      <c r="Y388" s="39">
        <f>IFERROR(VLOOKUP("13_"&amp;A388,SyS!$B:$P,12,FALSE()),0)</f>
        <v>0</v>
      </c>
      <c r="Z388" s="40">
        <f>+X388-Y388</f>
        <v>0</v>
      </c>
      <c r="AA388" s="38">
        <f>IFERROR(VLOOKUP("17_"&amp;A388,SyS!$B:$P,10,FALSE()),0)</f>
        <v>0</v>
      </c>
      <c r="AB388" s="39">
        <f>IFERROR(VLOOKUP("17_"&amp;A388,SyS!$B:$P,12,FALSE()),0)</f>
        <v>0</v>
      </c>
      <c r="AC388" s="40">
        <f>+AA388-AB388</f>
        <v>0</v>
      </c>
      <c r="AD388" s="39"/>
      <c r="AE388" s="39"/>
      <c r="AF388" s="39"/>
      <c r="AG388" s="39">
        <f>IFERROR(VLOOKUP("19_"&amp;A388,SyS!$B:$P,10,FALSE()),0)</f>
        <v>0</v>
      </c>
      <c r="AH388" s="39">
        <f>IFERROR(VLOOKUP("19_"&amp;A388,SyS!$B:$P,12,FALSE()),0)</f>
        <v>0</v>
      </c>
      <c r="AI388" s="39">
        <f>+AG388-AH388</f>
        <v>0</v>
      </c>
      <c r="AJ388" s="39"/>
      <c r="AK388" s="39"/>
      <c r="AL388" s="39"/>
      <c r="AM388" s="38">
        <f>IFERROR(VLOOKUP("23_"&amp;A388,SyS!$B:$P,10,FALSE()),0)</f>
        <v>0</v>
      </c>
      <c r="AN388" s="39">
        <f>IFERROR(VLOOKUP("23_"&amp;A388,SyS!$B:$P,12,FALSE()),0)</f>
        <v>0</v>
      </c>
      <c r="AO388" s="40">
        <f>+AM388-AN388</f>
        <v>0</v>
      </c>
      <c r="AP388" s="39"/>
      <c r="AQ388" s="39"/>
      <c r="AR388" s="39"/>
      <c r="AS388" s="39"/>
      <c r="AT388" s="39"/>
      <c r="AU388" s="39"/>
      <c r="AV388" s="39"/>
      <c r="AW388" s="39"/>
      <c r="AX388" s="39"/>
      <c r="AY388" s="39"/>
      <c r="AZ388" s="39"/>
      <c r="BA388" s="39"/>
      <c r="BB388" s="39"/>
      <c r="BC388" s="39"/>
      <c r="BD388" s="39"/>
      <c r="BE388" s="39"/>
      <c r="BF388" s="39"/>
      <c r="BG388" s="39"/>
      <c r="BH388" s="39"/>
      <c r="BI388" s="39"/>
      <c r="BJ388" s="39"/>
      <c r="BK388" s="39">
        <f>IFERROR(VLOOKUP("29_"&amp;A388,SyS!$B:$P,10,FALSE()),0)</f>
        <v>0</v>
      </c>
      <c r="BL388" s="39">
        <f>IFERROR(VLOOKUP("29_"&amp;A388,SyS!$B:$P,12,FALSE()),0)</f>
        <v>0</v>
      </c>
      <c r="BM388" s="39">
        <f>+BK388-BL388</f>
        <v>0</v>
      </c>
      <c r="BN388" s="38">
        <f>IFERROR(VLOOKUP("30_"&amp;A388,SyS!$B:$P,10,FALSE()),0)</f>
        <v>0</v>
      </c>
      <c r="BO388" s="39">
        <f>IFERROR(VLOOKUP("30_"&amp;A388,SyS!$B:$P,12,FALSE()),0)</f>
        <v>0</v>
      </c>
      <c r="BP388" s="40">
        <f>+BN388-BO388</f>
        <v>0</v>
      </c>
      <c r="BQ388" s="45">
        <f>+E388+H388+K388+Q388+T388+W388+Z388+AC388+AF388+AI388+AL388+AO388+AR388+AU388+AX388+BA388+BD388+BG388+BJ388+BM388+BP388</f>
        <v>0</v>
      </c>
    </row>
    <row r="389" ht="11.25" customHeight="1" spans="1:69" x14ac:dyDescent="0.25">
      <c r="A389" s="18">
        <v>421570000</v>
      </c>
      <c r="B389" s="18" t="s">
        <v>617</v>
      </c>
      <c r="C389" s="38">
        <f>IFERROR(VLOOKUP("1_"&amp;A389,SyS!$B:$P,10,FALSE()),0)</f>
        <v>0</v>
      </c>
      <c r="D389" s="39">
        <f>IFERROR(VLOOKUP("1_"&amp;A389,SyS!$B:$P,12,FALSE()),0)</f>
        <v>0</v>
      </c>
      <c r="E389" s="39">
        <f>+C389-D389</f>
        <v>0</v>
      </c>
      <c r="F389" s="38">
        <f>IFERROR(VLOOKUP("2_"&amp;A389,SyS!$B:$P,10,FALSE()),0)</f>
        <v>0</v>
      </c>
      <c r="G389" s="39">
        <f>IFERROR(VLOOKUP("2_"&amp;A389,SyS!$B:$P,12,FALSE()),0)</f>
        <v>0</v>
      </c>
      <c r="H389" s="40">
        <f>+F389-G389</f>
        <v>0</v>
      </c>
      <c r="I389" s="39"/>
      <c r="J389" s="39"/>
      <c r="K389" s="39"/>
      <c r="L389" s="39"/>
      <c r="M389" s="39"/>
      <c r="N389" s="39"/>
      <c r="O389" s="38">
        <f>IFERROR(VLOOKUP("14_"&amp;A389,SyS!$B:$P,10,FALSE()),0)</f>
        <v>0</v>
      </c>
      <c r="P389" s="39">
        <f>IFERROR(VLOOKUP("14_"&amp;A389,SyS!$B:$P,12,FALSE()),0)</f>
        <v>0</v>
      </c>
      <c r="Q389" s="40">
        <f>+O389-P389</f>
        <v>0</v>
      </c>
      <c r="R389" s="38">
        <f>IFERROR(VLOOKUP("15_"&amp;A389,SyS!$B:$P,10,FALSE()),0)</f>
        <v>0</v>
      </c>
      <c r="S389" s="39">
        <f>IFERROR(VLOOKUP("15_"&amp;A389,SyS!$B:$P,12,FALSE()),0)</f>
        <v>0</v>
      </c>
      <c r="T389" s="40">
        <f>+R389-S389</f>
        <v>0</v>
      </c>
      <c r="U389" s="38">
        <f>IFERROR(VLOOKUP("16_"&amp;A389,SyS!$B:$P,10,FALSE()),0)</f>
        <v>0</v>
      </c>
      <c r="V389" s="39">
        <f>IFERROR(VLOOKUP("16_"&amp;A389,SyS!$B:$P,12,FALSE()),0)</f>
        <v>0</v>
      </c>
      <c r="W389" s="40">
        <f>+U389-V389</f>
        <v>0</v>
      </c>
      <c r="X389" s="38">
        <f>IFERROR(VLOOKUP("13_"&amp;A389,SyS!$B:$P,10,FALSE()),0)</f>
        <v>0</v>
      </c>
      <c r="Y389" s="39">
        <f>IFERROR(VLOOKUP("13_"&amp;A389,SyS!$B:$P,12,FALSE()),0)</f>
        <v>0</v>
      </c>
      <c r="Z389" s="40">
        <f>+X389-Y389</f>
        <v>0</v>
      </c>
      <c r="AA389" s="38">
        <f>IFERROR(VLOOKUP("17_"&amp;A389,SyS!$B:$P,10,FALSE()),0)</f>
        <v>0</v>
      </c>
      <c r="AB389" s="39">
        <f>IFERROR(VLOOKUP("17_"&amp;A389,SyS!$B:$P,12,FALSE()),0)</f>
        <v>0</v>
      </c>
      <c r="AC389" s="40">
        <f>+AA389-AB389</f>
        <v>0</v>
      </c>
      <c r="AD389" s="39"/>
      <c r="AE389" s="39"/>
      <c r="AF389" s="39"/>
      <c r="AG389" s="39">
        <f>IFERROR(VLOOKUP("19_"&amp;A389,SyS!$B:$P,10,FALSE()),0)</f>
        <v>0</v>
      </c>
      <c r="AH389" s="39">
        <f>IFERROR(VLOOKUP("19_"&amp;A389,SyS!$B:$P,12,FALSE()),0)</f>
        <v>0</v>
      </c>
      <c r="AI389" s="39">
        <f>+AG389-AH389</f>
        <v>0</v>
      </c>
      <c r="AJ389" s="39"/>
      <c r="AK389" s="39"/>
      <c r="AL389" s="39"/>
      <c r="AM389" s="38">
        <f>IFERROR(VLOOKUP("23_"&amp;A389,SyS!$B:$P,10,FALSE()),0)</f>
        <v>0</v>
      </c>
      <c r="AN389" s="39">
        <f>IFERROR(VLOOKUP("23_"&amp;A389,SyS!$B:$P,12,FALSE()),0)</f>
        <v>0</v>
      </c>
      <c r="AO389" s="40">
        <f>+AM389-AN389</f>
        <v>0</v>
      </c>
      <c r="AP389" s="39"/>
      <c r="AQ389" s="39"/>
      <c r="AR389" s="39"/>
      <c r="AS389" s="39"/>
      <c r="AT389" s="39"/>
      <c r="AU389" s="39"/>
      <c r="AV389" s="39"/>
      <c r="AW389" s="39"/>
      <c r="AX389" s="39"/>
      <c r="AY389" s="39"/>
      <c r="AZ389" s="39"/>
      <c r="BA389" s="39"/>
      <c r="BB389" s="39"/>
      <c r="BC389" s="39"/>
      <c r="BD389" s="39"/>
      <c r="BE389" s="39"/>
      <c r="BF389" s="39"/>
      <c r="BG389" s="39"/>
      <c r="BH389" s="39"/>
      <c r="BI389" s="39"/>
      <c r="BJ389" s="39"/>
      <c r="BK389" s="39">
        <f>IFERROR(VLOOKUP("29_"&amp;A389,SyS!$B:$P,10,FALSE()),0)</f>
        <v>0</v>
      </c>
      <c r="BL389" s="39">
        <f>IFERROR(VLOOKUP("29_"&amp;A389,SyS!$B:$P,12,FALSE()),0)</f>
        <v>0</v>
      </c>
      <c r="BM389" s="39">
        <f>+BK389-BL389</f>
        <v>0</v>
      </c>
      <c r="BN389" s="38">
        <f>IFERROR(VLOOKUP("30_"&amp;A389,SyS!$B:$P,10,FALSE()),0)</f>
        <v>0</v>
      </c>
      <c r="BO389" s="39">
        <f>IFERROR(VLOOKUP("30_"&amp;A389,SyS!$B:$P,12,FALSE()),0)</f>
        <v>0</v>
      </c>
      <c r="BP389" s="40">
        <f>+BN389-BO389</f>
        <v>0</v>
      </c>
      <c r="BQ389" s="45">
        <f>+E389+H389+K389+Q389+T389+W389+Z389+AC389+AF389+AI389+AL389+AO389+AR389+AU389+AX389+BA389+BD389+BG389+BJ389+BM389+BP389</f>
        <v>0</v>
      </c>
    </row>
    <row r="390" ht="11.25" customHeight="1" spans="1:69" x14ac:dyDescent="0.25">
      <c r="A390" s="18">
        <v>421210000</v>
      </c>
      <c r="B390" s="18" t="s">
        <v>618</v>
      </c>
      <c r="C390" s="38">
        <f>IFERROR(VLOOKUP("1_"&amp;A390,SyS!$B:$P,10,FALSE()),0)</f>
        <v>0</v>
      </c>
      <c r="D390" s="39">
        <f>IFERROR(VLOOKUP("1_"&amp;A390,SyS!$B:$P,12,FALSE()),0)</f>
        <v>0</v>
      </c>
      <c r="E390" s="39">
        <f>+C390-D390</f>
        <v>0</v>
      </c>
      <c r="F390" s="38">
        <f>IFERROR(VLOOKUP("2_"&amp;A390,SyS!$B:$P,10,FALSE()),0)</f>
        <v>0</v>
      </c>
      <c r="G390" s="39">
        <f>IFERROR(VLOOKUP("2_"&amp;A390,SyS!$B:$P,12,FALSE()),0)</f>
        <v>0</v>
      </c>
      <c r="H390" s="40">
        <f>+F390-G390</f>
        <v>0</v>
      </c>
      <c r="I390" s="39"/>
      <c r="J390" s="39"/>
      <c r="K390" s="39"/>
      <c r="L390" s="39"/>
      <c r="M390" s="39"/>
      <c r="N390" s="39"/>
      <c r="O390" s="38">
        <f>IFERROR(VLOOKUP("14_"&amp;A390,SyS!$B:$P,10,FALSE()),0)</f>
        <v>0</v>
      </c>
      <c r="P390" s="39">
        <f>IFERROR(VLOOKUP("14_"&amp;A390,SyS!$B:$P,12,FALSE()),0)</f>
        <v>0</v>
      </c>
      <c r="Q390" s="40">
        <f>+O390-P390</f>
        <v>0</v>
      </c>
      <c r="R390" s="38">
        <f>IFERROR(VLOOKUP("15_"&amp;A390,SyS!$B:$P,10,FALSE()),0)</f>
        <v>0</v>
      </c>
      <c r="S390" s="39">
        <f>IFERROR(VLOOKUP("15_"&amp;A390,SyS!$B:$P,12,FALSE()),0)</f>
        <v>0</v>
      </c>
      <c r="T390" s="40">
        <f>+R390-S390</f>
        <v>0</v>
      </c>
      <c r="U390" s="38">
        <f>IFERROR(VLOOKUP("16_"&amp;A390,SyS!$B:$P,10,FALSE()),0)</f>
        <v>0</v>
      </c>
      <c r="V390" s="39">
        <f>IFERROR(VLOOKUP("16_"&amp;A390,SyS!$B:$P,12,FALSE()),0)</f>
        <v>0</v>
      </c>
      <c r="W390" s="40">
        <f>+U390-V390</f>
        <v>0</v>
      </c>
      <c r="X390" s="38">
        <f>IFERROR(VLOOKUP("13_"&amp;A390,SyS!$B:$P,10,FALSE()),0)</f>
        <v>0</v>
      </c>
      <c r="Y390" s="39">
        <f>IFERROR(VLOOKUP("13_"&amp;A390,SyS!$B:$P,12,FALSE()),0)</f>
        <v>0</v>
      </c>
      <c r="Z390" s="40">
        <f>+X390-Y390</f>
        <v>0</v>
      </c>
      <c r="AA390" s="38">
        <f>IFERROR(VLOOKUP("17_"&amp;A390,SyS!$B:$P,10,FALSE()),0)</f>
        <v>0</v>
      </c>
      <c r="AB390" s="39">
        <f>IFERROR(VLOOKUP("17_"&amp;A390,SyS!$B:$P,12,FALSE()),0)</f>
        <v>0</v>
      </c>
      <c r="AC390" s="40">
        <f>+AA390-AB390</f>
        <v>0</v>
      </c>
      <c r="AD390" s="39"/>
      <c r="AE390" s="39"/>
      <c r="AF390" s="39"/>
      <c r="AG390" s="39">
        <f>IFERROR(VLOOKUP("19_"&amp;A390,SyS!$B:$P,10,FALSE()),0)</f>
        <v>0</v>
      </c>
      <c r="AH390" s="39">
        <f>IFERROR(VLOOKUP("19_"&amp;A390,SyS!$B:$P,12,FALSE()),0)</f>
        <v>0</v>
      </c>
      <c r="AI390" s="39">
        <f>+AG390-AH390</f>
        <v>0</v>
      </c>
      <c r="AJ390" s="39"/>
      <c r="AK390" s="39"/>
      <c r="AL390" s="39"/>
      <c r="AM390" s="38">
        <f>IFERROR(VLOOKUP("23_"&amp;A390,SyS!$B:$P,10,FALSE()),0)</f>
        <v>0</v>
      </c>
      <c r="AN390" s="39">
        <f>IFERROR(VLOOKUP("23_"&amp;A390,SyS!$B:$P,12,FALSE()),0)</f>
        <v>0</v>
      </c>
      <c r="AO390" s="40">
        <f>+AM390-AN390</f>
        <v>0</v>
      </c>
      <c r="AP390" s="39"/>
      <c r="AQ390" s="39"/>
      <c r="AR390" s="39"/>
      <c r="AS390" s="39"/>
      <c r="AT390" s="39"/>
      <c r="AU390" s="39"/>
      <c r="AV390" s="39"/>
      <c r="AW390" s="39"/>
      <c r="AX390" s="39"/>
      <c r="AY390" s="39"/>
      <c r="AZ390" s="39"/>
      <c r="BA390" s="39"/>
      <c r="BB390" s="39"/>
      <c r="BC390" s="39"/>
      <c r="BD390" s="39"/>
      <c r="BE390" s="39"/>
      <c r="BF390" s="39"/>
      <c r="BG390" s="39"/>
      <c r="BH390" s="39"/>
      <c r="BI390" s="39"/>
      <c r="BJ390" s="39"/>
      <c r="BK390" s="39">
        <f>IFERROR(VLOOKUP("29_"&amp;A390,SyS!$B:$P,10,FALSE()),0)</f>
        <v>0</v>
      </c>
      <c r="BL390" s="39">
        <f>IFERROR(VLOOKUP("29_"&amp;A390,SyS!$B:$P,12,FALSE()),0)</f>
        <v>0</v>
      </c>
      <c r="BM390" s="39">
        <f>+BK390-BL390</f>
        <v>0</v>
      </c>
      <c r="BN390" s="38">
        <f>IFERROR(VLOOKUP("30_"&amp;A390,SyS!$B:$P,10,FALSE()),0)</f>
        <v>0</v>
      </c>
      <c r="BO390" s="39">
        <f>IFERROR(VLOOKUP("30_"&amp;A390,SyS!$B:$P,12,FALSE()),0)</f>
        <v>0</v>
      </c>
      <c r="BP390" s="40">
        <f>+BN390-BO390</f>
        <v>0</v>
      </c>
      <c r="BQ390" s="45">
        <f>+E390+H390+K390+Q390+T390+W390+Z390+AC390+AF390+AI390+AL390+AO390+AR390+AU390+AX390+BA390+BD390+BG390+BJ390+BM390+BP390</f>
        <v>0</v>
      </c>
    </row>
    <row r="391" ht="11.25" customHeight="1" spans="1:69" x14ac:dyDescent="0.25">
      <c r="A391" s="18">
        <v>431040000</v>
      </c>
      <c r="B391" s="18" t="s">
        <v>619</v>
      </c>
      <c r="C391" s="38">
        <f>IFERROR(VLOOKUP("1_"&amp;A391,SyS!$B:$P,10,FALSE()),0)</f>
        <v>0</v>
      </c>
      <c r="D391" s="39">
        <f>IFERROR(VLOOKUP("1_"&amp;A391,SyS!$B:$P,12,FALSE()),0)</f>
        <v>0</v>
      </c>
      <c r="E391" s="39">
        <f>+C391-D391</f>
        <v>0</v>
      </c>
      <c r="F391" s="38">
        <f>IFERROR(VLOOKUP("2_"&amp;A391,SyS!$B:$P,10,FALSE()),0)</f>
        <v>0</v>
      </c>
      <c r="G391" s="39">
        <f>IFERROR(VLOOKUP("2_"&amp;A391,SyS!$B:$P,12,FALSE()),0)</f>
        <v>0</v>
      </c>
      <c r="H391" s="40">
        <f>+F391-G391</f>
        <v>0</v>
      </c>
      <c r="I391" s="39"/>
      <c r="J391" s="39"/>
      <c r="K391" s="39"/>
      <c r="L391" s="39"/>
      <c r="M391" s="39"/>
      <c r="N391" s="39"/>
      <c r="O391" s="38">
        <f>IFERROR(VLOOKUP("14_"&amp;A391,SyS!$B:$P,10,FALSE()),0)</f>
        <v>0</v>
      </c>
      <c r="P391" s="39">
        <f>IFERROR(VLOOKUP("14_"&amp;A391,SyS!$B:$P,12,FALSE()),0)</f>
        <v>0</v>
      </c>
      <c r="Q391" s="40">
        <f>+O391-P391</f>
        <v>0</v>
      </c>
      <c r="R391" s="38">
        <f>IFERROR(VLOOKUP("15_"&amp;A391,SyS!$B:$P,10,FALSE()),0)</f>
        <v>0</v>
      </c>
      <c r="S391" s="39">
        <f>IFERROR(VLOOKUP("15_"&amp;A391,SyS!$B:$P,12,FALSE()),0)</f>
        <v>0</v>
      </c>
      <c r="T391" s="40">
        <f>+R391-S391</f>
        <v>0</v>
      </c>
      <c r="U391" s="38">
        <f>IFERROR(VLOOKUP("16_"&amp;A391,SyS!$B:$P,10,FALSE()),0)</f>
        <v>0</v>
      </c>
      <c r="V391" s="39">
        <f>IFERROR(VLOOKUP("16_"&amp;A391,SyS!$B:$P,12,FALSE()),0)</f>
        <v>0</v>
      </c>
      <c r="W391" s="40">
        <f>+U391-V391</f>
        <v>0</v>
      </c>
      <c r="X391" s="38">
        <f>IFERROR(VLOOKUP("13_"&amp;A391,SyS!$B:$P,10,FALSE()),0)</f>
        <v>0</v>
      </c>
      <c r="Y391" s="39">
        <f>IFERROR(VLOOKUP("13_"&amp;A391,SyS!$B:$P,12,FALSE()),0)</f>
        <v>0</v>
      </c>
      <c r="Z391" s="40">
        <f>+X391-Y391</f>
        <v>0</v>
      </c>
      <c r="AA391" s="38">
        <f>IFERROR(VLOOKUP("17_"&amp;A391,SyS!$B:$P,10,FALSE()),0)</f>
        <v>0</v>
      </c>
      <c r="AB391" s="39">
        <f>IFERROR(VLOOKUP("17_"&amp;A391,SyS!$B:$P,12,FALSE()),0)</f>
        <v>0</v>
      </c>
      <c r="AC391" s="40">
        <f>+AA391-AB391</f>
        <v>0</v>
      </c>
      <c r="AD391" s="39"/>
      <c r="AE391" s="39"/>
      <c r="AF391" s="39"/>
      <c r="AG391" s="39">
        <f>IFERROR(VLOOKUP("19_"&amp;A391,SyS!$B:$P,10,FALSE()),0)</f>
        <v>0</v>
      </c>
      <c r="AH391" s="39">
        <f>IFERROR(VLOOKUP("19_"&amp;A391,SyS!$B:$P,12,FALSE()),0)</f>
        <v>0</v>
      </c>
      <c r="AI391" s="39">
        <f>+AG391-AH391</f>
        <v>0</v>
      </c>
      <c r="AJ391" s="39"/>
      <c r="AK391" s="39"/>
      <c r="AL391" s="39"/>
      <c r="AM391" s="38">
        <f>IFERROR(VLOOKUP("23_"&amp;A391,SyS!$B:$P,10,FALSE()),0)</f>
        <v>0</v>
      </c>
      <c r="AN391" s="39">
        <f>IFERROR(VLOOKUP("23_"&amp;A391,SyS!$B:$P,12,FALSE()),0)</f>
        <v>0</v>
      </c>
      <c r="AO391" s="40">
        <f>+AM391-AN391</f>
        <v>0</v>
      </c>
      <c r="AP391" s="39"/>
      <c r="AQ391" s="39"/>
      <c r="AR391" s="39"/>
      <c r="AS391" s="39"/>
      <c r="AT391" s="39"/>
      <c r="AU391" s="39"/>
      <c r="AV391" s="39"/>
      <c r="AW391" s="39"/>
      <c r="AX391" s="39"/>
      <c r="AY391" s="39"/>
      <c r="AZ391" s="39"/>
      <c r="BA391" s="39"/>
      <c r="BB391" s="39"/>
      <c r="BC391" s="39"/>
      <c r="BD391" s="39"/>
      <c r="BE391" s="39"/>
      <c r="BF391" s="39"/>
      <c r="BG391" s="39"/>
      <c r="BH391" s="39"/>
      <c r="BI391" s="39"/>
      <c r="BJ391" s="39"/>
      <c r="BK391" s="39">
        <f>IFERROR(VLOOKUP("29_"&amp;A391,SyS!$B:$P,10,FALSE()),0)</f>
        <v>0</v>
      </c>
      <c r="BL391" s="39">
        <f>IFERROR(VLOOKUP("29_"&amp;A391,SyS!$B:$P,12,FALSE()),0)</f>
        <v>0</v>
      </c>
      <c r="BM391" s="39">
        <f>+BK391-BL391</f>
        <v>0</v>
      </c>
      <c r="BN391" s="38">
        <f>IFERROR(VLOOKUP("30_"&amp;A391,SyS!$B:$P,10,FALSE()),0)</f>
        <v>0</v>
      </c>
      <c r="BO391" s="39">
        <f>IFERROR(VLOOKUP("30_"&amp;A391,SyS!$B:$P,12,FALSE()),0)</f>
        <v>0</v>
      </c>
      <c r="BP391" s="40">
        <f>+BN391-BO391</f>
        <v>0</v>
      </c>
      <c r="BQ391" s="45">
        <f>+E391+H391+K391+Q391+T391+W391+Z391+AC391+AF391+AI391+AL391+AO391+AR391+AU391+AX391+BA391+BD391+BG391+BJ391+BM391+BP391</f>
        <v>0</v>
      </c>
    </row>
    <row r="392" ht="11.25" customHeight="1" spans="1:69" x14ac:dyDescent="0.25">
      <c r="A392" s="18">
        <v>426620000</v>
      </c>
      <c r="B392" s="18" t="s">
        <v>620</v>
      </c>
      <c r="C392" s="38">
        <f>IFERROR(VLOOKUP("1_"&amp;A392,SyS!$B:$P,10,FALSE()),0)</f>
        <v>0</v>
      </c>
      <c r="D392" s="39">
        <f>IFERROR(VLOOKUP("1_"&amp;A392,SyS!$B:$P,12,FALSE()),0)</f>
        <v>0</v>
      </c>
      <c r="E392" s="39">
        <f>+C392-D392</f>
        <v>0</v>
      </c>
      <c r="F392" s="38">
        <f>IFERROR(VLOOKUP("2_"&amp;A392,SyS!$B:$P,10,FALSE()),0)</f>
        <v>0</v>
      </c>
      <c r="G392" s="39">
        <f>IFERROR(VLOOKUP("2_"&amp;A392,SyS!$B:$P,12,FALSE()),0)</f>
        <v>0</v>
      </c>
      <c r="H392" s="40">
        <f>+F392-G392</f>
        <v>0</v>
      </c>
      <c r="I392" s="39"/>
      <c r="J392" s="39"/>
      <c r="K392" s="39"/>
      <c r="L392" s="39"/>
      <c r="M392" s="39"/>
      <c r="N392" s="39"/>
      <c r="O392" s="38">
        <f>IFERROR(VLOOKUP("14_"&amp;A392,SyS!$B:$P,10,FALSE()),0)</f>
        <v>0</v>
      </c>
      <c r="P392" s="39">
        <f>IFERROR(VLOOKUP("14_"&amp;A392,SyS!$B:$P,12,FALSE()),0)</f>
        <v>0</v>
      </c>
      <c r="Q392" s="40">
        <f>+O392-P392</f>
        <v>0</v>
      </c>
      <c r="R392" s="38">
        <f>IFERROR(VLOOKUP("15_"&amp;A392,SyS!$B:$P,10,FALSE()),0)</f>
        <v>0</v>
      </c>
      <c r="S392" s="39">
        <f>IFERROR(VLOOKUP("15_"&amp;A392,SyS!$B:$P,12,FALSE()),0)</f>
        <v>0</v>
      </c>
      <c r="T392" s="40">
        <f>+R392-S392</f>
        <v>0</v>
      </c>
      <c r="U392" s="38">
        <f>IFERROR(VLOOKUP("16_"&amp;A392,SyS!$B:$P,10,FALSE()),0)</f>
        <v>0</v>
      </c>
      <c r="V392" s="39">
        <f>IFERROR(VLOOKUP("16_"&amp;A392,SyS!$B:$P,12,FALSE()),0)</f>
        <v>0</v>
      </c>
      <c r="W392" s="40">
        <f>+U392-V392</f>
        <v>0</v>
      </c>
      <c r="X392" s="38">
        <f>IFERROR(VLOOKUP("13_"&amp;A392,SyS!$B:$P,10,FALSE()),0)</f>
        <v>0</v>
      </c>
      <c r="Y392" s="39">
        <f>IFERROR(VLOOKUP("13_"&amp;A392,SyS!$B:$P,12,FALSE()),0)</f>
        <v>0</v>
      </c>
      <c r="Z392" s="40">
        <f>+X392-Y392</f>
        <v>0</v>
      </c>
      <c r="AA392" s="38">
        <f>IFERROR(VLOOKUP("17_"&amp;A392,SyS!$B:$P,10,FALSE()),0)</f>
        <v>0</v>
      </c>
      <c r="AB392" s="39">
        <f>IFERROR(VLOOKUP("17_"&amp;A392,SyS!$B:$P,12,FALSE()),0)</f>
        <v>0</v>
      </c>
      <c r="AC392" s="40">
        <f>+AA392-AB392</f>
        <v>0</v>
      </c>
      <c r="AD392" s="39"/>
      <c r="AE392" s="39"/>
      <c r="AF392" s="39"/>
      <c r="AG392" s="39">
        <f>IFERROR(VLOOKUP("19_"&amp;A392,SyS!$B:$P,10,FALSE()),0)</f>
        <v>0</v>
      </c>
      <c r="AH392" s="39">
        <f>IFERROR(VLOOKUP("19_"&amp;A392,SyS!$B:$P,12,FALSE()),0)</f>
        <v>0</v>
      </c>
      <c r="AI392" s="39">
        <f>+AG392-AH392</f>
        <v>0</v>
      </c>
      <c r="AJ392" s="39"/>
      <c r="AK392" s="39"/>
      <c r="AL392" s="39"/>
      <c r="AM392" s="38">
        <f>IFERROR(VLOOKUP("23_"&amp;A392,SyS!$B:$P,10,FALSE()),0)</f>
        <v>0</v>
      </c>
      <c r="AN392" s="39">
        <f>IFERROR(VLOOKUP("23_"&amp;A392,SyS!$B:$P,12,FALSE()),0)</f>
        <v>0</v>
      </c>
      <c r="AO392" s="40">
        <f>+AM392-AN392</f>
        <v>0</v>
      </c>
      <c r="AP392" s="39"/>
      <c r="AQ392" s="39"/>
      <c r="AR392" s="39"/>
      <c r="AS392" s="39"/>
      <c r="AT392" s="39"/>
      <c r="AU392" s="39"/>
      <c r="AV392" s="39"/>
      <c r="AW392" s="39"/>
      <c r="AX392" s="39"/>
      <c r="AY392" s="39"/>
      <c r="AZ392" s="39"/>
      <c r="BA392" s="39"/>
      <c r="BB392" s="39"/>
      <c r="BC392" s="39"/>
      <c r="BD392" s="39"/>
      <c r="BE392" s="39"/>
      <c r="BF392" s="39"/>
      <c r="BG392" s="39"/>
      <c r="BH392" s="39"/>
      <c r="BI392" s="39"/>
      <c r="BJ392" s="39"/>
      <c r="BK392" s="39">
        <f>IFERROR(VLOOKUP("29_"&amp;A392,SyS!$B:$P,10,FALSE()),0)</f>
        <v>0</v>
      </c>
      <c r="BL392" s="39">
        <f>IFERROR(VLOOKUP("29_"&amp;A392,SyS!$B:$P,12,FALSE()),0)</f>
        <v>0</v>
      </c>
      <c r="BM392" s="39">
        <f>+BK392-BL392</f>
        <v>0</v>
      </c>
      <c r="BN392" s="38">
        <f>IFERROR(VLOOKUP("30_"&amp;A392,SyS!$B:$P,10,FALSE()),0)</f>
        <v>0</v>
      </c>
      <c r="BO392" s="39">
        <f>IFERROR(VLOOKUP("30_"&amp;A392,SyS!$B:$P,12,FALSE()),0)</f>
        <v>0</v>
      </c>
      <c r="BP392" s="40">
        <f>+BN392-BO392</f>
        <v>0</v>
      </c>
      <c r="BQ392" s="45">
        <f>+E392+H392+K392+Q392+T392+W392+Z392+AC392+AF392+AI392+AL392+AO392+AR392+AU392+AX392+BA392+BD392+BG392+BJ392+BM392+BP392</f>
        <v>0</v>
      </c>
    </row>
    <row r="393" ht="11.25" customHeight="1" spans="1:69" x14ac:dyDescent="0.25">
      <c r="A393" s="18">
        <v>431090000</v>
      </c>
      <c r="B393" s="18" t="s">
        <v>621</v>
      </c>
      <c r="C393" s="38">
        <f>IFERROR(VLOOKUP("1_"&amp;A393,SyS!$B:$P,10,FALSE()),0)</f>
        <v>0</v>
      </c>
      <c r="D393" s="39">
        <f>IFERROR(VLOOKUP("1_"&amp;A393,SyS!$B:$P,12,FALSE()),0)</f>
        <v>0</v>
      </c>
      <c r="E393" s="39">
        <f>+C393-D393</f>
        <v>0</v>
      </c>
      <c r="F393" s="38">
        <f>IFERROR(VLOOKUP("2_"&amp;A393,SyS!$B:$P,10,FALSE()),0)</f>
        <v>0</v>
      </c>
      <c r="G393" s="39">
        <f>IFERROR(VLOOKUP("2_"&amp;A393,SyS!$B:$P,12,FALSE()),0)</f>
        <v>0</v>
      </c>
      <c r="H393" s="40">
        <f>+F393-G393</f>
        <v>0</v>
      </c>
      <c r="I393" s="39"/>
      <c r="J393" s="39"/>
      <c r="K393" s="39"/>
      <c r="L393" s="39"/>
      <c r="M393" s="39"/>
      <c r="N393" s="39"/>
      <c r="O393" s="38">
        <f>IFERROR(VLOOKUP("14_"&amp;A393,SyS!$B:$P,10,FALSE()),0)</f>
        <v>0</v>
      </c>
      <c r="P393" s="39">
        <f>IFERROR(VLOOKUP("14_"&amp;A393,SyS!$B:$P,12,FALSE()),0)</f>
        <v>0</v>
      </c>
      <c r="Q393" s="40">
        <f>+O393-P393</f>
        <v>0</v>
      </c>
      <c r="R393" s="38">
        <f>IFERROR(VLOOKUP("15_"&amp;A393,SyS!$B:$P,10,FALSE()),0)</f>
        <v>0</v>
      </c>
      <c r="S393" s="39">
        <f>IFERROR(VLOOKUP("15_"&amp;A393,SyS!$B:$P,12,FALSE()),0)</f>
        <v>0</v>
      </c>
      <c r="T393" s="40">
        <f>+R393-S393</f>
        <v>0</v>
      </c>
      <c r="U393" s="38">
        <f>IFERROR(VLOOKUP("16_"&amp;A393,SyS!$B:$P,10,FALSE()),0)</f>
        <v>0</v>
      </c>
      <c r="V393" s="39">
        <f>IFERROR(VLOOKUP("16_"&amp;A393,SyS!$B:$P,12,FALSE()),0)</f>
        <v>0</v>
      </c>
      <c r="W393" s="40">
        <f>+U393-V393</f>
        <v>0</v>
      </c>
      <c r="X393" s="38">
        <f>IFERROR(VLOOKUP("13_"&amp;A393,SyS!$B:$P,10,FALSE()),0)</f>
        <v>0</v>
      </c>
      <c r="Y393" s="39">
        <f>IFERROR(VLOOKUP("13_"&amp;A393,SyS!$B:$P,12,FALSE()),0)</f>
        <v>0</v>
      </c>
      <c r="Z393" s="40">
        <f>+X393-Y393</f>
        <v>0</v>
      </c>
      <c r="AA393" s="38">
        <f>IFERROR(VLOOKUP("17_"&amp;A393,SyS!$B:$P,10,FALSE()),0)</f>
        <v>0</v>
      </c>
      <c r="AB393" s="39">
        <f>IFERROR(VLOOKUP("17_"&amp;A393,SyS!$B:$P,12,FALSE()),0)</f>
        <v>0</v>
      </c>
      <c r="AC393" s="40">
        <f>+AA393-AB393</f>
        <v>0</v>
      </c>
      <c r="AD393" s="39"/>
      <c r="AE393" s="39"/>
      <c r="AF393" s="39"/>
      <c r="AG393" s="39">
        <f>IFERROR(VLOOKUP("19_"&amp;A393,SyS!$B:$P,10,FALSE()),0)</f>
        <v>0</v>
      </c>
      <c r="AH393" s="39">
        <f>IFERROR(VLOOKUP("19_"&amp;A393,SyS!$B:$P,12,FALSE()),0)</f>
        <v>0</v>
      </c>
      <c r="AI393" s="39">
        <f>+AG393-AH393</f>
        <v>0</v>
      </c>
      <c r="AJ393" s="39"/>
      <c r="AK393" s="39"/>
      <c r="AL393" s="39"/>
      <c r="AM393" s="38">
        <f>IFERROR(VLOOKUP("23_"&amp;A393,SyS!$B:$P,10,FALSE()),0)</f>
        <v>0</v>
      </c>
      <c r="AN393" s="39">
        <f>IFERROR(VLOOKUP("23_"&amp;A393,SyS!$B:$P,12,FALSE()),0)</f>
        <v>0</v>
      </c>
      <c r="AO393" s="40">
        <f>+AM393-AN393</f>
        <v>0</v>
      </c>
      <c r="AP393" s="39"/>
      <c r="AQ393" s="39"/>
      <c r="AR393" s="39"/>
      <c r="AS393" s="39"/>
      <c r="AT393" s="39"/>
      <c r="AU393" s="39"/>
      <c r="AV393" s="39"/>
      <c r="AW393" s="39"/>
      <c r="AX393" s="39"/>
      <c r="AY393" s="39"/>
      <c r="AZ393" s="39"/>
      <c r="BA393" s="39"/>
      <c r="BB393" s="39"/>
      <c r="BC393" s="39"/>
      <c r="BD393" s="39"/>
      <c r="BE393" s="39"/>
      <c r="BF393" s="39"/>
      <c r="BG393" s="39"/>
      <c r="BH393" s="39"/>
      <c r="BI393" s="39"/>
      <c r="BJ393" s="39"/>
      <c r="BK393" s="39">
        <f>IFERROR(VLOOKUP("29_"&amp;A393,SyS!$B:$P,10,FALSE()),0)</f>
        <v>0</v>
      </c>
      <c r="BL393" s="39">
        <f>IFERROR(VLOOKUP("29_"&amp;A393,SyS!$B:$P,12,FALSE()),0)</f>
        <v>0</v>
      </c>
      <c r="BM393" s="39">
        <f>+BK393-BL393</f>
        <v>0</v>
      </c>
      <c r="BN393" s="38">
        <f>IFERROR(VLOOKUP("30_"&amp;A393,SyS!$B:$P,10,FALSE()),0)</f>
        <v>0</v>
      </c>
      <c r="BO393" s="39">
        <f>IFERROR(VLOOKUP("30_"&amp;A393,SyS!$B:$P,12,FALSE()),0)</f>
        <v>0</v>
      </c>
      <c r="BP393" s="40">
        <f>+BN393-BO393</f>
        <v>0</v>
      </c>
      <c r="BQ393" s="45">
        <f>+E393+H393+K393+Q393+T393+W393+Z393+AC393+AF393+AI393+AL393+AO393+AR393+AU393+AX393+BA393+BD393+BG393+BJ393+BM393+BP393</f>
        <v>0</v>
      </c>
    </row>
    <row r="394" ht="12" customHeight="1" spans="1:69" x14ac:dyDescent="0.25">
      <c r="A394" s="18">
        <v>426630000</v>
      </c>
      <c r="B394" s="18" t="s">
        <v>622</v>
      </c>
      <c r="C394" s="38">
        <f>IFERROR(VLOOKUP("1_"&amp;A394,SyS!$B:$P,10,FALSE()),0)</f>
        <v>0</v>
      </c>
      <c r="D394" s="39">
        <f>IFERROR(VLOOKUP("1_"&amp;A394,SyS!$B:$P,12,FALSE()),0)</f>
        <v>0</v>
      </c>
      <c r="E394" s="39">
        <f>+C394-D394</f>
        <v>0</v>
      </c>
      <c r="F394" s="38">
        <f>IFERROR(VLOOKUP("2_"&amp;A394,SyS!$B:$P,10,FALSE()),0)</f>
        <v>481.67</v>
      </c>
      <c r="G394" s="39">
        <f>IFERROR(VLOOKUP("2_"&amp;A394,SyS!$B:$P,12,FALSE()),0)</f>
        <v>0</v>
      </c>
      <c r="H394" s="40">
        <f>+F394-G394</f>
        <v>481.67</v>
      </c>
      <c r="I394" s="39"/>
      <c r="J394" s="39"/>
      <c r="K394" s="39"/>
      <c r="L394" s="39"/>
      <c r="M394" s="39"/>
      <c r="N394" s="39"/>
      <c r="O394" s="38">
        <f>IFERROR(VLOOKUP("14_"&amp;A394,SyS!$B:$P,10,FALSE()),0)</f>
        <v>0</v>
      </c>
      <c r="P394" s="39">
        <f>IFERROR(VLOOKUP("14_"&amp;A394,SyS!$B:$P,12,FALSE()),0)</f>
        <v>0</v>
      </c>
      <c r="Q394" s="40">
        <f>+O394-P394</f>
        <v>0</v>
      </c>
      <c r="R394" s="38">
        <f>IFERROR(VLOOKUP("15_"&amp;A394,SyS!$B:$P,10,FALSE()),0)</f>
        <v>0</v>
      </c>
      <c r="S394" s="39">
        <f>IFERROR(VLOOKUP("15_"&amp;A394,SyS!$B:$P,12,FALSE()),0)</f>
        <v>0</v>
      </c>
      <c r="T394" s="40">
        <f>+R394-S394</f>
        <v>0</v>
      </c>
      <c r="U394" s="38">
        <f>IFERROR(VLOOKUP("16_"&amp;A394,SyS!$B:$P,10,FALSE()),0)</f>
        <v>0</v>
      </c>
      <c r="V394" s="39">
        <f>IFERROR(VLOOKUP("16_"&amp;A394,SyS!$B:$P,12,FALSE()),0)</f>
        <v>0</v>
      </c>
      <c r="W394" s="40">
        <f>+U394-V394</f>
        <v>0</v>
      </c>
      <c r="X394" s="38">
        <f>IFERROR(VLOOKUP("13_"&amp;A394,SyS!$B:$P,10,FALSE()),0)</f>
        <v>0</v>
      </c>
      <c r="Y394" s="39">
        <f>IFERROR(VLOOKUP("13_"&amp;A394,SyS!$B:$P,12,FALSE()),0)</f>
        <v>0</v>
      </c>
      <c r="Z394" s="40">
        <f>+X394-Y394</f>
        <v>0</v>
      </c>
      <c r="AA394" s="38">
        <f>IFERROR(VLOOKUP("17_"&amp;A394,SyS!$B:$P,10,FALSE()),0)</f>
        <v>0</v>
      </c>
      <c r="AB394" s="39">
        <f>IFERROR(VLOOKUP("17_"&amp;A394,SyS!$B:$P,12,FALSE()),0)</f>
        <v>0</v>
      </c>
      <c r="AC394" s="40">
        <f>+AA394-AB394</f>
        <v>0</v>
      </c>
      <c r="AD394" s="39"/>
      <c r="AE394" s="39"/>
      <c r="AF394" s="39"/>
      <c r="AG394" s="39">
        <f>IFERROR(VLOOKUP("19_"&amp;A394,SyS!$B:$P,10,FALSE()),0)</f>
        <v>0</v>
      </c>
      <c r="AH394" s="39">
        <f>IFERROR(VLOOKUP("19_"&amp;A394,SyS!$B:$P,12,FALSE()),0)</f>
        <v>0</v>
      </c>
      <c r="AI394" s="39">
        <f>+AG394-AH394</f>
        <v>0</v>
      </c>
      <c r="AJ394" s="39"/>
      <c r="AK394" s="39"/>
      <c r="AL394" s="39"/>
      <c r="AM394" s="38">
        <f>IFERROR(VLOOKUP("23_"&amp;A394,SyS!$B:$P,10,FALSE()),0)</f>
        <v>0</v>
      </c>
      <c r="AN394" s="39">
        <f>IFERROR(VLOOKUP("23_"&amp;A394,SyS!$B:$P,12,FALSE()),0)</f>
        <v>0</v>
      </c>
      <c r="AO394" s="40">
        <f>+AM394-AN394</f>
        <v>0</v>
      </c>
      <c r="AP394" s="39"/>
      <c r="AQ394" s="39"/>
      <c r="AR394" s="39"/>
      <c r="AS394" s="39"/>
      <c r="AT394" s="39"/>
      <c r="AU394" s="39"/>
      <c r="AV394" s="39"/>
      <c r="AW394" s="39"/>
      <c r="AX394" s="39"/>
      <c r="AY394" s="39"/>
      <c r="AZ394" s="39"/>
      <c r="BA394" s="39"/>
      <c r="BB394" s="39"/>
      <c r="BC394" s="39"/>
      <c r="BD394" s="39"/>
      <c r="BE394" s="39"/>
      <c r="BF394" s="39"/>
      <c r="BG394" s="39"/>
      <c r="BH394" s="39"/>
      <c r="BI394" s="39"/>
      <c r="BJ394" s="39"/>
      <c r="BK394" s="39">
        <f>IFERROR(VLOOKUP("29_"&amp;A394,SyS!$B:$P,10,FALSE()),0)</f>
        <v>0</v>
      </c>
      <c r="BL394" s="39">
        <f>IFERROR(VLOOKUP("29_"&amp;A394,SyS!$B:$P,12,FALSE()),0)</f>
        <v>0</v>
      </c>
      <c r="BM394" s="39">
        <f>+BK394-BL394</f>
        <v>0</v>
      </c>
      <c r="BN394" s="38">
        <f>IFERROR(VLOOKUP("30_"&amp;A394,SyS!$B:$P,10,FALSE()),0)</f>
        <v>0</v>
      </c>
      <c r="BO394" s="39">
        <f>IFERROR(VLOOKUP("30_"&amp;A394,SyS!$B:$P,12,FALSE()),0)</f>
        <v>0</v>
      </c>
      <c r="BP394" s="40">
        <f>+BN394-BO394</f>
        <v>0</v>
      </c>
      <c r="BQ394" s="45">
        <f>+E394+H394+K394+Q394+T394+W394+Z394+AC394+AF394+AI394+AL394+AO394+AR394+AU394+AX394+BA394+BD394+BG394+BJ394+BM394+BP394</f>
        <v>481.67</v>
      </c>
    </row>
    <row r="395" ht="11.25" customHeight="1" spans="1:69" x14ac:dyDescent="0.25">
      <c r="A395" s="49"/>
      <c r="B395" s="50" t="s">
        <v>623</v>
      </c>
      <c r="C395" s="38">
        <f>IFERROR(VLOOKUP("1_"&amp;A395,SyS!$B:$P,10,FALSE()),0)</f>
        <v>0</v>
      </c>
      <c r="D395" s="39">
        <f>IFERROR(VLOOKUP("1_"&amp;A395,SyS!$B:$P,12,FALSE()),0)</f>
        <v>0</v>
      </c>
      <c r="E395" s="39">
        <f>+C395-D395</f>
        <v>0</v>
      </c>
      <c r="F395" s="38"/>
      <c r="G395" s="39"/>
      <c r="H395" s="40"/>
      <c r="I395" s="39"/>
      <c r="J395" s="39"/>
      <c r="K395" s="39"/>
      <c r="L395" s="39"/>
      <c r="M395" s="39"/>
      <c r="N395" s="39"/>
      <c r="O395" s="38"/>
      <c r="P395" s="39"/>
      <c r="Q395" s="40"/>
      <c r="R395" s="38"/>
      <c r="S395" s="39"/>
      <c r="T395" s="40"/>
      <c r="U395" s="38"/>
      <c r="V395" s="39"/>
      <c r="W395" s="40"/>
      <c r="X395" s="38"/>
      <c r="Y395" s="39"/>
      <c r="Z395" s="40"/>
      <c r="AA395" s="38"/>
      <c r="AB395" s="39"/>
      <c r="AC395" s="40"/>
      <c r="AD395" s="39"/>
      <c r="AE395" s="39"/>
      <c r="AF395" s="39"/>
      <c r="AG395" s="39"/>
      <c r="AH395" s="39"/>
      <c r="AI395" s="39"/>
      <c r="AJ395" s="39"/>
      <c r="AK395" s="39"/>
      <c r="AL395" s="39"/>
      <c r="AM395" s="38"/>
      <c r="AN395" s="39"/>
      <c r="AO395" s="40"/>
      <c r="AP395" s="39"/>
      <c r="AQ395" s="39"/>
      <c r="AR395" s="39"/>
      <c r="AS395" s="39"/>
      <c r="AT395" s="39"/>
      <c r="AU395" s="39"/>
      <c r="AV395" s="39"/>
      <c r="AW395" s="39"/>
      <c r="AX395" s="39"/>
      <c r="AY395" s="39"/>
      <c r="AZ395" s="39"/>
      <c r="BA395" s="39"/>
      <c r="BB395" s="39"/>
      <c r="BC395" s="39"/>
      <c r="BD395" s="39"/>
      <c r="BE395" s="39"/>
      <c r="BF395" s="39"/>
      <c r="BG395" s="39"/>
      <c r="BH395" s="39"/>
      <c r="BI395" s="39"/>
      <c r="BJ395" s="39"/>
      <c r="BK395" s="39"/>
      <c r="BL395" s="39"/>
      <c r="BM395" s="39"/>
      <c r="BN395" s="38"/>
      <c r="BO395" s="39"/>
      <c r="BP395" s="40"/>
      <c r="BQ395" s="45"/>
    </row>
    <row r="396" ht="11.25" customHeight="1" spans="1:69" x14ac:dyDescent="0.25">
      <c r="A396" s="18">
        <v>431020000</v>
      </c>
      <c r="B396" s="18" t="s">
        <v>624</v>
      </c>
      <c r="C396" s="38">
        <f>IFERROR(VLOOKUP("1_"&amp;A396,SyS!$B:$P,10,FALSE()),0)</f>
        <v>0</v>
      </c>
      <c r="D396" s="39">
        <f>IFERROR(VLOOKUP("1_"&amp;A396,SyS!$B:$P,12,FALSE()),0)</f>
        <v>0</v>
      </c>
      <c r="E396" s="39">
        <f>+C396-D396</f>
        <v>0</v>
      </c>
      <c r="F396" s="38">
        <f>IFERROR(VLOOKUP("2_"&amp;A396,SyS!$B:$P,10,FALSE()),0)</f>
        <v>0</v>
      </c>
      <c r="G396" s="39">
        <f>IFERROR(VLOOKUP("2_"&amp;A396,SyS!$B:$P,12,FALSE()),0)</f>
        <v>0</v>
      </c>
      <c r="H396" s="40">
        <f>+F396-G396</f>
        <v>0</v>
      </c>
      <c r="I396" s="39"/>
      <c r="J396" s="39"/>
      <c r="K396" s="39"/>
      <c r="L396" s="39"/>
      <c r="M396" s="39"/>
      <c r="N396" s="39"/>
      <c r="O396" s="38">
        <f>IFERROR(VLOOKUP("14_"&amp;A396,SyS!$B:$P,10,FALSE()),0)</f>
        <v>0</v>
      </c>
      <c r="P396" s="39">
        <f>IFERROR(VLOOKUP("14_"&amp;A396,SyS!$B:$P,12,FALSE()),0)</f>
        <v>0</v>
      </c>
      <c r="Q396" s="40">
        <f>+O396-P396</f>
        <v>0</v>
      </c>
      <c r="R396" s="38">
        <f>IFERROR(VLOOKUP("15_"&amp;A396,SyS!$B:$P,10,FALSE()),0)</f>
        <v>0</v>
      </c>
      <c r="S396" s="39">
        <f>IFERROR(VLOOKUP("15_"&amp;A396,SyS!$B:$P,12,FALSE()),0)</f>
        <v>0</v>
      </c>
      <c r="T396" s="40">
        <f>+R396-S396</f>
        <v>0</v>
      </c>
      <c r="U396" s="38">
        <f>IFERROR(VLOOKUP("16_"&amp;A396,SyS!$B:$P,10,FALSE()),0)</f>
        <v>0</v>
      </c>
      <c r="V396" s="39">
        <f>IFERROR(VLOOKUP("16_"&amp;A396,SyS!$B:$P,12,FALSE()),0)</f>
        <v>0</v>
      </c>
      <c r="W396" s="40">
        <f>+U396-V396</f>
        <v>0</v>
      </c>
      <c r="X396" s="38">
        <f>IFERROR(VLOOKUP("13_"&amp;A396,SyS!$B:$P,10,FALSE()),0)</f>
        <v>0</v>
      </c>
      <c r="Y396" s="39">
        <f>IFERROR(VLOOKUP("13_"&amp;A396,SyS!$B:$P,12,FALSE()),0)</f>
        <v>0</v>
      </c>
      <c r="Z396" s="40">
        <f>+X396-Y396</f>
        <v>0</v>
      </c>
      <c r="AA396" s="38">
        <f>IFERROR(VLOOKUP("17_"&amp;A396,SyS!$B:$P,10,FALSE()),0)</f>
        <v>0</v>
      </c>
      <c r="AB396" s="39">
        <f>IFERROR(VLOOKUP("17_"&amp;A396,SyS!$B:$P,12,FALSE()),0)</f>
        <v>0</v>
      </c>
      <c r="AC396" s="40">
        <f>+AA396-AB396</f>
        <v>0</v>
      </c>
      <c r="AD396" s="39"/>
      <c r="AE396" s="39"/>
      <c r="AF396" s="39"/>
      <c r="AG396" s="39">
        <f>IFERROR(VLOOKUP("19_"&amp;A396,SyS!$B:$P,10,FALSE()),0)</f>
        <v>0</v>
      </c>
      <c r="AH396" s="39">
        <f>IFERROR(VLOOKUP("19_"&amp;A396,SyS!$B:$P,12,FALSE()),0)</f>
        <v>0</v>
      </c>
      <c r="AI396" s="39">
        <f>+AG396-AH396</f>
        <v>0</v>
      </c>
      <c r="AJ396" s="39"/>
      <c r="AK396" s="39"/>
      <c r="AL396" s="39"/>
      <c r="AM396" s="38">
        <f>IFERROR(VLOOKUP("23_"&amp;A396,SyS!$B:$P,10,FALSE()),0)</f>
        <v>0</v>
      </c>
      <c r="AN396" s="39">
        <f>IFERROR(VLOOKUP("23_"&amp;A396,SyS!$B:$P,12,FALSE()),0)</f>
        <v>0</v>
      </c>
      <c r="AO396" s="40">
        <f>+AM396-AN396</f>
        <v>0</v>
      </c>
      <c r="AP396" s="39"/>
      <c r="AQ396" s="39"/>
      <c r="AR396" s="39"/>
      <c r="AS396" s="39"/>
      <c r="AT396" s="39"/>
      <c r="AU396" s="39"/>
      <c r="AV396" s="39"/>
      <c r="AW396" s="39"/>
      <c r="AX396" s="39"/>
      <c r="AY396" s="39"/>
      <c r="AZ396" s="39"/>
      <c r="BA396" s="39"/>
      <c r="BB396" s="39"/>
      <c r="BC396" s="39"/>
      <c r="BD396" s="39"/>
      <c r="BE396" s="39"/>
      <c r="BF396" s="39"/>
      <c r="BG396" s="39"/>
      <c r="BH396" s="39"/>
      <c r="BI396" s="39"/>
      <c r="BJ396" s="39"/>
      <c r="BK396" s="39">
        <f>IFERROR(VLOOKUP("29_"&amp;A396,SyS!$B:$P,10,FALSE()),0)</f>
        <v>0</v>
      </c>
      <c r="BL396" s="39">
        <f>IFERROR(VLOOKUP("29_"&amp;A396,SyS!$B:$P,12,FALSE()),0)</f>
        <v>0</v>
      </c>
      <c r="BM396" s="39">
        <f>+BK396-BL396</f>
        <v>0</v>
      </c>
      <c r="BN396" s="38">
        <f>IFERROR(VLOOKUP("30_"&amp;A396,SyS!$B:$P,10,FALSE()),0)</f>
        <v>0</v>
      </c>
      <c r="BO396" s="39">
        <f>IFERROR(VLOOKUP("30_"&amp;A396,SyS!$B:$P,12,FALSE()),0)</f>
        <v>0</v>
      </c>
      <c r="BP396" s="40">
        <f>+BN396-BO396</f>
        <v>0</v>
      </c>
      <c r="BQ396" s="45">
        <f>+E396+H396+K396+Q396+T396+W396+Z396+AC396+AF396+AI396+AL396+AO396+AR396+AU396+AX396+BA396+BD396+BG396+BJ396+BM396+BP396</f>
        <v>0</v>
      </c>
    </row>
    <row r="397" ht="11.25" customHeight="1" spans="1:69" x14ac:dyDescent="0.25">
      <c r="A397" s="18">
        <v>431010000</v>
      </c>
      <c r="B397" s="18" t="s">
        <v>625</v>
      </c>
      <c r="C397" s="38">
        <f>IFERROR(VLOOKUP("1_"&amp;A397,SyS!$B:$P,10,FALSE()),0)</f>
        <v>0</v>
      </c>
      <c r="D397" s="39">
        <f>IFERROR(VLOOKUP("1_"&amp;A397,SyS!$B:$P,12,FALSE()),0)</f>
        <v>0</v>
      </c>
      <c r="E397" s="39">
        <f>+C397-D397</f>
        <v>0</v>
      </c>
      <c r="F397" s="38">
        <f>IFERROR(VLOOKUP("2_"&amp;A397,SyS!$B:$P,10,FALSE()),0)</f>
        <v>0</v>
      </c>
      <c r="G397" s="39">
        <f>IFERROR(VLOOKUP("2_"&amp;A397,SyS!$B:$P,12,FALSE()),0)</f>
        <v>0</v>
      </c>
      <c r="H397" s="40">
        <f>+F397-G397</f>
        <v>0</v>
      </c>
      <c r="I397" s="39"/>
      <c r="J397" s="39"/>
      <c r="K397" s="39"/>
      <c r="L397" s="39"/>
      <c r="M397" s="39"/>
      <c r="N397" s="39"/>
      <c r="O397" s="38">
        <f>IFERROR(VLOOKUP("14_"&amp;A397,SyS!$B:$P,10,FALSE()),0)</f>
        <v>0</v>
      </c>
      <c r="P397" s="39">
        <f>IFERROR(VLOOKUP("14_"&amp;A397,SyS!$B:$P,12,FALSE()),0)</f>
        <v>0</v>
      </c>
      <c r="Q397" s="40">
        <f>+O397-P397</f>
        <v>0</v>
      </c>
      <c r="R397" s="38">
        <f>IFERROR(VLOOKUP("15_"&amp;A397,SyS!$B:$P,10,FALSE()),0)</f>
        <v>0</v>
      </c>
      <c r="S397" s="39">
        <f>IFERROR(VLOOKUP("15_"&amp;A397,SyS!$B:$P,12,FALSE()),0)</f>
        <v>0</v>
      </c>
      <c r="T397" s="40">
        <f>+R397-S397</f>
        <v>0</v>
      </c>
      <c r="U397" s="38">
        <f>IFERROR(VLOOKUP("16_"&amp;A397,SyS!$B:$P,10,FALSE()),0)</f>
        <v>0</v>
      </c>
      <c r="V397" s="39">
        <f>IFERROR(VLOOKUP("16_"&amp;A397,SyS!$B:$P,12,FALSE()),0)</f>
        <v>0</v>
      </c>
      <c r="W397" s="40">
        <f>+U397-V397</f>
        <v>0</v>
      </c>
      <c r="X397" s="38">
        <f>IFERROR(VLOOKUP("13_"&amp;A397,SyS!$B:$P,10,FALSE()),0)</f>
        <v>0</v>
      </c>
      <c r="Y397" s="39">
        <f>IFERROR(VLOOKUP("13_"&amp;A397,SyS!$B:$P,12,FALSE()),0)</f>
        <v>0</v>
      </c>
      <c r="Z397" s="40">
        <f>+X397-Y397</f>
        <v>0</v>
      </c>
      <c r="AA397" s="38">
        <f>IFERROR(VLOOKUP("17_"&amp;A397,SyS!$B:$P,10,FALSE()),0)</f>
        <v>0</v>
      </c>
      <c r="AB397" s="39">
        <f>IFERROR(VLOOKUP("17_"&amp;A397,SyS!$B:$P,12,FALSE()),0)</f>
        <v>0</v>
      </c>
      <c r="AC397" s="40">
        <f>+AA397-AB397</f>
        <v>0</v>
      </c>
      <c r="AD397" s="39"/>
      <c r="AE397" s="39"/>
      <c r="AF397" s="39"/>
      <c r="AG397" s="39">
        <f>IFERROR(VLOOKUP("19_"&amp;A397,SyS!$B:$P,10,FALSE()),0)</f>
        <v>0</v>
      </c>
      <c r="AH397" s="39">
        <f>IFERROR(VLOOKUP("19_"&amp;A397,SyS!$B:$P,12,FALSE()),0)</f>
        <v>0</v>
      </c>
      <c r="AI397" s="39">
        <f>+AG397-AH397</f>
        <v>0</v>
      </c>
      <c r="AJ397" s="39"/>
      <c r="AK397" s="39"/>
      <c r="AL397" s="39"/>
      <c r="AM397" s="38">
        <f>IFERROR(VLOOKUP("23_"&amp;A397,SyS!$B:$P,10,FALSE()),0)</f>
        <v>0</v>
      </c>
      <c r="AN397" s="39">
        <f>IFERROR(VLOOKUP("23_"&amp;A397,SyS!$B:$P,12,FALSE()),0)</f>
        <v>0</v>
      </c>
      <c r="AO397" s="40">
        <f>+AM397-AN397</f>
        <v>0</v>
      </c>
      <c r="AP397" s="39"/>
      <c r="AQ397" s="39"/>
      <c r="AR397" s="39"/>
      <c r="AS397" s="39"/>
      <c r="AT397" s="39"/>
      <c r="AU397" s="39"/>
      <c r="AV397" s="39"/>
      <c r="AW397" s="39"/>
      <c r="AX397" s="39"/>
      <c r="AY397" s="39"/>
      <c r="AZ397" s="39"/>
      <c r="BA397" s="39"/>
      <c r="BB397" s="39"/>
      <c r="BC397" s="39"/>
      <c r="BD397" s="39"/>
      <c r="BE397" s="39"/>
      <c r="BF397" s="39"/>
      <c r="BG397" s="39"/>
      <c r="BH397" s="39"/>
      <c r="BI397" s="39"/>
      <c r="BJ397" s="39"/>
      <c r="BK397" s="39">
        <f>IFERROR(VLOOKUP("29_"&amp;A397,SyS!$B:$P,10,FALSE()),0)</f>
        <v>0</v>
      </c>
      <c r="BL397" s="39">
        <f>IFERROR(VLOOKUP("29_"&amp;A397,SyS!$B:$P,12,FALSE()),0)</f>
        <v>0</v>
      </c>
      <c r="BM397" s="39">
        <f>+BK397-BL397</f>
        <v>0</v>
      </c>
      <c r="BN397" s="38">
        <f>IFERROR(VLOOKUP("30_"&amp;A397,SyS!$B:$P,10,FALSE()),0)</f>
        <v>0</v>
      </c>
      <c r="BO397" s="39">
        <f>IFERROR(VLOOKUP("30_"&amp;A397,SyS!$B:$P,12,FALSE()),0)</f>
        <v>0</v>
      </c>
      <c r="BP397" s="40">
        <f>+BN397-BO397</f>
        <v>0</v>
      </c>
      <c r="BQ397" s="45">
        <f>+E397+H397+K397+Q397+T397+W397+Z397+AC397+AF397+AI397+AL397+AO397+AR397+AU397+AX397+BA397+BD397+BG397+BJ397+BM397+BP397</f>
        <v>0</v>
      </c>
    </row>
    <row r="398" ht="11.25" customHeight="1" spans="1:69" x14ac:dyDescent="0.25">
      <c r="A398" s="18">
        <v>431120000</v>
      </c>
      <c r="B398" s="18" t="s">
        <v>626</v>
      </c>
      <c r="C398" s="38">
        <f>IFERROR(VLOOKUP("1_"&amp;A398,SyS!$B:$P,10,FALSE()),0)</f>
        <v>0</v>
      </c>
      <c r="D398" s="39">
        <f>IFERROR(VLOOKUP("1_"&amp;A398,SyS!$B:$P,12,FALSE()),0)</f>
        <v>0</v>
      </c>
      <c r="E398" s="39">
        <f>+C398-D398</f>
        <v>0</v>
      </c>
      <c r="F398" s="38">
        <f>IFERROR(VLOOKUP("2_"&amp;A398,SyS!$B:$P,10,FALSE()),0)</f>
        <v>0</v>
      </c>
      <c r="G398" s="39">
        <f>IFERROR(VLOOKUP("2_"&amp;A398,SyS!$B:$P,12,FALSE()),0)</f>
        <v>0</v>
      </c>
      <c r="H398" s="40">
        <f>+F398-G398</f>
        <v>0</v>
      </c>
      <c r="I398" s="39"/>
      <c r="J398" s="39"/>
      <c r="K398" s="39"/>
      <c r="L398" s="39"/>
      <c r="M398" s="39"/>
      <c r="N398" s="39"/>
      <c r="O398" s="38">
        <f>IFERROR(VLOOKUP("14_"&amp;A398,SyS!$B:$P,10,FALSE()),0)</f>
        <v>0</v>
      </c>
      <c r="P398" s="39">
        <f>IFERROR(VLOOKUP("14_"&amp;A398,SyS!$B:$P,12,FALSE()),0)</f>
        <v>0</v>
      </c>
      <c r="Q398" s="40">
        <f>+O398-P398</f>
        <v>0</v>
      </c>
      <c r="R398" s="38">
        <f>IFERROR(VLOOKUP("15_"&amp;A398,SyS!$B:$P,10,FALSE()),0)</f>
        <v>0</v>
      </c>
      <c r="S398" s="39">
        <f>IFERROR(VLOOKUP("15_"&amp;A398,SyS!$B:$P,12,FALSE()),0)</f>
        <v>0</v>
      </c>
      <c r="T398" s="40">
        <f>+R398-S398</f>
        <v>0</v>
      </c>
      <c r="U398" s="38">
        <f>IFERROR(VLOOKUP("16_"&amp;A398,SyS!$B:$P,10,FALSE()),0)</f>
        <v>0</v>
      </c>
      <c r="V398" s="39">
        <f>IFERROR(VLOOKUP("16_"&amp;A398,SyS!$B:$P,12,FALSE()),0)</f>
        <v>0</v>
      </c>
      <c r="W398" s="40">
        <f>+U398-V398</f>
        <v>0</v>
      </c>
      <c r="X398" s="38">
        <f>IFERROR(VLOOKUP("13_"&amp;A398,SyS!$B:$P,10,FALSE()),0)</f>
        <v>0</v>
      </c>
      <c r="Y398" s="39">
        <f>IFERROR(VLOOKUP("13_"&amp;A398,SyS!$B:$P,12,FALSE()),0)</f>
        <v>0</v>
      </c>
      <c r="Z398" s="40">
        <f>+X398-Y398</f>
        <v>0</v>
      </c>
      <c r="AA398" s="38">
        <f>IFERROR(VLOOKUP("17_"&amp;A398,SyS!$B:$P,10,FALSE()),0)</f>
        <v>0</v>
      </c>
      <c r="AB398" s="39">
        <f>IFERROR(VLOOKUP("17_"&amp;A398,SyS!$B:$P,12,FALSE()),0)</f>
        <v>0</v>
      </c>
      <c r="AC398" s="40">
        <f>+AA398-AB398</f>
        <v>0</v>
      </c>
      <c r="AD398" s="39"/>
      <c r="AE398" s="39"/>
      <c r="AF398" s="39"/>
      <c r="AG398" s="39">
        <f>IFERROR(VLOOKUP("19_"&amp;A398,SyS!$B:$P,10,FALSE()),0)</f>
        <v>0</v>
      </c>
      <c r="AH398" s="39">
        <f>IFERROR(VLOOKUP("19_"&amp;A398,SyS!$B:$P,12,FALSE()),0)</f>
        <v>0</v>
      </c>
      <c r="AI398" s="39">
        <f>+AG398-AH398</f>
        <v>0</v>
      </c>
      <c r="AJ398" s="39"/>
      <c r="AK398" s="39"/>
      <c r="AL398" s="39"/>
      <c r="AM398" s="38">
        <f>IFERROR(VLOOKUP("23_"&amp;A398,SyS!$B:$P,10,FALSE()),0)</f>
        <v>0</v>
      </c>
      <c r="AN398" s="39">
        <f>IFERROR(VLOOKUP("23_"&amp;A398,SyS!$B:$P,12,FALSE()),0)</f>
        <v>0</v>
      </c>
      <c r="AO398" s="40">
        <f>+AM398-AN398</f>
        <v>0</v>
      </c>
      <c r="AP398" s="39"/>
      <c r="AQ398" s="39"/>
      <c r="AR398" s="39"/>
      <c r="AS398" s="39"/>
      <c r="AT398" s="39"/>
      <c r="AU398" s="39"/>
      <c r="AV398" s="39"/>
      <c r="AW398" s="39"/>
      <c r="AX398" s="39"/>
      <c r="AY398" s="39"/>
      <c r="AZ398" s="39"/>
      <c r="BA398" s="39"/>
      <c r="BB398" s="39"/>
      <c r="BC398" s="39"/>
      <c r="BD398" s="39"/>
      <c r="BE398" s="39"/>
      <c r="BF398" s="39"/>
      <c r="BG398" s="39"/>
      <c r="BH398" s="39"/>
      <c r="BI398" s="39"/>
      <c r="BJ398" s="39"/>
      <c r="BK398" s="39">
        <f>IFERROR(VLOOKUP("29_"&amp;A398,SyS!$B:$P,10,FALSE()),0)</f>
        <v>0</v>
      </c>
      <c r="BL398" s="39">
        <f>IFERROR(VLOOKUP("29_"&amp;A398,SyS!$B:$P,12,FALSE()),0)</f>
        <v>0</v>
      </c>
      <c r="BM398" s="39">
        <f>+BK398-BL398</f>
        <v>0</v>
      </c>
      <c r="BN398" s="38">
        <f>IFERROR(VLOOKUP("30_"&amp;A398,SyS!$B:$P,10,FALSE()),0)</f>
        <v>0</v>
      </c>
      <c r="BO398" s="39">
        <f>IFERROR(VLOOKUP("30_"&amp;A398,SyS!$B:$P,12,FALSE()),0)</f>
        <v>0</v>
      </c>
      <c r="BP398" s="40">
        <f>+BN398-BO398</f>
        <v>0</v>
      </c>
      <c r="BQ398" s="45">
        <f>+E398+H398+K398+Q398+T398+W398+Z398+AC398+AF398+AI398+AL398+AO398+AR398+AU398+AX398+BA398+BD398+BG398+BJ398+BM398+BP398</f>
        <v>0</v>
      </c>
    </row>
    <row r="399" ht="12" customHeight="1" spans="1:69" s="19" customFormat="1" x14ac:dyDescent="0.25">
      <c r="A399" s="44"/>
      <c r="B399" s="44"/>
      <c r="C399" s="38"/>
      <c r="D399" s="39"/>
      <c r="E399" s="39"/>
      <c r="F399" s="38"/>
      <c r="G399" s="39"/>
      <c r="H399" s="40"/>
      <c r="I399" s="39"/>
      <c r="J399" s="39"/>
      <c r="K399" s="39"/>
      <c r="L399" s="39"/>
      <c r="M399" s="39"/>
      <c r="N399" s="39"/>
      <c r="O399" s="38"/>
      <c r="P399" s="39"/>
      <c r="Q399" s="40"/>
      <c r="R399" s="38"/>
      <c r="S399" s="39"/>
      <c r="T399" s="40"/>
      <c r="U399" s="38"/>
      <c r="V399" s="39"/>
      <c r="W399" s="40"/>
      <c r="X399" s="38"/>
      <c r="Y399" s="39"/>
      <c r="Z399" s="40"/>
      <c r="AA399" s="38"/>
      <c r="AB399" s="39"/>
      <c r="AC399" s="40"/>
      <c r="AD399" s="39"/>
      <c r="AE399" s="39"/>
      <c r="AF399" s="39"/>
      <c r="AG399" s="39"/>
      <c r="AH399" s="39"/>
      <c r="AI399" s="39"/>
      <c r="AJ399" s="39"/>
      <c r="AK399" s="39"/>
      <c r="AL399" s="39"/>
      <c r="AM399" s="38"/>
      <c r="AN399" s="39"/>
      <c r="AO399" s="40"/>
      <c r="AP399" s="39"/>
      <c r="AQ399" s="39"/>
      <c r="AR399" s="39"/>
      <c r="AS399" s="39"/>
      <c r="AT399" s="39"/>
      <c r="AU399" s="39"/>
      <c r="AV399" s="39"/>
      <c r="AW399" s="39"/>
      <c r="AX399" s="39"/>
      <c r="AY399" s="39"/>
      <c r="AZ399" s="39"/>
      <c r="BA399" s="39"/>
      <c r="BB399" s="39"/>
      <c r="BC399" s="39"/>
      <c r="BD399" s="53"/>
      <c r="BE399" s="39"/>
      <c r="BF399" s="39"/>
      <c r="BG399" s="39"/>
      <c r="BH399" s="39"/>
      <c r="BI399" s="39"/>
      <c r="BJ399" s="39"/>
      <c r="BK399" s="39"/>
      <c r="BL399" s="39"/>
      <c r="BM399" s="39"/>
      <c r="BN399" s="38"/>
      <c r="BO399" s="39"/>
      <c r="BP399" s="40"/>
      <c r="BQ399" s="45"/>
    </row>
    <row r="400" ht="12" customHeight="1" spans="1:69" x14ac:dyDescent="0.25">
      <c r="A400" s="18"/>
      <c r="B400" s="54" t="s">
        <v>232</v>
      </c>
      <c r="C400" s="55">
        <f>SUM(C7:C398)</f>
        <v>25850.19</v>
      </c>
      <c r="D400" s="55">
        <f>SUM(D7:D398)</f>
        <v>0</v>
      </c>
      <c r="E400" s="55">
        <f>SUM(E7:E398)</f>
        <v>25850.19</v>
      </c>
      <c r="F400" s="55">
        <f>SUM(F7:F398)</f>
        <v>26545.34</v>
      </c>
      <c r="G400" s="55">
        <f>SUM(G7:G398)</f>
        <v>5.61</v>
      </c>
      <c r="H400" s="55">
        <f>SUM(H7:H398)</f>
        <v>26539.73</v>
      </c>
      <c r="I400" s="55">
        <f>SUM(I7:I398)</f>
        <v>0</v>
      </c>
      <c r="J400" s="55">
        <f>SUM(J7:J398)</f>
        <v>0</v>
      </c>
      <c r="K400" s="55">
        <f>SUM(K7:K398)</f>
        <v>0</v>
      </c>
      <c r="L400" s="55">
        <f>SUM(L7:L398)</f>
        <v>0</v>
      </c>
      <c r="M400" s="55"/>
      <c r="N400" s="55"/>
      <c r="O400" s="55">
        <f>SUM(O7:O398)</f>
        <v>0</v>
      </c>
      <c r="P400" s="55">
        <f>SUM(P7:P398)</f>
        <v>0</v>
      </c>
      <c r="Q400" s="55">
        <f>SUM(Q7:Q398)</f>
        <v>0</v>
      </c>
      <c r="R400" s="55">
        <f>SUM(R7:R398)</f>
        <v>14286.470000000001</v>
      </c>
      <c r="S400" s="55">
        <f>SUM(S7:S398)</f>
        <v>0</v>
      </c>
      <c r="T400" s="55">
        <f>SUM(T7:T398)</f>
        <v>14286.470000000001</v>
      </c>
      <c r="U400" s="55">
        <f>SUM(U7:U398)</f>
        <v>0</v>
      </c>
      <c r="V400" s="55">
        <f>SUM(V7:V398)</f>
        <v>0</v>
      </c>
      <c r="W400" s="55">
        <f>SUM(W7:W398)</f>
        <v>0</v>
      </c>
      <c r="X400" s="55">
        <f>SUM(X7:X398)</f>
        <v>0</v>
      </c>
      <c r="Y400" s="55">
        <f>SUM(Y7:Y398)</f>
        <v>0</v>
      </c>
      <c r="Z400" s="55">
        <f>SUM(Z7:Z398)</f>
        <v>0</v>
      </c>
      <c r="AA400" s="55">
        <f>SUM(AA7:AA398)</f>
        <v>16784.289999999997</v>
      </c>
      <c r="AB400" s="55">
        <f>SUM(AB7:AB398)</f>
        <v>0</v>
      </c>
      <c r="AC400" s="55">
        <f>SUM(AC7:AC398)</f>
        <v>16784.289999999997</v>
      </c>
      <c r="AD400" s="55">
        <f>SUM(AD7:AD398)</f>
        <v>0</v>
      </c>
      <c r="AE400" s="55">
        <f>SUM(AE7:AE398)</f>
        <v>0</v>
      </c>
      <c r="AF400" s="55">
        <f>SUM(AF7:AF398)</f>
        <v>0</v>
      </c>
      <c r="AG400" s="55">
        <f>SUM(AG7:AG398)</f>
        <v>0</v>
      </c>
      <c r="AH400" s="55">
        <f>SUM(AH7:AH398)</f>
        <v>0</v>
      </c>
      <c r="AI400" s="55">
        <f>SUM(AI7:AI398)</f>
        <v>0</v>
      </c>
      <c r="AJ400" s="55">
        <f>SUM(AJ7:AJ398)</f>
        <v>0</v>
      </c>
      <c r="AK400" s="55">
        <f>SUM(AK7:AK398)</f>
        <v>0</v>
      </c>
      <c r="AL400" s="55">
        <f>SUM(AL7:AL398)</f>
        <v>0</v>
      </c>
      <c r="AM400" s="55">
        <f>SUM(AM7:AM398)</f>
        <v>0</v>
      </c>
      <c r="AN400" s="55">
        <f>SUM(AN7:AN398)</f>
        <v>0</v>
      </c>
      <c r="AO400" s="55">
        <f>SUM(AO7:AO398)</f>
        <v>0</v>
      </c>
      <c r="AP400" s="55">
        <f>SUM(AP7:AP398)</f>
        <v>0</v>
      </c>
      <c r="AQ400" s="55">
        <f>SUM(AQ7:AQ398)</f>
        <v>0</v>
      </c>
      <c r="AR400" s="55">
        <f>SUM(AR7:AR398)</f>
        <v>0</v>
      </c>
      <c r="AS400" s="55">
        <f>SUM(AS7:AS398)</f>
        <v>0</v>
      </c>
      <c r="AT400" s="55">
        <f>SUM(AT7:AT398)</f>
        <v>0</v>
      </c>
      <c r="AU400" s="55">
        <f>SUM(AU7:AU398)</f>
        <v>0</v>
      </c>
      <c r="AV400" s="55">
        <f>SUM(AV7:AV398)</f>
        <v>0</v>
      </c>
      <c r="AW400" s="55">
        <f>SUM(AW7:AW398)</f>
        <v>0</v>
      </c>
      <c r="AX400" s="55">
        <f>SUM(AX7:AX398)</f>
        <v>0</v>
      </c>
      <c r="AY400" s="55">
        <f>SUM(AY7:AY398)</f>
        <v>0</v>
      </c>
      <c r="AZ400" s="55">
        <f>SUM(AZ7:AZ398)</f>
        <v>0</v>
      </c>
      <c r="BA400" s="55">
        <f>SUM(BA7:BA398)</f>
        <v>0</v>
      </c>
      <c r="BB400" s="55">
        <f>SUM(BB7:BB398)</f>
        <v>0</v>
      </c>
      <c r="BC400" s="55">
        <f>SUM(BC7:BC398)</f>
        <v>0</v>
      </c>
      <c r="BD400" s="55">
        <f>SUM(BD7:BD398)</f>
        <v>0</v>
      </c>
      <c r="BE400" s="55">
        <f>SUM(BE7:BE398)</f>
        <v>0</v>
      </c>
      <c r="BF400" s="55">
        <f>SUM(BF7:BF398)</f>
        <v>0</v>
      </c>
      <c r="BG400" s="55">
        <f>SUM(BG7:BG398)</f>
        <v>0</v>
      </c>
      <c r="BH400" s="55">
        <f>SUM(BH7:BH398)</f>
        <v>0</v>
      </c>
      <c r="BI400" s="55">
        <f>SUM(BI7:BI398)</f>
        <v>0</v>
      </c>
      <c r="BJ400" s="55">
        <f>SUM(BJ7:BJ398)</f>
        <v>0</v>
      </c>
      <c r="BK400" s="55">
        <f>SUM(BK7:BK398)</f>
        <v>0</v>
      </c>
      <c r="BL400" s="55">
        <f>SUM(BL7:BL398)</f>
        <v>0</v>
      </c>
      <c r="BM400" s="55">
        <f>SUM(BM7:BM398)</f>
        <v>0</v>
      </c>
      <c r="BN400" s="55">
        <f>SUM(BN7:BN398)</f>
        <v>0</v>
      </c>
      <c r="BO400" s="55">
        <f>SUM(BO7:BO398)</f>
        <v>0</v>
      </c>
      <c r="BP400" s="55">
        <f>SUM(BP7:BP398)</f>
        <v>0</v>
      </c>
      <c r="BQ400" s="55">
        <f>SUM(BQ7:BQ398)</f>
        <v>83460.68000000002</v>
      </c>
    </row>
    <row r="401" ht="12" customHeight="1" spans="1:5" s="56" customFormat="1" x14ac:dyDescent="0.25">
      <c r="A401" s="57"/>
      <c r="B401" s="57"/>
      <c r="C401" s="58"/>
      <c r="D401" s="59"/>
      <c r="E401" s="60"/>
    </row>
    <row r="402" ht="12" customHeight="1" spans="1:83" x14ac:dyDescent="0.25">
      <c r="A402" s="18"/>
      <c r="B402" s="18"/>
      <c r="C402" s="19"/>
      <c r="D402" s="19"/>
      <c r="E402" s="19"/>
      <c r="F402" s="58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  <c r="AA402" s="19"/>
      <c r="AB402" s="19"/>
      <c r="AC402" s="19"/>
      <c r="AD402" s="19"/>
      <c r="AE402" s="19"/>
      <c r="AF402" s="19"/>
      <c r="AG402" s="19"/>
      <c r="AH402" s="19"/>
      <c r="AI402" s="19"/>
      <c r="AJ402" s="19"/>
      <c r="AK402" s="19"/>
      <c r="AL402" s="19"/>
      <c r="AM402" s="19"/>
      <c r="AN402" s="19"/>
      <c r="AO402" s="19"/>
      <c r="AP402" s="19"/>
      <c r="AQ402" s="19"/>
      <c r="AR402" s="19"/>
      <c r="AS402" s="19"/>
      <c r="AT402" s="19"/>
      <c r="AU402" s="19"/>
      <c r="AV402" s="19"/>
      <c r="AW402" s="19"/>
      <c r="AX402" s="19"/>
      <c r="AY402" s="19"/>
      <c r="AZ402" s="19"/>
      <c r="BA402" s="19"/>
      <c r="BB402" s="19"/>
      <c r="BC402" s="19"/>
      <c r="BD402" s="19"/>
      <c r="BE402" s="19"/>
      <c r="BF402" s="19"/>
      <c r="BG402" s="19"/>
      <c r="BH402" s="19"/>
      <c r="BI402" s="19"/>
      <c r="BJ402" s="19"/>
      <c r="BK402" s="58"/>
      <c r="BL402" s="19"/>
      <c r="BM402" s="19"/>
      <c r="BN402" s="19"/>
      <c r="BO402" s="19"/>
      <c r="BP402" s="19" t="s">
        <v>627</v>
      </c>
      <c r="BQ402" s="61"/>
      <c r="BR402" s="59"/>
      <c r="BS402" s="59"/>
      <c r="BT402" s="59"/>
      <c r="BU402" s="59"/>
      <c r="BV402" s="59"/>
      <c r="BW402" s="59"/>
      <c r="BX402" s="59"/>
      <c r="BY402" s="59"/>
      <c r="BZ402" s="59"/>
      <c r="CA402" s="59"/>
      <c r="CB402" s="59"/>
      <c r="CC402" s="59"/>
      <c r="CD402" s="59"/>
      <c r="CE402" s="59"/>
    </row>
    <row r="403" ht="11.25" customHeight="1" spans="1:67" x14ac:dyDescent="0.25">
      <c r="A403" s="30"/>
      <c r="B403" s="30"/>
      <c r="C403" s="19"/>
      <c r="D403" s="19"/>
      <c r="E403" s="19"/>
      <c r="F403" s="19"/>
      <c r="G403" s="19"/>
      <c r="H403" s="19"/>
      <c r="I403" s="62"/>
      <c r="J403" s="62"/>
      <c r="K403" s="62"/>
      <c r="L403" s="63"/>
      <c r="M403" s="63"/>
      <c r="N403" s="63"/>
      <c r="O403" s="62"/>
      <c r="P403" s="62"/>
      <c r="Q403" s="19"/>
      <c r="R403" s="19"/>
      <c r="S403" s="19"/>
      <c r="T403" s="19"/>
      <c r="U403" s="19"/>
      <c r="V403" s="19"/>
      <c r="W403" s="64"/>
      <c r="X403" s="19"/>
      <c r="Y403" s="19"/>
      <c r="Z403" s="19"/>
      <c r="AA403" s="19"/>
      <c r="AB403" s="19"/>
      <c r="AC403" s="19"/>
      <c r="AD403" s="19"/>
      <c r="AE403" s="19"/>
      <c r="AF403" s="19"/>
      <c r="AG403" s="19"/>
      <c r="AH403" s="19"/>
      <c r="AI403" s="19"/>
      <c r="AJ403" s="19"/>
      <c r="AK403" s="19"/>
      <c r="AL403" s="19"/>
      <c r="AM403" s="19"/>
      <c r="AN403" s="19"/>
      <c r="AO403" s="19"/>
      <c r="AP403" s="19"/>
      <c r="AQ403" s="19"/>
      <c r="AR403" s="19"/>
      <c r="AS403" s="19"/>
      <c r="AT403" s="19"/>
      <c r="AU403" s="19"/>
      <c r="AV403" s="19"/>
      <c r="AW403" s="19"/>
      <c r="AX403" s="19"/>
      <c r="AY403" s="19"/>
      <c r="AZ403" s="19"/>
      <c r="BA403" s="19"/>
      <c r="BB403" s="19"/>
      <c r="BC403" s="19"/>
      <c r="BD403" s="19"/>
      <c r="BE403" s="19"/>
      <c r="BF403" s="19"/>
      <c r="BG403" s="19"/>
      <c r="BH403" s="19"/>
      <c r="BI403" s="19"/>
      <c r="BJ403" s="19"/>
      <c r="BK403" s="19"/>
      <c r="BL403" s="19"/>
      <c r="BM403" s="19"/>
      <c r="BN403" s="19"/>
      <c r="BO403" s="62"/>
    </row>
    <row r="404" ht="11.25" customHeight="1" spans="1:68" x14ac:dyDescent="0.25">
      <c r="A404" s="18"/>
      <c r="B404" s="18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  <c r="AA404" s="19"/>
      <c r="AB404" s="19"/>
      <c r="AC404" s="19"/>
      <c r="AD404" s="19"/>
      <c r="AE404" s="19"/>
      <c r="AF404" s="19"/>
      <c r="AG404" s="19"/>
      <c r="AH404" s="19"/>
      <c r="AI404" s="19"/>
      <c r="AJ404" s="19"/>
      <c r="AK404" s="19"/>
      <c r="AL404" s="19"/>
      <c r="AM404" s="19"/>
      <c r="AN404" s="19"/>
      <c r="AO404" s="19"/>
      <c r="AP404" s="19"/>
      <c r="AQ404" s="19"/>
      <c r="AR404" s="19"/>
      <c r="AS404" s="19"/>
      <c r="AT404" s="19"/>
      <c r="AU404" s="19"/>
      <c r="AV404" s="19"/>
      <c r="AW404" s="19"/>
      <c r="AX404" s="19"/>
      <c r="AY404" s="19"/>
      <c r="AZ404" s="19"/>
      <c r="BA404" s="19"/>
      <c r="BB404" s="19"/>
      <c r="BC404" s="19"/>
      <c r="BD404" s="19"/>
      <c r="BE404" s="19"/>
      <c r="BF404" s="19"/>
      <c r="BG404" s="19"/>
      <c r="BH404" s="19"/>
      <c r="BI404" s="19"/>
      <c r="BJ404" s="19"/>
      <c r="BK404" s="19"/>
      <c r="BL404" s="19"/>
      <c r="BM404" s="19"/>
      <c r="BN404" s="19"/>
      <c r="BO404" s="19"/>
      <c r="BP404" s="19" t="s">
        <v>628</v>
      </c>
    </row>
    <row r="405" ht="11.25" customHeight="1" x14ac:dyDescent="0.25"/>
    <row r="406" ht="12" customHeight="1" spans="1:69" x14ac:dyDescent="0.25">
      <c r="A406" s="18"/>
      <c r="B406" s="18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  <c r="AA406" s="19"/>
      <c r="AB406" s="19"/>
      <c r="AC406" s="19"/>
      <c r="AD406" s="19"/>
      <c r="AE406" s="19"/>
      <c r="AF406" s="19"/>
      <c r="AG406" s="19"/>
      <c r="AH406" s="19"/>
      <c r="AI406" s="19"/>
      <c r="AJ406" s="19"/>
      <c r="AK406" s="19"/>
      <c r="AL406" s="19"/>
      <c r="AM406" s="19"/>
      <c r="AN406" s="19"/>
      <c r="AO406" s="19"/>
      <c r="AP406" s="19"/>
      <c r="AQ406" s="19"/>
      <c r="AR406" s="19"/>
      <c r="AS406" s="19"/>
      <c r="AT406" s="19"/>
      <c r="AU406" s="19"/>
      <c r="AV406" s="19"/>
      <c r="AW406" s="19"/>
      <c r="AX406" s="19"/>
      <c r="AY406" s="19"/>
      <c r="AZ406" s="19"/>
      <c r="BA406" s="19"/>
      <c r="BB406" s="19"/>
      <c r="BC406" s="19"/>
      <c r="BD406" s="19"/>
      <c r="BE406" s="19"/>
      <c r="BF406" s="19"/>
      <c r="BG406" s="19"/>
      <c r="BH406" s="19"/>
      <c r="BI406" s="19"/>
      <c r="BJ406" s="19"/>
      <c r="BK406" s="19"/>
      <c r="BL406" s="19"/>
      <c r="BM406" s="19"/>
      <c r="BN406" s="19"/>
      <c r="BO406" s="19"/>
      <c r="BP406" s="19"/>
      <c r="BQ406" s="45"/>
    </row>
    <row r="407" ht="11.25" customHeight="1" spans="1:7" x14ac:dyDescent="0.25">
      <c r="A407" s="18"/>
      <c r="B407" s="18"/>
      <c r="C407" s="19"/>
      <c r="D407" s="19"/>
      <c r="E407" s="19"/>
      <c r="F407" s="19"/>
      <c r="G407" s="62"/>
    </row>
    <row r="408" ht="12" customHeight="1" x14ac:dyDescent="0.25"/>
    <row r="409" ht="12" customHeight="1" spans="1:6" x14ac:dyDescent="0.25">
      <c r="A409" s="18"/>
      <c r="B409" s="18"/>
      <c r="C409" s="19"/>
      <c r="D409" s="62"/>
      <c r="E409" s="62"/>
      <c r="F409" s="62"/>
    </row>
    <row r="410" ht="11.25" customHeight="1" spans="1:3" x14ac:dyDescent="0.25">
      <c r="A410" s="18"/>
      <c r="B410" s="18"/>
      <c r="C410" s="62"/>
    </row>
    <row r="411" ht="11.25" customHeight="1" spans="1:3" x14ac:dyDescent="0.25">
      <c r="A411" s="18"/>
      <c r="B411" s="18"/>
      <c r="C411" s="65"/>
    </row>
    <row r="412" ht="11.25" customHeight="1" spans="1:3" x14ac:dyDescent="0.25">
      <c r="A412" s="18"/>
      <c r="B412" s="18"/>
      <c r="C412" s="65"/>
    </row>
    <row r="415" ht="12" customHeight="1" x14ac:dyDescent="0.25"/>
    <row r="416" ht="12" customHeight="1" spans="1:6" x14ac:dyDescent="0.25">
      <c r="A416" s="18"/>
      <c r="B416" s="18"/>
      <c r="C416" s="19"/>
      <c r="D416" s="62"/>
      <c r="E416" s="62"/>
      <c r="F416" s="62"/>
    </row>
    <row r="417" ht="11.25" customHeight="1" spans="1:3" x14ac:dyDescent="0.25">
      <c r="A417" s="18"/>
      <c r="B417" s="18"/>
      <c r="C417" s="62"/>
    </row>
    <row r="419" ht="11.25" customHeight="1" x14ac:dyDescent="0.25"/>
    <row r="420" ht="11.25" customHeight="1" spans="1:5" x14ac:dyDescent="0.25">
      <c r="A420" s="18"/>
      <c r="B420" s="18"/>
      <c r="C420" s="19"/>
      <c r="D420" s="19"/>
      <c r="E420" s="60"/>
    </row>
    <row r="421" ht="11.25" customHeight="1" x14ac:dyDescent="0.25"/>
    <row r="422" ht="11.25" customHeight="1" spans="1:68" x14ac:dyDescent="0.25">
      <c r="A422" s="18"/>
      <c r="B422" s="18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60"/>
      <c r="P422" s="60"/>
      <c r="Q422" s="60"/>
      <c r="R422" s="60"/>
      <c r="S422" s="60"/>
      <c r="T422" s="60"/>
      <c r="U422" s="60"/>
      <c r="V422" s="60"/>
      <c r="W422" s="60"/>
      <c r="X422" s="60"/>
      <c r="Y422" s="60"/>
      <c r="Z422" s="60"/>
      <c r="AA422" s="60"/>
      <c r="AB422" s="60"/>
      <c r="AC422" s="60"/>
      <c r="AD422" s="60"/>
      <c r="AE422" s="60"/>
      <c r="AF422" s="60"/>
      <c r="AG422" s="60"/>
      <c r="AH422" s="60"/>
      <c r="AI422" s="60"/>
      <c r="AJ422" s="60"/>
      <c r="AK422" s="60"/>
      <c r="AL422" s="60"/>
      <c r="AM422" s="60"/>
      <c r="AN422" s="60"/>
      <c r="AO422" s="60"/>
      <c r="AP422" s="60"/>
      <c r="AQ422" s="60"/>
      <c r="AR422" s="60"/>
      <c r="AS422" s="60"/>
      <c r="AT422" s="60"/>
      <c r="AU422" s="60"/>
      <c r="AV422" s="60"/>
      <c r="AW422" s="60"/>
      <c r="AX422" s="60"/>
      <c r="AY422" s="60"/>
      <c r="AZ422" s="60"/>
      <c r="BA422" s="60"/>
      <c r="BB422" s="60"/>
      <c r="BC422" s="60"/>
      <c r="BD422" s="60"/>
      <c r="BE422" s="60"/>
      <c r="BF422" s="60"/>
      <c r="BG422" s="60"/>
      <c r="BH422" s="60"/>
      <c r="BI422" s="60"/>
      <c r="BJ422" s="60"/>
      <c r="BK422" s="60"/>
      <c r="BL422" s="60"/>
      <c r="BM422" s="60"/>
      <c r="BN422" s="60"/>
      <c r="BO422" s="60"/>
      <c r="BP422" s="60"/>
    </row>
    <row r="424" ht="11.25" customHeight="1" x14ac:dyDescent="0.25"/>
    <row r="425" ht="11.25" customHeight="1" spans="1:68" x14ac:dyDescent="0.25">
      <c r="A425" s="18"/>
      <c r="B425" s="18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60"/>
      <c r="P425" s="60"/>
      <c r="Q425" s="60"/>
      <c r="R425" s="60"/>
      <c r="S425" s="60"/>
      <c r="T425" s="60"/>
      <c r="U425" s="60"/>
      <c r="V425" s="60"/>
      <c r="W425" s="60"/>
      <c r="X425" s="60"/>
      <c r="Y425" s="60"/>
      <c r="Z425" s="60"/>
      <c r="AA425" s="60"/>
      <c r="AB425" s="60"/>
      <c r="AC425" s="60"/>
      <c r="AD425" s="60"/>
      <c r="AE425" s="60"/>
      <c r="AF425" s="60"/>
      <c r="AG425" s="60"/>
      <c r="AH425" s="60"/>
      <c r="AI425" s="60"/>
      <c r="AJ425" s="60"/>
      <c r="AK425" s="60"/>
      <c r="AL425" s="60"/>
      <c r="AM425" s="60"/>
      <c r="AN425" s="60"/>
      <c r="AO425" s="60"/>
      <c r="AP425" s="60"/>
      <c r="AQ425" s="60"/>
      <c r="AR425" s="60"/>
      <c r="AS425" s="60"/>
      <c r="AT425" s="60"/>
      <c r="AU425" s="60"/>
      <c r="AV425" s="60"/>
      <c r="AW425" s="60"/>
      <c r="AX425" s="60"/>
      <c r="AY425" s="60"/>
      <c r="AZ425" s="60"/>
      <c r="BA425" s="60"/>
      <c r="BB425" s="60"/>
      <c r="BC425" s="60"/>
      <c r="BD425" s="60"/>
      <c r="BE425" s="60"/>
      <c r="BF425" s="60"/>
      <c r="BG425" s="60"/>
      <c r="BH425" s="60"/>
      <c r="BI425" s="60"/>
      <c r="BJ425" s="60"/>
      <c r="BK425" s="60"/>
      <c r="BL425" s="60"/>
      <c r="BM425" s="60"/>
      <c r="BN425" s="60"/>
      <c r="BO425" s="60"/>
      <c r="BP425" s="60"/>
    </row>
    <row r="426" ht="11.25" customHeight="1" spans="1:68" x14ac:dyDescent="0.25">
      <c r="A426" s="18"/>
      <c r="B426" s="18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60"/>
      <c r="P426" s="60"/>
      <c r="Q426" s="60"/>
      <c r="R426" s="60"/>
      <c r="S426" s="60"/>
      <c r="T426" s="60"/>
      <c r="U426" s="60"/>
      <c r="V426" s="60"/>
      <c r="W426" s="60"/>
      <c r="X426" s="60"/>
      <c r="Y426" s="60"/>
      <c r="Z426" s="60"/>
      <c r="AA426" s="60"/>
      <c r="AB426" s="60"/>
      <c r="AC426" s="60"/>
      <c r="AD426" s="60"/>
      <c r="AE426" s="60"/>
      <c r="AF426" s="60"/>
      <c r="AG426" s="60"/>
      <c r="AH426" s="60"/>
      <c r="AI426" s="60"/>
      <c r="AJ426" s="60"/>
      <c r="AK426" s="60"/>
      <c r="AL426" s="60"/>
      <c r="AM426" s="60"/>
      <c r="AN426" s="60"/>
      <c r="AO426" s="60"/>
      <c r="AP426" s="60"/>
      <c r="AQ426" s="60"/>
      <c r="AR426" s="60"/>
      <c r="AS426" s="60"/>
      <c r="AT426" s="60"/>
      <c r="AU426" s="60"/>
      <c r="AV426" s="60"/>
      <c r="AW426" s="60"/>
      <c r="AX426" s="60"/>
      <c r="AY426" s="60"/>
      <c r="AZ426" s="60"/>
      <c r="BA426" s="60"/>
      <c r="BB426" s="60"/>
      <c r="BC426" s="60"/>
      <c r="BD426" s="60"/>
      <c r="BE426" s="60"/>
      <c r="BF426" s="60"/>
      <c r="BG426" s="60"/>
      <c r="BH426" s="60"/>
      <c r="BI426" s="60"/>
      <c r="BJ426" s="60"/>
      <c r="BK426" s="60"/>
      <c r="BL426" s="60"/>
      <c r="BM426" s="60"/>
      <c r="BN426" s="60"/>
      <c r="BO426" s="60"/>
      <c r="BP426" s="60"/>
    </row>
    <row r="427" ht="11.25" customHeight="1" spans="1:68" x14ac:dyDescent="0.25">
      <c r="A427" s="18"/>
      <c r="B427" s="18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60"/>
      <c r="P427" s="60"/>
      <c r="Q427" s="60"/>
      <c r="R427" s="60"/>
      <c r="S427" s="60"/>
      <c r="T427" s="60"/>
      <c r="U427" s="60"/>
      <c r="V427" s="60"/>
      <c r="W427" s="60"/>
      <c r="X427" s="60"/>
      <c r="Y427" s="60"/>
      <c r="Z427" s="60"/>
      <c r="AA427" s="60"/>
      <c r="AB427" s="60"/>
      <c r="AC427" s="60"/>
      <c r="AD427" s="60"/>
      <c r="AE427" s="60"/>
      <c r="AF427" s="60"/>
      <c r="AG427" s="60"/>
      <c r="AH427" s="60"/>
      <c r="AI427" s="60"/>
      <c r="AJ427" s="60"/>
      <c r="AK427" s="60"/>
      <c r="AL427" s="60"/>
      <c r="AM427" s="60"/>
      <c r="AN427" s="60"/>
      <c r="AO427" s="60"/>
      <c r="AP427" s="60"/>
      <c r="AQ427" s="60"/>
      <c r="AR427" s="60"/>
      <c r="AS427" s="60"/>
      <c r="AT427" s="60"/>
      <c r="AU427" s="60"/>
      <c r="AV427" s="60"/>
      <c r="AW427" s="60"/>
      <c r="AX427" s="60"/>
      <c r="AY427" s="60"/>
      <c r="AZ427" s="60"/>
      <c r="BA427" s="60"/>
      <c r="BB427" s="60"/>
      <c r="BC427" s="60"/>
      <c r="BD427" s="60"/>
      <c r="BE427" s="60"/>
      <c r="BF427" s="60"/>
      <c r="BG427" s="60"/>
      <c r="BH427" s="60"/>
      <c r="BI427" s="60"/>
      <c r="BJ427" s="60"/>
      <c r="BK427" s="60"/>
      <c r="BL427" s="60"/>
      <c r="BM427" s="60"/>
      <c r="BN427" s="60"/>
      <c r="BO427" s="60"/>
      <c r="BP427" s="60"/>
    </row>
    <row r="428" ht="11.25" customHeight="1" spans="1:5" x14ac:dyDescent="0.25">
      <c r="A428" s="18"/>
      <c r="B428" s="18"/>
      <c r="C428" s="19"/>
      <c r="D428" s="19"/>
      <c r="E428" s="66"/>
    </row>
    <row r="429" ht="12" customHeight="1" x14ac:dyDescent="0.25"/>
    <row r="430" ht="12" customHeight="1" spans="1:2" x14ac:dyDescent="0.25">
      <c r="A430" s="67"/>
      <c r="B430" s="67"/>
    </row>
    <row r="431" ht="12" customHeight="1" spans="1:2" x14ac:dyDescent="0.25">
      <c r="A431" s="18"/>
      <c r="B431" s="30"/>
    </row>
    <row r="432" ht="11.25" customHeight="1" spans="1:2" x14ac:dyDescent="0.25">
      <c r="A432" s="68"/>
      <c r="B432" s="68"/>
    </row>
    <row r="434" ht="11.25" customHeight="1" x14ac:dyDescent="0.25"/>
    <row r="435" ht="11.25" customHeight="1" spans="1:8" x14ac:dyDescent="0.25">
      <c r="A435" s="18"/>
      <c r="B435" s="18"/>
      <c r="C435" s="19"/>
      <c r="D435" s="19"/>
      <c r="E435" s="19"/>
      <c r="F435" s="60"/>
      <c r="G435" s="19"/>
      <c r="H435" s="60"/>
    </row>
    <row r="436" ht="11.25" customHeight="1" spans="1:8" x14ac:dyDescent="0.25">
      <c r="A436" s="18"/>
      <c r="B436" s="18"/>
      <c r="C436" s="19"/>
      <c r="D436" s="19"/>
      <c r="E436" s="19"/>
      <c r="F436" s="60"/>
      <c r="G436" s="19"/>
      <c r="H436" s="60"/>
    </row>
    <row r="437" ht="11.25" customHeight="1" spans="1:8" x14ac:dyDescent="0.25">
      <c r="A437" s="18"/>
      <c r="B437" s="18"/>
      <c r="C437" s="19"/>
      <c r="D437" s="19"/>
      <c r="E437" s="19"/>
      <c r="F437" s="60"/>
      <c r="G437" s="19"/>
      <c r="H437" s="60"/>
    </row>
    <row r="438" ht="11.25" customHeight="1" spans="1:8" x14ac:dyDescent="0.25">
      <c r="A438" s="18"/>
      <c r="B438" s="18"/>
      <c r="C438" s="19"/>
      <c r="D438" s="19"/>
      <c r="E438" s="19"/>
      <c r="F438" s="60"/>
      <c r="G438" s="19"/>
      <c r="H438" s="60"/>
    </row>
    <row r="439" ht="11.25" customHeight="1" spans="1:8" x14ac:dyDescent="0.25">
      <c r="A439" s="18"/>
      <c r="B439" s="18"/>
      <c r="C439" s="19"/>
      <c r="D439" s="19"/>
      <c r="E439" s="19"/>
      <c r="F439" s="60"/>
      <c r="G439" s="19"/>
      <c r="H439" s="60"/>
    </row>
    <row r="440" ht="11.25" customHeight="1" spans="1:8" x14ac:dyDescent="0.25">
      <c r="A440" s="18"/>
      <c r="B440" s="18"/>
      <c r="C440" s="19"/>
      <c r="D440" s="19"/>
      <c r="E440" s="19"/>
      <c r="F440" s="60"/>
      <c r="G440" s="19"/>
      <c r="H440" s="60"/>
    </row>
    <row r="441" ht="11.25" customHeight="1" x14ac:dyDescent="0.25"/>
    <row r="442" ht="11.25" customHeight="1" spans="1:2" x14ac:dyDescent="0.25">
      <c r="A442" s="18"/>
      <c r="B442" s="69"/>
    </row>
    <row r="443" ht="11.25" customHeight="1" x14ac:dyDescent="0.25"/>
    <row r="444" ht="11.25" customHeight="1" spans="1:2" x14ac:dyDescent="0.25">
      <c r="A444" s="18"/>
      <c r="B444" s="69"/>
    </row>
    <row r="445" ht="11.25" customHeight="1" spans="1:2" x14ac:dyDescent="0.25">
      <c r="A445" s="18"/>
      <c r="B445" s="69"/>
    </row>
    <row r="446" ht="11.25" customHeight="1" spans="1:2" x14ac:dyDescent="0.25">
      <c r="A446" s="18"/>
      <c r="B446" s="69"/>
    </row>
    <row r="447" ht="11.25" customHeight="1" x14ac:dyDescent="0.25"/>
    <row r="448" ht="11.25" customHeight="1" spans="1:2" x14ac:dyDescent="0.25">
      <c r="A448" s="18"/>
      <c r="B448" s="69"/>
    </row>
    <row r="454" ht="11.25" customHeight="1" x14ac:dyDescent="0.25"/>
    <row r="455" ht="11.25" customHeight="1" spans="1:7" x14ac:dyDescent="0.25">
      <c r="A455" s="18"/>
      <c r="B455" s="18"/>
      <c r="C455" s="19"/>
      <c r="D455" s="19"/>
      <c r="E455" s="19"/>
      <c r="F455" s="19"/>
      <c r="G455" s="70"/>
    </row>
    <row r="486" ht="11.25" customHeight="1" x14ac:dyDescent="0.25"/>
    <row r="487" ht="11.25" customHeight="1" spans="1:4" x14ac:dyDescent="0.25">
      <c r="A487" s="18"/>
      <c r="B487" s="18"/>
      <c r="C487" s="19"/>
      <c r="D487" s="60"/>
    </row>
  </sheetData>
  <autoFilter ref="A6:IV397"/>
  <mergeCells count="21">
    <mergeCell ref="C4:E4"/>
    <mergeCell ref="F4:H4"/>
    <mergeCell ref="I4:K4"/>
    <mergeCell ref="L4:N4"/>
    <mergeCell ref="O4:Q4"/>
    <mergeCell ref="R4:T4"/>
    <mergeCell ref="X4:Z4"/>
    <mergeCell ref="AA4:AC4"/>
    <mergeCell ref="AD4:AF4"/>
    <mergeCell ref="AG4:AI4"/>
    <mergeCell ref="AJ4:AL4"/>
    <mergeCell ref="AM4:AO4"/>
    <mergeCell ref="AP4:AR4"/>
    <mergeCell ref="AS4:AU4"/>
    <mergeCell ref="AV4:AX4"/>
    <mergeCell ref="AY4:BA4"/>
    <mergeCell ref="BB4:BD4"/>
    <mergeCell ref="BE4:BG4"/>
    <mergeCell ref="BH4:BJ4"/>
    <mergeCell ref="BK4:BM4"/>
    <mergeCell ref="BN4:BP4"/>
  </mergeCells>
  <printOptions gridLines="1"/>
  <pageMargins left="0.275694444444444" right="0.196527777777778" top="0.315277777777778" bottom="0.118055555555556" header="0.511811023622047" footer="0.511811023622047"/>
  <pageSetup paperSize="9" orientation="landscape" horizontalDpi="300" verticalDpi="300" scale="100" fitToWidth="2" fitToHeight="7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U117"/>
  <sheetViews>
    <sheetView workbookViewId="0" zoomScale="100" zoomScaleNormal="100">
      <pane xSplit="1" ySplit="7" topLeftCell="D86" activePane="bottomRight" state="frozen"/>
      <selection pane="bottomRight" activeCell="G56" sqref="G56"/>
    </sheetView>
  </sheetViews>
  <sheetFormatPr defaultRowHeight="13.2" outlineLevelRow="0" outlineLevelCol="0" x14ac:dyDescent="0.25" defaultColWidth="9.109375" customHeight="1"/>
  <cols>
    <col min="1" max="1" width="9.109375" style="71" customWidth="1"/>
    <col min="2" max="2" width="12.88671875" style="71" customWidth="1"/>
    <col min="3" max="3" width="59.33203125" style="71" customWidth="1"/>
    <col min="4" max="4" width="23" style="72" customWidth="1"/>
    <col min="5" max="5" width="14.44140625" style="72" customWidth="1"/>
    <col min="6" max="6" width="14.5546875" style="72" customWidth="1"/>
    <col min="7" max="7" width="16" style="72" customWidth="1"/>
    <col min="8" max="8" width="16.33203125" style="72" customWidth="1"/>
    <col min="9" max="9" width="12.5546875" style="72" customWidth="1"/>
    <col min="10" max="11" width="13.6640625" style="72" customWidth="1"/>
    <col min="12" max="12" width="14.77734375" style="72" customWidth="1"/>
    <col min="13" max="13" width="10" style="72" customWidth="1"/>
    <col min="14" max="14" width="16" style="72" customWidth="1"/>
    <col min="15" max="15" width="15.5546875" style="72" hidden="1" customWidth="1"/>
    <col min="16" max="16" width="17" style="72" customWidth="1"/>
    <col min="17" max="17" width="11.109375" style="72" hidden="1" customWidth="1"/>
    <col min="18" max="18" width="13.5546875" style="72" hidden="1" customWidth="1"/>
    <col min="19" max="19" width="14.5546875" style="72" hidden="1" customWidth="1"/>
    <col min="20" max="20" width="19.109375" style="72" hidden="1" customWidth="1"/>
    <col min="21" max="21" width="11.6640625" style="72" hidden="1" customWidth="1"/>
    <col min="22" max="22" width="12.44140625" style="72" hidden="1" customWidth="1"/>
    <col min="23" max="23" width="16.109375" style="72" hidden="1" customWidth="1"/>
    <col min="24" max="24" width="17" style="72" hidden="1" customWidth="1"/>
    <col min="25" max="25" width="15" style="72" hidden="1" customWidth="1"/>
    <col min="26" max="26" width="17.5546875" style="72" hidden="1" customWidth="1"/>
    <col min="27" max="27" width="13.88671875" style="72" hidden="1" customWidth="1"/>
    <col min="28" max="28" width="11.44140625" style="72" hidden="1" customWidth="1"/>
    <col min="29" max="29" width="13" style="72" hidden="1" customWidth="1"/>
    <col min="30" max="30" width="11.44140625" style="72" hidden="1" customWidth="1"/>
    <col min="31" max="31" width="12" style="72" customWidth="1"/>
    <col min="32" max="32" width="13" style="72" customWidth="1"/>
    <col min="33" max="33" width="13.88671875" style="72" customWidth="1"/>
    <col min="34" max="34" width="11.33203125" style="72" customWidth="1"/>
    <col min="35" max="35" width="13.88671875" style="72" customWidth="1"/>
    <col min="36" max="16384" width="9.109375" style="71" customWidth="1"/>
  </cols>
  <sheetData>
    <row r="1" ht="12.75" customHeight="1" spans="1:35" x14ac:dyDescent="0.25">
      <c r="A1" s="71"/>
      <c r="B1" s="71"/>
      <c r="C1" s="73" t="s">
        <v>629</v>
      </c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4"/>
      <c r="X1" s="74"/>
      <c r="Y1" s="74"/>
      <c r="Z1" s="74"/>
      <c r="AA1" s="74"/>
      <c r="AB1" s="74"/>
      <c r="AC1" s="74"/>
      <c r="AD1" s="74"/>
      <c r="AE1" s="74"/>
      <c r="AF1" s="74"/>
      <c r="AG1" s="74"/>
      <c r="AH1" s="74"/>
      <c r="AI1" s="74"/>
    </row>
    <row r="2" ht="12.75" customHeight="1" spans="1:35" x14ac:dyDescent="0.25">
      <c r="A2" s="71"/>
      <c r="B2" s="71"/>
      <c r="C2" s="75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74"/>
      <c r="X2" s="74"/>
      <c r="Y2" s="74"/>
      <c r="Z2" s="74"/>
      <c r="AA2" s="74"/>
      <c r="AB2" s="74"/>
      <c r="AC2" s="74"/>
      <c r="AD2" s="74"/>
      <c r="AE2" s="74"/>
      <c r="AF2" s="74"/>
      <c r="AG2" s="74"/>
      <c r="AH2" s="74"/>
      <c r="AI2" s="74"/>
    </row>
    <row r="3" ht="12.75" customHeight="1" spans="1:35" x14ac:dyDescent="0.25">
      <c r="A3" s="71"/>
      <c r="B3" s="71"/>
      <c r="C3" s="76" t="s">
        <v>630</v>
      </c>
      <c r="D3" s="74"/>
      <c r="E3" s="74"/>
      <c r="F3" s="74"/>
      <c r="G3" s="74"/>
      <c r="H3" s="74"/>
      <c r="I3" s="74"/>
      <c r="J3" s="74"/>
      <c r="K3" s="74"/>
      <c r="L3" s="74"/>
      <c r="M3" s="74"/>
      <c r="N3" s="74"/>
      <c r="O3" s="74"/>
      <c r="P3" s="74"/>
      <c r="Q3" s="74"/>
      <c r="R3" s="74"/>
      <c r="S3" s="74"/>
      <c r="T3" s="74"/>
      <c r="U3" s="74"/>
      <c r="V3" s="74"/>
      <c r="W3" s="74"/>
      <c r="X3" s="74"/>
      <c r="Y3" s="74"/>
      <c r="Z3" s="74"/>
      <c r="AA3" s="74"/>
      <c r="AB3" s="74"/>
      <c r="AC3" s="74"/>
      <c r="AD3" s="74"/>
      <c r="AE3" s="74"/>
      <c r="AF3" s="74"/>
      <c r="AG3" s="74"/>
      <c r="AH3" s="74"/>
      <c r="AI3" s="74"/>
    </row>
    <row r="4" ht="12.75" customHeight="1" spans="1:35" x14ac:dyDescent="0.25">
      <c r="A4" s="71"/>
      <c r="B4" s="71"/>
      <c r="C4" s="77"/>
      <c r="D4" s="74"/>
      <c r="E4" s="74"/>
      <c r="F4" s="74" t="s">
        <v>631</v>
      </c>
      <c r="G4" s="74"/>
      <c r="H4" s="74"/>
      <c r="I4" s="74"/>
      <c r="J4" s="74"/>
      <c r="K4" s="74"/>
      <c r="L4" s="74"/>
      <c r="M4" s="74"/>
      <c r="N4" s="74"/>
      <c r="O4" s="74"/>
      <c r="P4" s="74"/>
      <c r="Q4" s="74"/>
      <c r="R4" s="74"/>
      <c r="S4" s="74"/>
      <c r="T4" s="74"/>
      <c r="U4" s="74"/>
      <c r="V4" s="74"/>
      <c r="W4" s="74"/>
      <c r="X4" s="74"/>
      <c r="Y4" s="74"/>
      <c r="Z4" s="74"/>
      <c r="AA4" s="74"/>
      <c r="AB4" s="74"/>
      <c r="AC4" s="74"/>
      <c r="AD4" s="74"/>
      <c r="AE4" s="74"/>
      <c r="AF4" s="74"/>
      <c r="AG4" s="74"/>
      <c r="AH4" s="74"/>
      <c r="AI4" s="74"/>
    </row>
    <row r="5" ht="12.75" customHeight="1" spans="1:35" x14ac:dyDescent="0.25">
      <c r="A5" s="78"/>
      <c r="B5" s="78"/>
      <c r="C5" s="79"/>
      <c r="D5" s="80"/>
      <c r="E5" s="80"/>
      <c r="F5" s="80"/>
      <c r="G5" s="80"/>
      <c r="H5" s="80"/>
      <c r="I5" s="80"/>
      <c r="J5" s="80"/>
      <c r="K5" s="80"/>
      <c r="L5" s="80"/>
      <c r="M5" s="80"/>
      <c r="N5" s="80"/>
      <c r="O5" s="80"/>
      <c r="P5" s="80"/>
      <c r="Q5" s="80"/>
      <c r="R5" s="80"/>
      <c r="S5" s="80"/>
      <c r="T5" s="80"/>
      <c r="U5" s="80"/>
      <c r="V5" s="80"/>
      <c r="W5" s="80"/>
      <c r="X5" s="80"/>
      <c r="Y5" s="80"/>
      <c r="Z5" s="80"/>
      <c r="AA5" s="80"/>
      <c r="AB5" s="80"/>
      <c r="AC5" s="80"/>
      <c r="AD5" s="80"/>
      <c r="AE5" s="80"/>
      <c r="AF5" s="80"/>
      <c r="AG5" s="80"/>
      <c r="AH5" s="80"/>
      <c r="AI5" s="80"/>
    </row>
    <row r="6" ht="12.75" customHeight="1" spans="1:35" x14ac:dyDescent="0.25">
      <c r="A6" s="71"/>
      <c r="B6" s="71"/>
      <c r="C6" s="81" t="s">
        <v>632</v>
      </c>
      <c r="D6" s="82" t="s">
        <v>633</v>
      </c>
      <c r="E6" s="83"/>
      <c r="F6" s="84" t="s">
        <v>634</v>
      </c>
      <c r="G6" s="84" t="s">
        <v>635</v>
      </c>
      <c r="H6" s="84" t="s">
        <v>636</v>
      </c>
      <c r="I6" s="84" t="s">
        <v>637</v>
      </c>
      <c r="J6" s="84" t="s">
        <v>637</v>
      </c>
      <c r="K6" s="84" t="s">
        <v>638</v>
      </c>
      <c r="L6" s="84" t="s">
        <v>639</v>
      </c>
      <c r="M6" s="84" t="s">
        <v>639</v>
      </c>
      <c r="N6" s="84" t="s">
        <v>640</v>
      </c>
      <c r="O6" s="84" t="s">
        <v>641</v>
      </c>
      <c r="P6" s="84" t="s">
        <v>642</v>
      </c>
      <c r="Q6" s="84" t="s">
        <v>643</v>
      </c>
      <c r="R6" s="84" t="s">
        <v>643</v>
      </c>
      <c r="S6" s="84" t="s">
        <v>643</v>
      </c>
      <c r="T6" s="84" t="s">
        <v>643</v>
      </c>
      <c r="U6" s="85" t="s">
        <v>230</v>
      </c>
      <c r="V6" s="85" t="s">
        <v>644</v>
      </c>
      <c r="W6" s="86" t="s">
        <v>645</v>
      </c>
      <c r="X6" s="86" t="s">
        <v>645</v>
      </c>
      <c r="Y6" s="86" t="s">
        <v>645</v>
      </c>
      <c r="Z6" s="86" t="s">
        <v>645</v>
      </c>
      <c r="AA6" s="86" t="s">
        <v>646</v>
      </c>
      <c r="AB6" s="86" t="s">
        <v>645</v>
      </c>
      <c r="AC6" s="86" t="s">
        <v>645</v>
      </c>
      <c r="AD6" s="86" t="s">
        <v>645</v>
      </c>
      <c r="AE6" s="86" t="s">
        <v>645</v>
      </c>
      <c r="AF6" s="86" t="s">
        <v>645</v>
      </c>
      <c r="AG6" s="86" t="s">
        <v>645</v>
      </c>
      <c r="AH6" s="86" t="s">
        <v>645</v>
      </c>
      <c r="AI6" s="87" t="s">
        <v>645</v>
      </c>
    </row>
    <row r="7" ht="12.75" customHeight="1" spans="1:35" x14ac:dyDescent="0.25">
      <c r="A7" s="78" t="s">
        <v>647</v>
      </c>
      <c r="B7" s="78" t="s">
        <v>648</v>
      </c>
      <c r="C7" s="88"/>
      <c r="D7" s="89" t="s">
        <v>649</v>
      </c>
      <c r="E7" s="90" t="s">
        <v>650</v>
      </c>
      <c r="F7" s="89" t="s">
        <v>651</v>
      </c>
      <c r="G7" s="89" t="s">
        <v>652</v>
      </c>
      <c r="H7" s="89" t="s">
        <v>653</v>
      </c>
      <c r="I7" s="89" t="s">
        <v>654</v>
      </c>
      <c r="J7" s="89" t="s">
        <v>655</v>
      </c>
      <c r="K7" s="89" t="s">
        <v>656</v>
      </c>
      <c r="L7" s="89" t="s">
        <v>657</v>
      </c>
      <c r="M7" s="89" t="s">
        <v>658</v>
      </c>
      <c r="N7" s="89" t="s">
        <v>659</v>
      </c>
      <c r="O7" s="89" t="s">
        <v>660</v>
      </c>
      <c r="P7" s="89" t="s">
        <v>661</v>
      </c>
      <c r="Q7" s="89" t="s">
        <v>225</v>
      </c>
      <c r="R7" s="89" t="s">
        <v>228</v>
      </c>
      <c r="S7" s="89" t="s">
        <v>229</v>
      </c>
      <c r="T7" s="89" t="s">
        <v>662</v>
      </c>
      <c r="U7" s="85"/>
      <c r="V7" s="85"/>
      <c r="W7" s="91" t="s">
        <v>663</v>
      </c>
      <c r="X7" s="91" t="s">
        <v>664</v>
      </c>
      <c r="Y7" s="91" t="s">
        <v>665</v>
      </c>
      <c r="Z7" s="91" t="s">
        <v>666</v>
      </c>
      <c r="AA7" s="91" t="s">
        <v>667</v>
      </c>
      <c r="AB7" s="91" t="s">
        <v>668</v>
      </c>
      <c r="AC7" s="91" t="s">
        <v>669</v>
      </c>
      <c r="AD7" s="91" t="s">
        <v>670</v>
      </c>
      <c r="AE7" s="91" t="s">
        <v>671</v>
      </c>
      <c r="AF7" s="91" t="s">
        <v>672</v>
      </c>
      <c r="AG7" s="91" t="s">
        <v>673</v>
      </c>
      <c r="AH7" s="91" t="s">
        <v>674</v>
      </c>
      <c r="AI7" s="92" t="s">
        <v>675</v>
      </c>
    </row>
    <row r="8" ht="12.75" customHeight="1" spans="1:37" x14ac:dyDescent="0.25">
      <c r="A8" s="71" t="s">
        <v>676</v>
      </c>
      <c r="B8" s="71">
        <v>9600000062</v>
      </c>
      <c r="C8" s="93" t="s">
        <v>677</v>
      </c>
      <c r="D8" s="94">
        <f>SUM(F8:V8)+E8</f>
        <v>243.71</v>
      </c>
      <c r="E8" s="95"/>
      <c r="F8" s="96">
        <f>+'Sumas y Saldos'!E38+'Sumas y Saldos'!E254+'Sumas y Saldos'!E308+'Sumas y Saldos'!E326</f>
        <v>0</v>
      </c>
      <c r="G8" s="96">
        <f>+'Sumas y Saldos'!H38+'Sumas y Saldos'!H254+'Sumas y Saldos'!H308+'Sumas y Saldos'!H326</f>
        <v>0</v>
      </c>
      <c r="H8" s="96">
        <f>+'Sumas y Saldos'!K38+'Sumas y Saldos'!K254+'Sumas y Saldos'!K308+'Sumas y Saldos'!K326</f>
        <v>0</v>
      </c>
      <c r="I8" s="96">
        <f>+'Sumas y Saldos'!Q38+'Sumas y Saldos'!Q254+'Sumas y Saldos'!Q308+'Sumas y Saldos'!Q326</f>
        <v>0</v>
      </c>
      <c r="J8" s="96">
        <f>+'Sumas y Saldos'!Z38+'Sumas y Saldos'!Z254+'Sumas y Saldos'!Z308+'Sumas y Saldos'!Z326</f>
        <v>0</v>
      </c>
      <c r="K8" s="96">
        <f>+'Sumas y Saldos'!AC38+'Sumas y Saldos'!AC254+'Sumas y Saldos'!AC308+'Sumas y Saldos'!AC326</f>
        <v>243.71</v>
      </c>
      <c r="L8" s="97">
        <f>+'Sumas y Saldos'!AF38+'Sumas y Saldos'!AF254+'Sumas y Saldos'!AF308+'Sumas y Saldos'!AF326</f>
        <v>0</v>
      </c>
      <c r="M8" s="96">
        <f>+'Sumas y Saldos'!W38+'Sumas y Saldos'!W254+'Sumas y Saldos'!W308+'Sumas y Saldos'!W326</f>
        <v>0</v>
      </c>
      <c r="N8" s="96">
        <f>+'Sumas y Saldos'!T38+'Sumas y Saldos'!T254+'Sumas y Saldos'!T308+'Sumas y Saldos'!T326</f>
        <v>0</v>
      </c>
      <c r="O8" s="98">
        <f>+'Sumas y Saldos'!AI38+'Sumas y Saldos'!AI254+'Sumas y Saldos'!AI308+'Sumas y Saldos'!AI326</f>
        <v>0</v>
      </c>
      <c r="P8" s="96">
        <f>+'Sumas y Saldos'!AO38+'Sumas y Saldos'!AO254+'Sumas y Saldos'!AO308+'Sumas y Saldos'!AO326</f>
        <v>0</v>
      </c>
      <c r="Q8" s="96">
        <f>+'Sumas y Saldos'!AL38+'Sumas y Saldos'!AL254+'Sumas y Saldos'!AL308+'Sumas y Saldos'!AL326</f>
        <v>0</v>
      </c>
      <c r="R8" s="96"/>
      <c r="S8" s="96"/>
      <c r="T8" s="96">
        <f>+'Sumas y Saldos'!BD219</f>
        <v>0</v>
      </c>
      <c r="U8" s="96">
        <f>+'Sumas y Saldos'!BM253+'Sumas y Saldos'!BM306</f>
        <v>0</v>
      </c>
      <c r="V8" s="96">
        <f>+'Sumas y Saldos'!BP253</f>
        <v>0</v>
      </c>
      <c r="W8" s="96"/>
      <c r="X8" s="96"/>
      <c r="Y8" s="96"/>
      <c r="Z8" s="96"/>
      <c r="AA8" s="96"/>
      <c r="AB8" s="96"/>
      <c r="AC8" s="96"/>
      <c r="AD8" s="96">
        <v>243.71</v>
      </c>
      <c r="AE8" s="96">
        <v>234.18</v>
      </c>
      <c r="AF8" s="96">
        <v>240.92</v>
      </c>
      <c r="AG8" s="96">
        <v>242</v>
      </c>
      <c r="AH8" s="96">
        <v>499.18</v>
      </c>
      <c r="AI8" s="99">
        <f>SUM(W8:AH8)</f>
        <v>1459.99</v>
      </c>
      <c r="AJ8" s="71"/>
      <c r="AK8" s="100"/>
    </row>
    <row r="9" ht="12.75" customHeight="1" spans="1:37" x14ac:dyDescent="0.25">
      <c r="A9" s="71" t="s">
        <v>678</v>
      </c>
      <c r="B9" s="71">
        <v>9600000062</v>
      </c>
      <c r="C9" s="93" t="s">
        <v>679</v>
      </c>
      <c r="D9" s="94">
        <f>SUM(F9:V9)+E9</f>
        <v>1767.88</v>
      </c>
      <c r="E9" s="94">
        <f>+'Sumas y Saldos'!D35</f>
        <v>0</v>
      </c>
      <c r="F9" s="96">
        <f>+'Sumas y Saldos'!E36+'Sumas y Saldos'!E152+'Sumas y Saldos'!E171+'Sumas y Saldos'!E183+'Sumas y Saldos'!E196+'Sumas y Saldos'!E219+'Sumas y Saldos'!E245+'Sumas y Saldos'!E335</f>
        <v>0</v>
      </c>
      <c r="G9" s="96">
        <f>+'Sumas y Saldos'!H36+'Sumas y Saldos'!H152+'Sumas y Saldos'!H171+'Sumas y Saldos'!H183+'Sumas y Saldos'!H196+'Sumas y Saldos'!H219+'Sumas y Saldos'!H245+'Sumas y Saldos'!H335</f>
        <v>1767.88</v>
      </c>
      <c r="H9" s="96">
        <f>+'Sumas y Saldos'!K36+'Sumas y Saldos'!K152+'Sumas y Saldos'!K171+'Sumas y Saldos'!K183+'Sumas y Saldos'!K196+'Sumas y Saldos'!K219+'Sumas y Saldos'!K245+'Sumas y Saldos'!K335</f>
        <v>0</v>
      </c>
      <c r="I9" s="96">
        <f>+'Sumas y Saldos'!Q36+'Sumas y Saldos'!Q152+'Sumas y Saldos'!Q171+'Sumas y Saldos'!Q183+'Sumas y Saldos'!Q196+'Sumas y Saldos'!Q219+'Sumas y Saldos'!Q245+'Sumas y Saldos'!Q335</f>
        <v>0</v>
      </c>
      <c r="J9" s="96">
        <f>+'Sumas y Saldos'!Z36+'Sumas y Saldos'!Z152+'Sumas y Saldos'!Z171+'Sumas y Saldos'!Z183+'Sumas y Saldos'!Z196+'Sumas y Saldos'!Z219+'Sumas y Saldos'!Z245+'Sumas y Saldos'!Z335</f>
        <v>0</v>
      </c>
      <c r="K9" s="96">
        <f>+'Sumas y Saldos'!AC36+'Sumas y Saldos'!AC152+'Sumas y Saldos'!AC171+'Sumas y Saldos'!AC183+'Sumas y Saldos'!AC196+'Sumas y Saldos'!AC219+'Sumas y Saldos'!AC245+'Sumas y Saldos'!AC335</f>
        <v>0</v>
      </c>
      <c r="L9" s="96">
        <f>+'Sumas y Saldos'!AF36+'Sumas y Saldos'!AF152+'Sumas y Saldos'!AF171+'Sumas y Saldos'!AF183+'Sumas y Saldos'!AF196+'Sumas y Saldos'!AF219+'Sumas y Saldos'!AF245+'Sumas y Saldos'!AF335</f>
        <v>0</v>
      </c>
      <c r="M9" s="96">
        <f>+'Sumas y Saldos'!W36+'Sumas y Saldos'!W152+'Sumas y Saldos'!W171+'Sumas y Saldos'!W183+'Sumas y Saldos'!W196+'Sumas y Saldos'!W219+'Sumas y Saldos'!W245+'Sumas y Saldos'!W335</f>
        <v>0</v>
      </c>
      <c r="N9" s="96">
        <f>+'Sumas y Saldos'!T36+'Sumas y Saldos'!T152+'Sumas y Saldos'!T171+'Sumas y Saldos'!T183+'Sumas y Saldos'!T196+'Sumas y Saldos'!T219+'Sumas y Saldos'!T245+'Sumas y Saldos'!T335</f>
        <v>0</v>
      </c>
      <c r="O9" s="96">
        <f>+'Sumas y Saldos'!AI36+'Sumas y Saldos'!AI152+'Sumas y Saldos'!AI171+'Sumas y Saldos'!AI183+'Sumas y Saldos'!AI196+'Sumas y Saldos'!AI219+'Sumas y Saldos'!AI245+'Sumas y Saldos'!AI335</f>
        <v>0</v>
      </c>
      <c r="P9" s="96">
        <f>+'Sumas y Saldos'!AO36+'Sumas y Saldos'!AO152+'Sumas y Saldos'!AO171+'Sumas y Saldos'!AO183+'Sumas y Saldos'!AO196+'Sumas y Saldos'!AO219+'Sumas y Saldos'!AO245+'Sumas y Saldos'!AO335</f>
        <v>0</v>
      </c>
      <c r="Q9" s="96">
        <f>+'Sumas y Saldos'!AL36+'Sumas y Saldos'!AL152+'Sumas y Saldos'!AL171+'Sumas y Saldos'!AL183+'Sumas y Saldos'!AL196+'Sumas y Saldos'!AL219+'Sumas y Saldos'!AL245+'Sumas y Saldos'!AL335</f>
        <v>0</v>
      </c>
      <c r="R9" s="96"/>
      <c r="S9" s="96"/>
      <c r="T9" s="96">
        <f>+'Sumas y Saldos'!BD220</f>
        <v>0</v>
      </c>
      <c r="U9" s="96">
        <f>+'Sumas y Saldos'!BM332</f>
        <v>0</v>
      </c>
      <c r="V9" s="96">
        <f>+'Sumas y Saldos'!BP183+'Sumas y Saldos'!BP196+'Sumas y Saldos'!BP151</f>
        <v>0</v>
      </c>
      <c r="W9" s="96"/>
      <c r="X9" s="96"/>
      <c r="Y9" s="96"/>
      <c r="Z9" s="96"/>
      <c r="AA9" s="96"/>
      <c r="AB9" s="96"/>
      <c r="AC9" s="96"/>
      <c r="AD9" s="96">
        <v>1767.88</v>
      </c>
      <c r="AE9" s="96">
        <v>133.25</v>
      </c>
      <c r="AF9" s="96">
        <v>286.33</v>
      </c>
      <c r="AG9" s="96">
        <v>24.29</v>
      </c>
      <c r="AH9" s="96">
        <v>1249.18</v>
      </c>
      <c r="AI9" s="99">
        <f>SUM(W9:AH9)</f>
        <v>3460.9300000000003</v>
      </c>
      <c r="AJ9" s="71"/>
      <c r="AK9" s="100"/>
    </row>
    <row r="10" ht="12.75" customHeight="1" spans="1:37" x14ac:dyDescent="0.25">
      <c r="A10" s="71" t="s">
        <v>680</v>
      </c>
      <c r="B10" s="71">
        <v>9600000062</v>
      </c>
      <c r="C10" s="93" t="s">
        <v>681</v>
      </c>
      <c r="D10" s="94">
        <f>SUM(F10:V10)+E10</f>
        <v>359.96</v>
      </c>
      <c r="E10" s="94">
        <f>+'Sumas y Saldos'!S214</f>
        <v>0</v>
      </c>
      <c r="F10" s="96">
        <f>+'Sumas y Saldos'!E77+'Sumas y Saldos'!E78+'Sumas y Saldos'!E138+'Sumas y Saldos'!E139+'Sumas y Saldos'!E182+'Sumas y Saldos'!E198+'Sumas y Saldos'!E205+'Sumas y Saldos'!E214+'Sumas y Saldos'!E275+'Sumas y Saldos'!E311+'Sumas y Saldos'!E327+'Sumas y Saldos'!E346+'Sumas y Saldos'!E366</f>
        <v>0</v>
      </c>
      <c r="G10" s="96">
        <f>+'Sumas y Saldos'!H77+'Sumas y Saldos'!H78+'Sumas y Saldos'!H138+'Sumas y Saldos'!H139+'Sumas y Saldos'!H182+'Sumas y Saldos'!H198+'Sumas y Saldos'!H205+'Sumas y Saldos'!H214+'Sumas y Saldos'!H275+'Sumas y Saldos'!H311+'Sumas y Saldos'!H327+'Sumas y Saldos'!H346+'Sumas y Saldos'!H366</f>
        <v>0</v>
      </c>
      <c r="H10" s="96">
        <f>+'Sumas y Saldos'!K77+'Sumas y Saldos'!K78+'Sumas y Saldos'!K138+'Sumas y Saldos'!K139+'Sumas y Saldos'!K182+'Sumas y Saldos'!K198+'Sumas y Saldos'!K205+'Sumas y Saldos'!K214+'Sumas y Saldos'!K275+'Sumas y Saldos'!K311+'Sumas y Saldos'!K327+'Sumas y Saldos'!K346+'Sumas y Saldos'!K366</f>
        <v>0</v>
      </c>
      <c r="I10" s="96">
        <f>+'Sumas y Saldos'!Q77+'Sumas y Saldos'!Q78+'Sumas y Saldos'!Q138+'Sumas y Saldos'!Q139+'Sumas y Saldos'!Q182+'Sumas y Saldos'!Q198+'Sumas y Saldos'!Q205+'Sumas y Saldos'!Q214+'Sumas y Saldos'!Q275+'Sumas y Saldos'!Q311+'Sumas y Saldos'!Q327+'Sumas y Saldos'!Q346+'Sumas y Saldos'!Q366</f>
        <v>0</v>
      </c>
      <c r="J10" s="96">
        <f>+'Sumas y Saldos'!Z77+'Sumas y Saldos'!Z78+'Sumas y Saldos'!Z138+'Sumas y Saldos'!Z139+'Sumas y Saldos'!Z182+'Sumas y Saldos'!Z198+'Sumas y Saldos'!Z205+'Sumas y Saldos'!Z214+'Sumas y Saldos'!Z275+'Sumas y Saldos'!Z311+'Sumas y Saldos'!Z327+'Sumas y Saldos'!Z346+'Sumas y Saldos'!Z366</f>
        <v>0</v>
      </c>
      <c r="K10" s="96">
        <f>+'Sumas y Saldos'!AC77+'Sumas y Saldos'!AC78+'Sumas y Saldos'!AC138+'Sumas y Saldos'!AC139+'Sumas y Saldos'!AC182+'Sumas y Saldos'!AC198+'Sumas y Saldos'!AC205+'Sumas y Saldos'!AC214+'Sumas y Saldos'!AC275+'Sumas y Saldos'!AC311+'Sumas y Saldos'!AC327+'Sumas y Saldos'!AC346+'Sumas y Saldos'!AC366</f>
        <v>359.96</v>
      </c>
      <c r="L10" s="96">
        <f>+'Sumas y Saldos'!AF77+'Sumas y Saldos'!AF78+'Sumas y Saldos'!AF138+'Sumas y Saldos'!AF139+'Sumas y Saldos'!AF182+'Sumas y Saldos'!AF198+'Sumas y Saldos'!AF205+'Sumas y Saldos'!AF214+'Sumas y Saldos'!AF275+'Sumas y Saldos'!AF311+'Sumas y Saldos'!AF327+'Sumas y Saldos'!AF346+'Sumas y Saldos'!AF366</f>
        <v>0</v>
      </c>
      <c r="M10" s="96">
        <f>+'Sumas y Saldos'!W77+'Sumas y Saldos'!W78+'Sumas y Saldos'!W138+'Sumas y Saldos'!W139+'Sumas y Saldos'!W182+'Sumas y Saldos'!W198+'Sumas y Saldos'!W205+'Sumas y Saldos'!W214+'Sumas y Saldos'!W275+'Sumas y Saldos'!W311+'Sumas y Saldos'!W327+'Sumas y Saldos'!W346+'Sumas y Saldos'!W366</f>
        <v>0</v>
      </c>
      <c r="N10" s="96">
        <f>+'Sumas y Saldos'!T77+'Sumas y Saldos'!T78+'Sumas y Saldos'!T138+'Sumas y Saldos'!T139+'Sumas y Saldos'!T182+'Sumas y Saldos'!T198+'Sumas y Saldos'!T205+'Sumas y Saldos'!T214+'Sumas y Saldos'!T275+'Sumas y Saldos'!T311+'Sumas y Saldos'!T327+'Sumas y Saldos'!T346+'Sumas y Saldos'!T366</f>
        <v>0</v>
      </c>
      <c r="O10" s="96">
        <f>+'Sumas y Saldos'!AI77+'Sumas y Saldos'!AI78+'Sumas y Saldos'!AI138+'Sumas y Saldos'!AI139+'Sumas y Saldos'!AI182+'Sumas y Saldos'!AI198+'Sumas y Saldos'!AI205+'Sumas y Saldos'!AI214+'Sumas y Saldos'!AI275+'Sumas y Saldos'!AI311+'Sumas y Saldos'!AI327+'Sumas y Saldos'!AI346+'Sumas y Saldos'!AI366</f>
        <v>0</v>
      </c>
      <c r="P10" s="96">
        <f>+'Sumas y Saldos'!AO77+'Sumas y Saldos'!AO78+'Sumas y Saldos'!AO138+'Sumas y Saldos'!AO139+'Sumas y Saldos'!AO182+'Sumas y Saldos'!AO198+'Sumas y Saldos'!AO205+'Sumas y Saldos'!AO214+'Sumas y Saldos'!AO275+'Sumas y Saldos'!AO311+'Sumas y Saldos'!AO327+'Sumas y Saldos'!AO346+'Sumas y Saldos'!AO366</f>
        <v>0</v>
      </c>
      <c r="Q10" s="96">
        <f>+'Sumas y Saldos'!AL77+'Sumas y Saldos'!AL78+'Sumas y Saldos'!AL138+'Sumas y Saldos'!AL139+'Sumas y Saldos'!AL182+'Sumas y Saldos'!AL198+'Sumas y Saldos'!AL205+'Sumas y Saldos'!AL214+'Sumas y Saldos'!AL275+'Sumas y Saldos'!AL311+'Sumas y Saldos'!AL327+'Sumas y Saldos'!AL346+'Sumas y Saldos'!AL366</f>
        <v>0</v>
      </c>
      <c r="R10" s="96"/>
      <c r="S10" s="96"/>
      <c r="T10" s="96">
        <f>+'Sumas y Saldos'!BD221</f>
        <v>0</v>
      </c>
      <c r="U10" s="96">
        <f>+'Sumas y Saldos'!BM198+'Sumas y Saldos'!BM273+'Sumas y Saldos'!BM343+'Sumas y Saldos'!BM182</f>
        <v>0</v>
      </c>
      <c r="V10" s="96">
        <f>+'Sumas y Saldos'!BP137+'Sumas y Saldos'!BP182+'Sumas y Saldos'!BP198+'Sumas y Saldos'!BP273+'Sumas y Saldos'!BP77</f>
        <v>0</v>
      </c>
      <c r="W10" s="96"/>
      <c r="X10" s="96"/>
      <c r="Y10" s="96"/>
      <c r="Z10" s="96"/>
      <c r="AA10" s="96"/>
      <c r="AB10" s="96"/>
      <c r="AC10" s="96"/>
      <c r="AD10" s="96">
        <v>359.96</v>
      </c>
      <c r="AE10" s="96">
        <v>0</v>
      </c>
      <c r="AF10" s="96">
        <v>2805.03</v>
      </c>
      <c r="AG10" s="96">
        <v>1468.51</v>
      </c>
      <c r="AH10" s="96">
        <v>546.58</v>
      </c>
      <c r="AI10" s="99">
        <f>SUM(W10:AH10)</f>
        <v>5180.08</v>
      </c>
      <c r="AJ10" s="71"/>
      <c r="AK10" s="100"/>
    </row>
    <row r="11" ht="12.75" customHeight="1" spans="1:37" x14ac:dyDescent="0.25">
      <c r="A11" s="71" t="s">
        <v>682</v>
      </c>
      <c r="B11" s="71">
        <v>9600000062</v>
      </c>
      <c r="C11" s="93" t="s">
        <v>683</v>
      </c>
      <c r="D11" s="94">
        <f>SUM(F11:V11)+E11</f>
        <v>0</v>
      </c>
      <c r="E11" s="94"/>
      <c r="F11" s="96">
        <f>+'Sumas y Saldos'!E62+'Sumas y Saldos'!E67+'Sumas y Saldos'!E253</f>
        <v>0</v>
      </c>
      <c r="G11" s="96">
        <f>+'Sumas y Saldos'!H62+'Sumas y Saldos'!H67+'Sumas y Saldos'!H253</f>
        <v>0</v>
      </c>
      <c r="H11" s="96">
        <f>+'Sumas y Saldos'!K62+'Sumas y Saldos'!K67+'Sumas y Saldos'!K253</f>
        <v>0</v>
      </c>
      <c r="I11" s="96">
        <f>+'Sumas y Saldos'!Q62+'Sumas y Saldos'!Q67+'Sumas y Saldos'!Q253</f>
        <v>0</v>
      </c>
      <c r="J11" s="96">
        <f>+'Sumas y Saldos'!Z62+'Sumas y Saldos'!Z67+'Sumas y Saldos'!Z253</f>
        <v>0</v>
      </c>
      <c r="K11" s="96">
        <f>+'Sumas y Saldos'!AC62+'Sumas y Saldos'!AC67+'Sumas y Saldos'!AC253</f>
        <v>0</v>
      </c>
      <c r="L11" s="96">
        <f>+'Sumas y Saldos'!AF62+'Sumas y Saldos'!AF67+'Sumas y Saldos'!AF253</f>
        <v>0</v>
      </c>
      <c r="M11" s="96">
        <f>+'Sumas y Saldos'!W62+'Sumas y Saldos'!W67+'Sumas y Saldos'!W253</f>
        <v>0</v>
      </c>
      <c r="N11" s="96">
        <f>+'Sumas y Saldos'!T62+'Sumas y Saldos'!T67+'Sumas y Saldos'!T253</f>
        <v>0</v>
      </c>
      <c r="O11" s="96">
        <f>+'Sumas y Saldos'!AI62+'Sumas y Saldos'!AI67+'Sumas y Saldos'!AI253</f>
        <v>0</v>
      </c>
      <c r="P11" s="96">
        <f>+'Sumas y Saldos'!AO62+'Sumas y Saldos'!AO67+'Sumas y Saldos'!AO253</f>
        <v>0</v>
      </c>
      <c r="Q11" s="96">
        <f>+'Sumas y Saldos'!AL62+'Sumas y Saldos'!AL67+'Sumas y Saldos'!AL253</f>
        <v>0</v>
      </c>
      <c r="R11" s="96"/>
      <c r="S11" s="96"/>
      <c r="T11" s="96">
        <f>+'Sumas y Saldos'!BD222</f>
        <v>0</v>
      </c>
      <c r="U11" s="96">
        <f>+'Sumas y Saldos'!BM293</f>
        <v>0</v>
      </c>
      <c r="V11" s="96">
        <f>+'Sumas y Saldos'!BP252</f>
        <v>0</v>
      </c>
      <c r="W11" s="96"/>
      <c r="X11" s="96"/>
      <c r="Y11" s="96"/>
      <c r="Z11" s="96"/>
      <c r="AA11" s="96"/>
      <c r="AB11" s="96"/>
      <c r="AC11" s="96"/>
      <c r="AD11" s="96">
        <v>0</v>
      </c>
      <c r="AE11" s="96">
        <v>0</v>
      </c>
      <c r="AF11" s="96">
        <v>2234.96</v>
      </c>
      <c r="AG11" s="96">
        <v>0</v>
      </c>
      <c r="AH11" s="96">
        <v>0</v>
      </c>
      <c r="AI11" s="99">
        <f>SUM(W11:AH11)</f>
        <v>2234.96</v>
      </c>
      <c r="AJ11" s="71"/>
      <c r="AK11" s="100"/>
    </row>
    <row r="12" ht="12.75" customHeight="1" spans="1:37" x14ac:dyDescent="0.25">
      <c r="A12" s="71" t="s">
        <v>684</v>
      </c>
      <c r="B12" s="71">
        <v>9600000062</v>
      </c>
      <c r="C12" s="93" t="s">
        <v>685</v>
      </c>
      <c r="D12" s="94">
        <f>SUM(F12:V12)+E12</f>
        <v>0</v>
      </c>
      <c r="E12" s="94">
        <f>+'Sumas y Saldos'!S103+'Sumas y Saldos'!Y103+'Sumas y Saldos'!G103</f>
        <v>0</v>
      </c>
      <c r="F12" s="96">
        <f>+'Sumas y Saldos'!E85+'Sumas y Saldos'!E104+'Sumas y Saldos'!E154+'Sumas y Saldos'!E201+'Sumas y Saldos'!E224+'Sumas y Saldos'!E302</f>
        <v>0</v>
      </c>
      <c r="G12" s="96">
        <f>+'Sumas y Saldos'!H85+'Sumas y Saldos'!H104+'Sumas y Saldos'!H154+'Sumas y Saldos'!H201+'Sumas y Saldos'!H224+'Sumas y Saldos'!H302</f>
        <v>0</v>
      </c>
      <c r="H12" s="96">
        <f>+'Sumas y Saldos'!K85+'Sumas y Saldos'!K104+'Sumas y Saldos'!K154+'Sumas y Saldos'!K201+'Sumas y Saldos'!K224+'Sumas y Saldos'!K302</f>
        <v>0</v>
      </c>
      <c r="I12" s="96">
        <f>+'Sumas y Saldos'!Q85+'Sumas y Saldos'!Q104+'Sumas y Saldos'!Q154+'Sumas y Saldos'!Q201+'Sumas y Saldos'!Q224+'Sumas y Saldos'!Q302</f>
        <v>0</v>
      </c>
      <c r="J12" s="96">
        <f>+'Sumas y Saldos'!Z85+'Sumas y Saldos'!Z104+'Sumas y Saldos'!Z154+'Sumas y Saldos'!Z201+'Sumas y Saldos'!Z224+'Sumas y Saldos'!Z302</f>
        <v>0</v>
      </c>
      <c r="K12" s="96">
        <f>+'Sumas y Saldos'!AC85+'Sumas y Saldos'!AC104+'Sumas y Saldos'!AC154+'Sumas y Saldos'!AC201+'Sumas y Saldos'!AC224+'Sumas y Saldos'!AC302</f>
        <v>0</v>
      </c>
      <c r="L12" s="96">
        <f>+'Sumas y Saldos'!AF85+'Sumas y Saldos'!AF104+'Sumas y Saldos'!AF154+'Sumas y Saldos'!AF201+'Sumas y Saldos'!AF224+'Sumas y Saldos'!AF302</f>
        <v>0</v>
      </c>
      <c r="M12" s="96">
        <f>+'Sumas y Saldos'!W85+'Sumas y Saldos'!W104+'Sumas y Saldos'!W154+'Sumas y Saldos'!W201+'Sumas y Saldos'!W224+'Sumas y Saldos'!W302</f>
        <v>0</v>
      </c>
      <c r="N12" s="96">
        <f>+'Sumas y Saldos'!T85+'Sumas y Saldos'!T104+'Sumas y Saldos'!T154+'Sumas y Saldos'!T201+'Sumas y Saldos'!T224+'Sumas y Saldos'!T302</f>
        <v>0</v>
      </c>
      <c r="O12" s="96">
        <f>+'Sumas y Saldos'!AI85+'Sumas y Saldos'!AI104+'Sumas y Saldos'!AI154+'Sumas y Saldos'!AI201+'Sumas y Saldos'!AI224+'Sumas y Saldos'!AI302</f>
        <v>0</v>
      </c>
      <c r="P12" s="96">
        <f>+'Sumas y Saldos'!AO85+'Sumas y Saldos'!AO104+'Sumas y Saldos'!AO154+'Sumas y Saldos'!AO201+'Sumas y Saldos'!AO224+'Sumas y Saldos'!AO302</f>
        <v>0</v>
      </c>
      <c r="Q12" s="96">
        <f>+'Sumas y Saldos'!AL85+'Sumas y Saldos'!AL104+'Sumas y Saldos'!AL154+'Sumas y Saldos'!AL201+'Sumas y Saldos'!AL224+'Sumas y Saldos'!AL302</f>
        <v>0</v>
      </c>
      <c r="R12" s="96"/>
      <c r="S12" s="96"/>
      <c r="T12" s="96">
        <f>+'Sumas y Saldos'!BD223</f>
        <v>0</v>
      </c>
      <c r="U12" s="96">
        <f>+'Sumas y Saldos'!BM300</f>
        <v>0</v>
      </c>
      <c r="V12" s="96">
        <f>+'Sumas y Saldos'!BP156+'Sumas y Saldos'!BP153+'Sumas y Saldos'!BN201</f>
        <v>0</v>
      </c>
      <c r="W12" s="96"/>
      <c r="X12" s="96"/>
      <c r="Y12" s="96"/>
      <c r="Z12" s="96"/>
      <c r="AA12" s="96"/>
      <c r="AB12" s="96"/>
      <c r="AC12" s="96"/>
      <c r="AD12" s="96">
        <v>0</v>
      </c>
      <c r="AE12" s="96">
        <v>42.89</v>
      </c>
      <c r="AF12" s="96">
        <v>171.92</v>
      </c>
      <c r="AG12" s="96">
        <v>0</v>
      </c>
      <c r="AH12" s="96">
        <v>9907.11</v>
      </c>
      <c r="AI12" s="99">
        <f>SUM(W12:AH12)</f>
        <v>10121.92</v>
      </c>
      <c r="AJ12" s="71"/>
      <c r="AK12" s="100"/>
    </row>
    <row r="13" ht="12.75" customHeight="1" spans="1:37" x14ac:dyDescent="0.25">
      <c r="A13" s="71" t="s">
        <v>686</v>
      </c>
      <c r="B13" s="71">
        <v>9600000062</v>
      </c>
      <c r="C13" s="93" t="s">
        <v>687</v>
      </c>
      <c r="D13" s="94">
        <f>SUM(F13:V13)+E13</f>
        <v>0</v>
      </c>
      <c r="E13" s="94">
        <f>+'Sumas y Saldos'!AN163</f>
        <v>0</v>
      </c>
      <c r="F13" s="96">
        <f>+'Sumas y Saldos'!E156+'Sumas y Saldos'!E163+'Sumas y Saldos'!E190+'Sumas y Saldos'!E348</f>
        <v>0</v>
      </c>
      <c r="G13" s="96">
        <f>+'Sumas y Saldos'!H156+'Sumas y Saldos'!H163+'Sumas y Saldos'!H190+'Sumas y Saldos'!H348</f>
        <v>0</v>
      </c>
      <c r="H13" s="96">
        <f>+'Sumas y Saldos'!K156+'Sumas y Saldos'!K163+'Sumas y Saldos'!K190+'Sumas y Saldos'!K348</f>
        <v>0</v>
      </c>
      <c r="I13" s="96">
        <f>+'Sumas y Saldos'!Q156+'Sumas y Saldos'!Q163+'Sumas y Saldos'!Q190+'Sumas y Saldos'!Q348</f>
        <v>0</v>
      </c>
      <c r="J13" s="96">
        <f>+'Sumas y Saldos'!Z156+'Sumas y Saldos'!Z163+'Sumas y Saldos'!Z190+'Sumas y Saldos'!Z348</f>
        <v>0</v>
      </c>
      <c r="K13" s="96">
        <f>+'Sumas y Saldos'!AC156+'Sumas y Saldos'!AC163+'Sumas y Saldos'!AC190+'Sumas y Saldos'!AC348</f>
        <v>0</v>
      </c>
      <c r="L13" s="96">
        <f>+'Sumas y Saldos'!AF156+'Sumas y Saldos'!AF163+'Sumas y Saldos'!AF190+'Sumas y Saldos'!AF348</f>
        <v>0</v>
      </c>
      <c r="M13" s="96">
        <f>+'Sumas y Saldos'!W156+'Sumas y Saldos'!W163+'Sumas y Saldos'!W190+'Sumas y Saldos'!W348</f>
        <v>0</v>
      </c>
      <c r="N13" s="96">
        <f>+'Sumas y Saldos'!T156+'Sumas y Saldos'!T163+'Sumas y Saldos'!T190+'Sumas y Saldos'!T348</f>
        <v>0</v>
      </c>
      <c r="O13" s="96">
        <f>+'Sumas y Saldos'!AI156+'Sumas y Saldos'!AI163+'Sumas y Saldos'!AI190+'Sumas y Saldos'!AI348</f>
        <v>0</v>
      </c>
      <c r="P13" s="96">
        <f>+'Sumas y Saldos'!AO156+'Sumas y Saldos'!AO163+'Sumas y Saldos'!AO190+'Sumas y Saldos'!AO348</f>
        <v>0</v>
      </c>
      <c r="Q13" s="96">
        <f>+'Sumas y Saldos'!AL156+'Sumas y Saldos'!AL163+'Sumas y Saldos'!AL190+'Sumas y Saldos'!AL348</f>
        <v>0</v>
      </c>
      <c r="R13" s="96"/>
      <c r="S13" s="96"/>
      <c r="T13" s="96">
        <f>+'Sumas y Saldos'!BD224</f>
        <v>0</v>
      </c>
      <c r="U13" s="96">
        <f>+'Sumas y Saldos'!BM163</f>
        <v>0</v>
      </c>
      <c r="V13" s="96"/>
      <c r="W13" s="96"/>
      <c r="X13" s="96"/>
      <c r="Y13" s="96"/>
      <c r="Z13" s="96"/>
      <c r="AA13" s="96"/>
      <c r="AB13" s="96"/>
      <c r="AC13" s="96"/>
      <c r="AD13" s="96">
        <v>0</v>
      </c>
      <c r="AE13" s="96">
        <v>0</v>
      </c>
      <c r="AF13" s="96">
        <v>0</v>
      </c>
      <c r="AG13" s="96">
        <v>0</v>
      </c>
      <c r="AH13" s="96">
        <v>0</v>
      </c>
      <c r="AI13" s="99">
        <f>SUM(W13:AH13)</f>
        <v>0</v>
      </c>
      <c r="AJ13" s="71"/>
      <c r="AK13" s="100"/>
    </row>
    <row r="14" ht="12.75" customHeight="1" spans="1:37" x14ac:dyDescent="0.25">
      <c r="A14" s="71" t="s">
        <v>688</v>
      </c>
      <c r="B14" s="71">
        <v>9600000062</v>
      </c>
      <c r="C14" s="93" t="s">
        <v>689</v>
      </c>
      <c r="D14" s="94">
        <f>SUM(F14:V14)+E14</f>
        <v>0</v>
      </c>
      <c r="E14" s="94">
        <f>+'Sumas y Saldos'!G38</f>
        <v>0</v>
      </c>
      <c r="F14" s="96">
        <f>+'Sumas y Saldos'!E39</f>
        <v>0</v>
      </c>
      <c r="G14" s="96">
        <f>+'Sumas y Saldos'!H39</f>
        <v>0</v>
      </c>
      <c r="H14" s="96">
        <f>+'Sumas y Saldos'!K39</f>
        <v>0</v>
      </c>
      <c r="I14" s="96">
        <f>+'Sumas y Saldos'!Q39</f>
        <v>0</v>
      </c>
      <c r="J14" s="96">
        <f>+'Sumas y Saldos'!Z39</f>
        <v>0</v>
      </c>
      <c r="K14" s="96">
        <f>+'Sumas y Saldos'!AC39</f>
        <v>0</v>
      </c>
      <c r="L14" s="96">
        <f>+'Sumas y Saldos'!AF39</f>
        <v>0</v>
      </c>
      <c r="M14" s="96">
        <f>+'Sumas y Saldos'!W39</f>
        <v>0</v>
      </c>
      <c r="N14" s="96">
        <f>+'Sumas y Saldos'!T39</f>
        <v>0</v>
      </c>
      <c r="O14" s="96">
        <f>+'Sumas y Saldos'!AI39</f>
        <v>0</v>
      </c>
      <c r="P14" s="96">
        <f>+'Sumas y Saldos'!AO39</f>
        <v>0</v>
      </c>
      <c r="Q14" s="96">
        <f>+'Sumas y Saldos'!AL39</f>
        <v>0</v>
      </c>
      <c r="R14" s="96"/>
      <c r="S14" s="96"/>
      <c r="T14" s="96">
        <f>+'Sumas y Saldos'!BD225</f>
        <v>0</v>
      </c>
      <c r="U14" s="96"/>
      <c r="V14" s="96">
        <f>+'Sumas y Saldos'!BP221+'Sumas y Saldos'!BP168+'Sumas y Saldos'!BP136</f>
        <v>0</v>
      </c>
      <c r="W14" s="96"/>
      <c r="X14" s="96"/>
      <c r="Y14" s="96"/>
      <c r="Z14" s="96"/>
      <c r="AA14" s="96"/>
      <c r="AB14" s="96"/>
      <c r="AC14" s="96"/>
      <c r="AD14" s="96">
        <v>0</v>
      </c>
      <c r="AE14" s="96">
        <v>0</v>
      </c>
      <c r="AF14" s="96">
        <v>0</v>
      </c>
      <c r="AG14" s="96">
        <v>0</v>
      </c>
      <c r="AH14" s="96">
        <v>0</v>
      </c>
      <c r="AI14" s="99">
        <f>SUM(W14:AH14)</f>
        <v>0</v>
      </c>
      <c r="AJ14" s="71"/>
      <c r="AK14" s="100"/>
    </row>
    <row r="15" ht="12.75" customHeight="1" spans="1:37" x14ac:dyDescent="0.25">
      <c r="A15" s="71" t="s">
        <v>690</v>
      </c>
      <c r="B15" s="71">
        <v>9600000062</v>
      </c>
      <c r="C15" s="93" t="s">
        <v>691</v>
      </c>
      <c r="D15" s="94">
        <f>SUM(F15:V15)+E15</f>
        <v>0</v>
      </c>
      <c r="E15" s="94">
        <v>0</v>
      </c>
      <c r="F15" s="96">
        <f>+'Sumas y Saldos'!E81+'Sumas y Saldos'!E143+'Sumas y Saldos'!E252+'Sumas y Saldos'!E300</f>
        <v>0</v>
      </c>
      <c r="G15" s="96">
        <f>+'Sumas y Saldos'!H81+'Sumas y Saldos'!H143+'Sumas y Saldos'!H252+'Sumas y Saldos'!H300</f>
        <v>0</v>
      </c>
      <c r="H15" s="96">
        <f>+'Sumas y Saldos'!K81+'Sumas y Saldos'!K143+'Sumas y Saldos'!K252+'Sumas y Saldos'!K300</f>
        <v>0</v>
      </c>
      <c r="I15" s="96">
        <f>+'Sumas y Saldos'!Q81+'Sumas y Saldos'!Q143+'Sumas y Saldos'!Q252+'Sumas y Saldos'!Q300</f>
        <v>0</v>
      </c>
      <c r="J15" s="96">
        <f>+'Sumas y Saldos'!Z81+'Sumas y Saldos'!Z143+'Sumas y Saldos'!Z252+'Sumas y Saldos'!Z300</f>
        <v>0</v>
      </c>
      <c r="K15" s="96">
        <f>+'Sumas y Saldos'!AC81+'Sumas y Saldos'!AC143+'Sumas y Saldos'!AC252+'Sumas y Saldos'!AC300</f>
        <v>0</v>
      </c>
      <c r="L15" s="96">
        <f>+'Sumas y Saldos'!AF81+'Sumas y Saldos'!AF143+'Sumas y Saldos'!AF252+'Sumas y Saldos'!AF300</f>
        <v>0</v>
      </c>
      <c r="M15" s="96">
        <f>+'Sumas y Saldos'!W81+'Sumas y Saldos'!W143+'Sumas y Saldos'!W252+'Sumas y Saldos'!W300</f>
        <v>0</v>
      </c>
      <c r="N15" s="96">
        <f>+'Sumas y Saldos'!T81+'Sumas y Saldos'!T143+'Sumas y Saldos'!T252+'Sumas y Saldos'!T300</f>
        <v>0</v>
      </c>
      <c r="O15" s="96">
        <f>+'Sumas y Saldos'!AI81+'Sumas y Saldos'!AI143+'Sumas y Saldos'!AI252+'Sumas y Saldos'!AI300</f>
        <v>0</v>
      </c>
      <c r="P15" s="96">
        <f>+'Sumas y Saldos'!AO81+'Sumas y Saldos'!AO143+'Sumas y Saldos'!AO252+'Sumas y Saldos'!AO300</f>
        <v>0</v>
      </c>
      <c r="Q15" s="96">
        <f>+'Sumas y Saldos'!AL81+'Sumas y Saldos'!AL143+'Sumas y Saldos'!AL252+'Sumas y Saldos'!AL300</f>
        <v>0</v>
      </c>
      <c r="R15" s="96"/>
      <c r="S15" s="96"/>
      <c r="T15" s="96">
        <f>+'Sumas y Saldos'!BD226</f>
        <v>0</v>
      </c>
      <c r="U15" s="96">
        <f>+'Sumas y Saldos'!BM298</f>
        <v>0</v>
      </c>
      <c r="V15" s="96"/>
      <c r="W15" s="96"/>
      <c r="X15" s="96"/>
      <c r="Y15" s="96"/>
      <c r="Z15" s="96"/>
      <c r="AA15" s="96"/>
      <c r="AB15" s="96"/>
      <c r="AC15" s="96"/>
      <c r="AD15" s="96">
        <v>0</v>
      </c>
      <c r="AE15" s="96">
        <v>0</v>
      </c>
      <c r="AF15" s="96">
        <v>0</v>
      </c>
      <c r="AG15" s="96">
        <v>0</v>
      </c>
      <c r="AH15" s="96">
        <v>0</v>
      </c>
      <c r="AI15" s="99">
        <f>SUM(W15:AH15)</f>
        <v>0</v>
      </c>
      <c r="AJ15" s="71"/>
      <c r="AK15" s="100"/>
    </row>
    <row r="16" ht="12.75" customHeight="1" spans="1:37" x14ac:dyDescent="0.25">
      <c r="A16" s="71"/>
      <c r="B16" s="71"/>
      <c r="C16" s="93" t="s">
        <v>333</v>
      </c>
      <c r="D16" s="94">
        <f>SUM(F16:V16)+E16</f>
        <v>0</v>
      </c>
      <c r="E16" s="94">
        <f>+'Sumas y Saldos'!D81</f>
        <v>0</v>
      </c>
      <c r="F16" s="96">
        <f>+'Sumas y Saldos'!E102</f>
        <v>0</v>
      </c>
      <c r="G16" s="96">
        <f>+'Sumas y Saldos'!H102</f>
        <v>0</v>
      </c>
      <c r="H16" s="96">
        <f>+'Sumas y Saldos'!K102</f>
        <v>0</v>
      </c>
      <c r="I16" s="96">
        <f>+'Sumas y Saldos'!Q102</f>
        <v>0</v>
      </c>
      <c r="J16" s="96">
        <f>+'Sumas y Saldos'!Z102</f>
        <v>0</v>
      </c>
      <c r="K16" s="96">
        <f>+'Sumas y Saldos'!AC102</f>
        <v>0</v>
      </c>
      <c r="L16" s="96">
        <f>+'Sumas y Saldos'!AF102</f>
        <v>0</v>
      </c>
      <c r="M16" s="96">
        <f>+'Sumas y Saldos'!W102</f>
        <v>0</v>
      </c>
      <c r="N16" s="96">
        <f>+'Sumas y Saldos'!T102</f>
        <v>0</v>
      </c>
      <c r="O16" s="96">
        <f>+'Sumas y Saldos'!AI102</f>
        <v>0</v>
      </c>
      <c r="P16" s="96">
        <f>+'Sumas y Saldos'!AO102</f>
        <v>0</v>
      </c>
      <c r="Q16" s="96">
        <f>+'Sumas y Saldos'!AL102</f>
        <v>0</v>
      </c>
      <c r="R16" s="96"/>
      <c r="S16" s="96"/>
      <c r="T16" s="96">
        <f>+'Sumas y Saldos'!BD227</f>
        <v>0</v>
      </c>
      <c r="U16" s="96"/>
      <c r="V16" s="96"/>
      <c r="W16" s="96"/>
      <c r="X16" s="96"/>
      <c r="Y16" s="96"/>
      <c r="Z16" s="96"/>
      <c r="AA16" s="96"/>
      <c r="AB16" s="96"/>
      <c r="AC16" s="96"/>
      <c r="AD16" s="96">
        <v>0</v>
      </c>
      <c r="AE16" s="96">
        <v>0</v>
      </c>
      <c r="AF16" s="96">
        <v>0</v>
      </c>
      <c r="AG16" s="96">
        <v>0</v>
      </c>
      <c r="AH16" s="96">
        <v>0</v>
      </c>
      <c r="AI16" s="99">
        <f>SUM(W16:AH16)</f>
        <v>0</v>
      </c>
      <c r="AJ16" s="71"/>
      <c r="AK16" s="100"/>
    </row>
    <row r="17" ht="12.75" customHeight="1" spans="1:37" x14ac:dyDescent="0.25">
      <c r="A17" s="71" t="s">
        <v>692</v>
      </c>
      <c r="B17" s="71">
        <v>9600000062</v>
      </c>
      <c r="C17" s="93" t="s">
        <v>330</v>
      </c>
      <c r="D17" s="94">
        <f>SUM(F17:V17)+E17</f>
        <v>21.79</v>
      </c>
      <c r="E17" s="94">
        <f>+'Sumas y Saldos'!D98+'Sumas y Saldos'!G98</f>
        <v>0</v>
      </c>
      <c r="F17" s="96">
        <f>+'Sumas y Saldos'!E99+'Sumas y Saldos'!E161+'Sumas y Saldos'!E193+'Sumas y Saldos'!E239+'Sumas y Saldos'!E279+'Sumas y Saldos'!E336+'Sumas y Saldos'!E339+'Sumas y Saldos'!E363+'Sumas y Saldos'!E396</f>
        <v>0</v>
      </c>
      <c r="G17" s="96">
        <f>+'Sumas y Saldos'!H99+'Sumas y Saldos'!H161+'Sumas y Saldos'!H193+'Sumas y Saldos'!H239+'Sumas y Saldos'!H279+'Sumas y Saldos'!H336+'Sumas y Saldos'!H339+'Sumas y Saldos'!H363+'Sumas y Saldos'!H396</f>
        <v>20.71</v>
      </c>
      <c r="H17" s="96">
        <f>+'Sumas y Saldos'!K99+'Sumas y Saldos'!K161+'Sumas y Saldos'!K193+'Sumas y Saldos'!K239+'Sumas y Saldos'!K279+'Sumas y Saldos'!K336+'Sumas y Saldos'!K339+'Sumas y Saldos'!K363+'Sumas y Saldos'!K396</f>
        <v>0</v>
      </c>
      <c r="I17" s="96">
        <f>+'Sumas y Saldos'!Q99+'Sumas y Saldos'!Q161+'Sumas y Saldos'!Q193+'Sumas y Saldos'!Q239+'Sumas y Saldos'!Q279+'Sumas y Saldos'!Q336+'Sumas y Saldos'!Q339+'Sumas y Saldos'!Q363+'Sumas y Saldos'!Q396</f>
        <v>0</v>
      </c>
      <c r="J17" s="96">
        <f>+'Sumas y Saldos'!Z99+'Sumas y Saldos'!Z161+'Sumas y Saldos'!Z193+'Sumas y Saldos'!Z239+'Sumas y Saldos'!Z279+'Sumas y Saldos'!Z336+'Sumas y Saldos'!Z339+'Sumas y Saldos'!Z363+'Sumas y Saldos'!Z396</f>
        <v>0</v>
      </c>
      <c r="K17" s="96">
        <f>+'Sumas y Saldos'!AC99+'Sumas y Saldos'!AC161+'Sumas y Saldos'!AC193+'Sumas y Saldos'!AC239+'Sumas y Saldos'!AC279+'Sumas y Saldos'!AC336+'Sumas y Saldos'!AC339+'Sumas y Saldos'!AC363+'Sumas y Saldos'!AC396</f>
        <v>1.08</v>
      </c>
      <c r="L17" s="96">
        <f>+'Sumas y Saldos'!AF99+'Sumas y Saldos'!AF161+'Sumas y Saldos'!AF193+'Sumas y Saldos'!AF239+'Sumas y Saldos'!AF279+'Sumas y Saldos'!AF336+'Sumas y Saldos'!AF339+'Sumas y Saldos'!AF363+'Sumas y Saldos'!AF396</f>
        <v>0</v>
      </c>
      <c r="M17" s="96">
        <f>+'Sumas y Saldos'!W99+'Sumas y Saldos'!W161+'Sumas y Saldos'!W193+'Sumas y Saldos'!W239+'Sumas y Saldos'!W279+'Sumas y Saldos'!W336+'Sumas y Saldos'!W339+'Sumas y Saldos'!W363+'Sumas y Saldos'!W396</f>
        <v>0</v>
      </c>
      <c r="N17" s="96">
        <f>+'Sumas y Saldos'!T99+'Sumas y Saldos'!T161+'Sumas y Saldos'!T193+'Sumas y Saldos'!T239+'Sumas y Saldos'!T279+'Sumas y Saldos'!T336+'Sumas y Saldos'!T339+'Sumas y Saldos'!T363+'Sumas y Saldos'!T396</f>
        <v>0</v>
      </c>
      <c r="O17" s="96">
        <f>+'Sumas y Saldos'!AI99+'Sumas y Saldos'!AI161+'Sumas y Saldos'!AI193+'Sumas y Saldos'!AI239+'Sumas y Saldos'!AI279+'Sumas y Saldos'!AI336+'Sumas y Saldos'!AI339+'Sumas y Saldos'!AI363+'Sumas y Saldos'!AI396</f>
        <v>0</v>
      </c>
      <c r="P17" s="96">
        <f>+'Sumas y Saldos'!AO99+'Sumas y Saldos'!AO161+'Sumas y Saldos'!AO193+'Sumas y Saldos'!AO239+'Sumas y Saldos'!AO279+'Sumas y Saldos'!AO336+'Sumas y Saldos'!AO339+'Sumas y Saldos'!AO363+'Sumas y Saldos'!AO396</f>
        <v>0</v>
      </c>
      <c r="Q17" s="96">
        <f>+'Sumas y Saldos'!AL99+'Sumas y Saldos'!AL161+'Sumas y Saldos'!AL193+'Sumas y Saldos'!AL239+'Sumas y Saldos'!AL279+'Sumas y Saldos'!AL336+'Sumas y Saldos'!AL339+'Sumas y Saldos'!AL363+'Sumas y Saldos'!AL396</f>
        <v>0</v>
      </c>
      <c r="R17" s="96">
        <f>+'Sumas y Saldos'!BE277</f>
        <v>0</v>
      </c>
      <c r="S17" s="96"/>
      <c r="T17" s="96">
        <f>+'Sumas y Saldos'!BD228</f>
        <v>0</v>
      </c>
      <c r="U17" s="96">
        <f>+'Sumas y Saldos'!BM333+'Sumas y Saldos'!BM238+'Sumas y Saldos'!BM277+'Sumas y Saldos'!BM336</f>
        <v>0</v>
      </c>
      <c r="V17" s="96">
        <f>+'Sumas y Saldos'!BP161+'Sumas y Saldos'!BP333+'Sumas y Saldos'!BP193+'Sumas y Saldos'!BN394</f>
        <v>0</v>
      </c>
      <c r="W17" s="96"/>
      <c r="X17" s="96"/>
      <c r="Y17" s="96"/>
      <c r="Z17" s="96"/>
      <c r="AA17" s="96"/>
      <c r="AB17" s="96"/>
      <c r="AC17" s="96"/>
      <c r="AD17" s="96">
        <v>21.79</v>
      </c>
      <c r="AE17" s="96">
        <v>270.41</v>
      </c>
      <c r="AF17" s="96">
        <v>96.91</v>
      </c>
      <c r="AG17" s="96">
        <v>22.16</v>
      </c>
      <c r="AH17" s="96">
        <v>0</v>
      </c>
      <c r="AI17" s="99">
        <f>SUM(W17:AH17)</f>
        <v>411.27000000000004</v>
      </c>
      <c r="AJ17" s="71"/>
      <c r="AK17" s="100"/>
    </row>
    <row r="18" ht="12.75" customHeight="1" spans="1:37" x14ac:dyDescent="0.25">
      <c r="A18" s="71" t="s">
        <v>693</v>
      </c>
      <c r="B18" s="71">
        <v>9600000062</v>
      </c>
      <c r="C18" s="93" t="s">
        <v>310</v>
      </c>
      <c r="D18" s="94">
        <f>SUM(F18:V18)+E18</f>
        <v>871.4100000000001</v>
      </c>
      <c r="E18" s="94">
        <f>+'Sumas y Saldos'!S218</f>
        <v>0</v>
      </c>
      <c r="F18" s="96">
        <f>+'Sumas y Saldos'!E23+'Sumas y Saldos'!E79+'Sumas y Saldos'!E142+'Sumas y Saldos'!E202+'Sumas y Saldos'!E218+'Sumas y Saldos'!E272+'Sumas y Saldos'!E320+'Sumas y Saldos'!E353+'Sumas y Saldos'!E368</f>
        <v>0</v>
      </c>
      <c r="G18" s="96">
        <f>+'Sumas y Saldos'!H23+'Sumas y Saldos'!H79+'Sumas y Saldos'!H142+'Sumas y Saldos'!H202+'Sumas y Saldos'!H218+'Sumas y Saldos'!H272+'Sumas y Saldos'!H320+'Sumas y Saldos'!H353+'Sumas y Saldos'!H368</f>
        <v>213.44</v>
      </c>
      <c r="H18" s="96">
        <f>+'Sumas y Saldos'!K23+'Sumas y Saldos'!K79+'Sumas y Saldos'!K142+'Sumas y Saldos'!K202+'Sumas y Saldos'!K218+'Sumas y Saldos'!K272+'Sumas y Saldos'!K320+'Sumas y Saldos'!K353+'Sumas y Saldos'!K368</f>
        <v>0</v>
      </c>
      <c r="I18" s="96">
        <f>+'Sumas y Saldos'!Q23+'Sumas y Saldos'!Q79+'Sumas y Saldos'!Q142+'Sumas y Saldos'!Q202+'Sumas y Saldos'!Q218+'Sumas y Saldos'!Q272+'Sumas y Saldos'!Q320+'Sumas y Saldos'!Q353+'Sumas y Saldos'!Q368</f>
        <v>0</v>
      </c>
      <c r="J18" s="96">
        <f>+'Sumas y Saldos'!Z23+'Sumas y Saldos'!Z79+'Sumas y Saldos'!Z142+'Sumas y Saldos'!Z202+'Sumas y Saldos'!Z218+'Sumas y Saldos'!Z272+'Sumas y Saldos'!Z320+'Sumas y Saldos'!Z353+'Sumas y Saldos'!Z368</f>
        <v>0</v>
      </c>
      <c r="K18" s="96">
        <f>+'Sumas y Saldos'!AC23+'Sumas y Saldos'!AC79+'Sumas y Saldos'!AC142+'Sumas y Saldos'!AC202+'Sumas y Saldos'!AC218+'Sumas y Saldos'!AC272+'Sumas y Saldos'!AC320+'Sumas y Saldos'!AC353+'Sumas y Saldos'!AC368</f>
        <v>657.97</v>
      </c>
      <c r="L18" s="96">
        <f>+'Sumas y Saldos'!AF23+'Sumas y Saldos'!AF79+'Sumas y Saldos'!AF142+'Sumas y Saldos'!AF202+'Sumas y Saldos'!AF218+'Sumas y Saldos'!AF272+'Sumas y Saldos'!AF320+'Sumas y Saldos'!AF353+'Sumas y Saldos'!AF368</f>
        <v>0</v>
      </c>
      <c r="M18" s="96">
        <f>+'Sumas y Saldos'!W23+'Sumas y Saldos'!W79+'Sumas y Saldos'!W142+'Sumas y Saldos'!W202+'Sumas y Saldos'!W218+'Sumas y Saldos'!W272+'Sumas y Saldos'!W320+'Sumas y Saldos'!W353+'Sumas y Saldos'!W368</f>
        <v>0</v>
      </c>
      <c r="N18" s="96">
        <f>+'Sumas y Saldos'!T23+'Sumas y Saldos'!T79+'Sumas y Saldos'!T142+'Sumas y Saldos'!T202+'Sumas y Saldos'!T218+'Sumas y Saldos'!T272+'Sumas y Saldos'!T320+'Sumas y Saldos'!T353+'Sumas y Saldos'!T368</f>
        <v>0</v>
      </c>
      <c r="O18" s="96">
        <f>+'Sumas y Saldos'!AI23+'Sumas y Saldos'!AI79+'Sumas y Saldos'!AI142+'Sumas y Saldos'!AI202+'Sumas y Saldos'!AI218+'Sumas y Saldos'!AI272+'Sumas y Saldos'!AI320+'Sumas y Saldos'!AI353+'Sumas y Saldos'!AI368</f>
        <v>0</v>
      </c>
      <c r="P18" s="96">
        <f>+'Sumas y Saldos'!AO23+'Sumas y Saldos'!AO79+'Sumas y Saldos'!AO142+'Sumas y Saldos'!AO202+'Sumas y Saldos'!AO218+'Sumas y Saldos'!AO272+'Sumas y Saldos'!AO320+'Sumas y Saldos'!AO353+'Sumas y Saldos'!AO368</f>
        <v>0</v>
      </c>
      <c r="Q18" s="96">
        <f>+'Sumas y Saldos'!AL23+'Sumas y Saldos'!AL79+'Sumas y Saldos'!AL142+'Sumas y Saldos'!AL202+'Sumas y Saldos'!AL218+'Sumas y Saldos'!AL272+'Sumas y Saldos'!AL320+'Sumas y Saldos'!AL353+'Sumas y Saldos'!AL368</f>
        <v>0</v>
      </c>
      <c r="R18" s="96">
        <f>+'Sumas y Saldos'!BE270</f>
        <v>0</v>
      </c>
      <c r="S18" s="96">
        <f>+'Sumas y Saldos'!BF270</f>
        <v>0</v>
      </c>
      <c r="T18" s="96">
        <f>+'Sumas y Saldos'!BD229</f>
        <v>0</v>
      </c>
      <c r="U18" s="96">
        <f>+'Sumas y Saldos'!BM270+'Sumas y Saldos'!BM317+'Sumas y Saldos'!BM218+'Sumas y Saldos'!BM350</f>
        <v>0</v>
      </c>
      <c r="V18" s="96">
        <f>+'Sumas y Saldos'!BP141+'Sumas y Saldos'!BP218+'Sumas y Saldos'!BP317+'Sumas y Saldos'!BP202+'Sumas y Saldos'!BP270+'Sumas y Saldos'!BP350</f>
        <v>0</v>
      </c>
      <c r="W18" s="96"/>
      <c r="X18" s="96"/>
      <c r="Y18" s="96"/>
      <c r="Z18" s="96"/>
      <c r="AA18" s="96"/>
      <c r="AB18" s="96"/>
      <c r="AC18" s="96"/>
      <c r="AD18" s="96">
        <v>871.4100000000001</v>
      </c>
      <c r="AE18" s="96">
        <v>925.46</v>
      </c>
      <c r="AF18" s="96">
        <v>798.34</v>
      </c>
      <c r="AG18" s="96">
        <v>1059.48</v>
      </c>
      <c r="AH18" s="96">
        <v>1908.93</v>
      </c>
      <c r="AI18" s="99">
        <f>SUM(W18:AH18)</f>
        <v>5563.62</v>
      </c>
      <c r="AJ18" s="71"/>
      <c r="AK18" s="100"/>
    </row>
    <row r="19" ht="12.75" customHeight="1" spans="1:37" x14ac:dyDescent="0.25">
      <c r="A19" s="71"/>
      <c r="B19" s="71"/>
      <c r="C19" s="93" t="s">
        <v>694</v>
      </c>
      <c r="D19" s="94">
        <f>SUM(F19:V19)+E19</f>
        <v>0</v>
      </c>
      <c r="E19" s="94">
        <f>+'Sumas y Saldos'!D80</f>
        <v>0</v>
      </c>
      <c r="F19" s="96">
        <v>0</v>
      </c>
      <c r="G19" s="96">
        <v>0</v>
      </c>
      <c r="H19" s="96">
        <v>0</v>
      </c>
      <c r="I19" s="96">
        <v>0</v>
      </c>
      <c r="J19" s="96">
        <v>0</v>
      </c>
      <c r="K19" s="96">
        <v>0</v>
      </c>
      <c r="L19" s="96">
        <v>0</v>
      </c>
      <c r="M19" s="96">
        <v>0</v>
      </c>
      <c r="N19" s="96">
        <v>0</v>
      </c>
      <c r="O19" s="96">
        <v>0</v>
      </c>
      <c r="P19" s="96">
        <v>0</v>
      </c>
      <c r="Q19" s="96">
        <v>0</v>
      </c>
      <c r="R19" s="96"/>
      <c r="S19" s="96"/>
      <c r="T19" s="96">
        <f>+'Sumas y Saldos'!BD230</f>
        <v>0</v>
      </c>
      <c r="U19" s="96"/>
      <c r="V19" s="96">
        <f>+'Sumas y Saldos'!BP229+'Sumas y Saldos'!BN344</f>
        <v>0</v>
      </c>
      <c r="W19" s="96"/>
      <c r="X19" s="96"/>
      <c r="Y19" s="96"/>
      <c r="Z19" s="96"/>
      <c r="AA19" s="96"/>
      <c r="AB19" s="96"/>
      <c r="AC19" s="96"/>
      <c r="AD19" s="96">
        <v>0</v>
      </c>
      <c r="AE19" s="96">
        <v>0</v>
      </c>
      <c r="AF19" s="96">
        <v>0</v>
      </c>
      <c r="AG19" s="96">
        <v>0</v>
      </c>
      <c r="AH19" s="96">
        <v>0</v>
      </c>
      <c r="AI19" s="99">
        <f>SUM(W19:AH19)</f>
        <v>0</v>
      </c>
      <c r="AJ19" s="71"/>
      <c r="AK19" s="100"/>
    </row>
    <row r="20" ht="12.75" customHeight="1" spans="1:37" x14ac:dyDescent="0.25">
      <c r="A20" s="71" t="s">
        <v>695</v>
      </c>
      <c r="B20" s="71">
        <v>9600000062</v>
      </c>
      <c r="C20" s="93" t="s">
        <v>696</v>
      </c>
      <c r="D20" s="94">
        <f>SUM(F20:V20)+E20</f>
        <v>0</v>
      </c>
      <c r="E20" s="94">
        <f>+'Sumas y Saldos'!D64</f>
        <v>0</v>
      </c>
      <c r="F20" s="96">
        <f>+'Sumas y Saldos'!E65+'Sumas y Saldos'!E244+'Sumas y Saldos'!E299+'Sumas y Saldos'!E318</f>
        <v>0</v>
      </c>
      <c r="G20" s="96">
        <f>+'Sumas y Saldos'!H65+'Sumas y Saldos'!H244+'Sumas y Saldos'!H299+'Sumas y Saldos'!H318</f>
        <v>0</v>
      </c>
      <c r="H20" s="96">
        <f>+'Sumas y Saldos'!K65+'Sumas y Saldos'!K244+'Sumas y Saldos'!K299+'Sumas y Saldos'!K318</f>
        <v>0</v>
      </c>
      <c r="I20" s="96">
        <f>+'Sumas y Saldos'!Q65+'Sumas y Saldos'!Q244+'Sumas y Saldos'!Q299+'Sumas y Saldos'!Q318</f>
        <v>0</v>
      </c>
      <c r="J20" s="96">
        <f>+'Sumas y Saldos'!Z65+'Sumas y Saldos'!Z244+'Sumas y Saldos'!Z299+'Sumas y Saldos'!Z318</f>
        <v>0</v>
      </c>
      <c r="K20" s="96">
        <f>+'Sumas y Saldos'!AC65+'Sumas y Saldos'!AC244+'Sumas y Saldos'!AC299+'Sumas y Saldos'!AC318</f>
        <v>0</v>
      </c>
      <c r="L20" s="96">
        <f>+'Sumas y Saldos'!AF65+'Sumas y Saldos'!AF244+'Sumas y Saldos'!AF299+'Sumas y Saldos'!AF318</f>
        <v>0</v>
      </c>
      <c r="M20" s="96">
        <f>+'Sumas y Saldos'!W65+'Sumas y Saldos'!W244+'Sumas y Saldos'!W299+'Sumas y Saldos'!W318</f>
        <v>0</v>
      </c>
      <c r="N20" s="96">
        <f>+'Sumas y Saldos'!T65+'Sumas y Saldos'!T244+'Sumas y Saldos'!T299+'Sumas y Saldos'!T318</f>
        <v>0</v>
      </c>
      <c r="O20" s="96">
        <f>+'Sumas y Saldos'!AI65+'Sumas y Saldos'!AI244+'Sumas y Saldos'!AI299+'Sumas y Saldos'!AI318</f>
        <v>0</v>
      </c>
      <c r="P20" s="96">
        <f>+'Sumas y Saldos'!AO65+'Sumas y Saldos'!AO244+'Sumas y Saldos'!AO299+'Sumas y Saldos'!AO318</f>
        <v>0</v>
      </c>
      <c r="Q20" s="96">
        <f>+'Sumas y Saldos'!AL65+'Sumas y Saldos'!AL244+'Sumas y Saldos'!AL299+'Sumas y Saldos'!AL318</f>
        <v>0</v>
      </c>
      <c r="R20" s="96"/>
      <c r="S20" s="96"/>
      <c r="T20" s="96">
        <f>+'Sumas y Saldos'!BD231</f>
        <v>0</v>
      </c>
      <c r="U20" s="96">
        <f>+'Sumas y Saldos'!BM297</f>
        <v>0</v>
      </c>
      <c r="V20" s="96"/>
      <c r="W20" s="96"/>
      <c r="X20" s="96"/>
      <c r="Y20" s="96"/>
      <c r="Z20" s="96"/>
      <c r="AA20" s="96"/>
      <c r="AB20" s="96"/>
      <c r="AC20" s="96"/>
      <c r="AD20" s="96">
        <v>0</v>
      </c>
      <c r="AE20" s="96">
        <v>0</v>
      </c>
      <c r="AF20" s="96">
        <v>0</v>
      </c>
      <c r="AG20" s="96">
        <v>0</v>
      </c>
      <c r="AH20" s="96">
        <v>130.73</v>
      </c>
      <c r="AI20" s="99">
        <f>SUM(W20:AH20)</f>
        <v>130.73</v>
      </c>
      <c r="AJ20" s="71"/>
      <c r="AK20" s="100"/>
    </row>
    <row r="21" ht="12.75" customHeight="1" spans="1:37" x14ac:dyDescent="0.25">
      <c r="A21" s="71" t="s">
        <v>697</v>
      </c>
      <c r="B21" s="71">
        <v>9600000062</v>
      </c>
      <c r="C21" s="93" t="s">
        <v>698</v>
      </c>
      <c r="D21" s="94">
        <f>SUM(F21:V21)+E21</f>
        <v>1955.8000000000002</v>
      </c>
      <c r="E21" s="94">
        <f>+'Sumas y Saldos'!G149</f>
        <v>0</v>
      </c>
      <c r="F21" s="96">
        <f>+'Sumas y Saldos'!E35+'Sumas y Saldos'!E40+'Sumas y Saldos'!E90+'Sumas y Saldos'!E105+'Sumas y Saldos'!E136+'Sumas y Saldos'!E150+'Sumas y Saldos'!E151+'Sumas y Saldos'!E185+'Sumas y Saldos'!E217+'Sumas y Saldos'!E226+'Sumas y Saldos'!E265+'Sumas y Saldos'!E274+'Sumas y Saldos'!E280+'Sumas y Saldos'!E329+'Sumas y Saldos'!E334+'Sumas y Saldos'!E358</f>
        <v>0</v>
      </c>
      <c r="G21" s="96">
        <f>+'Sumas y Saldos'!H35+'Sumas y Saldos'!H40+'Sumas y Saldos'!H90+'Sumas y Saldos'!H105+'Sumas y Saldos'!H136+'Sumas y Saldos'!H150+'Sumas y Saldos'!H151+'Sumas y Saldos'!H185+'Sumas y Saldos'!H217+'Sumas y Saldos'!H226+'Sumas y Saldos'!H265+'Sumas y Saldos'!H274+'Sumas y Saldos'!H280+'Sumas y Saldos'!H329+'Sumas y Saldos'!H334+'Sumas y Saldos'!H358</f>
        <v>182.36</v>
      </c>
      <c r="H21" s="96">
        <f>+'Sumas y Saldos'!K35+'Sumas y Saldos'!K40+'Sumas y Saldos'!K90+'Sumas y Saldos'!K105+'Sumas y Saldos'!K136+'Sumas y Saldos'!K150+'Sumas y Saldos'!K151+'Sumas y Saldos'!K185+'Sumas y Saldos'!K217+'Sumas y Saldos'!K226+'Sumas y Saldos'!K265+'Sumas y Saldos'!K274+'Sumas y Saldos'!K280+'Sumas y Saldos'!K329+'Sumas y Saldos'!K334+'Sumas y Saldos'!K358</f>
        <v>0</v>
      </c>
      <c r="I21" s="96">
        <f>+'Sumas y Saldos'!Q35+'Sumas y Saldos'!Q40+'Sumas y Saldos'!Q90+'Sumas y Saldos'!Q105+'Sumas y Saldos'!Q136+'Sumas y Saldos'!Q150+'Sumas y Saldos'!Q151+'Sumas y Saldos'!Q185+'Sumas y Saldos'!Q217+'Sumas y Saldos'!Q226+'Sumas y Saldos'!Q265+'Sumas y Saldos'!Q274+'Sumas y Saldos'!Q280+'Sumas y Saldos'!Q329+'Sumas y Saldos'!Q334+'Sumas y Saldos'!Q358</f>
        <v>0</v>
      </c>
      <c r="J21" s="96">
        <f>+'Sumas y Saldos'!Z35+'Sumas y Saldos'!Z40+'Sumas y Saldos'!Z90+'Sumas y Saldos'!Z105+'Sumas y Saldos'!Z136+'Sumas y Saldos'!Z150+'Sumas y Saldos'!Z151+'Sumas y Saldos'!Z185+'Sumas y Saldos'!Z217+'Sumas y Saldos'!Z226+'Sumas y Saldos'!Z265+'Sumas y Saldos'!Z274+'Sumas y Saldos'!Z280+'Sumas y Saldos'!Z329+'Sumas y Saldos'!Z334+'Sumas y Saldos'!Z358</f>
        <v>0</v>
      </c>
      <c r="K21" s="96">
        <f>+'Sumas y Saldos'!AC35+'Sumas y Saldos'!AC40+'Sumas y Saldos'!AC90+'Sumas y Saldos'!AC105+'Sumas y Saldos'!AC136+'Sumas y Saldos'!AC150+'Sumas y Saldos'!AC151+'Sumas y Saldos'!AC185+'Sumas y Saldos'!AC217+'Sumas y Saldos'!AC226+'Sumas y Saldos'!AC265+'Sumas y Saldos'!AC274+'Sumas y Saldos'!AC280+'Sumas y Saldos'!AC329+'Sumas y Saldos'!AC334+'Sumas y Saldos'!AC358</f>
        <v>1773.44</v>
      </c>
      <c r="L21" s="96">
        <f>+'Sumas y Saldos'!AF35+'Sumas y Saldos'!AF40+'Sumas y Saldos'!AF90+'Sumas y Saldos'!AF105+'Sumas y Saldos'!AF136+'Sumas y Saldos'!AF150+'Sumas y Saldos'!AF151+'Sumas y Saldos'!AF185+'Sumas y Saldos'!AF217+'Sumas y Saldos'!AF226+'Sumas y Saldos'!AF265+'Sumas y Saldos'!AF274+'Sumas y Saldos'!AF280+'Sumas y Saldos'!AF329+'Sumas y Saldos'!AF334+'Sumas y Saldos'!AF358</f>
        <v>0</v>
      </c>
      <c r="M21" s="96">
        <f>+'Sumas y Saldos'!W35+'Sumas y Saldos'!W40+'Sumas y Saldos'!W90+'Sumas y Saldos'!W105+'Sumas y Saldos'!W136+'Sumas y Saldos'!W150+'Sumas y Saldos'!W151+'Sumas y Saldos'!W185+'Sumas y Saldos'!W217+'Sumas y Saldos'!W226+'Sumas y Saldos'!W265+'Sumas y Saldos'!W274+'Sumas y Saldos'!W280+'Sumas y Saldos'!W329+'Sumas y Saldos'!W334+'Sumas y Saldos'!W358</f>
        <v>0</v>
      </c>
      <c r="N21" s="96">
        <f>+'Sumas y Saldos'!T35+'Sumas y Saldos'!T40+'Sumas y Saldos'!T90+'Sumas y Saldos'!T105+'Sumas y Saldos'!T136+'Sumas y Saldos'!T150+'Sumas y Saldos'!T151+'Sumas y Saldos'!T185+'Sumas y Saldos'!T217+'Sumas y Saldos'!T226+'Sumas y Saldos'!T265+'Sumas y Saldos'!T274+'Sumas y Saldos'!T280+'Sumas y Saldos'!T329+'Sumas y Saldos'!T334+'Sumas y Saldos'!T358</f>
        <v>0</v>
      </c>
      <c r="O21" s="96">
        <f>+'Sumas y Saldos'!AI35+'Sumas y Saldos'!AI40+'Sumas y Saldos'!AI90+'Sumas y Saldos'!AI105+'Sumas y Saldos'!AI136+'Sumas y Saldos'!AI150+'Sumas y Saldos'!AI151+'Sumas y Saldos'!AI185+'Sumas y Saldos'!AI217+'Sumas y Saldos'!AI226+'Sumas y Saldos'!AI265+'Sumas y Saldos'!AI274+'Sumas y Saldos'!AI280+'Sumas y Saldos'!AI329+'Sumas y Saldos'!AI334+'Sumas y Saldos'!AI358</f>
        <v>0</v>
      </c>
      <c r="P21" s="96">
        <f>+'Sumas y Saldos'!AO35+'Sumas y Saldos'!AO40+'Sumas y Saldos'!AO90+'Sumas y Saldos'!AO105+'Sumas y Saldos'!AO136+'Sumas y Saldos'!AO150+'Sumas y Saldos'!AO151+'Sumas y Saldos'!AO185+'Sumas y Saldos'!AO217+'Sumas y Saldos'!AO226+'Sumas y Saldos'!AO265+'Sumas y Saldos'!AO274+'Sumas y Saldos'!AO280+'Sumas y Saldos'!AO329+'Sumas y Saldos'!AO334+'Sumas y Saldos'!AO358</f>
        <v>0</v>
      </c>
      <c r="Q21" s="96">
        <f>+'Sumas y Saldos'!AL35+'Sumas y Saldos'!AL40+'Sumas y Saldos'!AL90+'Sumas y Saldos'!AL105+'Sumas y Saldos'!AL136+'Sumas y Saldos'!AL150+'Sumas y Saldos'!AL151+'Sumas y Saldos'!AL185+'Sumas y Saldos'!AL217+'Sumas y Saldos'!AL226+'Sumas y Saldos'!AL265+'Sumas y Saldos'!AL274+'Sumas y Saldos'!AL280+'Sumas y Saldos'!AL329+'Sumas y Saldos'!AL334+'Sumas y Saldos'!AL358</f>
        <v>0</v>
      </c>
      <c r="R21" s="96"/>
      <c r="S21" s="96"/>
      <c r="T21" s="96">
        <f>+'Sumas y Saldos'!BD232</f>
        <v>0</v>
      </c>
      <c r="U21" s="96">
        <f>+'Sumas y Saldos'!BM331+'Sumas y Saldos'!BM272+'Sumas y Saldos'!BM185+'Sumas y Saldos'!BM226+'Sumas y Saldos'!BM278+'Sumas y Saldos'!BM342</f>
        <v>0</v>
      </c>
      <c r="V21" s="96">
        <f>+'Sumas y Saldos'!BN227+'Sumas y Saldos'!BP217+'Sumas y Saldos'!BP226+'Sumas y Saldos'!BP149+'Sumas y Saldos'!BP185+'Sumas y Saldos'!BP331+'Sumas y Saldos'!BP332+'Sumas y Saldos'!BP326+'Sumas y Saldos'!BP278+'Sumas y Saldos'!BN342+'Sumas y Saldos'!BP272</f>
        <v>0</v>
      </c>
      <c r="W21" s="96"/>
      <c r="X21" s="96"/>
      <c r="Y21" s="96"/>
      <c r="Z21" s="96"/>
      <c r="AA21" s="96"/>
      <c r="AB21" s="96"/>
      <c r="AC21" s="96"/>
      <c r="AD21" s="96">
        <v>1955.8000000000002</v>
      </c>
      <c r="AE21" s="96">
        <v>1673.4299999999998</v>
      </c>
      <c r="AF21" s="96">
        <v>5943.76</v>
      </c>
      <c r="AG21" s="96">
        <v>64.57</v>
      </c>
      <c r="AH21" s="96">
        <v>618.82</v>
      </c>
      <c r="AI21" s="99">
        <f>SUM(W21:AH21)</f>
        <v>10256.38</v>
      </c>
      <c r="AJ21" s="71"/>
      <c r="AK21" s="100"/>
    </row>
    <row r="22" ht="12.75" customHeight="1" spans="1:37" x14ac:dyDescent="0.25">
      <c r="A22" s="71"/>
      <c r="B22" s="71"/>
      <c r="C22" s="93" t="s">
        <v>257</v>
      </c>
      <c r="D22" s="94">
        <f>SUM(F22:V22)+E22</f>
        <v>608.97</v>
      </c>
      <c r="E22" s="94">
        <f>+'Sumas y Saldos'!D66</f>
        <v>0</v>
      </c>
      <c r="F22" s="96">
        <f>+'Sumas y Saldos'!E26+'Sumas y Saldos'!E165+'Sumas y Saldos'!E189+'Sumas y Saldos'!E222+'Sumas y Saldos'!E283+'Sumas y Saldos'!E317</f>
        <v>0</v>
      </c>
      <c r="G22" s="96">
        <f>+'Sumas y Saldos'!H26+'Sumas y Saldos'!H165+'Sumas y Saldos'!H189+'Sumas y Saldos'!H222+'Sumas y Saldos'!H283+'Sumas y Saldos'!H317</f>
        <v>546.71</v>
      </c>
      <c r="H22" s="96">
        <f>+'Sumas y Saldos'!K26+'Sumas y Saldos'!K165+'Sumas y Saldos'!K189+'Sumas y Saldos'!K222+'Sumas y Saldos'!K283+'Sumas y Saldos'!K317</f>
        <v>0</v>
      </c>
      <c r="I22" s="96">
        <f>+'Sumas y Saldos'!Q26+'Sumas y Saldos'!Q165+'Sumas y Saldos'!Q189+'Sumas y Saldos'!Q222+'Sumas y Saldos'!Q283+'Sumas y Saldos'!Q317</f>
        <v>0</v>
      </c>
      <c r="J22" s="96">
        <f>+'Sumas y Saldos'!Z26+'Sumas y Saldos'!Z165+'Sumas y Saldos'!Z189+'Sumas y Saldos'!Z222+'Sumas y Saldos'!Z283+'Sumas y Saldos'!Z317</f>
        <v>0</v>
      </c>
      <c r="K22" s="96">
        <f>+'Sumas y Saldos'!AC26+'Sumas y Saldos'!AC165+'Sumas y Saldos'!AC189+'Sumas y Saldos'!AC222+'Sumas y Saldos'!AC283+'Sumas y Saldos'!AC317</f>
        <v>62.26</v>
      </c>
      <c r="L22" s="96">
        <f>+'Sumas y Saldos'!AF26+'Sumas y Saldos'!AF165+'Sumas y Saldos'!AF189+'Sumas y Saldos'!AF222+'Sumas y Saldos'!AF283+'Sumas y Saldos'!AF317</f>
        <v>0</v>
      </c>
      <c r="M22" s="96">
        <f>+'Sumas y Saldos'!W26+'Sumas y Saldos'!W165+'Sumas y Saldos'!W189+'Sumas y Saldos'!W222+'Sumas y Saldos'!W283+'Sumas y Saldos'!W317</f>
        <v>0</v>
      </c>
      <c r="N22" s="96">
        <f>+'Sumas y Saldos'!T26+'Sumas y Saldos'!T165+'Sumas y Saldos'!T189+'Sumas y Saldos'!T222+'Sumas y Saldos'!T283+'Sumas y Saldos'!T317</f>
        <v>0</v>
      </c>
      <c r="O22" s="96">
        <f>+'Sumas y Saldos'!AI26+'Sumas y Saldos'!AI165+'Sumas y Saldos'!AI189+'Sumas y Saldos'!AI222+'Sumas y Saldos'!AI283+'Sumas y Saldos'!AI317</f>
        <v>0</v>
      </c>
      <c r="P22" s="96">
        <f>+'Sumas y Saldos'!AO26+'Sumas y Saldos'!AO165+'Sumas y Saldos'!AO189+'Sumas y Saldos'!AO222+'Sumas y Saldos'!AO283+'Sumas y Saldos'!AO317</f>
        <v>0</v>
      </c>
      <c r="Q22" s="96">
        <f>+'Sumas y Saldos'!AL26+'Sumas y Saldos'!AL165+'Sumas y Saldos'!AL189+'Sumas y Saldos'!AL222+'Sumas y Saldos'!AL283+'Sumas y Saldos'!AL317</f>
        <v>0</v>
      </c>
      <c r="R22" s="96">
        <f>+'Sumas y Saldos'!BE281</f>
        <v>0</v>
      </c>
      <c r="S22" s="96">
        <f>+'Sumas y Saldos'!BF281</f>
        <v>0</v>
      </c>
      <c r="T22" s="96">
        <f>+'Sumas y Saldos'!BD233</f>
        <v>0</v>
      </c>
      <c r="U22" s="96">
        <f>+'Sumas y Saldos'!BM314+'Sumas y Saldos'!BM281+'Sumas y Saldos'!BM222+'Sumas y Saldos'!BK189</f>
        <v>0</v>
      </c>
      <c r="V22" s="96">
        <f>+'Sumas y Saldos'!BP189+'Sumas y Saldos'!BP165+'Sumas y Saldos'!BP314+'Sumas y Saldos'!BP281+'Sumas y Saldos'!BP222</f>
        <v>0</v>
      </c>
      <c r="W22" s="96"/>
      <c r="X22" s="96"/>
      <c r="Y22" s="96"/>
      <c r="Z22" s="96"/>
      <c r="AA22" s="96"/>
      <c r="AB22" s="96"/>
      <c r="AC22" s="96"/>
      <c r="AD22" s="96">
        <v>608.97</v>
      </c>
      <c r="AE22" s="96">
        <v>922.27</v>
      </c>
      <c r="AF22" s="96">
        <v>739.17</v>
      </c>
      <c r="AG22" s="96">
        <v>0</v>
      </c>
      <c r="AH22" s="96">
        <v>0</v>
      </c>
      <c r="AI22" s="99">
        <f>SUM(W22:AH22)</f>
        <v>2270.41</v>
      </c>
      <c r="AJ22" s="71"/>
      <c r="AK22" s="100"/>
    </row>
    <row r="23" ht="12.75" customHeight="1" spans="1:37" x14ac:dyDescent="0.25">
      <c r="A23" s="71"/>
      <c r="B23" s="71"/>
      <c r="C23" s="93" t="s">
        <v>699</v>
      </c>
      <c r="D23" s="94">
        <f>SUM(F23:V23)+E23</f>
        <v>0</v>
      </c>
      <c r="E23" s="94">
        <f>+'Sumas y Saldos'!G26</f>
        <v>0</v>
      </c>
      <c r="F23" s="96">
        <f>+'Sumas y Saldos'!E27+'Sumas y Saldos'!E155+'Sumas y Saldos'!E259+'Sumas y Saldos'!E388</f>
        <v>0</v>
      </c>
      <c r="G23" s="96">
        <f>+'Sumas y Saldos'!H27+'Sumas y Saldos'!H155+'Sumas y Saldos'!H259+'Sumas y Saldos'!H388</f>
        <v>0</v>
      </c>
      <c r="H23" s="96">
        <f>+'Sumas y Saldos'!K27+'Sumas y Saldos'!K155+'Sumas y Saldos'!K259+'Sumas y Saldos'!K388</f>
        <v>0</v>
      </c>
      <c r="I23" s="96">
        <f>+'Sumas y Saldos'!Q27+'Sumas y Saldos'!Q155+'Sumas y Saldos'!Q259+'Sumas y Saldos'!Q388</f>
        <v>0</v>
      </c>
      <c r="J23" s="96">
        <f>+'Sumas y Saldos'!Z27+'Sumas y Saldos'!Z155+'Sumas y Saldos'!Z259+'Sumas y Saldos'!Z388</f>
        <v>0</v>
      </c>
      <c r="K23" s="96">
        <f>+'Sumas y Saldos'!AC27+'Sumas y Saldos'!AC155+'Sumas y Saldos'!AC259+'Sumas y Saldos'!AC388</f>
        <v>0</v>
      </c>
      <c r="L23" s="96">
        <f>+'Sumas y Saldos'!AF27+'Sumas y Saldos'!AF155+'Sumas y Saldos'!AF259+'Sumas y Saldos'!AF388</f>
        <v>0</v>
      </c>
      <c r="M23" s="96">
        <f>+'Sumas y Saldos'!W27+'Sumas y Saldos'!W155+'Sumas y Saldos'!W259+'Sumas y Saldos'!W388</f>
        <v>0</v>
      </c>
      <c r="N23" s="96">
        <f>+'Sumas y Saldos'!T27+'Sumas y Saldos'!T155+'Sumas y Saldos'!T259+'Sumas y Saldos'!T388</f>
        <v>0</v>
      </c>
      <c r="O23" s="96">
        <f>+'Sumas y Saldos'!AI27+'Sumas y Saldos'!AI155+'Sumas y Saldos'!AI259+'Sumas y Saldos'!AI388</f>
        <v>0</v>
      </c>
      <c r="P23" s="96">
        <f>+'Sumas y Saldos'!AO27+'Sumas y Saldos'!AO155+'Sumas y Saldos'!AO259+'Sumas y Saldos'!AO388</f>
        <v>0</v>
      </c>
      <c r="Q23" s="96">
        <f>+'Sumas y Saldos'!AL27+'Sumas y Saldos'!AL155+'Sumas y Saldos'!AL259+'Sumas y Saldos'!AL388</f>
        <v>0</v>
      </c>
      <c r="R23" s="96"/>
      <c r="S23" s="96"/>
      <c r="T23" s="96">
        <f>+'Sumas y Saldos'!BD234</f>
        <v>0</v>
      </c>
      <c r="U23" s="96"/>
      <c r="V23" s="96"/>
      <c r="W23" s="96"/>
      <c r="X23" s="96"/>
      <c r="Y23" s="96"/>
      <c r="Z23" s="96"/>
      <c r="AA23" s="96"/>
      <c r="AB23" s="96"/>
      <c r="AC23" s="96"/>
      <c r="AD23" s="96">
        <v>0</v>
      </c>
      <c r="AE23" s="96">
        <v>0</v>
      </c>
      <c r="AF23" s="96">
        <v>0</v>
      </c>
      <c r="AG23" s="96">
        <v>0</v>
      </c>
      <c r="AH23" s="96">
        <v>0</v>
      </c>
      <c r="AI23" s="99">
        <f>SUM(W23:AH23)</f>
        <v>0</v>
      </c>
      <c r="AJ23" s="71"/>
      <c r="AK23" s="100"/>
    </row>
    <row r="24" ht="12.75" customHeight="1" spans="1:37" x14ac:dyDescent="0.25">
      <c r="A24" s="71" t="s">
        <v>700</v>
      </c>
      <c r="B24" s="71">
        <v>9600000062</v>
      </c>
      <c r="C24" s="93" t="s">
        <v>339</v>
      </c>
      <c r="D24" s="94">
        <f>SUM(F24:V24)+E24</f>
        <v>5085.540000000001</v>
      </c>
      <c r="E24" s="94">
        <v>0</v>
      </c>
      <c r="F24" s="96">
        <f>+'Sumas y Saldos'!E108+'Sumas y Saldos'!E166+'Sumas y Saldos'!E195+'Sumas y Saldos'!E223+'Sumas y Saldos'!E293+'Sumas y Saldos'!E294+'Sumas y Saldos'!E328+'Sumas y Saldos'!E350+'Sumas y Saldos'!E381+'Sumas y Saldos'!E391</f>
        <v>0</v>
      </c>
      <c r="G24" s="96">
        <f>+'Sumas y Saldos'!H108+'Sumas y Saldos'!H166+'Sumas y Saldos'!H195+'Sumas y Saldos'!H223+'Sumas y Saldos'!H293+'Sumas y Saldos'!H294+'Sumas y Saldos'!H328+'Sumas y Saldos'!H350+'Sumas y Saldos'!H381+'Sumas y Saldos'!H391</f>
        <v>5063.900000000001</v>
      </c>
      <c r="H24" s="96">
        <f>+'Sumas y Saldos'!K108+'Sumas y Saldos'!K166+'Sumas y Saldos'!K195+'Sumas y Saldos'!K223+'Sumas y Saldos'!K293+'Sumas y Saldos'!K294+'Sumas y Saldos'!K328+'Sumas y Saldos'!K350+'Sumas y Saldos'!K381+'Sumas y Saldos'!K391</f>
        <v>0</v>
      </c>
      <c r="I24" s="96">
        <f>+'Sumas y Saldos'!Q108+'Sumas y Saldos'!Q166+'Sumas y Saldos'!Q195+'Sumas y Saldos'!Q223+'Sumas y Saldos'!Q293+'Sumas y Saldos'!Q294+'Sumas y Saldos'!Q328+'Sumas y Saldos'!Q350+'Sumas y Saldos'!Q381+'Sumas y Saldos'!Q391</f>
        <v>0</v>
      </c>
      <c r="J24" s="96">
        <f>+'Sumas y Saldos'!Z108+'Sumas y Saldos'!Z166+'Sumas y Saldos'!Z195+'Sumas y Saldos'!Z223+'Sumas y Saldos'!Z293+'Sumas y Saldos'!Z294+'Sumas y Saldos'!Z328+'Sumas y Saldos'!Z350+'Sumas y Saldos'!Z381+'Sumas y Saldos'!Z391</f>
        <v>0</v>
      </c>
      <c r="K24" s="96">
        <f>+'Sumas y Saldos'!AC108+'Sumas y Saldos'!AC166+'Sumas y Saldos'!AC195+'Sumas y Saldos'!AC223+'Sumas y Saldos'!AC293+'Sumas y Saldos'!AC294+'Sumas y Saldos'!AC328+'Sumas y Saldos'!AC350+'Sumas y Saldos'!AC381+'Sumas y Saldos'!AC391</f>
        <v>21.64</v>
      </c>
      <c r="L24" s="96">
        <f>+'Sumas y Saldos'!AF108+'Sumas y Saldos'!AF166+'Sumas y Saldos'!AF195+'Sumas y Saldos'!AF223+'Sumas y Saldos'!AF293+'Sumas y Saldos'!AF294+'Sumas y Saldos'!AF328+'Sumas y Saldos'!AF350+'Sumas y Saldos'!AF381+'Sumas y Saldos'!AF391</f>
        <v>0</v>
      </c>
      <c r="M24" s="96">
        <f>+'Sumas y Saldos'!W108+'Sumas y Saldos'!W166+'Sumas y Saldos'!W195+'Sumas y Saldos'!W223+'Sumas y Saldos'!W293+'Sumas y Saldos'!W294+'Sumas y Saldos'!W328+'Sumas y Saldos'!W350+'Sumas y Saldos'!W381+'Sumas y Saldos'!W391</f>
        <v>0</v>
      </c>
      <c r="N24" s="96">
        <f>+'Sumas y Saldos'!T108+'Sumas y Saldos'!T166+'Sumas y Saldos'!T195+'Sumas y Saldos'!T223+'Sumas y Saldos'!T293+'Sumas y Saldos'!T294+'Sumas y Saldos'!T328+'Sumas y Saldos'!T350+'Sumas y Saldos'!T381+'Sumas y Saldos'!T391</f>
        <v>0</v>
      </c>
      <c r="O24" s="96">
        <f>+'Sumas y Saldos'!AI108+'Sumas y Saldos'!AI166+'Sumas y Saldos'!AI195+'Sumas y Saldos'!AI223+'Sumas y Saldos'!AI293+'Sumas y Saldos'!AI294+'Sumas y Saldos'!AI328+'Sumas y Saldos'!AI350+'Sumas y Saldos'!AI381+'Sumas y Saldos'!AI391</f>
        <v>0</v>
      </c>
      <c r="P24" s="96">
        <f>+'Sumas y Saldos'!AO108+'Sumas y Saldos'!AO166+'Sumas y Saldos'!AO195+'Sumas y Saldos'!AO223+'Sumas y Saldos'!AO293+'Sumas y Saldos'!AO294+'Sumas y Saldos'!AO328+'Sumas y Saldos'!AO350+'Sumas y Saldos'!AO381+'Sumas y Saldos'!AO391</f>
        <v>0</v>
      </c>
      <c r="Q24" s="96">
        <f>+'Sumas y Saldos'!AL108+'Sumas y Saldos'!AL166+'Sumas y Saldos'!AL195+'Sumas y Saldos'!AL223+'Sumas y Saldos'!AL293+'Sumas y Saldos'!AL294+'Sumas y Saldos'!AL328+'Sumas y Saldos'!AL350+'Sumas y Saldos'!AL381+'Sumas y Saldos'!AL391</f>
        <v>0</v>
      </c>
      <c r="R24" s="96">
        <f>+'Sumas y Saldos'!BE291</f>
        <v>0</v>
      </c>
      <c r="S24" s="96">
        <f>+'Sumas y Saldos'!BF291</f>
        <v>0</v>
      </c>
      <c r="T24" s="96">
        <f>+'Sumas y Saldos'!BD235</f>
        <v>0</v>
      </c>
      <c r="U24" s="96">
        <f>+'Sumas y Saldos'!BM325+'Sumas y Saldos'!BM291+'Sumas y Saldos'!BM347+'Sumas y Saldos'!BM223+'Sumas y Saldos'!BM195</f>
        <v>0</v>
      </c>
      <c r="V24" s="96">
        <f>+'Sumas y Saldos'!BP223+'Sumas y Saldos'!BP195+'Sumas y Saldos'!BP325+'Sumas y Saldos'!BP291+'Sumas y Saldos'!BP347+'Sumas y Saldos'!BP292</f>
        <v>0</v>
      </c>
      <c r="W24" s="96"/>
      <c r="X24" s="96"/>
      <c r="Y24" s="96"/>
      <c r="Z24" s="96"/>
      <c r="AA24" s="96"/>
      <c r="AB24" s="96"/>
      <c r="AC24" s="96"/>
      <c r="AD24" s="96">
        <v>5085.540000000001</v>
      </c>
      <c r="AE24" s="96">
        <v>2631.84</v>
      </c>
      <c r="AF24" s="96">
        <v>382.87</v>
      </c>
      <c r="AG24" s="96">
        <v>2488.36</v>
      </c>
      <c r="AH24" s="96">
        <v>289.18</v>
      </c>
      <c r="AI24" s="99">
        <f>SUM(W24:AH24)</f>
        <v>10877.79</v>
      </c>
      <c r="AJ24" s="71"/>
      <c r="AK24" s="100"/>
    </row>
    <row r="25" ht="12.75" customHeight="1" spans="1:37" x14ac:dyDescent="0.25">
      <c r="A25" s="71" t="s">
        <v>701</v>
      </c>
      <c r="B25" s="71">
        <v>9600000062</v>
      </c>
      <c r="C25" s="93" t="s">
        <v>702</v>
      </c>
      <c r="D25" s="94">
        <f>SUM(F25:V25)+E25</f>
        <v>0</v>
      </c>
      <c r="E25" s="94">
        <f>+'Sumas y Saldos'!D99+'Sumas y Saldos'!G99</f>
        <v>0</v>
      </c>
      <c r="F25" s="96">
        <f>+'Sumas y Saldos'!E153+'Sumas y Saldos'!E179+'Sumas y Saldos'!E213+'Sumas y Saldos'!E306</f>
        <v>0</v>
      </c>
      <c r="G25" s="96">
        <f>+'Sumas y Saldos'!H153+'Sumas y Saldos'!H179+'Sumas y Saldos'!H213+'Sumas y Saldos'!H306</f>
        <v>0</v>
      </c>
      <c r="H25" s="96">
        <f>+'Sumas y Saldos'!K153+'Sumas y Saldos'!K179+'Sumas y Saldos'!K213+'Sumas y Saldos'!K306</f>
        <v>0</v>
      </c>
      <c r="I25" s="96">
        <f>+'Sumas y Saldos'!Q153+'Sumas y Saldos'!Q179+'Sumas y Saldos'!Q213+'Sumas y Saldos'!Q306</f>
        <v>0</v>
      </c>
      <c r="J25" s="96">
        <f>+'Sumas y Saldos'!Z153+'Sumas y Saldos'!Z179+'Sumas y Saldos'!Z213+'Sumas y Saldos'!Z306</f>
        <v>0</v>
      </c>
      <c r="K25" s="96">
        <f>+'Sumas y Saldos'!AC153+'Sumas y Saldos'!AC179+'Sumas y Saldos'!AC213+'Sumas y Saldos'!AC306</f>
        <v>0</v>
      </c>
      <c r="L25" s="96">
        <f>+'Sumas y Saldos'!AF153+'Sumas y Saldos'!AF179+'Sumas y Saldos'!AF213+'Sumas y Saldos'!AF306</f>
        <v>0</v>
      </c>
      <c r="M25" s="96">
        <f>+'Sumas y Saldos'!W153+'Sumas y Saldos'!W179+'Sumas y Saldos'!W213+'Sumas y Saldos'!W306</f>
        <v>0</v>
      </c>
      <c r="N25" s="96">
        <f>+'Sumas y Saldos'!T153+'Sumas y Saldos'!T179+'Sumas y Saldos'!T213+'Sumas y Saldos'!T306</f>
        <v>0</v>
      </c>
      <c r="O25" s="96">
        <f>+'Sumas y Saldos'!AI153+'Sumas y Saldos'!AI179+'Sumas y Saldos'!AI213+'Sumas y Saldos'!AI306</f>
        <v>0</v>
      </c>
      <c r="P25" s="96">
        <f>+'Sumas y Saldos'!AO153+'Sumas y Saldos'!AO179+'Sumas y Saldos'!AO213+'Sumas y Saldos'!AO306</f>
        <v>0</v>
      </c>
      <c r="Q25" s="96">
        <f>+'Sumas y Saldos'!AL153+'Sumas y Saldos'!AL179+'Sumas y Saldos'!AL213+'Sumas y Saldos'!AL306</f>
        <v>0</v>
      </c>
      <c r="R25" s="96"/>
      <c r="S25" s="96"/>
      <c r="T25" s="96">
        <f>+'Sumas y Saldos'!BD236</f>
        <v>0</v>
      </c>
      <c r="U25" s="96">
        <f>+'Sumas y Saldos'!BM213+'Sumas y Saldos'!BM304</f>
        <v>0</v>
      </c>
      <c r="V25" s="96">
        <f>+'Sumas y Saldos'!BP152+'Sumas y Saldos'!BP179+'Sumas y Saldos'!BP304</f>
        <v>0</v>
      </c>
      <c r="W25" s="96"/>
      <c r="X25" s="96"/>
      <c r="Y25" s="96"/>
      <c r="Z25" s="96"/>
      <c r="AA25" s="96"/>
      <c r="AB25" s="96"/>
      <c r="AC25" s="96"/>
      <c r="AD25" s="96">
        <v>0</v>
      </c>
      <c r="AE25" s="96">
        <v>1313.4199999999998</v>
      </c>
      <c r="AF25" s="96">
        <v>10959.78</v>
      </c>
      <c r="AG25" s="96">
        <v>46.91</v>
      </c>
      <c r="AH25" s="96">
        <v>368.07</v>
      </c>
      <c r="AI25" s="99">
        <f>SUM(W25:AH25)</f>
        <v>12688.18</v>
      </c>
      <c r="AJ25" s="71"/>
      <c r="AK25" s="100"/>
    </row>
    <row r="26" ht="12.75" customHeight="1" spans="1:37" x14ac:dyDescent="0.25">
      <c r="A26" s="71" t="s">
        <v>703</v>
      </c>
      <c r="B26" s="71">
        <v>9600000062</v>
      </c>
      <c r="C26" s="93" t="s">
        <v>704</v>
      </c>
      <c r="D26" s="94">
        <f>SUM(F26:V26)+E26</f>
        <v>6632.79</v>
      </c>
      <c r="E26" s="94"/>
      <c r="F26" s="96">
        <f>+'Sumas y Saldos'!E72+'Sumas y Saldos'!E132+'Sumas y Saldos'!E191+'Sumas y Saldos'!E211+'Sumas y Saldos'!E268+'Sumas y Saldos'!E288+'Sumas y Saldos'!E315+'Sumas y Saldos'!E331+'Sumas y Saldos'!E371</f>
        <v>0</v>
      </c>
      <c r="G26" s="96">
        <f>+'Sumas y Saldos'!H72+'Sumas y Saldos'!H132+'Sumas y Saldos'!H191+'Sumas y Saldos'!H211+'Sumas y Saldos'!H268+'Sumas y Saldos'!H288+'Sumas y Saldos'!H315+'Sumas y Saldos'!H331+'Sumas y Saldos'!H371</f>
        <v>6521.84</v>
      </c>
      <c r="H26" s="96">
        <f>+'Sumas y Saldos'!K72+'Sumas y Saldos'!K132+'Sumas y Saldos'!K191+'Sumas y Saldos'!K211+'Sumas y Saldos'!K268+'Sumas y Saldos'!K288+'Sumas y Saldos'!K315+'Sumas y Saldos'!K331+'Sumas y Saldos'!K371</f>
        <v>0</v>
      </c>
      <c r="I26" s="96">
        <f>+'Sumas y Saldos'!Q72+'Sumas y Saldos'!Q132+'Sumas y Saldos'!Q191+'Sumas y Saldos'!Q211+'Sumas y Saldos'!Q268+'Sumas y Saldos'!Q288+'Sumas y Saldos'!Q315+'Sumas y Saldos'!Q331+'Sumas y Saldos'!Q371</f>
        <v>0</v>
      </c>
      <c r="J26" s="96">
        <f>+'Sumas y Saldos'!Z72+'Sumas y Saldos'!Z132+'Sumas y Saldos'!Z191+'Sumas y Saldos'!Z211+'Sumas y Saldos'!Z268+'Sumas y Saldos'!Z288+'Sumas y Saldos'!Z315+'Sumas y Saldos'!Z331+'Sumas y Saldos'!Z371</f>
        <v>0</v>
      </c>
      <c r="K26" s="96">
        <f>+'Sumas y Saldos'!AC72+'Sumas y Saldos'!AC132+'Sumas y Saldos'!AC191+'Sumas y Saldos'!AC211+'Sumas y Saldos'!AC268+'Sumas y Saldos'!AC288+'Sumas y Saldos'!AC315+'Sumas y Saldos'!AC331+'Sumas y Saldos'!AC371</f>
        <v>110.95</v>
      </c>
      <c r="L26" s="96">
        <f>+'Sumas y Saldos'!AF72+'Sumas y Saldos'!AF132+'Sumas y Saldos'!AF191+'Sumas y Saldos'!AF211+'Sumas y Saldos'!AF268+'Sumas y Saldos'!AF288+'Sumas y Saldos'!AF315+'Sumas y Saldos'!AF331+'Sumas y Saldos'!AF371</f>
        <v>0</v>
      </c>
      <c r="M26" s="96">
        <f>+'Sumas y Saldos'!W72+'Sumas y Saldos'!W132+'Sumas y Saldos'!W191+'Sumas y Saldos'!W211+'Sumas y Saldos'!W268+'Sumas y Saldos'!W288+'Sumas y Saldos'!W315+'Sumas y Saldos'!W331+'Sumas y Saldos'!W371</f>
        <v>0</v>
      </c>
      <c r="N26" s="96">
        <f>+'Sumas y Saldos'!T72+'Sumas y Saldos'!T132+'Sumas y Saldos'!T191+'Sumas y Saldos'!T211+'Sumas y Saldos'!T268+'Sumas y Saldos'!T288+'Sumas y Saldos'!T315+'Sumas y Saldos'!T331+'Sumas y Saldos'!T371</f>
        <v>0</v>
      </c>
      <c r="O26" s="96">
        <f>+'Sumas y Saldos'!AI72+'Sumas y Saldos'!AI132+'Sumas y Saldos'!AI191+'Sumas y Saldos'!AI211+'Sumas y Saldos'!AI268+'Sumas y Saldos'!AI288+'Sumas y Saldos'!AI315+'Sumas y Saldos'!AI331+'Sumas y Saldos'!AI371</f>
        <v>0</v>
      </c>
      <c r="P26" s="96">
        <f>+'Sumas y Saldos'!AO72+'Sumas y Saldos'!AO132+'Sumas y Saldos'!AO191+'Sumas y Saldos'!AO211+'Sumas y Saldos'!AO268+'Sumas y Saldos'!AO288+'Sumas y Saldos'!AO315+'Sumas y Saldos'!AO331+'Sumas y Saldos'!AO371</f>
        <v>0</v>
      </c>
      <c r="Q26" s="96">
        <f>+'Sumas y Saldos'!AL72+'Sumas y Saldos'!AL132+'Sumas y Saldos'!AL191+'Sumas y Saldos'!AL211+'Sumas y Saldos'!AL268+'Sumas y Saldos'!AL288+'Sumas y Saldos'!AL315+'Sumas y Saldos'!AL331+'Sumas y Saldos'!AL371</f>
        <v>0</v>
      </c>
      <c r="R26" s="96">
        <f>+'Sumas y Saldos'!BE286</f>
        <v>0</v>
      </c>
      <c r="S26" s="96">
        <f>+'Sumas y Saldos'!BF286</f>
        <v>0</v>
      </c>
      <c r="T26" s="96">
        <f>+'Sumas y Saldos'!BD191</f>
        <v>0</v>
      </c>
      <c r="U26" s="96">
        <f>+'Sumas y Saldos'!BM328+'Sumas y Saldos'!BM211+'Sumas y Saldos'!BM286+'Sumas y Saldos'!BM191</f>
        <v>0</v>
      </c>
      <c r="V26" s="96">
        <f>+'Sumas y Saldos'!BP131+'Sumas y Saldos'!BP211+'Sumas y Saldos'!BP312+'Sumas y Saldos'!BP191+'Sumas y Saldos'!BP199+'Sumas y Saldos'!BP328+'Sumas y Saldos'!BP286</f>
        <v>0</v>
      </c>
      <c r="W26" s="96"/>
      <c r="X26" s="96"/>
      <c r="Y26" s="96"/>
      <c r="Z26" s="96"/>
      <c r="AA26" s="96"/>
      <c r="AB26" s="96"/>
      <c r="AC26" s="96"/>
      <c r="AD26" s="96">
        <v>6632.79</v>
      </c>
      <c r="AE26" s="96">
        <v>7087.03</v>
      </c>
      <c r="AF26" s="96">
        <v>12663.87</v>
      </c>
      <c r="AG26" s="96">
        <v>11490.93</v>
      </c>
      <c r="AH26" s="96">
        <v>24053.61</v>
      </c>
      <c r="AI26" s="99">
        <f>SUM(W26:AH26)</f>
        <v>61928.23</v>
      </c>
      <c r="AJ26" s="71"/>
      <c r="AK26" s="100"/>
    </row>
    <row r="27" ht="12.75" customHeight="1" spans="1:37" x14ac:dyDescent="0.25">
      <c r="A27" s="71" t="s">
        <v>705</v>
      </c>
      <c r="B27" s="71">
        <v>9600000062</v>
      </c>
      <c r="C27" s="93" t="s">
        <v>307</v>
      </c>
      <c r="D27" s="94">
        <f>SUM(F27:V27)+E27</f>
        <v>0</v>
      </c>
      <c r="E27" s="94">
        <f>+'Sumas y Saldos'!D75</f>
        <v>0</v>
      </c>
      <c r="F27" s="96">
        <f>+'Sumas y Saldos'!E76+'Sumas y Saldos'!E238+'Sumas y Saldos'!E276+'Sumas y Saldos'!E384</f>
        <v>0</v>
      </c>
      <c r="G27" s="96">
        <f>+'Sumas y Saldos'!H76+'Sumas y Saldos'!H238+'Sumas y Saldos'!H276+'Sumas y Saldos'!H384</f>
        <v>0</v>
      </c>
      <c r="H27" s="96">
        <f>+'Sumas y Saldos'!K76+'Sumas y Saldos'!K238+'Sumas y Saldos'!K276+'Sumas y Saldos'!K384</f>
        <v>0</v>
      </c>
      <c r="I27" s="96">
        <f>+'Sumas y Saldos'!Q76+'Sumas y Saldos'!Q238+'Sumas y Saldos'!Q276+'Sumas y Saldos'!Q384</f>
        <v>0</v>
      </c>
      <c r="J27" s="96">
        <f>+'Sumas y Saldos'!Z76+'Sumas y Saldos'!Z238+'Sumas y Saldos'!Z276+'Sumas y Saldos'!Z384</f>
        <v>0</v>
      </c>
      <c r="K27" s="96">
        <f>+'Sumas y Saldos'!AC76+'Sumas y Saldos'!AC238+'Sumas y Saldos'!AC276+'Sumas y Saldos'!AC384</f>
        <v>0</v>
      </c>
      <c r="L27" s="96">
        <f>+'Sumas y Saldos'!AF76+'Sumas y Saldos'!AF238+'Sumas y Saldos'!AF276+'Sumas y Saldos'!AF384</f>
        <v>0</v>
      </c>
      <c r="M27" s="96">
        <f>+'Sumas y Saldos'!W76+'Sumas y Saldos'!W238+'Sumas y Saldos'!W276+'Sumas y Saldos'!W384</f>
        <v>0</v>
      </c>
      <c r="N27" s="96">
        <f>+'Sumas y Saldos'!T76+'Sumas y Saldos'!T238+'Sumas y Saldos'!T276+'Sumas y Saldos'!T384</f>
        <v>0</v>
      </c>
      <c r="O27" s="96">
        <f>+'Sumas y Saldos'!AI76+'Sumas y Saldos'!AI238+'Sumas y Saldos'!AI276+'Sumas y Saldos'!AI384</f>
        <v>0</v>
      </c>
      <c r="P27" s="96">
        <f>+'Sumas y Saldos'!AO76+'Sumas y Saldos'!AO238+'Sumas y Saldos'!AO276+'Sumas y Saldos'!AO384</f>
        <v>0</v>
      </c>
      <c r="Q27" s="96">
        <f>+'Sumas y Saldos'!AL76+'Sumas y Saldos'!AL238+'Sumas y Saldos'!AL276+'Sumas y Saldos'!AL384</f>
        <v>0</v>
      </c>
      <c r="R27" s="96"/>
      <c r="S27" s="96"/>
      <c r="T27" s="96">
        <f>+'Sumas y Saldos'!BD238</f>
        <v>0</v>
      </c>
      <c r="U27" s="96">
        <f>+'Sumas y Saldos'!BM274</f>
        <v>0</v>
      </c>
      <c r="V27" s="96"/>
      <c r="W27" s="96"/>
      <c r="X27" s="96"/>
      <c r="Y27" s="96"/>
      <c r="Z27" s="96"/>
      <c r="AA27" s="96"/>
      <c r="AB27" s="96"/>
      <c r="AC27" s="96"/>
      <c r="AD27" s="96">
        <v>0</v>
      </c>
      <c r="AE27" s="96">
        <v>0</v>
      </c>
      <c r="AF27" s="96">
        <v>0</v>
      </c>
      <c r="AG27" s="96">
        <v>0</v>
      </c>
      <c r="AH27" s="96">
        <v>0</v>
      </c>
      <c r="AI27" s="99">
        <f>SUM(W27:AH27)</f>
        <v>0</v>
      </c>
      <c r="AJ27" s="71"/>
      <c r="AK27" s="100"/>
    </row>
    <row r="28" ht="12.75" customHeight="1" spans="1:37" x14ac:dyDescent="0.25">
      <c r="A28" s="71" t="s">
        <v>706</v>
      </c>
      <c r="B28" s="71">
        <v>9600000062</v>
      </c>
      <c r="C28" s="93" t="s">
        <v>707</v>
      </c>
      <c r="D28" s="94">
        <f>SUM(F28:V28)+E28</f>
        <v>0</v>
      </c>
      <c r="E28" s="94"/>
      <c r="F28" s="96">
        <f>+'Sumas y Saldos'!E101</f>
        <v>0</v>
      </c>
      <c r="G28" s="96">
        <f>+'Sumas y Saldos'!H101</f>
        <v>0</v>
      </c>
      <c r="H28" s="96">
        <f>+'Sumas y Saldos'!K101</f>
        <v>0</v>
      </c>
      <c r="I28" s="96">
        <f>+'Sumas y Saldos'!Q101</f>
        <v>0</v>
      </c>
      <c r="J28" s="96">
        <f>+'Sumas y Saldos'!Z101</f>
        <v>0</v>
      </c>
      <c r="K28" s="96">
        <f>+'Sumas y Saldos'!AC101</f>
        <v>0</v>
      </c>
      <c r="L28" s="96">
        <f>+'Sumas y Saldos'!AF101</f>
        <v>0</v>
      </c>
      <c r="M28" s="96">
        <f>+'Sumas y Saldos'!W101</f>
        <v>0</v>
      </c>
      <c r="N28" s="96">
        <f>+'Sumas y Saldos'!T101</f>
        <v>0</v>
      </c>
      <c r="O28" s="96">
        <f>+'Sumas y Saldos'!AI101</f>
        <v>0</v>
      </c>
      <c r="P28" s="96">
        <f>+'Sumas y Saldos'!AO101</f>
        <v>0</v>
      </c>
      <c r="Q28" s="96">
        <f>+'Sumas y Saldos'!AL101</f>
        <v>0</v>
      </c>
      <c r="R28" s="96"/>
      <c r="S28" s="96"/>
      <c r="T28" s="96">
        <f>+'Sumas y Saldos'!BD239</f>
        <v>0</v>
      </c>
      <c r="U28" s="96"/>
      <c r="V28" s="96"/>
      <c r="W28" s="96"/>
      <c r="X28" s="96"/>
      <c r="Y28" s="96"/>
      <c r="Z28" s="96"/>
      <c r="AA28" s="96"/>
      <c r="AB28" s="96"/>
      <c r="AC28" s="96"/>
      <c r="AD28" s="96">
        <v>0</v>
      </c>
      <c r="AE28" s="96">
        <v>0</v>
      </c>
      <c r="AF28" s="96">
        <v>0</v>
      </c>
      <c r="AG28" s="96">
        <v>0</v>
      </c>
      <c r="AH28" s="96">
        <v>0</v>
      </c>
      <c r="AI28" s="99">
        <f>SUM(W28:AH28)</f>
        <v>0</v>
      </c>
      <c r="AJ28" s="71"/>
      <c r="AK28" s="100"/>
    </row>
    <row r="29" ht="12.75" customHeight="1" spans="1:37" x14ac:dyDescent="0.25">
      <c r="A29" s="71" t="s">
        <v>708</v>
      </c>
      <c r="B29" s="71">
        <v>9600000062</v>
      </c>
      <c r="C29" s="93" t="s">
        <v>709</v>
      </c>
      <c r="D29" s="94">
        <f>SUM(F29:V29)+E29</f>
        <v>0</v>
      </c>
      <c r="E29" s="94">
        <f>-M29</f>
        <v>0</v>
      </c>
      <c r="F29" s="96">
        <f>+'Sumas y Saldos'!E34+'Sumas y Saldos'!E164+'Sumas y Saldos'!E180+'Sumas y Saldos'!E181+'Sumas y Saldos'!E249+'Sumas y Saldos'!E287+'Sumas y Saldos'!E378</f>
        <v>0</v>
      </c>
      <c r="G29" s="96">
        <f>+'Sumas y Saldos'!H34+'Sumas y Saldos'!H164+'Sumas y Saldos'!H180+'Sumas y Saldos'!H181+'Sumas y Saldos'!H249+'Sumas y Saldos'!H287+'Sumas y Saldos'!H378</f>
        <v>0</v>
      </c>
      <c r="H29" s="96">
        <f>+'Sumas y Saldos'!K34+'Sumas y Saldos'!K164+'Sumas y Saldos'!K180+'Sumas y Saldos'!K181+'Sumas y Saldos'!K249+'Sumas y Saldos'!K287+'Sumas y Saldos'!K378</f>
        <v>0</v>
      </c>
      <c r="I29" s="96">
        <f>+'Sumas y Saldos'!Q34+'Sumas y Saldos'!Q164+'Sumas y Saldos'!Q180+'Sumas y Saldos'!Q181+'Sumas y Saldos'!Q249+'Sumas y Saldos'!Q287+'Sumas y Saldos'!Q378</f>
        <v>0</v>
      </c>
      <c r="J29" s="96">
        <f>+'Sumas y Saldos'!Z34+'Sumas y Saldos'!Z164+'Sumas y Saldos'!Z180+'Sumas y Saldos'!Z181+'Sumas y Saldos'!Z249+'Sumas y Saldos'!Z287+'Sumas y Saldos'!Z378</f>
        <v>0</v>
      </c>
      <c r="K29" s="96">
        <f>+'Sumas y Saldos'!AC34+'Sumas y Saldos'!AC164+'Sumas y Saldos'!AC180+'Sumas y Saldos'!AC181+'Sumas y Saldos'!AC249+'Sumas y Saldos'!AC287+'Sumas y Saldos'!AC378</f>
        <v>0</v>
      </c>
      <c r="L29" s="96">
        <f>+'Sumas y Saldos'!AF34+'Sumas y Saldos'!AF164+'Sumas y Saldos'!AF180+'Sumas y Saldos'!AF181+'Sumas y Saldos'!AF249+'Sumas y Saldos'!AF287+'Sumas y Saldos'!AF378</f>
        <v>0</v>
      </c>
      <c r="M29" s="96">
        <f>+'Sumas y Saldos'!W34+'Sumas y Saldos'!W164+'Sumas y Saldos'!W180+'Sumas y Saldos'!W181+'Sumas y Saldos'!W249+'Sumas y Saldos'!W287+'Sumas y Saldos'!W378</f>
        <v>0</v>
      </c>
      <c r="N29" s="96">
        <f>+'Sumas y Saldos'!T34+'Sumas y Saldos'!T164+'Sumas y Saldos'!T180+'Sumas y Saldos'!T181+'Sumas y Saldos'!T249+'Sumas y Saldos'!T287+'Sumas y Saldos'!T378</f>
        <v>0</v>
      </c>
      <c r="O29" s="96">
        <f>+'Sumas y Saldos'!AI34+'Sumas y Saldos'!AI164+'Sumas y Saldos'!AI180+'Sumas y Saldos'!AI181+'Sumas y Saldos'!AI249+'Sumas y Saldos'!AI287+'Sumas y Saldos'!AI378</f>
        <v>0</v>
      </c>
      <c r="P29" s="96">
        <f>+'Sumas y Saldos'!AO34+'Sumas y Saldos'!AO164+'Sumas y Saldos'!AO180+'Sumas y Saldos'!AO181+'Sumas y Saldos'!AO249+'Sumas y Saldos'!AO287+'Sumas y Saldos'!AO378</f>
        <v>0</v>
      </c>
      <c r="Q29" s="96">
        <f>+'Sumas y Saldos'!AL34+'Sumas y Saldos'!AL164+'Sumas y Saldos'!AL180+'Sumas y Saldos'!AL181+'Sumas y Saldos'!AL249+'Sumas y Saldos'!AL287+'Sumas y Saldos'!AL378</f>
        <v>0</v>
      </c>
      <c r="R29" s="96"/>
      <c r="S29" s="96"/>
      <c r="T29" s="96">
        <f>+'Sumas y Saldos'!BD240</f>
        <v>0</v>
      </c>
      <c r="U29" s="96">
        <f>+'Sumas y Saldos'!BM257+'Sumas y Saldos'!BM279+'Sumas y Saldos'!BM241+'Sumas y Saldos'!BK285+'Sumas y Saldos'!BM288</f>
        <v>0</v>
      </c>
      <c r="V29" s="96">
        <f>+'Sumas y Saldos'!BP164+'Sumas y Saldos'!BP257+'Sumas y Saldos'!BP180</f>
        <v>0</v>
      </c>
      <c r="W29" s="96"/>
      <c r="X29" s="96"/>
      <c r="Y29" s="96"/>
      <c r="Z29" s="96"/>
      <c r="AA29" s="96"/>
      <c r="AB29" s="96"/>
      <c r="AC29" s="96"/>
      <c r="AD29" s="96">
        <v>0</v>
      </c>
      <c r="AE29" s="96">
        <v>0</v>
      </c>
      <c r="AF29" s="96">
        <v>0</v>
      </c>
      <c r="AG29" s="96">
        <v>156.87</v>
      </c>
      <c r="AH29" s="96">
        <v>0</v>
      </c>
      <c r="AI29" s="99">
        <f>SUM(W29:AH29)</f>
        <v>156.87</v>
      </c>
      <c r="AJ29" s="71"/>
      <c r="AK29" s="100"/>
    </row>
    <row r="30" ht="12.75" customHeight="1" spans="1:37" x14ac:dyDescent="0.25">
      <c r="A30" s="71"/>
      <c r="B30" s="71"/>
      <c r="C30" s="93" t="s">
        <v>327</v>
      </c>
      <c r="D30" s="94">
        <f>SUM(F30:V30)+E30</f>
        <v>1.07</v>
      </c>
      <c r="E30" s="94">
        <f>+'Sumas y Saldos'!D34+'Sumas y Saldos'!G95+'Sumas y Saldos'!S371</f>
        <v>0</v>
      </c>
      <c r="F30" s="96">
        <f>+'Sumas y Saldos'!E96+'Sumas y Saldos'!E125+'Sumas y Saldos'!E184+'Sumas y Saldos'!E237+'Sumas y Saldos'!E304+'Sumas y Saldos'!E321+'Sumas y Saldos'!E374</f>
        <v>0</v>
      </c>
      <c r="G30" s="96">
        <f>+'Sumas y Saldos'!H96+'Sumas y Saldos'!H125+'Sumas y Saldos'!H184+'Sumas y Saldos'!H237+'Sumas y Saldos'!H304+'Sumas y Saldos'!H321+'Sumas y Saldos'!H374</f>
        <v>0</v>
      </c>
      <c r="H30" s="96">
        <f>+'Sumas y Saldos'!K96+'Sumas y Saldos'!K125+'Sumas y Saldos'!K184+'Sumas y Saldos'!K237+'Sumas y Saldos'!K304+'Sumas y Saldos'!K321+'Sumas y Saldos'!K374</f>
        <v>0</v>
      </c>
      <c r="I30" s="96">
        <f>+'Sumas y Saldos'!Q96+'Sumas y Saldos'!Q125+'Sumas y Saldos'!Q184+'Sumas y Saldos'!Q237+'Sumas y Saldos'!Q304+'Sumas y Saldos'!Q321+'Sumas y Saldos'!Q374</f>
        <v>0</v>
      </c>
      <c r="J30" s="96">
        <f>+'Sumas y Saldos'!Z96+'Sumas y Saldos'!Z125+'Sumas y Saldos'!Z184+'Sumas y Saldos'!Z237+'Sumas y Saldos'!Z304+'Sumas y Saldos'!Z321+'Sumas y Saldos'!Z374</f>
        <v>0</v>
      </c>
      <c r="K30" s="96">
        <f>+'Sumas y Saldos'!AC96+'Sumas y Saldos'!AC125+'Sumas y Saldos'!AC184+'Sumas y Saldos'!AC237+'Sumas y Saldos'!AC304+'Sumas y Saldos'!AC321+'Sumas y Saldos'!AC374</f>
        <v>1.07</v>
      </c>
      <c r="L30" s="96">
        <f>+'Sumas y Saldos'!AF96+'Sumas y Saldos'!AF125+'Sumas y Saldos'!AF184+'Sumas y Saldos'!AF237+'Sumas y Saldos'!AF304+'Sumas y Saldos'!AF321+'Sumas y Saldos'!AF374</f>
        <v>0</v>
      </c>
      <c r="M30" s="96">
        <f>+'Sumas y Saldos'!W96+'Sumas y Saldos'!W125+'Sumas y Saldos'!W184+'Sumas y Saldos'!W237+'Sumas y Saldos'!W304+'Sumas y Saldos'!W321+'Sumas y Saldos'!W374</f>
        <v>0</v>
      </c>
      <c r="N30" s="96">
        <f>+'Sumas y Saldos'!T96+'Sumas y Saldos'!T125+'Sumas y Saldos'!T184+'Sumas y Saldos'!T237+'Sumas y Saldos'!T304+'Sumas y Saldos'!T321+'Sumas y Saldos'!T374</f>
        <v>0</v>
      </c>
      <c r="O30" s="96">
        <f>+'Sumas y Saldos'!AI96+'Sumas y Saldos'!AI125+'Sumas y Saldos'!AI184+'Sumas y Saldos'!AI237+'Sumas y Saldos'!AI304+'Sumas y Saldos'!AI321+'Sumas y Saldos'!AI374</f>
        <v>0</v>
      </c>
      <c r="P30" s="96">
        <f>+'Sumas y Saldos'!AO96+'Sumas y Saldos'!AO125+'Sumas y Saldos'!AO184+'Sumas y Saldos'!AO237+'Sumas y Saldos'!AO304+'Sumas y Saldos'!AO321+'Sumas y Saldos'!AO374</f>
        <v>0</v>
      </c>
      <c r="Q30" s="96">
        <f>+'Sumas y Saldos'!AL96+'Sumas y Saldos'!AL125+'Sumas y Saldos'!AL184+'Sumas y Saldos'!AL237+'Sumas y Saldos'!AL304+'Sumas y Saldos'!AL321+'Sumas y Saldos'!AL374</f>
        <v>0</v>
      </c>
      <c r="R30" s="96">
        <f>+'Sumas y Saldos'!BE302+'Sumas y Saldos'!BE236</f>
        <v>0</v>
      </c>
      <c r="S30" s="96">
        <f>+'Sumas y Saldos'!BF302</f>
        <v>0</v>
      </c>
      <c r="T30" s="96">
        <f>+'Sumas y Saldos'!BD241</f>
        <v>0</v>
      </c>
      <c r="U30" s="96">
        <f>+'Sumas y Saldos'!BM318+'Sumas y Saldos'!BM339+'Sumas y Saldos'!BM236+'Sumas y Saldos'!BM124+'Sumas y Saldos'!BM184+'Sumas y Saldos'!BM302</f>
        <v>0</v>
      </c>
      <c r="V30" s="96">
        <f>+'Sumas y Saldos'!BP184+'Sumas y Saldos'!BP318+'Sumas y Saldos'!BP302+'Sumas y Saldos'!BP236</f>
        <v>0</v>
      </c>
      <c r="W30" s="96"/>
      <c r="X30" s="96"/>
      <c r="Y30" s="96"/>
      <c r="Z30" s="96"/>
      <c r="AA30" s="96"/>
      <c r="AB30" s="96"/>
      <c r="AC30" s="96"/>
      <c r="AD30" s="96">
        <v>1.07</v>
      </c>
      <c r="AE30" s="96">
        <v>123.25</v>
      </c>
      <c r="AF30" s="96">
        <v>0</v>
      </c>
      <c r="AG30" s="96">
        <v>1.43</v>
      </c>
      <c r="AH30" s="96">
        <v>6.94</v>
      </c>
      <c r="AI30" s="99">
        <f>SUM(W30:AH30)</f>
        <v>132.69</v>
      </c>
      <c r="AJ30" s="71"/>
      <c r="AK30" s="100"/>
    </row>
    <row r="31" ht="12.75" customHeight="1" spans="1:37" x14ac:dyDescent="0.25">
      <c r="A31" s="71"/>
      <c r="B31" s="71"/>
      <c r="C31" s="93" t="s">
        <v>325</v>
      </c>
      <c r="D31" s="94">
        <f>SUM(F31:V31)+E31</f>
        <v>0</v>
      </c>
      <c r="E31" s="94">
        <v>0</v>
      </c>
      <c r="F31" s="96">
        <f>+'Sumas y Saldos'!E94+'Sumas y Saldos'!E301+'Sumas y Saldos'!E341</f>
        <v>0</v>
      </c>
      <c r="G31" s="96">
        <f>+'Sumas y Saldos'!H94+'Sumas y Saldos'!H301+'Sumas y Saldos'!H341</f>
        <v>0</v>
      </c>
      <c r="H31" s="96">
        <f>+'Sumas y Saldos'!K94+'Sumas y Saldos'!K301+'Sumas y Saldos'!K341</f>
        <v>0</v>
      </c>
      <c r="I31" s="96">
        <f>+'Sumas y Saldos'!Q94+'Sumas y Saldos'!Q301+'Sumas y Saldos'!Q341</f>
        <v>0</v>
      </c>
      <c r="J31" s="96">
        <f>+'Sumas y Saldos'!Z94+'Sumas y Saldos'!Z301+'Sumas y Saldos'!Z341</f>
        <v>0</v>
      </c>
      <c r="K31" s="96">
        <f>+'Sumas y Saldos'!AC94+'Sumas y Saldos'!AC301+'Sumas y Saldos'!AC341</f>
        <v>0</v>
      </c>
      <c r="L31" s="96">
        <f>+'Sumas y Saldos'!AF94+'Sumas y Saldos'!AF301+'Sumas y Saldos'!AF341</f>
        <v>0</v>
      </c>
      <c r="M31" s="96">
        <f>+'Sumas y Saldos'!W94+'Sumas y Saldos'!W301+'Sumas y Saldos'!W341</f>
        <v>0</v>
      </c>
      <c r="N31" s="96">
        <f>+'Sumas y Saldos'!T94+'Sumas y Saldos'!T301+'Sumas y Saldos'!T341</f>
        <v>0</v>
      </c>
      <c r="O31" s="96">
        <f>+'Sumas y Saldos'!AI94+'Sumas y Saldos'!AI301+'Sumas y Saldos'!AI341</f>
        <v>0</v>
      </c>
      <c r="P31" s="96">
        <f>+'Sumas y Saldos'!AO94+'Sumas y Saldos'!AO301+'Sumas y Saldos'!AO341</f>
        <v>0</v>
      </c>
      <c r="Q31" s="96">
        <f>+'Sumas y Saldos'!AL94+'Sumas y Saldos'!AL301+'Sumas y Saldos'!AL341</f>
        <v>0</v>
      </c>
      <c r="R31" s="96"/>
      <c r="S31" s="96"/>
      <c r="T31" s="96">
        <f>+'Sumas y Saldos'!BD242</f>
        <v>0</v>
      </c>
      <c r="U31" s="96">
        <f>+'Sumas y Saldos'!BM338+'Sumas y Saldos'!BM299</f>
        <v>0</v>
      </c>
      <c r="V31" s="96"/>
      <c r="W31" s="96"/>
      <c r="X31" s="96"/>
      <c r="Y31" s="96"/>
      <c r="Z31" s="96"/>
      <c r="AA31" s="96"/>
      <c r="AB31" s="96"/>
      <c r="AC31" s="96"/>
      <c r="AD31" s="96">
        <v>0</v>
      </c>
      <c r="AE31" s="96">
        <v>0</v>
      </c>
      <c r="AF31" s="96">
        <v>0</v>
      </c>
      <c r="AG31" s="96">
        <v>0</v>
      </c>
      <c r="AH31" s="96">
        <v>0</v>
      </c>
      <c r="AI31" s="99">
        <f>SUM(W31:AH31)</f>
        <v>0</v>
      </c>
      <c r="AJ31" s="71"/>
      <c r="AK31" s="100"/>
    </row>
    <row r="32" ht="12.75" customHeight="1" spans="1:37" x14ac:dyDescent="0.25">
      <c r="A32" s="71"/>
      <c r="B32" s="71"/>
      <c r="C32" s="93" t="s">
        <v>326</v>
      </c>
      <c r="D32" s="94">
        <f>SUM(F32:V32)+E32</f>
        <v>0</v>
      </c>
      <c r="E32" s="94">
        <f>+'Sumas y Saldos'!D36</f>
        <v>0</v>
      </c>
      <c r="F32" s="96">
        <f>+'Sumas y Saldos'!E74+'Sumas y Saldos'!E95</f>
        <v>0</v>
      </c>
      <c r="G32" s="96">
        <f>+'Sumas y Saldos'!H74+'Sumas y Saldos'!H95</f>
        <v>0</v>
      </c>
      <c r="H32" s="96">
        <f>+'Sumas y Saldos'!K74+'Sumas y Saldos'!K95</f>
        <v>0</v>
      </c>
      <c r="I32" s="96">
        <f>+'Sumas y Saldos'!Q74+'Sumas y Saldos'!Q95</f>
        <v>0</v>
      </c>
      <c r="J32" s="96">
        <f>+'Sumas y Saldos'!Z74+'Sumas y Saldos'!Z95</f>
        <v>0</v>
      </c>
      <c r="K32" s="96">
        <f>+'Sumas y Saldos'!AC74+'Sumas y Saldos'!AC95</f>
        <v>0</v>
      </c>
      <c r="L32" s="96">
        <f>+'Sumas y Saldos'!AF74+'Sumas y Saldos'!AF95</f>
        <v>0</v>
      </c>
      <c r="M32" s="96">
        <f>+'Sumas y Saldos'!W74+'Sumas y Saldos'!W95</f>
        <v>0</v>
      </c>
      <c r="N32" s="96">
        <f>+'Sumas y Saldos'!T74+'Sumas y Saldos'!T95</f>
        <v>0</v>
      </c>
      <c r="O32" s="96">
        <f>+'Sumas y Saldos'!AI74+'Sumas y Saldos'!AI95</f>
        <v>0</v>
      </c>
      <c r="P32" s="96">
        <f>+'Sumas y Saldos'!AO74+'Sumas y Saldos'!AO95</f>
        <v>0</v>
      </c>
      <c r="Q32" s="96">
        <f>+'Sumas y Saldos'!AL74+'Sumas y Saldos'!AL95</f>
        <v>0</v>
      </c>
      <c r="R32" s="96"/>
      <c r="S32" s="96"/>
      <c r="T32" s="96">
        <f>+'Sumas y Saldos'!BD243</f>
        <v>0</v>
      </c>
      <c r="U32" s="96"/>
      <c r="V32" s="96"/>
      <c r="W32" s="96"/>
      <c r="X32" s="96"/>
      <c r="Y32" s="96"/>
      <c r="Z32" s="96"/>
      <c r="AA32" s="96"/>
      <c r="AB32" s="96"/>
      <c r="AC32" s="96"/>
      <c r="AD32" s="96">
        <v>0</v>
      </c>
      <c r="AE32" s="96">
        <v>15.59</v>
      </c>
      <c r="AF32" s="96">
        <v>0</v>
      </c>
      <c r="AG32" s="96">
        <v>0</v>
      </c>
      <c r="AH32" s="96">
        <v>0</v>
      </c>
      <c r="AI32" s="99">
        <f>SUM(W32:AH32)</f>
        <v>15.59</v>
      </c>
      <c r="AJ32" s="71"/>
      <c r="AK32" s="100"/>
    </row>
    <row r="33" ht="12.75" customHeight="1" spans="1:37" x14ac:dyDescent="0.25">
      <c r="A33" s="71" t="s">
        <v>710</v>
      </c>
      <c r="B33" s="71">
        <v>9600000062</v>
      </c>
      <c r="C33" s="93" t="s">
        <v>322</v>
      </c>
      <c r="D33" s="94">
        <f>SUM(F33:V33)+E33</f>
        <v>0</v>
      </c>
      <c r="E33" s="94">
        <f>+'Sumas y Saldos'!G90</f>
        <v>0</v>
      </c>
      <c r="F33" s="96">
        <f>+'Sumas y Saldos'!E91+'Sumas y Saldos'!E203+'Sumas y Saldos'!E256+'Sumas y Saldos'!E278+'Sumas y Saldos'!E379</f>
        <v>0</v>
      </c>
      <c r="G33" s="96">
        <f>+'Sumas y Saldos'!H91+'Sumas y Saldos'!H203+'Sumas y Saldos'!H256+'Sumas y Saldos'!H278+'Sumas y Saldos'!H379</f>
        <v>0</v>
      </c>
      <c r="H33" s="96">
        <f>+'Sumas y Saldos'!K91+'Sumas y Saldos'!K203+'Sumas y Saldos'!K256+'Sumas y Saldos'!K278+'Sumas y Saldos'!K379</f>
        <v>0</v>
      </c>
      <c r="I33" s="96">
        <f>+'Sumas y Saldos'!Q91+'Sumas y Saldos'!Q203+'Sumas y Saldos'!Q256+'Sumas y Saldos'!Q278+'Sumas y Saldos'!Q379</f>
        <v>0</v>
      </c>
      <c r="J33" s="96">
        <f>+'Sumas y Saldos'!Z91+'Sumas y Saldos'!Z203+'Sumas y Saldos'!Z256+'Sumas y Saldos'!Z278+'Sumas y Saldos'!Z379</f>
        <v>0</v>
      </c>
      <c r="K33" s="96">
        <f>+'Sumas y Saldos'!AC91+'Sumas y Saldos'!AC203+'Sumas y Saldos'!AC256+'Sumas y Saldos'!AC278+'Sumas y Saldos'!AC379</f>
        <v>0</v>
      </c>
      <c r="L33" s="96">
        <f>+'Sumas y Saldos'!AF91+'Sumas y Saldos'!AF203+'Sumas y Saldos'!AF256+'Sumas y Saldos'!AF278+'Sumas y Saldos'!AF379</f>
        <v>0</v>
      </c>
      <c r="M33" s="96">
        <f>+'Sumas y Saldos'!W91+'Sumas y Saldos'!W203+'Sumas y Saldos'!W256+'Sumas y Saldos'!W278+'Sumas y Saldos'!W379</f>
        <v>0</v>
      </c>
      <c r="N33" s="96">
        <f>+'Sumas y Saldos'!T91+'Sumas y Saldos'!T203+'Sumas y Saldos'!T256+'Sumas y Saldos'!T278+'Sumas y Saldos'!T379</f>
        <v>0</v>
      </c>
      <c r="O33" s="96">
        <f>+'Sumas y Saldos'!AI91+'Sumas y Saldos'!AI203+'Sumas y Saldos'!AI256+'Sumas y Saldos'!AI278+'Sumas y Saldos'!AI379</f>
        <v>0</v>
      </c>
      <c r="P33" s="96">
        <f>+'Sumas y Saldos'!AO91+'Sumas y Saldos'!AO203+'Sumas y Saldos'!AO256+'Sumas y Saldos'!AO278+'Sumas y Saldos'!AO379</f>
        <v>0</v>
      </c>
      <c r="Q33" s="96">
        <f>+'Sumas y Saldos'!AL91+'Sumas y Saldos'!AL203+'Sumas y Saldos'!AL256+'Sumas y Saldos'!AL278+'Sumas y Saldos'!AL379</f>
        <v>0</v>
      </c>
      <c r="R33" s="96"/>
      <c r="S33" s="96"/>
      <c r="T33" s="96">
        <f>+'Sumas y Saldos'!BD244</f>
        <v>0</v>
      </c>
      <c r="U33" s="96">
        <f>+'Sumas y Saldos'!BM276</f>
        <v>0</v>
      </c>
      <c r="V33" s="96">
        <f>+'Sumas y Saldos'!BP203</f>
        <v>0</v>
      </c>
      <c r="W33" s="96"/>
      <c r="X33" s="96"/>
      <c r="Y33" s="96"/>
      <c r="Z33" s="96"/>
      <c r="AA33" s="96"/>
      <c r="AB33" s="96"/>
      <c r="AC33" s="96"/>
      <c r="AD33" s="96">
        <v>0</v>
      </c>
      <c r="AE33" s="96">
        <v>0</v>
      </c>
      <c r="AF33" s="96">
        <v>4064.29</v>
      </c>
      <c r="AG33" s="96">
        <v>0</v>
      </c>
      <c r="AH33" s="96">
        <v>0</v>
      </c>
      <c r="AI33" s="99">
        <f>SUM(W33:AH33)</f>
        <v>4064.29</v>
      </c>
      <c r="AJ33" s="71"/>
      <c r="AK33" s="100"/>
    </row>
    <row r="34" ht="12.75" customHeight="1" spans="1:37" x14ac:dyDescent="0.25">
      <c r="A34" s="71" t="s">
        <v>711</v>
      </c>
      <c r="B34" s="71">
        <v>9600000062</v>
      </c>
      <c r="C34" s="93" t="s">
        <v>712</v>
      </c>
      <c r="D34" s="94">
        <f>SUM(F34:V34)+E34</f>
        <v>0</v>
      </c>
      <c r="E34" s="94"/>
      <c r="F34" s="96">
        <v>0</v>
      </c>
      <c r="G34" s="96">
        <v>0</v>
      </c>
      <c r="H34" s="96">
        <v>0</v>
      </c>
      <c r="I34" s="96">
        <v>0</v>
      </c>
      <c r="J34" s="96">
        <v>0</v>
      </c>
      <c r="K34" s="96">
        <v>0</v>
      </c>
      <c r="L34" s="96">
        <v>0</v>
      </c>
      <c r="M34" s="96">
        <v>0</v>
      </c>
      <c r="N34" s="96">
        <v>0</v>
      </c>
      <c r="O34" s="96">
        <v>0</v>
      </c>
      <c r="P34" s="96">
        <v>0</v>
      </c>
      <c r="Q34" s="96">
        <v>0</v>
      </c>
      <c r="R34" s="96"/>
      <c r="S34" s="96"/>
      <c r="T34" s="96">
        <f>+'Sumas y Saldos'!BD245</f>
        <v>0</v>
      </c>
      <c r="U34" s="96"/>
      <c r="V34" s="96"/>
      <c r="W34" s="96"/>
      <c r="X34" s="96"/>
      <c r="Y34" s="96"/>
      <c r="Z34" s="96"/>
      <c r="AA34" s="96"/>
      <c r="AB34" s="96"/>
      <c r="AC34" s="96"/>
      <c r="AD34" s="96">
        <v>0</v>
      </c>
      <c r="AE34" s="96">
        <v>0</v>
      </c>
      <c r="AF34" s="96">
        <v>0</v>
      </c>
      <c r="AG34" s="96">
        <v>0</v>
      </c>
      <c r="AH34" s="96">
        <v>0</v>
      </c>
      <c r="AI34" s="99">
        <f>SUM(W34:AH34)</f>
        <v>0</v>
      </c>
      <c r="AJ34" s="71"/>
      <c r="AK34" s="100"/>
    </row>
    <row r="35" ht="12.75" customHeight="1" spans="1:37" x14ac:dyDescent="0.25">
      <c r="A35" s="71" t="s">
        <v>713</v>
      </c>
      <c r="B35" s="71">
        <v>9600000062</v>
      </c>
      <c r="C35" s="93" t="s">
        <v>714</v>
      </c>
      <c r="D35" s="94">
        <f>SUM(F35:V35)+E35</f>
        <v>8810.54</v>
      </c>
      <c r="E35" s="94">
        <f>+'Sumas y Saldos'!D18</f>
        <v>0</v>
      </c>
      <c r="F35" s="96">
        <f>+'Sumas y Saldos'!E19+'Sumas y Saldos'!E29</f>
        <v>8810.54</v>
      </c>
      <c r="G35" s="96">
        <f>+'Sumas y Saldos'!H19+'Sumas y Saldos'!H29</f>
        <v>0</v>
      </c>
      <c r="H35" s="96">
        <f>+'Sumas y Saldos'!K19+'Sumas y Saldos'!K29</f>
        <v>0</v>
      </c>
      <c r="I35" s="96">
        <f>+'Sumas y Saldos'!Q19+'Sumas y Saldos'!Q29</f>
        <v>0</v>
      </c>
      <c r="J35" s="96">
        <f>+'Sumas y Saldos'!Z19+'Sumas y Saldos'!Z29</f>
        <v>0</v>
      </c>
      <c r="K35" s="96">
        <f>+'Sumas y Saldos'!AC19+'Sumas y Saldos'!AC29</f>
        <v>0</v>
      </c>
      <c r="L35" s="96">
        <f>+'Sumas y Saldos'!AF19+'Sumas y Saldos'!AF29</f>
        <v>0</v>
      </c>
      <c r="M35" s="96">
        <f>+'Sumas y Saldos'!W19+'Sumas y Saldos'!W29</f>
        <v>0</v>
      </c>
      <c r="N35" s="96">
        <f>+'Sumas y Saldos'!T19+'Sumas y Saldos'!T29</f>
        <v>0</v>
      </c>
      <c r="O35" s="96">
        <f>+'Sumas y Saldos'!AI19+'Sumas y Saldos'!AI29</f>
        <v>0</v>
      </c>
      <c r="P35" s="96">
        <f>+'Sumas y Saldos'!AO19+'Sumas y Saldos'!AO29</f>
        <v>0</v>
      </c>
      <c r="Q35" s="96">
        <f>+'Sumas y Saldos'!AL19+'Sumas y Saldos'!AL29</f>
        <v>0</v>
      </c>
      <c r="R35" s="96"/>
      <c r="S35" s="96"/>
      <c r="T35" s="96">
        <f>+'Sumas y Saldos'!BD246</f>
        <v>0</v>
      </c>
      <c r="U35" s="96">
        <f>+'Sumas y Saldos'!BM18</f>
        <v>0</v>
      </c>
      <c r="V35" s="96">
        <f>+'Sumas y Saldos'!BN18</f>
        <v>0</v>
      </c>
      <c r="W35" s="96"/>
      <c r="X35" s="96"/>
      <c r="Y35" s="96"/>
      <c r="Z35" s="96"/>
      <c r="AA35" s="96"/>
      <c r="AB35" s="96"/>
      <c r="AC35" s="96"/>
      <c r="AD35" s="96">
        <v>8810.54</v>
      </c>
      <c r="AE35" s="96">
        <v>2564.8</v>
      </c>
      <c r="AF35" s="96">
        <v>2227.69</v>
      </c>
      <c r="AG35" s="96">
        <v>85936.77</v>
      </c>
      <c r="AH35" s="96">
        <v>5025.14</v>
      </c>
      <c r="AI35" s="99">
        <f>SUM(W35:AH35)</f>
        <v>104564.94</v>
      </c>
      <c r="AJ35" s="71"/>
      <c r="AK35" s="100"/>
    </row>
    <row r="36" ht="12.75" customHeight="1" spans="1:37" x14ac:dyDescent="0.25">
      <c r="A36" s="71" t="s">
        <v>715</v>
      </c>
      <c r="B36" s="71">
        <v>9600000062</v>
      </c>
      <c r="C36" s="93" t="s">
        <v>716</v>
      </c>
      <c r="D36" s="94">
        <f>SUM(F36:V36)+E36</f>
        <v>18147.13</v>
      </c>
      <c r="E36" s="94"/>
      <c r="F36" s="96">
        <f>+'Sumas y Saldos'!E93</f>
        <v>0</v>
      </c>
      <c r="G36" s="96">
        <f>+'Sumas y Saldos'!H93</f>
        <v>0</v>
      </c>
      <c r="H36" s="96">
        <f>+'Sumas y Saldos'!K93</f>
        <v>0</v>
      </c>
      <c r="I36" s="96">
        <f>+'Sumas y Saldos'!Q93</f>
        <v>0</v>
      </c>
      <c r="J36" s="96">
        <f>+'Sumas y Saldos'!Z93</f>
        <v>0</v>
      </c>
      <c r="K36" s="96">
        <f>+'Sumas y Saldos'!AC93</f>
        <v>7812.34</v>
      </c>
      <c r="L36" s="96">
        <f>+'Sumas y Saldos'!AF93</f>
        <v>0</v>
      </c>
      <c r="M36" s="96">
        <f>+'Sumas y Saldos'!W93</f>
        <v>0</v>
      </c>
      <c r="N36" s="96">
        <f>+'Sumas y Saldos'!T93</f>
        <v>10334.79</v>
      </c>
      <c r="O36" s="96">
        <f>+'Sumas y Saldos'!AI93</f>
        <v>0</v>
      </c>
      <c r="P36" s="96">
        <f>+'Sumas y Saldos'!AO93</f>
        <v>0</v>
      </c>
      <c r="Q36" s="96">
        <f>+'Sumas y Saldos'!AL93</f>
        <v>0</v>
      </c>
      <c r="R36" s="96">
        <f>+'Sumas y Saldos'!BG92</f>
        <v>0</v>
      </c>
      <c r="S36" s="96">
        <f>+'Sumas y Saldos'!BH92</f>
        <v>0</v>
      </c>
      <c r="T36" s="96">
        <f>+'Sumas y Saldos'!BD247</f>
        <v>0</v>
      </c>
      <c r="U36" s="96">
        <f>+'Sumas y Saldos'!BM92</f>
        <v>0</v>
      </c>
      <c r="V36" s="96">
        <f>+'Sumas y Saldos'!BP92</f>
        <v>0</v>
      </c>
      <c r="W36" s="96"/>
      <c r="X36" s="96"/>
      <c r="Y36" s="96"/>
      <c r="Z36" s="96"/>
      <c r="AA36" s="96"/>
      <c r="AB36" s="96"/>
      <c r="AC36" s="96"/>
      <c r="AD36" s="96">
        <v>18147.13</v>
      </c>
      <c r="AE36" s="96">
        <v>24218.79</v>
      </c>
      <c r="AF36" s="96">
        <v>24830.04</v>
      </c>
      <c r="AG36" s="96">
        <v>57217.44</v>
      </c>
      <c r="AH36" s="96">
        <v>31490.86</v>
      </c>
      <c r="AI36" s="99">
        <f>SUM(W36:AH36)</f>
        <v>155904.26</v>
      </c>
      <c r="AJ36" s="71"/>
      <c r="AK36" s="100"/>
    </row>
    <row r="37" ht="12.75" customHeight="1" spans="1:37" x14ac:dyDescent="0.25">
      <c r="A37" s="71" t="s">
        <v>717</v>
      </c>
      <c r="B37" s="71">
        <v>9600000062</v>
      </c>
      <c r="C37" s="93" t="s">
        <v>718</v>
      </c>
      <c r="D37" s="94">
        <f>SUM(F37:V37)+E37</f>
        <v>2558.21</v>
      </c>
      <c r="E37" s="94">
        <f>+'Sumas y Saldos'!D19</f>
        <v>0</v>
      </c>
      <c r="F37" s="96">
        <f>+'Sumas y Saldos'!E20+'Sumas y Saldos'!E64</f>
        <v>2558.21</v>
      </c>
      <c r="G37" s="96">
        <f>+'Sumas y Saldos'!H20+'Sumas y Saldos'!H64</f>
        <v>0</v>
      </c>
      <c r="H37" s="96">
        <f>+'Sumas y Saldos'!K20+'Sumas y Saldos'!K64</f>
        <v>0</v>
      </c>
      <c r="I37" s="96">
        <f>+'Sumas y Saldos'!Q20+'Sumas y Saldos'!Q64</f>
        <v>0</v>
      </c>
      <c r="J37" s="96">
        <f>+'Sumas y Saldos'!Z20+'Sumas y Saldos'!Z64</f>
        <v>0</v>
      </c>
      <c r="K37" s="96">
        <f>+'Sumas y Saldos'!AC20+'Sumas y Saldos'!AC64</f>
        <v>0</v>
      </c>
      <c r="L37" s="96">
        <f>+'Sumas y Saldos'!AF20+'Sumas y Saldos'!AF64</f>
        <v>0</v>
      </c>
      <c r="M37" s="96">
        <f>+'Sumas y Saldos'!W20+'Sumas y Saldos'!W64</f>
        <v>0</v>
      </c>
      <c r="N37" s="96">
        <f>+'Sumas y Saldos'!T20+'Sumas y Saldos'!T64</f>
        <v>0</v>
      </c>
      <c r="O37" s="96">
        <f>+'Sumas y Saldos'!AI20+'Sumas y Saldos'!AI64</f>
        <v>0</v>
      </c>
      <c r="P37" s="96">
        <f>+'Sumas y Saldos'!AO20+'Sumas y Saldos'!AO64</f>
        <v>0</v>
      </c>
      <c r="Q37" s="96">
        <f>+'Sumas y Saldos'!AL20+'Sumas y Saldos'!AL64</f>
        <v>0</v>
      </c>
      <c r="R37" s="96">
        <f>+'Sumas y Saldos'!BG97</f>
        <v>0</v>
      </c>
      <c r="S37" s="96"/>
      <c r="T37" s="96">
        <f>+'Sumas y Saldos'!BD248</f>
        <v>0</v>
      </c>
      <c r="U37" s="96">
        <f>+'Sumas y Saldos'!BM19</f>
        <v>0</v>
      </c>
      <c r="V37" s="96"/>
      <c r="W37" s="96"/>
      <c r="X37" s="96"/>
      <c r="Y37" s="96"/>
      <c r="Z37" s="96"/>
      <c r="AA37" s="96"/>
      <c r="AB37" s="96"/>
      <c r="AC37" s="96"/>
      <c r="AD37" s="96">
        <v>2558.21</v>
      </c>
      <c r="AE37" s="96">
        <v>744.67</v>
      </c>
      <c r="AF37" s="96">
        <v>754.36</v>
      </c>
      <c r="AG37" s="96">
        <v>3929.41</v>
      </c>
      <c r="AH37" s="96">
        <v>1459.51</v>
      </c>
      <c r="AI37" s="99">
        <f>SUM(W37:AH37)</f>
        <v>9446.16</v>
      </c>
      <c r="AJ37" s="71"/>
      <c r="AK37" s="100"/>
    </row>
    <row r="38" ht="12.75" customHeight="1" spans="1:37" x14ac:dyDescent="0.25">
      <c r="A38" s="71" t="s">
        <v>719</v>
      </c>
      <c r="B38" s="71">
        <v>9600000062</v>
      </c>
      <c r="C38" s="93" t="s">
        <v>329</v>
      </c>
      <c r="D38" s="94">
        <f>SUM(F38:V38)+E38</f>
        <v>5300</v>
      </c>
      <c r="E38" s="94">
        <f>+'Sumas y Saldos'!D97+'Sumas y Saldos'!G97+'Sumas y Saldos'!AB97+'Sumas y Saldos'!P97+'Sumas y Saldos'!S97+'Sumas y Saldos'!Y97</f>
        <v>0</v>
      </c>
      <c r="F38" s="96">
        <f>+'Sumas y Saldos'!E98+'Sumas y Saldos'!E159+'Sumas y Saldos'!E186+'Sumas y Saldos'!E227+'Sumas y Saldos'!E271+'Sumas y Saldos'!E325+'Sumas y Saldos'!E337+'Sumas y Saldos'!E364</f>
        <v>0</v>
      </c>
      <c r="G38" s="96">
        <f>+'Sumas y Saldos'!H98+'Sumas y Saldos'!H159+'Sumas y Saldos'!H186+'Sumas y Saldos'!H227+'Sumas y Saldos'!H271+'Sumas y Saldos'!H325+'Sumas y Saldos'!H337+'Sumas y Saldos'!H364</f>
        <v>30.78</v>
      </c>
      <c r="H38" s="96">
        <f>+'Sumas y Saldos'!K98+'Sumas y Saldos'!K159+'Sumas y Saldos'!K186+'Sumas y Saldos'!K227+'Sumas y Saldos'!K271+'Sumas y Saldos'!K325+'Sumas y Saldos'!K337+'Sumas y Saldos'!K364</f>
        <v>0</v>
      </c>
      <c r="I38" s="96">
        <f>+'Sumas y Saldos'!Q98+'Sumas y Saldos'!Q159+'Sumas y Saldos'!Q186+'Sumas y Saldos'!Q227+'Sumas y Saldos'!Q271+'Sumas y Saldos'!Q325+'Sumas y Saldos'!Q337+'Sumas y Saldos'!Q364</f>
        <v>0</v>
      </c>
      <c r="J38" s="96">
        <f>+'Sumas y Saldos'!Z98+'Sumas y Saldos'!Z159+'Sumas y Saldos'!Z186+'Sumas y Saldos'!Z227+'Sumas y Saldos'!Z271+'Sumas y Saldos'!Z325+'Sumas y Saldos'!Z337+'Sumas y Saldos'!Z364</f>
        <v>0</v>
      </c>
      <c r="K38" s="96">
        <f>+'Sumas y Saldos'!AC98+'Sumas y Saldos'!AC159+'Sumas y Saldos'!AC186+'Sumas y Saldos'!AC227+'Sumas y Saldos'!AC271+'Sumas y Saldos'!AC325+'Sumas y Saldos'!AC337+'Sumas y Saldos'!AC364</f>
        <v>2552.94</v>
      </c>
      <c r="L38" s="96">
        <f>+'Sumas y Saldos'!AF98+'Sumas y Saldos'!AF159+'Sumas y Saldos'!AF186+'Sumas y Saldos'!AF227+'Sumas y Saldos'!AF271+'Sumas y Saldos'!AF325+'Sumas y Saldos'!AF337+'Sumas y Saldos'!AF364</f>
        <v>0</v>
      </c>
      <c r="M38" s="96">
        <f>+'Sumas y Saldos'!W98+'Sumas y Saldos'!W159+'Sumas y Saldos'!W186+'Sumas y Saldos'!W227+'Sumas y Saldos'!W271+'Sumas y Saldos'!W325+'Sumas y Saldos'!W337+'Sumas y Saldos'!W364</f>
        <v>0</v>
      </c>
      <c r="N38" s="96">
        <f>+'Sumas y Saldos'!T98+'Sumas y Saldos'!T159+'Sumas y Saldos'!T186+'Sumas y Saldos'!T227+'Sumas y Saldos'!T271+'Sumas y Saldos'!T325+'Sumas y Saldos'!T337+'Sumas y Saldos'!T364</f>
        <v>2716.28</v>
      </c>
      <c r="O38" s="96">
        <f>+'Sumas y Saldos'!AI98+'Sumas y Saldos'!AI159+'Sumas y Saldos'!AI186+'Sumas y Saldos'!AI227+'Sumas y Saldos'!AI271+'Sumas y Saldos'!AI325+'Sumas y Saldos'!AI337+'Sumas y Saldos'!AI364</f>
        <v>0</v>
      </c>
      <c r="P38" s="96">
        <f>+'Sumas y Saldos'!AO98+'Sumas y Saldos'!AO159+'Sumas y Saldos'!AO186+'Sumas y Saldos'!AO227+'Sumas y Saldos'!AO271+'Sumas y Saldos'!AO325+'Sumas y Saldos'!AO337+'Sumas y Saldos'!AO364</f>
        <v>0</v>
      </c>
      <c r="Q38" s="96">
        <f>+'Sumas y Saldos'!AL98+'Sumas y Saldos'!AL159+'Sumas y Saldos'!AL186+'Sumas y Saldos'!AL227+'Sumas y Saldos'!AL271+'Sumas y Saldos'!AL325+'Sumas y Saldos'!AL337+'Sumas y Saldos'!AL364</f>
        <v>0</v>
      </c>
      <c r="R38" s="96"/>
      <c r="S38" s="96"/>
      <c r="T38" s="96">
        <f>+'Sumas y Saldos'!BD249</f>
        <v>0</v>
      </c>
      <c r="U38" s="96">
        <f>+'Sumas y Saldos'!BM97</f>
        <v>0</v>
      </c>
      <c r="V38" s="96">
        <f>+'Sumas y Saldos'!BP97</f>
        <v>0</v>
      </c>
      <c r="W38" s="96"/>
      <c r="X38" s="96"/>
      <c r="Y38" s="96"/>
      <c r="Z38" s="96"/>
      <c r="AA38" s="96"/>
      <c r="AB38" s="96"/>
      <c r="AC38" s="96"/>
      <c r="AD38" s="96">
        <v>5300</v>
      </c>
      <c r="AE38" s="96">
        <v>7604.759999999999</v>
      </c>
      <c r="AF38" s="96">
        <v>7209.37</v>
      </c>
      <c r="AG38" s="96">
        <v>7509.87</v>
      </c>
      <c r="AH38" s="96">
        <v>-1635.7</v>
      </c>
      <c r="AI38" s="99">
        <f>SUM(W38:AH38)</f>
        <v>25988.299999999996</v>
      </c>
      <c r="AJ38" s="71"/>
      <c r="AK38" s="100"/>
    </row>
    <row r="39" ht="12.75" customHeight="1" spans="1:37" x14ac:dyDescent="0.25">
      <c r="A39" s="71" t="s">
        <v>720</v>
      </c>
      <c r="B39" s="71">
        <v>9600000062</v>
      </c>
      <c r="C39" s="93" t="s">
        <v>344</v>
      </c>
      <c r="D39" s="94">
        <f>SUM(F39:V39)+E39</f>
        <v>559.21</v>
      </c>
      <c r="E39" s="94">
        <f>+'Sumas y Saldos'!D112</f>
        <v>0</v>
      </c>
      <c r="F39" s="96">
        <f>+'Sumas y Saldos'!E113+'Sumas y Saldos'!E148+'Sumas y Saldos'!E247+'Sumas y Saldos'!E369</f>
        <v>559.21</v>
      </c>
      <c r="G39" s="96">
        <f>+'Sumas y Saldos'!H113+'Sumas y Saldos'!H148+'Sumas y Saldos'!H247+'Sumas y Saldos'!H369</f>
        <v>0</v>
      </c>
      <c r="H39" s="96">
        <f>+'Sumas y Saldos'!K113+'Sumas y Saldos'!K148+'Sumas y Saldos'!K247+'Sumas y Saldos'!K369</f>
        <v>0</v>
      </c>
      <c r="I39" s="96">
        <f>+'Sumas y Saldos'!Q113+'Sumas y Saldos'!Q148+'Sumas y Saldos'!Q247+'Sumas y Saldos'!Q369</f>
        <v>0</v>
      </c>
      <c r="J39" s="96">
        <f>+'Sumas y Saldos'!Z113+'Sumas y Saldos'!Z148+'Sumas y Saldos'!Z247+'Sumas y Saldos'!Z369</f>
        <v>0</v>
      </c>
      <c r="K39" s="96">
        <f>+'Sumas y Saldos'!AC113+'Sumas y Saldos'!AC148+'Sumas y Saldos'!AC247+'Sumas y Saldos'!AC369</f>
        <v>0</v>
      </c>
      <c r="L39" s="96">
        <f>+'Sumas y Saldos'!AF113+'Sumas y Saldos'!AF148+'Sumas y Saldos'!AF247+'Sumas y Saldos'!AF369</f>
        <v>0</v>
      </c>
      <c r="M39" s="96">
        <f>+'Sumas y Saldos'!W113+'Sumas y Saldos'!W148+'Sumas y Saldos'!W247+'Sumas y Saldos'!W369</f>
        <v>0</v>
      </c>
      <c r="N39" s="96">
        <f>+'Sumas y Saldos'!T113+'Sumas y Saldos'!T148+'Sumas y Saldos'!T247+'Sumas y Saldos'!T369</f>
        <v>0</v>
      </c>
      <c r="O39" s="96">
        <f>+'Sumas y Saldos'!AI113+'Sumas y Saldos'!AI148+'Sumas y Saldos'!AI247+'Sumas y Saldos'!AI369</f>
        <v>0</v>
      </c>
      <c r="P39" s="96">
        <f>+'Sumas y Saldos'!AO113+'Sumas y Saldos'!AO148+'Sumas y Saldos'!AO247+'Sumas y Saldos'!AO369</f>
        <v>0</v>
      </c>
      <c r="Q39" s="96">
        <f>+'Sumas y Saldos'!AL113+'Sumas y Saldos'!AL148+'Sumas y Saldos'!AL247+'Sumas y Saldos'!AL369</f>
        <v>0</v>
      </c>
      <c r="R39" s="96"/>
      <c r="S39" s="96"/>
      <c r="T39" s="96">
        <f>+'Sumas y Saldos'!BD250</f>
        <v>0</v>
      </c>
      <c r="U39" s="96"/>
      <c r="V39" s="96"/>
      <c r="W39" s="96"/>
      <c r="X39" s="96"/>
      <c r="Y39" s="96"/>
      <c r="Z39" s="96"/>
      <c r="AA39" s="96"/>
      <c r="AB39" s="96"/>
      <c r="AC39" s="96"/>
      <c r="AD39" s="96">
        <v>559.21</v>
      </c>
      <c r="AE39" s="96">
        <v>494.77</v>
      </c>
      <c r="AF39" s="96">
        <v>429.26</v>
      </c>
      <c r="AG39" s="96">
        <v>429.26</v>
      </c>
      <c r="AH39" s="96">
        <v>429.26</v>
      </c>
      <c r="AI39" s="99">
        <f>SUM(W39:AH39)</f>
        <v>2341.76</v>
      </c>
      <c r="AJ39" s="71"/>
      <c r="AK39" s="100"/>
    </row>
    <row r="40" ht="12.75" customHeight="1" spans="1:37" x14ac:dyDescent="0.25">
      <c r="A40" s="71" t="s">
        <v>721</v>
      </c>
      <c r="B40" s="71">
        <v>9600000062</v>
      </c>
      <c r="C40" s="93" t="s">
        <v>722</v>
      </c>
      <c r="D40" s="94">
        <f>SUM(F40:V40)+E40</f>
        <v>0</v>
      </c>
      <c r="E40" s="94">
        <f>+'Sumas y Saldos'!BL269+'Sumas y Saldos'!S227</f>
        <v>0</v>
      </c>
      <c r="F40" s="96">
        <v>0</v>
      </c>
      <c r="G40" s="96">
        <v>0</v>
      </c>
      <c r="H40" s="96">
        <v>0</v>
      </c>
      <c r="I40" s="96">
        <v>0</v>
      </c>
      <c r="J40" s="96">
        <v>0</v>
      </c>
      <c r="K40" s="96">
        <v>0</v>
      </c>
      <c r="L40" s="96">
        <v>0</v>
      </c>
      <c r="M40" s="96">
        <v>0</v>
      </c>
      <c r="N40" s="96">
        <v>0</v>
      </c>
      <c r="O40" s="96">
        <v>0</v>
      </c>
      <c r="P40" s="96">
        <v>0</v>
      </c>
      <c r="Q40" s="96">
        <v>0</v>
      </c>
      <c r="R40" s="96">
        <f>+'Sumas y Saldos'!BE227+'Sumas y Saldos'!BE269</f>
        <v>0</v>
      </c>
      <c r="S40" s="96">
        <f>+'Sumas y Saldos'!BF227+'Sumas y Saldos'!BF269</f>
        <v>0</v>
      </c>
      <c r="T40" s="96">
        <f>+'Sumas y Saldos'!BD251</f>
        <v>0</v>
      </c>
      <c r="U40" s="96">
        <f>+'Sumas y Saldos'!BM227+'Sumas y Saldos'!BM334+'Sumas y Saldos'!BM322+'Sumas y Saldos'!BM269+'Sumas y Saldos'!BM186</f>
        <v>0</v>
      </c>
      <c r="V40" s="96">
        <f>+'Sumas y Saldos'!BP269+'Sumas y Saldos'!BP334+'Sumas y Saldos'!BP186</f>
        <v>0</v>
      </c>
      <c r="W40" s="96"/>
      <c r="X40" s="96"/>
      <c r="Y40" s="96"/>
      <c r="Z40" s="96"/>
      <c r="AA40" s="96"/>
      <c r="AB40" s="96"/>
      <c r="AC40" s="96"/>
      <c r="AD40" s="96">
        <v>0</v>
      </c>
      <c r="AE40" s="96">
        <v>0</v>
      </c>
      <c r="AF40" s="96">
        <v>0</v>
      </c>
      <c r="AG40" s="96">
        <v>0</v>
      </c>
      <c r="AH40" s="96">
        <v>0</v>
      </c>
      <c r="AI40" s="99">
        <f>SUM(W40:AH40)</f>
        <v>0</v>
      </c>
      <c r="AJ40" s="71"/>
      <c r="AK40" s="100"/>
    </row>
    <row r="41" ht="12.75" customHeight="1" spans="1:37" x14ac:dyDescent="0.25">
      <c r="A41" s="71" t="s">
        <v>723</v>
      </c>
      <c r="B41" s="71">
        <v>9600000062</v>
      </c>
      <c r="C41" s="93" t="s">
        <v>724</v>
      </c>
      <c r="D41" s="94">
        <f>SUM(F41:V41)+E41</f>
        <v>6481.67</v>
      </c>
      <c r="E41" s="94">
        <f>+'Sumas y Saldos'!D16+'Sumas y Saldos'!G16+'Sumas y Saldos'!BL235</f>
        <v>0</v>
      </c>
      <c r="F41" s="96">
        <f>+'Sumas y Saldos'!E140+'Sumas y Saldos'!E141+'Sumas y Saldos'!E187+'Sumas y Saldos'!E236+'Sumas y Saldos'!E285+'Sumas y Saldos'!E344+'Sumas y Saldos'!E349+'Sumas y Saldos'!E394</f>
        <v>6000</v>
      </c>
      <c r="G41" s="96">
        <f>+'Sumas y Saldos'!H140+'Sumas y Saldos'!H141+'Sumas y Saldos'!H187+'Sumas y Saldos'!H236+'Sumas y Saldos'!H285+'Sumas y Saldos'!H344+'Sumas y Saldos'!H349+'Sumas y Saldos'!H394</f>
        <v>481.67</v>
      </c>
      <c r="H41" s="96">
        <f>+'Sumas y Saldos'!K140+'Sumas y Saldos'!K141+'Sumas y Saldos'!K187+'Sumas y Saldos'!K236+'Sumas y Saldos'!K285+'Sumas y Saldos'!K344+'Sumas y Saldos'!K349+'Sumas y Saldos'!K394</f>
        <v>0</v>
      </c>
      <c r="I41" s="96">
        <f>+'Sumas y Saldos'!Q140+'Sumas y Saldos'!Q141+'Sumas y Saldos'!Q187+'Sumas y Saldos'!Q236+'Sumas y Saldos'!Q285+'Sumas y Saldos'!Q344+'Sumas y Saldos'!Q349+'Sumas y Saldos'!Q394</f>
        <v>0</v>
      </c>
      <c r="J41" s="96">
        <f>+'Sumas y Saldos'!Z140+'Sumas y Saldos'!Z141+'Sumas y Saldos'!Z187+'Sumas y Saldos'!Z236+'Sumas y Saldos'!Z285+'Sumas y Saldos'!Z344+'Sumas y Saldos'!Z349+'Sumas y Saldos'!Z394</f>
        <v>0</v>
      </c>
      <c r="K41" s="96">
        <f>+'Sumas y Saldos'!AC140+'Sumas y Saldos'!AC141+'Sumas y Saldos'!AC187+'Sumas y Saldos'!AC236+'Sumas y Saldos'!AC285+'Sumas y Saldos'!AC344+'Sumas y Saldos'!AC349+'Sumas y Saldos'!AC394</f>
        <v>0</v>
      </c>
      <c r="L41" s="96">
        <f>+'Sumas y Saldos'!AF140+'Sumas y Saldos'!AF141+'Sumas y Saldos'!AF187+'Sumas y Saldos'!AF236+'Sumas y Saldos'!AF285+'Sumas y Saldos'!AF344+'Sumas y Saldos'!AF349+'Sumas y Saldos'!AF394</f>
        <v>0</v>
      </c>
      <c r="M41" s="96">
        <f>+'Sumas y Saldos'!W140+'Sumas y Saldos'!W141+'Sumas y Saldos'!W187+'Sumas y Saldos'!W236+'Sumas y Saldos'!W285+'Sumas y Saldos'!W344+'Sumas y Saldos'!W349+'Sumas y Saldos'!W394</f>
        <v>0</v>
      </c>
      <c r="N41" s="96">
        <f>+'Sumas y Saldos'!T140+'Sumas y Saldos'!T141+'Sumas y Saldos'!T187+'Sumas y Saldos'!T236+'Sumas y Saldos'!T285+'Sumas y Saldos'!T344+'Sumas y Saldos'!T349+'Sumas y Saldos'!T394</f>
        <v>0</v>
      </c>
      <c r="O41" s="96">
        <f>+'Sumas y Saldos'!AI140+'Sumas y Saldos'!AI141+'Sumas y Saldos'!AI187+'Sumas y Saldos'!AI236+'Sumas y Saldos'!AI285+'Sumas y Saldos'!AI344+'Sumas y Saldos'!AI349+'Sumas y Saldos'!AI394</f>
        <v>0</v>
      </c>
      <c r="P41" s="96">
        <f>+'Sumas y Saldos'!AO140+'Sumas y Saldos'!AO141+'Sumas y Saldos'!AO187+'Sumas y Saldos'!AO236+'Sumas y Saldos'!AO285+'Sumas y Saldos'!AO344+'Sumas y Saldos'!AO349+'Sumas y Saldos'!AO394</f>
        <v>0</v>
      </c>
      <c r="Q41" s="96">
        <f>+'Sumas y Saldos'!AL140+'Sumas y Saldos'!AL141+'Sumas y Saldos'!AL187+'Sumas y Saldos'!AL236+'Sumas y Saldos'!AL285+'Sumas y Saldos'!AL344+'Sumas y Saldos'!AL349+'Sumas y Saldos'!AL394</f>
        <v>0</v>
      </c>
      <c r="R41" s="96"/>
      <c r="S41" s="96"/>
      <c r="T41" s="96">
        <f>+'Sumas y Saldos'!BD252</f>
        <v>0</v>
      </c>
      <c r="U41" s="96">
        <f>+'Sumas y Saldos'!BM139+'Sumas y Saldos'!BM235+'Sumas y Saldos'!BM346+'Sumas y Saldos'!BM283+'Sumas y Saldos'!BM187</f>
        <v>0</v>
      </c>
      <c r="V41" s="96">
        <f>+'Sumas y Saldos'!BP139+'Sumas y Saldos'!BP235+'Sumas y Saldos'!BP187+'Sumas y Saldos'!BP190+'Sumas y Saldos'!BN283+'Sumas y Saldos'!BP346</f>
        <v>0</v>
      </c>
      <c r="W41" s="96"/>
      <c r="X41" s="96"/>
      <c r="Y41" s="96"/>
      <c r="Z41" s="96"/>
      <c r="AA41" s="96"/>
      <c r="AB41" s="96"/>
      <c r="AC41" s="96"/>
      <c r="AD41" s="96">
        <v>6481.67</v>
      </c>
      <c r="AE41" s="96">
        <v>13523.849999999999</v>
      </c>
      <c r="AF41" s="96">
        <v>16367.66</v>
      </c>
      <c r="AG41" s="96">
        <v>38159.61</v>
      </c>
      <c r="AH41" s="96">
        <v>26653.13</v>
      </c>
      <c r="AI41" s="99">
        <f>SUM(W41:AH41)</f>
        <v>101185.92</v>
      </c>
      <c r="AJ41" s="71"/>
      <c r="AK41" s="100"/>
    </row>
    <row r="42" ht="12.75" customHeight="1" spans="1:37" x14ac:dyDescent="0.25">
      <c r="A42" s="71" t="s">
        <v>725</v>
      </c>
      <c r="B42" s="71">
        <v>9600000062</v>
      </c>
      <c r="C42" s="93" t="s">
        <v>726</v>
      </c>
      <c r="D42" s="94">
        <f>SUM(F42:V42)+E42</f>
        <v>0</v>
      </c>
      <c r="E42" s="94"/>
      <c r="F42" s="96">
        <v>0</v>
      </c>
      <c r="G42" s="96">
        <v>0</v>
      </c>
      <c r="H42" s="96">
        <v>0</v>
      </c>
      <c r="I42" s="96">
        <v>0</v>
      </c>
      <c r="J42" s="96">
        <v>0</v>
      </c>
      <c r="K42" s="96">
        <v>0</v>
      </c>
      <c r="L42" s="96">
        <v>0</v>
      </c>
      <c r="M42" s="96">
        <v>0</v>
      </c>
      <c r="N42" s="96">
        <v>0</v>
      </c>
      <c r="O42" s="96">
        <v>0</v>
      </c>
      <c r="P42" s="96">
        <v>0</v>
      </c>
      <c r="Q42" s="96">
        <v>0</v>
      </c>
      <c r="R42" s="96"/>
      <c r="S42" s="96"/>
      <c r="T42" s="96">
        <f>+'Sumas y Saldos'!BD253</f>
        <v>0</v>
      </c>
      <c r="U42" s="96"/>
      <c r="V42" s="96"/>
      <c r="W42" s="96"/>
      <c r="X42" s="96"/>
      <c r="Y42" s="96"/>
      <c r="Z42" s="96"/>
      <c r="AA42" s="96"/>
      <c r="AB42" s="96"/>
      <c r="AC42" s="96"/>
      <c r="AD42" s="96">
        <v>0</v>
      </c>
      <c r="AE42" s="96">
        <v>0</v>
      </c>
      <c r="AF42" s="96">
        <v>0</v>
      </c>
      <c r="AG42" s="96">
        <v>0</v>
      </c>
      <c r="AH42" s="96">
        <v>0</v>
      </c>
      <c r="AI42" s="99">
        <f>SUM(W42:AH42)</f>
        <v>0</v>
      </c>
      <c r="AJ42" s="71"/>
      <c r="AK42" s="100"/>
    </row>
    <row r="43" ht="12.75" customHeight="1" spans="1:37" x14ac:dyDescent="0.25">
      <c r="A43" s="71" t="s">
        <v>727</v>
      </c>
      <c r="B43" s="71">
        <v>9600000062</v>
      </c>
      <c r="C43" s="93" t="s">
        <v>728</v>
      </c>
      <c r="D43" s="94">
        <f>SUM(F43:V43)+E43</f>
        <v>194.08</v>
      </c>
      <c r="E43" s="94">
        <f>+'Sumas y Saldos'!D316</f>
        <v>0</v>
      </c>
      <c r="F43" s="96">
        <f>+'Sumas y Saldos'!E51+'Sumas y Saldos'!E144+'Sumas y Saldos'!E145+'Sumas y Saldos'!E146+'Sumas y Saldos'!E240+'Sumas y Saldos'!E319+'Sumas y Saldos'!E356</f>
        <v>194.08</v>
      </c>
      <c r="G43" s="96">
        <f>+'Sumas y Saldos'!H51+'Sumas y Saldos'!H144+'Sumas y Saldos'!H145+'Sumas y Saldos'!H146+'Sumas y Saldos'!H240+'Sumas y Saldos'!H319+'Sumas y Saldos'!H356</f>
        <v>0</v>
      </c>
      <c r="H43" s="96">
        <f>+'Sumas y Saldos'!K51+'Sumas y Saldos'!K144+'Sumas y Saldos'!K145+'Sumas y Saldos'!K146+'Sumas y Saldos'!K240+'Sumas y Saldos'!K319+'Sumas y Saldos'!K356</f>
        <v>0</v>
      </c>
      <c r="I43" s="96">
        <f>+'Sumas y Saldos'!Q51+'Sumas y Saldos'!Q144+'Sumas y Saldos'!Q145+'Sumas y Saldos'!Q146+'Sumas y Saldos'!Q240+'Sumas y Saldos'!Q319+'Sumas y Saldos'!Q356</f>
        <v>0</v>
      </c>
      <c r="J43" s="96">
        <f>+'Sumas y Saldos'!Z51+'Sumas y Saldos'!Z144+'Sumas y Saldos'!Z145+'Sumas y Saldos'!Z146+'Sumas y Saldos'!Z240+'Sumas y Saldos'!Z319+'Sumas y Saldos'!Z356</f>
        <v>0</v>
      </c>
      <c r="K43" s="96">
        <f>+'Sumas y Saldos'!AC51+'Sumas y Saldos'!AC144+'Sumas y Saldos'!AC145+'Sumas y Saldos'!AC146+'Sumas y Saldos'!AC240+'Sumas y Saldos'!AC319+'Sumas y Saldos'!AC356</f>
        <v>0</v>
      </c>
      <c r="L43" s="96">
        <f>+'Sumas y Saldos'!AF51+'Sumas y Saldos'!AF144+'Sumas y Saldos'!AF145+'Sumas y Saldos'!AF146+'Sumas y Saldos'!AF240+'Sumas y Saldos'!AF319+'Sumas y Saldos'!AF356</f>
        <v>0</v>
      </c>
      <c r="M43" s="96">
        <f>+'Sumas y Saldos'!W51+'Sumas y Saldos'!W144+'Sumas y Saldos'!W145+'Sumas y Saldos'!W146+'Sumas y Saldos'!W240+'Sumas y Saldos'!W319+'Sumas y Saldos'!W356</f>
        <v>0</v>
      </c>
      <c r="N43" s="96">
        <f>+'Sumas y Saldos'!T51+'Sumas y Saldos'!T144+'Sumas y Saldos'!T145+'Sumas y Saldos'!T146+'Sumas y Saldos'!T240+'Sumas y Saldos'!T319+'Sumas y Saldos'!T356</f>
        <v>0</v>
      </c>
      <c r="O43" s="96">
        <f>+'Sumas y Saldos'!AI51+'Sumas y Saldos'!AI144+'Sumas y Saldos'!AI145+'Sumas y Saldos'!AI146+'Sumas y Saldos'!AI240+'Sumas y Saldos'!AI319+'Sumas y Saldos'!AI356</f>
        <v>0</v>
      </c>
      <c r="P43" s="96">
        <f>+'Sumas y Saldos'!AO51+'Sumas y Saldos'!AO144+'Sumas y Saldos'!AO145+'Sumas y Saldos'!AO146+'Sumas y Saldos'!AO240+'Sumas y Saldos'!AO319+'Sumas y Saldos'!AO356</f>
        <v>0</v>
      </c>
      <c r="Q43" s="96">
        <f>+'Sumas y Saldos'!AL51+'Sumas y Saldos'!AL144+'Sumas y Saldos'!AL145+'Sumas y Saldos'!AL146+'Sumas y Saldos'!AL240+'Sumas y Saldos'!AL319+'Sumas y Saldos'!AL356</f>
        <v>0</v>
      </c>
      <c r="R43" s="96"/>
      <c r="S43" s="96"/>
      <c r="T43" s="96">
        <f>+'Sumas y Saldos'!BD254</f>
        <v>0</v>
      </c>
      <c r="U43" s="96">
        <f>+'Sumas y Saldos'!BM316</f>
        <v>0</v>
      </c>
      <c r="V43" s="96">
        <f>+'Sumas y Saldos'!BP144+'Sumas y Saldos'!BP316+'Sumas y Saldos'!BP353</f>
        <v>0</v>
      </c>
      <c r="W43" s="96"/>
      <c r="X43" s="96"/>
      <c r="Y43" s="96"/>
      <c r="Z43" s="96"/>
      <c r="AA43" s="96"/>
      <c r="AB43" s="96"/>
      <c r="AC43" s="96"/>
      <c r="AD43" s="96">
        <v>194.08</v>
      </c>
      <c r="AE43" s="96">
        <v>190.82</v>
      </c>
      <c r="AF43" s="96">
        <v>850.28</v>
      </c>
      <c r="AG43" s="96">
        <v>1628.9</v>
      </c>
      <c r="AH43" s="96">
        <v>18476.3</v>
      </c>
      <c r="AI43" s="99">
        <f>SUM(W43:AH43)</f>
        <v>21340.379999999997</v>
      </c>
      <c r="AJ43" s="71"/>
      <c r="AK43" s="100"/>
    </row>
    <row r="44" ht="12.75" customHeight="1" spans="1:37" x14ac:dyDescent="0.25">
      <c r="A44" s="71" t="s">
        <v>729</v>
      </c>
      <c r="B44" s="71">
        <v>9600000062</v>
      </c>
      <c r="C44" s="93" t="s">
        <v>730</v>
      </c>
      <c r="D44" s="94">
        <f>SUM(F44:V44)+E44</f>
        <v>0</v>
      </c>
      <c r="E44" s="94"/>
      <c r="F44" s="96">
        <f>+'Sumas y Saldos'!E22+'Sumas y Saldos'!E103+'Sumas y Saldos'!E284+'Sumas y Saldos'!E342+'Sumas y Saldos'!E343</f>
        <v>0</v>
      </c>
      <c r="G44" s="96">
        <f>+'Sumas y Saldos'!H22+'Sumas y Saldos'!H103+'Sumas y Saldos'!H284+'Sumas y Saldos'!H342+'Sumas y Saldos'!H343</f>
        <v>0</v>
      </c>
      <c r="H44" s="96">
        <f>+'Sumas y Saldos'!K22+'Sumas y Saldos'!K103+'Sumas y Saldos'!K284+'Sumas y Saldos'!K342+'Sumas y Saldos'!K343</f>
        <v>0</v>
      </c>
      <c r="I44" s="96">
        <f>+'Sumas y Saldos'!Q22+'Sumas y Saldos'!Q103+'Sumas y Saldos'!Q284+'Sumas y Saldos'!Q342+'Sumas y Saldos'!Q343</f>
        <v>0</v>
      </c>
      <c r="J44" s="96">
        <f>+'Sumas y Saldos'!Z22+'Sumas y Saldos'!Z103+'Sumas y Saldos'!Z284+'Sumas y Saldos'!Z342+'Sumas y Saldos'!Z343</f>
        <v>0</v>
      </c>
      <c r="K44" s="96">
        <f>+'Sumas y Saldos'!AC22+'Sumas y Saldos'!AC103+'Sumas y Saldos'!AC284+'Sumas y Saldos'!AC342+'Sumas y Saldos'!AC343</f>
        <v>0</v>
      </c>
      <c r="L44" s="96">
        <f>+'Sumas y Saldos'!AF22+'Sumas y Saldos'!AF103+'Sumas y Saldos'!AF284+'Sumas y Saldos'!AF342+'Sumas y Saldos'!AF343</f>
        <v>0</v>
      </c>
      <c r="M44" s="96">
        <f>+'Sumas y Saldos'!W22+'Sumas y Saldos'!W103+'Sumas y Saldos'!W284+'Sumas y Saldos'!W342+'Sumas y Saldos'!W343</f>
        <v>0</v>
      </c>
      <c r="N44" s="96">
        <f>+'Sumas y Saldos'!T22+'Sumas y Saldos'!T103+'Sumas y Saldos'!T284+'Sumas y Saldos'!T342+'Sumas y Saldos'!T343</f>
        <v>0</v>
      </c>
      <c r="O44" s="96">
        <f>+'Sumas y Saldos'!AI22+'Sumas y Saldos'!AI103+'Sumas y Saldos'!AI284+'Sumas y Saldos'!AI342+'Sumas y Saldos'!AI343</f>
        <v>0</v>
      </c>
      <c r="P44" s="96">
        <f>+'Sumas y Saldos'!AO22+'Sumas y Saldos'!AO103+'Sumas y Saldos'!AO284+'Sumas y Saldos'!AO342+'Sumas y Saldos'!AO343</f>
        <v>0</v>
      </c>
      <c r="Q44" s="96">
        <f>+'Sumas y Saldos'!AL22+'Sumas y Saldos'!AL103+'Sumas y Saldos'!AL284+'Sumas y Saldos'!AL342+'Sumas y Saldos'!AL343</f>
        <v>0</v>
      </c>
      <c r="R44" s="96"/>
      <c r="S44" s="96"/>
      <c r="T44" s="96">
        <f>+'Sumas y Saldos'!BD255</f>
        <v>0</v>
      </c>
      <c r="U44" s="96">
        <f>+'Sumas y Saldos'!BM340+'Sumas y Saldos'!BM282</f>
        <v>0</v>
      </c>
      <c r="V44" s="96"/>
      <c r="W44" s="96"/>
      <c r="X44" s="96"/>
      <c r="Y44" s="96"/>
      <c r="Z44" s="96"/>
      <c r="AA44" s="96"/>
      <c r="AB44" s="96"/>
      <c r="AC44" s="96"/>
      <c r="AD44" s="96">
        <v>0</v>
      </c>
      <c r="AE44" s="96">
        <v>6047.35</v>
      </c>
      <c r="AF44" s="96">
        <v>0</v>
      </c>
      <c r="AG44" s="96">
        <v>7.74</v>
      </c>
      <c r="AH44" s="96">
        <v>0</v>
      </c>
      <c r="AI44" s="99">
        <f>SUM(W44:AH44)</f>
        <v>6055.09</v>
      </c>
      <c r="AJ44" s="71"/>
      <c r="AK44" s="100"/>
    </row>
    <row r="45" ht="12.75" customHeight="1" spans="1:37" x14ac:dyDescent="0.25">
      <c r="A45" s="71" t="s">
        <v>731</v>
      </c>
      <c r="B45" s="101">
        <v>6792020061</v>
      </c>
      <c r="C45" s="93" t="s">
        <v>732</v>
      </c>
      <c r="D45" s="94">
        <f>SUM(F45:V45)+E45</f>
        <v>0</v>
      </c>
      <c r="E45" s="94">
        <f>+'Sumas y Saldos'!D41</f>
        <v>0</v>
      </c>
      <c r="F45" s="96">
        <f>+'Sumas y Saldos'!E42</f>
        <v>0</v>
      </c>
      <c r="G45" s="96">
        <f>+'Sumas y Saldos'!H42</f>
        <v>0</v>
      </c>
      <c r="H45" s="96">
        <f>+'Sumas y Saldos'!K42</f>
        <v>0</v>
      </c>
      <c r="I45" s="96">
        <f>+'Sumas y Saldos'!Q42</f>
        <v>0</v>
      </c>
      <c r="J45" s="96">
        <f>+'Sumas y Saldos'!Z42</f>
        <v>0</v>
      </c>
      <c r="K45" s="96">
        <f>+'Sumas y Saldos'!AC42</f>
        <v>0</v>
      </c>
      <c r="L45" s="96">
        <f>+'Sumas y Saldos'!AF42</f>
        <v>0</v>
      </c>
      <c r="M45" s="96">
        <f>+'Sumas y Saldos'!W42</f>
        <v>0</v>
      </c>
      <c r="N45" s="96">
        <f>+'Sumas y Saldos'!T42</f>
        <v>0</v>
      </c>
      <c r="O45" s="96">
        <f>+'Sumas y Saldos'!AI42</f>
        <v>0</v>
      </c>
      <c r="P45" s="96">
        <f>+'Sumas y Saldos'!AO42</f>
        <v>0</v>
      </c>
      <c r="Q45" s="96">
        <f>+'Sumas y Saldos'!AL42</f>
        <v>0</v>
      </c>
      <c r="R45" s="96"/>
      <c r="S45" s="96"/>
      <c r="T45" s="96">
        <f>+'Sumas y Saldos'!BD256</f>
        <v>0</v>
      </c>
      <c r="U45" s="96"/>
      <c r="V45" s="96"/>
      <c r="W45" s="96"/>
      <c r="X45" s="96"/>
      <c r="Y45" s="96"/>
      <c r="Z45" s="96"/>
      <c r="AA45" s="96"/>
      <c r="AB45" s="96"/>
      <c r="AC45" s="96"/>
      <c r="AD45" s="96">
        <v>0</v>
      </c>
      <c r="AE45" s="96">
        <v>0</v>
      </c>
      <c r="AF45" s="96">
        <v>0</v>
      </c>
      <c r="AG45" s="96">
        <v>0</v>
      </c>
      <c r="AH45" s="96">
        <v>0</v>
      </c>
      <c r="AI45" s="99">
        <f>SUM(W45:AH45)</f>
        <v>0</v>
      </c>
      <c r="AJ45" s="71"/>
      <c r="AK45" s="100"/>
    </row>
    <row r="46" ht="12.75" customHeight="1" spans="1:37" x14ac:dyDescent="0.25">
      <c r="A46" s="71" t="s">
        <v>733</v>
      </c>
      <c r="B46" s="101">
        <v>6792020061</v>
      </c>
      <c r="C46" s="93" t="s">
        <v>734</v>
      </c>
      <c r="D46" s="94">
        <f>SUM(F46:V46)+E46</f>
        <v>0</v>
      </c>
      <c r="E46" s="94">
        <f>+'Sumas y Saldos'!D54</f>
        <v>0</v>
      </c>
      <c r="F46" s="96">
        <f>+'Sumas y Saldos'!E52+'Sumas y Saldos'!E53+'Sumas y Saldos'!E54+'Sumas y Saldos'!E55+'Sumas y Saldos'!E56+'Sumas y Saldos'!E59+'Sumas y Saldos'!E109+'Sumas y Saldos'!E134+'Sumas y Saldos'!E175+'Sumas y Saldos'!E206+'Sumas y Saldos'!E208+'Sumas y Saldos'!E257+'Sumas y Saldos'!E309</f>
        <v>0</v>
      </c>
      <c r="G46" s="96">
        <f>+'Sumas y Saldos'!H52+'Sumas y Saldos'!H53+'Sumas y Saldos'!H54+'Sumas y Saldos'!H55+'Sumas y Saldos'!H56+'Sumas y Saldos'!H59+'Sumas y Saldos'!H109+'Sumas y Saldos'!H134+'Sumas y Saldos'!H175+'Sumas y Saldos'!H206+'Sumas y Saldos'!H208+'Sumas y Saldos'!H257+'Sumas y Saldos'!H309</f>
        <v>0</v>
      </c>
      <c r="H46" s="96">
        <f>+'Sumas y Saldos'!K52+'Sumas y Saldos'!K53+'Sumas y Saldos'!K54+'Sumas y Saldos'!K55+'Sumas y Saldos'!K56+'Sumas y Saldos'!K59+'Sumas y Saldos'!K109+'Sumas y Saldos'!K134+'Sumas y Saldos'!K175+'Sumas y Saldos'!K206+'Sumas y Saldos'!K208+'Sumas y Saldos'!K257+'Sumas y Saldos'!K309</f>
        <v>0</v>
      </c>
      <c r="I46" s="96">
        <f>+'Sumas y Saldos'!Q52+'Sumas y Saldos'!Q53+'Sumas y Saldos'!Q54+'Sumas y Saldos'!Q55+'Sumas y Saldos'!Q56+'Sumas y Saldos'!Q59+'Sumas y Saldos'!Q109+'Sumas y Saldos'!Q134+'Sumas y Saldos'!Q175+'Sumas y Saldos'!Q206+'Sumas y Saldos'!Q208+'Sumas y Saldos'!Q257+'Sumas y Saldos'!Q309</f>
        <v>0</v>
      </c>
      <c r="J46" s="96">
        <f>+'Sumas y Saldos'!Z52+'Sumas y Saldos'!Z53+'Sumas y Saldos'!Z54+'Sumas y Saldos'!Z55+'Sumas y Saldos'!Z56+'Sumas y Saldos'!Z59+'Sumas y Saldos'!Z109+'Sumas y Saldos'!Z134+'Sumas y Saldos'!Z175+'Sumas y Saldos'!Z206+'Sumas y Saldos'!Z208+'Sumas y Saldos'!Z257+'Sumas y Saldos'!Z309</f>
        <v>0</v>
      </c>
      <c r="K46" s="96">
        <f>+'Sumas y Saldos'!AC52+'Sumas y Saldos'!AC53+'Sumas y Saldos'!AC54+'Sumas y Saldos'!AC55+'Sumas y Saldos'!AC56+'Sumas y Saldos'!AC59+'Sumas y Saldos'!AC109+'Sumas y Saldos'!AC134+'Sumas y Saldos'!AC175+'Sumas y Saldos'!AC206+'Sumas y Saldos'!AC208+'Sumas y Saldos'!AC257+'Sumas y Saldos'!AC309</f>
        <v>0</v>
      </c>
      <c r="L46" s="96">
        <f>+'Sumas y Saldos'!AF52+'Sumas y Saldos'!AF53+'Sumas y Saldos'!AF54+'Sumas y Saldos'!AF55+'Sumas y Saldos'!AF56+'Sumas y Saldos'!AF59+'Sumas y Saldos'!AF109+'Sumas y Saldos'!AF134+'Sumas y Saldos'!AF175+'Sumas y Saldos'!AF206+'Sumas y Saldos'!AF208+'Sumas y Saldos'!AF257+'Sumas y Saldos'!AF309</f>
        <v>0</v>
      </c>
      <c r="M46" s="96">
        <f>+'Sumas y Saldos'!W52+'Sumas y Saldos'!W53+'Sumas y Saldos'!W54+'Sumas y Saldos'!W55+'Sumas y Saldos'!W56+'Sumas y Saldos'!W59+'Sumas y Saldos'!W109+'Sumas y Saldos'!W134+'Sumas y Saldos'!W175+'Sumas y Saldos'!W206+'Sumas y Saldos'!W208+'Sumas y Saldos'!W257+'Sumas y Saldos'!W309</f>
        <v>0</v>
      </c>
      <c r="N46" s="96">
        <f>+'Sumas y Saldos'!T52+'Sumas y Saldos'!T53+'Sumas y Saldos'!T54+'Sumas y Saldos'!T55+'Sumas y Saldos'!T56+'Sumas y Saldos'!T59+'Sumas y Saldos'!T109+'Sumas y Saldos'!T134+'Sumas y Saldos'!T175+'Sumas y Saldos'!T206+'Sumas y Saldos'!T208+'Sumas y Saldos'!T257+'Sumas y Saldos'!T309</f>
        <v>0</v>
      </c>
      <c r="O46" s="96">
        <f>+'Sumas y Saldos'!AI52+'Sumas y Saldos'!AI53+'Sumas y Saldos'!AI54+'Sumas y Saldos'!AI55+'Sumas y Saldos'!AI56+'Sumas y Saldos'!AI59+'Sumas y Saldos'!AI109+'Sumas y Saldos'!AI134+'Sumas y Saldos'!AI175+'Sumas y Saldos'!AI206+'Sumas y Saldos'!AI208+'Sumas y Saldos'!AI257+'Sumas y Saldos'!AI309</f>
        <v>0</v>
      </c>
      <c r="P46" s="96">
        <f>+'Sumas y Saldos'!AO52+'Sumas y Saldos'!AO53+'Sumas y Saldos'!AO54+'Sumas y Saldos'!AO55+'Sumas y Saldos'!AO56+'Sumas y Saldos'!AO59+'Sumas y Saldos'!AO109+'Sumas y Saldos'!AO134+'Sumas y Saldos'!AO175+'Sumas y Saldos'!AO206+'Sumas y Saldos'!AO208+'Sumas y Saldos'!AO257+'Sumas y Saldos'!AO309</f>
        <v>0</v>
      </c>
      <c r="Q46" s="96">
        <f>+'Sumas y Saldos'!AL52+'Sumas y Saldos'!AL53+'Sumas y Saldos'!AL54+'Sumas y Saldos'!AL55+'Sumas y Saldos'!AL56+'Sumas y Saldos'!AL59+'Sumas y Saldos'!AL109+'Sumas y Saldos'!AL134+'Sumas y Saldos'!AL175+'Sumas y Saldos'!AL206+'Sumas y Saldos'!AL208+'Sumas y Saldos'!AL257+'Sumas y Saldos'!AL309</f>
        <v>0</v>
      </c>
      <c r="R46" s="96"/>
      <c r="S46" s="96"/>
      <c r="T46" s="96">
        <f>+'Sumas y Saldos'!BD257</f>
        <v>0</v>
      </c>
      <c r="U46" s="96">
        <f>+'Sumas y Saldos'!BM256+'Sumas y Saldos'!BM206+'Sumas y Saldos'!BM208+'Sumas y Saldos'!BK307</f>
        <v>0</v>
      </c>
      <c r="V46" s="96">
        <f>+'Sumas y Saldos'!BP256+'Sumas y Saldos'!BP206+'Sumas y Saldos'!BP208+'Sumas y Saldos'!BP307</f>
        <v>0</v>
      </c>
      <c r="W46" s="96"/>
      <c r="X46" s="96"/>
      <c r="Y46" s="96"/>
      <c r="Z46" s="96"/>
      <c r="AA46" s="96"/>
      <c r="AB46" s="96"/>
      <c r="AC46" s="96"/>
      <c r="AD46" s="96">
        <v>0</v>
      </c>
      <c r="AE46" s="96">
        <v>0</v>
      </c>
      <c r="AF46" s="96">
        <v>0</v>
      </c>
      <c r="AG46" s="96">
        <v>0</v>
      </c>
      <c r="AH46" s="96">
        <v>0</v>
      </c>
      <c r="AI46" s="99">
        <f>SUM(W46:AH46)</f>
        <v>0</v>
      </c>
      <c r="AJ46" s="71"/>
      <c r="AK46" s="100"/>
    </row>
    <row r="47" ht="12.75" customHeight="1" spans="1:37" x14ac:dyDescent="0.25">
      <c r="A47" s="71" t="s">
        <v>735</v>
      </c>
      <c r="B47" s="102">
        <v>6814200060</v>
      </c>
      <c r="C47" s="93" t="s">
        <v>736</v>
      </c>
      <c r="D47" s="94">
        <f>SUM(F47:V47)+E47</f>
        <v>3918.01</v>
      </c>
      <c r="E47" s="94">
        <f>+'Sumas y Saldos'!D148</f>
        <v>0</v>
      </c>
      <c r="F47" s="96">
        <f>+'Sumas y Saldos'!E32+'Sumas y Saldos'!E149</f>
        <v>3918.01</v>
      </c>
      <c r="G47" s="96">
        <f>+'Sumas y Saldos'!H32+'Sumas y Saldos'!H149</f>
        <v>0</v>
      </c>
      <c r="H47" s="96">
        <f>+'Sumas y Saldos'!K32+'Sumas y Saldos'!K149</f>
        <v>0</v>
      </c>
      <c r="I47" s="96">
        <f>+'Sumas y Saldos'!Q32+'Sumas y Saldos'!Q149</f>
        <v>0</v>
      </c>
      <c r="J47" s="96">
        <f>+'Sumas y Saldos'!Z32+'Sumas y Saldos'!Z149</f>
        <v>0</v>
      </c>
      <c r="K47" s="96">
        <f>+'Sumas y Saldos'!AC32+'Sumas y Saldos'!AC149</f>
        <v>0</v>
      </c>
      <c r="L47" s="96">
        <f>+'Sumas y Saldos'!AF32+'Sumas y Saldos'!AF149</f>
        <v>0</v>
      </c>
      <c r="M47" s="96">
        <f>+'Sumas y Saldos'!W32+'Sumas y Saldos'!W149</f>
        <v>0</v>
      </c>
      <c r="N47" s="96">
        <f>+'Sumas y Saldos'!T32+'Sumas y Saldos'!T149</f>
        <v>0</v>
      </c>
      <c r="O47" s="96">
        <f>+'Sumas y Saldos'!AI32+'Sumas y Saldos'!AI149</f>
        <v>0</v>
      </c>
      <c r="P47" s="96">
        <f>+'Sumas y Saldos'!AO32+'Sumas y Saldos'!AO149</f>
        <v>0</v>
      </c>
      <c r="Q47" s="96">
        <f>+'Sumas y Saldos'!AL32+'Sumas y Saldos'!AL149</f>
        <v>0</v>
      </c>
      <c r="R47" s="96"/>
      <c r="S47" s="96"/>
      <c r="T47" s="96">
        <f>+'Sumas y Saldos'!BD258</f>
        <v>0</v>
      </c>
      <c r="U47" s="96"/>
      <c r="V47" s="96"/>
      <c r="W47" s="96"/>
      <c r="X47" s="96"/>
      <c r="Y47" s="96"/>
      <c r="Z47" s="96"/>
      <c r="AA47" s="96"/>
      <c r="AB47" s="96"/>
      <c r="AC47" s="96"/>
      <c r="AD47" s="96">
        <v>3918.01</v>
      </c>
      <c r="AE47" s="96">
        <v>3631.57</v>
      </c>
      <c r="AF47" s="96">
        <v>311.38</v>
      </c>
      <c r="AG47" s="96">
        <v>309.41</v>
      </c>
      <c r="AH47" s="96">
        <v>311.12</v>
      </c>
      <c r="AI47" s="99">
        <f>SUM(W47:AH47)</f>
        <v>8481.49</v>
      </c>
      <c r="AJ47" s="71"/>
      <c r="AK47" s="100"/>
    </row>
    <row r="48" ht="12.75" customHeight="1" spans="1:37" x14ac:dyDescent="0.25">
      <c r="A48" s="71"/>
      <c r="B48" s="102"/>
      <c r="C48" s="93" t="s">
        <v>737</v>
      </c>
      <c r="D48" s="94">
        <f>SUM(F48:V48)+E48</f>
        <v>0</v>
      </c>
      <c r="E48" s="94"/>
      <c r="F48" s="96">
        <f>+'Sumas y Saldos'!E43</f>
        <v>0</v>
      </c>
      <c r="G48" s="96">
        <f>+'Sumas y Saldos'!H43</f>
        <v>0</v>
      </c>
      <c r="H48" s="96">
        <f>+'Sumas y Saldos'!K43</f>
        <v>0</v>
      </c>
      <c r="I48" s="96">
        <f>+'Sumas y Saldos'!Q43</f>
        <v>0</v>
      </c>
      <c r="J48" s="96">
        <f>+'Sumas y Saldos'!Z43</f>
        <v>0</v>
      </c>
      <c r="K48" s="96">
        <f>+'Sumas y Saldos'!AC43</f>
        <v>0</v>
      </c>
      <c r="L48" s="96">
        <f>+'Sumas y Saldos'!AF43</f>
        <v>0</v>
      </c>
      <c r="M48" s="96">
        <f>+'Sumas y Saldos'!W43</f>
        <v>0</v>
      </c>
      <c r="N48" s="96">
        <f>+'Sumas y Saldos'!T43</f>
        <v>0</v>
      </c>
      <c r="O48" s="96">
        <f>+'Sumas y Saldos'!AI43</f>
        <v>0</v>
      </c>
      <c r="P48" s="96">
        <f>+'Sumas y Saldos'!AO43</f>
        <v>0</v>
      </c>
      <c r="Q48" s="96">
        <f>+'Sumas y Saldos'!AL43</f>
        <v>0</v>
      </c>
      <c r="R48" s="96"/>
      <c r="S48" s="96"/>
      <c r="T48" s="96">
        <f>+'Sumas y Saldos'!BD259</f>
        <v>0</v>
      </c>
      <c r="U48" s="96"/>
      <c r="V48" s="96"/>
      <c r="W48" s="96"/>
      <c r="X48" s="96"/>
      <c r="Y48" s="96"/>
      <c r="Z48" s="96"/>
      <c r="AA48" s="96"/>
      <c r="AB48" s="96"/>
      <c r="AC48" s="96"/>
      <c r="AD48" s="96">
        <v>0</v>
      </c>
      <c r="AE48" s="96">
        <v>0</v>
      </c>
      <c r="AF48" s="96">
        <v>0</v>
      </c>
      <c r="AG48" s="96">
        <v>0</v>
      </c>
      <c r="AH48" s="96">
        <v>0</v>
      </c>
      <c r="AI48" s="99">
        <f>SUM(W48:AH48)</f>
        <v>0</v>
      </c>
      <c r="AJ48" s="71"/>
      <c r="AK48" s="100"/>
    </row>
    <row r="49" ht="12.75" customHeight="1" spans="1:37" x14ac:dyDescent="0.25">
      <c r="A49" s="71"/>
      <c r="B49" s="102"/>
      <c r="C49" s="93" t="s">
        <v>738</v>
      </c>
      <c r="D49" s="94">
        <f>SUM(F49:V49)+E49</f>
        <v>0</v>
      </c>
      <c r="E49" s="94"/>
      <c r="F49" s="96">
        <f>+'Sumas y Saldos'!E41</f>
        <v>0</v>
      </c>
      <c r="G49" s="96">
        <f>+'Sumas y Saldos'!H41</f>
        <v>0</v>
      </c>
      <c r="H49" s="96">
        <f>+'Sumas y Saldos'!K41</f>
        <v>0</v>
      </c>
      <c r="I49" s="96">
        <f>+'Sumas y Saldos'!Q41</f>
        <v>0</v>
      </c>
      <c r="J49" s="96">
        <f>+'Sumas y Saldos'!Z41</f>
        <v>0</v>
      </c>
      <c r="K49" s="96">
        <f>+'Sumas y Saldos'!AC41</f>
        <v>0</v>
      </c>
      <c r="L49" s="96">
        <f>+'Sumas y Saldos'!AF41</f>
        <v>0</v>
      </c>
      <c r="M49" s="96">
        <f>+'Sumas y Saldos'!W41</f>
        <v>0</v>
      </c>
      <c r="N49" s="96">
        <f>+'Sumas y Saldos'!T41</f>
        <v>0</v>
      </c>
      <c r="O49" s="96">
        <f>+'Sumas y Saldos'!AI41</f>
        <v>0</v>
      </c>
      <c r="P49" s="96">
        <f>+'Sumas y Saldos'!AO41</f>
        <v>0</v>
      </c>
      <c r="Q49" s="96">
        <f>+'Sumas y Saldos'!AL41</f>
        <v>0</v>
      </c>
      <c r="R49" s="96"/>
      <c r="S49" s="96"/>
      <c r="T49" s="96">
        <f>+'Sumas y Saldos'!BD260</f>
        <v>0</v>
      </c>
      <c r="U49" s="96"/>
      <c r="V49" s="96"/>
      <c r="W49" s="96"/>
      <c r="X49" s="96"/>
      <c r="Y49" s="96"/>
      <c r="Z49" s="96"/>
      <c r="AA49" s="96"/>
      <c r="AB49" s="96"/>
      <c r="AC49" s="96"/>
      <c r="AD49" s="96">
        <v>0</v>
      </c>
      <c r="AE49" s="96">
        <v>0</v>
      </c>
      <c r="AF49" s="96">
        <v>0</v>
      </c>
      <c r="AG49" s="96">
        <v>0</v>
      </c>
      <c r="AH49" s="96">
        <v>0</v>
      </c>
      <c r="AI49" s="99">
        <f>SUM(W49:AH49)</f>
        <v>0</v>
      </c>
      <c r="AJ49" s="71"/>
      <c r="AK49" s="100"/>
    </row>
    <row r="50" ht="12.75" customHeight="1" spans="1:37" x14ac:dyDescent="0.25">
      <c r="A50" s="71"/>
      <c r="B50" s="102"/>
      <c r="C50" s="93" t="s">
        <v>739</v>
      </c>
      <c r="D50" s="94">
        <f>SUM(F50:V50)+E50</f>
        <v>0</v>
      </c>
      <c r="E50" s="94"/>
      <c r="F50" s="96">
        <f>+'Sumas y Saldos'!E45+'Sumas y Saldos'!E263+'Sumas y Saldos'!E305+'Sumas y Saldos'!E351+'Sumas y Saldos'!E385</f>
        <v>0</v>
      </c>
      <c r="G50" s="96">
        <f>+'Sumas y Saldos'!H45+'Sumas y Saldos'!H263+'Sumas y Saldos'!H305+'Sumas y Saldos'!H351+'Sumas y Saldos'!H385</f>
        <v>0</v>
      </c>
      <c r="H50" s="96">
        <f>+'Sumas y Saldos'!K45+'Sumas y Saldos'!K263+'Sumas y Saldos'!K305+'Sumas y Saldos'!K351+'Sumas y Saldos'!K385</f>
        <v>0</v>
      </c>
      <c r="I50" s="96">
        <f>+'Sumas y Saldos'!Q45+'Sumas y Saldos'!Q263+'Sumas y Saldos'!Q305+'Sumas y Saldos'!Q351+'Sumas y Saldos'!Q385</f>
        <v>0</v>
      </c>
      <c r="J50" s="96">
        <f>+'Sumas y Saldos'!Z45+'Sumas y Saldos'!Z263+'Sumas y Saldos'!Z305+'Sumas y Saldos'!Z351+'Sumas y Saldos'!Z385</f>
        <v>0</v>
      </c>
      <c r="K50" s="96">
        <f>+'Sumas y Saldos'!AC45+'Sumas y Saldos'!AC263+'Sumas y Saldos'!AC305+'Sumas y Saldos'!AC351+'Sumas y Saldos'!AC385</f>
        <v>0</v>
      </c>
      <c r="L50" s="96">
        <f>+'Sumas y Saldos'!AF45+'Sumas y Saldos'!AF263+'Sumas y Saldos'!AF305+'Sumas y Saldos'!AF351+'Sumas y Saldos'!AF385</f>
        <v>0</v>
      </c>
      <c r="M50" s="96">
        <f>+'Sumas y Saldos'!W45+'Sumas y Saldos'!W263+'Sumas y Saldos'!W305+'Sumas y Saldos'!W351+'Sumas y Saldos'!W385</f>
        <v>0</v>
      </c>
      <c r="N50" s="96">
        <f>+'Sumas y Saldos'!T45+'Sumas y Saldos'!T263+'Sumas y Saldos'!T305+'Sumas y Saldos'!T351+'Sumas y Saldos'!T385</f>
        <v>0</v>
      </c>
      <c r="O50" s="96">
        <f>+'Sumas y Saldos'!AI45+'Sumas y Saldos'!AI263+'Sumas y Saldos'!AI305+'Sumas y Saldos'!AI351+'Sumas y Saldos'!AI385</f>
        <v>0</v>
      </c>
      <c r="P50" s="96">
        <f>+'Sumas y Saldos'!AO45+'Sumas y Saldos'!AO263+'Sumas y Saldos'!AO305+'Sumas y Saldos'!AO351+'Sumas y Saldos'!AO385</f>
        <v>0</v>
      </c>
      <c r="Q50" s="96">
        <f>+'Sumas y Saldos'!AL45+'Sumas y Saldos'!AL263+'Sumas y Saldos'!AL305+'Sumas y Saldos'!AL351+'Sumas y Saldos'!AL385</f>
        <v>0</v>
      </c>
      <c r="R50" s="96"/>
      <c r="S50" s="96"/>
      <c r="T50" s="96">
        <f>+'Sumas y Saldos'!BD261</f>
        <v>0</v>
      </c>
      <c r="U50" s="96">
        <f>+'Sumas y Saldos'!BM348+'Sumas y Saldos'!BM303</f>
        <v>0</v>
      </c>
      <c r="V50" s="96"/>
      <c r="W50" s="96"/>
      <c r="X50" s="96"/>
      <c r="Y50" s="96"/>
      <c r="Z50" s="96"/>
      <c r="AA50" s="96"/>
      <c r="AB50" s="96"/>
      <c r="AC50" s="96"/>
      <c r="AD50" s="96">
        <v>0</v>
      </c>
      <c r="AE50" s="96">
        <v>0</v>
      </c>
      <c r="AF50" s="96">
        <v>0</v>
      </c>
      <c r="AG50" s="96">
        <v>0</v>
      </c>
      <c r="AH50" s="96">
        <v>0</v>
      </c>
      <c r="AI50" s="99">
        <f>SUM(W50:AH50)</f>
        <v>0</v>
      </c>
      <c r="AJ50" s="71"/>
      <c r="AK50" s="100"/>
    </row>
    <row r="51" ht="12.75" customHeight="1" spans="1:37" x14ac:dyDescent="0.25">
      <c r="A51" s="71" t="s">
        <v>740</v>
      </c>
      <c r="B51" s="71">
        <v>9600000062</v>
      </c>
      <c r="C51" s="93" t="s">
        <v>304</v>
      </c>
      <c r="D51" s="94">
        <f>SUM(F51:V51)+E51</f>
        <v>4596.95</v>
      </c>
      <c r="E51" s="94">
        <f>+-'Sumas y Saldos'!G157</f>
        <v>0</v>
      </c>
      <c r="F51" s="96">
        <f>+'Sumas y Saldos'!E73+'Sumas y Saldos'!E157+'Sumas y Saldos'!E197+'Sumas y Saldos'!E225+'Sumas y Saldos'!E270+'Sumas y Saldos'!E324+'Sumas y Saldos'!E330+'Sumas y Saldos'!E372</f>
        <v>0</v>
      </c>
      <c r="G51" s="96">
        <f>+'Sumas y Saldos'!H73+'Sumas y Saldos'!H157+'Sumas y Saldos'!H197+'Sumas y Saldos'!H225+'Sumas y Saldos'!H270+'Sumas y Saldos'!H324+'Sumas y Saldos'!H330+'Sumas y Saldos'!H372</f>
        <v>3476.0099999999998</v>
      </c>
      <c r="H51" s="96">
        <f>+'Sumas y Saldos'!K73+'Sumas y Saldos'!K157+'Sumas y Saldos'!K197+'Sumas y Saldos'!K225+'Sumas y Saldos'!K270+'Sumas y Saldos'!K324+'Sumas y Saldos'!K330+'Sumas y Saldos'!K372</f>
        <v>0</v>
      </c>
      <c r="I51" s="96">
        <f>+'Sumas y Saldos'!Q73+'Sumas y Saldos'!Q157+'Sumas y Saldos'!Q197+'Sumas y Saldos'!Q225+'Sumas y Saldos'!Q270+'Sumas y Saldos'!Q324+'Sumas y Saldos'!Q330+'Sumas y Saldos'!Q372</f>
        <v>0</v>
      </c>
      <c r="J51" s="96">
        <f>+'Sumas y Saldos'!Z73+'Sumas y Saldos'!Z157+'Sumas y Saldos'!Z197+'Sumas y Saldos'!Z225+'Sumas y Saldos'!Z270+'Sumas y Saldos'!Z324+'Sumas y Saldos'!Z330+'Sumas y Saldos'!Z372</f>
        <v>0</v>
      </c>
      <c r="K51" s="96">
        <f>+'Sumas y Saldos'!AC73+'Sumas y Saldos'!AC157+'Sumas y Saldos'!AC197+'Sumas y Saldos'!AC225+'Sumas y Saldos'!AC270+'Sumas y Saldos'!AC324+'Sumas y Saldos'!AC330+'Sumas y Saldos'!AC372</f>
        <v>1120.94</v>
      </c>
      <c r="L51" s="96">
        <f>+'Sumas y Saldos'!AF73+'Sumas y Saldos'!AF157+'Sumas y Saldos'!AF197+'Sumas y Saldos'!AF225+'Sumas y Saldos'!AF270+'Sumas y Saldos'!AF324+'Sumas y Saldos'!AF330+'Sumas y Saldos'!AF372</f>
        <v>0</v>
      </c>
      <c r="M51" s="96">
        <f>+'Sumas y Saldos'!W73+'Sumas y Saldos'!W157+'Sumas y Saldos'!W197+'Sumas y Saldos'!W225+'Sumas y Saldos'!W270+'Sumas y Saldos'!W324+'Sumas y Saldos'!W330+'Sumas y Saldos'!W372</f>
        <v>0</v>
      </c>
      <c r="N51" s="96">
        <f>+'Sumas y Saldos'!T73+'Sumas y Saldos'!T157+'Sumas y Saldos'!T197+'Sumas y Saldos'!T225+'Sumas y Saldos'!T270+'Sumas y Saldos'!T324+'Sumas y Saldos'!T330+'Sumas y Saldos'!T372</f>
        <v>0</v>
      </c>
      <c r="O51" s="96">
        <f>+'Sumas y Saldos'!AI73+'Sumas y Saldos'!AI157+'Sumas y Saldos'!AI197+'Sumas y Saldos'!AI225+'Sumas y Saldos'!AI270+'Sumas y Saldos'!AI324+'Sumas y Saldos'!AI330+'Sumas y Saldos'!AI372</f>
        <v>0</v>
      </c>
      <c r="P51" s="96">
        <f>+'Sumas y Saldos'!AO73+'Sumas y Saldos'!AO157+'Sumas y Saldos'!AO197+'Sumas y Saldos'!AO225+'Sumas y Saldos'!AO270+'Sumas y Saldos'!AO324+'Sumas y Saldos'!AO330+'Sumas y Saldos'!AO372</f>
        <v>0</v>
      </c>
      <c r="Q51" s="96">
        <f>+'Sumas y Saldos'!AL73+'Sumas y Saldos'!AL157+'Sumas y Saldos'!AL197+'Sumas y Saldos'!AL225+'Sumas y Saldos'!AL270+'Sumas y Saldos'!AL324+'Sumas y Saldos'!AL330+'Sumas y Saldos'!AL372</f>
        <v>0</v>
      </c>
      <c r="R51" s="96">
        <f>+'Sumas y Saldos'!BE268</f>
        <v>0</v>
      </c>
      <c r="S51" s="96">
        <f>+'Sumas y Saldos'!BF268</f>
        <v>0</v>
      </c>
      <c r="T51" s="96">
        <f>+'Sumas y Saldos'!BD262</f>
        <v>0</v>
      </c>
      <c r="U51" s="96">
        <f>+'Sumas y Saldos'!BM327+'Sumas y Saldos'!BM321+'Sumas y Saldos'!BM268+'Sumas y Saldos'!BM225</f>
        <v>0</v>
      </c>
      <c r="V51" s="96">
        <f>+'Sumas y Saldos'!BP157+'Sumas y Saldos'!BP225+'Sumas y Saldos'!BP321+'Sumas y Saldos'!BP327+'Sumas y Saldos'!BP197+'Sumas y Saldos'!BP268</f>
        <v>0</v>
      </c>
      <c r="W51" s="96"/>
      <c r="X51" s="96"/>
      <c r="Y51" s="96"/>
      <c r="Z51" s="96"/>
      <c r="AA51" s="96"/>
      <c r="AB51" s="96"/>
      <c r="AC51" s="96"/>
      <c r="AD51" s="96">
        <v>4596.95</v>
      </c>
      <c r="AE51" s="96">
        <v>6798.38</v>
      </c>
      <c r="AF51" s="96">
        <v>10001.9</v>
      </c>
      <c r="AG51" s="96">
        <v>5573.98</v>
      </c>
      <c r="AH51" s="96">
        <v>4945.92</v>
      </c>
      <c r="AI51" s="99">
        <f>SUM(W51:AH51)</f>
        <v>31917.129999999997</v>
      </c>
      <c r="AJ51" s="71"/>
      <c r="AK51" s="100"/>
    </row>
    <row r="52" ht="12.75" customHeight="1" spans="1:37" x14ac:dyDescent="0.25">
      <c r="A52" s="71" t="s">
        <v>741</v>
      </c>
      <c r="B52" s="71">
        <v>9600000062</v>
      </c>
      <c r="C52" s="93" t="s">
        <v>742</v>
      </c>
      <c r="D52" s="94">
        <f>SUM(F52:V52)+E52</f>
        <v>2572.4399999999996</v>
      </c>
      <c r="E52" s="94">
        <v>0</v>
      </c>
      <c r="F52" s="96">
        <f>+'Sumas y Saldos'!E131+'Sumas y Saldos'!E178+'Sumas y Saldos'!E210+'Sumas y Saldos'!E269+'Sumas y Saldos'!E316+'Sumas y Saldos'!E333+'Sumas y Saldos'!E367</f>
        <v>0</v>
      </c>
      <c r="G52" s="96">
        <f>+'Sumas y Saldos'!H131+'Sumas y Saldos'!H178+'Sumas y Saldos'!H210+'Sumas y Saldos'!H269+'Sumas y Saldos'!H316+'Sumas y Saldos'!H333+'Sumas y Saldos'!H367</f>
        <v>1334.4099999999999</v>
      </c>
      <c r="H52" s="96">
        <f>+'Sumas y Saldos'!K131+'Sumas y Saldos'!K178+'Sumas y Saldos'!K210+'Sumas y Saldos'!K269+'Sumas y Saldos'!K316+'Sumas y Saldos'!K333+'Sumas y Saldos'!K367</f>
        <v>0</v>
      </c>
      <c r="I52" s="96">
        <f>+'Sumas y Saldos'!Q131+'Sumas y Saldos'!Q178+'Sumas y Saldos'!Q210+'Sumas y Saldos'!Q269+'Sumas y Saldos'!Q316+'Sumas y Saldos'!Q333+'Sumas y Saldos'!Q367</f>
        <v>0</v>
      </c>
      <c r="J52" s="96">
        <f>+'Sumas y Saldos'!Z131+'Sumas y Saldos'!Z178+'Sumas y Saldos'!Z210+'Sumas y Saldos'!Z269+'Sumas y Saldos'!Z316+'Sumas y Saldos'!Z333+'Sumas y Saldos'!Z367</f>
        <v>0</v>
      </c>
      <c r="K52" s="96">
        <f>+'Sumas y Saldos'!AC131+'Sumas y Saldos'!AC178+'Sumas y Saldos'!AC210+'Sumas y Saldos'!AC269+'Sumas y Saldos'!AC316+'Sumas y Saldos'!AC333+'Sumas y Saldos'!AC367</f>
        <v>1238.03</v>
      </c>
      <c r="L52" s="96">
        <f>+'Sumas y Saldos'!AF131+'Sumas y Saldos'!AF178+'Sumas y Saldos'!AF210+'Sumas y Saldos'!AF269+'Sumas y Saldos'!AF316+'Sumas y Saldos'!AF333+'Sumas y Saldos'!AF367</f>
        <v>0</v>
      </c>
      <c r="M52" s="96">
        <f>+'Sumas y Saldos'!W131+'Sumas y Saldos'!W178+'Sumas y Saldos'!W210+'Sumas y Saldos'!W269+'Sumas y Saldos'!W316+'Sumas y Saldos'!W333+'Sumas y Saldos'!W367</f>
        <v>0</v>
      </c>
      <c r="N52" s="96">
        <f>+'Sumas y Saldos'!T131+'Sumas y Saldos'!T178+'Sumas y Saldos'!T210+'Sumas y Saldos'!T269+'Sumas y Saldos'!T316+'Sumas y Saldos'!T333+'Sumas y Saldos'!T367</f>
        <v>0</v>
      </c>
      <c r="O52" s="96">
        <f>+'Sumas y Saldos'!AI131+'Sumas y Saldos'!AI178+'Sumas y Saldos'!AI210+'Sumas y Saldos'!AI269+'Sumas y Saldos'!AI316+'Sumas y Saldos'!AI333+'Sumas y Saldos'!AI367</f>
        <v>0</v>
      </c>
      <c r="P52" s="96">
        <f>+'Sumas y Saldos'!AO131+'Sumas y Saldos'!AO178+'Sumas y Saldos'!AO210+'Sumas y Saldos'!AO269+'Sumas y Saldos'!AO316+'Sumas y Saldos'!AO333+'Sumas y Saldos'!AO367</f>
        <v>0</v>
      </c>
      <c r="Q52" s="96">
        <f>+'Sumas y Saldos'!AL131+'Sumas y Saldos'!AL178+'Sumas y Saldos'!AL210+'Sumas y Saldos'!AL269+'Sumas y Saldos'!AL316+'Sumas y Saldos'!AL333+'Sumas y Saldos'!AL367</f>
        <v>0</v>
      </c>
      <c r="R52" s="96">
        <f>+'Sumas y Saldos'!BE267</f>
        <v>0</v>
      </c>
      <c r="S52" s="96">
        <f>+'Sumas y Saldos'!BF267+'Sumas y Saldos'!BJ210</f>
        <v>0</v>
      </c>
      <c r="T52" s="96">
        <f>+'Sumas y Saldos'!BD263</f>
        <v>0</v>
      </c>
      <c r="U52" s="96">
        <f>+'Sumas y Saldos'!BM267+'Sumas y Saldos'!BM330+'Sumas y Saldos'!BM313+'Sumas y Saldos'!BM210+'Sumas y Saldos'!BM178</f>
        <v>0</v>
      </c>
      <c r="V52" s="96">
        <f>+'Sumas y Saldos'!BP130+'Sumas y Saldos'!BP210+'Sumas y Saldos'!BP313+'Sumas y Saldos'!BP178+'Sumas y Saldos'!BP330+'Sumas y Saldos'!BP267</f>
        <v>0</v>
      </c>
      <c r="W52" s="96"/>
      <c r="X52" s="96"/>
      <c r="Y52" s="96"/>
      <c r="Z52" s="96"/>
      <c r="AA52" s="96"/>
      <c r="AB52" s="96"/>
      <c r="AC52" s="96"/>
      <c r="AD52" s="96">
        <v>2572.4399999999996</v>
      </c>
      <c r="AE52" s="96">
        <v>3608.37</v>
      </c>
      <c r="AF52" s="96">
        <v>5318.37</v>
      </c>
      <c r="AG52" s="96">
        <v>1737.01</v>
      </c>
      <c r="AH52" s="96">
        <v>4440.43</v>
      </c>
      <c r="AI52" s="99">
        <f>SUM(W52:AH52)</f>
        <v>17676.620000000003</v>
      </c>
      <c r="AJ52" s="71"/>
      <c r="AK52" s="100"/>
    </row>
    <row r="53" ht="12.75" customHeight="1" spans="1:37" x14ac:dyDescent="0.25">
      <c r="A53" s="71" t="s">
        <v>743</v>
      </c>
      <c r="B53" s="71">
        <v>9600000062</v>
      </c>
      <c r="C53" s="93" t="s">
        <v>744</v>
      </c>
      <c r="D53" s="94">
        <f>SUM(F53:V53)+E53</f>
        <v>1669.43</v>
      </c>
      <c r="E53" s="94">
        <f>+'Sumas y Saldos'!G60</f>
        <v>0</v>
      </c>
      <c r="F53" s="96">
        <f>+'Sumas y Saldos'!E17+'Sumas y Saldos'!E30+'Sumas y Saldos'!E33+'Sumas y Saldos'!E58+'Sumas y Saldos'!E60+'Sumas y Saldos'!E61+'Sumas y Saldos'!E75+'Sumas y Saldos'!E89+'Sumas y Saldos'!E106+'Sumas y Saldos'!E147+'Sumas y Saldos'!E167+'Sumas y Saldos'!E168+'Sumas y Saldos'!E169+'Sumas y Saldos'!E177+'Sumas y Saldos'!E204+'Sumas y Saldos'!E207+'Sumas y Saldos'!E234+'Sumas y Saldos'!E246+'Sumas y Saldos'!E266+'Sumas y Saldos'!E267+'Sumas y Saldos'!E298+'Sumas y Saldos'!E313+'Sumas y Saldos'!E354+'Sumas y Saldos'!E355</f>
        <v>1666.05</v>
      </c>
      <c r="G53" s="96">
        <f>+'Sumas y Saldos'!H17+'Sumas y Saldos'!H30+'Sumas y Saldos'!H33+'Sumas y Saldos'!H58+'Sumas y Saldos'!H60+'Sumas y Saldos'!H61+'Sumas y Saldos'!H75+'Sumas y Saldos'!H89+'Sumas y Saldos'!H106+'Sumas y Saldos'!H147+'Sumas y Saldos'!H167+'Sumas y Saldos'!H168+'Sumas y Saldos'!H169+'Sumas y Saldos'!H177+'Sumas y Saldos'!H204+'Sumas y Saldos'!H207+'Sumas y Saldos'!H234+'Sumas y Saldos'!H246+'Sumas y Saldos'!H266+'Sumas y Saldos'!H267+'Sumas y Saldos'!H298+'Sumas y Saldos'!H313+'Sumas y Saldos'!H354+'Sumas y Saldos'!H355</f>
        <v>3.38</v>
      </c>
      <c r="H53" s="96">
        <f>+'Sumas y Saldos'!K17+'Sumas y Saldos'!K30+'Sumas y Saldos'!K33+'Sumas y Saldos'!K58+'Sumas y Saldos'!K60+'Sumas y Saldos'!K61+'Sumas y Saldos'!K75+'Sumas y Saldos'!K89+'Sumas y Saldos'!K106+'Sumas y Saldos'!K147+'Sumas y Saldos'!K167+'Sumas y Saldos'!K168+'Sumas y Saldos'!K169+'Sumas y Saldos'!K177+'Sumas y Saldos'!K204+'Sumas y Saldos'!K207+'Sumas y Saldos'!K234+'Sumas y Saldos'!K246+'Sumas y Saldos'!K266+'Sumas y Saldos'!K267+'Sumas y Saldos'!K298+'Sumas y Saldos'!K313+'Sumas y Saldos'!K354+'Sumas y Saldos'!K355</f>
        <v>0</v>
      </c>
      <c r="I53" s="96">
        <f>+'Sumas y Saldos'!Q17+'Sumas y Saldos'!Q30+'Sumas y Saldos'!Q33+'Sumas y Saldos'!Q58+'Sumas y Saldos'!Q60+'Sumas y Saldos'!Q61+'Sumas y Saldos'!Q75+'Sumas y Saldos'!Q89+'Sumas y Saldos'!Q106+'Sumas y Saldos'!Q147+'Sumas y Saldos'!Q167+'Sumas y Saldos'!Q168+'Sumas y Saldos'!Q169+'Sumas y Saldos'!Q177+'Sumas y Saldos'!Q204+'Sumas y Saldos'!Q207+'Sumas y Saldos'!Q234+'Sumas y Saldos'!Q246+'Sumas y Saldos'!Q266+'Sumas y Saldos'!Q267+'Sumas y Saldos'!Q298+'Sumas y Saldos'!Q313+'Sumas y Saldos'!Q354+'Sumas y Saldos'!Q355</f>
        <v>0</v>
      </c>
      <c r="J53" s="96">
        <f>+'Sumas y Saldos'!Z17+'Sumas y Saldos'!Z30+'Sumas y Saldos'!Z33+'Sumas y Saldos'!Z58+'Sumas y Saldos'!Z60+'Sumas y Saldos'!Z61+'Sumas y Saldos'!Z75+'Sumas y Saldos'!Z89+'Sumas y Saldos'!Z106+'Sumas y Saldos'!Z147+'Sumas y Saldos'!Z167+'Sumas y Saldos'!Z168+'Sumas y Saldos'!Z169+'Sumas y Saldos'!Z177+'Sumas y Saldos'!Z204+'Sumas y Saldos'!Z207+'Sumas y Saldos'!Z234+'Sumas y Saldos'!Z246+'Sumas y Saldos'!Z266+'Sumas y Saldos'!Z267+'Sumas y Saldos'!Z298+'Sumas y Saldos'!Z313+'Sumas y Saldos'!Z354+'Sumas y Saldos'!Z355</f>
        <v>0</v>
      </c>
      <c r="K53" s="96">
        <f>+'Sumas y Saldos'!AC17+'Sumas y Saldos'!AC30+'Sumas y Saldos'!AC33+'Sumas y Saldos'!AC58+'Sumas y Saldos'!AC60+'Sumas y Saldos'!AC61+'Sumas y Saldos'!AC75+'Sumas y Saldos'!AC89+'Sumas y Saldos'!AC106+'Sumas y Saldos'!AC147+'Sumas y Saldos'!AC167+'Sumas y Saldos'!AC168+'Sumas y Saldos'!AC169+'Sumas y Saldos'!AC177+'Sumas y Saldos'!AC204+'Sumas y Saldos'!AC207+'Sumas y Saldos'!AC234+'Sumas y Saldos'!AC246+'Sumas y Saldos'!AC266+'Sumas y Saldos'!AC267+'Sumas y Saldos'!AC298+'Sumas y Saldos'!AC313+'Sumas y Saldos'!AC354+'Sumas y Saldos'!AC355</f>
        <v>0</v>
      </c>
      <c r="L53" s="96">
        <f>+'Sumas y Saldos'!AF17+'Sumas y Saldos'!AF30+'Sumas y Saldos'!AF33+'Sumas y Saldos'!AF58+'Sumas y Saldos'!AF60+'Sumas y Saldos'!AF61+'Sumas y Saldos'!AF75+'Sumas y Saldos'!AF89+'Sumas y Saldos'!AF106+'Sumas y Saldos'!AF147+'Sumas y Saldos'!AF167+'Sumas y Saldos'!AF168+'Sumas y Saldos'!AF169+'Sumas y Saldos'!AF177+'Sumas y Saldos'!AF204+'Sumas y Saldos'!AF207+'Sumas y Saldos'!AF234+'Sumas y Saldos'!AF246+'Sumas y Saldos'!AF266+'Sumas y Saldos'!AF267+'Sumas y Saldos'!AF298+'Sumas y Saldos'!AF313+'Sumas y Saldos'!AF354+'Sumas y Saldos'!AF355</f>
        <v>0</v>
      </c>
      <c r="M53" s="96">
        <f>+'Sumas y Saldos'!W17+'Sumas y Saldos'!W30+'Sumas y Saldos'!W33+'Sumas y Saldos'!W58+'Sumas y Saldos'!W60+'Sumas y Saldos'!W61+'Sumas y Saldos'!W75+'Sumas y Saldos'!W89+'Sumas y Saldos'!W106+'Sumas y Saldos'!W147+'Sumas y Saldos'!W167+'Sumas y Saldos'!W168+'Sumas y Saldos'!W169+'Sumas y Saldos'!W177+'Sumas y Saldos'!W204+'Sumas y Saldos'!W207+'Sumas y Saldos'!W234+'Sumas y Saldos'!W246+'Sumas y Saldos'!W266+'Sumas y Saldos'!W267+'Sumas y Saldos'!W298+'Sumas y Saldos'!W313+'Sumas y Saldos'!W354+'Sumas y Saldos'!W355</f>
        <v>0</v>
      </c>
      <c r="N53" s="96">
        <f>+'Sumas y Saldos'!T17+'Sumas y Saldos'!T30+'Sumas y Saldos'!T33+'Sumas y Saldos'!T58+'Sumas y Saldos'!T60+'Sumas y Saldos'!T61+'Sumas y Saldos'!T75+'Sumas y Saldos'!T89+'Sumas y Saldos'!T106+'Sumas y Saldos'!T147+'Sumas y Saldos'!T167+'Sumas y Saldos'!T168+'Sumas y Saldos'!T169+'Sumas y Saldos'!T177+'Sumas y Saldos'!T204+'Sumas y Saldos'!T207+'Sumas y Saldos'!T234+'Sumas y Saldos'!T246+'Sumas y Saldos'!T266+'Sumas y Saldos'!T267+'Sumas y Saldos'!T298+'Sumas y Saldos'!T313+'Sumas y Saldos'!T354+'Sumas y Saldos'!T355</f>
        <v>0</v>
      </c>
      <c r="O53" s="96">
        <f>+'Sumas y Saldos'!AI17+'Sumas y Saldos'!AI30+'Sumas y Saldos'!AI33+'Sumas y Saldos'!AI58+'Sumas y Saldos'!AI60+'Sumas y Saldos'!AI61+'Sumas y Saldos'!AI75+'Sumas y Saldos'!AI89+'Sumas y Saldos'!AI106+'Sumas y Saldos'!AI147+'Sumas y Saldos'!AI167+'Sumas y Saldos'!AI168+'Sumas y Saldos'!AI169+'Sumas y Saldos'!AI177+'Sumas y Saldos'!AI204+'Sumas y Saldos'!AI207+'Sumas y Saldos'!AI234+'Sumas y Saldos'!AI246+'Sumas y Saldos'!AI266+'Sumas y Saldos'!AI267+'Sumas y Saldos'!AI298+'Sumas y Saldos'!AI313+'Sumas y Saldos'!AI354+'Sumas y Saldos'!AI355</f>
        <v>0</v>
      </c>
      <c r="P53" s="96">
        <f>+'Sumas y Saldos'!AO17+'Sumas y Saldos'!AO30+'Sumas y Saldos'!AO33+'Sumas y Saldos'!AO58+'Sumas y Saldos'!AO60+'Sumas y Saldos'!AO61+'Sumas y Saldos'!AO75+'Sumas y Saldos'!AO89+'Sumas y Saldos'!AO106+'Sumas y Saldos'!AO147+'Sumas y Saldos'!AO167+'Sumas y Saldos'!AO168+'Sumas y Saldos'!AO169+'Sumas y Saldos'!AO177+'Sumas y Saldos'!AO204+'Sumas y Saldos'!AO207+'Sumas y Saldos'!AO234+'Sumas y Saldos'!AO246+'Sumas y Saldos'!AO266+'Sumas y Saldos'!AO267+'Sumas y Saldos'!AO298+'Sumas y Saldos'!AO313+'Sumas y Saldos'!AO354+'Sumas y Saldos'!AO355</f>
        <v>0</v>
      </c>
      <c r="Q53" s="96">
        <f>+'Sumas y Saldos'!AL17+'Sumas y Saldos'!AL30+'Sumas y Saldos'!AL33+'Sumas y Saldos'!AL58+'Sumas y Saldos'!AL60+'Sumas y Saldos'!AL61+'Sumas y Saldos'!AL75+'Sumas y Saldos'!AL89+'Sumas y Saldos'!AL106+'Sumas y Saldos'!AL147+'Sumas y Saldos'!AL167+'Sumas y Saldos'!AL168+'Sumas y Saldos'!AL169+'Sumas y Saldos'!AL177+'Sumas y Saldos'!AL204+'Sumas y Saldos'!AL207+'Sumas y Saldos'!AL234+'Sumas y Saldos'!AL246+'Sumas y Saldos'!AL266+'Sumas y Saldos'!AL267+'Sumas y Saldos'!AL298+'Sumas y Saldos'!AL313+'Sumas y Saldos'!AL354+'Sumas y Saldos'!AL355</f>
        <v>0</v>
      </c>
      <c r="R53" s="96"/>
      <c r="S53" s="96"/>
      <c r="T53" s="96">
        <f>+'Sumas y Saldos'!BD264</f>
        <v>0</v>
      </c>
      <c r="U53" s="96">
        <f>+'Sumas y Saldos'!BM296+'Sumas y Saldos'!BM179+'Sumas y Saldos'!BM265</f>
        <v>0</v>
      </c>
      <c r="V53" s="96">
        <f>+'Sumas y Saldos'!BP296+'Sumas y Saldos'!BP265+'Sumas y Saldos'!BP181+'Sumas y Saldos'!BP352</f>
        <v>0</v>
      </c>
      <c r="W53" s="96"/>
      <c r="X53" s="96"/>
      <c r="Y53" s="96"/>
      <c r="Z53" s="96"/>
      <c r="AA53" s="96"/>
      <c r="AB53" s="96"/>
      <c r="AC53" s="96"/>
      <c r="AD53" s="96">
        <v>1669.43</v>
      </c>
      <c r="AE53" s="96">
        <v>2202.77</v>
      </c>
      <c r="AF53" s="96">
        <v>1950.95</v>
      </c>
      <c r="AG53" s="96">
        <v>868.73</v>
      </c>
      <c r="AH53" s="96">
        <v>1202.84</v>
      </c>
      <c r="AI53" s="99">
        <f>SUM(W53:AH53)</f>
        <v>7894.719999999999</v>
      </c>
      <c r="AJ53" s="71"/>
      <c r="AK53" s="100"/>
    </row>
    <row r="54" ht="12.75" customHeight="1" spans="1:37" x14ac:dyDescent="0.25">
      <c r="A54" s="71" t="s">
        <v>745</v>
      </c>
      <c r="B54" s="71">
        <v>9600000062</v>
      </c>
      <c r="C54" s="93" t="s">
        <v>314</v>
      </c>
      <c r="D54" s="94">
        <f>SUM(F54:V54)+E54</f>
        <v>8121.4</v>
      </c>
      <c r="E54" s="94">
        <f>+'Sumas y Saldos'!D82+'Sumas y Saldos'!D109+'Sumas y Saldos'!D110+'Sumas y Saldos'!P109+'Sumas y Saldos'!S109+'Sumas y Saldos'!Y109+'Sumas y Saldos'!AN220</f>
        <v>0</v>
      </c>
      <c r="F54" s="96">
        <f>+'Sumas y Saldos'!E83+'Sumas y Saldos'!E110+'Sumas y Saldos'!E111+'Sumas y Saldos'!E133+'Sumas y Saldos'!E135+'Sumas y Saldos'!E188+'Sumas y Saldos'!E212+'Sumas y Saldos'!E215+'Sumas y Saldos'!E220+'Sumas y Saldos'!E255+'Sumas y Saldos'!E273+'Sumas y Saldos'!E347</f>
        <v>0</v>
      </c>
      <c r="G54" s="96">
        <f>+'Sumas y Saldos'!H83+'Sumas y Saldos'!H110+'Sumas y Saldos'!H111+'Sumas y Saldos'!H133+'Sumas y Saldos'!H135+'Sumas y Saldos'!H188+'Sumas y Saldos'!H212+'Sumas y Saldos'!H215+'Sumas y Saldos'!H220+'Sumas y Saldos'!H255+'Sumas y Saldos'!H273+'Sumas y Saldos'!H347</f>
        <v>6078.12</v>
      </c>
      <c r="H54" s="96">
        <f>+'Sumas y Saldos'!K83+'Sumas y Saldos'!K110+'Sumas y Saldos'!K111+'Sumas y Saldos'!K133+'Sumas y Saldos'!K135+'Sumas y Saldos'!K188+'Sumas y Saldos'!K212+'Sumas y Saldos'!K215+'Sumas y Saldos'!K220+'Sumas y Saldos'!K255+'Sumas y Saldos'!K273+'Sumas y Saldos'!K347</f>
        <v>0</v>
      </c>
      <c r="I54" s="96">
        <f>+'Sumas y Saldos'!Q83+'Sumas y Saldos'!Q110+'Sumas y Saldos'!Q111+'Sumas y Saldos'!Q133+'Sumas y Saldos'!Q135+'Sumas y Saldos'!Q188+'Sumas y Saldos'!Q212+'Sumas y Saldos'!Q215+'Sumas y Saldos'!Q220+'Sumas y Saldos'!Q255+'Sumas y Saldos'!Q273+'Sumas y Saldos'!Q347</f>
        <v>0</v>
      </c>
      <c r="J54" s="96">
        <f>+'Sumas y Saldos'!Z83+'Sumas y Saldos'!Z110+'Sumas y Saldos'!Z111+'Sumas y Saldos'!Z133+'Sumas y Saldos'!Z135+'Sumas y Saldos'!Z188+'Sumas y Saldos'!Z212+'Sumas y Saldos'!Z215+'Sumas y Saldos'!Z220+'Sumas y Saldos'!Z255+'Sumas y Saldos'!Z273+'Sumas y Saldos'!Z347</f>
        <v>0</v>
      </c>
      <c r="K54" s="96">
        <f>+'Sumas y Saldos'!AC83+'Sumas y Saldos'!AC110+'Sumas y Saldos'!AC111+'Sumas y Saldos'!AC133+'Sumas y Saldos'!AC135+'Sumas y Saldos'!AC188+'Sumas y Saldos'!AC212+'Sumas y Saldos'!AC215+'Sumas y Saldos'!AC220+'Sumas y Saldos'!AC255+'Sumas y Saldos'!AC273+'Sumas y Saldos'!AC347</f>
        <v>807.88</v>
      </c>
      <c r="L54" s="96">
        <f>+'Sumas y Saldos'!AF83+'Sumas y Saldos'!AF110+'Sumas y Saldos'!AF111+'Sumas y Saldos'!AF133+'Sumas y Saldos'!AF135+'Sumas y Saldos'!AF188+'Sumas y Saldos'!AF212+'Sumas y Saldos'!AF215+'Sumas y Saldos'!AF220+'Sumas y Saldos'!AF255+'Sumas y Saldos'!AF273+'Sumas y Saldos'!AF347</f>
        <v>0</v>
      </c>
      <c r="M54" s="96">
        <f>+'Sumas y Saldos'!W83+'Sumas y Saldos'!W110+'Sumas y Saldos'!W111+'Sumas y Saldos'!W133+'Sumas y Saldos'!W135+'Sumas y Saldos'!W188+'Sumas y Saldos'!W212+'Sumas y Saldos'!W215+'Sumas y Saldos'!W220+'Sumas y Saldos'!W255+'Sumas y Saldos'!W273+'Sumas y Saldos'!W347</f>
        <v>0</v>
      </c>
      <c r="N54" s="96">
        <f>+'Sumas y Saldos'!T83+'Sumas y Saldos'!T110+'Sumas y Saldos'!T111+'Sumas y Saldos'!T133+'Sumas y Saldos'!T135+'Sumas y Saldos'!T188+'Sumas y Saldos'!T212+'Sumas y Saldos'!T215+'Sumas y Saldos'!T220+'Sumas y Saldos'!T255+'Sumas y Saldos'!T273+'Sumas y Saldos'!T347</f>
        <v>1235.4</v>
      </c>
      <c r="O54" s="96">
        <f>+'Sumas y Saldos'!AI83+'Sumas y Saldos'!AI110+'Sumas y Saldos'!AI111+'Sumas y Saldos'!AI133+'Sumas y Saldos'!AI135+'Sumas y Saldos'!AI188+'Sumas y Saldos'!AI212+'Sumas y Saldos'!AI215+'Sumas y Saldos'!AI220+'Sumas y Saldos'!AI255+'Sumas y Saldos'!AI273+'Sumas y Saldos'!AI347</f>
        <v>0</v>
      </c>
      <c r="P54" s="96">
        <f>+'Sumas y Saldos'!AO83+'Sumas y Saldos'!AO110+'Sumas y Saldos'!AO111+'Sumas y Saldos'!AO133+'Sumas y Saldos'!AO135+'Sumas y Saldos'!AO188+'Sumas y Saldos'!AO212+'Sumas y Saldos'!AO215+'Sumas y Saldos'!AO220+'Sumas y Saldos'!AO255+'Sumas y Saldos'!AO273+'Sumas y Saldos'!AO347</f>
        <v>0</v>
      </c>
      <c r="Q54" s="96">
        <f>+'Sumas y Saldos'!AL83+'Sumas y Saldos'!AL110+'Sumas y Saldos'!AL111+'Sumas y Saldos'!AL133+'Sumas y Saldos'!AL135+'Sumas y Saldos'!AL188+'Sumas y Saldos'!AL212+'Sumas y Saldos'!AL215+'Sumas y Saldos'!AL220+'Sumas y Saldos'!AL255+'Sumas y Saldos'!AL273+'Sumas y Saldos'!AL347</f>
        <v>0</v>
      </c>
      <c r="R54" s="96"/>
      <c r="S54" s="96"/>
      <c r="T54" s="96">
        <f>+'Sumas y Saldos'!BD265</f>
        <v>0</v>
      </c>
      <c r="U54" s="96">
        <f>+'Sumas y Saldos'!BM271+'Sumas y Saldos'!BM220</f>
        <v>0</v>
      </c>
      <c r="V54" s="96">
        <f>+'Sumas y Saldos'!BP134+'Sumas y Saldos'!BP188+'Sumas y Saldos'!BP271</f>
        <v>0</v>
      </c>
      <c r="W54" s="96"/>
      <c r="X54" s="96"/>
      <c r="Y54" s="96"/>
      <c r="Z54" s="96"/>
      <c r="AA54" s="96"/>
      <c r="AB54" s="96"/>
      <c r="AC54" s="96"/>
      <c r="AD54" s="96">
        <v>8121.4</v>
      </c>
      <c r="AE54" s="96">
        <v>8007.139999999999</v>
      </c>
      <c r="AF54" s="96">
        <v>10263.28</v>
      </c>
      <c r="AG54" s="96">
        <v>8351.09</v>
      </c>
      <c r="AH54" s="96">
        <v>145855.42</v>
      </c>
      <c r="AI54" s="99">
        <f>SUM(W54:AH54)</f>
        <v>180598.33000000002</v>
      </c>
      <c r="AJ54" s="71"/>
      <c r="AK54" s="100"/>
    </row>
    <row r="55" ht="12.75" customHeight="1" spans="1:37" x14ac:dyDescent="0.25">
      <c r="A55" s="71"/>
      <c r="B55" s="71"/>
      <c r="C55" s="93" t="s">
        <v>694</v>
      </c>
      <c r="D55" s="94">
        <f>SUM(F55:V55)+E55</f>
        <v>0</v>
      </c>
      <c r="E55" s="94">
        <f>+'Sumas y Saldos'!D83+'Sumas y Saldos'!D110+'Sumas y Saldos'!D111</f>
        <v>0</v>
      </c>
      <c r="F55" s="96">
        <f>+'Sumas y Saldos'!E47+'Sumas y Saldos'!E200+'Sumas y Saldos'!E229+'Sumas y Saldos'!E323+'Sumas y Saldos'!E370</f>
        <v>0</v>
      </c>
      <c r="G55" s="96">
        <f>+'Sumas y Saldos'!H47+'Sumas y Saldos'!H200+'Sumas y Saldos'!H229+'Sumas y Saldos'!H323+'Sumas y Saldos'!H370</f>
        <v>0</v>
      </c>
      <c r="H55" s="96">
        <f>+'Sumas y Saldos'!K47+'Sumas y Saldos'!K200+'Sumas y Saldos'!K229+'Sumas y Saldos'!K323+'Sumas y Saldos'!K370</f>
        <v>0</v>
      </c>
      <c r="I55" s="96">
        <f>+'Sumas y Saldos'!Q47+'Sumas y Saldos'!Q200+'Sumas y Saldos'!Q229+'Sumas y Saldos'!Q323+'Sumas y Saldos'!Q370</f>
        <v>0</v>
      </c>
      <c r="J55" s="96">
        <f>+'Sumas y Saldos'!Z47+'Sumas y Saldos'!Z200+'Sumas y Saldos'!Z229+'Sumas y Saldos'!Z323+'Sumas y Saldos'!Z370</f>
        <v>0</v>
      </c>
      <c r="K55" s="96">
        <f>+'Sumas y Saldos'!AC47+'Sumas y Saldos'!AC200+'Sumas y Saldos'!AC229+'Sumas y Saldos'!AC323+'Sumas y Saldos'!AC370</f>
        <v>0</v>
      </c>
      <c r="L55" s="96">
        <f>+'Sumas y Saldos'!AF47+'Sumas y Saldos'!AF200+'Sumas y Saldos'!AF229+'Sumas y Saldos'!AF323+'Sumas y Saldos'!AF370</f>
        <v>0</v>
      </c>
      <c r="M55" s="96">
        <f>+'Sumas y Saldos'!W47+'Sumas y Saldos'!W200+'Sumas y Saldos'!W229+'Sumas y Saldos'!W323+'Sumas y Saldos'!W370</f>
        <v>0</v>
      </c>
      <c r="N55" s="96">
        <f>+'Sumas y Saldos'!T47+'Sumas y Saldos'!T200+'Sumas y Saldos'!T229+'Sumas y Saldos'!T323+'Sumas y Saldos'!T370</f>
        <v>0</v>
      </c>
      <c r="O55" s="96">
        <f>+'Sumas y Saldos'!AI47+'Sumas y Saldos'!AI200+'Sumas y Saldos'!AI229+'Sumas y Saldos'!AI323+'Sumas y Saldos'!AI370</f>
        <v>0</v>
      </c>
      <c r="P55" s="96">
        <f>+'Sumas y Saldos'!AO47+'Sumas y Saldos'!AO200+'Sumas y Saldos'!AO229+'Sumas y Saldos'!AO323+'Sumas y Saldos'!AO370</f>
        <v>0</v>
      </c>
      <c r="Q55" s="96">
        <f>+'Sumas y Saldos'!AL47+'Sumas y Saldos'!AL200+'Sumas y Saldos'!AL229+'Sumas y Saldos'!AL323+'Sumas y Saldos'!AL370</f>
        <v>0</v>
      </c>
      <c r="R55" s="96"/>
      <c r="S55" s="96"/>
      <c r="T55" s="96">
        <f>+'Sumas y Saldos'!BD266</f>
        <v>0</v>
      </c>
      <c r="U55" s="96"/>
      <c r="V55" s="96">
        <f>+'Sumas y Saldos'!BP215+'Sumas y Saldos'!BP200</f>
        <v>0</v>
      </c>
      <c r="W55" s="96"/>
      <c r="X55" s="96"/>
      <c r="Y55" s="96"/>
      <c r="Z55" s="96"/>
      <c r="AA55" s="96"/>
      <c r="AB55" s="96"/>
      <c r="AC55" s="96"/>
      <c r="AD55" s="96">
        <v>0</v>
      </c>
      <c r="AE55" s="96">
        <v>0</v>
      </c>
      <c r="AF55" s="96">
        <v>0</v>
      </c>
      <c r="AG55" s="96">
        <v>0</v>
      </c>
      <c r="AH55" s="96">
        <v>0</v>
      </c>
      <c r="AI55" s="99">
        <f>SUM(W55:AH55)</f>
        <v>0</v>
      </c>
      <c r="AJ55" s="71"/>
      <c r="AK55" s="100"/>
    </row>
    <row r="56" ht="12.75" customHeight="1" spans="1:37" x14ac:dyDescent="0.25">
      <c r="A56" s="71" t="s">
        <v>746</v>
      </c>
      <c r="B56" s="71">
        <v>9600000062</v>
      </c>
      <c r="C56" s="93" t="s">
        <v>747</v>
      </c>
      <c r="D56" s="94">
        <f>SUM(F56:V56)+E56</f>
        <v>0</v>
      </c>
      <c r="E56" s="94"/>
      <c r="F56" s="96">
        <f>+'Sumas y Saldos'!E82</f>
        <v>0</v>
      </c>
      <c r="G56" s="96">
        <f>+'Sumas y Saldos'!H82</f>
        <v>0</v>
      </c>
      <c r="H56" s="96">
        <f>+'Sumas y Saldos'!K82</f>
        <v>0</v>
      </c>
      <c r="I56" s="96">
        <f>+'Sumas y Saldos'!Q82</f>
        <v>0</v>
      </c>
      <c r="J56" s="96">
        <f>+'Sumas y Saldos'!Z82</f>
        <v>0</v>
      </c>
      <c r="K56" s="96">
        <f>+'Sumas y Saldos'!AC82</f>
        <v>0</v>
      </c>
      <c r="L56" s="96">
        <f>+'Sumas y Saldos'!AF82</f>
        <v>0</v>
      </c>
      <c r="M56" s="96">
        <f>+'Sumas y Saldos'!W82</f>
        <v>0</v>
      </c>
      <c r="N56" s="96">
        <f>+'Sumas y Saldos'!T82</f>
        <v>0</v>
      </c>
      <c r="O56" s="96">
        <f>+'Sumas y Saldos'!AI82</f>
        <v>0</v>
      </c>
      <c r="P56" s="96">
        <f>+'Sumas y Saldos'!AO82</f>
        <v>0</v>
      </c>
      <c r="Q56" s="96">
        <f>+'Sumas y Saldos'!AL82</f>
        <v>0</v>
      </c>
      <c r="R56" s="96"/>
      <c r="S56" s="96"/>
      <c r="T56" s="96">
        <f>+'Sumas y Saldos'!BD267</f>
        <v>0</v>
      </c>
      <c r="U56" s="96"/>
      <c r="V56" s="96"/>
      <c r="W56" s="96"/>
      <c r="X56" s="96"/>
      <c r="Y56" s="96"/>
      <c r="Z56" s="96"/>
      <c r="AA56" s="96"/>
      <c r="AB56" s="96"/>
      <c r="AC56" s="96"/>
      <c r="AD56" s="96">
        <v>0</v>
      </c>
      <c r="AE56" s="96">
        <v>0</v>
      </c>
      <c r="AF56" s="96">
        <v>0</v>
      </c>
      <c r="AG56" s="96">
        <v>0</v>
      </c>
      <c r="AH56" s="96">
        <v>0</v>
      </c>
      <c r="AI56" s="99">
        <f>SUM(W56:AH56)</f>
        <v>0</v>
      </c>
      <c r="AJ56" s="71"/>
      <c r="AK56" s="100"/>
    </row>
    <row r="57" ht="12.75" customHeight="1" spans="1:37" x14ac:dyDescent="0.25">
      <c r="A57" s="71" t="s">
        <v>748</v>
      </c>
      <c r="B57" s="71">
        <v>9600000062</v>
      </c>
      <c r="C57" s="93" t="s">
        <v>749</v>
      </c>
      <c r="D57" s="94">
        <f>SUM(F57:V57)+E57</f>
        <v>818.52</v>
      </c>
      <c r="E57" s="94">
        <f>+'Sumas y Saldos'!S260+'Sumas y Saldos'!S395</f>
        <v>0</v>
      </c>
      <c r="F57" s="96">
        <f>+'Sumas y Saldos'!E84+'Sumas y Saldos'!E261+'Sumas y Saldos'!E297+'Sumas y Saldos'!E360+'Sumas y Saldos'!E380+'Sumas y Saldos'!E383+'Sumas y Saldos'!E397+'Sumas y Saldos'!E398</f>
        <v>0</v>
      </c>
      <c r="G57" s="96">
        <f>+'Sumas y Saldos'!H84+'Sumas y Saldos'!H261+'Sumas y Saldos'!H297+'Sumas y Saldos'!H360+'Sumas y Saldos'!H380+'Sumas y Saldos'!H383+'Sumas y Saldos'!H397+'Sumas y Saldos'!H398</f>
        <v>818.52</v>
      </c>
      <c r="H57" s="96">
        <f>+'Sumas y Saldos'!K84+'Sumas y Saldos'!K261+'Sumas y Saldos'!K297+'Sumas y Saldos'!K360+'Sumas y Saldos'!K380+'Sumas y Saldos'!K383+'Sumas y Saldos'!K397+'Sumas y Saldos'!K398</f>
        <v>0</v>
      </c>
      <c r="I57" s="96">
        <f>+'Sumas y Saldos'!Q84+'Sumas y Saldos'!Q261+'Sumas y Saldos'!Q297+'Sumas y Saldos'!Q360+'Sumas y Saldos'!Q380+'Sumas y Saldos'!Q383+'Sumas y Saldos'!Q397+'Sumas y Saldos'!Q398</f>
        <v>0</v>
      </c>
      <c r="J57" s="96">
        <f>+'Sumas y Saldos'!Z84+'Sumas y Saldos'!Z261+'Sumas y Saldos'!Z297+'Sumas y Saldos'!Z360+'Sumas y Saldos'!Z380+'Sumas y Saldos'!Z383+'Sumas y Saldos'!Z397+'Sumas y Saldos'!Z398</f>
        <v>0</v>
      </c>
      <c r="K57" s="96">
        <f>+'Sumas y Saldos'!AC84+'Sumas y Saldos'!AC261+'Sumas y Saldos'!AC297+'Sumas y Saldos'!AC360+'Sumas y Saldos'!AC380+'Sumas y Saldos'!AC383+'Sumas y Saldos'!AC397+'Sumas y Saldos'!AC398</f>
        <v>0</v>
      </c>
      <c r="L57" s="96">
        <f>+'Sumas y Saldos'!AF84+'Sumas y Saldos'!AF261+'Sumas y Saldos'!AF297+'Sumas y Saldos'!AF360+'Sumas y Saldos'!AF380+'Sumas y Saldos'!AF383+'Sumas y Saldos'!AF397+'Sumas y Saldos'!AF398</f>
        <v>0</v>
      </c>
      <c r="M57" s="96">
        <f>+'Sumas y Saldos'!W84+'Sumas y Saldos'!W261+'Sumas y Saldos'!W297+'Sumas y Saldos'!W360+'Sumas y Saldos'!W380+'Sumas y Saldos'!W383+'Sumas y Saldos'!W397+'Sumas y Saldos'!W398</f>
        <v>0</v>
      </c>
      <c r="N57" s="96">
        <f>+'Sumas y Saldos'!T84+'Sumas y Saldos'!T261+'Sumas y Saldos'!T297+'Sumas y Saldos'!T360+'Sumas y Saldos'!T380+'Sumas y Saldos'!T383+'Sumas y Saldos'!T397+'Sumas y Saldos'!T398</f>
        <v>0</v>
      </c>
      <c r="O57" s="96">
        <f>+'Sumas y Saldos'!AI84+'Sumas y Saldos'!AI261+'Sumas y Saldos'!AI297+'Sumas y Saldos'!AI360+'Sumas y Saldos'!AI380+'Sumas y Saldos'!AI383+'Sumas y Saldos'!AI397+'Sumas y Saldos'!AI398</f>
        <v>0</v>
      </c>
      <c r="P57" s="96">
        <f>+'Sumas y Saldos'!AO84+'Sumas y Saldos'!AO261+'Sumas y Saldos'!AO297+'Sumas y Saldos'!AO360+'Sumas y Saldos'!AO380+'Sumas y Saldos'!AO383+'Sumas y Saldos'!AO397+'Sumas y Saldos'!AO398</f>
        <v>0</v>
      </c>
      <c r="Q57" s="96">
        <f>+'Sumas y Saldos'!AL84+'Sumas y Saldos'!AL261+'Sumas y Saldos'!AL297+'Sumas y Saldos'!AL360+'Sumas y Saldos'!AL380+'Sumas y Saldos'!AL383+'Sumas y Saldos'!AL397+'Sumas y Saldos'!AL398</f>
        <v>0</v>
      </c>
      <c r="R57" s="96"/>
      <c r="S57" s="96"/>
      <c r="T57" s="96">
        <f>+'Sumas y Saldos'!BD268</f>
        <v>0</v>
      </c>
      <c r="U57" s="96">
        <f>+'Sumas y Saldos'!BK294+'Sumas y Saldos'!BM357</f>
        <v>0</v>
      </c>
      <c r="V57" s="96">
        <f>+'Sumas y Saldos'!BP357+'Sumas y Saldos'!BP295</f>
        <v>0</v>
      </c>
      <c r="W57" s="96"/>
      <c r="X57" s="96"/>
      <c r="Y57" s="96"/>
      <c r="Z57" s="96"/>
      <c r="AA57" s="96"/>
      <c r="AB57" s="96"/>
      <c r="AC57" s="96"/>
      <c r="AD57" s="96">
        <v>818.52</v>
      </c>
      <c r="AE57" s="96">
        <v>0</v>
      </c>
      <c r="AF57" s="96">
        <v>0</v>
      </c>
      <c r="AG57" s="96">
        <v>0</v>
      </c>
      <c r="AH57" s="96">
        <v>0</v>
      </c>
      <c r="AI57" s="99">
        <f>SUM(W57:AH57)</f>
        <v>818.52</v>
      </c>
      <c r="AJ57" s="71"/>
      <c r="AK57" s="100"/>
    </row>
    <row r="58" ht="12.75" customHeight="1" spans="1:37" x14ac:dyDescent="0.25">
      <c r="A58" s="71" t="s">
        <v>750</v>
      </c>
      <c r="B58" s="71">
        <v>9600000062</v>
      </c>
      <c r="C58" s="93" t="s">
        <v>751</v>
      </c>
      <c r="D58" s="94">
        <f>SUM(F58:V58)+E58</f>
        <v>0</v>
      </c>
      <c r="E58" s="94">
        <f>+'Sumas y Saldos'!G23</f>
        <v>0</v>
      </c>
      <c r="F58" s="96">
        <f>+'Sumas y Saldos'!E24</f>
        <v>0</v>
      </c>
      <c r="G58" s="96">
        <f>+'Sumas y Saldos'!H24</f>
        <v>0</v>
      </c>
      <c r="H58" s="96">
        <f>+'Sumas y Saldos'!K24</f>
        <v>0</v>
      </c>
      <c r="I58" s="96">
        <f>+'Sumas y Saldos'!Q24</f>
        <v>0</v>
      </c>
      <c r="J58" s="96">
        <f>+'Sumas y Saldos'!Z24</f>
        <v>0</v>
      </c>
      <c r="K58" s="96">
        <f>+'Sumas y Saldos'!AC24</f>
        <v>0</v>
      </c>
      <c r="L58" s="96">
        <f>+'Sumas y Saldos'!AF24</f>
        <v>0</v>
      </c>
      <c r="M58" s="96">
        <f>+'Sumas y Saldos'!W24</f>
        <v>0</v>
      </c>
      <c r="N58" s="96">
        <f>+'Sumas y Saldos'!T24</f>
        <v>0</v>
      </c>
      <c r="O58" s="96">
        <f>+'Sumas y Saldos'!AI24</f>
        <v>0</v>
      </c>
      <c r="P58" s="96">
        <f>+'Sumas y Saldos'!AO24</f>
        <v>0</v>
      </c>
      <c r="Q58" s="96">
        <f>+'Sumas y Saldos'!AL24</f>
        <v>0</v>
      </c>
      <c r="R58" s="96"/>
      <c r="S58" s="96"/>
      <c r="T58" s="96">
        <f>+'Sumas y Saldos'!BD269</f>
        <v>0</v>
      </c>
      <c r="U58" s="96"/>
      <c r="V58" s="96"/>
      <c r="W58" s="96"/>
      <c r="X58" s="96"/>
      <c r="Y58" s="96"/>
      <c r="Z58" s="96"/>
      <c r="AA58" s="96"/>
      <c r="AB58" s="96"/>
      <c r="AC58" s="96"/>
      <c r="AD58" s="96">
        <v>0</v>
      </c>
      <c r="AE58" s="96">
        <v>0</v>
      </c>
      <c r="AF58" s="96">
        <v>0</v>
      </c>
      <c r="AG58" s="96">
        <v>0</v>
      </c>
      <c r="AH58" s="96">
        <v>0</v>
      </c>
      <c r="AI58" s="99">
        <f>SUM(W58:AH58)</f>
        <v>0</v>
      </c>
      <c r="AJ58" s="71"/>
      <c r="AK58" s="100"/>
    </row>
    <row r="59" ht="12.75" customHeight="1" spans="1:37" x14ac:dyDescent="0.25">
      <c r="A59" s="71" t="s">
        <v>752</v>
      </c>
      <c r="B59" s="71">
        <v>9600000062</v>
      </c>
      <c r="C59" s="93" t="s">
        <v>753</v>
      </c>
      <c r="D59" s="94">
        <f>SUM(F59:V59)+E59</f>
        <v>0</v>
      </c>
      <c r="E59" s="94">
        <f>-'Sumas y Saldos'!AF79</f>
        <v>0</v>
      </c>
      <c r="F59" s="96">
        <f>+'Sumas y Saldos'!E80+'Sumas y Saldos'!E232+'Sumas y Saldos'!E241+'Sumas y Saldos'!E286+'Sumas y Saldos'!E296</f>
        <v>0</v>
      </c>
      <c r="G59" s="96">
        <f>+'Sumas y Saldos'!H80+'Sumas y Saldos'!H232+'Sumas y Saldos'!H241+'Sumas y Saldos'!H286+'Sumas y Saldos'!H296</f>
        <v>0</v>
      </c>
      <c r="H59" s="96">
        <f>+'Sumas y Saldos'!K80+'Sumas y Saldos'!K232+'Sumas y Saldos'!K241+'Sumas y Saldos'!K286+'Sumas y Saldos'!K296</f>
        <v>0</v>
      </c>
      <c r="I59" s="96">
        <f>+'Sumas y Saldos'!Q80+'Sumas y Saldos'!Q232+'Sumas y Saldos'!Q241+'Sumas y Saldos'!Q286+'Sumas y Saldos'!Q296</f>
        <v>0</v>
      </c>
      <c r="J59" s="96">
        <f>+'Sumas y Saldos'!Z80+'Sumas y Saldos'!Z232+'Sumas y Saldos'!Z241+'Sumas y Saldos'!Z286+'Sumas y Saldos'!Z296</f>
        <v>0</v>
      </c>
      <c r="K59" s="96">
        <f>+'Sumas y Saldos'!AC80+'Sumas y Saldos'!AC232+'Sumas y Saldos'!AC241+'Sumas y Saldos'!AC286+'Sumas y Saldos'!AC296</f>
        <v>0</v>
      </c>
      <c r="L59" s="96">
        <f>+'Sumas y Saldos'!AF80+'Sumas y Saldos'!AF232+'Sumas y Saldos'!AF241+'Sumas y Saldos'!AF286+'Sumas y Saldos'!AF296</f>
        <v>0</v>
      </c>
      <c r="M59" s="96">
        <f>+'Sumas y Saldos'!W80+'Sumas y Saldos'!W232+'Sumas y Saldos'!W241+'Sumas y Saldos'!W286+'Sumas y Saldos'!W296</f>
        <v>0</v>
      </c>
      <c r="N59" s="96">
        <f>+'Sumas y Saldos'!T80+'Sumas y Saldos'!T232+'Sumas y Saldos'!T241+'Sumas y Saldos'!T286+'Sumas y Saldos'!T296</f>
        <v>0</v>
      </c>
      <c r="O59" s="96">
        <f>+'Sumas y Saldos'!AI80+'Sumas y Saldos'!AI232+'Sumas y Saldos'!AI241+'Sumas y Saldos'!AI286+'Sumas y Saldos'!AI296</f>
        <v>0</v>
      </c>
      <c r="P59" s="96">
        <f>+'Sumas y Saldos'!AO80+'Sumas y Saldos'!AO232+'Sumas y Saldos'!AO241+'Sumas y Saldos'!AO286+'Sumas y Saldos'!AO296</f>
        <v>0</v>
      </c>
      <c r="Q59" s="96">
        <f>+'Sumas y Saldos'!AL80+'Sumas y Saldos'!AL232+'Sumas y Saldos'!AL241+'Sumas y Saldos'!AL286+'Sumas y Saldos'!AL296</f>
        <v>0</v>
      </c>
      <c r="R59" s="96"/>
      <c r="S59" s="96"/>
      <c r="T59" s="96">
        <f>+'Sumas y Saldos'!BD270</f>
        <v>0</v>
      </c>
      <c r="U59" s="96">
        <f>+'Sumas y Saldos'!BM240+'Sumas y Saldos'!BM284</f>
        <v>0</v>
      </c>
      <c r="V59" s="96">
        <f>+'Sumas y Saldos'!BP70+'Sumas y Saldos'!BN284</f>
        <v>0</v>
      </c>
      <c r="W59" s="96"/>
      <c r="X59" s="96"/>
      <c r="Y59" s="96"/>
      <c r="Z59" s="96"/>
      <c r="AA59" s="96"/>
      <c r="AB59" s="96"/>
      <c r="AC59" s="96"/>
      <c r="AD59" s="96">
        <v>0</v>
      </c>
      <c r="AE59" s="96">
        <v>0</v>
      </c>
      <c r="AF59" s="96">
        <v>0</v>
      </c>
      <c r="AG59" s="96">
        <v>0</v>
      </c>
      <c r="AH59" s="96">
        <v>0</v>
      </c>
      <c r="AI59" s="99">
        <f>SUM(W59:AH59)</f>
        <v>0</v>
      </c>
      <c r="AJ59" s="71"/>
      <c r="AK59" s="100"/>
    </row>
    <row r="60" ht="12.75" customHeight="1" spans="1:37" x14ac:dyDescent="0.25">
      <c r="A60" s="71" t="s">
        <v>754</v>
      </c>
      <c r="B60" s="71">
        <v>9600000062</v>
      </c>
      <c r="C60" s="93" t="s">
        <v>755</v>
      </c>
      <c r="D60" s="94">
        <f>SUM(F60:V60)+E60</f>
        <v>0</v>
      </c>
      <c r="E60" s="94"/>
      <c r="F60" s="96">
        <v>0</v>
      </c>
      <c r="G60" s="96">
        <v>0</v>
      </c>
      <c r="H60" s="96">
        <v>0</v>
      </c>
      <c r="I60" s="96">
        <v>0</v>
      </c>
      <c r="J60" s="96">
        <v>0</v>
      </c>
      <c r="K60" s="96">
        <v>0</v>
      </c>
      <c r="L60" s="96">
        <v>0</v>
      </c>
      <c r="M60" s="96">
        <v>0</v>
      </c>
      <c r="N60" s="96">
        <v>0</v>
      </c>
      <c r="O60" s="96">
        <v>0</v>
      </c>
      <c r="P60" s="96">
        <v>0</v>
      </c>
      <c r="Q60" s="96">
        <v>0</v>
      </c>
      <c r="R60" s="96"/>
      <c r="S60" s="96"/>
      <c r="T60" s="96">
        <f>+'Sumas y Saldos'!BD271</f>
        <v>0</v>
      </c>
      <c r="U60" s="96"/>
      <c r="V60" s="96"/>
      <c r="W60" s="96"/>
      <c r="X60" s="96"/>
      <c r="Y60" s="96"/>
      <c r="Z60" s="96"/>
      <c r="AA60" s="96"/>
      <c r="AB60" s="96"/>
      <c r="AC60" s="96"/>
      <c r="AD60" s="96">
        <v>0</v>
      </c>
      <c r="AE60" s="96">
        <v>0</v>
      </c>
      <c r="AF60" s="96">
        <v>0</v>
      </c>
      <c r="AG60" s="96">
        <v>0</v>
      </c>
      <c r="AH60" s="96">
        <v>0</v>
      </c>
      <c r="AI60" s="99">
        <f>SUM(W60:AH60)</f>
        <v>0</v>
      </c>
      <c r="AJ60" s="71"/>
      <c r="AK60" s="100"/>
    </row>
    <row r="61" ht="12.75" customHeight="1" spans="1:37" x14ac:dyDescent="0.25">
      <c r="A61" s="71" t="s">
        <v>756</v>
      </c>
      <c r="B61" s="71">
        <v>9600000062</v>
      </c>
      <c r="C61" s="93" t="s">
        <v>757</v>
      </c>
      <c r="D61" s="94">
        <f>SUM(F61:V61)+E61</f>
        <v>0</v>
      </c>
      <c r="E61" s="94"/>
      <c r="F61" s="96">
        <v>0</v>
      </c>
      <c r="G61" s="96">
        <v>0</v>
      </c>
      <c r="H61" s="96">
        <v>0</v>
      </c>
      <c r="I61" s="96">
        <v>0</v>
      </c>
      <c r="J61" s="96">
        <v>0</v>
      </c>
      <c r="K61" s="96">
        <v>0</v>
      </c>
      <c r="L61" s="96">
        <v>0</v>
      </c>
      <c r="M61" s="96">
        <v>0</v>
      </c>
      <c r="N61" s="96">
        <v>0</v>
      </c>
      <c r="O61" s="96">
        <v>0</v>
      </c>
      <c r="P61" s="96">
        <v>0</v>
      </c>
      <c r="Q61" s="96">
        <v>0</v>
      </c>
      <c r="R61" s="96"/>
      <c r="S61" s="96"/>
      <c r="T61" s="96">
        <f>+'Sumas y Saldos'!BD272</f>
        <v>0</v>
      </c>
      <c r="U61" s="96"/>
      <c r="V61" s="96"/>
      <c r="W61" s="96"/>
      <c r="X61" s="96"/>
      <c r="Y61" s="96"/>
      <c r="Z61" s="96"/>
      <c r="AA61" s="96"/>
      <c r="AB61" s="96"/>
      <c r="AC61" s="96"/>
      <c r="AD61" s="96">
        <v>0</v>
      </c>
      <c r="AE61" s="96">
        <v>0</v>
      </c>
      <c r="AF61" s="96">
        <v>0</v>
      </c>
      <c r="AG61" s="96">
        <v>0</v>
      </c>
      <c r="AH61" s="96">
        <v>0</v>
      </c>
      <c r="AI61" s="99">
        <f>SUM(W61:AH61)</f>
        <v>0</v>
      </c>
      <c r="AJ61" s="71"/>
      <c r="AK61" s="100"/>
    </row>
    <row r="62" ht="12.75" customHeight="1" spans="1:37" x14ac:dyDescent="0.25">
      <c r="A62" s="71"/>
      <c r="B62" s="71"/>
      <c r="C62" s="93" t="s">
        <v>337</v>
      </c>
      <c r="D62" s="94">
        <f>SUM(F62:V62)+E62</f>
        <v>0</v>
      </c>
      <c r="E62" s="94"/>
      <c r="F62" s="96">
        <v>0</v>
      </c>
      <c r="G62" s="96">
        <v>0</v>
      </c>
      <c r="H62" s="96">
        <v>0</v>
      </c>
      <c r="I62" s="96">
        <v>0</v>
      </c>
      <c r="J62" s="96">
        <v>0</v>
      </c>
      <c r="K62" s="96">
        <v>0</v>
      </c>
      <c r="L62" s="96">
        <v>0</v>
      </c>
      <c r="M62" s="96">
        <v>0</v>
      </c>
      <c r="N62" s="96">
        <v>0</v>
      </c>
      <c r="O62" s="96">
        <v>0</v>
      </c>
      <c r="P62" s="96">
        <v>0</v>
      </c>
      <c r="Q62" s="96">
        <v>0</v>
      </c>
      <c r="R62" s="96"/>
      <c r="S62" s="96"/>
      <c r="T62" s="96">
        <f>+'Sumas y Saldos'!BD273</f>
        <v>0</v>
      </c>
      <c r="U62" s="96">
        <f>+'Sumas y Saldos'!BM204</f>
        <v>0</v>
      </c>
      <c r="V62" s="96">
        <f>+'Sumas y Saldos'!BP167+'Sumas y Saldos'!BP204</f>
        <v>0</v>
      </c>
      <c r="W62" s="96"/>
      <c r="X62" s="96"/>
      <c r="Y62" s="96"/>
      <c r="Z62" s="96"/>
      <c r="AA62" s="96"/>
      <c r="AB62" s="96"/>
      <c r="AC62" s="96"/>
      <c r="AD62" s="96">
        <v>0</v>
      </c>
      <c r="AE62" s="96">
        <v>0</v>
      </c>
      <c r="AF62" s="96">
        <v>175.46</v>
      </c>
      <c r="AG62" s="96">
        <v>1505.98</v>
      </c>
      <c r="AH62" s="96">
        <v>787.32</v>
      </c>
      <c r="AI62" s="99">
        <f>SUM(W62:AH62)</f>
        <v>2468.76</v>
      </c>
      <c r="AJ62" s="71"/>
      <c r="AK62" s="100"/>
    </row>
    <row r="63" ht="12.75" customHeight="1" spans="1:37" x14ac:dyDescent="0.25">
      <c r="A63" s="71" t="s">
        <v>758</v>
      </c>
      <c r="B63" s="71">
        <v>9600000062</v>
      </c>
      <c r="C63" s="93" t="s">
        <v>759</v>
      </c>
      <c r="D63" s="94">
        <f>SUM(F63:V63)+E63</f>
        <v>0</v>
      </c>
      <c r="E63" s="94"/>
      <c r="F63" s="96">
        <v>0</v>
      </c>
      <c r="G63" s="96">
        <v>0</v>
      </c>
      <c r="H63" s="96">
        <v>0</v>
      </c>
      <c r="I63" s="96">
        <v>0</v>
      </c>
      <c r="J63" s="96">
        <v>0</v>
      </c>
      <c r="K63" s="96">
        <v>0</v>
      </c>
      <c r="L63" s="96">
        <v>0</v>
      </c>
      <c r="M63" s="96">
        <v>0</v>
      </c>
      <c r="N63" s="96">
        <v>0</v>
      </c>
      <c r="O63" s="96">
        <v>0</v>
      </c>
      <c r="P63" s="96">
        <v>0</v>
      </c>
      <c r="Q63" s="96">
        <v>0</v>
      </c>
      <c r="R63" s="96"/>
      <c r="S63" s="96"/>
      <c r="T63" s="96">
        <f>+'Sumas y Saldos'!BD274</f>
        <v>0</v>
      </c>
      <c r="U63" s="96"/>
      <c r="V63" s="96"/>
      <c r="W63" s="96"/>
      <c r="X63" s="96"/>
      <c r="Y63" s="96"/>
      <c r="Z63" s="96"/>
      <c r="AA63" s="96"/>
      <c r="AB63" s="96"/>
      <c r="AC63" s="96"/>
      <c r="AD63" s="96">
        <v>0</v>
      </c>
      <c r="AE63" s="96">
        <v>0</v>
      </c>
      <c r="AF63" s="96">
        <v>0</v>
      </c>
      <c r="AG63" s="96">
        <v>0</v>
      </c>
      <c r="AH63" s="96">
        <v>0</v>
      </c>
      <c r="AI63" s="99">
        <f>SUM(W63:AH63)</f>
        <v>0</v>
      </c>
      <c r="AJ63" s="71"/>
      <c r="AK63" s="100"/>
    </row>
    <row r="64" ht="12.75" customHeight="1" spans="1:37" x14ac:dyDescent="0.25">
      <c r="A64" s="71" t="s">
        <v>760</v>
      </c>
      <c r="B64" s="71">
        <v>9600000062</v>
      </c>
      <c r="C64" s="93" t="s">
        <v>323</v>
      </c>
      <c r="D64" s="94">
        <f>SUM(F64:V64)+E64</f>
        <v>0</v>
      </c>
      <c r="E64" s="94">
        <f>+'Sumas y Saldos'!D92+'Sumas y Saldos'!D119+'Sumas y Saldos'!D120+'Sumas y Saldos'!P119+'Sumas y Saldos'!S119+'Sumas y Saldos'!Y119+'Sumas y Saldos'!AN230</f>
        <v>0</v>
      </c>
      <c r="F64" s="96">
        <f>+'Sumas y Saldos'!E92+'Sumas y Saldos'!E216+'Sumas y Saldos'!E277+'Sumas y Saldos'!E373</f>
        <v>0</v>
      </c>
      <c r="G64" s="96">
        <f>+'Sumas y Saldos'!H92+'Sumas y Saldos'!H216+'Sumas y Saldos'!H277+'Sumas y Saldos'!H373</f>
        <v>0</v>
      </c>
      <c r="H64" s="96">
        <f>+'Sumas y Saldos'!K92+'Sumas y Saldos'!K216+'Sumas y Saldos'!K277+'Sumas y Saldos'!K373</f>
        <v>0</v>
      </c>
      <c r="I64" s="96">
        <f>+'Sumas y Saldos'!Q92+'Sumas y Saldos'!Q216+'Sumas y Saldos'!Q277+'Sumas y Saldos'!Q373</f>
        <v>0</v>
      </c>
      <c r="J64" s="96">
        <f>+'Sumas y Saldos'!Z92+'Sumas y Saldos'!Z216+'Sumas y Saldos'!Z277+'Sumas y Saldos'!Z373</f>
        <v>0</v>
      </c>
      <c r="K64" s="96">
        <f>+'Sumas y Saldos'!AC92+'Sumas y Saldos'!AC216+'Sumas y Saldos'!AC277+'Sumas y Saldos'!AC373</f>
        <v>0</v>
      </c>
      <c r="L64" s="96">
        <f>+'Sumas y Saldos'!AF92+'Sumas y Saldos'!AF216+'Sumas y Saldos'!AF277+'Sumas y Saldos'!AF373</f>
        <v>0</v>
      </c>
      <c r="M64" s="96">
        <f>+'Sumas y Saldos'!W92+'Sumas y Saldos'!W216+'Sumas y Saldos'!W277+'Sumas y Saldos'!W373</f>
        <v>0</v>
      </c>
      <c r="N64" s="96">
        <f>+'Sumas y Saldos'!T92+'Sumas y Saldos'!T216+'Sumas y Saldos'!T277+'Sumas y Saldos'!T373</f>
        <v>0</v>
      </c>
      <c r="O64" s="96">
        <f>+'Sumas y Saldos'!AI92+'Sumas y Saldos'!AI216+'Sumas y Saldos'!AI277+'Sumas y Saldos'!AI373</f>
        <v>0</v>
      </c>
      <c r="P64" s="96">
        <f>+'Sumas y Saldos'!AO92+'Sumas y Saldos'!AO216+'Sumas y Saldos'!AO277+'Sumas y Saldos'!AO373</f>
        <v>0</v>
      </c>
      <c r="Q64" s="96">
        <f>+'Sumas y Saldos'!AL92+'Sumas y Saldos'!AL216+'Sumas y Saldos'!AL277+'Sumas y Saldos'!AL373</f>
        <v>0</v>
      </c>
      <c r="R64" s="96">
        <f>+'Sumas y Saldos'!BE275</f>
        <v>0</v>
      </c>
      <c r="S64" s="96"/>
      <c r="T64" s="96">
        <f>+'Sumas y Saldos'!BD275</f>
        <v>0</v>
      </c>
      <c r="U64" s="96">
        <f>+'Sumas y Saldos'!BM216+'Sumas y Saldos'!BM275</f>
        <v>0</v>
      </c>
      <c r="V64" s="96"/>
      <c r="W64" s="96"/>
      <c r="X64" s="96"/>
      <c r="Y64" s="96"/>
      <c r="Z64" s="96"/>
      <c r="AA64" s="96"/>
      <c r="AB64" s="96"/>
      <c r="AC64" s="96"/>
      <c r="AD64" s="96">
        <v>0</v>
      </c>
      <c r="AE64" s="96">
        <v>0</v>
      </c>
      <c r="AF64" s="96">
        <v>0</v>
      </c>
      <c r="AG64" s="96">
        <v>0</v>
      </c>
      <c r="AH64" s="96">
        <v>0</v>
      </c>
      <c r="AI64" s="99">
        <f>SUM(W64:AH64)</f>
        <v>0</v>
      </c>
      <c r="AJ64" s="71"/>
      <c r="AK64" s="100"/>
    </row>
    <row r="65" ht="12.75" customHeight="1" spans="1:37" x14ac:dyDescent="0.25">
      <c r="A65" s="71"/>
      <c r="B65" s="71"/>
      <c r="C65" s="93" t="s">
        <v>297</v>
      </c>
      <c r="D65" s="94">
        <f>SUM(F65:V65)+E65</f>
        <v>0</v>
      </c>
      <c r="E65" s="94"/>
      <c r="F65" s="96">
        <f>+'Sumas y Saldos'!E66+'Sumas y Saldos'!E194+'Sumas y Saldos'!E230+'Sumas y Saldos'!E390</f>
        <v>0</v>
      </c>
      <c r="G65" s="96">
        <f>+'Sumas y Saldos'!H66+'Sumas y Saldos'!H194+'Sumas y Saldos'!H230+'Sumas y Saldos'!H390</f>
        <v>0</v>
      </c>
      <c r="H65" s="96">
        <f>+'Sumas y Saldos'!K66+'Sumas y Saldos'!K194+'Sumas y Saldos'!K230+'Sumas y Saldos'!K390</f>
        <v>0</v>
      </c>
      <c r="I65" s="96">
        <f>+'Sumas y Saldos'!Q66+'Sumas y Saldos'!Q194+'Sumas y Saldos'!Q230+'Sumas y Saldos'!Q390</f>
        <v>0</v>
      </c>
      <c r="J65" s="96">
        <f>+'Sumas y Saldos'!Z66+'Sumas y Saldos'!Z194+'Sumas y Saldos'!Z230+'Sumas y Saldos'!Z390</f>
        <v>0</v>
      </c>
      <c r="K65" s="96">
        <f>+'Sumas y Saldos'!AC66+'Sumas y Saldos'!AC194+'Sumas y Saldos'!AC230+'Sumas y Saldos'!AC390</f>
        <v>0</v>
      </c>
      <c r="L65" s="96">
        <f>+'Sumas y Saldos'!AF66+'Sumas y Saldos'!AF194+'Sumas y Saldos'!AF230+'Sumas y Saldos'!AF390</f>
        <v>0</v>
      </c>
      <c r="M65" s="96">
        <f>+'Sumas y Saldos'!W66+'Sumas y Saldos'!W194+'Sumas y Saldos'!W230+'Sumas y Saldos'!W390</f>
        <v>0</v>
      </c>
      <c r="N65" s="96">
        <f>+'Sumas y Saldos'!T66+'Sumas y Saldos'!T194+'Sumas y Saldos'!T230+'Sumas y Saldos'!T390</f>
        <v>0</v>
      </c>
      <c r="O65" s="96">
        <f>+'Sumas y Saldos'!AI66+'Sumas y Saldos'!AI194+'Sumas y Saldos'!AI230+'Sumas y Saldos'!AI390</f>
        <v>0</v>
      </c>
      <c r="P65" s="96">
        <f>+'Sumas y Saldos'!AO66+'Sumas y Saldos'!AO194+'Sumas y Saldos'!AO230+'Sumas y Saldos'!AO390</f>
        <v>0</v>
      </c>
      <c r="Q65" s="96">
        <f>+'Sumas y Saldos'!AL66+'Sumas y Saldos'!AL194+'Sumas y Saldos'!AL230+'Sumas y Saldos'!AL390</f>
        <v>0</v>
      </c>
      <c r="R65" s="96"/>
      <c r="S65" s="96"/>
      <c r="T65" s="96">
        <f>+'Sumas y Saldos'!BD276</f>
        <v>0</v>
      </c>
      <c r="U65" s="96"/>
      <c r="V65" s="96">
        <f>+'Sumas y Saldos'!BP194</f>
        <v>0</v>
      </c>
      <c r="W65" s="96"/>
      <c r="X65" s="96"/>
      <c r="Y65" s="96"/>
      <c r="Z65" s="96"/>
      <c r="AA65" s="96"/>
      <c r="AB65" s="96"/>
      <c r="AC65" s="96"/>
      <c r="AD65" s="96">
        <v>0</v>
      </c>
      <c r="AE65" s="96">
        <v>0</v>
      </c>
      <c r="AF65" s="96">
        <v>0</v>
      </c>
      <c r="AG65" s="96">
        <v>34732.29</v>
      </c>
      <c r="AH65" s="96">
        <v>0</v>
      </c>
      <c r="AI65" s="99">
        <f>SUM(W65:AH65)</f>
        <v>34732.29</v>
      </c>
      <c r="AJ65" s="71"/>
      <c r="AK65" s="100"/>
    </row>
    <row r="66" ht="12.75" customHeight="1" spans="1:37" x14ac:dyDescent="0.25">
      <c r="A66" s="71"/>
      <c r="B66" s="71"/>
      <c r="C66" s="93" t="s">
        <v>761</v>
      </c>
      <c r="D66" s="94">
        <f>SUM(F66:V66)+E66</f>
        <v>0</v>
      </c>
      <c r="E66" s="94"/>
      <c r="F66" s="96">
        <f>+'Sumas y Saldos'!E57+'Sumas y Saldos'!E86</f>
        <v>0</v>
      </c>
      <c r="G66" s="96">
        <f>+'Sumas y Saldos'!H57+'Sumas y Saldos'!H86</f>
        <v>0</v>
      </c>
      <c r="H66" s="96">
        <f>+'Sumas y Saldos'!K57+'Sumas y Saldos'!K86</f>
        <v>0</v>
      </c>
      <c r="I66" s="96">
        <f>+'Sumas y Saldos'!Q57+'Sumas y Saldos'!Q86</f>
        <v>0</v>
      </c>
      <c r="J66" s="96">
        <f>+'Sumas y Saldos'!Z57+'Sumas y Saldos'!Z86</f>
        <v>0</v>
      </c>
      <c r="K66" s="96">
        <f>+'Sumas y Saldos'!AC57+'Sumas y Saldos'!AC86</f>
        <v>0</v>
      </c>
      <c r="L66" s="96">
        <f>+'Sumas y Saldos'!AF57+'Sumas y Saldos'!AF86</f>
        <v>0</v>
      </c>
      <c r="M66" s="96">
        <f>+'Sumas y Saldos'!W57+'Sumas y Saldos'!W86</f>
        <v>0</v>
      </c>
      <c r="N66" s="96">
        <f>+'Sumas y Saldos'!T57+'Sumas y Saldos'!T86</f>
        <v>0</v>
      </c>
      <c r="O66" s="96">
        <f>+'Sumas y Saldos'!AI57+'Sumas y Saldos'!AI86</f>
        <v>0</v>
      </c>
      <c r="P66" s="96">
        <f>+'Sumas y Saldos'!AO57+'Sumas y Saldos'!AO86</f>
        <v>0</v>
      </c>
      <c r="Q66" s="96">
        <f>+'Sumas y Saldos'!AL57+'Sumas y Saldos'!AL86</f>
        <v>0</v>
      </c>
      <c r="R66" s="96"/>
      <c r="S66" s="96"/>
      <c r="T66" s="96">
        <f>+'Sumas y Saldos'!BD277</f>
        <v>0</v>
      </c>
      <c r="U66" s="96"/>
      <c r="V66" s="96"/>
      <c r="W66" s="96"/>
      <c r="X66" s="96"/>
      <c r="Y66" s="96"/>
      <c r="Z66" s="96"/>
      <c r="AA66" s="96"/>
      <c r="AB66" s="96"/>
      <c r="AC66" s="96"/>
      <c r="AD66" s="96">
        <v>0</v>
      </c>
      <c r="AE66" s="96">
        <v>0</v>
      </c>
      <c r="AF66" s="96">
        <v>0</v>
      </c>
      <c r="AG66" s="96">
        <v>0</v>
      </c>
      <c r="AH66" s="96">
        <v>0</v>
      </c>
      <c r="AI66" s="99">
        <f>SUM(W66:AH66)</f>
        <v>0</v>
      </c>
      <c r="AJ66" s="71"/>
      <c r="AK66" s="100"/>
    </row>
    <row r="67" ht="12.75" customHeight="1" spans="1:37" x14ac:dyDescent="0.25">
      <c r="A67" s="71"/>
      <c r="B67" s="71"/>
      <c r="C67" s="93" t="s">
        <v>762</v>
      </c>
      <c r="D67" s="94">
        <f>SUM(F67:V67)+E67</f>
        <v>0</v>
      </c>
      <c r="E67" s="94">
        <f>+'Sumas y Saldos'!AB24</f>
        <v>0</v>
      </c>
      <c r="F67" s="96">
        <f>+'Sumas y Saldos'!E25+'Sumas y Saldos'!E251</f>
        <v>0</v>
      </c>
      <c r="G67" s="96">
        <f>+'Sumas y Saldos'!H25+'Sumas y Saldos'!H251</f>
        <v>0</v>
      </c>
      <c r="H67" s="96">
        <f>+'Sumas y Saldos'!K25+'Sumas y Saldos'!K251</f>
        <v>0</v>
      </c>
      <c r="I67" s="96">
        <f>+'Sumas y Saldos'!Q25+'Sumas y Saldos'!Q251</f>
        <v>0</v>
      </c>
      <c r="J67" s="96">
        <f>+'Sumas y Saldos'!Z25+'Sumas y Saldos'!Z251</f>
        <v>0</v>
      </c>
      <c r="K67" s="96">
        <f>+'Sumas y Saldos'!AC25+'Sumas y Saldos'!AC251</f>
        <v>0</v>
      </c>
      <c r="L67" s="96">
        <f>+'Sumas y Saldos'!AF25+'Sumas y Saldos'!AF251</f>
        <v>0</v>
      </c>
      <c r="M67" s="96">
        <f>+'Sumas y Saldos'!W25+'Sumas y Saldos'!W251</f>
        <v>0</v>
      </c>
      <c r="N67" s="96">
        <f>+'Sumas y Saldos'!T25+'Sumas y Saldos'!T251</f>
        <v>0</v>
      </c>
      <c r="O67" s="96">
        <f>+'Sumas y Saldos'!AI25+'Sumas y Saldos'!AI251</f>
        <v>0</v>
      </c>
      <c r="P67" s="96">
        <f>+'Sumas y Saldos'!AO25+'Sumas y Saldos'!AO251</f>
        <v>0</v>
      </c>
      <c r="Q67" s="96">
        <f>+'Sumas y Saldos'!AL25+'Sumas y Saldos'!AL251</f>
        <v>0</v>
      </c>
      <c r="R67" s="96"/>
      <c r="S67" s="96"/>
      <c r="T67" s="96">
        <f>+'Sumas y Saldos'!BD278</f>
        <v>0</v>
      </c>
      <c r="U67" s="96"/>
      <c r="V67" s="96"/>
      <c r="W67" s="96"/>
      <c r="X67" s="96"/>
      <c r="Y67" s="96"/>
      <c r="Z67" s="96"/>
      <c r="AA67" s="96"/>
      <c r="AB67" s="96"/>
      <c r="AC67" s="96"/>
      <c r="AD67" s="96">
        <v>0</v>
      </c>
      <c r="AE67" s="96">
        <v>0</v>
      </c>
      <c r="AF67" s="96">
        <v>0</v>
      </c>
      <c r="AG67" s="96">
        <v>0</v>
      </c>
      <c r="AH67" s="96">
        <v>0</v>
      </c>
      <c r="AI67" s="99">
        <f>SUM(W67:AH67)</f>
        <v>0</v>
      </c>
      <c r="AJ67" s="71"/>
      <c r="AK67" s="100"/>
    </row>
    <row r="68" ht="12.75" customHeight="1" spans="1:37" x14ac:dyDescent="0.25">
      <c r="A68" s="71"/>
      <c r="B68" s="71"/>
      <c r="C68" s="93" t="s">
        <v>763</v>
      </c>
      <c r="D68" s="94">
        <f>SUM(F68:V68)+E68</f>
        <v>0</v>
      </c>
      <c r="E68" s="94">
        <f>-F68</f>
        <v>0</v>
      </c>
      <c r="F68" s="96">
        <f>+'Sumas y Saldos'!E31</f>
        <v>0</v>
      </c>
      <c r="G68" s="96">
        <f>+'Sumas y Saldos'!H31</f>
        <v>0</v>
      </c>
      <c r="H68" s="96">
        <f>+'Sumas y Saldos'!K31</f>
        <v>0</v>
      </c>
      <c r="I68" s="96">
        <f>+'Sumas y Saldos'!Q31</f>
        <v>0</v>
      </c>
      <c r="J68" s="96">
        <f>+'Sumas y Saldos'!Z31</f>
        <v>0</v>
      </c>
      <c r="K68" s="96">
        <f>+'Sumas y Saldos'!AC31</f>
        <v>0</v>
      </c>
      <c r="L68" s="96">
        <f>+'Sumas y Saldos'!AF31</f>
        <v>0</v>
      </c>
      <c r="M68" s="96">
        <f>+'Sumas y Saldos'!W31</f>
        <v>0</v>
      </c>
      <c r="N68" s="96">
        <f>+'Sumas y Saldos'!T31</f>
        <v>0</v>
      </c>
      <c r="O68" s="96">
        <f>+'Sumas y Saldos'!AI31</f>
        <v>0</v>
      </c>
      <c r="P68" s="96">
        <f>+'Sumas y Saldos'!AO31</f>
        <v>0</v>
      </c>
      <c r="Q68" s="96">
        <f>+'Sumas y Saldos'!AL31</f>
        <v>0</v>
      </c>
      <c r="R68" s="96"/>
      <c r="S68" s="96"/>
      <c r="T68" s="96">
        <f>+'Sumas y Saldos'!BD279</f>
        <v>0</v>
      </c>
      <c r="U68" s="96"/>
      <c r="V68" s="96"/>
      <c r="W68" s="96"/>
      <c r="X68" s="96"/>
      <c r="Y68" s="96"/>
      <c r="Z68" s="96"/>
      <c r="AA68" s="96"/>
      <c r="AB68" s="96"/>
      <c r="AC68" s="96"/>
      <c r="AD68" s="96">
        <v>0</v>
      </c>
      <c r="AE68" s="96">
        <v>0</v>
      </c>
      <c r="AF68" s="96">
        <v>0</v>
      </c>
      <c r="AG68" s="96">
        <v>0</v>
      </c>
      <c r="AH68" s="96">
        <v>0</v>
      </c>
      <c r="AI68" s="99">
        <f>SUM(W68:AH68)</f>
        <v>0</v>
      </c>
      <c r="AJ68" s="71"/>
      <c r="AK68" s="100"/>
    </row>
    <row r="69" ht="12.75" customHeight="1" spans="1:37" x14ac:dyDescent="0.25">
      <c r="A69" s="71"/>
      <c r="B69" s="71"/>
      <c r="C69" s="93" t="s">
        <v>764</v>
      </c>
      <c r="D69" s="94">
        <f>SUM(F69:V69)+E69</f>
        <v>0</v>
      </c>
      <c r="E69" s="94">
        <f>+'Sumas y Saldos'!D12</f>
        <v>0</v>
      </c>
      <c r="F69" s="96">
        <v>0</v>
      </c>
      <c r="G69" s="96">
        <v>0</v>
      </c>
      <c r="H69" s="96">
        <v>0</v>
      </c>
      <c r="I69" s="96">
        <v>0</v>
      </c>
      <c r="J69" s="96">
        <v>0</v>
      </c>
      <c r="K69" s="96">
        <v>0</v>
      </c>
      <c r="L69" s="96">
        <v>0</v>
      </c>
      <c r="M69" s="96">
        <v>0</v>
      </c>
      <c r="N69" s="96">
        <v>0</v>
      </c>
      <c r="O69" s="96">
        <v>0</v>
      </c>
      <c r="P69" s="96">
        <v>0</v>
      </c>
      <c r="Q69" s="96">
        <v>0</v>
      </c>
      <c r="R69" s="96"/>
      <c r="S69" s="96"/>
      <c r="T69" s="96">
        <f>+'Sumas y Saldos'!BD280</f>
        <v>0</v>
      </c>
      <c r="U69" s="96"/>
      <c r="V69" s="96"/>
      <c r="W69" s="96"/>
      <c r="X69" s="96"/>
      <c r="Y69" s="96"/>
      <c r="Z69" s="96"/>
      <c r="AA69" s="96"/>
      <c r="AB69" s="96"/>
      <c r="AC69" s="96"/>
      <c r="AD69" s="96">
        <v>0</v>
      </c>
      <c r="AE69" s="96">
        <v>0</v>
      </c>
      <c r="AF69" s="96">
        <v>0</v>
      </c>
      <c r="AG69" s="96">
        <v>0</v>
      </c>
      <c r="AH69" s="96">
        <v>0</v>
      </c>
      <c r="AI69" s="99">
        <f>SUM(W69:AH69)</f>
        <v>0</v>
      </c>
      <c r="AJ69" s="71"/>
      <c r="AK69" s="100"/>
    </row>
    <row r="70" ht="12.75" customHeight="1" spans="1:37" x14ac:dyDescent="0.25">
      <c r="A70" s="71"/>
      <c r="B70" s="71"/>
      <c r="C70" s="93" t="s">
        <v>765</v>
      </c>
      <c r="D70" s="94">
        <f>SUM(F70:V70)+E70</f>
        <v>0</v>
      </c>
      <c r="E70" s="94"/>
      <c r="F70" s="96">
        <f>+'Sumas y Saldos'!E48</f>
        <v>0</v>
      </c>
      <c r="G70" s="96">
        <f>+'Sumas y Saldos'!H48</f>
        <v>0</v>
      </c>
      <c r="H70" s="96">
        <f>+'Sumas y Saldos'!K48</f>
        <v>0</v>
      </c>
      <c r="I70" s="96">
        <f>+'Sumas y Saldos'!Q48</f>
        <v>0</v>
      </c>
      <c r="J70" s="96">
        <f>+'Sumas y Saldos'!Z48</f>
        <v>0</v>
      </c>
      <c r="K70" s="96">
        <f>+'Sumas y Saldos'!AC48</f>
        <v>0</v>
      </c>
      <c r="L70" s="96">
        <f>+'Sumas y Saldos'!AF48</f>
        <v>0</v>
      </c>
      <c r="M70" s="96">
        <f>+'Sumas y Saldos'!W48</f>
        <v>0</v>
      </c>
      <c r="N70" s="96">
        <f>+'Sumas y Saldos'!T48</f>
        <v>0</v>
      </c>
      <c r="O70" s="96">
        <f>+'Sumas y Saldos'!AI48</f>
        <v>0</v>
      </c>
      <c r="P70" s="96">
        <f>+'Sumas y Saldos'!AO48</f>
        <v>0</v>
      </c>
      <c r="Q70" s="96">
        <f>+'Sumas y Saldos'!AL48</f>
        <v>0</v>
      </c>
      <c r="R70" s="96"/>
      <c r="S70" s="96"/>
      <c r="T70" s="96">
        <f>+'Sumas y Saldos'!BD281</f>
        <v>0</v>
      </c>
      <c r="U70" s="96"/>
      <c r="V70" s="96"/>
      <c r="W70" s="96"/>
      <c r="X70" s="96"/>
      <c r="Y70" s="96"/>
      <c r="Z70" s="96"/>
      <c r="AA70" s="96"/>
      <c r="AB70" s="96"/>
      <c r="AC70" s="96"/>
      <c r="AD70" s="96">
        <v>0</v>
      </c>
      <c r="AE70" s="96">
        <v>0</v>
      </c>
      <c r="AF70" s="96">
        <v>0</v>
      </c>
      <c r="AG70" s="96">
        <v>0</v>
      </c>
      <c r="AH70" s="96">
        <v>0</v>
      </c>
      <c r="AI70" s="99">
        <f>SUM(W70:AH70)</f>
        <v>0</v>
      </c>
      <c r="AJ70" s="71"/>
      <c r="AK70" s="100"/>
    </row>
    <row r="71" ht="12.75" customHeight="1" spans="1:37" x14ac:dyDescent="0.25">
      <c r="A71" s="71"/>
      <c r="B71" s="71"/>
      <c r="C71" s="93" t="s">
        <v>766</v>
      </c>
      <c r="D71" s="94">
        <f>SUM(F71:V71)+E71</f>
        <v>0</v>
      </c>
      <c r="E71" s="94"/>
      <c r="F71" s="96">
        <f>+'Sumas y Saldos'!E63</f>
        <v>0</v>
      </c>
      <c r="G71" s="96">
        <f>+'Sumas y Saldos'!H63</f>
        <v>0</v>
      </c>
      <c r="H71" s="96">
        <f>+'Sumas y Saldos'!K63</f>
        <v>0</v>
      </c>
      <c r="I71" s="96">
        <f>+'Sumas y Saldos'!Q63</f>
        <v>0</v>
      </c>
      <c r="J71" s="96">
        <f>+'Sumas y Saldos'!Z63</f>
        <v>0</v>
      </c>
      <c r="K71" s="96">
        <f>+'Sumas y Saldos'!AC63</f>
        <v>0</v>
      </c>
      <c r="L71" s="96">
        <f>+'Sumas y Saldos'!AF63</f>
        <v>0</v>
      </c>
      <c r="M71" s="96">
        <f>+'Sumas y Saldos'!W63</f>
        <v>0</v>
      </c>
      <c r="N71" s="96">
        <f>+'Sumas y Saldos'!T63</f>
        <v>0</v>
      </c>
      <c r="O71" s="96">
        <f>+'Sumas y Saldos'!AI63</f>
        <v>0</v>
      </c>
      <c r="P71" s="96">
        <f>+'Sumas y Saldos'!AO63</f>
        <v>0</v>
      </c>
      <c r="Q71" s="96">
        <f>+'Sumas y Saldos'!AL63</f>
        <v>0</v>
      </c>
      <c r="R71" s="96"/>
      <c r="S71" s="96"/>
      <c r="T71" s="96">
        <f>+'Sumas y Saldos'!BD282</f>
        <v>0</v>
      </c>
      <c r="U71" s="96"/>
      <c r="V71" s="96"/>
      <c r="W71" s="96"/>
      <c r="X71" s="96"/>
      <c r="Y71" s="96"/>
      <c r="Z71" s="96"/>
      <c r="AA71" s="96"/>
      <c r="AB71" s="96"/>
      <c r="AC71" s="96"/>
      <c r="AD71" s="96">
        <v>0</v>
      </c>
      <c r="AE71" s="96">
        <v>0</v>
      </c>
      <c r="AF71" s="96">
        <v>0</v>
      </c>
      <c r="AG71" s="96">
        <v>0</v>
      </c>
      <c r="AH71" s="96">
        <v>0</v>
      </c>
      <c r="AI71" s="99">
        <f>SUM(W71:AH71)</f>
        <v>0</v>
      </c>
      <c r="AJ71" s="71"/>
      <c r="AK71" s="100"/>
    </row>
    <row r="72" ht="12.75" customHeight="1" spans="1:37" x14ac:dyDescent="0.25">
      <c r="A72" s="71"/>
      <c r="B72" s="71"/>
      <c r="C72" s="93" t="s">
        <v>277</v>
      </c>
      <c r="D72" s="94">
        <f>SUM(F72:V72)+E72</f>
        <v>20.08</v>
      </c>
      <c r="E72" s="94">
        <v>0</v>
      </c>
      <c r="F72" s="96">
        <f>+'Sumas y Saldos'!E46+'Sumas y Saldos'!E250+'Sumas y Saldos'!E281</f>
        <v>0</v>
      </c>
      <c r="G72" s="96">
        <f>+'Sumas y Saldos'!H46+'Sumas y Saldos'!H250+'Sumas y Saldos'!H281</f>
        <v>0</v>
      </c>
      <c r="H72" s="96">
        <f>+'Sumas y Saldos'!K46+'Sumas y Saldos'!K250+'Sumas y Saldos'!K281</f>
        <v>0</v>
      </c>
      <c r="I72" s="96">
        <f>+'Sumas y Saldos'!Q46+'Sumas y Saldos'!Q250+'Sumas y Saldos'!Q281</f>
        <v>0</v>
      </c>
      <c r="J72" s="96">
        <f>+'Sumas y Saldos'!Z46+'Sumas y Saldos'!Z250+'Sumas y Saldos'!Z281</f>
        <v>0</v>
      </c>
      <c r="K72" s="96">
        <f>+'Sumas y Saldos'!AC46+'Sumas y Saldos'!AC250+'Sumas y Saldos'!AC281</f>
        <v>20.08</v>
      </c>
      <c r="L72" s="96">
        <f>+'Sumas y Saldos'!AF46+'Sumas y Saldos'!AF250+'Sumas y Saldos'!AF281</f>
        <v>0</v>
      </c>
      <c r="M72" s="96">
        <f>+'Sumas y Saldos'!W46+'Sumas y Saldos'!W250+'Sumas y Saldos'!W281</f>
        <v>0</v>
      </c>
      <c r="N72" s="96">
        <f>+'Sumas y Saldos'!T46+'Sumas y Saldos'!T250+'Sumas y Saldos'!T281</f>
        <v>0</v>
      </c>
      <c r="O72" s="96">
        <f>+'Sumas y Saldos'!AI46+'Sumas y Saldos'!AI250+'Sumas y Saldos'!AI281</f>
        <v>0</v>
      </c>
      <c r="P72" s="96">
        <f>+'Sumas y Saldos'!AO46+'Sumas y Saldos'!AO250+'Sumas y Saldos'!AO281</f>
        <v>0</v>
      </c>
      <c r="Q72" s="96">
        <f>+'Sumas y Saldos'!AL46+'Sumas y Saldos'!AL250+'Sumas y Saldos'!AL281</f>
        <v>0</v>
      </c>
      <c r="R72" s="96"/>
      <c r="S72" s="96"/>
      <c r="T72" s="96">
        <f>+'Sumas y Saldos'!BD283</f>
        <v>0</v>
      </c>
      <c r="U72" s="96"/>
      <c r="V72" s="96">
        <f>+'Sumas y Saldos'!BP249</f>
        <v>0</v>
      </c>
      <c r="W72" s="96"/>
      <c r="X72" s="96"/>
      <c r="Y72" s="96"/>
      <c r="Z72" s="96"/>
      <c r="AA72" s="96"/>
      <c r="AB72" s="96"/>
      <c r="AC72" s="96"/>
      <c r="AD72" s="96">
        <v>20.08</v>
      </c>
      <c r="AE72" s="96">
        <v>0</v>
      </c>
      <c r="AF72" s="96">
        <v>0</v>
      </c>
      <c r="AG72" s="96">
        <v>20.34</v>
      </c>
      <c r="AH72" s="96">
        <v>31.22</v>
      </c>
      <c r="AI72" s="99">
        <f>SUM(W72:AH72)</f>
        <v>71.64</v>
      </c>
      <c r="AJ72" s="71"/>
      <c r="AK72" s="100"/>
    </row>
    <row r="73" ht="12.75" customHeight="1" spans="1:37" x14ac:dyDescent="0.25">
      <c r="A73" s="71" t="s">
        <v>767</v>
      </c>
      <c r="B73" s="71">
        <v>9600000062</v>
      </c>
      <c r="C73" s="93" t="s">
        <v>768</v>
      </c>
      <c r="D73" s="94">
        <f>SUM(F73:V73)+E73</f>
        <v>0</v>
      </c>
      <c r="E73" s="94"/>
      <c r="F73" s="96">
        <f>+'Sumas y Saldos'!E44+'Sumas y Saldos'!E170+'Sumas y Saldos'!E387+'Sumas y Saldos'!E389</f>
        <v>0</v>
      </c>
      <c r="G73" s="96">
        <f>+'Sumas y Saldos'!H44+'Sumas y Saldos'!H170+'Sumas y Saldos'!H387+'Sumas y Saldos'!H389</f>
        <v>0</v>
      </c>
      <c r="H73" s="96">
        <f>+'Sumas y Saldos'!K44+'Sumas y Saldos'!K170+'Sumas y Saldos'!K387+'Sumas y Saldos'!K389</f>
        <v>0</v>
      </c>
      <c r="I73" s="96">
        <f>+'Sumas y Saldos'!Q44+'Sumas y Saldos'!Q170+'Sumas y Saldos'!Q387+'Sumas y Saldos'!Q389</f>
        <v>0</v>
      </c>
      <c r="J73" s="96">
        <f>+'Sumas y Saldos'!Z44+'Sumas y Saldos'!Z170+'Sumas y Saldos'!Z387+'Sumas y Saldos'!Z389</f>
        <v>0</v>
      </c>
      <c r="K73" s="96">
        <f>+'Sumas y Saldos'!AC44+'Sumas y Saldos'!AC170+'Sumas y Saldos'!AC387+'Sumas y Saldos'!AC389</f>
        <v>0</v>
      </c>
      <c r="L73" s="96">
        <f>+'Sumas y Saldos'!AF44+'Sumas y Saldos'!AF170+'Sumas y Saldos'!AF387+'Sumas y Saldos'!AF389</f>
        <v>0</v>
      </c>
      <c r="M73" s="96">
        <f>+'Sumas y Saldos'!W44+'Sumas y Saldos'!W170+'Sumas y Saldos'!W387+'Sumas y Saldos'!W389</f>
        <v>0</v>
      </c>
      <c r="N73" s="96">
        <f>+'Sumas y Saldos'!T44+'Sumas y Saldos'!T170+'Sumas y Saldos'!T387+'Sumas y Saldos'!T389</f>
        <v>0</v>
      </c>
      <c r="O73" s="96">
        <f>+'Sumas y Saldos'!AI44+'Sumas y Saldos'!AI170+'Sumas y Saldos'!AI387+'Sumas y Saldos'!AI389</f>
        <v>0</v>
      </c>
      <c r="P73" s="96">
        <f>+'Sumas y Saldos'!AO44+'Sumas y Saldos'!AO170+'Sumas y Saldos'!AO387+'Sumas y Saldos'!AO389</f>
        <v>0</v>
      </c>
      <c r="Q73" s="96">
        <f>+'Sumas y Saldos'!AL44+'Sumas y Saldos'!AL170+'Sumas y Saldos'!AL387+'Sumas y Saldos'!AL389</f>
        <v>0</v>
      </c>
      <c r="R73" s="96"/>
      <c r="S73" s="96"/>
      <c r="T73" s="96">
        <f>+'Sumas y Saldos'!BD284</f>
        <v>0</v>
      </c>
      <c r="U73" s="96"/>
      <c r="V73" s="96"/>
      <c r="W73" s="96"/>
      <c r="X73" s="96"/>
      <c r="Y73" s="96"/>
      <c r="Z73" s="96"/>
      <c r="AA73" s="96"/>
      <c r="AB73" s="96"/>
      <c r="AC73" s="96"/>
      <c r="AD73" s="96">
        <v>0</v>
      </c>
      <c r="AE73" s="96">
        <v>0</v>
      </c>
      <c r="AF73" s="96">
        <v>0</v>
      </c>
      <c r="AG73" s="96">
        <v>0</v>
      </c>
      <c r="AH73" s="96">
        <v>0</v>
      </c>
      <c r="AI73" s="99">
        <f>SUM(W73:AH73)</f>
        <v>0</v>
      </c>
      <c r="AJ73" s="71"/>
      <c r="AK73" s="100"/>
    </row>
    <row r="74" ht="12.75" customHeight="1" spans="1:37" x14ac:dyDescent="0.25">
      <c r="A74" s="71"/>
      <c r="B74" s="71"/>
      <c r="C74" s="93" t="s">
        <v>299</v>
      </c>
      <c r="D74" s="94">
        <f>SUM(F74:V74)+E74</f>
        <v>0</v>
      </c>
      <c r="E74" s="94"/>
      <c r="F74" s="96">
        <f>+'Sumas y Saldos'!E68+'Sumas y Saldos'!E322</f>
        <v>0</v>
      </c>
      <c r="G74" s="96">
        <f>+'Sumas y Saldos'!H68+'Sumas y Saldos'!H322</f>
        <v>0</v>
      </c>
      <c r="H74" s="96">
        <f>+'Sumas y Saldos'!K68+'Sumas y Saldos'!K322</f>
        <v>0</v>
      </c>
      <c r="I74" s="96">
        <f>+'Sumas y Saldos'!Q68+'Sumas y Saldos'!Q322</f>
        <v>0</v>
      </c>
      <c r="J74" s="96">
        <f>+'Sumas y Saldos'!Z68+'Sumas y Saldos'!Z322</f>
        <v>0</v>
      </c>
      <c r="K74" s="96">
        <f>+'Sumas y Saldos'!AC68+'Sumas y Saldos'!AC322</f>
        <v>0</v>
      </c>
      <c r="L74" s="96">
        <f>+'Sumas y Saldos'!AF68+'Sumas y Saldos'!AF322</f>
        <v>0</v>
      </c>
      <c r="M74" s="96">
        <f>+'Sumas y Saldos'!W68+'Sumas y Saldos'!W322</f>
        <v>0</v>
      </c>
      <c r="N74" s="96">
        <f>+'Sumas y Saldos'!T68+'Sumas y Saldos'!T322</f>
        <v>0</v>
      </c>
      <c r="O74" s="96">
        <f>+'Sumas y Saldos'!AI68+'Sumas y Saldos'!AI322</f>
        <v>0</v>
      </c>
      <c r="P74" s="96">
        <f>+'Sumas y Saldos'!AO68+'Sumas y Saldos'!AO322</f>
        <v>0</v>
      </c>
      <c r="Q74" s="96">
        <f>+'Sumas y Saldos'!AL68+'Sumas y Saldos'!AL322</f>
        <v>0</v>
      </c>
      <c r="R74" s="96"/>
      <c r="S74" s="96"/>
      <c r="T74" s="96">
        <f>+'Sumas y Saldos'!BD285</f>
        <v>0</v>
      </c>
      <c r="U74" s="96"/>
      <c r="V74" s="96"/>
      <c r="W74" s="96"/>
      <c r="X74" s="96"/>
      <c r="Y74" s="96"/>
      <c r="Z74" s="96"/>
      <c r="AA74" s="96"/>
      <c r="AB74" s="96"/>
      <c r="AC74" s="96"/>
      <c r="AD74" s="96">
        <v>0</v>
      </c>
      <c r="AE74" s="96">
        <v>0</v>
      </c>
      <c r="AF74" s="96">
        <v>0</v>
      </c>
      <c r="AG74" s="96">
        <v>0</v>
      </c>
      <c r="AH74" s="96">
        <v>0</v>
      </c>
      <c r="AI74" s="99">
        <f>SUM(W74:AH74)</f>
        <v>0</v>
      </c>
      <c r="AJ74" s="71"/>
      <c r="AK74" s="100"/>
    </row>
    <row r="75" ht="12.75" customHeight="1" spans="1:37" x14ac:dyDescent="0.25">
      <c r="A75" s="71"/>
      <c r="B75" s="71"/>
      <c r="C75" s="93" t="s">
        <v>300</v>
      </c>
      <c r="D75" s="94">
        <f>SUM(F75:V75)+E75</f>
        <v>0</v>
      </c>
      <c r="E75" s="94"/>
      <c r="F75" s="96">
        <v>0</v>
      </c>
      <c r="G75" s="96">
        <v>0</v>
      </c>
      <c r="H75" s="96">
        <v>0</v>
      </c>
      <c r="I75" s="96">
        <v>0</v>
      </c>
      <c r="J75" s="96">
        <v>0</v>
      </c>
      <c r="K75" s="96">
        <v>0</v>
      </c>
      <c r="L75" s="96">
        <v>0</v>
      </c>
      <c r="M75" s="96">
        <v>0</v>
      </c>
      <c r="N75" s="96">
        <v>0</v>
      </c>
      <c r="O75" s="96">
        <v>0</v>
      </c>
      <c r="P75" s="96">
        <v>0</v>
      </c>
      <c r="Q75" s="96">
        <v>0</v>
      </c>
      <c r="R75" s="96"/>
      <c r="S75" s="96"/>
      <c r="T75" s="96">
        <f>+'Sumas y Saldos'!BD286</f>
        <v>0</v>
      </c>
      <c r="U75" s="96"/>
      <c r="V75" s="96"/>
      <c r="W75" s="96"/>
      <c r="X75" s="96"/>
      <c r="Y75" s="96"/>
      <c r="Z75" s="96"/>
      <c r="AA75" s="96"/>
      <c r="AB75" s="96"/>
      <c r="AC75" s="96"/>
      <c r="AD75" s="96">
        <v>0</v>
      </c>
      <c r="AE75" s="96">
        <v>0</v>
      </c>
      <c r="AF75" s="96">
        <v>0</v>
      </c>
      <c r="AG75" s="96">
        <v>0</v>
      </c>
      <c r="AH75" s="96">
        <v>0</v>
      </c>
      <c r="AI75" s="99">
        <f>SUM(W75:AH75)</f>
        <v>0</v>
      </c>
      <c r="AJ75" s="71"/>
      <c r="AK75" s="100"/>
    </row>
    <row r="76" ht="12.75" customHeight="1" spans="1:37" x14ac:dyDescent="0.25">
      <c r="A76" s="71"/>
      <c r="B76" s="71"/>
      <c r="C76" s="93" t="s">
        <v>769</v>
      </c>
      <c r="D76" s="94">
        <f>SUM(F76:V76)+E76</f>
        <v>0</v>
      </c>
      <c r="E76" s="94"/>
      <c r="F76" s="96">
        <f>+'Sumas y Saldos'!E87</f>
        <v>0</v>
      </c>
      <c r="G76" s="96">
        <f>+'Sumas y Saldos'!H87</f>
        <v>0</v>
      </c>
      <c r="H76" s="96">
        <f>+'Sumas y Saldos'!K87</f>
        <v>0</v>
      </c>
      <c r="I76" s="96">
        <f>+'Sumas y Saldos'!Q87</f>
        <v>0</v>
      </c>
      <c r="J76" s="96">
        <f>+'Sumas y Saldos'!Z87</f>
        <v>0</v>
      </c>
      <c r="K76" s="96">
        <f>+'Sumas y Saldos'!AC87</f>
        <v>0</v>
      </c>
      <c r="L76" s="96">
        <f>+'Sumas y Saldos'!AF87</f>
        <v>0</v>
      </c>
      <c r="M76" s="96">
        <f>+'Sumas y Saldos'!W87</f>
        <v>0</v>
      </c>
      <c r="N76" s="96">
        <f>+'Sumas y Saldos'!T87</f>
        <v>0</v>
      </c>
      <c r="O76" s="96">
        <f>+'Sumas y Saldos'!AI87</f>
        <v>0</v>
      </c>
      <c r="P76" s="96">
        <f>+'Sumas y Saldos'!AO87</f>
        <v>0</v>
      </c>
      <c r="Q76" s="96">
        <f>+'Sumas y Saldos'!AL87</f>
        <v>0</v>
      </c>
      <c r="R76" s="96"/>
      <c r="S76" s="96"/>
      <c r="T76" s="96">
        <f>+'Sumas y Saldos'!BD287</f>
        <v>0</v>
      </c>
      <c r="U76" s="96"/>
      <c r="V76" s="96"/>
      <c r="W76" s="96"/>
      <c r="X76" s="96"/>
      <c r="Y76" s="96"/>
      <c r="Z76" s="96"/>
      <c r="AA76" s="96"/>
      <c r="AB76" s="96"/>
      <c r="AC76" s="96"/>
      <c r="AD76" s="96">
        <v>0</v>
      </c>
      <c r="AE76" s="96">
        <v>0</v>
      </c>
      <c r="AF76" s="96">
        <v>0</v>
      </c>
      <c r="AG76" s="96">
        <v>0</v>
      </c>
      <c r="AH76" s="96">
        <v>0</v>
      </c>
      <c r="AI76" s="99">
        <f>SUM(W76:AH76)</f>
        <v>0</v>
      </c>
      <c r="AJ76" s="71"/>
      <c r="AK76" s="100"/>
    </row>
    <row r="77" ht="12.75" customHeight="1" spans="1:37" x14ac:dyDescent="0.25">
      <c r="A77" s="71"/>
      <c r="B77" s="71"/>
      <c r="C77" s="93" t="s">
        <v>268</v>
      </c>
      <c r="D77" s="94">
        <f>SUM(F77:V77)+E77</f>
        <v>0</v>
      </c>
      <c r="E77" s="94"/>
      <c r="F77" s="96">
        <f>+'Sumas y Saldos'!E37</f>
        <v>0</v>
      </c>
      <c r="G77" s="96">
        <f>+'Sumas y Saldos'!H37</f>
        <v>0</v>
      </c>
      <c r="H77" s="96">
        <f>+'Sumas y Saldos'!K37</f>
        <v>0</v>
      </c>
      <c r="I77" s="96">
        <f>+'Sumas y Saldos'!Q37</f>
        <v>0</v>
      </c>
      <c r="J77" s="96">
        <f>+'Sumas y Saldos'!Z37</f>
        <v>0</v>
      </c>
      <c r="K77" s="96">
        <f>+'Sumas y Saldos'!AC37</f>
        <v>0</v>
      </c>
      <c r="L77" s="96">
        <f>+'Sumas y Saldos'!AF37</f>
        <v>0</v>
      </c>
      <c r="M77" s="96">
        <f>+'Sumas y Saldos'!W37</f>
        <v>0</v>
      </c>
      <c r="N77" s="96">
        <f>+'Sumas y Saldos'!T37</f>
        <v>0</v>
      </c>
      <c r="O77" s="96">
        <f>+'Sumas y Saldos'!AI37</f>
        <v>0</v>
      </c>
      <c r="P77" s="96">
        <f>+'Sumas y Saldos'!AO37</f>
        <v>0</v>
      </c>
      <c r="Q77" s="96">
        <f>+'Sumas y Saldos'!AL37</f>
        <v>0</v>
      </c>
      <c r="R77" s="96"/>
      <c r="S77" s="96"/>
      <c r="T77" s="96">
        <f>+'Sumas y Saldos'!BD288</f>
        <v>0</v>
      </c>
      <c r="U77" s="96"/>
      <c r="V77" s="96"/>
      <c r="W77" s="96"/>
      <c r="X77" s="96"/>
      <c r="Y77" s="96"/>
      <c r="Z77" s="96"/>
      <c r="AA77" s="96"/>
      <c r="AB77" s="96"/>
      <c r="AC77" s="96"/>
      <c r="AD77" s="96">
        <v>0</v>
      </c>
      <c r="AE77" s="96">
        <v>0</v>
      </c>
      <c r="AF77" s="96">
        <v>0</v>
      </c>
      <c r="AG77" s="96">
        <v>0</v>
      </c>
      <c r="AH77" s="96">
        <v>0</v>
      </c>
      <c r="AI77" s="99">
        <f>SUM(W77:AH77)</f>
        <v>0</v>
      </c>
      <c r="AJ77" s="71"/>
      <c r="AK77" s="100"/>
    </row>
    <row r="78" ht="12.75" customHeight="1" spans="1:37" x14ac:dyDescent="0.25">
      <c r="A78" s="71"/>
      <c r="B78" s="71"/>
      <c r="C78" s="93" t="s">
        <v>343</v>
      </c>
      <c r="D78" s="94">
        <f>SUM(F78:V78)+E78</f>
        <v>0</v>
      </c>
      <c r="E78" s="94"/>
      <c r="F78" s="96">
        <f>+'Sumas y Saldos'!E112+'Sumas y Saldos'!E162+'Sumas y Saldos'!E264</f>
        <v>0</v>
      </c>
      <c r="G78" s="96">
        <f>+'Sumas y Saldos'!H112+'Sumas y Saldos'!H162+'Sumas y Saldos'!H264</f>
        <v>0</v>
      </c>
      <c r="H78" s="96">
        <f>+'Sumas y Saldos'!K112+'Sumas y Saldos'!K162+'Sumas y Saldos'!K264</f>
        <v>0</v>
      </c>
      <c r="I78" s="96">
        <f>+'Sumas y Saldos'!Q112+'Sumas y Saldos'!Q162+'Sumas y Saldos'!Q264</f>
        <v>0</v>
      </c>
      <c r="J78" s="96">
        <f>+'Sumas y Saldos'!Z112+'Sumas y Saldos'!Z162+'Sumas y Saldos'!Z264</f>
        <v>0</v>
      </c>
      <c r="K78" s="96">
        <f>+'Sumas y Saldos'!AC112+'Sumas y Saldos'!AC162+'Sumas y Saldos'!AC264</f>
        <v>0</v>
      </c>
      <c r="L78" s="96">
        <f>+'Sumas y Saldos'!AF112+'Sumas y Saldos'!AF162+'Sumas y Saldos'!AF264</f>
        <v>0</v>
      </c>
      <c r="M78" s="96">
        <f>+'Sumas y Saldos'!W112+'Sumas y Saldos'!W162+'Sumas y Saldos'!W264</f>
        <v>0</v>
      </c>
      <c r="N78" s="96">
        <f>+'Sumas y Saldos'!T112+'Sumas y Saldos'!T162+'Sumas y Saldos'!T264</f>
        <v>0</v>
      </c>
      <c r="O78" s="96">
        <f>+'Sumas y Saldos'!AI112+'Sumas y Saldos'!AI162+'Sumas y Saldos'!AI264</f>
        <v>0</v>
      </c>
      <c r="P78" s="96">
        <f>+'Sumas y Saldos'!AO112+'Sumas y Saldos'!AO162+'Sumas y Saldos'!AO264</f>
        <v>0</v>
      </c>
      <c r="Q78" s="96">
        <f>+'Sumas y Saldos'!AL112+'Sumas y Saldos'!AL162+'Sumas y Saldos'!AL264</f>
        <v>0</v>
      </c>
      <c r="R78" s="96"/>
      <c r="S78" s="96"/>
      <c r="T78" s="96">
        <f>+'Sumas y Saldos'!BD289</f>
        <v>0</v>
      </c>
      <c r="U78" s="96"/>
      <c r="V78" s="96">
        <f>+'Sumas y Saldos'!BN263</f>
        <v>0</v>
      </c>
      <c r="W78" s="96"/>
      <c r="X78" s="96"/>
      <c r="Y78" s="96"/>
      <c r="Z78" s="96"/>
      <c r="AA78" s="96"/>
      <c r="AB78" s="96"/>
      <c r="AC78" s="96"/>
      <c r="AD78" s="96">
        <v>0</v>
      </c>
      <c r="AE78" s="96">
        <v>0</v>
      </c>
      <c r="AF78" s="96">
        <v>0</v>
      </c>
      <c r="AG78" s="96">
        <v>0</v>
      </c>
      <c r="AH78" s="96">
        <v>0</v>
      </c>
      <c r="AI78" s="99">
        <f>SUM(W78:AH78)</f>
        <v>0</v>
      </c>
      <c r="AJ78" s="71"/>
      <c r="AK78" s="100"/>
    </row>
    <row r="79" ht="12.75" customHeight="1" spans="1:37" x14ac:dyDescent="0.25">
      <c r="A79" s="71"/>
      <c r="B79" s="71"/>
      <c r="C79" s="93" t="s">
        <v>346</v>
      </c>
      <c r="D79" s="94">
        <f>SUM(F79:V79)+E79</f>
        <v>0</v>
      </c>
      <c r="E79" s="94">
        <v>0</v>
      </c>
      <c r="F79" s="96">
        <f>+'Sumas y Saldos'!E115</f>
        <v>0</v>
      </c>
      <c r="G79" s="96">
        <f>+'Sumas y Saldos'!H115</f>
        <v>0</v>
      </c>
      <c r="H79" s="96">
        <f>+'Sumas y Saldos'!K115</f>
        <v>0</v>
      </c>
      <c r="I79" s="96">
        <f>+'Sumas y Saldos'!Q115</f>
        <v>0</v>
      </c>
      <c r="J79" s="96">
        <f>+'Sumas y Saldos'!Z115</f>
        <v>0</v>
      </c>
      <c r="K79" s="96">
        <f>+'Sumas y Saldos'!AC115</f>
        <v>0</v>
      </c>
      <c r="L79" s="96">
        <f>+'Sumas y Saldos'!AF115</f>
        <v>0</v>
      </c>
      <c r="M79" s="96">
        <f>+'Sumas y Saldos'!W115</f>
        <v>0</v>
      </c>
      <c r="N79" s="96">
        <f>+'Sumas y Saldos'!T115</f>
        <v>0</v>
      </c>
      <c r="O79" s="96">
        <f>+'Sumas y Saldos'!AI115</f>
        <v>0</v>
      </c>
      <c r="P79" s="96">
        <f>+'Sumas y Saldos'!AO115</f>
        <v>0</v>
      </c>
      <c r="Q79" s="96">
        <f>+'Sumas y Saldos'!AL115</f>
        <v>0</v>
      </c>
      <c r="R79" s="96"/>
      <c r="S79" s="96"/>
      <c r="T79" s="96">
        <f>+'Sumas y Saldos'!BD290</f>
        <v>0</v>
      </c>
      <c r="U79" s="96"/>
      <c r="V79" s="96"/>
      <c r="W79" s="96"/>
      <c r="X79" s="96"/>
      <c r="Y79" s="96"/>
      <c r="Z79" s="96"/>
      <c r="AA79" s="96"/>
      <c r="AB79" s="96"/>
      <c r="AC79" s="96"/>
      <c r="AD79" s="96">
        <v>0</v>
      </c>
      <c r="AE79" s="96">
        <v>0</v>
      </c>
      <c r="AF79" s="96">
        <v>0</v>
      </c>
      <c r="AG79" s="96">
        <v>0</v>
      </c>
      <c r="AH79" s="96">
        <v>0</v>
      </c>
      <c r="AI79" s="99">
        <f>SUM(W79:AH79)</f>
        <v>0</v>
      </c>
      <c r="AJ79" s="71"/>
      <c r="AK79" s="100"/>
    </row>
    <row r="80" ht="12.75" customHeight="1" spans="1:37" x14ac:dyDescent="0.25">
      <c r="A80" s="71"/>
      <c r="B80" s="71"/>
      <c r="C80" s="93" t="s">
        <v>300</v>
      </c>
      <c r="D80" s="94">
        <f>SUM(F80:V80)+E80</f>
        <v>0</v>
      </c>
      <c r="E80" s="94"/>
      <c r="F80" s="96">
        <f>+'Sumas y Saldos'!E69</f>
        <v>0</v>
      </c>
      <c r="G80" s="96">
        <f>+'Sumas y Saldos'!H69</f>
        <v>0</v>
      </c>
      <c r="H80" s="96">
        <f>+'Sumas y Saldos'!K69</f>
        <v>0</v>
      </c>
      <c r="I80" s="96">
        <f>+'Sumas y Saldos'!Q69</f>
        <v>0</v>
      </c>
      <c r="J80" s="96">
        <f>+'Sumas y Saldos'!Z69</f>
        <v>0</v>
      </c>
      <c r="K80" s="96">
        <f>+'Sumas y Saldos'!AC69</f>
        <v>0</v>
      </c>
      <c r="L80" s="96">
        <f>+'Sumas y Saldos'!AF69</f>
        <v>0</v>
      </c>
      <c r="M80" s="96">
        <f>+'Sumas y Saldos'!W69</f>
        <v>0</v>
      </c>
      <c r="N80" s="96">
        <f>+'Sumas y Saldos'!T69</f>
        <v>0</v>
      </c>
      <c r="O80" s="96">
        <f>+'Sumas y Saldos'!AI69</f>
        <v>0</v>
      </c>
      <c r="P80" s="96">
        <f>+'Sumas y Saldos'!AO69</f>
        <v>0</v>
      </c>
      <c r="Q80" s="96">
        <f>+'Sumas y Saldos'!AL69</f>
        <v>0</v>
      </c>
      <c r="R80" s="96"/>
      <c r="S80" s="96"/>
      <c r="T80" s="96">
        <f>+'Sumas y Saldos'!BD291</f>
        <v>0</v>
      </c>
      <c r="U80" s="96"/>
      <c r="V80" s="96"/>
      <c r="W80" s="96"/>
      <c r="X80" s="96"/>
      <c r="Y80" s="96"/>
      <c r="Z80" s="96"/>
      <c r="AA80" s="96"/>
      <c r="AB80" s="96"/>
      <c r="AC80" s="96"/>
      <c r="AD80" s="96">
        <v>0</v>
      </c>
      <c r="AE80" s="96">
        <v>0</v>
      </c>
      <c r="AF80" s="96">
        <v>0</v>
      </c>
      <c r="AG80" s="96">
        <v>0</v>
      </c>
      <c r="AH80" s="96">
        <v>0</v>
      </c>
      <c r="AI80" s="99">
        <f>SUM(W80:AH80)</f>
        <v>0</v>
      </c>
      <c r="AJ80" s="71"/>
      <c r="AK80" s="100"/>
    </row>
    <row r="81" ht="12.75" customHeight="1" spans="1:37" x14ac:dyDescent="0.25">
      <c r="A81" s="71"/>
      <c r="B81" s="71"/>
      <c r="C81" s="93" t="s">
        <v>345</v>
      </c>
      <c r="D81" s="94">
        <f>SUM(F81:V81)+E81</f>
        <v>0</v>
      </c>
      <c r="E81" s="94"/>
      <c r="F81" s="96">
        <v>0</v>
      </c>
      <c r="G81" s="96">
        <v>0</v>
      </c>
      <c r="H81" s="96">
        <v>0</v>
      </c>
      <c r="I81" s="96">
        <v>0</v>
      </c>
      <c r="J81" s="96">
        <v>0</v>
      </c>
      <c r="K81" s="96">
        <v>0</v>
      </c>
      <c r="L81" s="96">
        <v>0</v>
      </c>
      <c r="M81" s="96">
        <v>0</v>
      </c>
      <c r="N81" s="96">
        <v>0</v>
      </c>
      <c r="O81" s="96">
        <v>0</v>
      </c>
      <c r="P81" s="96">
        <v>0</v>
      </c>
      <c r="Q81" s="96">
        <v>0</v>
      </c>
      <c r="R81" s="96"/>
      <c r="S81" s="96"/>
      <c r="T81" s="96">
        <f>+'Sumas y Saldos'!BD293</f>
        <v>0</v>
      </c>
      <c r="U81" s="96"/>
      <c r="V81" s="96"/>
      <c r="W81" s="96"/>
      <c r="X81" s="96"/>
      <c r="Y81" s="96"/>
      <c r="Z81" s="96"/>
      <c r="AA81" s="96"/>
      <c r="AB81" s="96"/>
      <c r="AC81" s="96"/>
      <c r="AD81" s="96">
        <v>0</v>
      </c>
      <c r="AE81" s="96">
        <v>0</v>
      </c>
      <c r="AF81" s="96">
        <v>0</v>
      </c>
      <c r="AG81" s="96">
        <v>0</v>
      </c>
      <c r="AH81" s="96">
        <v>0</v>
      </c>
      <c r="AI81" s="99">
        <f>SUM(W81:AH81)</f>
        <v>0</v>
      </c>
      <c r="AJ81" s="71"/>
      <c r="AK81" s="100"/>
    </row>
    <row r="82" ht="12.75" customHeight="1" spans="1:37" x14ac:dyDescent="0.25">
      <c r="A82" s="71"/>
      <c r="B82" s="71"/>
      <c r="C82" s="93" t="s">
        <v>348</v>
      </c>
      <c r="D82" s="94">
        <f>SUM(F82:V82)+E82</f>
        <v>0</v>
      </c>
      <c r="E82" s="94">
        <f>-F82</f>
        <v>0</v>
      </c>
      <c r="F82" s="96">
        <f>+'Sumas y Saldos'!E117</f>
        <v>0</v>
      </c>
      <c r="G82" s="96">
        <f>+'Sumas y Saldos'!H117</f>
        <v>0</v>
      </c>
      <c r="H82" s="96">
        <f>+'Sumas y Saldos'!K117</f>
        <v>0</v>
      </c>
      <c r="I82" s="96">
        <f>+'Sumas y Saldos'!Q117</f>
        <v>0</v>
      </c>
      <c r="J82" s="96">
        <f>+'Sumas y Saldos'!Z117</f>
        <v>0</v>
      </c>
      <c r="K82" s="96">
        <f>+'Sumas y Saldos'!AC117</f>
        <v>0</v>
      </c>
      <c r="L82" s="96">
        <f>+'Sumas y Saldos'!AF117</f>
        <v>0</v>
      </c>
      <c r="M82" s="96">
        <f>+'Sumas y Saldos'!W117</f>
        <v>0</v>
      </c>
      <c r="N82" s="96">
        <f>+'Sumas y Saldos'!T117</f>
        <v>0</v>
      </c>
      <c r="O82" s="96">
        <f>+'Sumas y Saldos'!AI117</f>
        <v>0</v>
      </c>
      <c r="P82" s="96">
        <f>+'Sumas y Saldos'!AO117</f>
        <v>0</v>
      </c>
      <c r="Q82" s="96">
        <f>+'Sumas y Saldos'!AL117</f>
        <v>0</v>
      </c>
      <c r="R82" s="96"/>
      <c r="S82" s="96"/>
      <c r="T82" s="96">
        <f>+'Sumas y Saldos'!BD294</f>
        <v>0</v>
      </c>
      <c r="U82" s="96"/>
      <c r="V82" s="96"/>
      <c r="W82" s="96"/>
      <c r="X82" s="96"/>
      <c r="Y82" s="96"/>
      <c r="Z82" s="96"/>
      <c r="AA82" s="96"/>
      <c r="AB82" s="96"/>
      <c r="AC82" s="96"/>
      <c r="AD82" s="96">
        <v>0</v>
      </c>
      <c r="AE82" s="96">
        <v>0</v>
      </c>
      <c r="AF82" s="96">
        <v>0</v>
      </c>
      <c r="AG82" s="96">
        <v>0</v>
      </c>
      <c r="AH82" s="96">
        <v>0</v>
      </c>
      <c r="AI82" s="99">
        <f>SUM(W82:AH82)</f>
        <v>0</v>
      </c>
      <c r="AJ82" s="71"/>
      <c r="AK82" s="100"/>
    </row>
    <row r="83" ht="12.75" customHeight="1" spans="1:37" x14ac:dyDescent="0.25">
      <c r="A83" s="71"/>
      <c r="B83" s="71"/>
      <c r="C83" s="93" t="s">
        <v>770</v>
      </c>
      <c r="D83" s="94">
        <f>SUM(F83:V83)+E83</f>
        <v>0</v>
      </c>
      <c r="E83" s="94"/>
      <c r="F83" s="96">
        <f>+'Sumas y Saldos'!E116</f>
        <v>0</v>
      </c>
      <c r="G83" s="96">
        <f>+'Sumas y Saldos'!H116</f>
        <v>0</v>
      </c>
      <c r="H83" s="96">
        <f>+'Sumas y Saldos'!K116</f>
        <v>0</v>
      </c>
      <c r="I83" s="96">
        <f>+'Sumas y Saldos'!Q116</f>
        <v>0</v>
      </c>
      <c r="J83" s="96">
        <f>+'Sumas y Saldos'!Z116</f>
        <v>0</v>
      </c>
      <c r="K83" s="96">
        <f>+'Sumas y Saldos'!AC116</f>
        <v>0</v>
      </c>
      <c r="L83" s="96">
        <f>+'Sumas y Saldos'!AF116</f>
        <v>0</v>
      </c>
      <c r="M83" s="96">
        <f>+'Sumas y Saldos'!W116</f>
        <v>0</v>
      </c>
      <c r="N83" s="96">
        <f>+'Sumas y Saldos'!T116</f>
        <v>0</v>
      </c>
      <c r="O83" s="96">
        <f>+'Sumas y Saldos'!AI116</f>
        <v>0</v>
      </c>
      <c r="P83" s="96">
        <f>+'Sumas y Saldos'!AO116</f>
        <v>0</v>
      </c>
      <c r="Q83" s="96">
        <f>+'Sumas y Saldos'!AL116</f>
        <v>0</v>
      </c>
      <c r="R83" s="96"/>
      <c r="S83" s="96"/>
      <c r="T83" s="96">
        <f>+'Sumas y Saldos'!BD295</f>
        <v>0</v>
      </c>
      <c r="U83" s="96"/>
      <c r="V83" s="96"/>
      <c r="W83" s="96"/>
      <c r="X83" s="96"/>
      <c r="Y83" s="96"/>
      <c r="Z83" s="96"/>
      <c r="AA83" s="96"/>
      <c r="AB83" s="96"/>
      <c r="AC83" s="96"/>
      <c r="AD83" s="96">
        <v>0</v>
      </c>
      <c r="AE83" s="96">
        <v>0</v>
      </c>
      <c r="AF83" s="96">
        <v>0</v>
      </c>
      <c r="AG83" s="96">
        <v>0</v>
      </c>
      <c r="AH83" s="96">
        <v>0</v>
      </c>
      <c r="AI83" s="99">
        <f>SUM(W83:AH83)</f>
        <v>0</v>
      </c>
      <c r="AJ83" s="71"/>
      <c r="AK83" s="100"/>
    </row>
    <row r="84" ht="12.75" customHeight="1" spans="1:37" x14ac:dyDescent="0.25">
      <c r="A84" s="71"/>
      <c r="B84" s="71"/>
      <c r="C84" s="93" t="s">
        <v>771</v>
      </c>
      <c r="D84" s="94">
        <f>SUM(F84:V84)+E84</f>
        <v>0</v>
      </c>
      <c r="E84" s="94"/>
      <c r="F84" s="96">
        <f>+'Sumas y Saldos'!E70+'Sumas y Saldos'!E233+'Sumas y Saldos'!E291+'Sumas y Saldos'!E295+'Sumas y Saldos'!E312</f>
        <v>0</v>
      </c>
      <c r="G84" s="96">
        <f>+'Sumas y Saldos'!H70+'Sumas y Saldos'!H233+'Sumas y Saldos'!H291+'Sumas y Saldos'!H295+'Sumas y Saldos'!H312</f>
        <v>0</v>
      </c>
      <c r="H84" s="96">
        <f>+'Sumas y Saldos'!K70+'Sumas y Saldos'!K233+'Sumas y Saldos'!K291+'Sumas y Saldos'!K295+'Sumas y Saldos'!K312</f>
        <v>0</v>
      </c>
      <c r="I84" s="96">
        <f>+'Sumas y Saldos'!Q70+'Sumas y Saldos'!Q233+'Sumas y Saldos'!Q291+'Sumas y Saldos'!Q295+'Sumas y Saldos'!Q312</f>
        <v>0</v>
      </c>
      <c r="J84" s="96">
        <f>+'Sumas y Saldos'!Z70+'Sumas y Saldos'!Z233+'Sumas y Saldos'!Z291+'Sumas y Saldos'!Z295+'Sumas y Saldos'!Z312</f>
        <v>0</v>
      </c>
      <c r="K84" s="96">
        <f>+'Sumas y Saldos'!AC70+'Sumas y Saldos'!AC233+'Sumas y Saldos'!AC291+'Sumas y Saldos'!AC295+'Sumas y Saldos'!AC312</f>
        <v>0</v>
      </c>
      <c r="L84" s="96">
        <f>+'Sumas y Saldos'!AF70+'Sumas y Saldos'!AF233+'Sumas y Saldos'!AF291+'Sumas y Saldos'!AF295+'Sumas y Saldos'!AF312</f>
        <v>0</v>
      </c>
      <c r="M84" s="96">
        <f>+'Sumas y Saldos'!W70+'Sumas y Saldos'!W233+'Sumas y Saldos'!W291+'Sumas y Saldos'!W295+'Sumas y Saldos'!W312</f>
        <v>0</v>
      </c>
      <c r="N84" s="96">
        <f>+'Sumas y Saldos'!T70+'Sumas y Saldos'!T233+'Sumas y Saldos'!T291+'Sumas y Saldos'!T295+'Sumas y Saldos'!T312</f>
        <v>0</v>
      </c>
      <c r="O84" s="96">
        <f>+'Sumas y Saldos'!AI70+'Sumas y Saldos'!AI233+'Sumas y Saldos'!AI291+'Sumas y Saldos'!AI295+'Sumas y Saldos'!AI312</f>
        <v>0</v>
      </c>
      <c r="P84" s="96">
        <f>+'Sumas y Saldos'!AO70+'Sumas y Saldos'!AO233+'Sumas y Saldos'!AO291+'Sumas y Saldos'!AO295+'Sumas y Saldos'!AO312</f>
        <v>0</v>
      </c>
      <c r="Q84" s="96">
        <f>+'Sumas y Saldos'!AL70+'Sumas y Saldos'!AL233+'Sumas y Saldos'!AL291+'Sumas y Saldos'!AL295+'Sumas y Saldos'!AL312</f>
        <v>0</v>
      </c>
      <c r="R84" s="96"/>
      <c r="S84" s="96"/>
      <c r="T84" s="96">
        <f>+'Sumas y Saldos'!BD296</f>
        <v>0</v>
      </c>
      <c r="U84" s="96">
        <f>+'Sumas y Saldos'!BM329+'Sumas y Saldos'!BM289</f>
        <v>0</v>
      </c>
      <c r="V84" s="96"/>
      <c r="W84" s="96"/>
      <c r="X84" s="96"/>
      <c r="Y84" s="96"/>
      <c r="Z84" s="96"/>
      <c r="AA84" s="96"/>
      <c r="AB84" s="96"/>
      <c r="AC84" s="96"/>
      <c r="AD84" s="96">
        <v>0</v>
      </c>
      <c r="AE84" s="96">
        <v>13.29</v>
      </c>
      <c r="AF84" s="96">
        <v>0</v>
      </c>
      <c r="AG84" s="96">
        <v>0</v>
      </c>
      <c r="AH84" s="96">
        <v>0</v>
      </c>
      <c r="AI84" s="99">
        <f>SUM(W84:AH84)</f>
        <v>13.29</v>
      </c>
      <c r="AJ84" s="71"/>
      <c r="AK84" s="100"/>
    </row>
    <row r="85" ht="12.75" customHeight="1" spans="1:37" x14ac:dyDescent="0.25">
      <c r="A85" s="71"/>
      <c r="B85" s="71"/>
      <c r="C85" s="93" t="s">
        <v>350</v>
      </c>
      <c r="D85" s="94">
        <f>SUM(F85:V85)+E85</f>
        <v>0</v>
      </c>
      <c r="E85" s="94"/>
      <c r="F85" s="96">
        <v>0</v>
      </c>
      <c r="G85" s="96">
        <v>0</v>
      </c>
      <c r="H85" s="96">
        <v>0</v>
      </c>
      <c r="I85" s="96">
        <v>0</v>
      </c>
      <c r="J85" s="96">
        <v>0</v>
      </c>
      <c r="K85" s="96">
        <v>0</v>
      </c>
      <c r="L85" s="96">
        <v>0</v>
      </c>
      <c r="M85" s="96">
        <v>0</v>
      </c>
      <c r="N85" s="96">
        <v>0</v>
      </c>
      <c r="O85" s="96">
        <v>0</v>
      </c>
      <c r="P85" s="96">
        <v>0</v>
      </c>
      <c r="Q85" s="96">
        <v>0</v>
      </c>
      <c r="R85" s="96"/>
      <c r="S85" s="96"/>
      <c r="T85" s="96">
        <f>+'Sumas y Saldos'!BD297</f>
        <v>0</v>
      </c>
      <c r="U85" s="96"/>
      <c r="V85" s="96"/>
      <c r="W85" s="96"/>
      <c r="X85" s="96"/>
      <c r="Y85" s="96"/>
      <c r="Z85" s="96"/>
      <c r="AA85" s="96"/>
      <c r="AB85" s="96"/>
      <c r="AC85" s="96"/>
      <c r="AD85" s="96">
        <v>0</v>
      </c>
      <c r="AE85" s="96">
        <v>0</v>
      </c>
      <c r="AF85" s="96">
        <v>0</v>
      </c>
      <c r="AG85" s="96">
        <v>0</v>
      </c>
      <c r="AH85" s="96">
        <v>0</v>
      </c>
      <c r="AI85" s="99">
        <f>SUM(W85:AH85)</f>
        <v>0</v>
      </c>
      <c r="AJ85" s="71"/>
      <c r="AK85" s="100"/>
    </row>
    <row r="86" ht="12.75" customHeight="1" spans="1:37" x14ac:dyDescent="0.25">
      <c r="A86" s="71"/>
      <c r="B86" s="71"/>
      <c r="C86" s="93" t="s">
        <v>328</v>
      </c>
      <c r="D86" s="94">
        <f>SUM(F86:V86)+E86</f>
        <v>0</v>
      </c>
      <c r="E86" s="94">
        <f>+'Sumas y Saldos'!G362+'Sumas y Saldos'!S362</f>
        <v>0</v>
      </c>
      <c r="F86" s="96">
        <f>+'Sumas y Saldos'!E97+'Sumas y Saldos'!E365</f>
        <v>0</v>
      </c>
      <c r="G86" s="96">
        <f>+'Sumas y Saldos'!H97+'Sumas y Saldos'!H365</f>
        <v>0</v>
      </c>
      <c r="H86" s="96">
        <f>+'Sumas y Saldos'!K97+'Sumas y Saldos'!K365</f>
        <v>0</v>
      </c>
      <c r="I86" s="96">
        <f>+'Sumas y Saldos'!Q97+'Sumas y Saldos'!Q365</f>
        <v>0</v>
      </c>
      <c r="J86" s="96">
        <f>+'Sumas y Saldos'!Z97+'Sumas y Saldos'!Z365</f>
        <v>0</v>
      </c>
      <c r="K86" s="96">
        <f>+'Sumas y Saldos'!AC97+'Sumas y Saldos'!AC365</f>
        <v>0</v>
      </c>
      <c r="L86" s="96">
        <f>+'Sumas y Saldos'!AF97+'Sumas y Saldos'!AF365</f>
        <v>0</v>
      </c>
      <c r="M86" s="96">
        <f>+'Sumas y Saldos'!W97+'Sumas y Saldos'!W365</f>
        <v>0</v>
      </c>
      <c r="N86" s="96">
        <f>+'Sumas y Saldos'!T97+'Sumas y Saldos'!T365</f>
        <v>0</v>
      </c>
      <c r="O86" s="96">
        <f>+'Sumas y Saldos'!AI97+'Sumas y Saldos'!AI365</f>
        <v>0</v>
      </c>
      <c r="P86" s="96">
        <f>+'Sumas y Saldos'!AO97+'Sumas y Saldos'!AO365</f>
        <v>0</v>
      </c>
      <c r="Q86" s="96">
        <f>+'Sumas y Saldos'!AL97+'Sumas y Saldos'!AL365</f>
        <v>0</v>
      </c>
      <c r="R86" s="96"/>
      <c r="S86" s="96"/>
      <c r="T86" s="96">
        <f>+'Sumas y Saldos'!BD298</f>
        <v>0</v>
      </c>
      <c r="U86" s="96"/>
      <c r="V86" s="96"/>
      <c r="W86" s="96"/>
      <c r="X86" s="96"/>
      <c r="Y86" s="96"/>
      <c r="Z86" s="96"/>
      <c r="AA86" s="96"/>
      <c r="AB86" s="96"/>
      <c r="AC86" s="96"/>
      <c r="AD86" s="96">
        <v>0</v>
      </c>
      <c r="AE86" s="96">
        <v>0</v>
      </c>
      <c r="AF86" s="96">
        <v>9812.85</v>
      </c>
      <c r="AG86" s="96">
        <v>0</v>
      </c>
      <c r="AH86" s="96">
        <v>0</v>
      </c>
      <c r="AI86" s="99">
        <f>SUM(W86:AH86)</f>
        <v>9812.85</v>
      </c>
      <c r="AJ86" s="71"/>
      <c r="AK86" s="100"/>
    </row>
    <row r="87" ht="12.75" customHeight="1" spans="1:37" x14ac:dyDescent="0.25">
      <c r="A87" s="71"/>
      <c r="B87" s="71"/>
      <c r="C87" s="93" t="s">
        <v>772</v>
      </c>
      <c r="D87" s="94">
        <f>SUM(F87:V87)+E87</f>
        <v>0</v>
      </c>
      <c r="E87" s="94"/>
      <c r="F87" s="96">
        <f>+'Sumas y Saldos'!E107+'Sumas y Saldos'!E160+'Sumas y Saldos'!E282+'Sumas y Saldos'!E340</f>
        <v>0</v>
      </c>
      <c r="G87" s="96">
        <f>+'Sumas y Saldos'!H107+'Sumas y Saldos'!H160+'Sumas y Saldos'!H282+'Sumas y Saldos'!H340</f>
        <v>0</v>
      </c>
      <c r="H87" s="96">
        <f>+'Sumas y Saldos'!K107+'Sumas y Saldos'!K160+'Sumas y Saldos'!K282+'Sumas y Saldos'!K340</f>
        <v>0</v>
      </c>
      <c r="I87" s="96">
        <f>+'Sumas y Saldos'!Q107+'Sumas y Saldos'!Q160+'Sumas y Saldos'!Q282+'Sumas y Saldos'!Q340</f>
        <v>0</v>
      </c>
      <c r="J87" s="96">
        <f>+'Sumas y Saldos'!Z107+'Sumas y Saldos'!Z160+'Sumas y Saldos'!Z282+'Sumas y Saldos'!Z340</f>
        <v>0</v>
      </c>
      <c r="K87" s="96">
        <f>+'Sumas y Saldos'!AC107+'Sumas y Saldos'!AC160+'Sumas y Saldos'!AC282+'Sumas y Saldos'!AC340</f>
        <v>0</v>
      </c>
      <c r="L87" s="96">
        <f>+'Sumas y Saldos'!AF107+'Sumas y Saldos'!AF160+'Sumas y Saldos'!AF282+'Sumas y Saldos'!AF340</f>
        <v>0</v>
      </c>
      <c r="M87" s="96">
        <f>+'Sumas y Saldos'!W107+'Sumas y Saldos'!W160+'Sumas y Saldos'!W282+'Sumas y Saldos'!W340</f>
        <v>0</v>
      </c>
      <c r="N87" s="96">
        <f>+'Sumas y Saldos'!T107+'Sumas y Saldos'!T160+'Sumas y Saldos'!T282+'Sumas y Saldos'!T340</f>
        <v>0</v>
      </c>
      <c r="O87" s="96">
        <f>+'Sumas y Saldos'!AI107+'Sumas y Saldos'!AI160+'Sumas y Saldos'!AI282+'Sumas y Saldos'!AI340</f>
        <v>0</v>
      </c>
      <c r="P87" s="96">
        <f>+'Sumas y Saldos'!AO107+'Sumas y Saldos'!AO160+'Sumas y Saldos'!AO282+'Sumas y Saldos'!AO340</f>
        <v>0</v>
      </c>
      <c r="Q87" s="96">
        <f>+'Sumas y Saldos'!AL107+'Sumas y Saldos'!AL160+'Sumas y Saldos'!AL282+'Sumas y Saldos'!AL340</f>
        <v>0</v>
      </c>
      <c r="R87" s="96"/>
      <c r="S87" s="96"/>
      <c r="T87" s="96">
        <f>+'Sumas y Saldos'!BD299</f>
        <v>0</v>
      </c>
      <c r="U87" s="96"/>
      <c r="V87" s="96"/>
      <c r="W87" s="96"/>
      <c r="X87" s="96"/>
      <c r="Y87" s="96"/>
      <c r="Z87" s="96"/>
      <c r="AA87" s="96"/>
      <c r="AB87" s="96"/>
      <c r="AC87" s="96"/>
      <c r="AD87" s="96">
        <v>0</v>
      </c>
      <c r="AE87" s="96">
        <v>0</v>
      </c>
      <c r="AF87" s="96">
        <v>0</v>
      </c>
      <c r="AG87" s="96">
        <v>0</v>
      </c>
      <c r="AH87" s="96">
        <v>165115.85</v>
      </c>
      <c r="AI87" s="99">
        <f>SUM(W87:AH87)</f>
        <v>165115.85</v>
      </c>
      <c r="AJ87" s="71"/>
      <c r="AK87" s="100"/>
    </row>
    <row r="88" ht="12.75" customHeight="1" spans="1:37" x14ac:dyDescent="0.25">
      <c r="A88" s="71"/>
      <c r="B88" s="71"/>
      <c r="C88" s="93" t="s">
        <v>773</v>
      </c>
      <c r="D88" s="94">
        <f>SUM(F88:V88)+E88</f>
        <v>0</v>
      </c>
      <c r="E88" s="94">
        <f>-G88</f>
        <v>0</v>
      </c>
      <c r="F88" s="96">
        <f>+'Sumas y Saldos'!E307</f>
        <v>0</v>
      </c>
      <c r="G88" s="96">
        <f>+'Sumas y Saldos'!H307</f>
        <v>0</v>
      </c>
      <c r="H88" s="96">
        <f>+'Sumas y Saldos'!K307</f>
        <v>0</v>
      </c>
      <c r="I88" s="96">
        <f>+'Sumas y Saldos'!Q307</f>
        <v>0</v>
      </c>
      <c r="J88" s="96">
        <f>+'Sumas y Saldos'!Z307</f>
        <v>0</v>
      </c>
      <c r="K88" s="96">
        <f>+'Sumas y Saldos'!AC307</f>
        <v>0</v>
      </c>
      <c r="L88" s="96">
        <f>+'Sumas y Saldos'!AF307</f>
        <v>0</v>
      </c>
      <c r="M88" s="96">
        <f>+'Sumas y Saldos'!W307</f>
        <v>0</v>
      </c>
      <c r="N88" s="96">
        <f>+'Sumas y Saldos'!T307</f>
        <v>0</v>
      </c>
      <c r="O88" s="96">
        <f>+'Sumas y Saldos'!AI307</f>
        <v>0</v>
      </c>
      <c r="P88" s="96">
        <f>+'Sumas y Saldos'!AO307</f>
        <v>0</v>
      </c>
      <c r="Q88" s="96">
        <f>+'Sumas y Saldos'!AL307</f>
        <v>0</v>
      </c>
      <c r="R88" s="96"/>
      <c r="S88" s="96"/>
      <c r="T88" s="96">
        <f>+'Sumas y Saldos'!BD300</f>
        <v>0</v>
      </c>
      <c r="U88" s="96"/>
      <c r="V88" s="96"/>
      <c r="W88" s="96"/>
      <c r="X88" s="96"/>
      <c r="Y88" s="96"/>
      <c r="Z88" s="96"/>
      <c r="AA88" s="96"/>
      <c r="AB88" s="96"/>
      <c r="AC88" s="96"/>
      <c r="AD88" s="96">
        <v>0</v>
      </c>
      <c r="AE88" s="96">
        <v>0</v>
      </c>
      <c r="AF88" s="96">
        <v>0</v>
      </c>
      <c r="AG88" s="96">
        <v>0</v>
      </c>
      <c r="AH88" s="96">
        <v>0</v>
      </c>
      <c r="AI88" s="99">
        <f>SUM(W88:AH88)</f>
        <v>0</v>
      </c>
      <c r="AJ88" s="71"/>
      <c r="AK88" s="100"/>
    </row>
    <row r="89" ht="12.75" customHeight="1" spans="1:37" x14ac:dyDescent="0.25">
      <c r="A89" s="71"/>
      <c r="B89" s="71"/>
      <c r="C89" s="93" t="str">
        <f>+'Sumas y Saldos'!B119</f>
        <v>GASTOS DE ESPECTROMETRÍA</v>
      </c>
      <c r="D89" s="94">
        <f>SUM(F89:V89)+E89</f>
        <v>0</v>
      </c>
      <c r="E89" s="94">
        <v>0</v>
      </c>
      <c r="F89" s="96">
        <v>0</v>
      </c>
      <c r="G89" s="96">
        <v>0</v>
      </c>
      <c r="H89" s="96">
        <v>0</v>
      </c>
      <c r="I89" s="96">
        <v>0</v>
      </c>
      <c r="J89" s="96">
        <v>0</v>
      </c>
      <c r="K89" s="96">
        <v>0</v>
      </c>
      <c r="L89" s="96">
        <v>0</v>
      </c>
      <c r="M89" s="96">
        <v>0</v>
      </c>
      <c r="N89" s="96">
        <v>0</v>
      </c>
      <c r="O89" s="96">
        <v>0</v>
      </c>
      <c r="P89" s="96">
        <v>0</v>
      </c>
      <c r="Q89" s="96">
        <v>0</v>
      </c>
      <c r="R89" s="96"/>
      <c r="S89" s="96"/>
      <c r="T89" s="96">
        <f>+'Sumas y Saldos'!BD301</f>
        <v>0</v>
      </c>
      <c r="U89" s="96"/>
      <c r="V89" s="96"/>
      <c r="W89" s="96"/>
      <c r="X89" s="96"/>
      <c r="Y89" s="96"/>
      <c r="Z89" s="96"/>
      <c r="AA89" s="96"/>
      <c r="AB89" s="96"/>
      <c r="AC89" s="96"/>
      <c r="AD89" s="96">
        <v>0</v>
      </c>
      <c r="AE89" s="96">
        <v>0</v>
      </c>
      <c r="AF89" s="96">
        <v>0</v>
      </c>
      <c r="AG89" s="96">
        <v>0</v>
      </c>
      <c r="AH89" s="96">
        <v>69.84</v>
      </c>
      <c r="AI89" s="99">
        <f>SUM(W89:AH89)</f>
        <v>69.84</v>
      </c>
      <c r="AJ89" s="71"/>
      <c r="AK89" s="100"/>
    </row>
    <row r="90" ht="12.75" customHeight="1" spans="1:37" x14ac:dyDescent="0.25">
      <c r="A90" s="71"/>
      <c r="B90" s="71"/>
      <c r="C90" s="93" t="s">
        <v>774</v>
      </c>
      <c r="D90" s="94">
        <f>SUM(F90:V90)+E90</f>
        <v>0</v>
      </c>
      <c r="E90" s="94"/>
      <c r="F90" s="96">
        <v>0</v>
      </c>
      <c r="G90" s="96">
        <v>0</v>
      </c>
      <c r="H90" s="96">
        <v>0</v>
      </c>
      <c r="I90" s="96">
        <v>0</v>
      </c>
      <c r="J90" s="96">
        <v>0</v>
      </c>
      <c r="K90" s="96">
        <v>0</v>
      </c>
      <c r="L90" s="96">
        <v>0</v>
      </c>
      <c r="M90" s="96">
        <v>0</v>
      </c>
      <c r="N90" s="96">
        <v>0</v>
      </c>
      <c r="O90" s="96">
        <v>0</v>
      </c>
      <c r="P90" s="96">
        <v>0</v>
      </c>
      <c r="Q90" s="96">
        <v>0</v>
      </c>
      <c r="R90" s="96"/>
      <c r="S90" s="96"/>
      <c r="T90" s="96">
        <f>+'Sumas y Saldos'!BD302</f>
        <v>0</v>
      </c>
      <c r="U90" s="96">
        <f>+'Sumas y Saldos'!BM126</f>
        <v>0</v>
      </c>
      <c r="V90" s="96"/>
      <c r="W90" s="96"/>
      <c r="X90" s="96"/>
      <c r="Y90" s="96"/>
      <c r="Z90" s="96"/>
      <c r="AA90" s="96"/>
      <c r="AB90" s="96"/>
      <c r="AC90" s="96"/>
      <c r="AD90" s="96">
        <v>0</v>
      </c>
      <c r="AE90" s="96">
        <v>0</v>
      </c>
      <c r="AF90" s="96">
        <v>0</v>
      </c>
      <c r="AG90" s="96">
        <v>0</v>
      </c>
      <c r="AH90" s="96">
        <v>0</v>
      </c>
      <c r="AI90" s="99">
        <f>SUM(W90:AH90)</f>
        <v>0</v>
      </c>
      <c r="AJ90" s="71"/>
      <c r="AK90" s="100"/>
    </row>
    <row r="91" ht="12.75" customHeight="1" spans="1:37" x14ac:dyDescent="0.25">
      <c r="A91" s="71"/>
      <c r="B91" s="71"/>
      <c r="C91" s="93" t="s">
        <v>775</v>
      </c>
      <c r="D91" s="94">
        <f>SUM(F91:V91)+E91</f>
        <v>0</v>
      </c>
      <c r="E91" s="94"/>
      <c r="F91" s="96">
        <f>+'Sumas y Saldos'!E88+'Sumas y Saldos'!E118+'Sumas y Saldos'!E120+'Sumas y Saldos'!E123+'Sumas y Saldos'!E124+'Sumas y Saldos'!E126+'Sumas y Saldos'!E127+'Sumas y Saldos'!E128+'Sumas y Saldos'!E129+'Sumas y Saldos'!E176+'Sumas y Saldos'!E192+'Sumas y Saldos'!E242+'Sumas y Saldos'!E243+'Sumas y Saldos'!E258+'Sumas y Saldos'!E290+'Sumas y Saldos'!E375+'Sumas y Saldos'!E382+'Sumas y Saldos'!E393</f>
        <v>0</v>
      </c>
      <c r="G91" s="96">
        <f>+'Sumas y Saldos'!H88+'Sumas y Saldos'!H118+'Sumas y Saldos'!H120+'Sumas y Saldos'!H123+'Sumas y Saldos'!H124+'Sumas y Saldos'!H126+'Sumas y Saldos'!H127+'Sumas y Saldos'!H128+'Sumas y Saldos'!H129+'Sumas y Saldos'!H176+'Sumas y Saldos'!H192+'Sumas y Saldos'!H242+'Sumas y Saldos'!H243+'Sumas y Saldos'!H258+'Sumas y Saldos'!H290+'Sumas y Saldos'!H375+'Sumas y Saldos'!H382+'Sumas y Saldos'!H393</f>
        <v>0</v>
      </c>
      <c r="H91" s="96">
        <f>+'Sumas y Saldos'!K88+'Sumas y Saldos'!K118+'Sumas y Saldos'!K120+'Sumas y Saldos'!K123+'Sumas y Saldos'!K124+'Sumas y Saldos'!K126+'Sumas y Saldos'!K127+'Sumas y Saldos'!K128+'Sumas y Saldos'!K129+'Sumas y Saldos'!K176+'Sumas y Saldos'!K192+'Sumas y Saldos'!K242+'Sumas y Saldos'!K243+'Sumas y Saldos'!K258+'Sumas y Saldos'!K290+'Sumas y Saldos'!K375+'Sumas y Saldos'!K382+'Sumas y Saldos'!K393</f>
        <v>0</v>
      </c>
      <c r="I91" s="96">
        <f>+'Sumas y Saldos'!Q88+'Sumas y Saldos'!Q118+'Sumas y Saldos'!Q120+'Sumas y Saldos'!Q123+'Sumas y Saldos'!Q124+'Sumas y Saldos'!Q126+'Sumas y Saldos'!Q127+'Sumas y Saldos'!Q128+'Sumas y Saldos'!Q129+'Sumas y Saldos'!Q176+'Sumas y Saldos'!Q192+'Sumas y Saldos'!Q242+'Sumas y Saldos'!Q243+'Sumas y Saldos'!Q258+'Sumas y Saldos'!Q290+'Sumas y Saldos'!Q375+'Sumas y Saldos'!Q382+'Sumas y Saldos'!Q393</f>
        <v>0</v>
      </c>
      <c r="J91" s="96">
        <f>+'Sumas y Saldos'!Z88+'Sumas y Saldos'!Z118+'Sumas y Saldos'!Z120+'Sumas y Saldos'!Z123+'Sumas y Saldos'!Z124+'Sumas y Saldos'!Z126+'Sumas y Saldos'!Z127+'Sumas y Saldos'!Z128+'Sumas y Saldos'!Z129+'Sumas y Saldos'!Z176+'Sumas y Saldos'!Z192+'Sumas y Saldos'!Z242+'Sumas y Saldos'!Z243+'Sumas y Saldos'!Z258+'Sumas y Saldos'!Z290+'Sumas y Saldos'!Z375+'Sumas y Saldos'!Z382+'Sumas y Saldos'!Z393</f>
        <v>0</v>
      </c>
      <c r="K91" s="96">
        <f>+'Sumas y Saldos'!AC88+'Sumas y Saldos'!AC118+'Sumas y Saldos'!AC120+'Sumas y Saldos'!AC123+'Sumas y Saldos'!AC124+'Sumas y Saldos'!AC126+'Sumas y Saldos'!AC127+'Sumas y Saldos'!AC128+'Sumas y Saldos'!AC129+'Sumas y Saldos'!AC176+'Sumas y Saldos'!AC192+'Sumas y Saldos'!AC242+'Sumas y Saldos'!AC243+'Sumas y Saldos'!AC258+'Sumas y Saldos'!AC290+'Sumas y Saldos'!AC375+'Sumas y Saldos'!AC382+'Sumas y Saldos'!AC393</f>
        <v>0</v>
      </c>
      <c r="L91" s="96">
        <f>+'Sumas y Saldos'!AF88+'Sumas y Saldos'!AF118+'Sumas y Saldos'!AF120+'Sumas y Saldos'!AF123+'Sumas y Saldos'!AF124+'Sumas y Saldos'!AF126+'Sumas y Saldos'!AF127+'Sumas y Saldos'!AF128+'Sumas y Saldos'!AF129+'Sumas y Saldos'!AF176+'Sumas y Saldos'!AF192+'Sumas y Saldos'!AF242+'Sumas y Saldos'!AF243+'Sumas y Saldos'!AF258+'Sumas y Saldos'!AF290+'Sumas y Saldos'!AF375+'Sumas y Saldos'!AF382+'Sumas y Saldos'!AF393</f>
        <v>0</v>
      </c>
      <c r="M91" s="96">
        <f>+'Sumas y Saldos'!W88+'Sumas y Saldos'!W118+'Sumas y Saldos'!W120+'Sumas y Saldos'!W123+'Sumas y Saldos'!W124+'Sumas y Saldos'!W126+'Sumas y Saldos'!W127+'Sumas y Saldos'!W128+'Sumas y Saldos'!W129+'Sumas y Saldos'!W176+'Sumas y Saldos'!W192+'Sumas y Saldos'!W242+'Sumas y Saldos'!W243+'Sumas y Saldos'!W258+'Sumas y Saldos'!W290+'Sumas y Saldos'!W375+'Sumas y Saldos'!W382+'Sumas y Saldos'!W393</f>
        <v>0</v>
      </c>
      <c r="N91" s="96">
        <f>+'Sumas y Saldos'!T88+'Sumas y Saldos'!T118+'Sumas y Saldos'!T120+'Sumas y Saldos'!T123+'Sumas y Saldos'!T124+'Sumas y Saldos'!T126+'Sumas y Saldos'!T127+'Sumas y Saldos'!T128+'Sumas y Saldos'!T129+'Sumas y Saldos'!T176+'Sumas y Saldos'!T192+'Sumas y Saldos'!T242+'Sumas y Saldos'!T243+'Sumas y Saldos'!T258+'Sumas y Saldos'!T290+'Sumas y Saldos'!T375+'Sumas y Saldos'!T382+'Sumas y Saldos'!T393</f>
        <v>0</v>
      </c>
      <c r="O91" s="96">
        <f>+'Sumas y Saldos'!AI88+'Sumas y Saldos'!AI118+'Sumas y Saldos'!AI120+'Sumas y Saldos'!AI123+'Sumas y Saldos'!AI124+'Sumas y Saldos'!AI126+'Sumas y Saldos'!AI127+'Sumas y Saldos'!AI128+'Sumas y Saldos'!AI129+'Sumas y Saldos'!AI176+'Sumas y Saldos'!AI192+'Sumas y Saldos'!AI242+'Sumas y Saldos'!AI243+'Sumas y Saldos'!AI258+'Sumas y Saldos'!AI290+'Sumas y Saldos'!AI375+'Sumas y Saldos'!AI382+'Sumas y Saldos'!AI393</f>
        <v>0</v>
      </c>
      <c r="P91" s="96">
        <f>+'Sumas y Saldos'!AO88+'Sumas y Saldos'!AO118+'Sumas y Saldos'!AO120+'Sumas y Saldos'!AO123+'Sumas y Saldos'!AO124+'Sumas y Saldos'!AO126+'Sumas y Saldos'!AO127+'Sumas y Saldos'!AO128+'Sumas y Saldos'!AO129+'Sumas y Saldos'!AO176+'Sumas y Saldos'!AO192+'Sumas y Saldos'!AO242+'Sumas y Saldos'!AO243+'Sumas y Saldos'!AO258+'Sumas y Saldos'!AO290+'Sumas y Saldos'!AO375+'Sumas y Saldos'!AO382+'Sumas y Saldos'!AO393</f>
        <v>0</v>
      </c>
      <c r="Q91" s="96">
        <f>+'Sumas y Saldos'!AL88+'Sumas y Saldos'!AL118+'Sumas y Saldos'!AL120+'Sumas y Saldos'!AL123+'Sumas y Saldos'!AL124+'Sumas y Saldos'!AL126+'Sumas y Saldos'!AL127+'Sumas y Saldos'!AL128+'Sumas y Saldos'!AL129+'Sumas y Saldos'!AL176+'Sumas y Saldos'!AL192+'Sumas y Saldos'!AL242+'Sumas y Saldos'!AL243+'Sumas y Saldos'!AL258+'Sumas y Saldos'!AL290+'Sumas y Saldos'!AL375+'Sumas y Saldos'!AL382+'Sumas y Saldos'!AL393</f>
        <v>0</v>
      </c>
      <c r="R91" s="96"/>
      <c r="S91" s="96"/>
      <c r="T91" s="96">
        <f>+'Sumas y Saldos'!BD303</f>
        <v>0</v>
      </c>
      <c r="U91" s="96">
        <f>+'Sumas y Saldos'!BM345</f>
        <v>0</v>
      </c>
      <c r="V91" s="96"/>
      <c r="W91" s="96"/>
      <c r="X91" s="96"/>
      <c r="Y91" s="96"/>
      <c r="Z91" s="96"/>
      <c r="AA91" s="96"/>
      <c r="AB91" s="96"/>
      <c r="AC91" s="96"/>
      <c r="AD91" s="96">
        <v>0</v>
      </c>
      <c r="AE91" s="96">
        <v>0</v>
      </c>
      <c r="AF91" s="96">
        <v>4965.52</v>
      </c>
      <c r="AG91" s="96">
        <v>0</v>
      </c>
      <c r="AH91" s="96">
        <v>0</v>
      </c>
      <c r="AI91" s="99">
        <f>SUM(W91:AH91)</f>
        <v>4965.52</v>
      </c>
      <c r="AJ91" s="71"/>
      <c r="AK91" s="100"/>
    </row>
    <row r="92" ht="12.75" customHeight="1" spans="1:37" x14ac:dyDescent="0.25">
      <c r="A92" s="71"/>
      <c r="B92" s="71"/>
      <c r="C92" s="93" t="str">
        <f>+'Sumas y Saldos'!B122</f>
        <v>I - R AMBIENTAL</v>
      </c>
      <c r="D92" s="94">
        <f>SUM(F92:V92)+E92</f>
        <v>0</v>
      </c>
      <c r="E92" s="94"/>
      <c r="F92" s="96">
        <v>0</v>
      </c>
      <c r="G92" s="96">
        <v>0</v>
      </c>
      <c r="H92" s="96">
        <v>0</v>
      </c>
      <c r="I92" s="96">
        <v>0</v>
      </c>
      <c r="J92" s="96">
        <v>0</v>
      </c>
      <c r="K92" s="96">
        <v>0</v>
      </c>
      <c r="L92" s="96">
        <v>0</v>
      </c>
      <c r="M92" s="96">
        <v>0</v>
      </c>
      <c r="N92" s="96">
        <v>0</v>
      </c>
      <c r="O92" s="96">
        <v>0</v>
      </c>
      <c r="P92" s="96">
        <v>0</v>
      </c>
      <c r="Q92" s="96">
        <v>0</v>
      </c>
      <c r="R92" s="96"/>
      <c r="S92" s="96"/>
      <c r="T92" s="96">
        <f>+'Sumas y Saldos'!BD304</f>
        <v>0</v>
      </c>
      <c r="U92" s="96"/>
      <c r="V92" s="96"/>
      <c r="W92" s="96"/>
      <c r="X92" s="96"/>
      <c r="Y92" s="96"/>
      <c r="Z92" s="96"/>
      <c r="AA92" s="96"/>
      <c r="AB92" s="96"/>
      <c r="AC92" s="96"/>
      <c r="AD92" s="96">
        <v>0</v>
      </c>
      <c r="AE92" s="96">
        <v>0</v>
      </c>
      <c r="AF92" s="96">
        <v>0</v>
      </c>
      <c r="AG92" s="96">
        <v>0</v>
      </c>
      <c r="AH92" s="96">
        <v>0</v>
      </c>
      <c r="AI92" s="99">
        <f>SUM(W92:AH92)</f>
        <v>0</v>
      </c>
      <c r="AJ92" s="71"/>
      <c r="AK92" s="100"/>
    </row>
    <row r="93" ht="12.75" customHeight="1" spans="1:37" x14ac:dyDescent="0.25">
      <c r="A93" s="71"/>
      <c r="B93" s="71"/>
      <c r="C93" s="93" t="s">
        <v>457</v>
      </c>
      <c r="D93" s="94">
        <f>SUM(F93:V93)+E93</f>
        <v>0</v>
      </c>
      <c r="E93" s="94">
        <f>+'Sumas y Saldos'!D121+'Sumas y Saldos'!D153+'Sumas y Saldos'!D154+'Sumas y Saldos'!P153+'Sumas y Saldos'!S153+'Sumas y Saldos'!Y153+'Sumas y Saldos'!AN259</f>
        <v>0</v>
      </c>
      <c r="F93" s="96">
        <f>+'Sumas y Saldos'!E228</f>
        <v>0</v>
      </c>
      <c r="G93" s="96">
        <f>+'Sumas y Saldos'!H228</f>
        <v>0</v>
      </c>
      <c r="H93" s="96">
        <f>+'Sumas y Saldos'!K228</f>
        <v>0</v>
      </c>
      <c r="I93" s="96">
        <f>+'Sumas y Saldos'!Q228</f>
        <v>0</v>
      </c>
      <c r="J93" s="96">
        <f>+'Sumas y Saldos'!Z228</f>
        <v>0</v>
      </c>
      <c r="K93" s="96">
        <f>+'Sumas y Saldos'!AC228</f>
        <v>0</v>
      </c>
      <c r="L93" s="96">
        <f>+'Sumas y Saldos'!AF228</f>
        <v>0</v>
      </c>
      <c r="M93" s="96">
        <f>+'Sumas y Saldos'!W228</f>
        <v>0</v>
      </c>
      <c r="N93" s="96">
        <f>+'Sumas y Saldos'!T228</f>
        <v>0</v>
      </c>
      <c r="O93" s="96">
        <f>+'Sumas y Saldos'!AI228</f>
        <v>0</v>
      </c>
      <c r="P93" s="96">
        <f>+'Sumas y Saldos'!AO228</f>
        <v>0</v>
      </c>
      <c r="Q93" s="96">
        <f>+'Sumas y Saldos'!AL228</f>
        <v>0</v>
      </c>
      <c r="R93" s="96"/>
      <c r="S93" s="96"/>
      <c r="T93" s="96">
        <f>+'Sumas y Saldos'!BD305</f>
        <v>0</v>
      </c>
      <c r="U93" s="96"/>
      <c r="V93" s="96">
        <f>+'Sumas y Saldos'!BP228</f>
        <v>0</v>
      </c>
      <c r="W93" s="96"/>
      <c r="X93" s="96"/>
      <c r="Y93" s="96"/>
      <c r="Z93" s="96"/>
      <c r="AA93" s="96"/>
      <c r="AB93" s="96"/>
      <c r="AC93" s="96"/>
      <c r="AD93" s="96">
        <v>0</v>
      </c>
      <c r="AE93" s="96">
        <v>0</v>
      </c>
      <c r="AF93" s="96">
        <v>0</v>
      </c>
      <c r="AG93" s="96">
        <v>0</v>
      </c>
      <c r="AH93" s="96">
        <v>0</v>
      </c>
      <c r="AI93" s="99">
        <f>SUM(W93:AH93)</f>
        <v>0</v>
      </c>
      <c r="AJ93" s="71"/>
      <c r="AK93" s="100"/>
    </row>
    <row r="94" ht="12.75" customHeight="1" spans="1:37" x14ac:dyDescent="0.25">
      <c r="A94" s="71"/>
      <c r="B94" s="71"/>
      <c r="C94" s="93" t="s">
        <v>464</v>
      </c>
      <c r="D94" s="94">
        <f>SUM(F94:V94)+E94</f>
        <v>0</v>
      </c>
      <c r="E94" s="94"/>
      <c r="F94" s="96">
        <f>+'Sumas y Saldos'!E235</f>
        <v>0</v>
      </c>
      <c r="G94" s="96">
        <f>+'Sumas y Saldos'!H235</f>
        <v>0</v>
      </c>
      <c r="H94" s="96">
        <f>+'Sumas y Saldos'!K235</f>
        <v>0</v>
      </c>
      <c r="I94" s="103">
        <f>+'Sumas y Saldos'!Q235</f>
        <v>0</v>
      </c>
      <c r="J94" s="96">
        <f>+'Sumas y Saldos'!Z235</f>
        <v>0</v>
      </c>
      <c r="K94" s="96">
        <f>+'Sumas y Saldos'!AC235</f>
        <v>0</v>
      </c>
      <c r="L94" s="96">
        <f>+'Sumas y Saldos'!AF235</f>
        <v>0</v>
      </c>
      <c r="M94" s="96">
        <f>+'Sumas y Saldos'!W235</f>
        <v>0</v>
      </c>
      <c r="N94" s="96">
        <f>+'Sumas y Saldos'!T235</f>
        <v>0</v>
      </c>
      <c r="O94" s="96">
        <f>+'Sumas y Saldos'!AI235</f>
        <v>0</v>
      </c>
      <c r="P94" s="96">
        <f>+'Sumas y Saldos'!AO235</f>
        <v>0</v>
      </c>
      <c r="Q94" s="96">
        <f>+'Sumas y Saldos'!AL235</f>
        <v>0</v>
      </c>
      <c r="R94" s="96"/>
      <c r="S94" s="96"/>
      <c r="T94" s="96">
        <f>+'Sumas y Saldos'!BD306</f>
        <v>0</v>
      </c>
      <c r="U94" s="96"/>
      <c r="V94" s="96">
        <f>+'Sumas y Saldos'!BP234</f>
        <v>0</v>
      </c>
      <c r="W94" s="96"/>
      <c r="X94" s="96"/>
      <c r="Y94" s="96"/>
      <c r="Z94" s="96"/>
      <c r="AA94" s="96"/>
      <c r="AB94" s="96"/>
      <c r="AC94" s="96"/>
      <c r="AD94" s="96">
        <v>0</v>
      </c>
      <c r="AE94" s="96">
        <v>1626.32</v>
      </c>
      <c r="AF94" s="96">
        <v>0</v>
      </c>
      <c r="AG94" s="96">
        <v>1299.04</v>
      </c>
      <c r="AH94" s="96">
        <v>0</v>
      </c>
      <c r="AI94" s="99">
        <f>SUM(W94:AH94)</f>
        <v>2925.3599999999997</v>
      </c>
      <c r="AJ94" s="71"/>
      <c r="AK94" s="100"/>
    </row>
    <row r="95" ht="12.75" customHeight="1" spans="1:37" x14ac:dyDescent="0.25">
      <c r="A95" s="71"/>
      <c r="B95" s="71"/>
      <c r="C95" s="93" t="s">
        <v>477</v>
      </c>
      <c r="D95" s="94">
        <f>SUM(F95:V95)+E95</f>
        <v>0</v>
      </c>
      <c r="E95" s="94"/>
      <c r="F95" s="96">
        <f>+'Sumas y Saldos'!E248+'Sumas y Saldos'!E377</f>
        <v>0</v>
      </c>
      <c r="G95" s="96">
        <f>+'Sumas y Saldos'!H248+'Sumas y Saldos'!H377</f>
        <v>0</v>
      </c>
      <c r="H95" s="96">
        <f>+'Sumas y Saldos'!K248+'Sumas y Saldos'!K377</f>
        <v>0</v>
      </c>
      <c r="I95" s="103">
        <f>+'Sumas y Saldos'!Q248+'Sumas y Saldos'!Q377</f>
        <v>0</v>
      </c>
      <c r="J95" s="96">
        <f>+'Sumas y Saldos'!Z248+'Sumas y Saldos'!Z377</f>
        <v>0</v>
      </c>
      <c r="K95" s="96">
        <f>+'Sumas y Saldos'!AC248+'Sumas y Saldos'!AC377</f>
        <v>0</v>
      </c>
      <c r="L95" s="96">
        <f>+'Sumas y Saldos'!AF248+'Sumas y Saldos'!AF377</f>
        <v>0</v>
      </c>
      <c r="M95" s="96">
        <f>+'Sumas y Saldos'!W248+'Sumas y Saldos'!W377</f>
        <v>0</v>
      </c>
      <c r="N95" s="96">
        <f>+'Sumas y Saldos'!T248+'Sumas y Saldos'!T377</f>
        <v>0</v>
      </c>
      <c r="O95" s="104">
        <f>+'Sumas y Saldos'!AI248+'Sumas y Saldos'!AI377</f>
        <v>0</v>
      </c>
      <c r="P95" s="105">
        <f>+'Sumas y Saldos'!AO248+'Sumas y Saldos'!AO377</f>
        <v>0</v>
      </c>
      <c r="Q95" s="96">
        <f>+'Sumas y Saldos'!AL248+'Sumas y Saldos'!AL377</f>
        <v>0</v>
      </c>
      <c r="R95" s="96"/>
      <c r="S95" s="96"/>
      <c r="T95" s="96">
        <f>+'Sumas y Saldos'!BD311</f>
        <v>0</v>
      </c>
      <c r="U95" s="96">
        <f>+'Sumas y Saldos'!BM395+'Sumas y Saldos'!BM295+'Sumas y Saldos'!BK396</f>
        <v>0</v>
      </c>
      <c r="V95" s="96"/>
      <c r="W95" s="96"/>
      <c r="X95" s="96"/>
      <c r="Y95" s="96"/>
      <c r="Z95" s="96"/>
      <c r="AA95" s="96"/>
      <c r="AB95" s="96"/>
      <c r="AC95" s="96"/>
      <c r="AD95" s="96">
        <v>0</v>
      </c>
      <c r="AE95" s="96">
        <v>163.4</v>
      </c>
      <c r="AF95" s="96">
        <v>487.94</v>
      </c>
      <c r="AG95" s="96">
        <v>0</v>
      </c>
      <c r="AH95" s="96">
        <v>0</v>
      </c>
      <c r="AI95" s="99">
        <f>SUM(W95:AH95)</f>
        <v>651.34</v>
      </c>
      <c r="AJ95" s="71"/>
      <c r="AK95" s="100"/>
    </row>
    <row r="96" ht="12.75" customHeight="1" spans="1:37" x14ac:dyDescent="0.25">
      <c r="A96" s="71"/>
      <c r="B96" s="71"/>
      <c r="C96" s="93" t="s">
        <v>776</v>
      </c>
      <c r="D96" s="94">
        <f>SUM(F96:V96)+E96</f>
        <v>2144.09</v>
      </c>
      <c r="E96" s="94">
        <f>-'Sumas y Saldos'!D172</f>
        <v>0</v>
      </c>
      <c r="F96" s="96">
        <f>+'Sumas y Saldos'!E172+'Sumas y Saldos'!E260</f>
        <v>2144.09</v>
      </c>
      <c r="G96" s="96">
        <f>+'Sumas y Saldos'!H172+'Sumas y Saldos'!H260</f>
        <v>0</v>
      </c>
      <c r="H96" s="96">
        <f>+'Sumas y Saldos'!K172+'Sumas y Saldos'!K260</f>
        <v>0</v>
      </c>
      <c r="I96" s="103">
        <f>+'Sumas y Saldos'!Q172+'Sumas y Saldos'!Q260</f>
        <v>0</v>
      </c>
      <c r="J96" s="96">
        <f>+'Sumas y Saldos'!Z172+'Sumas y Saldos'!Z260</f>
        <v>0</v>
      </c>
      <c r="K96" s="96">
        <f>+'Sumas y Saldos'!AC172+'Sumas y Saldos'!AC260</f>
        <v>0</v>
      </c>
      <c r="L96" s="96">
        <f>+'Sumas y Saldos'!AF172+'Sumas y Saldos'!AF260</f>
        <v>0</v>
      </c>
      <c r="M96" s="96">
        <f>+'Sumas y Saldos'!W172+'Sumas y Saldos'!W260</f>
        <v>0</v>
      </c>
      <c r="N96" s="96">
        <f>+'Sumas y Saldos'!T172+'Sumas y Saldos'!T260</f>
        <v>0</v>
      </c>
      <c r="O96" s="104">
        <f>+'Sumas y Saldos'!AI172+'Sumas y Saldos'!AI260</f>
        <v>0</v>
      </c>
      <c r="P96" s="105">
        <f>+'Sumas y Saldos'!AO172+'Sumas y Saldos'!AO260</f>
        <v>0</v>
      </c>
      <c r="Q96" s="104">
        <f>+'Sumas y Saldos'!AL172+'Sumas y Saldos'!AL260</f>
        <v>0</v>
      </c>
      <c r="R96" s="97"/>
      <c r="S96" s="97"/>
      <c r="T96" s="96">
        <f>+'Sumas y Saldos'!BD312</f>
        <v>0</v>
      </c>
      <c r="U96" s="97"/>
      <c r="V96" s="96"/>
      <c r="W96" s="96"/>
      <c r="X96" s="96"/>
      <c r="Y96" s="96"/>
      <c r="Z96" s="96"/>
      <c r="AA96" s="96"/>
      <c r="AB96" s="96"/>
      <c r="AC96" s="96"/>
      <c r="AD96" s="96">
        <v>2144.09</v>
      </c>
      <c r="AE96" s="96">
        <v>2148.96</v>
      </c>
      <c r="AF96" s="96">
        <v>-1002.87</v>
      </c>
      <c r="AG96" s="96">
        <v>-12621.6</v>
      </c>
      <c r="AH96" s="96">
        <v>2919.19</v>
      </c>
      <c r="AI96" s="99">
        <f>SUM(W96:AH96)</f>
        <v>-6412.23</v>
      </c>
      <c r="AJ96" s="71"/>
      <c r="AK96" s="100"/>
    </row>
    <row r="97" ht="12.75" customHeight="1" spans="1:37" x14ac:dyDescent="0.25">
      <c r="A97" s="71"/>
      <c r="B97" s="71"/>
      <c r="C97" s="93" t="s">
        <v>777</v>
      </c>
      <c r="D97" s="94">
        <f>SUM(F97:V97)+E97</f>
        <v>0</v>
      </c>
      <c r="E97" s="94"/>
      <c r="F97" s="96">
        <f>+'Sumas y Saldos'!E49+'Sumas y Saldos'!E137+'Sumas y Saldos'!E158+'Sumas y Saldos'!E174+'Sumas y Saldos'!E199+'Sumas y Saldos'!E221+'Sumas y Saldos'!E262+'Sumas y Saldos'!E292+'Sumas y Saldos'!E352+'Sumas y Saldos'!E359+'Sumas y Saldos'!E361+'Sumas y Saldos'!E376</f>
        <v>0</v>
      </c>
      <c r="G97" s="96">
        <f>+'Sumas y Saldos'!H49+'Sumas y Saldos'!H137+'Sumas y Saldos'!H158+'Sumas y Saldos'!H174+'Sumas y Saldos'!H199+'Sumas y Saldos'!H221+'Sumas y Saldos'!H262+'Sumas y Saldos'!H292+'Sumas y Saldos'!H352+'Sumas y Saldos'!H359+'Sumas y Saldos'!H361+'Sumas y Saldos'!H376</f>
        <v>0</v>
      </c>
      <c r="H97" s="96">
        <f>+'Sumas y Saldos'!K49+'Sumas y Saldos'!K137+'Sumas y Saldos'!K158+'Sumas y Saldos'!K174+'Sumas y Saldos'!K199+'Sumas y Saldos'!K221+'Sumas y Saldos'!K262+'Sumas y Saldos'!K292+'Sumas y Saldos'!K352+'Sumas y Saldos'!K359+'Sumas y Saldos'!K361+'Sumas y Saldos'!K376</f>
        <v>0</v>
      </c>
      <c r="I97" s="103">
        <f>+'Sumas y Saldos'!Q49+'Sumas y Saldos'!Q137+'Sumas y Saldos'!Q158+'Sumas y Saldos'!Q174+'Sumas y Saldos'!Q199+'Sumas y Saldos'!Q221+'Sumas y Saldos'!Q262+'Sumas y Saldos'!Q292+'Sumas y Saldos'!Q352+'Sumas y Saldos'!Q359+'Sumas y Saldos'!Q361+'Sumas y Saldos'!Q376</f>
        <v>0</v>
      </c>
      <c r="J97" s="96">
        <f>+'Sumas y Saldos'!Z49+'Sumas y Saldos'!Z137+'Sumas y Saldos'!Z158+'Sumas y Saldos'!Z174+'Sumas y Saldos'!Z199+'Sumas y Saldos'!Z221+'Sumas y Saldos'!Z262+'Sumas y Saldos'!Z292+'Sumas y Saldos'!Z352+'Sumas y Saldos'!Z359+'Sumas y Saldos'!Z361+'Sumas y Saldos'!Z376</f>
        <v>0</v>
      </c>
      <c r="K97" s="96">
        <f>+'Sumas y Saldos'!AC49+'Sumas y Saldos'!AC137+'Sumas y Saldos'!AC158+'Sumas y Saldos'!AC174+'Sumas y Saldos'!AC199+'Sumas y Saldos'!AC221+'Sumas y Saldos'!AC262+'Sumas y Saldos'!AC292+'Sumas y Saldos'!AC352+'Sumas y Saldos'!AC359+'Sumas y Saldos'!AC361+'Sumas y Saldos'!AC376</f>
        <v>0</v>
      </c>
      <c r="L97" s="96">
        <f>+'Sumas y Saldos'!AF49+'Sumas y Saldos'!AF137+'Sumas y Saldos'!AF158+'Sumas y Saldos'!AF174+'Sumas y Saldos'!AF199+'Sumas y Saldos'!AF221+'Sumas y Saldos'!AF262+'Sumas y Saldos'!AF292+'Sumas y Saldos'!AF352+'Sumas y Saldos'!AF359+'Sumas y Saldos'!AF361+'Sumas y Saldos'!AF376</f>
        <v>0</v>
      </c>
      <c r="M97" s="96">
        <f>+'Sumas y Saldos'!W49+'Sumas y Saldos'!W137+'Sumas y Saldos'!W158+'Sumas y Saldos'!W174+'Sumas y Saldos'!W199+'Sumas y Saldos'!W221+'Sumas y Saldos'!W262+'Sumas y Saldos'!W292+'Sumas y Saldos'!W352+'Sumas y Saldos'!W359+'Sumas y Saldos'!W361+'Sumas y Saldos'!W376</f>
        <v>0</v>
      </c>
      <c r="N97" s="96">
        <f>+'Sumas y Saldos'!T49+'Sumas y Saldos'!T137+'Sumas y Saldos'!T158+'Sumas y Saldos'!T174+'Sumas y Saldos'!T199+'Sumas y Saldos'!T221+'Sumas y Saldos'!T262+'Sumas y Saldos'!T292+'Sumas y Saldos'!T352+'Sumas y Saldos'!T359+'Sumas y Saldos'!T361+'Sumas y Saldos'!T376</f>
        <v>0</v>
      </c>
      <c r="O97" s="104">
        <f>+'Sumas y Saldos'!AI49+'Sumas y Saldos'!AI137+'Sumas y Saldos'!AI158+'Sumas y Saldos'!AI174+'Sumas y Saldos'!AI199+'Sumas y Saldos'!AI221+'Sumas y Saldos'!AI262+'Sumas y Saldos'!AI292+'Sumas y Saldos'!AI352+'Sumas y Saldos'!AI359+'Sumas y Saldos'!AI361+'Sumas y Saldos'!AI376</f>
        <v>0</v>
      </c>
      <c r="P97" s="97">
        <f>+'Sumas y Saldos'!AO49+'Sumas y Saldos'!AO137+'Sumas y Saldos'!AO158+'Sumas y Saldos'!AO174+'Sumas y Saldos'!AO199+'Sumas y Saldos'!AO221+'Sumas y Saldos'!AO262+'Sumas y Saldos'!AO292+'Sumas y Saldos'!AO352+'Sumas y Saldos'!AO359+'Sumas y Saldos'!AO361+'Sumas y Saldos'!AO376</f>
        <v>0</v>
      </c>
      <c r="Q97" s="97">
        <f>+'Sumas y Saldos'!AL49+'Sumas y Saldos'!AL137+'Sumas y Saldos'!AL158+'Sumas y Saldos'!AL174+'Sumas y Saldos'!AL199+'Sumas y Saldos'!AL221+'Sumas y Saldos'!AL262+'Sumas y Saldos'!AL292+'Sumas y Saldos'!AL352+'Sumas y Saldos'!AL359+'Sumas y Saldos'!AL361+'Sumas y Saldos'!AL376</f>
        <v>0</v>
      </c>
      <c r="R97" s="97"/>
      <c r="S97" s="97"/>
      <c r="T97" s="96">
        <f>+'Sumas y Saldos'!BD313</f>
        <v>0</v>
      </c>
      <c r="U97" s="97">
        <f>+'Sumas y Saldos'!BM290+'Sumas y Saldos'!BM356+'Sumas y Saldos'!BM349+'Sumas y Saldos'!BM261+'Sumas y Saldos'!BM358</f>
        <v>0</v>
      </c>
      <c r="V97" s="96">
        <f>+'Sumas y Saldos'!BP290+'Sumas y Saldos'!BP358</f>
        <v>0</v>
      </c>
      <c r="W97" s="96"/>
      <c r="X97" s="96"/>
      <c r="Y97" s="96"/>
      <c r="Z97" s="96"/>
      <c r="AA97" s="96"/>
      <c r="AB97" s="96"/>
      <c r="AC97" s="96"/>
      <c r="AD97" s="96">
        <v>0</v>
      </c>
      <c r="AE97" s="96">
        <v>37.81</v>
      </c>
      <c r="AF97" s="96">
        <v>0</v>
      </c>
      <c r="AG97" s="96">
        <v>0</v>
      </c>
      <c r="AH97" s="96">
        <v>66.36</v>
      </c>
      <c r="AI97" s="99">
        <f>SUM(W97:AH97)</f>
        <v>104.17</v>
      </c>
      <c r="AJ97" s="71"/>
      <c r="AK97" s="100"/>
    </row>
    <row r="98" ht="12.75" customHeight="1" spans="1:37" x14ac:dyDescent="0.25">
      <c r="A98" s="71"/>
      <c r="B98" s="71"/>
      <c r="C98" s="93" t="s">
        <v>778</v>
      </c>
      <c r="D98" s="94">
        <f>SUM(F98:V98)+E98</f>
        <v>0</v>
      </c>
      <c r="E98" s="94">
        <v>0</v>
      </c>
      <c r="F98" s="96">
        <f>+'Sumas y Saldos'!E173+'Sumas y Saldos'!E231</f>
        <v>0</v>
      </c>
      <c r="G98" s="96">
        <f>+'Sumas y Saldos'!H173+'Sumas y Saldos'!H231</f>
        <v>0</v>
      </c>
      <c r="H98" s="96">
        <f>+'Sumas y Saldos'!K173+'Sumas y Saldos'!K231</f>
        <v>0</v>
      </c>
      <c r="I98" s="103">
        <f>+'Sumas y Saldos'!Q173+'Sumas y Saldos'!Q231</f>
        <v>0</v>
      </c>
      <c r="J98" s="96">
        <f>+'Sumas y Saldos'!Z173+'Sumas y Saldos'!Z231</f>
        <v>0</v>
      </c>
      <c r="K98" s="96">
        <f>+'Sumas y Saldos'!AC173+'Sumas y Saldos'!AC231</f>
        <v>0</v>
      </c>
      <c r="L98" s="96">
        <f>+'Sumas y Saldos'!AF173+'Sumas y Saldos'!AF231</f>
        <v>0</v>
      </c>
      <c r="M98" s="96">
        <f>+'Sumas y Saldos'!W173+'Sumas y Saldos'!W231</f>
        <v>0</v>
      </c>
      <c r="N98" s="96">
        <f>+'Sumas y Saldos'!T173+'Sumas y Saldos'!T231</f>
        <v>0</v>
      </c>
      <c r="O98" s="104">
        <f>+'Sumas y Saldos'!AI173+'Sumas y Saldos'!AI231</f>
        <v>0</v>
      </c>
      <c r="P98" s="105">
        <f>+'Sumas y Saldos'!AO173+'Sumas y Saldos'!AO231</f>
        <v>0</v>
      </c>
      <c r="Q98" s="97">
        <f>+'Sumas y Saldos'!AL173+'Sumas y Saldos'!AL231</f>
        <v>0</v>
      </c>
      <c r="R98" s="97"/>
      <c r="S98" s="97"/>
      <c r="T98" s="96">
        <f>+'Sumas y Saldos'!BD314</f>
        <v>0</v>
      </c>
      <c r="U98" s="105"/>
      <c r="V98" s="96">
        <f>+'Sumas y Saldos'!BP173</f>
        <v>0</v>
      </c>
      <c r="W98" s="96"/>
      <c r="X98" s="96"/>
      <c r="Y98" s="96"/>
      <c r="Z98" s="96"/>
      <c r="AA98" s="96"/>
      <c r="AB98" s="96"/>
      <c r="AC98" s="96"/>
      <c r="AD98" s="96">
        <v>0</v>
      </c>
      <c r="AE98" s="96">
        <v>0</v>
      </c>
      <c r="AF98" s="96">
        <v>0</v>
      </c>
      <c r="AG98" s="96">
        <v>0</v>
      </c>
      <c r="AH98" s="96">
        <v>0</v>
      </c>
      <c r="AI98" s="99">
        <f>SUM(W98:AH98)</f>
        <v>0</v>
      </c>
      <c r="AJ98" s="71"/>
      <c r="AK98" s="100"/>
    </row>
    <row r="99" ht="12.75" customHeight="1" spans="1:37" x14ac:dyDescent="0.25">
      <c r="A99" s="71"/>
      <c r="B99" s="71"/>
      <c r="C99" s="93" t="s">
        <v>779</v>
      </c>
      <c r="D99" s="94">
        <f>SUM(F99:V99)+E99</f>
        <v>0</v>
      </c>
      <c r="E99" s="94">
        <f>-'Sumas y Saldos'!T308</f>
        <v>0</v>
      </c>
      <c r="F99" s="103">
        <f>+'Sumas y Saldos'!E71+'Sumas y Saldos'!E289+'Sumas y Saldos'!E310</f>
        <v>0</v>
      </c>
      <c r="G99" s="96">
        <f>+'Sumas y Saldos'!H71+'Sumas y Saldos'!H289+'Sumas y Saldos'!H310</f>
        <v>0</v>
      </c>
      <c r="H99" s="103">
        <f>+'Sumas y Saldos'!K71+'Sumas y Saldos'!K289+'Sumas y Saldos'!K310</f>
        <v>0</v>
      </c>
      <c r="I99" s="103">
        <f>+'Sumas y Saldos'!Q71+'Sumas y Saldos'!Q289+'Sumas y Saldos'!Q310</f>
        <v>0</v>
      </c>
      <c r="J99" s="96">
        <f>+'Sumas y Saldos'!Z71+'Sumas y Saldos'!Z289+'Sumas y Saldos'!Z310</f>
        <v>0</v>
      </c>
      <c r="K99" s="96">
        <f>+'Sumas y Saldos'!AC71+'Sumas y Saldos'!AC289+'Sumas y Saldos'!AC310</f>
        <v>0</v>
      </c>
      <c r="L99" s="96">
        <f>+'Sumas y Saldos'!AF71+'Sumas y Saldos'!AF289+'Sumas y Saldos'!AF310</f>
        <v>0</v>
      </c>
      <c r="M99" s="96">
        <f>+'Sumas y Saldos'!W71+'Sumas y Saldos'!W289+'Sumas y Saldos'!W310</f>
        <v>0</v>
      </c>
      <c r="N99" s="96">
        <f>+'Sumas y Saldos'!T71+'Sumas y Saldos'!T289+'Sumas y Saldos'!T310</f>
        <v>0</v>
      </c>
      <c r="O99" s="104">
        <f>+'Sumas y Saldos'!AI71+'Sumas y Saldos'!AI289+'Sumas y Saldos'!AI310</f>
        <v>0</v>
      </c>
      <c r="P99" s="105">
        <f>+'Sumas y Saldos'!AO71+'Sumas y Saldos'!AO289+'Sumas y Saldos'!AO310</f>
        <v>0</v>
      </c>
      <c r="Q99" s="97">
        <f>+'Sumas y Saldos'!AL71+'Sumas y Saldos'!AL289+'Sumas y Saldos'!AL310</f>
        <v>0</v>
      </c>
      <c r="R99" s="97"/>
      <c r="S99" s="97"/>
      <c r="T99" s="96">
        <f>+'Sumas y Saldos'!BD315</f>
        <v>0</v>
      </c>
      <c r="U99" s="97">
        <f>+'Sumas y Saldos'!BK79+'Sumas y Saldos'!BM287</f>
        <v>0</v>
      </c>
      <c r="V99" s="96"/>
      <c r="W99" s="96"/>
      <c r="X99" s="96"/>
      <c r="Y99" s="96"/>
      <c r="Z99" s="96"/>
      <c r="AA99" s="96"/>
      <c r="AB99" s="96"/>
      <c r="AC99" s="96"/>
      <c r="AD99" s="96">
        <v>0</v>
      </c>
      <c r="AE99" s="96">
        <v>0</v>
      </c>
      <c r="AF99" s="96">
        <v>2183.66</v>
      </c>
      <c r="AG99" s="96">
        <v>26575.86</v>
      </c>
      <c r="AH99" s="96">
        <v>2505.39</v>
      </c>
      <c r="AI99" s="99">
        <f>SUM(W99:AH99)</f>
        <v>31264.91</v>
      </c>
      <c r="AJ99" s="71"/>
      <c r="AK99" s="100"/>
    </row>
    <row r="100" ht="12.75" customHeight="1" spans="1:37" x14ac:dyDescent="0.25">
      <c r="A100" s="71"/>
      <c r="B100" s="71"/>
      <c r="C100" s="93" t="s">
        <v>780</v>
      </c>
      <c r="D100" s="94">
        <f>SUM(F100:V100)+E100</f>
        <v>0</v>
      </c>
      <c r="E100" s="94">
        <f>+'Sumas y Saldos'!D128+'Sumas y Saldos'!D160+'Sumas y Saldos'!D161+'Sumas y Saldos'!P160+'Sumas y Saldos'!S160+'Sumas y Saldos'!Y160+'Sumas y Saldos'!AN266</f>
        <v>0</v>
      </c>
      <c r="F100" s="103">
        <f>+'Sumas y Saldos'!E303</f>
        <v>0</v>
      </c>
      <c r="G100" s="103">
        <f>+'Sumas y Saldos'!H303</f>
        <v>0</v>
      </c>
      <c r="H100" s="103">
        <f>+'Sumas y Saldos'!K303</f>
        <v>0</v>
      </c>
      <c r="I100" s="103">
        <f>+'Sumas y Saldos'!Q303</f>
        <v>0</v>
      </c>
      <c r="J100" s="103">
        <f>+'Sumas y Saldos'!Z303</f>
        <v>0</v>
      </c>
      <c r="K100" s="103">
        <f>+'Sumas y Saldos'!AC303</f>
        <v>0</v>
      </c>
      <c r="L100" s="96">
        <f>+'Sumas y Saldos'!AF303</f>
        <v>0</v>
      </c>
      <c r="M100" s="103">
        <f>+'Sumas y Saldos'!W303</f>
        <v>0</v>
      </c>
      <c r="N100" s="103">
        <f>+'Sumas y Saldos'!T303</f>
        <v>0</v>
      </c>
      <c r="O100" s="104">
        <f>+'Sumas y Saldos'!AI303</f>
        <v>0</v>
      </c>
      <c r="P100" s="105">
        <f>+'Sumas y Saldos'!AO303</f>
        <v>0</v>
      </c>
      <c r="Q100" s="97">
        <f>+'Sumas y Saldos'!AL303</f>
        <v>0</v>
      </c>
      <c r="R100" s="97"/>
      <c r="S100" s="97"/>
      <c r="T100" s="96">
        <f>+'Sumas y Saldos'!BD316</f>
        <v>0</v>
      </c>
      <c r="U100" s="97"/>
      <c r="V100" s="96"/>
      <c r="W100" s="96"/>
      <c r="X100" s="96"/>
      <c r="Y100" s="96"/>
      <c r="Z100" s="96"/>
      <c r="AA100" s="96"/>
      <c r="AB100" s="96"/>
      <c r="AC100" s="96"/>
      <c r="AD100" s="96">
        <v>0</v>
      </c>
      <c r="AE100" s="96">
        <v>0</v>
      </c>
      <c r="AF100" s="96">
        <v>0</v>
      </c>
      <c r="AG100" s="96">
        <v>0</v>
      </c>
      <c r="AH100" s="96">
        <v>0</v>
      </c>
      <c r="AI100" s="99">
        <f>SUM(W100:AH100)</f>
        <v>0</v>
      </c>
      <c r="AJ100" s="71"/>
      <c r="AK100" s="100"/>
    </row>
    <row r="101" ht="12.75" customHeight="1" spans="1:37" x14ac:dyDescent="0.25">
      <c r="A101" s="71"/>
      <c r="B101" s="71"/>
      <c r="C101" s="106" t="s">
        <v>345</v>
      </c>
      <c r="D101" s="94">
        <f>SUM(F101:V101)+E101</f>
        <v>0</v>
      </c>
      <c r="E101" s="107"/>
      <c r="F101" s="108">
        <f>+'Sumas y Saldos'!E114+'Sumas y Saldos'!E121</f>
        <v>0</v>
      </c>
      <c r="G101" s="108">
        <f>+'Sumas y Saldos'!H114+'Sumas y Saldos'!H121</f>
        <v>0</v>
      </c>
      <c r="H101" s="108">
        <f>+'Sumas y Saldos'!K114+'Sumas y Saldos'!K121</f>
        <v>0</v>
      </c>
      <c r="I101" s="108">
        <f>+'Sumas y Saldos'!Q114+'Sumas y Saldos'!Q121</f>
        <v>0</v>
      </c>
      <c r="J101" s="108">
        <f>+'Sumas y Saldos'!Z114+'Sumas y Saldos'!Z121</f>
        <v>0</v>
      </c>
      <c r="K101" s="108">
        <f>+'Sumas y Saldos'!AC114+'Sumas y Saldos'!AC121</f>
        <v>0</v>
      </c>
      <c r="L101" s="108">
        <f>+'Sumas y Saldos'!AF114+'Sumas y Saldos'!AF121</f>
        <v>0</v>
      </c>
      <c r="M101" s="108">
        <f>+'Sumas y Saldos'!W114+'Sumas y Saldos'!W121</f>
        <v>0</v>
      </c>
      <c r="N101" s="108">
        <f>+'Sumas y Saldos'!T114+'Sumas y Saldos'!T121</f>
        <v>0</v>
      </c>
      <c r="O101" s="108">
        <f>+'Sumas y Saldos'!AI114+'Sumas y Saldos'!AI121</f>
        <v>0</v>
      </c>
      <c r="P101" s="108">
        <f>+'Sumas y Saldos'!AO114+'Sumas y Saldos'!AO121</f>
        <v>0</v>
      </c>
      <c r="Q101" s="108">
        <f>+'Sumas y Saldos'!AL114+'Sumas y Saldos'!AL121</f>
        <v>0</v>
      </c>
      <c r="R101" s="108"/>
      <c r="S101" s="108"/>
      <c r="T101" s="109">
        <f>+'Sumas y Saldos'!BD317</f>
        <v>0</v>
      </c>
      <c r="U101" s="108">
        <f>+'Sumas y Saldos'!BM120</f>
        <v>0</v>
      </c>
      <c r="V101" s="108"/>
      <c r="W101" s="96"/>
      <c r="X101" s="96"/>
      <c r="Y101" s="108"/>
      <c r="Z101" s="109"/>
      <c r="AA101" s="109"/>
      <c r="AB101" s="109"/>
      <c r="AC101" s="109"/>
      <c r="AD101" s="108">
        <v>0</v>
      </c>
      <c r="AE101" s="96">
        <v>0</v>
      </c>
      <c r="AF101" s="108">
        <v>0</v>
      </c>
      <c r="AG101" s="109">
        <v>0</v>
      </c>
      <c r="AH101" s="108">
        <v>0</v>
      </c>
      <c r="AI101" s="110">
        <f>SUM(W101:AH101)</f>
        <v>0</v>
      </c>
      <c r="AJ101" s="71"/>
      <c r="AK101" s="100"/>
    </row>
    <row r="102" ht="12.75" customHeight="1" spans="1:35" x14ac:dyDescent="0.25">
      <c r="A102" s="71"/>
      <c r="B102" s="71"/>
      <c r="C102" s="111"/>
      <c r="D102" s="112"/>
      <c r="E102" s="72"/>
      <c r="F102" s="113"/>
      <c r="G102" s="113"/>
      <c r="H102" s="113"/>
      <c r="I102" s="113"/>
      <c r="J102" s="113"/>
      <c r="K102" s="113"/>
      <c r="L102" s="114"/>
      <c r="M102" s="113"/>
      <c r="N102" s="113"/>
      <c r="O102" s="113"/>
      <c r="P102" s="115"/>
      <c r="Q102" s="115"/>
      <c r="R102" s="115"/>
      <c r="S102" s="115"/>
      <c r="T102" s="115"/>
      <c r="U102" s="115"/>
      <c r="V102" s="115"/>
      <c r="W102" s="115"/>
      <c r="X102" s="115"/>
      <c r="Y102" s="115"/>
      <c r="Z102" s="115"/>
      <c r="AA102" s="115"/>
      <c r="AB102" s="115"/>
      <c r="AC102" s="115"/>
      <c r="AD102" s="115"/>
      <c r="AE102" s="116"/>
      <c r="AF102" s="115"/>
      <c r="AG102" s="115"/>
      <c r="AH102" s="115"/>
      <c r="AI102" s="113"/>
    </row>
    <row r="103" ht="12.75" customHeight="1" spans="1:35" s="117" customFormat="1" x14ac:dyDescent="0.25">
      <c r="A103" s="117"/>
      <c r="B103" s="117"/>
      <c r="C103" s="118" t="s">
        <v>781</v>
      </c>
      <c r="D103" s="119">
        <f>SUM(D8:D101)</f>
        <v>83460.68</v>
      </c>
      <c r="E103" s="120">
        <f>+SUM(E8:E101)</f>
        <v>0</v>
      </c>
      <c r="F103" s="121">
        <f>+SUM(F8:F101)</f>
        <v>25850.190000000002</v>
      </c>
      <c r="G103" s="121">
        <f>+SUM(G8:G101)</f>
        <v>26539.73</v>
      </c>
      <c r="H103" s="121">
        <f>+SUM(H8:H100)</f>
        <v>0</v>
      </c>
      <c r="I103" s="121">
        <f>+SUM(I8:I101)</f>
        <v>0</v>
      </c>
      <c r="J103" s="121">
        <f>+SUM(J8:J100)</f>
        <v>0</v>
      </c>
      <c r="K103" s="121">
        <f>+SUM(K8:K101)</f>
        <v>16784.290000000005</v>
      </c>
      <c r="L103" s="82">
        <f>+SUM(L8:L100)</f>
        <v>0</v>
      </c>
      <c r="M103" s="121">
        <f>+SUM(M8:M100)</f>
        <v>0</v>
      </c>
      <c r="N103" s="121">
        <f>+SUM(N8:N101)</f>
        <v>14286.470000000001</v>
      </c>
      <c r="O103" s="121">
        <f>+SUM(O8:O100)</f>
        <v>0</v>
      </c>
      <c r="P103" s="122">
        <f>+SUM(P8:P100)</f>
        <v>0</v>
      </c>
      <c r="Q103" s="122">
        <f>+SUM(Q8:Q100)</f>
        <v>0</v>
      </c>
      <c r="R103" s="122">
        <f>+SUM(R8:R101)</f>
        <v>0</v>
      </c>
      <c r="S103" s="122">
        <f>+SUM(S8:S101)</f>
        <v>0</v>
      </c>
      <c r="T103" s="122">
        <f>+SUM(T8:T101)</f>
        <v>0</v>
      </c>
      <c r="U103" s="122">
        <f>+SUM(U8:U101)</f>
        <v>0</v>
      </c>
      <c r="V103" s="122">
        <f>+SUM(V8:V100)</f>
        <v>0</v>
      </c>
      <c r="W103" s="122">
        <f>SUM(W8:W100)</f>
        <v>0</v>
      </c>
      <c r="X103" s="122">
        <f>SUM(X8:X100)</f>
        <v>0</v>
      </c>
      <c r="Y103" s="122">
        <f>SUM(Y8:Y102)</f>
        <v>0</v>
      </c>
      <c r="Z103" s="122">
        <f>SUM(Z8:Z100)</f>
        <v>0</v>
      </c>
      <c r="AA103" s="122">
        <f>SUM(AA8:AA100)</f>
        <v>0</v>
      </c>
      <c r="AB103" s="122">
        <f>+SUM(AB8:AB100)</f>
        <v>0</v>
      </c>
      <c r="AC103" s="122">
        <f>+SUM(AC8:AC100)</f>
        <v>0</v>
      </c>
      <c r="AD103" s="122">
        <f>SUM(AD8:AD100)</f>
        <v>83460.68</v>
      </c>
      <c r="AE103" s="122">
        <f>SUBTOTAL(9,AE8:AE101)</f>
        <v>99000.84000000001</v>
      </c>
      <c r="AF103" s="122">
        <f>SUM(AF8:AF101)</f>
        <v>138525.25</v>
      </c>
      <c r="AG103" s="122">
        <f>SUM(AG8:AG101)</f>
        <v>280236.64</v>
      </c>
      <c r="AH103" s="122">
        <f>SUM(AH8:AH101)</f>
        <v>449727.73</v>
      </c>
      <c r="AI103" s="121">
        <f>SUM(AI8:AI101)</f>
        <v>1050951.1400000001</v>
      </c>
    </row>
    <row r="104" ht="13.5" customHeight="1" spans="1:35" x14ac:dyDescent="0.25">
      <c r="A104" s="71"/>
      <c r="B104" s="71"/>
      <c r="C104" s="123"/>
      <c r="D104" s="124"/>
      <c r="E104" s="125">
        <f>+D103-E103</f>
        <v>83460.68</v>
      </c>
      <c r="F104" s="126"/>
      <c r="G104" s="126"/>
      <c r="H104" s="126"/>
      <c r="I104" s="127"/>
      <c r="J104" s="127"/>
      <c r="K104" s="127"/>
      <c r="L104" s="127"/>
      <c r="M104" s="127"/>
      <c r="N104" s="127"/>
      <c r="O104" s="127"/>
      <c r="P104" s="128"/>
      <c r="Q104" s="128"/>
      <c r="R104" s="128"/>
      <c r="S104" s="128"/>
      <c r="T104" s="128"/>
      <c r="U104" s="128"/>
      <c r="V104" s="128"/>
      <c r="W104" s="128"/>
      <c r="X104" s="128"/>
      <c r="Y104" s="128"/>
      <c r="Z104" s="128"/>
      <c r="AA104" s="128"/>
      <c r="AB104" s="128"/>
      <c r="AC104" s="128"/>
      <c r="AD104" s="128"/>
      <c r="AE104" s="128"/>
      <c r="AF104" s="128"/>
      <c r="AG104" s="128"/>
      <c r="AH104" s="128"/>
      <c r="AI104" s="127"/>
    </row>
    <row r="105" ht="13.5" customHeight="1" spans="1:35" s="129" customFormat="1" x14ac:dyDescent="0.25">
      <c r="A105" s="129"/>
      <c r="B105" s="129"/>
      <c r="C105" s="129"/>
      <c r="D105" s="130"/>
      <c r="E105" s="130"/>
      <c r="F105" s="130"/>
      <c r="G105" s="130"/>
      <c r="H105" s="130"/>
      <c r="I105" s="130"/>
      <c r="J105" s="130"/>
      <c r="K105" s="130"/>
      <c r="L105" s="130"/>
      <c r="M105" s="130"/>
      <c r="N105" s="130"/>
      <c r="O105" s="130"/>
      <c r="P105" s="130"/>
      <c r="Q105" s="130"/>
      <c r="R105" s="130"/>
      <c r="S105" s="130"/>
      <c r="T105" s="130"/>
      <c r="U105" s="130"/>
      <c r="V105" s="130"/>
      <c r="W105" s="130"/>
      <c r="X105" s="130"/>
      <c r="Y105" s="130"/>
      <c r="Z105" s="130"/>
      <c r="AA105" s="130"/>
      <c r="AB105" s="130"/>
      <c r="AC105" s="130"/>
      <c r="AD105" s="130"/>
      <c r="AE105" s="130"/>
      <c r="AF105" s="130"/>
      <c r="AG105" s="130"/>
      <c r="AH105" s="130"/>
      <c r="AI105" s="130"/>
    </row>
    <row r="106" ht="12.75" customHeight="1" spans="1:35" s="131" customFormat="1" x14ac:dyDescent="0.25">
      <c r="A106" s="131"/>
      <c r="B106" s="131"/>
      <c r="C106" s="132"/>
      <c r="D106" s="133"/>
      <c r="E106" s="133"/>
      <c r="F106" s="133">
        <f>+'Sumas y Saldos'!E399</f>
        <v>0</v>
      </c>
      <c r="G106" s="133">
        <f>+'Sumas y Saldos'!H399</f>
        <v>0</v>
      </c>
      <c r="H106" s="133"/>
      <c r="I106" s="133"/>
      <c r="J106" s="133"/>
      <c r="K106" s="133">
        <f>+'Sumas y Saldos'!AC399</f>
        <v>0</v>
      </c>
      <c r="L106" s="133"/>
      <c r="M106" s="133">
        <f>+'Sumas y Saldos'!W399</f>
        <v>0</v>
      </c>
      <c r="N106" s="133">
        <f>+'Sumas y Saldos'!T399</f>
        <v>0</v>
      </c>
      <c r="O106" s="133"/>
      <c r="P106" s="133">
        <f>+'Sumas y Saldos'!AO399</f>
        <v>0</v>
      </c>
      <c r="Q106" s="133"/>
      <c r="R106" s="133"/>
      <c r="S106" s="133"/>
      <c r="T106" s="133"/>
      <c r="U106" s="133"/>
      <c r="V106" s="133">
        <f>+'Sumas y Saldos'!BP399</f>
        <v>0</v>
      </c>
      <c r="W106" s="133"/>
      <c r="X106" s="133"/>
      <c r="Y106" s="133"/>
      <c r="Z106" s="133"/>
      <c r="AA106" s="133"/>
      <c r="AB106" s="133"/>
      <c r="AC106" s="133"/>
      <c r="AD106" s="133"/>
      <c r="AE106" s="133"/>
      <c r="AF106" s="133"/>
      <c r="AG106" s="133"/>
      <c r="AH106" s="133"/>
      <c r="AI106" s="133">
        <f>+AI103-'Gastos Acumulados'!E74</f>
        <v>99000.8400000002</v>
      </c>
    </row>
    <row r="107" ht="12.75" customHeight="1" spans="1:35" s="131" customFormat="1" x14ac:dyDescent="0.25">
      <c r="A107" s="131"/>
      <c r="B107" s="131"/>
      <c r="C107" s="132"/>
      <c r="D107" s="133" t="s">
        <v>782</v>
      </c>
      <c r="E107" s="133">
        <f>+E106-E104</f>
        <v>-83460.68</v>
      </c>
      <c r="F107" s="133">
        <f>+F106-F103</f>
        <v>-25850.190000000002</v>
      </c>
      <c r="G107" s="133">
        <f>+G106-G103</f>
        <v>-26539.73</v>
      </c>
      <c r="H107" s="133">
        <f>+H106-H103</f>
        <v>0</v>
      </c>
      <c r="I107" s="133">
        <f>+I106-I103</f>
        <v>0</v>
      </c>
      <c r="J107" s="133">
        <f>+J106-J103</f>
        <v>0</v>
      </c>
      <c r="K107" s="133">
        <f>+K106-K103</f>
        <v>-16784.290000000005</v>
      </c>
      <c r="L107" s="133">
        <f>+L106-L103</f>
        <v>0</v>
      </c>
      <c r="M107" s="133">
        <f>+M106-M103</f>
        <v>0</v>
      </c>
      <c r="N107" s="133">
        <f>+N106-N103</f>
        <v>-14286.470000000001</v>
      </c>
      <c r="O107" s="133">
        <f>+O106-O103</f>
        <v>0</v>
      </c>
      <c r="P107" s="133">
        <f>+P106-P103</f>
        <v>0</v>
      </c>
      <c r="Q107" s="133"/>
      <c r="R107" s="133"/>
      <c r="S107" s="133"/>
      <c r="T107" s="133"/>
      <c r="U107" s="133"/>
      <c r="V107" s="133">
        <f>+V106-V103</f>
        <v>0</v>
      </c>
      <c r="W107" s="133"/>
      <c r="X107" s="133"/>
      <c r="Y107" s="133"/>
      <c r="Z107" s="133"/>
      <c r="AA107" s="133"/>
      <c r="AB107" s="133"/>
      <c r="AC107" s="133"/>
      <c r="AD107" s="133"/>
      <c r="AE107" s="133"/>
      <c r="AF107" s="133"/>
      <c r="AG107" s="133"/>
      <c r="AH107" s="133"/>
      <c r="AI107" s="133"/>
    </row>
    <row r="108" ht="12.75" customHeight="1" spans="1:35" s="131" customFormat="1" x14ac:dyDescent="0.25">
      <c r="A108" s="131"/>
      <c r="B108" s="131"/>
      <c r="C108" s="131"/>
      <c r="D108" s="133"/>
      <c r="E108" s="133"/>
      <c r="F108" s="133">
        <f>+F103-F106</f>
        <v>25850.190000000002</v>
      </c>
      <c r="G108" s="133">
        <f>+G103-G106</f>
        <v>26539.73</v>
      </c>
      <c r="H108" s="133"/>
      <c r="I108" s="133"/>
      <c r="J108" s="133"/>
      <c r="K108" s="133">
        <f>+K103-K106</f>
        <v>16784.290000000005</v>
      </c>
      <c r="L108" s="133">
        <f>+L103-L106</f>
        <v>0</v>
      </c>
      <c r="M108" s="133">
        <f>+M103-M106</f>
        <v>0</v>
      </c>
      <c r="N108" s="133">
        <f>+N103-N106</f>
        <v>14286.470000000001</v>
      </c>
      <c r="O108" s="133">
        <f>+O103-O106</f>
        <v>0</v>
      </c>
      <c r="P108" s="133">
        <f>+P103-P106</f>
        <v>0</v>
      </c>
      <c r="Q108" s="133">
        <f>+Q103-Q106</f>
        <v>0</v>
      </c>
      <c r="R108" s="133">
        <f>+R103-R106</f>
        <v>0</v>
      </c>
      <c r="S108" s="133">
        <f>+S103-S106</f>
        <v>0</v>
      </c>
      <c r="T108" s="133">
        <f>+T103-T106</f>
        <v>0</v>
      </c>
      <c r="U108" s="133">
        <f>+U103-U106</f>
        <v>0</v>
      </c>
      <c r="V108" s="133">
        <f>+V103-V106</f>
        <v>0</v>
      </c>
      <c r="W108" s="133">
        <f>+W103-W106</f>
        <v>0</v>
      </c>
      <c r="X108" s="133">
        <f>+X103-X106</f>
        <v>0</v>
      </c>
      <c r="Y108" s="133">
        <f>+Y103-Y106</f>
        <v>0</v>
      </c>
      <c r="Z108" s="133">
        <f>+Z103-Z106</f>
        <v>0</v>
      </c>
      <c r="AA108" s="133">
        <f>+AA103-AA106</f>
        <v>0</v>
      </c>
      <c r="AB108" s="133">
        <f>+AB103-AB106</f>
        <v>0</v>
      </c>
      <c r="AC108" s="133">
        <f>+AC103-AC106</f>
        <v>0</v>
      </c>
      <c r="AD108" s="133">
        <f>+AD103-AD106</f>
        <v>83460.68</v>
      </c>
      <c r="AE108" s="133">
        <f>+AE103-AE106</f>
        <v>99000.84000000001</v>
      </c>
      <c r="AF108" s="133">
        <f>+AF103-AF106</f>
        <v>138525.25</v>
      </c>
      <c r="AG108" s="133">
        <f>+AG103-AG106</f>
        <v>280236.64</v>
      </c>
      <c r="AH108" s="133">
        <f>+AH103-AH106</f>
        <v>449727.73</v>
      </c>
      <c r="AI108" s="133">
        <f>+AI103-AI106</f>
        <v>951950.2999999999</v>
      </c>
    </row>
    <row r="109" ht="12.75" customHeight="1" spans="1:35" s="131" customFormat="1" x14ac:dyDescent="0.25">
      <c r="A109" s="131"/>
      <c r="B109" s="131"/>
      <c r="C109" s="134"/>
      <c r="D109" s="135" t="s">
        <v>783</v>
      </c>
      <c r="E109" s="133">
        <f>+'Sumas y Saldos'!C401</f>
        <v>0</v>
      </c>
      <c r="F109" s="133"/>
      <c r="G109" s="133"/>
      <c r="H109" s="133"/>
      <c r="I109" s="133"/>
      <c r="J109" s="133"/>
      <c r="K109" s="133"/>
      <c r="L109" s="133"/>
      <c r="M109" s="133"/>
      <c r="N109" s="133"/>
      <c r="O109" s="133"/>
      <c r="P109" s="136"/>
      <c r="Q109" s="133"/>
      <c r="R109" s="133"/>
      <c r="S109" s="133"/>
      <c r="T109" s="133"/>
      <c r="U109" s="133"/>
      <c r="V109" s="133"/>
      <c r="W109" s="133"/>
      <c r="X109" s="133"/>
      <c r="Y109" s="133"/>
      <c r="Z109" s="133"/>
      <c r="AA109" s="133"/>
      <c r="AB109" s="133"/>
      <c r="AC109" s="133"/>
      <c r="AD109" s="133"/>
      <c r="AE109" s="133"/>
      <c r="AF109" s="133"/>
      <c r="AG109" s="133"/>
      <c r="AH109" s="133"/>
      <c r="AI109" s="133"/>
    </row>
    <row r="110" ht="12.75" customHeight="1" spans="1:35" s="131" customFormat="1" x14ac:dyDescent="0.25">
      <c r="A110" s="131"/>
      <c r="B110" s="131"/>
      <c r="C110" s="131"/>
      <c r="D110" s="133"/>
      <c r="E110" s="133"/>
      <c r="F110" s="133"/>
      <c r="G110" s="133"/>
      <c r="H110" s="133"/>
      <c r="I110" s="133"/>
      <c r="J110" s="133"/>
      <c r="K110" s="133"/>
      <c r="L110" s="133"/>
      <c r="M110" s="133"/>
      <c r="N110" s="133"/>
      <c r="O110" s="133"/>
      <c r="P110" s="136"/>
      <c r="Q110" s="133"/>
      <c r="R110" s="133"/>
      <c r="S110" s="133"/>
      <c r="T110" s="133"/>
      <c r="U110" s="136"/>
      <c r="V110" s="133"/>
      <c r="W110" s="133"/>
      <c r="X110" s="133"/>
      <c r="Y110" s="133"/>
      <c r="Z110" s="133"/>
      <c r="AA110" s="133"/>
      <c r="AB110" s="133"/>
      <c r="AC110" s="133"/>
      <c r="AD110" s="133"/>
      <c r="AE110" s="133"/>
      <c r="AF110" s="133"/>
      <c r="AG110" s="133"/>
      <c r="AH110" s="133"/>
      <c r="AI110" s="133"/>
    </row>
    <row r="111" ht="13.5" customHeight="1" spans="1:47" s="131" customFormat="1" x14ac:dyDescent="0.25">
      <c r="A111" s="131"/>
      <c r="B111" s="131"/>
      <c r="C111" s="131"/>
      <c r="D111" s="137" t="s">
        <v>784</v>
      </c>
      <c r="E111" s="133">
        <f>+E107+E109</f>
        <v>-83460.68</v>
      </c>
      <c r="F111" s="133"/>
      <c r="G111" s="133"/>
      <c r="H111" s="133"/>
      <c r="I111" s="135"/>
      <c r="J111" s="133"/>
      <c r="K111" s="138"/>
      <c r="L111" s="133"/>
      <c r="M111" s="133"/>
      <c r="N111" s="133"/>
      <c r="O111" s="133"/>
      <c r="P111" s="133"/>
      <c r="Q111" s="133"/>
      <c r="R111" s="133"/>
      <c r="S111" s="133"/>
      <c r="T111" s="133"/>
      <c r="U111" s="133"/>
      <c r="V111" s="133"/>
      <c r="W111" s="133"/>
      <c r="X111" s="133"/>
      <c r="Y111" s="133"/>
      <c r="Z111" s="133"/>
      <c r="AA111" s="133"/>
      <c r="AB111" s="133"/>
      <c r="AC111" s="133"/>
      <c r="AD111" s="133"/>
      <c r="AE111" s="133"/>
      <c r="AF111" s="133"/>
      <c r="AG111" s="133"/>
      <c r="AH111" s="133"/>
      <c r="AI111" s="133"/>
      <c r="AJ111" s="131"/>
      <c r="AK111" s="131"/>
      <c r="AL111" s="131"/>
      <c r="AM111" s="131"/>
      <c r="AN111" s="139"/>
      <c r="AO111" s="131"/>
      <c r="AP111" s="131"/>
      <c r="AQ111" s="131"/>
      <c r="AR111" s="131"/>
      <c r="AS111" s="131"/>
      <c r="AT111" s="131"/>
      <c r="AU111" s="139"/>
    </row>
    <row r="112" ht="12.75" customHeight="1" spans="1:35" s="131" customFormat="1" x14ac:dyDescent="0.25">
      <c r="A112" s="131"/>
      <c r="B112" s="131"/>
      <c r="C112" s="131"/>
      <c r="D112" s="133"/>
      <c r="E112" s="133"/>
      <c r="F112" s="133"/>
      <c r="G112" s="133"/>
      <c r="H112" s="133"/>
      <c r="I112" s="133"/>
      <c r="J112" s="133"/>
      <c r="K112" s="133"/>
      <c r="L112" s="133"/>
      <c r="M112" s="133"/>
      <c r="N112" s="133"/>
      <c r="O112" s="133"/>
      <c r="P112" s="133"/>
      <c r="Q112" s="133"/>
      <c r="R112" s="133"/>
      <c r="S112" s="133"/>
      <c r="T112" s="133"/>
      <c r="U112" s="133"/>
      <c r="V112" s="133"/>
      <c r="W112" s="133"/>
      <c r="X112" s="133"/>
      <c r="Y112" s="133"/>
      <c r="Z112" s="133"/>
      <c r="AA112" s="133"/>
      <c r="AB112" s="133"/>
      <c r="AC112" s="133"/>
      <c r="AD112" s="133"/>
      <c r="AE112" s="133"/>
      <c r="AF112" s="133"/>
      <c r="AG112" s="133"/>
      <c r="AH112" s="133"/>
      <c r="AI112" s="133"/>
    </row>
    <row r="113" ht="12.75" customHeight="1" spans="1:35" s="131" customFormat="1" x14ac:dyDescent="0.25">
      <c r="A113" s="131"/>
      <c r="B113" s="131"/>
      <c r="C113" s="131"/>
      <c r="D113" s="133"/>
      <c r="E113" s="133"/>
      <c r="F113" s="133"/>
      <c r="G113" s="133"/>
      <c r="H113" s="133"/>
      <c r="I113" s="133"/>
      <c r="J113" s="133"/>
      <c r="K113" s="133"/>
      <c r="L113" s="133"/>
      <c r="M113" s="133"/>
      <c r="N113" s="133"/>
      <c r="O113" s="133"/>
      <c r="P113" s="133"/>
      <c r="Q113" s="133"/>
      <c r="R113" s="133"/>
      <c r="S113" s="133"/>
      <c r="T113" s="133"/>
      <c r="U113" s="133"/>
      <c r="V113" s="133"/>
      <c r="W113" s="133"/>
      <c r="X113" s="133"/>
      <c r="Y113" s="133"/>
      <c r="Z113" s="133"/>
      <c r="AA113" s="133"/>
      <c r="AB113" s="133"/>
      <c r="AC113" s="133"/>
      <c r="AD113" s="133"/>
      <c r="AE113" s="133"/>
      <c r="AF113" s="133"/>
      <c r="AG113" s="133"/>
      <c r="AH113" s="133"/>
      <c r="AI113" s="133"/>
    </row>
    <row r="114" ht="12.75" customHeight="1" spans="1:35" s="131" customFormat="1" x14ac:dyDescent="0.25">
      <c r="A114" s="131"/>
      <c r="B114" s="131"/>
      <c r="C114" s="131"/>
      <c r="D114" s="133"/>
      <c r="E114" s="133"/>
      <c r="F114" s="133"/>
      <c r="G114" s="133"/>
      <c r="H114" s="133"/>
      <c r="I114" s="133"/>
      <c r="J114" s="133"/>
      <c r="K114" s="133"/>
      <c r="L114" s="133"/>
      <c r="M114" s="133"/>
      <c r="N114" s="133"/>
      <c r="O114" s="133"/>
      <c r="P114" s="133"/>
      <c r="Q114" s="133"/>
      <c r="R114" s="133"/>
      <c r="S114" s="133"/>
      <c r="T114" s="133"/>
      <c r="U114" s="133"/>
      <c r="V114" s="133"/>
      <c r="W114" s="133"/>
      <c r="X114" s="133"/>
      <c r="Y114" s="133"/>
      <c r="Z114" s="133"/>
      <c r="AA114" s="133"/>
      <c r="AB114" s="133"/>
      <c r="AC114" s="133"/>
      <c r="AD114" s="133"/>
      <c r="AE114" s="133"/>
      <c r="AF114" s="133"/>
      <c r="AG114" s="133"/>
      <c r="AH114" s="133"/>
      <c r="AI114" s="133"/>
    </row>
    <row r="115" ht="12.75" customHeight="1" spans="1:4" x14ac:dyDescent="0.25">
      <c r="A115" s="71"/>
      <c r="B115" s="71"/>
      <c r="C115" s="140"/>
      <c r="D115" s="72"/>
    </row>
    <row r="116" spans="4:4" x14ac:dyDescent="0.25">
      <c r="D116" s="72"/>
    </row>
    <row r="117" ht="12.75" customHeight="1" spans="1:5" x14ac:dyDescent="0.25">
      <c r="A117" s="71"/>
      <c r="B117" s="71"/>
      <c r="C117" s="71"/>
      <c r="D117" s="72"/>
      <c r="E117" s="141"/>
    </row>
  </sheetData>
  <autoFilter ref="A6:AU101"/>
  <mergeCells count="2">
    <mergeCell ref="U6:U7"/>
    <mergeCell ref="V6:V7"/>
  </mergeCells>
  <printOptions gridLines="1"/>
  <pageMargins left="0.472222222222222" right="0.196527777777778" top="0.275694444444444" bottom="0.196527777777778" header="0.511811023622047" footer="0.511811023622047"/>
  <pageSetup orientation="landscape" horizontalDpi="300" verticalDpi="300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94"/>
  <sheetViews>
    <sheetView workbookViewId="0" zoomScale="100" zoomScaleNormal="100">
      <selection activeCell="D32" sqref="D32"/>
    </sheetView>
  </sheetViews>
  <sheetFormatPr defaultRowHeight="13.2" outlineLevelRow="0" outlineLevelCol="0" x14ac:dyDescent="0.3" defaultColWidth="9.109375" customHeight="1"/>
  <cols>
    <col min="1" max="1" width="30.6640625" style="1" customWidth="1"/>
    <col min="2" max="2" width="15.6640625" style="1" customWidth="1"/>
    <col min="3" max="3" width="19.33203125" style="1" customWidth="1"/>
    <col min="4" max="5" width="15.6640625" style="1" customWidth="1"/>
    <col min="6" max="6" width="16.6640625" style="1" customWidth="1"/>
    <col min="7" max="7" width="12.6640625" style="1" customWidth="1"/>
    <col min="8" max="8" width="11.33203125" style="1" customWidth="1"/>
  </cols>
  <sheetData>
    <row r="1" ht="12.75" customHeight="1" spans="1:6" x14ac:dyDescent="0.25">
      <c r="A1" s="142" t="s">
        <v>629</v>
      </c>
      <c r="B1" s="142"/>
      <c r="C1" s="142"/>
      <c r="D1" s="142"/>
      <c r="E1" s="143"/>
      <c r="F1" s="143"/>
    </row>
    <row r="2" ht="12.75" customHeight="1" spans="1:6" x14ac:dyDescent="0.25">
      <c r="A2" s="142"/>
      <c r="B2" s="142"/>
      <c r="C2" s="142"/>
      <c r="D2" s="142"/>
      <c r="E2" s="143"/>
      <c r="F2" s="143"/>
    </row>
    <row r="3" ht="13.5" customHeight="1" spans="1:6" x14ac:dyDescent="0.25">
      <c r="A3" s="144" t="s">
        <v>785</v>
      </c>
      <c r="B3" s="143"/>
      <c r="C3" s="143"/>
      <c r="D3" s="143"/>
      <c r="E3" s="143"/>
      <c r="F3" s="143"/>
    </row>
    <row r="4" ht="13.5" customHeight="1" spans="1:6" x14ac:dyDescent="0.25">
      <c r="A4" s="145" t="s">
        <v>630</v>
      </c>
      <c r="B4" s="143"/>
      <c r="C4" s="143"/>
      <c r="D4" s="143"/>
      <c r="E4" s="143"/>
      <c r="F4" s="143"/>
    </row>
    <row r="5" ht="12.75" customHeight="1" spans="1:6" x14ac:dyDescent="0.25">
      <c r="A5" s="146"/>
      <c r="B5" s="143"/>
      <c r="C5" s="143"/>
      <c r="D5" s="143"/>
      <c r="E5" s="143"/>
      <c r="F5" s="143"/>
    </row>
    <row r="6" ht="12.75" customHeight="1" spans="1:6" x14ac:dyDescent="0.25">
      <c r="A6" s="143"/>
      <c r="B6" s="143"/>
      <c r="C6" s="143"/>
      <c r="D6" s="143"/>
      <c r="E6" s="143"/>
      <c r="F6" s="143"/>
    </row>
    <row r="7" ht="12.75" customHeight="1" spans="1:6" x14ac:dyDescent="0.25">
      <c r="A7" s="147" t="s">
        <v>786</v>
      </c>
      <c r="B7" s="146"/>
      <c r="C7" s="143"/>
      <c r="D7" s="143"/>
      <c r="E7" s="143"/>
      <c r="F7" s="143"/>
    </row>
    <row r="8" ht="12.75" customHeight="1" spans="1:6" x14ac:dyDescent="0.25">
      <c r="A8" s="146"/>
      <c r="B8" s="143"/>
      <c r="C8" s="143"/>
      <c r="D8" s="143"/>
      <c r="E8" s="143"/>
      <c r="F8" s="143"/>
    </row>
    <row r="9" ht="12.75" customHeight="1" spans="1:6" x14ac:dyDescent="0.25">
      <c r="A9" s="148"/>
      <c r="B9" s="146"/>
      <c r="C9" s="143"/>
      <c r="D9" s="143"/>
      <c r="E9" s="143"/>
      <c r="F9" s="148"/>
    </row>
    <row r="10" ht="12.75" customHeight="1" spans="1:6" x14ac:dyDescent="0.25">
      <c r="A10" s="149"/>
      <c r="B10" s="150" t="s">
        <v>787</v>
      </c>
      <c r="C10" s="151" t="s">
        <v>788</v>
      </c>
      <c r="D10" s="151"/>
      <c r="E10" s="151"/>
      <c r="F10" s="152" t="s">
        <v>789</v>
      </c>
    </row>
    <row r="11" ht="12.75" customHeight="1" spans="1:6" x14ac:dyDescent="0.25">
      <c r="A11" s="153" t="s">
        <v>643</v>
      </c>
      <c r="B11" s="154" t="s">
        <v>790</v>
      </c>
      <c r="C11" s="155" t="s">
        <v>791</v>
      </c>
      <c r="D11" s="155" t="s">
        <v>671</v>
      </c>
      <c r="E11" s="156" t="s">
        <v>645</v>
      </c>
      <c r="F11" s="157" t="s">
        <v>792</v>
      </c>
    </row>
    <row r="12" ht="12.75" customHeight="1" spans="1:6" x14ac:dyDescent="0.25">
      <c r="A12" s="158"/>
      <c r="B12" s="159" t="s">
        <v>793</v>
      </c>
      <c r="C12" s="155"/>
      <c r="D12" s="160"/>
      <c r="E12" s="160"/>
      <c r="F12" s="161" t="s">
        <v>794</v>
      </c>
    </row>
    <row r="13" ht="12.75" customHeight="1" spans="1:6" x14ac:dyDescent="0.25">
      <c r="A13" s="162"/>
      <c r="B13" s="163"/>
      <c r="C13" s="164"/>
      <c r="D13" s="164"/>
      <c r="E13" s="165"/>
      <c r="F13" s="166"/>
    </row>
    <row r="14" ht="12.75" customHeight="1" spans="1:8" x14ac:dyDescent="0.25">
      <c r="A14" s="162" t="s">
        <v>795</v>
      </c>
      <c r="B14" s="167">
        <v>10655170.5685161</v>
      </c>
      <c r="C14" s="164">
        <v>141023.06</v>
      </c>
      <c r="D14" s="164">
        <f>+'Dist.de gastos'!F103</f>
        <v>25850.190000000002</v>
      </c>
      <c r="E14" s="164">
        <f>+C14+D14</f>
        <v>166873.25</v>
      </c>
      <c r="F14" s="168">
        <f>+B14+E14</f>
        <v>10822043.8185161</v>
      </c>
      <c r="G14" s="169"/>
      <c r="H14" s="170"/>
    </row>
    <row r="15" ht="12.75" customHeight="1" spans="1:8" x14ac:dyDescent="0.25">
      <c r="A15" s="162"/>
      <c r="B15" s="167"/>
      <c r="C15" s="164">
        <v>0</v>
      </c>
      <c r="D15" s="164">
        <f>+'Dist.de gastos'!F104</f>
        <v>0</v>
      </c>
      <c r="E15" s="164">
        <f>+C15+D15</f>
        <v>0</v>
      </c>
      <c r="F15" s="168"/>
      <c r="G15" s="169"/>
      <c r="H15" s="170"/>
    </row>
    <row r="16" ht="12.75" customHeight="1" spans="1:8" x14ac:dyDescent="0.25">
      <c r="A16" s="162" t="s">
        <v>796</v>
      </c>
      <c r="B16" s="167">
        <v>7616043.07</v>
      </c>
      <c r="C16" s="164">
        <v>227193.52</v>
      </c>
      <c r="D16" s="164">
        <f>+'Dist.de gastos'!G103</f>
        <v>26539.73</v>
      </c>
      <c r="E16" s="164">
        <f>+C16+D16</f>
        <v>253733.25</v>
      </c>
      <c r="F16" s="168">
        <f>+B16+E16</f>
        <v>7869776.32</v>
      </c>
      <c r="G16" s="169"/>
      <c r="H16" s="170"/>
    </row>
    <row r="17" ht="12.75" customHeight="1" spans="1:8" x14ac:dyDescent="0.25">
      <c r="A17" s="162"/>
      <c r="B17" s="167"/>
      <c r="C17" s="164">
        <v>0</v>
      </c>
      <c r="D17" s="164"/>
      <c r="E17" s="164">
        <f>+C17+D17</f>
        <v>0</v>
      </c>
      <c r="F17" s="168"/>
      <c r="G17" s="169"/>
      <c r="H17" s="170"/>
    </row>
    <row r="18" ht="12.75" customHeight="1" spans="1:8" x14ac:dyDescent="0.25">
      <c r="A18" s="162" t="s">
        <v>797</v>
      </c>
      <c r="B18" s="167">
        <v>539339.15</v>
      </c>
      <c r="C18" s="164">
        <v>0</v>
      </c>
      <c r="D18" s="164">
        <v>0</v>
      </c>
      <c r="E18" s="164">
        <f>+C18+D18</f>
        <v>0</v>
      </c>
      <c r="F18" s="168">
        <f>+B18+E18</f>
        <v>539339.15</v>
      </c>
      <c r="G18" s="169"/>
      <c r="H18" s="170"/>
    </row>
    <row r="19" ht="12.75" customHeight="1" spans="1:8" x14ac:dyDescent="0.25">
      <c r="A19" s="162"/>
      <c r="B19" s="167"/>
      <c r="C19" s="164">
        <v>0</v>
      </c>
      <c r="D19" s="164"/>
      <c r="E19" s="164">
        <f>+C19+D19</f>
        <v>0</v>
      </c>
      <c r="F19" s="168"/>
      <c r="G19" s="169"/>
      <c r="H19" s="170"/>
    </row>
    <row r="20" ht="12.75" customHeight="1" spans="1:8" x14ac:dyDescent="0.25">
      <c r="A20" s="162" t="s">
        <v>798</v>
      </c>
      <c r="B20" s="167">
        <v>104295.02</v>
      </c>
      <c r="C20" s="164">
        <v>0</v>
      </c>
      <c r="D20" s="164">
        <v>0</v>
      </c>
      <c r="E20" s="164">
        <f>+C20+D20</f>
        <v>0</v>
      </c>
      <c r="F20" s="168">
        <f>+B20+E20</f>
        <v>104295.02</v>
      </c>
      <c r="G20" s="169"/>
      <c r="H20" s="170"/>
    </row>
    <row r="21" ht="12.75" customHeight="1" spans="1:8" x14ac:dyDescent="0.25">
      <c r="A21" s="162"/>
      <c r="B21" s="167"/>
      <c r="C21" s="164">
        <v>0</v>
      </c>
      <c r="D21" s="164"/>
      <c r="E21" s="164">
        <f>+C21+D21</f>
        <v>0</v>
      </c>
      <c r="F21" s="168"/>
      <c r="G21" s="169"/>
      <c r="H21" s="170"/>
    </row>
    <row r="22" ht="12.75" customHeight="1" spans="1:8" x14ac:dyDescent="0.25">
      <c r="A22" s="162" t="s">
        <v>799</v>
      </c>
      <c r="B22" s="167">
        <v>1342066.81</v>
      </c>
      <c r="C22" s="164">
        <v>0</v>
      </c>
      <c r="D22" s="164">
        <v>0</v>
      </c>
      <c r="E22" s="164">
        <f>+C22+D22</f>
        <v>0</v>
      </c>
      <c r="F22" s="168">
        <f>+B22+E22</f>
        <v>1342066.81</v>
      </c>
      <c r="G22" s="169"/>
      <c r="H22" s="170"/>
    </row>
    <row r="23" ht="12.75" customHeight="1" spans="1:8" x14ac:dyDescent="0.25">
      <c r="A23" s="162"/>
      <c r="B23" s="167"/>
      <c r="C23" s="164">
        <v>0</v>
      </c>
      <c r="D23" s="164"/>
      <c r="E23" s="164">
        <f>+C23+D23</f>
        <v>0</v>
      </c>
      <c r="F23" s="168"/>
      <c r="G23" s="169"/>
      <c r="H23" s="170"/>
    </row>
    <row r="24" ht="12.75" customHeight="1" spans="1:8" x14ac:dyDescent="0.25">
      <c r="A24" s="162" t="s">
        <v>800</v>
      </c>
      <c r="B24" s="167">
        <v>2514895.5</v>
      </c>
      <c r="C24" s="164">
        <v>0</v>
      </c>
      <c r="D24" s="164">
        <v>0</v>
      </c>
      <c r="E24" s="164">
        <f>+C24+D24</f>
        <v>0</v>
      </c>
      <c r="F24" s="168">
        <f>+B24+E24</f>
        <v>2514895.5</v>
      </c>
      <c r="G24" s="169"/>
      <c r="H24" s="170"/>
    </row>
    <row r="25" ht="12.75" customHeight="1" spans="1:8" x14ac:dyDescent="0.25">
      <c r="A25" s="162"/>
      <c r="B25" s="167"/>
      <c r="C25" s="164">
        <v>0</v>
      </c>
      <c r="D25" s="164"/>
      <c r="E25" s="164">
        <f>+C25+D25</f>
        <v>0</v>
      </c>
      <c r="F25" s="168"/>
      <c r="G25" s="169"/>
      <c r="H25" s="170"/>
    </row>
    <row r="26" ht="12.75" customHeight="1" spans="1:8" x14ac:dyDescent="0.25">
      <c r="A26" s="162" t="s">
        <v>801</v>
      </c>
      <c r="B26" s="167">
        <v>247500.23</v>
      </c>
      <c r="C26" s="164">
        <v>0</v>
      </c>
      <c r="D26" s="164">
        <v>0</v>
      </c>
      <c r="E26" s="164">
        <f>+C26+D26</f>
        <v>0</v>
      </c>
      <c r="F26" s="168">
        <f>+B26+E26</f>
        <v>247500.23</v>
      </c>
      <c r="G26" s="169"/>
      <c r="H26" s="170"/>
    </row>
    <row r="27" ht="12.75" customHeight="1" spans="1:8" x14ac:dyDescent="0.25">
      <c r="A27" s="162"/>
      <c r="B27" s="167"/>
      <c r="C27" s="164">
        <v>0</v>
      </c>
      <c r="D27" s="164"/>
      <c r="E27" s="164">
        <f>+C27+D27</f>
        <v>0</v>
      </c>
      <c r="F27" s="168"/>
      <c r="G27" s="169"/>
      <c r="H27" s="170"/>
    </row>
    <row r="28" ht="12.75" customHeight="1" spans="1:8" x14ac:dyDescent="0.25">
      <c r="A28" s="162" t="s">
        <v>802</v>
      </c>
      <c r="B28" s="167">
        <v>1113083.26</v>
      </c>
      <c r="C28" s="164">
        <v>0</v>
      </c>
      <c r="D28" s="164">
        <v>0</v>
      </c>
      <c r="E28" s="164">
        <f>+C28+D28</f>
        <v>0</v>
      </c>
      <c r="F28" s="168">
        <f>+B28+E28</f>
        <v>1113083.26</v>
      </c>
      <c r="G28" s="169"/>
      <c r="H28" s="170"/>
    </row>
    <row r="29" ht="12.75" customHeight="1" spans="1:8" x14ac:dyDescent="0.25">
      <c r="A29" s="162"/>
      <c r="B29" s="167"/>
      <c r="C29" s="164">
        <v>0</v>
      </c>
      <c r="D29" s="164"/>
      <c r="E29" s="164">
        <f>+C29+D29</f>
        <v>0</v>
      </c>
      <c r="F29" s="168"/>
      <c r="G29" s="169"/>
      <c r="H29" s="170"/>
    </row>
    <row r="30" ht="12.75" customHeight="1" spans="1:8" x14ac:dyDescent="0.25">
      <c r="A30" s="162" t="s">
        <v>803</v>
      </c>
      <c r="B30" s="167">
        <v>462831.19</v>
      </c>
      <c r="C30" s="164">
        <v>2008.07</v>
      </c>
      <c r="D30" s="164">
        <f>+'Dist.de gastos'!I103</f>
        <v>0</v>
      </c>
      <c r="E30" s="164">
        <f>+C30+D30</f>
        <v>2008.07</v>
      </c>
      <c r="F30" s="168">
        <f>+B30+E30</f>
        <v>464839.26</v>
      </c>
      <c r="G30" s="169"/>
      <c r="H30" s="170"/>
    </row>
    <row r="31" ht="12.75" customHeight="1" spans="1:8" x14ac:dyDescent="0.25">
      <c r="A31" s="162"/>
      <c r="B31" s="167"/>
      <c r="C31" s="164">
        <v>0</v>
      </c>
      <c r="D31" s="164"/>
      <c r="E31" s="164">
        <f>+C31+D31</f>
        <v>0</v>
      </c>
      <c r="F31" s="168"/>
      <c r="G31" s="169"/>
      <c r="H31" s="170"/>
    </row>
    <row r="32" ht="12.75" customHeight="1" spans="1:8" x14ac:dyDescent="0.25">
      <c r="A32" s="162" t="s">
        <v>804</v>
      </c>
      <c r="B32" s="167">
        <v>964922.37</v>
      </c>
      <c r="C32" s="164">
        <v>2008.07</v>
      </c>
      <c r="D32" s="164">
        <f>+'Dist.de gastos'!J103</f>
        <v>0</v>
      </c>
      <c r="E32" s="164">
        <f>+C32+D32</f>
        <v>2008.07</v>
      </c>
      <c r="F32" s="168">
        <f>+B32+E32</f>
        <v>966930.44</v>
      </c>
      <c r="G32" s="169"/>
      <c r="H32" s="170"/>
    </row>
    <row r="33" ht="12.75" customHeight="1" spans="1:8" x14ac:dyDescent="0.25">
      <c r="A33" s="162"/>
      <c r="B33" s="167"/>
      <c r="C33" s="164">
        <v>0</v>
      </c>
      <c r="D33" s="164"/>
      <c r="E33" s="164">
        <f>+C33+D33</f>
        <v>0</v>
      </c>
      <c r="F33" s="168"/>
      <c r="G33" s="169"/>
      <c r="H33" s="170"/>
    </row>
    <row r="34" ht="12.75" customHeight="1" spans="1:8" x14ac:dyDescent="0.25">
      <c r="A34" s="162" t="s">
        <v>805</v>
      </c>
      <c r="B34" s="167">
        <v>847852.08</v>
      </c>
      <c r="C34" s="164">
        <v>2614.37</v>
      </c>
      <c r="D34" s="164">
        <f>+'Dist.de gastos'!M103</f>
        <v>0</v>
      </c>
      <c r="E34" s="164">
        <f>+C34+D34</f>
        <v>2614.37</v>
      </c>
      <c r="F34" s="168">
        <f>+B34+E34</f>
        <v>850466.45</v>
      </c>
      <c r="G34" s="169"/>
      <c r="H34" s="170"/>
    </row>
    <row r="35" ht="12.75" customHeight="1" spans="1:8" x14ac:dyDescent="0.25">
      <c r="A35" s="162"/>
      <c r="B35" s="167"/>
      <c r="C35" s="164">
        <v>0</v>
      </c>
      <c r="D35" s="164"/>
      <c r="E35" s="164">
        <f>+C35+D35</f>
        <v>0</v>
      </c>
      <c r="F35" s="168"/>
      <c r="G35" s="169"/>
      <c r="H35" s="170"/>
    </row>
    <row r="36" ht="12.75" customHeight="1" spans="1:8" x14ac:dyDescent="0.25">
      <c r="A36" s="162" t="s">
        <v>806</v>
      </c>
      <c r="B36" s="167">
        <v>9494209.2</v>
      </c>
      <c r="C36" s="164">
        <v>22097.9</v>
      </c>
      <c r="D36" s="164">
        <f>+'Dist.de gastos'!N103</f>
        <v>14286.470000000001</v>
      </c>
      <c r="E36" s="164">
        <f>+C36+D36</f>
        <v>36384.37</v>
      </c>
      <c r="F36" s="168">
        <f>+B36+E36</f>
        <v>9530593.569999998</v>
      </c>
      <c r="G36" s="169"/>
      <c r="H36" s="170"/>
    </row>
    <row r="37" ht="12.75" customHeight="1" spans="1:8" x14ac:dyDescent="0.25">
      <c r="A37" s="162"/>
      <c r="B37" s="167"/>
      <c r="C37" s="164">
        <v>0</v>
      </c>
      <c r="D37" s="164"/>
      <c r="E37" s="164">
        <f>+C37+D37</f>
        <v>0</v>
      </c>
      <c r="F37" s="168"/>
      <c r="G37" s="169"/>
      <c r="H37" s="170"/>
    </row>
    <row r="38" ht="12.75" customHeight="1" spans="1:8" x14ac:dyDescent="0.25">
      <c r="A38" s="162" t="s">
        <v>807</v>
      </c>
      <c r="B38" s="167">
        <v>2577915.86</v>
      </c>
      <c r="C38" s="164">
        <v>469242.26</v>
      </c>
      <c r="D38" s="164">
        <f>+'Dist.de gastos'!K103</f>
        <v>16784.290000000005</v>
      </c>
      <c r="E38" s="164">
        <f>+C38+D38</f>
        <v>486026.55</v>
      </c>
      <c r="F38" s="168">
        <f>+B38+E38</f>
        <v>3063942.4099999997</v>
      </c>
      <c r="G38" s="169"/>
      <c r="H38" s="170"/>
    </row>
    <row r="39" ht="12.75" customHeight="1" spans="1:8" x14ac:dyDescent="0.25">
      <c r="A39" s="162"/>
      <c r="B39" s="167"/>
      <c r="C39" s="164">
        <v>0</v>
      </c>
      <c r="D39" s="164"/>
      <c r="E39" s="164">
        <f>+C39+D39</f>
        <v>0</v>
      </c>
      <c r="F39" s="168"/>
      <c r="G39" s="169"/>
      <c r="H39" s="170"/>
    </row>
    <row r="40" ht="12.75" customHeight="1" spans="1:8" x14ac:dyDescent="0.25">
      <c r="A40" s="162" t="s">
        <v>808</v>
      </c>
      <c r="B40" s="167">
        <v>158896.84</v>
      </c>
      <c r="C40" s="164">
        <v>0</v>
      </c>
      <c r="D40" s="171">
        <f>+'Dist.de gastos'!O101</f>
        <v>0</v>
      </c>
      <c r="E40" s="164">
        <f>+C40+D40</f>
        <v>0</v>
      </c>
      <c r="F40" s="168">
        <f>+B40+E40</f>
        <v>158896.84</v>
      </c>
      <c r="G40" s="169"/>
      <c r="H40" s="170"/>
    </row>
    <row r="41" ht="12.75" customHeight="1" spans="1:8" x14ac:dyDescent="0.25">
      <c r="A41" s="162"/>
      <c r="B41" s="167"/>
      <c r="C41" s="164">
        <v>0</v>
      </c>
      <c r="D41" s="171">
        <f>+'Dist.de gastos'!O102</f>
        <v>0</v>
      </c>
      <c r="E41" s="164">
        <f>+C41+D41</f>
        <v>0</v>
      </c>
      <c r="F41" s="168"/>
      <c r="G41" s="169"/>
      <c r="H41" s="170"/>
    </row>
    <row r="42" ht="12.75" customHeight="1" spans="1:8" x14ac:dyDescent="0.25">
      <c r="A42" s="162" t="s">
        <v>809</v>
      </c>
      <c r="B42" s="167">
        <v>16655.97</v>
      </c>
      <c r="C42" s="164">
        <v>487.94</v>
      </c>
      <c r="D42" s="171">
        <f>+'Dist.de gastos'!O103</f>
        <v>0</v>
      </c>
      <c r="E42" s="164">
        <f>+C42+D42</f>
        <v>487.94</v>
      </c>
      <c r="F42" s="168">
        <f>+B42+E42</f>
        <v>17143.91</v>
      </c>
      <c r="G42" s="169"/>
      <c r="H42" s="170"/>
    </row>
    <row r="43" ht="12.75" customHeight="1" spans="1:8" x14ac:dyDescent="0.25">
      <c r="A43" s="162"/>
      <c r="B43" s="167"/>
      <c r="C43" s="164">
        <v>0</v>
      </c>
      <c r="D43" s="171">
        <f>+'Dist.de gastos'!O104</f>
        <v>0</v>
      </c>
      <c r="E43" s="164">
        <f>+C43+D43</f>
        <v>0</v>
      </c>
      <c r="F43" s="168"/>
      <c r="G43" s="169"/>
      <c r="H43" s="170"/>
    </row>
    <row r="44" ht="12.75" customHeight="1" spans="1:8" x14ac:dyDescent="0.25">
      <c r="A44" s="162" t="s">
        <v>810</v>
      </c>
      <c r="B44" s="167">
        <v>6584.26</v>
      </c>
      <c r="C44" s="164">
        <v>0</v>
      </c>
      <c r="D44" s="171">
        <f>+'Dist.de gastos'!O105</f>
        <v>0</v>
      </c>
      <c r="E44" s="164">
        <f>+C44+D44</f>
        <v>0</v>
      </c>
      <c r="F44" s="168">
        <f>+B44+E44</f>
        <v>6584.26</v>
      </c>
      <c r="G44" s="169"/>
      <c r="H44" s="170"/>
    </row>
    <row r="45" ht="12.75" customHeight="1" spans="1:8" x14ac:dyDescent="0.25">
      <c r="A45" s="162"/>
      <c r="B45" s="167"/>
      <c r="C45" s="164">
        <v>0</v>
      </c>
      <c r="D45" s="171">
        <f>+'Dist.de gastos'!O106</f>
        <v>0</v>
      </c>
      <c r="E45" s="164">
        <f>+C45+D45</f>
        <v>0</v>
      </c>
      <c r="F45" s="168"/>
      <c r="G45" s="169"/>
      <c r="H45" s="170"/>
    </row>
    <row r="46" ht="12.75" customHeight="1" spans="1:8" x14ac:dyDescent="0.25">
      <c r="A46" s="162" t="s">
        <v>811</v>
      </c>
      <c r="B46" s="167">
        <v>5000</v>
      </c>
      <c r="C46" s="164">
        <v>0</v>
      </c>
      <c r="D46" s="171">
        <f>+'Dist.de gastos'!O107</f>
        <v>0</v>
      </c>
      <c r="E46" s="164">
        <f>+C46+D46</f>
        <v>0</v>
      </c>
      <c r="F46" s="168">
        <f>+B46+E46</f>
        <v>5000</v>
      </c>
      <c r="G46" s="169"/>
      <c r="H46" s="170"/>
    </row>
    <row r="47" ht="12.75" customHeight="1" spans="1:8" x14ac:dyDescent="0.25">
      <c r="A47" s="162"/>
      <c r="B47" s="167"/>
      <c r="C47" s="164">
        <v>0</v>
      </c>
      <c r="D47" s="171">
        <f>+'Dist.de gastos'!O108</f>
        <v>0</v>
      </c>
      <c r="E47" s="164">
        <f>+C47+D47</f>
        <v>0</v>
      </c>
      <c r="F47" s="168"/>
      <c r="G47" s="169"/>
      <c r="H47" s="170"/>
    </row>
    <row r="48" ht="12.75" customHeight="1" spans="1:8" x14ac:dyDescent="0.25">
      <c r="A48" s="162" t="s">
        <v>812</v>
      </c>
      <c r="B48" s="167">
        <v>177908.1</v>
      </c>
      <c r="C48" s="164">
        <v>1814.43</v>
      </c>
      <c r="D48" s="171">
        <f>+'Dist.de gastos'!P103</f>
        <v>0</v>
      </c>
      <c r="E48" s="164">
        <f>+C48+D48</f>
        <v>1814.43</v>
      </c>
      <c r="F48" s="168">
        <f>+B48+E48</f>
        <v>179722.53</v>
      </c>
      <c r="G48" s="169"/>
      <c r="H48" s="170"/>
    </row>
    <row r="49" ht="12.75" customHeight="1" spans="1:8" x14ac:dyDescent="0.25">
      <c r="A49" s="162"/>
      <c r="B49" s="167"/>
      <c r="C49" s="164">
        <v>0</v>
      </c>
      <c r="D49" s="171">
        <f>+'Dist.de gastos'!O110</f>
        <v>0</v>
      </c>
      <c r="E49" s="164">
        <f>+C49+D49</f>
        <v>0</v>
      </c>
      <c r="F49" s="168"/>
      <c r="G49" s="169"/>
      <c r="H49" s="170"/>
    </row>
    <row r="50" ht="12.75" customHeight="1" spans="1:8" x14ac:dyDescent="0.25">
      <c r="A50" s="162" t="s">
        <v>813</v>
      </c>
      <c r="B50" s="167">
        <v>29721.57</v>
      </c>
      <c r="C50" s="164">
        <v>0</v>
      </c>
      <c r="D50" s="171">
        <f>+'Dist.de gastos'!O111</f>
        <v>0</v>
      </c>
      <c r="E50" s="164">
        <f>+C50+D50</f>
        <v>0</v>
      </c>
      <c r="F50" s="168">
        <f>+B50+E50</f>
        <v>29721.57</v>
      </c>
      <c r="G50" s="169"/>
      <c r="H50" s="170"/>
    </row>
    <row r="51" ht="12.75" customHeight="1" spans="1:8" x14ac:dyDescent="0.25">
      <c r="A51" s="162"/>
      <c r="B51" s="167"/>
      <c r="C51" s="164">
        <v>0</v>
      </c>
      <c r="D51" s="171">
        <f>+'Dist.de gastos'!O112</f>
        <v>0</v>
      </c>
      <c r="E51" s="164">
        <f>+C51+D51</f>
        <v>0</v>
      </c>
      <c r="F51" s="168"/>
      <c r="G51" s="169"/>
      <c r="H51" s="170"/>
    </row>
    <row r="52" ht="12.75" customHeight="1" spans="1:8" x14ac:dyDescent="0.25">
      <c r="A52" s="162" t="s">
        <v>814</v>
      </c>
      <c r="B52" s="167">
        <v>1768.7</v>
      </c>
      <c r="C52" s="164">
        <v>0</v>
      </c>
      <c r="D52" s="171">
        <f>+'Dist.de gastos'!O113</f>
        <v>0</v>
      </c>
      <c r="E52" s="164">
        <f>+C52+D52</f>
        <v>0</v>
      </c>
      <c r="F52" s="168">
        <f>+B52+E52</f>
        <v>1768.7</v>
      </c>
      <c r="G52" s="169"/>
      <c r="H52" s="170"/>
    </row>
    <row r="53" ht="12.75" customHeight="1" spans="1:8" x14ac:dyDescent="0.25">
      <c r="A53" s="162"/>
      <c r="B53" s="167"/>
      <c r="C53" s="164">
        <v>0</v>
      </c>
      <c r="D53" s="171">
        <f>+'Dist.de gastos'!O114</f>
        <v>0</v>
      </c>
      <c r="E53" s="164">
        <f>+C53+D53</f>
        <v>0</v>
      </c>
      <c r="F53" s="168"/>
      <c r="G53" s="169"/>
      <c r="H53" s="170"/>
    </row>
    <row r="54" ht="12.75" customHeight="1" spans="1:8" x14ac:dyDescent="0.25">
      <c r="A54" s="162" t="s">
        <v>815</v>
      </c>
      <c r="B54" s="167">
        <v>1966.74</v>
      </c>
      <c r="C54" s="164">
        <v>0</v>
      </c>
      <c r="D54" s="171">
        <f>+'Dist.de gastos'!O115</f>
        <v>0</v>
      </c>
      <c r="E54" s="164">
        <f>+C54+D54</f>
        <v>0</v>
      </c>
      <c r="F54" s="168">
        <f>+B54+E54</f>
        <v>1966.74</v>
      </c>
      <c r="G54" s="169"/>
      <c r="H54" s="170"/>
    </row>
    <row r="55" ht="12.75" customHeight="1" spans="1:8" x14ac:dyDescent="0.25">
      <c r="A55" s="162"/>
      <c r="B55" s="167"/>
      <c r="C55" s="164">
        <v>0</v>
      </c>
      <c r="D55" s="171">
        <f>+'Dist.de gastos'!O116</f>
        <v>0</v>
      </c>
      <c r="E55" s="164">
        <f>+C55+D55</f>
        <v>0</v>
      </c>
      <c r="F55" s="168"/>
      <c r="G55" s="169"/>
      <c r="H55" s="170"/>
    </row>
    <row r="56" ht="12.75" customHeight="1" spans="1:8" x14ac:dyDescent="0.25">
      <c r="A56" s="162" t="s">
        <v>816</v>
      </c>
      <c r="B56" s="167">
        <v>2758725.58</v>
      </c>
      <c r="C56" s="164">
        <v>0</v>
      </c>
      <c r="D56" s="171">
        <f>+'Dist.de gastos'!V103</f>
        <v>0</v>
      </c>
      <c r="E56" s="164">
        <f>+C56+D56</f>
        <v>0</v>
      </c>
      <c r="F56" s="168">
        <f>+B56+E56</f>
        <v>2758725.58</v>
      </c>
      <c r="G56" s="169"/>
      <c r="H56" s="170"/>
    </row>
    <row r="57" ht="12.75" customHeight="1" spans="1:8" x14ac:dyDescent="0.25">
      <c r="A57" s="162"/>
      <c r="B57" s="167">
        <v>0</v>
      </c>
      <c r="C57" s="164">
        <v>0</v>
      </c>
      <c r="D57" s="171">
        <f>+'Dist.de gastos'!O118</f>
        <v>0</v>
      </c>
      <c r="E57" s="164">
        <f>+C57+D57</f>
        <v>0</v>
      </c>
      <c r="F57" s="168">
        <f>+B57+E57</f>
        <v>0</v>
      </c>
      <c r="G57" s="169"/>
      <c r="H57" s="170"/>
    </row>
    <row r="58" ht="12.75" customHeight="1" spans="1:8" x14ac:dyDescent="0.25">
      <c r="A58" s="162" t="s">
        <v>817</v>
      </c>
      <c r="B58" s="167">
        <v>3954433.14</v>
      </c>
      <c r="C58" s="164">
        <v>0</v>
      </c>
      <c r="D58" s="171">
        <f>+'Dist.de gastos'!U103</f>
        <v>0</v>
      </c>
      <c r="E58" s="164">
        <f>+C58+D58</f>
        <v>0</v>
      </c>
      <c r="F58" s="168">
        <f>+B58+E58</f>
        <v>3954433.14</v>
      </c>
      <c r="G58" s="169"/>
      <c r="H58" s="170"/>
    </row>
    <row r="59" ht="12.75" customHeight="1" spans="1:8" x14ac:dyDescent="0.25">
      <c r="A59" s="162"/>
      <c r="B59" s="167">
        <v>0</v>
      </c>
      <c r="C59" s="164">
        <v>0</v>
      </c>
      <c r="D59" s="171">
        <f>+'Dist.de gastos'!O120</f>
        <v>0</v>
      </c>
      <c r="E59" s="164">
        <f>+C59+D59</f>
        <v>0</v>
      </c>
      <c r="F59" s="168">
        <f>+B59+E59</f>
        <v>0</v>
      </c>
      <c r="G59" s="169"/>
      <c r="H59" s="170"/>
    </row>
    <row r="60" ht="12.75" customHeight="1" spans="1:8" x14ac:dyDescent="0.25">
      <c r="A60" s="162" t="s">
        <v>818</v>
      </c>
      <c r="B60" s="167">
        <v>362.64</v>
      </c>
      <c r="C60" s="164">
        <v>0</v>
      </c>
      <c r="D60" s="171">
        <f>+'Dist.de gastos'!O121</f>
        <v>0</v>
      </c>
      <c r="E60" s="164">
        <f>+C60+D60</f>
        <v>0</v>
      </c>
      <c r="F60" s="168">
        <f>+B60+E60</f>
        <v>362.64</v>
      </c>
      <c r="G60" s="169"/>
      <c r="H60" s="170"/>
    </row>
    <row r="61" ht="12.75" customHeight="1" spans="1:8" x14ac:dyDescent="0.25">
      <c r="A61" s="162"/>
      <c r="B61" s="167">
        <v>0</v>
      </c>
      <c r="C61" s="164">
        <v>0</v>
      </c>
      <c r="D61" s="171">
        <f>+'Dist.de gastos'!O122</f>
        <v>0</v>
      </c>
      <c r="E61" s="164">
        <f>+C61+D61</f>
        <v>0</v>
      </c>
      <c r="F61" s="168">
        <f>+B61+E61</f>
        <v>0</v>
      </c>
      <c r="G61" s="169"/>
      <c r="H61" s="170"/>
    </row>
    <row r="62" ht="12.75" customHeight="1" spans="1:8" x14ac:dyDescent="0.25">
      <c r="A62" s="162" t="s">
        <v>819</v>
      </c>
      <c r="B62" s="167">
        <v>1010.28</v>
      </c>
      <c r="C62" s="164">
        <v>0</v>
      </c>
      <c r="D62" s="171">
        <f>+'Dist.de gastos'!O123</f>
        <v>0</v>
      </c>
      <c r="E62" s="164">
        <f>+C62+D62</f>
        <v>0</v>
      </c>
      <c r="F62" s="168">
        <f>+B62+E62</f>
        <v>1010.28</v>
      </c>
      <c r="G62" s="169"/>
      <c r="H62" s="170"/>
    </row>
    <row r="63" ht="12.75" customHeight="1" spans="1:8" x14ac:dyDescent="0.25">
      <c r="A63" s="162"/>
      <c r="B63" s="167">
        <v>0</v>
      </c>
      <c r="C63" s="164">
        <v>0</v>
      </c>
      <c r="D63" s="171">
        <f>+'Dist.de gastos'!O124</f>
        <v>0</v>
      </c>
      <c r="E63" s="164">
        <f>+C63+D63</f>
        <v>0</v>
      </c>
      <c r="F63" s="168">
        <f>+B63+E63</f>
        <v>0</v>
      </c>
      <c r="G63" s="169"/>
      <c r="H63" s="170"/>
    </row>
    <row r="64" ht="12.75" customHeight="1" spans="1:8" x14ac:dyDescent="0.25">
      <c r="A64" s="162" t="s">
        <v>820</v>
      </c>
      <c r="B64" s="167">
        <v>10845.66</v>
      </c>
      <c r="C64" s="164">
        <v>0</v>
      </c>
      <c r="D64" s="171">
        <f>+'Dist.de gastos'!O125</f>
        <v>0</v>
      </c>
      <c r="E64" s="164">
        <f>+C64+D64</f>
        <v>0</v>
      </c>
      <c r="F64" s="168">
        <f>+B64+E64</f>
        <v>10845.66</v>
      </c>
      <c r="G64" s="169"/>
      <c r="H64" s="170"/>
    </row>
    <row r="65" ht="12.75" customHeight="1" spans="1:8" x14ac:dyDescent="0.25">
      <c r="A65" s="162"/>
      <c r="B65" s="167">
        <v>0</v>
      </c>
      <c r="C65" s="164">
        <v>0</v>
      </c>
      <c r="D65" s="171">
        <f>+'Dist.de gastos'!O126</f>
        <v>0</v>
      </c>
      <c r="E65" s="164">
        <f>+C65+D65</f>
        <v>0</v>
      </c>
      <c r="F65" s="168">
        <f>+B65+E65</f>
        <v>0</v>
      </c>
      <c r="G65" s="169"/>
      <c r="H65" s="170"/>
    </row>
    <row r="66" ht="12.75" customHeight="1" spans="1:8" x14ac:dyDescent="0.25">
      <c r="A66" s="162" t="s">
        <v>821</v>
      </c>
      <c r="B66" s="167">
        <v>6713.02</v>
      </c>
      <c r="C66" s="164">
        <v>0</v>
      </c>
      <c r="D66" s="171">
        <f>+'Dist.de gastos'!O127</f>
        <v>0</v>
      </c>
      <c r="E66" s="164">
        <f>+C66+D66</f>
        <v>0</v>
      </c>
      <c r="F66" s="168">
        <f>+B66+E66</f>
        <v>6713.02</v>
      </c>
      <c r="G66" s="169"/>
      <c r="H66" s="170"/>
    </row>
    <row r="67" ht="12.75" customHeight="1" spans="1:8" x14ac:dyDescent="0.25">
      <c r="A67" s="162"/>
      <c r="B67" s="167">
        <v>0</v>
      </c>
      <c r="C67" s="164">
        <v>0</v>
      </c>
      <c r="D67" s="171">
        <f>+'Dist.de gastos'!O128</f>
        <v>0</v>
      </c>
      <c r="E67" s="164">
        <f>+C67+D67</f>
        <v>0</v>
      </c>
      <c r="F67" s="168">
        <f>+B67+E67</f>
        <v>0</v>
      </c>
      <c r="G67" s="169"/>
      <c r="H67" s="170"/>
    </row>
    <row r="68" ht="12.75" customHeight="1" spans="1:8" x14ac:dyDescent="0.25">
      <c r="A68" s="162" t="s">
        <v>822</v>
      </c>
      <c r="B68" s="167">
        <v>5691.9</v>
      </c>
      <c r="C68" s="164">
        <v>0</v>
      </c>
      <c r="D68" s="171">
        <f>+'Dist.de gastos'!O129</f>
        <v>0</v>
      </c>
      <c r="E68" s="164">
        <f>+C68+D68</f>
        <v>0</v>
      </c>
      <c r="F68" s="168">
        <f>+B68+E68</f>
        <v>5691.9</v>
      </c>
      <c r="G68" s="169"/>
      <c r="H68" s="170"/>
    </row>
    <row r="69" ht="12.75" customHeight="1" spans="1:8" x14ac:dyDescent="0.25">
      <c r="A69" s="162"/>
      <c r="B69" s="167">
        <v>0</v>
      </c>
      <c r="C69" s="164">
        <v>0</v>
      </c>
      <c r="D69" s="171">
        <f>+'Dist.de gastos'!O130</f>
        <v>0</v>
      </c>
      <c r="E69" s="164">
        <f>+C69+D69</f>
        <v>0</v>
      </c>
      <c r="F69" s="168">
        <f>+B69+E69</f>
        <v>0</v>
      </c>
      <c r="G69" s="169"/>
      <c r="H69" s="170"/>
    </row>
    <row r="70" ht="12.75" customHeight="1" spans="1:8" x14ac:dyDescent="0.25">
      <c r="A70" s="162" t="s">
        <v>823</v>
      </c>
      <c r="B70" s="167">
        <v>29161.16</v>
      </c>
      <c r="C70" s="164">
        <v>0</v>
      </c>
      <c r="D70" s="171">
        <f>+'Dist.de gastos'!O131</f>
        <v>0</v>
      </c>
      <c r="E70" s="164">
        <f>+C70+D70</f>
        <v>0</v>
      </c>
      <c r="F70" s="168">
        <f>+B70+E70</f>
        <v>29161.16</v>
      </c>
      <c r="G70" s="169"/>
      <c r="H70" s="170"/>
    </row>
    <row r="71" ht="12.75" customHeight="1" spans="1:8" x14ac:dyDescent="0.25">
      <c r="A71" s="162"/>
      <c r="B71" s="167"/>
      <c r="C71" s="164">
        <v>0</v>
      </c>
      <c r="D71" s="171">
        <f>+'Dist.de gastos'!O132</f>
        <v>0</v>
      </c>
      <c r="E71" s="164"/>
      <c r="F71" s="168"/>
      <c r="G71" s="169"/>
      <c r="H71" s="170"/>
    </row>
    <row r="72" ht="12.75" customHeight="1" spans="1:8" x14ac:dyDescent="0.25">
      <c r="A72" s="162" t="s">
        <v>824</v>
      </c>
      <c r="B72" s="167">
        <v>989.84</v>
      </c>
      <c r="C72" s="164">
        <v>0</v>
      </c>
      <c r="D72" s="171">
        <f>+'Dist.de gastos'!S103</f>
        <v>0</v>
      </c>
      <c r="E72" s="164">
        <f>+C72+D72</f>
        <v>0</v>
      </c>
      <c r="F72" s="168">
        <f>+B72+E72</f>
        <v>989.84</v>
      </c>
      <c r="G72" s="169"/>
      <c r="H72" s="170"/>
    </row>
    <row r="73" ht="12.75" customHeight="1" spans="1:6" x14ac:dyDescent="0.25">
      <c r="A73" s="162"/>
      <c r="B73" s="167">
        <v>0</v>
      </c>
      <c r="C73" s="164">
        <v>0</v>
      </c>
      <c r="D73" s="164"/>
      <c r="E73" s="164">
        <f>+C73+D73</f>
        <v>0</v>
      </c>
      <c r="F73" s="168">
        <f>+B73+E73</f>
        <v>0</v>
      </c>
    </row>
    <row r="74" ht="12.75" customHeight="1" spans="1:7" x14ac:dyDescent="0.25">
      <c r="A74" s="172"/>
      <c r="B74" s="173">
        <f>SUM(B14:B73)</f>
        <v>45646559.708516106</v>
      </c>
      <c r="C74" s="174">
        <v>868489.62</v>
      </c>
      <c r="D74" s="174">
        <f>+SUM(D14:D73)</f>
        <v>83460.68000000001</v>
      </c>
      <c r="E74" s="174">
        <f>+SUM(E14:E73)</f>
        <v>951950.2999999999</v>
      </c>
      <c r="F74" s="175">
        <f>+SUM(F14:F73)</f>
        <v>46598510.008516096</v>
      </c>
      <c r="G74" s="176"/>
    </row>
    <row r="75" ht="13.5" customHeight="1" spans="1:7" x14ac:dyDescent="0.25">
      <c r="A75" s="158"/>
      <c r="B75" s="177"/>
      <c r="C75" s="178"/>
      <c r="D75" s="178"/>
      <c r="E75" s="178"/>
      <c r="F75" s="179"/>
      <c r="G75" s="180"/>
    </row>
    <row r="76" ht="13.5" customHeight="1" spans="1:7" x14ac:dyDescent="0.25">
      <c r="A76" s="1"/>
      <c r="B76" s="169"/>
      <c r="C76" s="169"/>
      <c r="D76" s="169"/>
      <c r="E76" s="169"/>
      <c r="F76" s="169"/>
      <c r="G76" s="176"/>
    </row>
    <row r="77" ht="12.75" customHeight="1" spans="1:6" x14ac:dyDescent="0.25">
      <c r="A77" s="1"/>
      <c r="B77" s="181"/>
      <c r="C77" s="169"/>
      <c r="D77" s="181"/>
      <c r="E77" s="169"/>
      <c r="F77" s="182"/>
    </row>
    <row r="78" ht="12.75" customHeight="1" spans="1:6" x14ac:dyDescent="0.25">
      <c r="A78" s="1"/>
      <c r="B78" s="117"/>
      <c r="C78" s="169"/>
      <c r="D78" s="181"/>
      <c r="E78" s="182"/>
      <c r="F78" s="183"/>
    </row>
    <row r="79" ht="12.75" customHeight="1" spans="1:6" x14ac:dyDescent="0.25">
      <c r="A79" s="1"/>
      <c r="B79" s="183"/>
      <c r="C79" s="176"/>
      <c r="D79" s="184"/>
      <c r="E79" s="182"/>
      <c r="F79" s="170"/>
    </row>
    <row r="80" ht="12.75" customHeight="1" spans="1:6" x14ac:dyDescent="0.25">
      <c r="A80" s="1"/>
      <c r="B80" s="176"/>
      <c r="C80" s="169"/>
      <c r="D80" s="169"/>
      <c r="E80" s="169"/>
      <c r="F80" s="183"/>
    </row>
    <row r="81" ht="12.75" customHeight="1" spans="1:5" x14ac:dyDescent="0.25">
      <c r="A81" s="1"/>
      <c r="B81" s="170"/>
      <c r="C81" s="182"/>
      <c r="D81" s="169"/>
      <c r="E81" s="182"/>
    </row>
    <row r="82" ht="12.75" customHeight="1" spans="1:6" x14ac:dyDescent="0.25">
      <c r="A82" s="1"/>
      <c r="B82" s="1"/>
      <c r="C82" s="182"/>
      <c r="D82" s="169"/>
      <c r="E82" s="169"/>
      <c r="F82" s="170"/>
    </row>
    <row r="83" ht="12.75" customHeight="1" spans="1:5" x14ac:dyDescent="0.25">
      <c r="A83" s="1"/>
      <c r="B83" s="1"/>
      <c r="C83" s="169"/>
      <c r="D83" s="183"/>
      <c r="E83" s="169"/>
    </row>
    <row r="84" ht="12.75" customHeight="1" spans="1:5" x14ac:dyDescent="0.25">
      <c r="A84" s="1"/>
      <c r="B84" s="1"/>
      <c r="C84" s="169"/>
      <c r="D84" s="169"/>
      <c r="E84" s="169"/>
    </row>
    <row r="85" ht="12.75" customHeight="1" spans="1:6" x14ac:dyDescent="0.25">
      <c r="A85" s="1"/>
      <c r="B85" s="1"/>
      <c r="C85" s="169"/>
      <c r="D85" s="169"/>
      <c r="E85" s="182"/>
      <c r="F85" s="170"/>
    </row>
    <row r="86" ht="12.75" customHeight="1" spans="1:5" x14ac:dyDescent="0.25">
      <c r="A86" s="1"/>
      <c r="B86" s="1"/>
      <c r="C86" s="169"/>
      <c r="D86" s="1"/>
      <c r="E86" s="182"/>
    </row>
    <row r="89" ht="12.75" customHeight="1" spans="1:3" x14ac:dyDescent="0.25">
      <c r="A89" s="1"/>
      <c r="B89" s="1"/>
      <c r="C89" s="170"/>
    </row>
    <row r="90" ht="12.75" customHeight="1" spans="1:3" x14ac:dyDescent="0.25">
      <c r="A90" s="1"/>
      <c r="B90" s="1"/>
      <c r="C90" s="170"/>
    </row>
    <row r="91" ht="12.75" customHeight="1" spans="1:3" x14ac:dyDescent="0.25">
      <c r="A91" s="1"/>
      <c r="B91" s="1"/>
      <c r="C91" s="170"/>
    </row>
    <row r="94" ht="12.75" customHeight="1" spans="1:6" x14ac:dyDescent="0.25">
      <c r="A94" s="1"/>
      <c r="B94" s="1"/>
      <c r="C94" s="1"/>
      <c r="D94" s="1"/>
      <c r="E94" s="169"/>
      <c r="F94" s="170"/>
    </row>
  </sheetData>
  <mergeCells count="2">
    <mergeCell ref="A1:D2"/>
    <mergeCell ref="C10:E10"/>
  </mergeCells>
  <pageMargins left="1.70972222222222" right="0.740277777777778" top="0.5" bottom="1" header="0.511811023622047" footer="0.511811023622047"/>
  <pageSetup orientation="landscape" horizontalDpi="300" verticalDpi="300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89"/>
  <sheetViews>
    <sheetView workbookViewId="0" showGridLines="0" zoomScale="110" zoomScaleNormal="110">
      <selection activeCell="C30" sqref="C30"/>
    </sheetView>
  </sheetViews>
  <sheetFormatPr defaultRowHeight="13.2" outlineLevelRow="0" outlineLevelCol="0" x14ac:dyDescent="0.3" defaultColWidth="6.88671875" customHeight="1"/>
  <cols>
    <col min="1" max="1" width="41.6640625" style="185" customWidth="1"/>
    <col min="2" max="2" width="14.6640625" style="185" customWidth="1"/>
    <col min="3" max="3" width="12.6640625" style="185" customWidth="1"/>
    <col min="4" max="4" width="9" style="185" customWidth="1"/>
    <col min="5" max="5" width="8.5546875" style="185" customWidth="1"/>
    <col min="6" max="6" width="7.88671875" style="185" customWidth="1"/>
    <col min="7" max="16384" width="6.88671875" style="185" customWidth="1"/>
  </cols>
  <sheetData>
    <row r="1" ht="18" customHeight="1" x14ac:dyDescent="0.25"/>
    <row r="2" ht="13.5" customHeight="1" spans="1:2" x14ac:dyDescent="0.25">
      <c r="A2" s="186" t="s">
        <v>825</v>
      </c>
      <c r="B2" s="186"/>
    </row>
    <row r="3" ht="0.75" customHeight="1" spans="1:2" x14ac:dyDescent="0.25">
      <c r="A3" s="186"/>
      <c r="B3" s="186"/>
    </row>
    <row r="4" ht="12.75" customHeight="1" spans="1:2" x14ac:dyDescent="0.25">
      <c r="A4" s="186" t="s">
        <v>826</v>
      </c>
      <c r="B4" s="186"/>
    </row>
    <row r="5" ht="10.5" customHeight="1" x14ac:dyDescent="0.25"/>
    <row r="6" ht="15" customHeight="1" x14ac:dyDescent="0.25"/>
    <row r="7" ht="22.5" customHeight="1" spans="1:6" x14ac:dyDescent="0.25">
      <c r="A7" s="187" t="s">
        <v>827</v>
      </c>
      <c r="B7" s="187"/>
      <c r="C7" s="187"/>
      <c r="D7" s="187"/>
      <c r="E7" s="187"/>
      <c r="F7" s="187"/>
    </row>
    <row r="8" ht="8.25" customHeight="1" x14ac:dyDescent="0.25"/>
    <row r="9" ht="18" customHeight="1" spans="1:2" x14ac:dyDescent="0.25">
      <c r="A9" s="188" t="s">
        <v>828</v>
      </c>
      <c r="B9" s="188"/>
    </row>
    <row r="10" ht="12.75" customHeight="1" spans="1:5" x14ac:dyDescent="0.25">
      <c r="A10" s="188" t="s">
        <v>0</v>
      </c>
      <c r="B10" s="185"/>
      <c r="C10" s="189" t="s">
        <v>829</v>
      </c>
      <c r="D10" s="188" t="s">
        <v>830</v>
      </c>
      <c r="E10" s="188" t="s">
        <v>831</v>
      </c>
    </row>
    <row r="11" ht="6" customHeight="1" x14ac:dyDescent="0.25"/>
    <row r="12" ht="15" customHeight="1" spans="1:2" s="190" customFormat="1" x14ac:dyDescent="0.25">
      <c r="A12" s="191" t="s">
        <v>2</v>
      </c>
      <c r="B12" s="191"/>
    </row>
    <row r="13" ht="12.75" customHeight="1" spans="1:5" x14ac:dyDescent="0.25">
      <c r="A13" s="192" t="s">
        <v>3</v>
      </c>
      <c r="B13" s="185">
        <v>421030000</v>
      </c>
      <c r="C13" s="184">
        <v>11.09</v>
      </c>
      <c r="D13" s="193">
        <v>0</v>
      </c>
      <c r="E13" s="184">
        <v>11.09</v>
      </c>
    </row>
    <row r="14" ht="12.75" customHeight="1" spans="1:5" x14ac:dyDescent="0.25">
      <c r="A14" s="192" t="s">
        <v>5</v>
      </c>
      <c r="B14" s="185">
        <v>421050000</v>
      </c>
      <c r="C14" s="184">
        <v>5659.31</v>
      </c>
      <c r="D14" s="193">
        <v>0</v>
      </c>
      <c r="E14" s="184">
        <v>5659.31</v>
      </c>
    </row>
    <row r="15" ht="12.75" customHeight="1" spans="1:5" x14ac:dyDescent="0.25">
      <c r="A15" s="192" t="s">
        <v>7</v>
      </c>
      <c r="B15" s="185">
        <v>421060000</v>
      </c>
      <c r="C15" s="184">
        <v>1753.43</v>
      </c>
      <c r="D15" s="193">
        <v>0</v>
      </c>
      <c r="E15" s="184">
        <v>1753.43</v>
      </c>
    </row>
    <row r="16" ht="12.75" customHeight="1" spans="1:5" x14ac:dyDescent="0.25">
      <c r="A16" s="192" t="s">
        <v>832</v>
      </c>
      <c r="B16" s="185">
        <v>421140000</v>
      </c>
      <c r="C16" s="184">
        <v>36.29</v>
      </c>
      <c r="D16" s="193">
        <v>0</v>
      </c>
      <c r="E16" s="184">
        <v>36.29</v>
      </c>
    </row>
    <row r="17" ht="12.75" customHeight="1" spans="1:5" x14ac:dyDescent="0.25">
      <c r="A17" s="192" t="s">
        <v>129</v>
      </c>
      <c r="B17" s="185">
        <v>424400000</v>
      </c>
      <c r="C17" s="184">
        <v>8996.37</v>
      </c>
      <c r="D17" s="193">
        <v>0</v>
      </c>
      <c r="E17" s="184">
        <v>8996.37</v>
      </c>
    </row>
    <row r="18" ht="12.75" customHeight="1" spans="1:5" x14ac:dyDescent="0.25">
      <c r="A18" s="192" t="s">
        <v>9</v>
      </c>
      <c r="B18" s="185">
        <v>424500000</v>
      </c>
      <c r="C18" s="184">
        <v>2784.9</v>
      </c>
      <c r="D18" s="193">
        <v>0</v>
      </c>
      <c r="E18" s="184">
        <v>2784.9</v>
      </c>
    </row>
    <row r="19" ht="12.75" customHeight="1" spans="1:5" x14ac:dyDescent="0.25">
      <c r="A19" s="192" t="s">
        <v>833</v>
      </c>
      <c r="B19" s="185">
        <v>425160000</v>
      </c>
      <c r="C19" s="184">
        <v>923.01</v>
      </c>
      <c r="D19" s="193">
        <v>0</v>
      </c>
      <c r="E19" s="184">
        <v>923.01</v>
      </c>
    </row>
    <row r="20" ht="12.75" customHeight="1" spans="1:5" x14ac:dyDescent="0.25">
      <c r="A20" s="192" t="s">
        <v>47</v>
      </c>
      <c r="B20" s="185">
        <v>425180000</v>
      </c>
      <c r="C20" s="184">
        <v>30.09</v>
      </c>
      <c r="D20" s="193">
        <v>0</v>
      </c>
      <c r="E20" s="184">
        <v>30.09</v>
      </c>
    </row>
    <row r="21" ht="12.75" customHeight="1" spans="1:5" s="194" customFormat="1" x14ac:dyDescent="0.25">
      <c r="A21" s="195" t="s">
        <v>17</v>
      </c>
      <c r="B21" s="194">
        <v>425220000</v>
      </c>
      <c r="C21" s="196">
        <f>167.96+815.6</f>
        <v>983.5600000000001</v>
      </c>
      <c r="D21" s="197">
        <v>0</v>
      </c>
      <c r="E21" s="196">
        <f>+C21</f>
        <v>983.5600000000001</v>
      </c>
    </row>
    <row r="22" ht="12.75" customHeight="1" spans="1:5" x14ac:dyDescent="0.25">
      <c r="A22" s="192" t="s">
        <v>19</v>
      </c>
      <c r="B22" s="185">
        <v>425230000</v>
      </c>
      <c r="C22" s="184">
        <v>1148.52</v>
      </c>
      <c r="D22" s="193">
        <v>0</v>
      </c>
      <c r="E22" s="184">
        <v>1148.52</v>
      </c>
    </row>
    <row r="23" ht="12.75" customHeight="1" spans="1:5" x14ac:dyDescent="0.25">
      <c r="A23" s="192" t="s">
        <v>21</v>
      </c>
      <c r="B23" s="185">
        <v>425250000</v>
      </c>
      <c r="C23" s="184">
        <v>4533.87</v>
      </c>
      <c r="D23" s="193">
        <v>0</v>
      </c>
      <c r="E23" s="184">
        <v>4533.87</v>
      </c>
    </row>
    <row r="24" ht="12.75" customHeight="1" spans="1:5" x14ac:dyDescent="0.25">
      <c r="A24" s="192" t="s">
        <v>25</v>
      </c>
      <c r="B24" s="185">
        <v>425310000</v>
      </c>
      <c r="C24" s="184">
        <v>3574.93</v>
      </c>
      <c r="D24" s="193">
        <v>0</v>
      </c>
      <c r="E24" s="184">
        <v>3574.93</v>
      </c>
    </row>
    <row r="25" ht="12.75" customHeight="1" spans="1:5" x14ac:dyDescent="0.25">
      <c r="A25" s="192" t="s">
        <v>29</v>
      </c>
      <c r="B25" s="185">
        <v>426100000</v>
      </c>
      <c r="C25" s="184">
        <v>501.24</v>
      </c>
      <c r="D25" s="193">
        <v>0</v>
      </c>
      <c r="E25" s="184">
        <v>501.24</v>
      </c>
    </row>
    <row r="26" ht="12.75" customHeight="1" spans="1:5" x14ac:dyDescent="0.25">
      <c r="A26" s="192" t="s">
        <v>66</v>
      </c>
      <c r="B26" s="185">
        <v>426120000</v>
      </c>
      <c r="C26" s="184">
        <v>185.46</v>
      </c>
      <c r="D26" s="193">
        <v>0</v>
      </c>
      <c r="E26" s="184">
        <v>185.46</v>
      </c>
    </row>
    <row r="27" ht="12.75" customHeight="1" spans="1:5" x14ac:dyDescent="0.25">
      <c r="A27" s="192" t="s">
        <v>33</v>
      </c>
      <c r="B27" s="185">
        <v>426360000</v>
      </c>
      <c r="C27" s="184">
        <v>4966.14</v>
      </c>
      <c r="D27" s="193">
        <v>0</v>
      </c>
      <c r="E27" s="184">
        <v>4966.14</v>
      </c>
    </row>
    <row r="28" ht="12.75" customHeight="1" spans="1:5" x14ac:dyDescent="0.25">
      <c r="A28" s="192" t="s">
        <v>35</v>
      </c>
      <c r="B28" s="185">
        <v>433030000</v>
      </c>
      <c r="C28" s="184">
        <v>29125.32</v>
      </c>
      <c r="D28" s="193">
        <v>0</v>
      </c>
      <c r="E28" s="184">
        <v>29125.32</v>
      </c>
    </row>
    <row r="29" ht="3" customHeight="1" x14ac:dyDescent="0.25"/>
    <row r="30" ht="12.75" customHeight="1" spans="1:7" x14ac:dyDescent="0.25">
      <c r="A30" s="185"/>
      <c r="B30" s="185"/>
      <c r="C30" s="198">
        <f>SUM(C13:C29)</f>
        <v>65213.530000000006</v>
      </c>
      <c r="D30" s="198">
        <f>SUM(D13:D29)</f>
        <v>0</v>
      </c>
      <c r="E30" s="198">
        <f>SUM(E13:E29)</f>
        <v>65213.530000000006</v>
      </c>
      <c r="F30" s="199">
        <f>+C30-'Sumas y Saldos'!C399</f>
        <v>65213.530000000006</v>
      </c>
      <c r="G30" s="199">
        <f>+D30-'Sumas y Saldos'!D399</f>
        <v>0</v>
      </c>
    </row>
    <row r="31" ht="15" customHeight="1" spans="1:2" s="190" customFormat="1" x14ac:dyDescent="0.25">
      <c r="A31" s="191" t="s">
        <v>128</v>
      </c>
      <c r="B31" s="185" t="s">
        <v>834</v>
      </c>
    </row>
    <row r="32" ht="12.75" customHeight="1" spans="1:5" x14ac:dyDescent="0.25">
      <c r="A32" s="192" t="s">
        <v>3</v>
      </c>
      <c r="B32" s="185">
        <v>421030000</v>
      </c>
      <c r="C32" s="184">
        <v>1760.87</v>
      </c>
      <c r="D32" s="193">
        <v>0</v>
      </c>
      <c r="E32" s="184">
        <v>1760.87</v>
      </c>
    </row>
    <row r="33" ht="12.75" customHeight="1" spans="1:5" x14ac:dyDescent="0.25">
      <c r="A33" s="192" t="s">
        <v>129</v>
      </c>
      <c r="B33" s="185">
        <v>424400000</v>
      </c>
      <c r="C33" s="184">
        <v>2649.97</v>
      </c>
      <c r="D33" s="193">
        <v>0</v>
      </c>
      <c r="E33" s="184">
        <v>2649.97</v>
      </c>
    </row>
    <row r="34" ht="12.75" customHeight="1" spans="1:5" x14ac:dyDescent="0.25">
      <c r="A34" s="192" t="s">
        <v>9</v>
      </c>
      <c r="B34" s="185">
        <v>424500000</v>
      </c>
      <c r="C34" s="184">
        <v>820.32</v>
      </c>
      <c r="D34" s="193">
        <v>0</v>
      </c>
      <c r="E34" s="184">
        <v>820.32</v>
      </c>
    </row>
    <row r="35" ht="12.75" customHeight="1" spans="1:5" x14ac:dyDescent="0.25">
      <c r="A35" s="192" t="s">
        <v>11</v>
      </c>
      <c r="B35" s="185">
        <v>425110000</v>
      </c>
      <c r="C35" s="184">
        <v>71.68</v>
      </c>
      <c r="D35" s="193">
        <v>0</v>
      </c>
      <c r="E35" s="184">
        <v>71.68</v>
      </c>
    </row>
    <row r="36" ht="12.75" customHeight="1" spans="1:5" x14ac:dyDescent="0.25">
      <c r="A36" s="192" t="s">
        <v>43</v>
      </c>
      <c r="B36" s="185">
        <v>425120000</v>
      </c>
      <c r="C36" s="184">
        <v>46.09</v>
      </c>
      <c r="D36" s="193">
        <v>0</v>
      </c>
      <c r="E36" s="184">
        <v>46.09</v>
      </c>
    </row>
    <row r="37" ht="12.75" customHeight="1" spans="1:5" x14ac:dyDescent="0.25">
      <c r="A37" s="192" t="s">
        <v>31</v>
      </c>
      <c r="B37" s="185">
        <v>426110000</v>
      </c>
      <c r="C37" s="184">
        <v>1338.09</v>
      </c>
      <c r="D37" s="193">
        <v>0</v>
      </c>
      <c r="E37" s="184">
        <v>1338.09</v>
      </c>
    </row>
    <row r="38" ht="12.75" customHeight="1" spans="1:5" x14ac:dyDescent="0.25">
      <c r="A38" s="192" t="s">
        <v>66</v>
      </c>
      <c r="B38" s="185">
        <v>426120000</v>
      </c>
      <c r="C38" s="184">
        <v>1553.78</v>
      </c>
      <c r="D38" s="193">
        <v>0</v>
      </c>
      <c r="E38" s="184">
        <v>1553.78</v>
      </c>
    </row>
    <row r="39" ht="12.75" customHeight="1" spans="1:5" x14ac:dyDescent="0.25">
      <c r="A39" s="192" t="s">
        <v>68</v>
      </c>
      <c r="B39" s="185">
        <v>426130000</v>
      </c>
      <c r="C39" s="184">
        <v>367.78</v>
      </c>
      <c r="D39" s="193">
        <v>0</v>
      </c>
      <c r="E39" s="184">
        <v>367.78</v>
      </c>
    </row>
    <row r="40" ht="12.75" customHeight="1" spans="1:5" x14ac:dyDescent="0.25">
      <c r="A40" s="192" t="s">
        <v>72</v>
      </c>
      <c r="B40" s="185">
        <v>426160000</v>
      </c>
      <c r="C40" s="184">
        <v>528.8</v>
      </c>
      <c r="D40" s="193">
        <v>0</v>
      </c>
      <c r="E40" s="184">
        <v>528.8</v>
      </c>
    </row>
    <row r="41" ht="12.75" customHeight="1" spans="1:5" x14ac:dyDescent="0.25">
      <c r="A41" s="192" t="s">
        <v>835</v>
      </c>
      <c r="B41" s="185">
        <v>426180000</v>
      </c>
      <c r="C41" s="184">
        <v>99408.84</v>
      </c>
      <c r="D41" s="193">
        <v>2090.7</v>
      </c>
      <c r="E41" s="184">
        <v>97318.14</v>
      </c>
    </row>
    <row r="42" ht="12.75" customHeight="1" spans="1:5" x14ac:dyDescent="0.25">
      <c r="A42" s="192" t="s">
        <v>108</v>
      </c>
      <c r="B42" s="185">
        <v>426200000</v>
      </c>
      <c r="C42" s="184">
        <v>320.83</v>
      </c>
      <c r="D42" s="193">
        <v>0</v>
      </c>
      <c r="E42" s="184">
        <v>320.83</v>
      </c>
    </row>
    <row r="43" ht="12.75" customHeight="1" spans="1:5" x14ac:dyDescent="0.25">
      <c r="A43" s="192" t="s">
        <v>80</v>
      </c>
      <c r="B43" s="185">
        <v>426240000</v>
      </c>
      <c r="C43" s="184">
        <v>59.59</v>
      </c>
      <c r="D43" s="193">
        <v>0</v>
      </c>
      <c r="E43" s="184">
        <v>59.59</v>
      </c>
    </row>
    <row r="44" ht="12.75" customHeight="1" spans="1:5" x14ac:dyDescent="0.25">
      <c r="A44" s="192" t="s">
        <v>166</v>
      </c>
      <c r="B44" s="185">
        <v>426250000</v>
      </c>
      <c r="C44" s="184">
        <v>1358.47</v>
      </c>
      <c r="D44" s="193">
        <v>0</v>
      </c>
      <c r="E44" s="184">
        <v>1358.47</v>
      </c>
    </row>
    <row r="45" ht="12.75" customHeight="1" spans="1:5" x14ac:dyDescent="0.25">
      <c r="A45" s="192" t="s">
        <v>82</v>
      </c>
      <c r="B45" s="185">
        <v>426260000</v>
      </c>
      <c r="C45" s="184">
        <v>7900.43</v>
      </c>
      <c r="D45" s="193">
        <v>0</v>
      </c>
      <c r="E45" s="184">
        <v>7900.43</v>
      </c>
    </row>
    <row r="46" ht="12.75" customHeight="1" spans="1:5" x14ac:dyDescent="0.25">
      <c r="A46" s="192" t="s">
        <v>836</v>
      </c>
      <c r="B46" s="185">
        <v>426290000</v>
      </c>
      <c r="C46" s="184">
        <v>3458.81</v>
      </c>
      <c r="D46" s="193">
        <v>0</v>
      </c>
      <c r="E46" s="184">
        <v>3458.81</v>
      </c>
    </row>
    <row r="47" ht="12.75" customHeight="1" spans="1:5" x14ac:dyDescent="0.25">
      <c r="A47" s="192" t="s">
        <v>170</v>
      </c>
      <c r="B47" s="185">
        <v>426350000</v>
      </c>
      <c r="C47" s="184">
        <v>478.34</v>
      </c>
      <c r="D47" s="193">
        <v>0</v>
      </c>
      <c r="E47" s="184">
        <v>478.34</v>
      </c>
    </row>
    <row r="48" ht="12.75" customHeight="1" spans="1:5" x14ac:dyDescent="0.25">
      <c r="A48" s="192" t="s">
        <v>110</v>
      </c>
      <c r="B48" s="185">
        <v>426440000</v>
      </c>
      <c r="C48" s="184">
        <v>7854.15</v>
      </c>
      <c r="D48" s="193">
        <v>0</v>
      </c>
      <c r="E48" s="184">
        <v>7854.15</v>
      </c>
    </row>
    <row r="49" ht="12.75" customHeight="1" spans="1:5" x14ac:dyDescent="0.25">
      <c r="A49" s="192" t="s">
        <v>174</v>
      </c>
      <c r="B49" s="185">
        <v>426450000</v>
      </c>
      <c r="C49" s="184">
        <v>7749.65</v>
      </c>
      <c r="D49" s="193">
        <v>0</v>
      </c>
      <c r="E49" s="184">
        <v>7749.65</v>
      </c>
    </row>
    <row r="50" ht="12.75" customHeight="1" spans="1:5" x14ac:dyDescent="0.25">
      <c r="A50" s="192" t="s">
        <v>837</v>
      </c>
      <c r="B50" s="185">
        <v>427110000</v>
      </c>
      <c r="C50" s="184">
        <v>47.47</v>
      </c>
      <c r="D50" s="193">
        <v>0</v>
      </c>
      <c r="E50" s="184">
        <v>47.47</v>
      </c>
    </row>
    <row r="51" ht="12.75" customHeight="1" spans="1:5" x14ac:dyDescent="0.25">
      <c r="A51" s="192" t="s">
        <v>191</v>
      </c>
      <c r="B51" s="185">
        <v>427120000</v>
      </c>
      <c r="C51" s="184">
        <v>445.6</v>
      </c>
      <c r="D51" s="193">
        <v>0</v>
      </c>
      <c r="E51" s="184">
        <v>445.6</v>
      </c>
    </row>
    <row r="52" ht="12.75" customHeight="1" spans="1:5" x14ac:dyDescent="0.25">
      <c r="A52" s="192" t="s">
        <v>838</v>
      </c>
      <c r="B52" s="185">
        <v>427160000</v>
      </c>
      <c r="C52" s="184">
        <v>41.85</v>
      </c>
      <c r="D52" s="193">
        <v>0</v>
      </c>
      <c r="E52" s="184">
        <v>41.85</v>
      </c>
    </row>
    <row r="53" ht="12.75" customHeight="1" spans="1:5" x14ac:dyDescent="0.25">
      <c r="A53" s="192" t="s">
        <v>839</v>
      </c>
      <c r="B53" s="185">
        <v>427170000</v>
      </c>
      <c r="C53" s="184">
        <v>239.62</v>
      </c>
      <c r="D53" s="193">
        <v>0</v>
      </c>
      <c r="E53" s="184">
        <v>239.62</v>
      </c>
    </row>
    <row r="54" ht="12.75" customHeight="1" spans="1:5" x14ac:dyDescent="0.25">
      <c r="A54" s="192" t="s">
        <v>840</v>
      </c>
      <c r="B54" s="185">
        <v>427260000</v>
      </c>
      <c r="C54" s="184">
        <v>35.36</v>
      </c>
      <c r="D54" s="193">
        <v>0</v>
      </c>
      <c r="E54" s="184">
        <v>35.36</v>
      </c>
    </row>
    <row r="55" ht="12.75" customHeight="1" spans="1:5" x14ac:dyDescent="0.25">
      <c r="A55" s="192" t="s">
        <v>841</v>
      </c>
      <c r="B55" s="185">
        <v>428200000</v>
      </c>
      <c r="C55" s="184">
        <v>60084.66</v>
      </c>
      <c r="D55" s="193">
        <v>0</v>
      </c>
      <c r="E55" s="184">
        <v>60084.66</v>
      </c>
    </row>
    <row r="56" ht="3" customHeight="1" x14ac:dyDescent="0.25"/>
    <row r="57" ht="12.75" customHeight="1" spans="1:7" x14ac:dyDescent="0.25">
      <c r="A57" s="185"/>
      <c r="B57" s="185"/>
      <c r="C57" s="198">
        <v>198621.05</v>
      </c>
      <c r="D57" s="200">
        <v>2090.7</v>
      </c>
      <c r="E57" s="200">
        <v>196530.35</v>
      </c>
      <c r="F57" s="199">
        <f>+C57-'Sumas y Saldos'!R399</f>
        <v>198621.05</v>
      </c>
      <c r="G57" s="199">
        <f>+D57-'Sumas y Saldos'!S399</f>
        <v>2090.7</v>
      </c>
    </row>
    <row r="58" ht="15" customHeight="1" spans="1:2" s="190" customFormat="1" x14ac:dyDescent="0.25">
      <c r="A58" s="191" t="s">
        <v>134</v>
      </c>
      <c r="B58" s="185" t="s">
        <v>842</v>
      </c>
    </row>
    <row r="59" ht="12.75" customHeight="1" spans="1:5" x14ac:dyDescent="0.25">
      <c r="A59" s="192" t="s">
        <v>31</v>
      </c>
      <c r="B59" s="185">
        <v>426110000</v>
      </c>
      <c r="C59" s="184">
        <v>4809.15</v>
      </c>
      <c r="D59" s="193">
        <v>0</v>
      </c>
      <c r="E59" s="184">
        <v>4809.15</v>
      </c>
    </row>
    <row r="60" ht="3" customHeight="1" x14ac:dyDescent="0.25"/>
    <row r="61" ht="12.75" customHeight="1" spans="1:7" x14ac:dyDescent="0.25">
      <c r="A61" s="185"/>
      <c r="B61" s="185"/>
      <c r="C61" s="198">
        <v>4809.15</v>
      </c>
      <c r="D61" s="200">
        <v>0</v>
      </c>
      <c r="E61" s="200">
        <v>4809.15</v>
      </c>
      <c r="F61" s="199">
        <f>+C61-'Sumas y Saldos'!U399</f>
        <v>4809.15</v>
      </c>
      <c r="G61" s="199">
        <f>+D61-'Sumas y Saldos'!V399</f>
        <v>0</v>
      </c>
    </row>
    <row r="62" ht="15" customHeight="1" spans="1:2" s="190" customFormat="1" x14ac:dyDescent="0.25">
      <c r="A62" s="191" t="s">
        <v>148</v>
      </c>
      <c r="B62" s="185" t="s">
        <v>843</v>
      </c>
    </row>
    <row r="63" ht="12.75" customHeight="1" spans="1:5" x14ac:dyDescent="0.25">
      <c r="A63" s="192" t="s">
        <v>3</v>
      </c>
      <c r="B63" s="185">
        <v>421030000</v>
      </c>
      <c r="C63" s="184">
        <v>65.45</v>
      </c>
      <c r="D63" s="193">
        <v>0</v>
      </c>
      <c r="E63" s="184">
        <v>65.45</v>
      </c>
    </row>
    <row r="64" ht="12.75" customHeight="1" spans="1:5" x14ac:dyDescent="0.25">
      <c r="A64" s="192" t="s">
        <v>129</v>
      </c>
      <c r="B64" s="185">
        <v>424400000</v>
      </c>
      <c r="C64" s="184">
        <v>17001.69</v>
      </c>
      <c r="D64" s="193">
        <v>0</v>
      </c>
      <c r="E64" s="184">
        <v>17001.69</v>
      </c>
    </row>
    <row r="65" ht="12.75" customHeight="1" spans="1:5" x14ac:dyDescent="0.25">
      <c r="A65" s="192" t="s">
        <v>9</v>
      </c>
      <c r="B65" s="185">
        <v>424500000</v>
      </c>
      <c r="C65" s="184">
        <v>5263</v>
      </c>
      <c r="D65" s="193">
        <v>0</v>
      </c>
      <c r="E65" s="184">
        <v>5263</v>
      </c>
    </row>
    <row r="66" ht="12.75" customHeight="1" spans="1:5" x14ac:dyDescent="0.25">
      <c r="A66" s="192" t="s">
        <v>31</v>
      </c>
      <c r="B66" s="185">
        <v>426110000</v>
      </c>
      <c r="C66" s="184">
        <v>336.05</v>
      </c>
      <c r="D66" s="193">
        <v>0</v>
      </c>
      <c r="E66" s="184">
        <v>336.05</v>
      </c>
    </row>
    <row r="67" ht="12.75" customHeight="1" spans="1:5" x14ac:dyDescent="0.25">
      <c r="A67" s="192" t="s">
        <v>90</v>
      </c>
      <c r="B67" s="185">
        <v>426470000</v>
      </c>
      <c r="C67" s="184">
        <v>115.34</v>
      </c>
      <c r="D67" s="193">
        <v>0</v>
      </c>
      <c r="E67" s="184">
        <v>115.34</v>
      </c>
    </row>
    <row r="68" ht="3" customHeight="1" x14ac:dyDescent="0.25"/>
    <row r="69" ht="12.75" customHeight="1" spans="1:7" x14ac:dyDescent="0.25">
      <c r="A69" s="185"/>
      <c r="B69" s="185"/>
      <c r="C69" s="198">
        <v>22781.53</v>
      </c>
      <c r="D69" s="200">
        <v>0</v>
      </c>
      <c r="E69" s="200">
        <v>22781.53</v>
      </c>
      <c r="F69" s="199">
        <f>+C69-'Sumas y Saldos'!AA399</f>
        <v>22781.53</v>
      </c>
      <c r="G69" s="199">
        <f>+D69-'Sumas y Saldos'!AB399</f>
        <v>0</v>
      </c>
    </row>
    <row r="70" ht="15" customHeight="1" spans="1:2" s="190" customFormat="1" x14ac:dyDescent="0.25">
      <c r="A70" s="191" t="s">
        <v>37</v>
      </c>
      <c r="B70" s="185" t="s">
        <v>844</v>
      </c>
    </row>
    <row r="71" ht="12.75" customHeight="1" spans="1:5" x14ac:dyDescent="0.25">
      <c r="A71" s="192" t="s">
        <v>3</v>
      </c>
      <c r="B71" s="185">
        <v>421030000</v>
      </c>
      <c r="C71" s="184">
        <v>298.23</v>
      </c>
      <c r="D71" s="193">
        <v>0</v>
      </c>
      <c r="E71" s="184">
        <v>298.23</v>
      </c>
    </row>
    <row r="72" ht="12.75" customHeight="1" spans="1:5" x14ac:dyDescent="0.25">
      <c r="A72" s="192" t="s">
        <v>845</v>
      </c>
      <c r="B72" s="185">
        <v>421440000</v>
      </c>
      <c r="C72" s="184">
        <v>2.79</v>
      </c>
      <c r="D72" s="193">
        <v>0</v>
      </c>
      <c r="E72" s="184">
        <v>2.79</v>
      </c>
    </row>
    <row r="73" ht="12.75" customHeight="1" spans="1:5" x14ac:dyDescent="0.25">
      <c r="A73" s="192" t="s">
        <v>129</v>
      </c>
      <c r="B73" s="185">
        <v>424400000</v>
      </c>
      <c r="C73" s="184">
        <v>2129.83</v>
      </c>
      <c r="D73" s="193">
        <v>0</v>
      </c>
      <c r="E73" s="184">
        <v>2129.83</v>
      </c>
    </row>
    <row r="74" ht="12.75" customHeight="1" spans="1:5" x14ac:dyDescent="0.25">
      <c r="A74" s="192" t="s">
        <v>9</v>
      </c>
      <c r="B74" s="185">
        <v>424500000</v>
      </c>
      <c r="C74" s="184">
        <v>659.31</v>
      </c>
      <c r="D74" s="193">
        <v>0</v>
      </c>
      <c r="E74" s="184">
        <v>659.31</v>
      </c>
    </row>
    <row r="75" ht="12.75" customHeight="1" spans="1:5" x14ac:dyDescent="0.25">
      <c r="A75" s="192" t="s">
        <v>11</v>
      </c>
      <c r="B75" s="185">
        <v>425110000</v>
      </c>
      <c r="C75" s="184">
        <v>739.75</v>
      </c>
      <c r="D75" s="193">
        <v>0</v>
      </c>
      <c r="E75" s="184">
        <v>739.75</v>
      </c>
    </row>
    <row r="76" ht="12.75" customHeight="1" spans="1:5" x14ac:dyDescent="0.25">
      <c r="A76" s="192" t="s">
        <v>43</v>
      </c>
      <c r="B76" s="185">
        <v>425120000</v>
      </c>
      <c r="C76" s="184">
        <v>0.93</v>
      </c>
      <c r="D76" s="193">
        <v>0</v>
      </c>
      <c r="E76" s="184">
        <v>0.93</v>
      </c>
    </row>
    <row r="77" ht="12.75" customHeight="1" spans="1:5" x14ac:dyDescent="0.25">
      <c r="A77" s="192" t="s">
        <v>23</v>
      </c>
      <c r="B77" s="185">
        <v>425300000</v>
      </c>
      <c r="C77" s="184">
        <v>11.09</v>
      </c>
      <c r="D77" s="193">
        <v>0</v>
      </c>
      <c r="E77" s="184">
        <v>11.09</v>
      </c>
    </row>
    <row r="78" ht="12.75" customHeight="1" spans="1:5" x14ac:dyDescent="0.25">
      <c r="A78" s="192" t="s">
        <v>54</v>
      </c>
      <c r="B78" s="185">
        <v>425500000</v>
      </c>
      <c r="C78" s="184">
        <v>822.85</v>
      </c>
      <c r="D78" s="193">
        <v>0</v>
      </c>
      <c r="E78" s="184">
        <v>822.85</v>
      </c>
    </row>
    <row r="79" ht="12.75" customHeight="1" spans="1:5" x14ac:dyDescent="0.25">
      <c r="A79" s="192" t="s">
        <v>56</v>
      </c>
      <c r="B79" s="185">
        <v>425600000</v>
      </c>
      <c r="C79" s="184">
        <v>69.26</v>
      </c>
      <c r="D79" s="193">
        <v>0</v>
      </c>
      <c r="E79" s="184">
        <v>69.26</v>
      </c>
    </row>
    <row r="80" ht="12.75" customHeight="1" spans="1:5" x14ac:dyDescent="0.25">
      <c r="A80" s="192" t="s">
        <v>27</v>
      </c>
      <c r="B80" s="185">
        <v>425810000</v>
      </c>
      <c r="C80" s="184">
        <v>91.52</v>
      </c>
      <c r="D80" s="193">
        <v>0</v>
      </c>
      <c r="E80" s="184">
        <v>91.52</v>
      </c>
    </row>
    <row r="81" ht="12.75" customHeight="1" spans="1:5" x14ac:dyDescent="0.25">
      <c r="A81" s="192" t="s">
        <v>846</v>
      </c>
      <c r="B81" s="185">
        <v>425980000</v>
      </c>
      <c r="C81" s="184">
        <v>44.47</v>
      </c>
      <c r="D81" s="193">
        <v>0</v>
      </c>
      <c r="E81" s="184">
        <v>44.47</v>
      </c>
    </row>
    <row r="82" ht="12.75" customHeight="1" spans="1:5" x14ac:dyDescent="0.25">
      <c r="A82" s="192" t="s">
        <v>31</v>
      </c>
      <c r="B82" s="185">
        <v>426110000</v>
      </c>
      <c r="C82" s="184">
        <v>220.79</v>
      </c>
      <c r="D82" s="193">
        <v>0</v>
      </c>
      <c r="E82" s="184">
        <v>220.79</v>
      </c>
    </row>
    <row r="83" ht="12.75" customHeight="1" spans="1:5" x14ac:dyDescent="0.25">
      <c r="A83" s="192" t="s">
        <v>66</v>
      </c>
      <c r="B83" s="185">
        <v>426120000</v>
      </c>
      <c r="C83" s="184">
        <v>3299.04</v>
      </c>
      <c r="D83" s="193">
        <v>154.58</v>
      </c>
      <c r="E83" s="184">
        <v>3144.46</v>
      </c>
    </row>
    <row r="84" ht="12.75" customHeight="1" spans="1:5" x14ac:dyDescent="0.25">
      <c r="A84" s="192" t="s">
        <v>847</v>
      </c>
      <c r="B84" s="185">
        <v>426140000</v>
      </c>
      <c r="C84" s="184">
        <v>924.25</v>
      </c>
      <c r="D84" s="193">
        <v>0</v>
      </c>
      <c r="E84" s="184">
        <v>924.25</v>
      </c>
    </row>
    <row r="85" ht="12.75" customHeight="1" spans="1:5" x14ac:dyDescent="0.25">
      <c r="A85" s="192" t="s">
        <v>72</v>
      </c>
      <c r="B85" s="185">
        <v>426160000</v>
      </c>
      <c r="C85" s="184">
        <v>189.05</v>
      </c>
      <c r="D85" s="193">
        <v>0</v>
      </c>
      <c r="E85" s="184">
        <v>189.05</v>
      </c>
    </row>
    <row r="86" ht="12.75" customHeight="1" spans="1:5" x14ac:dyDescent="0.25">
      <c r="A86" s="192" t="s">
        <v>108</v>
      </c>
      <c r="B86" s="185">
        <v>426200000</v>
      </c>
      <c r="C86" s="184">
        <v>164.91</v>
      </c>
      <c r="D86" s="193">
        <v>0</v>
      </c>
      <c r="E86" s="184">
        <v>164.91</v>
      </c>
    </row>
    <row r="87" ht="12.75" customHeight="1" spans="1:5" x14ac:dyDescent="0.25">
      <c r="A87" s="192" t="s">
        <v>76</v>
      </c>
      <c r="B87" s="185">
        <v>426210000</v>
      </c>
      <c r="C87" s="184">
        <v>1551.49</v>
      </c>
      <c r="D87" s="193">
        <v>0</v>
      </c>
      <c r="E87" s="184">
        <v>1551.49</v>
      </c>
    </row>
    <row r="88" ht="12.75" customHeight="1" spans="1:5" x14ac:dyDescent="0.25">
      <c r="A88" s="192" t="s">
        <v>78</v>
      </c>
      <c r="B88" s="185">
        <v>426220000</v>
      </c>
      <c r="C88" s="184">
        <v>4258.49</v>
      </c>
      <c r="D88" s="193">
        <v>0</v>
      </c>
      <c r="E88" s="184">
        <v>4258.49</v>
      </c>
    </row>
    <row r="89" ht="12.75" customHeight="1" spans="1:5" x14ac:dyDescent="0.25">
      <c r="A89" s="192" t="s">
        <v>80</v>
      </c>
      <c r="B89" s="185">
        <v>426240000</v>
      </c>
      <c r="C89" s="184">
        <v>4299.59</v>
      </c>
      <c r="D89" s="193">
        <v>0</v>
      </c>
      <c r="E89" s="184">
        <v>4299.59</v>
      </c>
    </row>
    <row r="90" ht="12.75" customHeight="1" spans="1:5" x14ac:dyDescent="0.25">
      <c r="A90" s="192" t="s">
        <v>82</v>
      </c>
      <c r="B90" s="185">
        <v>426260000</v>
      </c>
      <c r="C90" s="184">
        <v>655.62</v>
      </c>
      <c r="D90" s="193">
        <v>0</v>
      </c>
      <c r="E90" s="184">
        <v>655.62</v>
      </c>
    </row>
    <row r="91" ht="12.75" customHeight="1" spans="1:5" x14ac:dyDescent="0.25">
      <c r="A91" s="192" t="s">
        <v>84</v>
      </c>
      <c r="B91" s="185">
        <v>426280000</v>
      </c>
      <c r="C91" s="184">
        <v>30714.02</v>
      </c>
      <c r="D91" s="193">
        <v>0</v>
      </c>
      <c r="E91" s="184">
        <v>30714.02</v>
      </c>
    </row>
    <row r="92" ht="12.75" customHeight="1" spans="1:5" x14ac:dyDescent="0.25">
      <c r="A92" s="192" t="s">
        <v>170</v>
      </c>
      <c r="B92" s="185">
        <v>426350000</v>
      </c>
      <c r="C92" s="184">
        <v>454.35</v>
      </c>
      <c r="D92" s="193">
        <v>0</v>
      </c>
      <c r="E92" s="184">
        <v>454.35</v>
      </c>
    </row>
    <row r="93" ht="12.75" customHeight="1" spans="1:5" x14ac:dyDescent="0.25">
      <c r="A93" s="192" t="s">
        <v>110</v>
      </c>
      <c r="B93" s="185">
        <v>426440000</v>
      </c>
      <c r="C93" s="184">
        <v>790.93</v>
      </c>
      <c r="D93" s="193">
        <v>0</v>
      </c>
      <c r="E93" s="184">
        <v>790.93</v>
      </c>
    </row>
    <row r="94" ht="12.75" customHeight="1" spans="1:5" x14ac:dyDescent="0.25">
      <c r="A94" s="192" t="s">
        <v>98</v>
      </c>
      <c r="B94" s="185">
        <v>426630000</v>
      </c>
      <c r="C94" s="184">
        <v>501.28</v>
      </c>
      <c r="D94" s="193">
        <v>0</v>
      </c>
      <c r="E94" s="184">
        <v>501.28</v>
      </c>
    </row>
    <row r="95" ht="3" customHeight="1" x14ac:dyDescent="0.25"/>
    <row r="96" ht="12.75" customHeight="1" spans="1:7" x14ac:dyDescent="0.25">
      <c r="A96" s="185"/>
      <c r="B96" s="185"/>
      <c r="C96" s="198">
        <v>52893.84</v>
      </c>
      <c r="D96" s="200">
        <v>154.58</v>
      </c>
      <c r="E96" s="200">
        <v>52739.26</v>
      </c>
      <c r="F96" s="199">
        <f>+C96-'Sumas y Saldos'!F399</f>
        <v>52893.84</v>
      </c>
      <c r="G96" s="199">
        <f>+D96-'Sumas y Saldos'!G399</f>
        <v>154.58</v>
      </c>
    </row>
    <row r="97" ht="15" customHeight="1" spans="1:2" s="190" customFormat="1" x14ac:dyDescent="0.25">
      <c r="A97" s="191" t="s">
        <v>195</v>
      </c>
      <c r="B97" s="185" t="s">
        <v>848</v>
      </c>
    </row>
    <row r="98" ht="12.75" customHeight="1" spans="1:5" x14ac:dyDescent="0.25">
      <c r="A98" s="192" t="s">
        <v>3</v>
      </c>
      <c r="B98" s="185">
        <v>421030000</v>
      </c>
      <c r="C98" s="184">
        <v>100.42</v>
      </c>
      <c r="D98" s="193">
        <v>0</v>
      </c>
      <c r="E98" s="184">
        <v>100.42</v>
      </c>
    </row>
    <row r="99" ht="12.75" customHeight="1" spans="1:5" x14ac:dyDescent="0.25">
      <c r="A99" s="192" t="s">
        <v>11</v>
      </c>
      <c r="B99" s="185">
        <v>425110000</v>
      </c>
      <c r="C99" s="184">
        <v>45.22</v>
      </c>
      <c r="D99" s="193">
        <v>0</v>
      </c>
      <c r="E99" s="184">
        <v>45.22</v>
      </c>
    </row>
    <row r="100" ht="12.75" customHeight="1" spans="1:5" x14ac:dyDescent="0.25">
      <c r="A100" s="192" t="s">
        <v>31</v>
      </c>
      <c r="B100" s="185">
        <v>426110000</v>
      </c>
      <c r="C100" s="184">
        <v>604.39</v>
      </c>
      <c r="D100" s="193">
        <v>0</v>
      </c>
      <c r="E100" s="184">
        <v>604.39</v>
      </c>
    </row>
    <row r="101" ht="12.75" customHeight="1" spans="1:5" x14ac:dyDescent="0.25">
      <c r="A101" s="192" t="s">
        <v>108</v>
      </c>
      <c r="B101" s="185">
        <v>426200000</v>
      </c>
      <c r="C101" s="184">
        <v>374.67</v>
      </c>
      <c r="D101" s="193">
        <v>0</v>
      </c>
      <c r="E101" s="184">
        <v>374.67</v>
      </c>
    </row>
    <row r="102" ht="12.75" customHeight="1" spans="1:5" x14ac:dyDescent="0.25">
      <c r="A102" s="192" t="s">
        <v>104</v>
      </c>
      <c r="B102" s="185">
        <v>433070000</v>
      </c>
      <c r="C102" s="184">
        <v>130.1</v>
      </c>
      <c r="D102" s="193">
        <v>0</v>
      </c>
      <c r="E102" s="184">
        <v>130.1</v>
      </c>
    </row>
    <row r="103" ht="3" customHeight="1" x14ac:dyDescent="0.25"/>
    <row r="104" ht="12.75" customHeight="1" spans="1:7" x14ac:dyDescent="0.25">
      <c r="A104" s="185"/>
      <c r="B104" s="185"/>
      <c r="C104" s="198">
        <v>1254.8</v>
      </c>
      <c r="D104" s="200">
        <v>0</v>
      </c>
      <c r="E104" s="200">
        <v>1254.8</v>
      </c>
      <c r="F104" s="199">
        <f>+C104-'Sumas y Saldos'!AM399</f>
        <v>1254.8</v>
      </c>
      <c r="G104" s="199">
        <f>+D104-'Sumas y Saldos'!AN399</f>
        <v>0</v>
      </c>
    </row>
    <row r="105" ht="15" customHeight="1" spans="1:2" s="190" customFormat="1" x14ac:dyDescent="0.25">
      <c r="A105" s="191" t="s">
        <v>849</v>
      </c>
      <c r="B105" s="185" t="s">
        <v>850</v>
      </c>
    </row>
    <row r="106" ht="12.75" customHeight="1" spans="1:5" x14ac:dyDescent="0.25">
      <c r="A106" s="192" t="s">
        <v>72</v>
      </c>
      <c r="B106" s="185">
        <v>426160000</v>
      </c>
      <c r="C106" s="184">
        <v>43.81</v>
      </c>
      <c r="D106" s="193">
        <v>0</v>
      </c>
      <c r="E106" s="184">
        <v>43.81</v>
      </c>
    </row>
    <row r="107" ht="12.75" customHeight="1" spans="1:5" x14ac:dyDescent="0.25">
      <c r="A107" s="192" t="s">
        <v>170</v>
      </c>
      <c r="B107" s="185">
        <v>426350000</v>
      </c>
      <c r="C107" s="184">
        <v>130.28</v>
      </c>
      <c r="D107" s="193">
        <v>0</v>
      </c>
      <c r="E107" s="184">
        <v>130.28</v>
      </c>
    </row>
    <row r="108" ht="3" customHeight="1" x14ac:dyDescent="0.25"/>
    <row r="109" ht="12.75" customHeight="1" spans="1:7" x14ac:dyDescent="0.25">
      <c r="A109" s="185"/>
      <c r="B109" s="185"/>
      <c r="C109" s="198">
        <v>174.09</v>
      </c>
      <c r="D109" s="200">
        <v>0</v>
      </c>
      <c r="E109" s="200">
        <v>174.09</v>
      </c>
      <c r="F109" s="199">
        <f>+C109-'Sumas y Saldos'!BN399</f>
        <v>174.09</v>
      </c>
      <c r="G109" s="199">
        <f>+D109-'Sumas y Saldos'!BO399</f>
        <v>0</v>
      </c>
    </row>
    <row r="110" ht="1.5" customHeight="1" x14ac:dyDescent="0.25"/>
    <row r="111" ht="14.25" customHeight="1" spans="1:5" s="190" customFormat="1" x14ac:dyDescent="0.25">
      <c r="A111" s="201" t="s">
        <v>851</v>
      </c>
      <c r="B111" s="185" t="s">
        <v>852</v>
      </c>
      <c r="C111" s="202">
        <v>344932.39</v>
      </c>
      <c r="D111" s="203">
        <v>2245.28</v>
      </c>
      <c r="E111" s="203">
        <v>342687.11</v>
      </c>
    </row>
    <row r="112" ht="146.25" customHeight="1" x14ac:dyDescent="0.25"/>
    <row r="113" ht="15.75" customHeight="1" x14ac:dyDescent="0.25"/>
    <row r="114" ht="13.5" customHeight="1" spans="1:5" x14ac:dyDescent="0.25">
      <c r="A114" s="204">
        <v>45777</v>
      </c>
      <c r="B114" s="185"/>
      <c r="C114" s="185"/>
      <c r="D114" s="185"/>
      <c r="E114" s="186"/>
    </row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</sheetData>
  <pageMargins left="0.7" right="0.7" top="0.75" bottom="0.75" header="0.511811023622047" footer="0.511811023622047"/>
  <pageSetup orientation="portrait" horizontalDpi="300" verticalDpi="300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AA29"/>
  <sheetViews>
    <sheetView workbookViewId="0" zoomScale="100" zoomScaleNormal="100">
      <pane xSplit="3" ySplit="2" topLeftCell="P4" activePane="bottomRight" state="frozen"/>
      <selection pane="bottomRight" activeCell="P15" sqref="P15"/>
    </sheetView>
  </sheetViews>
  <sheetFormatPr defaultRowHeight="13.2" outlineLevelRow="0" outlineLevelCol="0" x14ac:dyDescent="0.3" defaultColWidth="9.109375" customHeight="1"/>
  <cols>
    <col min="1" max="1" width="11.44140625" style="1" customWidth="1"/>
    <col min="2" max="2" width="4.44140625" style="1" customWidth="1"/>
    <col min="3" max="3" width="40.6640625" style="1" customWidth="1"/>
    <col min="4" max="4" width="18.33203125" style="1" customWidth="1"/>
    <col min="5" max="5" width="21.109375" style="1" customWidth="1"/>
    <col min="6" max="6" width="21.44140625" style="1" customWidth="1"/>
    <col min="7" max="7" width="13.44140625" style="1" customWidth="1"/>
    <col min="8" max="8" width="14.6640625" style="1" customWidth="1"/>
    <col min="9" max="9" width="15.44140625" style="1" customWidth="1"/>
    <col min="10" max="10" width="27.88671875" style="1" customWidth="1"/>
    <col min="11" max="11" width="16.109375" style="1" customWidth="1"/>
    <col min="12" max="13" width="15.88671875" style="1" customWidth="1"/>
    <col min="14" max="14" width="16.109375" style="1" customWidth="1"/>
    <col min="15" max="22" width="16.109375" style="169" customWidth="1"/>
    <col min="23" max="23" width="13.109375" style="169" customWidth="1"/>
  </cols>
  <sheetData>
    <row r="1" ht="12.75" customHeight="1" hidden="1" x14ac:dyDescent="0.25"/>
    <row r="2" ht="18" customHeight="1" spans="1:23" x14ac:dyDescent="0.25">
      <c r="A2" s="1"/>
      <c r="B2" s="1"/>
      <c r="C2" s="205" t="s">
        <v>853</v>
      </c>
      <c r="D2" s="205"/>
      <c r="E2" s="205"/>
      <c r="F2" s="205"/>
      <c r="G2" s="205"/>
      <c r="H2" s="205"/>
      <c r="I2" s="205"/>
      <c r="J2" s="205"/>
      <c r="K2" s="205"/>
      <c r="L2" s="205"/>
      <c r="M2" s="205"/>
      <c r="N2" s="205"/>
      <c r="O2" s="205"/>
      <c r="P2" s="205"/>
      <c r="Q2" s="205"/>
      <c r="R2" s="205"/>
      <c r="S2" s="205"/>
      <c r="T2" s="205"/>
      <c r="U2" s="205"/>
      <c r="V2" s="205"/>
      <c r="W2" s="205"/>
    </row>
    <row r="3" ht="14.25" customHeight="1" spans="1:26" x14ac:dyDescent="0.25">
      <c r="A3" s="1"/>
      <c r="B3" s="1"/>
      <c r="C3" s="206" t="s">
        <v>854</v>
      </c>
      <c r="D3" s="206"/>
      <c r="E3" s="206"/>
      <c r="F3" s="206"/>
      <c r="G3" s="206"/>
      <c r="H3" s="206"/>
      <c r="I3" s="206"/>
      <c r="J3" s="206"/>
      <c r="K3" s="206"/>
      <c r="L3" s="206"/>
      <c r="M3" s="206"/>
      <c r="N3" s="206"/>
      <c r="O3" s="206"/>
      <c r="P3" s="206"/>
      <c r="Q3" s="206"/>
      <c r="R3" s="206"/>
      <c r="S3" s="206"/>
      <c r="T3" s="206"/>
      <c r="U3" s="206"/>
      <c r="V3" s="206"/>
      <c r="W3" s="206"/>
      <c r="Z3" s="170"/>
    </row>
    <row r="4" ht="13.5" customHeight="1" spans="1:26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69"/>
      <c r="P4" s="169"/>
      <c r="Q4" s="169"/>
      <c r="R4" s="169"/>
      <c r="S4" s="169"/>
      <c r="T4" s="169"/>
      <c r="U4" s="169"/>
      <c r="V4" s="169"/>
      <c r="W4" s="169"/>
      <c r="Z4" s="170"/>
    </row>
    <row r="5" ht="29.25" customHeight="1" spans="1:26" x14ac:dyDescent="0.25">
      <c r="A5" s="1"/>
      <c r="B5" s="1"/>
      <c r="C5" s="207" t="s">
        <v>855</v>
      </c>
      <c r="D5" s="208" t="str">
        <f>+'Gastos Acumulados'!A14</f>
        <v>Oficina General</v>
      </c>
      <c r="E5" s="209" t="str">
        <f>+'Gastos Acumulados'!A16</f>
        <v>Exploración Regional</v>
      </c>
      <c r="F5" s="209" t="str">
        <f>+'Gastos Acumulados'!A30</f>
        <v>Cerro La mina</v>
      </c>
      <c r="G5" s="209" t="str">
        <f>+'Gastos Acumulados'!A32</f>
        <v>Cerro Abanico</v>
      </c>
      <c r="H5" s="209" t="str">
        <f>+'Gastos Acumulados'!A34</f>
        <v>Los Menucos</v>
      </c>
      <c r="I5" s="210" t="str">
        <f>+'Gastos Acumulados'!A40</f>
        <v>Proyecto Marisa I</v>
      </c>
      <c r="J5" s="210" t="str">
        <f>+'Gastos Acumulados'!A42</f>
        <v>Proyecto Lonco- Vaca pelenque</v>
      </c>
      <c r="K5" s="210" t="str">
        <f>+'Gastos Acumulados'!A48</f>
        <v>Gastos Generales</v>
      </c>
      <c r="L5" s="210" t="str">
        <f>+'Gastos Acumulados'!A38</f>
        <v>Centro Esperanza</v>
      </c>
      <c r="M5" s="210" t="str">
        <f>+'Gastos Acumulados'!A52</f>
        <v>Proyecto Cristal</v>
      </c>
      <c r="N5" s="210" t="str">
        <f>+'Gastos Acumulados'!A36</f>
        <v>Cañadon del Moro</v>
      </c>
      <c r="O5" s="211" t="str">
        <f>+'Gastos Acumulados'!A56</f>
        <v>Catamarca</v>
      </c>
      <c r="P5" s="212" t="s">
        <v>817</v>
      </c>
      <c r="Q5" s="213" t="s">
        <v>818</v>
      </c>
      <c r="R5" s="213" t="s">
        <v>819</v>
      </c>
      <c r="S5" s="213" t="s">
        <v>820</v>
      </c>
      <c r="T5" s="213" t="s">
        <v>821</v>
      </c>
      <c r="U5" s="213" t="s">
        <v>856</v>
      </c>
      <c r="V5" s="213" t="s">
        <v>823</v>
      </c>
      <c r="W5" s="214" t="s">
        <v>645</v>
      </c>
      <c r="Z5" s="170"/>
    </row>
    <row r="6" ht="14.25" customHeight="1" spans="1:23" x14ac:dyDescent="0.25">
      <c r="A6" s="1"/>
      <c r="B6" s="1"/>
      <c r="C6" s="207"/>
      <c r="D6" s="215" t="s">
        <v>857</v>
      </c>
      <c r="E6" s="216" t="s">
        <v>857</v>
      </c>
      <c r="F6" s="215" t="s">
        <v>857</v>
      </c>
      <c r="G6" s="217" t="s">
        <v>857</v>
      </c>
      <c r="H6" s="218" t="s">
        <v>857</v>
      </c>
      <c r="I6" s="219" t="s">
        <v>857</v>
      </c>
      <c r="J6" s="219" t="s">
        <v>857</v>
      </c>
      <c r="K6" s="219" t="s">
        <v>857</v>
      </c>
      <c r="L6" s="219" t="s">
        <v>857</v>
      </c>
      <c r="M6" s="219" t="s">
        <v>857</v>
      </c>
      <c r="N6" s="219" t="s">
        <v>857</v>
      </c>
      <c r="O6" s="220" t="s">
        <v>857</v>
      </c>
      <c r="P6" s="220" t="s">
        <v>857</v>
      </c>
      <c r="Q6" s="220"/>
      <c r="R6" s="220"/>
      <c r="S6" s="220"/>
      <c r="T6" s="220"/>
      <c r="U6" s="220"/>
      <c r="V6" s="220"/>
      <c r="W6" s="221" t="s">
        <v>857</v>
      </c>
    </row>
    <row r="7" ht="12.75" customHeight="1" spans="1:25" x14ac:dyDescent="0.25">
      <c r="A7" s="1"/>
      <c r="B7" s="1"/>
      <c r="C7" s="222"/>
      <c r="D7" s="223"/>
      <c r="E7" s="223"/>
      <c r="F7" s="223"/>
      <c r="G7" s="223"/>
      <c r="H7" s="223"/>
      <c r="I7" s="223"/>
      <c r="J7" s="223"/>
      <c r="K7" s="223"/>
      <c r="L7" s="223"/>
      <c r="M7" s="223"/>
      <c r="N7" s="223"/>
      <c r="O7" s="224"/>
      <c r="P7" s="224"/>
      <c r="Q7" s="224"/>
      <c r="R7" s="224"/>
      <c r="S7" s="224"/>
      <c r="T7" s="224"/>
      <c r="U7" s="224"/>
      <c r="V7" s="224"/>
      <c r="W7" s="225"/>
      <c r="Y7" s="170"/>
    </row>
    <row r="8" ht="14.25" customHeight="1" spans="1:25" x14ac:dyDescent="0.25">
      <c r="A8" s="1"/>
      <c r="B8" s="1"/>
      <c r="C8" s="226" t="s">
        <v>858</v>
      </c>
      <c r="D8" s="227">
        <f>SUM('Sumas y Saldos'!E130:E193)+'Sumas y Saldos'!E18+'Sumas y Saldos'!E19</f>
        <v>19745.92</v>
      </c>
      <c r="E8" s="227">
        <f>SUM('Sumas y Saldos'!H130:H200)+'Sumas y Saldos'!H18+'Sumas y Saldos'!H19</f>
        <v>2301.8</v>
      </c>
      <c r="F8" s="227">
        <f>SUM('Sumas y Saldos'!Q130:Q166)+'Sumas y Saldos'!Q18+'Sumas y Saldos'!Q19</f>
        <v>0</v>
      </c>
      <c r="G8" s="227">
        <f>SUM('Sumas y Saldos'!Z130:Z193)+'Sumas y Saldos'!Z18+'Sumas y Saldos'!Z19</f>
        <v>0</v>
      </c>
      <c r="H8" s="228">
        <f>SUM('Sumas y Saldos'!W130:W166)+'Sumas y Saldos'!W18+'Sumas y Saldos'!W19</f>
        <v>0</v>
      </c>
      <c r="I8" s="229">
        <f>SUM('Sumas y Saldos'!AF130:AF166)+'Sumas y Saldos'!AF18+'Sumas y Saldos'!AF19</f>
        <v>0</v>
      </c>
      <c r="J8" s="229">
        <f>SUM('Sumas y Saldos'!AI130:AI193)+'Sumas y Saldos'!AI19+'Sumas y Saldos'!AI18</f>
        <v>0</v>
      </c>
      <c r="K8" s="228">
        <f>SUM('Sumas y Saldos'!AO130:AO193)+'Sumas y Saldos'!AO18+'Sumas y Saldos'!AO19</f>
        <v>0</v>
      </c>
      <c r="L8" s="228">
        <f>SUM('Sumas y Saldos'!AC130:AC189)+'Sumas y Saldos'!AC18+'Sumas y Saldos'!AC19</f>
        <v>0</v>
      </c>
      <c r="M8" s="229">
        <f>SUM('Sumas y Saldos'!AL130:AL166)+'Sumas y Saldos'!AJ18+'Sumas y Saldos'!AL19</f>
        <v>0</v>
      </c>
      <c r="N8" s="228">
        <f>SUM('Sumas y Saldos'!T130:T200)+'Sumas y Saldos'!T18+'Sumas y Saldos'!T19</f>
        <v>1235.4</v>
      </c>
      <c r="O8" s="230">
        <f>+SUM('Sumas y Saldos'!BP130:BP208)+'Sumas y Saldos'!BP18+'Sumas y Saldos'!BP19</f>
        <v>0</v>
      </c>
      <c r="P8" s="231">
        <f>+SUM('Sumas y Saldos'!BM18:BM19,'Sumas y Saldos'!BM130:BM208)</f>
        <v>0</v>
      </c>
      <c r="Q8" s="231"/>
      <c r="R8" s="231"/>
      <c r="S8" s="231"/>
      <c r="T8" s="231"/>
      <c r="U8" s="231"/>
      <c r="V8" s="231"/>
      <c r="W8" s="232">
        <f>SUM(D8:V8)</f>
        <v>23283.12</v>
      </c>
      <c r="Y8" s="170"/>
    </row>
    <row r="9" ht="14.25" customHeight="1" spans="1:23" x14ac:dyDescent="0.25">
      <c r="A9" s="1"/>
      <c r="B9" s="1"/>
      <c r="C9" s="226" t="s">
        <v>859</v>
      </c>
      <c r="D9" s="227">
        <f>SUM('Sumas y Saldos'!E210:E270)+'Sumas y Saldos'!E92+'Sumas y Saldos'!E97</f>
        <v>2307.8100000000004</v>
      </c>
      <c r="E9" s="227">
        <f>SUM('Sumas y Saldos'!H210:H279)+'Sumas y Saldos'!H92+'Sumas y Saldos'!H97</f>
        <v>23756.26</v>
      </c>
      <c r="F9" s="227">
        <f>SUM('Sumas y Saldos'!Q210:Q260)+'Sumas y Saldos'!Q92+'Sumas y Saldos'!Q97</f>
        <v>0</v>
      </c>
      <c r="G9" s="227">
        <f>SUM('Sumas y Saldos'!Z210:Z260)+'Sumas y Saldos'!Z92+'Sumas y Saldos'!Z97</f>
        <v>0</v>
      </c>
      <c r="H9" s="228">
        <f>SUM('Sumas y Saldos'!W210:W311)+'Sumas y Saldos'!W92+'Sumas y Saldos'!W97</f>
        <v>0</v>
      </c>
      <c r="I9" s="229">
        <f>SUM('Sumas y Saldos'!AF210:AF311)+'Sumas y Saldos'!AF92+'Sumas y Saldos'!AF97</f>
        <v>0</v>
      </c>
      <c r="J9" s="228">
        <f>SUM('Sumas y Saldos'!AI210:AI311)+'Sumas y Saldos'!AI92+'Sumas y Saldos'!AI97</f>
        <v>0</v>
      </c>
      <c r="K9" s="228">
        <f>SUM('Sumas y Saldos'!AO210:AO311)+'Sumas y Saldos'!AO92+'Sumas y Saldos'!AO100</f>
        <v>0</v>
      </c>
      <c r="L9" s="228">
        <f>SUM('Sumas y Saldos'!AC210:AC311)+'Sumas y Saldos'!AC92+'Sumas y Saldos'!AC97</f>
        <v>6419.01</v>
      </c>
      <c r="M9" s="228">
        <f>SUM('Sumas y Saldos'!AL210:AL311)+'Sumas y Saldos'!AL92+'Sumas y Saldos'!AL97</f>
        <v>0</v>
      </c>
      <c r="N9" s="228">
        <f>SUM('Sumas y Saldos'!T210:T311)+'Sumas y Saldos'!T92+'Sumas y Saldos'!T97</f>
        <v>0</v>
      </c>
      <c r="O9" s="230">
        <f>+SUM('Sumas y Saldos'!BP210:BP303)</f>
        <v>0</v>
      </c>
      <c r="P9" s="230">
        <f>+'Sumas y Saldos'!BM92+'Sumas y Saldos'!BM97+SUM('Sumas y Saldos'!BM210:BM303)</f>
        <v>0</v>
      </c>
      <c r="Q9" s="230"/>
      <c r="R9" s="230"/>
      <c r="S9" s="230"/>
      <c r="T9" s="230"/>
      <c r="U9" s="230"/>
      <c r="V9" s="230"/>
      <c r="W9" s="232">
        <f>SUM(D9:V9)</f>
        <v>32483.08</v>
      </c>
    </row>
    <row r="10" ht="14.25" customHeight="1" spans="1:27" x14ac:dyDescent="0.25">
      <c r="A10" s="1"/>
      <c r="B10" s="1"/>
      <c r="C10" s="226" t="s">
        <v>860</v>
      </c>
      <c r="D10" s="227">
        <f>+'Sumas y Saldos'!E355</f>
        <v>0</v>
      </c>
      <c r="E10" s="227">
        <f>+SUM('Sumas y Saldos'!H355:H356)</f>
        <v>0</v>
      </c>
      <c r="F10" s="227">
        <f>SUM('Sumas y Saldos'!Q355)</f>
        <v>0</v>
      </c>
      <c r="G10" s="227">
        <f>+'Sumas y Saldos'!Z355</f>
        <v>0</v>
      </c>
      <c r="H10" s="228">
        <f>+'Sumas y Saldos'!W355</f>
        <v>0</v>
      </c>
      <c r="I10" s="229">
        <f>+'Sumas y Saldos'!AF355</f>
        <v>0</v>
      </c>
      <c r="J10" s="229">
        <f>+'Sumas y Saldos'!AI355</f>
        <v>0</v>
      </c>
      <c r="K10" s="228">
        <f>+'Sumas y Saldos'!AO355</f>
        <v>0</v>
      </c>
      <c r="L10" s="228">
        <f>SUM('Sumas y Saldos'!AC355:AC357)</f>
        <v>0</v>
      </c>
      <c r="M10" s="229">
        <f>+'Sumas y Saldos'!AL355</f>
        <v>0</v>
      </c>
      <c r="N10" s="229">
        <f>SUM('Sumas y Saldos'!T355:T357)</f>
        <v>0</v>
      </c>
      <c r="O10" s="231"/>
      <c r="P10" s="231">
        <f>+SUM('Sumas y Saldos'!BM355:BM358)</f>
        <v>0</v>
      </c>
      <c r="Q10" s="231"/>
      <c r="R10" s="231"/>
      <c r="S10" s="231"/>
      <c r="T10" s="231"/>
      <c r="U10" s="231"/>
      <c r="V10" s="231"/>
      <c r="W10" s="232">
        <f>SUM(D10:V10)</f>
        <v>0</v>
      </c>
      <c r="Y10" s="176"/>
      <c r="Z10" s="170"/>
      <c r="AA10" s="176"/>
    </row>
    <row r="11" ht="14.25" customHeight="1" spans="1:23" x14ac:dyDescent="0.25">
      <c r="A11" s="1"/>
      <c r="B11" s="1"/>
      <c r="C11" s="226" t="s">
        <v>861</v>
      </c>
      <c r="D11" s="227"/>
      <c r="E11" s="227"/>
      <c r="F11" s="227"/>
      <c r="G11" s="227"/>
      <c r="H11" s="228"/>
      <c r="I11" s="229"/>
      <c r="J11" s="229"/>
      <c r="K11" s="228"/>
      <c r="L11" s="228"/>
      <c r="M11" s="229"/>
      <c r="N11" s="229"/>
      <c r="O11" s="231"/>
      <c r="P11" s="231"/>
      <c r="Q11" s="231"/>
      <c r="R11" s="231"/>
      <c r="S11" s="231"/>
      <c r="T11" s="231"/>
      <c r="U11" s="231"/>
      <c r="V11" s="231"/>
      <c r="W11" s="232">
        <f>SUM(D11:V11)</f>
        <v>0</v>
      </c>
    </row>
    <row r="12" ht="14.25" customHeight="1" spans="1:23" x14ac:dyDescent="0.25">
      <c r="A12" s="1"/>
      <c r="B12" s="1"/>
      <c r="C12" s="226" t="s">
        <v>862</v>
      </c>
      <c r="D12" s="227">
        <f>+'Sumas y Saldos'!E378+'Sumas y Saldos'!E364</f>
        <v>0</v>
      </c>
      <c r="E12" s="233">
        <f>SUM('Sumas y Saldos'!H361:H367)</f>
        <v>0</v>
      </c>
      <c r="F12" s="227"/>
      <c r="G12" s="227">
        <f>+'Sumas y Saldos'!Z364</f>
        <v>0</v>
      </c>
      <c r="H12" s="228">
        <f>+'Sumas y Saldos'!U364</f>
        <v>0</v>
      </c>
      <c r="I12" s="229"/>
      <c r="J12" s="229"/>
      <c r="K12" s="228"/>
      <c r="L12" s="228">
        <f>SUM('Sumas y Saldos'!AC361:AC367)</f>
        <v>0</v>
      </c>
      <c r="M12" s="229"/>
      <c r="N12" s="229">
        <f>+SUM('Sumas y Saldos'!T360:T383)</f>
        <v>0</v>
      </c>
      <c r="O12" s="231"/>
      <c r="P12" s="231"/>
      <c r="Q12" s="231"/>
      <c r="R12" s="231"/>
      <c r="S12" s="231"/>
      <c r="T12" s="231"/>
      <c r="U12" s="231"/>
      <c r="V12" s="231"/>
      <c r="W12" s="232">
        <f>SUM(D12:V12)</f>
        <v>0</v>
      </c>
    </row>
    <row r="13" ht="14.25" customHeight="1" spans="1:23" x14ac:dyDescent="0.25">
      <c r="A13" s="1"/>
      <c r="B13" s="1"/>
      <c r="C13" s="226" t="s">
        <v>863</v>
      </c>
      <c r="D13" s="227"/>
      <c r="E13" s="234">
        <f>+SUM('Sumas y Saldos'!H394:H395)</f>
        <v>481.67</v>
      </c>
      <c r="F13" s="227"/>
      <c r="G13" s="227"/>
      <c r="H13" s="228"/>
      <c r="I13" s="229"/>
      <c r="J13" s="229"/>
      <c r="K13" s="228"/>
      <c r="L13" s="229"/>
      <c r="M13" s="229"/>
      <c r="N13" s="229">
        <f>+'Sumas y Saldos'!R395</f>
        <v>0</v>
      </c>
      <c r="O13" s="231">
        <f>+'Sumas y Saldos'!BN394</f>
        <v>0</v>
      </c>
      <c r="P13" s="231">
        <f>+SUM('Sumas y Saldos'!BM394:BM395)</f>
        <v>0</v>
      </c>
      <c r="Q13" s="231"/>
      <c r="R13" s="231"/>
      <c r="S13" s="231"/>
      <c r="T13" s="231"/>
      <c r="U13" s="231"/>
      <c r="V13" s="231"/>
      <c r="W13" s="232">
        <f>SUM(D13:V13)</f>
        <v>481.67</v>
      </c>
    </row>
    <row r="14" ht="14.25" customHeight="1" spans="1:23" x14ac:dyDescent="0.25">
      <c r="A14" s="1"/>
      <c r="B14" s="1"/>
      <c r="C14" s="226" t="s">
        <v>864</v>
      </c>
      <c r="D14" s="227"/>
      <c r="E14" s="234"/>
      <c r="F14" s="227"/>
      <c r="G14" s="227"/>
      <c r="H14" s="228"/>
      <c r="I14" s="229"/>
      <c r="J14" s="229"/>
      <c r="K14" s="228"/>
      <c r="L14" s="229"/>
      <c r="M14" s="229"/>
      <c r="N14" s="229"/>
      <c r="O14" s="231"/>
      <c r="P14" s="231"/>
      <c r="Q14" s="231"/>
      <c r="R14" s="231"/>
      <c r="S14" s="231"/>
      <c r="T14" s="231"/>
      <c r="U14" s="231"/>
      <c r="V14" s="231"/>
      <c r="W14" s="232">
        <f>SUM(D14:V14)</f>
        <v>0</v>
      </c>
    </row>
    <row r="15" ht="14.25" customHeight="1" spans="1:23" x14ac:dyDescent="0.25">
      <c r="A15" s="1"/>
      <c r="B15" s="1"/>
      <c r="C15" s="226" t="s">
        <v>865</v>
      </c>
      <c r="D15" s="227">
        <f>SUM('Sumas y Saldos'!E312:E334)</f>
        <v>0</v>
      </c>
      <c r="E15" s="227">
        <f>SUM('Sumas y Saldos'!H312:H354)</f>
        <v>0</v>
      </c>
      <c r="F15" s="227">
        <f>SUM('Sumas y Saldos'!Q311:Q321)</f>
        <v>0</v>
      </c>
      <c r="G15" s="227">
        <f>SUM('Sumas y Saldos'!Z311:Z321)</f>
        <v>0</v>
      </c>
      <c r="H15" s="228">
        <f>SUM('Sumas y Saldos'!W312:W339)</f>
        <v>0</v>
      </c>
      <c r="I15" s="229">
        <f>SUM('Sumas y Saldos'!AF312:AF321)</f>
        <v>0</v>
      </c>
      <c r="J15" s="229">
        <f>SUM('Sumas y Saldos'!AI312:AI334)</f>
        <v>0</v>
      </c>
      <c r="K15" s="228">
        <f>SUM('Sumas y Saldos'!AO312:AO334)</f>
        <v>0</v>
      </c>
      <c r="L15" s="228">
        <f>SUM('Sumas y Saldos'!AC312:AC354)</f>
        <v>0</v>
      </c>
      <c r="M15" s="228">
        <f>SUM('Sumas y Saldos'!AL312:AL321)</f>
        <v>0</v>
      </c>
      <c r="N15" s="228">
        <f>SUM('Sumas y Saldos'!T312:T334)+'Sumas y Saldos'!T335+'Sumas y Saldos'!T336</f>
        <v>0</v>
      </c>
      <c r="O15" s="231">
        <f>+SUM('Sumas y Saldos'!BP312:BP354)</f>
        <v>0</v>
      </c>
      <c r="P15" s="235">
        <f>+SUM('Sumas y Saldos'!BM312:BM349)</f>
        <v>0</v>
      </c>
      <c r="Q15" s="235"/>
      <c r="R15" s="235"/>
      <c r="S15" s="235"/>
      <c r="T15" s="235"/>
      <c r="U15" s="235"/>
      <c r="V15" s="235"/>
      <c r="W15" s="232">
        <f>SUM(D15:V15)</f>
        <v>0</v>
      </c>
    </row>
    <row r="16" ht="14.25" customHeight="1" spans="1:23" x14ac:dyDescent="0.25">
      <c r="A16" s="1"/>
      <c r="B16" s="1"/>
      <c r="C16" s="226" t="s">
        <v>866</v>
      </c>
      <c r="D16" s="227"/>
      <c r="E16" s="234"/>
      <c r="F16" s="227"/>
      <c r="G16" s="227">
        <f>+'Sumas y Saldos'!Z123</f>
        <v>0</v>
      </c>
      <c r="H16" s="228">
        <f>+'Sumas y Saldos'!W124</f>
        <v>0</v>
      </c>
      <c r="I16" s="229"/>
      <c r="J16" s="229"/>
      <c r="K16" s="228"/>
      <c r="L16" s="229">
        <f>SUM('Sumas y Saldos'!AC122:AC124)</f>
        <v>0</v>
      </c>
      <c r="M16" s="229"/>
      <c r="N16" s="229">
        <f>SUM('Sumas y Saldos'!T122:T129)</f>
        <v>0</v>
      </c>
      <c r="O16" s="231"/>
      <c r="P16" s="231">
        <f>+SUM('Sumas y Saldos'!BM122:BM129)</f>
        <v>0</v>
      </c>
      <c r="Q16" s="231"/>
      <c r="R16" s="231"/>
      <c r="S16" s="231"/>
      <c r="T16" s="231"/>
      <c r="U16" s="231"/>
      <c r="V16" s="231"/>
      <c r="W16" s="232">
        <f>SUM(D16:V16)</f>
        <v>0</v>
      </c>
    </row>
    <row r="17" ht="14.25" customHeight="1" spans="1:23" x14ac:dyDescent="0.25">
      <c r="A17" s="1"/>
      <c r="B17" s="1"/>
      <c r="C17" s="236"/>
      <c r="D17" s="237"/>
      <c r="E17" s="238"/>
      <c r="F17" s="237"/>
      <c r="G17" s="170"/>
      <c r="H17" s="170"/>
      <c r="I17" s="170"/>
      <c r="J17" s="170"/>
      <c r="K17" s="170"/>
      <c r="L17" s="170"/>
      <c r="M17" s="170"/>
      <c r="N17" s="170"/>
      <c r="O17" s="169"/>
      <c r="P17" s="169"/>
      <c r="Q17" s="169"/>
      <c r="R17" s="169"/>
      <c r="S17" s="169"/>
      <c r="T17" s="169"/>
      <c r="U17" s="169"/>
      <c r="V17" s="169"/>
      <c r="W17" s="232">
        <f>SUM(D17:V17)</f>
        <v>0</v>
      </c>
    </row>
    <row r="18" ht="14.25" customHeight="1" spans="1:23" x14ac:dyDescent="0.25">
      <c r="A18" s="1"/>
      <c r="B18" s="1"/>
      <c r="C18" s="239" t="s">
        <v>614</v>
      </c>
      <c r="D18" s="240"/>
      <c r="E18" s="241">
        <f>+SUM('Sumas y Saldos'!H384:H393)</f>
        <v>0</v>
      </c>
      <c r="F18" s="240"/>
      <c r="G18" s="240"/>
      <c r="H18" s="229"/>
      <c r="I18" s="229"/>
      <c r="J18" s="229">
        <f>+'Sumas y Saldos'!AG385</f>
        <v>0</v>
      </c>
      <c r="K18" s="229"/>
      <c r="L18" s="229"/>
      <c r="M18" s="229"/>
      <c r="N18" s="229"/>
      <c r="O18" s="231"/>
      <c r="P18" s="231"/>
      <c r="Q18" s="231">
        <f>+'Sumas y Saldos'!AR386</f>
        <v>0</v>
      </c>
      <c r="R18" s="231">
        <f>+'Sumas y Saldos'!AS388</f>
        <v>0</v>
      </c>
      <c r="S18" s="231">
        <f>+'Sumas y Saldos'!AX386</f>
        <v>0</v>
      </c>
      <c r="T18" s="231">
        <f>+'Sumas y Saldos'!BA386</f>
        <v>0</v>
      </c>
      <c r="U18" s="231">
        <f>+'Sumas y Saldos'!BD386</f>
        <v>0</v>
      </c>
      <c r="V18" s="231">
        <f>+'Sumas y Saldos'!BG386</f>
        <v>0</v>
      </c>
      <c r="W18" s="232">
        <f>SUM(D18:V18)</f>
        <v>0</v>
      </c>
    </row>
    <row r="19" ht="14.25" customHeight="1" spans="1:23" x14ac:dyDescent="0.25">
      <c r="A19" s="1"/>
      <c r="B19" s="1"/>
      <c r="C19" s="242"/>
      <c r="D19" s="243"/>
      <c r="E19" s="244"/>
      <c r="F19" s="243"/>
      <c r="G19" s="243"/>
      <c r="H19" s="243"/>
      <c r="I19" s="243"/>
      <c r="J19" s="243"/>
      <c r="K19" s="243"/>
      <c r="L19" s="243"/>
      <c r="M19" s="243"/>
      <c r="N19" s="243"/>
      <c r="O19" s="245"/>
      <c r="P19" s="245"/>
      <c r="Q19" s="245"/>
      <c r="R19" s="245"/>
      <c r="S19" s="245"/>
      <c r="T19" s="245"/>
      <c r="U19" s="245"/>
      <c r="V19" s="245"/>
      <c r="W19" s="232">
        <f>SUM(D19:V19)</f>
        <v>0</v>
      </c>
    </row>
    <row r="20" ht="14.25" customHeight="1" spans="1:23" x14ac:dyDescent="0.25">
      <c r="A20" s="1"/>
      <c r="B20" s="1"/>
      <c r="C20" s="239" t="s">
        <v>867</v>
      </c>
      <c r="D20" s="241"/>
      <c r="E20" s="241"/>
      <c r="F20" s="241"/>
      <c r="G20" s="240"/>
      <c r="H20" s="246"/>
      <c r="I20" s="246"/>
      <c r="J20" s="246"/>
      <c r="K20" s="246"/>
      <c r="L20" s="246"/>
      <c r="M20" s="246"/>
      <c r="N20" s="246"/>
      <c r="O20" s="231"/>
      <c r="P20" s="231"/>
      <c r="Q20" s="231"/>
      <c r="R20" s="231"/>
      <c r="S20" s="231"/>
      <c r="T20" s="231"/>
      <c r="U20" s="231"/>
      <c r="V20" s="231"/>
      <c r="W20" s="232">
        <f>SUM(D20:V20)</f>
        <v>0</v>
      </c>
    </row>
    <row r="21" ht="13.5" customHeight="1" spans="1:23" x14ac:dyDescent="0.25">
      <c r="A21" s="1"/>
      <c r="B21" s="1"/>
      <c r="C21" s="236"/>
      <c r="D21" s="1"/>
      <c r="E21" s="1"/>
      <c r="F21" s="1"/>
      <c r="G21" s="170"/>
      <c r="H21" s="1"/>
      <c r="I21" s="1"/>
      <c r="J21" s="1"/>
      <c r="K21" s="1"/>
      <c r="L21" s="1"/>
      <c r="M21" s="1"/>
      <c r="N21" s="1"/>
      <c r="O21" s="169"/>
      <c r="P21" s="169"/>
      <c r="Q21" s="169"/>
      <c r="R21" s="169"/>
      <c r="S21" s="169"/>
      <c r="T21" s="169"/>
      <c r="U21" s="169"/>
      <c r="V21" s="169"/>
      <c r="W21" s="247"/>
    </row>
    <row r="22" ht="15" customHeight="1" spans="1:24" x14ac:dyDescent="0.25">
      <c r="A22" s="1"/>
      <c r="B22" s="1"/>
      <c r="C22" s="248" t="s">
        <v>645</v>
      </c>
      <c r="D22" s="249">
        <f>SUM(D8:D21)</f>
        <v>22053.73</v>
      </c>
      <c r="E22" s="249">
        <f>SUM(E8:E21)</f>
        <v>26539.729999999996</v>
      </c>
      <c r="F22" s="249">
        <f>SUM(F8:F21)</f>
        <v>0</v>
      </c>
      <c r="G22" s="249">
        <f>SUM(G8:G21)</f>
        <v>0</v>
      </c>
      <c r="H22" s="249">
        <f>SUM(H8:H21)</f>
        <v>0</v>
      </c>
      <c r="I22" s="249">
        <f>SUM(I8:I21)</f>
        <v>0</v>
      </c>
      <c r="J22" s="249">
        <f>SUM(J8:J21)</f>
        <v>0</v>
      </c>
      <c r="K22" s="249">
        <f>SUM(K8:K21)</f>
        <v>0</v>
      </c>
      <c r="L22" s="249">
        <f>SUM(L8:L21)</f>
        <v>6419.01</v>
      </c>
      <c r="M22" s="249">
        <f>SUM(M8:M21)</f>
        <v>0</v>
      </c>
      <c r="N22" s="249">
        <f>SUM(N8:N21)</f>
        <v>1235.4</v>
      </c>
      <c r="O22" s="250">
        <f>SUM(O8:O21)</f>
        <v>0</v>
      </c>
      <c r="P22" s="250">
        <f>SUM(P8:P21)</f>
        <v>0</v>
      </c>
      <c r="Q22" s="250">
        <f>SUM(Q8:Q21)</f>
        <v>0</v>
      </c>
      <c r="R22" s="250">
        <f>SUM(R8:R21)</f>
        <v>0</v>
      </c>
      <c r="S22" s="250">
        <f>SUM(S8:S21)</f>
        <v>0</v>
      </c>
      <c r="T22" s="250">
        <f>SUM(T8:T21)</f>
        <v>0</v>
      </c>
      <c r="U22" s="250">
        <f>SUM(U8:U21)</f>
        <v>0</v>
      </c>
      <c r="V22" s="250">
        <f>SUM(V8:V21)</f>
        <v>0</v>
      </c>
      <c r="W22" s="251">
        <f>SUM(D22:V22)</f>
        <v>56247.869999999995</v>
      </c>
      <c r="X22" s="169"/>
    </row>
    <row r="23" ht="12.75" customHeight="1" spans="1:23" x14ac:dyDescent="0.25">
      <c r="A23" s="1"/>
      <c r="B23" s="1"/>
      <c r="C23" s="236"/>
      <c r="D23" s="170"/>
      <c r="E23" s="170"/>
      <c r="F23" s="170"/>
      <c r="G23" s="170"/>
      <c r="H23" s="170"/>
      <c r="I23" s="170"/>
      <c r="J23" s="170"/>
      <c r="K23" s="170"/>
      <c r="L23" s="170"/>
      <c r="M23" s="170"/>
      <c r="N23" s="170"/>
      <c r="O23" s="169"/>
      <c r="P23" s="169"/>
      <c r="Q23" s="169"/>
      <c r="R23" s="169"/>
      <c r="S23" s="169"/>
      <c r="T23" s="169"/>
      <c r="U23" s="169"/>
      <c r="V23" s="169"/>
      <c r="W23" s="247"/>
    </row>
    <row r="24" ht="12.75" customHeight="1" spans="1:23" x14ac:dyDescent="0.25">
      <c r="A24" s="1"/>
      <c r="B24" s="1"/>
      <c r="C24" s="239" t="s">
        <v>868</v>
      </c>
      <c r="D24" s="252"/>
      <c r="E24" s="252"/>
      <c r="F24" s="252"/>
      <c r="G24" s="252"/>
      <c r="H24" s="253"/>
      <c r="I24" s="253"/>
      <c r="J24" s="253"/>
      <c r="K24" s="253"/>
      <c r="L24" s="253"/>
      <c r="M24" s="253"/>
      <c r="N24" s="253"/>
      <c r="O24" s="231"/>
      <c r="P24" s="231"/>
      <c r="Q24" s="231"/>
      <c r="R24" s="231"/>
      <c r="S24" s="231"/>
      <c r="T24" s="231"/>
      <c r="U24" s="231"/>
      <c r="V24" s="231"/>
      <c r="W24" s="254"/>
    </row>
    <row r="25" ht="12.75" customHeight="1" spans="1:23" x14ac:dyDescent="0.25">
      <c r="A25" s="1"/>
      <c r="B25" s="1"/>
      <c r="C25" s="236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69"/>
      <c r="P25" s="169"/>
      <c r="Q25" s="169"/>
      <c r="R25" s="169"/>
      <c r="S25" s="169"/>
      <c r="T25" s="169"/>
      <c r="U25" s="169"/>
      <c r="V25" s="169"/>
      <c r="W25" s="247"/>
    </row>
    <row r="26" ht="13.5" customHeight="1" spans="1:23" x14ac:dyDescent="0.25">
      <c r="A26" s="1"/>
      <c r="B26" s="1"/>
      <c r="C26" s="255" t="s">
        <v>869</v>
      </c>
      <c r="D26" s="256"/>
      <c r="E26" s="256"/>
      <c r="F26" s="256"/>
      <c r="G26" s="256"/>
      <c r="H26" s="257"/>
      <c r="I26" s="257"/>
      <c r="J26" s="257"/>
      <c r="K26" s="257"/>
      <c r="L26" s="257"/>
      <c r="M26" s="257"/>
      <c r="N26" s="257"/>
      <c r="O26" s="258"/>
      <c r="P26" s="258"/>
      <c r="Q26" s="258"/>
      <c r="R26" s="258"/>
      <c r="S26" s="258"/>
      <c r="T26" s="258"/>
      <c r="U26" s="258"/>
      <c r="V26" s="258"/>
      <c r="W26" s="259"/>
    </row>
    <row r="28" ht="12.75" customHeight="1" spans="1:23" x14ac:dyDescent="0.25">
      <c r="A28" s="1"/>
      <c r="B28" s="1"/>
      <c r="C28" s="1"/>
      <c r="D28" s="169">
        <f>+'Dist.de gastos'!F103</f>
        <v>25850.190000000002</v>
      </c>
      <c r="E28" s="169">
        <f>+'Dist.de gastos'!G103</f>
        <v>26539.73</v>
      </c>
      <c r="F28" s="169">
        <f>+'Dist.de gastos'!I103</f>
        <v>0</v>
      </c>
      <c r="G28" s="169">
        <f>+'Dist.de gastos'!J103</f>
        <v>0</v>
      </c>
      <c r="H28" s="169">
        <f>+'Dist.de gastos'!M103</f>
        <v>0</v>
      </c>
      <c r="I28" s="1"/>
      <c r="J28" s="169">
        <f>+'Dist.de gastos'!O103</f>
        <v>0</v>
      </c>
      <c r="K28" s="169">
        <f>+'Dist.de gastos'!P103</f>
        <v>0</v>
      </c>
      <c r="L28" s="169">
        <f>+'Dist.de gastos'!K103</f>
        <v>16784.290000000005</v>
      </c>
      <c r="M28" s="169">
        <f>+'Dist.de gastos'!Q103</f>
        <v>0</v>
      </c>
      <c r="N28" s="169">
        <f>+'Dist.de gastos'!N103</f>
        <v>14286.470000000001</v>
      </c>
      <c r="O28" s="169">
        <f>+'Dist.de gastos'!V103</f>
        <v>0</v>
      </c>
      <c r="P28" s="169">
        <f>+'Dist.de gastos'!U103</f>
        <v>0</v>
      </c>
      <c r="Q28" s="169"/>
      <c r="R28" s="169">
        <f>+'Dist.de gastos'!L103</f>
        <v>0</v>
      </c>
      <c r="S28" s="169"/>
      <c r="T28" s="169"/>
      <c r="U28" s="169"/>
      <c r="V28" s="169"/>
      <c r="W28" s="169">
        <f>+'Gastos Acumulados'!D74</f>
        <v>83460.68000000001</v>
      </c>
    </row>
    <row r="29" ht="12.75" customHeight="1" spans="1:23" x14ac:dyDescent="0.25">
      <c r="A29" s="1"/>
      <c r="B29" s="1"/>
      <c r="C29" s="1"/>
      <c r="D29" s="170">
        <f>+D28-D22</f>
        <v>3796.4600000000028</v>
      </c>
      <c r="E29" s="170">
        <f>+E28-E22</f>
        <v>0</v>
      </c>
      <c r="F29" s="170">
        <f>+F28-F22</f>
        <v>0</v>
      </c>
      <c r="G29" s="170">
        <f>+G28-G22</f>
        <v>0</v>
      </c>
      <c r="H29" s="170">
        <f>+H28-H22</f>
        <v>0</v>
      </c>
      <c r="I29" s="1"/>
      <c r="J29" s="170">
        <f>+J28-J22</f>
        <v>0</v>
      </c>
      <c r="K29" s="170">
        <f>+K28-K22</f>
        <v>0</v>
      </c>
      <c r="L29" s="170">
        <f>+L28-L22</f>
        <v>10365.280000000004</v>
      </c>
      <c r="M29" s="170">
        <f>+M28-M22</f>
        <v>0</v>
      </c>
      <c r="N29" s="260">
        <f>+N28-N22</f>
        <v>13051.070000000002</v>
      </c>
      <c r="O29" s="261">
        <f>+O28-O22</f>
        <v>0</v>
      </c>
      <c r="P29" s="261">
        <f>+P28-P22</f>
        <v>0</v>
      </c>
      <c r="Q29" s="261"/>
      <c r="R29" s="261">
        <f>+R22-R28</f>
        <v>0</v>
      </c>
      <c r="S29" s="261"/>
      <c r="T29" s="261"/>
      <c r="U29" s="261"/>
      <c r="V29" s="261"/>
      <c r="W29" s="169">
        <f>+W28-W22</f>
        <v>27212.810000000012</v>
      </c>
    </row>
  </sheetData>
  <mergeCells count="3">
    <mergeCell ref="C2:W2"/>
    <mergeCell ref="C3:W3"/>
    <mergeCell ref="C5:C6"/>
  </mergeCells>
  <pageMargins left="0.7" right="0.7" top="0.75" bottom="0.75" header="0.511811023622047" footer="0.511811023622047"/>
  <pageSetup paperSize="9" orientation="landscape" horizontalDpi="300" verticalDpi="300" scale="100" fitToWidth="1" fitToHeight="0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SyS</vt:lpstr>
      <vt:lpstr>Sumas y Saldos</vt:lpstr>
      <vt:lpstr>Dist.de gastos</vt:lpstr>
      <vt:lpstr>Gastos Acumulados</vt:lpstr>
      <vt:lpstr>Hoja2</vt:lpstr>
      <vt:lpstr>Naturaleza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dc:language>en-US</dc:language>
  <cp:lastModifiedBy>Unknown</cp:lastModifiedBy>
  <cp:lastPrinted>2020-03-03T15:53:35Z</cp:lastPrinted>
  <dcterms:created xsi:type="dcterms:W3CDTF">2004-08-03T18:39:10Z</dcterms:created>
  <dcterms:modified xsi:type="dcterms:W3CDTF">2026-07-25T17:49:54Z</dcterms:modified>
</cp:coreProperties>
</file>