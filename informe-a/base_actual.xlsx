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730" windowHeight="11160" firstSheet="1" activeTab="1"/>
  </bookViews>
  <sheets>
    <sheet sheetId="1" name="INSTRUCCIONES" state="hidden" r:id="rId4"/>
    <sheet sheetId="3" name="Sumas y Saldos" state="visible" r:id="rId5"/>
    <sheet sheetId="4" name="Dist.de gastos" state="visible" r:id="rId6"/>
    <sheet sheetId="2" name="SyS" state="hidden" r:id="rId7"/>
    <sheet sheetId="5" name="Gastos Acumulados" state="visible" r:id="rId8"/>
    <sheet sheetId="6" name="Hoja2" state="hidden" r:id="rId9"/>
    <sheet sheetId="7" name="Naturaleza" state="hidden" r:id="rId10"/>
  </sheets>
  <definedNames>
    <definedName name="_xlnm._FilterDatabase">'Sumas y Saldos'!$A$6:$IV$297</definedName>
    <definedName name="_xlnm.Print_Area" localSheetId="1">'Sumas y Saldos'!$A1:$BQ399</definedName>
    <definedName name="_xlnm.Print_Area" localSheetId="2">'Dist.de gastos'!$C1:$AI104</definedName>
    <definedName name="_xlnm.Print_Area" localSheetId="4">'Gastos Acumulados'!$A1:$F84</definedName>
    <definedName name="_xlnm.Print_Area" localSheetId="6">'Naturaleza'!$B2:$X30</definedName>
  </definedNames>
  <calcPr calcId="171027" fullCalcOnLoad="1"/>
</workbook>
</file>

<file path=xl/sharedStrings.xml><?xml version="1.0" encoding="utf-8"?>
<sst xmlns="http://schemas.openxmlformats.org/spreadsheetml/2006/main" count="1075" uniqueCount="826">
  <si>
    <t xml:space="preserve">  CÓMO ACTUALIZAR EL BALANCE DE COMPROBACIÓN USD — CADA MES</t>
  </si>
  <si>
    <t xml:space="preserve">  La macro carga el archivo de Onvio automáticamente. No hay que copiar ni pegar nada.</t>
  </si>
  <si>
    <t xml:space="preserve">  TODOS LOS MESES — Actualizar el balance</t>
  </si>
  <si>
    <t>PASO 1  →  Descargar el Sumas y Saldos desde Onvio (guardar como .XLS)</t>
  </si>
  <si>
    <t>PASO 2  →  En este Excel, ir a la pestaña  Programador  →  Macros (Recordar habilitarlas)</t>
  </si>
  <si>
    <t xml:space="preserve">              (o presionar  Alt + F8)</t>
  </si>
  <si>
    <t>PASO 3  →  Seleccionar la macro  CargarOnvio  →  Ejecutar</t>
  </si>
  <si>
    <t>PASO 4  →  Elegir el archivo XLS de Onvio en el explorador que aparece</t>
  </si>
  <si>
    <t>PASO 5  →  Esperar el mensaje de confirmación</t>
  </si>
  <si>
    <t>✅  Listo — la hoja Sumas y Saldos se actualizó automáticamente.</t>
  </si>
  <si>
    <t xml:space="preserve">  NOTAS</t>
  </si>
  <si>
    <t>→  Las cuentas sin movimiento ese mes quedan automáticamente en 0</t>
  </si>
  <si>
    <t>→  Si aparece una cuenta nueva que no estaba → avisar para agregarla al SyS</t>
  </si>
  <si>
    <t>→  La macro lee las columnas Debe/Haber/Saldo en u$s (ignora las columnas en $)</t>
  </si>
  <si>
    <t>SOUTHERN COPPER ARGENTINA S.R.L.</t>
  </si>
  <si>
    <t>En Dólares</t>
  </si>
  <si>
    <t>OFICINA GENERAL</t>
  </si>
  <si>
    <t>EXPLORACIÓN REGIONAL</t>
  </si>
  <si>
    <t>TANQUE NEGRO</t>
  </si>
  <si>
    <t xml:space="preserve">SAMENTA </t>
  </si>
  <si>
    <t xml:space="preserve">CERRO LA MINA </t>
  </si>
  <si>
    <t>CAÑADON DEL MORO</t>
  </si>
  <si>
    <t>LOS MENUCOS</t>
  </si>
  <si>
    <t>CERRO ABANICO</t>
  </si>
  <si>
    <t>CENTRO ESPERANZA</t>
  </si>
  <si>
    <t>PROYECTO LOS MORTERITOS</t>
  </si>
  <si>
    <t>LONCO VACA - PELENQUE</t>
  </si>
  <si>
    <t>PROYECTO SOL</t>
  </si>
  <si>
    <t>GASTOS GENERALES</t>
  </si>
  <si>
    <t>TRES CONOS</t>
  </si>
  <si>
    <t>LA CHILENA</t>
  </si>
  <si>
    <t>SOL</t>
  </si>
  <si>
    <t>LOS MORTERITOS</t>
  </si>
  <si>
    <t xml:space="preserve">LAS SANTAS </t>
  </si>
  <si>
    <t>SHEYLA</t>
  </si>
  <si>
    <t>SHEYLA I</t>
  </si>
  <si>
    <t>LA HOYADA</t>
  </si>
  <si>
    <t>REGIONAL CATAMARCA</t>
  </si>
  <si>
    <t>TOTALES</t>
  </si>
  <si>
    <t>DEBE</t>
  </si>
  <si>
    <t>HABER</t>
  </si>
  <si>
    <t>SALDO</t>
  </si>
  <si>
    <t xml:space="preserve">HABER </t>
  </si>
  <si>
    <t>SALDOS</t>
  </si>
  <si>
    <t>Iva credito fiscal no computable</t>
  </si>
  <si>
    <t>Sueldos Adm</t>
  </si>
  <si>
    <t>Cargas sociales Adm</t>
  </si>
  <si>
    <t>Gastos Legales</t>
  </si>
  <si>
    <t>Impuesto 25413 No Computable Adm General (u$s)</t>
  </si>
  <si>
    <t>INTERESES</t>
  </si>
  <si>
    <t>II.BB. No Computable</t>
  </si>
  <si>
    <t>COMIDA</t>
  </si>
  <si>
    <t>Comunicaciones Gst Campo</t>
  </si>
  <si>
    <t>SUELDOS Campos</t>
  </si>
  <si>
    <t>GASTOS DE PERFORACIÓN</t>
  </si>
  <si>
    <t>CARGAS SOCIALES CAMPO</t>
  </si>
  <si>
    <t>GASTOS DE ESPECTROMETRÍA</t>
  </si>
  <si>
    <t>REMEDIACIÓN AMBIENTAL</t>
  </si>
  <si>
    <t>ROBO</t>
  </si>
  <si>
    <t>I - R AMBIENTAL</t>
  </si>
  <si>
    <t>TASAS AMBIENTALES I- R. AMBIENTAL</t>
  </si>
  <si>
    <t>Remediación Ambiental I- R. Ambiental</t>
  </si>
  <si>
    <t>Gastos Ferretería I -R.Ambiental</t>
  </si>
  <si>
    <t>Análisis Muestras -R. Ambiental</t>
  </si>
  <si>
    <t>Análisis Muestras I - R. Ambiental Catamarca</t>
  </si>
  <si>
    <t>Gs en personal R- Ambiental</t>
  </si>
  <si>
    <t>Honorarios profesionales - Remediación ambiental</t>
  </si>
  <si>
    <t>ADMINISTRACION GENERAL</t>
  </si>
  <si>
    <t>Comunicaciones</t>
  </si>
  <si>
    <t xml:space="preserve">REFRIGERIOS ADM. GRAL. </t>
  </si>
  <si>
    <t>MOVILIDAD Y VIATICOS ADM GENERAL</t>
  </si>
  <si>
    <t>EXPENSAS DEPTO GEOLOGOS ADM GRAL</t>
  </si>
  <si>
    <t xml:space="preserve">INTERESES RESARCITORIOS ADM. GRAL. </t>
  </si>
  <si>
    <t xml:space="preserve">ALQUILER INMUEBLE ADM. GRAL. </t>
  </si>
  <si>
    <t xml:space="preserve">CUOTA SOCIETARIA MINERA ADM. GRAL. </t>
  </si>
  <si>
    <t xml:space="preserve">MENSAJERIA ADM. GRAL. </t>
  </si>
  <si>
    <t xml:space="preserve">COMUNICACIONES ADM. GRAL. </t>
  </si>
  <si>
    <t>Comunicaciones Adm. Gral USD</t>
  </si>
  <si>
    <t>HONORARIOS PROFESIONALES ADM. GRAL</t>
  </si>
  <si>
    <t>Honorarios Profesionales Adm. Gral. USD</t>
  </si>
  <si>
    <t xml:space="preserve">COMBUSTIBLE ADM. GRAL. </t>
  </si>
  <si>
    <t>GST. DE CAPACITACIÓN ADM. GRAL</t>
  </si>
  <si>
    <t>Gastos bancarios Adm general (u$s)</t>
  </si>
  <si>
    <t xml:space="preserve">GASTOS Y COMISIONES BANCARIAS ADM. GRAL. </t>
  </si>
  <si>
    <t>Gastos y comisiones bancarias</t>
  </si>
  <si>
    <t xml:space="preserve">IMP.A LOS DÉBITOS Y CRÉDITOS BANCARIOS ADM. GRAL. </t>
  </si>
  <si>
    <t xml:space="preserve">SEGUROS ADM. GRAL. </t>
  </si>
  <si>
    <t xml:space="preserve">AMORTIZACIONES ADM. GRAL. </t>
  </si>
  <si>
    <t>GASTOS VARIOS OFICINA ADM. GRAL</t>
  </si>
  <si>
    <t>Gastos Varios de Adm Gral USD</t>
  </si>
  <si>
    <t>SERVICIOS INFORMÁTICOS ADM GRAL</t>
  </si>
  <si>
    <t>SERVICIOS PUBLICOS ADM GRAL</t>
  </si>
  <si>
    <t>GST. MANTENIMIENTO ADM GRAL.</t>
  </si>
  <si>
    <t>TASAS RETRIBUTIVAS MINERÍA ADM GRAL.</t>
  </si>
  <si>
    <t xml:space="preserve">Servicios Notariales Administracion Gral. </t>
  </si>
  <si>
    <t>ALOJAMIENTO ADM. GRAL</t>
  </si>
  <si>
    <t>SERV. CADETERÍA ADM GRAL</t>
  </si>
  <si>
    <t xml:space="preserve">GS. EN PERSONAL ADM GRAL </t>
  </si>
  <si>
    <t xml:space="preserve">PUBLICIDAD ADM GRAL </t>
  </si>
  <si>
    <t>LIBRERIA Y PAPELERIA ADM GRAL</t>
  </si>
  <si>
    <t>OBRA SOCIAL ADICIONAL ADM GRAL</t>
  </si>
  <si>
    <t>HONORARIOS LEGALES ADM. GRAL</t>
  </si>
  <si>
    <t>SEGURIDAD ADM. GRAL</t>
  </si>
  <si>
    <t>GS. LIMPIEZA ADM. GRAL</t>
  </si>
  <si>
    <t>GST. VEHICULOS ADM GRAL</t>
  </si>
  <si>
    <t>TASA MUNICIPAL ADM GRAL.</t>
  </si>
  <si>
    <t>SELLADOS ADM GRAL.</t>
  </si>
  <si>
    <t>IMPUESTOS VARIOS ADM GRAL.</t>
  </si>
  <si>
    <t xml:space="preserve"> PUBLICACIONES Adm Gral</t>
  </si>
  <si>
    <t>GS COMPUTACIÓN ADM GRAL.</t>
  </si>
  <si>
    <t>VACACIONES ADM GRAL.</t>
  </si>
  <si>
    <t>CATASTRO MINERO ADM GRAL.</t>
  </si>
  <si>
    <t>ENCOMIENDA ADM GRAL.</t>
  </si>
  <si>
    <t>Intereses Adm. Gral.</t>
  </si>
  <si>
    <t>Tasas Ambientales – Adm. General</t>
  </si>
  <si>
    <t>Impuestos País - Adm Gral.</t>
  </si>
  <si>
    <t>Refrigerios - Adm Catamarca</t>
  </si>
  <si>
    <t>Servicios Públicos - Adm Catamarca</t>
  </si>
  <si>
    <t>Seguridad - Adm Catamarca</t>
  </si>
  <si>
    <t>Seguridad e Higiene Adm Gral Catamarca</t>
  </si>
  <si>
    <t>Comunicaciones - Adm Catamarca</t>
  </si>
  <si>
    <t>Servicios Informaticos - Adm Catamarca</t>
  </si>
  <si>
    <t>Ferreteria - Adm Catamarca</t>
  </si>
  <si>
    <t>Gastos varios oficina - Adm Catamarca</t>
  </si>
  <si>
    <t>Gastos en personal - Adm Catamarca</t>
  </si>
  <si>
    <t>Honorarios Profesionales - Adm Catamarca</t>
  </si>
  <si>
    <t>Alquiler inmueble - Adm Catamarca</t>
  </si>
  <si>
    <t>Gastos de limpieza - Adm Catamarca</t>
  </si>
  <si>
    <t>Honorarios legales  Adm Catamarca</t>
  </si>
  <si>
    <t>Movilidad y Viáticos Adm Catamarca</t>
  </si>
  <si>
    <t>Remediación Ambiental Adm General</t>
  </si>
  <si>
    <t>Libreria y papeleria Adm catamarca</t>
  </si>
  <si>
    <t>Canon Minero - Adm Catamarca</t>
  </si>
  <si>
    <t xml:space="preserve"> Gastos de vehiculos Adm Catamarca</t>
  </si>
  <si>
    <t xml:space="preserve"> Gs Computación - Adm Catamarca</t>
  </si>
  <si>
    <t>Alojamiento Adm gral Catamarca</t>
  </si>
  <si>
    <t>Servicio de Internet Adm Catamarca</t>
  </si>
  <si>
    <t>Encomienda Adm Catamarca</t>
  </si>
  <si>
    <t>Alquileres varios - Adm Catamarca</t>
  </si>
  <si>
    <t>Mantenimiento Adm. Gral Catamarca</t>
  </si>
  <si>
    <t>Combustible Adm. Gral Catamarca</t>
  </si>
  <si>
    <t>Indumentaria de Trabajo Adm. Catamarca</t>
  </si>
  <si>
    <t>Tasa Municipal Adm Catamarca</t>
  </si>
  <si>
    <t>Servicio de Internet Adm Catamarca.USD</t>
  </si>
  <si>
    <t>Intereses - Adm. Catamarca</t>
  </si>
  <si>
    <t>Imp. Bienes, Acc. y Part. Soc. – Adm. General</t>
  </si>
  <si>
    <t>Intereses resarcitorios Adm Gral Catamarca</t>
  </si>
  <si>
    <t>GASTOS CAMPO</t>
  </si>
  <si>
    <t>REFRIGERIOS GST. CAMPO</t>
  </si>
  <si>
    <t>MOVILIDAD Y VIATICOS GST. CAMPO</t>
  </si>
  <si>
    <t>EXPENSAS DEPTO GEOLOGOS GST CAMPO</t>
  </si>
  <si>
    <t>SERVICIOS PUBLICOS GST. CAMPO</t>
  </si>
  <si>
    <t>Servicio de Internet USD</t>
  </si>
  <si>
    <t>ALQUILER COCHERAS GST. CAMPO</t>
  </si>
  <si>
    <t>GST CAMPAMENTO GST CAMPO</t>
  </si>
  <si>
    <t>GST VARIOS OFICINA GST CAMPO</t>
  </si>
  <si>
    <t>COMBUSTIBLE GST CAMPO</t>
  </si>
  <si>
    <t>SERVICIOS INFORMATICOS GST. CAMPO</t>
  </si>
  <si>
    <t>ALQUILER INMUEBLE GST CAMPO</t>
  </si>
  <si>
    <t>MENSAJERIA GST CAMPO</t>
  </si>
  <si>
    <t>GASTOS DE LIMPIEZA Gs CAMPO</t>
  </si>
  <si>
    <t>GST DE VEHICULOS GST. CAMPO</t>
  </si>
  <si>
    <t>GST. MANTENIMIENTO GST CAMPO</t>
  </si>
  <si>
    <t>ALOJAMIENTO GST. CAMPO</t>
  </si>
  <si>
    <t>GST VARIOS CAMPO GST. CAMPO</t>
  </si>
  <si>
    <t>GST EN PERSONAL GST. CAMPO</t>
  </si>
  <si>
    <t>CONVENIO DE ACCESO GST CAMPO</t>
  </si>
  <si>
    <t>ALQUILERES VARIOS GST CAMPO</t>
  </si>
  <si>
    <t xml:space="preserve"> CANON GST CAMPO</t>
  </si>
  <si>
    <t>CATASTRO MINERO GS CAMPO</t>
  </si>
  <si>
    <t xml:space="preserve"> INSUMOS DE CAMPO GST CAMPO</t>
  </si>
  <si>
    <t>Gastos de licitación Gst Campo</t>
  </si>
  <si>
    <t>SELLADOS GST CAMPO</t>
  </si>
  <si>
    <t>SERV. DE DIGITALIZACIÓN GST CAMPO</t>
  </si>
  <si>
    <t>HONORARIOS PROFESIONALES GST CAMPO</t>
  </si>
  <si>
    <t>GS FERRETERÍA GST CAMPO</t>
  </si>
  <si>
    <t>TRASLADOS GS CAMPO</t>
  </si>
  <si>
    <t>LIBRERÍA Y PAPELERÍA GST CAMPO</t>
  </si>
  <si>
    <t>GS Y COMISIONES BANCARIAS GS CAMPO</t>
  </si>
  <si>
    <t>ADQUISICION INF GEOLOGICA GS. CAMPO</t>
  </si>
  <si>
    <t>REMEDIACION AMBIENTAL GS CAMPO</t>
  </si>
  <si>
    <t>TASAS AMBIENTALES GS CAMPO</t>
  </si>
  <si>
    <t>ALQUILER DE VEHICULOS GS DE CAMPO</t>
  </si>
  <si>
    <t>GASTOS COMPUTACION GS CAMPO</t>
  </si>
  <si>
    <t>IMPUESTO VARIOS GS CAMPO</t>
  </si>
  <si>
    <t xml:space="preserve"> SEGUROS GS CAMPO</t>
  </si>
  <si>
    <t>ANÁLISIS GEOQUIMICOS - GTOS LABORATORIO GS CAMPO</t>
  </si>
  <si>
    <t>SERV. SEGURIDAD E INVESTIGACIÓN GS CAMPO</t>
  </si>
  <si>
    <t>MATERIALES DE CAMPO GST CAMPO</t>
  </si>
  <si>
    <t>ALQUILER EQUIPOS GST CAMPO</t>
  </si>
  <si>
    <t>GST DE CAPACITACIÓN GST CAMPO</t>
  </si>
  <si>
    <t>GASTOS EXPLORACIÓN GST.CAMPO</t>
  </si>
  <si>
    <t>PATENTES GST. CAMPO</t>
  </si>
  <si>
    <t xml:space="preserve"> Expensas Gs Campo</t>
  </si>
  <si>
    <t>INDUMENTARIA DE TRABAJO GS CAMPO</t>
  </si>
  <si>
    <t>INTERESES GST CAMPO</t>
  </si>
  <si>
    <t>INFORMES AMBIENTALES GST CAMPO</t>
  </si>
  <si>
    <t>TASAS RETRIBUTIVAS MINERÍA GST CAMPO</t>
  </si>
  <si>
    <t>VACACIONES GST CAMPO</t>
  </si>
  <si>
    <t>ANÁLISIS MUESTRAS GS CAMPO</t>
  </si>
  <si>
    <t>Encomienda Gs Campo</t>
  </si>
  <si>
    <t>Donaciones Gs de Campo</t>
  </si>
  <si>
    <t>Obra social Adicional Gst de campo</t>
  </si>
  <si>
    <t>Cuota Societaria Gs de Campo</t>
  </si>
  <si>
    <t xml:space="preserve">Impuesto Pais - Gs Campo </t>
  </si>
  <si>
    <t>Impuestos no computables - Gs de campo</t>
  </si>
  <si>
    <t>Movilidad y viáticos Adm.</t>
  </si>
  <si>
    <t>Refrigerios Gs campo Catamarca</t>
  </si>
  <si>
    <t>Alojamiento Gs de campo Catamarca</t>
  </si>
  <si>
    <t>Gtos en personal Gs. de campo Catamarca</t>
  </si>
  <si>
    <t>Combustible Gs de campo Catamarca</t>
  </si>
  <si>
    <t>Alquiler Inmueble Gs. de campo Catamarca</t>
  </si>
  <si>
    <t>Gastos Varios Gs de Campo Catamarca</t>
  </si>
  <si>
    <t>Comunicaciones Gs Campo Catamarca</t>
  </si>
  <si>
    <t>Servicio de transporte Gs Campo Catamarca</t>
  </si>
  <si>
    <t>Gs de Campamento Gs de Campo Catamarca</t>
  </si>
  <si>
    <t>Indumentaria de Trabajo Gastos de campo Catamarca</t>
  </si>
  <si>
    <t>Libreria y Papeleria Gs Campo Catamarca</t>
  </si>
  <si>
    <t>Gs Varios Oficina Gs Campo Catamarca</t>
  </si>
  <si>
    <t>Monitoreo de suelos y aguas - Gs de Campo Cat.</t>
  </si>
  <si>
    <t>Gasto de representación Gs. Campo</t>
  </si>
  <si>
    <t>Gastos de limpieza Gts campo Catam</t>
  </si>
  <si>
    <t>Servicios de construccion Gs de Campo Catam.</t>
  </si>
  <si>
    <t>Honorarios Profesionales Gs Campo Catamarca</t>
  </si>
  <si>
    <t>Adquisición de Inform. Geologica Gs de campo Cat</t>
  </si>
  <si>
    <t>Seguridad Gs Campo Catamarca</t>
  </si>
  <si>
    <t>Movilidad y viáticos Gs Campo Catamarca</t>
  </si>
  <si>
    <t>Adquisición de inform. Geofísica Gs Campo Cat</t>
  </si>
  <si>
    <t>Informes Ambientales Gs Campo Cat</t>
  </si>
  <si>
    <t>Servicio de Topografia Gs Campo Catamarca</t>
  </si>
  <si>
    <t>Mensajeria Gs Campo Catamarca</t>
  </si>
  <si>
    <t>Gastos vehiculos Gs Campo Catamarca</t>
  </si>
  <si>
    <t>Gst de Vehículos Gst de Campo USD</t>
  </si>
  <si>
    <t>Servicios de Cartografia Gs de campo Catamarca</t>
  </si>
  <si>
    <t>Insumos para muestras Gs Campo Catamarca</t>
  </si>
  <si>
    <t>Análisis de muestras Gs de Campo Catamarca</t>
  </si>
  <si>
    <t>Impuestos no computables Gs Campo Catamarca</t>
  </si>
  <si>
    <t>Alquiler de vehiculos - Gs Campo Catamarca</t>
  </si>
  <si>
    <t>Capacitaciones Gs Campo Catamarca</t>
  </si>
  <si>
    <t>Alquiler Maquinaria Gs Campo Catamarca</t>
  </si>
  <si>
    <t>Gst de Mantenimiento Gst Campo Catamarca</t>
  </si>
  <si>
    <t>Informes de evaluación económica Gs Campo</t>
  </si>
  <si>
    <t>Ferretería Gs Campo Catamarca</t>
  </si>
  <si>
    <t>Donaciones Gs de Campo Catamarca</t>
  </si>
  <si>
    <t>Servicios publicos Gs. Campo Catamarca</t>
  </si>
  <si>
    <t xml:space="preserve"> Recupero de Seguros</t>
  </si>
  <si>
    <t>Patentes Gasto Campo Catamarca</t>
  </si>
  <si>
    <t>Intereses Gs Campo Catamarca</t>
  </si>
  <si>
    <t>Adquisición de inform. Geofísica Gs Campo</t>
  </si>
  <si>
    <t>Comunicaciones Gastos de campo USD</t>
  </si>
  <si>
    <t>Servicio de Topografía Gs de Campo</t>
  </si>
  <si>
    <t>Tasas Municipales Gs Campo</t>
  </si>
  <si>
    <t>RELACIONES COMUNITARIAS</t>
  </si>
  <si>
    <t>MOVILIDAD Y VIATICOS REL. COMUNITARIAS</t>
  </si>
  <si>
    <t>REFRIGERIOS REL. COMUNITARIAS</t>
  </si>
  <si>
    <t xml:space="preserve">GASTOS DE LIMPIEZA REL. COMUNITARIAS </t>
  </si>
  <si>
    <t>ALQUILER VEHICULOS REL. COMUNITARIAS</t>
  </si>
  <si>
    <t>GASTOS Y COMISIONES BANCARIAS REL. COMUNITARIAS</t>
  </si>
  <si>
    <t>COMBUSTIBLE REL. COMUNITARIAS</t>
  </si>
  <si>
    <t>GST. FERRETERIA REL. COMUNITARIAS</t>
  </si>
  <si>
    <t>CONVENIO DE ACCESO REL. COMUNITARIAS</t>
  </si>
  <si>
    <t xml:space="preserve">ALQUILERES VARIOS REL. COMUNITARIAS </t>
  </si>
  <si>
    <t>ALOJAMIENTO REL.COMUNITARIAS</t>
  </si>
  <si>
    <t>GASTOS EN PERSONAL REL. COMUNITARIAS</t>
  </si>
  <si>
    <t>PATENTES REL. COMUNITARIAS</t>
  </si>
  <si>
    <t>Comunicaciones Rel. Comunitarias</t>
  </si>
  <si>
    <t>Gastos de vehiculos  Rel. Comunitarias</t>
  </si>
  <si>
    <t>Gastos Varios Rel. Comunitarias</t>
  </si>
  <si>
    <t>Alojamiento Rel. Comunitarias Catamarca</t>
  </si>
  <si>
    <t>Movilidad y viáticos Rel. Comunitarias Catamarca</t>
  </si>
  <si>
    <t>Servicios movimiento de suelos -Rel.Comunit. Catamarca</t>
  </si>
  <si>
    <t>Refrigerios Rel. comunitarias Catamarca</t>
  </si>
  <si>
    <t>Gastos Varios Rel. Comunitarias Catamarca</t>
  </si>
  <si>
    <t>Gs Computación - Rel. Comunitarias Catamarca</t>
  </si>
  <si>
    <t>Libreria - Rel. Comunitarias Catamarca</t>
  </si>
  <si>
    <t>Gs. en Personal Rel. Comunitarias Catamarca</t>
  </si>
  <si>
    <t>Gastos en calefacción Rel. Comunitarias</t>
  </si>
  <si>
    <t>Libreria y papeleria  Rel. Comunitarias</t>
  </si>
  <si>
    <t>Gs representación Rel. comunitarias</t>
  </si>
  <si>
    <t>Alquiler maquinaria limpieza Rel. Comun. Catamarca</t>
  </si>
  <si>
    <t>Materiales de construccion Rel. Comunit. Catam</t>
  </si>
  <si>
    <t>Servicios de construccion Rel. Comunit. Catamarca</t>
  </si>
  <si>
    <t>Honorarios Profesionales - Rel. Comunitarias</t>
  </si>
  <si>
    <t xml:space="preserve">Gastos de oficina - Relaciones Comun. </t>
  </si>
  <si>
    <t xml:space="preserve"> Comunicaciones Rel. comunitarias Catamarca</t>
  </si>
  <si>
    <t>Alquiler Inmueble Rel. Comun. Catamarca</t>
  </si>
  <si>
    <t>Servicio Notarial Rel Comunitaria Catamarca</t>
  </si>
  <si>
    <t>Honorarios profesionales Rel Comunitaria Catamarca</t>
  </si>
  <si>
    <t>Gst Vehículos Rel. comunitarias Catamarca</t>
  </si>
  <si>
    <t>Donaciones Rel. comunitarias Catamarca</t>
  </si>
  <si>
    <t>Encomienda Rel. Com. Catamarca</t>
  </si>
  <si>
    <t>Combustibles Rel. Comunitarias Catamarca</t>
  </si>
  <si>
    <t>Impuestos no computables Rel. Comunitarias</t>
  </si>
  <si>
    <t>Impuestos no computables Rel. Comunitarias Catamarca</t>
  </si>
  <si>
    <t>Gastos y comisiones bancarias Rel. comunitarias Catamarca</t>
  </si>
  <si>
    <t xml:space="preserve">MUESTREO GEOFISICO SUPERF. </t>
  </si>
  <si>
    <t>GASTOS VARIOS CAMPO MUESTREO GEOF. SUP</t>
  </si>
  <si>
    <t xml:space="preserve">MENSJAERIA MUESTREO GEOF. SUP. </t>
  </si>
  <si>
    <t>Análisis de Muestras Muestreo Geof. Sup.</t>
  </si>
  <si>
    <t>Mensajeria Muestreo Geof. Sup. Catamarca</t>
  </si>
  <si>
    <t>PERFORACIÓN</t>
  </si>
  <si>
    <t>LIBRERÍA Y PAPELERÍA E. PERFORACIÓN</t>
  </si>
  <si>
    <t>GASTOS EN PERSONAL E. PERFORACIÓN</t>
  </si>
  <si>
    <t>SERVICIO DE PERFORACIÓN E. PERFORACIÓN</t>
  </si>
  <si>
    <t>COMUNICACIONES E. PERFORACIÓN</t>
  </si>
  <si>
    <t>REFRIGERIOS E. PERFORCIÓN</t>
  </si>
  <si>
    <t>COMBUSTIBLE E PERFORACION</t>
  </si>
  <si>
    <t>SEGUROS E PERFORACIÒN</t>
  </si>
  <si>
    <t>Alquiler varios - E. Perforacion</t>
  </si>
  <si>
    <t xml:space="preserve">Movilidad y Viáticos E Perforacion </t>
  </si>
  <si>
    <t xml:space="preserve">Alojamiento E- Perforacion </t>
  </si>
  <si>
    <t>Gastos Campamento - E. Perforacion</t>
  </si>
  <si>
    <t>Ferreteria - E. Perforacion</t>
  </si>
  <si>
    <t>Remediación Ambiental E. Perforacion</t>
  </si>
  <si>
    <t>Encomiendas - E. Perforacion</t>
  </si>
  <si>
    <t>Análisis Geoquimicos - E. Perforación</t>
  </si>
  <si>
    <t>Gastos de Seguridad - E. Perforación</t>
  </si>
  <si>
    <t>Indumentaria de Trabajo - E. Perforacion</t>
  </si>
  <si>
    <t>Análisis Muestras de agua- E. Perforación.</t>
  </si>
  <si>
    <t>Gastos de vehiculos - E. Perforacion</t>
  </si>
  <si>
    <t xml:space="preserve">Tasa ambiental -E. Perforacion </t>
  </si>
  <si>
    <t xml:space="preserve">Análisis de Muestras - E. Perforacion </t>
  </si>
  <si>
    <t xml:space="preserve">Servicio de Transporte de muestras E. Perforacion </t>
  </si>
  <si>
    <t xml:space="preserve">Donación E. Perforacion </t>
  </si>
  <si>
    <t>VIGENCIA Y PENALIDADES</t>
  </si>
  <si>
    <t>Publicaciones -  Vigencia y Penalidades</t>
  </si>
  <si>
    <t>Tasas Retributivas Minería – Vigencia y Penalidades</t>
  </si>
  <si>
    <t>Publicaciones -  Vigencia y Penalidades Catamarca</t>
  </si>
  <si>
    <t>Canon Minero - Vigencia y Penalidades</t>
  </si>
  <si>
    <t>Gastos de Vehiculos - Vigencia y Penalidades</t>
  </si>
  <si>
    <t>Uso eventual de agua en proyectos - Vigencia y penalidades</t>
  </si>
  <si>
    <t>Tasas Ambientales – Vigencia y Penalidades</t>
  </si>
  <si>
    <t>Honorarios profesionales Vigencia y Penalidades</t>
  </si>
  <si>
    <t xml:space="preserve">ANALISIS QUIMICO DE PERF. </t>
  </si>
  <si>
    <t>Libreria y Papeleria-F Analisis Quimico Perf. Catamarca</t>
  </si>
  <si>
    <t>Análisis Muestras - F Analisis Quimicos de Perf.</t>
  </si>
  <si>
    <t>Análisis Muestras- F Analisis Quimicos de Perf Catamarca</t>
  </si>
  <si>
    <t>Saldo Hoja2</t>
  </si>
  <si>
    <t>Dif</t>
  </si>
  <si>
    <t>SOUTHERN COPPER CORPORATION - AGENCIA EN ARGENTINA</t>
  </si>
  <si>
    <t>JUNIO 2026</t>
  </si>
  <si>
    <t>DOLARES</t>
  </si>
  <si>
    <t>DISTRIBUCION DE GASTOS DEL PERIODO POR PROYECTO Y NATURALEZA DE GASTO</t>
  </si>
  <si>
    <t>DESCRIPCION</t>
  </si>
  <si>
    <t xml:space="preserve">       MOVIMIENTO MES</t>
  </si>
  <si>
    <t>OFICINA</t>
  </si>
  <si>
    <t xml:space="preserve">EXPLORACIÓN </t>
  </si>
  <si>
    <t>TANQUE</t>
  </si>
  <si>
    <t>CERRO</t>
  </si>
  <si>
    <t>CENTRO</t>
  </si>
  <si>
    <t>LOS</t>
  </si>
  <si>
    <t>CAÑADON</t>
  </si>
  <si>
    <t>LONCO VACA</t>
  </si>
  <si>
    <t xml:space="preserve">GASTOS </t>
  </si>
  <si>
    <t>PROYECTO</t>
  </si>
  <si>
    <t>CATAMARCA</t>
  </si>
  <si>
    <t>TOTAL</t>
  </si>
  <si>
    <t xml:space="preserve">TOTAL </t>
  </si>
  <si>
    <t>CHILE</t>
  </si>
  <si>
    <t>ELLIPSE</t>
  </si>
  <si>
    <t>DR</t>
  </si>
  <si>
    <t>CR</t>
  </si>
  <si>
    <t>GENERAL</t>
  </si>
  <si>
    <t>REGIONAL</t>
  </si>
  <si>
    <t>NEGRO</t>
  </si>
  <si>
    <t>LA MINA</t>
  </si>
  <si>
    <t>ABANICO</t>
  </si>
  <si>
    <t>ESPERANZA</t>
  </si>
  <si>
    <t>MORTERITOS</t>
  </si>
  <si>
    <t>MENUCOS</t>
  </si>
  <si>
    <t>DEL MORO</t>
  </si>
  <si>
    <t>PELENQUE</t>
  </si>
  <si>
    <t>GENERALES</t>
  </si>
  <si>
    <t>LAS SANTAS I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</si>
  <si>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</si>
  <si>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</si>
  <si>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</si>
  <si>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</si>
  <si>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</si>
  <si>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</si>
  <si>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</si>
  <si>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</si>
  <si>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</si>
  <si>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</si>
  <si>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</si>
  <si>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</si>
  <si>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AÑO</t>
  </si>
  <si>
    <t>30-100-01</t>
  </si>
  <si>
    <t>PATENTES</t>
  </si>
  <si>
    <t>30-100-02</t>
  </si>
  <si>
    <t>GASTOS COMPUTACIÓN</t>
  </si>
  <si>
    <t>30-100-04</t>
  </si>
  <si>
    <t>GASTOS COMUNICACIONES</t>
  </si>
  <si>
    <t>30-100-05</t>
  </si>
  <si>
    <t>GASTOS EXPLORACION</t>
  </si>
  <si>
    <t>30-100-06</t>
  </si>
  <si>
    <t>REPARAC.Y MANTENC.</t>
  </si>
  <si>
    <t>30-100-07</t>
  </si>
  <si>
    <t>HONORARIOS LEGALES</t>
  </si>
  <si>
    <t>30-100-08</t>
  </si>
  <si>
    <t>GASTOS EN TRÁMITES</t>
  </si>
  <si>
    <t>30-100-09</t>
  </si>
  <si>
    <t>GASTOS DE CAPACITACION</t>
  </si>
  <si>
    <t>FOTOCOPIAS</t>
  </si>
  <si>
    <t>30-100-12</t>
  </si>
  <si>
    <t>LIBRERIA Y PAPELERIA</t>
  </si>
  <si>
    <t>30-100-13</t>
  </si>
  <si>
    <t>COMBUSTIBLE</t>
  </si>
  <si>
    <t>30-100-15</t>
  </si>
  <si>
    <t>ALQUILERES VEHÍCULOS</t>
  </si>
  <si>
    <t>30-100-16</t>
  </si>
  <si>
    <t xml:space="preserve">GASTOS VARIOS </t>
  </si>
  <si>
    <t>GS. LIMPIEZA</t>
  </si>
  <si>
    <t>TASAS RETRIBUTIVA MINERÌA</t>
  </si>
  <si>
    <t>30-100-17</t>
  </si>
  <si>
    <t>GASTOS VEHICULOS</t>
  </si>
  <si>
    <t>30-100-18</t>
  </si>
  <si>
    <t>ELECTRICIDAD, GAS Y AGUA</t>
  </si>
  <si>
    <t>30-100-19</t>
  </si>
  <si>
    <t>MOVILIDAD Y VIÁTICOS</t>
  </si>
  <si>
    <t>30-100-25</t>
  </si>
  <si>
    <t>TRASLADOS</t>
  </si>
  <si>
    <t>30-100-35</t>
  </si>
  <si>
    <t>GASTOS PROPIEDAD MINERA</t>
  </si>
  <si>
    <t>30-100-40</t>
  </si>
  <si>
    <t>SEGURIDAD, SALUD Y MEDIO AMBIENTE</t>
  </si>
  <si>
    <t>FERRETERÍA</t>
  </si>
  <si>
    <t>ALQUILER DE MAQUINARIA</t>
  </si>
  <si>
    <t>CATERING</t>
  </si>
  <si>
    <t>30-120-01</t>
  </si>
  <si>
    <t>INDUMENTARIA</t>
  </si>
  <si>
    <t>30-120-02</t>
  </si>
  <si>
    <t>SEGURO DE VEHICULOS</t>
  </si>
  <si>
    <t>30-150-10</t>
  </si>
  <si>
    <t>SUELDOS OFICINA</t>
  </si>
  <si>
    <t>30-150-30</t>
  </si>
  <si>
    <t>SUELDOS CAMPO</t>
  </si>
  <si>
    <t>30-150-50</t>
  </si>
  <si>
    <t>CARGAS SOCIALES OFICINA</t>
  </si>
  <si>
    <t>30-150-60</t>
  </si>
  <si>
    <t>30-150-75</t>
  </si>
  <si>
    <t>SEGUROS</t>
  </si>
  <si>
    <t>30-180-01</t>
  </si>
  <si>
    <t>GASTOS CONTRATACIÓN PERSONAL</t>
  </si>
  <si>
    <t>30-180-02</t>
  </si>
  <si>
    <t>HONORARIOS PROFESIONALES</t>
  </si>
  <si>
    <t>30-180-03</t>
  </si>
  <si>
    <t>HONORARIOS CAPACITACION</t>
  </si>
  <si>
    <t>30-180-04</t>
  </si>
  <si>
    <t>GASTOS Y COMISIONES BANCARIAS</t>
  </si>
  <si>
    <t>30-180-05</t>
  </si>
  <si>
    <t>GASTOS EN CONSTRUCCIÓN</t>
  </si>
  <si>
    <t>30-200-20</t>
  </si>
  <si>
    <t xml:space="preserve">MANTENIMIENTO SOFTWARE </t>
  </si>
  <si>
    <t>30-200-30</t>
  </si>
  <si>
    <t>COMISIONES, INTERESES, MULTAS</t>
  </si>
  <si>
    <t>30-300-10</t>
  </si>
  <si>
    <t>DEPRECIACION</t>
  </si>
  <si>
    <t>GRATIFICACIONES</t>
  </si>
  <si>
    <t>INSPECCIONES</t>
  </si>
  <si>
    <t>DONACIONES</t>
  </si>
  <si>
    <t>30-500-10</t>
  </si>
  <si>
    <t>ALOJAMIENTO</t>
  </si>
  <si>
    <t>30-500-20</t>
  </si>
  <si>
    <t>REFRIGERIOS</t>
  </si>
  <si>
    <t>30-500-30</t>
  </si>
  <si>
    <t>IMPUESTOS VARIOS</t>
  </si>
  <si>
    <t>30-500-40</t>
  </si>
  <si>
    <t>ALQUILERES INMUEBLES</t>
  </si>
  <si>
    <t>ALQUILERES VARIOS</t>
  </si>
  <si>
    <t>30-700-40</t>
  </si>
  <si>
    <t>GS SUSCRIPCIÓN EDITORIAL</t>
  </si>
  <si>
    <t>30-700-50</t>
  </si>
  <si>
    <t>GASTOS DE MUESTREOS</t>
  </si>
  <si>
    <t>30-700-55</t>
  </si>
  <si>
    <t>EVENTOS</t>
  </si>
  <si>
    <t>30-700-60</t>
  </si>
  <si>
    <t>INSUMOS Y GASTOS GEOLOGICOS</t>
  </si>
  <si>
    <t>30-700-70</t>
  </si>
  <si>
    <t>PLOTEOS</t>
  </si>
  <si>
    <t>30-700-75</t>
  </si>
  <si>
    <t>PERMISOS CATEO</t>
  </si>
  <si>
    <t>TASAS</t>
  </si>
  <si>
    <t>30-700-80</t>
  </si>
  <si>
    <t>DERECHOS DE EXPLORACIÓN</t>
  </si>
  <si>
    <t>30-700-85</t>
  </si>
  <si>
    <t>GASTOS CAMPAMENTO</t>
  </si>
  <si>
    <t>CANON</t>
  </si>
  <si>
    <t>ARANCELES ADUANEROS</t>
  </si>
  <si>
    <t>ALQUILERES DE EQUIPOS DE CAMPO</t>
  </si>
  <si>
    <t>CERTIFICACIONES</t>
  </si>
  <si>
    <t>BAJA BIEN DE USO</t>
  </si>
  <si>
    <t>GASTOS MÉDICOS</t>
  </si>
  <si>
    <t>MATRÍCULAS</t>
  </si>
  <si>
    <t>MATERIALES DE CAMPO</t>
  </si>
  <si>
    <t>30-700-90</t>
  </si>
  <si>
    <t>PUBLICACIONES</t>
  </si>
  <si>
    <t>CONVENIO DE CESIÓN</t>
  </si>
  <si>
    <t xml:space="preserve">HABILITACION COMERCIAL </t>
  </si>
  <si>
    <t>REGALOS AL PERSONAL</t>
  </si>
  <si>
    <t>OBRA SOCIAL</t>
  </si>
  <si>
    <t>PERDIDA DE MATERIALES</t>
  </si>
  <si>
    <t>ACUERDO DE INVERSIONES</t>
  </si>
  <si>
    <t>CONSUMOS NO REEMBOLSABLES</t>
  </si>
  <si>
    <t>RECUPERO DE GASTOS</t>
  </si>
  <si>
    <t>GASTOS TOPOGRÀFICOS</t>
  </si>
  <si>
    <t>GASTOS DE REPRESENTACIÓN</t>
  </si>
  <si>
    <t>RECUPERO DE SEGUROS</t>
  </si>
  <si>
    <t>SERVICIOS DE INVESTIGACION</t>
  </si>
  <si>
    <t>GASTOS LEGALES</t>
  </si>
  <si>
    <t>VACACIONES</t>
  </si>
  <si>
    <t xml:space="preserve">MENSAJERIA </t>
  </si>
  <si>
    <t>CATASTRO MINERO</t>
  </si>
  <si>
    <t>ADQUISICIÓN DE INFORM. GEOFÍSICA</t>
  </si>
  <si>
    <t>INFORMES DE EVALUACIÓN ECONÓMICA</t>
  </si>
  <si>
    <t>TOTAL GASTOS</t>
  </si>
  <si>
    <t>Control saldo planilla</t>
  </si>
  <si>
    <t>Saldo SyS</t>
  </si>
  <si>
    <t>Verificación</t>
  </si>
  <si>
    <t>Cuenta - Denominación</t>
  </si>
  <si>
    <t>Clave (CC_Cuenta)</t>
  </si>
  <si>
    <t>Debe (u$s)</t>
  </si>
  <si>
    <t>Haber (u$s)</t>
  </si>
  <si>
    <t>Saldo (u$s)</t>
  </si>
  <si>
    <t>1 - Oficina General</t>
  </si>
  <si>
    <t>421030000 - IVA crédito fiscal no computable</t>
  </si>
  <si>
    <t>1_421030000</t>
  </si>
  <si>
    <t>421050000 - Sueldos Adm.</t>
  </si>
  <si>
    <t>1_421050000</t>
  </si>
  <si>
    <t>421060000 - Cargas sociales Adm.</t>
  </si>
  <si>
    <t>1_421060000</t>
  </si>
  <si>
    <t>424500000 - Cargas sociales Campo</t>
  </si>
  <si>
    <t>1_424500000</t>
  </si>
  <si>
    <t>425110000 - Refrigerios Adm Gral.</t>
  </si>
  <si>
    <t>1_425110000</t>
  </si>
  <si>
    <t>425170000 - Mensajeria Adm. Gral.</t>
  </si>
  <si>
    <t>1_425170000</t>
  </si>
  <si>
    <t>425180000 - Comunicaciones Adm. Gral</t>
  </si>
  <si>
    <t>1_425180000</t>
  </si>
  <si>
    <t>425190000 - Honorarios Profesionales Adm. Gral.</t>
  </si>
  <si>
    <t>1_425190000</t>
  </si>
  <si>
    <t>425220000 - Gastos y Comisiones Bancarias Adm. Gral</t>
  </si>
  <si>
    <t>1_425220000</t>
  </si>
  <si>
    <t>425230000 - Imp. a los Débitos y Créditos Bancarios Ad. Gral.</t>
  </si>
  <si>
    <t>1_425230000</t>
  </si>
  <si>
    <t>425250000 - Amortizaciones Adm. Gral.</t>
  </si>
  <si>
    <t>1_425250000</t>
  </si>
  <si>
    <t>425300000 - Gst Varios Oficina Adm. Gral.</t>
  </si>
  <si>
    <t>1_425300000</t>
  </si>
  <si>
    <t>425310000 - Vacaciones Adm Gral.</t>
  </si>
  <si>
    <t>1_425310000</t>
  </si>
  <si>
    <t>425810000 - Tasa Municipal Adm. Gral.</t>
  </si>
  <si>
    <t>1_425810000</t>
  </si>
  <si>
    <t>426100000 - Seguros Gs Campo</t>
  </si>
  <si>
    <t>1_426100000</t>
  </si>
  <si>
    <t>426110000 - Refrigerios Gs Campo</t>
  </si>
  <si>
    <t>1_426110000</t>
  </si>
  <si>
    <t>426240000 - Gst de Vehículos Gst de Campo</t>
  </si>
  <si>
    <t>1_426240000</t>
  </si>
  <si>
    <t>426360000 - Vacaciones Gs Campo</t>
  </si>
  <si>
    <t>1_426360000</t>
  </si>
  <si>
    <t>433030000 - Honorarios Profesionales Adm. Gral. USD</t>
  </si>
  <si>
    <t>1_433030000</t>
  </si>
  <si>
    <t>433110000 - Gastos bancarios Adm general (u$s)</t>
  </si>
  <si>
    <t>1_433110000</t>
  </si>
  <si>
    <t>424250000 - Comunicaciones</t>
  </si>
  <si>
    <t>1_424250000</t>
  </si>
  <si>
    <t>2 - Exploración Regional</t>
  </si>
  <si>
    <t>421070000 - Movilidad y viáticos Adm.</t>
  </si>
  <si>
    <t>2_421070000</t>
  </si>
  <si>
    <t>424220000 - Comida</t>
  </si>
  <si>
    <t>2_424220000</t>
  </si>
  <si>
    <t>2_425110000</t>
  </si>
  <si>
    <t>425120000 - Movilidad y Viáticos Adm. Gral.</t>
  </si>
  <si>
    <t>2_425120000</t>
  </si>
  <si>
    <t>425150000 - Alquiler Inmueble Adm. Gral.</t>
  </si>
  <si>
    <t>2_425150000</t>
  </si>
  <si>
    <t>2_425180000</t>
  </si>
  <si>
    <t>425200000 - Combustible Adm Gral.</t>
  </si>
  <si>
    <t>2_425200000</t>
  </si>
  <si>
    <t>2_425300000</t>
  </si>
  <si>
    <t>425400000 - Servicios Informáticos Adm. Gral.</t>
  </si>
  <si>
    <t>2_425400000</t>
  </si>
  <si>
    <t>425500000 - Servicios Públicos Adm. Gral.</t>
  </si>
  <si>
    <t>2_425500000</t>
  </si>
  <si>
    <t>425600000 - Gst Mantenimiento Adm. Gral.</t>
  </si>
  <si>
    <t>2_425600000</t>
  </si>
  <si>
    <t>425700000 - Alojamiento Adm. Gral.</t>
  </si>
  <si>
    <t>2_425700000</t>
  </si>
  <si>
    <t>2_425810000</t>
  </si>
  <si>
    <t>425920000 - Libreria y papeleria Adm Gral.</t>
  </si>
  <si>
    <t>2_425920000</t>
  </si>
  <si>
    <t>425970000 - Gs Limpieza Adm Gral.</t>
  </si>
  <si>
    <t>2_425970000</t>
  </si>
  <si>
    <t>2_426110000</t>
  </si>
  <si>
    <t>426120000 - Movilidad y Viaticos Gs Campo</t>
  </si>
  <si>
    <t>2_426120000</t>
  </si>
  <si>
    <t>426130000 - Gastos de Limpieza Gs Campo</t>
  </si>
  <si>
    <t>2_426130000</t>
  </si>
  <si>
    <t>426150000 - Servicios Públicos Gs Campo</t>
  </si>
  <si>
    <t>2_426150000</t>
  </si>
  <si>
    <t>426160000 - Comunicaciones Gst Campo</t>
  </si>
  <si>
    <t>2_426160000</t>
  </si>
  <si>
    <t>426190000 - Gst Varios Oficina Gst Campo</t>
  </si>
  <si>
    <t>2_426190000</t>
  </si>
  <si>
    <t>426210000 - Servicios Infórmaticos Gst. Campo</t>
  </si>
  <si>
    <t>2_426210000</t>
  </si>
  <si>
    <t>426220000 - Alquiler Inmueble Gst Campo</t>
  </si>
  <si>
    <t>2_426220000</t>
  </si>
  <si>
    <t>2_426240000</t>
  </si>
  <si>
    <t>426260000 - Alojamiento Gst de Campo</t>
  </si>
  <si>
    <t>2_426260000</t>
  </si>
  <si>
    <t>426280000 - Gst en Personal Gst Campo</t>
  </si>
  <si>
    <t>2_426280000</t>
  </si>
  <si>
    <t>426380000 - Gastos de licitación Gst Campo</t>
  </si>
  <si>
    <t>2_426380000</t>
  </si>
  <si>
    <t>426430000 - Serv. Digitalición Gs Campo</t>
  </si>
  <si>
    <t>2_426430000</t>
  </si>
  <si>
    <t>426470000 - Librería y Papelería Gs Campo</t>
  </si>
  <si>
    <t>2_426470000</t>
  </si>
  <si>
    <t>426500000 - Tasas Ambientales Gastos de Campo</t>
  </si>
  <si>
    <t>2_426500000</t>
  </si>
  <si>
    <t>426580000 - Servicios de construccion Gs de Campo Catam.</t>
  </si>
  <si>
    <t>2_426580000</t>
  </si>
  <si>
    <t>426600000 - Gastos Computacion Gs Campo</t>
  </si>
  <si>
    <t>2_426600000</t>
  </si>
  <si>
    <t>426630000 - Honorarios profesionales Vigencia y Penalidades</t>
  </si>
  <si>
    <t>2_426630000</t>
  </si>
  <si>
    <t>426910000 - Indumentaria de Trabajo Gs campo</t>
  </si>
  <si>
    <t>2_426910000</t>
  </si>
  <si>
    <t>426950000 - Servicio de Topografía Gs de Campo</t>
  </si>
  <si>
    <t>2_426950000</t>
  </si>
  <si>
    <t>433070000 - Gst de Vehículos Gst de Campo USD</t>
  </si>
  <si>
    <t>2_433070000</t>
  </si>
  <si>
    <t>421210000 - Canon Minero - Vigencia y Penalidades</t>
  </si>
  <si>
    <t>2_421210000</t>
  </si>
  <si>
    <t>426200000 - Combustible Gst Campo</t>
  </si>
  <si>
    <t>2_426200000</t>
  </si>
  <si>
    <t>426440000 - Honorarios Profesionales Gs Campo</t>
  </si>
  <si>
    <t>2_426440000</t>
  </si>
  <si>
    <t>426880000 - Tasas Municipales Gs Campo</t>
  </si>
  <si>
    <t>2_426880000</t>
  </si>
  <si>
    <t>433060000 - Servicio de Internet Adm Catamarca.USD</t>
  </si>
  <si>
    <t>2_433060000</t>
  </si>
  <si>
    <t>2_425220000</t>
  </si>
  <si>
    <t>2_425230000</t>
  </si>
  <si>
    <t>426270000 - Gst Varios Campo Gst Campo</t>
  </si>
  <si>
    <t>2_426270000</t>
  </si>
  <si>
    <t>426960000 - Análisis de Muestras Gs de Campo</t>
  </si>
  <si>
    <t>2_426960000</t>
  </si>
  <si>
    <t>425950000 - Seguridad Adm. Gral.</t>
  </si>
  <si>
    <t>2_425950000</t>
  </si>
  <si>
    <t>426250000 - Gst de Mantenimiento Gst Campo</t>
  </si>
  <si>
    <t>2_426250000</t>
  </si>
  <si>
    <t>426340000 - Catastro Minero Gs Campo</t>
  </si>
  <si>
    <t>2_426340000</t>
  </si>
  <si>
    <t>13 - Cerro Abanico</t>
  </si>
  <si>
    <t>13_426150000</t>
  </si>
  <si>
    <t>14 - Cerro La Mina</t>
  </si>
  <si>
    <t>14_426150000</t>
  </si>
  <si>
    <t>426800000 - Análisis Geoquimicos - Gtos Laboratorio Gs Campo</t>
  </si>
  <si>
    <t>14_426800000</t>
  </si>
  <si>
    <t>15 - Cañadon del Moro</t>
  </si>
  <si>
    <t>424400000 - Sueldos Campo</t>
  </si>
  <si>
    <t>15_424400000</t>
  </si>
  <si>
    <t>15_424500000</t>
  </si>
  <si>
    <t>15_425150000</t>
  </si>
  <si>
    <t>15_426220000</t>
  </si>
  <si>
    <t>16 - Los Menucos</t>
  </si>
  <si>
    <t>421410000 - Combustible Gs de campo Catamarca</t>
  </si>
  <si>
    <t>16_421410000</t>
  </si>
  <si>
    <t>16_425110000</t>
  </si>
  <si>
    <t>16_426110000</t>
  </si>
  <si>
    <t>16_426190000</t>
  </si>
  <si>
    <t>16_426200000</t>
  </si>
  <si>
    <t>16_426260000</t>
  </si>
  <si>
    <t>426590000 - Alquiler de vehículos Gs Campo</t>
  </si>
  <si>
    <t>16_426590000</t>
  </si>
  <si>
    <t>426970000 - Encomienda Gs Campo</t>
  </si>
  <si>
    <t>16_426970000</t>
  </si>
  <si>
    <t>16_433070000</t>
  </si>
  <si>
    <t>16_426270000</t>
  </si>
  <si>
    <t>17 - Esperanza</t>
  </si>
  <si>
    <t>421490000 - Alquiler Inmueble Gs. de campo Catamarca</t>
  </si>
  <si>
    <t>17_421490000</t>
  </si>
  <si>
    <t>17_424400000</t>
  </si>
  <si>
    <t>424460000 - Gastos de Perforación</t>
  </si>
  <si>
    <t>17_424460000</t>
  </si>
  <si>
    <t>17_424500000</t>
  </si>
  <si>
    <t>17_425110000</t>
  </si>
  <si>
    <t>17_425150000</t>
  </si>
  <si>
    <t>17_425200000</t>
  </si>
  <si>
    <t>17_425920000</t>
  </si>
  <si>
    <t>17_426110000</t>
  </si>
  <si>
    <t>17_426120000</t>
  </si>
  <si>
    <t>17_426130000</t>
  </si>
  <si>
    <t>17_426150000</t>
  </si>
  <si>
    <t>17_426160000</t>
  </si>
  <si>
    <t>17_426200000</t>
  </si>
  <si>
    <t>17_426220000</t>
  </si>
  <si>
    <t>17_426250000</t>
  </si>
  <si>
    <t>17_426260000</t>
  </si>
  <si>
    <t>17_426270000</t>
  </si>
  <si>
    <t>426350000 - Patentes Gst Campo</t>
  </si>
  <si>
    <t>17_426350000</t>
  </si>
  <si>
    <t>17_426430000</t>
  </si>
  <si>
    <t>17_426440000</t>
  </si>
  <si>
    <t>426450000 - Gs Ferretería Gs Campo</t>
  </si>
  <si>
    <t>17_426450000</t>
  </si>
  <si>
    <t>17_426470000</t>
  </si>
  <si>
    <t>426510000 - Materiales de Campo. Gst de Campo</t>
  </si>
  <si>
    <t>17_426510000</t>
  </si>
  <si>
    <t>17_426960000</t>
  </si>
  <si>
    <t>426990000 - Cuota Societaria Gs de Campo</t>
  </si>
  <si>
    <t>17_426990000</t>
  </si>
  <si>
    <t>429940000 - Análisis de Muestras - E. Perforación</t>
  </si>
  <si>
    <t>17_429940000</t>
  </si>
  <si>
    <t>17_433070000</t>
  </si>
  <si>
    <t>433090000 - Comunicaciones Gastos de campo USD</t>
  </si>
  <si>
    <t>17_433090000</t>
  </si>
  <si>
    <t>17_426190000</t>
  </si>
  <si>
    <t>17_426580000</t>
  </si>
  <si>
    <t>426900000 - Serv. Seguridad e Investigación Gs Campo</t>
  </si>
  <si>
    <t>17_426900000</t>
  </si>
  <si>
    <t>427120000 - Refrigerios Rel. comunitarias</t>
  </si>
  <si>
    <t>17_427120000</t>
  </si>
  <si>
    <t>19 - Proyecto Lonco Vaca- Palenque</t>
  </si>
  <si>
    <t>19_426800000</t>
  </si>
  <si>
    <t>23 - Gastos Generales</t>
  </si>
  <si>
    <t>23_426110000</t>
  </si>
  <si>
    <t>23_426200000</t>
  </si>
  <si>
    <t>23_426250000</t>
  </si>
  <si>
    <t>23_426260000</t>
  </si>
  <si>
    <t>23_426450000</t>
  </si>
  <si>
    <t>23_426470000</t>
  </si>
  <si>
    <t>426490000 - Remediación Ambiental Gs de Campo</t>
  </si>
  <si>
    <t>23_426490000</t>
  </si>
  <si>
    <t>23_426970000</t>
  </si>
  <si>
    <t>23_433070000</t>
  </si>
  <si>
    <t>23_425300000</t>
  </si>
  <si>
    <t>23_426120000</t>
  </si>
  <si>
    <t>23_426190000</t>
  </si>
  <si>
    <t>426520000 - Alquiler Equipos. Gst de Campo</t>
  </si>
  <si>
    <t>23_426520000</t>
  </si>
  <si>
    <t>JULIO 2026</t>
  </si>
  <si>
    <t xml:space="preserve">                                                 GASTOS CORRIENTES Y ACUMULADOS POR PROYECTOS</t>
  </si>
  <si>
    <t>ACUMULADO</t>
  </si>
  <si>
    <t>AÑO ACTUAL</t>
  </si>
  <si>
    <t>GASTOS</t>
  </si>
  <si>
    <t>AÑOS</t>
  </si>
  <si>
    <t>ENERO - JUNIO</t>
  </si>
  <si>
    <t>ACUMULADOS</t>
  </si>
  <si>
    <t>ANTERIORES</t>
  </si>
  <si>
    <t xml:space="preserve"> A LA FECHA</t>
  </si>
  <si>
    <t>Oficina General</t>
  </si>
  <si>
    <t>Exploración Regional</t>
  </si>
  <si>
    <t>Proyecto Cochico</t>
  </si>
  <si>
    <t>Proyecto Colipilli</t>
  </si>
  <si>
    <t>Proyecto Caycayen</t>
  </si>
  <si>
    <t>Proyecto Samenta</t>
  </si>
  <si>
    <t>Proyecto El Pibe</t>
  </si>
  <si>
    <t>Proyecto La Voluntad</t>
  </si>
  <si>
    <t>Cerro La mina</t>
  </si>
  <si>
    <t>Cerro Abanico</t>
  </si>
  <si>
    <t>Los Menucos</t>
  </si>
  <si>
    <t>Cañadon del Moro</t>
  </si>
  <si>
    <t>Centro Esperanza</t>
  </si>
  <si>
    <t>Proyecto Marisa I</t>
  </si>
  <si>
    <t>Proyecto Lonco- Vaca pelenque</t>
  </si>
  <si>
    <t xml:space="preserve">Proyecto Los Azules </t>
  </si>
  <si>
    <t>Rincones de Arraya</t>
  </si>
  <si>
    <t>Gastos Generales</t>
  </si>
  <si>
    <t>Tanque Negro</t>
  </si>
  <si>
    <t>Proyecto Cristal</t>
  </si>
  <si>
    <t>Gonzalito</t>
  </si>
  <si>
    <t>Catamarca</t>
  </si>
  <si>
    <t>La Hoyada</t>
  </si>
  <si>
    <t>Tres Conos</t>
  </si>
  <si>
    <t>La Chilena</t>
  </si>
  <si>
    <t>Sol</t>
  </si>
  <si>
    <t>Los Morteritos</t>
  </si>
  <si>
    <t xml:space="preserve">La Santas </t>
  </si>
  <si>
    <t>Sheyla</t>
  </si>
  <si>
    <t>Sheyla I</t>
  </si>
  <si>
    <t>Southern Copper Argentina SRL (SOU)</t>
  </si>
  <si>
    <t>EJERCICIO 2025</t>
  </si>
  <si>
    <t>Balance de Sumas y Saldos por Centro de Costos</t>
  </si>
  <si>
    <t>Centro de Costos - Descripción</t>
  </si>
  <si>
    <t>421140000 - Gastos varios oficina - Adm Catamarca</t>
  </si>
  <si>
    <t>425160000 - Cuota Societaria Minera Adm. Gral.</t>
  </si>
  <si>
    <t>15 - Cañad</t>
  </si>
  <si>
    <t>426180000 - Gst Campamento Gst Campo</t>
  </si>
  <si>
    <t>426290000 - Convenio de Acceso Gs de Campo</t>
  </si>
  <si>
    <t>427110000 - Movilidad y Viáticos Rel. comunitarias</t>
  </si>
  <si>
    <t>427160000 - Gastos y comisiones bancarias Rel. comunitarias</t>
  </si>
  <si>
    <t>427170000 - Combustible Rel. comunitarias</t>
  </si>
  <si>
    <t>427260000 - Gastos de vehiculos  Rel. Comunitarias</t>
  </si>
  <si>
    <t>428200000 - Análisis de Muestras Muestreo Geof. Sup.</t>
  </si>
  <si>
    <t>16 - Los M</t>
  </si>
  <si>
    <t>17 - Esper</t>
  </si>
  <si>
    <t>2 - Explor</t>
  </si>
  <si>
    <t>421440000 - Movilidad y Viáticos Adm Catamarca</t>
  </si>
  <si>
    <t>425980000 - Intereses Adm. Gral.</t>
  </si>
  <si>
    <t>426140000 - Expensas Depto Geologos Gs Campo</t>
  </si>
  <si>
    <t>23 - Gasto</t>
  </si>
  <si>
    <t>24 - Regional Catamarca</t>
  </si>
  <si>
    <t>24 - Regio</t>
  </si>
  <si>
    <t>Totales Generales:</t>
  </si>
  <si>
    <t>Totales Ge</t>
  </si>
  <si>
    <t>CUADRO COMPÓSITO</t>
  </si>
  <si>
    <t>Gastos - POR NATURALEZA Y PROYECTOS</t>
  </si>
  <si>
    <t>DESCRICPCIÓN</t>
  </si>
  <si>
    <t>La Santas I</t>
  </si>
  <si>
    <t>USD$</t>
  </si>
  <si>
    <t>Administración General</t>
  </si>
  <si>
    <t>Gastos de Campo</t>
  </si>
  <si>
    <t>Muestreo Geoquímico Superficial</t>
  </si>
  <si>
    <t>Geofísica</t>
  </si>
  <si>
    <t>E. Perforación</t>
  </si>
  <si>
    <t>Análisis químico de Perforación</t>
  </si>
  <si>
    <t>Cosntrucción de Acceso y Plataformas</t>
  </si>
  <si>
    <t>Relaciones Comunitarias</t>
  </si>
  <si>
    <t>Remediación Ambiental</t>
  </si>
  <si>
    <t>OPCIÓN DE COMPRA</t>
  </si>
  <si>
    <t>Barrenadión en Metros</t>
  </si>
  <si>
    <t>HITOS IMPORTANTES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</si>
</sst>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164" formatCode="_-* #,##0.00_-;-* #,##0.00_-;_-* &quot;-&quot;??_-;_-@_-"/>
    <numFmt numFmtId="165" formatCode="#,##0.00_ ;-#,##0.00 "/>
    <numFmt numFmtId="166" formatCode="#,##0.00_);(#,##0.00)"/>
    <numFmt numFmtId="167" formatCode="_ * #,##0.00_ ;_ * -#,##0.00_ ;_ * -??_ ;_ @_ "/>
    <numFmt numFmtId="168" formatCode="#,##0.00_ ;[Red]-#,##0.00 "/>
    <numFmt numFmtId="169" formatCode="_-* #,##0.00_-;-* #,##0.00_-;_-* -??_-;_-@_-"/>
    <numFmt numFmtId="170" formatCode="_-* #,##0.00 _€_-;-* #,##0.00 _€_-;_-* -?? _€_-;_-@_-"/>
    <numFmt numFmtId="171" formatCode="_-* #,##0.00 _$_-;-* #,##0.00 _$_-;_-* -?? _$_-;_-@_-"/>
    <numFmt numFmtId="172" formatCode="dddd&quot;, &quot;d&quot; de &quot;mmmm&quot; de &quot;yyyy"/>
  </numFmts>
  <fonts count="52" x14ac:knownFonts="1">
    <font>
      <color theme="1"/>
      <family val="2"/>
      <scheme val="minor"/>
      <sz val="11"/>
      <name val="Calibri"/>
    </font>
    <font>
      <charset val="1"/>
      <sz val="10"/>
      <name val="Arial"/>
    </font>
    <font>
      <b/>
      <charset val="1"/>
      <color rgb="FFFFFFFF"/>
      <sz val="13"/>
      <name val="Arial"/>
    </font>
    <font>
      <i/>
      <charset val="1"/>
      <color rgb="FF595959"/>
      <sz val="9"/>
      <name val="Arial"/>
    </font>
    <font>
      <b/>
      <charset val="1"/>
      <color rgb="FFFFFFFF"/>
      <sz val="11"/>
      <name val="Arial"/>
    </font>
    <font>
      <charset val="1"/>
      <family val="2"/>
      <sz val="10"/>
      <name val="Arial"/>
    </font>
    <font>
      <b/>
      <charset val="1"/>
      <color rgb="FF375623"/>
      <sz val="10"/>
      <name val="Arial"/>
    </font>
    <font>
      <charset val="1"/>
      <family val="2"/>
      <sz val="9"/>
      <name val="Arial"/>
    </font>
    <font>
      <b/>
      <charset val="1"/>
      <family val="2"/>
      <sz val="10"/>
      <name val="Arial"/>
    </font>
    <font>
      <b/>
      <charset val="1"/>
      <family val="2"/>
      <sz val="9"/>
      <name val="Arial"/>
    </font>
    <font>
      <charset val="1"/>
      <color rgb="FF000000"/>
      <family val="2"/>
      <sz val="9"/>
      <name val="Arial"/>
    </font>
    <font>
      <b/>
      <charset val="1"/>
      <color rgb="FF000000"/>
      <family val="2"/>
      <sz val="9"/>
      <name val="Arial"/>
    </font>
    <font>
      <charset val="1"/>
      <color theme="0"/>
      <family val="2"/>
      <sz val="9"/>
      <name val="Arial"/>
    </font>
    <font>
      <charset val="1"/>
      <color rgb="FFFF0000"/>
      <family val="2"/>
      <sz val="9"/>
      <name val="Arial"/>
    </font>
    <font>
      <b/>
      <charset val="1"/>
      <color rgb="FFFF0000"/>
      <family val="2"/>
      <sz val="9"/>
      <name val="Arial"/>
    </font>
    <font>
      <charset val="1"/>
      <color rgb="FF0000FF"/>
      <family val="2"/>
      <sz val="9"/>
      <name val="Arial"/>
    </font>
    <font>
      <b/>
      <charset val="1"/>
      <color rgb="FF800000"/>
      <family val="2"/>
      <sz val="9"/>
      <name val="Arial"/>
    </font>
    <font>
      <b/>
      <charset val="1"/>
      <color rgb="FF969696"/>
      <family val="2"/>
      <sz val="10"/>
      <name val="Arial"/>
    </font>
    <font>
      <b/>
      <charset val="1"/>
      <color rgb="FF000080"/>
      <family val="2"/>
      <sz val="10"/>
      <name val="Arial"/>
    </font>
    <font>
      <b/>
      <charset val="1"/>
      <color rgb="FFFFFFFF"/>
      <family val="2"/>
      <sz val="10"/>
      <name val="Arial"/>
    </font>
    <font>
      <charset val="1"/>
      <color rgb="FF000080"/>
      <family val="2"/>
      <sz val="10"/>
      <name val="Arial"/>
    </font>
    <font>
      <charset val="1"/>
      <color rgb="FF333399"/>
      <family val="2"/>
      <sz val="10"/>
      <name val="Arial"/>
    </font>
    <font>
      <charset val="1"/>
      <color rgb="FFFF6600"/>
      <family val="2"/>
      <sz val="10"/>
      <name val="Arial"/>
    </font>
    <font>
      <charset val="1"/>
      <color rgb="FF0000FF"/>
      <family val="2"/>
      <sz val="10"/>
      <name val="Arial"/>
    </font>
    <font>
      <charset val="1"/>
      <color rgb="FFFFFFFF"/>
      <family val="2"/>
      <sz val="10"/>
      <name val="Arial"/>
    </font>
    <font>
      <b/>
      <charset val="1"/>
      <color theme="1"/>
      <family val="2"/>
      <sz val="10"/>
      <name val="Arial"/>
    </font>
    <font>
      <charset val="1"/>
      <color rgb="FFFF0000"/>
      <family val="2"/>
      <sz val="10"/>
      <name val="Arial"/>
    </font>
    <font>
      <charset val="1"/>
      <color theme="0"/>
      <family val="2"/>
      <sz val="10"/>
      <name val="Arial"/>
    </font>
    <font>
      <u/>
      <charset val="1"/>
      <color theme="0"/>
      <family val="2"/>
      <sz val="10"/>
      <name val="Arial"/>
    </font>
    <font>
      <b/>
      <charset val="1"/>
      <color theme="0"/>
      <family val="2"/>
      <sz val="10"/>
      <name val="Arial"/>
    </font>
    <font>
      <charset val="1"/>
      <color theme="0"/>
      <family val="2"/>
      <sz val="10"/>
      <name val="Calibri"/>
    </font>
    <font>
      <charset val="1"/>
      <color theme="0"/>
      <family val="2"/>
      <sz val="8"/>
      <name val="Arial"/>
    </font>
    <font>
      <u/>
      <charset val="1"/>
      <family val="2"/>
      <sz val="10"/>
      <name val="Arial"/>
    </font>
    <font>
      <charset val="1"/>
      <color rgb="FF000000"/>
      <family val="2"/>
      <sz val="10"/>
      <name val="Arial"/>
    </font>
    <font>
      <b/>
      <charset val="1"/>
      <sz val="10"/>
      <name val="Arial"/>
    </font>
    <font>
      <charset val="1"/>
      <color rgb="FF000000"/>
      <sz val="10"/>
      <name val="Arial"/>
    </font>
    <font>
      <b/>
      <charset val="1"/>
      <color rgb="FF969696"/>
      <family val="2"/>
      <sz val="13"/>
      <name val="Arial"/>
    </font>
    <font>
      <b/>
      <charset val="1"/>
      <family val="2"/>
      <sz val="11"/>
      <name val="Arial"/>
    </font>
    <font>
      <b/>
      <charset val="1"/>
      <color rgb="FF333399"/>
      <family val="2"/>
      <sz val="10"/>
      <name val="Arial"/>
    </font>
    <font>
      <charset val="1"/>
      <color rgb="FF000000"/>
      <family val="2"/>
      <sz val="8"/>
      <name val="Arial"/>
    </font>
    <font>
      <u/>
      <charset val="1"/>
      <color rgb="FF000000"/>
      <family val="2"/>
      <sz val="16"/>
      <name val="Arial"/>
    </font>
    <font>
      <b/>
      <charset val="1"/>
      <color rgb="FF000000"/>
      <family val="2"/>
      <sz val="8"/>
      <name val="Arial"/>
    </font>
    <font>
      <b/>
      <i/>
      <charset val="1"/>
      <color rgb="FF000000"/>
      <family val="2"/>
      <sz val="8"/>
      <name val="Arial"/>
    </font>
    <font>
      <b/>
      <charset val="1"/>
      <color theme="1"/>
      <family val="2"/>
      <sz val="14"/>
      <name val="Calibri"/>
    </font>
    <font>
      <b/>
      <charset val="1"/>
      <color rgb="FFCC3300"/>
      <family val="2"/>
      <sz val="11"/>
      <name val="Calibri"/>
    </font>
    <font>
      <b/>
      <i/>
      <charset val="1"/>
      <family val="2"/>
      <sz val="10"/>
      <name val="Arial"/>
    </font>
    <font>
      <b/>
      <charset val="1"/>
      <color rgb="FFFF0000"/>
      <family val="2"/>
      <sz val="11"/>
      <name val="Calibri"/>
    </font>
    <font>
      <charset val="1"/>
      <color theme="1"/>
      <family val="2"/>
      <sz val="10"/>
      <name val="Calibri"/>
    </font>
    <font>
      <charset val="1"/>
      <family val="2"/>
      <sz val="8"/>
      <name val="Arial"/>
    </font>
    <font>
      <charset val="1"/>
      <color rgb="FFCC3300"/>
      <family val="2"/>
      <sz val="11"/>
      <name val="Calibri"/>
    </font>
    <font>
      <charset val="1"/>
      <color rgb="FF00B050"/>
      <family val="2"/>
      <sz val="11"/>
      <name val="Calibri"/>
    </font>
    <font>
      <charset val="1"/>
      <color rgb="FF0070C0"/>
      <family val="2"/>
      <sz val="10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333399"/>
      </patternFill>
    </fill>
    <fill>
      <patternFill patternType="solid">
        <fgColor rgb="FF2E75B6"/>
        <bgColor rgb="FF0070C0"/>
      </patternFill>
    </fill>
    <fill>
      <patternFill patternType="solid">
        <fgColor rgb="FFE2EFDA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8" tint="0.5995971556749168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808080"/>
        <bgColor rgb="FF969696"/>
      </patternFill>
    </fill>
    <fill>
      <patternFill patternType="solid">
        <fgColor rgb="FFCCFFFF"/>
        <bgColor rgb="FFCCFFFF"/>
      </patternFill>
    </fill>
    <fill>
      <patternFill patternType="solid">
        <fgColor rgb="FFD9D9D9"/>
        <bgColor rgb="FFE2EFDA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D9D9D9"/>
      </patternFill>
    </fill>
  </fills>
  <borders count="47">
    <border>
      <left/>
      <right/>
      <top/>
      <bottom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/>
      <top style="medium"/>
      <bottom style="medium"/>
      <diagonal/>
    </border>
    <border>
      <left style="medium"/>
      <right style="medium"/>
      <top style="medium"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medium"/>
      <right style="medium"/>
      <top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 style="thin"/>
      <bottom style="thin"/>
      <diagonal/>
    </border>
    <border>
      <left/>
      <right style="thin"/>
      <top/>
      <bottom style="double"/>
      <diagonal/>
    </border>
    <border>
      <left style="medium"/>
      <right/>
      <top style="medium"/>
      <bottom style="thin"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medium"/>
      <top style="medium"/>
      <bottom/>
      <diagonal/>
    </border>
    <border>
      <left/>
      <right style="medium"/>
      <top style="medium"/>
      <bottom style="thin"/>
      <diagonal/>
    </border>
    <border>
      <left/>
      <right style="thin"/>
      <top/>
      <bottom style="medium"/>
      <diagonal/>
    </border>
    <border>
      <left style="thin"/>
      <right style="thin"/>
      <top/>
      <bottom style="medium"/>
      <diagonal/>
    </border>
    <border>
      <left style="thin"/>
      <right style="medium"/>
      <top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 style="medium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/>
      <top style="thin"/>
      <bottom style="medium"/>
      <diagonal/>
    </border>
  </borders>
  <cellStyleXfs count="1">
    <xf numFmtId="0" fontId="0" fillId="0" borderId="0"/>
  </cellStyleXfs>
  <cellXfs count="28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3" borderId="0" xfId="0" applyFont="1" applyFill="1" applyAlignment="1">
      <alignment vertical="center" indent="1"/>
    </xf>
    <xf numFmtId="0" fontId="1" fillId="0" borderId="0" xfId="0" applyFont="1" applyAlignment="1">
      <alignment indent="3"/>
    </xf>
    <xf numFmtId="0" fontId="5" fillId="0" borderId="0" xfId="0" applyFont="1" applyAlignment="1">
      <alignment indent="3"/>
    </xf>
    <xf numFmtId="0" fontId="6" fillId="4" borderId="0" xfId="0" applyFont="1" applyFill="1" applyAlignment="1">
      <alignment indent="3"/>
    </xf>
    <xf numFmtId="0" fontId="3" fillId="0" borderId="0" xfId="0" applyFont="1" applyAlignment="1">
      <alignment indent="4"/>
    </xf>
    <xf numFmtId="0" fontId="7" fillId="0" borderId="0" xfId="0" applyFont="1" applyAlignment="1">
      <alignment horizontal="left"/>
    </xf>
    <xf numFmtId="164" fontId="7" fillId="0" borderId="0" xfId="0" applyNumberFormat="1" applyFont="1"/>
    <xf numFmtId="165" fontId="7" fillId="0" borderId="0" xfId="0" applyNumberFormat="1" applyFont="1"/>
    <xf numFmtId="165" fontId="7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left"/>
    </xf>
    <xf numFmtId="17" fontId="8" fillId="5" borderId="0" xfId="0" applyNumberFormat="1" applyFont="1" applyFill="1" applyAlignment="1">
      <alignment horizontal="left"/>
    </xf>
    <xf numFmtId="164" fontId="9" fillId="5" borderId="1" xfId="0" applyNumberFormat="1" applyFont="1" applyFill="1" applyBorder="1" applyAlignment="1">
      <alignment horizontal="center"/>
    </xf>
    <xf numFmtId="164" fontId="9" fillId="5" borderId="2" xfId="0" applyNumberFormat="1" applyFont="1" applyFill="1" applyBorder="1" applyAlignment="1">
      <alignment horizontal="center"/>
    </xf>
    <xf numFmtId="164" fontId="9" fillId="5" borderId="3" xfId="0" applyNumberFormat="1" applyFont="1" applyFill="1" applyBorder="1" applyAlignment="1">
      <alignment horizontal="center"/>
    </xf>
    <xf numFmtId="164" fontId="9" fillId="5" borderId="4" xfId="0" applyNumberFormat="1" applyFont="1" applyFill="1" applyBorder="1" applyAlignment="1">
      <alignment horizontal="center"/>
    </xf>
    <xf numFmtId="165" fontId="9" fillId="5" borderId="3" xfId="0" applyNumberFormat="1" applyFont="1" applyFill="1" applyBorder="1" applyAlignment="1">
      <alignment horizontal="center"/>
    </xf>
    <xf numFmtId="165" fontId="9" fillId="5" borderId="5" xfId="0" applyNumberFormat="1" applyFont="1" applyFill="1" applyBorder="1" applyAlignment="1">
      <alignment horizontal="center"/>
    </xf>
    <xf numFmtId="165" fontId="9" fillId="6" borderId="5" xfId="0" applyNumberFormat="1" applyFont="1" applyFill="1" applyBorder="1" applyAlignment="1">
      <alignment horizontal="center"/>
    </xf>
    <xf numFmtId="0" fontId="9" fillId="0" borderId="0" xfId="0" applyFont="1" applyAlignment="1">
      <alignment horizontal="left"/>
    </xf>
    <xf numFmtId="164" fontId="9" fillId="0" borderId="6" xfId="0" applyNumberFormat="1" applyFont="1" applyBorder="1" applyAlignment="1">
      <alignment horizontal="center"/>
    </xf>
    <xf numFmtId="164" fontId="9" fillId="0" borderId="7" xfId="0" applyNumberFormat="1" applyFont="1" applyBorder="1" applyAlignment="1">
      <alignment horizontal="center"/>
    </xf>
    <xf numFmtId="164" fontId="9" fillId="0" borderId="8" xfId="0" applyNumberFormat="1" applyFont="1" applyBorder="1" applyAlignment="1">
      <alignment horizontal="center"/>
    </xf>
    <xf numFmtId="164" fontId="9" fillId="0" borderId="0" xfId="0" applyNumberFormat="1" applyFont="1" applyAlignment="1">
      <alignment horizontal="center"/>
    </xf>
    <xf numFmtId="164" fontId="9" fillId="0" borderId="9" xfId="0" applyNumberFormat="1" applyFon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165" fontId="9" fillId="0" borderId="6" xfId="0" applyNumberFormat="1" applyFont="1" applyBorder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165" fontId="9" fillId="0" borderId="10" xfId="0" applyNumberFormat="1" applyFont="1" applyBorder="1" applyAlignment="1">
      <alignment horizontal="center"/>
    </xf>
    <xf numFmtId="165" fontId="9" fillId="6" borderId="11" xfId="0" applyNumberFormat="1" applyFont="1" applyFill="1" applyBorder="1" applyAlignment="1">
      <alignment horizontal="center"/>
    </xf>
    <xf numFmtId="164" fontId="10" fillId="0" borderId="12" xfId="0" applyNumberFormat="1" applyFont="1" applyBorder="1" applyAlignment="1">
      <alignment horizontal="right" vertical="top"/>
    </xf>
    <xf numFmtId="164" fontId="10" fillId="0" borderId="0" xfId="0" applyNumberFormat="1" applyFont="1" applyAlignment="1">
      <alignment horizontal="right" vertical="top"/>
    </xf>
    <xf numFmtId="164" fontId="10" fillId="0" borderId="13" xfId="0" applyNumberFormat="1" applyFont="1" applyBorder="1" applyAlignment="1">
      <alignment horizontal="right" vertical="top"/>
    </xf>
    <xf numFmtId="164" fontId="10" fillId="0" borderId="14" xfId="0" applyNumberFormat="1" applyFont="1" applyBorder="1" applyAlignment="1">
      <alignment horizontal="right" vertical="top"/>
    </xf>
    <xf numFmtId="164" fontId="10" fillId="0" borderId="15" xfId="0" applyNumberFormat="1" applyFont="1" applyBorder="1" applyAlignment="1">
      <alignment horizontal="right" vertical="top"/>
    </xf>
    <xf numFmtId="164" fontId="10" fillId="0" borderId="16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right" vertical="top"/>
    </xf>
    <xf numFmtId="0" fontId="10" fillId="0" borderId="0" xfId="0" applyFont="1" applyAlignment="1">
      <alignment horizontal="left"/>
    </xf>
    <xf numFmtId="165" fontId="10" fillId="0" borderId="12" xfId="0" applyNumberFormat="1" applyFont="1" applyBorder="1" applyAlignment="1">
      <alignment horizontal="right" vertical="top"/>
    </xf>
    <xf numFmtId="165" fontId="10" fillId="0" borderId="13" xfId="0" applyNumberFormat="1" applyFont="1" applyBorder="1" applyAlignment="1">
      <alignment horizontal="right" vertical="top"/>
    </xf>
    <xf numFmtId="165" fontId="10" fillId="0" borderId="0" xfId="0" applyNumberFormat="1" applyFont="1" applyAlignment="1">
      <alignment horizontal="center" vertical="top"/>
    </xf>
    <xf numFmtId="0" fontId="10" fillId="0" borderId="7" xfId="0" applyFont="1" applyBorder="1" applyAlignment="1">
      <alignment horizontal="left"/>
    </xf>
    <xf numFmtId="0" fontId="11" fillId="0" borderId="7" xfId="0" applyFont="1" applyBorder="1" applyAlignment="1">
      <alignment horizontal="left"/>
    </xf>
    <xf numFmtId="0" fontId="10" fillId="0" borderId="0" xfId="0" applyFont="1" applyAlignment="1">
      <alignment horizontal="left" vertical="top"/>
    </xf>
    <xf numFmtId="0" fontId="7" fillId="0" borderId="7" xfId="0" applyFont="1" applyBorder="1" applyAlignment="1">
      <alignment horizontal="left"/>
    </xf>
    <xf numFmtId="0" fontId="9" fillId="0" borderId="7" xfId="0" applyFont="1" applyBorder="1" applyAlignment="1">
      <alignment horizontal="left"/>
    </xf>
    <xf numFmtId="1" fontId="7" fillId="0" borderId="0" xfId="0" applyNumberFormat="1" applyFont="1" applyAlignment="1">
      <alignment horizontal="left"/>
    </xf>
    <xf numFmtId="166" fontId="10" fillId="0" borderId="0" xfId="0" applyNumberFormat="1" applyFont="1" applyAlignment="1">
      <alignment horizontal="right" vertical="top"/>
    </xf>
    <xf numFmtId="165" fontId="7" fillId="0" borderId="0" xfId="0" applyNumberFormat="1" applyFont="1" applyAlignment="1">
      <alignment horizontal="right" vertical="top"/>
    </xf>
    <xf numFmtId="0" fontId="12" fillId="0" borderId="0" xfId="0" applyFont="1"/>
    <xf numFmtId="0" fontId="12" fillId="0" borderId="0" xfId="0" applyFont="1" applyAlignment="1">
      <alignment horizontal="left"/>
    </xf>
    <xf numFmtId="164" fontId="7" fillId="0" borderId="17" xfId="0" applyNumberFormat="1" applyFont="1" applyBorder="1"/>
    <xf numFmtId="165" fontId="7" fillId="0" borderId="17" xfId="0" applyNumberFormat="1" applyFont="1" applyBorder="1"/>
    <xf numFmtId="164" fontId="11" fillId="0" borderId="0" xfId="0" applyNumberFormat="1" applyFont="1" applyAlignment="1">
      <alignment horizontal="right" vertical="top"/>
    </xf>
    <xf numFmtId="164" fontId="13" fillId="0" borderId="0" xfId="0" applyNumberFormat="1" applyFont="1"/>
    <xf numFmtId="165" fontId="11" fillId="0" borderId="0" xfId="0" applyNumberFormat="1" applyFont="1" applyAlignment="1">
      <alignment horizontal="right" vertical="top"/>
    </xf>
    <xf numFmtId="165" fontId="13" fillId="0" borderId="0" xfId="0" applyNumberFormat="1" applyFont="1" applyAlignment="1">
      <alignment horizontal="center"/>
    </xf>
    <xf numFmtId="165" fontId="12" fillId="0" borderId="0" xfId="0" applyNumberFormat="1" applyFont="1"/>
    <xf numFmtId="164" fontId="9" fillId="0" borderId="0" xfId="0" applyNumberFormat="1" applyFont="1"/>
    <xf numFmtId="164" fontId="14" fillId="0" borderId="0" xfId="0" applyNumberFormat="1" applyFont="1"/>
    <xf numFmtId="164" fontId="10" fillId="0" borderId="0" xfId="0" applyNumberFormat="1" applyFont="1" applyAlignment="1">
      <alignment vertical="top"/>
    </xf>
    <xf numFmtId="165" fontId="9" fillId="0" borderId="0" xfId="0" applyNumberFormat="1" applyFont="1"/>
    <xf numFmtId="164" fontId="10" fillId="0" borderId="0" xfId="0" applyNumberFormat="1" applyFont="1" applyAlignment="1">
      <alignment horizontal="left"/>
    </xf>
    <xf numFmtId="165" fontId="13" fillId="0" borderId="0" xfId="0" applyNumberFormat="1" applyFont="1"/>
    <xf numFmtId="164" fontId="15" fillId="0" borderId="0" xfId="0" applyNumberFormat="1" applyFont="1"/>
    <xf numFmtId="0" fontId="14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164" fontId="7" fillId="0" borderId="0" xfId="0" applyNumberFormat="1" applyFont="1" applyAlignment="1">
      <alignment horizontal="right"/>
    </xf>
    <xf numFmtId="0" fontId="5" fillId="0" borderId="0" xfId="0" applyFont="1"/>
    <xf numFmtId="164" fontId="5" fillId="0" borderId="0" xfId="0" applyNumberFormat="1" applyFont="1"/>
    <xf numFmtId="165" fontId="17" fillId="7" borderId="0" xfId="0" applyNumberFormat="1" applyFont="1" applyFill="1"/>
    <xf numFmtId="164" fontId="5" fillId="7" borderId="0" xfId="0" applyNumberFormat="1" applyFont="1" applyFill="1"/>
    <xf numFmtId="49" fontId="18" fillId="7" borderId="0" xfId="0" applyNumberFormat="1" applyFont="1" applyFill="1"/>
    <xf numFmtId="0" fontId="18" fillId="7" borderId="0" xfId="0" applyFont="1" applyFill="1" applyAlignment="1">
      <alignment horizontal="left"/>
    </xf>
    <xf numFmtId="0" fontId="5" fillId="7" borderId="0" xfId="0" applyFont="1" applyFill="1"/>
    <xf numFmtId="0" fontId="5" fillId="0" borderId="18" xfId="0" applyFont="1" applyBorder="1"/>
    <xf numFmtId="0" fontId="5" fillId="7" borderId="18" xfId="0" applyFont="1" applyFill="1" applyBorder="1"/>
    <xf numFmtId="164" fontId="5" fillId="7" borderId="18" xfId="0" applyNumberFormat="1" applyFont="1" applyFill="1" applyBorder="1"/>
    <xf numFmtId="0" fontId="19" fillId="8" borderId="19" xfId="0" applyFont="1" applyFill="1" applyBorder="1" applyAlignment="1">
      <alignment horizontal="center"/>
    </xf>
    <xf numFmtId="164" fontId="19" fillId="8" borderId="0" xfId="0" applyNumberFormat="1" applyFont="1" applyFill="1"/>
    <xf numFmtId="164" fontId="19" fillId="8" borderId="16" xfId="0" applyNumberFormat="1" applyFont="1" applyFill="1" applyBorder="1"/>
    <xf numFmtId="164" fontId="19" fillId="8" borderId="14" xfId="0" applyNumberFormat="1" applyFont="1" applyFill="1" applyBorder="1" applyAlignment="1">
      <alignment horizontal="center"/>
    </xf>
    <xf numFmtId="164" fontId="19" fillId="8" borderId="20" xfId="0" applyNumberFormat="1" applyFont="1" applyFill="1" applyBorder="1" applyAlignment="1">
      <alignment horizontal="center" vertical="center"/>
    </xf>
    <xf numFmtId="164" fontId="19" fillId="8" borderId="14" xfId="0" applyNumberFormat="1" applyFont="1" applyFill="1" applyBorder="1" applyAlignment="1">
      <alignment horizontal="center" vertical="center"/>
    </xf>
    <xf numFmtId="164" fontId="19" fillId="8" borderId="19" xfId="0" applyNumberFormat="1" applyFont="1" applyFill="1" applyBorder="1" applyAlignment="1">
      <alignment horizontal="center"/>
    </xf>
    <xf numFmtId="0" fontId="19" fillId="8" borderId="21" xfId="0" applyFont="1" applyFill="1" applyBorder="1"/>
    <xf numFmtId="164" fontId="19" fillId="8" borderId="22" xfId="0" applyNumberFormat="1" applyFont="1" applyFill="1" applyBorder="1" applyAlignment="1">
      <alignment horizontal="center"/>
    </xf>
    <xf numFmtId="164" fontId="19" fillId="8" borderId="17" xfId="0" applyNumberFormat="1" applyFont="1" applyFill="1" applyBorder="1" applyAlignment="1">
      <alignment horizontal="center"/>
    </xf>
    <xf numFmtId="164" fontId="19" fillId="8" borderId="22" xfId="0" applyNumberFormat="1" applyFont="1" applyFill="1" applyBorder="1" applyAlignment="1">
      <alignment horizontal="center" vertical="center"/>
    </xf>
    <xf numFmtId="164" fontId="19" fillId="8" borderId="21" xfId="0" applyNumberFormat="1" applyFont="1" applyFill="1" applyBorder="1" applyAlignment="1">
      <alignment horizontal="center"/>
    </xf>
    <xf numFmtId="0" fontId="20" fillId="9" borderId="0" xfId="0" applyFont="1" applyFill="1"/>
    <xf numFmtId="164" fontId="5" fillId="0" borderId="23" xfId="0" applyNumberFormat="1" applyFont="1" applyBorder="1" applyAlignment="1">
      <alignment horizontal="center"/>
    </xf>
    <xf numFmtId="164" fontId="5" fillId="0" borderId="13" xfId="0" applyNumberFormat="1" applyFont="1" applyBorder="1"/>
    <xf numFmtId="164" fontId="21" fillId="9" borderId="12" xfId="0" applyNumberFormat="1" applyFont="1" applyFill="1" applyBorder="1"/>
    <xf numFmtId="164" fontId="20" fillId="9" borderId="12" xfId="0" applyNumberFormat="1" applyFont="1" applyFill="1" applyBorder="1"/>
    <xf numFmtId="164" fontId="21" fillId="9" borderId="19" xfId="0" applyNumberFormat="1" applyFont="1" applyFill="1" applyBorder="1"/>
    <xf numFmtId="164" fontId="18" fillId="9" borderId="23" xfId="0" applyNumberFormat="1" applyFont="1" applyFill="1" applyBorder="1"/>
    <xf numFmtId="167" fontId="5" fillId="0" borderId="0" xfId="0" applyNumberFormat="1" applyFont="1"/>
    <xf numFmtId="0" fontId="22" fillId="0" borderId="0" xfId="0" applyFont="1"/>
    <xf numFmtId="0" fontId="23" fillId="0" borderId="0" xfId="0" applyFont="1"/>
    <xf numFmtId="164" fontId="21" fillId="9" borderId="23" xfId="0" applyNumberFormat="1" applyFont="1" applyFill="1" applyBorder="1"/>
    <xf numFmtId="164" fontId="20" fillId="9" borderId="23" xfId="0" applyNumberFormat="1" applyFont="1" applyFill="1" applyBorder="1"/>
    <xf numFmtId="164" fontId="18" fillId="9" borderId="12" xfId="0" applyNumberFormat="1" applyFont="1" applyFill="1" applyBorder="1"/>
    <xf numFmtId="0" fontId="20" fillId="9" borderId="17" xfId="0" applyFont="1" applyFill="1" applyBorder="1"/>
    <xf numFmtId="164" fontId="5" fillId="0" borderId="18" xfId="0" applyNumberFormat="1" applyFont="1" applyBorder="1"/>
    <xf numFmtId="164" fontId="21" fillId="9" borderId="21" xfId="0" applyNumberFormat="1" applyFont="1" applyFill="1" applyBorder="1"/>
    <xf numFmtId="164" fontId="21" fillId="9" borderId="22" xfId="0" applyNumberFormat="1" applyFont="1" applyFill="1" applyBorder="1"/>
    <xf numFmtId="164" fontId="18" fillId="9" borderId="21" xfId="0" applyNumberFormat="1" applyFont="1" applyFill="1" applyBorder="1"/>
    <xf numFmtId="0" fontId="5" fillId="7" borderId="12" xfId="0" applyFont="1" applyFill="1" applyBorder="1"/>
    <xf numFmtId="164" fontId="5" fillId="0" borderId="19" xfId="0" applyNumberFormat="1" applyFont="1" applyBorder="1"/>
    <xf numFmtId="164" fontId="24" fillId="8" borderId="23" xfId="0" applyNumberFormat="1" applyFont="1" applyFill="1" applyBorder="1"/>
    <xf numFmtId="164" fontId="24" fillId="8" borderId="0" xfId="0" applyNumberFormat="1" applyFont="1" applyFill="1"/>
    <xf numFmtId="164" fontId="24" fillId="8" borderId="12" xfId="0" applyNumberFormat="1" applyFont="1" applyFill="1" applyBorder="1"/>
    <xf numFmtId="164" fontId="24" fillId="8" borderId="19" xfId="0" applyNumberFormat="1" applyFont="1" applyFill="1" applyBorder="1"/>
    <xf numFmtId="167" fontId="8" fillId="0" borderId="0" xfId="0" applyNumberFormat="1" applyFont="1"/>
    <xf numFmtId="167" fontId="8" fillId="7" borderId="12" xfId="0" applyNumberFormat="1" applyFont="1" applyFill="1" applyBorder="1"/>
    <xf numFmtId="164" fontId="8" fillId="0" borderId="23" xfId="0" applyNumberFormat="1" applyFont="1" applyBorder="1"/>
    <xf numFmtId="164" fontId="8" fillId="0" borderId="0" xfId="0" applyNumberFormat="1" applyFont="1"/>
    <xf numFmtId="164" fontId="19" fillId="8" borderId="23" xfId="0" applyNumberFormat="1" applyFont="1" applyFill="1" applyBorder="1"/>
    <xf numFmtId="164" fontId="19" fillId="8" borderId="12" xfId="0" applyNumberFormat="1" applyFont="1" applyFill="1" applyBorder="1"/>
    <xf numFmtId="0" fontId="24" fillId="0" borderId="24" xfId="0" applyFont="1" applyBorder="1"/>
    <xf numFmtId="164" fontId="24" fillId="0" borderId="24" xfId="0" applyNumberFormat="1" applyFont="1" applyBorder="1"/>
    <xf numFmtId="164" fontId="25" fillId="0" borderId="25" xfId="0" applyNumberFormat="1" applyFont="1" applyBorder="1"/>
    <xf numFmtId="164" fontId="19" fillId="8" borderId="25" xfId="0" applyNumberFormat="1" applyFont="1" applyFill="1" applyBorder="1"/>
    <xf numFmtId="164" fontId="24" fillId="8" borderId="24" xfId="0" applyNumberFormat="1" applyFont="1" applyFill="1" applyBorder="1"/>
    <xf numFmtId="164" fontId="24" fillId="8" borderId="25" xfId="0" applyNumberFormat="1" applyFont="1" applyFill="1" applyBorder="1"/>
    <xf numFmtId="0" fontId="26" fillId="0" borderId="0" xfId="0" applyFont="1"/>
    <xf numFmtId="164" fontId="26" fillId="0" borderId="0" xfId="0" applyNumberFormat="1" applyFont="1"/>
    <xf numFmtId="0" fontId="27" fillId="0" borderId="0" xfId="0" applyFont="1"/>
    <xf numFmtId="167" fontId="27" fillId="0" borderId="0" xfId="0" applyNumberFormat="1" applyFont="1"/>
    <xf numFmtId="164" fontId="27" fillId="0" borderId="0" xfId="0" applyNumberFormat="1" applyFont="1"/>
    <xf numFmtId="0" fontId="28" fillId="0" borderId="0" xfId="0" applyFont="1"/>
    <xf numFmtId="164" fontId="29" fillId="0" borderId="0" xfId="0" applyNumberFormat="1" applyFont="1"/>
    <xf numFmtId="164" fontId="27" fillId="0" borderId="0" xfId="0" applyNumberFormat="1" applyFont="1" applyAlignment="1">
      <alignment horizontal="right" vertical="top"/>
    </xf>
    <xf numFmtId="164" fontId="30" fillId="0" borderId="0" xfId="0" applyNumberFormat="1" applyFont="1"/>
    <xf numFmtId="164" fontId="31" fillId="0" borderId="0" xfId="0" applyNumberFormat="1" applyFont="1" applyAlignment="1">
      <alignment horizontal="right" vertical="top"/>
    </xf>
    <xf numFmtId="4" fontId="27" fillId="0" borderId="0" xfId="0" applyNumberFormat="1" applyFont="1"/>
    <xf numFmtId="0" fontId="32" fillId="0" borderId="0" xfId="0" applyFont="1"/>
    <xf numFmtId="164" fontId="33" fillId="0" borderId="0" xfId="0" applyNumberFormat="1" applyFont="1" applyAlignment="1">
      <alignment vertical="top"/>
    </xf>
    <xf numFmtId="0" fontId="34" fillId="10" borderId="0" xfId="0" applyFont="1" applyFill="1" applyAlignment="1">
      <alignment horizontal="left" vertical="center"/>
    </xf>
    <xf numFmtId="1" fontId="34" fillId="10" borderId="0" xfId="0" applyNumberFormat="1" applyFont="1" applyFill="1" applyAlignment="1">
      <alignment horizontal="left" vertical="center"/>
    </xf>
    <xf numFmtId="168" fontId="34" fillId="10" borderId="0" xfId="0" applyNumberFormat="1" applyFont="1" applyFill="1" applyAlignment="1">
      <alignment horizontal="left" vertical="center"/>
    </xf>
    <xf numFmtId="167" fontId="34" fillId="10" borderId="0" xfId="0" applyNumberFormat="1" applyFont="1" applyFill="1" applyAlignment="1">
      <alignment horizontal="left" vertical="center"/>
    </xf>
    <xf numFmtId="0" fontId="1" fillId="10" borderId="0" xfId="0" applyFont="1" applyFill="1" applyAlignment="1">
      <alignment horizontal="left" vertical="center"/>
    </xf>
    <xf numFmtId="1" fontId="1" fillId="10" borderId="0" xfId="0" applyNumberFormat="1" applyFont="1" applyFill="1" applyAlignment="1">
      <alignment horizontal="left" vertical="center"/>
    </xf>
    <xf numFmtId="168" fontId="1" fillId="10" borderId="0" xfId="0" applyNumberFormat="1" applyFont="1" applyFill="1" applyAlignment="1">
      <alignment horizontal="left" vertical="center"/>
    </xf>
    <xf numFmtId="167" fontId="1" fillId="10" borderId="0" xfId="0" applyNumberFormat="1" applyFont="1" applyFill="1" applyAlignment="1">
      <alignment horizontal="left" vertical="center"/>
    </xf>
    <xf numFmtId="0" fontId="33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168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67" fontId="1" fillId="0" borderId="0" xfId="0" applyNumberFormat="1" applyFont="1" applyAlignment="1">
      <alignment horizontal="left" vertical="center"/>
    </xf>
    <xf numFmtId="166" fontId="1" fillId="0" borderId="0" xfId="0" applyNumberFormat="1" applyFont="1" applyAlignment="1">
      <alignment horizontal="left" vertical="center"/>
    </xf>
    <xf numFmtId="0" fontId="35" fillId="0" borderId="0" xfId="0" applyFont="1" applyAlignment="1">
      <alignment horizontal="left" vertical="center"/>
    </xf>
    <xf numFmtId="165" fontId="1" fillId="10" borderId="0" xfId="0" applyNumberFormat="1" applyFont="1" applyFill="1" applyAlignment="1">
      <alignment horizontal="left" vertical="center"/>
    </xf>
    <xf numFmtId="166" fontId="1" fillId="10" borderId="0" xfId="0" applyNumberFormat="1" applyFont="1" applyFill="1" applyAlignment="1">
      <alignment horizontal="left" vertical="center"/>
    </xf>
    <xf numFmtId="0" fontId="36" fillId="7" borderId="0" xfId="0" applyFont="1" applyFill="1" applyAlignment="1">
      <alignment horizontal="center" vertical="center" wrapText="1"/>
    </xf>
    <xf numFmtId="0" fontId="1" fillId="7" borderId="0" xfId="0" applyFont="1" applyFill="1"/>
    <xf numFmtId="49" fontId="37" fillId="7" borderId="0" xfId="0" applyNumberFormat="1" applyFont="1" applyFill="1" applyAlignment="1">
      <alignment horizontal="center" vertical="top"/>
    </xf>
    <xf numFmtId="0" fontId="37" fillId="7" borderId="0" xfId="0" applyFont="1" applyFill="1" applyAlignment="1">
      <alignment horizontal="center"/>
    </xf>
    <xf numFmtId="0" fontId="8" fillId="7" borderId="0" xfId="0" applyFont="1" applyFill="1"/>
    <xf numFmtId="0" fontId="38" fillId="7" borderId="0" xfId="0" applyFont="1" applyFill="1"/>
    <xf numFmtId="0" fontId="1" fillId="7" borderId="18" xfId="0" applyFont="1" applyFill="1" applyBorder="1"/>
    <xf numFmtId="0" fontId="8" fillId="11" borderId="19" xfId="0" applyFont="1" applyFill="1" applyBorder="1"/>
    <xf numFmtId="0" fontId="7" fillId="5" borderId="19" xfId="0" applyFont="1" applyFill="1" applyBorder="1" applyAlignment="1">
      <alignment horizontal="center"/>
    </xf>
    <xf numFmtId="0" fontId="7" fillId="12" borderId="26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 vertical="center"/>
    </xf>
    <xf numFmtId="0" fontId="7" fillId="11" borderId="23" xfId="0" applyFont="1" applyFill="1" applyBorder="1" applyAlignment="1">
      <alignment horizontal="center"/>
    </xf>
    <xf numFmtId="0" fontId="7" fillId="5" borderId="23" xfId="0" applyFont="1" applyFill="1" applyBorder="1" applyAlignment="1">
      <alignment horizontal="center"/>
    </xf>
    <xf numFmtId="0" fontId="7" fillId="12" borderId="21" xfId="0" applyFont="1" applyFill="1" applyBorder="1" applyAlignment="1">
      <alignment horizontal="center"/>
    </xf>
    <xf numFmtId="49" fontId="7" fillId="12" borderId="21" xfId="0" applyNumberFormat="1" applyFont="1" applyFill="1" applyBorder="1" applyAlignment="1">
      <alignment horizontal="center"/>
    </xf>
    <xf numFmtId="0" fontId="7" fillId="12" borderId="20" xfId="0" applyFont="1" applyFill="1" applyBorder="1" applyAlignment="1">
      <alignment horizontal="center"/>
    </xf>
    <xf numFmtId="0" fontId="7" fillId="5" borderId="13" xfId="0" applyFont="1" applyFill="1" applyBorder="1" applyAlignment="1">
      <alignment horizontal="center" vertical="center"/>
    </xf>
    <xf numFmtId="0" fontId="1" fillId="11" borderId="21" xfId="0" applyFont="1" applyFill="1" applyBorder="1"/>
    <xf numFmtId="17" fontId="7" fillId="5" borderId="21" xfId="0" applyNumberFormat="1" applyFont="1" applyFill="1" applyBorder="1" applyAlignment="1">
      <alignment horizontal="center"/>
    </xf>
    <xf numFmtId="0" fontId="7" fillId="12" borderId="21" xfId="0" applyFont="1" applyFill="1" applyBorder="1" applyAlignment="1">
      <alignment horizontal="right"/>
    </xf>
    <xf numFmtId="0" fontId="7" fillId="5" borderId="17" xfId="0" applyFont="1" applyFill="1" applyBorder="1" applyAlignment="1">
      <alignment horizontal="center" vertical="center"/>
    </xf>
    <xf numFmtId="0" fontId="5" fillId="11" borderId="23" xfId="0" applyFont="1" applyFill="1" applyBorder="1"/>
    <xf numFmtId="17" fontId="9" fillId="5" borderId="19" xfId="0" applyNumberFormat="1" applyFont="1" applyFill="1" applyBorder="1" applyAlignment="1">
      <alignment horizontal="right"/>
    </xf>
    <xf numFmtId="0" fontId="1" fillId="11" borderId="23" xfId="0" applyFont="1" applyFill="1" applyBorder="1"/>
    <xf numFmtId="167" fontId="1" fillId="11" borderId="23" xfId="0" applyNumberFormat="1" applyFont="1" applyFill="1" applyBorder="1"/>
    <xf numFmtId="0" fontId="9" fillId="11" borderId="19" xfId="0" applyFont="1" applyFill="1" applyBorder="1" applyAlignment="1">
      <alignment horizontal="right"/>
    </xf>
    <xf numFmtId="0" fontId="9" fillId="5" borderId="13" xfId="0" applyFont="1" applyFill="1" applyBorder="1" applyAlignment="1">
      <alignment horizontal="right"/>
    </xf>
    <xf numFmtId="167" fontId="5" fillId="5" borderId="13" xfId="0" applyNumberFormat="1" applyFont="1" applyFill="1" applyBorder="1"/>
    <xf numFmtId="167" fontId="1" fillId="5" borderId="13" xfId="0" applyNumberFormat="1" applyFont="1" applyFill="1" applyBorder="1"/>
    <xf numFmtId="167" fontId="1" fillId="0" borderId="0" xfId="0" applyNumberFormat="1" applyFont="1"/>
    <xf numFmtId="169" fontId="1" fillId="0" borderId="0" xfId="0" applyNumberFormat="1" applyFont="1"/>
    <xf numFmtId="170" fontId="1" fillId="11" borderId="23" xfId="0" applyNumberFormat="1" applyFont="1" applyFill="1" applyBorder="1"/>
    <xf numFmtId="0" fontId="5" fillId="11" borderId="23" xfId="0" applyFont="1" applyFill="1" applyBorder="1" applyAlignment="1">
      <alignment horizontal="center"/>
    </xf>
    <xf numFmtId="167" fontId="8" fillId="5" borderId="19" xfId="0" applyNumberFormat="1" applyFont="1" applyFill="1" applyBorder="1"/>
    <xf numFmtId="167" fontId="8" fillId="12" borderId="19" xfId="0" applyNumberFormat="1" applyFont="1" applyFill="1" applyBorder="1"/>
    <xf numFmtId="167" fontId="8" fillId="5" borderId="16" xfId="0" applyNumberFormat="1" applyFont="1" applyFill="1" applyBorder="1"/>
    <xf numFmtId="170" fontId="1" fillId="0" borderId="0" xfId="0" applyNumberFormat="1" applyFont="1"/>
    <xf numFmtId="167" fontId="1" fillId="5" borderId="24" xfId="0" applyNumberFormat="1" applyFont="1" applyFill="1" applyBorder="1"/>
    <xf numFmtId="0" fontId="1" fillId="12" borderId="24" xfId="0" applyFont="1" applyFill="1" applyBorder="1"/>
    <xf numFmtId="167" fontId="1" fillId="12" borderId="24" xfId="0" applyNumberFormat="1" applyFont="1" applyFill="1" applyBorder="1"/>
    <xf numFmtId="167" fontId="1" fillId="5" borderId="27" xfId="0" applyNumberFormat="1" applyFont="1" applyFill="1" applyBorder="1"/>
    <xf numFmtId="4" fontId="5" fillId="0" borderId="0" xfId="0" applyNumberFormat="1" applyFont="1"/>
    <xf numFmtId="165" fontId="1" fillId="0" borderId="0" xfId="0" applyNumberFormat="1" applyFont="1"/>
    <xf numFmtId="4" fontId="1" fillId="0" borderId="0" xfId="0" applyNumberFormat="1" applyFont="1"/>
    <xf numFmtId="171" fontId="1" fillId="0" borderId="0" xfId="0" applyNumberFormat="1" applyFont="1"/>
    <xf numFmtId="166" fontId="39" fillId="0" borderId="0" xfId="0" applyNumberFormat="1" applyFont="1" applyAlignment="1">
      <alignment horizontal="right" vertical="top"/>
    </xf>
    <xf numFmtId="0" fontId="1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40" fillId="0" borderId="0" xfId="0" applyFont="1" applyAlignment="1">
      <alignment vertical="top"/>
    </xf>
    <xf numFmtId="0" fontId="41" fillId="0" borderId="0" xfId="0" applyFont="1" applyAlignment="1">
      <alignment vertical="top"/>
    </xf>
    <xf numFmtId="0" fontId="41" fillId="0" borderId="0" xfId="0" applyFont="1" applyAlignment="1">
      <alignment horizontal="center" vertical="top"/>
    </xf>
    <xf numFmtId="0" fontId="33" fillId="7" borderId="0" xfId="0" applyFont="1" applyFill="1" applyAlignment="1">
      <alignment vertical="top"/>
    </xf>
    <xf numFmtId="0" fontId="42" fillId="7" borderId="0" xfId="0" applyFont="1" applyFill="1" applyAlignment="1">
      <alignment vertical="top"/>
    </xf>
    <xf numFmtId="0" fontId="39" fillId="0" borderId="0" xfId="0" applyFont="1" applyAlignment="1">
      <alignment vertical="top"/>
    </xf>
    <xf numFmtId="166" fontId="39" fillId="0" borderId="0" xfId="0" applyNumberFormat="1" applyFont="1" applyAlignment="1">
      <alignment vertical="top"/>
    </xf>
    <xf numFmtId="0" fontId="1" fillId="5" borderId="0" xfId="0" applyFont="1" applyFill="1" applyAlignment="1">
      <alignment vertical="top"/>
    </xf>
    <xf numFmtId="0" fontId="39" fillId="5" borderId="0" xfId="0" applyFont="1" applyFill="1" applyAlignment="1">
      <alignment vertical="top"/>
    </xf>
    <xf numFmtId="166" fontId="39" fillId="5" borderId="0" xfId="0" applyNumberFormat="1" applyFont="1" applyFill="1" applyAlignment="1">
      <alignment horizontal="right" vertical="top"/>
    </xf>
    <xf numFmtId="166" fontId="39" fillId="5" borderId="0" xfId="0" applyNumberFormat="1" applyFont="1" applyFill="1" applyAlignment="1">
      <alignment vertical="top"/>
    </xf>
    <xf numFmtId="166" fontId="41" fillId="0" borderId="0" xfId="0" applyNumberFormat="1" applyFont="1" applyAlignment="1">
      <alignment horizontal="right" vertical="top"/>
    </xf>
    <xf numFmtId="166" fontId="1" fillId="0" borderId="0" xfId="0" applyNumberFormat="1" applyFont="1" applyAlignment="1">
      <alignment vertical="top"/>
    </xf>
    <xf numFmtId="166" fontId="41" fillId="0" borderId="0" xfId="0" applyNumberFormat="1" applyFont="1" applyAlignment="1">
      <alignment vertical="top"/>
    </xf>
    <xf numFmtId="0" fontId="39" fillId="7" borderId="0" xfId="0" applyFont="1" applyFill="1" applyAlignment="1">
      <alignment vertical="top" wrapText="1" readingOrder="1"/>
    </xf>
    <xf numFmtId="166" fontId="39" fillId="7" borderId="0" xfId="0" applyNumberFormat="1" applyFont="1" applyFill="1" applyAlignment="1">
      <alignment horizontal="right" vertical="top"/>
    </xf>
    <xf numFmtId="166" fontId="39" fillId="7" borderId="0" xfId="0" applyNumberFormat="1" applyFont="1" applyFill="1" applyAlignment="1">
      <alignment vertical="top"/>
    </xf>
    <xf numFmtId="172" fontId="33" fillId="0" borderId="0" xfId="0" applyNumberFormat="1" applyFont="1" applyAlignment="1">
      <alignment vertical="top"/>
    </xf>
    <xf numFmtId="0" fontId="43" fillId="0" borderId="0" xfId="0" applyFont="1" applyAlignment="1">
      <alignment horizontal="center"/>
    </xf>
    <xf numFmtId="0" fontId="44" fillId="0" borderId="0" xfId="0" applyFont="1" applyAlignment="1">
      <alignment horizontal="center"/>
    </xf>
    <xf numFmtId="0" fontId="1" fillId="0" borderId="28" xfId="0" applyFont="1" applyBorder="1" applyAlignment="1">
      <alignment horizontal="center" vertical="center"/>
    </xf>
    <xf numFmtId="0" fontId="45" fillId="0" borderId="29" xfId="0" applyFont="1" applyBorder="1" applyAlignment="1">
      <alignment horizontal="center" vertical="center"/>
    </xf>
    <xf numFmtId="0" fontId="45" fillId="0" borderId="30" xfId="0" applyFont="1" applyBorder="1" applyAlignment="1">
      <alignment horizontal="center" vertical="center"/>
    </xf>
    <xf numFmtId="0" fontId="45" fillId="0" borderId="31" xfId="0" applyFont="1" applyBorder="1" applyAlignment="1">
      <alignment horizontal="center" vertical="center"/>
    </xf>
    <xf numFmtId="167" fontId="45" fillId="0" borderId="31" xfId="0" applyNumberFormat="1" applyFont="1" applyBorder="1" applyAlignment="1">
      <alignment horizontal="center" vertical="center"/>
    </xf>
    <xf numFmtId="167" fontId="45" fillId="0" borderId="32" xfId="0" applyNumberFormat="1" applyFont="1" applyBorder="1" applyAlignment="1">
      <alignment horizontal="center" vertical="center"/>
    </xf>
    <xf numFmtId="167" fontId="45" fillId="0" borderId="33" xfId="0" applyNumberFormat="1" applyFont="1" applyBorder="1" applyAlignment="1">
      <alignment horizontal="center" vertical="center"/>
    </xf>
    <xf numFmtId="167" fontId="46" fillId="0" borderId="34" xfId="0" applyNumberFormat="1" applyFont="1" applyBorder="1" applyAlignment="1">
      <alignment horizontal="center" vertical="center"/>
    </xf>
    <xf numFmtId="0" fontId="47" fillId="0" borderId="3" xfId="0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0" fontId="47" fillId="0" borderId="35" xfId="0" applyFont="1" applyBorder="1" applyAlignment="1">
      <alignment horizontal="center" vertical="center"/>
    </xf>
    <xf numFmtId="0" fontId="47" fillId="0" borderId="36" xfId="0" applyFont="1" applyBorder="1" applyAlignment="1">
      <alignment horizontal="center" vertical="center"/>
    </xf>
    <xf numFmtId="0" fontId="47" fillId="0" borderId="37" xfId="0" applyFont="1" applyBorder="1" applyAlignment="1">
      <alignment horizontal="center" vertical="center"/>
    </xf>
    <xf numFmtId="167" fontId="47" fillId="0" borderId="37" xfId="0" applyNumberFormat="1" applyFont="1" applyBorder="1" applyAlignment="1">
      <alignment horizontal="center" vertical="center"/>
    </xf>
    <xf numFmtId="167" fontId="47" fillId="0" borderId="38" xfId="0" applyNumberFormat="1" applyFont="1" applyBorder="1" applyAlignment="1">
      <alignment horizontal="center" vertical="center"/>
    </xf>
    <xf numFmtId="0" fontId="1" fillId="0" borderId="39" xfId="0" applyFont="1" applyBorder="1"/>
    <xf numFmtId="0" fontId="1" fillId="0" borderId="40" xfId="0" applyFont="1" applyBorder="1"/>
    <xf numFmtId="167" fontId="1" fillId="0" borderId="40" xfId="0" applyNumberFormat="1" applyFont="1" applyBorder="1"/>
    <xf numFmtId="167" fontId="1" fillId="0" borderId="33" xfId="0" applyNumberFormat="1" applyFont="1" applyBorder="1"/>
    <xf numFmtId="0" fontId="7" fillId="0" borderId="41" xfId="0" applyFont="1" applyBorder="1"/>
    <xf numFmtId="169" fontId="48" fillId="0" borderId="20" xfId="0" applyNumberFormat="1" applyFont="1" applyBorder="1"/>
    <xf numFmtId="169" fontId="48" fillId="0" borderId="42" xfId="0" applyNumberFormat="1" applyFont="1" applyBorder="1"/>
    <xf numFmtId="169" fontId="1" fillId="0" borderId="42" xfId="0" applyNumberFormat="1" applyFont="1" applyBorder="1"/>
    <xf numFmtId="167" fontId="48" fillId="0" borderId="42" xfId="0" applyNumberFormat="1" applyFont="1" applyBorder="1"/>
    <xf numFmtId="167" fontId="1" fillId="0" borderId="42" xfId="0" applyNumberFormat="1" applyFont="1" applyBorder="1"/>
    <xf numFmtId="167" fontId="49" fillId="0" borderId="43" xfId="0" applyNumberFormat="1" applyFont="1" applyBorder="1"/>
    <xf numFmtId="167" fontId="48" fillId="0" borderId="20" xfId="0" applyNumberFormat="1" applyFont="1" applyBorder="1"/>
    <xf numFmtId="0" fontId="48" fillId="0" borderId="20" xfId="0" applyFont="1" applyBorder="1"/>
    <xf numFmtId="167" fontId="7" fillId="0" borderId="42" xfId="0" applyNumberFormat="1" applyFont="1" applyBorder="1"/>
    <xf numFmtId="0" fontId="1" fillId="0" borderId="8" xfId="0" applyFont="1" applyBorder="1"/>
    <xf numFmtId="169" fontId="48" fillId="0" borderId="0" xfId="0" applyNumberFormat="1" applyFont="1"/>
    <xf numFmtId="0" fontId="48" fillId="0" borderId="0" xfId="0" applyFont="1"/>
    <xf numFmtId="0" fontId="1" fillId="0" borderId="41" xfId="0" applyFont="1" applyBorder="1"/>
    <xf numFmtId="169" fontId="1" fillId="0" borderId="20" xfId="0" applyNumberFormat="1" applyFont="1" applyBorder="1"/>
    <xf numFmtId="0" fontId="1" fillId="0" borderId="20" xfId="0" applyFont="1" applyBorder="1"/>
    <xf numFmtId="0" fontId="50" fillId="0" borderId="8" xfId="0" applyFont="1" applyBorder="1"/>
    <xf numFmtId="169" fontId="50" fillId="0" borderId="0" xfId="0" applyNumberFormat="1" applyFont="1"/>
    <xf numFmtId="0" fontId="50" fillId="0" borderId="0" xfId="0" applyFont="1"/>
    <xf numFmtId="167" fontId="50" fillId="0" borderId="0" xfId="0" applyNumberFormat="1" applyFont="1"/>
    <xf numFmtId="0" fontId="1" fillId="0" borderId="42" xfId="0" applyFont="1" applyBorder="1"/>
    <xf numFmtId="167" fontId="1" fillId="0" borderId="9" xfId="0" applyNumberFormat="1" applyFont="1" applyBorder="1"/>
    <xf numFmtId="0" fontId="44" fillId="0" borderId="29" xfId="0" applyFont="1" applyBorder="1" applyAlignment="1">
      <alignment horizontal="right"/>
    </xf>
    <xf numFmtId="169" fontId="44" fillId="0" borderId="30" xfId="0" applyNumberFormat="1" applyFont="1" applyBorder="1" applyAlignment="1">
      <alignment horizontal="right"/>
    </xf>
    <xf numFmtId="167" fontId="44" fillId="0" borderId="30" xfId="0" applyNumberFormat="1" applyFont="1" applyBorder="1" applyAlignment="1">
      <alignment horizontal="right"/>
    </xf>
    <xf numFmtId="167" fontId="44" fillId="0" borderId="32" xfId="0" applyNumberFormat="1" applyFont="1" applyBorder="1" applyAlignment="1">
      <alignment horizontal="right"/>
    </xf>
    <xf numFmtId="170" fontId="1" fillId="0" borderId="20" xfId="0" applyNumberFormat="1" applyFont="1" applyBorder="1"/>
    <xf numFmtId="170" fontId="1" fillId="0" borderId="42" xfId="0" applyNumberFormat="1" applyFont="1" applyBorder="1"/>
    <xf numFmtId="167" fontId="1" fillId="0" borderId="43" xfId="0" applyNumberFormat="1" applyFont="1" applyBorder="1"/>
    <xf numFmtId="0" fontId="1" fillId="0" borderId="44" xfId="0" applyFont="1" applyBorder="1"/>
    <xf numFmtId="0" fontId="1" fillId="0" borderId="45" xfId="0" applyFont="1" applyBorder="1"/>
    <xf numFmtId="0" fontId="1" fillId="0" borderId="46" xfId="0" applyFont="1" applyBorder="1"/>
    <xf numFmtId="167" fontId="1" fillId="0" borderId="46" xfId="0" applyNumberFormat="1" applyFont="1" applyBorder="1"/>
    <xf numFmtId="167" fontId="1" fillId="0" borderId="38" xfId="0" applyNumberFormat="1" applyFont="1" applyBorder="1"/>
    <xf numFmtId="170" fontId="51" fillId="0" borderId="0" xfId="0" applyNumberFormat="1" applyFont="1"/>
    <xf numFmtId="167" fontId="5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 zoomScale="100" zoomScaleNormal="100">
      <selection activeCell="A6" sqref="A6"/>
    </sheetView>
  </sheetViews>
  <sheetFormatPr defaultRowHeight="12.75" outlineLevelRow="0" outlineLevelCol="0" x14ac:dyDescent="0.2" defaultColWidth="8.7109375" customHeight="1"/>
  <cols>
    <col min="1" max="1" width="5" style="1" customWidth="1"/>
    <col min="2" max="2" width="92" style="1" customWidth="1"/>
  </cols>
  <sheetData>
    <row r="1" ht="31.5" customHeight="1" spans="1:2" x14ac:dyDescent="0.25">
      <c r="A1" s="2" t="s">
        <v>0</v>
      </c>
      <c r="B1" s="2"/>
    </row>
    <row r="2" ht="19.5" customHeight="1" spans="1:2" x14ac:dyDescent="0.25">
      <c r="A2" s="3" t="s">
        <v>1</v>
      </c>
      <c r="B2" s="3"/>
    </row>
    <row r="3" ht="7.5" customHeight="1" x14ac:dyDescent="0.25"/>
    <row r="4" ht="24" customHeight="1" spans="1:2" x14ac:dyDescent="0.25">
      <c r="A4" s="4" t="s">
        <v>2</v>
      </c>
      <c r="B4" s="4"/>
    </row>
    <row r="5" ht="18" customHeight="1" spans="1:2" x14ac:dyDescent="0.25">
      <c r="A5" s="5" t="s">
        <v>3</v>
      </c>
      <c r="B5" s="5"/>
    </row>
    <row r="6" ht="18" customHeight="1" spans="1:2" x14ac:dyDescent="0.25">
      <c r="A6" s="6" t="s">
        <v>4</v>
      </c>
      <c r="B6" s="6"/>
    </row>
    <row r="7" ht="15.75" customHeight="1" spans="1:2" x14ac:dyDescent="0.25">
      <c r="A7" s="5" t="s">
        <v>5</v>
      </c>
      <c r="B7" s="5"/>
    </row>
    <row r="8" ht="18" customHeight="1" spans="1:2" x14ac:dyDescent="0.25">
      <c r="A8" s="5" t="s">
        <v>6</v>
      </c>
      <c r="B8" s="5"/>
    </row>
    <row r="9" ht="18" customHeight="1" spans="1:2" x14ac:dyDescent="0.25">
      <c r="A9" s="5" t="s">
        <v>7</v>
      </c>
      <c r="B9" s="5"/>
    </row>
    <row r="10" ht="18" customHeight="1" spans="1:2" x14ac:dyDescent="0.25">
      <c r="A10" s="5" t="s">
        <v>8</v>
      </c>
      <c r="B10" s="5"/>
    </row>
    <row r="11" ht="19.5" customHeight="1" spans="1:2" x14ac:dyDescent="0.25">
      <c r="A11" s="7" t="s">
        <v>9</v>
      </c>
      <c r="B11" s="7"/>
    </row>
    <row r="12" ht="7.5" customHeight="1" x14ac:dyDescent="0.25"/>
    <row r="13" ht="19.5" customHeight="1" spans="1:2" x14ac:dyDescent="0.25">
      <c r="A13" s="4" t="s">
        <v>10</v>
      </c>
      <c r="B13" s="4"/>
    </row>
    <row r="14" ht="15.75" customHeight="1" spans="1:2" x14ac:dyDescent="0.25">
      <c r="A14" s="8" t="s">
        <v>11</v>
      </c>
      <c r="B14" s="8"/>
    </row>
    <row r="15" ht="15.75" customHeight="1" spans="1:2" x14ac:dyDescent="0.25">
      <c r="A15" s="8" t="s">
        <v>12</v>
      </c>
      <c r="B15" s="8"/>
    </row>
    <row r="16" ht="15.75" customHeight="1" spans="1:2" x14ac:dyDescent="0.25">
      <c r="A16" s="8" t="s">
        <v>13</v>
      </c>
      <c r="B16" s="8"/>
    </row>
    <row r="17" ht="15.75" customHeight="1" x14ac:dyDescent="0.25"/>
  </sheetData>
  <mergeCells count="14">
    <mergeCell ref="A1:B1"/>
    <mergeCell ref="A2:B2"/>
    <mergeCell ref="A4:B4"/>
    <mergeCell ref="A5:B5"/>
    <mergeCell ref="A6:B6"/>
    <mergeCell ref="A7:B7"/>
    <mergeCell ref="A8:B8"/>
    <mergeCell ref="A9:B9"/>
    <mergeCell ref="A10:B10"/>
    <mergeCell ref="A11:B11"/>
    <mergeCell ref="A13:B13"/>
    <mergeCell ref="A14:B14"/>
    <mergeCell ref="A15:B15"/>
    <mergeCell ref="A16:B1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51"/>
  <sheetViews>
    <sheetView workbookViewId="0" zoomScale="100" zoomScaleNormal="100">
      <selection activeCell="A150" sqref="A150"/>
    </sheetView>
  </sheetViews>
  <sheetFormatPr defaultRowHeight="12.75" outlineLevelRow="0" outlineLevelCol="0" x14ac:dyDescent="0.2" defaultColWidth="10.7109375" customHeight="1"/>
  <cols>
    <col min="1" max="1" width="58.7109375" style="1" customWidth="1"/>
    <col min="2" max="2" width="16" style="1" customWidth="1"/>
    <col min="3" max="10" width="3" style="1" customWidth="1"/>
    <col min="11" max="11" width="14" style="1" customWidth="1"/>
    <col min="12" max="12" width="3" style="1" customWidth="1"/>
    <col min="13" max="13" width="14" style="1" customWidth="1"/>
    <col min="14" max="15" width="3" style="1" customWidth="1"/>
    <col min="16" max="16" width="14" style="1" customWidth="1"/>
  </cols>
  <sheetData>
    <row r="1" ht="15" customHeight="1" spans="1:16" x14ac:dyDescent="0.25">
      <c r="A1" s="144" t="s">
        <v>519</v>
      </c>
      <c r="B1" s="145" t="s">
        <v>520</v>
      </c>
      <c r="C1" s="146"/>
      <c r="D1" s="144"/>
      <c r="E1" s="147"/>
      <c r="F1" s="144"/>
      <c r="G1" s="144"/>
      <c r="H1" s="144"/>
      <c r="I1" s="144"/>
      <c r="J1" s="144"/>
      <c r="K1" s="144" t="s">
        <v>521</v>
      </c>
      <c r="L1" s="144"/>
      <c r="M1" s="144" t="s">
        <v>522</v>
      </c>
      <c r="N1" s="144"/>
      <c r="O1" s="144"/>
      <c r="P1" s="144" t="s">
        <v>523</v>
      </c>
    </row>
    <row r="2" ht="15" customHeight="1" spans="1:16" x14ac:dyDescent="0.25">
      <c r="A2" s="148" t="s">
        <v>524</v>
      </c>
      <c r="B2" s="149"/>
      <c r="C2" s="150"/>
      <c r="D2" s="148"/>
      <c r="E2" s="151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</row>
    <row r="3" ht="15" customHeight="1" spans="1:16" x14ac:dyDescent="0.25">
      <c r="A3" s="152" t="s">
        <v>525</v>
      </c>
      <c r="B3" s="153" t="s">
        <v>526</v>
      </c>
      <c r="C3" s="154"/>
      <c r="D3" s="155"/>
      <c r="E3" s="156"/>
      <c r="F3" s="155"/>
      <c r="G3" s="155"/>
      <c r="H3" s="155"/>
      <c r="I3" s="155"/>
      <c r="J3" s="155"/>
      <c r="K3" s="155">
        <v>1248.27</v>
      </c>
      <c r="L3" s="155"/>
      <c r="M3" s="155">
        <v>0</v>
      </c>
      <c r="N3" s="155"/>
      <c r="O3" s="155"/>
      <c r="P3" s="155">
        <v>1248.27</v>
      </c>
    </row>
    <row r="4" ht="15" customHeight="1" spans="1:16" x14ac:dyDescent="0.25">
      <c r="A4" s="152" t="s">
        <v>527</v>
      </c>
      <c r="B4" s="153" t="s">
        <v>528</v>
      </c>
      <c r="C4" s="154"/>
      <c r="D4" s="155"/>
      <c r="E4" s="156"/>
      <c r="F4" s="155"/>
      <c r="G4" s="155"/>
      <c r="H4" s="155"/>
      <c r="I4" s="155"/>
      <c r="J4" s="155"/>
      <c r="K4" s="155">
        <v>1911.15</v>
      </c>
      <c r="L4" s="155"/>
      <c r="M4" s="155">
        <v>0</v>
      </c>
      <c r="N4" s="155"/>
      <c r="O4" s="155"/>
      <c r="P4" s="155">
        <v>1911.15</v>
      </c>
    </row>
    <row r="5" ht="15" customHeight="1" spans="1:16" x14ac:dyDescent="0.25">
      <c r="A5" s="152" t="s">
        <v>529</v>
      </c>
      <c r="B5" s="153" t="s">
        <v>530</v>
      </c>
      <c r="C5" s="154"/>
      <c r="D5" s="155"/>
      <c r="E5" s="156"/>
      <c r="F5" s="155"/>
      <c r="G5" s="155"/>
      <c r="H5" s="155"/>
      <c r="I5" s="155"/>
      <c r="J5" s="155"/>
      <c r="K5" s="155">
        <v>554.77</v>
      </c>
      <c r="L5" s="155"/>
      <c r="M5" s="155">
        <v>0</v>
      </c>
      <c r="N5" s="155"/>
      <c r="O5" s="155"/>
      <c r="P5" s="155">
        <v>554.77</v>
      </c>
    </row>
    <row r="6" ht="15" customHeight="1" spans="1:16" x14ac:dyDescent="0.25">
      <c r="A6" s="152" t="s">
        <v>531</v>
      </c>
      <c r="B6" s="153" t="s">
        <v>532</v>
      </c>
      <c r="C6" s="154"/>
      <c r="D6" s="155"/>
      <c r="E6" s="156"/>
      <c r="F6" s="155"/>
      <c r="G6" s="155"/>
      <c r="H6" s="155"/>
      <c r="I6" s="155"/>
      <c r="J6" s="155"/>
      <c r="K6" s="155">
        <v>0</v>
      </c>
      <c r="L6" s="155"/>
      <c r="M6" s="155">
        <v>0</v>
      </c>
      <c r="N6" s="155"/>
      <c r="O6" s="155"/>
      <c r="P6" s="155">
        <v>0</v>
      </c>
    </row>
    <row r="7" ht="15" customHeight="1" spans="1:16" x14ac:dyDescent="0.25">
      <c r="A7" s="152" t="s">
        <v>533</v>
      </c>
      <c r="B7" s="153" t="s">
        <v>534</v>
      </c>
      <c r="C7" s="154"/>
      <c r="D7" s="155"/>
      <c r="E7" s="156"/>
      <c r="F7" s="155"/>
      <c r="G7" s="155"/>
      <c r="H7" s="155"/>
      <c r="I7" s="155"/>
      <c r="J7" s="155"/>
      <c r="K7" s="155">
        <v>0</v>
      </c>
      <c r="L7" s="155"/>
      <c r="M7" s="155">
        <v>0</v>
      </c>
      <c r="N7" s="155"/>
      <c r="O7" s="155"/>
      <c r="P7" s="155">
        <v>0</v>
      </c>
    </row>
    <row r="8" ht="15" customHeight="1" spans="1:16" x14ac:dyDescent="0.25">
      <c r="A8" s="152" t="s">
        <v>535</v>
      </c>
      <c r="B8" s="153" t="s">
        <v>536</v>
      </c>
      <c r="C8" s="154"/>
      <c r="D8" s="155"/>
      <c r="E8" s="155"/>
      <c r="F8" s="155"/>
      <c r="G8" s="155"/>
      <c r="H8" s="155"/>
      <c r="I8" s="155"/>
      <c r="J8" s="155"/>
      <c r="K8" s="155">
        <v>0</v>
      </c>
      <c r="L8" s="155"/>
      <c r="M8" s="155">
        <v>0</v>
      </c>
      <c r="N8" s="155"/>
      <c r="O8" s="155"/>
      <c r="P8" s="155">
        <v>0</v>
      </c>
    </row>
    <row r="9" ht="15" customHeight="1" spans="1:16" x14ac:dyDescent="0.25">
      <c r="A9" s="152" t="s">
        <v>537</v>
      </c>
      <c r="B9" s="153" t="s">
        <v>538</v>
      </c>
      <c r="C9" s="154"/>
      <c r="D9" s="155"/>
      <c r="E9" s="155"/>
      <c r="F9" s="155"/>
      <c r="G9" s="155"/>
      <c r="H9" s="155"/>
      <c r="I9" s="155"/>
      <c r="J9" s="155"/>
      <c r="K9" s="155">
        <v>348.08</v>
      </c>
      <c r="L9" s="155"/>
      <c r="M9" s="155">
        <v>0</v>
      </c>
      <c r="N9" s="155"/>
      <c r="O9" s="155"/>
      <c r="P9" s="155">
        <v>348.08</v>
      </c>
    </row>
    <row r="10" ht="15" customHeight="1" spans="1:16" x14ac:dyDescent="0.25">
      <c r="A10" s="152" t="s">
        <v>539</v>
      </c>
      <c r="B10" s="153" t="s">
        <v>540</v>
      </c>
      <c r="C10" s="154"/>
      <c r="D10" s="155"/>
      <c r="E10" s="156"/>
      <c r="F10" s="155"/>
      <c r="G10" s="155"/>
      <c r="H10" s="155"/>
      <c r="I10" s="155"/>
      <c r="J10" s="155"/>
      <c r="K10" s="155">
        <v>18000</v>
      </c>
      <c r="L10" s="155"/>
      <c r="M10" s="155">
        <v>0</v>
      </c>
      <c r="N10" s="155"/>
      <c r="O10" s="155"/>
      <c r="P10" s="155">
        <v>18000</v>
      </c>
    </row>
    <row r="11" ht="15" customHeight="1" spans="1:16" x14ac:dyDescent="0.25">
      <c r="A11" s="152" t="s">
        <v>541</v>
      </c>
      <c r="B11" s="153" t="s">
        <v>542</v>
      </c>
      <c r="C11" s="154"/>
      <c r="D11" s="155"/>
      <c r="E11" s="156"/>
      <c r="F11" s="155"/>
      <c r="G11" s="155"/>
      <c r="H11" s="155"/>
      <c r="I11" s="155"/>
      <c r="J11" s="155"/>
      <c r="K11" s="155">
        <v>179.24</v>
      </c>
      <c r="L11" s="155"/>
      <c r="M11" s="155">
        <v>0</v>
      </c>
      <c r="N11" s="155"/>
      <c r="O11" s="155"/>
      <c r="P11" s="155">
        <v>179.24</v>
      </c>
    </row>
    <row r="12" ht="15" customHeight="1" spans="1:16" x14ac:dyDescent="0.25">
      <c r="A12" s="152" t="s">
        <v>543</v>
      </c>
      <c r="B12" s="153" t="s">
        <v>544</v>
      </c>
      <c r="C12" s="157"/>
      <c r="D12" s="155"/>
      <c r="E12" s="156"/>
      <c r="F12" s="155"/>
      <c r="G12" s="155"/>
      <c r="H12" s="155"/>
      <c r="I12" s="155"/>
      <c r="J12" s="155"/>
      <c r="K12" s="155">
        <v>5.7700000000000005</v>
      </c>
      <c r="L12" s="155"/>
      <c r="M12" s="155">
        <v>0</v>
      </c>
      <c r="N12" s="155"/>
      <c r="O12" s="155"/>
      <c r="P12" s="155">
        <v>5.7700000000000005</v>
      </c>
    </row>
    <row r="13" ht="15" customHeight="1" spans="1:16" x14ac:dyDescent="0.25">
      <c r="A13" s="152" t="s">
        <v>545</v>
      </c>
      <c r="B13" s="153" t="s">
        <v>546</v>
      </c>
      <c r="C13" s="157"/>
      <c r="D13" s="155"/>
      <c r="E13" s="156"/>
      <c r="F13" s="155"/>
      <c r="G13" s="155"/>
      <c r="H13" s="155"/>
      <c r="I13" s="155"/>
      <c r="J13" s="155"/>
      <c r="K13" s="155">
        <v>3897.38</v>
      </c>
      <c r="L13" s="155"/>
      <c r="M13" s="155">
        <v>0</v>
      </c>
      <c r="N13" s="155"/>
      <c r="O13" s="155"/>
      <c r="P13" s="155">
        <v>3897.38</v>
      </c>
    </row>
    <row r="14" ht="15" customHeight="1" spans="1:16" x14ac:dyDescent="0.25">
      <c r="A14" s="152" t="s">
        <v>547</v>
      </c>
      <c r="B14" s="153" t="s">
        <v>548</v>
      </c>
      <c r="C14" s="157"/>
      <c r="D14" s="155"/>
      <c r="E14" s="156"/>
      <c r="F14" s="155"/>
      <c r="G14" s="155"/>
      <c r="H14" s="155"/>
      <c r="I14" s="155"/>
      <c r="J14" s="155"/>
      <c r="K14" s="155">
        <v>0</v>
      </c>
      <c r="L14" s="155"/>
      <c r="M14" s="155">
        <v>0</v>
      </c>
      <c r="N14" s="155"/>
      <c r="O14" s="155"/>
      <c r="P14" s="155">
        <v>0</v>
      </c>
    </row>
    <row r="15" ht="15" customHeight="1" spans="1:16" x14ac:dyDescent="0.25">
      <c r="A15" s="152" t="s">
        <v>549</v>
      </c>
      <c r="B15" s="153" t="s">
        <v>550</v>
      </c>
      <c r="C15" s="157"/>
      <c r="D15" s="155"/>
      <c r="E15" s="156"/>
      <c r="F15" s="155"/>
      <c r="G15" s="155"/>
      <c r="H15" s="155"/>
      <c r="I15" s="155"/>
      <c r="J15" s="155"/>
      <c r="K15" s="155">
        <v>959.76</v>
      </c>
      <c r="L15" s="155"/>
      <c r="M15" s="155">
        <v>0</v>
      </c>
      <c r="N15" s="155"/>
      <c r="O15" s="155"/>
      <c r="P15" s="155">
        <v>959.76</v>
      </c>
    </row>
    <row r="16" ht="15" customHeight="1" spans="1:16" x14ac:dyDescent="0.25">
      <c r="A16" s="152" t="s">
        <v>551</v>
      </c>
      <c r="B16" s="153" t="s">
        <v>552</v>
      </c>
      <c r="C16" s="157"/>
      <c r="D16" s="155"/>
      <c r="E16" s="156"/>
      <c r="F16" s="155"/>
      <c r="G16" s="155"/>
      <c r="H16" s="155"/>
      <c r="I16" s="155"/>
      <c r="J16" s="155"/>
      <c r="K16" s="155">
        <v>0</v>
      </c>
      <c r="L16" s="155"/>
      <c r="M16" s="155">
        <v>0</v>
      </c>
      <c r="N16" s="155"/>
      <c r="O16" s="155"/>
      <c r="P16" s="155">
        <v>0</v>
      </c>
    </row>
    <row r="17" ht="15" customHeight="1" spans="1:16" x14ac:dyDescent="0.25">
      <c r="A17" s="152" t="s">
        <v>553</v>
      </c>
      <c r="B17" s="153" t="s">
        <v>554</v>
      </c>
      <c r="C17" s="157"/>
      <c r="D17" s="155"/>
      <c r="E17" s="156"/>
      <c r="F17" s="155"/>
      <c r="G17" s="155"/>
      <c r="H17" s="155"/>
      <c r="I17" s="155"/>
      <c r="J17" s="155"/>
      <c r="K17" s="155">
        <v>503.25</v>
      </c>
      <c r="L17" s="155"/>
      <c r="M17" s="155">
        <v>0</v>
      </c>
      <c r="N17" s="155"/>
      <c r="O17" s="155"/>
      <c r="P17" s="155">
        <v>503.25</v>
      </c>
    </row>
    <row r="18" ht="15" customHeight="1" spans="1:16" x14ac:dyDescent="0.25">
      <c r="A18" s="152" t="s">
        <v>555</v>
      </c>
      <c r="B18" s="153" t="s">
        <v>556</v>
      </c>
      <c r="C18" s="157"/>
      <c r="D18" s="155"/>
      <c r="E18" s="156"/>
      <c r="F18" s="155"/>
      <c r="G18" s="155"/>
      <c r="H18" s="155"/>
      <c r="I18" s="155"/>
      <c r="J18" s="155"/>
      <c r="K18" s="155">
        <v>0</v>
      </c>
      <c r="L18" s="155"/>
      <c r="M18" s="155">
        <v>0</v>
      </c>
      <c r="N18" s="155"/>
      <c r="O18" s="155"/>
      <c r="P18" s="155">
        <v>0</v>
      </c>
    </row>
    <row r="19" ht="15" customHeight="1" spans="1:16" x14ac:dyDescent="0.25">
      <c r="A19" s="152" t="s">
        <v>557</v>
      </c>
      <c r="B19" s="153" t="s">
        <v>558</v>
      </c>
      <c r="C19" s="157"/>
      <c r="D19" s="155"/>
      <c r="E19" s="156"/>
      <c r="F19" s="155"/>
      <c r="G19" s="155"/>
      <c r="H19" s="155"/>
      <c r="I19" s="155"/>
      <c r="J19" s="155"/>
      <c r="K19" s="155">
        <v>35.06</v>
      </c>
      <c r="L19" s="155"/>
      <c r="M19" s="155">
        <v>0</v>
      </c>
      <c r="N19" s="155"/>
      <c r="O19" s="155"/>
      <c r="P19" s="155">
        <v>35.06</v>
      </c>
    </row>
    <row r="20" ht="15" customHeight="1" spans="1:16" x14ac:dyDescent="0.25">
      <c r="A20" s="152" t="s">
        <v>559</v>
      </c>
      <c r="B20" s="153" t="s">
        <v>560</v>
      </c>
      <c r="C20" s="157"/>
      <c r="D20" s="155"/>
      <c r="E20" s="156"/>
      <c r="F20" s="155"/>
      <c r="G20" s="155"/>
      <c r="H20" s="155"/>
      <c r="I20" s="155"/>
      <c r="J20" s="155"/>
      <c r="K20" s="155">
        <v>2394.51</v>
      </c>
      <c r="L20" s="155"/>
      <c r="M20" s="155">
        <v>0</v>
      </c>
      <c r="N20" s="155"/>
      <c r="O20" s="155"/>
      <c r="P20" s="155">
        <v>2394.51</v>
      </c>
    </row>
    <row r="21" ht="15" customHeight="1" spans="1:16" x14ac:dyDescent="0.25">
      <c r="A21" s="152" t="s">
        <v>561</v>
      </c>
      <c r="B21" s="153" t="s">
        <v>562</v>
      </c>
      <c r="C21" s="157"/>
      <c r="D21" s="155"/>
      <c r="E21" s="156"/>
      <c r="F21" s="155"/>
      <c r="G21" s="155"/>
      <c r="H21" s="155"/>
      <c r="I21" s="155"/>
      <c r="J21" s="155"/>
      <c r="K21" s="155">
        <v>0</v>
      </c>
      <c r="L21" s="155"/>
      <c r="M21" s="155">
        <v>0</v>
      </c>
      <c r="N21" s="155"/>
      <c r="O21" s="155"/>
      <c r="P21" s="155">
        <v>0</v>
      </c>
    </row>
    <row r="22" ht="15" customHeight="1" spans="1:16" x14ac:dyDescent="0.25">
      <c r="A22" s="158" t="s">
        <v>563</v>
      </c>
      <c r="B22" s="155" t="s">
        <v>564</v>
      </c>
      <c r="C22" s="155"/>
      <c r="D22" s="155"/>
      <c r="E22" s="155"/>
      <c r="F22" s="155"/>
      <c r="G22" s="155"/>
      <c r="H22" s="155"/>
      <c r="I22" s="155"/>
      <c r="J22" s="155"/>
      <c r="K22" s="155">
        <v>18</v>
      </c>
      <c r="L22" s="155"/>
      <c r="M22" s="155">
        <v>0</v>
      </c>
      <c r="N22" s="155"/>
      <c r="O22" s="155"/>
      <c r="P22" s="155">
        <v>18</v>
      </c>
    </row>
    <row r="23" ht="15" customHeight="1" spans="1:16" x14ac:dyDescent="0.25">
      <c r="A23" s="158" t="s">
        <v>565</v>
      </c>
      <c r="B23" s="155" t="s">
        <v>566</v>
      </c>
      <c r="C23" s="155"/>
      <c r="D23" s="155"/>
      <c r="E23" s="155"/>
      <c r="F23" s="155"/>
      <c r="G23" s="155"/>
      <c r="H23" s="155"/>
      <c r="I23" s="155"/>
      <c r="J23" s="155"/>
      <c r="K23" s="155">
        <v>0</v>
      </c>
      <c r="L23" s="155"/>
      <c r="M23" s="155">
        <v>0</v>
      </c>
      <c r="N23" s="155"/>
      <c r="O23" s="155"/>
      <c r="P23" s="155">
        <v>0</v>
      </c>
    </row>
    <row r="24" ht="15" customHeight="1" spans="1:16" x14ac:dyDescent="0.25">
      <c r="A24" s="155"/>
      <c r="B24" s="153"/>
      <c r="C24" s="157"/>
      <c r="D24" s="155"/>
      <c r="E24" s="156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</row>
    <row r="25" ht="15" customHeight="1" spans="1:16" x14ac:dyDescent="0.25">
      <c r="A25" s="148" t="s">
        <v>567</v>
      </c>
      <c r="B25" s="149"/>
      <c r="C25" s="159"/>
      <c r="D25" s="150"/>
      <c r="E25" s="151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</row>
    <row r="26" ht="15" customHeight="1" spans="1:16" x14ac:dyDescent="0.25">
      <c r="A26" s="152" t="s">
        <v>568</v>
      </c>
      <c r="B26" s="153" t="s">
        <v>569</v>
      </c>
      <c r="C26" s="154"/>
      <c r="D26" s="155"/>
      <c r="E26" s="156"/>
      <c r="F26" s="155"/>
      <c r="G26" s="155"/>
      <c r="H26" s="155"/>
      <c r="I26" s="155"/>
      <c r="J26" s="155"/>
      <c r="K26" s="155">
        <v>4.21</v>
      </c>
      <c r="L26" s="155"/>
      <c r="M26" s="155">
        <v>0</v>
      </c>
      <c r="N26" s="155"/>
      <c r="O26" s="155"/>
      <c r="P26" s="155">
        <v>4.21</v>
      </c>
    </row>
    <row r="27" ht="15" customHeight="1" spans="1:16" x14ac:dyDescent="0.25">
      <c r="A27" s="152" t="s">
        <v>570</v>
      </c>
      <c r="B27" s="153" t="s">
        <v>571</v>
      </c>
      <c r="C27" s="154"/>
      <c r="D27" s="155"/>
      <c r="E27" s="156"/>
      <c r="F27" s="155"/>
      <c r="G27" s="155"/>
      <c r="H27" s="155"/>
      <c r="I27" s="155"/>
      <c r="J27" s="155"/>
      <c r="K27" s="155">
        <v>0</v>
      </c>
      <c r="L27" s="155"/>
      <c r="M27" s="155">
        <v>0</v>
      </c>
      <c r="N27" s="155"/>
      <c r="O27" s="155"/>
      <c r="P27" s="155">
        <v>0</v>
      </c>
    </row>
    <row r="28" ht="15" customHeight="1" spans="1:16" x14ac:dyDescent="0.25">
      <c r="A28" s="152" t="s">
        <v>533</v>
      </c>
      <c r="B28" s="153" t="s">
        <v>572</v>
      </c>
      <c r="C28" s="154"/>
      <c r="D28" s="155"/>
      <c r="E28" s="156"/>
      <c r="F28" s="155"/>
      <c r="G28" s="155"/>
      <c r="H28" s="155"/>
      <c r="I28" s="155"/>
      <c r="J28" s="155"/>
      <c r="K28" s="155">
        <v>38.57</v>
      </c>
      <c r="L28" s="155"/>
      <c r="M28" s="155">
        <v>0</v>
      </c>
      <c r="N28" s="155"/>
      <c r="O28" s="155"/>
      <c r="P28" s="155">
        <v>38.57</v>
      </c>
    </row>
    <row r="29" ht="15" customHeight="1" spans="1:16" x14ac:dyDescent="0.25">
      <c r="A29" s="152" t="s">
        <v>573</v>
      </c>
      <c r="B29" s="153" t="s">
        <v>574</v>
      </c>
      <c r="C29" s="154"/>
      <c r="D29" s="155"/>
      <c r="E29" s="156"/>
      <c r="F29" s="155"/>
      <c r="G29" s="155"/>
      <c r="H29" s="155"/>
      <c r="I29" s="155"/>
      <c r="J29" s="155"/>
      <c r="K29" s="155">
        <v>0</v>
      </c>
      <c r="L29" s="155"/>
      <c r="M29" s="155">
        <v>0</v>
      </c>
      <c r="N29" s="155"/>
      <c r="O29" s="155"/>
      <c r="P29" s="155">
        <v>0</v>
      </c>
    </row>
    <row r="30" ht="15" customHeight="1" spans="1:16" x14ac:dyDescent="0.25">
      <c r="A30" s="152" t="s">
        <v>575</v>
      </c>
      <c r="B30" s="153" t="s">
        <v>576</v>
      </c>
      <c r="C30" s="157"/>
      <c r="D30" s="155"/>
      <c r="E30" s="156"/>
      <c r="F30" s="155"/>
      <c r="G30" s="155"/>
      <c r="H30" s="155"/>
      <c r="I30" s="155"/>
      <c r="J30" s="155"/>
      <c r="K30" s="155">
        <v>0</v>
      </c>
      <c r="L30" s="155"/>
      <c r="M30" s="155">
        <v>0</v>
      </c>
      <c r="N30" s="155"/>
      <c r="O30" s="155"/>
      <c r="P30" s="155">
        <v>0</v>
      </c>
    </row>
    <row r="31" ht="15" customHeight="1" spans="1:16" x14ac:dyDescent="0.25">
      <c r="A31" s="152" t="s">
        <v>537</v>
      </c>
      <c r="B31" s="153" t="s">
        <v>577</v>
      </c>
      <c r="C31" s="154"/>
      <c r="D31" s="155"/>
      <c r="E31" s="156"/>
      <c r="F31" s="155"/>
      <c r="G31" s="155"/>
      <c r="H31" s="155"/>
      <c r="I31" s="155"/>
      <c r="J31" s="155"/>
      <c r="K31" s="155">
        <v>18.19</v>
      </c>
      <c r="L31" s="155"/>
      <c r="M31" s="155">
        <v>0</v>
      </c>
      <c r="N31" s="155"/>
      <c r="O31" s="155"/>
      <c r="P31" s="155">
        <v>18.19</v>
      </c>
    </row>
    <row r="32" ht="15" customHeight="1" spans="1:16" x14ac:dyDescent="0.25">
      <c r="A32" s="152" t="s">
        <v>578</v>
      </c>
      <c r="B32" s="153" t="s">
        <v>579</v>
      </c>
      <c r="C32" s="154"/>
      <c r="D32" s="155"/>
      <c r="E32" s="156"/>
      <c r="F32" s="155"/>
      <c r="G32" s="155"/>
      <c r="H32" s="155"/>
      <c r="I32" s="155"/>
      <c r="J32" s="155"/>
      <c r="K32" s="155">
        <v>0</v>
      </c>
      <c r="L32" s="155"/>
      <c r="M32" s="155">
        <v>0</v>
      </c>
      <c r="N32" s="155"/>
      <c r="O32" s="155"/>
      <c r="P32" s="155">
        <v>0</v>
      </c>
    </row>
    <row r="33" ht="15" customHeight="1" spans="1:16" x14ac:dyDescent="0.25">
      <c r="A33" s="152" t="s">
        <v>547</v>
      </c>
      <c r="B33" s="153" t="s">
        <v>580</v>
      </c>
      <c r="C33" s="154"/>
      <c r="D33" s="155"/>
      <c r="E33" s="156"/>
      <c r="F33" s="155"/>
      <c r="G33" s="155"/>
      <c r="H33" s="155"/>
      <c r="I33" s="155"/>
      <c r="J33" s="155"/>
      <c r="K33" s="155">
        <v>164.05</v>
      </c>
      <c r="L33" s="155"/>
      <c r="M33" s="155">
        <v>0</v>
      </c>
      <c r="N33" s="155"/>
      <c r="O33" s="155"/>
      <c r="P33" s="155">
        <v>164.05</v>
      </c>
    </row>
    <row r="34" ht="15" customHeight="1" spans="1:16" x14ac:dyDescent="0.25">
      <c r="A34" s="152" t="s">
        <v>581</v>
      </c>
      <c r="B34" s="153" t="s">
        <v>582</v>
      </c>
      <c r="C34" s="157"/>
      <c r="D34" s="157"/>
      <c r="E34" s="156"/>
      <c r="F34" s="155"/>
      <c r="G34" s="155"/>
      <c r="H34" s="155"/>
      <c r="I34" s="155"/>
      <c r="J34" s="155"/>
      <c r="K34" s="155">
        <v>0</v>
      </c>
      <c r="L34" s="155"/>
      <c r="M34" s="155">
        <v>0</v>
      </c>
      <c r="N34" s="155"/>
      <c r="O34" s="155"/>
      <c r="P34" s="155">
        <v>0</v>
      </c>
    </row>
    <row r="35" ht="15" customHeight="1" spans="1:16" x14ac:dyDescent="0.25">
      <c r="A35" s="152" t="s">
        <v>583</v>
      </c>
      <c r="B35" s="153" t="s">
        <v>584</v>
      </c>
      <c r="C35" s="157"/>
      <c r="D35" s="157"/>
      <c r="E35" s="156"/>
      <c r="F35" s="155"/>
      <c r="G35" s="155"/>
      <c r="H35" s="155"/>
      <c r="I35" s="155"/>
      <c r="J35" s="155"/>
      <c r="K35" s="155">
        <v>141.81</v>
      </c>
      <c r="L35" s="155"/>
      <c r="M35" s="155">
        <v>0</v>
      </c>
      <c r="N35" s="155"/>
      <c r="O35" s="155"/>
      <c r="P35" s="155">
        <v>141.81</v>
      </c>
    </row>
    <row r="36" ht="15" customHeight="1" spans="1:16" x14ac:dyDescent="0.25">
      <c r="A36" s="152" t="s">
        <v>585</v>
      </c>
      <c r="B36" s="153" t="s">
        <v>586</v>
      </c>
      <c r="C36" s="157"/>
      <c r="D36" s="157"/>
      <c r="E36" s="156"/>
      <c r="F36" s="155"/>
      <c r="G36" s="155"/>
      <c r="H36" s="155"/>
      <c r="I36" s="155"/>
      <c r="J36" s="155"/>
      <c r="K36" s="155">
        <v>0</v>
      </c>
      <c r="L36" s="155"/>
      <c r="M36" s="155">
        <v>0</v>
      </c>
      <c r="N36" s="155"/>
      <c r="O36" s="155"/>
      <c r="P36" s="155">
        <v>0</v>
      </c>
    </row>
    <row r="37" ht="15" customHeight="1" spans="1:16" x14ac:dyDescent="0.25">
      <c r="A37" s="152" t="s">
        <v>587</v>
      </c>
      <c r="B37" s="153" t="s">
        <v>588</v>
      </c>
      <c r="C37" s="154"/>
      <c r="D37" s="157"/>
      <c r="E37" s="156"/>
      <c r="F37" s="155"/>
      <c r="G37" s="155"/>
      <c r="H37" s="155"/>
      <c r="I37" s="155"/>
      <c r="J37" s="155"/>
      <c r="K37" s="155">
        <v>0</v>
      </c>
      <c r="L37" s="155"/>
      <c r="M37" s="155">
        <v>0</v>
      </c>
      <c r="N37" s="155"/>
      <c r="O37" s="155"/>
      <c r="P37" s="155">
        <v>0</v>
      </c>
    </row>
    <row r="38" ht="15" customHeight="1" spans="1:16" x14ac:dyDescent="0.25">
      <c r="A38" s="152" t="s">
        <v>551</v>
      </c>
      <c r="B38" s="153" t="s">
        <v>589</v>
      </c>
      <c r="C38" s="154"/>
      <c r="D38" s="155"/>
      <c r="E38" s="156"/>
      <c r="F38" s="155"/>
      <c r="G38" s="155"/>
      <c r="H38" s="155"/>
      <c r="I38" s="155"/>
      <c r="J38" s="155"/>
      <c r="K38" s="155">
        <v>0</v>
      </c>
      <c r="L38" s="155"/>
      <c r="M38" s="155">
        <v>0</v>
      </c>
      <c r="N38" s="155"/>
      <c r="O38" s="155"/>
      <c r="P38" s="155">
        <v>0</v>
      </c>
    </row>
    <row r="39" ht="15" customHeight="1" spans="1:16" x14ac:dyDescent="0.25">
      <c r="A39" s="152" t="s">
        <v>590</v>
      </c>
      <c r="B39" s="153" t="s">
        <v>591</v>
      </c>
      <c r="C39" s="154"/>
      <c r="D39" s="157"/>
      <c r="E39" s="156"/>
      <c r="F39" s="155"/>
      <c r="G39" s="155"/>
      <c r="H39" s="155"/>
      <c r="I39" s="155"/>
      <c r="J39" s="155"/>
      <c r="K39" s="155">
        <v>0</v>
      </c>
      <c r="L39" s="155"/>
      <c r="M39" s="155">
        <v>0</v>
      </c>
      <c r="N39" s="155"/>
      <c r="O39" s="155"/>
      <c r="P39" s="155">
        <v>0</v>
      </c>
    </row>
    <row r="40" ht="15" customHeight="1" spans="1:16" x14ac:dyDescent="0.25">
      <c r="A40" s="152" t="s">
        <v>592</v>
      </c>
      <c r="B40" s="153" t="s">
        <v>593</v>
      </c>
      <c r="C40" s="154"/>
      <c r="D40" s="155"/>
      <c r="E40" s="156"/>
      <c r="F40" s="155"/>
      <c r="G40" s="155"/>
      <c r="H40" s="155"/>
      <c r="I40" s="155"/>
      <c r="J40" s="155"/>
      <c r="K40" s="155">
        <v>0</v>
      </c>
      <c r="L40" s="155"/>
      <c r="M40" s="155">
        <v>0</v>
      </c>
      <c r="N40" s="155"/>
      <c r="O40" s="155"/>
      <c r="P40" s="155">
        <v>0</v>
      </c>
    </row>
    <row r="41" ht="15" customHeight="1" spans="1:16" x14ac:dyDescent="0.25">
      <c r="A41" s="152" t="s">
        <v>555</v>
      </c>
      <c r="B41" s="153" t="s">
        <v>594</v>
      </c>
      <c r="C41" s="154"/>
      <c r="D41" s="155"/>
      <c r="E41" s="156"/>
      <c r="F41" s="155"/>
      <c r="G41" s="155"/>
      <c r="H41" s="155"/>
      <c r="I41" s="155"/>
      <c r="J41" s="155"/>
      <c r="K41" s="155">
        <v>1033.09</v>
      </c>
      <c r="L41" s="155"/>
      <c r="M41" s="155">
        <v>0</v>
      </c>
      <c r="N41" s="155"/>
      <c r="O41" s="155"/>
      <c r="P41" s="155">
        <v>1033.09</v>
      </c>
    </row>
    <row r="42" ht="15" customHeight="1" spans="1:16" x14ac:dyDescent="0.25">
      <c r="A42" s="152" t="s">
        <v>595</v>
      </c>
      <c r="B42" s="153" t="s">
        <v>596</v>
      </c>
      <c r="C42" s="154"/>
      <c r="D42" s="155"/>
      <c r="E42" s="156"/>
      <c r="F42" s="155"/>
      <c r="G42" s="155"/>
      <c r="H42" s="155"/>
      <c r="I42" s="155"/>
      <c r="J42" s="155"/>
      <c r="K42" s="155">
        <v>55.85</v>
      </c>
      <c r="L42" s="155"/>
      <c r="M42" s="155">
        <v>0</v>
      </c>
      <c r="N42" s="155"/>
      <c r="O42" s="155"/>
      <c r="P42" s="155">
        <v>55.85</v>
      </c>
    </row>
    <row r="43" ht="15" customHeight="1" spans="1:16" x14ac:dyDescent="0.25">
      <c r="A43" s="152" t="s">
        <v>597</v>
      </c>
      <c r="B43" s="153" t="s">
        <v>598</v>
      </c>
      <c r="C43" s="154"/>
      <c r="D43" s="155"/>
      <c r="E43" s="156"/>
      <c r="F43" s="155"/>
      <c r="G43" s="155"/>
      <c r="H43" s="155"/>
      <c r="I43" s="155"/>
      <c r="J43" s="155"/>
      <c r="K43" s="155">
        <v>541.29</v>
      </c>
      <c r="L43" s="155"/>
      <c r="M43" s="155">
        <v>0</v>
      </c>
      <c r="N43" s="155"/>
      <c r="O43" s="155"/>
      <c r="P43" s="155">
        <v>541.29</v>
      </c>
    </row>
    <row r="44" ht="15" customHeight="1" spans="1:16" x14ac:dyDescent="0.25">
      <c r="A44" s="152" t="s">
        <v>599</v>
      </c>
      <c r="B44" s="153" t="s">
        <v>600</v>
      </c>
      <c r="C44" s="154"/>
      <c r="D44" s="157"/>
      <c r="E44" s="156"/>
      <c r="F44" s="155"/>
      <c r="G44" s="155"/>
      <c r="H44" s="155"/>
      <c r="I44" s="155"/>
      <c r="J44" s="155"/>
      <c r="K44" s="155">
        <v>0</v>
      </c>
      <c r="L44" s="155"/>
      <c r="M44" s="155">
        <v>0</v>
      </c>
      <c r="N44" s="155"/>
      <c r="O44" s="155"/>
      <c r="P44" s="155">
        <v>0</v>
      </c>
    </row>
    <row r="45" ht="15" customHeight="1" spans="1:16" x14ac:dyDescent="0.25">
      <c r="A45" s="152" t="s">
        <v>601</v>
      </c>
      <c r="B45" s="153" t="s">
        <v>602</v>
      </c>
      <c r="C45" s="154"/>
      <c r="D45" s="157"/>
      <c r="E45" s="155"/>
      <c r="F45" s="155"/>
      <c r="G45" s="155"/>
      <c r="H45" s="155"/>
      <c r="I45" s="155"/>
      <c r="J45" s="155"/>
      <c r="K45" s="155">
        <v>0</v>
      </c>
      <c r="L45" s="155"/>
      <c r="M45" s="155">
        <v>0</v>
      </c>
      <c r="N45" s="155"/>
      <c r="O45" s="155"/>
      <c r="P45" s="155">
        <v>0</v>
      </c>
    </row>
    <row r="46" ht="15" customHeight="1" spans="1:16" x14ac:dyDescent="0.25">
      <c r="A46" s="152" t="s">
        <v>603</v>
      </c>
      <c r="B46" s="153" t="s">
        <v>604</v>
      </c>
      <c r="C46" s="154"/>
      <c r="D46" s="157"/>
      <c r="E46" s="156"/>
      <c r="F46" s="155"/>
      <c r="G46" s="155"/>
      <c r="H46" s="155"/>
      <c r="I46" s="155"/>
      <c r="J46" s="155"/>
      <c r="K46" s="155">
        <v>0</v>
      </c>
      <c r="L46" s="155"/>
      <c r="M46" s="155">
        <v>0</v>
      </c>
      <c r="N46" s="155"/>
      <c r="O46" s="155"/>
      <c r="P46" s="155">
        <v>0</v>
      </c>
    </row>
    <row r="47" ht="15" customHeight="1" spans="1:16" x14ac:dyDescent="0.25">
      <c r="A47" s="152" t="s">
        <v>605</v>
      </c>
      <c r="B47" s="153" t="s">
        <v>606</v>
      </c>
      <c r="C47" s="154"/>
      <c r="D47" s="157"/>
      <c r="E47" s="156"/>
      <c r="F47" s="155"/>
      <c r="G47" s="155"/>
      <c r="H47" s="155"/>
      <c r="I47" s="155"/>
      <c r="J47" s="155"/>
      <c r="K47" s="155">
        <v>82.33</v>
      </c>
      <c r="L47" s="155"/>
      <c r="M47" s="155">
        <v>0</v>
      </c>
      <c r="N47" s="155"/>
      <c r="O47" s="155"/>
      <c r="P47" s="155">
        <v>82.33</v>
      </c>
    </row>
    <row r="48" ht="15" customHeight="1" spans="1:16" x14ac:dyDescent="0.25">
      <c r="A48" s="152" t="s">
        <v>607</v>
      </c>
      <c r="B48" s="153" t="s">
        <v>608</v>
      </c>
      <c r="C48" s="154"/>
      <c r="D48" s="157"/>
      <c r="E48" s="156"/>
      <c r="F48" s="155"/>
      <c r="G48" s="155"/>
      <c r="H48" s="155"/>
      <c r="I48" s="155"/>
      <c r="J48" s="155"/>
      <c r="K48" s="155">
        <v>2500</v>
      </c>
      <c r="L48" s="155"/>
      <c r="M48" s="155">
        <v>0</v>
      </c>
      <c r="N48" s="155"/>
      <c r="O48" s="155"/>
      <c r="P48" s="155">
        <v>2500</v>
      </c>
    </row>
    <row r="49" ht="15" customHeight="1" spans="1:16" x14ac:dyDescent="0.25">
      <c r="A49" s="152" t="s">
        <v>557</v>
      </c>
      <c r="B49" s="153" t="s">
        <v>609</v>
      </c>
      <c r="C49" s="154"/>
      <c r="D49" s="155"/>
      <c r="E49" s="156"/>
      <c r="F49" s="155"/>
      <c r="G49" s="155"/>
      <c r="H49" s="155"/>
      <c r="I49" s="155"/>
      <c r="J49" s="155"/>
      <c r="K49" s="155">
        <v>49.08</v>
      </c>
      <c r="L49" s="155"/>
      <c r="M49" s="155">
        <v>0</v>
      </c>
      <c r="N49" s="155"/>
      <c r="O49" s="155"/>
      <c r="P49" s="155">
        <v>49.08</v>
      </c>
    </row>
    <row r="50" ht="15" customHeight="1" spans="1:16" x14ac:dyDescent="0.25">
      <c r="A50" s="152" t="s">
        <v>610</v>
      </c>
      <c r="B50" s="153" t="s">
        <v>611</v>
      </c>
      <c r="C50" s="157"/>
      <c r="D50" s="155"/>
      <c r="E50" s="156"/>
      <c r="F50" s="155"/>
      <c r="G50" s="155"/>
      <c r="H50" s="155"/>
      <c r="I50" s="155"/>
      <c r="J50" s="155"/>
      <c r="K50" s="155">
        <v>4779.29</v>
      </c>
      <c r="L50" s="155"/>
      <c r="M50" s="155">
        <v>0</v>
      </c>
      <c r="N50" s="155"/>
      <c r="O50" s="155"/>
      <c r="P50" s="155">
        <v>4779.29</v>
      </c>
    </row>
    <row r="51" ht="15" customHeight="1" spans="1:16" x14ac:dyDescent="0.25">
      <c r="A51" s="152" t="s">
        <v>612</v>
      </c>
      <c r="B51" s="153" t="s">
        <v>613</v>
      </c>
      <c r="C51" s="157"/>
      <c r="D51" s="155"/>
      <c r="E51" s="156"/>
      <c r="F51" s="155"/>
      <c r="G51" s="155"/>
      <c r="H51" s="155"/>
      <c r="I51" s="155"/>
      <c r="J51" s="155"/>
      <c r="K51" s="155">
        <v>0</v>
      </c>
      <c r="L51" s="155"/>
      <c r="M51" s="155">
        <v>0</v>
      </c>
      <c r="N51" s="155"/>
      <c r="O51" s="155"/>
      <c r="P51" s="155">
        <v>0</v>
      </c>
    </row>
    <row r="52" ht="15" customHeight="1" spans="1:16" x14ac:dyDescent="0.25">
      <c r="A52" s="152" t="s">
        <v>614</v>
      </c>
      <c r="B52" s="153" t="s">
        <v>615</v>
      </c>
      <c r="C52" s="157"/>
      <c r="D52" s="155"/>
      <c r="E52" s="156"/>
      <c r="F52" s="155"/>
      <c r="G52" s="155"/>
      <c r="H52" s="155"/>
      <c r="I52" s="155"/>
      <c r="J52" s="155"/>
      <c r="K52" s="155">
        <v>0</v>
      </c>
      <c r="L52" s="155"/>
      <c r="M52" s="155">
        <v>0</v>
      </c>
      <c r="N52" s="155"/>
      <c r="O52" s="155"/>
      <c r="P52" s="155">
        <v>0</v>
      </c>
    </row>
    <row r="53" ht="15" customHeight="1" spans="1:16" x14ac:dyDescent="0.25">
      <c r="A53" s="152" t="s">
        <v>616</v>
      </c>
      <c r="B53" s="153" t="s">
        <v>617</v>
      </c>
      <c r="C53" s="157"/>
      <c r="D53" s="155"/>
      <c r="E53" s="156"/>
      <c r="F53" s="155"/>
      <c r="G53" s="155"/>
      <c r="H53" s="155"/>
      <c r="I53" s="155"/>
      <c r="J53" s="155"/>
      <c r="K53" s="155">
        <v>0</v>
      </c>
      <c r="L53" s="155"/>
      <c r="M53" s="155">
        <v>0</v>
      </c>
      <c r="N53" s="155"/>
      <c r="O53" s="155"/>
      <c r="P53" s="155">
        <v>0</v>
      </c>
    </row>
    <row r="54" ht="15" customHeight="1" spans="1:16" x14ac:dyDescent="0.25">
      <c r="A54" s="152" t="s">
        <v>618</v>
      </c>
      <c r="B54" s="153" t="s">
        <v>619</v>
      </c>
      <c r="C54" s="157"/>
      <c r="D54" s="155"/>
      <c r="E54" s="156"/>
      <c r="F54" s="155"/>
      <c r="G54" s="155"/>
      <c r="H54" s="155"/>
      <c r="I54" s="155"/>
      <c r="J54" s="155"/>
      <c r="K54" s="155">
        <v>0</v>
      </c>
      <c r="L54" s="155"/>
      <c r="M54" s="155">
        <v>0</v>
      </c>
      <c r="N54" s="155"/>
      <c r="O54" s="155"/>
      <c r="P54" s="155">
        <v>0</v>
      </c>
    </row>
    <row r="55" ht="15" customHeight="1" spans="1:16" x14ac:dyDescent="0.25">
      <c r="A55" s="152" t="s">
        <v>620</v>
      </c>
      <c r="B55" s="153" t="s">
        <v>621</v>
      </c>
      <c r="C55" s="157"/>
      <c r="D55" s="155"/>
      <c r="E55" s="156"/>
      <c r="F55" s="155"/>
      <c r="G55" s="155"/>
      <c r="H55" s="155"/>
      <c r="I55" s="155"/>
      <c r="J55" s="155"/>
      <c r="K55" s="155">
        <v>0</v>
      </c>
      <c r="L55" s="155"/>
      <c r="M55" s="155">
        <v>0</v>
      </c>
      <c r="N55" s="155"/>
      <c r="O55" s="155"/>
      <c r="P55" s="155">
        <v>0</v>
      </c>
    </row>
    <row r="56" ht="15" customHeight="1" spans="1:16" x14ac:dyDescent="0.25">
      <c r="A56" s="152" t="s">
        <v>622</v>
      </c>
      <c r="B56" s="153" t="s">
        <v>623</v>
      </c>
      <c r="C56" s="157"/>
      <c r="D56" s="155"/>
      <c r="E56" s="156"/>
      <c r="F56" s="155"/>
      <c r="G56" s="155"/>
      <c r="H56" s="155"/>
      <c r="I56" s="155"/>
      <c r="J56" s="155"/>
      <c r="K56" s="155">
        <v>0</v>
      </c>
      <c r="L56" s="155"/>
      <c r="M56" s="155">
        <v>0</v>
      </c>
      <c r="N56" s="155"/>
      <c r="O56" s="155"/>
      <c r="P56" s="155">
        <v>0</v>
      </c>
    </row>
    <row r="57" ht="15" customHeight="1" spans="1:16" x14ac:dyDescent="0.25">
      <c r="A57" s="152" t="s">
        <v>624</v>
      </c>
      <c r="B57" s="153" t="s">
        <v>625</v>
      </c>
      <c r="C57" s="157"/>
      <c r="D57" s="155"/>
      <c r="E57" s="156"/>
      <c r="F57" s="155"/>
      <c r="G57" s="155"/>
      <c r="H57" s="155"/>
      <c r="I57" s="155"/>
      <c r="J57" s="155"/>
      <c r="K57" s="155">
        <v>0</v>
      </c>
      <c r="L57" s="155"/>
      <c r="M57" s="155">
        <v>0</v>
      </c>
      <c r="N57" s="155"/>
      <c r="O57" s="155"/>
      <c r="P57" s="155">
        <v>0</v>
      </c>
    </row>
    <row r="58" ht="15" customHeight="1" spans="1:16" x14ac:dyDescent="0.25">
      <c r="A58" s="152" t="s">
        <v>626</v>
      </c>
      <c r="B58" s="153" t="s">
        <v>627</v>
      </c>
      <c r="C58" s="157"/>
      <c r="D58" s="155"/>
      <c r="E58" s="156"/>
      <c r="F58" s="155"/>
      <c r="G58" s="155"/>
      <c r="H58" s="155"/>
      <c r="I58" s="155"/>
      <c r="J58" s="155"/>
      <c r="K58" s="155">
        <v>469.85</v>
      </c>
      <c r="L58" s="155"/>
      <c r="M58" s="155">
        <v>0</v>
      </c>
      <c r="N58" s="155"/>
      <c r="O58" s="155"/>
      <c r="P58" s="155">
        <v>469.85</v>
      </c>
    </row>
    <row r="59" ht="15" customHeight="1" spans="1:16" x14ac:dyDescent="0.25">
      <c r="A59" s="152" t="s">
        <v>628</v>
      </c>
      <c r="B59" s="153" t="s">
        <v>629</v>
      </c>
      <c r="C59" s="157"/>
      <c r="D59" s="155"/>
      <c r="E59" s="156"/>
      <c r="F59" s="155"/>
      <c r="G59" s="155"/>
      <c r="H59" s="155"/>
      <c r="I59" s="155"/>
      <c r="J59" s="155"/>
      <c r="K59" s="155">
        <v>0</v>
      </c>
      <c r="L59" s="155"/>
      <c r="M59" s="155">
        <v>0</v>
      </c>
      <c r="N59" s="155"/>
      <c r="O59" s="155"/>
      <c r="P59" s="155">
        <v>0</v>
      </c>
    </row>
    <row r="60" ht="15" customHeight="1" spans="1:16" x14ac:dyDescent="0.25">
      <c r="A60" s="152" t="s">
        <v>630</v>
      </c>
      <c r="B60" s="153" t="s">
        <v>631</v>
      </c>
      <c r="C60" s="157"/>
      <c r="D60" s="155"/>
      <c r="E60" s="156"/>
      <c r="F60" s="155"/>
      <c r="G60" s="155"/>
      <c r="H60" s="155"/>
      <c r="I60" s="155"/>
      <c r="J60" s="155"/>
      <c r="K60" s="155">
        <v>0</v>
      </c>
      <c r="L60" s="155"/>
      <c r="M60" s="155">
        <v>0</v>
      </c>
      <c r="N60" s="155"/>
      <c r="O60" s="155"/>
      <c r="P60" s="155">
        <v>0</v>
      </c>
    </row>
    <row r="61" ht="15" customHeight="1" spans="1:16" x14ac:dyDescent="0.25">
      <c r="A61" s="152" t="s">
        <v>632</v>
      </c>
      <c r="B61" s="153" t="s">
        <v>633</v>
      </c>
      <c r="C61" s="157"/>
      <c r="D61" s="155"/>
      <c r="E61" s="156"/>
      <c r="F61" s="155"/>
      <c r="G61" s="155"/>
      <c r="H61" s="155"/>
      <c r="I61" s="155"/>
      <c r="J61" s="155"/>
      <c r="K61" s="155">
        <v>0</v>
      </c>
      <c r="L61" s="155"/>
      <c r="M61" s="155">
        <v>0</v>
      </c>
      <c r="N61" s="155"/>
      <c r="O61" s="155"/>
      <c r="P61" s="155">
        <v>0</v>
      </c>
    </row>
    <row r="62" ht="15" customHeight="1" spans="1:16" x14ac:dyDescent="0.25">
      <c r="A62" s="152" t="s">
        <v>634</v>
      </c>
      <c r="B62" s="155" t="s">
        <v>635</v>
      </c>
      <c r="C62" s="155"/>
      <c r="D62" s="155"/>
      <c r="E62" s="155"/>
      <c r="F62" s="155"/>
      <c r="G62" s="155"/>
      <c r="H62" s="155"/>
      <c r="I62" s="155"/>
      <c r="J62" s="155"/>
      <c r="K62" s="155">
        <v>0</v>
      </c>
      <c r="L62" s="155"/>
      <c r="M62" s="155">
        <v>0</v>
      </c>
      <c r="N62" s="155"/>
      <c r="O62" s="155"/>
      <c r="P62" s="155">
        <v>0</v>
      </c>
    </row>
    <row r="63" ht="15" customHeight="1" spans="1:16" x14ac:dyDescent="0.25">
      <c r="A63" s="152" t="s">
        <v>636</v>
      </c>
      <c r="B63" s="155" t="s">
        <v>637</v>
      </c>
      <c r="C63" s="155"/>
      <c r="D63" s="155"/>
      <c r="E63" s="155"/>
      <c r="F63" s="155"/>
      <c r="G63" s="155"/>
      <c r="H63" s="155"/>
      <c r="I63" s="155"/>
      <c r="J63" s="155"/>
      <c r="K63" s="155">
        <v>147.22</v>
      </c>
      <c r="L63" s="155"/>
      <c r="M63" s="155">
        <v>0</v>
      </c>
      <c r="N63" s="155"/>
      <c r="O63" s="155"/>
      <c r="P63" s="155">
        <v>147.22</v>
      </c>
    </row>
    <row r="64" ht="15" customHeight="1" spans="1:16" x14ac:dyDescent="0.25">
      <c r="A64" s="152" t="s">
        <v>638</v>
      </c>
      <c r="B64" s="155" t="s">
        <v>639</v>
      </c>
      <c r="C64" s="155"/>
      <c r="D64" s="155"/>
      <c r="E64" s="155"/>
      <c r="F64" s="155"/>
      <c r="G64" s="155"/>
      <c r="H64" s="155"/>
      <c r="I64" s="155"/>
      <c r="J64" s="155"/>
      <c r="K64" s="155">
        <v>0</v>
      </c>
      <c r="L64" s="155"/>
      <c r="M64" s="155">
        <v>0</v>
      </c>
      <c r="N64" s="155"/>
      <c r="O64" s="155"/>
      <c r="P64" s="155">
        <v>0</v>
      </c>
    </row>
    <row r="65" ht="15" customHeight="1" spans="1:16" x14ac:dyDescent="0.25">
      <c r="A65" s="152" t="s">
        <v>640</v>
      </c>
      <c r="B65" s="155" t="s">
        <v>641</v>
      </c>
      <c r="C65" s="155"/>
      <c r="D65" s="155"/>
      <c r="E65" s="155"/>
      <c r="F65" s="155"/>
      <c r="G65" s="155"/>
      <c r="H65" s="155"/>
      <c r="I65" s="155"/>
      <c r="J65" s="155"/>
      <c r="K65" s="155">
        <v>0</v>
      </c>
      <c r="L65" s="155"/>
      <c r="M65" s="155">
        <v>0</v>
      </c>
      <c r="N65" s="155"/>
      <c r="O65" s="155"/>
      <c r="P65" s="155">
        <v>0</v>
      </c>
    </row>
    <row r="66" ht="15" customHeight="1" spans="1:16" x14ac:dyDescent="0.25">
      <c r="A66" s="152" t="s">
        <v>642</v>
      </c>
      <c r="B66" s="155" t="s">
        <v>643</v>
      </c>
      <c r="C66" s="155"/>
      <c r="D66" s="155"/>
      <c r="E66" s="155"/>
      <c r="F66" s="155"/>
      <c r="G66" s="155"/>
      <c r="H66" s="155"/>
      <c r="I66" s="155"/>
      <c r="J66" s="155"/>
      <c r="K66" s="155">
        <v>0</v>
      </c>
      <c r="L66" s="155"/>
      <c r="M66" s="155">
        <v>0</v>
      </c>
      <c r="N66" s="155"/>
      <c r="O66" s="155"/>
      <c r="P66" s="155">
        <v>0</v>
      </c>
    </row>
    <row r="67" ht="15" customHeight="1" spans="1:16" x14ac:dyDescent="0.25">
      <c r="A67" s="158" t="s">
        <v>541</v>
      </c>
      <c r="B67" s="155" t="s">
        <v>644</v>
      </c>
      <c r="C67" s="155"/>
      <c r="D67" s="155"/>
      <c r="E67" s="155"/>
      <c r="F67" s="155"/>
      <c r="G67" s="155"/>
      <c r="H67" s="155"/>
      <c r="I67" s="155"/>
      <c r="J67" s="155"/>
      <c r="K67" s="155">
        <v>0</v>
      </c>
      <c r="L67" s="155"/>
      <c r="M67" s="155">
        <v>0</v>
      </c>
      <c r="N67" s="155"/>
      <c r="O67" s="155"/>
      <c r="P67" s="155">
        <v>0</v>
      </c>
    </row>
    <row r="68" ht="15" customHeight="1" spans="1:16" x14ac:dyDescent="0.25">
      <c r="A68" s="158" t="s">
        <v>543</v>
      </c>
      <c r="B68" s="155" t="s">
        <v>645</v>
      </c>
      <c r="C68" s="155"/>
      <c r="D68" s="155"/>
      <c r="E68" s="155"/>
      <c r="F68" s="155"/>
      <c r="G68" s="155"/>
      <c r="H68" s="155"/>
      <c r="I68" s="155"/>
      <c r="J68" s="155"/>
      <c r="K68" s="155">
        <v>0</v>
      </c>
      <c r="L68" s="155"/>
      <c r="M68" s="155">
        <v>0</v>
      </c>
      <c r="N68" s="155"/>
      <c r="O68" s="155"/>
      <c r="P68" s="155">
        <v>0</v>
      </c>
    </row>
    <row r="69" ht="15" customHeight="1" spans="1:16" x14ac:dyDescent="0.25">
      <c r="A69" s="158" t="s">
        <v>646</v>
      </c>
      <c r="B69" s="155" t="s">
        <v>647</v>
      </c>
      <c r="C69" s="155"/>
      <c r="D69" s="155"/>
      <c r="E69" s="155"/>
      <c r="F69" s="155"/>
      <c r="G69" s="155"/>
      <c r="H69" s="155"/>
      <c r="I69" s="155"/>
      <c r="J69" s="155"/>
      <c r="K69" s="155">
        <v>0</v>
      </c>
      <c r="L69" s="155"/>
      <c r="M69" s="155">
        <v>0</v>
      </c>
      <c r="N69" s="155"/>
      <c r="O69" s="155"/>
      <c r="P69" s="155">
        <v>0</v>
      </c>
    </row>
    <row r="70" ht="15" customHeight="1" spans="1:16" x14ac:dyDescent="0.25">
      <c r="A70" s="158" t="s">
        <v>648</v>
      </c>
      <c r="B70" s="155" t="s">
        <v>649</v>
      </c>
      <c r="C70" s="155"/>
      <c r="D70" s="155"/>
      <c r="E70" s="155"/>
      <c r="F70" s="155"/>
      <c r="G70" s="155"/>
      <c r="H70" s="155"/>
      <c r="I70" s="155"/>
      <c r="J70" s="155"/>
      <c r="K70" s="155">
        <v>0</v>
      </c>
      <c r="L70" s="155"/>
      <c r="M70" s="155">
        <v>0</v>
      </c>
      <c r="N70" s="155"/>
      <c r="O70" s="155"/>
      <c r="P70" s="155">
        <v>0</v>
      </c>
    </row>
    <row r="71" ht="15" customHeight="1" spans="1:16" x14ac:dyDescent="0.25">
      <c r="A71" s="158" t="s">
        <v>650</v>
      </c>
      <c r="B71" s="155" t="s">
        <v>651</v>
      </c>
      <c r="C71" s="155"/>
      <c r="D71" s="155"/>
      <c r="E71" s="155"/>
      <c r="F71" s="155"/>
      <c r="G71" s="155"/>
      <c r="H71" s="155"/>
      <c r="I71" s="155"/>
      <c r="J71" s="155"/>
      <c r="K71" s="155">
        <v>490.88</v>
      </c>
      <c r="L71" s="155"/>
      <c r="M71" s="155">
        <v>0</v>
      </c>
      <c r="N71" s="155"/>
      <c r="O71" s="155"/>
      <c r="P71" s="155">
        <v>490.88</v>
      </c>
    </row>
    <row r="72" ht="15" customHeight="1" spans="1:16" x14ac:dyDescent="0.25">
      <c r="A72" s="158" t="s">
        <v>652</v>
      </c>
      <c r="B72" s="155" t="s">
        <v>653</v>
      </c>
      <c r="C72" s="155"/>
      <c r="D72" s="155"/>
      <c r="E72" s="155"/>
      <c r="F72" s="155"/>
      <c r="G72" s="155"/>
      <c r="H72" s="155"/>
      <c r="I72" s="155"/>
      <c r="J72" s="155"/>
      <c r="K72" s="155">
        <v>72.52</v>
      </c>
      <c r="L72" s="155"/>
      <c r="M72" s="155">
        <v>0</v>
      </c>
      <c r="N72" s="155"/>
      <c r="O72" s="155"/>
      <c r="P72" s="155">
        <v>72.52</v>
      </c>
    </row>
    <row r="73" ht="15" customHeight="1" spans="1:16" x14ac:dyDescent="0.25">
      <c r="A73" s="158" t="s">
        <v>654</v>
      </c>
      <c r="B73" s="155" t="s">
        <v>655</v>
      </c>
      <c r="C73" s="155"/>
      <c r="D73" s="155"/>
      <c r="E73" s="155"/>
      <c r="F73" s="155"/>
      <c r="G73" s="155"/>
      <c r="H73" s="155"/>
      <c r="I73" s="155"/>
      <c r="J73" s="155"/>
      <c r="K73" s="155">
        <v>27.35</v>
      </c>
      <c r="L73" s="155"/>
      <c r="M73" s="155">
        <v>0</v>
      </c>
      <c r="N73" s="155"/>
      <c r="O73" s="155"/>
      <c r="P73" s="155">
        <v>27.35</v>
      </c>
    </row>
    <row r="74" ht="15" customHeight="1" spans="1:16" x14ac:dyDescent="0.25">
      <c r="A74" s="155"/>
      <c r="B74" s="153"/>
      <c r="C74" s="157"/>
      <c r="D74" s="155"/>
      <c r="E74" s="156"/>
      <c r="F74" s="155"/>
      <c r="G74" s="155"/>
      <c r="H74" s="155"/>
      <c r="I74" s="155"/>
      <c r="J74" s="155"/>
      <c r="K74" s="155"/>
      <c r="L74" s="155"/>
      <c r="M74" s="155"/>
      <c r="N74" s="155"/>
      <c r="O74" s="155"/>
      <c r="P74" s="155"/>
    </row>
    <row r="75" ht="15" customHeight="1" spans="1:16" x14ac:dyDescent="0.25">
      <c r="A75" s="148" t="s">
        <v>656</v>
      </c>
      <c r="B75" s="149"/>
      <c r="C75" s="160"/>
      <c r="D75" s="148"/>
      <c r="E75" s="151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</row>
    <row r="76" ht="15" customHeight="1" spans="1:16" x14ac:dyDescent="0.25">
      <c r="A76" s="152" t="s">
        <v>599</v>
      </c>
      <c r="B76" s="153" t="s">
        <v>657</v>
      </c>
      <c r="C76" s="154"/>
      <c r="D76" s="155"/>
      <c r="E76" s="156"/>
      <c r="F76" s="155"/>
      <c r="G76" s="155"/>
      <c r="H76" s="155"/>
      <c r="I76" s="155"/>
      <c r="J76" s="155"/>
      <c r="K76" s="155">
        <v>0</v>
      </c>
      <c r="L76" s="155"/>
      <c r="M76" s="155">
        <v>0</v>
      </c>
      <c r="N76" s="155"/>
      <c r="O76" s="155"/>
      <c r="P76" s="155">
        <v>0</v>
      </c>
    </row>
    <row r="77" ht="15" customHeight="1" spans="1:16" x14ac:dyDescent="0.25">
      <c r="A77" s="155"/>
      <c r="B77" s="153"/>
      <c r="C77" s="154"/>
      <c r="D77" s="155"/>
      <c r="E77" s="156"/>
      <c r="F77" s="155"/>
      <c r="G77" s="155"/>
      <c r="H77" s="155"/>
      <c r="I77" s="155"/>
      <c r="J77" s="155"/>
      <c r="K77" s="155"/>
      <c r="L77" s="155"/>
      <c r="M77" s="155"/>
      <c r="N77" s="155"/>
      <c r="O77" s="155"/>
      <c r="P77" s="155"/>
    </row>
    <row r="78" ht="15" customHeight="1" spans="1:16" x14ac:dyDescent="0.25">
      <c r="A78" s="148" t="s">
        <v>658</v>
      </c>
      <c r="B78" s="149"/>
      <c r="C78" s="150"/>
      <c r="D78" s="148"/>
      <c r="E78" s="151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</row>
    <row r="79" ht="15" customHeight="1" spans="1:16" x14ac:dyDescent="0.25">
      <c r="A79" s="152" t="s">
        <v>599</v>
      </c>
      <c r="B79" s="153" t="s">
        <v>659</v>
      </c>
      <c r="C79" s="154"/>
      <c r="D79" s="157"/>
      <c r="E79" s="156"/>
      <c r="F79" s="155"/>
      <c r="G79" s="155"/>
      <c r="H79" s="155"/>
      <c r="I79" s="155"/>
      <c r="J79" s="155"/>
      <c r="K79" s="155">
        <v>0</v>
      </c>
      <c r="L79" s="155"/>
      <c r="M79" s="155">
        <v>0</v>
      </c>
      <c r="N79" s="155"/>
      <c r="O79" s="155"/>
      <c r="P79" s="155">
        <v>0</v>
      </c>
    </row>
    <row r="80" ht="15" customHeight="1" spans="1:16" x14ac:dyDescent="0.25">
      <c r="A80" s="152" t="s">
        <v>660</v>
      </c>
      <c r="B80" s="153" t="s">
        <v>661</v>
      </c>
      <c r="C80" s="154"/>
      <c r="D80" s="157"/>
      <c r="E80" s="156"/>
      <c r="F80" s="155"/>
      <c r="G80" s="155"/>
      <c r="H80" s="155"/>
      <c r="I80" s="155"/>
      <c r="J80" s="155"/>
      <c r="K80" s="155">
        <v>0</v>
      </c>
      <c r="L80" s="155"/>
      <c r="M80" s="155">
        <v>0</v>
      </c>
      <c r="N80" s="155"/>
      <c r="O80" s="155"/>
      <c r="P80" s="155">
        <v>0</v>
      </c>
    </row>
    <row r="81" ht="15" customHeight="1" spans="1:16" x14ac:dyDescent="0.25">
      <c r="A81" s="155"/>
      <c r="B81" s="153"/>
      <c r="C81" s="154"/>
      <c r="D81" s="156"/>
      <c r="E81" s="156"/>
      <c r="F81" s="155"/>
      <c r="G81" s="155"/>
      <c r="H81" s="155"/>
      <c r="I81" s="155"/>
      <c r="J81" s="155"/>
      <c r="K81" s="155"/>
      <c r="L81" s="155"/>
      <c r="M81" s="155"/>
      <c r="N81" s="155"/>
      <c r="O81" s="155"/>
      <c r="P81" s="155"/>
    </row>
    <row r="82" ht="15" customHeight="1" spans="1:16" x14ac:dyDescent="0.25">
      <c r="A82" s="148" t="s">
        <v>662</v>
      </c>
      <c r="B82" s="149"/>
      <c r="C82" s="150"/>
      <c r="D82" s="160"/>
      <c r="E82" s="151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</row>
    <row r="83" ht="15" customHeight="1" spans="1:16" x14ac:dyDescent="0.25">
      <c r="A83" s="152" t="s">
        <v>663</v>
      </c>
      <c r="B83" s="153" t="s">
        <v>664</v>
      </c>
      <c r="C83" s="154"/>
      <c r="D83" s="157"/>
      <c r="E83" s="156"/>
      <c r="F83" s="155"/>
      <c r="G83" s="155"/>
      <c r="H83" s="155"/>
      <c r="I83" s="155"/>
      <c r="J83" s="155"/>
      <c r="K83" s="155">
        <v>17015.23</v>
      </c>
      <c r="L83" s="155"/>
      <c r="M83" s="155">
        <v>0</v>
      </c>
      <c r="N83" s="155"/>
      <c r="O83" s="155"/>
      <c r="P83" s="155">
        <v>17015.23</v>
      </c>
    </row>
    <row r="84" ht="15" customHeight="1" spans="1:16" x14ac:dyDescent="0.25">
      <c r="A84" s="152" t="s">
        <v>531</v>
      </c>
      <c r="B84" s="153" t="s">
        <v>665</v>
      </c>
      <c r="C84" s="154"/>
      <c r="D84" s="157"/>
      <c r="E84" s="156"/>
      <c r="F84" s="155"/>
      <c r="G84" s="155"/>
      <c r="H84" s="155"/>
      <c r="I84" s="155"/>
      <c r="J84" s="155"/>
      <c r="K84" s="155">
        <v>4929.97</v>
      </c>
      <c r="L84" s="155"/>
      <c r="M84" s="155">
        <v>0</v>
      </c>
      <c r="N84" s="155"/>
      <c r="O84" s="155"/>
      <c r="P84" s="155">
        <v>4929.97</v>
      </c>
    </row>
    <row r="85" ht="15" customHeight="1" spans="1:16" x14ac:dyDescent="0.25">
      <c r="A85" s="152" t="s">
        <v>575</v>
      </c>
      <c r="B85" s="153" t="s">
        <v>666</v>
      </c>
      <c r="C85" s="154"/>
      <c r="D85" s="157"/>
      <c r="E85" s="156"/>
      <c r="F85" s="155"/>
      <c r="G85" s="155"/>
      <c r="H85" s="155"/>
      <c r="I85" s="155"/>
      <c r="J85" s="155"/>
      <c r="K85" s="155">
        <v>1221.05</v>
      </c>
      <c r="L85" s="155"/>
      <c r="M85" s="155">
        <v>0</v>
      </c>
      <c r="N85" s="155"/>
      <c r="O85" s="155"/>
      <c r="P85" s="155">
        <v>1221.05</v>
      </c>
    </row>
    <row r="86" ht="15" customHeight="1" spans="1:16" x14ac:dyDescent="0.25">
      <c r="A86" s="152" t="s">
        <v>607</v>
      </c>
      <c r="B86" s="153" t="s">
        <v>667</v>
      </c>
      <c r="C86" s="154"/>
      <c r="D86" s="157"/>
      <c r="E86" s="156"/>
      <c r="F86" s="155"/>
      <c r="G86" s="155"/>
      <c r="H86" s="155"/>
      <c r="I86" s="155"/>
      <c r="J86" s="155"/>
      <c r="K86" s="155">
        <v>0</v>
      </c>
      <c r="L86" s="155"/>
      <c r="M86" s="155">
        <v>0</v>
      </c>
      <c r="N86" s="155"/>
      <c r="O86" s="155"/>
      <c r="P86" s="155">
        <v>0</v>
      </c>
    </row>
    <row r="87" ht="15" customHeight="1" spans="1:16" x14ac:dyDescent="0.25">
      <c r="A87" s="155"/>
      <c r="B87" s="153"/>
      <c r="C87" s="154"/>
      <c r="D87" s="157"/>
      <c r="E87" s="156"/>
      <c r="F87" s="155"/>
      <c r="G87" s="155"/>
      <c r="H87" s="155"/>
      <c r="I87" s="155"/>
      <c r="J87" s="155"/>
      <c r="K87" s="155"/>
      <c r="L87" s="155"/>
      <c r="M87" s="155"/>
      <c r="N87" s="155"/>
      <c r="O87" s="155"/>
      <c r="P87" s="155"/>
    </row>
    <row r="88" ht="15" customHeight="1" spans="1:16" x14ac:dyDescent="0.25">
      <c r="A88" s="148" t="s">
        <v>668</v>
      </c>
      <c r="B88" s="149"/>
      <c r="C88" s="150"/>
      <c r="D88" s="148"/>
      <c r="E88" s="151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</row>
    <row r="89" ht="15" customHeight="1" spans="1:16" x14ac:dyDescent="0.25">
      <c r="A89" s="152" t="s">
        <v>669</v>
      </c>
      <c r="B89" s="153" t="s">
        <v>670</v>
      </c>
      <c r="C89" s="154"/>
      <c r="D89" s="155"/>
      <c r="E89" s="156"/>
      <c r="F89" s="155"/>
      <c r="G89" s="155"/>
      <c r="H89" s="155"/>
      <c r="I89" s="155"/>
      <c r="J89" s="155"/>
      <c r="K89" s="155">
        <v>0</v>
      </c>
      <c r="L89" s="155"/>
      <c r="M89" s="155">
        <v>0</v>
      </c>
      <c r="N89" s="155"/>
      <c r="O89" s="155"/>
      <c r="P89" s="155">
        <v>0</v>
      </c>
    </row>
    <row r="90" ht="15" customHeight="1" spans="1:16" x14ac:dyDescent="0.25">
      <c r="A90" s="152" t="s">
        <v>533</v>
      </c>
      <c r="B90" s="153" t="s">
        <v>671</v>
      </c>
      <c r="C90" s="157"/>
      <c r="D90" s="157"/>
      <c r="E90" s="156"/>
      <c r="F90" s="155"/>
      <c r="G90" s="155"/>
      <c r="H90" s="155"/>
      <c r="I90" s="155"/>
      <c r="J90" s="155"/>
      <c r="K90" s="155">
        <v>0</v>
      </c>
      <c r="L90" s="155"/>
      <c r="M90" s="155">
        <v>0</v>
      </c>
      <c r="N90" s="155"/>
      <c r="O90" s="155"/>
      <c r="P90" s="155">
        <v>0</v>
      </c>
    </row>
    <row r="91" ht="15" customHeight="1" spans="1:16" x14ac:dyDescent="0.25">
      <c r="A91" s="152" t="s">
        <v>555</v>
      </c>
      <c r="B91" s="153" t="s">
        <v>672</v>
      </c>
      <c r="C91" s="157"/>
      <c r="D91" s="157"/>
      <c r="E91" s="156"/>
      <c r="F91" s="155"/>
      <c r="G91" s="155"/>
      <c r="H91" s="155"/>
      <c r="I91" s="155"/>
      <c r="J91" s="155"/>
      <c r="K91" s="155">
        <v>0</v>
      </c>
      <c r="L91" s="155"/>
      <c r="M91" s="155">
        <v>0</v>
      </c>
      <c r="N91" s="155"/>
      <c r="O91" s="155"/>
      <c r="P91" s="155">
        <v>0</v>
      </c>
    </row>
    <row r="92" ht="15" customHeight="1" spans="1:16" x14ac:dyDescent="0.25">
      <c r="A92" s="152" t="s">
        <v>603</v>
      </c>
      <c r="B92" s="153" t="s">
        <v>673</v>
      </c>
      <c r="C92" s="157"/>
      <c r="D92" s="157"/>
      <c r="E92" s="156"/>
      <c r="F92" s="155"/>
      <c r="G92" s="155"/>
      <c r="H92" s="155"/>
      <c r="I92" s="155"/>
      <c r="J92" s="155"/>
      <c r="K92" s="155">
        <v>0</v>
      </c>
      <c r="L92" s="155"/>
      <c r="M92" s="155">
        <v>0</v>
      </c>
      <c r="N92" s="155"/>
      <c r="O92" s="155"/>
      <c r="P92" s="155">
        <v>0</v>
      </c>
    </row>
    <row r="93" ht="15" customHeight="1" spans="1:16" x14ac:dyDescent="0.25">
      <c r="A93" s="152" t="s">
        <v>636</v>
      </c>
      <c r="B93" s="153" t="s">
        <v>674</v>
      </c>
      <c r="C93" s="157"/>
      <c r="D93" s="157"/>
      <c r="E93" s="156"/>
      <c r="F93" s="155"/>
      <c r="G93" s="155"/>
      <c r="H93" s="155"/>
      <c r="I93" s="155"/>
      <c r="J93" s="155"/>
      <c r="K93" s="155">
        <v>0</v>
      </c>
      <c r="L93" s="155"/>
      <c r="M93" s="155">
        <v>0</v>
      </c>
      <c r="N93" s="155"/>
      <c r="O93" s="155"/>
      <c r="P93" s="155">
        <v>0</v>
      </c>
    </row>
    <row r="94" ht="15" customHeight="1" spans="1:16" x14ac:dyDescent="0.25">
      <c r="A94" s="152" t="s">
        <v>610</v>
      </c>
      <c r="B94" s="153" t="s">
        <v>675</v>
      </c>
      <c r="C94" s="157"/>
      <c r="D94" s="157"/>
      <c r="E94" s="156"/>
      <c r="F94" s="155"/>
      <c r="G94" s="155"/>
      <c r="H94" s="155"/>
      <c r="I94" s="155"/>
      <c r="J94" s="155"/>
      <c r="K94" s="155">
        <v>0</v>
      </c>
      <c r="L94" s="155"/>
      <c r="M94" s="155">
        <v>0</v>
      </c>
      <c r="N94" s="155"/>
      <c r="O94" s="155"/>
      <c r="P94" s="155">
        <v>0</v>
      </c>
    </row>
    <row r="95" ht="15" customHeight="1" spans="1:16" x14ac:dyDescent="0.25">
      <c r="A95" s="152" t="s">
        <v>676</v>
      </c>
      <c r="B95" s="153" t="s">
        <v>677</v>
      </c>
      <c r="C95" s="157"/>
      <c r="D95" s="157"/>
      <c r="E95" s="156"/>
      <c r="F95" s="155"/>
      <c r="G95" s="155"/>
      <c r="H95" s="155"/>
      <c r="I95" s="155"/>
      <c r="J95" s="155"/>
      <c r="K95" s="155">
        <v>0</v>
      </c>
      <c r="L95" s="155"/>
      <c r="M95" s="155">
        <v>0</v>
      </c>
      <c r="N95" s="155"/>
      <c r="O95" s="155"/>
      <c r="P95" s="155">
        <v>0</v>
      </c>
    </row>
    <row r="96" ht="15" customHeight="1" spans="1:16" x14ac:dyDescent="0.25">
      <c r="A96" s="152" t="s">
        <v>678</v>
      </c>
      <c r="B96" s="153" t="s">
        <v>679</v>
      </c>
      <c r="C96" s="157"/>
      <c r="D96" s="157"/>
      <c r="E96" s="156"/>
      <c r="F96" s="155"/>
      <c r="G96" s="155"/>
      <c r="H96" s="155"/>
      <c r="I96" s="155"/>
      <c r="J96" s="155"/>
      <c r="K96" s="155">
        <v>0</v>
      </c>
      <c r="L96" s="155"/>
      <c r="M96" s="155">
        <v>0</v>
      </c>
      <c r="N96" s="155"/>
      <c r="O96" s="155"/>
      <c r="P96" s="155">
        <v>0</v>
      </c>
    </row>
    <row r="97" ht="15" customHeight="1" spans="1:16" x14ac:dyDescent="0.25">
      <c r="A97" s="152" t="s">
        <v>632</v>
      </c>
      <c r="B97" s="153" t="s">
        <v>680</v>
      </c>
      <c r="C97" s="157"/>
      <c r="D97" s="157"/>
      <c r="E97" s="156"/>
      <c r="F97" s="155"/>
      <c r="G97" s="155"/>
      <c r="H97" s="155"/>
      <c r="I97" s="155"/>
      <c r="J97" s="155"/>
      <c r="K97" s="155">
        <v>0</v>
      </c>
      <c r="L97" s="155"/>
      <c r="M97" s="155">
        <v>0</v>
      </c>
      <c r="N97" s="155"/>
      <c r="O97" s="155"/>
      <c r="P97" s="155">
        <v>0</v>
      </c>
    </row>
    <row r="98" ht="15" customHeight="1" spans="1:16" x14ac:dyDescent="0.25">
      <c r="A98" s="152" t="s">
        <v>646</v>
      </c>
      <c r="B98" s="155" t="s">
        <v>681</v>
      </c>
      <c r="C98" s="155"/>
      <c r="D98" s="155"/>
      <c r="E98" s="155"/>
      <c r="F98" s="155"/>
      <c r="G98" s="155"/>
      <c r="H98" s="155"/>
      <c r="I98" s="155"/>
      <c r="J98" s="155"/>
      <c r="K98" s="155">
        <v>0</v>
      </c>
      <c r="L98" s="155"/>
      <c r="M98" s="155">
        <v>0</v>
      </c>
      <c r="N98" s="155"/>
      <c r="O98" s="155"/>
      <c r="P98" s="155">
        <v>0</v>
      </c>
    </row>
    <row r="99" ht="15" customHeight="1" spans="1:16" x14ac:dyDescent="0.25">
      <c r="A99" s="155"/>
      <c r="B99" s="153"/>
      <c r="C99" s="157"/>
      <c r="D99" s="157"/>
      <c r="E99" s="156"/>
      <c r="F99" s="155"/>
      <c r="G99" s="155"/>
      <c r="H99" s="155"/>
      <c r="I99" s="155"/>
      <c r="J99" s="155"/>
      <c r="K99" s="155"/>
      <c r="L99" s="155"/>
      <c r="M99" s="155"/>
      <c r="N99" s="155"/>
      <c r="O99" s="155"/>
      <c r="P99" s="155"/>
    </row>
    <row r="100" ht="15" customHeight="1" spans="1:16" x14ac:dyDescent="0.25">
      <c r="A100" s="148" t="s">
        <v>682</v>
      </c>
      <c r="B100" s="149"/>
      <c r="C100" s="160"/>
      <c r="D100" s="160"/>
      <c r="E100" s="151"/>
      <c r="F100" s="148"/>
      <c r="G100" s="148"/>
      <c r="H100" s="148"/>
      <c r="I100" s="148"/>
      <c r="J100" s="148"/>
      <c r="K100" s="148"/>
      <c r="L100" s="148"/>
      <c r="M100" s="148"/>
      <c r="N100" s="148"/>
      <c r="O100" s="148"/>
      <c r="P100" s="148"/>
    </row>
    <row r="101" ht="15" customHeight="1" spans="1:16" x14ac:dyDescent="0.25">
      <c r="A101" s="152" t="s">
        <v>683</v>
      </c>
      <c r="B101" s="153" t="s">
        <v>684</v>
      </c>
      <c r="C101" s="157"/>
      <c r="D101" s="157"/>
      <c r="E101" s="156"/>
      <c r="F101" s="155"/>
      <c r="G101" s="155"/>
      <c r="H101" s="155"/>
      <c r="I101" s="155"/>
      <c r="J101" s="155"/>
      <c r="K101" s="155">
        <v>0</v>
      </c>
      <c r="L101" s="155"/>
      <c r="M101" s="155">
        <v>0</v>
      </c>
      <c r="N101" s="155"/>
      <c r="O101" s="155"/>
      <c r="P101" s="155">
        <v>0</v>
      </c>
    </row>
    <row r="102" ht="15" customHeight="1" spans="1:16" x14ac:dyDescent="0.25">
      <c r="A102" s="152" t="s">
        <v>663</v>
      </c>
      <c r="B102" s="153" t="s">
        <v>685</v>
      </c>
      <c r="C102" s="157"/>
      <c r="D102" s="157"/>
      <c r="E102" s="156"/>
      <c r="F102" s="155"/>
      <c r="G102" s="155"/>
      <c r="H102" s="155"/>
      <c r="I102" s="155"/>
      <c r="J102" s="155"/>
      <c r="K102" s="155">
        <v>21921.22</v>
      </c>
      <c r="L102" s="155"/>
      <c r="M102" s="155">
        <v>0</v>
      </c>
      <c r="N102" s="155"/>
      <c r="O102" s="155"/>
      <c r="P102" s="155">
        <v>21921.22</v>
      </c>
    </row>
    <row r="103" ht="15" customHeight="1" spans="1:16" x14ac:dyDescent="0.25">
      <c r="A103" s="152" t="s">
        <v>686</v>
      </c>
      <c r="B103" s="153" t="s">
        <v>687</v>
      </c>
      <c r="C103" s="157"/>
      <c r="D103" s="157"/>
      <c r="E103" s="156"/>
      <c r="F103" s="155"/>
      <c r="G103" s="155"/>
      <c r="H103" s="155"/>
      <c r="I103" s="155"/>
      <c r="J103" s="155"/>
      <c r="K103" s="155">
        <v>0</v>
      </c>
      <c r="L103" s="155"/>
      <c r="M103" s="155">
        <v>0</v>
      </c>
      <c r="N103" s="155"/>
      <c r="O103" s="155"/>
      <c r="P103" s="155">
        <v>0</v>
      </c>
    </row>
    <row r="104" ht="15" customHeight="1" spans="1:16" x14ac:dyDescent="0.25">
      <c r="A104" s="152" t="s">
        <v>531</v>
      </c>
      <c r="B104" s="153" t="s">
        <v>688</v>
      </c>
      <c r="C104" s="157"/>
      <c r="D104" s="157"/>
      <c r="E104" s="156"/>
      <c r="F104" s="155"/>
      <c r="G104" s="155"/>
      <c r="H104" s="155"/>
      <c r="I104" s="155"/>
      <c r="J104" s="155"/>
      <c r="K104" s="155">
        <v>6372.12</v>
      </c>
      <c r="L104" s="155"/>
      <c r="M104" s="155">
        <v>0</v>
      </c>
      <c r="N104" s="155"/>
      <c r="O104" s="155"/>
      <c r="P104" s="155">
        <v>6372.12</v>
      </c>
    </row>
    <row r="105" ht="15" customHeight="1" spans="1:16" x14ac:dyDescent="0.25">
      <c r="A105" s="152" t="s">
        <v>533</v>
      </c>
      <c r="B105" s="153" t="s">
        <v>689</v>
      </c>
      <c r="C105" s="157"/>
      <c r="D105" s="157"/>
      <c r="E105" s="156"/>
      <c r="F105" s="155"/>
      <c r="G105" s="155"/>
      <c r="H105" s="155"/>
      <c r="I105" s="155"/>
      <c r="J105" s="155"/>
      <c r="K105" s="155">
        <v>0</v>
      </c>
      <c r="L105" s="155"/>
      <c r="M105" s="155">
        <v>0</v>
      </c>
      <c r="N105" s="155"/>
      <c r="O105" s="155"/>
      <c r="P105" s="155">
        <v>0</v>
      </c>
    </row>
    <row r="106" ht="15" customHeight="1" spans="1:16" x14ac:dyDescent="0.25">
      <c r="A106" s="152" t="s">
        <v>575</v>
      </c>
      <c r="B106" s="153" t="s">
        <v>690</v>
      </c>
      <c r="C106" s="157"/>
      <c r="D106" s="157"/>
      <c r="E106" s="156"/>
      <c r="F106" s="155"/>
      <c r="G106" s="155"/>
      <c r="H106" s="155"/>
      <c r="I106" s="155"/>
      <c r="J106" s="155"/>
      <c r="K106" s="155">
        <v>0</v>
      </c>
      <c r="L106" s="155"/>
      <c r="M106" s="155">
        <v>0</v>
      </c>
      <c r="N106" s="155"/>
      <c r="O106" s="155"/>
      <c r="P106" s="155">
        <v>0</v>
      </c>
    </row>
    <row r="107" ht="15" customHeight="1" spans="1:16" x14ac:dyDescent="0.25">
      <c r="A107" s="152" t="s">
        <v>578</v>
      </c>
      <c r="B107" s="153" t="s">
        <v>691</v>
      </c>
      <c r="C107" s="157"/>
      <c r="D107" s="157"/>
      <c r="E107" s="156"/>
      <c r="F107" s="155"/>
      <c r="G107" s="155"/>
      <c r="H107" s="155"/>
      <c r="I107" s="155"/>
      <c r="J107" s="155"/>
      <c r="K107" s="155">
        <v>0</v>
      </c>
      <c r="L107" s="155"/>
      <c r="M107" s="155">
        <v>0</v>
      </c>
      <c r="N107" s="155"/>
      <c r="O107" s="155"/>
      <c r="P107" s="155">
        <v>0</v>
      </c>
    </row>
    <row r="108" ht="15" customHeight="1" spans="1:16" x14ac:dyDescent="0.25">
      <c r="A108" s="152" t="s">
        <v>590</v>
      </c>
      <c r="B108" s="153" t="s">
        <v>692</v>
      </c>
      <c r="C108" s="157"/>
      <c r="D108" s="157"/>
      <c r="E108" s="156"/>
      <c r="F108" s="155"/>
      <c r="G108" s="155"/>
      <c r="H108" s="155"/>
      <c r="I108" s="155"/>
      <c r="J108" s="155"/>
      <c r="K108" s="155">
        <v>0</v>
      </c>
      <c r="L108" s="155"/>
      <c r="M108" s="155">
        <v>0</v>
      </c>
      <c r="N108" s="155"/>
      <c r="O108" s="155"/>
      <c r="P108" s="155">
        <v>0</v>
      </c>
    </row>
    <row r="109" ht="15" customHeight="1" spans="1:16" x14ac:dyDescent="0.25">
      <c r="A109" s="152" t="s">
        <v>555</v>
      </c>
      <c r="B109" s="153" t="s">
        <v>693</v>
      </c>
      <c r="C109" s="157"/>
      <c r="D109" s="157"/>
      <c r="E109" s="156"/>
      <c r="F109" s="155"/>
      <c r="G109" s="155"/>
      <c r="H109" s="155"/>
      <c r="I109" s="155"/>
      <c r="J109" s="155"/>
      <c r="K109" s="155">
        <v>0</v>
      </c>
      <c r="L109" s="155"/>
      <c r="M109" s="155">
        <v>0</v>
      </c>
      <c r="N109" s="155"/>
      <c r="O109" s="155"/>
      <c r="P109" s="155">
        <v>0</v>
      </c>
    </row>
    <row r="110" ht="15" customHeight="1" spans="1:16" x14ac:dyDescent="0.25">
      <c r="A110" s="152" t="s">
        <v>595</v>
      </c>
      <c r="B110" s="153" t="s">
        <v>694</v>
      </c>
      <c r="C110" s="157"/>
      <c r="D110" s="157"/>
      <c r="E110" s="156"/>
      <c r="F110" s="155"/>
      <c r="G110" s="155"/>
      <c r="H110" s="155"/>
      <c r="I110" s="155"/>
      <c r="J110" s="155"/>
      <c r="K110" s="155">
        <v>0</v>
      </c>
      <c r="L110" s="155"/>
      <c r="M110" s="155">
        <v>0</v>
      </c>
      <c r="N110" s="155"/>
      <c r="O110" s="155"/>
      <c r="P110" s="155">
        <v>0</v>
      </c>
    </row>
    <row r="111" ht="15" customHeight="1" spans="1:16" x14ac:dyDescent="0.25">
      <c r="A111" s="152" t="s">
        <v>597</v>
      </c>
      <c r="B111" s="153" t="s">
        <v>695</v>
      </c>
      <c r="C111" s="157"/>
      <c r="D111" s="155"/>
      <c r="E111" s="156"/>
      <c r="F111" s="155"/>
      <c r="G111" s="155"/>
      <c r="H111" s="155"/>
      <c r="I111" s="155"/>
      <c r="J111" s="155"/>
      <c r="K111" s="155">
        <v>0</v>
      </c>
      <c r="L111" s="155"/>
      <c r="M111" s="155">
        <v>0</v>
      </c>
      <c r="N111" s="155"/>
      <c r="O111" s="155"/>
      <c r="P111" s="155">
        <v>0</v>
      </c>
    </row>
    <row r="112" ht="15" customHeight="1" spans="1:16" x14ac:dyDescent="0.25">
      <c r="A112" s="152" t="s">
        <v>599</v>
      </c>
      <c r="B112" s="153" t="s">
        <v>696</v>
      </c>
      <c r="C112" s="157"/>
      <c r="D112" s="155"/>
      <c r="E112" s="156"/>
      <c r="F112" s="155"/>
      <c r="G112" s="155"/>
      <c r="H112" s="155"/>
      <c r="I112" s="155"/>
      <c r="J112" s="155"/>
      <c r="K112" s="155">
        <v>0</v>
      </c>
      <c r="L112" s="155"/>
      <c r="M112" s="155">
        <v>0</v>
      </c>
      <c r="N112" s="155"/>
      <c r="O112" s="155"/>
      <c r="P112" s="155">
        <v>0</v>
      </c>
    </row>
    <row r="113" ht="15" customHeight="1" spans="1:16" x14ac:dyDescent="0.25">
      <c r="A113" s="152" t="s">
        <v>601</v>
      </c>
      <c r="B113" s="153" t="s">
        <v>697</v>
      </c>
      <c r="C113" s="157"/>
      <c r="D113" s="155"/>
      <c r="E113" s="156"/>
      <c r="F113" s="155"/>
      <c r="G113" s="155"/>
      <c r="H113" s="155"/>
      <c r="I113" s="155"/>
      <c r="J113" s="155"/>
      <c r="K113" s="155">
        <v>0</v>
      </c>
      <c r="L113" s="155"/>
      <c r="M113" s="155">
        <v>0</v>
      </c>
      <c r="N113" s="155"/>
      <c r="O113" s="155"/>
      <c r="P113" s="155">
        <v>0</v>
      </c>
    </row>
    <row r="114" ht="15" customHeight="1" spans="1:16" x14ac:dyDescent="0.25">
      <c r="A114" s="152" t="s">
        <v>636</v>
      </c>
      <c r="B114" s="153" t="s">
        <v>698</v>
      </c>
      <c r="C114" s="157"/>
      <c r="D114" s="155"/>
      <c r="E114" s="156"/>
      <c r="F114" s="155"/>
      <c r="G114" s="155"/>
      <c r="H114" s="155"/>
      <c r="I114" s="155"/>
      <c r="J114" s="155"/>
      <c r="K114" s="155">
        <v>0</v>
      </c>
      <c r="L114" s="155"/>
      <c r="M114" s="155">
        <v>0</v>
      </c>
      <c r="N114" s="155"/>
      <c r="O114" s="155"/>
      <c r="P114" s="155">
        <v>0</v>
      </c>
    </row>
    <row r="115" ht="15" customHeight="1" spans="1:16" x14ac:dyDescent="0.25">
      <c r="A115" s="152" t="s">
        <v>607</v>
      </c>
      <c r="B115" s="153" t="s">
        <v>699</v>
      </c>
      <c r="C115" s="157"/>
      <c r="D115" s="155"/>
      <c r="E115" s="156"/>
      <c r="F115" s="155"/>
      <c r="G115" s="155"/>
      <c r="H115" s="155"/>
      <c r="I115" s="155"/>
      <c r="J115" s="155"/>
      <c r="K115" s="155">
        <v>794.57</v>
      </c>
      <c r="L115" s="155"/>
      <c r="M115" s="155">
        <v>0</v>
      </c>
      <c r="N115" s="155"/>
      <c r="O115" s="155"/>
      <c r="P115" s="155">
        <v>794.57</v>
      </c>
    </row>
    <row r="116" ht="15" customHeight="1" spans="1:16" x14ac:dyDescent="0.25">
      <c r="A116" s="152" t="s">
        <v>652</v>
      </c>
      <c r="B116" s="153" t="s">
        <v>700</v>
      </c>
      <c r="C116" s="154"/>
      <c r="D116" s="157"/>
      <c r="E116" s="156"/>
      <c r="F116" s="155"/>
      <c r="G116" s="155"/>
      <c r="H116" s="155"/>
      <c r="I116" s="155"/>
      <c r="J116" s="155"/>
      <c r="K116" s="155">
        <v>0</v>
      </c>
      <c r="L116" s="155"/>
      <c r="M116" s="155">
        <v>0</v>
      </c>
      <c r="N116" s="155"/>
      <c r="O116" s="155"/>
      <c r="P116" s="155">
        <v>0</v>
      </c>
    </row>
    <row r="117" ht="15" customHeight="1" spans="1:16" x14ac:dyDescent="0.25">
      <c r="A117" s="152" t="s">
        <v>610</v>
      </c>
      <c r="B117" s="153" t="s">
        <v>701</v>
      </c>
      <c r="C117" s="154"/>
      <c r="D117" s="157"/>
      <c r="E117" s="156"/>
      <c r="F117" s="155"/>
      <c r="G117" s="155"/>
      <c r="H117" s="155"/>
      <c r="I117" s="155"/>
      <c r="J117" s="155"/>
      <c r="K117" s="155">
        <v>0</v>
      </c>
      <c r="L117" s="155"/>
      <c r="M117" s="155">
        <v>0</v>
      </c>
      <c r="N117" s="155"/>
      <c r="O117" s="155"/>
      <c r="P117" s="155">
        <v>0</v>
      </c>
    </row>
    <row r="118" ht="15" customHeight="1" spans="1:16" x14ac:dyDescent="0.25">
      <c r="A118" s="152" t="s">
        <v>646</v>
      </c>
      <c r="B118" s="153" t="s">
        <v>702</v>
      </c>
      <c r="C118" s="154"/>
      <c r="D118" s="155"/>
      <c r="E118" s="156"/>
      <c r="F118" s="155"/>
      <c r="G118" s="155"/>
      <c r="H118" s="155"/>
      <c r="I118" s="155"/>
      <c r="J118" s="155"/>
      <c r="K118" s="155">
        <v>0</v>
      </c>
      <c r="L118" s="155"/>
      <c r="M118" s="155">
        <v>0</v>
      </c>
      <c r="N118" s="155"/>
      <c r="O118" s="155"/>
      <c r="P118" s="155">
        <v>0</v>
      </c>
    </row>
    <row r="119" ht="15" customHeight="1" spans="1:16" x14ac:dyDescent="0.25">
      <c r="A119" s="152" t="s">
        <v>703</v>
      </c>
      <c r="B119" s="153" t="s">
        <v>704</v>
      </c>
      <c r="C119" s="157"/>
      <c r="D119" s="157"/>
      <c r="E119" s="156"/>
      <c r="F119" s="155"/>
      <c r="G119" s="155"/>
      <c r="H119" s="155"/>
      <c r="I119" s="155"/>
      <c r="J119" s="155"/>
      <c r="K119" s="155">
        <v>0</v>
      </c>
      <c r="L119" s="155"/>
      <c r="M119" s="155">
        <v>0</v>
      </c>
      <c r="N119" s="155"/>
      <c r="O119" s="155"/>
      <c r="P119" s="155">
        <v>0</v>
      </c>
    </row>
    <row r="120" ht="15" customHeight="1" spans="1:16" x14ac:dyDescent="0.25">
      <c r="A120" s="152" t="s">
        <v>616</v>
      </c>
      <c r="B120" s="153" t="s">
        <v>705</v>
      </c>
      <c r="C120" s="157"/>
      <c r="D120" s="157"/>
      <c r="E120" s="156"/>
      <c r="F120" s="155"/>
      <c r="G120" s="155"/>
      <c r="H120" s="155"/>
      <c r="I120" s="155"/>
      <c r="J120" s="155"/>
      <c r="K120" s="155">
        <v>0</v>
      </c>
      <c r="L120" s="155"/>
      <c r="M120" s="155">
        <v>0</v>
      </c>
      <c r="N120" s="155"/>
      <c r="O120" s="155"/>
      <c r="P120" s="155">
        <v>0</v>
      </c>
    </row>
    <row r="121" ht="15" customHeight="1" spans="1:16" x14ac:dyDescent="0.25">
      <c r="A121" s="152" t="s">
        <v>638</v>
      </c>
      <c r="B121" s="153" t="s">
        <v>706</v>
      </c>
      <c r="C121" s="157"/>
      <c r="D121" s="157"/>
      <c r="E121" s="156"/>
      <c r="F121" s="155"/>
      <c r="G121" s="155"/>
      <c r="H121" s="155"/>
      <c r="I121" s="155"/>
      <c r="J121" s="155"/>
      <c r="K121" s="155">
        <v>0</v>
      </c>
      <c r="L121" s="155"/>
      <c r="M121" s="155">
        <v>0</v>
      </c>
      <c r="N121" s="155"/>
      <c r="O121" s="155"/>
      <c r="P121" s="155">
        <v>0</v>
      </c>
    </row>
    <row r="122" ht="15" customHeight="1" spans="1:16" x14ac:dyDescent="0.25">
      <c r="A122" s="152" t="s">
        <v>707</v>
      </c>
      <c r="B122" s="153" t="s">
        <v>708</v>
      </c>
      <c r="C122" s="157"/>
      <c r="D122" s="157"/>
      <c r="E122" s="156"/>
      <c r="F122" s="155"/>
      <c r="G122" s="155"/>
      <c r="H122" s="155"/>
      <c r="I122" s="155"/>
      <c r="J122" s="155"/>
      <c r="K122" s="155">
        <v>0</v>
      </c>
      <c r="L122" s="155"/>
      <c r="M122" s="155">
        <v>0</v>
      </c>
      <c r="N122" s="155"/>
      <c r="O122" s="155"/>
      <c r="P122" s="155">
        <v>0</v>
      </c>
    </row>
    <row r="123" ht="15" customHeight="1" spans="1:16" x14ac:dyDescent="0.25">
      <c r="A123" s="152" t="s">
        <v>618</v>
      </c>
      <c r="B123" s="153" t="s">
        <v>709</v>
      </c>
      <c r="C123" s="157"/>
      <c r="D123" s="157"/>
      <c r="E123" s="156"/>
      <c r="F123" s="155"/>
      <c r="G123" s="155"/>
      <c r="H123" s="155"/>
      <c r="I123" s="155"/>
      <c r="J123" s="155"/>
      <c r="K123" s="155">
        <v>0</v>
      </c>
      <c r="L123" s="155"/>
      <c r="M123" s="155">
        <v>0</v>
      </c>
      <c r="N123" s="155"/>
      <c r="O123" s="155"/>
      <c r="P123" s="155">
        <v>0</v>
      </c>
    </row>
    <row r="124" ht="15" customHeight="1" spans="1:16" x14ac:dyDescent="0.25">
      <c r="A124" s="152" t="s">
        <v>710</v>
      </c>
      <c r="B124" s="153" t="s">
        <v>711</v>
      </c>
      <c r="C124" s="157"/>
      <c r="D124" s="157"/>
      <c r="E124" s="156"/>
      <c r="F124" s="155"/>
      <c r="G124" s="155"/>
      <c r="H124" s="155"/>
      <c r="I124" s="155"/>
      <c r="J124" s="155"/>
      <c r="K124" s="155">
        <v>0</v>
      </c>
      <c r="L124" s="155"/>
      <c r="M124" s="155">
        <v>0</v>
      </c>
      <c r="N124" s="155"/>
      <c r="O124" s="155"/>
      <c r="P124" s="155">
        <v>0</v>
      </c>
    </row>
    <row r="125" ht="15" customHeight="1" spans="1:16" x14ac:dyDescent="0.25">
      <c r="A125" s="152" t="s">
        <v>648</v>
      </c>
      <c r="B125" s="153" t="s">
        <v>712</v>
      </c>
      <c r="C125" s="157"/>
      <c r="D125" s="157"/>
      <c r="E125" s="156"/>
      <c r="F125" s="155"/>
      <c r="G125" s="155"/>
      <c r="H125" s="155"/>
      <c r="I125" s="155"/>
      <c r="J125" s="155"/>
      <c r="K125" s="155">
        <v>0</v>
      </c>
      <c r="L125" s="155"/>
      <c r="M125" s="155">
        <v>0</v>
      </c>
      <c r="N125" s="155"/>
      <c r="O125" s="155"/>
      <c r="P125" s="155">
        <v>0</v>
      </c>
    </row>
    <row r="126" ht="12.75" customHeight="1" spans="1:16" x14ac:dyDescent="0.25">
      <c r="A126" s="152" t="s">
        <v>713</v>
      </c>
      <c r="B126" s="153" t="s">
        <v>714</v>
      </c>
      <c r="C126" s="154"/>
      <c r="D126" s="157"/>
      <c r="E126" s="156"/>
      <c r="F126" s="155"/>
      <c r="G126" s="155"/>
      <c r="H126" s="155"/>
      <c r="I126" s="155"/>
      <c r="J126" s="155"/>
      <c r="K126" s="155">
        <v>1203.75</v>
      </c>
      <c r="L126" s="155"/>
      <c r="M126" s="155">
        <v>0</v>
      </c>
      <c r="N126" s="155"/>
      <c r="O126" s="155"/>
      <c r="P126" s="155">
        <v>1203.75</v>
      </c>
    </row>
    <row r="127" ht="12.75" customHeight="1" spans="1:16" x14ac:dyDescent="0.25">
      <c r="A127" s="152" t="s">
        <v>715</v>
      </c>
      <c r="B127" s="153" t="s">
        <v>716</v>
      </c>
      <c r="C127" s="154"/>
      <c r="D127" s="157"/>
      <c r="E127" s="156"/>
      <c r="F127" s="155"/>
      <c r="G127" s="155"/>
      <c r="H127" s="155"/>
      <c r="I127" s="155"/>
      <c r="J127" s="155"/>
      <c r="K127" s="155">
        <v>0</v>
      </c>
      <c r="L127" s="155"/>
      <c r="M127" s="155">
        <v>0</v>
      </c>
      <c r="N127" s="155"/>
      <c r="O127" s="155"/>
      <c r="P127" s="155">
        <v>0</v>
      </c>
    </row>
    <row r="128" ht="12.75" customHeight="1" spans="1:16" x14ac:dyDescent="0.25">
      <c r="A128" s="152" t="s">
        <v>632</v>
      </c>
      <c r="B128" s="153" t="s">
        <v>717</v>
      </c>
      <c r="C128" s="154"/>
      <c r="D128" s="155"/>
      <c r="E128" s="156"/>
      <c r="F128" s="155"/>
      <c r="G128" s="155"/>
      <c r="H128" s="155"/>
      <c r="I128" s="155"/>
      <c r="J128" s="155"/>
      <c r="K128" s="155">
        <v>0</v>
      </c>
      <c r="L128" s="155"/>
      <c r="M128" s="155">
        <v>0</v>
      </c>
      <c r="N128" s="155"/>
      <c r="O128" s="155"/>
      <c r="P128" s="155">
        <v>0</v>
      </c>
    </row>
    <row r="129" ht="12.75" customHeight="1" spans="1:16" x14ac:dyDescent="0.25">
      <c r="A129" s="152" t="s">
        <v>718</v>
      </c>
      <c r="B129" s="153" t="s">
        <v>719</v>
      </c>
      <c r="C129" s="154"/>
      <c r="D129" s="155"/>
      <c r="E129" s="156"/>
      <c r="F129" s="155"/>
      <c r="G129" s="155"/>
      <c r="H129" s="155"/>
      <c r="I129" s="155"/>
      <c r="J129" s="155"/>
      <c r="K129" s="155">
        <v>0</v>
      </c>
      <c r="L129" s="155"/>
      <c r="M129" s="155">
        <v>0</v>
      </c>
      <c r="N129" s="155"/>
      <c r="O129" s="155"/>
      <c r="P129" s="155">
        <v>0</v>
      </c>
    </row>
    <row r="130" ht="12.75" customHeight="1" spans="1:16" x14ac:dyDescent="0.25">
      <c r="A130" s="152" t="s">
        <v>603</v>
      </c>
      <c r="B130" s="155" t="s">
        <v>720</v>
      </c>
      <c r="C130" s="155"/>
      <c r="D130" s="155"/>
      <c r="E130" s="155"/>
      <c r="F130" s="155"/>
      <c r="G130" s="155"/>
      <c r="H130" s="155"/>
      <c r="I130" s="155"/>
      <c r="J130" s="155"/>
      <c r="K130" s="155">
        <v>0</v>
      </c>
      <c r="L130" s="155"/>
      <c r="M130" s="155">
        <v>0</v>
      </c>
      <c r="N130" s="155"/>
      <c r="O130" s="155"/>
      <c r="P130" s="155">
        <v>0</v>
      </c>
    </row>
    <row r="131" ht="12.75" customHeight="1" spans="1:16" x14ac:dyDescent="0.25">
      <c r="A131" s="152" t="s">
        <v>622</v>
      </c>
      <c r="B131" s="155" t="s">
        <v>721</v>
      </c>
      <c r="C131" s="155"/>
      <c r="D131" s="155"/>
      <c r="E131" s="155"/>
      <c r="F131" s="155"/>
      <c r="G131" s="155"/>
      <c r="H131" s="155"/>
      <c r="I131" s="155"/>
      <c r="J131" s="155"/>
      <c r="K131" s="155">
        <v>0</v>
      </c>
      <c r="L131" s="155"/>
      <c r="M131" s="155">
        <v>0</v>
      </c>
      <c r="N131" s="155"/>
      <c r="O131" s="155"/>
      <c r="P131" s="155">
        <v>0</v>
      </c>
    </row>
    <row r="132" ht="12.75" customHeight="1" spans="1:16" x14ac:dyDescent="0.25">
      <c r="A132" s="152" t="s">
        <v>722</v>
      </c>
      <c r="B132" s="155" t="s">
        <v>723</v>
      </c>
      <c r="C132" s="155"/>
      <c r="D132" s="155"/>
      <c r="E132" s="155"/>
      <c r="F132" s="155"/>
      <c r="G132" s="155"/>
      <c r="H132" s="155"/>
      <c r="I132" s="155"/>
      <c r="J132" s="155"/>
      <c r="K132" s="155">
        <v>0</v>
      </c>
      <c r="L132" s="155"/>
      <c r="M132" s="155">
        <v>0</v>
      </c>
      <c r="N132" s="155"/>
      <c r="O132" s="155"/>
      <c r="P132" s="155">
        <v>0</v>
      </c>
    </row>
    <row r="133" ht="12.75" customHeight="1" spans="1:16" x14ac:dyDescent="0.25">
      <c r="A133" s="152" t="s">
        <v>724</v>
      </c>
      <c r="B133" s="155" t="s">
        <v>725</v>
      </c>
      <c r="C133" s="155"/>
      <c r="D133" s="155"/>
      <c r="E133" s="155"/>
      <c r="F133" s="155"/>
      <c r="G133" s="155"/>
      <c r="H133" s="155"/>
      <c r="I133" s="155"/>
      <c r="J133" s="155"/>
      <c r="K133" s="155">
        <v>0</v>
      </c>
      <c r="L133" s="155"/>
      <c r="M133" s="155">
        <v>0</v>
      </c>
      <c r="N133" s="155"/>
      <c r="O133" s="155"/>
      <c r="P133" s="155">
        <v>0</v>
      </c>
    </row>
    <row r="134" ht="12.75" customHeight="1" spans="1:16" x14ac:dyDescent="0.25">
      <c r="A134" s="155"/>
      <c r="B134" s="153"/>
      <c r="C134" s="154"/>
      <c r="D134" s="155"/>
      <c r="E134" s="156"/>
      <c r="F134" s="155"/>
      <c r="G134" s="155"/>
      <c r="H134" s="155"/>
      <c r="I134" s="155"/>
      <c r="J134" s="155"/>
      <c r="K134" s="155"/>
      <c r="L134" s="155"/>
      <c r="M134" s="155"/>
      <c r="N134" s="155"/>
      <c r="O134" s="155"/>
      <c r="P134" s="155"/>
    </row>
    <row r="135" ht="12.75" customHeight="1" spans="1:16" x14ac:dyDescent="0.25">
      <c r="A135" s="148" t="s">
        <v>726</v>
      </c>
      <c r="B135" s="149"/>
      <c r="C135" s="150"/>
      <c r="D135" s="148"/>
      <c r="E135" s="151"/>
      <c r="F135" s="148"/>
      <c r="G135" s="148"/>
      <c r="H135" s="148"/>
      <c r="I135" s="148"/>
      <c r="J135" s="148"/>
      <c r="K135" s="148"/>
      <c r="L135" s="148"/>
      <c r="M135" s="148"/>
      <c r="N135" s="148"/>
      <c r="O135" s="148"/>
      <c r="P135" s="148"/>
    </row>
    <row r="136" ht="12.75" customHeight="1" spans="1:16" x14ac:dyDescent="0.25">
      <c r="A136" s="152" t="s">
        <v>660</v>
      </c>
      <c r="B136" s="153" t="s">
        <v>727</v>
      </c>
      <c r="C136" s="154"/>
      <c r="D136" s="155"/>
      <c r="E136" s="156"/>
      <c r="F136" s="155"/>
      <c r="G136" s="155"/>
      <c r="H136" s="155"/>
      <c r="I136" s="155"/>
      <c r="J136" s="155"/>
      <c r="K136" s="155">
        <v>0</v>
      </c>
      <c r="L136" s="155"/>
      <c r="M136" s="155">
        <v>0</v>
      </c>
      <c r="N136" s="155"/>
      <c r="O136" s="155"/>
      <c r="P136" s="155">
        <v>0</v>
      </c>
    </row>
    <row r="137" ht="12.75" customHeight="1" spans="1:16" x14ac:dyDescent="0.25">
      <c r="A137" s="155"/>
      <c r="B137" s="153"/>
      <c r="C137" s="154"/>
      <c r="D137" s="155"/>
      <c r="E137" s="156"/>
      <c r="F137" s="155"/>
      <c r="G137" s="155"/>
      <c r="H137" s="155"/>
      <c r="I137" s="155"/>
      <c r="J137" s="155"/>
      <c r="K137" s="155"/>
      <c r="L137" s="155"/>
      <c r="M137" s="155"/>
      <c r="N137" s="155"/>
      <c r="O137" s="155"/>
      <c r="P137" s="155"/>
    </row>
    <row r="138" ht="12.75" customHeight="1" spans="1:16" x14ac:dyDescent="0.25">
      <c r="A138" s="148" t="s">
        <v>728</v>
      </c>
      <c r="B138" s="149"/>
      <c r="C138" s="150"/>
      <c r="D138" s="148"/>
      <c r="E138" s="151"/>
      <c r="F138" s="148"/>
      <c r="G138" s="148"/>
      <c r="H138" s="148"/>
      <c r="I138" s="148"/>
      <c r="J138" s="148"/>
      <c r="K138" s="148"/>
      <c r="L138" s="148"/>
      <c r="M138" s="148"/>
      <c r="N138" s="148"/>
      <c r="O138" s="148"/>
      <c r="P138" s="148"/>
    </row>
    <row r="139" ht="12.75" customHeight="1" spans="1:16" x14ac:dyDescent="0.25">
      <c r="A139" s="152" t="s">
        <v>555</v>
      </c>
      <c r="B139" s="153" t="s">
        <v>729</v>
      </c>
      <c r="C139" s="154"/>
      <c r="D139" s="155"/>
      <c r="E139" s="156"/>
      <c r="F139" s="155"/>
      <c r="G139" s="155"/>
      <c r="H139" s="155"/>
      <c r="I139" s="155"/>
      <c r="J139" s="155"/>
      <c r="K139" s="155">
        <v>626.13</v>
      </c>
      <c r="L139" s="155"/>
      <c r="M139" s="155">
        <v>0</v>
      </c>
      <c r="N139" s="155"/>
      <c r="O139" s="155"/>
      <c r="P139" s="155">
        <v>626.13</v>
      </c>
    </row>
    <row r="140" ht="12.75" customHeight="1" spans="1:16" x14ac:dyDescent="0.25">
      <c r="A140" s="152" t="s">
        <v>636</v>
      </c>
      <c r="B140" s="153" t="s">
        <v>730</v>
      </c>
      <c r="C140" s="154"/>
      <c r="D140" s="155"/>
      <c r="E140" s="156"/>
      <c r="F140" s="155"/>
      <c r="G140" s="155"/>
      <c r="H140" s="155"/>
      <c r="I140" s="155"/>
      <c r="J140" s="155"/>
      <c r="K140" s="155">
        <v>340.27</v>
      </c>
      <c r="L140" s="155"/>
      <c r="M140" s="155">
        <v>0</v>
      </c>
      <c r="N140" s="155"/>
      <c r="O140" s="155"/>
      <c r="P140" s="155">
        <v>340.27</v>
      </c>
    </row>
    <row r="141" ht="12.75" customHeight="1" spans="1:16" x14ac:dyDescent="0.25">
      <c r="A141" s="152" t="s">
        <v>652</v>
      </c>
      <c r="B141" s="153" t="s">
        <v>731</v>
      </c>
      <c r="C141" s="154"/>
      <c r="D141" s="155"/>
      <c r="E141" s="156"/>
      <c r="F141" s="155"/>
      <c r="G141" s="155"/>
      <c r="H141" s="155"/>
      <c r="I141" s="155"/>
      <c r="J141" s="155"/>
      <c r="K141" s="155">
        <v>63.35</v>
      </c>
      <c r="L141" s="155"/>
      <c r="M141" s="155">
        <v>0</v>
      </c>
      <c r="N141" s="155"/>
      <c r="O141" s="155"/>
      <c r="P141" s="155">
        <v>63.35</v>
      </c>
    </row>
    <row r="142" ht="12.75" customHeight="1" spans="1:16" x14ac:dyDescent="0.25">
      <c r="A142" s="152" t="s">
        <v>610</v>
      </c>
      <c r="B142" s="153" t="s">
        <v>732</v>
      </c>
      <c r="C142" s="154"/>
      <c r="D142" s="155"/>
      <c r="E142" s="156"/>
      <c r="F142" s="155"/>
      <c r="G142" s="155"/>
      <c r="H142" s="155"/>
      <c r="I142" s="155"/>
      <c r="J142" s="155"/>
      <c r="K142" s="155">
        <v>13.32</v>
      </c>
      <c r="L142" s="155"/>
      <c r="M142" s="155">
        <v>0</v>
      </c>
      <c r="N142" s="155"/>
      <c r="O142" s="155"/>
      <c r="P142" s="155">
        <v>13.32</v>
      </c>
    </row>
    <row r="143" ht="12.75" customHeight="1" spans="1:16" x14ac:dyDescent="0.25">
      <c r="A143" s="152" t="s">
        <v>707</v>
      </c>
      <c r="B143" s="155" t="s">
        <v>733</v>
      </c>
      <c r="C143" s="155"/>
      <c r="D143" s="155"/>
      <c r="E143" s="155"/>
      <c r="F143" s="155"/>
      <c r="G143" s="155"/>
      <c r="H143" s="155"/>
      <c r="I143" s="155"/>
      <c r="J143" s="155"/>
      <c r="K143" s="155">
        <v>213.33</v>
      </c>
      <c r="L143" s="155"/>
      <c r="M143" s="155">
        <v>0</v>
      </c>
      <c r="N143" s="155"/>
      <c r="O143" s="155"/>
      <c r="P143" s="155">
        <v>213.33</v>
      </c>
    </row>
    <row r="144" ht="12.75" customHeight="1" spans="1:16" x14ac:dyDescent="0.25">
      <c r="A144" s="152" t="s">
        <v>618</v>
      </c>
      <c r="B144" s="155" t="s">
        <v>734</v>
      </c>
      <c r="C144" s="155"/>
      <c r="D144" s="155"/>
      <c r="E144" s="155"/>
      <c r="F144" s="155"/>
      <c r="G144" s="155"/>
      <c r="H144" s="155"/>
      <c r="I144" s="155"/>
      <c r="J144" s="155"/>
      <c r="K144" s="155">
        <v>136.1</v>
      </c>
      <c r="L144" s="155"/>
      <c r="M144" s="155">
        <v>0</v>
      </c>
      <c r="N144" s="155"/>
      <c r="O144" s="155"/>
      <c r="P144" s="155">
        <v>136.1</v>
      </c>
    </row>
    <row r="145" ht="12.75" customHeight="1" spans="1:16" x14ac:dyDescent="0.25">
      <c r="A145" s="152" t="s">
        <v>735</v>
      </c>
      <c r="B145" s="155" t="s">
        <v>736</v>
      </c>
      <c r="C145" s="155"/>
      <c r="D145" s="155"/>
      <c r="E145" s="155"/>
      <c r="F145" s="155"/>
      <c r="G145" s="155"/>
      <c r="H145" s="155"/>
      <c r="I145" s="155"/>
      <c r="J145" s="155"/>
      <c r="K145" s="155">
        <v>0</v>
      </c>
      <c r="L145" s="155"/>
      <c r="M145" s="155">
        <v>0</v>
      </c>
      <c r="N145" s="155"/>
      <c r="O145" s="155"/>
      <c r="P145" s="155">
        <v>0</v>
      </c>
    </row>
    <row r="146" ht="12.75" customHeight="1" spans="1:16" x14ac:dyDescent="0.25">
      <c r="A146" s="152" t="s">
        <v>678</v>
      </c>
      <c r="B146" s="155" t="s">
        <v>737</v>
      </c>
      <c r="C146" s="155"/>
      <c r="D146" s="155"/>
      <c r="E146" s="155"/>
      <c r="F146" s="155"/>
      <c r="G146" s="155"/>
      <c r="H146" s="155"/>
      <c r="I146" s="155"/>
      <c r="J146" s="155"/>
      <c r="K146" s="155">
        <v>0</v>
      </c>
      <c r="L146" s="155"/>
      <c r="M146" s="155">
        <v>0</v>
      </c>
      <c r="N146" s="155"/>
      <c r="O146" s="155"/>
      <c r="P146" s="155">
        <v>0</v>
      </c>
    </row>
    <row r="147" ht="12.75" customHeight="1" spans="1:16" x14ac:dyDescent="0.25">
      <c r="A147" s="152" t="s">
        <v>632</v>
      </c>
      <c r="B147" s="155" t="s">
        <v>738</v>
      </c>
      <c r="C147" s="155"/>
      <c r="D147" s="155"/>
      <c r="E147" s="155"/>
      <c r="F147" s="155"/>
      <c r="G147" s="155"/>
      <c r="H147" s="155"/>
      <c r="I147" s="155"/>
      <c r="J147" s="155"/>
      <c r="K147" s="155">
        <v>29.77</v>
      </c>
      <c r="L147" s="155"/>
      <c r="M147" s="155">
        <v>0</v>
      </c>
      <c r="N147" s="155"/>
      <c r="O147" s="155"/>
      <c r="P147" s="155">
        <v>29.77</v>
      </c>
    </row>
    <row r="148" ht="12.75" customHeight="1" spans="1:16" x14ac:dyDescent="0.25">
      <c r="A148" s="158" t="s">
        <v>547</v>
      </c>
      <c r="B148" s="155" t="s">
        <v>739</v>
      </c>
      <c r="C148" s="155"/>
      <c r="D148" s="155"/>
      <c r="E148" s="155"/>
      <c r="F148" s="155"/>
      <c r="G148" s="155"/>
      <c r="H148" s="155"/>
      <c r="I148" s="155"/>
      <c r="J148" s="155"/>
      <c r="K148" s="155">
        <v>103.13</v>
      </c>
      <c r="L148" s="155"/>
      <c r="M148" s="155">
        <v>0</v>
      </c>
      <c r="N148" s="155"/>
      <c r="O148" s="155"/>
      <c r="P148" s="155">
        <v>103.13</v>
      </c>
    </row>
    <row r="149" ht="12.75" customHeight="1" spans="1:16" x14ac:dyDescent="0.25">
      <c r="A149" s="158" t="s">
        <v>595</v>
      </c>
      <c r="B149" s="155" t="s">
        <v>740</v>
      </c>
      <c r="C149" s="155"/>
      <c r="D149" s="155"/>
      <c r="E149" s="155"/>
      <c r="F149" s="155"/>
      <c r="G149" s="155"/>
      <c r="H149" s="155"/>
      <c r="I149" s="155"/>
      <c r="J149" s="155"/>
      <c r="K149" s="155">
        <v>39.24</v>
      </c>
      <c r="L149" s="155"/>
      <c r="M149" s="155">
        <v>0</v>
      </c>
      <c r="N149" s="155"/>
      <c r="O149" s="155"/>
      <c r="P149" s="155">
        <v>39.24</v>
      </c>
    </row>
    <row r="150" spans="1:16" x14ac:dyDescent="0.25">
      <c r="A150" s="158" t="s">
        <v>603</v>
      </c>
      <c r="B150" s="155" t="s">
        <v>741</v>
      </c>
      <c r="C150" s="155"/>
      <c r="D150" s="155"/>
      <c r="E150" s="155"/>
      <c r="F150" s="155"/>
      <c r="G150" s="155"/>
      <c r="H150" s="155"/>
      <c r="I150" s="155"/>
      <c r="J150" s="155"/>
      <c r="K150" s="155">
        <v>78.2</v>
      </c>
      <c r="L150" s="155"/>
      <c r="M150" s="155">
        <v>0</v>
      </c>
      <c r="N150" s="155"/>
      <c r="O150" s="155"/>
      <c r="P150" s="155">
        <v>78.2</v>
      </c>
    </row>
    <row r="151" spans="1:16" x14ac:dyDescent="0.25">
      <c r="A151" s="158" t="s">
        <v>742</v>
      </c>
      <c r="B151" s="155" t="s">
        <v>743</v>
      </c>
      <c r="C151" s="155"/>
      <c r="D151" s="155"/>
      <c r="E151" s="155"/>
      <c r="F151" s="155"/>
      <c r="G151" s="155"/>
      <c r="H151" s="155"/>
      <c r="I151" s="155"/>
      <c r="J151" s="155"/>
      <c r="K151" s="155">
        <v>21.03</v>
      </c>
      <c r="L151" s="155"/>
      <c r="M151" s="155">
        <v>0</v>
      </c>
      <c r="N151" s="155"/>
      <c r="O151" s="155"/>
      <c r="P151" s="155">
        <v>21.03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V388"/>
  <sheetViews>
    <sheetView workbookViewId="0" zoomScale="90" zoomScaleNormal="90">
      <pane xSplit="2" ySplit="6" topLeftCell="C7" activePane="bottomRight" state="frozen"/>
      <selection pane="bottomRight"/>
    </sheetView>
  </sheetViews>
  <sheetFormatPr defaultRowHeight="12" outlineLevelRow="0" outlineLevelCol="0" x14ac:dyDescent="0.2" defaultColWidth="9.140625" customHeight="1"/>
  <cols>
    <col min="1" max="1" width="11" style="9" customWidth="1"/>
    <col min="2" max="2" width="50.42578125" style="9" customWidth="1"/>
    <col min="3" max="3" width="11.5703125" style="10" customWidth="1"/>
    <col min="4" max="4" width="10.42578125" style="10" customWidth="1"/>
    <col min="5" max="5" width="11" style="10" customWidth="1"/>
    <col min="6" max="6" width="15.28515625" style="10" customWidth="1"/>
    <col min="7" max="7" width="11.28515625" style="10" customWidth="1"/>
    <col min="8" max="8" width="10" style="10" customWidth="1"/>
    <col min="9" max="9" width="0.140625" style="10" hidden="1" customWidth="1"/>
    <col min="10" max="10" width="0.28515625" style="10" hidden="1" customWidth="1"/>
    <col min="11" max="11" width="22.42578125" style="10" hidden="1" customWidth="1"/>
    <col min="12" max="13" width="24.42578125" style="10" hidden="1" customWidth="1"/>
    <col min="14" max="14" width="17" style="10" hidden="1" customWidth="1"/>
    <col min="15" max="15" width="8.42578125" style="10" hidden="1" customWidth="1"/>
    <col min="16" max="16" width="7.140625" style="10" hidden="1" customWidth="1"/>
    <col min="17" max="17" width="8.28515625" style="10" hidden="1" customWidth="1"/>
    <col min="18" max="18" width="10" style="10" customWidth="1"/>
    <col min="19" max="19" width="6.7109375" style="10" customWidth="1"/>
    <col min="20" max="20" width="10" style="10" customWidth="1"/>
    <col min="21" max="21" width="5.28515625" style="10" hidden="1" customWidth="1"/>
    <col min="22" max="22" width="13.140625" style="10" hidden="1" customWidth="1"/>
    <col min="23" max="23" width="6.7109375" style="10" hidden="1" customWidth="1"/>
    <col min="24" max="24" width="8.28515625" style="10" hidden="1" customWidth="1"/>
    <col min="25" max="25" width="6.5703125" style="10" hidden="1" customWidth="1"/>
    <col min="26" max="26" width="8.28515625" style="10" hidden="1" customWidth="1"/>
    <col min="27" max="27" width="9.28515625" style="10" customWidth="1"/>
    <col min="28" max="28" width="6.85546875" style="10" customWidth="1"/>
    <col min="29" max="29" width="10" style="10" customWidth="1"/>
    <col min="30" max="30" width="19.85546875" style="10" hidden="1" customWidth="1"/>
    <col min="31" max="31" width="25.7109375" style="10" hidden="1" customWidth="1"/>
    <col min="32" max="32" width="22" style="10" hidden="1" customWidth="1"/>
    <col min="33" max="33" width="25.28515625" style="10" hidden="1" customWidth="1"/>
    <col min="34" max="34" width="24.140625" style="10" hidden="1" customWidth="1"/>
    <col min="35" max="35" width="23" style="10" hidden="1" customWidth="1"/>
    <col min="36" max="36" width="20.28515625" style="10" hidden="1" customWidth="1"/>
    <col min="37" max="37" width="16.42578125" style="10" hidden="1" customWidth="1"/>
    <col min="38" max="38" width="12.140625" style="10" hidden="1" customWidth="1"/>
    <col min="39" max="39" width="8.7109375" style="10" customWidth="1"/>
    <col min="40" max="40" width="7.140625" style="10" customWidth="1"/>
    <col min="41" max="41" width="8.7109375" style="10" customWidth="1"/>
    <col min="42" max="42" width="5.28515625" style="11" hidden="1" customWidth="1"/>
    <col min="43" max="43" width="7" style="11" hidden="1" customWidth="1"/>
    <col min="44" max="44" width="6.7109375" style="11" hidden="1" customWidth="1"/>
    <col min="45" max="45" width="5.28515625" style="11" hidden="1" customWidth="1"/>
    <col min="46" max="46" width="7" style="11" hidden="1" customWidth="1"/>
    <col min="47" max="47" width="6.7109375" style="11" hidden="1" customWidth="1"/>
    <col min="48" max="48" width="5.28515625" style="11" hidden="1" customWidth="1"/>
    <col min="49" max="49" width="7" style="11" hidden="1" customWidth="1"/>
    <col min="50" max="50" width="6.7109375" style="11" hidden="1" customWidth="1"/>
    <col min="51" max="51" width="5.28515625" style="11" hidden="1" customWidth="1"/>
    <col min="52" max="52" width="7" style="11" hidden="1" customWidth="1"/>
    <col min="53" max="53" width="6.7109375" style="11" hidden="1" customWidth="1"/>
    <col min="54" max="54" width="5.28515625" style="11" hidden="1" customWidth="1"/>
    <col min="55" max="55" width="7" style="11" hidden="1" customWidth="1"/>
    <col min="56" max="56" width="6.7109375" style="11" hidden="1" customWidth="1"/>
    <col min="57" max="57" width="5.28515625" style="11" hidden="1" customWidth="1"/>
    <col min="58" max="58" width="7" style="11" hidden="1" customWidth="1"/>
    <col min="59" max="59" width="6.7109375" style="11" hidden="1" customWidth="1"/>
    <col min="60" max="60" width="5.28515625" style="11" hidden="1" customWidth="1"/>
    <col min="61" max="61" width="7" style="11" hidden="1" customWidth="1"/>
    <col min="62" max="62" width="6.7109375" style="11" hidden="1" customWidth="1"/>
    <col min="63" max="63" width="5.28515625" style="11" hidden="1" customWidth="1"/>
    <col min="64" max="64" width="7" style="11" hidden="1" customWidth="1"/>
    <col min="65" max="65" width="6.7109375" style="11" hidden="1" customWidth="1"/>
    <col min="66" max="66" width="18.140625" style="11" hidden="1" customWidth="1"/>
    <col min="67" max="67" width="10.140625" style="11" hidden="1" customWidth="1"/>
    <col min="68" max="68" width="12.140625" style="11" hidden="1" customWidth="1"/>
    <col min="69" max="69" width="13.7109375" style="12" customWidth="1"/>
    <col min="70" max="70" width="11.28515625" style="11" customWidth="1"/>
    <col min="71" max="73" width="9.140625" style="11" customWidth="1"/>
    <col min="74" max="74" width="10.28515625" style="11" customWidth="1"/>
    <col min="75" max="83" width="9.140625" style="11" customWidth="1"/>
    <col min="84" max="16384" width="9.140625" style="13" customWidth="1"/>
  </cols>
  <sheetData>
    <row r="1" ht="12.75" customHeight="1" spans="1:2" x14ac:dyDescent="0.25">
      <c r="A1" s="14" t="s">
        <v>14</v>
      </c>
      <c r="B1" s="9"/>
    </row>
    <row r="2" ht="12.75" customHeight="1" spans="1:2" x14ac:dyDescent="0.25">
      <c r="A2" s="15">
        <v>46174</v>
      </c>
      <c r="B2" s="9"/>
    </row>
    <row r="3" ht="13.5" customHeight="1" spans="1:2" x14ac:dyDescent="0.25">
      <c r="A3" s="14" t="s">
        <v>15</v>
      </c>
      <c r="B3" s="9"/>
    </row>
    <row r="4" ht="12" customHeight="1" spans="1:69" x14ac:dyDescent="0.25">
      <c r="A4" s="9"/>
      <c r="B4" s="9"/>
      <c r="C4" s="16" t="s">
        <v>16</v>
      </c>
      <c r="D4" s="16"/>
      <c r="E4" s="16"/>
      <c r="F4" s="16" t="s">
        <v>17</v>
      </c>
      <c r="G4" s="16"/>
      <c r="H4" s="16"/>
      <c r="I4" s="17" t="s">
        <v>18</v>
      </c>
      <c r="J4" s="17"/>
      <c r="K4" s="17"/>
      <c r="L4" s="18" t="s">
        <v>19</v>
      </c>
      <c r="M4" s="18"/>
      <c r="N4" s="18"/>
      <c r="O4" s="18" t="s">
        <v>20</v>
      </c>
      <c r="P4" s="18"/>
      <c r="Q4" s="18"/>
      <c r="R4" s="18" t="s">
        <v>21</v>
      </c>
      <c r="S4" s="18"/>
      <c r="T4" s="18"/>
      <c r="U4" s="19"/>
      <c r="V4" s="19" t="s">
        <v>22</v>
      </c>
      <c r="W4" s="19"/>
      <c r="X4" s="18" t="s">
        <v>23</v>
      </c>
      <c r="Y4" s="18"/>
      <c r="Z4" s="18"/>
      <c r="AA4" s="18" t="s">
        <v>24</v>
      </c>
      <c r="AB4" s="18"/>
      <c r="AC4" s="18"/>
      <c r="AD4" s="18" t="s">
        <v>25</v>
      </c>
      <c r="AE4" s="18"/>
      <c r="AF4" s="18"/>
      <c r="AG4" s="18" t="s">
        <v>26</v>
      </c>
      <c r="AH4" s="18"/>
      <c r="AI4" s="18"/>
      <c r="AJ4" s="18" t="s">
        <v>27</v>
      </c>
      <c r="AK4" s="18"/>
      <c r="AL4" s="18"/>
      <c r="AM4" s="18" t="s">
        <v>28</v>
      </c>
      <c r="AN4" s="18"/>
      <c r="AO4" s="18"/>
      <c r="AP4" s="20" t="s">
        <v>29</v>
      </c>
      <c r="AQ4" s="20"/>
      <c r="AR4" s="20"/>
      <c r="AS4" s="20" t="s">
        <v>30</v>
      </c>
      <c r="AT4" s="20"/>
      <c r="AU4" s="20"/>
      <c r="AV4" s="20" t="s">
        <v>31</v>
      </c>
      <c r="AW4" s="20"/>
      <c r="AX4" s="20"/>
      <c r="AY4" s="20" t="s">
        <v>32</v>
      </c>
      <c r="AZ4" s="20"/>
      <c r="BA4" s="20"/>
      <c r="BB4" s="20" t="s">
        <v>33</v>
      </c>
      <c r="BC4" s="20"/>
      <c r="BD4" s="20"/>
      <c r="BE4" s="20" t="s">
        <v>34</v>
      </c>
      <c r="BF4" s="20"/>
      <c r="BG4" s="20"/>
      <c r="BH4" s="20" t="s">
        <v>35</v>
      </c>
      <c r="BI4" s="20"/>
      <c r="BJ4" s="20"/>
      <c r="BK4" s="20" t="s">
        <v>36</v>
      </c>
      <c r="BL4" s="20"/>
      <c r="BM4" s="20"/>
      <c r="BN4" s="21" t="s">
        <v>37</v>
      </c>
      <c r="BO4" s="21"/>
      <c r="BP4" s="21"/>
      <c r="BQ4" s="22" t="s">
        <v>38</v>
      </c>
    </row>
    <row r="5" ht="12" customHeight="1" spans="1:256" x14ac:dyDescent="0.25">
      <c r="A5" s="9"/>
      <c r="B5" s="23"/>
      <c r="C5" s="24" t="s">
        <v>39</v>
      </c>
      <c r="D5" s="25" t="s">
        <v>40</v>
      </c>
      <c r="E5" s="25" t="s">
        <v>41</v>
      </c>
      <c r="F5" s="24" t="s">
        <v>39</v>
      </c>
      <c r="G5" s="25" t="s">
        <v>40</v>
      </c>
      <c r="H5" s="25" t="s">
        <v>41</v>
      </c>
      <c r="I5" s="24" t="s">
        <v>39</v>
      </c>
      <c r="J5" s="25" t="s">
        <v>40</v>
      </c>
      <c r="K5" s="25" t="s">
        <v>41</v>
      </c>
      <c r="L5" s="24" t="s">
        <v>39</v>
      </c>
      <c r="M5" s="25" t="s">
        <v>40</v>
      </c>
      <c r="N5" s="25" t="s">
        <v>41</v>
      </c>
      <c r="O5" s="26" t="s">
        <v>39</v>
      </c>
      <c r="P5" s="27" t="s">
        <v>40</v>
      </c>
      <c r="Q5" s="28" t="s">
        <v>41</v>
      </c>
      <c r="R5" s="26" t="s">
        <v>39</v>
      </c>
      <c r="S5" s="27" t="s">
        <v>40</v>
      </c>
      <c r="T5" s="28" t="s">
        <v>41</v>
      </c>
      <c r="U5" s="27" t="s">
        <v>39</v>
      </c>
      <c r="V5" s="27" t="s">
        <v>40</v>
      </c>
      <c r="W5" s="27" t="s">
        <v>41</v>
      </c>
      <c r="X5" s="26" t="s">
        <v>39</v>
      </c>
      <c r="Y5" s="27" t="s">
        <v>40</v>
      </c>
      <c r="Z5" s="28" t="s">
        <v>41</v>
      </c>
      <c r="AA5" s="24" t="s">
        <v>39</v>
      </c>
      <c r="AB5" s="25" t="s">
        <v>40</v>
      </c>
      <c r="AC5" s="29" t="s">
        <v>41</v>
      </c>
      <c r="AD5" s="24" t="s">
        <v>39</v>
      </c>
      <c r="AE5" s="25" t="s">
        <v>40</v>
      </c>
      <c r="AF5" s="25" t="s">
        <v>41</v>
      </c>
      <c r="AG5" s="24" t="s">
        <v>39</v>
      </c>
      <c r="AH5" s="25" t="s">
        <v>40</v>
      </c>
      <c r="AI5" s="29" t="s">
        <v>41</v>
      </c>
      <c r="AJ5" s="24" t="s">
        <v>39</v>
      </c>
      <c r="AK5" s="25" t="s">
        <v>42</v>
      </c>
      <c r="AL5" s="25" t="s">
        <v>41</v>
      </c>
      <c r="AM5" s="24" t="s">
        <v>39</v>
      </c>
      <c r="AN5" s="25" t="s">
        <v>42</v>
      </c>
      <c r="AO5" s="29" t="s">
        <v>41</v>
      </c>
      <c r="AP5" s="30" t="s">
        <v>39</v>
      </c>
      <c r="AQ5" s="31" t="s">
        <v>42</v>
      </c>
      <c r="AR5" s="32" t="s">
        <v>41</v>
      </c>
      <c r="AS5" s="30" t="s">
        <v>39</v>
      </c>
      <c r="AT5" s="31" t="s">
        <v>42</v>
      </c>
      <c r="AU5" s="32" t="s">
        <v>41</v>
      </c>
      <c r="AV5" s="30" t="s">
        <v>39</v>
      </c>
      <c r="AW5" s="31" t="s">
        <v>42</v>
      </c>
      <c r="AX5" s="32" t="s">
        <v>41</v>
      </c>
      <c r="AY5" s="30" t="s">
        <v>39</v>
      </c>
      <c r="AZ5" s="31" t="s">
        <v>42</v>
      </c>
      <c r="BA5" s="32" t="s">
        <v>41</v>
      </c>
      <c r="BB5" s="30" t="s">
        <v>39</v>
      </c>
      <c r="BC5" s="31" t="s">
        <v>42</v>
      </c>
      <c r="BD5" s="32" t="s">
        <v>41</v>
      </c>
      <c r="BE5" s="31" t="s">
        <v>39</v>
      </c>
      <c r="BF5" s="31" t="s">
        <v>42</v>
      </c>
      <c r="BG5" s="32" t="s">
        <v>41</v>
      </c>
      <c r="BH5" s="31" t="s">
        <v>39</v>
      </c>
      <c r="BI5" s="31" t="s">
        <v>42</v>
      </c>
      <c r="BJ5" s="32" t="s">
        <v>41</v>
      </c>
      <c r="BK5" s="30" t="s">
        <v>39</v>
      </c>
      <c r="BL5" s="31" t="s">
        <v>42</v>
      </c>
      <c r="BM5" s="31" t="s">
        <v>41</v>
      </c>
      <c r="BN5" s="30" t="s">
        <v>39</v>
      </c>
      <c r="BO5" s="31" t="s">
        <v>42</v>
      </c>
      <c r="BP5" s="32" t="s">
        <v>41</v>
      </c>
      <c r="BQ5" s="33" t="s">
        <v>43</v>
      </c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</row>
    <row r="6" ht="13.5" customHeight="1" spans="1:67" x14ac:dyDescent="0.25">
      <c r="A6" s="9"/>
      <c r="B6" s="9"/>
      <c r="C6" s="34"/>
      <c r="D6" s="35"/>
      <c r="E6" s="35"/>
      <c r="F6" s="34"/>
      <c r="G6" s="35"/>
      <c r="H6" s="36"/>
      <c r="I6" s="35"/>
      <c r="J6" s="35"/>
      <c r="K6" s="35">
        <v>0</v>
      </c>
      <c r="L6" s="35"/>
      <c r="M6" s="35"/>
      <c r="N6" s="35"/>
      <c r="O6" s="37"/>
      <c r="P6" s="38"/>
      <c r="Q6" s="39"/>
      <c r="R6" s="37"/>
      <c r="S6" s="38"/>
      <c r="T6" s="39"/>
      <c r="U6" s="37"/>
      <c r="V6" s="38"/>
      <c r="W6" s="39"/>
      <c r="X6" s="37"/>
      <c r="Y6" s="38"/>
      <c r="Z6" s="39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</row>
    <row r="7" ht="11.25" customHeight="1" spans="1:69" x14ac:dyDescent="0.25">
      <c r="A7" s="41">
        <v>421030000</v>
      </c>
      <c r="B7" s="41" t="s">
        <v>44</v>
      </c>
      <c r="C7" s="34">
        <f>IFERROR(VLOOKUP("1_"&amp;A7,SyS!$B:$P,10,FALSE()),0)</f>
        <v>1248.27</v>
      </c>
      <c r="D7" s="35">
        <f>IFERROR(VLOOKUP("1_"&amp;A7,SyS!$B:$P,12,FALSE()),0)</f>
      </c>
      <c r="E7" s="35">
        <f>+C7-D7</f>
        <v>1248.27</v>
      </c>
      <c r="F7" s="34">
        <f>IFERROR(VLOOKUP("2_"&amp;A7,SyS!$B:$P,10,FALSE()),0)</f>
      </c>
      <c r="G7" s="35">
        <f>IFERROR(VLOOKUP("2_"&amp;A7,SyS!$B:$P,12,FALSE()),0)</f>
      </c>
      <c r="H7" s="36">
        <f>+F7-G7</f>
      </c>
      <c r="I7" s="35"/>
      <c r="J7" s="35"/>
      <c r="K7" s="35"/>
      <c r="L7" s="35"/>
      <c r="M7" s="35"/>
      <c r="N7" s="35"/>
      <c r="O7" s="34">
        <f>IFERROR(VLOOKUP("14_"&amp;A7,SyS!$B:$P,10,FALSE()),0)</f>
      </c>
      <c r="P7" s="35">
        <f>IFERROR(VLOOKUP("14_"&amp;A7,SyS!$B:$P,12,FALSE()),0)</f>
      </c>
      <c r="Q7" s="36">
        <f>+O7-P7</f>
      </c>
      <c r="R7" s="34">
        <f>IFERROR(VLOOKUP("15_"&amp;A7,SyS!$B:$P,10,FALSE()),0)</f>
      </c>
      <c r="S7" s="35">
        <f>IFERROR(VLOOKUP("15_"&amp;A7,SyS!$B:$P,12,FALSE()),0)</f>
      </c>
      <c r="T7" s="36">
        <f>+R7-S7</f>
      </c>
      <c r="U7" s="34">
        <f>IFERROR(VLOOKUP("16_"&amp;A7,SyS!$B:$P,10,FALSE()),0)</f>
      </c>
      <c r="V7" s="35">
        <f>IFERROR(VLOOKUP("16_"&amp;A7,SyS!$B:$P,12,FALSE()),0)</f>
      </c>
      <c r="W7" s="36">
        <f>+U7-V7</f>
      </c>
      <c r="X7" s="34">
        <f>IFERROR(VLOOKUP("13_"&amp;A7,SyS!$B:$P,10,FALSE()),0)</f>
      </c>
      <c r="Y7" s="35">
        <f>IFERROR(VLOOKUP("13_"&amp;A7,SyS!$B:$P,12,FALSE()),0)</f>
      </c>
      <c r="Z7" s="36">
        <f>+X7-Y7</f>
      </c>
      <c r="AA7" s="34">
        <f>IFERROR(VLOOKUP("17_"&amp;A7,SyS!$B:$P,10,FALSE()),0)</f>
      </c>
      <c r="AB7" s="35">
        <f>IFERROR(VLOOKUP("17_"&amp;A7,SyS!$B:$P,12,FALSE()),0)</f>
      </c>
      <c r="AC7" s="36">
        <f>+AA7-AB7</f>
      </c>
      <c r="AD7" s="35"/>
      <c r="AE7" s="35"/>
      <c r="AF7" s="35"/>
      <c r="AG7" s="35">
        <f>IFERROR(VLOOKUP("19_"&amp;A7,SyS!$B:$P,10,FALSE()),0)</f>
      </c>
      <c r="AH7" s="35">
        <f>IFERROR(VLOOKUP("19_"&amp;A7,SyS!$B:$P,12,FALSE()),0)</f>
      </c>
      <c r="AI7" s="35">
        <f>+AG7-AH7</f>
      </c>
      <c r="AJ7" s="35"/>
      <c r="AK7" s="35"/>
      <c r="AL7" s="35"/>
      <c r="AM7" s="35">
        <f>IFERROR(VLOOKUP("23_"&amp;A7,SyS!$B:$P,10,FALSE()),0)</f>
      </c>
      <c r="AN7" s="35">
        <f>IFERROR(VLOOKUP("23_"&amp;A7,SyS!$B:$P,12,FALSE()),0)</f>
      </c>
      <c r="AO7" s="36">
        <f>+AM7-AN7</f>
      </c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>
        <f>IFERROR(VLOOKUP("29_"&amp;A7,SyS!$B:$P,10,FALSE()),0)</f>
      </c>
      <c r="BL7" s="40">
        <f>IFERROR(VLOOKUP("29_"&amp;A7,SyS!$B:$P,12,FALSE()),0)</f>
      </c>
      <c r="BM7" s="40">
        <f>+BK7-BL7</f>
      </c>
      <c r="BN7" s="42">
        <f>IFERROR(VLOOKUP("30_"&amp;A7,SyS!$B:$P,10,FALSE()),0)</f>
      </c>
      <c r="BO7" s="40">
        <f>IFERROR(VLOOKUP("30_"&amp;A7,SyS!$B:$P,12,FALSE()),0)</f>
      </c>
      <c r="BP7" s="43">
        <f>+BN7-BO7</f>
      </c>
      <c r="BQ7" s="44">
        <f>+E7+H7+K7+Q7+T7+W7+Z7+AC7+AF7+AI7+AL7+AO7+AR7+AU7+AX7+BA7+BD7+BG7+BJ7+BM7+BP7</f>
        <v>1248.27</v>
      </c>
    </row>
    <row r="8" ht="11.25" customHeight="1" spans="1:69" x14ac:dyDescent="0.25">
      <c r="A8" s="41">
        <v>421050000</v>
      </c>
      <c r="B8" s="41" t="s">
        <v>45</v>
      </c>
      <c r="C8" s="34">
        <f>IFERROR(VLOOKUP("1_"&amp;A8,SyS!$B:$P,10,FALSE()),0)</f>
        <v>1911.15</v>
      </c>
      <c r="D8" s="35">
        <f>IFERROR(VLOOKUP("1_"&amp;A8,SyS!$B:$P,12,FALSE()),0)</f>
      </c>
      <c r="E8" s="35">
        <f>+C8-D8</f>
        <v>1911.15</v>
      </c>
      <c r="F8" s="34">
        <f>IFERROR(VLOOKUP("2_"&amp;A8,SyS!$B:$P,10,FALSE()),0)</f>
      </c>
      <c r="G8" s="35">
        <f>IFERROR(VLOOKUP("2_"&amp;A8,SyS!$B:$P,12,FALSE()),0)</f>
      </c>
      <c r="H8" s="36">
        <f>+F8-G8</f>
      </c>
      <c r="I8" s="35"/>
      <c r="J8" s="35"/>
      <c r="K8" s="35"/>
      <c r="L8" s="35"/>
      <c r="M8" s="35"/>
      <c r="N8" s="35"/>
      <c r="O8" s="34">
        <f>IFERROR(VLOOKUP("14_"&amp;A8,SyS!$B:$P,10,FALSE()),0)</f>
      </c>
      <c r="P8" s="35">
        <f>IFERROR(VLOOKUP("14_"&amp;A8,SyS!$B:$P,12,FALSE()),0)</f>
      </c>
      <c r="Q8" s="36">
        <f>+O8-P8</f>
      </c>
      <c r="R8" s="34">
        <f>IFERROR(VLOOKUP("15_"&amp;A8,SyS!$B:$P,10,FALSE()),0)</f>
      </c>
      <c r="S8" s="35">
        <f>IFERROR(VLOOKUP("15_"&amp;A8,SyS!$B:$P,12,FALSE()),0)</f>
      </c>
      <c r="T8" s="36">
        <f>+R8-S8</f>
      </c>
      <c r="U8" s="34">
        <f>IFERROR(VLOOKUP("16_"&amp;A8,SyS!$B:$P,10,FALSE()),0)</f>
      </c>
      <c r="V8" s="35">
        <f>IFERROR(VLOOKUP("16_"&amp;A8,SyS!$B:$P,12,FALSE()),0)</f>
      </c>
      <c r="W8" s="36">
        <f>+U8-V8</f>
      </c>
      <c r="X8" s="34">
        <f>IFERROR(VLOOKUP("13_"&amp;A8,SyS!$B:$P,10,FALSE()),0)</f>
      </c>
      <c r="Y8" s="35">
        <f>IFERROR(VLOOKUP("13_"&amp;A8,SyS!$B:$P,12,FALSE()),0)</f>
      </c>
      <c r="Z8" s="36">
        <f>+X8-Y8</f>
      </c>
      <c r="AA8" s="34">
        <f>IFERROR(VLOOKUP("17_"&amp;A8,SyS!$B:$P,10,FALSE()),0)</f>
      </c>
      <c r="AB8" s="35">
        <f>IFERROR(VLOOKUP("17_"&amp;A8,SyS!$B:$P,12,FALSE()),0)</f>
      </c>
      <c r="AC8" s="36">
        <f>+AA8-AB8</f>
      </c>
      <c r="AD8" s="35"/>
      <c r="AE8" s="35"/>
      <c r="AF8" s="35"/>
      <c r="AG8" s="35">
        <f>IFERROR(VLOOKUP("19_"&amp;A8,SyS!$B:$P,10,FALSE()),0)</f>
      </c>
      <c r="AH8" s="35">
        <f>IFERROR(VLOOKUP("19_"&amp;A8,SyS!$B:$P,12,FALSE()),0)</f>
      </c>
      <c r="AI8" s="35">
        <f>+AG8-AH8</f>
      </c>
      <c r="AJ8" s="35"/>
      <c r="AK8" s="35"/>
      <c r="AL8" s="35"/>
      <c r="AM8" s="35">
        <f>IFERROR(VLOOKUP("23_"&amp;A8,SyS!$B:$P,10,FALSE()),0)</f>
      </c>
      <c r="AN8" s="35">
        <f>IFERROR(VLOOKUP("23_"&amp;A8,SyS!$B:$P,12,FALSE()),0)</f>
      </c>
      <c r="AO8" s="36">
        <f>+AM8-AN8</f>
      </c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>
        <f>IFERROR(VLOOKUP("29_"&amp;A8,SyS!$B:$P,10,FALSE()),0)</f>
      </c>
      <c r="BL8" s="40">
        <f>IFERROR(VLOOKUP("29_"&amp;A8,SyS!$B:$P,12,FALSE()),0)</f>
      </c>
      <c r="BM8" s="40">
        <f>+BK8-BL8</f>
      </c>
      <c r="BN8" s="42">
        <f>IFERROR(VLOOKUP("30_"&amp;A8,SyS!$B:$P,10,FALSE()),0)</f>
      </c>
      <c r="BO8" s="40">
        <f>IFERROR(VLOOKUP("30_"&amp;A8,SyS!$B:$P,12,FALSE()),0)</f>
      </c>
      <c r="BP8" s="43">
        <f>+BN8-BO8</f>
      </c>
      <c r="BQ8" s="44">
        <f>+E8+H8+K8+Q8+T8+W8+Z8+AC8+AF8+AI8+AL8+AO8+AR8+AU8+AX8+BA8+BD8+BG8+BJ8+BM8+BP8</f>
        <v>1911.15</v>
      </c>
    </row>
    <row r="9" ht="11.25" customHeight="1" spans="1:69" x14ac:dyDescent="0.25">
      <c r="A9" s="41">
        <v>421060000</v>
      </c>
      <c r="B9" s="41" t="s">
        <v>46</v>
      </c>
      <c r="C9" s="34">
        <f>IFERROR(VLOOKUP("1_"&amp;A9,SyS!$B:$P,10,FALSE()),0)</f>
        <v>554.77</v>
      </c>
      <c r="D9" s="35">
        <f>IFERROR(VLOOKUP("1_"&amp;A9,SyS!$B:$P,12,FALSE()),0)</f>
      </c>
      <c r="E9" s="35">
        <f>+C9-D9</f>
        <v>554.77</v>
      </c>
      <c r="F9" s="34">
        <f>IFERROR(VLOOKUP("2_"&amp;A9,SyS!$B:$P,10,FALSE()),0)</f>
      </c>
      <c r="G9" s="35">
        <f>IFERROR(VLOOKUP("2_"&amp;A9,SyS!$B:$P,12,FALSE()),0)</f>
      </c>
      <c r="H9" s="36">
        <f>+F9-G9</f>
      </c>
      <c r="I9" s="35"/>
      <c r="J9" s="35"/>
      <c r="K9" s="35"/>
      <c r="L9" s="35"/>
      <c r="M9" s="35"/>
      <c r="N9" s="35"/>
      <c r="O9" s="34">
        <f>IFERROR(VLOOKUP("14_"&amp;A9,SyS!$B:$P,10,FALSE()),0)</f>
      </c>
      <c r="P9" s="35">
        <f>IFERROR(VLOOKUP("14_"&amp;A9,SyS!$B:$P,12,FALSE()),0)</f>
      </c>
      <c r="Q9" s="36">
        <f>+O9-P9</f>
      </c>
      <c r="R9" s="34">
        <f>IFERROR(VLOOKUP("15_"&amp;A9,SyS!$B:$P,10,FALSE()),0)</f>
      </c>
      <c r="S9" s="35">
        <f>IFERROR(VLOOKUP("15_"&amp;A9,SyS!$B:$P,12,FALSE()),0)</f>
      </c>
      <c r="T9" s="36">
        <f>+R9-S9</f>
      </c>
      <c r="U9" s="34">
        <f>IFERROR(VLOOKUP("16_"&amp;A9,SyS!$B:$P,10,FALSE()),0)</f>
      </c>
      <c r="V9" s="35">
        <f>IFERROR(VLOOKUP("16_"&amp;A9,SyS!$B:$P,12,FALSE()),0)</f>
      </c>
      <c r="W9" s="36">
        <f>+U9-V9</f>
      </c>
      <c r="X9" s="34">
        <f>IFERROR(VLOOKUP("13_"&amp;A9,SyS!$B:$P,10,FALSE()),0)</f>
      </c>
      <c r="Y9" s="35">
        <f>IFERROR(VLOOKUP("13_"&amp;A9,SyS!$B:$P,12,FALSE()),0)</f>
      </c>
      <c r="Z9" s="36">
        <f>+X9-Y9</f>
      </c>
      <c r="AA9" s="34">
        <f>IFERROR(VLOOKUP("17_"&amp;A9,SyS!$B:$P,10,FALSE()),0)</f>
      </c>
      <c r="AB9" s="35">
        <f>IFERROR(VLOOKUP("17_"&amp;A9,SyS!$B:$P,12,FALSE()),0)</f>
      </c>
      <c r="AC9" s="36">
        <f>+AA9-AB9</f>
      </c>
      <c r="AD9" s="35"/>
      <c r="AE9" s="35"/>
      <c r="AF9" s="35"/>
      <c r="AG9" s="35">
        <f>IFERROR(VLOOKUP("19_"&amp;A9,SyS!$B:$P,10,FALSE()),0)</f>
      </c>
      <c r="AH9" s="35">
        <f>IFERROR(VLOOKUP("19_"&amp;A9,SyS!$B:$P,12,FALSE()),0)</f>
      </c>
      <c r="AI9" s="35">
        <f>+AG9-AH9</f>
      </c>
      <c r="AJ9" s="35"/>
      <c r="AK9" s="35"/>
      <c r="AL9" s="35"/>
      <c r="AM9" s="35">
        <f>IFERROR(VLOOKUP("23_"&amp;A9,SyS!$B:$P,10,FALSE()),0)</f>
      </c>
      <c r="AN9" s="35">
        <f>IFERROR(VLOOKUP("23_"&amp;A9,SyS!$B:$P,12,FALSE()),0)</f>
      </c>
      <c r="AO9" s="36">
        <f>+AM9-AN9</f>
      </c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>
        <f>IFERROR(VLOOKUP("29_"&amp;A9,SyS!$B:$P,10,FALSE()),0)</f>
      </c>
      <c r="BL9" s="40">
        <f>IFERROR(VLOOKUP("29_"&amp;A9,SyS!$B:$P,12,FALSE()),0)</f>
      </c>
      <c r="BM9" s="40">
        <f>+BK9-BL9</f>
      </c>
      <c r="BN9" s="42">
        <f>IFERROR(VLOOKUP("30_"&amp;A9,SyS!$B:$P,10,FALSE()),0)</f>
      </c>
      <c r="BO9" s="40">
        <f>IFERROR(VLOOKUP("30_"&amp;A9,SyS!$B:$P,12,FALSE()),0)</f>
      </c>
      <c r="BP9" s="43">
        <f>+BN9-BO9</f>
      </c>
      <c r="BQ9" s="44">
        <f>+E9+H9+K9+Q9+T9+W9+Z9+AC9+AF9+AI9+AL9+AO9+AR9+AU9+AX9+BA9+BD9+BG9+BJ9+BM9+BP9</f>
        <v>554.77</v>
      </c>
    </row>
    <row r="10" ht="11.25" customHeight="1" spans="1:69" x14ac:dyDescent="0.25">
      <c r="A10" s="41">
        <v>421170000</v>
      </c>
      <c r="B10" s="41" t="s">
        <v>47</v>
      </c>
      <c r="C10" s="34">
        <f>IFERROR(VLOOKUP("1_"&amp;A10,SyS!$B:$P,10,FALSE()),0)</f>
      </c>
      <c r="D10" s="35">
        <f>IFERROR(VLOOKUP("1_"&amp;A10,SyS!$B:$P,12,FALSE()),0)</f>
      </c>
      <c r="E10" s="35">
        <f>+C10-D10</f>
      </c>
      <c r="F10" s="34">
        <f>IFERROR(VLOOKUP("2_"&amp;A10,SyS!$B:$P,10,FALSE()),0)</f>
      </c>
      <c r="G10" s="35">
        <f>IFERROR(VLOOKUP("2_"&amp;A10,SyS!$B:$P,12,FALSE()),0)</f>
      </c>
      <c r="H10" s="36">
        <f>+F10-G10</f>
      </c>
      <c r="I10" s="35"/>
      <c r="J10" s="35"/>
      <c r="K10" s="35"/>
      <c r="L10" s="35"/>
      <c r="M10" s="35"/>
      <c r="N10" s="35"/>
      <c r="O10" s="34">
        <f>IFERROR(VLOOKUP("14_"&amp;A10,SyS!$B:$P,10,FALSE()),0)</f>
      </c>
      <c r="P10" s="35">
        <f>IFERROR(VLOOKUP("14_"&amp;A10,SyS!$B:$P,12,FALSE()),0)</f>
      </c>
      <c r="Q10" s="36">
        <f>+O10-P10</f>
      </c>
      <c r="R10" s="34">
        <f>IFERROR(VLOOKUP("15_"&amp;A10,SyS!$B:$P,10,FALSE()),0)</f>
      </c>
      <c r="S10" s="35">
        <f>IFERROR(VLOOKUP("15_"&amp;A10,SyS!$B:$P,12,FALSE()),0)</f>
      </c>
      <c r="T10" s="36">
        <f>+R10-S10</f>
      </c>
      <c r="U10" s="34">
        <f>IFERROR(VLOOKUP("16_"&amp;A10,SyS!$B:$P,10,FALSE()),0)</f>
      </c>
      <c r="V10" s="35">
        <f>IFERROR(VLOOKUP("16_"&amp;A10,SyS!$B:$P,12,FALSE()),0)</f>
      </c>
      <c r="W10" s="36">
        <f>+U10-V10</f>
      </c>
      <c r="X10" s="34">
        <f>IFERROR(VLOOKUP("13_"&amp;A10,SyS!$B:$P,10,FALSE()),0)</f>
      </c>
      <c r="Y10" s="35">
        <f>IFERROR(VLOOKUP("13_"&amp;A10,SyS!$B:$P,12,FALSE()),0)</f>
      </c>
      <c r="Z10" s="36">
        <f>+X10-Y10</f>
      </c>
      <c r="AA10" s="34">
        <f>IFERROR(VLOOKUP("17_"&amp;A10,SyS!$B:$P,10,FALSE()),0)</f>
      </c>
      <c r="AB10" s="35">
        <f>IFERROR(VLOOKUP("17_"&amp;A10,SyS!$B:$P,12,FALSE()),0)</f>
      </c>
      <c r="AC10" s="36">
        <f>+AA10-AB10</f>
      </c>
      <c r="AD10" s="35"/>
      <c r="AE10" s="35"/>
      <c r="AF10" s="35"/>
      <c r="AG10" s="35">
        <f>IFERROR(VLOOKUP("19_"&amp;A10,SyS!$B:$P,10,FALSE()),0)</f>
      </c>
      <c r="AH10" s="35">
        <f>IFERROR(VLOOKUP("19_"&amp;A10,SyS!$B:$P,12,FALSE()),0)</f>
      </c>
      <c r="AI10" s="35">
        <f>+AG10-AH10</f>
      </c>
      <c r="AJ10" s="35"/>
      <c r="AK10" s="35"/>
      <c r="AL10" s="35"/>
      <c r="AM10" s="35">
        <f>IFERROR(VLOOKUP("23_"&amp;A10,SyS!$B:$P,10,FALSE()),0)</f>
      </c>
      <c r="AN10" s="35">
        <f>IFERROR(VLOOKUP("23_"&amp;A10,SyS!$B:$P,12,FALSE()),0)</f>
      </c>
      <c r="AO10" s="36">
        <f>+AM10-AN10</f>
      </c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>
        <f>IFERROR(VLOOKUP("29_"&amp;A10,SyS!$B:$P,10,FALSE()),0)</f>
      </c>
      <c r="BL10" s="40">
        <f>IFERROR(VLOOKUP("29_"&amp;A10,SyS!$B:$P,12,FALSE()),0)</f>
      </c>
      <c r="BM10" s="40">
        <f>+BK10-BL10</f>
      </c>
      <c r="BN10" s="42">
        <f>IFERROR(VLOOKUP("30_"&amp;A10,SyS!$B:$P,10,FALSE()),0)</f>
      </c>
      <c r="BO10" s="40">
        <f>IFERROR(VLOOKUP("30_"&amp;A10,SyS!$B:$P,12,FALSE()),0)</f>
      </c>
      <c r="BP10" s="43">
        <f>+BN10-BO10</f>
      </c>
      <c r="BQ10" s="44">
        <f>+E10+H10+K10+Q10+T10+W10+Z10+AC10+AF10+AI10+AL10+AO10+AR10+AU10+AX10+BA10+BD10+BG10+BJ10+BM10+BP10</f>
      </c>
    </row>
    <row r="11" ht="11.25" customHeight="1" spans="1:69" x14ac:dyDescent="0.25">
      <c r="A11" s="41">
        <v>433100000</v>
      </c>
      <c r="B11" s="41" t="s">
        <v>48</v>
      </c>
      <c r="C11" s="34">
        <f>IFERROR(VLOOKUP("1_"&amp;A11,SyS!$B:$P,10,FALSE()),0)</f>
      </c>
      <c r="D11" s="35">
        <f>IFERROR(VLOOKUP("1_"&amp;A11,SyS!$B:$P,12,FALSE()),0)</f>
      </c>
      <c r="E11" s="35">
        <f>+C11-D11</f>
      </c>
      <c r="F11" s="34">
        <f>IFERROR(VLOOKUP("2_"&amp;A11,SyS!$B:$P,10,FALSE()),0)</f>
      </c>
      <c r="G11" s="35">
        <f>IFERROR(VLOOKUP("2_"&amp;A11,SyS!$B:$P,12,FALSE()),0)</f>
      </c>
      <c r="H11" s="36">
        <f>+F11-G11</f>
      </c>
      <c r="I11" s="35"/>
      <c r="J11" s="35"/>
      <c r="K11" s="35"/>
      <c r="L11" s="35"/>
      <c r="M11" s="35"/>
      <c r="N11" s="35"/>
      <c r="O11" s="34">
        <f>IFERROR(VLOOKUP("14_"&amp;A11,SyS!$B:$P,10,FALSE()),0)</f>
      </c>
      <c r="P11" s="35">
        <f>IFERROR(VLOOKUP("14_"&amp;A11,SyS!$B:$P,12,FALSE()),0)</f>
      </c>
      <c r="Q11" s="36">
        <f>+O11-P11</f>
      </c>
      <c r="R11" s="34">
        <f>IFERROR(VLOOKUP("15_"&amp;A11,SyS!$B:$P,10,FALSE()),0)</f>
      </c>
      <c r="S11" s="35">
        <f>IFERROR(VLOOKUP("15_"&amp;A11,SyS!$B:$P,12,FALSE()),0)</f>
      </c>
      <c r="T11" s="36">
        <f>+R11-S11</f>
      </c>
      <c r="U11" s="34">
        <f>IFERROR(VLOOKUP("16_"&amp;A11,SyS!$B:$P,10,FALSE()),0)</f>
      </c>
      <c r="V11" s="35">
        <f>IFERROR(VLOOKUP("16_"&amp;A11,SyS!$B:$P,12,FALSE()),0)</f>
      </c>
      <c r="W11" s="36">
        <f>+U11-V11</f>
      </c>
      <c r="X11" s="34">
        <f>IFERROR(VLOOKUP("13_"&amp;A11,SyS!$B:$P,10,FALSE()),0)</f>
      </c>
      <c r="Y11" s="35">
        <f>IFERROR(VLOOKUP("13_"&amp;A11,SyS!$B:$P,12,FALSE()),0)</f>
      </c>
      <c r="Z11" s="36">
        <f>+X11-Y11</f>
      </c>
      <c r="AA11" s="34">
        <f>IFERROR(VLOOKUP("17_"&amp;A11,SyS!$B:$P,10,FALSE()),0)</f>
      </c>
      <c r="AB11" s="35">
        <f>IFERROR(VLOOKUP("17_"&amp;A11,SyS!$B:$P,12,FALSE()),0)</f>
      </c>
      <c r="AC11" s="36">
        <f>+AA11-AB11</f>
      </c>
      <c r="AD11" s="35"/>
      <c r="AE11" s="35"/>
      <c r="AF11" s="35"/>
      <c r="AG11" s="35">
        <f>IFERROR(VLOOKUP("19_"&amp;A11,SyS!$B:$P,10,FALSE()),0)</f>
      </c>
      <c r="AH11" s="35">
        <f>IFERROR(VLOOKUP("19_"&amp;A11,SyS!$B:$P,12,FALSE()),0)</f>
      </c>
      <c r="AI11" s="35">
        <f>+AG11-AH11</f>
      </c>
      <c r="AJ11" s="35"/>
      <c r="AK11" s="35"/>
      <c r="AL11" s="35"/>
      <c r="AM11" s="35">
        <f>IFERROR(VLOOKUP("23_"&amp;A11,SyS!$B:$P,10,FALSE()),0)</f>
      </c>
      <c r="AN11" s="35">
        <f>IFERROR(VLOOKUP("23_"&amp;A11,SyS!$B:$P,12,FALSE()),0)</f>
      </c>
      <c r="AO11" s="36">
        <f>+AM11-AN11</f>
      </c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>
        <f>IFERROR(VLOOKUP("29_"&amp;A11,SyS!$B:$P,10,FALSE()),0)</f>
      </c>
      <c r="BL11" s="40">
        <f>IFERROR(VLOOKUP("29_"&amp;A11,SyS!$B:$P,12,FALSE()),0)</f>
      </c>
      <c r="BM11" s="40">
        <f>+BK11-BL11</f>
      </c>
      <c r="BN11" s="42">
        <f>IFERROR(VLOOKUP("30_"&amp;A11,SyS!$B:$P,10,FALSE()),0)</f>
      </c>
      <c r="BO11" s="40">
        <f>IFERROR(VLOOKUP("30_"&amp;A11,SyS!$B:$P,12,FALSE()),0)</f>
      </c>
      <c r="BP11" s="43">
        <f>+BN11-BO11</f>
      </c>
      <c r="BQ11" s="44">
        <f>+E11+H11+K11+N11+Q11+T11+W11+Z11+AC11+AF11+AI11+AL11+AO11+AR11+AU11+AX11+BA11+BD11+BG11+BJ11+BM11+BP11</f>
      </c>
    </row>
    <row r="12" ht="11.25" customHeight="1" spans="1:69" x14ac:dyDescent="0.25">
      <c r="A12" s="41">
        <v>423040000</v>
      </c>
      <c r="B12" s="41" t="s">
        <v>49</v>
      </c>
      <c r="C12" s="34">
        <f>IFERROR(VLOOKUP("1_"&amp;A12,SyS!$B:$P,10,FALSE()),0)</f>
      </c>
      <c r="D12" s="35">
        <f>IFERROR(VLOOKUP("1_"&amp;A12,SyS!$B:$P,12,FALSE()),0)</f>
      </c>
      <c r="E12" s="35">
        <f>+C12-D12</f>
      </c>
      <c r="F12" s="34">
        <f>IFERROR(VLOOKUP("2_"&amp;A12,SyS!$B:$P,10,FALSE()),0)</f>
      </c>
      <c r="G12" s="35">
        <f>IFERROR(VLOOKUP("2_"&amp;A12,SyS!$B:$P,12,FALSE()),0)</f>
      </c>
      <c r="H12" s="36">
        <f>+F12-G12</f>
      </c>
      <c r="I12" s="35"/>
      <c r="J12" s="35"/>
      <c r="K12" s="35"/>
      <c r="L12" s="35"/>
      <c r="M12" s="35"/>
      <c r="N12" s="35"/>
      <c r="O12" s="34">
        <f>IFERROR(VLOOKUP("14_"&amp;A12,SyS!$B:$P,10,FALSE()),0)</f>
      </c>
      <c r="P12" s="35">
        <f>IFERROR(VLOOKUP("14_"&amp;A12,SyS!$B:$P,12,FALSE()),0)</f>
      </c>
      <c r="Q12" s="36">
        <f>+O12-P12</f>
      </c>
      <c r="R12" s="34">
        <f>IFERROR(VLOOKUP("15_"&amp;A12,SyS!$B:$P,10,FALSE()),0)</f>
      </c>
      <c r="S12" s="35">
        <f>IFERROR(VLOOKUP("15_"&amp;A12,SyS!$B:$P,12,FALSE()),0)</f>
      </c>
      <c r="T12" s="36">
        <f>+R12-S12</f>
      </c>
      <c r="U12" s="34">
        <f>IFERROR(VLOOKUP("16_"&amp;A12,SyS!$B:$P,10,FALSE()),0)</f>
      </c>
      <c r="V12" s="35">
        <f>IFERROR(VLOOKUP("16_"&amp;A12,SyS!$B:$P,12,FALSE()),0)</f>
      </c>
      <c r="W12" s="36">
        <f>+U12-V12</f>
      </c>
      <c r="X12" s="34">
        <f>IFERROR(VLOOKUP("13_"&amp;A12,SyS!$B:$P,10,FALSE()),0)</f>
      </c>
      <c r="Y12" s="35">
        <f>IFERROR(VLOOKUP("13_"&amp;A12,SyS!$B:$P,12,FALSE()),0)</f>
      </c>
      <c r="Z12" s="36">
        <f>+X12-Y12</f>
      </c>
      <c r="AA12" s="34">
        <f>IFERROR(VLOOKUP("17_"&amp;A12,SyS!$B:$P,10,FALSE()),0)</f>
      </c>
      <c r="AB12" s="35">
        <f>IFERROR(VLOOKUP("17_"&amp;A12,SyS!$B:$P,12,FALSE()),0)</f>
      </c>
      <c r="AC12" s="36">
        <f>+AA12-AB12</f>
      </c>
      <c r="AD12" s="35"/>
      <c r="AE12" s="35"/>
      <c r="AF12" s="35"/>
      <c r="AG12" s="35">
        <f>IFERROR(VLOOKUP("19_"&amp;A12,SyS!$B:$P,10,FALSE()),0)</f>
      </c>
      <c r="AH12" s="35">
        <f>IFERROR(VLOOKUP("19_"&amp;A12,SyS!$B:$P,12,FALSE()),0)</f>
      </c>
      <c r="AI12" s="35">
        <f>+AG12-AH12</f>
      </c>
      <c r="AJ12" s="35"/>
      <c r="AK12" s="35"/>
      <c r="AL12" s="35"/>
      <c r="AM12" s="35">
        <f>IFERROR(VLOOKUP("23_"&amp;A12,SyS!$B:$P,10,FALSE()),0)</f>
      </c>
      <c r="AN12" s="35">
        <f>IFERROR(VLOOKUP("23_"&amp;A12,SyS!$B:$P,12,FALSE()),0)</f>
      </c>
      <c r="AO12" s="36">
        <f>+AM12-AN12</f>
      </c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>
        <f>IFERROR(VLOOKUP("29_"&amp;A12,SyS!$B:$P,10,FALSE()),0)</f>
      </c>
      <c r="BL12" s="40">
        <f>IFERROR(VLOOKUP("29_"&amp;A12,SyS!$B:$P,12,FALSE()),0)</f>
      </c>
      <c r="BM12" s="40">
        <f>+BK12-BL12</f>
      </c>
      <c r="BN12" s="42">
        <f>IFERROR(VLOOKUP("30_"&amp;A12,SyS!$B:$P,10,FALSE()),0)</f>
      </c>
      <c r="BO12" s="40">
        <f>IFERROR(VLOOKUP("30_"&amp;A12,SyS!$B:$P,12,FALSE()),0)</f>
      </c>
      <c r="BP12" s="43">
        <f>+BN12-BO12</f>
      </c>
      <c r="BQ12" s="44">
        <f>+E12+H12+K12+N12+Q12+T12+W12+Z12+AC12+AF12+AI12+AL12+AO12+AR12+AU12+AX12+BA12+BD12+BG12+BJ12+BM12+BP12</f>
      </c>
    </row>
    <row r="13" ht="11.25" customHeight="1" spans="1:69" x14ac:dyDescent="0.25">
      <c r="A13" s="41">
        <v>423100000</v>
      </c>
      <c r="B13" s="41" t="s">
        <v>50</v>
      </c>
      <c r="C13" s="34">
        <f>IFERROR(VLOOKUP("1_"&amp;A13,SyS!$B:$P,10,FALSE()),0)</f>
      </c>
      <c r="D13" s="35">
        <f>IFERROR(VLOOKUP("1_"&amp;A13,SyS!$B:$P,12,FALSE()),0)</f>
      </c>
      <c r="E13" s="35">
        <f>+C13-D13</f>
      </c>
      <c r="F13" s="34">
        <f>IFERROR(VLOOKUP("2_"&amp;A13,SyS!$B:$P,10,FALSE()),0)</f>
      </c>
      <c r="G13" s="35">
        <f>IFERROR(VLOOKUP("2_"&amp;A13,SyS!$B:$P,12,FALSE()),0)</f>
      </c>
      <c r="H13" s="36">
        <f>+F13-G13</f>
      </c>
      <c r="I13" s="35"/>
      <c r="J13" s="35"/>
      <c r="K13" s="35"/>
      <c r="L13" s="35"/>
      <c r="M13" s="35"/>
      <c r="N13" s="35"/>
      <c r="O13" s="34">
        <f>IFERROR(VLOOKUP("14_"&amp;A13,SyS!$B:$P,10,FALSE()),0)</f>
      </c>
      <c r="P13" s="35">
        <f>IFERROR(VLOOKUP("14_"&amp;A13,SyS!$B:$P,12,FALSE()),0)</f>
      </c>
      <c r="Q13" s="36">
        <f>+O13-P13</f>
      </c>
      <c r="R13" s="34">
        <f>IFERROR(VLOOKUP("15_"&amp;A13,SyS!$B:$P,10,FALSE()),0)</f>
      </c>
      <c r="S13" s="35">
        <f>IFERROR(VLOOKUP("15_"&amp;A13,SyS!$B:$P,12,FALSE()),0)</f>
      </c>
      <c r="T13" s="36">
        <f>+R13-S13</f>
      </c>
      <c r="U13" s="34">
        <f>IFERROR(VLOOKUP("16_"&amp;A13,SyS!$B:$P,10,FALSE()),0)</f>
      </c>
      <c r="V13" s="35">
        <f>IFERROR(VLOOKUP("16_"&amp;A13,SyS!$B:$P,12,FALSE()),0)</f>
      </c>
      <c r="W13" s="36">
        <f>+U13-V13</f>
      </c>
      <c r="X13" s="34">
        <f>IFERROR(VLOOKUP("13_"&amp;A13,SyS!$B:$P,10,FALSE()),0)</f>
      </c>
      <c r="Y13" s="35">
        <f>IFERROR(VLOOKUP("13_"&amp;A13,SyS!$B:$P,12,FALSE()),0)</f>
      </c>
      <c r="Z13" s="36">
        <f>+X13-Y13</f>
      </c>
      <c r="AA13" s="34">
        <f>IFERROR(VLOOKUP("17_"&amp;A13,SyS!$B:$P,10,FALSE()),0)</f>
      </c>
      <c r="AB13" s="35">
        <f>IFERROR(VLOOKUP("17_"&amp;A13,SyS!$B:$P,12,FALSE()),0)</f>
      </c>
      <c r="AC13" s="36">
        <f>+AA13-AB13</f>
      </c>
      <c r="AD13" s="35"/>
      <c r="AE13" s="35"/>
      <c r="AF13" s="35"/>
      <c r="AG13" s="35">
        <f>IFERROR(VLOOKUP("19_"&amp;A13,SyS!$B:$P,10,FALSE()),0)</f>
      </c>
      <c r="AH13" s="35">
        <f>IFERROR(VLOOKUP("19_"&amp;A13,SyS!$B:$P,12,FALSE()),0)</f>
      </c>
      <c r="AI13" s="35">
        <f>+AG13-AH13</f>
      </c>
      <c r="AJ13" s="35"/>
      <c r="AK13" s="35"/>
      <c r="AL13" s="35"/>
      <c r="AM13" s="35">
        <f>IFERROR(VLOOKUP("23_"&amp;A13,SyS!$B:$P,10,FALSE()),0)</f>
      </c>
      <c r="AN13" s="35">
        <f>IFERROR(VLOOKUP("23_"&amp;A13,SyS!$B:$P,12,FALSE()),0)</f>
      </c>
      <c r="AO13" s="36">
        <f>+AM13-AN13</f>
      </c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>
        <f>IFERROR(VLOOKUP("29_"&amp;A13,SyS!$B:$P,10,FALSE()),0)</f>
      </c>
      <c r="BL13" s="40">
        <f>IFERROR(VLOOKUP("29_"&amp;A13,SyS!$B:$P,12,FALSE()),0)</f>
      </c>
      <c r="BM13" s="40">
        <f>+BK13-BL13</f>
      </c>
      <c r="BN13" s="42">
        <f>IFERROR(VLOOKUP("30_"&amp;A13,SyS!$B:$P,10,FALSE()),0)</f>
      </c>
      <c r="BO13" s="40">
        <f>IFERROR(VLOOKUP("30_"&amp;A13,SyS!$B:$P,12,FALSE()),0)</f>
      </c>
      <c r="BP13" s="43">
        <f>+BN13-BO13</f>
      </c>
      <c r="BQ13" s="44">
        <f>+E13+H13+K13+N13+Q13+T13+W13+Z13+AC13+AF13+AI13+AL13+AO13+AR13+AU13+AX13+BA13+BD13+BG13+BJ13+BM13+BP13</f>
      </c>
    </row>
    <row r="14" ht="11.25" customHeight="1" spans="1:69" x14ac:dyDescent="0.25">
      <c r="A14" s="41">
        <v>424220000</v>
      </c>
      <c r="B14" s="41" t="s">
        <v>51</v>
      </c>
      <c r="C14" s="34">
        <f>IFERROR(VLOOKUP("1_"&amp;A14,SyS!$B:$P,10,FALSE()),0)</f>
      </c>
      <c r="D14" s="35">
        <f>IFERROR(VLOOKUP("1_"&amp;A14,SyS!$B:$P,12,FALSE()),0)</f>
      </c>
      <c r="E14" s="35">
        <f>+C14-D14</f>
      </c>
      <c r="F14" s="34">
        <f>IFERROR(VLOOKUP("2_"&amp;A14,SyS!$B:$P,10,FALSE()),0)</f>
      </c>
      <c r="G14" s="35">
        <f>IFERROR(VLOOKUP("2_"&amp;A14,SyS!$B:$P,12,FALSE()),0)</f>
      </c>
      <c r="H14" s="36">
        <f>+F14-G14</f>
      </c>
      <c r="I14" s="35"/>
      <c r="J14" s="35"/>
      <c r="K14" s="35"/>
      <c r="L14" s="35"/>
      <c r="M14" s="35"/>
      <c r="N14" s="35"/>
      <c r="O14" s="34">
        <f>IFERROR(VLOOKUP("14_"&amp;A14,SyS!$B:$P,10,FALSE()),0)</f>
      </c>
      <c r="P14" s="35">
        <f>IFERROR(VLOOKUP("14_"&amp;A14,SyS!$B:$P,12,FALSE()),0)</f>
      </c>
      <c r="Q14" s="36">
        <f>+O14-P14</f>
      </c>
      <c r="R14" s="34">
        <f>IFERROR(VLOOKUP("15_"&amp;A14,SyS!$B:$P,10,FALSE()),0)</f>
      </c>
      <c r="S14" s="35">
        <f>IFERROR(VLOOKUP("15_"&amp;A14,SyS!$B:$P,12,FALSE()),0)</f>
      </c>
      <c r="T14" s="36">
        <f>+R14-S14</f>
      </c>
      <c r="U14" s="34">
        <f>IFERROR(VLOOKUP("16_"&amp;A14,SyS!$B:$P,10,FALSE()),0)</f>
      </c>
      <c r="V14" s="35">
        <f>IFERROR(VLOOKUP("16_"&amp;A14,SyS!$B:$P,12,FALSE()),0)</f>
      </c>
      <c r="W14" s="36">
        <f>+U14-V14</f>
      </c>
      <c r="X14" s="34">
        <f>IFERROR(VLOOKUP("13_"&amp;A14,SyS!$B:$P,10,FALSE()),0)</f>
      </c>
      <c r="Y14" s="35">
        <f>IFERROR(VLOOKUP("13_"&amp;A14,SyS!$B:$P,12,FALSE()),0)</f>
      </c>
      <c r="Z14" s="36">
        <f>+X14-Y14</f>
      </c>
      <c r="AA14" s="34">
        <f>IFERROR(VLOOKUP("17_"&amp;A14,SyS!$B:$P,10,FALSE()),0)</f>
      </c>
      <c r="AB14" s="35">
        <f>IFERROR(VLOOKUP("17_"&amp;A14,SyS!$B:$P,12,FALSE()),0)</f>
      </c>
      <c r="AC14" s="36">
        <f>+AA14-AB14</f>
      </c>
      <c r="AD14" s="35"/>
      <c r="AE14" s="35"/>
      <c r="AF14" s="35"/>
      <c r="AG14" s="35">
        <f>IFERROR(VLOOKUP("19_"&amp;A14,SyS!$B:$P,10,FALSE()),0)</f>
      </c>
      <c r="AH14" s="35">
        <f>IFERROR(VLOOKUP("19_"&amp;A14,SyS!$B:$P,12,FALSE()),0)</f>
      </c>
      <c r="AI14" s="35">
        <f>+AG14-AH14</f>
      </c>
      <c r="AJ14" s="35"/>
      <c r="AK14" s="35"/>
      <c r="AL14" s="35"/>
      <c r="AM14" s="35">
        <f>IFERROR(VLOOKUP("23_"&amp;A14,SyS!$B:$P,10,FALSE()),0)</f>
      </c>
      <c r="AN14" s="35">
        <f>IFERROR(VLOOKUP("23_"&amp;A14,SyS!$B:$P,12,FALSE()),0)</f>
      </c>
      <c r="AO14" s="36">
        <f>+AM14-AN14</f>
      </c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>
        <f>IFERROR(VLOOKUP("29_"&amp;A14,SyS!$B:$P,10,FALSE()),0)</f>
      </c>
      <c r="BL14" s="40">
        <f>IFERROR(VLOOKUP("29_"&amp;A14,SyS!$B:$P,12,FALSE()),0)</f>
      </c>
      <c r="BM14" s="40">
        <f>+BK14-BL14</f>
      </c>
      <c r="BN14" s="42">
        <f>IFERROR(VLOOKUP("30_"&amp;A14,SyS!$B:$P,10,FALSE()),0)</f>
      </c>
      <c r="BO14" s="40">
        <f>IFERROR(VLOOKUP("30_"&amp;A14,SyS!$B:$P,12,FALSE()),0)</f>
      </c>
      <c r="BP14" s="43">
        <f>+BN14-BO14</f>
      </c>
      <c r="BQ14" s="44">
        <f>+E14+H14+K14+N14+Q14+T14+W14+Z14+AC14+AF14+AI14+AL14+AO14+AR14+AU14+AX14+BA14+BD14+BG14+BJ14+BM14+BP14</f>
      </c>
    </row>
    <row r="15" ht="11.25" customHeight="1" spans="1:69" x14ac:dyDescent="0.25">
      <c r="A15" s="41">
        <v>426160000</v>
      </c>
      <c r="B15" s="41" t="s">
        <v>52</v>
      </c>
      <c r="C15" s="34">
        <f>IFERROR(VLOOKUP("1_"&amp;A15,SyS!$B:$P,10,FALSE()),0)</f>
      </c>
      <c r="D15" s="35">
        <f>IFERROR(VLOOKUP("1_"&amp;A15,SyS!$B:$P,12,FALSE()),0)</f>
      </c>
      <c r="E15" s="35">
        <f>+C15-D15</f>
      </c>
      <c r="F15" s="34">
        <f>IFERROR(VLOOKUP("2_"&amp;A15,SyS!$B:$P,10,FALSE()),0)</f>
      </c>
      <c r="G15" s="35">
        <f>IFERROR(VLOOKUP("2_"&amp;A15,SyS!$B:$P,12,FALSE()),0)</f>
      </c>
      <c r="H15" s="36">
        <f>+F15-G15</f>
      </c>
      <c r="I15" s="35"/>
      <c r="J15" s="35"/>
      <c r="K15" s="35"/>
      <c r="L15" s="35"/>
      <c r="M15" s="35"/>
      <c r="N15" s="35"/>
      <c r="O15" s="34">
        <f>IFERROR(VLOOKUP("14_"&amp;A15,SyS!$B:$P,10,FALSE()),0)</f>
      </c>
      <c r="P15" s="35">
        <f>IFERROR(VLOOKUP("14_"&amp;A15,SyS!$B:$P,12,FALSE()),0)</f>
      </c>
      <c r="Q15" s="36">
        <f>+O15-P15</f>
      </c>
      <c r="R15" s="34">
        <f>IFERROR(VLOOKUP("15_"&amp;A15,SyS!$B:$P,10,FALSE()),0)</f>
      </c>
      <c r="S15" s="35">
        <f>IFERROR(VLOOKUP("15_"&amp;A15,SyS!$B:$P,12,FALSE()),0)</f>
      </c>
      <c r="T15" s="36">
        <f>+R15-S15</f>
      </c>
      <c r="U15" s="34">
        <f>IFERROR(VLOOKUP("16_"&amp;A15,SyS!$B:$P,10,FALSE()),0)</f>
      </c>
      <c r="V15" s="35">
        <f>IFERROR(VLOOKUP("16_"&amp;A15,SyS!$B:$P,12,FALSE()),0)</f>
      </c>
      <c r="W15" s="36">
        <f>+U15-V15</f>
      </c>
      <c r="X15" s="34">
        <f>IFERROR(VLOOKUP("13_"&amp;A15,SyS!$B:$P,10,FALSE()),0)</f>
      </c>
      <c r="Y15" s="35">
        <f>IFERROR(VLOOKUP("13_"&amp;A15,SyS!$B:$P,12,FALSE()),0)</f>
      </c>
      <c r="Z15" s="36">
        <f>+X15-Y15</f>
      </c>
      <c r="AA15" s="34">
        <f>IFERROR(VLOOKUP("17_"&amp;A15,SyS!$B:$P,10,FALSE()),0)</f>
      </c>
      <c r="AB15" s="35">
        <f>IFERROR(VLOOKUP("17_"&amp;A15,SyS!$B:$P,12,FALSE()),0)</f>
      </c>
      <c r="AC15" s="36">
        <f>+AA15-AB15</f>
      </c>
      <c r="AD15" s="35"/>
      <c r="AE15" s="35"/>
      <c r="AF15" s="35"/>
      <c r="AG15" s="35">
        <f>IFERROR(VLOOKUP("19_"&amp;A15,SyS!$B:$P,10,FALSE()),0)</f>
      </c>
      <c r="AH15" s="35">
        <f>IFERROR(VLOOKUP("19_"&amp;A15,SyS!$B:$P,12,FALSE()),0)</f>
      </c>
      <c r="AI15" s="35">
        <f>+AG15-AH15</f>
      </c>
      <c r="AJ15" s="35"/>
      <c r="AK15" s="35"/>
      <c r="AL15" s="35"/>
      <c r="AM15" s="35">
        <f>IFERROR(VLOOKUP("23_"&amp;A15,SyS!$B:$P,10,FALSE()),0)</f>
      </c>
      <c r="AN15" s="35">
        <f>IFERROR(VLOOKUP("23_"&amp;A15,SyS!$B:$P,12,FALSE()),0)</f>
      </c>
      <c r="AO15" s="36">
        <f>+AM15-AN15</f>
      </c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>
        <f>IFERROR(VLOOKUP("29_"&amp;A15,SyS!$B:$P,10,FALSE()),0)</f>
      </c>
      <c r="BL15" s="40">
        <f>IFERROR(VLOOKUP("29_"&amp;A15,SyS!$B:$P,12,FALSE()),0)</f>
      </c>
      <c r="BM15" s="40">
        <f>+BK15-BL15</f>
      </c>
      <c r="BN15" s="42">
        <f>IFERROR(VLOOKUP("30_"&amp;A15,SyS!$B:$P,10,FALSE()),0)</f>
      </c>
      <c r="BO15" s="40">
        <f>IFERROR(VLOOKUP("30_"&amp;A15,SyS!$B:$P,12,FALSE()),0)</f>
      </c>
      <c r="BP15" s="43">
        <f>+BN15-BO15</f>
      </c>
      <c r="BQ15" s="44">
        <f>+E15+H15+K15+N15+Q15+T15+W15+Z15+AC15+AF15+AI15+AL15+AO15+AR15+AU15+AX15+BA15+BD15+BG15+BJ15+BM15+BP15</f>
      </c>
    </row>
    <row r="16" ht="11.25" customHeight="1" spans="1:69" x14ac:dyDescent="0.25">
      <c r="A16" s="41">
        <v>424400000</v>
      </c>
      <c r="B16" s="41" t="s">
        <v>53</v>
      </c>
      <c r="C16" s="34">
        <f>IFERROR(VLOOKUP("1_"&amp;A16,SyS!$B:$P,10,FALSE()),0)</f>
      </c>
      <c r="D16" s="35">
        <f>IFERROR(VLOOKUP("1_"&amp;A16,SyS!$B:$P,12,FALSE()),0)</f>
      </c>
      <c r="E16" s="35">
        <f>+C16-D16</f>
      </c>
      <c r="F16" s="34">
        <f>IFERROR(VLOOKUP("2_"&amp;A16,SyS!$B:$P,10,FALSE()),0)</f>
      </c>
      <c r="G16" s="35">
        <f>IFERROR(VLOOKUP("2_"&amp;A16,SyS!$B:$P,12,FALSE()),0)</f>
      </c>
      <c r="H16" s="36">
        <f>+F16-G16</f>
      </c>
      <c r="I16" s="35"/>
      <c r="J16" s="35"/>
      <c r="K16" s="35"/>
      <c r="L16" s="35"/>
      <c r="M16" s="35"/>
      <c r="N16" s="35"/>
      <c r="O16" s="34">
        <f>IFERROR(VLOOKUP("14_"&amp;A16,SyS!$B:$P,10,FALSE()),0)</f>
      </c>
      <c r="P16" s="35">
        <f>IFERROR(VLOOKUP("14_"&amp;A16,SyS!$B:$P,12,FALSE()),0)</f>
      </c>
      <c r="Q16" s="36">
        <f>+O16-P16</f>
      </c>
      <c r="R16" s="34">
        <f>IFERROR(VLOOKUP("15_"&amp;A16,SyS!$B:$P,10,FALSE()),0)</f>
        <v>17015.23</v>
      </c>
      <c r="S16" s="35">
        <f>IFERROR(VLOOKUP("15_"&amp;A16,SyS!$B:$P,12,FALSE()),0)</f>
      </c>
      <c r="T16" s="36">
        <f>+R16-S16</f>
        <v>17015.23</v>
      </c>
      <c r="U16" s="34">
        <f>IFERROR(VLOOKUP("16_"&amp;A16,SyS!$B:$P,10,FALSE()),0)</f>
      </c>
      <c r="V16" s="35">
        <f>IFERROR(VLOOKUP("16_"&amp;A16,SyS!$B:$P,12,FALSE()),0)</f>
      </c>
      <c r="W16" s="36">
        <f>+U16-V16</f>
      </c>
      <c r="X16" s="34">
        <f>IFERROR(VLOOKUP("13_"&amp;A16,SyS!$B:$P,10,FALSE()),0)</f>
      </c>
      <c r="Y16" s="35">
        <f>IFERROR(VLOOKUP("13_"&amp;A16,SyS!$B:$P,12,FALSE()),0)</f>
      </c>
      <c r="Z16" s="36">
        <f>+X16-Y16</f>
      </c>
      <c r="AA16" s="34">
        <f>IFERROR(VLOOKUP("17_"&amp;A16,SyS!$B:$P,10,FALSE()),0)</f>
        <v>21921.22</v>
      </c>
      <c r="AB16" s="35">
        <f>IFERROR(VLOOKUP("17_"&amp;A16,SyS!$B:$P,12,FALSE()),0)</f>
      </c>
      <c r="AC16" s="36">
        <f>+AA16-AB16</f>
        <v>21921.22</v>
      </c>
      <c r="AD16" s="35"/>
      <c r="AE16" s="35"/>
      <c r="AF16" s="35"/>
      <c r="AG16" s="35">
        <f>IFERROR(VLOOKUP("19_"&amp;A16,SyS!$B:$P,10,FALSE()),0)</f>
      </c>
      <c r="AH16" s="35">
        <f>IFERROR(VLOOKUP("19_"&amp;A16,SyS!$B:$P,12,FALSE()),0)</f>
      </c>
      <c r="AI16" s="35">
        <f>+AG16-AH16</f>
      </c>
      <c r="AJ16" s="35"/>
      <c r="AK16" s="35"/>
      <c r="AL16" s="35"/>
      <c r="AM16" s="35">
        <f>IFERROR(VLOOKUP("23_"&amp;A16,SyS!$B:$P,10,FALSE()),0)</f>
      </c>
      <c r="AN16" s="35">
        <f>IFERROR(VLOOKUP("23_"&amp;A16,SyS!$B:$P,12,FALSE()),0)</f>
      </c>
      <c r="AO16" s="36">
        <f>+AM16-AN16</f>
      </c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>
        <f>IFERROR(VLOOKUP("29_"&amp;A16,SyS!$B:$P,10,FALSE()),0)</f>
      </c>
      <c r="BL16" s="40">
        <f>IFERROR(VLOOKUP("29_"&amp;A16,SyS!$B:$P,12,FALSE()),0)</f>
      </c>
      <c r="BM16" s="40">
        <f>+BK16-BL16</f>
      </c>
      <c r="BN16" s="42">
        <f>IFERROR(VLOOKUP("30_"&amp;A16,SyS!$B:$P,10,FALSE()),0)</f>
      </c>
      <c r="BO16" s="40">
        <f>IFERROR(VLOOKUP("30_"&amp;A16,SyS!$B:$P,12,FALSE()),0)</f>
      </c>
      <c r="BP16" s="43">
        <f>+BN16-BO16</f>
      </c>
      <c r="BQ16" s="44">
        <f>+E16+H16+K16+N16+Q16+T16+W16+Z16+AC16+AF16+AI16+AL16+AO16+AR16+AU16+AX16+BA16+BD16+BG16+BJ16+BM16+BP16</f>
        <v>38936.45</v>
      </c>
    </row>
    <row r="17" ht="11.25" customHeight="1" spans="1:69" x14ac:dyDescent="0.25">
      <c r="A17" s="41">
        <v>424460000</v>
      </c>
      <c r="B17" s="41" t="s">
        <v>54</v>
      </c>
      <c r="C17" s="34">
        <f>IFERROR(VLOOKUP("1_"&amp;A17,SyS!$B:$P,10,FALSE()),0)</f>
      </c>
      <c r="D17" s="35">
        <f>IFERROR(VLOOKUP("1_"&amp;A17,SyS!$B:$P,12,FALSE()),0)</f>
      </c>
      <c r="E17" s="35">
        <f>+C17-D17</f>
      </c>
      <c r="F17" s="34">
        <f>IFERROR(VLOOKUP("2_"&amp;A17,SyS!$B:$P,10,FALSE()),0)</f>
      </c>
      <c r="G17" s="35">
        <f>IFERROR(VLOOKUP("2_"&amp;A17,SyS!$B:$P,12,FALSE()),0)</f>
      </c>
      <c r="H17" s="36">
        <f>+F17-G17</f>
      </c>
      <c r="I17" s="35"/>
      <c r="J17" s="35"/>
      <c r="K17" s="35"/>
      <c r="L17" s="35"/>
      <c r="M17" s="35"/>
      <c r="N17" s="35"/>
      <c r="O17" s="34">
        <f>IFERROR(VLOOKUP("14_"&amp;A17,SyS!$B:$P,10,FALSE()),0)</f>
      </c>
      <c r="P17" s="35">
        <f>IFERROR(VLOOKUP("14_"&amp;A17,SyS!$B:$P,12,FALSE()),0)</f>
      </c>
      <c r="Q17" s="36">
        <f>+O17-P17</f>
      </c>
      <c r="R17" s="34">
        <f>IFERROR(VLOOKUP("15_"&amp;A17,SyS!$B:$P,10,FALSE()),0)</f>
      </c>
      <c r="S17" s="35">
        <f>IFERROR(VLOOKUP("15_"&amp;A17,SyS!$B:$P,12,FALSE()),0)</f>
      </c>
      <c r="T17" s="36">
        <f>+R17-S17</f>
      </c>
      <c r="U17" s="34">
        <f>IFERROR(VLOOKUP("16_"&amp;A17,SyS!$B:$P,10,FALSE()),0)</f>
      </c>
      <c r="V17" s="35">
        <f>IFERROR(VLOOKUP("16_"&amp;A17,SyS!$B:$P,12,FALSE()),0)</f>
      </c>
      <c r="W17" s="36">
        <f>+U17-V17</f>
      </c>
      <c r="X17" s="34">
        <f>IFERROR(VLOOKUP("13_"&amp;A17,SyS!$B:$P,10,FALSE()),0)</f>
      </c>
      <c r="Y17" s="35">
        <f>IFERROR(VLOOKUP("13_"&amp;A17,SyS!$B:$P,12,FALSE()),0)</f>
      </c>
      <c r="Z17" s="36">
        <f>+X17-Y17</f>
      </c>
      <c r="AA17" s="34">
        <f>IFERROR(VLOOKUP("17_"&amp;A17,SyS!$B:$P,10,FALSE()),0)</f>
      </c>
      <c r="AB17" s="35">
        <f>IFERROR(VLOOKUP("17_"&amp;A17,SyS!$B:$P,12,FALSE()),0)</f>
      </c>
      <c r="AC17" s="36">
        <f>+AA17-AB17</f>
      </c>
      <c r="AD17" s="35"/>
      <c r="AE17" s="35"/>
      <c r="AF17" s="35"/>
      <c r="AG17" s="35">
        <f>IFERROR(VLOOKUP("19_"&amp;A17,SyS!$B:$P,10,FALSE()),0)</f>
      </c>
      <c r="AH17" s="35">
        <f>IFERROR(VLOOKUP("19_"&amp;A17,SyS!$B:$P,12,FALSE()),0)</f>
      </c>
      <c r="AI17" s="35">
        <f>+AG17-AH17</f>
      </c>
      <c r="AJ17" s="35"/>
      <c r="AK17" s="35"/>
      <c r="AL17" s="35"/>
      <c r="AM17" s="35">
        <f>IFERROR(VLOOKUP("23_"&amp;A17,SyS!$B:$P,10,FALSE()),0)</f>
      </c>
      <c r="AN17" s="35">
        <f>IFERROR(VLOOKUP("23_"&amp;A17,SyS!$B:$P,12,FALSE()),0)</f>
      </c>
      <c r="AO17" s="36">
        <f>+AM17-AN17</f>
      </c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>
        <f>IFERROR(VLOOKUP("29_"&amp;A17,SyS!$B:$P,10,FALSE()),0)</f>
      </c>
      <c r="BL17" s="40">
        <f>IFERROR(VLOOKUP("29_"&amp;A17,SyS!$B:$P,12,FALSE()),0)</f>
      </c>
      <c r="BM17" s="40">
        <f>+BK17-BL17</f>
      </c>
      <c r="BN17" s="42">
        <f>IFERROR(VLOOKUP("30_"&amp;A17,SyS!$B:$P,10,FALSE()),0)</f>
      </c>
      <c r="BO17" s="40">
        <f>IFERROR(VLOOKUP("30_"&amp;A17,SyS!$B:$P,12,FALSE()),0)</f>
      </c>
      <c r="BP17" s="43">
        <f>+BN17-BO17</f>
      </c>
      <c r="BQ17" s="44">
        <f>+E17+H17+K17+N17+Q17+T17+W17+Z17+AC17+AF17+AI17+AL17+AO17+AR17+AU17+AX17+BA17+BD17+BG17+BJ17+BM17+BP17</f>
      </c>
    </row>
    <row r="18" ht="11.25" customHeight="1" spans="1:69" x14ac:dyDescent="0.25">
      <c r="A18" s="41">
        <v>424500000</v>
      </c>
      <c r="B18" s="41" t="s">
        <v>55</v>
      </c>
      <c r="C18" s="34">
        <f>IFERROR(VLOOKUP("1_"&amp;A18,SyS!$B:$P,10,FALSE()),0)</f>
      </c>
      <c r="D18" s="35">
        <f>IFERROR(VLOOKUP("1_"&amp;A18,SyS!$B:$P,12,FALSE()),0)</f>
      </c>
      <c r="E18" s="35">
        <f>+C18-D18</f>
      </c>
      <c r="F18" s="34">
        <f>IFERROR(VLOOKUP("2_"&amp;A18,SyS!$B:$P,10,FALSE()),0)</f>
      </c>
      <c r="G18" s="35">
        <f>IFERROR(VLOOKUP("2_"&amp;A18,SyS!$B:$P,12,FALSE()),0)</f>
      </c>
      <c r="H18" s="36">
        <f>+F18-G18</f>
      </c>
      <c r="I18" s="35"/>
      <c r="J18" s="35"/>
      <c r="K18" s="35"/>
      <c r="L18" s="35"/>
      <c r="M18" s="35"/>
      <c r="N18" s="35"/>
      <c r="O18" s="34">
        <f>IFERROR(VLOOKUP("14_"&amp;A18,SyS!$B:$P,10,FALSE()),0)</f>
      </c>
      <c r="P18" s="35">
        <f>IFERROR(VLOOKUP("14_"&amp;A18,SyS!$B:$P,12,FALSE()),0)</f>
      </c>
      <c r="Q18" s="36">
        <f>+O18-P18</f>
      </c>
      <c r="R18" s="34">
        <f>IFERROR(VLOOKUP("15_"&amp;A18,SyS!$B:$P,10,FALSE()),0)</f>
        <v>4929.97</v>
      </c>
      <c r="S18" s="35">
        <f>IFERROR(VLOOKUP("15_"&amp;A18,SyS!$B:$P,12,FALSE()),0)</f>
      </c>
      <c r="T18" s="36">
        <f>+R18-S18</f>
        <v>4929.97</v>
      </c>
      <c r="U18" s="34">
        <f>IFERROR(VLOOKUP("16_"&amp;A18,SyS!$B:$P,10,FALSE()),0)</f>
      </c>
      <c r="V18" s="35">
        <f>IFERROR(VLOOKUP("16_"&amp;A18,SyS!$B:$P,12,FALSE()),0)</f>
      </c>
      <c r="W18" s="36">
        <f>+U18-V18</f>
      </c>
      <c r="X18" s="34">
        <f>IFERROR(VLOOKUP("13_"&amp;A18,SyS!$B:$P,10,FALSE()),0)</f>
      </c>
      <c r="Y18" s="35">
        <f>IFERROR(VLOOKUP("13_"&amp;A18,SyS!$B:$P,12,FALSE()),0)</f>
      </c>
      <c r="Z18" s="36">
        <f>+X18-Y18</f>
      </c>
      <c r="AA18" s="34">
        <f>IFERROR(VLOOKUP("17_"&amp;A18,SyS!$B:$P,10,FALSE()),0)</f>
        <v>6372.12</v>
      </c>
      <c r="AB18" s="35">
        <f>IFERROR(VLOOKUP("17_"&amp;A18,SyS!$B:$P,12,FALSE()),0)</f>
      </c>
      <c r="AC18" s="36">
        <f>+AA18-AB18</f>
        <v>6372.12</v>
      </c>
      <c r="AD18" s="35"/>
      <c r="AE18" s="35"/>
      <c r="AF18" s="35"/>
      <c r="AG18" s="35">
        <f>IFERROR(VLOOKUP("19_"&amp;A18,SyS!$B:$P,10,FALSE()),0)</f>
      </c>
      <c r="AH18" s="35">
        <f>IFERROR(VLOOKUP("19_"&amp;A18,SyS!$B:$P,12,FALSE()),0)</f>
      </c>
      <c r="AI18" s="35">
        <f>+AG18-AH18</f>
      </c>
      <c r="AJ18" s="35"/>
      <c r="AK18" s="35"/>
      <c r="AL18" s="35"/>
      <c r="AM18" s="35">
        <f>IFERROR(VLOOKUP("23_"&amp;A18,SyS!$B:$P,10,FALSE()),0)</f>
      </c>
      <c r="AN18" s="35">
        <f>IFERROR(VLOOKUP("23_"&amp;A18,SyS!$B:$P,12,FALSE()),0)</f>
      </c>
      <c r="AO18" s="36">
        <f>+AM18-AN18</f>
      </c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>
        <f>IFERROR(VLOOKUP("29_"&amp;A18,SyS!$B:$P,10,FALSE()),0)</f>
      </c>
      <c r="BL18" s="40">
        <f>IFERROR(VLOOKUP("29_"&amp;A18,SyS!$B:$P,12,FALSE()),0)</f>
      </c>
      <c r="BM18" s="40">
        <f>+BK18-BL18</f>
      </c>
      <c r="BN18" s="42">
        <f>IFERROR(VLOOKUP("30_"&amp;A18,SyS!$B:$P,10,FALSE()),0)</f>
      </c>
      <c r="BO18" s="40">
        <f>IFERROR(VLOOKUP("30_"&amp;A18,SyS!$B:$P,12,FALSE()),0)</f>
      </c>
      <c r="BP18" s="43">
        <f>+BN18-BO18</f>
      </c>
      <c r="BQ18" s="44">
        <f>+E18+H18+K18+N18+Q18+T18+W18+Z18+AC18+AF18+AI18+AL18+AO18+AR18+AU18+AX18+BA18+BD18+BG18+BJ18+BM18+BP18</f>
        <v>11302.09</v>
      </c>
    </row>
    <row r="19" ht="11.25" customHeight="1" spans="1:69" x14ac:dyDescent="0.25">
      <c r="A19" s="41">
        <v>422240000</v>
      </c>
      <c r="B19" s="41" t="s">
        <v>56</v>
      </c>
      <c r="C19" s="34">
        <f>IFERROR(VLOOKUP("1_"&amp;A19,SyS!$B:$P,10,FALSE()),0)</f>
      </c>
      <c r="D19" s="35">
        <f>IFERROR(VLOOKUP("1_"&amp;A19,SyS!$B:$P,12,FALSE()),0)</f>
      </c>
      <c r="E19" s="35">
        <f>+C19-D19</f>
      </c>
      <c r="F19" s="34">
        <f>IFERROR(VLOOKUP("2_"&amp;A19,SyS!$B:$P,10,FALSE()),0)</f>
      </c>
      <c r="G19" s="35">
        <f>IFERROR(VLOOKUP("2_"&amp;A19,SyS!$B:$P,12,FALSE()),0)</f>
      </c>
      <c r="H19" s="36">
        <f>+F19-G19</f>
      </c>
      <c r="I19" s="35"/>
      <c r="J19" s="35"/>
      <c r="K19" s="35"/>
      <c r="L19" s="35"/>
      <c r="M19" s="35"/>
      <c r="N19" s="35"/>
      <c r="O19" s="34">
        <f>IFERROR(VLOOKUP("14_"&amp;A19,SyS!$B:$P,10,FALSE()),0)</f>
      </c>
      <c r="P19" s="35">
        <f>IFERROR(VLOOKUP("14_"&amp;A19,SyS!$B:$P,12,FALSE()),0)</f>
      </c>
      <c r="Q19" s="36">
        <f>+O19-P19</f>
      </c>
      <c r="R19" s="34">
        <f>IFERROR(VLOOKUP("15_"&amp;A19,SyS!$B:$P,10,FALSE()),0)</f>
      </c>
      <c r="S19" s="35">
        <f>IFERROR(VLOOKUP("15_"&amp;A19,SyS!$B:$P,12,FALSE()),0)</f>
      </c>
      <c r="T19" s="36">
        <f>+R19-S19</f>
      </c>
      <c r="U19" s="34">
        <f>IFERROR(VLOOKUP("16_"&amp;A19,SyS!$B:$P,10,FALSE()),0)</f>
      </c>
      <c r="V19" s="35">
        <f>IFERROR(VLOOKUP("16_"&amp;A19,SyS!$B:$P,12,FALSE()),0)</f>
      </c>
      <c r="W19" s="36">
        <f>+U19-V19</f>
      </c>
      <c r="X19" s="34">
        <f>IFERROR(VLOOKUP("13_"&amp;A19,SyS!$B:$P,10,FALSE()),0)</f>
      </c>
      <c r="Y19" s="35">
        <f>IFERROR(VLOOKUP("13_"&amp;A19,SyS!$B:$P,12,FALSE()),0)</f>
      </c>
      <c r="Z19" s="36">
        <f>+X19-Y19</f>
      </c>
      <c r="AA19" s="34">
        <f>IFERROR(VLOOKUP("17_"&amp;A19,SyS!$B:$P,10,FALSE()),0)</f>
      </c>
      <c r="AB19" s="35">
        <f>IFERROR(VLOOKUP("17_"&amp;A19,SyS!$B:$P,12,FALSE()),0)</f>
      </c>
      <c r="AC19" s="36">
        <f>+AA19-AB19</f>
      </c>
      <c r="AD19" s="35"/>
      <c r="AE19" s="35"/>
      <c r="AF19" s="35"/>
      <c r="AG19" s="35">
        <f>IFERROR(VLOOKUP("19_"&amp;A19,SyS!$B:$P,10,FALSE()),0)</f>
      </c>
      <c r="AH19" s="35">
        <f>IFERROR(VLOOKUP("19_"&amp;A19,SyS!$B:$P,12,FALSE()),0)</f>
      </c>
      <c r="AI19" s="35">
        <f>+AG19-AH19</f>
      </c>
      <c r="AJ19" s="35"/>
      <c r="AK19" s="35"/>
      <c r="AL19" s="35"/>
      <c r="AM19" s="35">
        <f>IFERROR(VLOOKUP("23_"&amp;A19,SyS!$B:$P,10,FALSE()),0)</f>
      </c>
      <c r="AN19" s="35">
        <f>IFERROR(VLOOKUP("23_"&amp;A19,SyS!$B:$P,12,FALSE()),0)</f>
      </c>
      <c r="AO19" s="36">
        <f>+AM19-AN19</f>
      </c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>
        <f>IFERROR(VLOOKUP("29_"&amp;A19,SyS!$B:$P,10,FALSE()),0)</f>
      </c>
      <c r="BL19" s="40">
        <f>IFERROR(VLOOKUP("29_"&amp;A19,SyS!$B:$P,12,FALSE()),0)</f>
      </c>
      <c r="BM19" s="40">
        <f>+BK19-BL19</f>
      </c>
      <c r="BN19" s="42">
        <f>IFERROR(VLOOKUP("30_"&amp;A19,SyS!$B:$P,10,FALSE()),0)</f>
      </c>
      <c r="BO19" s="40">
        <f>IFERROR(VLOOKUP("30_"&amp;A19,SyS!$B:$P,12,FALSE()),0)</f>
      </c>
      <c r="BP19" s="43">
        <f>+BN19-BO19</f>
      </c>
      <c r="BQ19" s="44">
        <f>+E19+H19+K19+N19+Q19+T19+W19+Z19+AC19+AF19+AI19+AL19+AO19+AR19+AU19+AX19+BA19+BD19+BG19+BJ19+BM19+BP19</f>
      </c>
    </row>
    <row r="20" ht="11.25" customHeight="1" spans="1:69" x14ac:dyDescent="0.25">
      <c r="A20" s="41">
        <v>424820000</v>
      </c>
      <c r="B20" s="41" t="s">
        <v>57</v>
      </c>
      <c r="C20" s="34">
        <f>IFERROR(VLOOKUP("1_"&amp;A20,SyS!$B:$P,10,FALSE()),0)</f>
      </c>
      <c r="D20" s="35">
        <f>IFERROR(VLOOKUP("1_"&amp;A20,SyS!$B:$P,12,FALSE()),0)</f>
      </c>
      <c r="E20" s="35">
        <f>+C20-D20</f>
      </c>
      <c r="F20" s="34">
        <f>IFERROR(VLOOKUP("2_"&amp;A20,SyS!$B:$P,10,FALSE()),0)</f>
      </c>
      <c r="G20" s="35">
        <f>IFERROR(VLOOKUP("2_"&amp;A20,SyS!$B:$P,12,FALSE()),0)</f>
      </c>
      <c r="H20" s="36">
        <f>+F20-G20</f>
      </c>
      <c r="I20" s="35"/>
      <c r="J20" s="35"/>
      <c r="K20" s="35"/>
      <c r="L20" s="35"/>
      <c r="M20" s="35"/>
      <c r="N20" s="35"/>
      <c r="O20" s="34">
        <f>IFERROR(VLOOKUP("14_"&amp;A20,SyS!$B:$P,10,FALSE()),0)</f>
      </c>
      <c r="P20" s="35">
        <f>IFERROR(VLOOKUP("14_"&amp;A20,SyS!$B:$P,12,FALSE()),0)</f>
      </c>
      <c r="Q20" s="36">
        <f>+O20-P20</f>
      </c>
      <c r="R20" s="34">
        <f>IFERROR(VLOOKUP("15_"&amp;A20,SyS!$B:$P,10,FALSE()),0)</f>
      </c>
      <c r="S20" s="35">
        <f>IFERROR(VLOOKUP("15_"&amp;A20,SyS!$B:$P,12,FALSE()),0)</f>
      </c>
      <c r="T20" s="36">
        <f>+R20-S20</f>
      </c>
      <c r="U20" s="34">
        <f>IFERROR(VLOOKUP("16_"&amp;A20,SyS!$B:$P,10,FALSE()),0)</f>
      </c>
      <c r="V20" s="35">
        <f>IFERROR(VLOOKUP("16_"&amp;A20,SyS!$B:$P,12,FALSE()),0)</f>
      </c>
      <c r="W20" s="36">
        <f>+U20-V20</f>
      </c>
      <c r="X20" s="34">
        <f>IFERROR(VLOOKUP("13_"&amp;A20,SyS!$B:$P,10,FALSE()),0)</f>
      </c>
      <c r="Y20" s="35">
        <f>IFERROR(VLOOKUP("13_"&amp;A20,SyS!$B:$P,12,FALSE()),0)</f>
      </c>
      <c r="Z20" s="36">
        <f>+X20-Y20</f>
      </c>
      <c r="AA20" s="34">
        <f>IFERROR(VLOOKUP("17_"&amp;A20,SyS!$B:$P,10,FALSE()),0)</f>
      </c>
      <c r="AB20" s="35">
        <f>IFERROR(VLOOKUP("17_"&amp;A20,SyS!$B:$P,12,FALSE()),0)</f>
      </c>
      <c r="AC20" s="36">
        <f>+AA20-AB20</f>
      </c>
      <c r="AD20" s="35"/>
      <c r="AE20" s="35"/>
      <c r="AF20" s="35"/>
      <c r="AG20" s="35">
        <f>IFERROR(VLOOKUP("19_"&amp;A20,SyS!$B:$P,10,FALSE()),0)</f>
      </c>
      <c r="AH20" s="35">
        <f>IFERROR(VLOOKUP("19_"&amp;A20,SyS!$B:$P,12,FALSE()),0)</f>
      </c>
      <c r="AI20" s="35">
        <f>+AG20-AH20</f>
      </c>
      <c r="AJ20" s="35"/>
      <c r="AK20" s="35"/>
      <c r="AL20" s="35"/>
      <c r="AM20" s="35">
        <f>IFERROR(VLOOKUP("23_"&amp;A20,SyS!$B:$P,10,FALSE()),0)</f>
      </c>
      <c r="AN20" s="35">
        <f>IFERROR(VLOOKUP("23_"&amp;A20,SyS!$B:$P,12,FALSE()),0)</f>
      </c>
      <c r="AO20" s="36">
        <f>+AM20-AN20</f>
      </c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>
        <f>IFERROR(VLOOKUP("29_"&amp;A20,SyS!$B:$P,10,FALSE()),0)</f>
      </c>
      <c r="BL20" s="40">
        <f>IFERROR(VLOOKUP("29_"&amp;A20,SyS!$B:$P,12,FALSE()),0)</f>
      </c>
      <c r="BM20" s="40">
        <f>+BK20-BL20</f>
      </c>
      <c r="BN20" s="42">
        <f>IFERROR(VLOOKUP("30_"&amp;A20,SyS!$B:$P,10,FALSE()),0)</f>
      </c>
      <c r="BO20" s="40">
        <f>IFERROR(VLOOKUP("30_"&amp;A20,SyS!$B:$P,12,FALSE()),0)</f>
      </c>
      <c r="BP20" s="43">
        <f>+BN20-BO20</f>
      </c>
      <c r="BQ20" s="44">
        <f>+E20+H20+K20+N20+Q20+T20+W20+Z20+AC20+AF20+AI20+AL20+AO20+AR20+AU20+AX20+BA20+BD20+BG20+BJ20+BM20+BP20</f>
      </c>
    </row>
    <row r="21" ht="12" customHeight="1" spans="1:69" x14ac:dyDescent="0.25">
      <c r="A21" s="41">
        <v>432010000</v>
      </c>
      <c r="B21" s="41" t="s">
        <v>58</v>
      </c>
      <c r="C21" s="34">
        <f>IFERROR(VLOOKUP("1_"&amp;A21,SyS!$B:$P,10,FALSE()),0)</f>
      </c>
      <c r="D21" s="35">
        <f>IFERROR(VLOOKUP("1_"&amp;A21,SyS!$B:$P,12,FALSE()),0)</f>
      </c>
      <c r="E21" s="35">
        <f>+C21-D21</f>
      </c>
      <c r="F21" s="34">
        <f>IFERROR(VLOOKUP("2_"&amp;A21,SyS!$B:$P,10,FALSE()),0)</f>
      </c>
      <c r="G21" s="35">
        <f>IFERROR(VLOOKUP("2_"&amp;A21,SyS!$B:$P,12,FALSE()),0)</f>
      </c>
      <c r="H21" s="36">
        <f>+F21-G21</f>
      </c>
      <c r="I21" s="35"/>
      <c r="J21" s="35"/>
      <c r="K21" s="35"/>
      <c r="L21" s="35"/>
      <c r="M21" s="35"/>
      <c r="N21" s="35"/>
      <c r="O21" s="34">
        <f>IFERROR(VLOOKUP("14_"&amp;A21,SyS!$B:$P,10,FALSE()),0)</f>
      </c>
      <c r="P21" s="35">
        <f>IFERROR(VLOOKUP("14_"&amp;A21,SyS!$B:$P,12,FALSE()),0)</f>
      </c>
      <c r="Q21" s="36">
        <f>+O21-P21</f>
      </c>
      <c r="R21" s="34">
        <f>IFERROR(VLOOKUP("15_"&amp;A21,SyS!$B:$P,10,FALSE()),0)</f>
      </c>
      <c r="S21" s="35">
        <f>IFERROR(VLOOKUP("15_"&amp;A21,SyS!$B:$P,12,FALSE()),0)</f>
      </c>
      <c r="T21" s="36">
        <f>+R21-S21</f>
      </c>
      <c r="U21" s="34">
        <f>IFERROR(VLOOKUP("16_"&amp;A21,SyS!$B:$P,10,FALSE()),0)</f>
      </c>
      <c r="V21" s="35">
        <f>IFERROR(VLOOKUP("16_"&amp;A21,SyS!$B:$P,12,FALSE()),0)</f>
      </c>
      <c r="W21" s="36">
        <f>+U21-V21</f>
      </c>
      <c r="X21" s="34">
        <f>IFERROR(VLOOKUP("13_"&amp;A21,SyS!$B:$P,10,FALSE()),0)</f>
      </c>
      <c r="Y21" s="35">
        <f>IFERROR(VLOOKUP("13_"&amp;A21,SyS!$B:$P,12,FALSE()),0)</f>
      </c>
      <c r="Z21" s="36">
        <f>+X21-Y21</f>
      </c>
      <c r="AA21" s="34">
        <f>IFERROR(VLOOKUP("17_"&amp;A21,SyS!$B:$P,10,FALSE()),0)</f>
      </c>
      <c r="AB21" s="35">
        <f>IFERROR(VLOOKUP("17_"&amp;A21,SyS!$B:$P,12,FALSE()),0)</f>
      </c>
      <c r="AC21" s="36">
        <f>+AA21-AB21</f>
      </c>
      <c r="AD21" s="35"/>
      <c r="AE21" s="35"/>
      <c r="AF21" s="35"/>
      <c r="AG21" s="35">
        <f>IFERROR(VLOOKUP("19_"&amp;A21,SyS!$B:$P,10,FALSE()),0)</f>
      </c>
      <c r="AH21" s="35">
        <f>IFERROR(VLOOKUP("19_"&amp;A21,SyS!$B:$P,12,FALSE()),0)</f>
      </c>
      <c r="AI21" s="35">
        <f>+AG21-AH21</f>
      </c>
      <c r="AJ21" s="35"/>
      <c r="AK21" s="35"/>
      <c r="AL21" s="35"/>
      <c r="AM21" s="35">
        <f>IFERROR(VLOOKUP("23_"&amp;A21,SyS!$B:$P,10,FALSE()),0)</f>
      </c>
      <c r="AN21" s="35">
        <f>IFERROR(VLOOKUP("23_"&amp;A21,SyS!$B:$P,12,FALSE()),0)</f>
      </c>
      <c r="AO21" s="36">
        <f>+AM21-AN21</f>
      </c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>
        <f>IFERROR(VLOOKUP("29_"&amp;A21,SyS!$B:$P,10,FALSE()),0)</f>
      </c>
      <c r="BL21" s="40">
        <f>IFERROR(VLOOKUP("29_"&amp;A21,SyS!$B:$P,12,FALSE()),0)</f>
      </c>
      <c r="BM21" s="40">
        <f>+BK21-BL21</f>
      </c>
      <c r="BN21" s="42">
        <f>IFERROR(VLOOKUP("30_"&amp;A21,SyS!$B:$P,10,FALSE()),0)</f>
      </c>
      <c r="BO21" s="40">
        <f>IFERROR(VLOOKUP("30_"&amp;A21,SyS!$B:$P,12,FALSE()),0)</f>
      </c>
      <c r="BP21" s="43">
        <f>+BN21-BO21</f>
      </c>
      <c r="BQ21" s="44">
        <f>+E21+H21+K21+N21+Q21+T21+W21+Z21+AC21+AF21+AI21+AL21+AO21+AR21+AU21+AX21+BA21+BD21+BG21+BJ21+BM21+BP21</f>
      </c>
    </row>
    <row r="22" ht="11.25" customHeight="1" spans="1:69" x14ac:dyDescent="0.25">
      <c r="A22" s="45"/>
      <c r="B22" s="46" t="s">
        <v>59</v>
      </c>
      <c r="C22" s="34">
        <f>IFERROR(VLOOKUP("1_"&amp;A22,SyS!$B:$P,10,FALSE()),0)</f>
      </c>
      <c r="D22" s="35">
        <f>IFERROR(VLOOKUP("1_"&amp;A22,SyS!$B:$P,12,FALSE()),0)</f>
      </c>
      <c r="E22" s="35">
        <f>+C22-D22</f>
      </c>
      <c r="F22" s="34"/>
      <c r="G22" s="35"/>
      <c r="H22" s="36"/>
      <c r="I22" s="35"/>
      <c r="J22" s="35"/>
      <c r="K22" s="35"/>
      <c r="L22" s="35"/>
      <c r="M22" s="35"/>
      <c r="N22" s="35"/>
      <c r="O22" s="34"/>
      <c r="P22" s="35"/>
      <c r="Q22" s="36"/>
      <c r="R22" s="34"/>
      <c r="S22" s="35"/>
      <c r="T22" s="36"/>
      <c r="U22" s="34"/>
      <c r="V22" s="35"/>
      <c r="W22" s="36"/>
      <c r="X22" s="34"/>
      <c r="Y22" s="35"/>
      <c r="Z22" s="36"/>
      <c r="AA22" s="34"/>
      <c r="AB22" s="35"/>
      <c r="AC22" s="36"/>
      <c r="AD22" s="35"/>
      <c r="AE22" s="35"/>
      <c r="AF22" s="35"/>
      <c r="AG22" s="35"/>
      <c r="AH22" s="35"/>
      <c r="AI22" s="35"/>
      <c r="AJ22" s="35"/>
      <c r="AK22" s="35"/>
      <c r="AL22" s="35"/>
      <c r="AM22" s="34"/>
      <c r="AN22" s="35"/>
      <c r="AO22" s="36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2"/>
      <c r="BO22" s="40"/>
      <c r="BP22" s="43"/>
      <c r="BQ22" s="44"/>
    </row>
    <row r="23" ht="11.25" customHeight="1" spans="1:69" x14ac:dyDescent="0.25">
      <c r="A23" s="41">
        <v>422010000</v>
      </c>
      <c r="B23" s="41" t="s">
        <v>60</v>
      </c>
      <c r="C23" s="34">
        <f>IFERROR(VLOOKUP("1_"&amp;A23,SyS!$B:$P,10,FALSE()),0)</f>
      </c>
      <c r="D23" s="35">
        <f>IFERROR(VLOOKUP("1_"&amp;A23,SyS!$B:$P,12,FALSE()),0)</f>
      </c>
      <c r="E23" s="35">
        <f>+C23-D23</f>
      </c>
      <c r="F23" s="34">
        <f>IFERROR(VLOOKUP("2_"&amp;A23,SyS!$B:$P,10,FALSE()),0)</f>
      </c>
      <c r="G23" s="35">
        <f>IFERROR(VLOOKUP("2_"&amp;A23,SyS!$B:$P,12,FALSE()),0)</f>
      </c>
      <c r="H23" s="36">
        <f>+F23-G23</f>
      </c>
      <c r="I23" s="35"/>
      <c r="J23" s="35"/>
      <c r="K23" s="35"/>
      <c r="L23" s="35"/>
      <c r="M23" s="35"/>
      <c r="N23" s="35"/>
      <c r="O23" s="34">
        <f>IFERROR(VLOOKUP("14_"&amp;A23,SyS!$B:$P,10,FALSE()),0)</f>
      </c>
      <c r="P23" s="35">
        <f>IFERROR(VLOOKUP("14_"&amp;A23,SyS!$B:$P,12,FALSE()),0)</f>
      </c>
      <c r="Q23" s="36">
        <f>+O23-P23</f>
      </c>
      <c r="R23" s="34">
        <f>IFERROR(VLOOKUP("15_"&amp;A23,SyS!$B:$P,10,FALSE()),0)</f>
      </c>
      <c r="S23" s="35">
        <f>IFERROR(VLOOKUP("15_"&amp;A23,SyS!$B:$P,12,FALSE()),0)</f>
      </c>
      <c r="T23" s="36">
        <f>+R23-S23</f>
      </c>
      <c r="U23" s="34">
        <f>IFERROR(VLOOKUP("16_"&amp;A23,SyS!$B:$P,10,FALSE()),0)</f>
      </c>
      <c r="V23" s="35">
        <f>IFERROR(VLOOKUP("16_"&amp;A23,SyS!$B:$P,12,FALSE()),0)</f>
      </c>
      <c r="W23" s="36">
        <f>+U23-V23</f>
      </c>
      <c r="X23" s="34">
        <f>IFERROR(VLOOKUP("13_"&amp;A23,SyS!$B:$P,10,FALSE()),0)</f>
      </c>
      <c r="Y23" s="35">
        <f>IFERROR(VLOOKUP("13_"&amp;A23,SyS!$B:$P,12,FALSE()),0)</f>
      </c>
      <c r="Z23" s="36">
        <f>+X23-Y23</f>
      </c>
      <c r="AA23" s="34">
        <f>IFERROR(VLOOKUP("17_"&amp;A23,SyS!$B:$P,10,FALSE()),0)</f>
      </c>
      <c r="AB23" s="35">
        <f>IFERROR(VLOOKUP("17_"&amp;A23,SyS!$B:$P,12,FALSE()),0)</f>
      </c>
      <c r="AC23" s="36">
        <f>+AA23-AB23</f>
      </c>
      <c r="AD23" s="35"/>
      <c r="AE23" s="35"/>
      <c r="AF23" s="35"/>
      <c r="AG23" s="35">
        <f>IFERROR(VLOOKUP("19_"&amp;A23,SyS!$B:$P,10,FALSE()),0)</f>
      </c>
      <c r="AH23" s="35">
        <f>IFERROR(VLOOKUP("19_"&amp;A23,SyS!$B:$P,12,FALSE()),0)</f>
      </c>
      <c r="AI23" s="35">
        <f>+AG23-AH23</f>
      </c>
      <c r="AJ23" s="35"/>
      <c r="AK23" s="35"/>
      <c r="AL23" s="35"/>
      <c r="AM23" s="34">
        <f>IFERROR(VLOOKUP("23_"&amp;A23,SyS!$B:$P,10,FALSE()),0)</f>
      </c>
      <c r="AN23" s="35">
        <f>IFERROR(VLOOKUP("23_"&amp;A23,SyS!$B:$P,12,FALSE()),0)</f>
      </c>
      <c r="AO23" s="36">
        <f>+AM23-AN23</f>
      </c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>
        <f>IFERROR(VLOOKUP("29_"&amp;A23,SyS!$B:$P,10,FALSE()),0)</f>
      </c>
      <c r="BL23" s="40">
        <f>IFERROR(VLOOKUP("29_"&amp;A23,SyS!$B:$P,12,FALSE()),0)</f>
      </c>
      <c r="BM23" s="40">
        <f>+BK23-BL23</f>
      </c>
      <c r="BN23" s="42">
        <f>IFERROR(VLOOKUP("30_"&amp;A23,SyS!$B:$P,10,FALSE()),0)</f>
      </c>
      <c r="BO23" s="40">
        <f>IFERROR(VLOOKUP("30_"&amp;A23,SyS!$B:$P,12,FALSE()),0)</f>
      </c>
      <c r="BP23" s="43">
        <f>+BN23-BO23</f>
      </c>
      <c r="BQ23" s="44">
        <f>+E23+H23+K23+N23+Q23+T23+W23+Z23+AC23+AF23+AI23+AL23+AO23+AR23+AU23+AX23+BA23+BD23+BG23+BJ23+BM23+BP23</f>
      </c>
    </row>
    <row r="24" ht="11.25" customHeight="1" spans="1:69" x14ac:dyDescent="0.25">
      <c r="A24" s="41">
        <v>422020000</v>
      </c>
      <c r="B24" s="41" t="s">
        <v>61</v>
      </c>
      <c r="C24" s="34">
        <f>IFERROR(VLOOKUP("1_"&amp;A24,SyS!$B:$P,10,FALSE()),0)</f>
      </c>
      <c r="D24" s="35">
        <f>IFERROR(VLOOKUP("1_"&amp;A24,SyS!$B:$P,12,FALSE()),0)</f>
      </c>
      <c r="E24" s="35">
        <f>+C24-D24</f>
      </c>
      <c r="F24" s="34">
        <f>IFERROR(VLOOKUP("2_"&amp;A24,SyS!$B:$P,10,FALSE()),0)</f>
      </c>
      <c r="G24" s="35">
        <f>IFERROR(VLOOKUP("2_"&amp;A24,SyS!$B:$P,12,FALSE()),0)</f>
      </c>
      <c r="H24" s="36">
        <f>+F24-G24</f>
      </c>
      <c r="I24" s="35"/>
      <c r="J24" s="35"/>
      <c r="K24" s="35"/>
      <c r="L24" s="35"/>
      <c r="M24" s="35"/>
      <c r="N24" s="35"/>
      <c r="O24" s="34">
        <f>IFERROR(VLOOKUP("14_"&amp;A24,SyS!$B:$P,10,FALSE()),0)</f>
      </c>
      <c r="P24" s="35">
        <f>IFERROR(VLOOKUP("14_"&amp;A24,SyS!$B:$P,12,FALSE()),0)</f>
      </c>
      <c r="Q24" s="36">
        <f>+O24-P24</f>
      </c>
      <c r="R24" s="34">
        <f>IFERROR(VLOOKUP("15_"&amp;A24,SyS!$B:$P,10,FALSE()),0)</f>
      </c>
      <c r="S24" s="35">
        <f>IFERROR(VLOOKUP("15_"&amp;A24,SyS!$B:$P,12,FALSE()),0)</f>
      </c>
      <c r="T24" s="36">
        <f>+R24-S24</f>
      </c>
      <c r="U24" s="34">
        <f>IFERROR(VLOOKUP("16_"&amp;A24,SyS!$B:$P,10,FALSE()),0)</f>
      </c>
      <c r="V24" s="35">
        <f>IFERROR(VLOOKUP("16_"&amp;A24,SyS!$B:$P,12,FALSE()),0)</f>
      </c>
      <c r="W24" s="36">
        <f>+U24-V24</f>
      </c>
      <c r="X24" s="34">
        <f>IFERROR(VLOOKUP("13_"&amp;A24,SyS!$B:$P,10,FALSE()),0)</f>
      </c>
      <c r="Y24" s="35">
        <f>IFERROR(VLOOKUP("13_"&amp;A24,SyS!$B:$P,12,FALSE()),0)</f>
      </c>
      <c r="Z24" s="36">
        <f>+X24-Y24</f>
      </c>
      <c r="AA24" s="34">
        <f>IFERROR(VLOOKUP("17_"&amp;A24,SyS!$B:$P,10,FALSE()),0)</f>
      </c>
      <c r="AB24" s="35">
        <f>IFERROR(VLOOKUP("17_"&amp;A24,SyS!$B:$P,12,FALSE()),0)</f>
      </c>
      <c r="AC24" s="36">
        <f>+AA24-AB24</f>
      </c>
      <c r="AD24" s="35"/>
      <c r="AE24" s="35"/>
      <c r="AF24" s="35"/>
      <c r="AG24" s="35">
        <f>IFERROR(VLOOKUP("19_"&amp;A24,SyS!$B:$P,10,FALSE()),0)</f>
      </c>
      <c r="AH24" s="35">
        <f>IFERROR(VLOOKUP("19_"&amp;A24,SyS!$B:$P,12,FALSE()),0)</f>
      </c>
      <c r="AI24" s="35">
        <f>+AG24-AH24</f>
      </c>
      <c r="AJ24" s="35"/>
      <c r="AK24" s="35"/>
      <c r="AL24" s="35"/>
      <c r="AM24" s="34">
        <f>IFERROR(VLOOKUP("23_"&amp;A24,SyS!$B:$P,10,FALSE()),0)</f>
      </c>
      <c r="AN24" s="35">
        <f>IFERROR(VLOOKUP("23_"&amp;A24,SyS!$B:$P,12,FALSE()),0)</f>
      </c>
      <c r="AO24" s="36">
        <f>+AM24-AN24</f>
      </c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>
        <f>IFERROR(VLOOKUP("29_"&amp;A24,SyS!$B:$P,10,FALSE()),0)</f>
      </c>
      <c r="BL24" s="40">
        <f>IFERROR(VLOOKUP("29_"&amp;A24,SyS!$B:$P,12,FALSE()),0)</f>
      </c>
      <c r="BM24" s="40">
        <f>+BK24-BL24</f>
      </c>
      <c r="BN24" s="42">
        <f>IFERROR(VLOOKUP("30_"&amp;A24,SyS!$B:$P,10,FALSE()),0)</f>
      </c>
      <c r="BO24" s="40">
        <f>IFERROR(VLOOKUP("30_"&amp;A24,SyS!$B:$P,12,FALSE()),0)</f>
      </c>
      <c r="BP24" s="43">
        <f>+BN24-BO24</f>
      </c>
      <c r="BQ24" s="44">
        <f>+E24+H24+K24+N24+Q24+T24+W24+Z24+AC24+AF24+AI24+AL24+AO24+AR24+AU24+AX24+BA24+BD24+BG24+BJ24+BM24+BP24</f>
      </c>
    </row>
    <row r="25" ht="11.25" customHeight="1" spans="1:69" x14ac:dyDescent="0.25">
      <c r="A25" s="41">
        <v>422080000</v>
      </c>
      <c r="B25" s="41" t="s">
        <v>62</v>
      </c>
      <c r="C25" s="34">
        <f>IFERROR(VLOOKUP("1_"&amp;A25,SyS!$B:$P,10,FALSE()),0)</f>
      </c>
      <c r="D25" s="35">
        <f>IFERROR(VLOOKUP("1_"&amp;A25,SyS!$B:$P,12,FALSE()),0)</f>
      </c>
      <c r="E25" s="35">
        <f>+C25-D25</f>
      </c>
      <c r="F25" s="34">
        <f>IFERROR(VLOOKUP("2_"&amp;A25,SyS!$B:$P,10,FALSE()),0)</f>
      </c>
      <c r="G25" s="35">
        <f>IFERROR(VLOOKUP("2_"&amp;A25,SyS!$B:$P,12,FALSE()),0)</f>
      </c>
      <c r="H25" s="36">
        <f>+F25-G25</f>
      </c>
      <c r="I25" s="35"/>
      <c r="J25" s="35"/>
      <c r="K25" s="35"/>
      <c r="L25" s="35"/>
      <c r="M25" s="35"/>
      <c r="N25" s="35"/>
      <c r="O25" s="34">
        <f>IFERROR(VLOOKUP("14_"&amp;A25,SyS!$B:$P,10,FALSE()),0)</f>
      </c>
      <c r="P25" s="35">
        <f>IFERROR(VLOOKUP("14_"&amp;A25,SyS!$B:$P,12,FALSE()),0)</f>
      </c>
      <c r="Q25" s="36">
        <f>+O25-P25</f>
      </c>
      <c r="R25" s="34">
        <f>IFERROR(VLOOKUP("15_"&amp;A25,SyS!$B:$P,10,FALSE()),0)</f>
      </c>
      <c r="S25" s="35">
        <f>IFERROR(VLOOKUP("15_"&amp;A25,SyS!$B:$P,12,FALSE()),0)</f>
      </c>
      <c r="T25" s="36">
        <f>+R25-S25</f>
      </c>
      <c r="U25" s="34">
        <f>IFERROR(VLOOKUP("16_"&amp;A25,SyS!$B:$P,10,FALSE()),0)</f>
      </c>
      <c r="V25" s="35">
        <f>IFERROR(VLOOKUP("16_"&amp;A25,SyS!$B:$P,12,FALSE()),0)</f>
      </c>
      <c r="W25" s="36">
        <f>+U25-V25</f>
      </c>
      <c r="X25" s="34">
        <f>IFERROR(VLOOKUP("13_"&amp;A25,SyS!$B:$P,10,FALSE()),0)</f>
      </c>
      <c r="Y25" s="35">
        <f>IFERROR(VLOOKUP("13_"&amp;A25,SyS!$B:$P,12,FALSE()),0)</f>
      </c>
      <c r="Z25" s="36">
        <f>+X25-Y25</f>
      </c>
      <c r="AA25" s="34">
        <f>IFERROR(VLOOKUP("17_"&amp;A25,SyS!$B:$P,10,FALSE()),0)</f>
      </c>
      <c r="AB25" s="35">
        <f>IFERROR(VLOOKUP("17_"&amp;A25,SyS!$B:$P,12,FALSE()),0)</f>
      </c>
      <c r="AC25" s="36">
        <f>+AA25-AB25</f>
      </c>
      <c r="AD25" s="35"/>
      <c r="AE25" s="35"/>
      <c r="AF25" s="35"/>
      <c r="AG25" s="35">
        <f>IFERROR(VLOOKUP("19_"&amp;A25,SyS!$B:$P,10,FALSE()),0)</f>
      </c>
      <c r="AH25" s="35">
        <f>IFERROR(VLOOKUP("19_"&amp;A25,SyS!$B:$P,12,FALSE()),0)</f>
      </c>
      <c r="AI25" s="35">
        <f>+AG25-AH25</f>
      </c>
      <c r="AJ25" s="35"/>
      <c r="AK25" s="35"/>
      <c r="AL25" s="35"/>
      <c r="AM25" s="34">
        <f>IFERROR(VLOOKUP("23_"&amp;A25,SyS!$B:$P,10,FALSE()),0)</f>
      </c>
      <c r="AN25" s="35">
        <f>IFERROR(VLOOKUP("23_"&amp;A25,SyS!$B:$P,12,FALSE()),0)</f>
      </c>
      <c r="AO25" s="36">
        <f>+AM25-AN25</f>
      </c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>
        <f>IFERROR(VLOOKUP("29_"&amp;A25,SyS!$B:$P,10,FALSE()),0)</f>
      </c>
      <c r="BL25" s="40">
        <f>IFERROR(VLOOKUP("29_"&amp;A25,SyS!$B:$P,12,FALSE()),0)</f>
      </c>
      <c r="BM25" s="40">
        <f>+BK25-BL25</f>
      </c>
      <c r="BN25" s="42">
        <f>IFERROR(VLOOKUP("30_"&amp;A25,SyS!$B:$P,10,FALSE()),0)</f>
      </c>
      <c r="BO25" s="40">
        <f>IFERROR(VLOOKUP("30_"&amp;A25,SyS!$B:$P,12,FALSE()),0)</f>
      </c>
      <c r="BP25" s="43">
        <f>+BN25-BO25</f>
      </c>
      <c r="BQ25" s="44">
        <f>+E25+H25+K25+N25+Q25+T25+W25+Z25+AC25+AF25+AI25+AL25+AO25+AR25+AU25+AX25+BA25+BD25+BG25+BJ25+BM25+BP25</f>
      </c>
    </row>
    <row r="26" ht="11.25" customHeight="1" spans="1:69" x14ac:dyDescent="0.25">
      <c r="A26" s="41">
        <v>422220000</v>
      </c>
      <c r="B26" s="41" t="s">
        <v>63</v>
      </c>
      <c r="C26" s="34">
        <f>IFERROR(VLOOKUP("1_"&amp;A26,SyS!$B:$P,10,FALSE()),0)</f>
      </c>
      <c r="D26" s="35">
        <f>IFERROR(VLOOKUP("1_"&amp;A26,SyS!$B:$P,12,FALSE()),0)</f>
      </c>
      <c r="E26" s="35">
        <f>+C26-D26</f>
      </c>
      <c r="F26" s="34">
        <f>IFERROR(VLOOKUP("2_"&amp;A26,SyS!$B:$P,10,FALSE()),0)</f>
      </c>
      <c r="G26" s="35">
        <f>IFERROR(VLOOKUP("2_"&amp;A26,SyS!$B:$P,12,FALSE()),0)</f>
      </c>
      <c r="H26" s="36">
        <f>+F26-G26</f>
      </c>
      <c r="I26" s="35"/>
      <c r="J26" s="35"/>
      <c r="K26" s="35"/>
      <c r="L26" s="35"/>
      <c r="M26" s="35"/>
      <c r="N26" s="35"/>
      <c r="O26" s="34">
        <f>IFERROR(VLOOKUP("14_"&amp;A26,SyS!$B:$P,10,FALSE()),0)</f>
      </c>
      <c r="P26" s="35">
        <f>IFERROR(VLOOKUP("14_"&amp;A26,SyS!$B:$P,12,FALSE()),0)</f>
      </c>
      <c r="Q26" s="36">
        <f>+O26-P26</f>
      </c>
      <c r="R26" s="34">
        <f>IFERROR(VLOOKUP("15_"&amp;A26,SyS!$B:$P,10,FALSE()),0)</f>
      </c>
      <c r="S26" s="35">
        <f>IFERROR(VLOOKUP("15_"&amp;A26,SyS!$B:$P,12,FALSE()),0)</f>
      </c>
      <c r="T26" s="36">
        <f>+R26-S26</f>
      </c>
      <c r="U26" s="34">
        <f>IFERROR(VLOOKUP("16_"&amp;A26,SyS!$B:$P,10,FALSE()),0)</f>
      </c>
      <c r="V26" s="35">
        <f>IFERROR(VLOOKUP("16_"&amp;A26,SyS!$B:$P,12,FALSE()),0)</f>
      </c>
      <c r="W26" s="36">
        <f>+U26-V26</f>
      </c>
      <c r="X26" s="34">
        <f>IFERROR(VLOOKUP("13_"&amp;A26,SyS!$B:$P,10,FALSE()),0)</f>
      </c>
      <c r="Y26" s="35">
        <f>IFERROR(VLOOKUP("13_"&amp;A26,SyS!$B:$P,12,FALSE()),0)</f>
      </c>
      <c r="Z26" s="36">
        <f>+X26-Y26</f>
      </c>
      <c r="AA26" s="34">
        <f>IFERROR(VLOOKUP("17_"&amp;A26,SyS!$B:$P,10,FALSE()),0)</f>
      </c>
      <c r="AB26" s="35">
        <f>IFERROR(VLOOKUP("17_"&amp;A26,SyS!$B:$P,12,FALSE()),0)</f>
      </c>
      <c r="AC26" s="36">
        <f>+AA26-AB26</f>
      </c>
      <c r="AD26" s="35"/>
      <c r="AE26" s="35"/>
      <c r="AF26" s="35"/>
      <c r="AG26" s="35">
        <f>IFERROR(VLOOKUP("19_"&amp;A26,SyS!$B:$P,10,FALSE()),0)</f>
      </c>
      <c r="AH26" s="35">
        <f>IFERROR(VLOOKUP("19_"&amp;A26,SyS!$B:$P,12,FALSE()),0)</f>
      </c>
      <c r="AI26" s="35">
        <f>+AG26-AH26</f>
      </c>
      <c r="AJ26" s="35"/>
      <c r="AK26" s="35"/>
      <c r="AL26" s="35"/>
      <c r="AM26" s="34">
        <f>IFERROR(VLOOKUP("23_"&amp;A26,SyS!$B:$P,10,FALSE()),0)</f>
      </c>
      <c r="AN26" s="35">
        <f>IFERROR(VLOOKUP("23_"&amp;A26,SyS!$B:$P,12,FALSE()),0)</f>
      </c>
      <c r="AO26" s="36">
        <f>+AM26-AN26</f>
      </c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>
        <f>IFERROR(VLOOKUP("29_"&amp;A26,SyS!$B:$P,10,FALSE()),0)</f>
      </c>
      <c r="BL26" s="40">
        <f>IFERROR(VLOOKUP("29_"&amp;A26,SyS!$B:$P,12,FALSE()),0)</f>
      </c>
      <c r="BM26" s="40">
        <f>+BK26-BL26</f>
      </c>
      <c r="BN26" s="42">
        <f>IFERROR(VLOOKUP("30_"&amp;A26,SyS!$B:$P,10,FALSE()),0)</f>
      </c>
      <c r="BO26" s="40">
        <f>IFERROR(VLOOKUP("30_"&amp;A26,SyS!$B:$P,12,FALSE()),0)</f>
      </c>
      <c r="BP26" s="43">
        <f>+BN26-BO26</f>
      </c>
      <c r="BQ26" s="44">
        <f>+E26+H26+K26+N26+Q26+T26+W26+Z26+AC26+AF26+AI26+AL26+AO26+AR26+AU26+AX26+BA26+BD26+BG26+BJ26+BM26+BP26</f>
      </c>
    </row>
    <row r="27" ht="11.25" customHeight="1" spans="1:69" x14ac:dyDescent="0.25">
      <c r="A27" s="41">
        <v>421470000</v>
      </c>
      <c r="B27" s="41" t="s">
        <v>64</v>
      </c>
      <c r="C27" s="34">
        <f>IFERROR(VLOOKUP("1_"&amp;A27,SyS!$B:$P,10,FALSE()),0)</f>
      </c>
      <c r="D27" s="35">
        <f>IFERROR(VLOOKUP("1_"&amp;A27,SyS!$B:$P,12,FALSE()),0)</f>
      </c>
      <c r="E27" s="35">
        <f>+C27-D27</f>
      </c>
      <c r="F27" s="34">
        <f>IFERROR(VLOOKUP("2_"&amp;A27,SyS!$B:$P,10,FALSE()),0)</f>
      </c>
      <c r="G27" s="35">
        <f>IFERROR(VLOOKUP("2_"&amp;A27,SyS!$B:$P,12,FALSE()),0)</f>
      </c>
      <c r="H27" s="36">
        <f>+F27-G27</f>
      </c>
      <c r="I27" s="35"/>
      <c r="J27" s="35"/>
      <c r="K27" s="35"/>
      <c r="L27" s="35"/>
      <c r="M27" s="35"/>
      <c r="N27" s="35"/>
      <c r="O27" s="34">
        <f>IFERROR(VLOOKUP("14_"&amp;A27,SyS!$B:$P,10,FALSE()),0)</f>
      </c>
      <c r="P27" s="35">
        <f>IFERROR(VLOOKUP("14_"&amp;A27,SyS!$B:$P,12,FALSE()),0)</f>
      </c>
      <c r="Q27" s="36">
        <f>+O27-P27</f>
      </c>
      <c r="R27" s="34">
        <f>IFERROR(VLOOKUP("15_"&amp;A27,SyS!$B:$P,10,FALSE()),0)</f>
      </c>
      <c r="S27" s="35">
        <f>IFERROR(VLOOKUP("15_"&amp;A27,SyS!$B:$P,12,FALSE()),0)</f>
      </c>
      <c r="T27" s="36">
        <f>+R27-S27</f>
      </c>
      <c r="U27" s="34">
        <f>IFERROR(VLOOKUP("16_"&amp;A27,SyS!$B:$P,10,FALSE()),0)</f>
      </c>
      <c r="V27" s="35">
        <f>IFERROR(VLOOKUP("16_"&amp;A27,SyS!$B:$P,12,FALSE()),0)</f>
      </c>
      <c r="W27" s="36">
        <f>+U27-V27</f>
      </c>
      <c r="X27" s="34">
        <f>IFERROR(VLOOKUP("13_"&amp;A27,SyS!$B:$P,10,FALSE()),0)</f>
      </c>
      <c r="Y27" s="35">
        <f>IFERROR(VLOOKUP("13_"&amp;A27,SyS!$B:$P,12,FALSE()),0)</f>
      </c>
      <c r="Z27" s="36">
        <f>+X27-Y27</f>
      </c>
      <c r="AA27" s="34">
        <f>IFERROR(VLOOKUP("17_"&amp;A27,SyS!$B:$P,10,FALSE()),0)</f>
      </c>
      <c r="AB27" s="35">
        <f>IFERROR(VLOOKUP("17_"&amp;A27,SyS!$B:$P,12,FALSE()),0)</f>
      </c>
      <c r="AC27" s="36">
        <f>+AA27-AB27</f>
      </c>
      <c r="AD27" s="35"/>
      <c r="AE27" s="35"/>
      <c r="AF27" s="35"/>
      <c r="AG27" s="35">
        <f>IFERROR(VLOOKUP("19_"&amp;A27,SyS!$B:$P,10,FALSE()),0)</f>
      </c>
      <c r="AH27" s="35">
        <f>IFERROR(VLOOKUP("19_"&amp;A27,SyS!$B:$P,12,FALSE()),0)</f>
      </c>
      <c r="AI27" s="35">
        <f>+AG27-AH27</f>
      </c>
      <c r="AJ27" s="35"/>
      <c r="AK27" s="35"/>
      <c r="AL27" s="35"/>
      <c r="AM27" s="34">
        <f>IFERROR(VLOOKUP("23_"&amp;A27,SyS!$B:$P,10,FALSE()),0)</f>
      </c>
      <c r="AN27" s="35">
        <f>IFERROR(VLOOKUP("23_"&amp;A27,SyS!$B:$P,12,FALSE()),0)</f>
      </c>
      <c r="AO27" s="36">
        <f>+AM27-AN27</f>
      </c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>
        <f>IFERROR(VLOOKUP("29_"&amp;A27,SyS!$B:$P,10,FALSE()),0)</f>
      </c>
      <c r="BL27" s="40">
        <f>IFERROR(VLOOKUP("29_"&amp;A27,SyS!$B:$P,12,FALSE()),0)</f>
      </c>
      <c r="BM27" s="40">
        <f>+BK27-BL27</f>
      </c>
      <c r="BN27" s="42">
        <f>IFERROR(VLOOKUP("30_"&amp;A27,SyS!$B:$P,10,FALSE()),0)</f>
      </c>
      <c r="BO27" s="40">
        <f>IFERROR(VLOOKUP("30_"&amp;A27,SyS!$B:$P,12,FALSE()),0)</f>
      </c>
      <c r="BP27" s="43">
        <f>+BN27-BO27</f>
      </c>
      <c r="BQ27" s="44">
        <f>+E27+H27+K27+N27+Q27+T27+W27+Z27+AC27+AF27+AI27+AL27+AO27+AR27+AU27+AX27+BA27+BD27+BG27+BJ27+BM27+BP27</f>
      </c>
    </row>
    <row r="28" ht="11.25" customHeight="1" spans="1:69" x14ac:dyDescent="0.25">
      <c r="A28" s="41">
        <v>422090000</v>
      </c>
      <c r="B28" s="41" t="s">
        <v>65</v>
      </c>
      <c r="C28" s="34">
        <f>IFERROR(VLOOKUP("1_"&amp;A28,SyS!$B:$P,10,FALSE()),0)</f>
      </c>
      <c r="D28" s="35">
        <f>IFERROR(VLOOKUP("1_"&amp;A28,SyS!$B:$P,12,FALSE()),0)</f>
      </c>
      <c r="E28" s="35">
        <f>+C28-D28</f>
      </c>
      <c r="F28" s="34">
        <f>IFERROR(VLOOKUP("2_"&amp;A28,SyS!$B:$P,10,FALSE()),0)</f>
      </c>
      <c r="G28" s="35">
        <f>IFERROR(VLOOKUP("2_"&amp;A28,SyS!$B:$P,12,FALSE()),0)</f>
      </c>
      <c r="H28" s="36">
        <f>+F28-G28</f>
      </c>
      <c r="I28" s="35"/>
      <c r="J28" s="35"/>
      <c r="K28" s="35"/>
      <c r="L28" s="35"/>
      <c r="M28" s="35"/>
      <c r="N28" s="35"/>
      <c r="O28" s="34">
        <f>IFERROR(VLOOKUP("14_"&amp;A28,SyS!$B:$P,10,FALSE()),0)</f>
      </c>
      <c r="P28" s="35">
        <f>IFERROR(VLOOKUP("14_"&amp;A28,SyS!$B:$P,12,FALSE()),0)</f>
      </c>
      <c r="Q28" s="36">
        <f>+O28-P28</f>
      </c>
      <c r="R28" s="34">
        <f>IFERROR(VLOOKUP("15_"&amp;A28,SyS!$B:$P,10,FALSE()),0)</f>
      </c>
      <c r="S28" s="35">
        <f>IFERROR(VLOOKUP("15_"&amp;A28,SyS!$B:$P,12,FALSE()),0)</f>
      </c>
      <c r="T28" s="36">
        <f>+R28-S28</f>
      </c>
      <c r="U28" s="34">
        <f>IFERROR(VLOOKUP("16_"&amp;A28,SyS!$B:$P,10,FALSE()),0)</f>
      </c>
      <c r="V28" s="35">
        <f>IFERROR(VLOOKUP("16_"&amp;A28,SyS!$B:$P,12,FALSE()),0)</f>
      </c>
      <c r="W28" s="36">
        <f>+U28-V28</f>
      </c>
      <c r="X28" s="34">
        <f>IFERROR(VLOOKUP("13_"&amp;A28,SyS!$B:$P,10,FALSE()),0)</f>
      </c>
      <c r="Y28" s="35">
        <f>IFERROR(VLOOKUP("13_"&amp;A28,SyS!$B:$P,12,FALSE()),0)</f>
      </c>
      <c r="Z28" s="36">
        <f>+X28-Y28</f>
      </c>
      <c r="AA28" s="34">
        <f>IFERROR(VLOOKUP("17_"&amp;A28,SyS!$B:$P,10,FALSE()),0)</f>
      </c>
      <c r="AB28" s="35">
        <f>IFERROR(VLOOKUP("17_"&amp;A28,SyS!$B:$P,12,FALSE()),0)</f>
      </c>
      <c r="AC28" s="36">
        <f>+AA28-AB28</f>
      </c>
      <c r="AD28" s="35"/>
      <c r="AE28" s="35"/>
      <c r="AF28" s="35"/>
      <c r="AG28" s="35">
        <f>IFERROR(VLOOKUP("19_"&amp;A28,SyS!$B:$P,10,FALSE()),0)</f>
      </c>
      <c r="AH28" s="35">
        <f>IFERROR(VLOOKUP("19_"&amp;A28,SyS!$B:$P,12,FALSE()),0)</f>
      </c>
      <c r="AI28" s="35">
        <f>+AG28-AH28</f>
      </c>
      <c r="AJ28" s="35"/>
      <c r="AK28" s="35"/>
      <c r="AL28" s="35"/>
      <c r="AM28" s="34">
        <f>IFERROR(VLOOKUP("23_"&amp;A28,SyS!$B:$P,10,FALSE()),0)</f>
      </c>
      <c r="AN28" s="35">
        <f>IFERROR(VLOOKUP("23_"&amp;A28,SyS!$B:$P,12,FALSE()),0)</f>
      </c>
      <c r="AO28" s="36">
        <f>+AM28-AN28</f>
      </c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>
        <f>IFERROR(VLOOKUP("29_"&amp;A28,SyS!$B:$P,10,FALSE()),0)</f>
      </c>
      <c r="BL28" s="40">
        <f>IFERROR(VLOOKUP("29_"&amp;A28,SyS!$B:$P,12,FALSE()),0)</f>
      </c>
      <c r="BM28" s="40">
        <f>+BK28-BL28</f>
      </c>
      <c r="BN28" s="42">
        <f>IFERROR(VLOOKUP("30_"&amp;A28,SyS!$B:$P,10,FALSE()),0)</f>
      </c>
      <c r="BO28" s="40">
        <f>IFERROR(VLOOKUP("30_"&amp;A28,SyS!$B:$P,12,FALSE()),0)</f>
      </c>
      <c r="BP28" s="43">
        <f>+BN28-BO28</f>
      </c>
      <c r="BQ28" s="44">
        <f>+E28+H28+K28+N28+Q28+T28+W28+Z28+AC28+AF28+AI28+AL28+AO28+AR28+AU28+AX28+BA28+BD28+BG28+BJ28+BM28+BP28</f>
      </c>
    </row>
    <row r="29" ht="12" customHeight="1" spans="1:69" x14ac:dyDescent="0.25">
      <c r="A29" s="41">
        <v>422240000</v>
      </c>
      <c r="B29" s="41" t="s">
        <v>66</v>
      </c>
      <c r="C29" s="34">
        <f>IFERROR(VLOOKUP("1_"&amp;A29,SyS!$B:$P,10,FALSE()),0)</f>
      </c>
      <c r="D29" s="35">
        <f>IFERROR(VLOOKUP("1_"&amp;A29,SyS!$B:$P,12,FALSE()),0)</f>
      </c>
      <c r="E29" s="35">
        <f>+C29-D29</f>
      </c>
      <c r="F29" s="34">
        <f>IFERROR(VLOOKUP("2_"&amp;A29,SyS!$B:$P,10,FALSE()),0)</f>
      </c>
      <c r="G29" s="35">
        <f>IFERROR(VLOOKUP("2_"&amp;A29,SyS!$B:$P,12,FALSE()),0)</f>
      </c>
      <c r="H29" s="36">
        <f>+F29-G29</f>
      </c>
      <c r="I29" s="35"/>
      <c r="J29" s="35"/>
      <c r="K29" s="35"/>
      <c r="L29" s="35"/>
      <c r="M29" s="35"/>
      <c r="N29" s="35"/>
      <c r="O29" s="34">
        <f>IFERROR(VLOOKUP("14_"&amp;A29,SyS!$B:$P,10,FALSE()),0)</f>
      </c>
      <c r="P29" s="35">
        <f>IFERROR(VLOOKUP("14_"&amp;A29,SyS!$B:$P,12,FALSE()),0)</f>
      </c>
      <c r="Q29" s="36">
        <f>+O29-P29</f>
      </c>
      <c r="R29" s="34">
        <f>IFERROR(VLOOKUP("15_"&amp;A29,SyS!$B:$P,10,FALSE()),0)</f>
      </c>
      <c r="S29" s="35">
        <f>IFERROR(VLOOKUP("15_"&amp;A29,SyS!$B:$P,12,FALSE()),0)</f>
      </c>
      <c r="T29" s="36">
        <f>+R29-S29</f>
      </c>
      <c r="U29" s="34">
        <f>IFERROR(VLOOKUP("16_"&amp;A29,SyS!$B:$P,10,FALSE()),0)</f>
      </c>
      <c r="V29" s="35">
        <f>IFERROR(VLOOKUP("16_"&amp;A29,SyS!$B:$P,12,FALSE()),0)</f>
      </c>
      <c r="W29" s="36">
        <f>+U29-V29</f>
      </c>
      <c r="X29" s="34">
        <f>IFERROR(VLOOKUP("13_"&amp;A29,SyS!$B:$P,10,FALSE()),0)</f>
      </c>
      <c r="Y29" s="35">
        <f>IFERROR(VLOOKUP("13_"&amp;A29,SyS!$B:$P,12,FALSE()),0)</f>
      </c>
      <c r="Z29" s="36">
        <f>+X29-Y29</f>
      </c>
      <c r="AA29" s="34">
        <f>IFERROR(VLOOKUP("17_"&amp;A29,SyS!$B:$P,10,FALSE()),0)</f>
      </c>
      <c r="AB29" s="35">
        <f>IFERROR(VLOOKUP("17_"&amp;A29,SyS!$B:$P,12,FALSE()),0)</f>
      </c>
      <c r="AC29" s="36">
        <f>+AA29-AB29</f>
      </c>
      <c r="AD29" s="35"/>
      <c r="AE29" s="35"/>
      <c r="AF29" s="35"/>
      <c r="AG29" s="35">
        <f>IFERROR(VLOOKUP("19_"&amp;A29,SyS!$B:$P,10,FALSE()),0)</f>
      </c>
      <c r="AH29" s="35">
        <f>IFERROR(VLOOKUP("19_"&amp;A29,SyS!$B:$P,12,FALSE()),0)</f>
      </c>
      <c r="AI29" s="35">
        <f>+AG29-AH29</f>
      </c>
      <c r="AJ29" s="35"/>
      <c r="AK29" s="35"/>
      <c r="AL29" s="35"/>
      <c r="AM29" s="34">
        <f>IFERROR(VLOOKUP("23_"&amp;A29,SyS!$B:$P,10,FALSE()),0)</f>
      </c>
      <c r="AN29" s="35">
        <f>IFERROR(VLOOKUP("23_"&amp;A29,SyS!$B:$P,12,FALSE()),0)</f>
      </c>
      <c r="AO29" s="36">
        <f>+AM29-AN29</f>
      </c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>
        <f>IFERROR(VLOOKUP("29_"&amp;A29,SyS!$B:$P,10,FALSE()),0)</f>
      </c>
      <c r="BL29" s="40">
        <f>IFERROR(VLOOKUP("29_"&amp;A29,SyS!$B:$P,12,FALSE()),0)</f>
      </c>
      <c r="BM29" s="40">
        <f>+BK29-BL29</f>
      </c>
      <c r="BN29" s="42">
        <f>IFERROR(VLOOKUP("30_"&amp;A29,SyS!$B:$P,10,FALSE()),0)</f>
      </c>
      <c r="BO29" s="40">
        <f>IFERROR(VLOOKUP("30_"&amp;A29,SyS!$B:$P,12,FALSE()),0)</f>
      </c>
      <c r="BP29" s="43">
        <f>+BN29-BO29</f>
      </c>
      <c r="BQ29" s="44">
        <f>+E29+H29+K29+N29+Q29+T29+W29+Z29+AC29+AF29+AI29+AL29+AO29+AR29+AU29+AX29+BA29+BD29+BG29+BJ29+BM29+BP29</f>
      </c>
    </row>
    <row r="30" ht="11.25" customHeight="1" spans="1:69" x14ac:dyDescent="0.25">
      <c r="A30" s="45"/>
      <c r="B30" s="46" t="s">
        <v>67</v>
      </c>
      <c r="C30" s="34">
        <f>IFERROR(VLOOKUP("1_"&amp;A30,SyS!$B:$P,10,FALSE()),0)</f>
      </c>
      <c r="D30" s="35">
        <f>IFERROR(VLOOKUP("1_"&amp;A30,SyS!$B:$P,12,FALSE()),0)</f>
      </c>
      <c r="E30" s="35">
        <f>+C30-D30</f>
      </c>
      <c r="F30" s="34"/>
      <c r="G30" s="35"/>
      <c r="H30" s="36"/>
      <c r="I30" s="35"/>
      <c r="J30" s="35"/>
      <c r="K30" s="35"/>
      <c r="L30" s="35"/>
      <c r="M30" s="35"/>
      <c r="N30" s="35"/>
      <c r="O30" s="34"/>
      <c r="P30" s="35"/>
      <c r="Q30" s="36"/>
      <c r="R30" s="34"/>
      <c r="S30" s="35"/>
      <c r="T30" s="36"/>
      <c r="U30" s="34"/>
      <c r="V30" s="35"/>
      <c r="W30" s="36"/>
      <c r="X30" s="34"/>
      <c r="Y30" s="35"/>
      <c r="Z30" s="36"/>
      <c r="AA30" s="34"/>
      <c r="AB30" s="35"/>
      <c r="AC30" s="36"/>
      <c r="AD30" s="35"/>
      <c r="AE30" s="35"/>
      <c r="AF30" s="35"/>
      <c r="AG30" s="35"/>
      <c r="AH30" s="35"/>
      <c r="AI30" s="35"/>
      <c r="AJ30" s="35"/>
      <c r="AK30" s="35"/>
      <c r="AL30" s="35"/>
      <c r="AM30" s="34"/>
      <c r="AN30" s="35"/>
      <c r="AO30" s="36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2"/>
      <c r="BO30" s="40"/>
      <c r="BP30" s="43"/>
      <c r="BQ30" s="44"/>
    </row>
    <row r="31" ht="11.25" customHeight="1" spans="1:69" x14ac:dyDescent="0.25">
      <c r="A31" s="9">
        <v>424250000</v>
      </c>
      <c r="B31" s="9" t="s">
        <v>68</v>
      </c>
      <c r="C31" s="10">
        <f>IFERROR(VLOOKUP("1_"&amp;A31,SyS!$B:$P,10,FALSE()),0)</f>
      </c>
      <c r="D31" s="10">
        <f>IFERROR(VLOOKUP("1_"&amp;A31,SyS!$B:$P,12,FALSE()),0)</f>
      </c>
      <c r="E31" s="10">
        <f>+C31-D31</f>
      </c>
      <c r="F31" s="10">
        <f>IFERROR(VLOOKUP("2_"&amp;A31,SyS!$B:$P,10,FALSE()),0)</f>
      </c>
      <c r="G31" s="10">
        <f>IFERROR(VLOOKUP("2_"&amp;A31,SyS!$B:$P,12,FALSE()),0)</f>
      </c>
      <c r="H31" s="10">
        <f>+F31-G31</f>
      </c>
      <c r="I31" s="10">
        <f>IFERROR(VLOOKUP("3_"&amp;A31,SyS!$B:$P,10,FALSE()),0)</f>
      </c>
      <c r="J31" s="10">
        <f>IFERROR(VLOOKUP("3_"&amp;A31,SyS!$B:$P,12,FALSE()),0)</f>
      </c>
      <c r="K31" s="10">
        <f>+I31-J31</f>
      </c>
      <c r="L31" s="10">
        <f>IFERROR(VLOOKUP("4_"&amp;A31,SyS!$B:$P,10,FALSE()),0)</f>
      </c>
      <c r="M31" s="10">
        <f>IFERROR(VLOOKUP("4_"&amp;A31,SyS!$B:$P,12,FALSE()),0)</f>
      </c>
      <c r="N31" s="10">
        <f>+L31-M31</f>
      </c>
      <c r="O31" s="10">
        <f>IFERROR(VLOOKUP("14_"&amp;A31,SyS!$B:$P,10,FALSE()),0)</f>
      </c>
      <c r="P31" s="10">
        <f>IFERROR(VLOOKUP("14_"&amp;A31,SyS!$B:$P,12,FALSE()),0)</f>
      </c>
      <c r="Q31" s="10">
        <f>+O31-P31</f>
      </c>
      <c r="R31" s="10">
        <f>IFERROR(VLOOKUP("15_"&amp;A31,SyS!$B:$P,10,FALSE()),0)</f>
      </c>
      <c r="S31" s="10">
        <f>IFERROR(VLOOKUP("15_"&amp;A31,SyS!$B:$P,12,FALSE()),0)</f>
      </c>
      <c r="T31" s="10">
        <f>+R31-S31</f>
      </c>
      <c r="U31" s="10">
        <f>IFERROR(VLOOKUP("16_"&amp;A31,SyS!$B:$P,10,FALSE()),0)</f>
      </c>
      <c r="V31" s="10">
        <f>IFERROR(VLOOKUP("16_"&amp;A31,SyS!$B:$P,12,FALSE()),0)</f>
      </c>
      <c r="W31" s="10">
        <f>+U31-V31</f>
      </c>
      <c r="X31" s="10">
        <f>IFERROR(VLOOKUP("13_"&amp;A31,SyS!$B:$P,10,FALSE()),0)</f>
      </c>
      <c r="Y31" s="10">
        <f>IFERROR(VLOOKUP("13_"&amp;A31,SyS!$B:$P,12,FALSE()),0)</f>
      </c>
      <c r="Z31" s="10">
        <f>+X31-Y31</f>
      </c>
      <c r="AA31" s="10">
        <f>IFERROR(VLOOKUP("17_"&amp;A31,SyS!$B:$P,10,FALSE()),0)</f>
      </c>
      <c r="AB31" s="10">
        <f>IFERROR(VLOOKUP("17_"&amp;A31,SyS!$B:$P,12,FALSE()),0)</f>
      </c>
      <c r="AC31" s="10">
        <f>+AA31-AB31</f>
      </c>
      <c r="AD31" s="10">
        <f>IFERROR(VLOOKUP("18_"&amp;A31,SyS!$B:$P,10,FALSE()),0)</f>
      </c>
      <c r="AE31" s="10">
        <f>IFERROR(VLOOKUP("18_"&amp;A31,SyS!$B:$P,12,FALSE()),0)</f>
      </c>
      <c r="AF31" s="10">
        <f>+AD31-AE31</f>
      </c>
      <c r="AG31" s="10">
        <f>IFERROR(VLOOKUP("19_"&amp;A31,SyS!$B:$P,10,FALSE()),0)</f>
      </c>
      <c r="AH31" s="10">
        <f>IFERROR(VLOOKUP("19_"&amp;A31,SyS!$B:$P,12,FALSE()),0)</f>
      </c>
      <c r="AI31" s="10">
        <f>+AG31-AH31</f>
      </c>
      <c r="AJ31" s="10">
        <f>IFERROR(VLOOKUP("20_"&amp;A31,SyS!$B:$P,10,FALSE()),0)</f>
      </c>
      <c r="AK31" s="10">
        <f>IFERROR(VLOOKUP("20_"&amp;A31,SyS!$B:$P,12,FALSE()),0)</f>
      </c>
      <c r="AL31" s="10">
        <f>+AJ31-AK31</f>
      </c>
      <c r="AM31" s="10">
        <f>IFERROR(VLOOKUP("23_"&amp;A31,SyS!$B:$P,10,FALSE()),0)</f>
      </c>
      <c r="AN31" s="10">
        <f>IFERROR(VLOOKUP("23_"&amp;A31,SyS!$B:$P,12,FALSE()),0)</f>
      </c>
      <c r="AO31" s="10">
        <f>+AM31-AN31</f>
      </c>
      <c r="AP31" s="11">
        <f>IFERROR(VLOOKUP("21_"&amp;A31,SyS!$B:$P,10,FALSE()),0)</f>
      </c>
      <c r="AQ31" s="11">
        <f>IFERROR(VLOOKUP("21_"&amp;A31,SyS!$B:$P,12,FALSE()),0)</f>
      </c>
      <c r="AR31" s="11">
        <f>+AP31-AQ31</f>
      </c>
      <c r="AS31" s="11">
        <f>IFERROR(VLOOKUP("22_"&amp;A31,SyS!$B:$P,10,FALSE()),0)</f>
      </c>
      <c r="AT31" s="11">
        <f>IFERROR(VLOOKUP("22_"&amp;A31,SyS!$B:$P,12,FALSE()),0)</f>
      </c>
      <c r="AU31" s="11">
        <f>+AS31-AT31</f>
      </c>
      <c r="AV31" s="11">
        <f>IFERROR(VLOOKUP("24_"&amp;A31,SyS!$B:$P,10,FALSE()),0)</f>
      </c>
      <c r="AW31" s="11">
        <f>IFERROR(VLOOKUP("24_"&amp;A31,SyS!$B:$P,12,FALSE()),0)</f>
      </c>
      <c r="AX31" s="11">
        <f>+AV31-AW31</f>
      </c>
      <c r="AY31" s="11">
        <f>IFERROR(VLOOKUP("25_"&amp;A31,SyS!$B:$P,10,FALSE()),0)</f>
      </c>
      <c r="AZ31" s="11">
        <f>IFERROR(VLOOKUP("25_"&amp;A31,SyS!$B:$P,12,FALSE()),0)</f>
      </c>
      <c r="BA31" s="11">
        <f>+AY31-AZ31</f>
      </c>
      <c r="BB31" s="11">
        <f>IFERROR(VLOOKUP("26_"&amp;A31,SyS!$B:$P,10,FALSE()),0)</f>
      </c>
      <c r="BC31" s="11">
        <f>IFERROR(VLOOKUP("26_"&amp;A31,SyS!$B:$P,12,FALSE()),0)</f>
      </c>
      <c r="BD31" s="11">
        <f>+BB31-BC31</f>
      </c>
      <c r="BE31" s="11">
        <f>IFERROR(VLOOKUP("27_"&amp;A31,SyS!$B:$P,10,FALSE()),0)</f>
      </c>
      <c r="BF31" s="11">
        <f>IFERROR(VLOOKUP("27_"&amp;A31,SyS!$B:$P,12,FALSE()),0)</f>
      </c>
      <c r="BG31" s="11">
        <f>+BE31-BF31</f>
      </c>
      <c r="BH31" s="11">
        <f>IFERROR(VLOOKUP("28_"&amp;A31,SyS!$B:$P,10,FALSE()),0)</f>
      </c>
      <c r="BI31" s="11">
        <f>IFERROR(VLOOKUP("28_"&amp;A31,SyS!$B:$P,12,FALSE()),0)</f>
      </c>
      <c r="BJ31" s="11">
        <f>+BH31-BI31</f>
      </c>
      <c r="BK31" s="11">
        <f>IFERROR(VLOOKUP("29_"&amp;A31,SyS!$B:$P,10,FALSE()),0)</f>
      </c>
      <c r="BL31" s="11">
        <f>IFERROR(VLOOKUP("29_"&amp;A31,SyS!$B:$P,12,FALSE()),0)</f>
      </c>
      <c r="BM31" s="11">
        <f>+BK31-BL31</f>
      </c>
      <c r="BN31" s="11">
        <f>IFERROR(VLOOKUP("30_"&amp;A31,SyS!$B:$P,10,FALSE()),0)</f>
      </c>
      <c r="BO31" s="11">
        <f>IFERROR(VLOOKUP("30_"&amp;A31,SyS!$B:$P,12,FALSE()),0)</f>
      </c>
      <c r="BP31" s="11">
        <f>+BN31-BO31</f>
      </c>
      <c r="BQ31" s="12">
        <f>+E31+H31+K31+N31+Q31+T31+W31+Z31+AC31+AF31+AI31+AL31+AO31+AR31+AU31+AX31+BA31+BD31+BG31+BJ31+BM31+BP31</f>
      </c>
    </row>
    <row r="32" ht="11.25" customHeight="1" spans="1:69" x14ac:dyDescent="0.25">
      <c r="A32" s="41">
        <v>425110000</v>
      </c>
      <c r="B32" s="47" t="s">
        <v>69</v>
      </c>
      <c r="C32" s="34">
        <f>IFERROR(VLOOKUP("1_"&amp;A32,SyS!$B:$P,10,FALSE()),0)</f>
      </c>
      <c r="D32" s="35">
        <f>IFERROR(VLOOKUP("1_"&amp;A32,SyS!$B:$P,12,FALSE()),0)</f>
      </c>
      <c r="E32" s="35">
        <f>+C32-D32</f>
      </c>
      <c r="F32" s="34">
        <f>IFERROR(VLOOKUP("2_"&amp;A32,SyS!$B:$P,10,FALSE()),0)</f>
        <v>38.57</v>
      </c>
      <c r="G32" s="35">
        <f>IFERROR(VLOOKUP("2_"&amp;A32,SyS!$B:$P,12,FALSE()),0)</f>
      </c>
      <c r="H32" s="36">
        <f>+F32-G32</f>
        <v>38.57</v>
      </c>
      <c r="I32" s="35"/>
      <c r="J32" s="35"/>
      <c r="K32" s="35"/>
      <c r="L32" s="35"/>
      <c r="M32" s="35"/>
      <c r="N32" s="35"/>
      <c r="O32" s="34">
        <f>IFERROR(VLOOKUP("14_"&amp;A32,SyS!$B:$P,10,FALSE()),0)</f>
      </c>
      <c r="P32" s="35">
        <f>IFERROR(VLOOKUP("14_"&amp;A32,SyS!$B:$P,12,FALSE()),0)</f>
      </c>
      <c r="Q32" s="36">
        <f>+O32-P32</f>
      </c>
      <c r="R32" s="34">
        <f>IFERROR(VLOOKUP("15_"&amp;A32,SyS!$B:$P,10,FALSE()),0)</f>
      </c>
      <c r="S32" s="35">
        <f>IFERROR(VLOOKUP("15_"&amp;A32,SyS!$B:$P,12,FALSE()),0)</f>
      </c>
      <c r="T32" s="36">
        <f>+R32-S32</f>
      </c>
      <c r="U32" s="34">
        <f>IFERROR(VLOOKUP("16_"&amp;A32,SyS!$B:$P,10,FALSE()),0)</f>
      </c>
      <c r="V32" s="35">
        <f>IFERROR(VLOOKUP("16_"&amp;A32,SyS!$B:$P,12,FALSE()),0)</f>
      </c>
      <c r="W32" s="36">
        <f>+U32-V32</f>
      </c>
      <c r="X32" s="34">
        <f>IFERROR(VLOOKUP("13_"&amp;A32,SyS!$B:$P,10,FALSE()),0)</f>
      </c>
      <c r="Y32" s="35">
        <f>IFERROR(VLOOKUP("13_"&amp;A32,SyS!$B:$P,12,FALSE()),0)</f>
      </c>
      <c r="Z32" s="36">
        <f>+X32-Y32</f>
      </c>
      <c r="AA32" s="34">
        <f>IFERROR(VLOOKUP("17_"&amp;A32,SyS!$B:$P,10,FALSE()),0)</f>
      </c>
      <c r="AB32" s="35">
        <f>IFERROR(VLOOKUP("17_"&amp;A32,SyS!$B:$P,12,FALSE()),0)</f>
      </c>
      <c r="AC32" s="36">
        <f>+AA32-AB32</f>
      </c>
      <c r="AD32" s="35"/>
      <c r="AE32" s="35"/>
      <c r="AF32" s="35"/>
      <c r="AG32" s="35">
        <f>IFERROR(VLOOKUP("19_"&amp;A32,SyS!$B:$P,10,FALSE()),0)</f>
      </c>
      <c r="AH32" s="35">
        <f>IFERROR(VLOOKUP("19_"&amp;A32,SyS!$B:$P,12,FALSE()),0)</f>
      </c>
      <c r="AI32" s="35">
        <f>+AG32-AH32</f>
      </c>
      <c r="AJ32" s="35"/>
      <c r="AK32" s="35"/>
      <c r="AL32" s="35"/>
      <c r="AM32" s="34">
        <f>IFERROR(VLOOKUP("23_"&amp;A32,SyS!$B:$P,10,FALSE()),0)</f>
      </c>
      <c r="AN32" s="35">
        <f>IFERROR(VLOOKUP("23_"&amp;A32,SyS!$B:$P,12,FALSE()),0)</f>
      </c>
      <c r="AO32" s="36">
        <f>+AM32-AN32</f>
      </c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>
        <f>IFERROR(VLOOKUP("29_"&amp;A32,SyS!$B:$P,10,FALSE()),0)</f>
      </c>
      <c r="BL32" s="40">
        <f>IFERROR(VLOOKUP("29_"&amp;A32,SyS!$B:$P,12,FALSE()),0)</f>
      </c>
      <c r="BM32" s="40">
        <f>+BK32-BL32</f>
      </c>
      <c r="BN32" s="42">
        <f>IFERROR(VLOOKUP("30_"&amp;A32,SyS!$B:$P,10,FALSE()),0)</f>
      </c>
      <c r="BO32" s="40">
        <f>IFERROR(VLOOKUP("30_"&amp;A32,SyS!$B:$P,12,FALSE()),0)</f>
      </c>
      <c r="BP32" s="43">
        <f>+BN32-BO32</f>
      </c>
      <c r="BQ32" s="44">
        <f>+E32+H32+K32+N32+Q32+T32+W32+Z32+AC32+AF32+AI32+AL32+AO32+AR32+AU32+AX32+BA32+BD32+BG32+BJ32+BM32+BP32</f>
        <v>38.57</v>
      </c>
    </row>
    <row r="33" ht="11.25" customHeight="1" spans="1:69" x14ac:dyDescent="0.25">
      <c r="A33" s="41">
        <v>425120000</v>
      </c>
      <c r="B33" s="41" t="s">
        <v>70</v>
      </c>
      <c r="C33" s="34">
        <f>IFERROR(VLOOKUP("1_"&amp;A33,SyS!$B:$P,10,FALSE()),0)</f>
      </c>
      <c r="D33" s="35">
        <f>IFERROR(VLOOKUP("1_"&amp;A33,SyS!$B:$P,12,FALSE()),0)</f>
      </c>
      <c r="E33" s="35">
        <f>+C33-D33</f>
      </c>
      <c r="F33" s="34">
        <f>IFERROR(VLOOKUP("2_"&amp;A33,SyS!$B:$P,10,FALSE()),0)</f>
      </c>
      <c r="G33" s="35">
        <f>IFERROR(VLOOKUP("2_"&amp;A33,SyS!$B:$P,12,FALSE()),0)</f>
      </c>
      <c r="H33" s="36">
        <f>+F33-G33</f>
      </c>
      <c r="I33" s="35"/>
      <c r="J33" s="35"/>
      <c r="K33" s="35"/>
      <c r="L33" s="35"/>
      <c r="M33" s="35"/>
      <c r="N33" s="35"/>
      <c r="O33" s="34">
        <f>IFERROR(VLOOKUP("14_"&amp;A33,SyS!$B:$P,10,FALSE()),0)</f>
      </c>
      <c r="P33" s="35">
        <f>IFERROR(VLOOKUP("14_"&amp;A33,SyS!$B:$P,12,FALSE()),0)</f>
      </c>
      <c r="Q33" s="36">
        <f>+O33-P33</f>
      </c>
      <c r="R33" s="34">
        <f>IFERROR(VLOOKUP("15_"&amp;A33,SyS!$B:$P,10,FALSE()),0)</f>
      </c>
      <c r="S33" s="35">
        <f>IFERROR(VLOOKUP("15_"&amp;A33,SyS!$B:$P,12,FALSE()),0)</f>
      </c>
      <c r="T33" s="36">
        <f>+R33-S33</f>
      </c>
      <c r="U33" s="34">
        <f>IFERROR(VLOOKUP("16_"&amp;A33,SyS!$B:$P,10,FALSE()),0)</f>
      </c>
      <c r="V33" s="35">
        <f>IFERROR(VLOOKUP("16_"&amp;A33,SyS!$B:$P,12,FALSE()),0)</f>
      </c>
      <c r="W33" s="36">
        <f>+U33-V33</f>
      </c>
      <c r="X33" s="34">
        <f>IFERROR(VLOOKUP("13_"&amp;A33,SyS!$B:$P,10,FALSE()),0)</f>
      </c>
      <c r="Y33" s="35">
        <f>IFERROR(VLOOKUP("13_"&amp;A33,SyS!$B:$P,12,FALSE()),0)</f>
      </c>
      <c r="Z33" s="36">
        <f>+X33-Y33</f>
      </c>
      <c r="AA33" s="34">
        <f>IFERROR(VLOOKUP("17_"&amp;A33,SyS!$B:$P,10,FALSE()),0)</f>
      </c>
      <c r="AB33" s="35">
        <f>IFERROR(VLOOKUP("17_"&amp;A33,SyS!$B:$P,12,FALSE()),0)</f>
      </c>
      <c r="AC33" s="36">
        <f>+AA33-AB33</f>
      </c>
      <c r="AD33" s="35"/>
      <c r="AE33" s="35"/>
      <c r="AF33" s="35"/>
      <c r="AG33" s="35">
        <f>IFERROR(VLOOKUP("19_"&amp;A33,SyS!$B:$P,10,FALSE()),0)</f>
      </c>
      <c r="AH33" s="35">
        <f>IFERROR(VLOOKUP("19_"&amp;A33,SyS!$B:$P,12,FALSE()),0)</f>
      </c>
      <c r="AI33" s="35">
        <f>+AG33-AH33</f>
      </c>
      <c r="AJ33" s="35"/>
      <c r="AK33" s="35"/>
      <c r="AL33" s="35"/>
      <c r="AM33" s="34">
        <f>IFERROR(VLOOKUP("23_"&amp;A33,SyS!$B:$P,10,FALSE()),0)</f>
      </c>
      <c r="AN33" s="35">
        <f>IFERROR(VLOOKUP("23_"&amp;A33,SyS!$B:$P,12,FALSE()),0)</f>
      </c>
      <c r="AO33" s="36">
        <f>+AM33-AN33</f>
      </c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>
        <f>IFERROR(VLOOKUP("29_"&amp;A33,SyS!$B:$P,10,FALSE()),0)</f>
      </c>
      <c r="BL33" s="40">
        <f>IFERROR(VLOOKUP("29_"&amp;A33,SyS!$B:$P,12,FALSE()),0)</f>
      </c>
      <c r="BM33" s="40">
        <f>+BK33-BL33</f>
      </c>
      <c r="BN33" s="42">
        <f>IFERROR(VLOOKUP("30_"&amp;A33,SyS!$B:$P,10,FALSE()),0)</f>
      </c>
      <c r="BO33" s="40">
        <f>IFERROR(VLOOKUP("30_"&amp;A33,SyS!$B:$P,12,FALSE()),0)</f>
      </c>
      <c r="BP33" s="43">
        <f>+BN33-BO33</f>
      </c>
      <c r="BQ33" s="44">
        <f>+E33+H33+K33+N33+Q33+T33+W33+Z33+AC33+AF33+AI33+AL33+AO33+AR33+AU33+AX33+BA33+BD33+BG33+BJ33+BM33+BP33</f>
      </c>
    </row>
    <row r="34" ht="11.25" customHeight="1" spans="1:69" x14ac:dyDescent="0.25">
      <c r="A34" s="41">
        <v>425130000</v>
      </c>
      <c r="B34" s="41" t="s">
        <v>71</v>
      </c>
      <c r="C34" s="34">
        <f>IFERROR(VLOOKUP("1_"&amp;A34,SyS!$B:$P,10,FALSE()),0)</f>
      </c>
      <c r="D34" s="35">
        <f>IFERROR(VLOOKUP("1_"&amp;A34,SyS!$B:$P,12,FALSE()),0)</f>
      </c>
      <c r="E34" s="35">
        <f>+C34-D34</f>
      </c>
      <c r="F34" s="34">
        <f>IFERROR(VLOOKUP("2_"&amp;A34,SyS!$B:$P,10,FALSE()),0)</f>
      </c>
      <c r="G34" s="35">
        <f>IFERROR(VLOOKUP("2_"&amp;A34,SyS!$B:$P,12,FALSE()),0)</f>
      </c>
      <c r="H34" s="36">
        <f>+F34-G34</f>
      </c>
      <c r="I34" s="35"/>
      <c r="J34" s="35"/>
      <c r="K34" s="35"/>
      <c r="L34" s="35"/>
      <c r="M34" s="35"/>
      <c r="N34" s="35"/>
      <c r="O34" s="34">
        <f>IFERROR(VLOOKUP("14_"&amp;A34,SyS!$B:$P,10,FALSE()),0)</f>
      </c>
      <c r="P34" s="35">
        <f>IFERROR(VLOOKUP("14_"&amp;A34,SyS!$B:$P,12,FALSE()),0)</f>
      </c>
      <c r="Q34" s="36">
        <f>+O34-P34</f>
      </c>
      <c r="R34" s="34">
        <f>IFERROR(VLOOKUP("15_"&amp;A34,SyS!$B:$P,10,FALSE()),0)</f>
      </c>
      <c r="S34" s="35">
        <f>IFERROR(VLOOKUP("15_"&amp;A34,SyS!$B:$P,12,FALSE()),0)</f>
      </c>
      <c r="T34" s="36">
        <f>+R34-S34</f>
      </c>
      <c r="U34" s="34">
        <f>IFERROR(VLOOKUP("16_"&amp;A34,SyS!$B:$P,10,FALSE()),0)</f>
      </c>
      <c r="V34" s="35">
        <f>IFERROR(VLOOKUP("16_"&amp;A34,SyS!$B:$P,12,FALSE()),0)</f>
      </c>
      <c r="W34" s="36">
        <f>+U34-V34</f>
      </c>
      <c r="X34" s="34">
        <f>IFERROR(VLOOKUP("13_"&amp;A34,SyS!$B:$P,10,FALSE()),0)</f>
      </c>
      <c r="Y34" s="35">
        <f>IFERROR(VLOOKUP("13_"&amp;A34,SyS!$B:$P,12,FALSE()),0)</f>
      </c>
      <c r="Z34" s="36">
        <f>+X34-Y34</f>
      </c>
      <c r="AA34" s="34">
        <f>IFERROR(VLOOKUP("17_"&amp;A34,SyS!$B:$P,10,FALSE()),0)</f>
      </c>
      <c r="AB34" s="35">
        <f>IFERROR(VLOOKUP("17_"&amp;A34,SyS!$B:$P,12,FALSE()),0)</f>
      </c>
      <c r="AC34" s="36">
        <f>+AA34-AB34</f>
      </c>
      <c r="AD34" s="35"/>
      <c r="AE34" s="35"/>
      <c r="AF34" s="35"/>
      <c r="AG34" s="35">
        <f>IFERROR(VLOOKUP("19_"&amp;A34,SyS!$B:$P,10,FALSE()),0)</f>
      </c>
      <c r="AH34" s="35">
        <f>IFERROR(VLOOKUP("19_"&amp;A34,SyS!$B:$P,12,FALSE()),0)</f>
      </c>
      <c r="AI34" s="35">
        <f>+AG34-AH34</f>
      </c>
      <c r="AJ34" s="35"/>
      <c r="AK34" s="35"/>
      <c r="AL34" s="35"/>
      <c r="AM34" s="34">
        <f>IFERROR(VLOOKUP("23_"&amp;A34,SyS!$B:$P,10,FALSE()),0)</f>
      </c>
      <c r="AN34" s="35">
        <f>IFERROR(VLOOKUP("23_"&amp;A34,SyS!$B:$P,12,FALSE()),0)</f>
      </c>
      <c r="AO34" s="36">
        <f>+AM34-AN34</f>
      </c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>
        <f>IFERROR(VLOOKUP("29_"&amp;A34,SyS!$B:$P,10,FALSE()),0)</f>
      </c>
      <c r="BL34" s="40">
        <f>IFERROR(VLOOKUP("29_"&amp;A34,SyS!$B:$P,12,FALSE()),0)</f>
      </c>
      <c r="BM34" s="40">
        <f>+BK34-BL34</f>
      </c>
      <c r="BN34" s="42">
        <f>IFERROR(VLOOKUP("30_"&amp;A34,SyS!$B:$P,10,FALSE()),0)</f>
      </c>
      <c r="BO34" s="40">
        <f>IFERROR(VLOOKUP("30_"&amp;A34,SyS!$B:$P,12,FALSE()),0)</f>
      </c>
      <c r="BP34" s="43">
        <f>+BN34-BO34</f>
      </c>
      <c r="BQ34" s="44">
        <f>+E34+H34+K34+N34+Q34+T34+W34+Z34+AC34+AF34+AI34+AL34+AO34+AR34+AU34+AX34+BA34+BD34+BG34+BJ34+BM34+BP34</f>
      </c>
    </row>
    <row r="35" ht="11.25" customHeight="1" spans="1:69" x14ac:dyDescent="0.25">
      <c r="A35" s="41">
        <v>425140000</v>
      </c>
      <c r="B35" s="41" t="s">
        <v>72</v>
      </c>
      <c r="C35" s="34">
        <f>IFERROR(VLOOKUP("1_"&amp;A35,SyS!$B:$P,10,FALSE()),0)</f>
      </c>
      <c r="D35" s="35">
        <f>IFERROR(VLOOKUP("1_"&amp;A35,SyS!$B:$P,12,FALSE()),0)</f>
      </c>
      <c r="E35" s="35">
        <f>+C35-D35</f>
      </c>
      <c r="F35" s="34">
        <f>IFERROR(VLOOKUP("2_"&amp;A35,SyS!$B:$P,10,FALSE()),0)</f>
      </c>
      <c r="G35" s="35">
        <f>IFERROR(VLOOKUP("2_"&amp;A35,SyS!$B:$P,12,FALSE()),0)</f>
      </c>
      <c r="H35" s="36">
        <f>+F35-G35</f>
      </c>
      <c r="I35" s="35"/>
      <c r="J35" s="35"/>
      <c r="K35" s="35"/>
      <c r="L35" s="35"/>
      <c r="M35" s="35"/>
      <c r="N35" s="35"/>
      <c r="O35" s="34">
        <f>IFERROR(VLOOKUP("14_"&amp;A35,SyS!$B:$P,10,FALSE()),0)</f>
      </c>
      <c r="P35" s="35">
        <f>IFERROR(VLOOKUP("14_"&amp;A35,SyS!$B:$P,12,FALSE()),0)</f>
      </c>
      <c r="Q35" s="36">
        <f>+O35-P35</f>
      </c>
      <c r="R35" s="34">
        <f>IFERROR(VLOOKUP("15_"&amp;A35,SyS!$B:$P,10,FALSE()),0)</f>
      </c>
      <c r="S35" s="35">
        <f>IFERROR(VLOOKUP("15_"&amp;A35,SyS!$B:$P,12,FALSE()),0)</f>
      </c>
      <c r="T35" s="36">
        <f>+R35-S35</f>
      </c>
      <c r="U35" s="34">
        <f>IFERROR(VLOOKUP("16_"&amp;A35,SyS!$B:$P,10,FALSE()),0)</f>
      </c>
      <c r="V35" s="35">
        <f>IFERROR(VLOOKUP("16_"&amp;A35,SyS!$B:$P,12,FALSE()),0)</f>
      </c>
      <c r="W35" s="36">
        <f>+U35-V35</f>
      </c>
      <c r="X35" s="34">
        <f>IFERROR(VLOOKUP("13_"&amp;A35,SyS!$B:$P,10,FALSE()),0)</f>
      </c>
      <c r="Y35" s="35">
        <f>IFERROR(VLOOKUP("13_"&amp;A35,SyS!$B:$P,12,FALSE()),0)</f>
      </c>
      <c r="Z35" s="36">
        <f>+X35-Y35</f>
      </c>
      <c r="AA35" s="34">
        <f>IFERROR(VLOOKUP("17_"&amp;A35,SyS!$B:$P,10,FALSE()),0)</f>
      </c>
      <c r="AB35" s="35">
        <f>IFERROR(VLOOKUP("17_"&amp;A35,SyS!$B:$P,12,FALSE()),0)</f>
      </c>
      <c r="AC35" s="36">
        <f>+AA35-AB35</f>
      </c>
      <c r="AD35" s="35"/>
      <c r="AE35" s="35"/>
      <c r="AF35" s="35"/>
      <c r="AG35" s="35">
        <f>IFERROR(VLOOKUP("19_"&amp;A35,SyS!$B:$P,10,FALSE()),0)</f>
      </c>
      <c r="AH35" s="35">
        <f>IFERROR(VLOOKUP("19_"&amp;A35,SyS!$B:$P,12,FALSE()),0)</f>
      </c>
      <c r="AI35" s="35">
        <f>+AG35-AH35</f>
      </c>
      <c r="AJ35" s="35"/>
      <c r="AK35" s="35"/>
      <c r="AL35" s="35"/>
      <c r="AM35" s="34">
        <f>IFERROR(VLOOKUP("23_"&amp;A35,SyS!$B:$P,10,FALSE()),0)</f>
      </c>
      <c r="AN35" s="35">
        <f>IFERROR(VLOOKUP("23_"&amp;A35,SyS!$B:$P,12,FALSE()),0)</f>
      </c>
      <c r="AO35" s="36">
        <f>+AM35-AN35</f>
      </c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>
        <f>IFERROR(VLOOKUP("29_"&amp;A35,SyS!$B:$P,10,FALSE()),0)</f>
      </c>
      <c r="BL35" s="40">
        <f>IFERROR(VLOOKUP("29_"&amp;A35,SyS!$B:$P,12,FALSE()),0)</f>
      </c>
      <c r="BM35" s="40">
        <f>+BK35-BL35</f>
      </c>
      <c r="BN35" s="42">
        <f>IFERROR(VLOOKUP("30_"&amp;A35,SyS!$B:$P,10,FALSE()),0)</f>
      </c>
      <c r="BO35" s="40">
        <f>IFERROR(VLOOKUP("30_"&amp;A35,SyS!$B:$P,12,FALSE()),0)</f>
      </c>
      <c r="BP35" s="43">
        <f>+BN35-BO35</f>
      </c>
      <c r="BQ35" s="44">
        <f>+E35+H35+K35+N35+Q35+T35+W35+Z35+AC35+AF35+AI35+AL35+AO35+AR35+AU35+AX35+BA35+BD35+BG35+BJ35+BM35+BP35</f>
      </c>
    </row>
    <row r="36" ht="11.25" customHeight="1" spans="1:69" x14ac:dyDescent="0.25">
      <c r="A36" s="41">
        <v>425150000</v>
      </c>
      <c r="B36" s="41" t="s">
        <v>73</v>
      </c>
      <c r="C36" s="34">
        <f>IFERROR(VLOOKUP("1_"&amp;A36,SyS!$B:$P,10,FALSE()),0)</f>
      </c>
      <c r="D36" s="35">
        <f>IFERROR(VLOOKUP("1_"&amp;A36,SyS!$B:$P,12,FALSE()),0)</f>
      </c>
      <c r="E36" s="35">
        <f>+C36-D36</f>
      </c>
      <c r="F36" s="34">
        <f>IFERROR(VLOOKUP("2_"&amp;A36,SyS!$B:$P,10,FALSE()),0)</f>
      </c>
      <c r="G36" s="35">
        <f>IFERROR(VLOOKUP("2_"&amp;A36,SyS!$B:$P,12,FALSE()),0)</f>
      </c>
      <c r="H36" s="36">
        <f>+F36-G36</f>
      </c>
      <c r="I36" s="35"/>
      <c r="J36" s="35"/>
      <c r="K36" s="35"/>
      <c r="L36" s="35"/>
      <c r="M36" s="35"/>
      <c r="N36" s="35"/>
      <c r="O36" s="34">
        <f>IFERROR(VLOOKUP("14_"&amp;A36,SyS!$B:$P,10,FALSE()),0)</f>
      </c>
      <c r="P36" s="35">
        <f>IFERROR(VLOOKUP("14_"&amp;A36,SyS!$B:$P,12,FALSE()),0)</f>
      </c>
      <c r="Q36" s="36">
        <f>+O36-P36</f>
      </c>
      <c r="R36" s="34">
        <f>IFERROR(VLOOKUP("15_"&amp;A36,SyS!$B:$P,10,FALSE()),0)</f>
        <v>1221.05</v>
      </c>
      <c r="S36" s="35">
        <f>IFERROR(VLOOKUP("15_"&amp;A36,SyS!$B:$P,12,FALSE()),0)</f>
      </c>
      <c r="T36" s="36">
        <f>+R36-S36</f>
        <v>1221.05</v>
      </c>
      <c r="U36" s="34">
        <f>IFERROR(VLOOKUP("16_"&amp;A36,SyS!$B:$P,10,FALSE()),0)</f>
      </c>
      <c r="V36" s="35">
        <f>IFERROR(VLOOKUP("16_"&amp;A36,SyS!$B:$P,12,FALSE()),0)</f>
      </c>
      <c r="W36" s="36">
        <f>+U36-V36</f>
      </c>
      <c r="X36" s="34">
        <f>IFERROR(VLOOKUP("13_"&amp;A36,SyS!$B:$P,10,FALSE()),0)</f>
      </c>
      <c r="Y36" s="35">
        <f>IFERROR(VLOOKUP("13_"&amp;A36,SyS!$B:$P,12,FALSE()),0)</f>
      </c>
      <c r="Z36" s="36">
        <f>+X36-Y36</f>
      </c>
      <c r="AA36" s="34">
        <f>IFERROR(VLOOKUP("17_"&amp;A36,SyS!$B:$P,10,FALSE()),0)</f>
      </c>
      <c r="AB36" s="35">
        <f>IFERROR(VLOOKUP("17_"&amp;A36,SyS!$B:$P,12,FALSE()),0)</f>
      </c>
      <c r="AC36" s="36">
        <f>+AA36-AB36</f>
      </c>
      <c r="AD36" s="35"/>
      <c r="AE36" s="35"/>
      <c r="AF36" s="35"/>
      <c r="AG36" s="35">
        <f>IFERROR(VLOOKUP("19_"&amp;A36,SyS!$B:$P,10,FALSE()),0)</f>
      </c>
      <c r="AH36" s="35">
        <f>IFERROR(VLOOKUP("19_"&amp;A36,SyS!$B:$P,12,FALSE()),0)</f>
      </c>
      <c r="AI36" s="35">
        <f>+AG36-AH36</f>
      </c>
      <c r="AJ36" s="35"/>
      <c r="AK36" s="35"/>
      <c r="AL36" s="35"/>
      <c r="AM36" s="34">
        <f>IFERROR(VLOOKUP("23_"&amp;A36,SyS!$B:$P,10,FALSE()),0)</f>
      </c>
      <c r="AN36" s="35">
        <f>IFERROR(VLOOKUP("23_"&amp;A36,SyS!$B:$P,12,FALSE()),0)</f>
      </c>
      <c r="AO36" s="36">
        <f>+AM36-AN36</f>
      </c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>
        <f>IFERROR(VLOOKUP("29_"&amp;A36,SyS!$B:$P,10,FALSE()),0)</f>
      </c>
      <c r="BL36" s="40">
        <f>IFERROR(VLOOKUP("29_"&amp;A36,SyS!$B:$P,12,FALSE()),0)</f>
      </c>
      <c r="BM36" s="40">
        <f>+BK36-BL36</f>
      </c>
      <c r="BN36" s="42">
        <f>IFERROR(VLOOKUP("30_"&amp;A36,SyS!$B:$P,10,FALSE()),0)</f>
      </c>
      <c r="BO36" s="40">
        <f>IFERROR(VLOOKUP("30_"&amp;A36,SyS!$B:$P,12,FALSE()),0)</f>
      </c>
      <c r="BP36" s="43">
        <f>+BN36-BO36</f>
      </c>
      <c r="BQ36" s="44">
        <f>+E36+H36+K36+N36+Q36+T36+W36+Z36+AC36+AF36+AI36+AL36+AO36+AR36+AU36+AX36+BA36+BD36+BG36+BJ36+BM36+BP36</f>
        <v>1221.05</v>
      </c>
    </row>
    <row r="37" ht="11.25" customHeight="1" spans="1:69" x14ac:dyDescent="0.25">
      <c r="A37" s="41">
        <v>425160000</v>
      </c>
      <c r="B37" s="41" t="s">
        <v>74</v>
      </c>
      <c r="C37" s="34">
        <f>IFERROR(VLOOKUP("1_"&amp;A37,SyS!$B:$P,10,FALSE()),0)</f>
      </c>
      <c r="D37" s="35">
        <f>IFERROR(VLOOKUP("1_"&amp;A37,SyS!$B:$P,12,FALSE()),0)</f>
      </c>
      <c r="E37" s="35">
        <f>+C37-D37</f>
      </c>
      <c r="F37" s="34">
        <f>IFERROR(VLOOKUP("2_"&amp;A37,SyS!$B:$P,10,FALSE()),0)</f>
      </c>
      <c r="G37" s="35">
        <f>IFERROR(VLOOKUP("2_"&amp;A37,SyS!$B:$P,12,FALSE()),0)</f>
      </c>
      <c r="H37" s="36">
        <f>+F37-G37</f>
      </c>
      <c r="I37" s="35"/>
      <c r="J37" s="35"/>
      <c r="K37" s="35"/>
      <c r="L37" s="35"/>
      <c r="M37" s="35"/>
      <c r="N37" s="35"/>
      <c r="O37" s="34">
        <f>IFERROR(VLOOKUP("14_"&amp;A37,SyS!$B:$P,10,FALSE()),0)</f>
      </c>
      <c r="P37" s="35">
        <f>IFERROR(VLOOKUP("14_"&amp;A37,SyS!$B:$P,12,FALSE()),0)</f>
      </c>
      <c r="Q37" s="36">
        <f>+O37-P37</f>
      </c>
      <c r="R37" s="34">
        <f>IFERROR(VLOOKUP("15_"&amp;A37,SyS!$B:$P,10,FALSE()),0)</f>
      </c>
      <c r="S37" s="35">
        <f>IFERROR(VLOOKUP("15_"&amp;A37,SyS!$B:$P,12,FALSE()),0)</f>
      </c>
      <c r="T37" s="36">
        <f>+R37-S37</f>
      </c>
      <c r="U37" s="34">
        <f>IFERROR(VLOOKUP("16_"&amp;A37,SyS!$B:$P,10,FALSE()),0)</f>
      </c>
      <c r="V37" s="35">
        <f>IFERROR(VLOOKUP("16_"&amp;A37,SyS!$B:$P,12,FALSE()),0)</f>
      </c>
      <c r="W37" s="36">
        <f>+U37-V37</f>
      </c>
      <c r="X37" s="34">
        <f>IFERROR(VLOOKUP("13_"&amp;A37,SyS!$B:$P,10,FALSE()),0)</f>
      </c>
      <c r="Y37" s="35">
        <f>IFERROR(VLOOKUP("13_"&amp;A37,SyS!$B:$P,12,FALSE()),0)</f>
      </c>
      <c r="Z37" s="36">
        <f>+X37-Y37</f>
      </c>
      <c r="AA37" s="34">
        <f>IFERROR(VLOOKUP("17_"&amp;A37,SyS!$B:$P,10,FALSE()),0)</f>
      </c>
      <c r="AB37" s="35">
        <f>IFERROR(VLOOKUP("17_"&amp;A37,SyS!$B:$P,12,FALSE()),0)</f>
      </c>
      <c r="AC37" s="36">
        <f>+AA37-AB37</f>
      </c>
      <c r="AD37" s="35"/>
      <c r="AE37" s="35"/>
      <c r="AF37" s="35"/>
      <c r="AG37" s="35">
        <f>IFERROR(VLOOKUP("19_"&amp;A37,SyS!$B:$P,10,FALSE()),0)</f>
      </c>
      <c r="AH37" s="35">
        <f>IFERROR(VLOOKUP("19_"&amp;A37,SyS!$B:$P,12,FALSE()),0)</f>
      </c>
      <c r="AI37" s="35">
        <f>+AG37-AH37</f>
      </c>
      <c r="AJ37" s="35"/>
      <c r="AK37" s="35"/>
      <c r="AL37" s="35"/>
      <c r="AM37" s="34">
        <f>IFERROR(VLOOKUP("23_"&amp;A37,SyS!$B:$P,10,FALSE()),0)</f>
      </c>
      <c r="AN37" s="35">
        <f>IFERROR(VLOOKUP("23_"&amp;A37,SyS!$B:$P,12,FALSE()),0)</f>
      </c>
      <c r="AO37" s="36">
        <f>+AM37-AN37</f>
      </c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>
        <f>IFERROR(VLOOKUP("29_"&amp;A37,SyS!$B:$P,10,FALSE()),0)</f>
      </c>
      <c r="BL37" s="40">
        <f>IFERROR(VLOOKUP("29_"&amp;A37,SyS!$B:$P,12,FALSE()),0)</f>
      </c>
      <c r="BM37" s="40">
        <f>+BK37-BL37</f>
      </c>
      <c r="BN37" s="42">
        <f>IFERROR(VLOOKUP("30_"&amp;A37,SyS!$B:$P,10,FALSE()),0)</f>
      </c>
      <c r="BO37" s="40">
        <f>IFERROR(VLOOKUP("30_"&amp;A37,SyS!$B:$P,12,FALSE()),0)</f>
      </c>
      <c r="BP37" s="43">
        <f>+BN37-BO37</f>
      </c>
      <c r="BQ37" s="44">
        <f>+E37+H37+K37+N37+Q37+T37+W37+Z37+AC37+AF37+AI37+AL37+AO37+AR37+AU37+AX37+BA37+BD37+BG37+BJ37+BM37+BP37</f>
      </c>
    </row>
    <row r="38" ht="11.25" customHeight="1" spans="1:69" x14ac:dyDescent="0.25">
      <c r="A38" s="41">
        <v>425170000</v>
      </c>
      <c r="B38" s="41" t="s">
        <v>75</v>
      </c>
      <c r="C38" s="34">
        <f>IFERROR(VLOOKUP("1_"&amp;A38,SyS!$B:$P,10,FALSE()),0)</f>
      </c>
      <c r="D38" s="35">
        <f>IFERROR(VLOOKUP("1_"&amp;A38,SyS!$B:$P,12,FALSE()),0)</f>
      </c>
      <c r="E38" s="35">
        <f>+C38-D38</f>
      </c>
      <c r="F38" s="34">
        <f>IFERROR(VLOOKUP("2_"&amp;A38,SyS!$B:$P,10,FALSE()),0)</f>
      </c>
      <c r="G38" s="35">
        <f>IFERROR(VLOOKUP("2_"&amp;A38,SyS!$B:$P,12,FALSE()),0)</f>
      </c>
      <c r="H38" s="36">
        <f>+F38-G38</f>
      </c>
      <c r="I38" s="35"/>
      <c r="J38" s="35"/>
      <c r="K38" s="35"/>
      <c r="L38" s="35"/>
      <c r="M38" s="35"/>
      <c r="N38" s="35"/>
      <c r="O38" s="34">
        <f>IFERROR(VLOOKUP("14_"&amp;A38,SyS!$B:$P,10,FALSE()),0)</f>
      </c>
      <c r="P38" s="35">
        <f>IFERROR(VLOOKUP("14_"&amp;A38,SyS!$B:$P,12,FALSE()),0)</f>
      </c>
      <c r="Q38" s="36">
        <f>+O38-P38</f>
      </c>
      <c r="R38" s="34">
        <f>IFERROR(VLOOKUP("15_"&amp;A38,SyS!$B:$P,10,FALSE()),0)</f>
      </c>
      <c r="S38" s="35">
        <f>IFERROR(VLOOKUP("15_"&amp;A38,SyS!$B:$P,12,FALSE()),0)</f>
      </c>
      <c r="T38" s="36">
        <f>+R38-S38</f>
      </c>
      <c r="U38" s="34">
        <f>IFERROR(VLOOKUP("16_"&amp;A38,SyS!$B:$P,10,FALSE()),0)</f>
      </c>
      <c r="V38" s="35">
        <f>IFERROR(VLOOKUP("16_"&amp;A38,SyS!$B:$P,12,FALSE()),0)</f>
      </c>
      <c r="W38" s="36">
        <f>+U38-V38</f>
      </c>
      <c r="X38" s="34">
        <f>IFERROR(VLOOKUP("13_"&amp;A38,SyS!$B:$P,10,FALSE()),0)</f>
      </c>
      <c r="Y38" s="35">
        <f>IFERROR(VLOOKUP("13_"&amp;A38,SyS!$B:$P,12,FALSE()),0)</f>
      </c>
      <c r="Z38" s="36">
        <f>+X38-Y38</f>
      </c>
      <c r="AA38" s="34">
        <f>IFERROR(VLOOKUP("17_"&amp;A38,SyS!$B:$P,10,FALSE()),0)</f>
      </c>
      <c r="AB38" s="35">
        <f>IFERROR(VLOOKUP("17_"&amp;A38,SyS!$B:$P,12,FALSE()),0)</f>
      </c>
      <c r="AC38" s="36">
        <f>+AA38-AB38</f>
      </c>
      <c r="AD38" s="35"/>
      <c r="AE38" s="35"/>
      <c r="AF38" s="35"/>
      <c r="AG38" s="35">
        <f>IFERROR(VLOOKUP("19_"&amp;A38,SyS!$B:$P,10,FALSE()),0)</f>
      </c>
      <c r="AH38" s="35">
        <f>IFERROR(VLOOKUP("19_"&amp;A38,SyS!$B:$P,12,FALSE()),0)</f>
      </c>
      <c r="AI38" s="35">
        <f>+AG38-AH38</f>
      </c>
      <c r="AJ38" s="35"/>
      <c r="AK38" s="35"/>
      <c r="AL38" s="35"/>
      <c r="AM38" s="34">
        <f>IFERROR(VLOOKUP("23_"&amp;A38,SyS!$B:$P,10,FALSE()),0)</f>
      </c>
      <c r="AN38" s="35">
        <f>IFERROR(VLOOKUP("23_"&amp;A38,SyS!$B:$P,12,FALSE()),0)</f>
      </c>
      <c r="AO38" s="36">
        <f>+AM38-AN38</f>
      </c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>
        <f>IFERROR(VLOOKUP("29_"&amp;A38,SyS!$B:$P,10,FALSE()),0)</f>
      </c>
      <c r="BL38" s="40">
        <f>IFERROR(VLOOKUP("29_"&amp;A38,SyS!$B:$P,12,FALSE()),0)</f>
      </c>
      <c r="BM38" s="40">
        <f>+BK38-BL38</f>
      </c>
      <c r="BN38" s="42">
        <f>IFERROR(VLOOKUP("30_"&amp;A38,SyS!$B:$P,10,FALSE()),0)</f>
      </c>
      <c r="BO38" s="40">
        <f>IFERROR(VLOOKUP("30_"&amp;A38,SyS!$B:$P,12,FALSE()),0)</f>
      </c>
      <c r="BP38" s="43">
        <f>+BN38-BO38</f>
      </c>
      <c r="BQ38" s="44">
        <f>+E38+H38+K38+N38+Q38+T38+W38+Z38+AC38+AF38+AI38+AL38+AO38+AR38+AU38+AX38+BA38+BD38+BG38+BJ38+BM38+BP38</f>
      </c>
    </row>
    <row r="39" ht="11.25" customHeight="1" spans="1:69" x14ac:dyDescent="0.25">
      <c r="A39" s="41">
        <v>425180000</v>
      </c>
      <c r="B39" s="41" t="s">
        <v>76</v>
      </c>
      <c r="C39" s="34">
        <f>IFERROR(VLOOKUP("1_"&amp;A39,SyS!$B:$P,10,FALSE()),0)</f>
        <v>348.08</v>
      </c>
      <c r="D39" s="35">
        <f>IFERROR(VLOOKUP("1_"&amp;A39,SyS!$B:$P,12,FALSE()),0)</f>
      </c>
      <c r="E39" s="35">
        <f>+C39-D39</f>
        <v>348.08</v>
      </c>
      <c r="F39" s="34">
        <f>IFERROR(VLOOKUP("2_"&amp;A39,SyS!$B:$P,10,FALSE()),0)</f>
        <v>18.19</v>
      </c>
      <c r="G39" s="35">
        <f>IFERROR(VLOOKUP("2_"&amp;A39,SyS!$B:$P,12,FALSE()),0)</f>
      </c>
      <c r="H39" s="36">
        <f>+F39-G39</f>
        <v>18.19</v>
      </c>
      <c r="I39" s="35"/>
      <c r="J39" s="35"/>
      <c r="K39" s="35"/>
      <c r="L39" s="35"/>
      <c r="M39" s="35"/>
      <c r="N39" s="35"/>
      <c r="O39" s="34">
        <f>IFERROR(VLOOKUP("14_"&amp;A39,SyS!$B:$P,10,FALSE()),0)</f>
      </c>
      <c r="P39" s="35">
        <f>IFERROR(VLOOKUP("14_"&amp;A39,SyS!$B:$P,12,FALSE()),0)</f>
      </c>
      <c r="Q39" s="36">
        <f>+O39-P39</f>
      </c>
      <c r="R39" s="34">
        <f>IFERROR(VLOOKUP("15_"&amp;A39,SyS!$B:$P,10,FALSE()),0)</f>
      </c>
      <c r="S39" s="35">
        <f>IFERROR(VLOOKUP("15_"&amp;A39,SyS!$B:$P,12,FALSE()),0)</f>
      </c>
      <c r="T39" s="36">
        <f>+R39-S39</f>
      </c>
      <c r="U39" s="34">
        <f>IFERROR(VLOOKUP("16_"&amp;A39,SyS!$B:$P,10,FALSE()),0)</f>
      </c>
      <c r="V39" s="35">
        <f>IFERROR(VLOOKUP("16_"&amp;A39,SyS!$B:$P,12,FALSE()),0)</f>
      </c>
      <c r="W39" s="36">
        <f>+U39-V39</f>
      </c>
      <c r="X39" s="34">
        <f>IFERROR(VLOOKUP("13_"&amp;A39,SyS!$B:$P,10,FALSE()),0)</f>
      </c>
      <c r="Y39" s="35">
        <f>IFERROR(VLOOKUP("13_"&amp;A39,SyS!$B:$P,12,FALSE()),0)</f>
      </c>
      <c r="Z39" s="36">
        <f>+X39-Y39</f>
      </c>
      <c r="AA39" s="34">
        <f>IFERROR(VLOOKUP("17_"&amp;A39,SyS!$B:$P,10,FALSE()),0)</f>
      </c>
      <c r="AB39" s="35">
        <f>IFERROR(VLOOKUP("17_"&amp;A39,SyS!$B:$P,12,FALSE()),0)</f>
      </c>
      <c r="AC39" s="36">
        <f>+AA39-AB39</f>
      </c>
      <c r="AD39" s="35"/>
      <c r="AE39" s="35"/>
      <c r="AF39" s="35"/>
      <c r="AG39" s="35">
        <f>IFERROR(VLOOKUP("19_"&amp;A39,SyS!$B:$P,10,FALSE()),0)</f>
      </c>
      <c r="AH39" s="35">
        <f>IFERROR(VLOOKUP("19_"&amp;A39,SyS!$B:$P,12,FALSE()),0)</f>
      </c>
      <c r="AI39" s="35">
        <f>+AG39-AH39</f>
      </c>
      <c r="AJ39" s="35"/>
      <c r="AK39" s="35"/>
      <c r="AL39" s="35"/>
      <c r="AM39" s="34">
        <f>IFERROR(VLOOKUP("23_"&amp;A39,SyS!$B:$P,10,FALSE()),0)</f>
      </c>
      <c r="AN39" s="35">
        <f>IFERROR(VLOOKUP("23_"&amp;A39,SyS!$B:$P,12,FALSE()),0)</f>
      </c>
      <c r="AO39" s="36">
        <f>+AM39-AN39</f>
      </c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>
        <f>IFERROR(VLOOKUP("29_"&amp;A39,SyS!$B:$P,10,FALSE()),0)</f>
      </c>
      <c r="BL39" s="40">
        <f>IFERROR(VLOOKUP("29_"&amp;A39,SyS!$B:$P,12,FALSE()),0)</f>
      </c>
      <c r="BM39" s="40">
        <f>+BK39-BL39</f>
      </c>
      <c r="BN39" s="42">
        <f>IFERROR(VLOOKUP("30_"&amp;A39,SyS!$B:$P,10,FALSE()),0)</f>
      </c>
      <c r="BO39" s="40">
        <f>IFERROR(VLOOKUP("30_"&amp;A39,SyS!$B:$P,12,FALSE()),0)</f>
      </c>
      <c r="BP39" s="43">
        <f>+BN39-BO39</f>
      </c>
      <c r="BQ39" s="44">
        <f>+E39+H39+K39+N39+Q39+T39+W39+Z39+AC39+AF39+AI39+AL39+AO39+AR39+AU39+AX39+BA39+BD39+BG39+BJ39+BM39+BP39</f>
        <v>366.27</v>
      </c>
    </row>
    <row r="40" ht="11.25" customHeight="1" spans="1:69" x14ac:dyDescent="0.25">
      <c r="A40" s="41">
        <v>433050000</v>
      </c>
      <c r="B40" s="41" t="s">
        <v>77</v>
      </c>
      <c r="C40" s="34">
        <f>IFERROR(VLOOKUP("1_"&amp;A40,SyS!$B:$P,10,FALSE()),0)</f>
      </c>
      <c r="D40" s="35">
        <f>IFERROR(VLOOKUP("1_"&amp;A40,SyS!$B:$P,12,FALSE()),0)</f>
      </c>
      <c r="E40" s="35">
        <f>+C40-D40</f>
      </c>
      <c r="F40" s="34">
        <f>IFERROR(VLOOKUP("2_"&amp;A40,SyS!$B:$P,10,FALSE()),0)</f>
      </c>
      <c r="G40" s="35">
        <f>IFERROR(VLOOKUP("2_"&amp;A40,SyS!$B:$P,12,FALSE()),0)</f>
      </c>
      <c r="H40" s="36">
        <f>+F40-G40</f>
      </c>
      <c r="I40" s="35"/>
      <c r="J40" s="35"/>
      <c r="K40" s="35"/>
      <c r="L40" s="35"/>
      <c r="M40" s="35"/>
      <c r="N40" s="35"/>
      <c r="O40" s="34">
        <f>IFERROR(VLOOKUP("14_"&amp;A40,SyS!$B:$P,10,FALSE()),0)</f>
      </c>
      <c r="P40" s="35">
        <f>IFERROR(VLOOKUP("14_"&amp;A40,SyS!$B:$P,12,FALSE()),0)</f>
      </c>
      <c r="Q40" s="36">
        <f>+O40-P40</f>
      </c>
      <c r="R40" s="34">
        <f>IFERROR(VLOOKUP("15_"&amp;A40,SyS!$B:$P,10,FALSE()),0)</f>
      </c>
      <c r="S40" s="35">
        <f>IFERROR(VLOOKUP("15_"&amp;A40,SyS!$B:$P,12,FALSE()),0)</f>
      </c>
      <c r="T40" s="36">
        <f>+R40-S40</f>
      </c>
      <c r="U40" s="34">
        <f>IFERROR(VLOOKUP("16_"&amp;A40,SyS!$B:$P,10,FALSE()),0)</f>
      </c>
      <c r="V40" s="35">
        <f>IFERROR(VLOOKUP("16_"&amp;A40,SyS!$B:$P,12,FALSE()),0)</f>
      </c>
      <c r="W40" s="36">
        <f>+U40-V40</f>
      </c>
      <c r="X40" s="34">
        <f>IFERROR(VLOOKUP("13_"&amp;A40,SyS!$B:$P,10,FALSE()),0)</f>
      </c>
      <c r="Y40" s="35">
        <f>IFERROR(VLOOKUP("13_"&amp;A40,SyS!$B:$P,12,FALSE()),0)</f>
      </c>
      <c r="Z40" s="36">
        <f>+X40-Y40</f>
      </c>
      <c r="AA40" s="34">
        <f>IFERROR(VLOOKUP("17_"&amp;A40,SyS!$B:$P,10,FALSE()),0)</f>
      </c>
      <c r="AB40" s="35">
        <f>IFERROR(VLOOKUP("17_"&amp;A40,SyS!$B:$P,12,FALSE()),0)</f>
      </c>
      <c r="AC40" s="36">
        <f>+AA40-AB40</f>
      </c>
      <c r="AD40" s="35"/>
      <c r="AE40" s="35"/>
      <c r="AF40" s="35"/>
      <c r="AG40" s="35">
        <f>IFERROR(VLOOKUP("19_"&amp;A40,SyS!$B:$P,10,FALSE()),0)</f>
      </c>
      <c r="AH40" s="35">
        <f>IFERROR(VLOOKUP("19_"&amp;A40,SyS!$B:$P,12,FALSE()),0)</f>
      </c>
      <c r="AI40" s="35">
        <f>+AG40-AH40</f>
      </c>
      <c r="AJ40" s="35"/>
      <c r="AK40" s="35"/>
      <c r="AL40" s="35"/>
      <c r="AM40" s="34">
        <f>IFERROR(VLOOKUP("23_"&amp;A40,SyS!$B:$P,10,FALSE()),0)</f>
      </c>
      <c r="AN40" s="35">
        <f>IFERROR(VLOOKUP("23_"&amp;A40,SyS!$B:$P,12,FALSE()),0)</f>
      </c>
      <c r="AO40" s="36">
        <f>+AM40-AN40</f>
      </c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>
        <f>IFERROR(VLOOKUP("29_"&amp;A40,SyS!$B:$P,10,FALSE()),0)</f>
      </c>
      <c r="BL40" s="40">
        <f>IFERROR(VLOOKUP("29_"&amp;A40,SyS!$B:$P,12,FALSE()),0)</f>
      </c>
      <c r="BM40" s="40">
        <f>+BK40-BL40</f>
      </c>
      <c r="BN40" s="42">
        <f>IFERROR(VLOOKUP("30_"&amp;A40,SyS!$B:$P,10,FALSE()),0)</f>
      </c>
      <c r="BO40" s="40">
        <f>IFERROR(VLOOKUP("30_"&amp;A40,SyS!$B:$P,12,FALSE()),0)</f>
      </c>
      <c r="BP40" s="43">
        <f>+BN40-BO40</f>
      </c>
      <c r="BQ40" s="44">
        <f>+E40+H40+K40+N40+Q40+T40+W40+Z40+AC40+AF40+AI40+AL40+AO40+AR40+AU40+AX40+BA40+BD40+BG40+BJ40+BM40+BP40</f>
      </c>
    </row>
    <row r="41" ht="11.25" customHeight="1" spans="1:69" x14ac:dyDescent="0.25">
      <c r="A41" s="41">
        <v>425190000</v>
      </c>
      <c r="B41" s="41" t="s">
        <v>78</v>
      </c>
      <c r="C41" s="34">
        <f>IFERROR(VLOOKUP("1_"&amp;A41,SyS!$B:$P,10,FALSE()),0)</f>
        <v>18000</v>
      </c>
      <c r="D41" s="35">
        <f>IFERROR(VLOOKUP("1_"&amp;A41,SyS!$B:$P,12,FALSE()),0)</f>
      </c>
      <c r="E41" s="35">
        <f>+C41-D41</f>
        <v>18000</v>
      </c>
      <c r="F41" s="34">
        <f>IFERROR(VLOOKUP("2_"&amp;A41,SyS!$B:$P,10,FALSE()),0)</f>
      </c>
      <c r="G41" s="35">
        <f>IFERROR(VLOOKUP("2_"&amp;A41,SyS!$B:$P,12,FALSE()),0)</f>
      </c>
      <c r="H41" s="36">
        <f>+F41-G41</f>
      </c>
      <c r="I41" s="35"/>
      <c r="J41" s="35"/>
      <c r="K41" s="35"/>
      <c r="L41" s="35"/>
      <c r="M41" s="35"/>
      <c r="N41" s="35"/>
      <c r="O41" s="34">
        <f>IFERROR(VLOOKUP("14_"&amp;A41,SyS!$B:$P,10,FALSE()),0)</f>
      </c>
      <c r="P41" s="35">
        <f>IFERROR(VLOOKUP("14_"&amp;A41,SyS!$B:$P,12,FALSE()),0)</f>
      </c>
      <c r="Q41" s="36">
        <f>+O41-P41</f>
      </c>
      <c r="R41" s="34">
        <f>IFERROR(VLOOKUP("15_"&amp;A41,SyS!$B:$P,10,FALSE()),0)</f>
      </c>
      <c r="S41" s="35">
        <f>IFERROR(VLOOKUP("15_"&amp;A41,SyS!$B:$P,12,FALSE()),0)</f>
      </c>
      <c r="T41" s="36">
        <f>+R41-S41</f>
      </c>
      <c r="U41" s="34">
        <f>IFERROR(VLOOKUP("16_"&amp;A41,SyS!$B:$P,10,FALSE()),0)</f>
      </c>
      <c r="V41" s="35">
        <f>IFERROR(VLOOKUP("16_"&amp;A41,SyS!$B:$P,12,FALSE()),0)</f>
      </c>
      <c r="W41" s="36">
        <f>+U41-V41</f>
      </c>
      <c r="X41" s="34">
        <f>IFERROR(VLOOKUP("13_"&amp;A41,SyS!$B:$P,10,FALSE()),0)</f>
      </c>
      <c r="Y41" s="35">
        <f>IFERROR(VLOOKUP("13_"&amp;A41,SyS!$B:$P,12,FALSE()),0)</f>
      </c>
      <c r="Z41" s="36">
        <f>+X41-Y41</f>
      </c>
      <c r="AA41" s="34">
        <f>IFERROR(VLOOKUP("17_"&amp;A41,SyS!$B:$P,10,FALSE()),0)</f>
      </c>
      <c r="AB41" s="35">
        <f>IFERROR(VLOOKUP("17_"&amp;A41,SyS!$B:$P,12,FALSE()),0)</f>
      </c>
      <c r="AC41" s="36">
        <f>+AA41-AB41</f>
      </c>
      <c r="AD41" s="35"/>
      <c r="AE41" s="35"/>
      <c r="AF41" s="35"/>
      <c r="AG41" s="35">
        <f>IFERROR(VLOOKUP("19_"&amp;A41,SyS!$B:$P,10,FALSE()),0)</f>
      </c>
      <c r="AH41" s="35">
        <f>IFERROR(VLOOKUP("19_"&amp;A41,SyS!$B:$P,12,FALSE()),0)</f>
      </c>
      <c r="AI41" s="35">
        <f>+AG41-AH41</f>
      </c>
      <c r="AJ41" s="35"/>
      <c r="AK41" s="35"/>
      <c r="AL41" s="35"/>
      <c r="AM41" s="34">
        <f>IFERROR(VLOOKUP("23_"&amp;A41,SyS!$B:$P,10,FALSE()),0)</f>
      </c>
      <c r="AN41" s="35">
        <f>IFERROR(VLOOKUP("23_"&amp;A41,SyS!$B:$P,12,FALSE()),0)</f>
      </c>
      <c r="AO41" s="36">
        <f>+AM41-AN41</f>
      </c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>
        <f>IFERROR(VLOOKUP("29_"&amp;A41,SyS!$B:$P,10,FALSE()),0)</f>
      </c>
      <c r="BL41" s="40">
        <f>IFERROR(VLOOKUP("29_"&amp;A41,SyS!$B:$P,12,FALSE()),0)</f>
      </c>
      <c r="BM41" s="40">
        <f>+BK41-BL41</f>
      </c>
      <c r="BN41" s="42">
        <f>IFERROR(VLOOKUP("30_"&amp;A41,SyS!$B:$P,10,FALSE()),0)</f>
      </c>
      <c r="BO41" s="40">
        <f>IFERROR(VLOOKUP("30_"&amp;A41,SyS!$B:$P,12,FALSE()),0)</f>
      </c>
      <c r="BP41" s="43">
        <f>+BN41-BO41</f>
      </c>
      <c r="BQ41" s="44">
        <f>+E41+H41+K41+N41+Q41+T41+W41+Z41+AC41+AF41+AI41+AL41+AO41+AR41+AU41+AX41+BA41+BD41+BG41+BJ41+BM41+BP41</f>
        <v>18000</v>
      </c>
    </row>
    <row r="42" ht="11.25" customHeight="1" spans="1:69" x14ac:dyDescent="0.25">
      <c r="A42" s="41">
        <v>433030000</v>
      </c>
      <c r="B42" s="41" t="s">
        <v>79</v>
      </c>
      <c r="C42" s="34">
        <f>IFERROR(VLOOKUP("1_"&amp;A42,SyS!$B:$P,10,FALSE()),0)</f>
      </c>
      <c r="D42" s="35">
        <f>IFERROR(VLOOKUP("1_"&amp;A42,SyS!$B:$P,12,FALSE()),0)</f>
      </c>
      <c r="E42" s="35">
        <f>+C42-D42</f>
      </c>
      <c r="F42" s="34">
        <f>IFERROR(VLOOKUP("2_"&amp;A42,SyS!$B:$P,10,FALSE()),0)</f>
      </c>
      <c r="G42" s="35">
        <f>IFERROR(VLOOKUP("2_"&amp;A42,SyS!$B:$P,12,FALSE()),0)</f>
      </c>
      <c r="H42" s="36">
        <f>+F42-G42</f>
      </c>
      <c r="I42" s="35"/>
      <c r="J42" s="35"/>
      <c r="K42" s="35"/>
      <c r="L42" s="35"/>
      <c r="M42" s="35"/>
      <c r="N42" s="35"/>
      <c r="O42" s="34">
        <f>IFERROR(VLOOKUP("14_"&amp;A42,SyS!$B:$P,10,FALSE()),0)</f>
      </c>
      <c r="P42" s="35">
        <f>IFERROR(VLOOKUP("14_"&amp;A42,SyS!$B:$P,12,FALSE()),0)</f>
      </c>
      <c r="Q42" s="36">
        <f>+O42-P42</f>
      </c>
      <c r="R42" s="34">
        <f>IFERROR(VLOOKUP("15_"&amp;A42,SyS!$B:$P,10,FALSE()),0)</f>
      </c>
      <c r="S42" s="35">
        <f>IFERROR(VLOOKUP("15_"&amp;A42,SyS!$B:$P,12,FALSE()),0)</f>
      </c>
      <c r="T42" s="36">
        <f>+R42-S42</f>
      </c>
      <c r="U42" s="34">
        <f>IFERROR(VLOOKUP("16_"&amp;A42,SyS!$B:$P,10,FALSE()),0)</f>
      </c>
      <c r="V42" s="35">
        <f>IFERROR(VLOOKUP("16_"&amp;A42,SyS!$B:$P,12,FALSE()),0)</f>
      </c>
      <c r="W42" s="36">
        <f>+U42-V42</f>
      </c>
      <c r="X42" s="34">
        <f>IFERROR(VLOOKUP("13_"&amp;A42,SyS!$B:$P,10,FALSE()),0)</f>
      </c>
      <c r="Y42" s="35">
        <f>IFERROR(VLOOKUP("13_"&amp;A42,SyS!$B:$P,12,FALSE()),0)</f>
      </c>
      <c r="Z42" s="36">
        <f>+X42-Y42</f>
      </c>
      <c r="AA42" s="34">
        <f>IFERROR(VLOOKUP("17_"&amp;A42,SyS!$B:$P,10,FALSE()),0)</f>
      </c>
      <c r="AB42" s="35">
        <f>IFERROR(VLOOKUP("17_"&amp;A42,SyS!$B:$P,12,FALSE()),0)</f>
      </c>
      <c r="AC42" s="36">
        <f>+AA42-AB42</f>
      </c>
      <c r="AD42" s="35"/>
      <c r="AE42" s="35"/>
      <c r="AF42" s="35"/>
      <c r="AG42" s="35">
        <f>IFERROR(VLOOKUP("19_"&amp;A42,SyS!$B:$P,10,FALSE()),0)</f>
      </c>
      <c r="AH42" s="35">
        <f>IFERROR(VLOOKUP("19_"&amp;A42,SyS!$B:$P,12,FALSE()),0)</f>
      </c>
      <c r="AI42" s="35">
        <f>+AG42-AH42</f>
      </c>
      <c r="AJ42" s="35"/>
      <c r="AK42" s="35"/>
      <c r="AL42" s="35"/>
      <c r="AM42" s="34">
        <f>IFERROR(VLOOKUP("23_"&amp;A42,SyS!$B:$P,10,FALSE()),0)</f>
      </c>
      <c r="AN42" s="35">
        <f>IFERROR(VLOOKUP("23_"&amp;A42,SyS!$B:$P,12,FALSE()),0)</f>
      </c>
      <c r="AO42" s="36">
        <f>+AM42-AN42</f>
      </c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>
        <f>IFERROR(VLOOKUP("29_"&amp;A42,SyS!$B:$P,10,FALSE()),0)</f>
      </c>
      <c r="BL42" s="40">
        <f>IFERROR(VLOOKUP("29_"&amp;A42,SyS!$B:$P,12,FALSE()),0)</f>
      </c>
      <c r="BM42" s="40">
        <f>+BK42-BL42</f>
      </c>
      <c r="BN42" s="42">
        <f>IFERROR(VLOOKUP("30_"&amp;A42,SyS!$B:$P,10,FALSE()),0)</f>
      </c>
      <c r="BO42" s="40">
        <f>IFERROR(VLOOKUP("30_"&amp;A42,SyS!$B:$P,12,FALSE()),0)</f>
      </c>
      <c r="BP42" s="43">
        <f>+BN42-BO42</f>
      </c>
      <c r="BQ42" s="44">
        <f>+E42+H42+K42+N42+Q42+T42+W42+Z42+AC42+AF42+AI42+AL42+AO42+AR42+AU42+AX42+BA42+BD42+BG42+BJ42+BM42+BP42</f>
      </c>
    </row>
    <row r="43" ht="11.25" customHeight="1" spans="1:69" x14ac:dyDescent="0.25">
      <c r="A43" s="41">
        <v>425200000</v>
      </c>
      <c r="B43" s="41" t="s">
        <v>80</v>
      </c>
      <c r="C43" s="34">
        <f>IFERROR(VLOOKUP("1_"&amp;A43,SyS!$B:$P,10,FALSE()),0)</f>
      </c>
      <c r="D43" s="35">
        <f>IFERROR(VLOOKUP("1_"&amp;A43,SyS!$B:$P,12,FALSE()),0)</f>
      </c>
      <c r="E43" s="35">
        <f>+C43-D43</f>
      </c>
      <c r="F43" s="34">
        <f>IFERROR(VLOOKUP("2_"&amp;A43,SyS!$B:$P,10,FALSE()),0)</f>
      </c>
      <c r="G43" s="35">
        <f>IFERROR(VLOOKUP("2_"&amp;A43,SyS!$B:$P,12,FALSE()),0)</f>
      </c>
      <c r="H43" s="36">
        <f>+F43-G43</f>
      </c>
      <c r="I43" s="35"/>
      <c r="J43" s="35"/>
      <c r="K43" s="35"/>
      <c r="L43" s="35"/>
      <c r="M43" s="35"/>
      <c r="N43" s="35"/>
      <c r="O43" s="34">
        <f>IFERROR(VLOOKUP("14_"&amp;A43,SyS!$B:$P,10,FALSE()),0)</f>
      </c>
      <c r="P43" s="35">
        <f>IFERROR(VLOOKUP("14_"&amp;A43,SyS!$B:$P,12,FALSE()),0)</f>
      </c>
      <c r="Q43" s="36">
        <f>+O43-P43</f>
      </c>
      <c r="R43" s="34">
        <f>IFERROR(VLOOKUP("15_"&amp;A43,SyS!$B:$P,10,FALSE()),0)</f>
      </c>
      <c r="S43" s="35">
        <f>IFERROR(VLOOKUP("15_"&amp;A43,SyS!$B:$P,12,FALSE()),0)</f>
      </c>
      <c r="T43" s="36">
        <f>+R43-S43</f>
      </c>
      <c r="U43" s="34">
        <f>IFERROR(VLOOKUP("16_"&amp;A43,SyS!$B:$P,10,FALSE()),0)</f>
      </c>
      <c r="V43" s="35">
        <f>IFERROR(VLOOKUP("16_"&amp;A43,SyS!$B:$P,12,FALSE()),0)</f>
      </c>
      <c r="W43" s="36">
        <f>+U43-V43</f>
      </c>
      <c r="X43" s="34">
        <f>IFERROR(VLOOKUP("13_"&amp;A43,SyS!$B:$P,10,FALSE()),0)</f>
      </c>
      <c r="Y43" s="35">
        <f>IFERROR(VLOOKUP("13_"&amp;A43,SyS!$B:$P,12,FALSE()),0)</f>
      </c>
      <c r="Z43" s="36">
        <f>+X43-Y43</f>
      </c>
      <c r="AA43" s="34">
        <f>IFERROR(VLOOKUP("17_"&amp;A43,SyS!$B:$P,10,FALSE()),0)</f>
      </c>
      <c r="AB43" s="35">
        <f>IFERROR(VLOOKUP("17_"&amp;A43,SyS!$B:$P,12,FALSE()),0)</f>
      </c>
      <c r="AC43" s="36">
        <f>+AA43-AB43</f>
      </c>
      <c r="AD43" s="35"/>
      <c r="AE43" s="35"/>
      <c r="AF43" s="35"/>
      <c r="AG43" s="35">
        <f>IFERROR(VLOOKUP("19_"&amp;A43,SyS!$B:$P,10,FALSE()),0)</f>
      </c>
      <c r="AH43" s="35">
        <f>IFERROR(VLOOKUP("19_"&amp;A43,SyS!$B:$P,12,FALSE()),0)</f>
      </c>
      <c r="AI43" s="35">
        <f>+AG43-AH43</f>
      </c>
      <c r="AJ43" s="35"/>
      <c r="AK43" s="35"/>
      <c r="AL43" s="35"/>
      <c r="AM43" s="34">
        <f>IFERROR(VLOOKUP("23_"&amp;A43,SyS!$B:$P,10,FALSE()),0)</f>
      </c>
      <c r="AN43" s="35">
        <f>IFERROR(VLOOKUP("23_"&amp;A43,SyS!$B:$P,12,FALSE()),0)</f>
      </c>
      <c r="AO43" s="36">
        <f>+AM43-AN43</f>
      </c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>
        <f>IFERROR(VLOOKUP("29_"&amp;A43,SyS!$B:$P,10,FALSE()),0)</f>
      </c>
      <c r="BL43" s="40">
        <f>IFERROR(VLOOKUP("29_"&amp;A43,SyS!$B:$P,12,FALSE()),0)</f>
      </c>
      <c r="BM43" s="40">
        <f>+BK43-BL43</f>
      </c>
      <c r="BN43" s="42">
        <f>IFERROR(VLOOKUP("30_"&amp;A43,SyS!$B:$P,10,FALSE()),0)</f>
      </c>
      <c r="BO43" s="40">
        <f>IFERROR(VLOOKUP("30_"&amp;A43,SyS!$B:$P,12,FALSE()),0)</f>
      </c>
      <c r="BP43" s="43">
        <f>+BN43-BO43</f>
      </c>
      <c r="BQ43" s="44">
        <f>+E43+H43+K43+N43+Q43+T43+W43+Z43+AC43+AF43+AI43+AL43+AO43+AR43+AU43+AX43+BA43+BD43+BG43+BJ43+BM43+BP43</f>
      </c>
    </row>
    <row r="44" ht="11.25" customHeight="1" spans="1:69" x14ac:dyDescent="0.25">
      <c r="A44" s="41">
        <v>425210000</v>
      </c>
      <c r="B44" s="41" t="s">
        <v>81</v>
      </c>
      <c r="C44" s="34">
        <f>IFERROR(VLOOKUP("1_"&amp;A44,SyS!$B:$P,10,FALSE()),0)</f>
      </c>
      <c r="D44" s="35">
        <f>IFERROR(VLOOKUP("1_"&amp;A44,SyS!$B:$P,12,FALSE()),0)</f>
      </c>
      <c r="E44" s="35">
        <f>+C44-D44</f>
      </c>
      <c r="F44" s="34">
        <f>IFERROR(VLOOKUP("2_"&amp;A44,SyS!$B:$P,10,FALSE()),0)</f>
      </c>
      <c r="G44" s="35">
        <f>IFERROR(VLOOKUP("2_"&amp;A44,SyS!$B:$P,12,FALSE()),0)</f>
      </c>
      <c r="H44" s="36">
        <f>+F44-G44</f>
      </c>
      <c r="I44" s="35"/>
      <c r="J44" s="35"/>
      <c r="K44" s="35"/>
      <c r="L44" s="35"/>
      <c r="M44" s="35"/>
      <c r="N44" s="35"/>
      <c r="O44" s="34">
        <f>IFERROR(VLOOKUP("14_"&amp;A44,SyS!$B:$P,10,FALSE()),0)</f>
      </c>
      <c r="P44" s="35">
        <f>IFERROR(VLOOKUP("14_"&amp;A44,SyS!$B:$P,12,FALSE()),0)</f>
      </c>
      <c r="Q44" s="36">
        <f>+O44-P44</f>
      </c>
      <c r="R44" s="34">
        <f>IFERROR(VLOOKUP("15_"&amp;A44,SyS!$B:$P,10,FALSE()),0)</f>
      </c>
      <c r="S44" s="35">
        <f>IFERROR(VLOOKUP("15_"&amp;A44,SyS!$B:$P,12,FALSE()),0)</f>
      </c>
      <c r="T44" s="36">
        <f>+R44-S44</f>
      </c>
      <c r="U44" s="34">
        <f>IFERROR(VLOOKUP("16_"&amp;A44,SyS!$B:$P,10,FALSE()),0)</f>
      </c>
      <c r="V44" s="35">
        <f>IFERROR(VLOOKUP("16_"&amp;A44,SyS!$B:$P,12,FALSE()),0)</f>
      </c>
      <c r="W44" s="36">
        <f>+U44-V44</f>
      </c>
      <c r="X44" s="34">
        <f>IFERROR(VLOOKUP("13_"&amp;A44,SyS!$B:$P,10,FALSE()),0)</f>
      </c>
      <c r="Y44" s="35">
        <f>IFERROR(VLOOKUP("13_"&amp;A44,SyS!$B:$P,12,FALSE()),0)</f>
      </c>
      <c r="Z44" s="36">
        <f>+X44-Y44</f>
      </c>
      <c r="AA44" s="34">
        <f>IFERROR(VLOOKUP("17_"&amp;A44,SyS!$B:$P,10,FALSE()),0)</f>
      </c>
      <c r="AB44" s="35">
        <f>IFERROR(VLOOKUP("17_"&amp;A44,SyS!$B:$P,12,FALSE()),0)</f>
      </c>
      <c r="AC44" s="36">
        <f>+AA44-AB44</f>
      </c>
      <c r="AD44" s="35"/>
      <c r="AE44" s="35"/>
      <c r="AF44" s="35"/>
      <c r="AG44" s="35">
        <f>IFERROR(VLOOKUP("19_"&amp;A44,SyS!$B:$P,10,FALSE()),0)</f>
      </c>
      <c r="AH44" s="35">
        <f>IFERROR(VLOOKUP("19_"&amp;A44,SyS!$B:$P,12,FALSE()),0)</f>
      </c>
      <c r="AI44" s="35">
        <f>+AG44-AH44</f>
      </c>
      <c r="AJ44" s="35"/>
      <c r="AK44" s="35"/>
      <c r="AL44" s="35"/>
      <c r="AM44" s="34">
        <f>IFERROR(VLOOKUP("23_"&amp;A44,SyS!$B:$P,10,FALSE()),0)</f>
      </c>
      <c r="AN44" s="35">
        <f>IFERROR(VLOOKUP("23_"&amp;A44,SyS!$B:$P,12,FALSE()),0)</f>
      </c>
      <c r="AO44" s="36">
        <f>+AM44-AN44</f>
      </c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>
        <f>IFERROR(VLOOKUP("29_"&amp;A44,SyS!$B:$P,10,FALSE()),0)</f>
      </c>
      <c r="BL44" s="40">
        <f>IFERROR(VLOOKUP("29_"&amp;A44,SyS!$B:$P,12,FALSE()),0)</f>
      </c>
      <c r="BM44" s="40">
        <f>+BK44-BL44</f>
      </c>
      <c r="BN44" s="42">
        <f>IFERROR(VLOOKUP("30_"&amp;A44,SyS!$B:$P,10,FALSE()),0)</f>
      </c>
      <c r="BO44" s="40">
        <f>IFERROR(VLOOKUP("30_"&amp;A44,SyS!$B:$P,12,FALSE()),0)</f>
      </c>
      <c r="BP44" s="43">
        <f>+BN44-BO44</f>
      </c>
      <c r="BQ44" s="44">
        <f>+E44+H44+K44+N44+Q44+T44+W44+Z44+AC44+AF44+AI44+AL44+AO44+AR44+AU44+AX44+BA44+BD44+BG44+BJ44+BM44+BP44</f>
      </c>
    </row>
    <row r="45" ht="11.25" customHeight="1" spans="1:69" x14ac:dyDescent="0.25">
      <c r="A45" s="41">
        <v>433110000</v>
      </c>
      <c r="B45" s="41" t="s">
        <v>82</v>
      </c>
      <c r="C45" s="34">
        <f>IFERROR(VLOOKUP("1_"&amp;A45,SyS!$B:$P,10,FALSE()),0)</f>
        <v>18</v>
      </c>
      <c r="D45" s="35">
        <f>IFERROR(VLOOKUP("1_"&amp;A45,SyS!$B:$P,12,FALSE()),0)</f>
      </c>
      <c r="E45" s="35">
        <f>+C45-D45</f>
        <v>18</v>
      </c>
      <c r="F45" s="34">
        <f>IFERROR(VLOOKUP("2_"&amp;A45,SyS!$B:$P,10,FALSE()),0)</f>
      </c>
      <c r="G45" s="35">
        <f>IFERROR(VLOOKUP("2_"&amp;A45,SyS!$B:$P,12,FALSE()),0)</f>
      </c>
      <c r="H45" s="36">
        <f>+F45-G45</f>
      </c>
      <c r="I45" s="35"/>
      <c r="J45" s="35"/>
      <c r="K45" s="35"/>
      <c r="L45" s="35"/>
      <c r="M45" s="35"/>
      <c r="N45" s="35"/>
      <c r="O45" s="34">
        <f>IFERROR(VLOOKUP("14_"&amp;A45,SyS!$B:$P,10,FALSE()),0)</f>
      </c>
      <c r="P45" s="35">
        <f>IFERROR(VLOOKUP("14_"&amp;A45,SyS!$B:$P,12,FALSE()),0)</f>
      </c>
      <c r="Q45" s="36">
        <f>+O45-P45</f>
      </c>
      <c r="R45" s="34">
        <f>IFERROR(VLOOKUP("15_"&amp;A45,SyS!$B:$P,10,FALSE()),0)</f>
      </c>
      <c r="S45" s="35">
        <f>IFERROR(VLOOKUP("15_"&amp;A45,SyS!$B:$P,12,FALSE()),0)</f>
      </c>
      <c r="T45" s="36">
        <f>+R45-S45</f>
      </c>
      <c r="U45" s="34">
        <f>IFERROR(VLOOKUP("16_"&amp;A45,SyS!$B:$P,10,FALSE()),0)</f>
      </c>
      <c r="V45" s="35">
        <f>IFERROR(VLOOKUP("16_"&amp;A45,SyS!$B:$P,12,FALSE()),0)</f>
      </c>
      <c r="W45" s="36"/>
      <c r="X45" s="34">
        <f>IFERROR(VLOOKUP("13_"&amp;A45,SyS!$B:$P,10,FALSE()),0)</f>
      </c>
      <c r="Y45" s="35">
        <f>IFERROR(VLOOKUP("13_"&amp;A45,SyS!$B:$P,12,FALSE()),0)</f>
      </c>
      <c r="Z45" s="36">
        <f>+X45-Y45</f>
      </c>
      <c r="AA45" s="34">
        <f>IFERROR(VLOOKUP("17_"&amp;A45,SyS!$B:$P,10,FALSE()),0)</f>
      </c>
      <c r="AB45" s="35">
        <f>IFERROR(VLOOKUP("17_"&amp;A45,SyS!$B:$P,12,FALSE()),0)</f>
      </c>
      <c r="AC45" s="36">
        <f>+AA45-AB45</f>
      </c>
      <c r="AD45" s="35"/>
      <c r="AE45" s="35"/>
      <c r="AF45" s="35"/>
      <c r="AG45" s="35">
        <f>IFERROR(VLOOKUP("19_"&amp;A45,SyS!$B:$P,10,FALSE()),0)</f>
      </c>
      <c r="AH45" s="35">
        <f>IFERROR(VLOOKUP("19_"&amp;A45,SyS!$B:$P,12,FALSE()),0)</f>
      </c>
      <c r="AI45" s="35">
        <f>+AG45-AH45</f>
      </c>
      <c r="AJ45" s="35"/>
      <c r="AK45" s="35"/>
      <c r="AL45" s="35"/>
      <c r="AM45" s="34">
        <f>IFERROR(VLOOKUP("23_"&amp;A45,SyS!$B:$P,10,FALSE()),0)</f>
      </c>
      <c r="AN45" s="35">
        <f>IFERROR(VLOOKUP("23_"&amp;A45,SyS!$B:$P,12,FALSE()),0)</f>
      </c>
      <c r="AO45" s="36">
        <f>+AM45-AN45</f>
      </c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>
        <f>IFERROR(VLOOKUP("29_"&amp;A45,SyS!$B:$P,10,FALSE()),0)</f>
      </c>
      <c r="BL45" s="40">
        <f>IFERROR(VLOOKUP("29_"&amp;A45,SyS!$B:$P,12,FALSE()),0)</f>
      </c>
      <c r="BM45" s="40">
        <f>+BK45-BL45</f>
      </c>
      <c r="BN45" s="42">
        <f>IFERROR(VLOOKUP("30_"&amp;A45,SyS!$B:$P,10,FALSE()),0)</f>
      </c>
      <c r="BO45" s="40">
        <f>IFERROR(VLOOKUP("30_"&amp;A45,SyS!$B:$P,12,FALSE()),0)</f>
      </c>
      <c r="BP45" s="43">
        <f>+BN45-BO45</f>
      </c>
      <c r="BQ45" s="44">
        <f>+E45+H45+K45+N45+Q45+T45+W45+Z45+AC45+AF45+AI45+AL45+AO45+AR45+AU45+AX45+BA45+BD45+BG45+BJ45+BM45+BP45</f>
        <v>18</v>
      </c>
    </row>
    <row r="46" ht="11.25" customHeight="1" spans="1:69" x14ac:dyDescent="0.25">
      <c r="A46" s="41">
        <v>425220000</v>
      </c>
      <c r="B46" s="41" t="s">
        <v>83</v>
      </c>
      <c r="C46" s="34">
        <f>IFERROR(VLOOKUP("1_"&amp;A46,SyS!$B:$P,10,FALSE()),0)</f>
        <v>179.24</v>
      </c>
      <c r="D46" s="35">
        <f>IFERROR(VLOOKUP("1_"&amp;A46,SyS!$B:$P,12,FALSE()),0)</f>
      </c>
      <c r="E46" s="35">
        <f>+C46-D46</f>
        <v>179.24</v>
      </c>
      <c r="F46" s="34">
        <f>IFERROR(VLOOKUP("2_"&amp;A46,SyS!$B:$P,10,FALSE()),0)</f>
      </c>
      <c r="G46" s="35">
        <f>IFERROR(VLOOKUP("2_"&amp;A46,SyS!$B:$P,12,FALSE()),0)</f>
      </c>
      <c r="H46" s="36">
        <f>+F46-G46</f>
      </c>
      <c r="I46" s="35"/>
      <c r="J46" s="35"/>
      <c r="K46" s="35"/>
      <c r="L46" s="35"/>
      <c r="M46" s="35"/>
      <c r="N46" s="35"/>
      <c r="O46" s="34">
        <f>IFERROR(VLOOKUP("14_"&amp;A46,SyS!$B:$P,10,FALSE()),0)</f>
      </c>
      <c r="P46" s="35">
        <f>IFERROR(VLOOKUP("14_"&amp;A46,SyS!$B:$P,12,FALSE()),0)</f>
      </c>
      <c r="Q46" s="36">
        <f>+O46-P46</f>
      </c>
      <c r="R46" s="34">
        <f>IFERROR(VLOOKUP("15_"&amp;A46,SyS!$B:$P,10,FALSE()),0)</f>
      </c>
      <c r="S46" s="35">
        <f>IFERROR(VLOOKUP("15_"&amp;A46,SyS!$B:$P,12,FALSE()),0)</f>
      </c>
      <c r="T46" s="36">
        <f>+R46-S46</f>
      </c>
      <c r="U46" s="34">
        <f>IFERROR(VLOOKUP("16_"&amp;A46,SyS!$B:$P,10,FALSE()),0)</f>
      </c>
      <c r="V46" s="35">
        <f>IFERROR(VLOOKUP("16_"&amp;A46,SyS!$B:$P,12,FALSE()),0)</f>
      </c>
      <c r="W46" s="36">
        <f>+U46-V46</f>
      </c>
      <c r="X46" s="34">
        <f>IFERROR(VLOOKUP("13_"&amp;A46,SyS!$B:$P,10,FALSE()),0)</f>
      </c>
      <c r="Y46" s="35">
        <f>IFERROR(VLOOKUP("13_"&amp;A46,SyS!$B:$P,12,FALSE()),0)</f>
      </c>
      <c r="Z46" s="36">
        <f>+X46-Y46</f>
      </c>
      <c r="AA46" s="34">
        <f>IFERROR(VLOOKUP("17_"&amp;A46,SyS!$B:$P,10,FALSE()),0)</f>
      </c>
      <c r="AB46" s="35">
        <f>IFERROR(VLOOKUP("17_"&amp;A46,SyS!$B:$P,12,FALSE()),0)</f>
      </c>
      <c r="AC46" s="36">
        <f>+AA46-AB46</f>
      </c>
      <c r="AD46" s="35"/>
      <c r="AE46" s="35"/>
      <c r="AF46" s="35"/>
      <c r="AG46" s="35">
        <f>IFERROR(VLOOKUP("19_"&amp;A46,SyS!$B:$P,10,FALSE()),0)</f>
      </c>
      <c r="AH46" s="35">
        <f>IFERROR(VLOOKUP("19_"&amp;A46,SyS!$B:$P,12,FALSE()),0)</f>
      </c>
      <c r="AI46" s="35">
        <f>+AG46-AH46</f>
      </c>
      <c r="AJ46" s="35"/>
      <c r="AK46" s="35"/>
      <c r="AL46" s="35"/>
      <c r="AM46" s="34">
        <f>IFERROR(VLOOKUP("23_"&amp;A46,SyS!$B:$P,10,FALSE()),0)</f>
      </c>
      <c r="AN46" s="35">
        <f>IFERROR(VLOOKUP("23_"&amp;A46,SyS!$B:$P,12,FALSE()),0)</f>
      </c>
      <c r="AO46" s="36">
        <f>+AM46-AN46</f>
      </c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>
        <f>IFERROR(VLOOKUP("29_"&amp;A46,SyS!$B:$P,10,FALSE()),0)</f>
      </c>
      <c r="BL46" s="40">
        <f>IFERROR(VLOOKUP("29_"&amp;A46,SyS!$B:$P,12,FALSE()),0)</f>
      </c>
      <c r="BM46" s="40">
        <f>+BK46-BL46</f>
      </c>
      <c r="BN46" s="42">
        <f>IFERROR(VLOOKUP("30_"&amp;A46,SyS!$B:$P,10,FALSE()),0)</f>
      </c>
      <c r="BO46" s="40">
        <f>IFERROR(VLOOKUP("30_"&amp;A46,SyS!$B:$P,12,FALSE()),0)</f>
      </c>
      <c r="BP46" s="43">
        <f>+BN46-BO46</f>
      </c>
      <c r="BQ46" s="44">
        <f>+E46+H46+K46+N46+Q46+T46+W46+Z46+AC46+AF46+AI46+AL46+AO46+AR46+AU46+AX46+BA46+BD46+BG46+BJ46+BM46+BP46</f>
        <v>179.24</v>
      </c>
    </row>
    <row r="47" ht="11.25" customHeight="1" spans="1:69" x14ac:dyDescent="0.25">
      <c r="A47" s="41">
        <v>423010000</v>
      </c>
      <c r="B47" s="41" t="s">
        <v>84</v>
      </c>
      <c r="C47" s="34">
        <f>IFERROR(VLOOKUP("1_"&amp;A47,SyS!$B:$P,10,FALSE()),0)</f>
      </c>
      <c r="D47" s="35">
        <f>IFERROR(VLOOKUP("1_"&amp;A47,SyS!$B:$P,12,FALSE()),0)</f>
      </c>
      <c r="E47" s="35">
        <f>+C47-D47</f>
      </c>
      <c r="F47" s="34">
        <f>IFERROR(VLOOKUP("2_"&amp;A47,SyS!$B:$P,10,FALSE()),0)</f>
      </c>
      <c r="G47" s="35">
        <f>IFERROR(VLOOKUP("2_"&amp;A47,SyS!$B:$P,12,FALSE()),0)</f>
      </c>
      <c r="H47" s="36">
        <f>+F47-G47</f>
      </c>
      <c r="I47" s="35"/>
      <c r="J47" s="35"/>
      <c r="K47" s="35"/>
      <c r="L47" s="35"/>
      <c r="M47" s="35"/>
      <c r="N47" s="35"/>
      <c r="O47" s="34">
        <f>IFERROR(VLOOKUP("14_"&amp;A47,SyS!$B:$P,10,FALSE()),0)</f>
      </c>
      <c r="P47" s="35">
        <f>IFERROR(VLOOKUP("14_"&amp;A47,SyS!$B:$P,12,FALSE()),0)</f>
      </c>
      <c r="Q47" s="36">
        <f>+O47-P47</f>
      </c>
      <c r="R47" s="34">
        <f>IFERROR(VLOOKUP("15_"&amp;A47,SyS!$B:$P,10,FALSE()),0)</f>
      </c>
      <c r="S47" s="35">
        <f>IFERROR(VLOOKUP("15_"&amp;A47,SyS!$B:$P,12,FALSE()),0)</f>
      </c>
      <c r="T47" s="36">
        <f>+R47-S47</f>
      </c>
      <c r="U47" s="34">
        <f>IFERROR(VLOOKUP("16_"&amp;A47,SyS!$B:$P,10,FALSE()),0)</f>
      </c>
      <c r="V47" s="35">
        <f>IFERROR(VLOOKUP("16_"&amp;A47,SyS!$B:$P,12,FALSE()),0)</f>
      </c>
      <c r="W47" s="36">
        <f>+U47-V47</f>
      </c>
      <c r="X47" s="34">
        <f>IFERROR(VLOOKUP("13_"&amp;A47,SyS!$B:$P,10,FALSE()),0)</f>
      </c>
      <c r="Y47" s="35">
        <f>IFERROR(VLOOKUP("13_"&amp;A47,SyS!$B:$P,12,FALSE()),0)</f>
      </c>
      <c r="Z47" s="36">
        <f>+X47-Y47</f>
      </c>
      <c r="AA47" s="34">
        <f>IFERROR(VLOOKUP("17_"&amp;A47,SyS!$B:$P,10,FALSE()),0)</f>
      </c>
      <c r="AB47" s="35">
        <f>IFERROR(VLOOKUP("17_"&amp;A47,SyS!$B:$P,12,FALSE()),0)</f>
      </c>
      <c r="AC47" s="36">
        <f>+AA47-AB47</f>
      </c>
      <c r="AD47" s="35"/>
      <c r="AE47" s="35"/>
      <c r="AF47" s="35"/>
      <c r="AG47" s="35">
        <f>IFERROR(VLOOKUP("19_"&amp;A47,SyS!$B:$P,10,FALSE()),0)</f>
      </c>
      <c r="AH47" s="35">
        <f>IFERROR(VLOOKUP("19_"&amp;A47,SyS!$B:$P,12,FALSE()),0)</f>
      </c>
      <c r="AI47" s="35">
        <f>+AG47-AH47</f>
      </c>
      <c r="AJ47" s="35"/>
      <c r="AK47" s="35"/>
      <c r="AL47" s="35"/>
      <c r="AM47" s="34">
        <f>IFERROR(VLOOKUP("23_"&amp;A47,SyS!$B:$P,10,FALSE()),0)</f>
      </c>
      <c r="AN47" s="35">
        <f>IFERROR(VLOOKUP("23_"&amp;A47,SyS!$B:$P,12,FALSE()),0)</f>
      </c>
      <c r="AO47" s="36">
        <f>+AM47-AN47</f>
      </c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>
        <f>IFERROR(VLOOKUP("29_"&amp;A47,SyS!$B:$P,10,FALSE()),0)</f>
      </c>
      <c r="BL47" s="40">
        <f>IFERROR(VLOOKUP("29_"&amp;A47,SyS!$B:$P,12,FALSE()),0)</f>
      </c>
      <c r="BM47" s="40">
        <f>+BK47-BL47</f>
      </c>
      <c r="BN47" s="42">
        <f>IFERROR(VLOOKUP("30_"&amp;A47,SyS!$B:$P,10,FALSE()),0)</f>
      </c>
      <c r="BO47" s="40">
        <f>IFERROR(VLOOKUP("30_"&amp;A47,SyS!$B:$P,12,FALSE()),0)</f>
      </c>
      <c r="BP47" s="43">
        <f>+BN47-BO47</f>
      </c>
      <c r="BQ47" s="44">
        <f>+E47+H47+K47+N47+Q47+T47+W47+Z47+AC47+AF47+AI47+AL47+AO47+AR47+AU47+AX47+BA47+BD47+BG47+BJ47+BM47+BP47</f>
      </c>
    </row>
    <row r="48" ht="11.25" customHeight="1" spans="1:69" x14ac:dyDescent="0.25">
      <c r="A48" s="41">
        <v>425230000</v>
      </c>
      <c r="B48" s="41" t="s">
        <v>85</v>
      </c>
      <c r="C48" s="34">
        <f>IFERROR(VLOOKUP("1_"&amp;A48,SyS!$B:$P,10,FALSE()),0)</f>
        <v>5.7700000000000005</v>
      </c>
      <c r="D48" s="35">
        <f>IFERROR(VLOOKUP("1_"&amp;A48,SyS!$B:$P,12,FALSE()),0)</f>
      </c>
      <c r="E48" s="35">
        <f>+C48-D48</f>
        <v>5.7700000000000005</v>
      </c>
      <c r="F48" s="34">
        <f>IFERROR(VLOOKUP("2_"&amp;A48,SyS!$B:$P,10,FALSE()),0)</f>
      </c>
      <c r="G48" s="35">
        <f>IFERROR(VLOOKUP("2_"&amp;A48,SyS!$B:$P,12,FALSE()),0)</f>
      </c>
      <c r="H48" s="36">
        <f>+F48-G48</f>
      </c>
      <c r="I48" s="35"/>
      <c r="J48" s="35"/>
      <c r="K48" s="35"/>
      <c r="L48" s="35"/>
      <c r="M48" s="35"/>
      <c r="N48" s="35"/>
      <c r="O48" s="34">
        <f>IFERROR(VLOOKUP("14_"&amp;A48,SyS!$B:$P,10,FALSE()),0)</f>
      </c>
      <c r="P48" s="35">
        <f>IFERROR(VLOOKUP("14_"&amp;A48,SyS!$B:$P,12,FALSE()),0)</f>
      </c>
      <c r="Q48" s="36">
        <f>+O48-P48</f>
      </c>
      <c r="R48" s="34">
        <f>IFERROR(VLOOKUP("15_"&amp;A48,SyS!$B:$P,10,FALSE()),0)</f>
      </c>
      <c r="S48" s="35">
        <f>IFERROR(VLOOKUP("15_"&amp;A48,SyS!$B:$P,12,FALSE()),0)</f>
      </c>
      <c r="T48" s="36">
        <f>+R48-S48</f>
      </c>
      <c r="U48" s="34">
        <f>IFERROR(VLOOKUP("16_"&amp;A48,SyS!$B:$P,10,FALSE()),0)</f>
      </c>
      <c r="V48" s="35">
        <f>IFERROR(VLOOKUP("16_"&amp;A48,SyS!$B:$P,12,FALSE()),0)</f>
      </c>
      <c r="W48" s="36">
        <f>+U48-V48</f>
      </c>
      <c r="X48" s="34">
        <f>IFERROR(VLOOKUP("13_"&amp;A48,SyS!$B:$P,10,FALSE()),0)</f>
      </c>
      <c r="Y48" s="35">
        <f>IFERROR(VLOOKUP("13_"&amp;A48,SyS!$B:$P,12,FALSE()),0)</f>
      </c>
      <c r="Z48" s="36">
        <f>+X48-Y48</f>
      </c>
      <c r="AA48" s="34">
        <f>IFERROR(VLOOKUP("17_"&amp;A48,SyS!$B:$P,10,FALSE()),0)</f>
      </c>
      <c r="AB48" s="35">
        <f>IFERROR(VLOOKUP("17_"&amp;A48,SyS!$B:$P,12,FALSE()),0)</f>
      </c>
      <c r="AC48" s="36">
        <f>+AA48-AB48</f>
      </c>
      <c r="AD48" s="35"/>
      <c r="AE48" s="35"/>
      <c r="AF48" s="35"/>
      <c r="AG48" s="35">
        <f>IFERROR(VLOOKUP("19_"&amp;A48,SyS!$B:$P,10,FALSE()),0)</f>
      </c>
      <c r="AH48" s="35">
        <f>IFERROR(VLOOKUP("19_"&amp;A48,SyS!$B:$P,12,FALSE()),0)</f>
      </c>
      <c r="AI48" s="35">
        <f>+AG48-AH48</f>
      </c>
      <c r="AJ48" s="35"/>
      <c r="AK48" s="35"/>
      <c r="AL48" s="35"/>
      <c r="AM48" s="34">
        <f>IFERROR(VLOOKUP("23_"&amp;A48,SyS!$B:$P,10,FALSE()),0)</f>
      </c>
      <c r="AN48" s="35">
        <f>IFERROR(VLOOKUP("23_"&amp;A48,SyS!$B:$P,12,FALSE()),0)</f>
      </c>
      <c r="AO48" s="36">
        <f>+AM48-AN48</f>
      </c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>
        <f>IFERROR(VLOOKUP("29_"&amp;A48,SyS!$B:$P,10,FALSE()),0)</f>
      </c>
      <c r="BL48" s="40">
        <f>IFERROR(VLOOKUP("29_"&amp;A48,SyS!$B:$P,12,FALSE()),0)</f>
      </c>
      <c r="BM48" s="40">
        <f>+BK48-BL48</f>
      </c>
      <c r="BN48" s="42">
        <f>IFERROR(VLOOKUP("30_"&amp;A48,SyS!$B:$P,10,FALSE()),0)</f>
      </c>
      <c r="BO48" s="40">
        <f>IFERROR(VLOOKUP("30_"&amp;A48,SyS!$B:$P,12,FALSE()),0)</f>
      </c>
      <c r="BP48" s="43">
        <f>+BN48-BO48</f>
      </c>
      <c r="BQ48" s="44">
        <f>+E48+H48+K48+N48+Q48+T48+W48+Z48+AC48+AF48+AI48+AL48+AO48+AR48+AU48+AX48+BA48+BD48+BG48+BJ48+BM48+BP48</f>
        <v>5.7700000000000005</v>
      </c>
    </row>
    <row r="49" ht="11.25" customHeight="1" spans="1:69" x14ac:dyDescent="0.25">
      <c r="A49" s="41">
        <v>425240000</v>
      </c>
      <c r="B49" s="41" t="s">
        <v>86</v>
      </c>
      <c r="C49" s="34">
        <f>IFERROR(VLOOKUP("1_"&amp;A49,SyS!$B:$P,10,FALSE()),0)</f>
      </c>
      <c r="D49" s="35">
        <f>IFERROR(VLOOKUP("1_"&amp;A49,SyS!$B:$P,12,FALSE()),0)</f>
      </c>
      <c r="E49" s="35">
        <f>+C49-D49</f>
      </c>
      <c r="F49" s="34">
        <f>IFERROR(VLOOKUP("2_"&amp;A49,SyS!$B:$P,10,FALSE()),0)</f>
      </c>
      <c r="G49" s="35">
        <f>IFERROR(VLOOKUP("2_"&amp;A49,SyS!$B:$P,12,FALSE()),0)</f>
      </c>
      <c r="H49" s="36">
        <f>+F49-G49</f>
      </c>
      <c r="I49" s="35"/>
      <c r="J49" s="35"/>
      <c r="K49" s="35"/>
      <c r="L49" s="35"/>
      <c r="M49" s="35"/>
      <c r="N49" s="35"/>
      <c r="O49" s="34">
        <f>IFERROR(VLOOKUP("14_"&amp;A49,SyS!$B:$P,10,FALSE()),0)</f>
      </c>
      <c r="P49" s="35">
        <f>IFERROR(VLOOKUP("14_"&amp;A49,SyS!$B:$P,12,FALSE()),0)</f>
      </c>
      <c r="Q49" s="36">
        <f>+O49-P49</f>
      </c>
      <c r="R49" s="34">
        <f>IFERROR(VLOOKUP("15_"&amp;A49,SyS!$B:$P,10,FALSE()),0)</f>
      </c>
      <c r="S49" s="35">
        <f>IFERROR(VLOOKUP("15_"&amp;A49,SyS!$B:$P,12,FALSE()),0)</f>
      </c>
      <c r="T49" s="36">
        <f>+R49-S49</f>
      </c>
      <c r="U49" s="34">
        <f>IFERROR(VLOOKUP("16_"&amp;A49,SyS!$B:$P,10,FALSE()),0)</f>
      </c>
      <c r="V49" s="35">
        <f>IFERROR(VLOOKUP("16_"&amp;A49,SyS!$B:$P,12,FALSE()),0)</f>
      </c>
      <c r="W49" s="36">
        <f>+U49-V49</f>
      </c>
      <c r="X49" s="34">
        <f>IFERROR(VLOOKUP("13_"&amp;A49,SyS!$B:$P,10,FALSE()),0)</f>
      </c>
      <c r="Y49" s="35">
        <f>IFERROR(VLOOKUP("13_"&amp;A49,SyS!$B:$P,12,FALSE()),0)</f>
      </c>
      <c r="Z49" s="36">
        <f>+X49-Y49</f>
      </c>
      <c r="AA49" s="34">
        <f>IFERROR(VLOOKUP("17_"&amp;A49,SyS!$B:$P,10,FALSE()),0)</f>
      </c>
      <c r="AB49" s="35">
        <f>IFERROR(VLOOKUP("17_"&amp;A49,SyS!$B:$P,12,FALSE()),0)</f>
      </c>
      <c r="AC49" s="36">
        <f>+AA49-AB49</f>
      </c>
      <c r="AD49" s="35"/>
      <c r="AE49" s="35"/>
      <c r="AF49" s="35"/>
      <c r="AG49" s="35">
        <f>IFERROR(VLOOKUP("19_"&amp;A49,SyS!$B:$P,10,FALSE()),0)</f>
      </c>
      <c r="AH49" s="35">
        <f>IFERROR(VLOOKUP("19_"&amp;A49,SyS!$B:$P,12,FALSE()),0)</f>
      </c>
      <c r="AI49" s="35">
        <f>+AG49-AH49</f>
      </c>
      <c r="AJ49" s="35"/>
      <c r="AK49" s="35"/>
      <c r="AL49" s="35"/>
      <c r="AM49" s="34">
        <f>IFERROR(VLOOKUP("23_"&amp;A49,SyS!$B:$P,10,FALSE()),0)</f>
      </c>
      <c r="AN49" s="35">
        <f>IFERROR(VLOOKUP("23_"&amp;A49,SyS!$B:$P,12,FALSE()),0)</f>
      </c>
      <c r="AO49" s="36">
        <f>+AM49-AN49</f>
      </c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>
        <f>IFERROR(VLOOKUP("29_"&amp;A49,SyS!$B:$P,10,FALSE()),0)</f>
      </c>
      <c r="BL49" s="40">
        <f>IFERROR(VLOOKUP("29_"&amp;A49,SyS!$B:$P,12,FALSE()),0)</f>
      </c>
      <c r="BM49" s="40">
        <f>+BK49-BL49</f>
      </c>
      <c r="BN49" s="42">
        <f>IFERROR(VLOOKUP("30_"&amp;A49,SyS!$B:$P,10,FALSE()),0)</f>
      </c>
      <c r="BO49" s="40">
        <f>IFERROR(VLOOKUP("30_"&amp;A49,SyS!$B:$P,12,FALSE()),0)</f>
      </c>
      <c r="BP49" s="43">
        <f>+BN49-BO49</f>
      </c>
      <c r="BQ49" s="44">
        <f>+E49+H49+K49+N49+Q49+T49+W49+Z49+AC49+AF49+AI49+AL49+AO49+AR49+AU49+AX49+BA49+BD49+BG49+BJ49+BM49+BP49</f>
      </c>
    </row>
    <row r="50" ht="11.25" customHeight="1" spans="1:69" x14ac:dyDescent="0.25">
      <c r="A50" s="41">
        <v>425250000</v>
      </c>
      <c r="B50" s="41" t="s">
        <v>87</v>
      </c>
      <c r="C50" s="34">
        <f>IFERROR(VLOOKUP("1_"&amp;A50,SyS!$B:$P,10,FALSE()),0)</f>
        <v>3897.38</v>
      </c>
      <c r="D50" s="35">
        <f>IFERROR(VLOOKUP("1_"&amp;A50,SyS!$B:$P,12,FALSE()),0)</f>
      </c>
      <c r="E50" s="35">
        <f>+C50-D50</f>
        <v>3897.38</v>
      </c>
      <c r="F50" s="34">
        <f>IFERROR(VLOOKUP("2_"&amp;A50,SyS!$B:$P,10,FALSE()),0)</f>
      </c>
      <c r="G50" s="35">
        <f>IFERROR(VLOOKUP("2_"&amp;A50,SyS!$B:$P,12,FALSE()),0)</f>
      </c>
      <c r="H50" s="36">
        <f>+F50-G50</f>
      </c>
      <c r="I50" s="35"/>
      <c r="J50" s="35"/>
      <c r="K50" s="35"/>
      <c r="L50" s="35"/>
      <c r="M50" s="35"/>
      <c r="N50" s="35"/>
      <c r="O50" s="34">
        <f>IFERROR(VLOOKUP("14_"&amp;A50,SyS!$B:$P,10,FALSE()),0)</f>
      </c>
      <c r="P50" s="35">
        <f>IFERROR(VLOOKUP("14_"&amp;A50,SyS!$B:$P,12,FALSE()),0)</f>
      </c>
      <c r="Q50" s="36">
        <f>+O50-P50</f>
      </c>
      <c r="R50" s="34">
        <f>IFERROR(VLOOKUP("15_"&amp;A50,SyS!$B:$P,10,FALSE()),0)</f>
      </c>
      <c r="S50" s="35">
        <f>IFERROR(VLOOKUP("15_"&amp;A50,SyS!$B:$P,12,FALSE()),0)</f>
      </c>
      <c r="T50" s="36">
        <f>+R50-S50</f>
      </c>
      <c r="U50" s="34">
        <f>IFERROR(VLOOKUP("16_"&amp;A50,SyS!$B:$P,10,FALSE()),0)</f>
      </c>
      <c r="V50" s="35">
        <f>IFERROR(VLOOKUP("16_"&amp;A50,SyS!$B:$P,12,FALSE()),0)</f>
      </c>
      <c r="W50" s="36">
        <f>+U50-V50</f>
      </c>
      <c r="X50" s="34">
        <f>IFERROR(VLOOKUP("13_"&amp;A50,SyS!$B:$P,10,FALSE()),0)</f>
      </c>
      <c r="Y50" s="35">
        <f>IFERROR(VLOOKUP("13_"&amp;A50,SyS!$B:$P,12,FALSE()),0)</f>
      </c>
      <c r="Z50" s="36">
        <f>+X50-Y50</f>
      </c>
      <c r="AA50" s="34">
        <f>IFERROR(VLOOKUP("17_"&amp;A50,SyS!$B:$P,10,FALSE()),0)</f>
      </c>
      <c r="AB50" s="35">
        <f>IFERROR(VLOOKUP("17_"&amp;A50,SyS!$B:$P,12,FALSE()),0)</f>
      </c>
      <c r="AC50" s="36">
        <f>+AA50-AB50</f>
      </c>
      <c r="AD50" s="35"/>
      <c r="AE50" s="35"/>
      <c r="AF50" s="35"/>
      <c r="AG50" s="35">
        <f>IFERROR(VLOOKUP("19_"&amp;A50,SyS!$B:$P,10,FALSE()),0)</f>
      </c>
      <c r="AH50" s="35">
        <f>IFERROR(VLOOKUP("19_"&amp;A50,SyS!$B:$P,12,FALSE()),0)</f>
      </c>
      <c r="AI50" s="35">
        <f>+AG50-AH50</f>
      </c>
      <c r="AJ50" s="35"/>
      <c r="AK50" s="35"/>
      <c r="AL50" s="35"/>
      <c r="AM50" s="34">
        <f>IFERROR(VLOOKUP("23_"&amp;A50,SyS!$B:$P,10,FALSE()),0)</f>
      </c>
      <c r="AN50" s="35">
        <f>IFERROR(VLOOKUP("23_"&amp;A50,SyS!$B:$P,12,FALSE()),0)</f>
      </c>
      <c r="AO50" s="36">
        <f>+AM50-AN50</f>
      </c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>
        <f>IFERROR(VLOOKUP("29_"&amp;A50,SyS!$B:$P,10,FALSE()),0)</f>
      </c>
      <c r="BL50" s="40">
        <f>IFERROR(VLOOKUP("29_"&amp;A50,SyS!$B:$P,12,FALSE()),0)</f>
      </c>
      <c r="BM50" s="40">
        <f>+BK50-BL50</f>
      </c>
      <c r="BN50" s="42">
        <f>IFERROR(VLOOKUP("30_"&amp;A50,SyS!$B:$P,10,FALSE()),0)</f>
      </c>
      <c r="BO50" s="40">
        <f>IFERROR(VLOOKUP("30_"&amp;A50,SyS!$B:$P,12,FALSE()),0)</f>
      </c>
      <c r="BP50" s="43">
        <f>+BN50-BO50</f>
      </c>
      <c r="BQ50" s="44">
        <f>+E50+H50+K50+N50+Q50+T50+W50+Z50+AC50+AF50+AI50+AL50+AO50+AR50+AU50+AX50+BA50+BD50+BG50+BJ50+BM50+BP50</f>
        <v>3897.38</v>
      </c>
    </row>
    <row r="51" ht="11.25" customHeight="1" spans="1:69" x14ac:dyDescent="0.25">
      <c r="A51" s="41">
        <v>425300000</v>
      </c>
      <c r="B51" s="41" t="s">
        <v>88</v>
      </c>
      <c r="C51" s="34">
        <f>IFERROR(VLOOKUP("1_"&amp;A51,SyS!$B:$P,10,FALSE()),0)</f>
      </c>
      <c r="D51" s="35">
        <f>IFERROR(VLOOKUP("1_"&amp;A51,SyS!$B:$P,12,FALSE()),0)</f>
      </c>
      <c r="E51" s="35">
        <f>+C51-D51</f>
      </c>
      <c r="F51" s="34">
        <f>IFERROR(VLOOKUP("2_"&amp;A51,SyS!$B:$P,10,FALSE()),0)</f>
        <v>164.05</v>
      </c>
      <c r="G51" s="35">
        <f>IFERROR(VLOOKUP("2_"&amp;A51,SyS!$B:$P,12,FALSE()),0)</f>
      </c>
      <c r="H51" s="36">
        <f>+F51-G51</f>
        <v>164.05</v>
      </c>
      <c r="I51" s="35"/>
      <c r="J51" s="35"/>
      <c r="K51" s="35"/>
      <c r="L51" s="35"/>
      <c r="M51" s="35"/>
      <c r="N51" s="35"/>
      <c r="O51" s="34">
        <f>IFERROR(VLOOKUP("14_"&amp;A51,SyS!$B:$P,10,FALSE()),0)</f>
      </c>
      <c r="P51" s="35">
        <f>IFERROR(VLOOKUP("14_"&amp;A51,SyS!$B:$P,12,FALSE()),0)</f>
      </c>
      <c r="Q51" s="36">
        <f>+O51-P51</f>
      </c>
      <c r="R51" s="34">
        <f>IFERROR(VLOOKUP("15_"&amp;A51,SyS!$B:$P,10,FALSE()),0)</f>
      </c>
      <c r="S51" s="35">
        <f>IFERROR(VLOOKUP("15_"&amp;A51,SyS!$B:$P,12,FALSE()),0)</f>
      </c>
      <c r="T51" s="36">
        <f>+R51-S51</f>
      </c>
      <c r="U51" s="34">
        <f>IFERROR(VLOOKUP("16_"&amp;A51,SyS!$B:$P,10,FALSE()),0)</f>
      </c>
      <c r="V51" s="35">
        <f>IFERROR(VLOOKUP("16_"&amp;A51,SyS!$B:$P,12,FALSE()),0)</f>
      </c>
      <c r="W51" s="36">
        <f>+U51-V51</f>
      </c>
      <c r="X51" s="34">
        <f>IFERROR(VLOOKUP("13_"&amp;A51,SyS!$B:$P,10,FALSE()),0)</f>
      </c>
      <c r="Y51" s="35">
        <f>IFERROR(VLOOKUP("13_"&amp;A51,SyS!$B:$P,12,FALSE()),0)</f>
      </c>
      <c r="Z51" s="36">
        <f>+X51-Y51</f>
      </c>
      <c r="AA51" s="34">
        <f>IFERROR(VLOOKUP("17_"&amp;A51,SyS!$B:$P,10,FALSE()),0)</f>
      </c>
      <c r="AB51" s="35">
        <f>IFERROR(VLOOKUP("17_"&amp;A51,SyS!$B:$P,12,FALSE()),0)</f>
      </c>
      <c r="AC51" s="36">
        <f>+AA51-AB51</f>
      </c>
      <c r="AD51" s="35"/>
      <c r="AE51" s="35"/>
      <c r="AF51" s="35"/>
      <c r="AG51" s="35">
        <f>IFERROR(VLOOKUP("19_"&amp;A51,SyS!$B:$P,10,FALSE()),0)</f>
      </c>
      <c r="AH51" s="35">
        <f>IFERROR(VLOOKUP("19_"&amp;A51,SyS!$B:$P,12,FALSE()),0)</f>
      </c>
      <c r="AI51" s="35">
        <f>+AG51-AH51</f>
      </c>
      <c r="AJ51" s="35"/>
      <c r="AK51" s="35"/>
      <c r="AL51" s="35"/>
      <c r="AM51" s="34">
        <f>IFERROR(VLOOKUP("23_"&amp;A51,SyS!$B:$P,10,FALSE()),0)</f>
        <v>103.13</v>
      </c>
      <c r="AN51" s="35">
        <f>IFERROR(VLOOKUP("23_"&amp;A51,SyS!$B:$P,12,FALSE()),0)</f>
      </c>
      <c r="AO51" s="36">
        <f>+AM51-AN51</f>
        <v>103.13</v>
      </c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>
        <f>IFERROR(VLOOKUP("29_"&amp;A51,SyS!$B:$P,10,FALSE()),0)</f>
      </c>
      <c r="BL51" s="40">
        <f>IFERROR(VLOOKUP("29_"&amp;A51,SyS!$B:$P,12,FALSE()),0)</f>
      </c>
      <c r="BM51" s="40">
        <f>+BK51-BL51</f>
      </c>
      <c r="BN51" s="42">
        <f>IFERROR(VLOOKUP("30_"&amp;A51,SyS!$B:$P,10,FALSE()),0)</f>
      </c>
      <c r="BO51" s="40">
        <f>IFERROR(VLOOKUP("30_"&amp;A51,SyS!$B:$P,12,FALSE()),0)</f>
      </c>
      <c r="BP51" s="43">
        <f>+BN51-BO51</f>
      </c>
      <c r="BQ51" s="44">
        <f>+E51+H51+K51+N51+Q51+T51+W51+Z51+AC51+AF51+AI51+AL51+AO51+AR51+AU51+AX51+BA51+BD51+BG51+BJ51+BM51+BP51</f>
        <v>267.18</v>
      </c>
    </row>
    <row r="52" ht="11.25" customHeight="1" spans="1:69" x14ac:dyDescent="0.25">
      <c r="A52" s="41">
        <v>433080000</v>
      </c>
      <c r="B52" s="41" t="s">
        <v>89</v>
      </c>
      <c r="C52" s="34">
        <f>IFERROR(VLOOKUP("1_"&amp;A52,SyS!$B:$P,10,FALSE()),0)</f>
      </c>
      <c r="D52" s="35">
        <f>IFERROR(VLOOKUP("1_"&amp;A52,SyS!$B:$P,12,FALSE()),0)</f>
      </c>
      <c r="E52" s="35">
        <f>+C52-D52</f>
      </c>
      <c r="F52" s="34">
        <f>IFERROR(VLOOKUP("2_"&amp;A52,SyS!$B:$P,10,FALSE()),0)</f>
      </c>
      <c r="G52" s="35">
        <f>IFERROR(VLOOKUP("2_"&amp;A52,SyS!$B:$P,12,FALSE()),0)</f>
      </c>
      <c r="H52" s="36">
        <f>+F52-G52</f>
      </c>
      <c r="I52" s="35"/>
      <c r="J52" s="35"/>
      <c r="K52" s="35"/>
      <c r="L52" s="35"/>
      <c r="M52" s="35"/>
      <c r="N52" s="35"/>
      <c r="O52" s="34">
        <f>IFERROR(VLOOKUP("14_"&amp;A52,SyS!$B:$P,10,FALSE()),0)</f>
      </c>
      <c r="P52" s="35">
        <f>IFERROR(VLOOKUP("14_"&amp;A52,SyS!$B:$P,12,FALSE()),0)</f>
      </c>
      <c r="Q52" s="36">
        <f>+O52-P52</f>
      </c>
      <c r="R52" s="34">
        <f>IFERROR(VLOOKUP("15_"&amp;A52,SyS!$B:$P,10,FALSE()),0)</f>
      </c>
      <c r="S52" s="35">
        <f>IFERROR(VLOOKUP("15_"&amp;A52,SyS!$B:$P,12,FALSE()),0)</f>
      </c>
      <c r="T52" s="36">
        <f>+R52-S52</f>
      </c>
      <c r="U52" s="34">
        <f>IFERROR(VLOOKUP("16_"&amp;A52,SyS!$B:$P,10,FALSE()),0)</f>
      </c>
      <c r="V52" s="35">
        <f>IFERROR(VLOOKUP("16_"&amp;A52,SyS!$B:$P,12,FALSE()),0)</f>
      </c>
      <c r="W52" s="36">
        <f>+U52-V52</f>
      </c>
      <c r="X52" s="34">
        <f>IFERROR(VLOOKUP("13_"&amp;A52,SyS!$B:$P,10,FALSE()),0)</f>
      </c>
      <c r="Y52" s="35">
        <f>IFERROR(VLOOKUP("13_"&amp;A52,SyS!$B:$P,12,FALSE()),0)</f>
      </c>
      <c r="Z52" s="36">
        <f>+X52-Y52</f>
      </c>
      <c r="AA52" s="34">
        <f>IFERROR(VLOOKUP("17_"&amp;A52,SyS!$B:$P,10,FALSE()),0)</f>
      </c>
      <c r="AB52" s="35">
        <f>IFERROR(VLOOKUP("17_"&amp;A52,SyS!$B:$P,12,FALSE()),0)</f>
      </c>
      <c r="AC52" s="36">
        <f>+AA52-AB52</f>
      </c>
      <c r="AD52" s="35"/>
      <c r="AE52" s="35"/>
      <c r="AF52" s="35"/>
      <c r="AG52" s="35">
        <f>IFERROR(VLOOKUP("19_"&amp;A52,SyS!$B:$P,10,FALSE()),0)</f>
      </c>
      <c r="AH52" s="35">
        <f>IFERROR(VLOOKUP("19_"&amp;A52,SyS!$B:$P,12,FALSE()),0)</f>
      </c>
      <c r="AI52" s="35">
        <f>+AG52-AH52</f>
      </c>
      <c r="AJ52" s="35"/>
      <c r="AK52" s="35"/>
      <c r="AL52" s="35"/>
      <c r="AM52" s="34">
        <f>IFERROR(VLOOKUP("23_"&amp;A52,SyS!$B:$P,10,FALSE()),0)</f>
      </c>
      <c r="AN52" s="35">
        <f>IFERROR(VLOOKUP("23_"&amp;A52,SyS!$B:$P,12,FALSE()),0)</f>
      </c>
      <c r="AO52" s="36">
        <f>+AM52-AN52</f>
      </c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>
        <f>IFERROR(VLOOKUP("29_"&amp;A52,SyS!$B:$P,10,FALSE()),0)</f>
      </c>
      <c r="BL52" s="40">
        <f>IFERROR(VLOOKUP("29_"&amp;A52,SyS!$B:$P,12,FALSE()),0)</f>
      </c>
      <c r="BM52" s="40">
        <f>+BK52-BL52</f>
      </c>
      <c r="BN52" s="42">
        <f>IFERROR(VLOOKUP("30_"&amp;A52,SyS!$B:$P,10,FALSE()),0)</f>
      </c>
      <c r="BO52" s="40">
        <f>IFERROR(VLOOKUP("30_"&amp;A52,SyS!$B:$P,12,FALSE()),0)</f>
      </c>
      <c r="BP52" s="43">
        <f>+BN52-BO52</f>
      </c>
      <c r="BQ52" s="44">
        <f>+E52+H52+K52+N52+Q52+T52+W52+Z52+AC52+AF52+AI52+AL52+AO52+AR52+AU52+AX52+BA52+BD52+BG52+BJ52+BM52+BP52</f>
      </c>
    </row>
    <row r="53" ht="11.25" customHeight="1" spans="1:69" x14ac:dyDescent="0.25">
      <c r="A53" s="41">
        <v>425400000</v>
      </c>
      <c r="B53" s="41" t="s">
        <v>90</v>
      </c>
      <c r="C53" s="34">
        <f>IFERROR(VLOOKUP("1_"&amp;A53,SyS!$B:$P,10,FALSE()),0)</f>
      </c>
      <c r="D53" s="35">
        <f>IFERROR(VLOOKUP("1_"&amp;A53,SyS!$B:$P,12,FALSE()),0)</f>
      </c>
      <c r="E53" s="35">
        <f>+C53-D53</f>
      </c>
      <c r="F53" s="34">
        <f>IFERROR(VLOOKUP("2_"&amp;A53,SyS!$B:$P,10,FALSE()),0)</f>
      </c>
      <c r="G53" s="35">
        <f>IFERROR(VLOOKUP("2_"&amp;A53,SyS!$B:$P,12,FALSE()),0)</f>
      </c>
      <c r="H53" s="36">
        <f>+F53-G53</f>
      </c>
      <c r="I53" s="35"/>
      <c r="J53" s="35"/>
      <c r="K53" s="35"/>
      <c r="L53" s="35"/>
      <c r="M53" s="35"/>
      <c r="N53" s="35"/>
      <c r="O53" s="34">
        <f>IFERROR(VLOOKUP("14_"&amp;A53,SyS!$B:$P,10,FALSE()),0)</f>
      </c>
      <c r="P53" s="35">
        <f>IFERROR(VLOOKUP("14_"&amp;A53,SyS!$B:$P,12,FALSE()),0)</f>
      </c>
      <c r="Q53" s="36">
        <f>+O53-P53</f>
      </c>
      <c r="R53" s="34">
        <f>IFERROR(VLOOKUP("15_"&amp;A53,SyS!$B:$P,10,FALSE()),0)</f>
      </c>
      <c r="S53" s="35">
        <f>IFERROR(VLOOKUP("15_"&amp;A53,SyS!$B:$P,12,FALSE()),0)</f>
      </c>
      <c r="T53" s="36">
        <f>+R53-S53</f>
      </c>
      <c r="U53" s="34">
        <f>IFERROR(VLOOKUP("16_"&amp;A53,SyS!$B:$P,10,FALSE()),0)</f>
      </c>
      <c r="V53" s="35">
        <f>IFERROR(VLOOKUP("16_"&amp;A53,SyS!$B:$P,12,FALSE()),0)</f>
      </c>
      <c r="W53" s="36">
        <f>+U53-V53</f>
      </c>
      <c r="X53" s="34">
        <f>IFERROR(VLOOKUP("13_"&amp;A53,SyS!$B:$P,10,FALSE()),0)</f>
      </c>
      <c r="Y53" s="35">
        <f>IFERROR(VLOOKUP("13_"&amp;A53,SyS!$B:$P,12,FALSE()),0)</f>
      </c>
      <c r="Z53" s="36">
        <f>+X53-Y53</f>
      </c>
      <c r="AA53" s="34">
        <f>IFERROR(VLOOKUP("17_"&amp;A53,SyS!$B:$P,10,FALSE()),0)</f>
      </c>
      <c r="AB53" s="35">
        <f>IFERROR(VLOOKUP("17_"&amp;A53,SyS!$B:$P,12,FALSE()),0)</f>
      </c>
      <c r="AC53" s="36">
        <f>+AA53-AB53</f>
      </c>
      <c r="AD53" s="35"/>
      <c r="AE53" s="35"/>
      <c r="AF53" s="35"/>
      <c r="AG53" s="35">
        <f>IFERROR(VLOOKUP("19_"&amp;A53,SyS!$B:$P,10,FALSE()),0)</f>
      </c>
      <c r="AH53" s="35">
        <f>IFERROR(VLOOKUP("19_"&amp;A53,SyS!$B:$P,12,FALSE()),0)</f>
      </c>
      <c r="AI53" s="35">
        <f>+AG53-AH53</f>
      </c>
      <c r="AJ53" s="35"/>
      <c r="AK53" s="35"/>
      <c r="AL53" s="35"/>
      <c r="AM53" s="34">
        <f>IFERROR(VLOOKUP("23_"&amp;A53,SyS!$B:$P,10,FALSE()),0)</f>
      </c>
      <c r="AN53" s="35">
        <f>IFERROR(VLOOKUP("23_"&amp;A53,SyS!$B:$P,12,FALSE()),0)</f>
      </c>
      <c r="AO53" s="36">
        <f>+AM53-AN53</f>
      </c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>
        <f>IFERROR(VLOOKUP("29_"&amp;A53,SyS!$B:$P,10,FALSE()),0)</f>
      </c>
      <c r="BL53" s="40">
        <f>IFERROR(VLOOKUP("29_"&amp;A53,SyS!$B:$P,12,FALSE()),0)</f>
      </c>
      <c r="BM53" s="40">
        <f>+BK53-BL53</f>
      </c>
      <c r="BN53" s="42">
        <f>IFERROR(VLOOKUP("30_"&amp;A53,SyS!$B:$P,10,FALSE()),0)</f>
      </c>
      <c r="BO53" s="40">
        <f>IFERROR(VLOOKUP("30_"&amp;A53,SyS!$B:$P,12,FALSE()),0)</f>
      </c>
      <c r="BP53" s="43">
        <f>+BN53-BO53</f>
      </c>
      <c r="BQ53" s="44">
        <f>+E53+H53+K53+N53+Q53+T53+W53+Z53+AC53+AF53+AI53+AL53+AO53+AR53+AU53+AX53+BA53+BD53+BG53+BJ53+BM53+BP53</f>
      </c>
    </row>
    <row r="54" ht="11.25" customHeight="1" spans="1:69" x14ac:dyDescent="0.25">
      <c r="A54" s="41">
        <v>425500000</v>
      </c>
      <c r="B54" s="41" t="s">
        <v>91</v>
      </c>
      <c r="C54" s="34">
        <f>IFERROR(VLOOKUP("1_"&amp;A54,SyS!$B:$P,10,FALSE()),0)</f>
      </c>
      <c r="D54" s="35">
        <f>IFERROR(VLOOKUP("1_"&amp;A54,SyS!$B:$P,12,FALSE()),0)</f>
      </c>
      <c r="E54" s="35">
        <f>+C54-D54</f>
      </c>
      <c r="F54" s="34">
        <f>IFERROR(VLOOKUP("2_"&amp;A54,SyS!$B:$P,10,FALSE()),0)</f>
        <v>141.81</v>
      </c>
      <c r="G54" s="35">
        <f>IFERROR(VLOOKUP("2_"&amp;A54,SyS!$B:$P,12,FALSE()),0)</f>
      </c>
      <c r="H54" s="36">
        <f>+F54-G54</f>
        <v>141.81</v>
      </c>
      <c r="I54" s="35"/>
      <c r="J54" s="35"/>
      <c r="K54" s="35"/>
      <c r="L54" s="35"/>
      <c r="M54" s="35"/>
      <c r="N54" s="35"/>
      <c r="O54" s="34">
        <f>IFERROR(VLOOKUP("14_"&amp;A54,SyS!$B:$P,10,FALSE()),0)</f>
      </c>
      <c r="P54" s="35">
        <f>IFERROR(VLOOKUP("14_"&amp;A54,SyS!$B:$P,12,FALSE()),0)</f>
      </c>
      <c r="Q54" s="36">
        <f>+O54-P54</f>
      </c>
      <c r="R54" s="34">
        <f>IFERROR(VLOOKUP("15_"&amp;A54,SyS!$B:$P,10,FALSE()),0)</f>
      </c>
      <c r="S54" s="35">
        <f>IFERROR(VLOOKUP("15_"&amp;A54,SyS!$B:$P,12,FALSE()),0)</f>
      </c>
      <c r="T54" s="36">
        <f>+R54-S54</f>
      </c>
      <c r="U54" s="34">
        <f>IFERROR(VLOOKUP("16_"&amp;A54,SyS!$B:$P,10,FALSE()),0)</f>
      </c>
      <c r="V54" s="35">
        <f>IFERROR(VLOOKUP("16_"&amp;A54,SyS!$B:$P,12,FALSE()),0)</f>
      </c>
      <c r="W54" s="36">
        <f>+U54-V54</f>
      </c>
      <c r="X54" s="34">
        <f>IFERROR(VLOOKUP("13_"&amp;A54,SyS!$B:$P,10,FALSE()),0)</f>
      </c>
      <c r="Y54" s="35">
        <f>IFERROR(VLOOKUP("13_"&amp;A54,SyS!$B:$P,12,FALSE()),0)</f>
      </c>
      <c r="Z54" s="36">
        <f>+X54-Y54</f>
      </c>
      <c r="AA54" s="34">
        <f>IFERROR(VLOOKUP("17_"&amp;A54,SyS!$B:$P,10,FALSE()),0)</f>
      </c>
      <c r="AB54" s="35">
        <f>IFERROR(VLOOKUP("17_"&amp;A54,SyS!$B:$P,12,FALSE()),0)</f>
      </c>
      <c r="AC54" s="36">
        <f>+AA54-AB54</f>
      </c>
      <c r="AD54" s="35"/>
      <c r="AE54" s="35"/>
      <c r="AF54" s="35"/>
      <c r="AG54" s="35">
        <f>IFERROR(VLOOKUP("19_"&amp;A54,SyS!$B:$P,10,FALSE()),0)</f>
      </c>
      <c r="AH54" s="35">
        <f>IFERROR(VLOOKUP("19_"&amp;A54,SyS!$B:$P,12,FALSE()),0)</f>
      </c>
      <c r="AI54" s="35">
        <f>+AG54-AH54</f>
      </c>
      <c r="AJ54" s="35"/>
      <c r="AK54" s="35"/>
      <c r="AL54" s="35"/>
      <c r="AM54" s="34">
        <f>IFERROR(VLOOKUP("23_"&amp;A54,SyS!$B:$P,10,FALSE()),0)</f>
      </c>
      <c r="AN54" s="35">
        <f>IFERROR(VLOOKUP("23_"&amp;A54,SyS!$B:$P,12,FALSE()),0)</f>
      </c>
      <c r="AO54" s="36">
        <f>+AM54-AN54</f>
      </c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>
        <f>IFERROR(VLOOKUP("29_"&amp;A54,SyS!$B:$P,10,FALSE()),0)</f>
      </c>
      <c r="BL54" s="40">
        <f>IFERROR(VLOOKUP("29_"&amp;A54,SyS!$B:$P,12,FALSE()),0)</f>
      </c>
      <c r="BM54" s="40">
        <f>+BK54-BL54</f>
      </c>
      <c r="BN54" s="42">
        <f>IFERROR(VLOOKUP("30_"&amp;A54,SyS!$B:$P,10,FALSE()),0)</f>
      </c>
      <c r="BO54" s="40">
        <f>IFERROR(VLOOKUP("30_"&amp;A54,SyS!$B:$P,12,FALSE()),0)</f>
      </c>
      <c r="BP54" s="43">
        <f>+BN54-BO54</f>
      </c>
      <c r="BQ54" s="44">
        <f>+E54+H54+K54+N54+Q54+T54+W54+Z54+AC54+AF54+AI54+AL54+AO54+AR54+AU54+AX54+BA54+BD54+BG54+BJ54+BM54+BP54</f>
        <v>141.81</v>
      </c>
    </row>
    <row r="55" ht="11.25" customHeight="1" spans="1:69" x14ac:dyDescent="0.25">
      <c r="A55" s="41">
        <v>425600000</v>
      </c>
      <c r="B55" s="41" t="s">
        <v>92</v>
      </c>
      <c r="C55" s="34">
        <f>IFERROR(VLOOKUP("1_"&amp;A55,SyS!$B:$P,10,FALSE()),0)</f>
      </c>
      <c r="D55" s="35">
        <f>IFERROR(VLOOKUP("1_"&amp;A55,SyS!$B:$P,12,FALSE()),0)</f>
      </c>
      <c r="E55" s="35">
        <f>+C55-D55</f>
      </c>
      <c r="F55" s="34">
        <f>IFERROR(VLOOKUP("2_"&amp;A55,SyS!$B:$P,10,FALSE()),0)</f>
      </c>
      <c r="G55" s="35">
        <f>IFERROR(VLOOKUP("2_"&amp;A55,SyS!$B:$P,12,FALSE()),0)</f>
      </c>
      <c r="H55" s="36">
        <f>+F55-G55</f>
      </c>
      <c r="I55" s="35"/>
      <c r="J55" s="35"/>
      <c r="K55" s="35"/>
      <c r="L55" s="35"/>
      <c r="M55" s="35"/>
      <c r="N55" s="35"/>
      <c r="O55" s="34">
        <f>IFERROR(VLOOKUP("14_"&amp;A55,SyS!$B:$P,10,FALSE()),0)</f>
      </c>
      <c r="P55" s="35">
        <f>IFERROR(VLOOKUP("14_"&amp;A55,SyS!$B:$P,12,FALSE()),0)</f>
      </c>
      <c r="Q55" s="36">
        <f>+O55-P55</f>
      </c>
      <c r="R55" s="34">
        <f>IFERROR(VLOOKUP("15_"&amp;A55,SyS!$B:$P,10,FALSE()),0)</f>
      </c>
      <c r="S55" s="35">
        <f>IFERROR(VLOOKUP("15_"&amp;A55,SyS!$B:$P,12,FALSE()),0)</f>
      </c>
      <c r="T55" s="36">
        <f>+R55-S55</f>
      </c>
      <c r="U55" s="34">
        <f>IFERROR(VLOOKUP("16_"&amp;A55,SyS!$B:$P,10,FALSE()),0)</f>
      </c>
      <c r="V55" s="35">
        <f>IFERROR(VLOOKUP("16_"&amp;A55,SyS!$B:$P,12,FALSE()),0)</f>
      </c>
      <c r="W55" s="36">
        <f>+U55-V55</f>
      </c>
      <c r="X55" s="34">
        <f>IFERROR(VLOOKUP("13_"&amp;A55,SyS!$B:$P,10,FALSE()),0)</f>
      </c>
      <c r="Y55" s="35">
        <f>IFERROR(VLOOKUP("13_"&amp;A55,SyS!$B:$P,12,FALSE()),0)</f>
      </c>
      <c r="Z55" s="36">
        <f>+X55-Y55</f>
      </c>
      <c r="AA55" s="34">
        <f>IFERROR(VLOOKUP("17_"&amp;A55,SyS!$B:$P,10,FALSE()),0)</f>
      </c>
      <c r="AB55" s="35">
        <f>IFERROR(VLOOKUP("17_"&amp;A55,SyS!$B:$P,12,FALSE()),0)</f>
      </c>
      <c r="AC55" s="36">
        <f>+AA55-AB55</f>
      </c>
      <c r="AD55" s="35"/>
      <c r="AE55" s="35"/>
      <c r="AF55" s="35"/>
      <c r="AG55" s="35">
        <f>IFERROR(VLOOKUP("19_"&amp;A55,SyS!$B:$P,10,FALSE()),0)</f>
      </c>
      <c r="AH55" s="35">
        <f>IFERROR(VLOOKUP("19_"&amp;A55,SyS!$B:$P,12,FALSE()),0)</f>
      </c>
      <c r="AI55" s="35">
        <f>+AG55-AH55</f>
      </c>
      <c r="AJ55" s="35"/>
      <c r="AK55" s="35"/>
      <c r="AL55" s="35"/>
      <c r="AM55" s="34">
        <f>IFERROR(VLOOKUP("23_"&amp;A55,SyS!$B:$P,10,FALSE()),0)</f>
      </c>
      <c r="AN55" s="35">
        <f>IFERROR(VLOOKUP("23_"&amp;A55,SyS!$B:$P,12,FALSE()),0)</f>
      </c>
      <c r="AO55" s="36">
        <f>+AM55-AN55</f>
      </c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>
        <f>IFERROR(VLOOKUP("29_"&amp;A55,SyS!$B:$P,10,FALSE()),0)</f>
      </c>
      <c r="BL55" s="40">
        <f>IFERROR(VLOOKUP("29_"&amp;A55,SyS!$B:$P,12,FALSE()),0)</f>
      </c>
      <c r="BM55" s="40">
        <f>+BK55-BL55</f>
      </c>
      <c r="BN55" s="42">
        <f>IFERROR(VLOOKUP("30_"&amp;A55,SyS!$B:$P,10,FALSE()),0)</f>
      </c>
      <c r="BO55" s="40">
        <f>IFERROR(VLOOKUP("30_"&amp;A55,SyS!$B:$P,12,FALSE()),0)</f>
      </c>
      <c r="BP55" s="43">
        <f>+BN55-BO55</f>
      </c>
      <c r="BQ55" s="44">
        <f>+E55+H55+K55+N55+Q55+T55+W55+Z55+AC55+AF55+AI55+AL55+AO55+AR55+AU55+AX55+BA55+BD55+BG55+BJ55+BM55+BP55</f>
      </c>
    </row>
    <row r="56" ht="11.25" customHeight="1" spans="1:69" x14ac:dyDescent="0.25">
      <c r="A56" s="41">
        <v>425820000</v>
      </c>
      <c r="B56" s="41" t="s">
        <v>93</v>
      </c>
      <c r="C56" s="34">
        <f>IFERROR(VLOOKUP("1_"&amp;A56,SyS!$B:$P,10,FALSE()),0)</f>
      </c>
      <c r="D56" s="35">
        <f>IFERROR(VLOOKUP("1_"&amp;A56,SyS!$B:$P,12,FALSE()),0)</f>
      </c>
      <c r="E56" s="35">
        <f>+C56-D56</f>
      </c>
      <c r="F56" s="34">
        <f>IFERROR(VLOOKUP("2_"&amp;A56,SyS!$B:$P,10,FALSE()),0)</f>
      </c>
      <c r="G56" s="35">
        <f>IFERROR(VLOOKUP("2_"&amp;A56,SyS!$B:$P,12,FALSE()),0)</f>
      </c>
      <c r="H56" s="36">
        <f>+F56-G56</f>
      </c>
      <c r="I56" s="35"/>
      <c r="J56" s="35"/>
      <c r="K56" s="35"/>
      <c r="L56" s="35"/>
      <c r="M56" s="35"/>
      <c r="N56" s="35"/>
      <c r="O56" s="34">
        <f>IFERROR(VLOOKUP("14_"&amp;A56,SyS!$B:$P,10,FALSE()),0)</f>
      </c>
      <c r="P56" s="35">
        <f>IFERROR(VLOOKUP("14_"&amp;A56,SyS!$B:$P,12,FALSE()),0)</f>
      </c>
      <c r="Q56" s="36">
        <f>+O56-P56</f>
      </c>
      <c r="R56" s="34">
        <f>IFERROR(VLOOKUP("15_"&amp;A56,SyS!$B:$P,10,FALSE()),0)</f>
      </c>
      <c r="S56" s="35">
        <f>IFERROR(VLOOKUP("15_"&amp;A56,SyS!$B:$P,12,FALSE()),0)</f>
      </c>
      <c r="T56" s="36">
        <f>+R56-S56</f>
      </c>
      <c r="U56" s="34">
        <f>IFERROR(VLOOKUP("16_"&amp;A56,SyS!$B:$P,10,FALSE()),0)</f>
      </c>
      <c r="V56" s="35">
        <f>IFERROR(VLOOKUP("16_"&amp;A56,SyS!$B:$P,12,FALSE()),0)</f>
      </c>
      <c r="W56" s="36">
        <f>+U56-V56</f>
      </c>
      <c r="X56" s="34">
        <f>IFERROR(VLOOKUP("13_"&amp;A56,SyS!$B:$P,10,FALSE()),0)</f>
      </c>
      <c r="Y56" s="35">
        <f>IFERROR(VLOOKUP("13_"&amp;A56,SyS!$B:$P,12,FALSE()),0)</f>
      </c>
      <c r="Z56" s="36">
        <f>+X56-Y56</f>
      </c>
      <c r="AA56" s="34">
        <f>IFERROR(VLOOKUP("17_"&amp;A56,SyS!$B:$P,10,FALSE()),0)</f>
      </c>
      <c r="AB56" s="35">
        <f>IFERROR(VLOOKUP("17_"&amp;A56,SyS!$B:$P,12,FALSE()),0)</f>
      </c>
      <c r="AC56" s="36">
        <f>+AA56-AB56</f>
      </c>
      <c r="AD56" s="35"/>
      <c r="AE56" s="35"/>
      <c r="AF56" s="35"/>
      <c r="AG56" s="35">
        <f>IFERROR(VLOOKUP("19_"&amp;A56,SyS!$B:$P,10,FALSE()),0)</f>
      </c>
      <c r="AH56" s="35">
        <f>IFERROR(VLOOKUP("19_"&amp;A56,SyS!$B:$P,12,FALSE()),0)</f>
      </c>
      <c r="AI56" s="35">
        <f>+AG56-AH56</f>
      </c>
      <c r="AJ56" s="35"/>
      <c r="AK56" s="35"/>
      <c r="AL56" s="35"/>
      <c r="AM56" s="34">
        <f>IFERROR(VLOOKUP("23_"&amp;A56,SyS!$B:$P,10,FALSE()),0)</f>
      </c>
      <c r="AN56" s="35">
        <f>IFERROR(VLOOKUP("23_"&amp;A56,SyS!$B:$P,12,FALSE()),0)</f>
      </c>
      <c r="AO56" s="36">
        <f>+AM56-AN56</f>
      </c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>
        <f>IFERROR(VLOOKUP("29_"&amp;A56,SyS!$B:$P,10,FALSE()),0)</f>
      </c>
      <c r="BL56" s="40">
        <f>IFERROR(VLOOKUP("29_"&amp;A56,SyS!$B:$P,12,FALSE()),0)</f>
      </c>
      <c r="BM56" s="40">
        <f>+BK56-BL56</f>
      </c>
      <c r="BN56" s="42">
        <f>IFERROR(VLOOKUP("30_"&amp;A56,SyS!$B:$P,10,FALSE()),0)</f>
      </c>
      <c r="BO56" s="40">
        <f>IFERROR(VLOOKUP("30_"&amp;A56,SyS!$B:$P,12,FALSE()),0)</f>
      </c>
      <c r="BP56" s="43">
        <f>+BN56-BO56</f>
      </c>
      <c r="BQ56" s="44">
        <f>+E56+H56+K56+N56+Q56+T56+W56+Z56+AC56+AF56+AI56+AL56+AO56+AR56+AU56+AX56+BA56+BD56+BG56+BJ56+BM56+BP56</f>
      </c>
    </row>
    <row r="57" ht="11.25" customHeight="1" spans="1:69" x14ac:dyDescent="0.25">
      <c r="A57" s="41">
        <v>425840000</v>
      </c>
      <c r="B57" s="41" t="s">
        <v>94</v>
      </c>
      <c r="C57" s="34">
        <f>IFERROR(VLOOKUP("1_"&amp;A57,SyS!$B:$P,10,FALSE()),0)</f>
      </c>
      <c r="D57" s="35">
        <f>IFERROR(VLOOKUP("1_"&amp;A57,SyS!$B:$P,12,FALSE()),0)</f>
      </c>
      <c r="E57" s="35">
        <f>+C57-D57</f>
      </c>
      <c r="F57" s="34">
        <f>IFERROR(VLOOKUP("2_"&amp;A57,SyS!$B:$P,10,FALSE()),0)</f>
      </c>
      <c r="G57" s="35">
        <f>IFERROR(VLOOKUP("2_"&amp;A57,SyS!$B:$P,12,FALSE()),0)</f>
      </c>
      <c r="H57" s="36">
        <f>+F57-G57</f>
      </c>
      <c r="I57" s="35"/>
      <c r="J57" s="35"/>
      <c r="K57" s="35"/>
      <c r="L57" s="35"/>
      <c r="M57" s="35"/>
      <c r="N57" s="35"/>
      <c r="O57" s="34">
        <f>IFERROR(VLOOKUP("14_"&amp;A57,SyS!$B:$P,10,FALSE()),0)</f>
      </c>
      <c r="P57" s="35">
        <f>IFERROR(VLOOKUP("14_"&amp;A57,SyS!$B:$P,12,FALSE()),0)</f>
      </c>
      <c r="Q57" s="36">
        <f>+O57-P57</f>
      </c>
      <c r="R57" s="34">
        <f>IFERROR(VLOOKUP("15_"&amp;A57,SyS!$B:$P,10,FALSE()),0)</f>
      </c>
      <c r="S57" s="35">
        <f>IFERROR(VLOOKUP("15_"&amp;A57,SyS!$B:$P,12,FALSE()),0)</f>
      </c>
      <c r="T57" s="36">
        <f>+R57-S57</f>
      </c>
      <c r="U57" s="34">
        <f>IFERROR(VLOOKUP("16_"&amp;A57,SyS!$B:$P,10,FALSE()),0)</f>
      </c>
      <c r="V57" s="35">
        <f>IFERROR(VLOOKUP("16_"&amp;A57,SyS!$B:$P,12,FALSE()),0)</f>
      </c>
      <c r="W57" s="36">
        <f>+U57-V57</f>
      </c>
      <c r="X57" s="34">
        <f>IFERROR(VLOOKUP("13_"&amp;A57,SyS!$B:$P,10,FALSE()),0)</f>
      </c>
      <c r="Y57" s="35">
        <f>IFERROR(VLOOKUP("13_"&amp;A57,SyS!$B:$P,12,FALSE()),0)</f>
      </c>
      <c r="Z57" s="36">
        <f>+X57-Y57</f>
      </c>
      <c r="AA57" s="34">
        <f>IFERROR(VLOOKUP("17_"&amp;A57,SyS!$B:$P,10,FALSE()),0)</f>
      </c>
      <c r="AB57" s="35">
        <f>IFERROR(VLOOKUP("17_"&amp;A57,SyS!$B:$P,12,FALSE()),0)</f>
      </c>
      <c r="AC57" s="36">
        <f>+AA57-AB57</f>
      </c>
      <c r="AD57" s="35"/>
      <c r="AE57" s="35"/>
      <c r="AF57" s="35"/>
      <c r="AG57" s="35">
        <f>IFERROR(VLOOKUP("19_"&amp;A57,SyS!$B:$P,10,FALSE()),0)</f>
      </c>
      <c r="AH57" s="35">
        <f>IFERROR(VLOOKUP("19_"&amp;A57,SyS!$B:$P,12,FALSE()),0)</f>
      </c>
      <c r="AI57" s="35">
        <f>+AG57-AH57</f>
      </c>
      <c r="AJ57" s="35"/>
      <c r="AK57" s="35"/>
      <c r="AL57" s="35"/>
      <c r="AM57" s="34">
        <f>IFERROR(VLOOKUP("23_"&amp;A57,SyS!$B:$P,10,FALSE()),0)</f>
      </c>
      <c r="AN57" s="35">
        <f>IFERROR(VLOOKUP("23_"&amp;A57,SyS!$B:$P,12,FALSE()),0)</f>
      </c>
      <c r="AO57" s="36">
        <f>+AM57-AN57</f>
      </c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>
        <f>IFERROR(VLOOKUP("29_"&amp;A57,SyS!$B:$P,10,FALSE()),0)</f>
      </c>
      <c r="BL57" s="40">
        <f>IFERROR(VLOOKUP("29_"&amp;A57,SyS!$B:$P,12,FALSE()),0)</f>
      </c>
      <c r="BM57" s="40">
        <f>+BK57-BL57</f>
      </c>
      <c r="BN57" s="42">
        <f>IFERROR(VLOOKUP("30_"&amp;A57,SyS!$B:$P,10,FALSE()),0)</f>
      </c>
      <c r="BO57" s="40">
        <f>IFERROR(VLOOKUP("30_"&amp;A57,SyS!$B:$P,12,FALSE()),0)</f>
      </c>
      <c r="BP57" s="43">
        <f>+BN57-BO57</f>
      </c>
      <c r="BQ57" s="44">
        <f>+E57+H57+K57+N57+Q57+T57+W57+Z57+AC57+AF57+AI57+AL57+AO57+AR57+AU57+AX57+BA57+BD57+BG57+BJ57+BM57+BP57</f>
      </c>
    </row>
    <row r="58" ht="11.25" customHeight="1" spans="1:69" x14ac:dyDescent="0.25">
      <c r="A58" s="41">
        <v>425700000</v>
      </c>
      <c r="B58" s="41" t="s">
        <v>95</v>
      </c>
      <c r="C58" s="34">
        <f>IFERROR(VLOOKUP("1_"&amp;A58,SyS!$B:$P,10,FALSE()),0)</f>
      </c>
      <c r="D58" s="35">
        <f>IFERROR(VLOOKUP("1_"&amp;A58,SyS!$B:$P,12,FALSE()),0)</f>
      </c>
      <c r="E58" s="35">
        <f>+C58-D58</f>
      </c>
      <c r="F58" s="34">
        <f>IFERROR(VLOOKUP("2_"&amp;A58,SyS!$B:$P,10,FALSE()),0)</f>
      </c>
      <c r="G58" s="35">
        <f>IFERROR(VLOOKUP("2_"&amp;A58,SyS!$B:$P,12,FALSE()),0)</f>
      </c>
      <c r="H58" s="36">
        <f>+F58-G58</f>
      </c>
      <c r="I58" s="35"/>
      <c r="J58" s="35"/>
      <c r="K58" s="35"/>
      <c r="L58" s="35"/>
      <c r="M58" s="35"/>
      <c r="N58" s="35"/>
      <c r="O58" s="34">
        <f>IFERROR(VLOOKUP("14_"&amp;A58,SyS!$B:$P,10,FALSE()),0)</f>
      </c>
      <c r="P58" s="35">
        <f>IFERROR(VLOOKUP("14_"&amp;A58,SyS!$B:$P,12,FALSE()),0)</f>
      </c>
      <c r="Q58" s="36">
        <f>+O58-P58</f>
      </c>
      <c r="R58" s="34">
        <f>IFERROR(VLOOKUP("15_"&amp;A58,SyS!$B:$P,10,FALSE()),0)</f>
      </c>
      <c r="S58" s="35">
        <f>IFERROR(VLOOKUP("15_"&amp;A58,SyS!$B:$P,12,FALSE()),0)</f>
      </c>
      <c r="T58" s="36">
        <f>+R58-S58</f>
      </c>
      <c r="U58" s="34">
        <f>IFERROR(VLOOKUP("16_"&amp;A58,SyS!$B:$P,10,FALSE()),0)</f>
      </c>
      <c r="V58" s="35">
        <f>IFERROR(VLOOKUP("16_"&amp;A58,SyS!$B:$P,12,FALSE()),0)</f>
      </c>
      <c r="W58" s="36">
        <f>+U58-V58</f>
      </c>
      <c r="X58" s="34">
        <f>IFERROR(VLOOKUP("13_"&amp;A58,SyS!$B:$P,10,FALSE()),0)</f>
      </c>
      <c r="Y58" s="35">
        <f>IFERROR(VLOOKUP("13_"&amp;A58,SyS!$B:$P,12,FALSE()),0)</f>
      </c>
      <c r="Z58" s="36">
        <f>+X58-Y58</f>
      </c>
      <c r="AA58" s="34">
        <f>IFERROR(VLOOKUP("17_"&amp;A58,SyS!$B:$P,10,FALSE()),0)</f>
      </c>
      <c r="AB58" s="35">
        <f>IFERROR(VLOOKUP("17_"&amp;A58,SyS!$B:$P,12,FALSE()),0)</f>
      </c>
      <c r="AC58" s="36">
        <f>+AA58-AB58</f>
      </c>
      <c r="AD58" s="35"/>
      <c r="AE58" s="35"/>
      <c r="AF58" s="35"/>
      <c r="AG58" s="35">
        <f>IFERROR(VLOOKUP("19_"&amp;A58,SyS!$B:$P,10,FALSE()),0)</f>
      </c>
      <c r="AH58" s="35">
        <f>IFERROR(VLOOKUP("19_"&amp;A58,SyS!$B:$P,12,FALSE()),0)</f>
      </c>
      <c r="AI58" s="35">
        <f>+AG58-AH58</f>
      </c>
      <c r="AJ58" s="35"/>
      <c r="AK58" s="35"/>
      <c r="AL58" s="35"/>
      <c r="AM58" s="34">
        <f>IFERROR(VLOOKUP("23_"&amp;A58,SyS!$B:$P,10,FALSE()),0)</f>
      </c>
      <c r="AN58" s="35">
        <f>IFERROR(VLOOKUP("23_"&amp;A58,SyS!$B:$P,12,FALSE()),0)</f>
      </c>
      <c r="AO58" s="36">
        <f>+AM58-AN58</f>
      </c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>
        <f>IFERROR(VLOOKUP("29_"&amp;A58,SyS!$B:$P,10,FALSE()),0)</f>
      </c>
      <c r="BL58" s="40">
        <f>IFERROR(VLOOKUP("29_"&amp;A58,SyS!$B:$P,12,FALSE()),0)</f>
      </c>
      <c r="BM58" s="40">
        <f>+BK58-BL58</f>
      </c>
      <c r="BN58" s="42">
        <f>IFERROR(VLOOKUP("30_"&amp;A58,SyS!$B:$P,10,FALSE()),0)</f>
      </c>
      <c r="BO58" s="40">
        <f>IFERROR(VLOOKUP("30_"&amp;A58,SyS!$B:$P,12,FALSE()),0)</f>
      </c>
      <c r="BP58" s="43">
        <f>+BN58-BO58</f>
      </c>
      <c r="BQ58" s="44">
        <f>+E58+H58+K58+N58+Q58+T58+W58+Z58+AC58+AF58+AI58+AL58+AO58+AR58+AU58+AX58+BA58+BD58+BG58+BJ58+BM58+BP58</f>
      </c>
    </row>
    <row r="59" ht="11.25" customHeight="1" spans="1:69" x14ac:dyDescent="0.25">
      <c r="A59" s="41">
        <v>425800000</v>
      </c>
      <c r="B59" s="41" t="s">
        <v>96</v>
      </c>
      <c r="C59" s="34">
        <f>IFERROR(VLOOKUP("1_"&amp;A59,SyS!$B:$P,10,FALSE()),0)</f>
      </c>
      <c r="D59" s="35">
        <f>IFERROR(VLOOKUP("1_"&amp;A59,SyS!$B:$P,12,FALSE()),0)</f>
      </c>
      <c r="E59" s="35">
        <f>+C59-D59</f>
      </c>
      <c r="F59" s="34">
        <f>IFERROR(VLOOKUP("2_"&amp;A59,SyS!$B:$P,10,FALSE()),0)</f>
      </c>
      <c r="G59" s="35">
        <f>IFERROR(VLOOKUP("2_"&amp;A59,SyS!$B:$P,12,FALSE()),0)</f>
      </c>
      <c r="H59" s="36">
        <f>+F59-G59</f>
      </c>
      <c r="I59" s="35"/>
      <c r="J59" s="35"/>
      <c r="K59" s="35"/>
      <c r="L59" s="35"/>
      <c r="M59" s="35"/>
      <c r="N59" s="35"/>
      <c r="O59" s="34">
        <f>IFERROR(VLOOKUP("14_"&amp;A59,SyS!$B:$P,10,FALSE()),0)</f>
      </c>
      <c r="P59" s="35">
        <f>IFERROR(VLOOKUP("14_"&amp;A59,SyS!$B:$P,12,FALSE()),0)</f>
      </c>
      <c r="Q59" s="36">
        <f>+O59-P59</f>
      </c>
      <c r="R59" s="34">
        <f>IFERROR(VLOOKUP("15_"&amp;A59,SyS!$B:$P,10,FALSE()),0)</f>
      </c>
      <c r="S59" s="35">
        <f>IFERROR(VLOOKUP("15_"&amp;A59,SyS!$B:$P,12,FALSE()),0)</f>
      </c>
      <c r="T59" s="36">
        <f>+R59-S59</f>
      </c>
      <c r="U59" s="34">
        <f>IFERROR(VLOOKUP("16_"&amp;A59,SyS!$B:$P,10,FALSE()),0)</f>
      </c>
      <c r="V59" s="35">
        <f>IFERROR(VLOOKUP("16_"&amp;A59,SyS!$B:$P,12,FALSE()),0)</f>
      </c>
      <c r="W59" s="36">
        <f>+U59-V59</f>
      </c>
      <c r="X59" s="34">
        <f>IFERROR(VLOOKUP("13_"&amp;A59,SyS!$B:$P,10,FALSE()),0)</f>
      </c>
      <c r="Y59" s="35">
        <f>IFERROR(VLOOKUP("13_"&amp;A59,SyS!$B:$P,12,FALSE()),0)</f>
      </c>
      <c r="Z59" s="36">
        <f>+X59-Y59</f>
      </c>
      <c r="AA59" s="34">
        <f>IFERROR(VLOOKUP("17_"&amp;A59,SyS!$B:$P,10,FALSE()),0)</f>
      </c>
      <c r="AB59" s="35">
        <f>IFERROR(VLOOKUP("17_"&amp;A59,SyS!$B:$P,12,FALSE()),0)</f>
      </c>
      <c r="AC59" s="36">
        <f>+AA59-AB59</f>
      </c>
      <c r="AD59" s="35"/>
      <c r="AE59" s="35"/>
      <c r="AF59" s="35"/>
      <c r="AG59" s="35">
        <f>IFERROR(VLOOKUP("19_"&amp;A59,SyS!$B:$P,10,FALSE()),0)</f>
      </c>
      <c r="AH59" s="35">
        <f>IFERROR(VLOOKUP("19_"&amp;A59,SyS!$B:$P,12,FALSE()),0)</f>
      </c>
      <c r="AI59" s="35">
        <f>+AG59-AH59</f>
      </c>
      <c r="AJ59" s="35"/>
      <c r="AK59" s="35"/>
      <c r="AL59" s="35"/>
      <c r="AM59" s="34">
        <f>IFERROR(VLOOKUP("23_"&amp;A59,SyS!$B:$P,10,FALSE()),0)</f>
      </c>
      <c r="AN59" s="35">
        <f>IFERROR(VLOOKUP("23_"&amp;A59,SyS!$B:$P,12,FALSE()),0)</f>
      </c>
      <c r="AO59" s="36">
        <f>+AM59-AN59</f>
      </c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>
        <f>IFERROR(VLOOKUP("29_"&amp;A59,SyS!$B:$P,10,FALSE()),0)</f>
      </c>
      <c r="BL59" s="40">
        <f>IFERROR(VLOOKUP("29_"&amp;A59,SyS!$B:$P,12,FALSE()),0)</f>
      </c>
      <c r="BM59" s="40">
        <f>+BK59-BL59</f>
      </c>
      <c r="BN59" s="42">
        <f>IFERROR(VLOOKUP("30_"&amp;A59,SyS!$B:$P,10,FALSE()),0)</f>
      </c>
      <c r="BO59" s="40">
        <f>IFERROR(VLOOKUP("30_"&amp;A59,SyS!$B:$P,12,FALSE()),0)</f>
      </c>
      <c r="BP59" s="43">
        <f>+BN59-BO59</f>
      </c>
      <c r="BQ59" s="44">
        <f>+E59+H59+K59+N59+Q59+T59+W59+Z59+AC59+AF59+AI59+AL59+AO59+AR59+AU59+AX59+BA59+BD59+BG59+BJ59+BM59+BP59</f>
      </c>
    </row>
    <row r="60" ht="11.25" customHeight="1" spans="1:69" x14ac:dyDescent="0.25">
      <c r="A60" s="41">
        <v>425900000</v>
      </c>
      <c r="B60" s="41" t="s">
        <v>97</v>
      </c>
      <c r="C60" s="34">
        <f>IFERROR(VLOOKUP("1_"&amp;A60,SyS!$B:$P,10,FALSE()),0)</f>
      </c>
      <c r="D60" s="35">
        <f>IFERROR(VLOOKUP("1_"&amp;A60,SyS!$B:$P,12,FALSE()),0)</f>
      </c>
      <c r="E60" s="35">
        <f>+C60-D60</f>
      </c>
      <c r="F60" s="34">
        <f>IFERROR(VLOOKUP("2_"&amp;A60,SyS!$B:$P,10,FALSE()),0)</f>
      </c>
      <c r="G60" s="35">
        <f>IFERROR(VLOOKUP("2_"&amp;A60,SyS!$B:$P,12,FALSE()),0)</f>
      </c>
      <c r="H60" s="36">
        <f>+F60-G60</f>
      </c>
      <c r="I60" s="35"/>
      <c r="J60" s="35"/>
      <c r="K60" s="35"/>
      <c r="L60" s="35"/>
      <c r="M60" s="35"/>
      <c r="N60" s="35"/>
      <c r="O60" s="34">
        <f>IFERROR(VLOOKUP("14_"&amp;A60,SyS!$B:$P,10,FALSE()),0)</f>
      </c>
      <c r="P60" s="35">
        <f>IFERROR(VLOOKUP("14_"&amp;A60,SyS!$B:$P,12,FALSE()),0)</f>
      </c>
      <c r="Q60" s="36">
        <f>+O60-P60</f>
      </c>
      <c r="R60" s="34">
        <f>IFERROR(VLOOKUP("15_"&amp;A60,SyS!$B:$P,10,FALSE()),0)</f>
      </c>
      <c r="S60" s="35">
        <f>IFERROR(VLOOKUP("15_"&amp;A60,SyS!$B:$P,12,FALSE()),0)</f>
      </c>
      <c r="T60" s="36">
        <f>+R60-S60</f>
      </c>
      <c r="U60" s="34">
        <f>IFERROR(VLOOKUP("16_"&amp;A60,SyS!$B:$P,10,FALSE()),0)</f>
      </c>
      <c r="V60" s="35">
        <f>IFERROR(VLOOKUP("16_"&amp;A60,SyS!$B:$P,12,FALSE()),0)</f>
      </c>
      <c r="W60" s="36">
        <f>+U60-V60</f>
      </c>
      <c r="X60" s="34">
        <f>IFERROR(VLOOKUP("13_"&amp;A60,SyS!$B:$P,10,FALSE()),0)</f>
      </c>
      <c r="Y60" s="35">
        <f>IFERROR(VLOOKUP("13_"&amp;A60,SyS!$B:$P,12,FALSE()),0)</f>
      </c>
      <c r="Z60" s="36">
        <f>+X60-Y60</f>
      </c>
      <c r="AA60" s="34">
        <f>IFERROR(VLOOKUP("17_"&amp;A60,SyS!$B:$P,10,FALSE()),0)</f>
      </c>
      <c r="AB60" s="35">
        <f>IFERROR(VLOOKUP("17_"&amp;A60,SyS!$B:$P,12,FALSE()),0)</f>
      </c>
      <c r="AC60" s="36">
        <f>+AA60-AB60</f>
      </c>
      <c r="AD60" s="35"/>
      <c r="AE60" s="35"/>
      <c r="AF60" s="35"/>
      <c r="AG60" s="35">
        <f>IFERROR(VLOOKUP("19_"&amp;A60,SyS!$B:$P,10,FALSE()),0)</f>
      </c>
      <c r="AH60" s="35">
        <f>IFERROR(VLOOKUP("19_"&amp;A60,SyS!$B:$P,12,FALSE()),0)</f>
      </c>
      <c r="AI60" s="35">
        <f>+AG60-AH60</f>
      </c>
      <c r="AJ60" s="35"/>
      <c r="AK60" s="35"/>
      <c r="AL60" s="35"/>
      <c r="AM60" s="34">
        <f>IFERROR(VLOOKUP("23_"&amp;A60,SyS!$B:$P,10,FALSE()),0)</f>
      </c>
      <c r="AN60" s="35">
        <f>IFERROR(VLOOKUP("23_"&amp;A60,SyS!$B:$P,12,FALSE()),0)</f>
      </c>
      <c r="AO60" s="36">
        <f>+AM60-AN60</f>
      </c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>
        <f>IFERROR(VLOOKUP("29_"&amp;A60,SyS!$B:$P,10,FALSE()),0)</f>
      </c>
      <c r="BL60" s="40">
        <f>IFERROR(VLOOKUP("29_"&amp;A60,SyS!$B:$P,12,FALSE()),0)</f>
      </c>
      <c r="BM60" s="40">
        <f>+BK60-BL60</f>
      </c>
      <c r="BN60" s="42">
        <f>IFERROR(VLOOKUP("30_"&amp;A60,SyS!$B:$P,10,FALSE()),0)</f>
      </c>
      <c r="BO60" s="40">
        <f>IFERROR(VLOOKUP("30_"&amp;A60,SyS!$B:$P,12,FALSE()),0)</f>
      </c>
      <c r="BP60" s="43">
        <f>+BN60-BO60</f>
      </c>
      <c r="BQ60" s="44">
        <f>+E60+H60+K60+N60+Q60+T60+W60+Z60+AC60+AF60+AI60+AL60+AO60+AR60+AU60+AX60+BA60+BD60+BG60+BJ60+BM60+BP60</f>
      </c>
    </row>
    <row r="61" ht="11.25" customHeight="1" spans="1:69" x14ac:dyDescent="0.25">
      <c r="A61" s="41">
        <v>425910000</v>
      </c>
      <c r="B61" s="41" t="s">
        <v>98</v>
      </c>
      <c r="C61" s="34">
        <f>IFERROR(VLOOKUP("1_"&amp;A61,SyS!$B:$P,10,FALSE()),0)</f>
      </c>
      <c r="D61" s="35">
        <f>IFERROR(VLOOKUP("1_"&amp;A61,SyS!$B:$P,12,FALSE()),0)</f>
      </c>
      <c r="E61" s="35">
        <f>+C61-D61</f>
      </c>
      <c r="F61" s="34">
        <f>IFERROR(VLOOKUP("2_"&amp;A61,SyS!$B:$P,10,FALSE()),0)</f>
      </c>
      <c r="G61" s="35">
        <f>IFERROR(VLOOKUP("2_"&amp;A61,SyS!$B:$P,12,FALSE()),0)</f>
      </c>
      <c r="H61" s="36">
        <f>+F61-G61</f>
      </c>
      <c r="I61" s="35"/>
      <c r="J61" s="35"/>
      <c r="K61" s="35"/>
      <c r="L61" s="35"/>
      <c r="M61" s="35"/>
      <c r="N61" s="35"/>
      <c r="O61" s="34">
        <f>IFERROR(VLOOKUP("14_"&amp;A61,SyS!$B:$P,10,FALSE()),0)</f>
      </c>
      <c r="P61" s="35">
        <f>IFERROR(VLOOKUP("14_"&amp;A61,SyS!$B:$P,12,FALSE()),0)</f>
      </c>
      <c r="Q61" s="36">
        <f>+O61-P61</f>
      </c>
      <c r="R61" s="34">
        <f>IFERROR(VLOOKUP("15_"&amp;A61,SyS!$B:$P,10,FALSE()),0)</f>
      </c>
      <c r="S61" s="35">
        <f>IFERROR(VLOOKUP("15_"&amp;A61,SyS!$B:$P,12,FALSE()),0)</f>
      </c>
      <c r="T61" s="36">
        <f>+R61-S61</f>
      </c>
      <c r="U61" s="34">
        <f>IFERROR(VLOOKUP("16_"&amp;A61,SyS!$B:$P,10,FALSE()),0)</f>
      </c>
      <c r="V61" s="35">
        <f>IFERROR(VLOOKUP("16_"&amp;A61,SyS!$B:$P,12,FALSE()),0)</f>
      </c>
      <c r="W61" s="36">
        <f>+U61-V61</f>
      </c>
      <c r="X61" s="34">
        <f>IFERROR(VLOOKUP("13_"&amp;A61,SyS!$B:$P,10,FALSE()),0)</f>
      </c>
      <c r="Y61" s="35">
        <f>IFERROR(VLOOKUP("13_"&amp;A61,SyS!$B:$P,12,FALSE()),0)</f>
      </c>
      <c r="Z61" s="36">
        <f>+X61-Y61</f>
      </c>
      <c r="AA61" s="34">
        <f>IFERROR(VLOOKUP("17_"&amp;A61,SyS!$B:$P,10,FALSE()),0)</f>
      </c>
      <c r="AB61" s="35">
        <f>IFERROR(VLOOKUP("17_"&amp;A61,SyS!$B:$P,12,FALSE()),0)</f>
      </c>
      <c r="AC61" s="36">
        <f>+AA61-AB61</f>
      </c>
      <c r="AD61" s="35"/>
      <c r="AE61" s="35"/>
      <c r="AF61" s="35"/>
      <c r="AG61" s="35">
        <f>IFERROR(VLOOKUP("19_"&amp;A61,SyS!$B:$P,10,FALSE()),0)</f>
      </c>
      <c r="AH61" s="35">
        <f>IFERROR(VLOOKUP("19_"&amp;A61,SyS!$B:$P,12,FALSE()),0)</f>
      </c>
      <c r="AI61" s="35">
        <f>+AG61-AH61</f>
      </c>
      <c r="AJ61" s="35"/>
      <c r="AK61" s="35"/>
      <c r="AL61" s="35"/>
      <c r="AM61" s="34">
        <f>IFERROR(VLOOKUP("23_"&amp;A61,SyS!$B:$P,10,FALSE()),0)</f>
      </c>
      <c r="AN61" s="35">
        <f>IFERROR(VLOOKUP("23_"&amp;A61,SyS!$B:$P,12,FALSE()),0)</f>
      </c>
      <c r="AO61" s="36">
        <f>+AM61-AN61</f>
      </c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>
        <f>IFERROR(VLOOKUP("29_"&amp;A61,SyS!$B:$P,10,FALSE()),0)</f>
      </c>
      <c r="BL61" s="40">
        <f>IFERROR(VLOOKUP("29_"&amp;A61,SyS!$B:$P,12,FALSE()),0)</f>
      </c>
      <c r="BM61" s="40">
        <f>+BK61-BL61</f>
      </c>
      <c r="BN61" s="42">
        <f>IFERROR(VLOOKUP("30_"&amp;A61,SyS!$B:$P,10,FALSE()),0)</f>
      </c>
      <c r="BO61" s="40">
        <f>IFERROR(VLOOKUP("30_"&amp;A61,SyS!$B:$P,12,FALSE()),0)</f>
      </c>
      <c r="BP61" s="43">
        <f>+BN61-BO61</f>
      </c>
      <c r="BQ61" s="44">
        <f>+E61+H61+K61+N61+Q61+T61+W61+Z61+AC61+AF61+AI61+AL61+AO61+AR61+AU61+AX61+BA61+BD61+BG61+BJ61+BM61+BP61</f>
      </c>
    </row>
    <row r="62" ht="11.25" customHeight="1" spans="1:69" x14ac:dyDescent="0.25">
      <c r="A62" s="41">
        <v>425920000</v>
      </c>
      <c r="B62" s="41" t="s">
        <v>99</v>
      </c>
      <c r="C62" s="34">
        <f>IFERROR(VLOOKUP("1_"&amp;A62,SyS!$B:$P,10,FALSE()),0)</f>
      </c>
      <c r="D62" s="35">
        <f>IFERROR(VLOOKUP("1_"&amp;A62,SyS!$B:$P,12,FALSE()),0)</f>
      </c>
      <c r="E62" s="35">
        <f>+C62-D62</f>
      </c>
      <c r="F62" s="34">
        <f>IFERROR(VLOOKUP("2_"&amp;A62,SyS!$B:$P,10,FALSE()),0)</f>
      </c>
      <c r="G62" s="35">
        <f>IFERROR(VLOOKUP("2_"&amp;A62,SyS!$B:$P,12,FALSE()),0)</f>
      </c>
      <c r="H62" s="36">
        <f>+F62-G62</f>
      </c>
      <c r="I62" s="35"/>
      <c r="J62" s="35"/>
      <c r="K62" s="35"/>
      <c r="L62" s="35"/>
      <c r="M62" s="35"/>
      <c r="N62" s="35"/>
      <c r="O62" s="34">
        <f>IFERROR(VLOOKUP("14_"&amp;A62,SyS!$B:$P,10,FALSE()),0)</f>
      </c>
      <c r="P62" s="35">
        <f>IFERROR(VLOOKUP("14_"&amp;A62,SyS!$B:$P,12,FALSE()),0)</f>
      </c>
      <c r="Q62" s="36">
        <f>+O62-P62</f>
      </c>
      <c r="R62" s="34">
        <f>IFERROR(VLOOKUP("15_"&amp;A62,SyS!$B:$P,10,FALSE()),0)</f>
      </c>
      <c r="S62" s="35">
        <f>IFERROR(VLOOKUP("15_"&amp;A62,SyS!$B:$P,12,FALSE()),0)</f>
      </c>
      <c r="T62" s="36">
        <f>+R62-S62</f>
      </c>
      <c r="U62" s="34">
        <f>IFERROR(VLOOKUP("16_"&amp;A62,SyS!$B:$P,10,FALSE()),0)</f>
      </c>
      <c r="V62" s="35">
        <f>IFERROR(VLOOKUP("16_"&amp;A62,SyS!$B:$P,12,FALSE()),0)</f>
      </c>
      <c r="W62" s="36">
        <f>+U62-V62</f>
      </c>
      <c r="X62" s="34">
        <f>IFERROR(VLOOKUP("13_"&amp;A62,SyS!$B:$P,10,FALSE()),0)</f>
      </c>
      <c r="Y62" s="35">
        <f>IFERROR(VLOOKUP("13_"&amp;A62,SyS!$B:$P,12,FALSE()),0)</f>
      </c>
      <c r="Z62" s="36">
        <f>+X62-Y62</f>
      </c>
      <c r="AA62" s="34">
        <f>IFERROR(VLOOKUP("17_"&amp;A62,SyS!$B:$P,10,FALSE()),0)</f>
      </c>
      <c r="AB62" s="35">
        <f>IFERROR(VLOOKUP("17_"&amp;A62,SyS!$B:$P,12,FALSE()),0)</f>
      </c>
      <c r="AC62" s="36">
        <f>+AA62-AB62</f>
      </c>
      <c r="AD62" s="35"/>
      <c r="AE62" s="35"/>
      <c r="AF62" s="35"/>
      <c r="AG62" s="35">
        <f>IFERROR(VLOOKUP("19_"&amp;A62,SyS!$B:$P,10,FALSE()),0)</f>
      </c>
      <c r="AH62" s="35">
        <f>IFERROR(VLOOKUP("19_"&amp;A62,SyS!$B:$P,12,FALSE()),0)</f>
      </c>
      <c r="AI62" s="35">
        <f>+AG62-AH62</f>
      </c>
      <c r="AJ62" s="35"/>
      <c r="AK62" s="35"/>
      <c r="AL62" s="35"/>
      <c r="AM62" s="34">
        <f>IFERROR(VLOOKUP("23_"&amp;A62,SyS!$B:$P,10,FALSE()),0)</f>
      </c>
      <c r="AN62" s="35">
        <f>IFERROR(VLOOKUP("23_"&amp;A62,SyS!$B:$P,12,FALSE()),0)</f>
      </c>
      <c r="AO62" s="36">
        <f>+AM62-AN62</f>
      </c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>
        <f>IFERROR(VLOOKUP("29_"&amp;A62,SyS!$B:$P,10,FALSE()),0)</f>
      </c>
      <c r="BL62" s="40">
        <f>IFERROR(VLOOKUP("29_"&amp;A62,SyS!$B:$P,12,FALSE()),0)</f>
      </c>
      <c r="BM62" s="40">
        <f>+BK62-BL62</f>
      </c>
      <c r="BN62" s="42">
        <f>IFERROR(VLOOKUP("30_"&amp;A62,SyS!$B:$P,10,FALSE()),0)</f>
      </c>
      <c r="BO62" s="40">
        <f>IFERROR(VLOOKUP("30_"&amp;A62,SyS!$B:$P,12,FALSE()),0)</f>
      </c>
      <c r="BP62" s="43">
        <f>+BN62-BO62</f>
      </c>
      <c r="BQ62" s="44">
        <f>+E62+H62+K62+N62+Q62+T62+W62+Z62+AC62+AF62+AI62+AL62+AO62+AR62+AU62+AX62+BA62+BD62+BG62+BJ62+BM62+BP62</f>
      </c>
    </row>
    <row r="63" ht="11.25" customHeight="1" spans="1:69" x14ac:dyDescent="0.25">
      <c r="A63" s="41">
        <v>425930000</v>
      </c>
      <c r="B63" s="41" t="s">
        <v>100</v>
      </c>
      <c r="C63" s="34">
        <f>IFERROR(VLOOKUP("1_"&amp;A63,SyS!$B:$P,10,FALSE()),0)</f>
      </c>
      <c r="D63" s="35">
        <f>IFERROR(VLOOKUP("1_"&amp;A63,SyS!$B:$P,12,FALSE()),0)</f>
      </c>
      <c r="E63" s="35">
        <f>+C63-D63</f>
      </c>
      <c r="F63" s="34">
        <f>IFERROR(VLOOKUP("2_"&amp;A63,SyS!$B:$P,10,FALSE()),0)</f>
      </c>
      <c r="G63" s="35">
        <f>IFERROR(VLOOKUP("2_"&amp;A63,SyS!$B:$P,12,FALSE()),0)</f>
      </c>
      <c r="H63" s="36">
        <f>+F63-G63</f>
      </c>
      <c r="I63" s="35"/>
      <c r="J63" s="35"/>
      <c r="K63" s="35"/>
      <c r="L63" s="35"/>
      <c r="M63" s="35"/>
      <c r="N63" s="35"/>
      <c r="O63" s="34">
        <f>IFERROR(VLOOKUP("14_"&amp;A63,SyS!$B:$P,10,FALSE()),0)</f>
      </c>
      <c r="P63" s="35">
        <f>IFERROR(VLOOKUP("14_"&amp;A63,SyS!$B:$P,12,FALSE()),0)</f>
      </c>
      <c r="Q63" s="36">
        <f>+O63-P63</f>
      </c>
      <c r="R63" s="34">
        <f>IFERROR(VLOOKUP("15_"&amp;A63,SyS!$B:$P,10,FALSE()),0)</f>
      </c>
      <c r="S63" s="35">
        <f>IFERROR(VLOOKUP("15_"&amp;A63,SyS!$B:$P,12,FALSE()),0)</f>
      </c>
      <c r="T63" s="36">
        <f>+R63-S63</f>
      </c>
      <c r="U63" s="34">
        <f>IFERROR(VLOOKUP("16_"&amp;A63,SyS!$B:$P,10,FALSE()),0)</f>
      </c>
      <c r="V63" s="35">
        <f>IFERROR(VLOOKUP("16_"&amp;A63,SyS!$B:$P,12,FALSE()),0)</f>
      </c>
      <c r="W63" s="36">
        <f>+U63-V63</f>
      </c>
      <c r="X63" s="34">
        <f>IFERROR(VLOOKUP("13_"&amp;A63,SyS!$B:$P,10,FALSE()),0)</f>
      </c>
      <c r="Y63" s="35">
        <f>IFERROR(VLOOKUP("13_"&amp;A63,SyS!$B:$P,12,FALSE()),0)</f>
      </c>
      <c r="Z63" s="36">
        <f>+X63-Y63</f>
      </c>
      <c r="AA63" s="34">
        <f>IFERROR(VLOOKUP("17_"&amp;A63,SyS!$B:$P,10,FALSE()),0)</f>
      </c>
      <c r="AB63" s="35">
        <f>IFERROR(VLOOKUP("17_"&amp;A63,SyS!$B:$P,12,FALSE()),0)</f>
      </c>
      <c r="AC63" s="36">
        <f>+AA63-AB63</f>
      </c>
      <c r="AD63" s="35"/>
      <c r="AE63" s="35"/>
      <c r="AF63" s="35"/>
      <c r="AG63" s="35">
        <f>IFERROR(VLOOKUP("19_"&amp;A63,SyS!$B:$P,10,FALSE()),0)</f>
      </c>
      <c r="AH63" s="35">
        <f>IFERROR(VLOOKUP("19_"&amp;A63,SyS!$B:$P,12,FALSE()),0)</f>
      </c>
      <c r="AI63" s="35">
        <f>+AG63-AH63</f>
      </c>
      <c r="AJ63" s="35"/>
      <c r="AK63" s="35"/>
      <c r="AL63" s="35"/>
      <c r="AM63" s="34">
        <f>IFERROR(VLOOKUP("23_"&amp;A63,SyS!$B:$P,10,FALSE()),0)</f>
      </c>
      <c r="AN63" s="35">
        <f>IFERROR(VLOOKUP("23_"&amp;A63,SyS!$B:$P,12,FALSE()),0)</f>
      </c>
      <c r="AO63" s="36">
        <f>+AM63-AN63</f>
      </c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>
        <f>IFERROR(VLOOKUP("29_"&amp;A63,SyS!$B:$P,10,FALSE()),0)</f>
      </c>
      <c r="BL63" s="40">
        <f>IFERROR(VLOOKUP("29_"&amp;A63,SyS!$B:$P,12,FALSE()),0)</f>
      </c>
      <c r="BM63" s="40">
        <f>+BK63-BL63</f>
      </c>
      <c r="BN63" s="42">
        <f>IFERROR(VLOOKUP("30_"&amp;A63,SyS!$B:$P,10,FALSE()),0)</f>
      </c>
      <c r="BO63" s="40">
        <f>IFERROR(VLOOKUP("30_"&amp;A63,SyS!$B:$P,12,FALSE()),0)</f>
      </c>
      <c r="BP63" s="43">
        <f>+BN63-BO63</f>
      </c>
      <c r="BQ63" s="44">
        <f>+E63+H63+K63+N63+Q63+T63+W63+Z63+AC63+AF63+AI63+AL63+AO63+AR63+AU63+AX63+BA63+BD63+BG63+BJ63+BM63+BP63</f>
      </c>
    </row>
    <row r="64" ht="11.25" customHeight="1" spans="1:69" x14ac:dyDescent="0.25">
      <c r="A64" s="41">
        <v>425940000</v>
      </c>
      <c r="B64" s="41" t="s">
        <v>101</v>
      </c>
      <c r="C64" s="34">
        <f>IFERROR(VLOOKUP("1_"&amp;A64,SyS!$B:$P,10,FALSE()),0)</f>
      </c>
      <c r="D64" s="35">
        <f>IFERROR(VLOOKUP("1_"&amp;A64,SyS!$B:$P,12,FALSE()),0)</f>
      </c>
      <c r="E64" s="35">
        <f>+C64-D64</f>
      </c>
      <c r="F64" s="34">
        <f>IFERROR(VLOOKUP("2_"&amp;A64,SyS!$B:$P,10,FALSE()),0)</f>
      </c>
      <c r="G64" s="35">
        <f>IFERROR(VLOOKUP("2_"&amp;A64,SyS!$B:$P,12,FALSE()),0)</f>
      </c>
      <c r="H64" s="36">
        <f>+F64-G64</f>
      </c>
      <c r="I64" s="35"/>
      <c r="J64" s="35"/>
      <c r="K64" s="35"/>
      <c r="L64" s="35"/>
      <c r="M64" s="35"/>
      <c r="N64" s="35"/>
      <c r="O64" s="34">
        <f>IFERROR(VLOOKUP("14_"&amp;A64,SyS!$B:$P,10,FALSE()),0)</f>
      </c>
      <c r="P64" s="35">
        <f>IFERROR(VLOOKUP("14_"&amp;A64,SyS!$B:$P,12,FALSE()),0)</f>
      </c>
      <c r="Q64" s="36">
        <f>+O64-P64</f>
      </c>
      <c r="R64" s="34">
        <f>IFERROR(VLOOKUP("15_"&amp;A64,SyS!$B:$P,10,FALSE()),0)</f>
      </c>
      <c r="S64" s="35">
        <f>IFERROR(VLOOKUP("15_"&amp;A64,SyS!$B:$P,12,FALSE()),0)</f>
      </c>
      <c r="T64" s="36">
        <f>+R64-S64</f>
      </c>
      <c r="U64" s="34">
        <f>IFERROR(VLOOKUP("16_"&amp;A64,SyS!$B:$P,10,FALSE()),0)</f>
      </c>
      <c r="V64" s="35">
        <f>IFERROR(VLOOKUP("16_"&amp;A64,SyS!$B:$P,12,FALSE()),0)</f>
      </c>
      <c r="W64" s="36">
        <f>+U64-V64</f>
      </c>
      <c r="X64" s="34">
        <f>IFERROR(VLOOKUP("13_"&amp;A64,SyS!$B:$P,10,FALSE()),0)</f>
      </c>
      <c r="Y64" s="35">
        <f>IFERROR(VLOOKUP("13_"&amp;A64,SyS!$B:$P,12,FALSE()),0)</f>
      </c>
      <c r="Z64" s="36">
        <f>+X64-Y64</f>
      </c>
      <c r="AA64" s="34">
        <f>IFERROR(VLOOKUP("17_"&amp;A64,SyS!$B:$P,10,FALSE()),0)</f>
      </c>
      <c r="AB64" s="35">
        <f>IFERROR(VLOOKUP("17_"&amp;A64,SyS!$B:$P,12,FALSE()),0)</f>
      </c>
      <c r="AC64" s="36">
        <f>+AA64-AB64</f>
      </c>
      <c r="AD64" s="35"/>
      <c r="AE64" s="35"/>
      <c r="AF64" s="35"/>
      <c r="AG64" s="35">
        <f>IFERROR(VLOOKUP("19_"&amp;A64,SyS!$B:$P,10,FALSE()),0)</f>
      </c>
      <c r="AH64" s="35">
        <f>IFERROR(VLOOKUP("19_"&amp;A64,SyS!$B:$P,12,FALSE()),0)</f>
      </c>
      <c r="AI64" s="35">
        <f>+AG64-AH64</f>
      </c>
      <c r="AJ64" s="35"/>
      <c r="AK64" s="35"/>
      <c r="AL64" s="35"/>
      <c r="AM64" s="34">
        <f>IFERROR(VLOOKUP("23_"&amp;A64,SyS!$B:$P,10,FALSE()),0)</f>
      </c>
      <c r="AN64" s="35">
        <f>IFERROR(VLOOKUP("23_"&amp;A64,SyS!$B:$P,12,FALSE()),0)</f>
      </c>
      <c r="AO64" s="36">
        <f>+AM64-AN64</f>
      </c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>
        <f>IFERROR(VLOOKUP("29_"&amp;A64,SyS!$B:$P,10,FALSE()),0)</f>
      </c>
      <c r="BL64" s="40">
        <f>IFERROR(VLOOKUP("29_"&amp;A64,SyS!$B:$P,12,FALSE()),0)</f>
      </c>
      <c r="BM64" s="40">
        <f>+BK64-BL64</f>
      </c>
      <c r="BN64" s="42">
        <f>IFERROR(VLOOKUP("30_"&amp;A64,SyS!$B:$P,10,FALSE()),0)</f>
      </c>
      <c r="BO64" s="40">
        <f>IFERROR(VLOOKUP("30_"&amp;A64,SyS!$B:$P,12,FALSE()),0)</f>
      </c>
      <c r="BP64" s="43">
        <f>+BN64-BO64</f>
      </c>
      <c r="BQ64" s="44">
        <f>+E64+H64+K64+N64+Q64+T64+W64+Z64+AC64+AF64+AI64+AL64+AO64+AR64+AU64+AX64+BA64+BD64+BG64+BJ64+BM64+BP64</f>
      </c>
    </row>
    <row r="65" ht="11.25" customHeight="1" spans="1:69" x14ac:dyDescent="0.25">
      <c r="A65" s="41">
        <v>425950000</v>
      </c>
      <c r="B65" s="41" t="s">
        <v>102</v>
      </c>
      <c r="C65" s="34">
        <f>IFERROR(VLOOKUP("1_"&amp;A65,SyS!$B:$P,10,FALSE()),0)</f>
      </c>
      <c r="D65" s="35">
        <f>IFERROR(VLOOKUP("1_"&amp;A65,SyS!$B:$P,12,FALSE()),0)</f>
      </c>
      <c r="E65" s="35">
        <f>+C65-D65</f>
      </c>
      <c r="F65" s="34">
        <f>IFERROR(VLOOKUP("2_"&amp;A65,SyS!$B:$P,10,FALSE()),0)</f>
        <v>490.88</v>
      </c>
      <c r="G65" s="35">
        <f>IFERROR(VLOOKUP("2_"&amp;A65,SyS!$B:$P,12,FALSE()),0)</f>
      </c>
      <c r="H65" s="36">
        <f>+F65-G65</f>
        <v>490.88</v>
      </c>
      <c r="I65" s="35"/>
      <c r="J65" s="35"/>
      <c r="K65" s="35"/>
      <c r="L65" s="35"/>
      <c r="M65" s="35"/>
      <c r="N65" s="35"/>
      <c r="O65" s="34">
        <f>IFERROR(VLOOKUP("14_"&amp;A65,SyS!$B:$P,10,FALSE()),0)</f>
      </c>
      <c r="P65" s="35">
        <f>IFERROR(VLOOKUP("14_"&amp;A65,SyS!$B:$P,12,FALSE()),0)</f>
      </c>
      <c r="Q65" s="36">
        <f>+O65-P65</f>
      </c>
      <c r="R65" s="34">
        <f>IFERROR(VLOOKUP("15_"&amp;A65,SyS!$B:$P,10,FALSE()),0)</f>
      </c>
      <c r="S65" s="35">
        <f>IFERROR(VLOOKUP("15_"&amp;A65,SyS!$B:$P,12,FALSE()),0)</f>
      </c>
      <c r="T65" s="36">
        <f>+R65-S65</f>
      </c>
      <c r="U65" s="34">
        <f>IFERROR(VLOOKUP("16_"&amp;A65,SyS!$B:$P,10,FALSE()),0)</f>
      </c>
      <c r="V65" s="35">
        <f>IFERROR(VLOOKUP("16_"&amp;A65,SyS!$B:$P,12,FALSE()),0)</f>
      </c>
      <c r="W65" s="36">
        <f>+U65-V65</f>
      </c>
      <c r="X65" s="34">
        <f>IFERROR(VLOOKUP("13_"&amp;A65,SyS!$B:$P,10,FALSE()),0)</f>
      </c>
      <c r="Y65" s="35">
        <f>IFERROR(VLOOKUP("13_"&amp;A65,SyS!$B:$P,12,FALSE()),0)</f>
      </c>
      <c r="Z65" s="36">
        <f>+X65-Y65</f>
      </c>
      <c r="AA65" s="34">
        <f>IFERROR(VLOOKUP("17_"&amp;A65,SyS!$B:$P,10,FALSE()),0)</f>
      </c>
      <c r="AB65" s="35">
        <f>IFERROR(VLOOKUP("17_"&amp;A65,SyS!$B:$P,12,FALSE()),0)</f>
      </c>
      <c r="AC65" s="36">
        <f>+AA65-AB65</f>
      </c>
      <c r="AD65" s="35"/>
      <c r="AE65" s="35"/>
      <c r="AF65" s="35"/>
      <c r="AG65" s="35">
        <f>IFERROR(VLOOKUP("19_"&amp;A65,SyS!$B:$P,10,FALSE()),0)</f>
      </c>
      <c r="AH65" s="35">
        <f>IFERROR(VLOOKUP("19_"&amp;A65,SyS!$B:$P,12,FALSE()),0)</f>
      </c>
      <c r="AI65" s="35">
        <f>+AG65-AH65</f>
      </c>
      <c r="AJ65" s="35"/>
      <c r="AK65" s="35"/>
      <c r="AL65" s="35"/>
      <c r="AM65" s="34">
        <f>IFERROR(VLOOKUP("23_"&amp;A65,SyS!$B:$P,10,FALSE()),0)</f>
      </c>
      <c r="AN65" s="35">
        <f>IFERROR(VLOOKUP("23_"&amp;A65,SyS!$B:$P,12,FALSE()),0)</f>
      </c>
      <c r="AO65" s="36">
        <f>+AM65-AN65</f>
      </c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>
        <f>IFERROR(VLOOKUP("29_"&amp;A65,SyS!$B:$P,10,FALSE()),0)</f>
      </c>
      <c r="BL65" s="40">
        <f>IFERROR(VLOOKUP("29_"&amp;A65,SyS!$B:$P,12,FALSE()),0)</f>
      </c>
      <c r="BM65" s="40">
        <f>+BK65-BL65</f>
      </c>
      <c r="BN65" s="42">
        <f>IFERROR(VLOOKUP("30_"&amp;A65,SyS!$B:$P,10,FALSE()),0)</f>
      </c>
      <c r="BO65" s="40">
        <f>IFERROR(VLOOKUP("30_"&amp;A65,SyS!$B:$P,12,FALSE()),0)</f>
      </c>
      <c r="BP65" s="43">
        <f>+BN65-BO65</f>
      </c>
      <c r="BQ65" s="44">
        <f>+E65+H65+K65+N65+Q65+T65+W65+Z65+AC65+AF65+AI65+AL65+AO65+AR65+AU65+AX65+BA65+BD65+BG65+BJ65+BM65+BP65</f>
        <v>490.88</v>
      </c>
    </row>
    <row r="66" ht="11.25" customHeight="1" spans="1:69" x14ac:dyDescent="0.25">
      <c r="A66" s="41">
        <v>425970000</v>
      </c>
      <c r="B66" s="41" t="s">
        <v>103</v>
      </c>
      <c r="C66" s="34">
        <f>IFERROR(VLOOKUP("1_"&amp;A66,SyS!$B:$P,10,FALSE()),0)</f>
      </c>
      <c r="D66" s="35">
        <f>IFERROR(VLOOKUP("1_"&amp;A66,SyS!$B:$P,12,FALSE()),0)</f>
      </c>
      <c r="E66" s="35">
        <f>+C66-D66</f>
      </c>
      <c r="F66" s="34">
        <f>IFERROR(VLOOKUP("2_"&amp;A66,SyS!$B:$P,10,FALSE()),0)</f>
      </c>
      <c r="G66" s="35">
        <f>IFERROR(VLOOKUP("2_"&amp;A66,SyS!$B:$P,12,FALSE()),0)</f>
      </c>
      <c r="H66" s="36">
        <f>+F66-G66</f>
      </c>
      <c r="I66" s="35"/>
      <c r="J66" s="35"/>
      <c r="K66" s="35"/>
      <c r="L66" s="35"/>
      <c r="M66" s="35"/>
      <c r="N66" s="35"/>
      <c r="O66" s="34">
        <f>IFERROR(VLOOKUP("14_"&amp;A66,SyS!$B:$P,10,FALSE()),0)</f>
      </c>
      <c r="P66" s="35">
        <f>IFERROR(VLOOKUP("14_"&amp;A66,SyS!$B:$P,12,FALSE()),0)</f>
      </c>
      <c r="Q66" s="36">
        <f>+O66-P66</f>
      </c>
      <c r="R66" s="34">
        <f>IFERROR(VLOOKUP("15_"&amp;A66,SyS!$B:$P,10,FALSE()),0)</f>
      </c>
      <c r="S66" s="35">
        <f>IFERROR(VLOOKUP("15_"&amp;A66,SyS!$B:$P,12,FALSE()),0)</f>
      </c>
      <c r="T66" s="36">
        <f>+R66-S66</f>
      </c>
      <c r="U66" s="34">
        <f>IFERROR(VLOOKUP("16_"&amp;A66,SyS!$B:$P,10,FALSE()),0)</f>
      </c>
      <c r="V66" s="35">
        <f>IFERROR(VLOOKUP("16_"&amp;A66,SyS!$B:$P,12,FALSE()),0)</f>
      </c>
      <c r="W66" s="36">
        <f>+U66-V66</f>
      </c>
      <c r="X66" s="34">
        <f>IFERROR(VLOOKUP("13_"&amp;A66,SyS!$B:$P,10,FALSE()),0)</f>
      </c>
      <c r="Y66" s="35">
        <f>IFERROR(VLOOKUP("13_"&amp;A66,SyS!$B:$P,12,FALSE()),0)</f>
      </c>
      <c r="Z66" s="36">
        <f>+X66-Y66</f>
      </c>
      <c r="AA66" s="34">
        <f>IFERROR(VLOOKUP("17_"&amp;A66,SyS!$B:$P,10,FALSE()),0)</f>
      </c>
      <c r="AB66" s="35">
        <f>IFERROR(VLOOKUP("17_"&amp;A66,SyS!$B:$P,12,FALSE()),0)</f>
      </c>
      <c r="AC66" s="36">
        <f>+AA66-AB66</f>
      </c>
      <c r="AD66" s="35"/>
      <c r="AE66" s="35"/>
      <c r="AF66" s="35"/>
      <c r="AG66" s="35">
        <f>IFERROR(VLOOKUP("19_"&amp;A66,SyS!$B:$P,10,FALSE()),0)</f>
      </c>
      <c r="AH66" s="35">
        <f>IFERROR(VLOOKUP("19_"&amp;A66,SyS!$B:$P,12,FALSE()),0)</f>
      </c>
      <c r="AI66" s="35">
        <f>+AG66-AH66</f>
      </c>
      <c r="AJ66" s="35"/>
      <c r="AK66" s="35"/>
      <c r="AL66" s="35"/>
      <c r="AM66" s="34">
        <f>IFERROR(VLOOKUP("23_"&amp;A66,SyS!$B:$P,10,FALSE()),0)</f>
      </c>
      <c r="AN66" s="35">
        <f>IFERROR(VLOOKUP("23_"&amp;A66,SyS!$B:$P,12,FALSE()),0)</f>
      </c>
      <c r="AO66" s="36">
        <f>+AM66-AN66</f>
      </c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>
        <f>IFERROR(VLOOKUP("29_"&amp;A66,SyS!$B:$P,10,FALSE()),0)</f>
      </c>
      <c r="BL66" s="40">
        <f>IFERROR(VLOOKUP("29_"&amp;A66,SyS!$B:$P,12,FALSE()),0)</f>
      </c>
      <c r="BM66" s="40">
        <f>+BK66-BL66</f>
      </c>
      <c r="BN66" s="42">
        <f>IFERROR(VLOOKUP("30_"&amp;A66,SyS!$B:$P,10,FALSE()),0)</f>
      </c>
      <c r="BO66" s="40">
        <f>IFERROR(VLOOKUP("30_"&amp;A66,SyS!$B:$P,12,FALSE()),0)</f>
      </c>
      <c r="BP66" s="43">
        <f>+BN66-BO66</f>
      </c>
      <c r="BQ66" s="44">
        <f>+E66+H66+K66+N66+Q66+T66+W66+Z66+AC66+AF66+AI66+AL66+AO66+AR66+AU66+AX66+BA66+BD66+BG66+BJ66+BM66+BP66</f>
      </c>
    </row>
    <row r="67" ht="11.25" customHeight="1" spans="1:69" x14ac:dyDescent="0.25">
      <c r="A67" s="41">
        <v>425990000</v>
      </c>
      <c r="B67" s="41" t="s">
        <v>104</v>
      </c>
      <c r="C67" s="34">
        <f>IFERROR(VLOOKUP("1_"&amp;A67,SyS!$B:$P,10,FALSE()),0)</f>
      </c>
      <c r="D67" s="35">
        <f>IFERROR(VLOOKUP("1_"&amp;A67,SyS!$B:$P,12,FALSE()),0)</f>
      </c>
      <c r="E67" s="35">
        <f>+C67-D67</f>
      </c>
      <c r="F67" s="34">
        <f>IFERROR(VLOOKUP("2_"&amp;A67,SyS!$B:$P,10,FALSE()),0)</f>
      </c>
      <c r="G67" s="35">
        <f>IFERROR(VLOOKUP("2_"&amp;A67,SyS!$B:$P,12,FALSE()),0)</f>
      </c>
      <c r="H67" s="36">
        <f>+F67-G67</f>
      </c>
      <c r="I67" s="35"/>
      <c r="J67" s="35"/>
      <c r="K67" s="35"/>
      <c r="L67" s="35"/>
      <c r="M67" s="35"/>
      <c r="N67" s="35"/>
      <c r="O67" s="34">
        <f>IFERROR(VLOOKUP("14_"&amp;A67,SyS!$B:$P,10,FALSE()),0)</f>
      </c>
      <c r="P67" s="35">
        <f>IFERROR(VLOOKUP("14_"&amp;A67,SyS!$B:$P,12,FALSE()),0)</f>
      </c>
      <c r="Q67" s="36">
        <f>+O67-P67</f>
      </c>
      <c r="R67" s="34">
        <f>IFERROR(VLOOKUP("15_"&amp;A67,SyS!$B:$P,10,FALSE()),0)</f>
      </c>
      <c r="S67" s="35">
        <f>IFERROR(VLOOKUP("15_"&amp;A67,SyS!$B:$P,12,FALSE()),0)</f>
      </c>
      <c r="T67" s="36">
        <f>+R67-S67</f>
      </c>
      <c r="U67" s="34">
        <f>IFERROR(VLOOKUP("16_"&amp;A67,SyS!$B:$P,10,FALSE()),0)</f>
      </c>
      <c r="V67" s="35">
        <f>IFERROR(VLOOKUP("16_"&amp;A67,SyS!$B:$P,12,FALSE()),0)</f>
      </c>
      <c r="W67" s="36">
        <f>+U67-V67</f>
      </c>
      <c r="X67" s="34">
        <f>IFERROR(VLOOKUP("13_"&amp;A67,SyS!$B:$P,10,FALSE()),0)</f>
      </c>
      <c r="Y67" s="35">
        <f>IFERROR(VLOOKUP("13_"&amp;A67,SyS!$B:$P,12,FALSE()),0)</f>
      </c>
      <c r="Z67" s="36">
        <f>+X67-Y67</f>
      </c>
      <c r="AA67" s="34">
        <f>IFERROR(VLOOKUP("17_"&amp;A67,SyS!$B:$P,10,FALSE()),0)</f>
      </c>
      <c r="AB67" s="35">
        <f>IFERROR(VLOOKUP("17_"&amp;A67,SyS!$B:$P,12,FALSE()),0)</f>
      </c>
      <c r="AC67" s="36">
        <f>+AA67-AB67</f>
      </c>
      <c r="AD67" s="35"/>
      <c r="AE67" s="35"/>
      <c r="AF67" s="35"/>
      <c r="AG67" s="35">
        <f>IFERROR(VLOOKUP("19_"&amp;A67,SyS!$B:$P,10,FALSE()),0)</f>
      </c>
      <c r="AH67" s="35">
        <f>IFERROR(VLOOKUP("19_"&amp;A67,SyS!$B:$P,12,FALSE()),0)</f>
      </c>
      <c r="AI67" s="35">
        <f>+AG67-AH67</f>
      </c>
      <c r="AJ67" s="35"/>
      <c r="AK67" s="35"/>
      <c r="AL67" s="35"/>
      <c r="AM67" s="34">
        <f>IFERROR(VLOOKUP("23_"&amp;A67,SyS!$B:$P,10,FALSE()),0)</f>
      </c>
      <c r="AN67" s="35">
        <f>IFERROR(VLOOKUP("23_"&amp;A67,SyS!$B:$P,12,FALSE()),0)</f>
      </c>
      <c r="AO67" s="36">
        <f>+AM67-AN67</f>
      </c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>
        <f>IFERROR(VLOOKUP("29_"&amp;A67,SyS!$B:$P,10,FALSE()),0)</f>
      </c>
      <c r="BL67" s="40">
        <f>IFERROR(VLOOKUP("29_"&amp;A67,SyS!$B:$P,12,FALSE()),0)</f>
      </c>
      <c r="BM67" s="40">
        <f>+BK67-BL67</f>
      </c>
      <c r="BN67" s="42">
        <f>IFERROR(VLOOKUP("30_"&amp;A67,SyS!$B:$P,10,FALSE()),0)</f>
      </c>
      <c r="BO67" s="40">
        <f>IFERROR(VLOOKUP("30_"&amp;A67,SyS!$B:$P,12,FALSE()),0)</f>
      </c>
      <c r="BP67" s="43">
        <f>+BN67-BO67</f>
      </c>
      <c r="BQ67" s="44">
        <f>+E67+H67+K67+N67+Q67+T67+W67+Z67+AC67+AF67+AI67+AL67+AO67+AR67+AU67+AX67+BA67+BD67+BG67+BJ67+BM67+BP67</f>
      </c>
    </row>
    <row r="68" ht="11.25" customHeight="1" spans="1:69" x14ac:dyDescent="0.25">
      <c r="A68" s="41">
        <v>425810000</v>
      </c>
      <c r="B68" s="41" t="s">
        <v>105</v>
      </c>
      <c r="C68" s="34">
        <f>IFERROR(VLOOKUP("1_"&amp;A68,SyS!$B:$P,10,FALSE()),0)</f>
      </c>
      <c r="D68" s="35">
        <f>IFERROR(VLOOKUP("1_"&amp;A68,SyS!$B:$P,12,FALSE()),0)</f>
      </c>
      <c r="E68" s="35">
        <f>+C68-D68</f>
      </c>
      <c r="F68" s="34">
        <f>IFERROR(VLOOKUP("2_"&amp;A68,SyS!$B:$P,10,FALSE()),0)</f>
      </c>
      <c r="G68" s="35">
        <f>IFERROR(VLOOKUP("2_"&amp;A68,SyS!$B:$P,12,FALSE()),0)</f>
      </c>
      <c r="H68" s="36">
        <f>+F68-G68</f>
      </c>
      <c r="I68" s="35"/>
      <c r="J68" s="35"/>
      <c r="K68" s="35"/>
      <c r="L68" s="35"/>
      <c r="M68" s="35"/>
      <c r="N68" s="35"/>
      <c r="O68" s="34">
        <f>IFERROR(VLOOKUP("14_"&amp;A68,SyS!$B:$P,10,FALSE()),0)</f>
      </c>
      <c r="P68" s="35">
        <f>IFERROR(VLOOKUP("14_"&amp;A68,SyS!$B:$P,12,FALSE()),0)</f>
      </c>
      <c r="Q68" s="36">
        <f>+O68-P68</f>
      </c>
      <c r="R68" s="34">
        <f>IFERROR(VLOOKUP("15_"&amp;A68,SyS!$B:$P,10,FALSE()),0)</f>
      </c>
      <c r="S68" s="35">
        <f>IFERROR(VLOOKUP("15_"&amp;A68,SyS!$B:$P,12,FALSE()),0)</f>
      </c>
      <c r="T68" s="36">
        <f>+R68-S68</f>
      </c>
      <c r="U68" s="34">
        <f>IFERROR(VLOOKUP("16_"&amp;A68,SyS!$B:$P,10,FALSE()),0)</f>
      </c>
      <c r="V68" s="35">
        <f>IFERROR(VLOOKUP("16_"&amp;A68,SyS!$B:$P,12,FALSE()),0)</f>
      </c>
      <c r="W68" s="36">
        <f>+U68-V68</f>
      </c>
      <c r="X68" s="34">
        <f>IFERROR(VLOOKUP("13_"&amp;A68,SyS!$B:$P,10,FALSE()),0)</f>
      </c>
      <c r="Y68" s="35">
        <f>IFERROR(VLOOKUP("13_"&amp;A68,SyS!$B:$P,12,FALSE()),0)</f>
      </c>
      <c r="Z68" s="36">
        <f>+X68-Y68</f>
      </c>
      <c r="AA68" s="34">
        <f>IFERROR(VLOOKUP("17_"&amp;A68,SyS!$B:$P,10,FALSE()),0)</f>
      </c>
      <c r="AB68" s="35">
        <f>IFERROR(VLOOKUP("17_"&amp;A68,SyS!$B:$P,12,FALSE()),0)</f>
      </c>
      <c r="AC68" s="36">
        <f>+AA68-AB68</f>
      </c>
      <c r="AD68" s="35"/>
      <c r="AE68" s="35"/>
      <c r="AF68" s="35"/>
      <c r="AG68" s="35">
        <f>IFERROR(VLOOKUP("19_"&amp;A68,SyS!$B:$P,10,FALSE()),0)</f>
      </c>
      <c r="AH68" s="35">
        <f>IFERROR(VLOOKUP("19_"&amp;A68,SyS!$B:$P,12,FALSE()),0)</f>
      </c>
      <c r="AI68" s="35">
        <f>+AG68-AH68</f>
      </c>
      <c r="AJ68" s="35"/>
      <c r="AK68" s="35"/>
      <c r="AL68" s="35"/>
      <c r="AM68" s="34">
        <f>IFERROR(VLOOKUP("23_"&amp;A68,SyS!$B:$P,10,FALSE()),0)</f>
      </c>
      <c r="AN68" s="35">
        <f>IFERROR(VLOOKUP("23_"&amp;A68,SyS!$B:$P,12,FALSE()),0)</f>
      </c>
      <c r="AO68" s="36">
        <f>+AM68-AN68</f>
      </c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>
        <f>IFERROR(VLOOKUP("29_"&amp;A68,SyS!$B:$P,10,FALSE()),0)</f>
      </c>
      <c r="BL68" s="40">
        <f>IFERROR(VLOOKUP("29_"&amp;A68,SyS!$B:$P,12,FALSE()),0)</f>
      </c>
      <c r="BM68" s="40">
        <f>+BK68-BL68</f>
      </c>
      <c r="BN68" s="42">
        <f>IFERROR(VLOOKUP("30_"&amp;A68,SyS!$B:$P,10,FALSE()),0)</f>
      </c>
      <c r="BO68" s="40">
        <f>IFERROR(VLOOKUP("30_"&amp;A68,SyS!$B:$P,12,FALSE()),0)</f>
      </c>
      <c r="BP68" s="43">
        <f>+BN68-BO68</f>
      </c>
      <c r="BQ68" s="44">
        <f>+E68+H68+K68+N68+Q68+T68+W68+Z68+AC68+AF68+AI68+AL68+AO68+AR68+AU68+AX68+BA68+BD68+BG68+BJ68+BM68+BP68</f>
      </c>
    </row>
    <row r="69" ht="11.25" customHeight="1" spans="1:69" x14ac:dyDescent="0.25">
      <c r="A69" s="41">
        <v>425260000</v>
      </c>
      <c r="B69" s="9" t="s">
        <v>106</v>
      </c>
      <c r="C69" s="34">
        <f>IFERROR(VLOOKUP("1_"&amp;A69,SyS!$B:$P,10,FALSE()),0)</f>
      </c>
      <c r="D69" s="35">
        <f>IFERROR(VLOOKUP("1_"&amp;A69,SyS!$B:$P,12,FALSE()),0)</f>
      </c>
      <c r="E69" s="35">
        <f>+C69-D69</f>
      </c>
      <c r="F69" s="34">
        <f>IFERROR(VLOOKUP("2_"&amp;A69,SyS!$B:$P,10,FALSE()),0)</f>
      </c>
      <c r="G69" s="35">
        <f>IFERROR(VLOOKUP("2_"&amp;A69,SyS!$B:$P,12,FALSE()),0)</f>
      </c>
      <c r="H69" s="36">
        <f>+F69-G69</f>
      </c>
      <c r="I69" s="35"/>
      <c r="J69" s="35"/>
      <c r="K69" s="35"/>
      <c r="L69" s="35"/>
      <c r="M69" s="35"/>
      <c r="N69" s="35"/>
      <c r="O69" s="34">
        <f>IFERROR(VLOOKUP("14_"&amp;A69,SyS!$B:$P,10,FALSE()),0)</f>
      </c>
      <c r="P69" s="35">
        <f>IFERROR(VLOOKUP("14_"&amp;A69,SyS!$B:$P,12,FALSE()),0)</f>
      </c>
      <c r="Q69" s="36">
        <f>+O69-P69</f>
      </c>
      <c r="R69" s="34">
        <f>IFERROR(VLOOKUP("15_"&amp;A69,SyS!$B:$P,10,FALSE()),0)</f>
      </c>
      <c r="S69" s="35">
        <f>IFERROR(VLOOKUP("15_"&amp;A69,SyS!$B:$P,12,FALSE()),0)</f>
      </c>
      <c r="T69" s="36">
        <f>+R69-S69</f>
      </c>
      <c r="U69" s="34">
        <f>IFERROR(VLOOKUP("16_"&amp;A69,SyS!$B:$P,10,FALSE()),0)</f>
      </c>
      <c r="V69" s="35">
        <f>IFERROR(VLOOKUP("16_"&amp;A69,SyS!$B:$P,12,FALSE()),0)</f>
      </c>
      <c r="W69" s="36">
        <f>+U69-V69</f>
      </c>
      <c r="X69" s="34">
        <f>IFERROR(VLOOKUP("13_"&amp;A69,SyS!$B:$P,10,FALSE()),0)</f>
      </c>
      <c r="Y69" s="35">
        <f>IFERROR(VLOOKUP("13_"&amp;A69,SyS!$B:$P,12,FALSE()),0)</f>
      </c>
      <c r="Z69" s="36">
        <f>+X69-Y69</f>
      </c>
      <c r="AA69" s="34">
        <f>IFERROR(VLOOKUP("17_"&amp;A69,SyS!$B:$P,10,FALSE()),0)</f>
      </c>
      <c r="AB69" s="35">
        <f>IFERROR(VLOOKUP("17_"&amp;A69,SyS!$B:$P,12,FALSE()),0)</f>
      </c>
      <c r="AC69" s="36">
        <f>+AA69-AB69</f>
      </c>
      <c r="AD69" s="35"/>
      <c r="AE69" s="35"/>
      <c r="AF69" s="35"/>
      <c r="AG69" s="35">
        <f>IFERROR(VLOOKUP("19_"&amp;A69,SyS!$B:$P,10,FALSE()),0)</f>
      </c>
      <c r="AH69" s="35">
        <f>IFERROR(VLOOKUP("19_"&amp;A69,SyS!$B:$P,12,FALSE()),0)</f>
      </c>
      <c r="AI69" s="35">
        <f>+AG69-AH69</f>
      </c>
      <c r="AJ69" s="35"/>
      <c r="AK69" s="35"/>
      <c r="AL69" s="35"/>
      <c r="AM69" s="34">
        <f>IFERROR(VLOOKUP("23_"&amp;A69,SyS!$B:$P,10,FALSE()),0)</f>
      </c>
      <c r="AN69" s="35">
        <f>IFERROR(VLOOKUP("23_"&amp;A69,SyS!$B:$P,12,FALSE()),0)</f>
      </c>
      <c r="AO69" s="36">
        <f>+AM69-AN69</f>
      </c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>
        <f>IFERROR(VLOOKUP("29_"&amp;A69,SyS!$B:$P,10,FALSE()),0)</f>
      </c>
      <c r="BL69" s="40">
        <f>IFERROR(VLOOKUP("29_"&amp;A69,SyS!$B:$P,12,FALSE()),0)</f>
      </c>
      <c r="BM69" s="40">
        <f>+BK69-BL69</f>
      </c>
      <c r="BN69" s="42">
        <f>IFERROR(VLOOKUP("30_"&amp;A69,SyS!$B:$P,10,FALSE()),0)</f>
      </c>
      <c r="BO69" s="40">
        <f>IFERROR(VLOOKUP("30_"&amp;A69,SyS!$B:$P,12,FALSE()),0)</f>
      </c>
      <c r="BP69" s="43">
        <f>+BN69-BO69</f>
      </c>
      <c r="BQ69" s="44">
        <f>+E69+H69+K69+N69+Q69+T69+W69+Z69+AC69+AF69+AI69+AL69+AO69+AR69+AU69+AX69+BA69+BD69+BG69+BJ69+BM69+BP69</f>
      </c>
    </row>
    <row r="70" ht="11.25" customHeight="1" spans="1:69" x14ac:dyDescent="0.25">
      <c r="A70" s="41">
        <v>425270000</v>
      </c>
      <c r="B70" s="9" t="s">
        <v>107</v>
      </c>
      <c r="C70" s="34">
        <f>IFERROR(VLOOKUP("1_"&amp;A70,SyS!$B:$P,10,FALSE()),0)</f>
      </c>
      <c r="D70" s="35">
        <f>IFERROR(VLOOKUP("1_"&amp;A70,SyS!$B:$P,12,FALSE()),0)</f>
      </c>
      <c r="E70" s="35">
        <f>+C70-D70</f>
      </c>
      <c r="F70" s="34">
        <f>IFERROR(VLOOKUP("2_"&amp;A70,SyS!$B:$P,10,FALSE()),0)</f>
      </c>
      <c r="G70" s="35">
        <f>IFERROR(VLOOKUP("2_"&amp;A70,SyS!$B:$P,12,FALSE()),0)</f>
      </c>
      <c r="H70" s="36">
        <f>+F70-G70</f>
      </c>
      <c r="I70" s="35"/>
      <c r="J70" s="35"/>
      <c r="K70" s="35"/>
      <c r="L70" s="35"/>
      <c r="M70" s="35"/>
      <c r="N70" s="35"/>
      <c r="O70" s="34">
        <f>IFERROR(VLOOKUP("14_"&amp;A70,SyS!$B:$P,10,FALSE()),0)</f>
      </c>
      <c r="P70" s="35">
        <f>IFERROR(VLOOKUP("14_"&amp;A70,SyS!$B:$P,12,FALSE()),0)</f>
      </c>
      <c r="Q70" s="36">
        <f>+O70-P70</f>
      </c>
      <c r="R70" s="34">
        <f>IFERROR(VLOOKUP("15_"&amp;A70,SyS!$B:$P,10,FALSE()),0)</f>
      </c>
      <c r="S70" s="35">
        <f>IFERROR(VLOOKUP("15_"&amp;A70,SyS!$B:$P,12,FALSE()),0)</f>
      </c>
      <c r="T70" s="36">
        <f>+R70-S70</f>
      </c>
      <c r="U70" s="34">
        <f>IFERROR(VLOOKUP("16_"&amp;A70,SyS!$B:$P,10,FALSE()),0)</f>
      </c>
      <c r="V70" s="35">
        <f>IFERROR(VLOOKUP("16_"&amp;A70,SyS!$B:$P,12,FALSE()),0)</f>
      </c>
      <c r="W70" s="36">
        <f>+U70-V70</f>
      </c>
      <c r="X70" s="34">
        <f>IFERROR(VLOOKUP("13_"&amp;A70,SyS!$B:$P,10,FALSE()),0)</f>
      </c>
      <c r="Y70" s="35">
        <f>IFERROR(VLOOKUP("13_"&amp;A70,SyS!$B:$P,12,FALSE()),0)</f>
      </c>
      <c r="Z70" s="36">
        <f>+X70-Y70</f>
      </c>
      <c r="AA70" s="34">
        <f>IFERROR(VLOOKUP("17_"&amp;A70,SyS!$B:$P,10,FALSE()),0)</f>
      </c>
      <c r="AB70" s="35">
        <f>IFERROR(VLOOKUP("17_"&amp;A70,SyS!$B:$P,12,FALSE()),0)</f>
      </c>
      <c r="AC70" s="36">
        <f>+AA70-AB70</f>
      </c>
      <c r="AD70" s="35"/>
      <c r="AE70" s="35"/>
      <c r="AF70" s="35"/>
      <c r="AG70" s="35">
        <f>IFERROR(VLOOKUP("19_"&amp;A70,SyS!$B:$P,10,FALSE()),0)</f>
      </c>
      <c r="AH70" s="35">
        <f>IFERROR(VLOOKUP("19_"&amp;A70,SyS!$B:$P,12,FALSE()),0)</f>
      </c>
      <c r="AI70" s="35">
        <f>+AG70-AH70</f>
      </c>
      <c r="AJ70" s="35"/>
      <c r="AK70" s="35"/>
      <c r="AL70" s="35"/>
      <c r="AM70" s="34">
        <f>IFERROR(VLOOKUP("23_"&amp;A70,SyS!$B:$P,10,FALSE()),0)</f>
      </c>
      <c r="AN70" s="35">
        <f>IFERROR(VLOOKUP("23_"&amp;A70,SyS!$B:$P,12,FALSE()),0)</f>
      </c>
      <c r="AO70" s="36">
        <f>+AM70-AN70</f>
      </c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>
        <f>IFERROR(VLOOKUP("29_"&amp;A70,SyS!$B:$P,10,FALSE()),0)</f>
      </c>
      <c r="BL70" s="40">
        <f>IFERROR(VLOOKUP("29_"&amp;A70,SyS!$B:$P,12,FALSE()),0)</f>
      </c>
      <c r="BM70" s="40">
        <f>+BK70-BL70</f>
      </c>
      <c r="BN70" s="42">
        <f>IFERROR(VLOOKUP("30_"&amp;A70,SyS!$B:$P,10,FALSE()),0)</f>
      </c>
      <c r="BO70" s="40">
        <f>IFERROR(VLOOKUP("30_"&amp;A70,SyS!$B:$P,12,FALSE()),0)</f>
      </c>
      <c r="BP70" s="43">
        <f>+BN70-BO70</f>
      </c>
      <c r="BQ70" s="44">
        <f>+E70+H70+K70+N70+Q70+T70+W70+Z70+AC70+AF70+AI70+AL70+AO70+AR70+AU70+AX70+BA70+BD70+BG70+BJ70+BM70+BP70</f>
      </c>
    </row>
    <row r="71" ht="11.25" customHeight="1" spans="1:69" x14ac:dyDescent="0.25">
      <c r="A71" s="41">
        <v>425280000</v>
      </c>
      <c r="B71" s="9" t="s">
        <v>108</v>
      </c>
      <c r="C71" s="34">
        <f>IFERROR(VLOOKUP("1_"&amp;A71,SyS!$B:$P,10,FALSE()),0)</f>
      </c>
      <c r="D71" s="35">
        <f>IFERROR(VLOOKUP("1_"&amp;A71,SyS!$B:$P,12,FALSE()),0)</f>
      </c>
      <c r="E71" s="35">
        <f>+C71-D71</f>
      </c>
      <c r="F71" s="34">
        <f>IFERROR(VLOOKUP("2_"&amp;A71,SyS!$B:$P,10,FALSE()),0)</f>
      </c>
      <c r="G71" s="35">
        <f>IFERROR(VLOOKUP("2_"&amp;A71,SyS!$B:$P,12,FALSE()),0)</f>
      </c>
      <c r="H71" s="36">
        <f>+F71-G71</f>
      </c>
      <c r="I71" s="35"/>
      <c r="J71" s="35"/>
      <c r="K71" s="35"/>
      <c r="L71" s="35"/>
      <c r="M71" s="35"/>
      <c r="N71" s="35"/>
      <c r="O71" s="34">
        <f>IFERROR(VLOOKUP("14_"&amp;A71,SyS!$B:$P,10,FALSE()),0)</f>
      </c>
      <c r="P71" s="35">
        <f>IFERROR(VLOOKUP("14_"&amp;A71,SyS!$B:$P,12,FALSE()),0)</f>
      </c>
      <c r="Q71" s="36">
        <f>+O71-P71</f>
      </c>
      <c r="R71" s="34">
        <f>IFERROR(VLOOKUP("15_"&amp;A71,SyS!$B:$P,10,FALSE()),0)</f>
      </c>
      <c r="S71" s="35">
        <f>IFERROR(VLOOKUP("15_"&amp;A71,SyS!$B:$P,12,FALSE()),0)</f>
      </c>
      <c r="T71" s="36">
        <f>+R71-S71</f>
      </c>
      <c r="U71" s="34">
        <f>IFERROR(VLOOKUP("16_"&amp;A71,SyS!$B:$P,10,FALSE()),0)</f>
      </c>
      <c r="V71" s="35">
        <f>IFERROR(VLOOKUP("16_"&amp;A71,SyS!$B:$P,12,FALSE()),0)</f>
      </c>
      <c r="W71" s="36">
        <f>+U71-V71</f>
      </c>
      <c r="X71" s="34">
        <f>IFERROR(VLOOKUP("13_"&amp;A71,SyS!$B:$P,10,FALSE()),0)</f>
      </c>
      <c r="Y71" s="35">
        <f>IFERROR(VLOOKUP("13_"&amp;A71,SyS!$B:$P,12,FALSE()),0)</f>
      </c>
      <c r="Z71" s="36">
        <f>+X71-Y71</f>
      </c>
      <c r="AA71" s="34">
        <f>IFERROR(VLOOKUP("17_"&amp;A71,SyS!$B:$P,10,FALSE()),0)</f>
      </c>
      <c r="AB71" s="35">
        <f>IFERROR(VLOOKUP("17_"&amp;A71,SyS!$B:$P,12,FALSE()),0)</f>
      </c>
      <c r="AC71" s="36">
        <f>+AA71-AB71</f>
      </c>
      <c r="AD71" s="35"/>
      <c r="AE71" s="35"/>
      <c r="AF71" s="35"/>
      <c r="AG71" s="35">
        <f>IFERROR(VLOOKUP("19_"&amp;A71,SyS!$B:$P,10,FALSE()),0)</f>
      </c>
      <c r="AH71" s="35">
        <f>IFERROR(VLOOKUP("19_"&amp;A71,SyS!$B:$P,12,FALSE()),0)</f>
      </c>
      <c r="AI71" s="35">
        <f>+AG71-AH71</f>
      </c>
      <c r="AJ71" s="35"/>
      <c r="AK71" s="35"/>
      <c r="AL71" s="35"/>
      <c r="AM71" s="34">
        <f>IFERROR(VLOOKUP("23_"&amp;A71,SyS!$B:$P,10,FALSE()),0)</f>
      </c>
      <c r="AN71" s="35">
        <f>IFERROR(VLOOKUP("23_"&amp;A71,SyS!$B:$P,12,FALSE()),0)</f>
      </c>
      <c r="AO71" s="36">
        <f>+AM71-AN71</f>
      </c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>
        <f>IFERROR(VLOOKUP("29_"&amp;A71,SyS!$B:$P,10,FALSE()),0)</f>
      </c>
      <c r="BL71" s="40">
        <f>IFERROR(VLOOKUP("29_"&amp;A71,SyS!$B:$P,12,FALSE()),0)</f>
      </c>
      <c r="BM71" s="40">
        <f>+BK71-BL71</f>
      </c>
      <c r="BN71" s="42">
        <f>IFERROR(VLOOKUP("30_"&amp;A71,SyS!$B:$P,10,FALSE()),0)</f>
      </c>
      <c r="BO71" s="40">
        <f>IFERROR(VLOOKUP("30_"&amp;A71,SyS!$B:$P,12,FALSE()),0)</f>
      </c>
      <c r="BP71" s="43">
        <f>+BN71-BO71</f>
      </c>
      <c r="BQ71" s="44">
        <f>+E71+H71+K71+N71+Q71+T71+W71+Z71+AC71+AF71+AI71+AL71+AO71+AR71+AU71+AX71+BA71+BD71+BG71+BJ71+BM71+BP71</f>
      </c>
    </row>
    <row r="72" ht="11.25" customHeight="1" spans="1:69" x14ac:dyDescent="0.25">
      <c r="A72" s="41">
        <v>425290000</v>
      </c>
      <c r="B72" s="9" t="s">
        <v>109</v>
      </c>
      <c r="C72" s="34">
        <f>IFERROR(VLOOKUP("1_"&amp;A72,SyS!$B:$P,10,FALSE()),0)</f>
      </c>
      <c r="D72" s="35">
        <f>IFERROR(VLOOKUP("1_"&amp;A72,SyS!$B:$P,12,FALSE()),0)</f>
      </c>
      <c r="E72" s="35">
        <f>+C72-D72</f>
      </c>
      <c r="F72" s="34">
        <f>IFERROR(VLOOKUP("2_"&amp;A72,SyS!$B:$P,10,FALSE()),0)</f>
      </c>
      <c r="G72" s="35">
        <f>IFERROR(VLOOKUP("2_"&amp;A72,SyS!$B:$P,12,FALSE()),0)</f>
      </c>
      <c r="H72" s="36">
        <f>+F72-G72</f>
      </c>
      <c r="I72" s="35"/>
      <c r="J72" s="35"/>
      <c r="K72" s="35"/>
      <c r="L72" s="35"/>
      <c r="M72" s="35"/>
      <c r="N72" s="35"/>
      <c r="O72" s="34">
        <f>IFERROR(VLOOKUP("14_"&amp;A72,SyS!$B:$P,10,FALSE()),0)</f>
      </c>
      <c r="P72" s="35">
        <f>IFERROR(VLOOKUP("14_"&amp;A72,SyS!$B:$P,12,FALSE()),0)</f>
      </c>
      <c r="Q72" s="36">
        <f>+O72-P72</f>
      </c>
      <c r="R72" s="34">
        <f>IFERROR(VLOOKUP("15_"&amp;A72,SyS!$B:$P,10,FALSE()),0)</f>
      </c>
      <c r="S72" s="35">
        <f>IFERROR(VLOOKUP("15_"&amp;A72,SyS!$B:$P,12,FALSE()),0)</f>
      </c>
      <c r="T72" s="36">
        <f>+R72-S72</f>
      </c>
      <c r="U72" s="34">
        <f>IFERROR(VLOOKUP("16_"&amp;A72,SyS!$B:$P,10,FALSE()),0)</f>
      </c>
      <c r="V72" s="35">
        <f>IFERROR(VLOOKUP("16_"&amp;A72,SyS!$B:$P,12,FALSE()),0)</f>
      </c>
      <c r="W72" s="36">
        <f>+U72-V72</f>
      </c>
      <c r="X72" s="34">
        <f>IFERROR(VLOOKUP("13_"&amp;A72,SyS!$B:$P,10,FALSE()),0)</f>
      </c>
      <c r="Y72" s="35">
        <f>IFERROR(VLOOKUP("13_"&amp;A72,SyS!$B:$P,12,FALSE()),0)</f>
      </c>
      <c r="Z72" s="36">
        <f>+X72-Y72</f>
      </c>
      <c r="AA72" s="34">
        <f>IFERROR(VLOOKUP("17_"&amp;A72,SyS!$B:$P,10,FALSE()),0)</f>
      </c>
      <c r="AB72" s="35">
        <f>IFERROR(VLOOKUP("17_"&amp;A72,SyS!$B:$P,12,FALSE()),0)</f>
      </c>
      <c r="AC72" s="36">
        <f>+AA72-AB72</f>
      </c>
      <c r="AD72" s="35"/>
      <c r="AE72" s="35"/>
      <c r="AF72" s="35"/>
      <c r="AG72" s="35">
        <f>IFERROR(VLOOKUP("19_"&amp;A72,SyS!$B:$P,10,FALSE()),0)</f>
      </c>
      <c r="AH72" s="35">
        <f>IFERROR(VLOOKUP("19_"&amp;A72,SyS!$B:$P,12,FALSE()),0)</f>
      </c>
      <c r="AI72" s="35">
        <f>+AG72-AH72</f>
      </c>
      <c r="AJ72" s="35"/>
      <c r="AK72" s="35"/>
      <c r="AL72" s="35"/>
      <c r="AM72" s="34">
        <f>IFERROR(VLOOKUP("23_"&amp;A72,SyS!$B:$P,10,FALSE()),0)</f>
      </c>
      <c r="AN72" s="35">
        <f>IFERROR(VLOOKUP("23_"&amp;A72,SyS!$B:$P,12,FALSE()),0)</f>
      </c>
      <c r="AO72" s="36">
        <f>+AM72-AN72</f>
      </c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>
        <f>IFERROR(VLOOKUP("29_"&amp;A72,SyS!$B:$P,10,FALSE()),0)</f>
      </c>
      <c r="BL72" s="40">
        <f>IFERROR(VLOOKUP("29_"&amp;A72,SyS!$B:$P,12,FALSE()),0)</f>
      </c>
      <c r="BM72" s="40">
        <f>+BK72-BL72</f>
      </c>
      <c r="BN72" s="42">
        <f>IFERROR(VLOOKUP("30_"&amp;A72,SyS!$B:$P,10,FALSE()),0)</f>
      </c>
      <c r="BO72" s="40">
        <f>IFERROR(VLOOKUP("30_"&amp;A72,SyS!$B:$P,12,FALSE()),0)</f>
      </c>
      <c r="BP72" s="43">
        <f>+BN72-BO72</f>
      </c>
      <c r="BQ72" s="44">
        <f>+E72+H72+K72+N72+Q72+T72+W72+Z72+AC72+AF72+AI72+AL72+AO72+AR72+AU72+AX72+BA72+BD72+BG72+BJ72+BM72+BP72</f>
      </c>
    </row>
    <row r="73" ht="11.25" customHeight="1" spans="1:69" x14ac:dyDescent="0.25">
      <c r="A73" s="41">
        <v>425310000</v>
      </c>
      <c r="B73" s="9" t="s">
        <v>110</v>
      </c>
      <c r="C73" s="34">
        <f>IFERROR(VLOOKUP("1_"&amp;A73,SyS!$B:$P,10,FALSE()),0)</f>
        <v>959.76</v>
      </c>
      <c r="D73" s="35">
        <f>IFERROR(VLOOKUP("1_"&amp;A73,SyS!$B:$P,12,FALSE()),0)</f>
      </c>
      <c r="E73" s="35">
        <f>+C73-D73</f>
        <v>959.76</v>
      </c>
      <c r="F73" s="34">
        <f>IFERROR(VLOOKUP("2_"&amp;A73,SyS!$B:$P,10,FALSE()),0)</f>
      </c>
      <c r="G73" s="35">
        <f>IFERROR(VLOOKUP("2_"&amp;A73,SyS!$B:$P,12,FALSE()),0)</f>
      </c>
      <c r="H73" s="36">
        <f>+F73-G73</f>
      </c>
      <c r="I73" s="35"/>
      <c r="J73" s="35"/>
      <c r="K73" s="35"/>
      <c r="L73" s="35"/>
      <c r="M73" s="35"/>
      <c r="N73" s="35"/>
      <c r="O73" s="34">
        <f>IFERROR(VLOOKUP("14_"&amp;A73,SyS!$B:$P,10,FALSE()),0)</f>
      </c>
      <c r="P73" s="35">
        <f>IFERROR(VLOOKUP("14_"&amp;A73,SyS!$B:$P,12,FALSE()),0)</f>
      </c>
      <c r="Q73" s="36">
        <f>+O73-P73</f>
      </c>
      <c r="R73" s="34">
        <f>IFERROR(VLOOKUP("15_"&amp;A73,SyS!$B:$P,10,FALSE()),0)</f>
      </c>
      <c r="S73" s="35">
        <f>IFERROR(VLOOKUP("15_"&amp;A73,SyS!$B:$P,12,FALSE()),0)</f>
      </c>
      <c r="T73" s="36">
        <f>+R73-S73</f>
      </c>
      <c r="U73" s="34">
        <f>IFERROR(VLOOKUP("16_"&amp;A73,SyS!$B:$P,10,FALSE()),0)</f>
      </c>
      <c r="V73" s="35">
        <f>IFERROR(VLOOKUP("16_"&amp;A73,SyS!$B:$P,12,FALSE()),0)</f>
      </c>
      <c r="W73" s="36">
        <f>+U73-V73</f>
      </c>
      <c r="X73" s="34">
        <f>IFERROR(VLOOKUP("13_"&amp;A73,SyS!$B:$P,10,FALSE()),0)</f>
      </c>
      <c r="Y73" s="35">
        <f>IFERROR(VLOOKUP("13_"&amp;A73,SyS!$B:$P,12,FALSE()),0)</f>
      </c>
      <c r="Z73" s="36">
        <f>+X73-Y73</f>
      </c>
      <c r="AA73" s="34">
        <f>IFERROR(VLOOKUP("17_"&amp;A73,SyS!$B:$P,10,FALSE()),0)</f>
      </c>
      <c r="AB73" s="35">
        <f>IFERROR(VLOOKUP("17_"&amp;A73,SyS!$B:$P,12,FALSE()),0)</f>
      </c>
      <c r="AC73" s="36">
        <f>+AA73-AB73</f>
      </c>
      <c r="AD73" s="35"/>
      <c r="AE73" s="35"/>
      <c r="AF73" s="35"/>
      <c r="AG73" s="35">
        <f>IFERROR(VLOOKUP("19_"&amp;A73,SyS!$B:$P,10,FALSE()),0)</f>
      </c>
      <c r="AH73" s="35">
        <f>IFERROR(VLOOKUP("19_"&amp;A73,SyS!$B:$P,12,FALSE()),0)</f>
      </c>
      <c r="AI73" s="35">
        <f>+AG73-AH73</f>
      </c>
      <c r="AJ73" s="35"/>
      <c r="AK73" s="35"/>
      <c r="AL73" s="35"/>
      <c r="AM73" s="34">
        <f>IFERROR(VLOOKUP("23_"&amp;A73,SyS!$B:$P,10,FALSE()),0)</f>
      </c>
      <c r="AN73" s="35">
        <f>IFERROR(VLOOKUP("23_"&amp;A73,SyS!$B:$P,12,FALSE()),0)</f>
      </c>
      <c r="AO73" s="36">
        <f>+AM73-AN73</f>
      </c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>
        <f>IFERROR(VLOOKUP("29_"&amp;A73,SyS!$B:$P,10,FALSE()),0)</f>
      </c>
      <c r="BL73" s="40">
        <f>IFERROR(VLOOKUP("29_"&amp;A73,SyS!$B:$P,12,FALSE()),0)</f>
      </c>
      <c r="BM73" s="40">
        <f>+BK73-BL73</f>
      </c>
      <c r="BN73" s="42">
        <f>IFERROR(VLOOKUP("30_"&amp;A73,SyS!$B:$P,10,FALSE()),0)</f>
      </c>
      <c r="BO73" s="40">
        <f>IFERROR(VLOOKUP("30_"&amp;A73,SyS!$B:$P,12,FALSE()),0)</f>
      </c>
      <c r="BP73" s="43">
        <f>+BN73-BO73</f>
      </c>
      <c r="BQ73" s="44">
        <f>+E73+H73+K73+N73+Q73+T73+W73+Z73+AC73+AF73+AI73+AL73+AO73+AR73+AU73+AX73+BA73+BD73+BG73+BJ73+BM73+BP73</f>
        <v>959.76</v>
      </c>
    </row>
    <row r="74" ht="11.25" customHeight="1" spans="1:69" x14ac:dyDescent="0.25">
      <c r="A74" s="41">
        <v>425320000</v>
      </c>
      <c r="B74" s="9" t="s">
        <v>111</v>
      </c>
      <c r="C74" s="34">
        <f>IFERROR(VLOOKUP("1_"&amp;A74,SyS!$B:$P,10,FALSE()),0)</f>
      </c>
      <c r="D74" s="35">
        <f>IFERROR(VLOOKUP("1_"&amp;A74,SyS!$B:$P,12,FALSE()),0)</f>
      </c>
      <c r="E74" s="35">
        <f>+C74-D74</f>
      </c>
      <c r="F74" s="34">
        <f>IFERROR(VLOOKUP("2_"&amp;A74,SyS!$B:$P,10,FALSE()),0)</f>
      </c>
      <c r="G74" s="35">
        <f>IFERROR(VLOOKUP("2_"&amp;A74,SyS!$B:$P,12,FALSE()),0)</f>
      </c>
      <c r="H74" s="36">
        <f>+F74-G74</f>
      </c>
      <c r="I74" s="35"/>
      <c r="J74" s="35"/>
      <c r="K74" s="35"/>
      <c r="L74" s="35"/>
      <c r="M74" s="35"/>
      <c r="N74" s="35"/>
      <c r="O74" s="34">
        <f>IFERROR(VLOOKUP("14_"&amp;A74,SyS!$B:$P,10,FALSE()),0)</f>
      </c>
      <c r="P74" s="35">
        <f>IFERROR(VLOOKUP("14_"&amp;A74,SyS!$B:$P,12,FALSE()),0)</f>
      </c>
      <c r="Q74" s="36">
        <f>+O74-P74</f>
      </c>
      <c r="R74" s="34">
        <f>IFERROR(VLOOKUP("15_"&amp;A74,SyS!$B:$P,10,FALSE()),0)</f>
      </c>
      <c r="S74" s="35">
        <f>IFERROR(VLOOKUP("15_"&amp;A74,SyS!$B:$P,12,FALSE()),0)</f>
      </c>
      <c r="T74" s="36">
        <f>+R74-S74</f>
      </c>
      <c r="U74" s="34">
        <f>IFERROR(VLOOKUP("16_"&amp;A74,SyS!$B:$P,10,FALSE()),0)</f>
      </c>
      <c r="V74" s="35">
        <f>IFERROR(VLOOKUP("16_"&amp;A74,SyS!$B:$P,12,FALSE()),0)</f>
      </c>
      <c r="W74" s="36">
        <f>+U74-V74</f>
      </c>
      <c r="X74" s="34">
        <f>IFERROR(VLOOKUP("13_"&amp;A74,SyS!$B:$P,10,FALSE()),0)</f>
      </c>
      <c r="Y74" s="35">
        <f>IFERROR(VLOOKUP("13_"&amp;A74,SyS!$B:$P,12,FALSE()),0)</f>
      </c>
      <c r="Z74" s="36">
        <f>+X74-Y74</f>
      </c>
      <c r="AA74" s="34">
        <f>IFERROR(VLOOKUP("17_"&amp;A74,SyS!$B:$P,10,FALSE()),0)</f>
      </c>
      <c r="AB74" s="35">
        <f>IFERROR(VLOOKUP("17_"&amp;A74,SyS!$B:$P,12,FALSE()),0)</f>
      </c>
      <c r="AC74" s="36">
        <f>+AA74-AB74</f>
      </c>
      <c r="AD74" s="35"/>
      <c r="AE74" s="35"/>
      <c r="AF74" s="35"/>
      <c r="AG74" s="35">
        <f>IFERROR(VLOOKUP("19_"&amp;A74,SyS!$B:$P,10,FALSE()),0)</f>
      </c>
      <c r="AH74" s="35">
        <f>IFERROR(VLOOKUP("19_"&amp;A74,SyS!$B:$P,12,FALSE()),0)</f>
      </c>
      <c r="AI74" s="35">
        <f>+AG74-AH74</f>
      </c>
      <c r="AJ74" s="35"/>
      <c r="AK74" s="35"/>
      <c r="AL74" s="35"/>
      <c r="AM74" s="34">
        <f>IFERROR(VLOOKUP("23_"&amp;A74,SyS!$B:$P,10,FALSE()),0)</f>
      </c>
      <c r="AN74" s="35">
        <f>IFERROR(VLOOKUP("23_"&amp;A74,SyS!$B:$P,12,FALSE()),0)</f>
      </c>
      <c r="AO74" s="36">
        <f>+AM74-AN74</f>
      </c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>
        <f>IFERROR(VLOOKUP("29_"&amp;A74,SyS!$B:$P,10,FALSE()),0)</f>
      </c>
      <c r="BL74" s="40">
        <f>IFERROR(VLOOKUP("29_"&amp;A74,SyS!$B:$P,12,FALSE()),0)</f>
      </c>
      <c r="BM74" s="40">
        <f>+BK74-BL74</f>
      </c>
      <c r="BN74" s="42">
        <f>IFERROR(VLOOKUP("30_"&amp;A74,SyS!$B:$P,10,FALSE()),0)</f>
      </c>
      <c r="BO74" s="40">
        <f>IFERROR(VLOOKUP("30_"&amp;A74,SyS!$B:$P,12,FALSE()),0)</f>
      </c>
      <c r="BP74" s="43">
        <f>+BN74-BO74</f>
      </c>
      <c r="BQ74" s="44">
        <f>+E74+H74+K74+N74+Q74+T74+W74+Z74+AC74+AF74+AI74+AL74+AO74+AR74+AU74+AX74+BA74+BD74+BG74+BJ74+BM74+BP74</f>
      </c>
    </row>
    <row r="75" ht="11.25" customHeight="1" spans="1:69" x14ac:dyDescent="0.25">
      <c r="A75" s="41">
        <v>425960000</v>
      </c>
      <c r="B75" s="9" t="s">
        <v>112</v>
      </c>
      <c r="C75" s="34">
        <f>IFERROR(VLOOKUP("1_"&amp;A75,SyS!$B:$P,10,FALSE()),0)</f>
      </c>
      <c r="D75" s="35">
        <f>IFERROR(VLOOKUP("1_"&amp;A75,SyS!$B:$P,12,FALSE()),0)</f>
      </c>
      <c r="E75" s="35">
        <f>+C75-D75</f>
      </c>
      <c r="F75" s="34">
        <f>IFERROR(VLOOKUP("2_"&amp;A75,SyS!$B:$P,10,FALSE()),0)</f>
      </c>
      <c r="G75" s="35">
        <f>IFERROR(VLOOKUP("2_"&amp;A75,SyS!$B:$P,12,FALSE()),0)</f>
      </c>
      <c r="H75" s="36">
        <f>+F75-G75</f>
      </c>
      <c r="I75" s="35"/>
      <c r="J75" s="35"/>
      <c r="K75" s="35"/>
      <c r="L75" s="35"/>
      <c r="M75" s="35"/>
      <c r="N75" s="35"/>
      <c r="O75" s="34">
        <f>IFERROR(VLOOKUP("14_"&amp;A75,SyS!$B:$P,10,FALSE()),0)</f>
      </c>
      <c r="P75" s="35">
        <f>IFERROR(VLOOKUP("14_"&amp;A75,SyS!$B:$P,12,FALSE()),0)</f>
      </c>
      <c r="Q75" s="36">
        <f>+O75-P75</f>
      </c>
      <c r="R75" s="34">
        <f>IFERROR(VLOOKUP("15_"&amp;A75,SyS!$B:$P,10,FALSE()),0)</f>
      </c>
      <c r="S75" s="35">
        <f>IFERROR(VLOOKUP("15_"&amp;A75,SyS!$B:$P,12,FALSE()),0)</f>
      </c>
      <c r="T75" s="36">
        <f>+R75-S75</f>
      </c>
      <c r="U75" s="34">
        <f>IFERROR(VLOOKUP("16_"&amp;A75,SyS!$B:$P,10,FALSE()),0)</f>
      </c>
      <c r="V75" s="35">
        <f>IFERROR(VLOOKUP("16_"&amp;A75,SyS!$B:$P,12,FALSE()),0)</f>
      </c>
      <c r="W75" s="36">
        <f>+U75-V75</f>
      </c>
      <c r="X75" s="34">
        <f>IFERROR(VLOOKUP("13_"&amp;A75,SyS!$B:$P,10,FALSE()),0)</f>
      </c>
      <c r="Y75" s="35">
        <f>IFERROR(VLOOKUP("13_"&amp;A75,SyS!$B:$P,12,FALSE()),0)</f>
      </c>
      <c r="Z75" s="36">
        <f>+X75-Y75</f>
      </c>
      <c r="AA75" s="34">
        <f>IFERROR(VLOOKUP("17_"&amp;A75,SyS!$B:$P,10,FALSE()),0)</f>
      </c>
      <c r="AB75" s="35">
        <f>IFERROR(VLOOKUP("17_"&amp;A75,SyS!$B:$P,12,FALSE()),0)</f>
      </c>
      <c r="AC75" s="36">
        <f>+AA75-AB75</f>
      </c>
      <c r="AD75" s="35"/>
      <c r="AE75" s="35"/>
      <c r="AF75" s="35"/>
      <c r="AG75" s="35">
        <f>IFERROR(VLOOKUP("19_"&amp;A75,SyS!$B:$P,10,FALSE()),0)</f>
      </c>
      <c r="AH75" s="35">
        <f>IFERROR(VLOOKUP("19_"&amp;A75,SyS!$B:$P,12,FALSE()),0)</f>
      </c>
      <c r="AI75" s="35">
        <f>+AG75-AH75</f>
      </c>
      <c r="AJ75" s="35"/>
      <c r="AK75" s="35"/>
      <c r="AL75" s="35"/>
      <c r="AM75" s="34">
        <f>IFERROR(VLOOKUP("23_"&amp;A75,SyS!$B:$P,10,FALSE()),0)</f>
      </c>
      <c r="AN75" s="35">
        <f>IFERROR(VLOOKUP("23_"&amp;A75,SyS!$B:$P,12,FALSE()),0)</f>
      </c>
      <c r="AO75" s="36">
        <f>+AM75-AN75</f>
      </c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>
        <f>IFERROR(VLOOKUP("29_"&amp;A75,SyS!$B:$P,10,FALSE()),0)</f>
      </c>
      <c r="BL75" s="40">
        <f>IFERROR(VLOOKUP("29_"&amp;A75,SyS!$B:$P,12,FALSE()),0)</f>
      </c>
      <c r="BM75" s="40">
        <f>+BK75-BL75</f>
      </c>
      <c r="BN75" s="42">
        <f>IFERROR(VLOOKUP("30_"&amp;A75,SyS!$B:$P,10,FALSE()),0)</f>
      </c>
      <c r="BO75" s="40">
        <f>IFERROR(VLOOKUP("30_"&amp;A75,SyS!$B:$P,12,FALSE()),0)</f>
      </c>
      <c r="BP75" s="43">
        <f>+BN75-BO75</f>
      </c>
      <c r="BQ75" s="44">
        <f>+E75+H75+K75+N75+Q75+T75+W75+Z75+AC75+AF75+AI75+AL75+AO75+AR75+AU75+AX75+BA75+BD75+BG75+BJ75+BM75+BP75</f>
      </c>
    </row>
    <row r="76" ht="11.25" customHeight="1" spans="1:69" x14ac:dyDescent="0.25">
      <c r="A76" s="41">
        <v>425980000</v>
      </c>
      <c r="B76" s="9" t="s">
        <v>113</v>
      </c>
      <c r="C76" s="34">
        <f>IFERROR(VLOOKUP("1_"&amp;A76,SyS!$B:$P,10,FALSE()),0)</f>
      </c>
      <c r="D76" s="35">
        <f>IFERROR(VLOOKUP("1_"&amp;A76,SyS!$B:$P,12,FALSE()),0)</f>
      </c>
      <c r="E76" s="35">
        <f>+C76-D76</f>
      </c>
      <c r="F76" s="34">
        <f>IFERROR(VLOOKUP("2_"&amp;A76,SyS!$B:$P,10,FALSE()),0)</f>
      </c>
      <c r="G76" s="35">
        <f>IFERROR(VLOOKUP("2_"&amp;A76,SyS!$B:$P,12,FALSE()),0)</f>
      </c>
      <c r="H76" s="36">
        <f>+F76-G76</f>
      </c>
      <c r="I76" s="35"/>
      <c r="J76" s="35"/>
      <c r="K76" s="35"/>
      <c r="L76" s="35"/>
      <c r="M76" s="35"/>
      <c r="N76" s="35"/>
      <c r="O76" s="34">
        <f>IFERROR(VLOOKUP("14_"&amp;A76,SyS!$B:$P,10,FALSE()),0)</f>
      </c>
      <c r="P76" s="35">
        <f>IFERROR(VLOOKUP("14_"&amp;A76,SyS!$B:$P,12,FALSE()),0)</f>
      </c>
      <c r="Q76" s="36">
        <f>+O76-P76</f>
      </c>
      <c r="R76" s="34">
        <f>IFERROR(VLOOKUP("15_"&amp;A76,SyS!$B:$P,10,FALSE()),0)</f>
      </c>
      <c r="S76" s="35">
        <f>IFERROR(VLOOKUP("15_"&amp;A76,SyS!$B:$P,12,FALSE()),0)</f>
      </c>
      <c r="T76" s="36">
        <f>+R76-S76</f>
      </c>
      <c r="U76" s="34">
        <f>IFERROR(VLOOKUP("16_"&amp;A76,SyS!$B:$P,10,FALSE()),0)</f>
      </c>
      <c r="V76" s="35">
        <f>IFERROR(VLOOKUP("16_"&amp;A76,SyS!$B:$P,12,FALSE()),0)</f>
      </c>
      <c r="W76" s="36">
        <f>+U76-V76</f>
      </c>
      <c r="X76" s="34">
        <f>IFERROR(VLOOKUP("13_"&amp;A76,SyS!$B:$P,10,FALSE()),0)</f>
      </c>
      <c r="Y76" s="35">
        <f>IFERROR(VLOOKUP("13_"&amp;A76,SyS!$B:$P,12,FALSE()),0)</f>
      </c>
      <c r="Z76" s="36">
        <f>+X76-Y76</f>
      </c>
      <c r="AA76" s="34">
        <f>IFERROR(VLOOKUP("17_"&amp;A76,SyS!$B:$P,10,FALSE()),0)</f>
      </c>
      <c r="AB76" s="35">
        <f>IFERROR(VLOOKUP("17_"&amp;A76,SyS!$B:$P,12,FALSE()),0)</f>
      </c>
      <c r="AC76" s="36">
        <f>+AA76-AB76</f>
      </c>
      <c r="AD76" s="35"/>
      <c r="AE76" s="35"/>
      <c r="AF76" s="35"/>
      <c r="AG76" s="35">
        <f>IFERROR(VLOOKUP("19_"&amp;A76,SyS!$B:$P,10,FALSE()),0)</f>
      </c>
      <c r="AH76" s="35">
        <f>IFERROR(VLOOKUP("19_"&amp;A76,SyS!$B:$P,12,FALSE()),0)</f>
      </c>
      <c r="AI76" s="35">
        <f>+AG76-AH76</f>
      </c>
      <c r="AJ76" s="35"/>
      <c r="AK76" s="35"/>
      <c r="AL76" s="35"/>
      <c r="AM76" s="34">
        <f>IFERROR(VLOOKUP("23_"&amp;A76,SyS!$B:$P,10,FALSE()),0)</f>
      </c>
      <c r="AN76" s="35">
        <f>IFERROR(VLOOKUP("23_"&amp;A76,SyS!$B:$P,12,FALSE()),0)</f>
      </c>
      <c r="AO76" s="36">
        <f>+AM76-AN76</f>
      </c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>
        <f>IFERROR(VLOOKUP("29_"&amp;A76,SyS!$B:$P,10,FALSE()),0)</f>
      </c>
      <c r="BL76" s="40">
        <f>IFERROR(VLOOKUP("29_"&amp;A76,SyS!$B:$P,12,FALSE()),0)</f>
      </c>
      <c r="BM76" s="40">
        <f>+BK76-BL76</f>
      </c>
      <c r="BN76" s="42">
        <f>IFERROR(VLOOKUP("30_"&amp;A76,SyS!$B:$P,10,FALSE()),0)</f>
      </c>
      <c r="BO76" s="40">
        <f>IFERROR(VLOOKUP("30_"&amp;A76,SyS!$B:$P,12,FALSE()),0)</f>
      </c>
      <c r="BP76" s="43">
        <f>+BN76-BO76</f>
      </c>
      <c r="BQ76" s="44">
        <f>+E76+H76+K76+N76+Q76+T76+W76+Z76+AC76+AF76+AI76+AL76+AO76+AR76+AU76+AX76+BA76+BD76+BG76+BJ76+BM76+BP76</f>
      </c>
    </row>
    <row r="77" ht="11.25" customHeight="1" spans="1:69" x14ac:dyDescent="0.25">
      <c r="A77" s="41">
        <v>425100000</v>
      </c>
      <c r="B77" s="9" t="s">
        <v>114</v>
      </c>
      <c r="C77" s="34">
        <f>IFERROR(VLOOKUP("1_"&amp;A77,SyS!$B:$P,10,FALSE()),0)</f>
      </c>
      <c r="D77" s="35">
        <f>IFERROR(VLOOKUP("1_"&amp;A77,SyS!$B:$P,12,FALSE()),0)</f>
      </c>
      <c r="E77" s="35">
        <f>+C77-D77</f>
      </c>
      <c r="F77" s="34">
        <f>IFERROR(VLOOKUP("2_"&amp;A77,SyS!$B:$P,10,FALSE()),0)</f>
      </c>
      <c r="G77" s="35">
        <f>IFERROR(VLOOKUP("2_"&amp;A77,SyS!$B:$P,12,FALSE()),0)</f>
      </c>
      <c r="H77" s="36">
        <f>+F77-G77</f>
      </c>
      <c r="I77" s="35"/>
      <c r="J77" s="35"/>
      <c r="K77" s="35"/>
      <c r="L77" s="35"/>
      <c r="M77" s="35"/>
      <c r="N77" s="35"/>
      <c r="O77" s="34">
        <f>IFERROR(VLOOKUP("14_"&amp;A77,SyS!$B:$P,10,FALSE()),0)</f>
      </c>
      <c r="P77" s="35">
        <f>IFERROR(VLOOKUP("14_"&amp;A77,SyS!$B:$P,12,FALSE()),0)</f>
      </c>
      <c r="Q77" s="36">
        <f>+O77-P77</f>
      </c>
      <c r="R77" s="34">
        <f>IFERROR(VLOOKUP("15_"&amp;A77,SyS!$B:$P,10,FALSE()),0)</f>
      </c>
      <c r="S77" s="35">
        <f>IFERROR(VLOOKUP("15_"&amp;A77,SyS!$B:$P,12,FALSE()),0)</f>
      </c>
      <c r="T77" s="36">
        <f>+R77-S77</f>
      </c>
      <c r="U77" s="34">
        <f>IFERROR(VLOOKUP("16_"&amp;A77,SyS!$B:$P,10,FALSE()),0)</f>
      </c>
      <c r="V77" s="35">
        <f>IFERROR(VLOOKUP("16_"&amp;A77,SyS!$B:$P,12,FALSE()),0)</f>
      </c>
      <c r="W77" s="36">
        <f>+U77-V77</f>
      </c>
      <c r="X77" s="34">
        <f>IFERROR(VLOOKUP("13_"&amp;A77,SyS!$B:$P,10,FALSE()),0)</f>
      </c>
      <c r="Y77" s="35">
        <f>IFERROR(VLOOKUP("13_"&amp;A77,SyS!$B:$P,12,FALSE()),0)</f>
      </c>
      <c r="Z77" s="36">
        <f>+X77-Y77</f>
      </c>
      <c r="AA77" s="34">
        <f>IFERROR(VLOOKUP("17_"&amp;A77,SyS!$B:$P,10,FALSE()),0)</f>
      </c>
      <c r="AB77" s="35">
        <f>IFERROR(VLOOKUP("17_"&amp;A77,SyS!$B:$P,12,FALSE()),0)</f>
      </c>
      <c r="AC77" s="36">
        <f>+AA77-AB77</f>
      </c>
      <c r="AD77" s="35"/>
      <c r="AE77" s="35"/>
      <c r="AF77" s="35"/>
      <c r="AG77" s="35">
        <f>IFERROR(VLOOKUP("19_"&amp;A77,SyS!$B:$P,10,FALSE()),0)</f>
      </c>
      <c r="AH77" s="35">
        <f>IFERROR(VLOOKUP("19_"&amp;A77,SyS!$B:$P,12,FALSE()),0)</f>
      </c>
      <c r="AI77" s="35">
        <f>+AG77-AH77</f>
      </c>
      <c r="AJ77" s="35"/>
      <c r="AK77" s="35"/>
      <c r="AL77" s="35"/>
      <c r="AM77" s="34">
        <f>IFERROR(VLOOKUP("23_"&amp;A77,SyS!$B:$P,10,FALSE()),0)</f>
      </c>
      <c r="AN77" s="35">
        <f>IFERROR(VLOOKUP("23_"&amp;A77,SyS!$B:$P,12,FALSE()),0)</f>
      </c>
      <c r="AO77" s="36">
        <f>+AM77-AN77</f>
      </c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>
        <f>IFERROR(VLOOKUP("29_"&amp;A77,SyS!$B:$P,10,FALSE()),0)</f>
      </c>
      <c r="BL77" s="40">
        <f>IFERROR(VLOOKUP("29_"&amp;A77,SyS!$B:$P,12,FALSE()),0)</f>
      </c>
      <c r="BM77" s="40">
        <f>+BK77-BL77</f>
      </c>
      <c r="BN77" s="42">
        <f>IFERROR(VLOOKUP("30_"&amp;A77,SyS!$B:$P,10,FALSE()),0)</f>
      </c>
      <c r="BO77" s="40">
        <f>IFERROR(VLOOKUP("30_"&amp;A77,SyS!$B:$P,12,FALSE()),0)</f>
      </c>
      <c r="BP77" s="43">
        <f>+BN77-BO77</f>
      </c>
      <c r="BQ77" s="44">
        <f>+E77+H77+K77+N77+Q77+T77+W77+Z77+AC77+AF77+AI77+AL77+AO77+AR77+AU77+AX77+BA77+BD77+BG77+BJ77+BM77+BP77</f>
      </c>
    </row>
    <row r="78" ht="11.25" customHeight="1" spans="1:69" x14ac:dyDescent="0.25">
      <c r="A78" s="41">
        <v>425330000</v>
      </c>
      <c r="B78" s="9" t="s">
        <v>115</v>
      </c>
      <c r="C78" s="34">
        <f>IFERROR(VLOOKUP("1_"&amp;A78,SyS!$B:$P,10,FALSE()),0)</f>
      </c>
      <c r="D78" s="35">
        <f>IFERROR(VLOOKUP("1_"&amp;A78,SyS!$B:$P,12,FALSE()),0)</f>
      </c>
      <c r="E78" s="35">
        <f>+C78-D78</f>
      </c>
      <c r="F78" s="34">
        <f>IFERROR(VLOOKUP("2_"&amp;A78,SyS!$B:$P,10,FALSE()),0)</f>
      </c>
      <c r="G78" s="35">
        <f>IFERROR(VLOOKUP("2_"&amp;A78,SyS!$B:$P,12,FALSE()),0)</f>
      </c>
      <c r="H78" s="36">
        <f>+F78-G78</f>
      </c>
      <c r="I78" s="35"/>
      <c r="J78" s="35"/>
      <c r="K78" s="35"/>
      <c r="L78" s="35"/>
      <c r="M78" s="35"/>
      <c r="N78" s="35"/>
      <c r="O78" s="34">
        <f>IFERROR(VLOOKUP("14_"&amp;A78,SyS!$B:$P,10,FALSE()),0)</f>
      </c>
      <c r="P78" s="35">
        <f>IFERROR(VLOOKUP("14_"&amp;A78,SyS!$B:$P,12,FALSE()),0)</f>
      </c>
      <c r="Q78" s="36">
        <f>+O78-P78</f>
      </c>
      <c r="R78" s="34">
        <f>IFERROR(VLOOKUP("15_"&amp;A78,SyS!$B:$P,10,FALSE()),0)</f>
      </c>
      <c r="S78" s="35">
        <f>IFERROR(VLOOKUP("15_"&amp;A78,SyS!$B:$P,12,FALSE()),0)</f>
      </c>
      <c r="T78" s="36">
        <f>+R78-S78</f>
      </c>
      <c r="U78" s="34">
        <f>IFERROR(VLOOKUP("16_"&amp;A78,SyS!$B:$P,10,FALSE()),0)</f>
      </c>
      <c r="V78" s="35">
        <f>IFERROR(VLOOKUP("16_"&amp;A78,SyS!$B:$P,12,FALSE()),0)</f>
      </c>
      <c r="W78" s="36">
        <f>+U78-V78</f>
      </c>
      <c r="X78" s="34">
        <f>IFERROR(VLOOKUP("13_"&amp;A78,SyS!$B:$P,10,FALSE()),0)</f>
      </c>
      <c r="Y78" s="35">
        <f>IFERROR(VLOOKUP("13_"&amp;A78,SyS!$B:$P,12,FALSE()),0)</f>
      </c>
      <c r="Z78" s="36">
        <f>+X78-Y78</f>
      </c>
      <c r="AA78" s="34">
        <f>IFERROR(VLOOKUP("17_"&amp;A78,SyS!$B:$P,10,FALSE()),0)</f>
      </c>
      <c r="AB78" s="35">
        <f>IFERROR(VLOOKUP("17_"&amp;A78,SyS!$B:$P,12,FALSE()),0)</f>
      </c>
      <c r="AC78" s="36">
        <f>+AA78-AB78</f>
      </c>
      <c r="AD78" s="35"/>
      <c r="AE78" s="35"/>
      <c r="AF78" s="35"/>
      <c r="AG78" s="35">
        <f>IFERROR(VLOOKUP("19_"&amp;A78,SyS!$B:$P,10,FALSE()),0)</f>
      </c>
      <c r="AH78" s="35">
        <f>IFERROR(VLOOKUP("19_"&amp;A78,SyS!$B:$P,12,FALSE()),0)</f>
      </c>
      <c r="AI78" s="35">
        <f>+AG78-AH78</f>
      </c>
      <c r="AJ78" s="35"/>
      <c r="AK78" s="35"/>
      <c r="AL78" s="35"/>
      <c r="AM78" s="34">
        <f>IFERROR(VLOOKUP("23_"&amp;A78,SyS!$B:$P,10,FALSE()),0)</f>
      </c>
      <c r="AN78" s="35">
        <f>IFERROR(VLOOKUP("23_"&amp;A78,SyS!$B:$P,12,FALSE()),0)</f>
      </c>
      <c r="AO78" s="36">
        <f>+AM78-AN78</f>
      </c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>
        <f>IFERROR(VLOOKUP("29_"&amp;A78,SyS!$B:$P,10,FALSE()),0)</f>
      </c>
      <c r="BL78" s="40">
        <f>IFERROR(VLOOKUP("29_"&amp;A78,SyS!$B:$P,12,FALSE()),0)</f>
      </c>
      <c r="BM78" s="40">
        <f>+BK78-BL78</f>
      </c>
      <c r="BN78" s="42">
        <f>IFERROR(VLOOKUP("30_"&amp;A78,SyS!$B:$P,10,FALSE()),0)</f>
      </c>
      <c r="BO78" s="40">
        <f>IFERROR(VLOOKUP("30_"&amp;A78,SyS!$B:$P,12,FALSE()),0)</f>
      </c>
      <c r="BP78" s="43">
        <f>+BN78-BO78</f>
      </c>
      <c r="BQ78" s="44">
        <f>+E78+H78+K78+N78+Q78+T78+W78+Z78+AC78+AF78+AI78+AL78+AO78+AR78+AU78+AX78+BA78+BD78+BG78+BJ78+BM78+BP78</f>
      </c>
    </row>
    <row r="79" ht="11.25" customHeight="1" spans="1:69" x14ac:dyDescent="0.25">
      <c r="A79" s="41">
        <v>421010000</v>
      </c>
      <c r="B79" s="9" t="s">
        <v>116</v>
      </c>
      <c r="C79" s="34">
        <f>IFERROR(VLOOKUP("1_"&amp;A79,SyS!$B:$P,10,FALSE()),0)</f>
      </c>
      <c r="D79" s="35">
        <f>IFERROR(VLOOKUP("1_"&amp;A79,SyS!$B:$P,12,FALSE()),0)</f>
      </c>
      <c r="E79" s="35">
        <f>+C79-D79</f>
      </c>
      <c r="F79" s="34">
        <f>IFERROR(VLOOKUP("2_"&amp;A79,SyS!$B:$P,10,FALSE()),0)</f>
      </c>
      <c r="G79" s="35">
        <f>IFERROR(VLOOKUP("2_"&amp;A79,SyS!$B:$P,12,FALSE()),0)</f>
      </c>
      <c r="H79" s="36">
        <f>+F79-G79</f>
      </c>
      <c r="I79" s="35"/>
      <c r="J79" s="35"/>
      <c r="K79" s="35"/>
      <c r="L79" s="35"/>
      <c r="M79" s="35"/>
      <c r="N79" s="35"/>
      <c r="O79" s="34">
        <f>IFERROR(VLOOKUP("14_"&amp;A79,SyS!$B:$P,10,FALSE()),0)</f>
      </c>
      <c r="P79" s="35">
        <f>IFERROR(VLOOKUP("14_"&amp;A79,SyS!$B:$P,12,FALSE()),0)</f>
      </c>
      <c r="Q79" s="36">
        <f>+O79-P79</f>
      </c>
      <c r="R79" s="34">
        <f>IFERROR(VLOOKUP("15_"&amp;A79,SyS!$B:$P,10,FALSE()),0)</f>
      </c>
      <c r="S79" s="35">
        <f>IFERROR(VLOOKUP("15_"&amp;A79,SyS!$B:$P,12,FALSE()),0)</f>
      </c>
      <c r="T79" s="36">
        <f>+R79-S79</f>
      </c>
      <c r="U79" s="34">
        <f>IFERROR(VLOOKUP("16_"&amp;A79,SyS!$B:$P,10,FALSE()),0)</f>
      </c>
      <c r="V79" s="35">
        <f>IFERROR(VLOOKUP("16_"&amp;A79,SyS!$B:$P,12,FALSE()),0)</f>
      </c>
      <c r="W79" s="36">
        <f>+U79-V79</f>
      </c>
      <c r="X79" s="34">
        <f>IFERROR(VLOOKUP("13_"&amp;A79,SyS!$B:$P,10,FALSE()),0)</f>
      </c>
      <c r="Y79" s="35">
        <f>IFERROR(VLOOKUP("13_"&amp;A79,SyS!$B:$P,12,FALSE()),0)</f>
      </c>
      <c r="Z79" s="36">
        <f>+X79-Y79</f>
      </c>
      <c r="AA79" s="34">
        <f>IFERROR(VLOOKUP("17_"&amp;A79,SyS!$B:$P,10,FALSE()),0)</f>
      </c>
      <c r="AB79" s="35">
        <f>IFERROR(VLOOKUP("17_"&amp;A79,SyS!$B:$P,12,FALSE()),0)</f>
      </c>
      <c r="AC79" s="36">
        <f>+AA79-AB79</f>
      </c>
      <c r="AD79" s="35"/>
      <c r="AE79" s="35"/>
      <c r="AF79" s="35"/>
      <c r="AG79" s="35">
        <f>IFERROR(VLOOKUP("19_"&amp;A79,SyS!$B:$P,10,FALSE()),0)</f>
      </c>
      <c r="AH79" s="35">
        <f>IFERROR(VLOOKUP("19_"&amp;A79,SyS!$B:$P,12,FALSE()),0)</f>
      </c>
      <c r="AI79" s="35">
        <f>+AG79-AH79</f>
      </c>
      <c r="AJ79" s="35"/>
      <c r="AK79" s="35"/>
      <c r="AL79" s="35"/>
      <c r="AM79" s="34">
        <f>IFERROR(VLOOKUP("23_"&amp;A79,SyS!$B:$P,10,FALSE()),0)</f>
      </c>
      <c r="AN79" s="35">
        <f>IFERROR(VLOOKUP("23_"&amp;A79,SyS!$B:$P,12,FALSE()),0)</f>
      </c>
      <c r="AO79" s="36">
        <f>+AM79-AN79</f>
      </c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>
        <f>IFERROR(VLOOKUP("29_"&amp;A79,SyS!$B:$P,10,FALSE()),0)</f>
      </c>
      <c r="BL79" s="40">
        <f>IFERROR(VLOOKUP("29_"&amp;A79,SyS!$B:$P,12,FALSE()),0)</f>
      </c>
      <c r="BM79" s="40">
        <f>+BK79-BL79</f>
      </c>
      <c r="BN79" s="42">
        <f>IFERROR(VLOOKUP("30_"&amp;A79,SyS!$B:$P,10,FALSE()),0)</f>
      </c>
      <c r="BO79" s="40">
        <f>IFERROR(VLOOKUP("30_"&amp;A79,SyS!$B:$P,12,FALSE()),0)</f>
      </c>
      <c r="BP79" s="43">
        <f>+BN79-BO79</f>
      </c>
      <c r="BQ79" s="44">
        <f>+E79+H79+K79+N79+Q79+T79+W79+Z79+AC79+AF79+AI79+AL79+AO79+AR79+AU79+AX79+BA79+BD79+BG79+BJ79+BM79+BP79</f>
      </c>
    </row>
    <row r="80" ht="11.25" customHeight="1" spans="1:69" x14ac:dyDescent="0.25">
      <c r="A80" s="41">
        <v>421020000</v>
      </c>
      <c r="B80" s="47" t="s">
        <v>117</v>
      </c>
      <c r="C80" s="34">
        <f>IFERROR(VLOOKUP("1_"&amp;A80,SyS!$B:$P,10,FALSE()),0)</f>
      </c>
      <c r="D80" s="35">
        <f>IFERROR(VLOOKUP("1_"&amp;A80,SyS!$B:$P,12,FALSE()),0)</f>
      </c>
      <c r="E80" s="35">
        <f>+C80-D80</f>
      </c>
      <c r="F80" s="34">
        <f>IFERROR(VLOOKUP("2_"&amp;A80,SyS!$B:$P,10,FALSE()),0)</f>
      </c>
      <c r="G80" s="35">
        <f>IFERROR(VLOOKUP("2_"&amp;A80,SyS!$B:$P,12,FALSE()),0)</f>
      </c>
      <c r="H80" s="36">
        <f>+F80-G80</f>
      </c>
      <c r="I80" s="35"/>
      <c r="J80" s="35"/>
      <c r="K80" s="35"/>
      <c r="L80" s="35"/>
      <c r="M80" s="35"/>
      <c r="N80" s="35"/>
      <c r="O80" s="34">
        <f>IFERROR(VLOOKUP("14_"&amp;A80,SyS!$B:$P,10,FALSE()),0)</f>
      </c>
      <c r="P80" s="35">
        <f>IFERROR(VLOOKUP("14_"&amp;A80,SyS!$B:$P,12,FALSE()),0)</f>
      </c>
      <c r="Q80" s="36">
        <f>+O80-P80</f>
      </c>
      <c r="R80" s="34">
        <f>IFERROR(VLOOKUP("15_"&amp;A80,SyS!$B:$P,10,FALSE()),0)</f>
      </c>
      <c r="S80" s="35">
        <f>IFERROR(VLOOKUP("15_"&amp;A80,SyS!$B:$P,12,FALSE()),0)</f>
      </c>
      <c r="T80" s="36">
        <f>+R80-S80</f>
      </c>
      <c r="U80" s="34">
        <f>IFERROR(VLOOKUP("16_"&amp;A80,SyS!$B:$P,10,FALSE()),0)</f>
      </c>
      <c r="V80" s="35">
        <f>IFERROR(VLOOKUP("16_"&amp;A80,SyS!$B:$P,12,FALSE()),0)</f>
      </c>
      <c r="W80" s="36">
        <f>+U80-V80</f>
      </c>
      <c r="X80" s="34">
        <f>IFERROR(VLOOKUP("13_"&amp;A80,SyS!$B:$P,10,FALSE()),0)</f>
      </c>
      <c r="Y80" s="35">
        <f>IFERROR(VLOOKUP("13_"&amp;A80,SyS!$B:$P,12,FALSE()),0)</f>
      </c>
      <c r="Z80" s="36">
        <f>+X80-Y80</f>
      </c>
      <c r="AA80" s="34">
        <f>IFERROR(VLOOKUP("17_"&amp;A80,SyS!$B:$P,10,FALSE()),0)</f>
      </c>
      <c r="AB80" s="35">
        <f>IFERROR(VLOOKUP("17_"&amp;A80,SyS!$B:$P,12,FALSE()),0)</f>
      </c>
      <c r="AC80" s="36">
        <f>+AA80-AB80</f>
      </c>
      <c r="AD80" s="35"/>
      <c r="AE80" s="35"/>
      <c r="AF80" s="35"/>
      <c r="AG80" s="35">
        <f>IFERROR(VLOOKUP("19_"&amp;A80,SyS!$B:$P,10,FALSE()),0)</f>
      </c>
      <c r="AH80" s="35">
        <f>IFERROR(VLOOKUP("19_"&amp;A80,SyS!$B:$P,12,FALSE()),0)</f>
      </c>
      <c r="AI80" s="35">
        <f>+AG80-AH80</f>
      </c>
      <c r="AJ80" s="35"/>
      <c r="AK80" s="35"/>
      <c r="AL80" s="35"/>
      <c r="AM80" s="34">
        <f>IFERROR(VLOOKUP("23_"&amp;A80,SyS!$B:$P,10,FALSE()),0)</f>
      </c>
      <c r="AN80" s="35">
        <f>IFERROR(VLOOKUP("23_"&amp;A80,SyS!$B:$P,12,FALSE()),0)</f>
      </c>
      <c r="AO80" s="36">
        <f>+AM80-AN80</f>
      </c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>
        <f>IFERROR(VLOOKUP("29_"&amp;A80,SyS!$B:$P,10,FALSE()),0)</f>
      </c>
      <c r="BL80" s="40">
        <f>IFERROR(VLOOKUP("29_"&amp;A80,SyS!$B:$P,12,FALSE()),0)</f>
      </c>
      <c r="BM80" s="40">
        <f>+BK80-BL80</f>
      </c>
      <c r="BN80" s="42">
        <f>IFERROR(VLOOKUP("30_"&amp;A80,SyS!$B:$P,10,FALSE()),0)</f>
      </c>
      <c r="BO80" s="40">
        <f>IFERROR(VLOOKUP("30_"&amp;A80,SyS!$B:$P,12,FALSE()),0)</f>
      </c>
      <c r="BP80" s="43">
        <f>+BN80-BO80</f>
      </c>
      <c r="BQ80" s="44">
        <f>+E80+H80+K80+N80+Q80+T80+W80+Z80+AC80+AF80+AI80+AL80+AO80+AR80+AU80+AX80+BA80+BD80+BG80+BJ80+BM80+BP80</f>
      </c>
    </row>
    <row r="81" ht="11.25" customHeight="1" spans="1:69" x14ac:dyDescent="0.25">
      <c r="A81" s="41">
        <v>421100000</v>
      </c>
      <c r="B81" s="47" t="s">
        <v>118</v>
      </c>
      <c r="C81" s="34">
        <f>IFERROR(VLOOKUP("1_"&amp;A81,SyS!$B:$P,10,FALSE()),0)</f>
      </c>
      <c r="D81" s="35">
        <f>IFERROR(VLOOKUP("1_"&amp;A81,SyS!$B:$P,12,FALSE()),0)</f>
      </c>
      <c r="E81" s="35">
        <f>+C81-D81</f>
      </c>
      <c r="F81" s="34">
        <f>IFERROR(VLOOKUP("2_"&amp;A81,SyS!$B:$P,10,FALSE()),0)</f>
      </c>
      <c r="G81" s="35">
        <f>IFERROR(VLOOKUP("2_"&amp;A81,SyS!$B:$P,12,FALSE()),0)</f>
      </c>
      <c r="H81" s="36">
        <f>+F81-G81</f>
      </c>
      <c r="I81" s="35"/>
      <c r="J81" s="35"/>
      <c r="K81" s="35"/>
      <c r="L81" s="35"/>
      <c r="M81" s="35"/>
      <c r="N81" s="35"/>
      <c r="O81" s="34">
        <f>IFERROR(VLOOKUP("14_"&amp;A81,SyS!$B:$P,10,FALSE()),0)</f>
      </c>
      <c r="P81" s="35">
        <f>IFERROR(VLOOKUP("14_"&amp;A81,SyS!$B:$P,12,FALSE()),0)</f>
      </c>
      <c r="Q81" s="36">
        <f>+O81-P81</f>
      </c>
      <c r="R81" s="34">
        <f>IFERROR(VLOOKUP("15_"&amp;A81,SyS!$B:$P,10,FALSE()),0)</f>
      </c>
      <c r="S81" s="35">
        <f>IFERROR(VLOOKUP("15_"&amp;A81,SyS!$B:$P,12,FALSE()),0)</f>
      </c>
      <c r="T81" s="36">
        <f>+R81-S81</f>
      </c>
      <c r="U81" s="34">
        <f>IFERROR(VLOOKUP("16_"&amp;A81,SyS!$B:$P,10,FALSE()),0)</f>
      </c>
      <c r="V81" s="35">
        <f>IFERROR(VLOOKUP("16_"&amp;A81,SyS!$B:$P,12,FALSE()),0)</f>
      </c>
      <c r="W81" s="36">
        <f>+U81-V81</f>
      </c>
      <c r="X81" s="34">
        <f>IFERROR(VLOOKUP("13_"&amp;A81,SyS!$B:$P,10,FALSE()),0)</f>
      </c>
      <c r="Y81" s="35">
        <f>IFERROR(VLOOKUP("13_"&amp;A81,SyS!$B:$P,12,FALSE()),0)</f>
      </c>
      <c r="Z81" s="36">
        <f>+X81-Y81</f>
      </c>
      <c r="AA81" s="34">
        <f>IFERROR(VLOOKUP("17_"&amp;A81,SyS!$B:$P,10,FALSE()),0)</f>
      </c>
      <c r="AB81" s="35">
        <f>IFERROR(VLOOKUP("17_"&amp;A81,SyS!$B:$P,12,FALSE()),0)</f>
      </c>
      <c r="AC81" s="36">
        <f>+AA81-AB81</f>
      </c>
      <c r="AD81" s="35"/>
      <c r="AE81" s="35"/>
      <c r="AF81" s="35"/>
      <c r="AG81" s="35">
        <f>IFERROR(VLOOKUP("19_"&amp;A81,SyS!$B:$P,10,FALSE()),0)</f>
      </c>
      <c r="AH81" s="35">
        <f>IFERROR(VLOOKUP("19_"&amp;A81,SyS!$B:$P,12,FALSE()),0)</f>
      </c>
      <c r="AI81" s="35">
        <f>+AG81-AH81</f>
      </c>
      <c r="AJ81" s="35"/>
      <c r="AK81" s="35"/>
      <c r="AL81" s="35"/>
      <c r="AM81" s="34">
        <f>IFERROR(VLOOKUP("23_"&amp;A81,SyS!$B:$P,10,FALSE()),0)</f>
      </c>
      <c r="AN81" s="35">
        <f>IFERROR(VLOOKUP("23_"&amp;A81,SyS!$B:$P,12,FALSE()),0)</f>
      </c>
      <c r="AO81" s="36">
        <f>+AM81-AN81</f>
      </c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>
        <f>IFERROR(VLOOKUP("29_"&amp;A81,SyS!$B:$P,10,FALSE()),0)</f>
      </c>
      <c r="BL81" s="40">
        <f>IFERROR(VLOOKUP("29_"&amp;A81,SyS!$B:$P,12,FALSE()),0)</f>
      </c>
      <c r="BM81" s="40">
        <f>+BK81-BL81</f>
      </c>
      <c r="BN81" s="42">
        <f>IFERROR(VLOOKUP("30_"&amp;A81,SyS!$B:$P,10,FALSE()),0)</f>
      </c>
      <c r="BO81" s="40">
        <f>IFERROR(VLOOKUP("30_"&amp;A81,SyS!$B:$P,12,FALSE()),0)</f>
      </c>
      <c r="BP81" s="43">
        <f>+BN81-BO81</f>
      </c>
      <c r="BQ81" s="44">
        <f>+E81+H81+K81+N81+Q81+T81+W81+Z81+AC81+AF81+AI81+AL81+AO81+AR81+AU81+AX81+BA81+BD81+BG81+BJ81+BM81+BP81</f>
      </c>
    </row>
    <row r="82" ht="11.25" customHeight="1" spans="1:69" x14ac:dyDescent="0.25">
      <c r="A82" s="41">
        <v>421090000</v>
      </c>
      <c r="B82" s="47" t="s">
        <v>119</v>
      </c>
      <c r="C82" s="34">
        <f>IFERROR(VLOOKUP("1_"&amp;A82,SyS!$B:$P,10,FALSE()),0)</f>
      </c>
      <c r="D82" s="35">
        <f>IFERROR(VLOOKUP("1_"&amp;A82,SyS!$B:$P,12,FALSE()),0)</f>
      </c>
      <c r="E82" s="35">
        <f>+C82-D82</f>
      </c>
      <c r="F82" s="34">
        <f>IFERROR(VLOOKUP("2_"&amp;A82,SyS!$B:$P,10,FALSE()),0)</f>
      </c>
      <c r="G82" s="35">
        <f>IFERROR(VLOOKUP("2_"&amp;A82,SyS!$B:$P,12,FALSE()),0)</f>
      </c>
      <c r="H82" s="36">
        <f>+F82-G82</f>
      </c>
      <c r="I82" s="35"/>
      <c r="J82" s="35"/>
      <c r="K82" s="35"/>
      <c r="L82" s="35"/>
      <c r="M82" s="35"/>
      <c r="N82" s="35"/>
      <c r="O82" s="34">
        <f>IFERROR(VLOOKUP("14_"&amp;A82,SyS!$B:$P,10,FALSE()),0)</f>
      </c>
      <c r="P82" s="35">
        <f>IFERROR(VLOOKUP("14_"&amp;A82,SyS!$B:$P,12,FALSE()),0)</f>
      </c>
      <c r="Q82" s="36">
        <f>+O82-P82</f>
      </c>
      <c r="R82" s="34">
        <f>IFERROR(VLOOKUP("15_"&amp;A82,SyS!$B:$P,10,FALSE()),0)</f>
      </c>
      <c r="S82" s="35">
        <f>IFERROR(VLOOKUP("15_"&amp;A82,SyS!$B:$P,12,FALSE()),0)</f>
      </c>
      <c r="T82" s="36">
        <f>+R82-S82</f>
      </c>
      <c r="U82" s="34">
        <f>IFERROR(VLOOKUP("16_"&amp;A82,SyS!$B:$P,10,FALSE()),0)</f>
      </c>
      <c r="V82" s="35">
        <f>IFERROR(VLOOKUP("16_"&amp;A82,SyS!$B:$P,12,FALSE()),0)</f>
      </c>
      <c r="W82" s="36">
        <f>+U82-V82</f>
      </c>
      <c r="X82" s="34">
        <f>IFERROR(VLOOKUP("13_"&amp;A82,SyS!$B:$P,10,FALSE()),0)</f>
      </c>
      <c r="Y82" s="35">
        <f>IFERROR(VLOOKUP("13_"&amp;A82,SyS!$B:$P,12,FALSE()),0)</f>
      </c>
      <c r="Z82" s="36">
        <f>+X82-Y82</f>
      </c>
      <c r="AA82" s="34">
        <f>IFERROR(VLOOKUP("17_"&amp;A82,SyS!$B:$P,10,FALSE()),0)</f>
      </c>
      <c r="AB82" s="35">
        <f>IFERROR(VLOOKUP("17_"&amp;A82,SyS!$B:$P,12,FALSE()),0)</f>
      </c>
      <c r="AC82" s="36">
        <f>+AA82-AB82</f>
      </c>
      <c r="AD82" s="35"/>
      <c r="AE82" s="35"/>
      <c r="AF82" s="35"/>
      <c r="AG82" s="35">
        <f>IFERROR(VLOOKUP("19_"&amp;A82,SyS!$B:$P,10,FALSE()),0)</f>
      </c>
      <c r="AH82" s="35">
        <f>IFERROR(VLOOKUP("19_"&amp;A82,SyS!$B:$P,12,FALSE()),0)</f>
      </c>
      <c r="AI82" s="35">
        <f>+AG82-AH82</f>
      </c>
      <c r="AJ82" s="35"/>
      <c r="AK82" s="35"/>
      <c r="AL82" s="35"/>
      <c r="AM82" s="34">
        <f>IFERROR(VLOOKUP("23_"&amp;A82,SyS!$B:$P,10,FALSE()),0)</f>
      </c>
      <c r="AN82" s="35">
        <f>IFERROR(VLOOKUP("23_"&amp;A82,SyS!$B:$P,12,FALSE()),0)</f>
      </c>
      <c r="AO82" s="36">
        <f>+AM82-AN82</f>
      </c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>
        <f>IFERROR(VLOOKUP("29_"&amp;A82,SyS!$B:$P,10,FALSE()),0)</f>
      </c>
      <c r="BL82" s="40">
        <f>IFERROR(VLOOKUP("29_"&amp;A82,SyS!$B:$P,12,FALSE()),0)</f>
      </c>
      <c r="BM82" s="40">
        <f>+BK82-BL82</f>
      </c>
      <c r="BN82" s="42">
        <f>IFERROR(VLOOKUP("30_"&amp;A82,SyS!$B:$P,10,FALSE()),0)</f>
      </c>
      <c r="BO82" s="40">
        <f>IFERROR(VLOOKUP("30_"&amp;A82,SyS!$B:$P,12,FALSE()),0)</f>
      </c>
      <c r="BP82" s="43">
        <f>+BN82-BO82</f>
      </c>
      <c r="BQ82" s="44">
        <f>+E82+H82+K82+N82+Q82+T82+W82+Z82+AC82+AF82+AI82+AL82+AO82+AR82+AU82+AX82+BA82+BD82+BG82+BJ82+BM82+BP82</f>
      </c>
    </row>
    <row r="83" ht="11.25" customHeight="1" spans="1:69" x14ac:dyDescent="0.25">
      <c r="A83" s="41">
        <v>421110000</v>
      </c>
      <c r="B83" s="9" t="s">
        <v>120</v>
      </c>
      <c r="C83" s="34">
        <f>IFERROR(VLOOKUP("1_"&amp;A83,SyS!$B:$P,10,FALSE()),0)</f>
      </c>
      <c r="D83" s="35">
        <f>IFERROR(VLOOKUP("1_"&amp;A83,SyS!$B:$P,12,FALSE()),0)</f>
      </c>
      <c r="E83" s="35">
        <f>+C83-D83</f>
      </c>
      <c r="F83" s="34">
        <f>IFERROR(VLOOKUP("2_"&amp;A83,SyS!$B:$P,10,FALSE()),0)</f>
      </c>
      <c r="G83" s="35">
        <f>IFERROR(VLOOKUP("2_"&amp;A83,SyS!$B:$P,12,FALSE()),0)</f>
      </c>
      <c r="H83" s="36">
        <f>+F83-G83</f>
      </c>
      <c r="I83" s="35"/>
      <c r="J83" s="35"/>
      <c r="K83" s="35"/>
      <c r="L83" s="35"/>
      <c r="M83" s="35"/>
      <c r="N83" s="35"/>
      <c r="O83" s="34">
        <f>IFERROR(VLOOKUP("14_"&amp;A83,SyS!$B:$P,10,FALSE()),0)</f>
      </c>
      <c r="P83" s="35">
        <f>IFERROR(VLOOKUP("14_"&amp;A83,SyS!$B:$P,12,FALSE()),0)</f>
      </c>
      <c r="Q83" s="36">
        <f>+O83-P83</f>
      </c>
      <c r="R83" s="34">
        <f>IFERROR(VLOOKUP("15_"&amp;A83,SyS!$B:$P,10,FALSE()),0)</f>
      </c>
      <c r="S83" s="35">
        <f>IFERROR(VLOOKUP("15_"&amp;A83,SyS!$B:$P,12,FALSE()),0)</f>
      </c>
      <c r="T83" s="36">
        <f>+R83-S83</f>
      </c>
      <c r="U83" s="34">
        <f>IFERROR(VLOOKUP("16_"&amp;A83,SyS!$B:$P,10,FALSE()),0)</f>
      </c>
      <c r="V83" s="35">
        <f>IFERROR(VLOOKUP("16_"&amp;A83,SyS!$B:$P,12,FALSE()),0)</f>
      </c>
      <c r="W83" s="36">
        <f>+U83-V83</f>
      </c>
      <c r="X83" s="34">
        <f>IFERROR(VLOOKUP("13_"&amp;A83,SyS!$B:$P,10,FALSE()),0)</f>
      </c>
      <c r="Y83" s="35">
        <f>IFERROR(VLOOKUP("13_"&amp;A83,SyS!$B:$P,12,FALSE()),0)</f>
      </c>
      <c r="Z83" s="36">
        <f>+X83-Y83</f>
      </c>
      <c r="AA83" s="34">
        <f>IFERROR(VLOOKUP("17_"&amp;A83,SyS!$B:$P,10,FALSE()),0)</f>
      </c>
      <c r="AB83" s="35">
        <f>IFERROR(VLOOKUP("17_"&amp;A83,SyS!$B:$P,12,FALSE()),0)</f>
      </c>
      <c r="AC83" s="36">
        <f>+AA83-AB83</f>
      </c>
      <c r="AD83" s="35"/>
      <c r="AE83" s="35"/>
      <c r="AF83" s="35"/>
      <c r="AG83" s="35">
        <f>IFERROR(VLOOKUP("19_"&amp;A83,SyS!$B:$P,10,FALSE()),0)</f>
      </c>
      <c r="AH83" s="35">
        <f>IFERROR(VLOOKUP("19_"&amp;A83,SyS!$B:$P,12,FALSE()),0)</f>
      </c>
      <c r="AI83" s="35">
        <f>+AG83-AH83</f>
      </c>
      <c r="AJ83" s="35"/>
      <c r="AK83" s="35"/>
      <c r="AL83" s="35"/>
      <c r="AM83" s="34">
        <f>IFERROR(VLOOKUP("23_"&amp;A83,SyS!$B:$P,10,FALSE()),0)</f>
      </c>
      <c r="AN83" s="35">
        <f>IFERROR(VLOOKUP("23_"&amp;A83,SyS!$B:$P,12,FALSE()),0)</f>
      </c>
      <c r="AO83" s="36">
        <f>+AM83-AN83</f>
      </c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>
        <f>IFERROR(VLOOKUP("29_"&amp;A83,SyS!$B:$P,10,FALSE()),0)</f>
      </c>
      <c r="BL83" s="40">
        <f>IFERROR(VLOOKUP("29_"&amp;A83,SyS!$B:$P,12,FALSE()),0)</f>
      </c>
      <c r="BM83" s="40">
        <f>+BK83-BL83</f>
      </c>
      <c r="BN83" s="42">
        <f>IFERROR(VLOOKUP("30_"&amp;A83,SyS!$B:$P,10,FALSE()),0)</f>
      </c>
      <c r="BO83" s="40">
        <f>IFERROR(VLOOKUP("30_"&amp;A83,SyS!$B:$P,12,FALSE()),0)</f>
      </c>
      <c r="BP83" s="43">
        <f>+BN83-BO83</f>
      </c>
      <c r="BQ83" s="44">
        <f>+E83+H83+K83+N83+Q83+T83+W83+Z83+AC83+AF83+AI83+AL83+AO83+AR83+AU83+AX83+BA83+BD83+BG83+BJ83+BM83+BP83</f>
      </c>
    </row>
    <row r="84" ht="11.25" customHeight="1" spans="1:69" x14ac:dyDescent="0.25">
      <c r="A84" s="41">
        <v>421120000</v>
      </c>
      <c r="B84" s="9" t="s">
        <v>121</v>
      </c>
      <c r="C84" s="34">
        <f>IFERROR(VLOOKUP("1_"&amp;A84,SyS!$B:$P,10,FALSE()),0)</f>
      </c>
      <c r="D84" s="35">
        <f>IFERROR(VLOOKUP("1_"&amp;A84,SyS!$B:$P,12,FALSE()),0)</f>
      </c>
      <c r="E84" s="35">
        <f>+C84-D84</f>
      </c>
      <c r="F84" s="34">
        <f>IFERROR(VLOOKUP("2_"&amp;A84,SyS!$B:$P,10,FALSE()),0)</f>
      </c>
      <c r="G84" s="35">
        <f>IFERROR(VLOOKUP("2_"&amp;A84,SyS!$B:$P,12,FALSE()),0)</f>
      </c>
      <c r="H84" s="36">
        <f>+F84-G84</f>
      </c>
      <c r="I84" s="35"/>
      <c r="J84" s="35"/>
      <c r="K84" s="35"/>
      <c r="L84" s="35"/>
      <c r="M84" s="35"/>
      <c r="N84" s="35"/>
      <c r="O84" s="34">
        <f>IFERROR(VLOOKUP("14_"&amp;A84,SyS!$B:$P,10,FALSE()),0)</f>
      </c>
      <c r="P84" s="35">
        <f>IFERROR(VLOOKUP("14_"&amp;A84,SyS!$B:$P,12,FALSE()),0)</f>
      </c>
      <c r="Q84" s="36">
        <f>+O84-P84</f>
      </c>
      <c r="R84" s="34">
        <f>IFERROR(VLOOKUP("15_"&amp;A84,SyS!$B:$P,10,FALSE()),0)</f>
      </c>
      <c r="S84" s="35">
        <f>IFERROR(VLOOKUP("15_"&amp;A84,SyS!$B:$P,12,FALSE()),0)</f>
      </c>
      <c r="T84" s="36">
        <f>+R84-S84</f>
      </c>
      <c r="U84" s="34">
        <f>IFERROR(VLOOKUP("16_"&amp;A84,SyS!$B:$P,10,FALSE()),0)</f>
      </c>
      <c r="V84" s="35">
        <f>IFERROR(VLOOKUP("16_"&amp;A84,SyS!$B:$P,12,FALSE()),0)</f>
      </c>
      <c r="W84" s="36">
        <f>+U84-V84</f>
      </c>
      <c r="X84" s="34">
        <f>IFERROR(VLOOKUP("13_"&amp;A84,SyS!$B:$P,10,FALSE()),0)</f>
      </c>
      <c r="Y84" s="35">
        <f>IFERROR(VLOOKUP("13_"&amp;A84,SyS!$B:$P,12,FALSE()),0)</f>
      </c>
      <c r="Z84" s="36">
        <f>+X84-Y84</f>
      </c>
      <c r="AA84" s="34">
        <f>IFERROR(VLOOKUP("17_"&amp;A84,SyS!$B:$P,10,FALSE()),0)</f>
      </c>
      <c r="AB84" s="35">
        <f>IFERROR(VLOOKUP("17_"&amp;A84,SyS!$B:$P,12,FALSE()),0)</f>
      </c>
      <c r="AC84" s="36">
        <f>+AA84-AB84</f>
      </c>
      <c r="AD84" s="35"/>
      <c r="AE84" s="35"/>
      <c r="AF84" s="35"/>
      <c r="AG84" s="35">
        <f>IFERROR(VLOOKUP("19_"&amp;A84,SyS!$B:$P,10,FALSE()),0)</f>
      </c>
      <c r="AH84" s="35">
        <f>IFERROR(VLOOKUP("19_"&amp;A84,SyS!$B:$P,12,FALSE()),0)</f>
      </c>
      <c r="AI84" s="35">
        <f>+AG84-AH84</f>
      </c>
      <c r="AJ84" s="35"/>
      <c r="AK84" s="35"/>
      <c r="AL84" s="35"/>
      <c r="AM84" s="34">
        <f>IFERROR(VLOOKUP("23_"&amp;A84,SyS!$B:$P,10,FALSE()),0)</f>
      </c>
      <c r="AN84" s="35">
        <f>IFERROR(VLOOKUP("23_"&amp;A84,SyS!$B:$P,12,FALSE()),0)</f>
      </c>
      <c r="AO84" s="36">
        <f>+AM84-AN84</f>
      </c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>
        <f>IFERROR(VLOOKUP("29_"&amp;A84,SyS!$B:$P,10,FALSE()),0)</f>
      </c>
      <c r="BL84" s="40">
        <f>IFERROR(VLOOKUP("29_"&amp;A84,SyS!$B:$P,12,FALSE()),0)</f>
      </c>
      <c r="BM84" s="40">
        <f>+BK84-BL84</f>
      </c>
      <c r="BN84" s="42">
        <f>IFERROR(VLOOKUP("30_"&amp;A84,SyS!$B:$P,10,FALSE()),0)</f>
      </c>
      <c r="BO84" s="40">
        <f>IFERROR(VLOOKUP("30_"&amp;A84,SyS!$B:$P,12,FALSE()),0)</f>
      </c>
      <c r="BP84" s="43">
        <f>+BN84-BO84</f>
      </c>
      <c r="BQ84" s="44">
        <f>+E84+H84+K84+N84+Q84+T84+W84+Z84+AC84+AF84+AI84+AL84+AO84+AR84+AU84+AX84+BA84+BD84+BG84+BJ84+BM84+BP84</f>
      </c>
    </row>
    <row r="85" ht="11.25" customHeight="1" spans="1:69" x14ac:dyDescent="0.25">
      <c r="A85" s="41">
        <v>421130000</v>
      </c>
      <c r="B85" s="9" t="s">
        <v>122</v>
      </c>
      <c r="C85" s="34">
        <f>IFERROR(VLOOKUP("1_"&amp;A85,SyS!$B:$P,10,FALSE()),0)</f>
      </c>
      <c r="D85" s="35">
        <f>IFERROR(VLOOKUP("1_"&amp;A85,SyS!$B:$P,12,FALSE()),0)</f>
      </c>
      <c r="E85" s="35">
        <f>+C85-D85</f>
      </c>
      <c r="F85" s="34">
        <f>IFERROR(VLOOKUP("2_"&amp;A85,SyS!$B:$P,10,FALSE()),0)</f>
      </c>
      <c r="G85" s="35">
        <f>IFERROR(VLOOKUP("2_"&amp;A85,SyS!$B:$P,12,FALSE()),0)</f>
      </c>
      <c r="H85" s="36">
        <f>+F85-G85</f>
      </c>
      <c r="I85" s="35"/>
      <c r="J85" s="35"/>
      <c r="K85" s="35"/>
      <c r="L85" s="35"/>
      <c r="M85" s="35"/>
      <c r="N85" s="35"/>
      <c r="O85" s="34">
        <f>IFERROR(VLOOKUP("14_"&amp;A85,SyS!$B:$P,10,FALSE()),0)</f>
      </c>
      <c r="P85" s="35">
        <f>IFERROR(VLOOKUP("14_"&amp;A85,SyS!$B:$P,12,FALSE()),0)</f>
      </c>
      <c r="Q85" s="36">
        <f>+O85-P85</f>
      </c>
      <c r="R85" s="34">
        <f>IFERROR(VLOOKUP("15_"&amp;A85,SyS!$B:$P,10,FALSE()),0)</f>
      </c>
      <c r="S85" s="35">
        <f>IFERROR(VLOOKUP("15_"&amp;A85,SyS!$B:$P,12,FALSE()),0)</f>
      </c>
      <c r="T85" s="36">
        <f>+R85-S85</f>
      </c>
      <c r="U85" s="34">
        <f>IFERROR(VLOOKUP("16_"&amp;A85,SyS!$B:$P,10,FALSE()),0)</f>
      </c>
      <c r="V85" s="35">
        <f>IFERROR(VLOOKUP("16_"&amp;A85,SyS!$B:$P,12,FALSE()),0)</f>
      </c>
      <c r="W85" s="36">
        <f>+U85-V85</f>
      </c>
      <c r="X85" s="34">
        <f>IFERROR(VLOOKUP("13_"&amp;A85,SyS!$B:$P,10,FALSE()),0)</f>
      </c>
      <c r="Y85" s="35">
        <f>IFERROR(VLOOKUP("13_"&amp;A85,SyS!$B:$P,12,FALSE()),0)</f>
      </c>
      <c r="Z85" s="36">
        <f>+X85-Y85</f>
      </c>
      <c r="AA85" s="34">
        <f>IFERROR(VLOOKUP("17_"&amp;A85,SyS!$B:$P,10,FALSE()),0)</f>
      </c>
      <c r="AB85" s="35">
        <f>IFERROR(VLOOKUP("17_"&amp;A85,SyS!$B:$P,12,FALSE()),0)</f>
      </c>
      <c r="AC85" s="36">
        <f>+AA85-AB85</f>
      </c>
      <c r="AD85" s="35"/>
      <c r="AE85" s="35"/>
      <c r="AF85" s="35"/>
      <c r="AG85" s="35">
        <f>IFERROR(VLOOKUP("19_"&amp;A85,SyS!$B:$P,10,FALSE()),0)</f>
      </c>
      <c r="AH85" s="35">
        <f>IFERROR(VLOOKUP("19_"&amp;A85,SyS!$B:$P,12,FALSE()),0)</f>
      </c>
      <c r="AI85" s="35">
        <f>+AG85-AH85</f>
      </c>
      <c r="AJ85" s="35"/>
      <c r="AK85" s="35"/>
      <c r="AL85" s="35"/>
      <c r="AM85" s="34">
        <f>IFERROR(VLOOKUP("23_"&amp;A85,SyS!$B:$P,10,FALSE()),0)</f>
      </c>
      <c r="AN85" s="35">
        <f>IFERROR(VLOOKUP("23_"&amp;A85,SyS!$B:$P,12,FALSE()),0)</f>
      </c>
      <c r="AO85" s="36">
        <f>+AM85-AN85</f>
      </c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>
        <f>IFERROR(VLOOKUP("29_"&amp;A85,SyS!$B:$P,10,FALSE()),0)</f>
      </c>
      <c r="BL85" s="40">
        <f>IFERROR(VLOOKUP("29_"&amp;A85,SyS!$B:$P,12,FALSE()),0)</f>
      </c>
      <c r="BM85" s="40">
        <f>+BK85-BL85</f>
      </c>
      <c r="BN85" s="42">
        <f>IFERROR(VLOOKUP("30_"&amp;A85,SyS!$B:$P,10,FALSE()),0)</f>
      </c>
      <c r="BO85" s="40">
        <f>IFERROR(VLOOKUP("30_"&amp;A85,SyS!$B:$P,12,FALSE()),0)</f>
      </c>
      <c r="BP85" s="43">
        <f>+BN85-BO85</f>
      </c>
      <c r="BQ85" s="44">
        <f>+E85+H85+K85+N85+Q85+T85+W85+Z85+AC85+AF85+AI85+AL85+AO85+AR85+AU85+AX85+BA85+BD85+BG85+BJ85+BM85+BP85</f>
      </c>
    </row>
    <row r="86" ht="11.25" customHeight="1" spans="1:69" x14ac:dyDescent="0.25">
      <c r="A86" s="41">
        <v>421140000</v>
      </c>
      <c r="B86" s="9" t="s">
        <v>123</v>
      </c>
      <c r="C86" s="34">
        <f>IFERROR(VLOOKUP("1_"&amp;A86,SyS!$B:$P,10,FALSE()),0)</f>
      </c>
      <c r="D86" s="35">
        <f>IFERROR(VLOOKUP("1_"&amp;A86,SyS!$B:$P,12,FALSE()),0)</f>
      </c>
      <c r="E86" s="35">
        <f>+C86-D86</f>
      </c>
      <c r="F86" s="34">
        <f>IFERROR(VLOOKUP("2_"&amp;A86,SyS!$B:$P,10,FALSE()),0)</f>
      </c>
      <c r="G86" s="35">
        <f>IFERROR(VLOOKUP("2_"&amp;A86,SyS!$B:$P,12,FALSE()),0)</f>
      </c>
      <c r="H86" s="36">
        <f>+F86-G86</f>
      </c>
      <c r="I86" s="35"/>
      <c r="J86" s="35"/>
      <c r="K86" s="35"/>
      <c r="L86" s="35"/>
      <c r="M86" s="35"/>
      <c r="N86" s="35"/>
      <c r="O86" s="34">
        <f>IFERROR(VLOOKUP("14_"&amp;A86,SyS!$B:$P,10,FALSE()),0)</f>
      </c>
      <c r="P86" s="35">
        <f>IFERROR(VLOOKUP("14_"&amp;A86,SyS!$B:$P,12,FALSE()),0)</f>
      </c>
      <c r="Q86" s="36">
        <f>+O86-P86</f>
      </c>
      <c r="R86" s="34">
        <f>IFERROR(VLOOKUP("15_"&amp;A86,SyS!$B:$P,10,FALSE()),0)</f>
      </c>
      <c r="S86" s="35">
        <f>IFERROR(VLOOKUP("15_"&amp;A86,SyS!$B:$P,12,FALSE()),0)</f>
      </c>
      <c r="T86" s="36">
        <f>+R86-S86</f>
      </c>
      <c r="U86" s="34">
        <f>IFERROR(VLOOKUP("16_"&amp;A86,SyS!$B:$P,10,FALSE()),0)</f>
      </c>
      <c r="V86" s="35">
        <f>IFERROR(VLOOKUP("16_"&amp;A86,SyS!$B:$P,12,FALSE()),0)</f>
      </c>
      <c r="W86" s="36">
        <f>+U86-V86</f>
      </c>
      <c r="X86" s="34">
        <f>IFERROR(VLOOKUP("13_"&amp;A86,SyS!$B:$P,10,FALSE()),0)</f>
      </c>
      <c r="Y86" s="35">
        <f>IFERROR(VLOOKUP("13_"&amp;A86,SyS!$B:$P,12,FALSE()),0)</f>
      </c>
      <c r="Z86" s="36">
        <f>+X86-Y86</f>
      </c>
      <c r="AA86" s="34">
        <f>IFERROR(VLOOKUP("17_"&amp;A86,SyS!$B:$P,10,FALSE()),0)</f>
      </c>
      <c r="AB86" s="35">
        <f>IFERROR(VLOOKUP("17_"&amp;A86,SyS!$B:$P,12,FALSE()),0)</f>
      </c>
      <c r="AC86" s="36">
        <f>+AA86-AB86</f>
      </c>
      <c r="AD86" s="35"/>
      <c r="AE86" s="35"/>
      <c r="AF86" s="35"/>
      <c r="AG86" s="35">
        <f>IFERROR(VLOOKUP("19_"&amp;A86,SyS!$B:$P,10,FALSE()),0)</f>
      </c>
      <c r="AH86" s="35">
        <f>IFERROR(VLOOKUP("19_"&amp;A86,SyS!$B:$P,12,FALSE()),0)</f>
      </c>
      <c r="AI86" s="35">
        <f>+AG86-AH86</f>
      </c>
      <c r="AJ86" s="35"/>
      <c r="AK86" s="35"/>
      <c r="AL86" s="35"/>
      <c r="AM86" s="34">
        <f>IFERROR(VLOOKUP("23_"&amp;A86,SyS!$B:$P,10,FALSE()),0)</f>
      </c>
      <c r="AN86" s="35">
        <f>IFERROR(VLOOKUP("23_"&amp;A86,SyS!$B:$P,12,FALSE()),0)</f>
      </c>
      <c r="AO86" s="36">
        <f>+AM86-AN86</f>
      </c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>
        <f>IFERROR(VLOOKUP("29_"&amp;A86,SyS!$B:$P,10,FALSE()),0)</f>
      </c>
      <c r="BL86" s="40">
        <f>IFERROR(VLOOKUP("29_"&amp;A86,SyS!$B:$P,12,FALSE()),0)</f>
      </c>
      <c r="BM86" s="40">
        <f>+BK86-BL86</f>
      </c>
      <c r="BN86" s="42">
        <f>IFERROR(VLOOKUP("30_"&amp;A86,SyS!$B:$P,10,FALSE()),0)</f>
      </c>
      <c r="BO86" s="40">
        <f>IFERROR(VLOOKUP("30_"&amp;A86,SyS!$B:$P,12,FALSE()),0)</f>
      </c>
      <c r="BP86" s="43">
        <f>+BN86-BO86</f>
      </c>
      <c r="BQ86" s="44">
        <f>+E86+H86+K86+N86+Q86+T86+W86+Z86+AC86+AF86+AI86+AL86+AO86+AR86+AU86+AX86+BA86+BD86+BG86+BJ86+BM86+BP86</f>
      </c>
    </row>
    <row r="87" ht="11.25" customHeight="1" spans="1:69" x14ac:dyDescent="0.25">
      <c r="A87" s="41">
        <v>421190000</v>
      </c>
      <c r="B87" s="9" t="s">
        <v>124</v>
      </c>
      <c r="C87" s="34">
        <f>IFERROR(VLOOKUP("1_"&amp;A87,SyS!$B:$P,10,FALSE()),0)</f>
      </c>
      <c r="D87" s="35">
        <f>IFERROR(VLOOKUP("1_"&amp;A87,SyS!$B:$P,12,FALSE()),0)</f>
      </c>
      <c r="E87" s="35">
        <f>+C87-D87</f>
      </c>
      <c r="F87" s="34">
        <f>IFERROR(VLOOKUP("2_"&amp;A87,SyS!$B:$P,10,FALSE()),0)</f>
      </c>
      <c r="G87" s="35">
        <f>IFERROR(VLOOKUP("2_"&amp;A87,SyS!$B:$P,12,FALSE()),0)</f>
      </c>
      <c r="H87" s="36">
        <f>+F87-G87</f>
      </c>
      <c r="I87" s="35"/>
      <c r="J87" s="35"/>
      <c r="K87" s="35"/>
      <c r="L87" s="35"/>
      <c r="M87" s="35"/>
      <c r="N87" s="35"/>
      <c r="O87" s="34">
        <f>IFERROR(VLOOKUP("14_"&amp;A87,SyS!$B:$P,10,FALSE()),0)</f>
      </c>
      <c r="P87" s="35">
        <f>IFERROR(VLOOKUP("14_"&amp;A87,SyS!$B:$P,12,FALSE()),0)</f>
      </c>
      <c r="Q87" s="36">
        <f>+O87-P87</f>
      </c>
      <c r="R87" s="34">
        <f>IFERROR(VLOOKUP("15_"&amp;A87,SyS!$B:$P,10,FALSE()),0)</f>
      </c>
      <c r="S87" s="35">
        <f>IFERROR(VLOOKUP("15_"&amp;A87,SyS!$B:$P,12,FALSE()),0)</f>
      </c>
      <c r="T87" s="36">
        <f>+R87-S87</f>
      </c>
      <c r="U87" s="34">
        <f>IFERROR(VLOOKUP("16_"&amp;A87,SyS!$B:$P,10,FALSE()),0)</f>
      </c>
      <c r="V87" s="35">
        <f>IFERROR(VLOOKUP("16_"&amp;A87,SyS!$B:$P,12,FALSE()),0)</f>
      </c>
      <c r="W87" s="36">
        <f>+U87-V87</f>
      </c>
      <c r="X87" s="34">
        <f>IFERROR(VLOOKUP("13_"&amp;A87,SyS!$B:$P,10,FALSE()),0)</f>
      </c>
      <c r="Y87" s="35">
        <f>IFERROR(VLOOKUP("13_"&amp;A87,SyS!$B:$P,12,FALSE()),0)</f>
      </c>
      <c r="Z87" s="36">
        <f>+X87-Y87</f>
      </c>
      <c r="AA87" s="34">
        <f>IFERROR(VLOOKUP("17_"&amp;A87,SyS!$B:$P,10,FALSE()),0)</f>
      </c>
      <c r="AB87" s="35">
        <f>IFERROR(VLOOKUP("17_"&amp;A87,SyS!$B:$P,12,FALSE()),0)</f>
      </c>
      <c r="AC87" s="36">
        <f>+AA87-AB87</f>
      </c>
      <c r="AD87" s="35"/>
      <c r="AE87" s="35"/>
      <c r="AF87" s="35"/>
      <c r="AG87" s="35">
        <f>IFERROR(VLOOKUP("19_"&amp;A87,SyS!$B:$P,10,FALSE()),0)</f>
      </c>
      <c r="AH87" s="35">
        <f>IFERROR(VLOOKUP("19_"&amp;A87,SyS!$B:$P,12,FALSE()),0)</f>
      </c>
      <c r="AI87" s="35">
        <f>+AG87-AH87</f>
      </c>
      <c r="AJ87" s="35"/>
      <c r="AK87" s="35"/>
      <c r="AL87" s="35"/>
      <c r="AM87" s="34">
        <f>IFERROR(VLOOKUP("23_"&amp;A87,SyS!$B:$P,10,FALSE()),0)</f>
      </c>
      <c r="AN87" s="35">
        <f>IFERROR(VLOOKUP("23_"&amp;A87,SyS!$B:$P,12,FALSE()),0)</f>
      </c>
      <c r="AO87" s="36">
        <f>+AM87-AN87</f>
      </c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>
        <f>IFERROR(VLOOKUP("29_"&amp;A87,SyS!$B:$P,10,FALSE()),0)</f>
      </c>
      <c r="BL87" s="40">
        <f>IFERROR(VLOOKUP("29_"&amp;A87,SyS!$B:$P,12,FALSE()),0)</f>
      </c>
      <c r="BM87" s="40">
        <f>+BK87-BL87</f>
      </c>
      <c r="BN87" s="42">
        <f>IFERROR(VLOOKUP("30_"&amp;A87,SyS!$B:$P,10,FALSE()),0)</f>
      </c>
      <c r="BO87" s="40">
        <f>IFERROR(VLOOKUP("30_"&amp;A87,SyS!$B:$P,12,FALSE()),0)</f>
      </c>
      <c r="BP87" s="43">
        <f>+BN87-BO87</f>
      </c>
      <c r="BQ87" s="44">
        <f>+E87+H87+K87+N87+Q87+T87+W87+Z87+AC87+AF87+AI87+AL87+AO87+AR87+AU87+AX87+BA87+BD87+BG87+BJ87+BM87+BP87</f>
      </c>
    </row>
    <row r="88" ht="11.25" customHeight="1" spans="1:69" x14ac:dyDescent="0.25">
      <c r="A88" s="41">
        <v>421310000</v>
      </c>
      <c r="B88" s="9" t="s">
        <v>125</v>
      </c>
      <c r="C88" s="34">
        <f>IFERROR(VLOOKUP("1_"&amp;A88,SyS!$B:$P,10,FALSE()),0)</f>
      </c>
      <c r="D88" s="35">
        <f>IFERROR(VLOOKUP("1_"&amp;A88,SyS!$B:$P,12,FALSE()),0)</f>
      </c>
      <c r="E88" s="35">
        <f>+C88-D88</f>
      </c>
      <c r="F88" s="34">
        <f>IFERROR(VLOOKUP("2_"&amp;A88,SyS!$B:$P,10,FALSE()),0)</f>
      </c>
      <c r="G88" s="35">
        <f>IFERROR(VLOOKUP("2_"&amp;A88,SyS!$B:$P,12,FALSE()),0)</f>
      </c>
      <c r="H88" s="36">
        <f>+F88-G88</f>
      </c>
      <c r="I88" s="35"/>
      <c r="J88" s="35"/>
      <c r="K88" s="35"/>
      <c r="L88" s="35"/>
      <c r="M88" s="35"/>
      <c r="N88" s="35"/>
      <c r="O88" s="34">
        <f>IFERROR(VLOOKUP("14_"&amp;A88,SyS!$B:$P,10,FALSE()),0)</f>
      </c>
      <c r="P88" s="35">
        <f>IFERROR(VLOOKUP("14_"&amp;A88,SyS!$B:$P,12,FALSE()),0)</f>
      </c>
      <c r="Q88" s="36">
        <f>+O88-P88</f>
      </c>
      <c r="R88" s="34">
        <f>IFERROR(VLOOKUP("15_"&amp;A88,SyS!$B:$P,10,FALSE()),0)</f>
      </c>
      <c r="S88" s="35">
        <f>IFERROR(VLOOKUP("15_"&amp;A88,SyS!$B:$P,12,FALSE()),0)</f>
      </c>
      <c r="T88" s="36">
        <f>+R88-S88</f>
      </c>
      <c r="U88" s="34">
        <f>IFERROR(VLOOKUP("16_"&amp;A88,SyS!$B:$P,10,FALSE()),0)</f>
      </c>
      <c r="V88" s="35">
        <f>IFERROR(VLOOKUP("16_"&amp;A88,SyS!$B:$P,12,FALSE()),0)</f>
      </c>
      <c r="W88" s="36">
        <f>+U88-V88</f>
      </c>
      <c r="X88" s="34">
        <f>IFERROR(VLOOKUP("13_"&amp;A88,SyS!$B:$P,10,FALSE()),0)</f>
      </c>
      <c r="Y88" s="35">
        <f>IFERROR(VLOOKUP("13_"&amp;A88,SyS!$B:$P,12,FALSE()),0)</f>
      </c>
      <c r="Z88" s="36">
        <f>+X88-Y88</f>
      </c>
      <c r="AA88" s="34">
        <f>IFERROR(VLOOKUP("17_"&amp;A88,SyS!$B:$P,10,FALSE()),0)</f>
      </c>
      <c r="AB88" s="35">
        <f>IFERROR(VLOOKUP("17_"&amp;A88,SyS!$B:$P,12,FALSE()),0)</f>
      </c>
      <c r="AC88" s="36">
        <f>+AA88-AB88</f>
      </c>
      <c r="AD88" s="35"/>
      <c r="AE88" s="35"/>
      <c r="AF88" s="35"/>
      <c r="AG88" s="35">
        <f>IFERROR(VLOOKUP("19_"&amp;A88,SyS!$B:$P,10,FALSE()),0)</f>
      </c>
      <c r="AH88" s="35">
        <f>IFERROR(VLOOKUP("19_"&amp;A88,SyS!$B:$P,12,FALSE()),0)</f>
      </c>
      <c r="AI88" s="35">
        <f>+AG88-AH88</f>
      </c>
      <c r="AJ88" s="35"/>
      <c r="AK88" s="35"/>
      <c r="AL88" s="35"/>
      <c r="AM88" s="34">
        <f>IFERROR(VLOOKUP("23_"&amp;A88,SyS!$B:$P,10,FALSE()),0)</f>
      </c>
      <c r="AN88" s="35">
        <f>IFERROR(VLOOKUP("23_"&amp;A88,SyS!$B:$P,12,FALSE()),0)</f>
      </c>
      <c r="AO88" s="36">
        <f>+AM88-AN88</f>
      </c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>
        <f>IFERROR(VLOOKUP("29_"&amp;A88,SyS!$B:$P,10,FALSE()),0)</f>
      </c>
      <c r="BL88" s="40">
        <f>IFERROR(VLOOKUP("29_"&amp;A88,SyS!$B:$P,12,FALSE()),0)</f>
      </c>
      <c r="BM88" s="40">
        <f>+BK88-BL88</f>
      </c>
      <c r="BN88" s="42">
        <f>IFERROR(VLOOKUP("30_"&amp;A88,SyS!$B:$P,10,FALSE()),0)</f>
      </c>
      <c r="BO88" s="40">
        <f>IFERROR(VLOOKUP("30_"&amp;A88,SyS!$B:$P,12,FALSE()),0)</f>
      </c>
      <c r="BP88" s="43">
        <f>+BN88-BO88</f>
      </c>
      <c r="BQ88" s="44">
        <f>+E88+H88+K88+N88+Q88+T88+W88+Z88+AC88+AF88+AI88+AL88+AO88+AR88+AU88+AX88+BA88+BD88+BG88+BJ88+BM88+BP88</f>
      </c>
    </row>
    <row r="89" ht="11.25" customHeight="1" spans="1:69" x14ac:dyDescent="0.25">
      <c r="A89" s="41">
        <v>421320000</v>
      </c>
      <c r="B89" s="9" t="s">
        <v>126</v>
      </c>
      <c r="C89" s="34">
        <f>IFERROR(VLOOKUP("1_"&amp;A89,SyS!$B:$P,10,FALSE()),0)</f>
      </c>
      <c r="D89" s="35">
        <f>IFERROR(VLOOKUP("1_"&amp;A89,SyS!$B:$P,12,FALSE()),0)</f>
      </c>
      <c r="E89" s="35">
        <f>+C89-D89</f>
      </c>
      <c r="F89" s="34">
        <f>IFERROR(VLOOKUP("2_"&amp;A89,SyS!$B:$P,10,FALSE()),0)</f>
      </c>
      <c r="G89" s="35">
        <f>IFERROR(VLOOKUP("2_"&amp;A89,SyS!$B:$P,12,FALSE()),0)</f>
      </c>
      <c r="H89" s="36">
        <f>+F89-G89</f>
      </c>
      <c r="I89" s="35"/>
      <c r="J89" s="35"/>
      <c r="K89" s="35"/>
      <c r="L89" s="35"/>
      <c r="M89" s="35"/>
      <c r="N89" s="35"/>
      <c r="O89" s="34">
        <f>IFERROR(VLOOKUP("14_"&amp;A89,SyS!$B:$P,10,FALSE()),0)</f>
      </c>
      <c r="P89" s="35">
        <f>IFERROR(VLOOKUP("14_"&amp;A89,SyS!$B:$P,12,FALSE()),0)</f>
      </c>
      <c r="Q89" s="36">
        <f>+O89-P89</f>
      </c>
      <c r="R89" s="34">
        <f>IFERROR(VLOOKUP("15_"&amp;A89,SyS!$B:$P,10,FALSE()),0)</f>
      </c>
      <c r="S89" s="35">
        <f>IFERROR(VLOOKUP("15_"&amp;A89,SyS!$B:$P,12,FALSE()),0)</f>
      </c>
      <c r="T89" s="36">
        <f>+R89-S89</f>
      </c>
      <c r="U89" s="34">
        <f>IFERROR(VLOOKUP("16_"&amp;A89,SyS!$B:$P,10,FALSE()),0)</f>
      </c>
      <c r="V89" s="35">
        <f>IFERROR(VLOOKUP("16_"&amp;A89,SyS!$B:$P,12,FALSE()),0)</f>
      </c>
      <c r="W89" s="36">
        <f>+U89-V89</f>
      </c>
      <c r="X89" s="34">
        <f>IFERROR(VLOOKUP("13_"&amp;A89,SyS!$B:$P,10,FALSE()),0)</f>
      </c>
      <c r="Y89" s="35">
        <f>IFERROR(VLOOKUP("13_"&amp;A89,SyS!$B:$P,12,FALSE()),0)</f>
      </c>
      <c r="Z89" s="36">
        <f>+X89-Y89</f>
      </c>
      <c r="AA89" s="34">
        <f>IFERROR(VLOOKUP("17_"&amp;A89,SyS!$B:$P,10,FALSE()),0)</f>
      </c>
      <c r="AB89" s="35">
        <f>IFERROR(VLOOKUP("17_"&amp;A89,SyS!$B:$P,12,FALSE()),0)</f>
      </c>
      <c r="AC89" s="36">
        <f>+AA89-AB89</f>
      </c>
      <c r="AD89" s="35"/>
      <c r="AE89" s="35"/>
      <c r="AF89" s="35"/>
      <c r="AG89" s="35">
        <f>IFERROR(VLOOKUP("19_"&amp;A89,SyS!$B:$P,10,FALSE()),0)</f>
      </c>
      <c r="AH89" s="35">
        <f>IFERROR(VLOOKUP("19_"&amp;A89,SyS!$B:$P,12,FALSE()),0)</f>
      </c>
      <c r="AI89" s="35">
        <f>+AG89-AH89</f>
      </c>
      <c r="AJ89" s="35"/>
      <c r="AK89" s="35"/>
      <c r="AL89" s="35"/>
      <c r="AM89" s="34">
        <f>IFERROR(VLOOKUP("23_"&amp;A89,SyS!$B:$P,10,FALSE()),0)</f>
      </c>
      <c r="AN89" s="35">
        <f>IFERROR(VLOOKUP("23_"&amp;A89,SyS!$B:$P,12,FALSE()),0)</f>
      </c>
      <c r="AO89" s="36">
        <f>+AM89-AN89</f>
      </c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>
        <f>IFERROR(VLOOKUP("29_"&amp;A89,SyS!$B:$P,10,FALSE()),0)</f>
      </c>
      <c r="BL89" s="40">
        <f>IFERROR(VLOOKUP("29_"&amp;A89,SyS!$B:$P,12,FALSE()),0)</f>
      </c>
      <c r="BM89" s="40">
        <f>+BK89-BL89</f>
      </c>
      <c r="BN89" s="42">
        <f>IFERROR(VLOOKUP("30_"&amp;A89,SyS!$B:$P,10,FALSE()),0)</f>
      </c>
      <c r="BO89" s="40">
        <f>IFERROR(VLOOKUP("30_"&amp;A89,SyS!$B:$P,12,FALSE()),0)</f>
      </c>
      <c r="BP89" s="43">
        <f>+BN89-BO89</f>
      </c>
      <c r="BQ89" s="44">
        <f>+E89+H89+K89+N89+Q89+T89+W89+Z89+AC89+AF89+AI89+AL89+AO89+AR89+AU89+AX89+BA89+BD89+BG89+BJ89+BM89+BP89</f>
      </c>
    </row>
    <row r="90" ht="11.25" customHeight="1" spans="1:69" x14ac:dyDescent="0.25">
      <c r="A90" s="9">
        <v>421340000</v>
      </c>
      <c r="B90" s="9" t="s">
        <v>127</v>
      </c>
      <c r="C90" s="34">
        <f>IFERROR(VLOOKUP("1_"&amp;A90,SyS!$B:$P,10,FALSE()),0)</f>
      </c>
      <c r="D90" s="35">
        <f>IFERROR(VLOOKUP("1_"&amp;A90,SyS!$B:$P,12,FALSE()),0)</f>
      </c>
      <c r="E90" s="35">
        <f>+C90-D90</f>
      </c>
      <c r="F90" s="34">
        <f>IFERROR(VLOOKUP("2_"&amp;A90,SyS!$B:$P,10,FALSE()),0)</f>
      </c>
      <c r="G90" s="35">
        <f>IFERROR(VLOOKUP("2_"&amp;A90,SyS!$B:$P,12,FALSE()),0)</f>
      </c>
      <c r="H90" s="36">
        <f>+F90-G90</f>
      </c>
      <c r="I90" s="35"/>
      <c r="J90" s="35"/>
      <c r="K90" s="35"/>
      <c r="L90" s="35"/>
      <c r="M90" s="35"/>
      <c r="N90" s="35"/>
      <c r="O90" s="34">
        <f>IFERROR(VLOOKUP("14_"&amp;A90,SyS!$B:$P,10,FALSE()),0)</f>
      </c>
      <c r="P90" s="35">
        <f>IFERROR(VLOOKUP("14_"&amp;A90,SyS!$B:$P,12,FALSE()),0)</f>
      </c>
      <c r="Q90" s="36">
        <f>+O90-P90</f>
      </c>
      <c r="R90" s="34">
        <f>IFERROR(VLOOKUP("15_"&amp;A90,SyS!$B:$P,10,FALSE()),0)</f>
      </c>
      <c r="S90" s="35">
        <f>IFERROR(VLOOKUP("15_"&amp;A90,SyS!$B:$P,12,FALSE()),0)</f>
      </c>
      <c r="T90" s="36">
        <f>+R90-S90</f>
      </c>
      <c r="U90" s="34">
        <f>IFERROR(VLOOKUP("16_"&amp;A90,SyS!$B:$P,10,FALSE()),0)</f>
      </c>
      <c r="V90" s="35">
        <f>IFERROR(VLOOKUP("16_"&amp;A90,SyS!$B:$P,12,FALSE()),0)</f>
      </c>
      <c r="W90" s="36">
        <f>+U90-V90</f>
      </c>
      <c r="X90" s="34">
        <f>IFERROR(VLOOKUP("13_"&amp;A90,SyS!$B:$P,10,FALSE()),0)</f>
      </c>
      <c r="Y90" s="35">
        <f>IFERROR(VLOOKUP("13_"&amp;A90,SyS!$B:$P,12,FALSE()),0)</f>
      </c>
      <c r="Z90" s="36">
        <f>+X90-Y90</f>
      </c>
      <c r="AA90" s="34">
        <f>IFERROR(VLOOKUP("17_"&amp;A90,SyS!$B:$P,10,FALSE()),0)</f>
      </c>
      <c r="AB90" s="35">
        <f>IFERROR(VLOOKUP("17_"&amp;A90,SyS!$B:$P,12,FALSE()),0)</f>
      </c>
      <c r="AC90" s="36">
        <f>+AA90-AB90</f>
      </c>
      <c r="AD90" s="35"/>
      <c r="AE90" s="35"/>
      <c r="AF90" s="35"/>
      <c r="AG90" s="35">
        <f>IFERROR(VLOOKUP("19_"&amp;A90,SyS!$B:$P,10,FALSE()),0)</f>
      </c>
      <c r="AH90" s="35">
        <f>IFERROR(VLOOKUP("19_"&amp;A90,SyS!$B:$P,12,FALSE()),0)</f>
      </c>
      <c r="AI90" s="35">
        <f>+AG90-AH90</f>
      </c>
      <c r="AJ90" s="35"/>
      <c r="AK90" s="35"/>
      <c r="AL90" s="35"/>
      <c r="AM90" s="34">
        <f>IFERROR(VLOOKUP("23_"&amp;A90,SyS!$B:$P,10,FALSE()),0)</f>
      </c>
      <c r="AN90" s="35">
        <f>IFERROR(VLOOKUP("23_"&amp;A90,SyS!$B:$P,12,FALSE()),0)</f>
      </c>
      <c r="AO90" s="36">
        <f>+AM90-AN90</f>
      </c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>
        <f>IFERROR(VLOOKUP("29_"&amp;A90,SyS!$B:$P,10,FALSE()),0)</f>
      </c>
      <c r="BL90" s="40">
        <f>IFERROR(VLOOKUP("29_"&amp;A90,SyS!$B:$P,12,FALSE()),0)</f>
      </c>
      <c r="BM90" s="40">
        <f>+BK90-BL90</f>
      </c>
      <c r="BN90" s="42">
        <f>IFERROR(VLOOKUP("30_"&amp;A90,SyS!$B:$P,10,FALSE()),0)</f>
      </c>
      <c r="BO90" s="40">
        <f>IFERROR(VLOOKUP("30_"&amp;A90,SyS!$B:$P,12,FALSE()),0)</f>
      </c>
      <c r="BP90" s="43">
        <f>+BN90-BO90</f>
      </c>
      <c r="BQ90" s="44">
        <f>+E90+H90+K90+N90+Q90+T90+W90+Z90+AC90+AF90+AI90+AL90+AO90+AR90+AU90+AX90+BA90+BD90+BG90+BJ90+BM90+BP90</f>
      </c>
    </row>
    <row r="91" ht="11.25" customHeight="1" spans="1:69" x14ac:dyDescent="0.25">
      <c r="A91" s="41">
        <v>421430000</v>
      </c>
      <c r="B91" s="9" t="s">
        <v>128</v>
      </c>
      <c r="C91" s="34">
        <f>IFERROR(VLOOKUP("1_"&amp;A91,SyS!$B:$P,10,FALSE()),0)</f>
      </c>
      <c r="D91" s="35">
        <f>IFERROR(VLOOKUP("1_"&amp;A91,SyS!$B:$P,12,FALSE()),0)</f>
      </c>
      <c r="E91" s="35">
        <f>+C91-D91</f>
      </c>
      <c r="F91" s="34">
        <f>IFERROR(VLOOKUP("2_"&amp;A91,SyS!$B:$P,10,FALSE()),0)</f>
      </c>
      <c r="G91" s="35">
        <f>IFERROR(VLOOKUP("2_"&amp;A91,SyS!$B:$P,12,FALSE()),0)</f>
      </c>
      <c r="H91" s="36">
        <f>+F91-G91</f>
      </c>
      <c r="I91" s="35"/>
      <c r="J91" s="35"/>
      <c r="K91" s="35"/>
      <c r="L91" s="35"/>
      <c r="M91" s="35"/>
      <c r="N91" s="35"/>
      <c r="O91" s="34">
        <f>IFERROR(VLOOKUP("14_"&amp;A91,SyS!$B:$P,10,FALSE()),0)</f>
      </c>
      <c r="P91" s="35">
        <f>IFERROR(VLOOKUP("14_"&amp;A91,SyS!$B:$P,12,FALSE()),0)</f>
      </c>
      <c r="Q91" s="36">
        <f>+O91-P91</f>
      </c>
      <c r="R91" s="34">
        <f>IFERROR(VLOOKUP("15_"&amp;A91,SyS!$B:$P,10,FALSE()),0)</f>
      </c>
      <c r="S91" s="35">
        <f>IFERROR(VLOOKUP("15_"&amp;A91,SyS!$B:$P,12,FALSE()),0)</f>
      </c>
      <c r="T91" s="36">
        <f>+R91-S91</f>
      </c>
      <c r="U91" s="34">
        <f>IFERROR(VLOOKUP("16_"&amp;A91,SyS!$B:$P,10,FALSE()),0)</f>
      </c>
      <c r="V91" s="35">
        <f>IFERROR(VLOOKUP("16_"&amp;A91,SyS!$B:$P,12,FALSE()),0)</f>
      </c>
      <c r="W91" s="36">
        <f>+U91-V91</f>
      </c>
      <c r="X91" s="34">
        <f>IFERROR(VLOOKUP("13_"&amp;A91,SyS!$B:$P,10,FALSE()),0)</f>
      </c>
      <c r="Y91" s="35">
        <f>IFERROR(VLOOKUP("13_"&amp;A91,SyS!$B:$P,12,FALSE()),0)</f>
      </c>
      <c r="Z91" s="36">
        <f>+X91-Y91</f>
      </c>
      <c r="AA91" s="34">
        <f>IFERROR(VLOOKUP("17_"&amp;A91,SyS!$B:$P,10,FALSE()),0)</f>
      </c>
      <c r="AB91" s="35">
        <f>IFERROR(VLOOKUP("17_"&amp;A91,SyS!$B:$P,12,FALSE()),0)</f>
      </c>
      <c r="AC91" s="36">
        <f>+AA91-AB91</f>
      </c>
      <c r="AD91" s="35"/>
      <c r="AE91" s="35"/>
      <c r="AF91" s="35"/>
      <c r="AG91" s="35">
        <f>IFERROR(VLOOKUP("19_"&amp;A91,SyS!$B:$P,10,FALSE()),0)</f>
      </c>
      <c r="AH91" s="35">
        <f>IFERROR(VLOOKUP("19_"&amp;A91,SyS!$B:$P,12,FALSE()),0)</f>
      </c>
      <c r="AI91" s="35">
        <f>+AG91-AH91</f>
      </c>
      <c r="AJ91" s="35"/>
      <c r="AK91" s="35"/>
      <c r="AL91" s="35"/>
      <c r="AM91" s="34">
        <f>IFERROR(VLOOKUP("23_"&amp;A91,SyS!$B:$P,10,FALSE()),0)</f>
      </c>
      <c r="AN91" s="35">
        <f>IFERROR(VLOOKUP("23_"&amp;A91,SyS!$B:$P,12,FALSE()),0)</f>
      </c>
      <c r="AO91" s="36">
        <f>+AM91-AN91</f>
      </c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>
        <f>IFERROR(VLOOKUP("29_"&amp;A91,SyS!$B:$P,10,FALSE()),0)</f>
      </c>
      <c r="BL91" s="40">
        <f>IFERROR(VLOOKUP("29_"&amp;A91,SyS!$B:$P,12,FALSE()),0)</f>
      </c>
      <c r="BM91" s="40">
        <f>+BK91-BL91</f>
      </c>
      <c r="BN91" s="42">
        <f>IFERROR(VLOOKUP("30_"&amp;A91,SyS!$B:$P,10,FALSE()),0)</f>
      </c>
      <c r="BO91" s="40">
        <f>IFERROR(VLOOKUP("30_"&amp;A91,SyS!$B:$P,12,FALSE()),0)</f>
      </c>
      <c r="BP91" s="43">
        <f>+BN91-BO91</f>
      </c>
      <c r="BQ91" s="44">
        <f>+E91+H91+K91+N91+Q91+T91+W91+Z91+AC91+AF91+AI91+AL91+AO91+AR91+AU91+AX91+BA91+BD91+BG91+BJ91+BM91+BP91</f>
      </c>
    </row>
    <row r="92" ht="11.25" customHeight="1" spans="1:69" x14ac:dyDescent="0.25">
      <c r="A92" s="41">
        <v>421440000</v>
      </c>
      <c r="B92" s="9" t="s">
        <v>129</v>
      </c>
      <c r="C92" s="34">
        <f>IFERROR(VLOOKUP("1_"&amp;A92,SyS!$B:$P,10,FALSE()),0)</f>
      </c>
      <c r="D92" s="35">
        <f>IFERROR(VLOOKUP("1_"&amp;A92,SyS!$B:$P,12,FALSE()),0)</f>
      </c>
      <c r="E92" s="35">
        <f>+C92-D92</f>
      </c>
      <c r="F92" s="34">
        <f>IFERROR(VLOOKUP("2_"&amp;A92,SyS!$B:$P,10,FALSE()),0)</f>
      </c>
      <c r="G92" s="35">
        <f>IFERROR(VLOOKUP("2_"&amp;A92,SyS!$B:$P,12,FALSE()),0)</f>
      </c>
      <c r="H92" s="36">
        <f>+F92-G92</f>
      </c>
      <c r="I92" s="35"/>
      <c r="J92" s="35"/>
      <c r="K92" s="35"/>
      <c r="L92" s="35"/>
      <c r="M92" s="35"/>
      <c r="N92" s="35"/>
      <c r="O92" s="34">
        <f>IFERROR(VLOOKUP("14_"&amp;A92,SyS!$B:$P,10,FALSE()),0)</f>
      </c>
      <c r="P92" s="35">
        <f>IFERROR(VLOOKUP("14_"&amp;A92,SyS!$B:$P,12,FALSE()),0)</f>
      </c>
      <c r="Q92" s="36">
        <f>+O92-P92</f>
      </c>
      <c r="R92" s="34">
        <f>IFERROR(VLOOKUP("15_"&amp;A92,SyS!$B:$P,10,FALSE()),0)</f>
      </c>
      <c r="S92" s="35">
        <f>IFERROR(VLOOKUP("15_"&amp;A92,SyS!$B:$P,12,FALSE()),0)</f>
      </c>
      <c r="T92" s="36">
        <f>+R92-S92</f>
      </c>
      <c r="U92" s="34">
        <f>IFERROR(VLOOKUP("16_"&amp;A92,SyS!$B:$P,10,FALSE()),0)</f>
      </c>
      <c r="V92" s="35">
        <f>IFERROR(VLOOKUP("16_"&amp;A92,SyS!$B:$P,12,FALSE()),0)</f>
      </c>
      <c r="W92" s="36">
        <f>+U92-V92</f>
      </c>
      <c r="X92" s="34">
        <f>IFERROR(VLOOKUP("13_"&amp;A92,SyS!$B:$P,10,FALSE()),0)</f>
      </c>
      <c r="Y92" s="35">
        <f>IFERROR(VLOOKUP("13_"&amp;A92,SyS!$B:$P,12,FALSE()),0)</f>
      </c>
      <c r="Z92" s="36">
        <f>+X92-Y92</f>
      </c>
      <c r="AA92" s="34">
        <f>IFERROR(VLOOKUP("17_"&amp;A92,SyS!$B:$P,10,FALSE()),0)</f>
      </c>
      <c r="AB92" s="35">
        <f>IFERROR(VLOOKUP("17_"&amp;A92,SyS!$B:$P,12,FALSE()),0)</f>
      </c>
      <c r="AC92" s="36">
        <f>+AA92-AB92</f>
      </c>
      <c r="AD92" s="35"/>
      <c r="AE92" s="35"/>
      <c r="AF92" s="35"/>
      <c r="AG92" s="35">
        <f>IFERROR(VLOOKUP("19_"&amp;A92,SyS!$B:$P,10,FALSE()),0)</f>
      </c>
      <c r="AH92" s="35">
        <f>IFERROR(VLOOKUP("19_"&amp;A92,SyS!$B:$P,12,FALSE()),0)</f>
      </c>
      <c r="AI92" s="35">
        <f>+AG92-AH92</f>
      </c>
      <c r="AJ92" s="35"/>
      <c r="AK92" s="35"/>
      <c r="AL92" s="35"/>
      <c r="AM92" s="34">
        <f>IFERROR(VLOOKUP("23_"&amp;A92,SyS!$B:$P,10,FALSE()),0)</f>
      </c>
      <c r="AN92" s="35">
        <f>IFERROR(VLOOKUP("23_"&amp;A92,SyS!$B:$P,12,FALSE()),0)</f>
      </c>
      <c r="AO92" s="36">
        <f>+AM92-AN92</f>
      </c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>
        <f>IFERROR(VLOOKUP("29_"&amp;A92,SyS!$B:$P,10,FALSE()),0)</f>
      </c>
      <c r="BL92" s="40">
        <f>IFERROR(VLOOKUP("29_"&amp;A92,SyS!$B:$P,12,FALSE()),0)</f>
      </c>
      <c r="BM92" s="40">
        <f>+BK92-BL92</f>
      </c>
      <c r="BN92" s="42">
        <f>IFERROR(VLOOKUP("30_"&amp;A92,SyS!$B:$P,10,FALSE()),0)</f>
      </c>
      <c r="BO92" s="40">
        <f>IFERROR(VLOOKUP("30_"&amp;A92,SyS!$B:$P,12,FALSE()),0)</f>
      </c>
      <c r="BP92" s="43">
        <f>+BN92-BO92</f>
      </c>
      <c r="BQ92" s="44">
        <f>+E92+H92+K92+N92+Q92+T92+W92+Z92+AC92+AF92+AI92+AL92+AO92+AR92+AU92+AX92+BA92+BD92+BG92+BJ92+BM92+BP92</f>
      </c>
    </row>
    <row r="93" ht="11.25" customHeight="1" spans="1:69" x14ac:dyDescent="0.25">
      <c r="A93" s="41">
        <v>425830000</v>
      </c>
      <c r="B93" s="9" t="s">
        <v>130</v>
      </c>
      <c r="C93" s="34">
        <f>IFERROR(VLOOKUP("1_"&amp;A93,SyS!$B:$P,10,FALSE()),0)</f>
      </c>
      <c r="D93" s="35">
        <f>IFERROR(VLOOKUP("1_"&amp;A93,SyS!$B:$P,12,FALSE()),0)</f>
      </c>
      <c r="E93" s="35">
        <f>+C93-D93</f>
      </c>
      <c r="F93" s="34">
        <f>IFERROR(VLOOKUP("2_"&amp;A93,SyS!$B:$P,10,FALSE()),0)</f>
      </c>
      <c r="G93" s="35">
        <f>IFERROR(VLOOKUP("2_"&amp;A93,SyS!$B:$P,12,FALSE()),0)</f>
      </c>
      <c r="H93" s="36">
        <f>+F93-G93</f>
      </c>
      <c r="I93" s="35"/>
      <c r="J93" s="35"/>
      <c r="K93" s="35"/>
      <c r="L93" s="35"/>
      <c r="M93" s="35"/>
      <c r="N93" s="35"/>
      <c r="O93" s="34">
        <f>IFERROR(VLOOKUP("14_"&amp;A93,SyS!$B:$P,10,FALSE()),0)</f>
      </c>
      <c r="P93" s="35">
        <f>IFERROR(VLOOKUP("14_"&amp;A93,SyS!$B:$P,12,FALSE()),0)</f>
      </c>
      <c r="Q93" s="36">
        <f>+O93-P93</f>
      </c>
      <c r="R93" s="34">
        <f>IFERROR(VLOOKUP("15_"&amp;A93,SyS!$B:$P,10,FALSE()),0)</f>
      </c>
      <c r="S93" s="35">
        <f>IFERROR(VLOOKUP("15_"&amp;A93,SyS!$B:$P,12,FALSE()),0)</f>
      </c>
      <c r="T93" s="36">
        <f>+R93-S93</f>
      </c>
      <c r="U93" s="34">
        <f>IFERROR(VLOOKUP("16_"&amp;A93,SyS!$B:$P,10,FALSE()),0)</f>
      </c>
      <c r="V93" s="35">
        <f>IFERROR(VLOOKUP("16_"&amp;A93,SyS!$B:$P,12,FALSE()),0)</f>
      </c>
      <c r="W93" s="36">
        <f>+U93-V93</f>
      </c>
      <c r="X93" s="34">
        <f>IFERROR(VLOOKUP("13_"&amp;A93,SyS!$B:$P,10,FALSE()),0)</f>
      </c>
      <c r="Y93" s="35">
        <f>IFERROR(VLOOKUP("13_"&amp;A93,SyS!$B:$P,12,FALSE()),0)</f>
      </c>
      <c r="Z93" s="36">
        <f>+X93-Y93</f>
      </c>
      <c r="AA93" s="34">
        <f>IFERROR(VLOOKUP("17_"&amp;A93,SyS!$B:$P,10,FALSE()),0)</f>
      </c>
      <c r="AB93" s="35">
        <f>IFERROR(VLOOKUP("17_"&amp;A93,SyS!$B:$P,12,FALSE()),0)</f>
      </c>
      <c r="AC93" s="36">
        <f>+AA93-AB93</f>
      </c>
      <c r="AD93" s="35"/>
      <c r="AE93" s="35"/>
      <c r="AF93" s="35"/>
      <c r="AG93" s="35">
        <f>IFERROR(VLOOKUP("19_"&amp;A93,SyS!$B:$P,10,FALSE()),0)</f>
      </c>
      <c r="AH93" s="35">
        <f>IFERROR(VLOOKUP("19_"&amp;A93,SyS!$B:$P,12,FALSE()),0)</f>
      </c>
      <c r="AI93" s="35">
        <f>+AG93-AH93</f>
      </c>
      <c r="AJ93" s="35"/>
      <c r="AK93" s="35"/>
      <c r="AL93" s="35"/>
      <c r="AM93" s="34">
        <f>IFERROR(VLOOKUP("23_"&amp;A93,SyS!$B:$P,10,FALSE()),0)</f>
      </c>
      <c r="AN93" s="35">
        <f>IFERROR(VLOOKUP("23_"&amp;A93,SyS!$B:$P,12,FALSE()),0)</f>
      </c>
      <c r="AO93" s="36">
        <f>+AM93-AN93</f>
      </c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>
        <f>IFERROR(VLOOKUP("29_"&amp;A93,SyS!$B:$P,10,FALSE()),0)</f>
      </c>
      <c r="BL93" s="40">
        <f>IFERROR(VLOOKUP("29_"&amp;A93,SyS!$B:$P,12,FALSE()),0)</f>
      </c>
      <c r="BM93" s="40">
        <f>+BK93-BL93</f>
      </c>
      <c r="BN93" s="42">
        <f>IFERROR(VLOOKUP("30_"&amp;A93,SyS!$B:$P,10,FALSE()),0)</f>
      </c>
      <c r="BO93" s="40">
        <f>IFERROR(VLOOKUP("30_"&amp;A93,SyS!$B:$P,12,FALSE()),0)</f>
      </c>
      <c r="BP93" s="43">
        <f>+BN93-BO93</f>
      </c>
      <c r="BQ93" s="44">
        <f>+E93+H93+K93+N93+Q93+T93+W93+Z93+AC93+AF93+AI93+AL93+AO93+AR93+AU93+AX93+BA93+BD93+BG93+BJ93+BM93+BP93</f>
      </c>
    </row>
    <row r="94" ht="11.25" customHeight="1" spans="1:69" x14ac:dyDescent="0.25">
      <c r="A94" s="9">
        <v>421460000</v>
      </c>
      <c r="B94" s="9" t="s">
        <v>131</v>
      </c>
      <c r="C94" s="34">
        <f>IFERROR(VLOOKUP("1_"&amp;A94,SyS!$B:$P,10,FALSE()),0)</f>
      </c>
      <c r="D94" s="35">
        <f>IFERROR(VLOOKUP("1_"&amp;A94,SyS!$B:$P,12,FALSE()),0)</f>
      </c>
      <c r="E94" s="35">
        <f>+C94-D94</f>
      </c>
      <c r="F94" s="34">
        <f>IFERROR(VLOOKUP("2_"&amp;A94,SyS!$B:$P,10,FALSE()),0)</f>
      </c>
      <c r="G94" s="35">
        <f>IFERROR(VLOOKUP("2_"&amp;A94,SyS!$B:$P,12,FALSE()),0)</f>
      </c>
      <c r="H94" s="36">
        <f>+F94-G94</f>
      </c>
      <c r="I94" s="35"/>
      <c r="J94" s="35"/>
      <c r="K94" s="35"/>
      <c r="L94" s="35"/>
      <c r="M94" s="35"/>
      <c r="N94" s="35"/>
      <c r="O94" s="34">
        <f>IFERROR(VLOOKUP("14_"&amp;A94,SyS!$B:$P,10,FALSE()),0)</f>
      </c>
      <c r="P94" s="35">
        <f>IFERROR(VLOOKUP("14_"&amp;A94,SyS!$B:$P,12,FALSE()),0)</f>
      </c>
      <c r="Q94" s="36">
        <f>+O94-P94</f>
      </c>
      <c r="R94" s="34">
        <f>IFERROR(VLOOKUP("15_"&amp;A94,SyS!$B:$P,10,FALSE()),0)</f>
      </c>
      <c r="S94" s="35">
        <f>IFERROR(VLOOKUP("15_"&amp;A94,SyS!$B:$P,12,FALSE()),0)</f>
      </c>
      <c r="T94" s="36">
        <f>+R94-S94</f>
      </c>
      <c r="U94" s="34">
        <f>IFERROR(VLOOKUP("16_"&amp;A94,SyS!$B:$P,10,FALSE()),0)</f>
      </c>
      <c r="V94" s="35">
        <f>IFERROR(VLOOKUP("16_"&amp;A94,SyS!$B:$P,12,FALSE()),0)</f>
      </c>
      <c r="W94" s="36">
        <f>+U94-V94</f>
      </c>
      <c r="X94" s="34">
        <f>IFERROR(VLOOKUP("13_"&amp;A94,SyS!$B:$P,10,FALSE()),0)</f>
      </c>
      <c r="Y94" s="35">
        <f>IFERROR(VLOOKUP("13_"&amp;A94,SyS!$B:$P,12,FALSE()),0)</f>
      </c>
      <c r="Z94" s="36">
        <f>+X94-Y94</f>
      </c>
      <c r="AA94" s="34">
        <f>IFERROR(VLOOKUP("17_"&amp;A94,SyS!$B:$P,10,FALSE()),0)</f>
      </c>
      <c r="AB94" s="35">
        <f>IFERROR(VLOOKUP("17_"&amp;A94,SyS!$B:$P,12,FALSE()),0)</f>
      </c>
      <c r="AC94" s="36">
        <f>+AA94-AB94</f>
      </c>
      <c r="AD94" s="35"/>
      <c r="AE94" s="35"/>
      <c r="AF94" s="35"/>
      <c r="AG94" s="35">
        <f>IFERROR(VLOOKUP("19_"&amp;A94,SyS!$B:$P,10,FALSE()),0)</f>
      </c>
      <c r="AH94" s="35">
        <f>IFERROR(VLOOKUP("19_"&amp;A94,SyS!$B:$P,12,FALSE()),0)</f>
      </c>
      <c r="AI94" s="35">
        <f>+AG94-AH94</f>
      </c>
      <c r="AJ94" s="35"/>
      <c r="AK94" s="35"/>
      <c r="AL94" s="35"/>
      <c r="AM94" s="34">
        <f>IFERROR(VLOOKUP("23_"&amp;A94,SyS!$B:$P,10,FALSE()),0)</f>
      </c>
      <c r="AN94" s="35">
        <f>IFERROR(VLOOKUP("23_"&amp;A94,SyS!$B:$P,12,FALSE()),0)</f>
      </c>
      <c r="AO94" s="36">
        <f>+AM94-AN94</f>
      </c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>
        <f>IFERROR(VLOOKUP("29_"&amp;A94,SyS!$B:$P,10,FALSE()),0)</f>
      </c>
      <c r="BL94" s="40">
        <f>IFERROR(VLOOKUP("29_"&amp;A94,SyS!$B:$P,12,FALSE()),0)</f>
      </c>
      <c r="BM94" s="40">
        <f>+BK94-BL94</f>
      </c>
      <c r="BN94" s="42">
        <f>IFERROR(VLOOKUP("30_"&amp;A94,SyS!$B:$P,10,FALSE()),0)</f>
      </c>
      <c r="BO94" s="40">
        <f>IFERROR(VLOOKUP("30_"&amp;A94,SyS!$B:$P,12,FALSE()),0)</f>
      </c>
      <c r="BP94" s="43">
        <f>+BN94-BO94</f>
      </c>
      <c r="BQ94" s="44">
        <f>+E94+H94+K94+N94+Q94+T94+W94+Z94+AC94+AF94+AI94+AL94+AO94+AR94+AU94+AX94+BA94+BD94+BG94+BJ94+BM94+BP94</f>
      </c>
    </row>
    <row r="95" ht="11.25" customHeight="1" spans="1:69" x14ac:dyDescent="0.25">
      <c r="A95" s="41">
        <v>421480000</v>
      </c>
      <c r="B95" s="9" t="s">
        <v>132</v>
      </c>
      <c r="C95" s="34">
        <f>IFERROR(VLOOKUP("1_"&amp;A95,SyS!$B:$P,10,FALSE()),0)</f>
      </c>
      <c r="D95" s="35">
        <f>IFERROR(VLOOKUP("1_"&amp;A95,SyS!$B:$P,12,FALSE()),0)</f>
      </c>
      <c r="E95" s="35">
        <f>+C95-D95</f>
      </c>
      <c r="F95" s="34">
        <f>IFERROR(VLOOKUP("2_"&amp;A95,SyS!$B:$P,10,FALSE()),0)</f>
      </c>
      <c r="G95" s="35">
        <f>IFERROR(VLOOKUP("2_"&amp;A95,SyS!$B:$P,12,FALSE()),0)</f>
      </c>
      <c r="H95" s="36">
        <f>+F95-G95</f>
      </c>
      <c r="I95" s="35"/>
      <c r="J95" s="35"/>
      <c r="K95" s="35"/>
      <c r="L95" s="35"/>
      <c r="M95" s="35"/>
      <c r="N95" s="35"/>
      <c r="O95" s="34">
        <f>IFERROR(VLOOKUP("14_"&amp;A95,SyS!$B:$P,10,FALSE()),0)</f>
      </c>
      <c r="P95" s="35">
        <f>IFERROR(VLOOKUP("14_"&amp;A95,SyS!$B:$P,12,FALSE()),0)</f>
      </c>
      <c r="Q95" s="36">
        <f>+O95-P95</f>
      </c>
      <c r="R95" s="34">
        <f>IFERROR(VLOOKUP("15_"&amp;A95,SyS!$B:$P,10,FALSE()),0)</f>
      </c>
      <c r="S95" s="35">
        <f>IFERROR(VLOOKUP("15_"&amp;A95,SyS!$B:$P,12,FALSE()),0)</f>
      </c>
      <c r="T95" s="36">
        <f>+R95-S95</f>
      </c>
      <c r="U95" s="34">
        <f>IFERROR(VLOOKUP("16_"&amp;A95,SyS!$B:$P,10,FALSE()),0)</f>
      </c>
      <c r="V95" s="35">
        <f>IFERROR(VLOOKUP("16_"&amp;A95,SyS!$B:$P,12,FALSE()),0)</f>
      </c>
      <c r="W95" s="36">
        <f>+U95-V95</f>
      </c>
      <c r="X95" s="34">
        <f>IFERROR(VLOOKUP("13_"&amp;A95,SyS!$B:$P,10,FALSE()),0)</f>
      </c>
      <c r="Y95" s="35">
        <f>IFERROR(VLOOKUP("13_"&amp;A95,SyS!$B:$P,12,FALSE()),0)</f>
      </c>
      <c r="Z95" s="36">
        <f>+X95-Y95</f>
      </c>
      <c r="AA95" s="34">
        <f>IFERROR(VLOOKUP("17_"&amp;A95,SyS!$B:$P,10,FALSE()),0)</f>
      </c>
      <c r="AB95" s="35">
        <f>IFERROR(VLOOKUP("17_"&amp;A95,SyS!$B:$P,12,FALSE()),0)</f>
      </c>
      <c r="AC95" s="36">
        <f>+AA95-AB95</f>
      </c>
      <c r="AD95" s="35"/>
      <c r="AE95" s="35"/>
      <c r="AF95" s="35"/>
      <c r="AG95" s="35">
        <f>IFERROR(VLOOKUP("19_"&amp;A95,SyS!$B:$P,10,FALSE()),0)</f>
      </c>
      <c r="AH95" s="35">
        <f>IFERROR(VLOOKUP("19_"&amp;A95,SyS!$B:$P,12,FALSE()),0)</f>
      </c>
      <c r="AI95" s="35">
        <f>+AG95-AH95</f>
      </c>
      <c r="AJ95" s="35"/>
      <c r="AK95" s="35"/>
      <c r="AL95" s="35"/>
      <c r="AM95" s="34">
        <f>IFERROR(VLOOKUP("23_"&amp;A95,SyS!$B:$P,10,FALSE()),0)</f>
      </c>
      <c r="AN95" s="35">
        <f>IFERROR(VLOOKUP("23_"&amp;A95,SyS!$B:$P,12,FALSE()),0)</f>
      </c>
      <c r="AO95" s="36">
        <f>+AM95-AN95</f>
      </c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>
        <f>IFERROR(VLOOKUP("29_"&amp;A95,SyS!$B:$P,10,FALSE()),0)</f>
      </c>
      <c r="BL95" s="40">
        <f>IFERROR(VLOOKUP("29_"&amp;A95,SyS!$B:$P,12,FALSE()),0)</f>
      </c>
      <c r="BM95" s="40">
        <f>+BK95-BL95</f>
      </c>
      <c r="BN95" s="42">
        <f>IFERROR(VLOOKUP("30_"&amp;A95,SyS!$B:$P,10,FALSE()),0)</f>
      </c>
      <c r="BO95" s="40">
        <f>IFERROR(VLOOKUP("30_"&amp;A95,SyS!$B:$P,12,FALSE()),0)</f>
      </c>
      <c r="BP95" s="43">
        <f>+BN95-BO95</f>
      </c>
      <c r="BQ95" s="44">
        <f>+E95+H95+K95+N95+Q95+T95+W95+Z95+AC95+AF95+AI95+AL95+AO95+AR95+AU95+AX95+BA95+BD95+BG95+BJ95+BM95+BP95</f>
      </c>
    </row>
    <row r="96" ht="11.25" customHeight="1" spans="1:69" x14ac:dyDescent="0.25">
      <c r="A96" s="9">
        <v>421500000</v>
      </c>
      <c r="B96" s="9" t="s">
        <v>133</v>
      </c>
      <c r="C96" s="34">
        <f>IFERROR(VLOOKUP("1_"&amp;A96,SyS!$B:$P,10,FALSE()),0)</f>
      </c>
      <c r="D96" s="35">
        <f>IFERROR(VLOOKUP("1_"&amp;A96,SyS!$B:$P,12,FALSE()),0)</f>
      </c>
      <c r="E96" s="35">
        <f>+C96-D96</f>
      </c>
      <c r="F96" s="34">
        <f>IFERROR(VLOOKUP("2_"&amp;A96,SyS!$B:$P,10,FALSE()),0)</f>
      </c>
      <c r="G96" s="35">
        <f>IFERROR(VLOOKUP("2_"&amp;A96,SyS!$B:$P,12,FALSE()),0)</f>
      </c>
      <c r="H96" s="36">
        <f>+F96-G96</f>
      </c>
      <c r="I96" s="35"/>
      <c r="J96" s="35"/>
      <c r="K96" s="35"/>
      <c r="L96" s="35"/>
      <c r="M96" s="35"/>
      <c r="N96" s="35"/>
      <c r="O96" s="34">
        <f>IFERROR(VLOOKUP("14_"&amp;A96,SyS!$B:$P,10,FALSE()),0)</f>
      </c>
      <c r="P96" s="35">
        <f>IFERROR(VLOOKUP("14_"&amp;A96,SyS!$B:$P,12,FALSE()),0)</f>
      </c>
      <c r="Q96" s="36">
        <f>+O96-P96</f>
      </c>
      <c r="R96" s="34">
        <f>IFERROR(VLOOKUP("15_"&amp;A96,SyS!$B:$P,10,FALSE()),0)</f>
      </c>
      <c r="S96" s="35">
        <f>IFERROR(VLOOKUP("15_"&amp;A96,SyS!$B:$P,12,FALSE()),0)</f>
      </c>
      <c r="T96" s="36">
        <f>+R96-S96</f>
      </c>
      <c r="U96" s="34">
        <f>IFERROR(VLOOKUP("16_"&amp;A96,SyS!$B:$P,10,FALSE()),0)</f>
      </c>
      <c r="V96" s="35">
        <f>IFERROR(VLOOKUP("16_"&amp;A96,SyS!$B:$P,12,FALSE()),0)</f>
      </c>
      <c r="W96" s="36">
        <f>+U96-V96</f>
      </c>
      <c r="X96" s="34">
        <f>IFERROR(VLOOKUP("13_"&amp;A96,SyS!$B:$P,10,FALSE()),0)</f>
      </c>
      <c r="Y96" s="35">
        <f>IFERROR(VLOOKUP("13_"&amp;A96,SyS!$B:$P,12,FALSE()),0)</f>
      </c>
      <c r="Z96" s="36">
        <f>+X96-Y96</f>
      </c>
      <c r="AA96" s="34">
        <f>IFERROR(VLOOKUP("17_"&amp;A96,SyS!$B:$P,10,FALSE()),0)</f>
      </c>
      <c r="AB96" s="35">
        <f>IFERROR(VLOOKUP("17_"&amp;A96,SyS!$B:$P,12,FALSE()),0)</f>
      </c>
      <c r="AC96" s="36">
        <f>+AA96-AB96</f>
      </c>
      <c r="AD96" s="35"/>
      <c r="AE96" s="35"/>
      <c r="AF96" s="35"/>
      <c r="AG96" s="35">
        <f>IFERROR(VLOOKUP("19_"&amp;A96,SyS!$B:$P,10,FALSE()),0)</f>
      </c>
      <c r="AH96" s="35">
        <f>IFERROR(VLOOKUP("19_"&amp;A96,SyS!$B:$P,12,FALSE()),0)</f>
      </c>
      <c r="AI96" s="35">
        <f>+AG96-AH96</f>
      </c>
      <c r="AJ96" s="35"/>
      <c r="AK96" s="35"/>
      <c r="AL96" s="35"/>
      <c r="AM96" s="34">
        <f>IFERROR(VLOOKUP("23_"&amp;A96,SyS!$B:$P,10,FALSE()),0)</f>
      </c>
      <c r="AN96" s="35">
        <f>IFERROR(VLOOKUP("23_"&amp;A96,SyS!$B:$P,12,FALSE()),0)</f>
      </c>
      <c r="AO96" s="36">
        <f>+AM96-AN96</f>
      </c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>
        <f>IFERROR(VLOOKUP("29_"&amp;A96,SyS!$B:$P,10,FALSE()),0)</f>
      </c>
      <c r="BL96" s="40">
        <f>IFERROR(VLOOKUP("29_"&amp;A96,SyS!$B:$P,12,FALSE()),0)</f>
      </c>
      <c r="BM96" s="40">
        <f>+BK96-BL96</f>
      </c>
      <c r="BN96" s="42">
        <f>IFERROR(VLOOKUP("30_"&amp;A96,SyS!$B:$P,10,FALSE()),0)</f>
      </c>
      <c r="BO96" s="40">
        <f>IFERROR(VLOOKUP("30_"&amp;A96,SyS!$B:$P,12,FALSE()),0)</f>
      </c>
      <c r="BP96" s="43">
        <f>+BN96-BO96</f>
      </c>
      <c r="BQ96" s="44">
        <f>+E96+H96+K96+N96+Q96+T96+W96+Z96+AC96+AF96+AI96+AL96+AO96+AR96+AU96+AX96+BA96+BD96+BG96+BJ96+BM96+BP96</f>
      </c>
    </row>
    <row r="97" ht="11.25" customHeight="1" spans="1:69" x14ac:dyDescent="0.25">
      <c r="A97" s="9">
        <v>421510000</v>
      </c>
      <c r="B97" s="9" t="s">
        <v>134</v>
      </c>
      <c r="C97" s="34">
        <f>IFERROR(VLOOKUP("1_"&amp;A97,SyS!$B:$P,10,FALSE()),0)</f>
      </c>
      <c r="D97" s="35">
        <f>IFERROR(VLOOKUP("1_"&amp;A97,SyS!$B:$P,12,FALSE()),0)</f>
      </c>
      <c r="E97" s="35">
        <f>+C97-D97</f>
      </c>
      <c r="F97" s="34">
        <f>IFERROR(VLOOKUP("2_"&amp;A97,SyS!$B:$P,10,FALSE()),0)</f>
      </c>
      <c r="G97" s="35">
        <f>IFERROR(VLOOKUP("2_"&amp;A97,SyS!$B:$P,12,FALSE()),0)</f>
      </c>
      <c r="H97" s="36">
        <f>+F97-G97</f>
      </c>
      <c r="I97" s="35"/>
      <c r="J97" s="35"/>
      <c r="K97" s="35"/>
      <c r="L97" s="35"/>
      <c r="M97" s="35"/>
      <c r="N97" s="35"/>
      <c r="O97" s="34">
        <f>IFERROR(VLOOKUP("14_"&amp;A97,SyS!$B:$P,10,FALSE()),0)</f>
      </c>
      <c r="P97" s="35">
        <f>IFERROR(VLOOKUP("14_"&amp;A97,SyS!$B:$P,12,FALSE()),0)</f>
      </c>
      <c r="Q97" s="36">
        <f>+O97-P97</f>
      </c>
      <c r="R97" s="34">
        <f>IFERROR(VLOOKUP("15_"&amp;A97,SyS!$B:$P,10,FALSE()),0)</f>
      </c>
      <c r="S97" s="35">
        <f>IFERROR(VLOOKUP("15_"&amp;A97,SyS!$B:$P,12,FALSE()),0)</f>
      </c>
      <c r="T97" s="36">
        <f>+R97-S97</f>
      </c>
      <c r="U97" s="34">
        <f>IFERROR(VLOOKUP("16_"&amp;A97,SyS!$B:$P,10,FALSE()),0)</f>
      </c>
      <c r="V97" s="35">
        <f>IFERROR(VLOOKUP("16_"&amp;A97,SyS!$B:$P,12,FALSE()),0)</f>
      </c>
      <c r="W97" s="36">
        <f>+U97-V97</f>
      </c>
      <c r="X97" s="34">
        <f>IFERROR(VLOOKUP("13_"&amp;A97,SyS!$B:$P,10,FALSE()),0)</f>
      </c>
      <c r="Y97" s="35">
        <f>IFERROR(VLOOKUP("13_"&amp;A97,SyS!$B:$P,12,FALSE()),0)</f>
      </c>
      <c r="Z97" s="36">
        <f>+X97-Y97</f>
      </c>
      <c r="AA97" s="34">
        <f>IFERROR(VLOOKUP("17_"&amp;A97,SyS!$B:$P,10,FALSE()),0)</f>
      </c>
      <c r="AB97" s="35">
        <f>IFERROR(VLOOKUP("17_"&amp;A97,SyS!$B:$P,12,FALSE()),0)</f>
      </c>
      <c r="AC97" s="36">
        <f>+AA97-AB97</f>
      </c>
      <c r="AD97" s="35"/>
      <c r="AE97" s="35"/>
      <c r="AF97" s="35"/>
      <c r="AG97" s="35">
        <f>IFERROR(VLOOKUP("19_"&amp;A97,SyS!$B:$P,10,FALSE()),0)</f>
      </c>
      <c r="AH97" s="35">
        <f>IFERROR(VLOOKUP("19_"&amp;A97,SyS!$B:$P,12,FALSE()),0)</f>
      </c>
      <c r="AI97" s="35">
        <f>+AG97-AH97</f>
      </c>
      <c r="AJ97" s="35"/>
      <c r="AK97" s="35"/>
      <c r="AL97" s="35"/>
      <c r="AM97" s="34">
        <f>IFERROR(VLOOKUP("23_"&amp;A97,SyS!$B:$P,10,FALSE()),0)</f>
      </c>
      <c r="AN97" s="35">
        <f>IFERROR(VLOOKUP("23_"&amp;A97,SyS!$B:$P,12,FALSE()),0)</f>
      </c>
      <c r="AO97" s="36">
        <f>+AM97-AN97</f>
      </c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>
        <f>IFERROR(VLOOKUP("29_"&amp;A97,SyS!$B:$P,10,FALSE()),0)</f>
      </c>
      <c r="BL97" s="40">
        <f>IFERROR(VLOOKUP("29_"&amp;A97,SyS!$B:$P,12,FALSE()),0)</f>
      </c>
      <c r="BM97" s="40">
        <f>+BK97-BL97</f>
      </c>
      <c r="BN97" s="42">
        <f>IFERROR(VLOOKUP("30_"&amp;A97,SyS!$B:$P,10,FALSE()),0)</f>
      </c>
      <c r="BO97" s="40">
        <f>IFERROR(VLOOKUP("30_"&amp;A97,SyS!$B:$P,12,FALSE()),0)</f>
      </c>
      <c r="BP97" s="43">
        <f>+BN97-BO97</f>
      </c>
      <c r="BQ97" s="44">
        <f>+E97+H97+K97+N97+Q97+T97+W97+Z97+AC97+AF97+AI97+AL97+AO97+AR97+AU97+AX97+BA97+BD97+BG97+BJ97+BM97+BP97</f>
      </c>
    </row>
    <row r="98" ht="11.25" customHeight="1" spans="1:69" x14ac:dyDescent="0.25">
      <c r="A98" s="9">
        <v>421520000</v>
      </c>
      <c r="B98" s="9" t="s">
        <v>135</v>
      </c>
      <c r="C98" s="34">
        <f>IFERROR(VLOOKUP("1_"&amp;A98,SyS!$B:$P,10,FALSE()),0)</f>
      </c>
      <c r="D98" s="35">
        <f>IFERROR(VLOOKUP("1_"&amp;A98,SyS!$B:$P,12,FALSE()),0)</f>
      </c>
      <c r="E98" s="35">
        <f>+C98-D98</f>
      </c>
      <c r="F98" s="34">
        <f>IFERROR(VLOOKUP("2_"&amp;A98,SyS!$B:$P,10,FALSE()),0)</f>
      </c>
      <c r="G98" s="35">
        <f>IFERROR(VLOOKUP("2_"&amp;A98,SyS!$B:$P,12,FALSE()),0)</f>
      </c>
      <c r="H98" s="36">
        <f>+F98-G98</f>
      </c>
      <c r="I98" s="35"/>
      <c r="J98" s="35"/>
      <c r="K98" s="35"/>
      <c r="L98" s="35"/>
      <c r="M98" s="35"/>
      <c r="N98" s="35"/>
      <c r="O98" s="34">
        <f>IFERROR(VLOOKUP("14_"&amp;A98,SyS!$B:$P,10,FALSE()),0)</f>
      </c>
      <c r="P98" s="35">
        <f>IFERROR(VLOOKUP("14_"&amp;A98,SyS!$B:$P,12,FALSE()),0)</f>
      </c>
      <c r="Q98" s="36">
        <f>+O98-P98</f>
      </c>
      <c r="R98" s="34">
        <f>IFERROR(VLOOKUP("15_"&amp;A98,SyS!$B:$P,10,FALSE()),0)</f>
      </c>
      <c r="S98" s="35">
        <f>IFERROR(VLOOKUP("15_"&amp;A98,SyS!$B:$P,12,FALSE()),0)</f>
      </c>
      <c r="T98" s="36">
        <f>+R98-S98</f>
      </c>
      <c r="U98" s="34">
        <f>IFERROR(VLOOKUP("16_"&amp;A98,SyS!$B:$P,10,FALSE()),0)</f>
      </c>
      <c r="V98" s="35">
        <f>IFERROR(VLOOKUP("16_"&amp;A98,SyS!$B:$P,12,FALSE()),0)</f>
      </c>
      <c r="W98" s="36">
        <f>+U98-V98</f>
      </c>
      <c r="X98" s="34">
        <f>IFERROR(VLOOKUP("13_"&amp;A98,SyS!$B:$P,10,FALSE()),0)</f>
      </c>
      <c r="Y98" s="35">
        <f>IFERROR(VLOOKUP("13_"&amp;A98,SyS!$B:$P,12,FALSE()),0)</f>
      </c>
      <c r="Z98" s="36">
        <f>+X98-Y98</f>
      </c>
      <c r="AA98" s="34">
        <f>IFERROR(VLOOKUP("17_"&amp;A98,SyS!$B:$P,10,FALSE()),0)</f>
      </c>
      <c r="AB98" s="35">
        <f>IFERROR(VLOOKUP("17_"&amp;A98,SyS!$B:$P,12,FALSE()),0)</f>
      </c>
      <c r="AC98" s="36">
        <f>+AA98-AB98</f>
      </c>
      <c r="AD98" s="35"/>
      <c r="AE98" s="35"/>
      <c r="AF98" s="35"/>
      <c r="AG98" s="35">
        <f>IFERROR(VLOOKUP("19_"&amp;A98,SyS!$B:$P,10,FALSE()),0)</f>
      </c>
      <c r="AH98" s="35">
        <f>IFERROR(VLOOKUP("19_"&amp;A98,SyS!$B:$P,12,FALSE()),0)</f>
      </c>
      <c r="AI98" s="35">
        <f>+AG98-AH98</f>
      </c>
      <c r="AJ98" s="35"/>
      <c r="AK98" s="35"/>
      <c r="AL98" s="35"/>
      <c r="AM98" s="34">
        <f>IFERROR(VLOOKUP("23_"&amp;A98,SyS!$B:$P,10,FALSE()),0)</f>
      </c>
      <c r="AN98" s="35">
        <f>IFERROR(VLOOKUP("23_"&amp;A98,SyS!$B:$P,12,FALSE()),0)</f>
      </c>
      <c r="AO98" s="36">
        <f>+AM98-AN98</f>
      </c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>
        <f>IFERROR(VLOOKUP("29_"&amp;A98,SyS!$B:$P,10,FALSE()),0)</f>
      </c>
      <c r="BL98" s="40">
        <f>IFERROR(VLOOKUP("29_"&amp;A98,SyS!$B:$P,12,FALSE()),0)</f>
      </c>
      <c r="BM98" s="40">
        <f>+BK98-BL98</f>
      </c>
      <c r="BN98" s="42">
        <f>IFERROR(VLOOKUP("30_"&amp;A98,SyS!$B:$P,10,FALSE()),0)</f>
      </c>
      <c r="BO98" s="40">
        <f>IFERROR(VLOOKUP("30_"&amp;A98,SyS!$B:$P,12,FALSE()),0)</f>
      </c>
      <c r="BP98" s="43">
        <f>+BN98-BO98</f>
      </c>
      <c r="BQ98" s="44">
        <f>+E98+H98+K98+N98+Q98+T98+W98+Z98+AC98+AF98+AI98+AL98+AO98+AR98+AU98+AX98+BA98+BD98+BG98+BJ98+BM98+BP98</f>
      </c>
    </row>
    <row r="99" ht="11.25" customHeight="1" spans="1:69" x14ac:dyDescent="0.25">
      <c r="A99" s="9">
        <v>421530000</v>
      </c>
      <c r="B99" s="9" t="s">
        <v>136</v>
      </c>
      <c r="C99" s="34">
        <f>IFERROR(VLOOKUP("1_"&amp;A99,SyS!$B:$P,10,FALSE()),0)</f>
      </c>
      <c r="D99" s="35">
        <f>IFERROR(VLOOKUP("1_"&amp;A99,SyS!$B:$P,12,FALSE()),0)</f>
      </c>
      <c r="E99" s="35">
        <f>+C99-D99</f>
      </c>
      <c r="F99" s="34">
        <f>IFERROR(VLOOKUP("2_"&amp;A99,SyS!$B:$P,10,FALSE()),0)</f>
      </c>
      <c r="G99" s="35">
        <f>IFERROR(VLOOKUP("2_"&amp;A99,SyS!$B:$P,12,FALSE()),0)</f>
      </c>
      <c r="H99" s="36">
        <f>+F99-G99</f>
      </c>
      <c r="I99" s="35"/>
      <c r="J99" s="35"/>
      <c r="K99" s="35"/>
      <c r="L99" s="35"/>
      <c r="M99" s="35"/>
      <c r="N99" s="35"/>
      <c r="O99" s="34">
        <f>IFERROR(VLOOKUP("14_"&amp;A99,SyS!$B:$P,10,FALSE()),0)</f>
      </c>
      <c r="P99" s="35">
        <f>IFERROR(VLOOKUP("14_"&amp;A99,SyS!$B:$P,12,FALSE()),0)</f>
      </c>
      <c r="Q99" s="36">
        <f>+O99-P99</f>
      </c>
      <c r="R99" s="34">
        <f>IFERROR(VLOOKUP("15_"&amp;A99,SyS!$B:$P,10,FALSE()),0)</f>
      </c>
      <c r="S99" s="35">
        <f>IFERROR(VLOOKUP("15_"&amp;A99,SyS!$B:$P,12,FALSE()),0)</f>
      </c>
      <c r="T99" s="36">
        <f>+R99-S99</f>
      </c>
      <c r="U99" s="34">
        <f>IFERROR(VLOOKUP("16_"&amp;A99,SyS!$B:$P,10,FALSE()),0)</f>
      </c>
      <c r="V99" s="35">
        <f>IFERROR(VLOOKUP("16_"&amp;A99,SyS!$B:$P,12,FALSE()),0)</f>
      </c>
      <c r="W99" s="36">
        <f>+U99-V99</f>
      </c>
      <c r="X99" s="34">
        <f>IFERROR(VLOOKUP("13_"&amp;A99,SyS!$B:$P,10,FALSE()),0)</f>
      </c>
      <c r="Y99" s="35">
        <f>IFERROR(VLOOKUP("13_"&amp;A99,SyS!$B:$P,12,FALSE()),0)</f>
      </c>
      <c r="Z99" s="36">
        <f>+X99-Y99</f>
      </c>
      <c r="AA99" s="34">
        <f>IFERROR(VLOOKUP("17_"&amp;A99,SyS!$B:$P,10,FALSE()),0)</f>
      </c>
      <c r="AB99" s="35">
        <f>IFERROR(VLOOKUP("17_"&amp;A99,SyS!$B:$P,12,FALSE()),0)</f>
      </c>
      <c r="AC99" s="36">
        <f>+AA99-AB99</f>
      </c>
      <c r="AD99" s="35"/>
      <c r="AE99" s="35"/>
      <c r="AF99" s="35"/>
      <c r="AG99" s="35">
        <f>IFERROR(VLOOKUP("19_"&amp;A99,SyS!$B:$P,10,FALSE()),0)</f>
      </c>
      <c r="AH99" s="35">
        <f>IFERROR(VLOOKUP("19_"&amp;A99,SyS!$B:$P,12,FALSE()),0)</f>
      </c>
      <c r="AI99" s="35">
        <f>+AG99-AH99</f>
      </c>
      <c r="AJ99" s="35"/>
      <c r="AK99" s="35"/>
      <c r="AL99" s="35"/>
      <c r="AM99" s="34">
        <f>IFERROR(VLOOKUP("23_"&amp;A99,SyS!$B:$P,10,FALSE()),0)</f>
      </c>
      <c r="AN99" s="35">
        <f>IFERROR(VLOOKUP("23_"&amp;A99,SyS!$B:$P,12,FALSE()),0)</f>
      </c>
      <c r="AO99" s="36">
        <f>+AM99-AN99</f>
      </c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>
        <f>IFERROR(VLOOKUP("29_"&amp;A99,SyS!$B:$P,10,FALSE()),0)</f>
      </c>
      <c r="BL99" s="40">
        <f>IFERROR(VLOOKUP("29_"&amp;A99,SyS!$B:$P,12,FALSE()),0)</f>
      </c>
      <c r="BM99" s="40">
        <f>+BK99-BL99</f>
      </c>
      <c r="BN99" s="42">
        <f>IFERROR(VLOOKUP("30_"&amp;A99,SyS!$B:$P,10,FALSE()),0)</f>
      </c>
      <c r="BO99" s="40">
        <f>IFERROR(VLOOKUP("30_"&amp;A99,SyS!$B:$P,12,FALSE()),0)</f>
      </c>
      <c r="BP99" s="43">
        <f>+BN99-BO99</f>
      </c>
      <c r="BQ99" s="44">
        <f>+E99+H99+K99+N99+Q99+T99+W99+Z99+AC99+AF99+AI99+AL99+AO99+AR99+AU99+AX99+BA99+BD99+BG99+BJ99+BM99+BP99</f>
      </c>
    </row>
    <row r="100" ht="11.25" customHeight="1" spans="1:69" x14ac:dyDescent="0.25">
      <c r="A100" s="9">
        <v>421900000</v>
      </c>
      <c r="B100" s="9" t="s">
        <v>137</v>
      </c>
      <c r="C100" s="34">
        <f>IFERROR(VLOOKUP("1_"&amp;A100,SyS!$B:$P,10,FALSE()),0)</f>
      </c>
      <c r="D100" s="35">
        <f>IFERROR(VLOOKUP("1_"&amp;A100,SyS!$B:$P,12,FALSE()),0)</f>
      </c>
      <c r="E100" s="35">
        <f>+C100-D100</f>
      </c>
      <c r="F100" s="34">
        <f>IFERROR(VLOOKUP("2_"&amp;A100,SyS!$B:$P,10,FALSE()),0)</f>
      </c>
      <c r="G100" s="35">
        <f>IFERROR(VLOOKUP("2_"&amp;A100,SyS!$B:$P,12,FALSE()),0)</f>
      </c>
      <c r="H100" s="36">
        <f>+F100-G100</f>
      </c>
      <c r="I100" s="35"/>
      <c r="J100" s="35"/>
      <c r="K100" s="35"/>
      <c r="L100" s="35"/>
      <c r="M100" s="35"/>
      <c r="N100" s="35"/>
      <c r="O100" s="34">
        <f>IFERROR(VLOOKUP("14_"&amp;A100,SyS!$B:$P,10,FALSE()),0)</f>
      </c>
      <c r="P100" s="35">
        <f>IFERROR(VLOOKUP("14_"&amp;A100,SyS!$B:$P,12,FALSE()),0)</f>
      </c>
      <c r="Q100" s="36">
        <f>+O100-P100</f>
      </c>
      <c r="R100" s="34">
        <f>IFERROR(VLOOKUP("15_"&amp;A100,SyS!$B:$P,10,FALSE()),0)</f>
      </c>
      <c r="S100" s="35">
        <f>IFERROR(VLOOKUP("15_"&amp;A100,SyS!$B:$P,12,FALSE()),0)</f>
      </c>
      <c r="T100" s="36">
        <f>+R100-S100</f>
      </c>
      <c r="U100" s="34">
        <f>IFERROR(VLOOKUP("16_"&amp;A100,SyS!$B:$P,10,FALSE()),0)</f>
      </c>
      <c r="V100" s="35">
        <f>IFERROR(VLOOKUP("16_"&amp;A100,SyS!$B:$P,12,FALSE()),0)</f>
      </c>
      <c r="W100" s="36">
        <f>+U100-V100</f>
      </c>
      <c r="X100" s="34">
        <f>IFERROR(VLOOKUP("13_"&amp;A100,SyS!$B:$P,10,FALSE()),0)</f>
      </c>
      <c r="Y100" s="35">
        <f>IFERROR(VLOOKUP("13_"&amp;A100,SyS!$B:$P,12,FALSE()),0)</f>
      </c>
      <c r="Z100" s="36">
        <f>+X100-Y100</f>
      </c>
      <c r="AA100" s="34">
        <f>IFERROR(VLOOKUP("17_"&amp;A100,SyS!$B:$P,10,FALSE()),0)</f>
      </c>
      <c r="AB100" s="35">
        <f>IFERROR(VLOOKUP("17_"&amp;A100,SyS!$B:$P,12,FALSE()),0)</f>
      </c>
      <c r="AC100" s="36">
        <f>+AA100-AB100</f>
      </c>
      <c r="AD100" s="35"/>
      <c r="AE100" s="35"/>
      <c r="AF100" s="35"/>
      <c r="AG100" s="35">
        <f>IFERROR(VLOOKUP("19_"&amp;A100,SyS!$B:$P,10,FALSE()),0)</f>
      </c>
      <c r="AH100" s="35">
        <f>IFERROR(VLOOKUP("19_"&amp;A100,SyS!$B:$P,12,FALSE()),0)</f>
      </c>
      <c r="AI100" s="35">
        <f>+AG100-AH100</f>
      </c>
      <c r="AJ100" s="35"/>
      <c r="AK100" s="35"/>
      <c r="AL100" s="35"/>
      <c r="AM100" s="34">
        <f>IFERROR(VLOOKUP("23_"&amp;A100,SyS!$B:$P,10,FALSE()),0)</f>
      </c>
      <c r="AN100" s="35">
        <f>IFERROR(VLOOKUP("23_"&amp;A100,SyS!$B:$P,12,FALSE()),0)</f>
      </c>
      <c r="AO100" s="36">
        <f>+AM100-AN100</f>
      </c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>
        <f>IFERROR(VLOOKUP("29_"&amp;A100,SyS!$B:$P,10,FALSE()),0)</f>
      </c>
      <c r="BL100" s="40">
        <f>IFERROR(VLOOKUP("29_"&amp;A100,SyS!$B:$P,12,FALSE()),0)</f>
      </c>
      <c r="BM100" s="40">
        <f>+BK100-BL100</f>
      </c>
      <c r="BN100" s="42">
        <f>IFERROR(VLOOKUP("30_"&amp;A100,SyS!$B:$P,10,FALSE()),0)</f>
      </c>
      <c r="BO100" s="40">
        <f>IFERROR(VLOOKUP("30_"&amp;A100,SyS!$B:$P,12,FALSE()),0)</f>
      </c>
      <c r="BP100" s="43">
        <f>+BN100-BO100</f>
      </c>
      <c r="BQ100" s="44">
        <f>+E100+H100+K100+N100+Q100+T100+W100+Z100+AC100+AF100+AI100+AL100+AO100+AR100+AU100+AX100+BA100+BD100+BG100+BJ100+BM100+BP100</f>
      </c>
    </row>
    <row r="101" ht="11.25" customHeight="1" spans="1:69" x14ac:dyDescent="0.25">
      <c r="A101" s="9">
        <v>421560000</v>
      </c>
      <c r="B101" s="9" t="s">
        <v>138</v>
      </c>
      <c r="C101" s="34">
        <f>IFERROR(VLOOKUP("1_"&amp;A101,SyS!$B:$P,10,FALSE()),0)</f>
      </c>
      <c r="D101" s="35">
        <f>IFERROR(VLOOKUP("1_"&amp;A101,SyS!$B:$P,12,FALSE()),0)</f>
      </c>
      <c r="E101" s="35">
        <f>+C101-D101</f>
      </c>
      <c r="F101" s="34">
        <f>IFERROR(VLOOKUP("2_"&amp;A101,SyS!$B:$P,10,FALSE()),0)</f>
      </c>
      <c r="G101" s="35">
        <f>IFERROR(VLOOKUP("2_"&amp;A101,SyS!$B:$P,12,FALSE()),0)</f>
      </c>
      <c r="H101" s="36">
        <f>+F101-G101</f>
      </c>
      <c r="I101" s="35"/>
      <c r="J101" s="35"/>
      <c r="K101" s="35"/>
      <c r="L101" s="35"/>
      <c r="M101" s="35"/>
      <c r="N101" s="35"/>
      <c r="O101" s="34">
        <f>IFERROR(VLOOKUP("14_"&amp;A101,SyS!$B:$P,10,FALSE()),0)</f>
      </c>
      <c r="P101" s="35">
        <f>IFERROR(VLOOKUP("14_"&amp;A101,SyS!$B:$P,12,FALSE()),0)</f>
      </c>
      <c r="Q101" s="36">
        <f>+O101-P101</f>
      </c>
      <c r="R101" s="34">
        <f>IFERROR(VLOOKUP("15_"&amp;A101,SyS!$B:$P,10,FALSE()),0)</f>
      </c>
      <c r="S101" s="35">
        <f>IFERROR(VLOOKUP("15_"&amp;A101,SyS!$B:$P,12,FALSE()),0)</f>
      </c>
      <c r="T101" s="36">
        <f>+R101-S101</f>
      </c>
      <c r="U101" s="34">
        <f>IFERROR(VLOOKUP("16_"&amp;A101,SyS!$B:$P,10,FALSE()),0)</f>
      </c>
      <c r="V101" s="35">
        <f>IFERROR(VLOOKUP("16_"&amp;A101,SyS!$B:$P,12,FALSE()),0)</f>
      </c>
      <c r="W101" s="36">
        <f>+U101-V101</f>
      </c>
      <c r="X101" s="34">
        <f>IFERROR(VLOOKUP("13_"&amp;A101,SyS!$B:$P,10,FALSE()),0)</f>
      </c>
      <c r="Y101" s="35">
        <f>IFERROR(VLOOKUP("13_"&amp;A101,SyS!$B:$P,12,FALSE()),0)</f>
      </c>
      <c r="Z101" s="36">
        <f>+X101-Y101</f>
      </c>
      <c r="AA101" s="34">
        <f>IFERROR(VLOOKUP("17_"&amp;A101,SyS!$B:$P,10,FALSE()),0)</f>
      </c>
      <c r="AB101" s="35">
        <f>IFERROR(VLOOKUP("17_"&amp;A101,SyS!$B:$P,12,FALSE()),0)</f>
      </c>
      <c r="AC101" s="36">
        <f>+AA101-AB101</f>
      </c>
      <c r="AD101" s="35"/>
      <c r="AE101" s="35"/>
      <c r="AF101" s="35"/>
      <c r="AG101" s="35">
        <f>IFERROR(VLOOKUP("19_"&amp;A101,SyS!$B:$P,10,FALSE()),0)</f>
      </c>
      <c r="AH101" s="35">
        <f>IFERROR(VLOOKUP("19_"&amp;A101,SyS!$B:$P,12,FALSE()),0)</f>
      </c>
      <c r="AI101" s="35">
        <f>+AG101-AH101</f>
      </c>
      <c r="AJ101" s="35"/>
      <c r="AK101" s="35"/>
      <c r="AL101" s="35"/>
      <c r="AM101" s="34">
        <f>IFERROR(VLOOKUP("23_"&amp;A101,SyS!$B:$P,10,FALSE()),0)</f>
      </c>
      <c r="AN101" s="35">
        <f>IFERROR(VLOOKUP("23_"&amp;A101,SyS!$B:$P,12,FALSE()),0)</f>
      </c>
      <c r="AO101" s="36">
        <f>+AM101-AN101</f>
      </c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>
        <f>IFERROR(VLOOKUP("29_"&amp;A101,SyS!$B:$P,10,FALSE()),0)</f>
      </c>
      <c r="BL101" s="40">
        <f>IFERROR(VLOOKUP("29_"&amp;A101,SyS!$B:$P,12,FALSE()),0)</f>
      </c>
      <c r="BM101" s="40">
        <f>+BK101-BL101</f>
      </c>
      <c r="BN101" s="42">
        <f>IFERROR(VLOOKUP("30_"&amp;A101,SyS!$B:$P,10,FALSE()),0)</f>
      </c>
      <c r="BO101" s="40">
        <f>IFERROR(VLOOKUP("30_"&amp;A101,SyS!$B:$P,12,FALSE()),0)</f>
      </c>
      <c r="BP101" s="43">
        <f>+BN101-BO101</f>
      </c>
      <c r="BQ101" s="44">
        <f>+E101+H101+K101+N101+Q101+T101+W101+Z101+AC101+AF101+AI101+AL101+AO101+AR101+AU101+AX101+BA101+BD101+BG101+BJ101+BM101+BP101</f>
      </c>
    </row>
    <row r="102" ht="11.25" customHeight="1" spans="1:69" x14ac:dyDescent="0.25">
      <c r="A102" s="9">
        <v>421990000</v>
      </c>
      <c r="B102" s="9" t="s">
        <v>139</v>
      </c>
      <c r="C102" s="34">
        <f>IFERROR(VLOOKUP("1_"&amp;A102,SyS!$B:$P,10,FALSE()),0)</f>
      </c>
      <c r="D102" s="35">
        <f>IFERROR(VLOOKUP("1_"&amp;A102,SyS!$B:$P,12,FALSE()),0)</f>
      </c>
      <c r="E102" s="35">
        <f>+C102-D102</f>
      </c>
      <c r="F102" s="34">
        <f>IFERROR(VLOOKUP("2_"&amp;A102,SyS!$B:$P,10,FALSE()),0)</f>
      </c>
      <c r="G102" s="35">
        <f>IFERROR(VLOOKUP("2_"&amp;A102,SyS!$B:$P,12,FALSE()),0)</f>
      </c>
      <c r="H102" s="36">
        <f>+F102-G102</f>
      </c>
      <c r="I102" s="35"/>
      <c r="J102" s="35"/>
      <c r="K102" s="35"/>
      <c r="L102" s="35"/>
      <c r="M102" s="35"/>
      <c r="N102" s="35"/>
      <c r="O102" s="34">
        <f>IFERROR(VLOOKUP("14_"&amp;A102,SyS!$B:$P,10,FALSE()),0)</f>
      </c>
      <c r="P102" s="35">
        <f>IFERROR(VLOOKUP("14_"&amp;A102,SyS!$B:$P,12,FALSE()),0)</f>
      </c>
      <c r="Q102" s="36">
        <f>+O102-P102</f>
      </c>
      <c r="R102" s="34">
        <f>IFERROR(VLOOKUP("15_"&amp;A102,SyS!$B:$P,10,FALSE()),0)</f>
      </c>
      <c r="S102" s="35">
        <f>IFERROR(VLOOKUP("15_"&amp;A102,SyS!$B:$P,12,FALSE()),0)</f>
      </c>
      <c r="T102" s="36">
        <f>+R102-S102</f>
      </c>
      <c r="U102" s="34">
        <f>IFERROR(VLOOKUP("16_"&amp;A102,SyS!$B:$P,10,FALSE()),0)</f>
      </c>
      <c r="V102" s="35">
        <f>IFERROR(VLOOKUP("16_"&amp;A102,SyS!$B:$P,12,FALSE()),0)</f>
      </c>
      <c r="W102" s="36">
        <f>+U102-V102</f>
      </c>
      <c r="X102" s="34">
        <f>IFERROR(VLOOKUP("13_"&amp;A102,SyS!$B:$P,10,FALSE()),0)</f>
      </c>
      <c r="Y102" s="35">
        <f>IFERROR(VLOOKUP("13_"&amp;A102,SyS!$B:$P,12,FALSE()),0)</f>
      </c>
      <c r="Z102" s="36">
        <f>+X102-Y102</f>
      </c>
      <c r="AA102" s="34">
        <f>IFERROR(VLOOKUP("17_"&amp;A102,SyS!$B:$P,10,FALSE()),0)</f>
      </c>
      <c r="AB102" s="35">
        <f>IFERROR(VLOOKUP("17_"&amp;A102,SyS!$B:$P,12,FALSE()),0)</f>
      </c>
      <c r="AC102" s="36">
        <f>+AA102-AB102</f>
      </c>
      <c r="AD102" s="35"/>
      <c r="AE102" s="35"/>
      <c r="AF102" s="35"/>
      <c r="AG102" s="35">
        <f>IFERROR(VLOOKUP("19_"&amp;A102,SyS!$B:$P,10,FALSE()),0)</f>
      </c>
      <c r="AH102" s="35">
        <f>IFERROR(VLOOKUP("19_"&amp;A102,SyS!$B:$P,12,FALSE()),0)</f>
      </c>
      <c r="AI102" s="35">
        <f>+AG102-AH102</f>
      </c>
      <c r="AJ102" s="35"/>
      <c r="AK102" s="35"/>
      <c r="AL102" s="35"/>
      <c r="AM102" s="34">
        <f>IFERROR(VLOOKUP("23_"&amp;A102,SyS!$B:$P,10,FALSE()),0)</f>
      </c>
      <c r="AN102" s="35">
        <f>IFERROR(VLOOKUP("23_"&amp;A102,SyS!$B:$P,12,FALSE()),0)</f>
      </c>
      <c r="AO102" s="36">
        <f>+AM102-AN102</f>
      </c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>
        <f>IFERROR(VLOOKUP("29_"&amp;A102,SyS!$B:$P,10,FALSE()),0)</f>
      </c>
      <c r="BL102" s="40">
        <f>IFERROR(VLOOKUP("29_"&amp;A102,SyS!$B:$P,12,FALSE()),0)</f>
      </c>
      <c r="BM102" s="40">
        <f>+BK102-BL102</f>
      </c>
      <c r="BN102" s="42">
        <f>IFERROR(VLOOKUP("30_"&amp;A102,SyS!$B:$P,10,FALSE()),0)</f>
      </c>
      <c r="BO102" s="40">
        <f>IFERROR(VLOOKUP("30_"&amp;A102,SyS!$B:$P,12,FALSE()),0)</f>
      </c>
      <c r="BP102" s="43">
        <f>+BN102-BO102</f>
      </c>
      <c r="BQ102" s="44">
        <f>+E102+H102+K102+N102+Q102+T102+W102+Z102+AC102+AF102+AI102+AL102+AO102+AR102+AU102+AX102+BA102+BD102+BG102+BJ102+BM102+BP102</f>
      </c>
    </row>
    <row r="103" ht="11.25" customHeight="1" spans="1:69" x14ac:dyDescent="0.25">
      <c r="A103" s="9">
        <v>421610000</v>
      </c>
      <c r="B103" s="9" t="s">
        <v>140</v>
      </c>
      <c r="C103" s="34">
        <f>IFERROR(VLOOKUP("1_"&amp;A103,SyS!$B:$P,10,FALSE()),0)</f>
      </c>
      <c r="D103" s="35">
        <f>IFERROR(VLOOKUP("1_"&amp;A103,SyS!$B:$P,12,FALSE()),0)</f>
      </c>
      <c r="E103" s="35">
        <f>+C103-D103</f>
      </c>
      <c r="F103" s="34">
        <f>IFERROR(VLOOKUP("2_"&amp;A103,SyS!$B:$P,10,FALSE()),0)</f>
      </c>
      <c r="G103" s="35">
        <f>IFERROR(VLOOKUP("2_"&amp;A103,SyS!$B:$P,12,FALSE()),0)</f>
      </c>
      <c r="H103" s="36">
        <f>+F103-G103</f>
      </c>
      <c r="I103" s="35"/>
      <c r="J103" s="35"/>
      <c r="K103" s="35"/>
      <c r="L103" s="35"/>
      <c r="M103" s="35"/>
      <c r="N103" s="35"/>
      <c r="O103" s="34">
        <f>IFERROR(VLOOKUP("14_"&amp;A103,SyS!$B:$P,10,FALSE()),0)</f>
      </c>
      <c r="P103" s="35">
        <f>IFERROR(VLOOKUP("14_"&amp;A103,SyS!$B:$P,12,FALSE()),0)</f>
      </c>
      <c r="Q103" s="36">
        <f>+O103-P103</f>
      </c>
      <c r="R103" s="34">
        <f>IFERROR(VLOOKUP("15_"&amp;A103,SyS!$B:$P,10,FALSE()),0)</f>
      </c>
      <c r="S103" s="35">
        <f>IFERROR(VLOOKUP("15_"&amp;A103,SyS!$B:$P,12,FALSE()),0)</f>
      </c>
      <c r="T103" s="36">
        <f>+R103-S103</f>
      </c>
      <c r="U103" s="34">
        <f>IFERROR(VLOOKUP("16_"&amp;A103,SyS!$B:$P,10,FALSE()),0)</f>
      </c>
      <c r="V103" s="35">
        <f>IFERROR(VLOOKUP("16_"&amp;A103,SyS!$B:$P,12,FALSE()),0)</f>
      </c>
      <c r="W103" s="36">
        <f>+U103-V103</f>
      </c>
      <c r="X103" s="34">
        <f>IFERROR(VLOOKUP("13_"&amp;A103,SyS!$B:$P,10,FALSE()),0)</f>
      </c>
      <c r="Y103" s="35">
        <f>IFERROR(VLOOKUP("13_"&amp;A103,SyS!$B:$P,12,FALSE()),0)</f>
      </c>
      <c r="Z103" s="36">
        <f>+X103-Y103</f>
      </c>
      <c r="AA103" s="34">
        <f>IFERROR(VLOOKUP("17_"&amp;A103,SyS!$B:$P,10,FALSE()),0)</f>
      </c>
      <c r="AB103" s="35">
        <f>IFERROR(VLOOKUP("17_"&amp;A103,SyS!$B:$P,12,FALSE()),0)</f>
      </c>
      <c r="AC103" s="36">
        <f>+AA103-AB103</f>
      </c>
      <c r="AD103" s="35"/>
      <c r="AE103" s="35"/>
      <c r="AF103" s="35"/>
      <c r="AG103" s="35">
        <f>IFERROR(VLOOKUP("19_"&amp;A103,SyS!$B:$P,10,FALSE()),0)</f>
      </c>
      <c r="AH103" s="35">
        <f>IFERROR(VLOOKUP("19_"&amp;A103,SyS!$B:$P,12,FALSE()),0)</f>
      </c>
      <c r="AI103" s="35">
        <f>+AG103-AH103</f>
      </c>
      <c r="AJ103" s="35"/>
      <c r="AK103" s="35"/>
      <c r="AL103" s="35"/>
      <c r="AM103" s="34">
        <f>IFERROR(VLOOKUP("23_"&amp;A103,SyS!$B:$P,10,FALSE()),0)</f>
      </c>
      <c r="AN103" s="35">
        <f>IFERROR(VLOOKUP("23_"&amp;A103,SyS!$B:$P,12,FALSE()),0)</f>
      </c>
      <c r="AO103" s="36">
        <f>+AM103-AN103</f>
      </c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>
        <f>IFERROR(VLOOKUP("29_"&amp;A103,SyS!$B:$P,10,FALSE()),0)</f>
      </c>
      <c r="BL103" s="40">
        <f>IFERROR(VLOOKUP("29_"&amp;A103,SyS!$B:$P,12,FALSE()),0)</f>
      </c>
      <c r="BM103" s="40">
        <f>+BK103-BL103</f>
      </c>
      <c r="BN103" s="42">
        <f>IFERROR(VLOOKUP("30_"&amp;A103,SyS!$B:$P,10,FALSE()),0)</f>
      </c>
      <c r="BO103" s="40">
        <f>IFERROR(VLOOKUP("30_"&amp;A103,SyS!$B:$P,12,FALSE()),0)</f>
      </c>
      <c r="BP103" s="43">
        <f>+BN103-BO103</f>
      </c>
      <c r="BQ103" s="44">
        <f>+E103+H103+K103+N103+Q103+T103+W103+Z103+AC103+AF103+AI103+AL103+AO103+AR103+AU103+AX103+BA103+BD103+BG103+BJ103+BM103+BP103</f>
      </c>
    </row>
    <row r="104" ht="11.25" customHeight="1" spans="1:69" x14ac:dyDescent="0.25">
      <c r="A104" s="9">
        <v>431070000</v>
      </c>
      <c r="B104" s="9" t="s">
        <v>141</v>
      </c>
      <c r="C104" s="34">
        <f>IFERROR(VLOOKUP("1_"&amp;A104,SyS!$B:$P,10,FALSE()),0)</f>
      </c>
      <c r="D104" s="35">
        <f>IFERROR(VLOOKUP("1_"&amp;A104,SyS!$B:$P,12,FALSE()),0)</f>
      </c>
      <c r="E104" s="35">
        <f>+C104-D104</f>
      </c>
      <c r="F104" s="34">
        <f>IFERROR(VLOOKUP("2_"&amp;A104,SyS!$B:$P,10,FALSE()),0)</f>
      </c>
      <c r="G104" s="35">
        <f>IFERROR(VLOOKUP("2_"&amp;A104,SyS!$B:$P,12,FALSE()),0)</f>
      </c>
      <c r="H104" s="36">
        <f>+F104-G104</f>
      </c>
      <c r="I104" s="35"/>
      <c r="J104" s="35"/>
      <c r="K104" s="35"/>
      <c r="L104" s="35"/>
      <c r="M104" s="35"/>
      <c r="N104" s="35"/>
      <c r="O104" s="34">
        <f>IFERROR(VLOOKUP("14_"&amp;A104,SyS!$B:$P,10,FALSE()),0)</f>
      </c>
      <c r="P104" s="35">
        <f>IFERROR(VLOOKUP("14_"&amp;A104,SyS!$B:$P,12,FALSE()),0)</f>
      </c>
      <c r="Q104" s="36">
        <f>+O104-P104</f>
      </c>
      <c r="R104" s="34">
        <f>IFERROR(VLOOKUP("15_"&amp;A104,SyS!$B:$P,10,FALSE()),0)</f>
      </c>
      <c r="S104" s="35">
        <f>IFERROR(VLOOKUP("15_"&amp;A104,SyS!$B:$P,12,FALSE()),0)</f>
      </c>
      <c r="T104" s="36">
        <f>+R104-S104</f>
      </c>
      <c r="U104" s="34">
        <f>IFERROR(VLOOKUP("16_"&amp;A104,SyS!$B:$P,10,FALSE()),0)</f>
      </c>
      <c r="V104" s="35">
        <f>IFERROR(VLOOKUP("16_"&amp;A104,SyS!$B:$P,12,FALSE()),0)</f>
      </c>
      <c r="W104" s="36">
        <f>+U104-V104</f>
      </c>
      <c r="X104" s="34">
        <f>IFERROR(VLOOKUP("13_"&amp;A104,SyS!$B:$P,10,FALSE()),0)</f>
      </c>
      <c r="Y104" s="35">
        <f>IFERROR(VLOOKUP("13_"&amp;A104,SyS!$B:$P,12,FALSE()),0)</f>
      </c>
      <c r="Z104" s="36">
        <f>+X104-Y104</f>
      </c>
      <c r="AA104" s="34">
        <f>IFERROR(VLOOKUP("17_"&amp;A104,SyS!$B:$P,10,FALSE()),0)</f>
      </c>
      <c r="AB104" s="35">
        <f>IFERROR(VLOOKUP("17_"&amp;A104,SyS!$B:$P,12,FALSE()),0)</f>
      </c>
      <c r="AC104" s="36">
        <f>+AA104-AB104</f>
      </c>
      <c r="AD104" s="35"/>
      <c r="AE104" s="35"/>
      <c r="AF104" s="35"/>
      <c r="AG104" s="35">
        <f>IFERROR(VLOOKUP("19_"&amp;A104,SyS!$B:$P,10,FALSE()),0)</f>
      </c>
      <c r="AH104" s="35">
        <f>IFERROR(VLOOKUP("19_"&amp;A104,SyS!$B:$P,12,FALSE()),0)</f>
      </c>
      <c r="AI104" s="35">
        <f>+AG104-AH104</f>
      </c>
      <c r="AJ104" s="35"/>
      <c r="AK104" s="35"/>
      <c r="AL104" s="35"/>
      <c r="AM104" s="34">
        <f>IFERROR(VLOOKUP("23_"&amp;A104,SyS!$B:$P,10,FALSE()),0)</f>
      </c>
      <c r="AN104" s="35">
        <f>IFERROR(VLOOKUP("23_"&amp;A104,SyS!$B:$P,12,FALSE()),0)</f>
      </c>
      <c r="AO104" s="36">
        <f>+AM104-AN104</f>
      </c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>
        <f>IFERROR(VLOOKUP("29_"&amp;A104,SyS!$B:$P,10,FALSE()),0)</f>
      </c>
      <c r="BL104" s="40">
        <f>IFERROR(VLOOKUP("29_"&amp;A104,SyS!$B:$P,12,FALSE()),0)</f>
      </c>
      <c r="BM104" s="40">
        <f>+BK104-BL104</f>
      </c>
      <c r="BN104" s="42">
        <f>IFERROR(VLOOKUP("30_"&amp;A104,SyS!$B:$P,10,FALSE()),0)</f>
      </c>
      <c r="BO104" s="40">
        <f>IFERROR(VLOOKUP("30_"&amp;A104,SyS!$B:$P,12,FALSE()),0)</f>
      </c>
      <c r="BP104" s="43">
        <f>+BN104-BO104</f>
      </c>
      <c r="BQ104" s="44">
        <f>+E104+H104+K104+N104+Q104+T104+W104+Z104+AC104+AF104+AI104+AL104+AO104+AR104+AU104+AX104+BA104+BD104+BG104+BJ104+BM104+BP104</f>
      </c>
    </row>
    <row r="105" ht="11.25" customHeight="1" spans="1:69" x14ac:dyDescent="0.25">
      <c r="A105" s="9">
        <v>421710000</v>
      </c>
      <c r="B105" s="9" t="s">
        <v>142</v>
      </c>
      <c r="C105" s="34">
        <f>IFERROR(VLOOKUP("1_"&amp;A105,SyS!$B:$P,10,FALSE()),0)</f>
      </c>
      <c r="D105" s="35">
        <f>IFERROR(VLOOKUP("1_"&amp;A105,SyS!$B:$P,12,FALSE()),0)</f>
      </c>
      <c r="E105" s="35">
        <f>+C105-D105</f>
      </c>
      <c r="F105" s="34">
        <f>IFERROR(VLOOKUP("2_"&amp;A105,SyS!$B:$P,10,FALSE()),0)</f>
      </c>
      <c r="G105" s="35">
        <f>IFERROR(VLOOKUP("2_"&amp;A105,SyS!$B:$P,12,FALSE()),0)</f>
      </c>
      <c r="H105" s="36">
        <f>+F105-G105</f>
      </c>
      <c r="I105" s="35"/>
      <c r="J105" s="35"/>
      <c r="K105" s="35"/>
      <c r="L105" s="35"/>
      <c r="M105" s="35"/>
      <c r="N105" s="35"/>
      <c r="O105" s="34">
        <f>IFERROR(VLOOKUP("14_"&amp;A105,SyS!$B:$P,10,FALSE()),0)</f>
      </c>
      <c r="P105" s="35">
        <f>IFERROR(VLOOKUP("14_"&amp;A105,SyS!$B:$P,12,FALSE()),0)</f>
      </c>
      <c r="Q105" s="36">
        <f>+O105-P105</f>
      </c>
      <c r="R105" s="34">
        <f>IFERROR(VLOOKUP("15_"&amp;A105,SyS!$B:$P,10,FALSE()),0)</f>
      </c>
      <c r="S105" s="35">
        <f>IFERROR(VLOOKUP("15_"&amp;A105,SyS!$B:$P,12,FALSE()),0)</f>
      </c>
      <c r="T105" s="36">
        <f>+R105-S105</f>
      </c>
      <c r="U105" s="34">
        <f>IFERROR(VLOOKUP("16_"&amp;A105,SyS!$B:$P,10,FALSE()),0)</f>
      </c>
      <c r="V105" s="35">
        <f>IFERROR(VLOOKUP("16_"&amp;A105,SyS!$B:$P,12,FALSE()),0)</f>
      </c>
      <c r="W105" s="36">
        <f>+U105-V105</f>
      </c>
      <c r="X105" s="34">
        <f>IFERROR(VLOOKUP("13_"&amp;A105,SyS!$B:$P,10,FALSE()),0)</f>
      </c>
      <c r="Y105" s="35">
        <f>IFERROR(VLOOKUP("13_"&amp;A105,SyS!$B:$P,12,FALSE()),0)</f>
      </c>
      <c r="Z105" s="36">
        <f>+X105-Y105</f>
      </c>
      <c r="AA105" s="34">
        <f>IFERROR(VLOOKUP("17_"&amp;A105,SyS!$B:$P,10,FALSE()),0)</f>
      </c>
      <c r="AB105" s="35">
        <f>IFERROR(VLOOKUP("17_"&amp;A105,SyS!$B:$P,12,FALSE()),0)</f>
      </c>
      <c r="AC105" s="36">
        <f>+AA105-AB105</f>
      </c>
      <c r="AD105" s="35"/>
      <c r="AE105" s="35"/>
      <c r="AF105" s="35"/>
      <c r="AG105" s="35">
        <f>IFERROR(VLOOKUP("19_"&amp;A105,SyS!$B:$P,10,FALSE()),0)</f>
      </c>
      <c r="AH105" s="35">
        <f>IFERROR(VLOOKUP("19_"&amp;A105,SyS!$B:$P,12,FALSE()),0)</f>
      </c>
      <c r="AI105" s="35">
        <f>+AG105-AH105</f>
      </c>
      <c r="AJ105" s="35"/>
      <c r="AK105" s="35"/>
      <c r="AL105" s="35"/>
      <c r="AM105" s="34">
        <f>IFERROR(VLOOKUP("23_"&amp;A105,SyS!$B:$P,10,FALSE()),0)</f>
      </c>
      <c r="AN105" s="35">
        <f>IFERROR(VLOOKUP("23_"&amp;A105,SyS!$B:$P,12,FALSE()),0)</f>
      </c>
      <c r="AO105" s="36">
        <f>+AM105-AN105</f>
      </c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>
        <f>IFERROR(VLOOKUP("29_"&amp;A105,SyS!$B:$P,10,FALSE()),0)</f>
      </c>
      <c r="BL105" s="40">
        <f>IFERROR(VLOOKUP("29_"&amp;A105,SyS!$B:$P,12,FALSE()),0)</f>
      </c>
      <c r="BM105" s="40">
        <f>+BK105-BL105</f>
      </c>
      <c r="BN105" s="42">
        <f>IFERROR(VLOOKUP("30_"&amp;A105,SyS!$B:$P,10,FALSE()),0)</f>
      </c>
      <c r="BO105" s="40">
        <f>IFERROR(VLOOKUP("30_"&amp;A105,SyS!$B:$P,12,FALSE()),0)</f>
      </c>
      <c r="BP105" s="43">
        <f>+BN105-BO105</f>
      </c>
      <c r="BQ105" s="44">
        <f>+E105+H105+K105+N105+Q105+T105+W105+Z105+AC105+AF105+AI105+AL105+AO105+AR105+AU105+AX105+BA105+BD105+BG105+BJ105+BM105+BP105</f>
      </c>
    </row>
    <row r="106" ht="11.25" customHeight="1" spans="1:69" x14ac:dyDescent="0.25">
      <c r="A106" s="9">
        <v>433060000</v>
      </c>
      <c r="B106" s="9" t="s">
        <v>143</v>
      </c>
      <c r="C106" s="34">
        <f>IFERROR(VLOOKUP("1_"&amp;A106,SyS!$B:$P,10,FALSE()),0)</f>
      </c>
      <c r="D106" s="35">
        <f>IFERROR(VLOOKUP("1_"&amp;A106,SyS!$B:$P,12,FALSE()),0)</f>
      </c>
      <c r="E106" s="35">
        <f>+C106-D106</f>
      </c>
      <c r="F106" s="34">
        <f>IFERROR(VLOOKUP("2_"&amp;A106,SyS!$B:$P,10,FALSE()),0)</f>
      </c>
      <c r="G106" s="35">
        <f>IFERROR(VLOOKUP("2_"&amp;A106,SyS!$B:$P,12,FALSE()),0)</f>
      </c>
      <c r="H106" s="36">
        <f>+F106-G106</f>
      </c>
      <c r="I106" s="35"/>
      <c r="J106" s="35"/>
      <c r="K106" s="35"/>
      <c r="L106" s="35"/>
      <c r="M106" s="35"/>
      <c r="N106" s="35"/>
      <c r="O106" s="34">
        <f>IFERROR(VLOOKUP("14_"&amp;A106,SyS!$B:$P,10,FALSE()),0)</f>
      </c>
      <c r="P106" s="35">
        <f>IFERROR(VLOOKUP("14_"&amp;A106,SyS!$B:$P,12,FALSE()),0)</f>
      </c>
      <c r="Q106" s="36">
        <f>+O106-P106</f>
      </c>
      <c r="R106" s="34">
        <f>IFERROR(VLOOKUP("15_"&amp;A106,SyS!$B:$P,10,FALSE()),0)</f>
      </c>
      <c r="S106" s="35">
        <f>IFERROR(VLOOKUP("15_"&amp;A106,SyS!$B:$P,12,FALSE()),0)</f>
      </c>
      <c r="T106" s="36">
        <f>+R106-S106</f>
      </c>
      <c r="U106" s="34">
        <f>IFERROR(VLOOKUP("16_"&amp;A106,SyS!$B:$P,10,FALSE()),0)</f>
      </c>
      <c r="V106" s="35">
        <f>IFERROR(VLOOKUP("16_"&amp;A106,SyS!$B:$P,12,FALSE()),0)</f>
      </c>
      <c r="W106" s="36">
        <f>+U106-V106</f>
      </c>
      <c r="X106" s="34">
        <f>IFERROR(VLOOKUP("13_"&amp;A106,SyS!$B:$P,10,FALSE()),0)</f>
      </c>
      <c r="Y106" s="35">
        <f>IFERROR(VLOOKUP("13_"&amp;A106,SyS!$B:$P,12,FALSE()),0)</f>
      </c>
      <c r="Z106" s="36">
        <f>+X106-Y106</f>
      </c>
      <c r="AA106" s="34">
        <f>IFERROR(VLOOKUP("17_"&amp;A106,SyS!$B:$P,10,FALSE()),0)</f>
      </c>
      <c r="AB106" s="35">
        <f>IFERROR(VLOOKUP("17_"&amp;A106,SyS!$B:$P,12,FALSE()),0)</f>
      </c>
      <c r="AC106" s="36">
        <f>+AA106-AB106</f>
      </c>
      <c r="AD106" s="35"/>
      <c r="AE106" s="35"/>
      <c r="AF106" s="35"/>
      <c r="AG106" s="35">
        <f>IFERROR(VLOOKUP("19_"&amp;A106,SyS!$B:$P,10,FALSE()),0)</f>
      </c>
      <c r="AH106" s="35">
        <f>IFERROR(VLOOKUP("19_"&amp;A106,SyS!$B:$P,12,FALSE()),0)</f>
      </c>
      <c r="AI106" s="35">
        <f>+AG106-AH106</f>
      </c>
      <c r="AJ106" s="35"/>
      <c r="AK106" s="35"/>
      <c r="AL106" s="35"/>
      <c r="AM106" s="34">
        <f>IFERROR(VLOOKUP("23_"&amp;A106,SyS!$B:$P,10,FALSE()),0)</f>
      </c>
      <c r="AN106" s="35">
        <f>IFERROR(VLOOKUP("23_"&amp;A106,SyS!$B:$P,12,FALSE()),0)</f>
      </c>
      <c r="AO106" s="36">
        <f>+AM106-AN106</f>
      </c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>
        <f>IFERROR(VLOOKUP("29_"&amp;A106,SyS!$B:$P,10,FALSE()),0)</f>
      </c>
      <c r="BL106" s="40">
        <f>IFERROR(VLOOKUP("29_"&amp;A106,SyS!$B:$P,12,FALSE()),0)</f>
      </c>
      <c r="BM106" s="40">
        <f>+BK106-BL106</f>
      </c>
      <c r="BN106" s="42">
        <f>IFERROR(VLOOKUP("30_"&amp;A106,SyS!$B:$P,10,FALSE()),0)</f>
      </c>
      <c r="BO106" s="40">
        <f>IFERROR(VLOOKUP("30_"&amp;A106,SyS!$B:$P,12,FALSE()),0)</f>
      </c>
      <c r="BP106" s="43">
        <f>+BN106-BO106</f>
      </c>
      <c r="BQ106" s="44">
        <f>+E106+H106+K106+N106+Q106+T106+W106+Z106+AC106+AF106+AI106+AL106+AO106+AR106+AU106+AX106+BA106+BD106+BG106+BJ106+BM106+BP106</f>
      </c>
    </row>
    <row r="107" ht="11.25" customHeight="1" spans="1:69" x14ac:dyDescent="0.25">
      <c r="A107" s="9">
        <v>431110000</v>
      </c>
      <c r="B107" s="9" t="s">
        <v>144</v>
      </c>
      <c r="C107" s="34">
        <f>IFERROR(VLOOKUP("1_"&amp;A107,SyS!$B:$P,10,FALSE()),0)</f>
      </c>
      <c r="D107" s="35">
        <f>IFERROR(VLOOKUP("1_"&amp;A107,SyS!$B:$P,12,FALSE()),0)</f>
      </c>
      <c r="E107" s="35">
        <f>+C107-D107</f>
      </c>
      <c r="F107" s="34">
        <f>IFERROR(VLOOKUP("2_"&amp;A107,SyS!$B:$P,10,FALSE()),0)</f>
      </c>
      <c r="G107" s="35">
        <f>IFERROR(VLOOKUP("2_"&amp;A107,SyS!$B:$P,12,FALSE()),0)</f>
      </c>
      <c r="H107" s="36">
        <f>+F107-G107</f>
      </c>
      <c r="I107" s="35"/>
      <c r="J107" s="35"/>
      <c r="K107" s="35"/>
      <c r="L107" s="35"/>
      <c r="M107" s="35"/>
      <c r="N107" s="35"/>
      <c r="O107" s="34">
        <f>IFERROR(VLOOKUP("14_"&amp;A107,SyS!$B:$P,10,FALSE()),0)</f>
      </c>
      <c r="P107" s="35">
        <f>IFERROR(VLOOKUP("14_"&amp;A107,SyS!$B:$P,12,FALSE()),0)</f>
      </c>
      <c r="Q107" s="36">
        <f>+O107-P107</f>
      </c>
      <c r="R107" s="34">
        <f>IFERROR(VLOOKUP("15_"&amp;A107,SyS!$B:$P,10,FALSE()),0)</f>
      </c>
      <c r="S107" s="35">
        <f>IFERROR(VLOOKUP("15_"&amp;A107,SyS!$B:$P,12,FALSE()),0)</f>
      </c>
      <c r="T107" s="36">
        <f>+R107-S107</f>
      </c>
      <c r="U107" s="34">
        <f>IFERROR(VLOOKUP("16_"&amp;A107,SyS!$B:$P,10,FALSE()),0)</f>
      </c>
      <c r="V107" s="35">
        <f>IFERROR(VLOOKUP("16_"&amp;A107,SyS!$B:$P,12,FALSE()),0)</f>
      </c>
      <c r="W107" s="36">
        <f>+U107-V107</f>
      </c>
      <c r="X107" s="34">
        <f>IFERROR(VLOOKUP("13_"&amp;A107,SyS!$B:$P,10,FALSE()),0)</f>
      </c>
      <c r="Y107" s="35">
        <f>IFERROR(VLOOKUP("13_"&amp;A107,SyS!$B:$P,12,FALSE()),0)</f>
      </c>
      <c r="Z107" s="36">
        <f>+X107-Y107</f>
      </c>
      <c r="AA107" s="34">
        <f>IFERROR(VLOOKUP("17_"&amp;A107,SyS!$B:$P,10,FALSE()),0)</f>
      </c>
      <c r="AB107" s="35">
        <f>IFERROR(VLOOKUP("17_"&amp;A107,SyS!$B:$P,12,FALSE()),0)</f>
      </c>
      <c r="AC107" s="36">
        <f>+AA107-AB107</f>
      </c>
      <c r="AD107" s="35"/>
      <c r="AE107" s="35"/>
      <c r="AF107" s="35"/>
      <c r="AG107" s="35">
        <f>IFERROR(VLOOKUP("19_"&amp;A107,SyS!$B:$P,10,FALSE()),0)</f>
      </c>
      <c r="AH107" s="35">
        <f>IFERROR(VLOOKUP("19_"&amp;A107,SyS!$B:$P,12,FALSE()),0)</f>
      </c>
      <c r="AI107" s="35">
        <f>+AG107-AH107</f>
      </c>
      <c r="AJ107" s="35"/>
      <c r="AK107" s="35"/>
      <c r="AL107" s="35"/>
      <c r="AM107" s="34">
        <f>IFERROR(VLOOKUP("23_"&amp;A107,SyS!$B:$P,10,FALSE()),0)</f>
      </c>
      <c r="AN107" s="35">
        <f>IFERROR(VLOOKUP("23_"&amp;A107,SyS!$B:$P,12,FALSE()),0)</f>
      </c>
      <c r="AO107" s="36">
        <f>+AM107-AN107</f>
      </c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>
        <f>IFERROR(VLOOKUP("29_"&amp;A107,SyS!$B:$P,10,FALSE()),0)</f>
      </c>
      <c r="BL107" s="40">
        <f>IFERROR(VLOOKUP("29_"&amp;A107,SyS!$B:$P,12,FALSE()),0)</f>
      </c>
      <c r="BM107" s="40">
        <f>+BK107-BL107</f>
      </c>
      <c r="BN107" s="42">
        <f>IFERROR(VLOOKUP("30_"&amp;A107,SyS!$B:$P,10,FALSE()),0)</f>
      </c>
      <c r="BO107" s="40">
        <f>IFERROR(VLOOKUP("30_"&amp;A107,SyS!$B:$P,12,FALSE()),0)</f>
      </c>
      <c r="BP107" s="43">
        <f>+BN107-BO107</f>
      </c>
      <c r="BQ107" s="44">
        <f>+E107+H107+K107+N107+Q107+T107+W107+Z107+AC107+AF107+AI107+AL107+AO107+AR107+AU107+AX107+BA107+BD107+BG107+BJ107+BM107+BP107</f>
      </c>
    </row>
    <row r="108" ht="12" customHeight="1" spans="1:69" x14ac:dyDescent="0.25">
      <c r="A108" s="9">
        <v>431100000</v>
      </c>
      <c r="B108" s="9" t="s">
        <v>145</v>
      </c>
      <c r="C108" s="34">
        <f>IFERROR(VLOOKUP("1_"&amp;A108,SyS!$B:$P,10,FALSE()),0)</f>
      </c>
      <c r="D108" s="35">
        <f>IFERROR(VLOOKUP("1_"&amp;A108,SyS!$B:$P,12,FALSE()),0)</f>
      </c>
      <c r="E108" s="35">
        <f>+C108-D108</f>
      </c>
      <c r="F108" s="34">
        <f>IFERROR(VLOOKUP("2_"&amp;A108,SyS!$B:$P,10,FALSE()),0)</f>
      </c>
      <c r="G108" s="35">
        <f>IFERROR(VLOOKUP("2_"&amp;A108,SyS!$B:$P,12,FALSE()),0)</f>
      </c>
      <c r="H108" s="36">
        <f>+F108-G108</f>
      </c>
      <c r="I108" s="35"/>
      <c r="J108" s="35"/>
      <c r="K108" s="35"/>
      <c r="L108" s="35"/>
      <c r="M108" s="35"/>
      <c r="N108" s="35"/>
      <c r="O108" s="34">
        <f>IFERROR(VLOOKUP("14_"&amp;A108,SyS!$B:$P,10,FALSE()),0)</f>
      </c>
      <c r="P108" s="35">
        <f>IFERROR(VLOOKUP("14_"&amp;A108,SyS!$B:$P,12,FALSE()),0)</f>
      </c>
      <c r="Q108" s="36">
        <f>+O108-P108</f>
      </c>
      <c r="R108" s="34">
        <f>IFERROR(VLOOKUP("15_"&amp;A108,SyS!$B:$P,10,FALSE()),0)</f>
      </c>
      <c r="S108" s="35">
        <f>IFERROR(VLOOKUP("15_"&amp;A108,SyS!$B:$P,12,FALSE()),0)</f>
      </c>
      <c r="T108" s="36">
        <f>+R108-S108</f>
      </c>
      <c r="U108" s="34">
        <f>IFERROR(VLOOKUP("16_"&amp;A108,SyS!$B:$P,10,FALSE()),0)</f>
      </c>
      <c r="V108" s="35">
        <f>IFERROR(VLOOKUP("16_"&amp;A108,SyS!$B:$P,12,FALSE()),0)</f>
      </c>
      <c r="W108" s="36">
        <f>+U108-V108</f>
      </c>
      <c r="X108" s="34">
        <f>IFERROR(VLOOKUP("13_"&amp;A108,SyS!$B:$P,10,FALSE()),0)</f>
      </c>
      <c r="Y108" s="35">
        <f>IFERROR(VLOOKUP("13_"&amp;A108,SyS!$B:$P,12,FALSE()),0)</f>
      </c>
      <c r="Z108" s="36">
        <f>+X108-Y108</f>
      </c>
      <c r="AA108" s="34">
        <f>IFERROR(VLOOKUP("17_"&amp;A108,SyS!$B:$P,10,FALSE()),0)</f>
      </c>
      <c r="AB108" s="35">
        <f>IFERROR(VLOOKUP("17_"&amp;A108,SyS!$B:$P,12,FALSE()),0)</f>
      </c>
      <c r="AC108" s="36">
        <f>+AA108-AB108</f>
      </c>
      <c r="AD108" s="35"/>
      <c r="AE108" s="35"/>
      <c r="AF108" s="35"/>
      <c r="AG108" s="35">
        <f>IFERROR(VLOOKUP("19_"&amp;A108,SyS!$B:$P,10,FALSE()),0)</f>
      </c>
      <c r="AH108" s="35">
        <f>IFERROR(VLOOKUP("19_"&amp;A108,SyS!$B:$P,12,FALSE()),0)</f>
      </c>
      <c r="AI108" s="35">
        <f>+AG108-AH108</f>
      </c>
      <c r="AJ108" s="35"/>
      <c r="AK108" s="35"/>
      <c r="AL108" s="35"/>
      <c r="AM108" s="34">
        <f>IFERROR(VLOOKUP("23_"&amp;A108,SyS!$B:$P,10,FALSE()),0)</f>
      </c>
      <c r="AN108" s="35">
        <f>IFERROR(VLOOKUP("23_"&amp;A108,SyS!$B:$P,12,FALSE()),0)</f>
      </c>
      <c r="AO108" s="36">
        <f>+AM108-AN108</f>
      </c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>
        <f>IFERROR(VLOOKUP("29_"&amp;A108,SyS!$B:$P,10,FALSE()),0)</f>
      </c>
      <c r="BL108" s="40">
        <f>IFERROR(VLOOKUP("29_"&amp;A108,SyS!$B:$P,12,FALSE()),0)</f>
      </c>
      <c r="BM108" s="40">
        <f>+BK108-BL108</f>
      </c>
      <c r="BN108" s="42">
        <f>IFERROR(VLOOKUP("30_"&amp;A108,SyS!$B:$P,10,FALSE()),0)</f>
      </c>
      <c r="BO108" s="40">
        <f>IFERROR(VLOOKUP("30_"&amp;A108,SyS!$B:$P,12,FALSE()),0)</f>
      </c>
      <c r="BP108" s="43">
        <f>+BN108-BO108</f>
      </c>
      <c r="BQ108" s="44">
        <f>+E108+H108+K108+N108+Q108+T108+W108+Z108+AC108+AF108+AI108+AL108+AO108+AR108+AU108+AX108+BA108+BD108+BG108+BJ108+BM108+BP108</f>
      </c>
    </row>
    <row r="109" ht="11.25" customHeight="1" spans="1:69" x14ac:dyDescent="0.25">
      <c r="A109" s="9">
        <v>421200000</v>
      </c>
      <c r="B109" s="9" t="s">
        <v>146</v>
      </c>
      <c r="C109" s="34">
        <f>IFERROR(VLOOKUP("1_"&amp;A109,SyS!$B:$P,10,FALSE()),0)</f>
      </c>
      <c r="D109" s="35">
        <f>IFERROR(VLOOKUP("1_"&amp;A109,SyS!$B:$P,12,FALSE()),0)</f>
      </c>
      <c r="E109" s="35">
        <f>+C109-D109</f>
      </c>
      <c r="F109" s="34">
        <f>IFERROR(VLOOKUP("2_"&amp;A109,SyS!$B:$P,10,FALSE()),0)</f>
      </c>
      <c r="G109" s="35">
        <f>IFERROR(VLOOKUP("2_"&amp;A109,SyS!$B:$P,12,FALSE()),0)</f>
      </c>
      <c r="H109" s="36">
        <f>+F109-G109</f>
      </c>
      <c r="I109" s="35"/>
      <c r="J109" s="35"/>
      <c r="K109" s="35"/>
      <c r="L109" s="35"/>
      <c r="M109" s="35"/>
      <c r="N109" s="35"/>
      <c r="O109" s="34">
        <f>IFERROR(VLOOKUP("14_"&amp;A109,SyS!$B:$P,10,FALSE()),0)</f>
      </c>
      <c r="P109" s="35">
        <f>IFERROR(VLOOKUP("14_"&amp;A109,SyS!$B:$P,12,FALSE()),0)</f>
      </c>
      <c r="Q109" s="36">
        <f>+O109-P109</f>
      </c>
      <c r="R109" s="34">
        <f>IFERROR(VLOOKUP("15_"&amp;A109,SyS!$B:$P,10,FALSE()),0)</f>
      </c>
      <c r="S109" s="35">
        <f>IFERROR(VLOOKUP("15_"&amp;A109,SyS!$B:$P,12,FALSE()),0)</f>
      </c>
      <c r="T109" s="36">
        <f>+R109-S109</f>
      </c>
      <c r="U109" s="34">
        <f>IFERROR(VLOOKUP("16_"&amp;A109,SyS!$B:$P,10,FALSE()),0)</f>
      </c>
      <c r="V109" s="35">
        <f>IFERROR(VLOOKUP("16_"&amp;A109,SyS!$B:$P,12,FALSE()),0)</f>
      </c>
      <c r="W109" s="36">
        <f>+U109-V109</f>
      </c>
      <c r="X109" s="34">
        <f>IFERROR(VLOOKUP("13_"&amp;A109,SyS!$B:$P,10,FALSE()),0)</f>
      </c>
      <c r="Y109" s="35">
        <f>IFERROR(VLOOKUP("13_"&amp;A109,SyS!$B:$P,12,FALSE()),0)</f>
      </c>
      <c r="Z109" s="36">
        <f>+X109-Y109</f>
      </c>
      <c r="AA109" s="34">
        <f>IFERROR(VLOOKUP("17_"&amp;A109,SyS!$B:$P,10,FALSE()),0)</f>
      </c>
      <c r="AB109" s="35">
        <f>IFERROR(VLOOKUP("17_"&amp;A109,SyS!$B:$P,12,FALSE()),0)</f>
      </c>
      <c r="AC109" s="36">
        <f>+AA109-AB109</f>
      </c>
      <c r="AD109" s="35"/>
      <c r="AE109" s="35"/>
      <c r="AF109" s="35"/>
      <c r="AG109" s="35">
        <f>IFERROR(VLOOKUP("19_"&amp;A109,SyS!$B:$P,10,FALSE()),0)</f>
      </c>
      <c r="AH109" s="35">
        <f>IFERROR(VLOOKUP("19_"&amp;A109,SyS!$B:$P,12,FALSE()),0)</f>
      </c>
      <c r="AI109" s="35">
        <f>+AG109-AH109</f>
      </c>
      <c r="AJ109" s="35"/>
      <c r="AK109" s="35"/>
      <c r="AL109" s="35"/>
      <c r="AM109" s="34">
        <f>IFERROR(VLOOKUP("23_"&amp;A109,SyS!$B:$P,10,FALSE()),0)</f>
      </c>
      <c r="AN109" s="35">
        <f>IFERROR(VLOOKUP("23_"&amp;A109,SyS!$B:$P,12,FALSE()),0)</f>
      </c>
      <c r="AO109" s="36">
        <f>+AM109-AN109</f>
      </c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>
        <f>IFERROR(VLOOKUP("29_"&amp;A109,SyS!$B:$P,10,FALSE()),0)</f>
      </c>
      <c r="BL109" s="40">
        <f>IFERROR(VLOOKUP("29_"&amp;A109,SyS!$B:$P,12,FALSE()),0)</f>
      </c>
      <c r="BM109" s="40">
        <f>+BK109-BL109</f>
      </c>
      <c r="BN109" s="42">
        <f>IFERROR(VLOOKUP("30_"&amp;A109,SyS!$B:$P,10,FALSE()),0)</f>
      </c>
      <c r="BO109" s="40">
        <f>IFERROR(VLOOKUP("30_"&amp;A109,SyS!$B:$P,12,FALSE()),0)</f>
      </c>
      <c r="BP109" s="43">
        <f>+BN109-BO109</f>
      </c>
      <c r="BQ109" s="44">
        <f>+E109+H109+K109+N109+Q109+T109+W109+Z109+AC109+AF109+AI109+AL109+AO109+AR109+AU109+AX109+BA109+BD109+BG109+BJ109+BM109+BP109</f>
      </c>
    </row>
    <row r="110" ht="11.25" customHeight="1" spans="1:69" x14ac:dyDescent="0.25">
      <c r="A110" s="48"/>
      <c r="B110" s="49" t="s">
        <v>147</v>
      </c>
      <c r="C110" s="34"/>
      <c r="D110" s="35"/>
      <c r="E110" s="35"/>
      <c r="F110" s="34"/>
      <c r="G110" s="35"/>
      <c r="H110" s="36"/>
      <c r="I110" s="35"/>
      <c r="J110" s="35"/>
      <c r="K110" s="35"/>
      <c r="L110" s="35"/>
      <c r="M110" s="35"/>
      <c r="N110" s="35"/>
      <c r="O110" s="34"/>
      <c r="P110" s="35"/>
      <c r="Q110" s="36"/>
      <c r="R110" s="34"/>
      <c r="S110" s="35"/>
      <c r="T110" s="36"/>
      <c r="U110" s="34"/>
      <c r="V110" s="35"/>
      <c r="W110" s="36"/>
      <c r="X110" s="34"/>
      <c r="Y110" s="35"/>
      <c r="Z110" s="36"/>
      <c r="AA110" s="34"/>
      <c r="AB110" s="35"/>
      <c r="AC110" s="36"/>
      <c r="AD110" s="35"/>
      <c r="AE110" s="35"/>
      <c r="AF110" s="35"/>
      <c r="AG110" s="35"/>
      <c r="AH110" s="35"/>
      <c r="AI110" s="35"/>
      <c r="AJ110" s="35"/>
      <c r="AK110" s="35"/>
      <c r="AL110" s="35"/>
      <c r="AM110" s="34"/>
      <c r="AN110" s="35"/>
      <c r="AO110" s="36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2"/>
      <c r="BO110" s="40"/>
      <c r="BP110" s="43"/>
      <c r="BQ110" s="44"/>
    </row>
    <row r="111" ht="11.25" customHeight="1" spans="1:69" x14ac:dyDescent="0.25">
      <c r="A111" s="9">
        <v>426110000</v>
      </c>
      <c r="B111" s="9" t="s">
        <v>148</v>
      </c>
      <c r="C111" s="34">
        <f>IFERROR(VLOOKUP("1_"&amp;A111,SyS!$B:$P,10,FALSE()),0)</f>
      </c>
      <c r="D111" s="35">
        <f>IFERROR(VLOOKUP("1_"&amp;A111,SyS!$B:$P,12,FALSE()),0)</f>
      </c>
      <c r="E111" s="35">
        <f>+C111-D111</f>
      </c>
      <c r="F111" s="34">
        <f>IFERROR(VLOOKUP("2_"&amp;A111,SyS!$B:$P,10,FALSE()),0)</f>
        <v>1033.09</v>
      </c>
      <c r="G111" s="35">
        <f>IFERROR(VLOOKUP("2_"&amp;A111,SyS!$B:$P,12,FALSE()),0)</f>
      </c>
      <c r="H111" s="36">
        <f>+F111-G111</f>
        <v>1033.09</v>
      </c>
      <c r="I111" s="35"/>
      <c r="J111" s="35"/>
      <c r="K111" s="35"/>
      <c r="L111" s="35"/>
      <c r="M111" s="35"/>
      <c r="N111" s="35"/>
      <c r="O111" s="34">
        <f>IFERROR(VLOOKUP("14_"&amp;A111,SyS!$B:$P,10,FALSE()),0)</f>
      </c>
      <c r="P111" s="35">
        <f>IFERROR(VLOOKUP("14_"&amp;A111,SyS!$B:$P,12,FALSE()),0)</f>
      </c>
      <c r="Q111" s="36">
        <f>+O111-P111</f>
      </c>
      <c r="R111" s="34">
        <f>IFERROR(VLOOKUP("15_"&amp;A111,SyS!$B:$P,10,FALSE()),0)</f>
      </c>
      <c r="S111" s="35">
        <f>IFERROR(VLOOKUP("15_"&amp;A111,SyS!$B:$P,12,FALSE()),0)</f>
      </c>
      <c r="T111" s="36">
        <f>+R111-S111</f>
      </c>
      <c r="U111" s="34">
        <f>IFERROR(VLOOKUP("16_"&amp;A111,SyS!$B:$P,10,FALSE()),0)</f>
      </c>
      <c r="V111" s="35">
        <f>IFERROR(VLOOKUP("16_"&amp;A111,SyS!$B:$P,12,FALSE()),0)</f>
      </c>
      <c r="W111" s="36">
        <f>+U111-V111</f>
      </c>
      <c r="X111" s="34">
        <f>IFERROR(VLOOKUP("13_"&amp;A111,SyS!$B:$P,10,FALSE()),0)</f>
      </c>
      <c r="Y111" s="35">
        <f>IFERROR(VLOOKUP("13_"&amp;A111,SyS!$B:$P,12,FALSE()),0)</f>
      </c>
      <c r="Z111" s="36">
        <f>+X111-Y111</f>
      </c>
      <c r="AA111" s="34">
        <f>IFERROR(VLOOKUP("17_"&amp;A111,SyS!$B:$P,10,FALSE()),0)</f>
      </c>
      <c r="AB111" s="35">
        <f>IFERROR(VLOOKUP("17_"&amp;A111,SyS!$B:$P,12,FALSE()),0)</f>
      </c>
      <c r="AC111" s="36">
        <f>+AA111-AB111</f>
      </c>
      <c r="AD111" s="35"/>
      <c r="AE111" s="35"/>
      <c r="AF111" s="35"/>
      <c r="AG111" s="35">
        <f>IFERROR(VLOOKUP("19_"&amp;A111,SyS!$B:$P,10,FALSE()),0)</f>
      </c>
      <c r="AH111" s="35">
        <f>IFERROR(VLOOKUP("19_"&amp;A111,SyS!$B:$P,12,FALSE()),0)</f>
      </c>
      <c r="AI111" s="35">
        <f>+AG111-AH111</f>
      </c>
      <c r="AJ111" s="35"/>
      <c r="AK111" s="35"/>
      <c r="AL111" s="35"/>
      <c r="AM111" s="34">
        <f>IFERROR(VLOOKUP("23_"&amp;A111,SyS!$B:$P,10,FALSE()),0)</f>
        <v>626.13</v>
      </c>
      <c r="AN111" s="35">
        <f>IFERROR(VLOOKUP("23_"&amp;A111,SyS!$B:$P,12,FALSE()),0)</f>
      </c>
      <c r="AO111" s="36">
        <f>+AM111-AN111</f>
        <v>626.13</v>
      </c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>
        <f>IFERROR(VLOOKUP("29_"&amp;A111,SyS!$B:$P,10,FALSE()),0)</f>
      </c>
      <c r="BL111" s="40">
        <f>IFERROR(VLOOKUP("29_"&amp;A111,SyS!$B:$P,12,FALSE()),0)</f>
      </c>
      <c r="BM111" s="40">
        <f>+BK111-BL111</f>
      </c>
      <c r="BN111" s="42">
        <f>IFERROR(VLOOKUP("30_"&amp;A111,SyS!$B:$P,10,FALSE()),0)</f>
      </c>
      <c r="BO111" s="40">
        <f>IFERROR(VLOOKUP("30_"&amp;A111,SyS!$B:$P,12,FALSE()),0)</f>
      </c>
      <c r="BP111" s="43">
        <f>+BN111-BO111</f>
      </c>
      <c r="BQ111" s="44">
        <f>+E111+H111+K111+N111+Q111+T111+W111+Z111+AC111+AF111+AI111+AL111+AO111+AR111+AU111+AX111+BA111+BD111+BG111+BJ111+BM111+BP111</f>
        <v>1659.2199999999998</v>
      </c>
    </row>
    <row r="112" ht="11.25" customHeight="1" spans="1:69" x14ac:dyDescent="0.25">
      <c r="A112" s="9">
        <v>426120000</v>
      </c>
      <c r="B112" s="9" t="s">
        <v>149</v>
      </c>
      <c r="C112" s="34">
        <f>IFERROR(VLOOKUP("1_"&amp;A112,SyS!$B:$P,10,FALSE()),0)</f>
      </c>
      <c r="D112" s="35">
        <f>IFERROR(VLOOKUP("1_"&amp;A112,SyS!$B:$P,12,FALSE()),0)</f>
      </c>
      <c r="E112" s="35">
        <f>+C112-D112</f>
      </c>
      <c r="F112" s="34">
        <f>IFERROR(VLOOKUP("2_"&amp;A112,SyS!$B:$P,10,FALSE()),0)</f>
        <v>55.85</v>
      </c>
      <c r="G112" s="35">
        <f>IFERROR(VLOOKUP("2_"&amp;A112,SyS!$B:$P,12,FALSE()),0)</f>
      </c>
      <c r="H112" s="36">
        <f>+F112-G112</f>
        <v>55.85</v>
      </c>
      <c r="I112" s="35"/>
      <c r="J112" s="35"/>
      <c r="K112" s="35"/>
      <c r="L112" s="35"/>
      <c r="M112" s="35"/>
      <c r="N112" s="35"/>
      <c r="O112" s="34">
        <f>IFERROR(VLOOKUP("14_"&amp;A112,SyS!$B:$P,10,FALSE()),0)</f>
      </c>
      <c r="P112" s="35">
        <f>IFERROR(VLOOKUP("14_"&amp;A112,SyS!$B:$P,12,FALSE()),0)</f>
      </c>
      <c r="Q112" s="36">
        <f>+O112-P112</f>
      </c>
      <c r="R112" s="34">
        <f>IFERROR(VLOOKUP("15_"&amp;A112,SyS!$B:$P,10,FALSE()),0)</f>
      </c>
      <c r="S112" s="35">
        <f>IFERROR(VLOOKUP("15_"&amp;A112,SyS!$B:$P,12,FALSE()),0)</f>
      </c>
      <c r="T112" s="36">
        <f>+R112-S112</f>
      </c>
      <c r="U112" s="34">
        <f>IFERROR(VLOOKUP("16_"&amp;A112,SyS!$B:$P,10,FALSE()),0)</f>
      </c>
      <c r="V112" s="35">
        <f>IFERROR(VLOOKUP("16_"&amp;A112,SyS!$B:$P,12,FALSE()),0)</f>
      </c>
      <c r="W112" s="36">
        <f>+U112-V112</f>
      </c>
      <c r="X112" s="34">
        <f>IFERROR(VLOOKUP("13_"&amp;A112,SyS!$B:$P,10,FALSE()),0)</f>
      </c>
      <c r="Y112" s="35">
        <f>IFERROR(VLOOKUP("13_"&amp;A112,SyS!$B:$P,12,FALSE()),0)</f>
      </c>
      <c r="Z112" s="36">
        <f>+X112-Y112</f>
      </c>
      <c r="AA112" s="34">
        <f>IFERROR(VLOOKUP("17_"&amp;A112,SyS!$B:$P,10,FALSE()),0)</f>
      </c>
      <c r="AB112" s="35">
        <f>IFERROR(VLOOKUP("17_"&amp;A112,SyS!$B:$P,12,FALSE()),0)</f>
      </c>
      <c r="AC112" s="36">
        <f>+AA112-AB112</f>
      </c>
      <c r="AD112" s="35"/>
      <c r="AE112" s="35"/>
      <c r="AF112" s="35"/>
      <c r="AG112" s="35">
        <f>IFERROR(VLOOKUP("19_"&amp;A112,SyS!$B:$P,10,FALSE()),0)</f>
      </c>
      <c r="AH112" s="35">
        <f>IFERROR(VLOOKUP("19_"&amp;A112,SyS!$B:$P,12,FALSE()),0)</f>
      </c>
      <c r="AI112" s="35">
        <f>+AG112-AH112</f>
      </c>
      <c r="AJ112" s="35"/>
      <c r="AK112" s="35"/>
      <c r="AL112" s="35"/>
      <c r="AM112" s="34">
        <f>IFERROR(VLOOKUP("23_"&amp;A112,SyS!$B:$P,10,FALSE()),0)</f>
        <v>39.24</v>
      </c>
      <c r="AN112" s="35">
        <f>IFERROR(VLOOKUP("23_"&amp;A112,SyS!$B:$P,12,FALSE()),0)</f>
      </c>
      <c r="AO112" s="36">
        <f>+AM112-AN112</f>
        <v>39.24</v>
      </c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>
        <f>IFERROR(VLOOKUP("29_"&amp;A112,SyS!$B:$P,10,FALSE()),0)</f>
      </c>
      <c r="BL112" s="40">
        <f>IFERROR(VLOOKUP("29_"&amp;A112,SyS!$B:$P,12,FALSE()),0)</f>
      </c>
      <c r="BM112" s="40">
        <f>+BK112-BL112</f>
      </c>
      <c r="BN112" s="42">
        <f>IFERROR(VLOOKUP("30_"&amp;A112,SyS!$B:$P,10,FALSE()),0)</f>
      </c>
      <c r="BO112" s="40">
        <f>IFERROR(VLOOKUP("30_"&amp;A112,SyS!$B:$P,12,FALSE()),0)</f>
      </c>
      <c r="BP112" s="43">
        <f>+BN112-BO112</f>
      </c>
      <c r="BQ112" s="44">
        <f>+E112+H112+K112+N112+Q112+T112+W112+Z112+AC112+AF112+AI112+AL112+AO112+AR112+AU112+AX112+BA112+BD112+BG112+BJ112+BM112+BP112</f>
        <v>95.09</v>
      </c>
    </row>
    <row r="113" ht="11.25" customHeight="1" spans="1:69" x14ac:dyDescent="0.25">
      <c r="A113" s="9">
        <v>426140000</v>
      </c>
      <c r="B113" s="9" t="s">
        <v>150</v>
      </c>
      <c r="C113" s="34">
        <f>IFERROR(VLOOKUP("1_"&amp;A113,SyS!$B:$P,10,FALSE()),0)</f>
      </c>
      <c r="D113" s="35">
        <f>IFERROR(VLOOKUP("1_"&amp;A113,SyS!$B:$P,12,FALSE()),0)</f>
      </c>
      <c r="E113" s="35">
        <f>+C113-D113</f>
      </c>
      <c r="F113" s="34">
        <f>IFERROR(VLOOKUP("2_"&amp;A113,SyS!$B:$P,10,FALSE()),0)</f>
      </c>
      <c r="G113" s="35">
        <f>IFERROR(VLOOKUP("2_"&amp;A113,SyS!$B:$P,12,FALSE()),0)</f>
      </c>
      <c r="H113" s="36">
        <f>+F113-G113</f>
      </c>
      <c r="I113" s="35"/>
      <c r="J113" s="35"/>
      <c r="K113" s="35"/>
      <c r="L113" s="35"/>
      <c r="M113" s="35"/>
      <c r="N113" s="35"/>
      <c r="O113" s="34">
        <f>IFERROR(VLOOKUP("14_"&amp;A113,SyS!$B:$P,10,FALSE()),0)</f>
      </c>
      <c r="P113" s="35">
        <f>IFERROR(VLOOKUP("14_"&amp;A113,SyS!$B:$P,12,FALSE()),0)</f>
      </c>
      <c r="Q113" s="36">
        <f>+O113-P113</f>
      </c>
      <c r="R113" s="34">
        <f>IFERROR(VLOOKUP("15_"&amp;A113,SyS!$B:$P,10,FALSE()),0)</f>
      </c>
      <c r="S113" s="35">
        <f>IFERROR(VLOOKUP("15_"&amp;A113,SyS!$B:$P,12,FALSE()),0)</f>
      </c>
      <c r="T113" s="36">
        <f>+R113-S113</f>
      </c>
      <c r="U113" s="34">
        <f>IFERROR(VLOOKUP("16_"&amp;A113,SyS!$B:$P,10,FALSE()),0)</f>
      </c>
      <c r="V113" s="35">
        <f>IFERROR(VLOOKUP("16_"&amp;A113,SyS!$B:$P,12,FALSE()),0)</f>
      </c>
      <c r="W113" s="36">
        <f>+U113-V113</f>
      </c>
      <c r="X113" s="34">
        <f>IFERROR(VLOOKUP("13_"&amp;A113,SyS!$B:$P,10,FALSE()),0)</f>
      </c>
      <c r="Y113" s="35">
        <f>IFERROR(VLOOKUP("13_"&amp;A113,SyS!$B:$P,12,FALSE()),0)</f>
      </c>
      <c r="Z113" s="36">
        <f>+X113-Y113</f>
      </c>
      <c r="AA113" s="34">
        <f>IFERROR(VLOOKUP("17_"&amp;A113,SyS!$B:$P,10,FALSE()),0)</f>
      </c>
      <c r="AB113" s="35">
        <f>IFERROR(VLOOKUP("17_"&amp;A113,SyS!$B:$P,12,FALSE()),0)</f>
      </c>
      <c r="AC113" s="36">
        <f>+AA113-AB113</f>
      </c>
      <c r="AD113" s="35"/>
      <c r="AE113" s="35"/>
      <c r="AF113" s="35"/>
      <c r="AG113" s="35">
        <f>IFERROR(VLOOKUP("19_"&amp;A113,SyS!$B:$P,10,FALSE()),0)</f>
      </c>
      <c r="AH113" s="35">
        <f>IFERROR(VLOOKUP("19_"&amp;A113,SyS!$B:$P,12,FALSE()),0)</f>
      </c>
      <c r="AI113" s="35">
        <f>+AG113-AH113</f>
      </c>
      <c r="AJ113" s="35"/>
      <c r="AK113" s="35"/>
      <c r="AL113" s="35"/>
      <c r="AM113" s="34">
        <f>IFERROR(VLOOKUP("23_"&amp;A113,SyS!$B:$P,10,FALSE()),0)</f>
      </c>
      <c r="AN113" s="35">
        <f>IFERROR(VLOOKUP("23_"&amp;A113,SyS!$B:$P,12,FALSE()),0)</f>
      </c>
      <c r="AO113" s="36">
        <f>+AM113-AN113</f>
      </c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>
        <f>IFERROR(VLOOKUP("29_"&amp;A113,SyS!$B:$P,10,FALSE()),0)</f>
      </c>
      <c r="BL113" s="40">
        <f>IFERROR(VLOOKUP("29_"&amp;A113,SyS!$B:$P,12,FALSE()),0)</f>
      </c>
      <c r="BM113" s="40">
        <f>+BK113-BL113</f>
      </c>
      <c r="BN113" s="42">
        <f>IFERROR(VLOOKUP("30_"&amp;A113,SyS!$B:$P,10,FALSE()),0)</f>
      </c>
      <c r="BO113" s="40">
        <f>IFERROR(VLOOKUP("30_"&amp;A113,SyS!$B:$P,12,FALSE()),0)</f>
      </c>
      <c r="BP113" s="43">
        <f>+BN113-BO113</f>
      </c>
      <c r="BQ113" s="44">
        <f>+E113+H113+K113+N113+Q113+T113+W113+Z113+AC113+AF113+AI113+AL113+AO113+AR113+AU113+AX113+BA113+BD113+BG113+BJ113+BM113+BP113</f>
      </c>
    </row>
    <row r="114" ht="11.25" customHeight="1" spans="1:69" x14ac:dyDescent="0.25">
      <c r="A114" s="9">
        <v>426150000</v>
      </c>
      <c r="B114" s="9" t="s">
        <v>151</v>
      </c>
      <c r="C114" s="34">
        <f>IFERROR(VLOOKUP("1_"&amp;A114,SyS!$B:$P,10,FALSE()),0)</f>
      </c>
      <c r="D114" s="35">
        <f>IFERROR(VLOOKUP("1_"&amp;A114,SyS!$B:$P,12,FALSE()),0)</f>
      </c>
      <c r="E114" s="35">
        <f>+C114-D114</f>
      </c>
      <c r="F114" s="34">
        <f>IFERROR(VLOOKUP("2_"&amp;A114,SyS!$B:$P,10,FALSE()),0)</f>
      </c>
      <c r="G114" s="35">
        <f>IFERROR(VLOOKUP("2_"&amp;A114,SyS!$B:$P,12,FALSE()),0)</f>
      </c>
      <c r="H114" s="36">
        <f>+F114-G114</f>
      </c>
      <c r="I114" s="35"/>
      <c r="J114" s="35"/>
      <c r="K114" s="35"/>
      <c r="L114" s="35"/>
      <c r="M114" s="35"/>
      <c r="N114" s="35"/>
      <c r="O114" s="34">
        <f>IFERROR(VLOOKUP("14_"&amp;A114,SyS!$B:$P,10,FALSE()),0)</f>
      </c>
      <c r="P114" s="35">
        <f>IFERROR(VLOOKUP("14_"&amp;A114,SyS!$B:$P,12,FALSE()),0)</f>
      </c>
      <c r="Q114" s="36">
        <f>+O114-P114</f>
      </c>
      <c r="R114" s="34">
        <f>IFERROR(VLOOKUP("15_"&amp;A114,SyS!$B:$P,10,FALSE()),0)</f>
      </c>
      <c r="S114" s="35">
        <f>IFERROR(VLOOKUP("15_"&amp;A114,SyS!$B:$P,12,FALSE()),0)</f>
      </c>
      <c r="T114" s="36">
        <f>+R114-S114</f>
      </c>
      <c r="U114" s="34">
        <f>IFERROR(VLOOKUP("16_"&amp;A114,SyS!$B:$P,10,FALSE()),0)</f>
      </c>
      <c r="V114" s="35">
        <f>IFERROR(VLOOKUP("16_"&amp;A114,SyS!$B:$P,12,FALSE()),0)</f>
      </c>
      <c r="W114" s="36">
        <f>+U114-V114</f>
      </c>
      <c r="X114" s="34">
        <f>IFERROR(VLOOKUP("13_"&amp;A114,SyS!$B:$P,10,FALSE()),0)</f>
      </c>
      <c r="Y114" s="35">
        <f>IFERROR(VLOOKUP("13_"&amp;A114,SyS!$B:$P,12,FALSE()),0)</f>
      </c>
      <c r="Z114" s="36">
        <f>+X114-Y114</f>
      </c>
      <c r="AA114" s="34">
        <f>IFERROR(VLOOKUP("17_"&amp;A114,SyS!$B:$P,10,FALSE()),0)</f>
      </c>
      <c r="AB114" s="35">
        <f>IFERROR(VLOOKUP("17_"&amp;A114,SyS!$B:$P,12,FALSE()),0)</f>
      </c>
      <c r="AC114" s="36">
        <f>+AA114-AB114</f>
      </c>
      <c r="AD114" s="35"/>
      <c r="AE114" s="35"/>
      <c r="AF114" s="35"/>
      <c r="AG114" s="35">
        <f>IFERROR(VLOOKUP("19_"&amp;A114,SyS!$B:$P,10,FALSE()),0)</f>
      </c>
      <c r="AH114" s="35">
        <f>IFERROR(VLOOKUP("19_"&amp;A114,SyS!$B:$P,12,FALSE()),0)</f>
      </c>
      <c r="AI114" s="35">
        <f>+AG114-AH114</f>
      </c>
      <c r="AJ114" s="35"/>
      <c r="AK114" s="35"/>
      <c r="AL114" s="35"/>
      <c r="AM114" s="34">
        <f>IFERROR(VLOOKUP("23_"&amp;A114,SyS!$B:$P,10,FALSE()),0)</f>
      </c>
      <c r="AN114" s="35">
        <f>IFERROR(VLOOKUP("23_"&amp;A114,SyS!$B:$P,12,FALSE()),0)</f>
      </c>
      <c r="AO114" s="36">
        <f>+AM114-AN114</f>
      </c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>
        <f>IFERROR(VLOOKUP("29_"&amp;A114,SyS!$B:$P,10,FALSE()),0)</f>
      </c>
      <c r="BL114" s="40">
        <f>IFERROR(VLOOKUP("29_"&amp;A114,SyS!$B:$P,12,FALSE()),0)</f>
      </c>
      <c r="BM114" s="40">
        <f>+BK114-BL114</f>
      </c>
      <c r="BN114" s="42">
        <f>IFERROR(VLOOKUP("30_"&amp;A114,SyS!$B:$P,10,FALSE()),0)</f>
      </c>
      <c r="BO114" s="40">
        <f>IFERROR(VLOOKUP("30_"&amp;A114,SyS!$B:$P,12,FALSE()),0)</f>
      </c>
      <c r="BP114" s="43">
        <f>+BN114-BO114</f>
      </c>
      <c r="BQ114" s="44">
        <f>+E114+H114+K114+N114+Q114+T114+W114+Z114+AC114+AF114+AI114+AL114+AO114+AR114+AU114+AX114+BA114+BD114+BG114+BJ114+BM114+BP114</f>
      </c>
    </row>
    <row r="115" ht="11.25" customHeight="1" spans="1:69" x14ac:dyDescent="0.25">
      <c r="A115" s="9">
        <v>433040000</v>
      </c>
      <c r="B115" s="9" t="s">
        <v>152</v>
      </c>
      <c r="C115" s="34">
        <f>IFERROR(VLOOKUP("1_"&amp;A115,SyS!$B:$P,10,FALSE()),0)</f>
      </c>
      <c r="D115" s="35">
        <f>IFERROR(VLOOKUP("1_"&amp;A115,SyS!$B:$P,12,FALSE()),0)</f>
      </c>
      <c r="E115" s="35">
        <f>+C115-D115</f>
      </c>
      <c r="F115" s="34">
        <f>IFERROR(VLOOKUP("2_"&amp;A115,SyS!$B:$P,10,FALSE()),0)</f>
      </c>
      <c r="G115" s="35">
        <f>IFERROR(VLOOKUP("2_"&amp;A115,SyS!$B:$P,12,FALSE()),0)</f>
      </c>
      <c r="H115" s="36">
        <f>+F115-G115</f>
      </c>
      <c r="I115" s="35"/>
      <c r="J115" s="35"/>
      <c r="K115" s="35"/>
      <c r="L115" s="35"/>
      <c r="M115" s="35"/>
      <c r="N115" s="35"/>
      <c r="O115" s="34">
        <f>IFERROR(VLOOKUP("14_"&amp;A115,SyS!$B:$P,10,FALSE()),0)</f>
      </c>
      <c r="P115" s="35">
        <f>IFERROR(VLOOKUP("14_"&amp;A115,SyS!$B:$P,12,FALSE()),0)</f>
      </c>
      <c r="Q115" s="36">
        <f>+O115-P115</f>
      </c>
      <c r="R115" s="34">
        <f>IFERROR(VLOOKUP("15_"&amp;A115,SyS!$B:$P,10,FALSE()),0)</f>
      </c>
      <c r="S115" s="35">
        <f>IFERROR(VLOOKUP("15_"&amp;A115,SyS!$B:$P,12,FALSE()),0)</f>
      </c>
      <c r="T115" s="36">
        <f>+R115-S115</f>
      </c>
      <c r="U115" s="34">
        <f>IFERROR(VLOOKUP("16_"&amp;A115,SyS!$B:$P,10,FALSE()),0)</f>
      </c>
      <c r="V115" s="35">
        <f>IFERROR(VLOOKUP("16_"&amp;A115,SyS!$B:$P,12,FALSE()),0)</f>
      </c>
      <c r="W115" s="36">
        <f>+U115-V115</f>
      </c>
      <c r="X115" s="34">
        <f>IFERROR(VLOOKUP("13_"&amp;A115,SyS!$B:$P,10,FALSE()),0)</f>
      </c>
      <c r="Y115" s="35">
        <f>IFERROR(VLOOKUP("13_"&amp;A115,SyS!$B:$P,12,FALSE()),0)</f>
      </c>
      <c r="Z115" s="36">
        <f>+X115-Y115</f>
      </c>
      <c r="AA115" s="34">
        <f>IFERROR(VLOOKUP("17_"&amp;A115,SyS!$B:$P,10,FALSE()),0)</f>
      </c>
      <c r="AB115" s="35">
        <f>IFERROR(VLOOKUP("17_"&amp;A115,SyS!$B:$P,12,FALSE()),0)</f>
      </c>
      <c r="AC115" s="36">
        <f>+AA115-AB115</f>
      </c>
      <c r="AD115" s="35"/>
      <c r="AE115" s="35"/>
      <c r="AF115" s="35"/>
      <c r="AG115" s="35">
        <f>IFERROR(VLOOKUP("19_"&amp;A115,SyS!$B:$P,10,FALSE()),0)</f>
      </c>
      <c r="AH115" s="35">
        <f>IFERROR(VLOOKUP("19_"&amp;A115,SyS!$B:$P,12,FALSE()),0)</f>
      </c>
      <c r="AI115" s="35">
        <f>+AG115-AH115</f>
      </c>
      <c r="AJ115" s="35"/>
      <c r="AK115" s="35"/>
      <c r="AL115" s="35"/>
      <c r="AM115" s="34">
        <f>IFERROR(VLOOKUP("23_"&amp;A115,SyS!$B:$P,10,FALSE()),0)</f>
      </c>
      <c r="AN115" s="35">
        <f>IFERROR(VLOOKUP("23_"&amp;A115,SyS!$B:$P,12,FALSE()),0)</f>
      </c>
      <c r="AO115" s="36">
        <f>+AM115-AN115</f>
      </c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>
        <f>IFERROR(VLOOKUP("29_"&amp;A115,SyS!$B:$P,10,FALSE()),0)</f>
      </c>
      <c r="BL115" s="40">
        <f>IFERROR(VLOOKUP("29_"&amp;A115,SyS!$B:$P,12,FALSE()),0)</f>
      </c>
      <c r="BM115" s="40">
        <f>+BK115-BL115</f>
      </c>
      <c r="BN115" s="42">
        <f>IFERROR(VLOOKUP("30_"&amp;A115,SyS!$B:$P,10,FALSE()),0)</f>
      </c>
      <c r="BO115" s="40">
        <f>IFERROR(VLOOKUP("30_"&amp;A115,SyS!$B:$P,12,FALSE()),0)</f>
      </c>
      <c r="BP115" s="43">
        <f>+BN115-BO115</f>
      </c>
      <c r="BQ115" s="44">
        <f>+E115+H115+K115+N115+Q115+T115+W115+Z115+AC115+AF115+AI115+AL115+AO115+AR115+AU115+AX115+BA115+BD115+BG115+BJ115+BM115+BP115</f>
      </c>
    </row>
    <row r="116" ht="11.25" customHeight="1" spans="1:69" x14ac:dyDescent="0.25">
      <c r="A116" s="9">
        <v>426170000</v>
      </c>
      <c r="B116" s="9" t="s">
        <v>153</v>
      </c>
      <c r="C116" s="34">
        <f>IFERROR(VLOOKUP("1_"&amp;A116,SyS!$B:$P,10,FALSE()),0)</f>
      </c>
      <c r="D116" s="35">
        <f>IFERROR(VLOOKUP("1_"&amp;A116,SyS!$B:$P,12,FALSE()),0)</f>
      </c>
      <c r="E116" s="35">
        <f>+C116-D116</f>
      </c>
      <c r="F116" s="34">
        <f>IFERROR(VLOOKUP("2_"&amp;A116,SyS!$B:$P,10,FALSE()),0)</f>
      </c>
      <c r="G116" s="35">
        <f>IFERROR(VLOOKUP("2_"&amp;A116,SyS!$B:$P,12,FALSE()),0)</f>
      </c>
      <c r="H116" s="36">
        <f>+F116-G116</f>
      </c>
      <c r="I116" s="35"/>
      <c r="J116" s="35"/>
      <c r="K116" s="35"/>
      <c r="L116" s="35"/>
      <c r="M116" s="35"/>
      <c r="N116" s="35"/>
      <c r="O116" s="34">
        <f>IFERROR(VLOOKUP("14_"&amp;A116,SyS!$B:$P,10,FALSE()),0)</f>
      </c>
      <c r="P116" s="35">
        <f>IFERROR(VLOOKUP("14_"&amp;A116,SyS!$B:$P,12,FALSE()),0)</f>
      </c>
      <c r="Q116" s="36">
        <f>+O116-P116</f>
      </c>
      <c r="R116" s="34">
        <f>IFERROR(VLOOKUP("15_"&amp;A116,SyS!$B:$P,10,FALSE()),0)</f>
      </c>
      <c r="S116" s="35">
        <f>IFERROR(VLOOKUP("15_"&amp;A116,SyS!$B:$P,12,FALSE()),0)</f>
      </c>
      <c r="T116" s="36">
        <f>+R116-S116</f>
      </c>
      <c r="U116" s="34">
        <f>IFERROR(VLOOKUP("16_"&amp;A116,SyS!$B:$P,10,FALSE()),0)</f>
      </c>
      <c r="V116" s="35">
        <f>IFERROR(VLOOKUP("16_"&amp;A116,SyS!$B:$P,12,FALSE()),0)</f>
      </c>
      <c r="W116" s="36">
        <f>+U116-V116</f>
      </c>
      <c r="X116" s="34">
        <f>IFERROR(VLOOKUP("13_"&amp;A116,SyS!$B:$P,10,FALSE()),0)</f>
      </c>
      <c r="Y116" s="35">
        <f>IFERROR(VLOOKUP("13_"&amp;A116,SyS!$B:$P,12,FALSE()),0)</f>
      </c>
      <c r="Z116" s="36">
        <f>+X116-Y116</f>
      </c>
      <c r="AA116" s="34">
        <f>IFERROR(VLOOKUP("17_"&amp;A116,SyS!$B:$P,10,FALSE()),0)</f>
      </c>
      <c r="AB116" s="35">
        <f>IFERROR(VLOOKUP("17_"&amp;A116,SyS!$B:$P,12,FALSE()),0)</f>
      </c>
      <c r="AC116" s="36">
        <f>+AA116-AB116</f>
      </c>
      <c r="AD116" s="35"/>
      <c r="AE116" s="35"/>
      <c r="AF116" s="35"/>
      <c r="AG116" s="35">
        <f>IFERROR(VLOOKUP("19_"&amp;A116,SyS!$B:$P,10,FALSE()),0)</f>
      </c>
      <c r="AH116" s="35">
        <f>IFERROR(VLOOKUP("19_"&amp;A116,SyS!$B:$P,12,FALSE()),0)</f>
      </c>
      <c r="AI116" s="35">
        <f>+AG116-AH116</f>
      </c>
      <c r="AJ116" s="35"/>
      <c r="AK116" s="35"/>
      <c r="AL116" s="35"/>
      <c r="AM116" s="34">
        <f>IFERROR(VLOOKUP("23_"&amp;A116,SyS!$B:$P,10,FALSE()),0)</f>
      </c>
      <c r="AN116" s="35">
        <f>IFERROR(VLOOKUP("23_"&amp;A116,SyS!$B:$P,12,FALSE()),0)</f>
      </c>
      <c r="AO116" s="36">
        <f>+AM116-AN116</f>
      </c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>
        <f>IFERROR(VLOOKUP("29_"&amp;A116,SyS!$B:$P,10,FALSE()),0)</f>
      </c>
      <c r="BL116" s="40">
        <f>IFERROR(VLOOKUP("29_"&amp;A116,SyS!$B:$P,12,FALSE()),0)</f>
      </c>
      <c r="BM116" s="40">
        <f>+BK116-BL116</f>
      </c>
      <c r="BN116" s="42">
        <f>IFERROR(VLOOKUP("30_"&amp;A116,SyS!$B:$P,10,FALSE()),0)</f>
      </c>
      <c r="BO116" s="40">
        <f>IFERROR(VLOOKUP("30_"&amp;A116,SyS!$B:$P,12,FALSE()),0)</f>
      </c>
      <c r="BP116" s="43">
        <f>+BN116-BO116</f>
      </c>
      <c r="BQ116" s="44">
        <f>+E116+H116+K116+N116+Q116+T116+W116+Z116+AC116+AF116+AI116+AL116+AO116+AR116+AU116+AX116+BA116+BD116+BG116+BJ116+BM116+BP116</f>
      </c>
    </row>
    <row r="117" ht="11.25" customHeight="1" spans="1:69" x14ac:dyDescent="0.25">
      <c r="A117" s="9">
        <v>426180000</v>
      </c>
      <c r="B117" s="9" t="s">
        <v>154</v>
      </c>
      <c r="C117" s="34">
        <f>IFERROR(VLOOKUP("1_"&amp;A117,SyS!$B:$P,10,FALSE()),0)</f>
      </c>
      <c r="D117" s="35">
        <f>IFERROR(VLOOKUP("1_"&amp;A117,SyS!$B:$P,12,FALSE()),0)</f>
      </c>
      <c r="E117" s="35">
        <f>+C117-D117</f>
      </c>
      <c r="F117" s="34">
        <f>IFERROR(VLOOKUP("2_"&amp;A117,SyS!$B:$P,10,FALSE()),0)</f>
      </c>
      <c r="G117" s="35">
        <f>IFERROR(VLOOKUP("2_"&amp;A117,SyS!$B:$P,12,FALSE()),0)</f>
      </c>
      <c r="H117" s="36">
        <f>+F117-G117</f>
      </c>
      <c r="I117" s="35"/>
      <c r="J117" s="35"/>
      <c r="K117" s="35"/>
      <c r="L117" s="35"/>
      <c r="M117" s="35"/>
      <c r="N117" s="35"/>
      <c r="O117" s="34">
        <f>IFERROR(VLOOKUP("14_"&amp;A117,SyS!$B:$P,10,FALSE()),0)</f>
      </c>
      <c r="P117" s="35">
        <f>IFERROR(VLOOKUP("14_"&amp;A117,SyS!$B:$P,12,FALSE()),0)</f>
      </c>
      <c r="Q117" s="36">
        <f>+O117-P117</f>
      </c>
      <c r="R117" s="34">
        <f>IFERROR(VLOOKUP("15_"&amp;A117,SyS!$B:$P,10,FALSE()),0)</f>
      </c>
      <c r="S117" s="35">
        <f>IFERROR(VLOOKUP("15_"&amp;A117,SyS!$B:$P,12,FALSE()),0)</f>
      </c>
      <c r="T117" s="36">
        <f>+R117-S117</f>
      </c>
      <c r="U117" s="34">
        <f>IFERROR(VLOOKUP("16_"&amp;A117,SyS!$B:$P,10,FALSE()),0)</f>
      </c>
      <c r="V117" s="35">
        <f>IFERROR(VLOOKUP("16_"&amp;A117,SyS!$B:$P,12,FALSE()),0)</f>
      </c>
      <c r="W117" s="36">
        <f>+U117-V117</f>
      </c>
      <c r="X117" s="34">
        <f>IFERROR(VLOOKUP("13_"&amp;A117,SyS!$B:$P,10,FALSE()),0)</f>
      </c>
      <c r="Y117" s="35">
        <f>IFERROR(VLOOKUP("13_"&amp;A117,SyS!$B:$P,12,FALSE()),0)</f>
      </c>
      <c r="Z117" s="36">
        <f>+X117-Y117</f>
      </c>
      <c r="AA117" s="34">
        <f>IFERROR(VLOOKUP("17_"&amp;A117,SyS!$B:$P,10,FALSE()),0)</f>
      </c>
      <c r="AB117" s="35">
        <f>IFERROR(VLOOKUP("17_"&amp;A117,SyS!$B:$P,12,FALSE()),0)</f>
      </c>
      <c r="AC117" s="36">
        <f>+AA117-AB117</f>
      </c>
      <c r="AD117" s="35"/>
      <c r="AE117" s="35"/>
      <c r="AF117" s="35"/>
      <c r="AG117" s="35">
        <f>IFERROR(VLOOKUP("19_"&amp;A117,SyS!$B:$P,10,FALSE()),0)</f>
      </c>
      <c r="AH117" s="35">
        <f>IFERROR(VLOOKUP("19_"&amp;A117,SyS!$B:$P,12,FALSE()),0)</f>
      </c>
      <c r="AI117" s="35">
        <f>+AG117-AH117</f>
      </c>
      <c r="AJ117" s="35"/>
      <c r="AK117" s="35"/>
      <c r="AL117" s="35"/>
      <c r="AM117" s="34">
        <f>IFERROR(VLOOKUP("23_"&amp;A117,SyS!$B:$P,10,FALSE()),0)</f>
      </c>
      <c r="AN117" s="35">
        <f>IFERROR(VLOOKUP("23_"&amp;A117,SyS!$B:$P,12,FALSE()),0)</f>
      </c>
      <c r="AO117" s="36">
        <f>+AM117-AN117</f>
      </c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>
        <f>IFERROR(VLOOKUP("29_"&amp;A117,SyS!$B:$P,10,FALSE()),0)</f>
      </c>
      <c r="BL117" s="40">
        <f>IFERROR(VLOOKUP("29_"&amp;A117,SyS!$B:$P,12,FALSE()),0)</f>
      </c>
      <c r="BM117" s="40">
        <f>+BK117-BL117</f>
      </c>
      <c r="BN117" s="42">
        <f>IFERROR(VLOOKUP("30_"&amp;A117,SyS!$B:$P,10,FALSE()),0)</f>
      </c>
      <c r="BO117" s="40">
        <f>IFERROR(VLOOKUP("30_"&amp;A117,SyS!$B:$P,12,FALSE()),0)</f>
      </c>
      <c r="BP117" s="43">
        <f>+BN117-BO117</f>
      </c>
      <c r="BQ117" s="44">
        <f>+E117+H117+K117+N117+Q117+T117+W117+Z117+AC117+AF117+AI117+AL117+AO117+AR117+AU117+AX117+BA117+BD117+BG117+BJ117+BM117+BP117</f>
      </c>
    </row>
    <row r="118" ht="11.25" customHeight="1" spans="1:69" x14ac:dyDescent="0.25">
      <c r="A118" s="9">
        <v>426190000</v>
      </c>
      <c r="B118" s="9" t="s">
        <v>155</v>
      </c>
      <c r="C118" s="34">
        <f>IFERROR(VLOOKUP("1_"&amp;A118,SyS!$B:$P,10,FALSE()),0)</f>
      </c>
      <c r="D118" s="35">
        <f>IFERROR(VLOOKUP("1_"&amp;A118,SyS!$B:$P,12,FALSE()),0)</f>
      </c>
      <c r="E118" s="35">
        <f>+C118-D118</f>
      </c>
      <c r="F118" s="34">
        <f>IFERROR(VLOOKUP("2_"&amp;A118,SyS!$B:$P,10,FALSE()),0)</f>
      </c>
      <c r="G118" s="35">
        <f>IFERROR(VLOOKUP("2_"&amp;A118,SyS!$B:$P,12,FALSE()),0)</f>
      </c>
      <c r="H118" s="36">
        <f>+F118-G118</f>
      </c>
      <c r="I118" s="35"/>
      <c r="J118" s="35"/>
      <c r="K118" s="35"/>
      <c r="L118" s="35"/>
      <c r="M118" s="35"/>
      <c r="N118" s="35"/>
      <c r="O118" s="34">
        <f>IFERROR(VLOOKUP("14_"&amp;A118,SyS!$B:$P,10,FALSE()),0)</f>
      </c>
      <c r="P118" s="35">
        <f>IFERROR(VLOOKUP("14_"&amp;A118,SyS!$B:$P,12,FALSE()),0)</f>
      </c>
      <c r="Q118" s="36">
        <f>+O118-P118</f>
      </c>
      <c r="R118" s="34">
        <f>IFERROR(VLOOKUP("15_"&amp;A118,SyS!$B:$P,10,FALSE()),0)</f>
      </c>
      <c r="S118" s="35">
        <f>IFERROR(VLOOKUP("15_"&amp;A118,SyS!$B:$P,12,FALSE()),0)</f>
      </c>
      <c r="T118" s="36">
        <f>+R118-S118</f>
      </c>
      <c r="U118" s="34">
        <f>IFERROR(VLOOKUP("16_"&amp;A118,SyS!$B:$P,10,FALSE()),0)</f>
      </c>
      <c r="V118" s="35">
        <f>IFERROR(VLOOKUP("16_"&amp;A118,SyS!$B:$P,12,FALSE()),0)</f>
      </c>
      <c r="W118" s="36">
        <f>+U118-V118</f>
      </c>
      <c r="X118" s="34">
        <f>IFERROR(VLOOKUP("13_"&amp;A118,SyS!$B:$P,10,FALSE()),0)</f>
      </c>
      <c r="Y118" s="35">
        <f>IFERROR(VLOOKUP("13_"&amp;A118,SyS!$B:$P,12,FALSE()),0)</f>
      </c>
      <c r="Z118" s="36">
        <f>+X118-Y118</f>
      </c>
      <c r="AA118" s="34">
        <f>IFERROR(VLOOKUP("17_"&amp;A118,SyS!$B:$P,10,FALSE()),0)</f>
      </c>
      <c r="AB118" s="35">
        <f>IFERROR(VLOOKUP("17_"&amp;A118,SyS!$B:$P,12,FALSE()),0)</f>
      </c>
      <c r="AC118" s="36">
        <f>+AA118-AB118</f>
      </c>
      <c r="AD118" s="35"/>
      <c r="AE118" s="35"/>
      <c r="AF118" s="35"/>
      <c r="AG118" s="35">
        <f>IFERROR(VLOOKUP("19_"&amp;A118,SyS!$B:$P,10,FALSE()),0)</f>
      </c>
      <c r="AH118" s="35">
        <f>IFERROR(VLOOKUP("19_"&amp;A118,SyS!$B:$P,12,FALSE()),0)</f>
      </c>
      <c r="AI118" s="35">
        <f>+AG118-AH118</f>
      </c>
      <c r="AJ118" s="35"/>
      <c r="AK118" s="35"/>
      <c r="AL118" s="35"/>
      <c r="AM118" s="34">
        <f>IFERROR(VLOOKUP("23_"&amp;A118,SyS!$B:$P,10,FALSE()),0)</f>
        <v>78.2</v>
      </c>
      <c r="AN118" s="35">
        <f>IFERROR(VLOOKUP("23_"&amp;A118,SyS!$B:$P,12,FALSE()),0)</f>
      </c>
      <c r="AO118" s="36">
        <f>+AM118-AN118</f>
        <v>78.2</v>
      </c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>
        <f>IFERROR(VLOOKUP("29_"&amp;A118,SyS!$B:$P,10,FALSE()),0)</f>
      </c>
      <c r="BL118" s="40">
        <f>IFERROR(VLOOKUP("29_"&amp;A118,SyS!$B:$P,12,FALSE()),0)</f>
      </c>
      <c r="BM118" s="40">
        <f>+BK118-BL118</f>
      </c>
      <c r="BN118" s="42">
        <f>IFERROR(VLOOKUP("30_"&amp;A118,SyS!$B:$P,10,FALSE()),0)</f>
      </c>
      <c r="BO118" s="40">
        <f>IFERROR(VLOOKUP("30_"&amp;A118,SyS!$B:$P,12,FALSE()),0)</f>
      </c>
      <c r="BP118" s="43">
        <f>+BN118-BO118</f>
      </c>
      <c r="BQ118" s="44">
        <f>+E118+H118+K118+N118+Q118+T118+W118+Z118+AC118+AF118+AI118+AL118+AO118+AR118+AU118+AX118+BA118+BD118+BG118+BJ118+BM118+BP118</f>
        <v>78.2</v>
      </c>
    </row>
    <row r="119" ht="11.25" customHeight="1" spans="1:69" x14ac:dyDescent="0.25">
      <c r="A119" s="9">
        <v>426200000</v>
      </c>
      <c r="B119" s="9" t="s">
        <v>156</v>
      </c>
      <c r="C119" s="34">
        <f>IFERROR(VLOOKUP("1_"&amp;A119,SyS!$B:$P,10,FALSE()),0)</f>
      </c>
      <c r="D119" s="35">
        <f>IFERROR(VLOOKUP("1_"&amp;A119,SyS!$B:$P,12,FALSE()),0)</f>
      </c>
      <c r="E119" s="35">
        <f>+C119-D119</f>
      </c>
      <c r="F119" s="34">
        <f>IFERROR(VLOOKUP("2_"&amp;A119,SyS!$B:$P,10,FALSE()),0)</f>
        <v>147.22</v>
      </c>
      <c r="G119" s="35">
        <f>IFERROR(VLOOKUP("2_"&amp;A119,SyS!$B:$P,12,FALSE()),0)</f>
      </c>
      <c r="H119" s="36">
        <f>+F119-G119</f>
        <v>147.22</v>
      </c>
      <c r="I119" s="35"/>
      <c r="J119" s="35"/>
      <c r="K119" s="35"/>
      <c r="L119" s="35"/>
      <c r="M119" s="35"/>
      <c r="N119" s="35"/>
      <c r="O119" s="34">
        <f>IFERROR(VLOOKUP("14_"&amp;A119,SyS!$B:$P,10,FALSE()),0)</f>
      </c>
      <c r="P119" s="35">
        <f>IFERROR(VLOOKUP("14_"&amp;A119,SyS!$B:$P,12,FALSE()),0)</f>
      </c>
      <c r="Q119" s="36">
        <f>+O119-P119</f>
      </c>
      <c r="R119" s="34">
        <f>IFERROR(VLOOKUP("15_"&amp;A119,SyS!$B:$P,10,FALSE()),0)</f>
      </c>
      <c r="S119" s="35">
        <f>IFERROR(VLOOKUP("15_"&amp;A119,SyS!$B:$P,12,FALSE()),0)</f>
      </c>
      <c r="T119" s="36">
        <f>+R119-S119</f>
      </c>
      <c r="U119" s="34">
        <f>IFERROR(VLOOKUP("16_"&amp;A119,SyS!$B:$P,10,FALSE()),0)</f>
      </c>
      <c r="V119" s="35">
        <f>IFERROR(VLOOKUP("16_"&amp;A119,SyS!$B:$P,12,FALSE()),0)</f>
      </c>
      <c r="W119" s="36">
        <f>+U119-V119</f>
      </c>
      <c r="X119" s="34">
        <f>IFERROR(VLOOKUP("13_"&amp;A119,SyS!$B:$P,10,FALSE()),0)</f>
      </c>
      <c r="Y119" s="35">
        <f>IFERROR(VLOOKUP("13_"&amp;A119,SyS!$B:$P,12,FALSE()),0)</f>
      </c>
      <c r="Z119" s="36">
        <f>+X119-Y119</f>
      </c>
      <c r="AA119" s="34">
        <f>IFERROR(VLOOKUP("17_"&amp;A119,SyS!$B:$P,10,FALSE()),0)</f>
      </c>
      <c r="AB119" s="35">
        <f>IFERROR(VLOOKUP("17_"&amp;A119,SyS!$B:$P,12,FALSE()),0)</f>
      </c>
      <c r="AC119" s="36">
        <f>+AA119-AB119</f>
      </c>
      <c r="AD119" s="35"/>
      <c r="AE119" s="35"/>
      <c r="AF119" s="35"/>
      <c r="AG119" s="35">
        <f>IFERROR(VLOOKUP("19_"&amp;A119,SyS!$B:$P,10,FALSE()),0)</f>
      </c>
      <c r="AH119" s="35">
        <f>IFERROR(VLOOKUP("19_"&amp;A119,SyS!$B:$P,12,FALSE()),0)</f>
      </c>
      <c r="AI119" s="35">
        <f>+AG119-AH119</f>
      </c>
      <c r="AJ119" s="35"/>
      <c r="AK119" s="35"/>
      <c r="AL119" s="35"/>
      <c r="AM119" s="34">
        <f>IFERROR(VLOOKUP("23_"&amp;A119,SyS!$B:$P,10,FALSE()),0)</f>
        <v>340.27</v>
      </c>
      <c r="AN119" s="35">
        <f>IFERROR(VLOOKUP("23_"&amp;A119,SyS!$B:$P,12,FALSE()),0)</f>
      </c>
      <c r="AO119" s="36">
        <f>+AM119-AN119</f>
        <v>340.27</v>
      </c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>
        <f>IFERROR(VLOOKUP("29_"&amp;A119,SyS!$B:$P,10,FALSE()),0)</f>
      </c>
      <c r="BL119" s="40">
        <f>IFERROR(VLOOKUP("29_"&amp;A119,SyS!$B:$P,12,FALSE()),0)</f>
      </c>
      <c r="BM119" s="40">
        <f>+BK119-BL119</f>
      </c>
      <c r="BN119" s="42">
        <f>IFERROR(VLOOKUP("30_"&amp;A119,SyS!$B:$P,10,FALSE()),0)</f>
      </c>
      <c r="BO119" s="40">
        <f>IFERROR(VLOOKUP("30_"&amp;A119,SyS!$B:$P,12,FALSE()),0)</f>
      </c>
      <c r="BP119" s="43">
        <f>+BN119-BO119</f>
      </c>
      <c r="BQ119" s="44">
        <f>+E119+H119+K119+N119+Q119+T119+W119+Z119+AC119+AF119+AI119+AL119+AO119+AR119+AU119+AX119+BA119+BD119+BG119+BJ119+BM119+BP119</f>
        <v>487.49</v>
      </c>
    </row>
    <row r="120" ht="11.25" customHeight="1" spans="1:69" x14ac:dyDescent="0.25">
      <c r="A120" s="9">
        <v>426210000</v>
      </c>
      <c r="B120" s="9" t="s">
        <v>157</v>
      </c>
      <c r="C120" s="34">
        <f>IFERROR(VLOOKUP("1_"&amp;A120,SyS!$B:$P,10,FALSE()),0)</f>
      </c>
      <c r="D120" s="35">
        <f>IFERROR(VLOOKUP("1_"&amp;A120,SyS!$B:$P,12,FALSE()),0)</f>
      </c>
      <c r="E120" s="35">
        <f>+C120-D120</f>
      </c>
      <c r="F120" s="34">
        <f>IFERROR(VLOOKUP("2_"&amp;A120,SyS!$B:$P,10,FALSE()),0)</f>
        <v>82.33</v>
      </c>
      <c r="G120" s="35">
        <f>IFERROR(VLOOKUP("2_"&amp;A120,SyS!$B:$P,12,FALSE()),0)</f>
      </c>
      <c r="H120" s="36">
        <f>+F120-G120</f>
        <v>82.33</v>
      </c>
      <c r="I120" s="35"/>
      <c r="J120" s="35"/>
      <c r="K120" s="35"/>
      <c r="L120" s="35"/>
      <c r="M120" s="35"/>
      <c r="N120" s="35"/>
      <c r="O120" s="34">
        <f>IFERROR(VLOOKUP("14_"&amp;A120,SyS!$B:$P,10,FALSE()),0)</f>
      </c>
      <c r="P120" s="35">
        <f>IFERROR(VLOOKUP("14_"&amp;A120,SyS!$B:$P,12,FALSE()),0)</f>
      </c>
      <c r="Q120" s="36">
        <f>+O120-P120</f>
      </c>
      <c r="R120" s="34">
        <f>IFERROR(VLOOKUP("15_"&amp;A120,SyS!$B:$P,10,FALSE()),0)</f>
      </c>
      <c r="S120" s="35">
        <f>IFERROR(VLOOKUP("15_"&amp;A120,SyS!$B:$P,12,FALSE()),0)</f>
      </c>
      <c r="T120" s="36">
        <f>+R120-S120</f>
      </c>
      <c r="U120" s="34">
        <f>IFERROR(VLOOKUP("16_"&amp;A120,SyS!$B:$P,10,FALSE()),0)</f>
      </c>
      <c r="V120" s="35">
        <f>IFERROR(VLOOKUP("16_"&amp;A120,SyS!$B:$P,12,FALSE()),0)</f>
      </c>
      <c r="W120" s="36">
        <f>+U120-V120</f>
      </c>
      <c r="X120" s="34">
        <f>IFERROR(VLOOKUP("13_"&amp;A120,SyS!$B:$P,10,FALSE()),0)</f>
      </c>
      <c r="Y120" s="35">
        <f>IFERROR(VLOOKUP("13_"&amp;A120,SyS!$B:$P,12,FALSE()),0)</f>
      </c>
      <c r="Z120" s="36">
        <f>+X120-Y120</f>
      </c>
      <c r="AA120" s="34">
        <f>IFERROR(VLOOKUP("17_"&amp;A120,SyS!$B:$P,10,FALSE()),0)</f>
      </c>
      <c r="AB120" s="35">
        <f>IFERROR(VLOOKUP("17_"&amp;A120,SyS!$B:$P,12,FALSE()),0)</f>
      </c>
      <c r="AC120" s="36">
        <f>+AA120-AB120</f>
      </c>
      <c r="AD120" s="35"/>
      <c r="AE120" s="35"/>
      <c r="AF120" s="35"/>
      <c r="AG120" s="35">
        <f>IFERROR(VLOOKUP("19_"&amp;A120,SyS!$B:$P,10,FALSE()),0)</f>
      </c>
      <c r="AH120" s="35">
        <f>IFERROR(VLOOKUP("19_"&amp;A120,SyS!$B:$P,12,FALSE()),0)</f>
      </c>
      <c r="AI120" s="35">
        <f>+AG120-AH120</f>
      </c>
      <c r="AJ120" s="35"/>
      <c r="AK120" s="35"/>
      <c r="AL120" s="35"/>
      <c r="AM120" s="34">
        <f>IFERROR(VLOOKUP("23_"&amp;A120,SyS!$B:$P,10,FALSE()),0)</f>
      </c>
      <c r="AN120" s="35">
        <f>IFERROR(VLOOKUP("23_"&amp;A120,SyS!$B:$P,12,FALSE()),0)</f>
      </c>
      <c r="AO120" s="36">
        <f>+AM120-AN120</f>
      </c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>
        <f>IFERROR(VLOOKUP("29_"&amp;A120,SyS!$B:$P,10,FALSE()),0)</f>
      </c>
      <c r="BL120" s="40">
        <f>IFERROR(VLOOKUP("29_"&amp;A120,SyS!$B:$P,12,FALSE()),0)</f>
      </c>
      <c r="BM120" s="40">
        <f>+BK120-BL120</f>
      </c>
      <c r="BN120" s="42">
        <f>IFERROR(VLOOKUP("30_"&amp;A120,SyS!$B:$P,10,FALSE()),0)</f>
      </c>
      <c r="BO120" s="40">
        <f>IFERROR(VLOOKUP("30_"&amp;A120,SyS!$B:$P,12,FALSE()),0)</f>
      </c>
      <c r="BP120" s="43">
        <f>+BN120-BO120</f>
      </c>
      <c r="BQ120" s="44">
        <f>+E120+H120+K120+N120+Q120+T120+W120+Z120+AC120+AF120+AI120+AL120+AO120+AR120+AU120+AX120+BA120+BD120+BG120+BJ120+BM120+BP120</f>
        <v>82.33</v>
      </c>
    </row>
    <row r="121" ht="11.25" customHeight="1" spans="1:69" x14ac:dyDescent="0.25">
      <c r="A121" s="9">
        <v>426220000</v>
      </c>
      <c r="B121" s="9" t="s">
        <v>158</v>
      </c>
      <c r="C121" s="34">
        <f>IFERROR(VLOOKUP("1_"&amp;A121,SyS!$B:$P,10,FALSE()),0)</f>
      </c>
      <c r="D121" s="35">
        <f>IFERROR(VLOOKUP("1_"&amp;A121,SyS!$B:$P,12,FALSE()),0)</f>
      </c>
      <c r="E121" s="35">
        <f>+C121-D121</f>
      </c>
      <c r="F121" s="34">
        <f>IFERROR(VLOOKUP("2_"&amp;A121,SyS!$B:$P,10,FALSE()),0)</f>
        <v>2500</v>
      </c>
      <c r="G121" s="35">
        <f>IFERROR(VLOOKUP("2_"&amp;A121,SyS!$B:$P,12,FALSE()),0)</f>
      </c>
      <c r="H121" s="36">
        <f>+F121-G121</f>
        <v>2500</v>
      </c>
      <c r="I121" s="35"/>
      <c r="J121" s="35"/>
      <c r="K121" s="35"/>
      <c r="L121" s="35"/>
      <c r="M121" s="35"/>
      <c r="N121" s="35"/>
      <c r="O121" s="34">
        <f>IFERROR(VLOOKUP("14_"&amp;A121,SyS!$B:$P,10,FALSE()),0)</f>
      </c>
      <c r="P121" s="35">
        <f>IFERROR(VLOOKUP("14_"&amp;A121,SyS!$B:$P,12,FALSE()),0)</f>
      </c>
      <c r="Q121" s="36">
        <f>+O121-P121</f>
      </c>
      <c r="R121" s="34">
        <f>IFERROR(VLOOKUP("15_"&amp;A121,SyS!$B:$P,10,FALSE()),0)</f>
      </c>
      <c r="S121" s="35">
        <f>IFERROR(VLOOKUP("15_"&amp;A121,SyS!$B:$P,12,FALSE()),0)</f>
      </c>
      <c r="T121" s="36">
        <f>+R121-S121</f>
      </c>
      <c r="U121" s="34">
        <f>IFERROR(VLOOKUP("16_"&amp;A121,SyS!$B:$P,10,FALSE()),0)</f>
      </c>
      <c r="V121" s="35">
        <f>IFERROR(VLOOKUP("16_"&amp;A121,SyS!$B:$P,12,FALSE()),0)</f>
      </c>
      <c r="W121" s="36">
        <f>+U121-V121</f>
      </c>
      <c r="X121" s="34">
        <f>IFERROR(VLOOKUP("13_"&amp;A121,SyS!$B:$P,10,FALSE()),0)</f>
      </c>
      <c r="Y121" s="35">
        <f>IFERROR(VLOOKUP("13_"&amp;A121,SyS!$B:$P,12,FALSE()),0)</f>
      </c>
      <c r="Z121" s="36">
        <f>+X121-Y121</f>
      </c>
      <c r="AA121" s="34">
        <f>IFERROR(VLOOKUP("17_"&amp;A121,SyS!$B:$P,10,FALSE()),0)</f>
        <v>794.57</v>
      </c>
      <c r="AB121" s="35">
        <f>IFERROR(VLOOKUP("17_"&amp;A121,SyS!$B:$P,12,FALSE()),0)</f>
      </c>
      <c r="AC121" s="36">
        <f>+AA121-AB121</f>
        <v>794.57</v>
      </c>
      <c r="AD121" s="35"/>
      <c r="AE121" s="35"/>
      <c r="AF121" s="35"/>
      <c r="AG121" s="35">
        <f>IFERROR(VLOOKUP("19_"&amp;A121,SyS!$B:$P,10,FALSE()),0)</f>
      </c>
      <c r="AH121" s="35">
        <f>IFERROR(VLOOKUP("19_"&amp;A121,SyS!$B:$P,12,FALSE()),0)</f>
      </c>
      <c r="AI121" s="35">
        <f>+AG121-AH121</f>
      </c>
      <c r="AJ121" s="35"/>
      <c r="AK121" s="35"/>
      <c r="AL121" s="35"/>
      <c r="AM121" s="34">
        <f>IFERROR(VLOOKUP("23_"&amp;A121,SyS!$B:$P,10,FALSE()),0)</f>
      </c>
      <c r="AN121" s="35">
        <f>IFERROR(VLOOKUP("23_"&amp;A121,SyS!$B:$P,12,FALSE()),0)</f>
      </c>
      <c r="AO121" s="36">
        <f>+AM121-AN121</f>
      </c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>
        <f>IFERROR(VLOOKUP("29_"&amp;A121,SyS!$B:$P,10,FALSE()),0)</f>
      </c>
      <c r="BL121" s="40">
        <f>IFERROR(VLOOKUP("29_"&amp;A121,SyS!$B:$P,12,FALSE()),0)</f>
      </c>
      <c r="BM121" s="40">
        <f>+BK121-BL121</f>
      </c>
      <c r="BN121" s="42">
        <f>IFERROR(VLOOKUP("30_"&amp;A121,SyS!$B:$P,10,FALSE()),0)</f>
      </c>
      <c r="BO121" s="40">
        <f>IFERROR(VLOOKUP("30_"&amp;A121,SyS!$B:$P,12,FALSE()),0)</f>
      </c>
      <c r="BP121" s="43">
        <f>+BN121-BO121</f>
      </c>
      <c r="BQ121" s="44">
        <f>+E121+H121+K121+N121+Q121+T121+W121+Z121+AC121+AF121+AI121+AL121+AO121+AR121+AU121+AX121+BA121+BD121+BG121+BJ121+BM121+BP121</f>
        <v>3294.57</v>
      </c>
    </row>
    <row r="122" ht="11.25" customHeight="1" spans="1:69" x14ac:dyDescent="0.25">
      <c r="A122" s="9">
        <v>426230000</v>
      </c>
      <c r="B122" s="9" t="s">
        <v>159</v>
      </c>
      <c r="C122" s="34">
        <f>IFERROR(VLOOKUP("1_"&amp;A122,SyS!$B:$P,10,FALSE()),0)</f>
      </c>
      <c r="D122" s="35">
        <f>IFERROR(VLOOKUP("1_"&amp;A122,SyS!$B:$P,12,FALSE()),0)</f>
      </c>
      <c r="E122" s="35">
        <f>+C122-D122</f>
      </c>
      <c r="F122" s="34">
        <f>IFERROR(VLOOKUP("2_"&amp;A122,SyS!$B:$P,10,FALSE()),0)</f>
      </c>
      <c r="G122" s="35">
        <f>IFERROR(VLOOKUP("2_"&amp;A122,SyS!$B:$P,12,FALSE()),0)</f>
      </c>
      <c r="H122" s="36">
        <f>+F122-G122</f>
      </c>
      <c r="I122" s="35"/>
      <c r="J122" s="35"/>
      <c r="K122" s="35"/>
      <c r="L122" s="35"/>
      <c r="M122" s="35"/>
      <c r="N122" s="35"/>
      <c r="O122" s="34">
        <f>IFERROR(VLOOKUP("14_"&amp;A122,SyS!$B:$P,10,FALSE()),0)</f>
      </c>
      <c r="P122" s="35">
        <f>IFERROR(VLOOKUP("14_"&amp;A122,SyS!$B:$P,12,FALSE()),0)</f>
      </c>
      <c r="Q122" s="36">
        <f>+O122-P122</f>
      </c>
      <c r="R122" s="34">
        <f>IFERROR(VLOOKUP("15_"&amp;A122,SyS!$B:$P,10,FALSE()),0)</f>
      </c>
      <c r="S122" s="35">
        <f>IFERROR(VLOOKUP("15_"&amp;A122,SyS!$B:$P,12,FALSE()),0)</f>
      </c>
      <c r="T122" s="36">
        <f>+R122-S122</f>
      </c>
      <c r="U122" s="34">
        <f>IFERROR(VLOOKUP("16_"&amp;A122,SyS!$B:$P,10,FALSE()),0)</f>
      </c>
      <c r="V122" s="35">
        <f>IFERROR(VLOOKUP("16_"&amp;A122,SyS!$B:$P,12,FALSE()),0)</f>
      </c>
      <c r="W122" s="36">
        <f>+U122-V122</f>
      </c>
      <c r="X122" s="34">
        <f>IFERROR(VLOOKUP("13_"&amp;A122,SyS!$B:$P,10,FALSE()),0)</f>
      </c>
      <c r="Y122" s="35">
        <f>IFERROR(VLOOKUP("13_"&amp;A122,SyS!$B:$P,12,FALSE()),0)</f>
      </c>
      <c r="Z122" s="36">
        <f>+X122-Y122</f>
      </c>
      <c r="AA122" s="34">
        <f>IFERROR(VLOOKUP("17_"&amp;A122,SyS!$B:$P,10,FALSE()),0)</f>
      </c>
      <c r="AB122" s="35">
        <f>IFERROR(VLOOKUP("17_"&amp;A122,SyS!$B:$P,12,FALSE()),0)</f>
      </c>
      <c r="AC122" s="36">
        <f>+AA122-AB122</f>
      </c>
      <c r="AD122" s="35"/>
      <c r="AE122" s="35"/>
      <c r="AF122" s="35"/>
      <c r="AG122" s="35">
        <f>IFERROR(VLOOKUP("19_"&amp;A122,SyS!$B:$P,10,FALSE()),0)</f>
      </c>
      <c r="AH122" s="35">
        <f>IFERROR(VLOOKUP("19_"&amp;A122,SyS!$B:$P,12,FALSE()),0)</f>
      </c>
      <c r="AI122" s="35">
        <f>+AG122-AH122</f>
      </c>
      <c r="AJ122" s="35"/>
      <c r="AK122" s="35"/>
      <c r="AL122" s="35"/>
      <c r="AM122" s="34">
        <f>IFERROR(VLOOKUP("23_"&amp;A122,SyS!$B:$P,10,FALSE()),0)</f>
      </c>
      <c r="AN122" s="35">
        <f>IFERROR(VLOOKUP("23_"&amp;A122,SyS!$B:$P,12,FALSE()),0)</f>
      </c>
      <c r="AO122" s="36">
        <f>+AM122-AN122</f>
      </c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>
        <f>IFERROR(VLOOKUP("29_"&amp;A122,SyS!$B:$P,10,FALSE()),0)</f>
      </c>
      <c r="BL122" s="40">
        <f>IFERROR(VLOOKUP("29_"&amp;A122,SyS!$B:$P,12,FALSE()),0)</f>
      </c>
      <c r="BM122" s="40">
        <f>+BK122-BL122</f>
      </c>
      <c r="BN122" s="42">
        <f>IFERROR(VLOOKUP("30_"&amp;A122,SyS!$B:$P,10,FALSE()),0)</f>
      </c>
      <c r="BO122" s="40">
        <f>IFERROR(VLOOKUP("30_"&amp;A122,SyS!$B:$P,12,FALSE()),0)</f>
      </c>
      <c r="BP122" s="43">
        <f>+BN122-BO122</f>
      </c>
      <c r="BQ122" s="44">
        <f>+E122+H122+K122+N122+Q122+T122+W122+Z122+AC122+AF122+AI122+AL122+AO122+AR122+AU122+AX122+BA122+BD122+BG122+BJ122+BM122+BP122</f>
      </c>
    </row>
    <row r="123" ht="11.25" customHeight="1" spans="1:69" x14ac:dyDescent="0.25">
      <c r="A123" s="9">
        <v>426130000</v>
      </c>
      <c r="B123" s="9" t="s">
        <v>160</v>
      </c>
      <c r="C123" s="34">
        <f>IFERROR(VLOOKUP("1_"&amp;A123,SyS!$B:$P,10,FALSE()),0)</f>
      </c>
      <c r="D123" s="35">
        <f>IFERROR(VLOOKUP("1_"&amp;A123,SyS!$B:$P,12,FALSE()),0)</f>
      </c>
      <c r="E123" s="35">
        <f>+C123-D123</f>
      </c>
      <c r="F123" s="34">
        <f>IFERROR(VLOOKUP("2_"&amp;A123,SyS!$B:$P,10,FALSE()),0)</f>
        <v>541.29</v>
      </c>
      <c r="G123" s="35">
        <f>IFERROR(VLOOKUP("2_"&amp;A123,SyS!$B:$P,12,FALSE()),0)</f>
      </c>
      <c r="H123" s="36">
        <f>+F123-G123</f>
        <v>541.29</v>
      </c>
      <c r="I123" s="35"/>
      <c r="J123" s="35"/>
      <c r="K123" s="35"/>
      <c r="L123" s="35"/>
      <c r="M123" s="35"/>
      <c r="N123" s="35"/>
      <c r="O123" s="34">
        <f>IFERROR(VLOOKUP("14_"&amp;A123,SyS!$B:$P,10,FALSE()),0)</f>
      </c>
      <c r="P123" s="35">
        <f>IFERROR(VLOOKUP("14_"&amp;A123,SyS!$B:$P,12,FALSE()),0)</f>
      </c>
      <c r="Q123" s="36">
        <f>+O123-P123</f>
      </c>
      <c r="R123" s="34">
        <f>IFERROR(VLOOKUP("15_"&amp;A123,SyS!$B:$P,10,FALSE()),0)</f>
      </c>
      <c r="S123" s="35">
        <f>IFERROR(VLOOKUP("15_"&amp;A123,SyS!$B:$P,12,FALSE()),0)</f>
      </c>
      <c r="T123" s="36">
        <f>+R123-S123</f>
      </c>
      <c r="U123" s="34">
        <f>IFERROR(VLOOKUP("16_"&amp;A123,SyS!$B:$P,10,FALSE()),0)</f>
      </c>
      <c r="V123" s="35">
        <f>IFERROR(VLOOKUP("16_"&amp;A123,SyS!$B:$P,12,FALSE()),0)</f>
      </c>
      <c r="W123" s="36">
        <f>+U123-V123</f>
      </c>
      <c r="X123" s="34">
        <f>IFERROR(VLOOKUP("13_"&amp;A123,SyS!$B:$P,10,FALSE()),0)</f>
      </c>
      <c r="Y123" s="35">
        <f>IFERROR(VLOOKUP("13_"&amp;A123,SyS!$B:$P,12,FALSE()),0)</f>
      </c>
      <c r="Z123" s="36">
        <f>+X123-Y123</f>
      </c>
      <c r="AA123" s="34">
        <f>IFERROR(VLOOKUP("17_"&amp;A123,SyS!$B:$P,10,FALSE()),0)</f>
      </c>
      <c r="AB123" s="35">
        <f>IFERROR(VLOOKUP("17_"&amp;A123,SyS!$B:$P,12,FALSE()),0)</f>
      </c>
      <c r="AC123" s="36">
        <f>+AA123-AB123</f>
      </c>
      <c r="AD123" s="35"/>
      <c r="AE123" s="35"/>
      <c r="AF123" s="35"/>
      <c r="AG123" s="35">
        <f>IFERROR(VLOOKUP("19_"&amp;A123,SyS!$B:$P,10,FALSE()),0)</f>
      </c>
      <c r="AH123" s="35">
        <f>IFERROR(VLOOKUP("19_"&amp;A123,SyS!$B:$P,12,FALSE()),0)</f>
      </c>
      <c r="AI123" s="35">
        <f>+AG123-AH123</f>
      </c>
      <c r="AJ123" s="35"/>
      <c r="AK123" s="35"/>
      <c r="AL123" s="35"/>
      <c r="AM123" s="34">
        <f>IFERROR(VLOOKUP("23_"&amp;A123,SyS!$B:$P,10,FALSE()),0)</f>
      </c>
      <c r="AN123" s="35">
        <f>IFERROR(VLOOKUP("23_"&amp;A123,SyS!$B:$P,12,FALSE()),0)</f>
      </c>
      <c r="AO123" s="36">
        <f>+AM123-AN123</f>
      </c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>
        <f>IFERROR(VLOOKUP("29_"&amp;A123,SyS!$B:$P,10,FALSE()),0)</f>
      </c>
      <c r="BL123" s="40">
        <f>IFERROR(VLOOKUP("29_"&amp;A123,SyS!$B:$P,12,FALSE()),0)</f>
      </c>
      <c r="BM123" s="40">
        <f>+BK123-BL123</f>
      </c>
      <c r="BN123" s="42">
        <f>IFERROR(VLOOKUP("30_"&amp;A123,SyS!$B:$P,10,FALSE()),0)</f>
      </c>
      <c r="BO123" s="40">
        <f>IFERROR(VLOOKUP("30_"&amp;A123,SyS!$B:$P,12,FALSE()),0)</f>
      </c>
      <c r="BP123" s="43">
        <f>+BN123-BO123</f>
      </c>
      <c r="BQ123" s="44">
        <f>+E123+H123+K123+N123+Q123+T123+W123+Z123+AC123+AF123+AI123+AL123+AO123+AR123+AU123+AX123+BA123+BD123+BG123+BJ123+BM123+BP123</f>
        <v>541.29</v>
      </c>
    </row>
    <row r="124" ht="11.25" customHeight="1" spans="1:69" x14ac:dyDescent="0.25">
      <c r="A124" s="9">
        <v>426240000</v>
      </c>
      <c r="B124" s="9" t="s">
        <v>161</v>
      </c>
      <c r="C124" s="34">
        <f>IFERROR(VLOOKUP("1_"&amp;A124,SyS!$B:$P,10,FALSE()),0)</f>
        <v>35.06</v>
      </c>
      <c r="D124" s="35">
        <f>IFERROR(VLOOKUP("1_"&amp;A124,SyS!$B:$P,12,FALSE()),0)</f>
      </c>
      <c r="E124" s="35">
        <f>+C124-D124</f>
        <v>35.06</v>
      </c>
      <c r="F124" s="34">
        <f>IFERROR(VLOOKUP("2_"&amp;A124,SyS!$B:$P,10,FALSE()),0)</f>
        <v>49.08</v>
      </c>
      <c r="G124" s="35">
        <f>IFERROR(VLOOKUP("2_"&amp;A124,SyS!$B:$P,12,FALSE()),0)</f>
      </c>
      <c r="H124" s="36">
        <f>+F124-G124</f>
        <v>49.08</v>
      </c>
      <c r="I124" s="35"/>
      <c r="J124" s="35"/>
      <c r="K124" s="35"/>
      <c r="L124" s="35"/>
      <c r="M124" s="35"/>
      <c r="N124" s="35"/>
      <c r="O124" s="34">
        <f>IFERROR(VLOOKUP("14_"&amp;A124,SyS!$B:$P,10,FALSE()),0)</f>
      </c>
      <c r="P124" s="35">
        <f>IFERROR(VLOOKUP("14_"&amp;A124,SyS!$B:$P,12,FALSE()),0)</f>
      </c>
      <c r="Q124" s="36">
        <f>+O124-P124</f>
      </c>
      <c r="R124" s="34">
        <f>IFERROR(VLOOKUP("15_"&amp;A124,SyS!$B:$P,10,FALSE()),0)</f>
      </c>
      <c r="S124" s="35">
        <f>IFERROR(VLOOKUP("15_"&amp;A124,SyS!$B:$P,12,FALSE()),0)</f>
      </c>
      <c r="T124" s="36">
        <f>+R124-S124</f>
      </c>
      <c r="U124" s="34">
        <f>IFERROR(VLOOKUP("16_"&amp;A124,SyS!$B:$P,10,FALSE()),0)</f>
      </c>
      <c r="V124" s="35">
        <f>IFERROR(VLOOKUP("16_"&amp;A124,SyS!$B:$P,12,FALSE()),0)</f>
      </c>
      <c r="W124" s="36">
        <f>+U124-V124</f>
      </c>
      <c r="X124" s="34">
        <f>IFERROR(VLOOKUP("13_"&amp;A124,SyS!$B:$P,10,FALSE()),0)</f>
      </c>
      <c r="Y124" s="35">
        <f>IFERROR(VLOOKUP("13_"&amp;A124,SyS!$B:$P,12,FALSE()),0)</f>
      </c>
      <c r="Z124" s="36">
        <f>+X124-Y124</f>
      </c>
      <c r="AA124" s="34">
        <f>IFERROR(VLOOKUP("17_"&amp;A124,SyS!$B:$P,10,FALSE()),0)</f>
      </c>
      <c r="AB124" s="35">
        <f>IFERROR(VLOOKUP("17_"&amp;A124,SyS!$B:$P,12,FALSE()),0)</f>
      </c>
      <c r="AC124" s="36">
        <f>+AA124-AB124</f>
      </c>
      <c r="AD124" s="35"/>
      <c r="AE124" s="35"/>
      <c r="AF124" s="35"/>
      <c r="AG124" s="35">
        <f>IFERROR(VLOOKUP("19_"&amp;A124,SyS!$B:$P,10,FALSE()),0)</f>
      </c>
      <c r="AH124" s="35">
        <f>IFERROR(VLOOKUP("19_"&amp;A124,SyS!$B:$P,12,FALSE()),0)</f>
      </c>
      <c r="AI124" s="35">
        <f>+AG124-AH124</f>
      </c>
      <c r="AJ124" s="35"/>
      <c r="AK124" s="35"/>
      <c r="AL124" s="35"/>
      <c r="AM124" s="34">
        <f>IFERROR(VLOOKUP("23_"&amp;A124,SyS!$B:$P,10,FALSE()),0)</f>
      </c>
      <c r="AN124" s="35">
        <f>IFERROR(VLOOKUP("23_"&amp;A124,SyS!$B:$P,12,FALSE()),0)</f>
      </c>
      <c r="AO124" s="36">
        <f>+AM124-AN124</f>
      </c>
      <c r="AP124" s="40"/>
      <c r="AQ124" s="40"/>
      <c r="AR124" s="40"/>
      <c r="AS124" s="40"/>
      <c r="AT124" s="40"/>
      <c r="AU124" s="40"/>
      <c r="AV124" s="40"/>
      <c r="AW124" s="40"/>
      <c r="AX124" s="40"/>
      <c r="AY124" s="40"/>
      <c r="AZ124" s="40"/>
      <c r="BA124" s="40"/>
      <c r="BB124" s="40"/>
      <c r="BC124" s="40"/>
      <c r="BD124" s="40"/>
      <c r="BE124" s="40"/>
      <c r="BF124" s="40"/>
      <c r="BG124" s="40"/>
      <c r="BH124" s="40"/>
      <c r="BI124" s="40"/>
      <c r="BJ124" s="40"/>
      <c r="BK124" s="40">
        <f>IFERROR(VLOOKUP("29_"&amp;A124,SyS!$B:$P,10,FALSE()),0)</f>
      </c>
      <c r="BL124" s="40">
        <f>IFERROR(VLOOKUP("29_"&amp;A124,SyS!$B:$P,12,FALSE()),0)</f>
      </c>
      <c r="BM124" s="40">
        <f>+BK124-BL124</f>
      </c>
      <c r="BN124" s="42">
        <f>IFERROR(VLOOKUP("30_"&amp;A124,SyS!$B:$P,10,FALSE()),0)</f>
      </c>
      <c r="BO124" s="40">
        <f>IFERROR(VLOOKUP("30_"&amp;A124,SyS!$B:$P,12,FALSE()),0)</f>
      </c>
      <c r="BP124" s="43">
        <f>+BN124-BO124</f>
      </c>
      <c r="BQ124" s="44">
        <f>+E124+H124+K124+N124+Q124+T124+W124+Z124+AC124+AF124+AI124+AL124+AO124+AR124+AU124+AX124+BA124+BD124+BG124+BJ124+BM124+BP124</f>
        <v>84.14</v>
      </c>
    </row>
    <row r="125" ht="11.25" customHeight="1" spans="1:69" x14ac:dyDescent="0.25">
      <c r="A125" s="9">
        <v>426250000</v>
      </c>
      <c r="B125" s="9" t="s">
        <v>162</v>
      </c>
      <c r="C125" s="34">
        <f>IFERROR(VLOOKUP("1_"&amp;A125,SyS!$B:$P,10,FALSE()),0)</f>
      </c>
      <c r="D125" s="35">
        <f>IFERROR(VLOOKUP("1_"&amp;A125,SyS!$B:$P,12,FALSE()),0)</f>
      </c>
      <c r="E125" s="35">
        <f>+C125-D125</f>
      </c>
      <c r="F125" s="34">
        <f>IFERROR(VLOOKUP("2_"&amp;A125,SyS!$B:$P,10,FALSE()),0)</f>
        <v>72.52</v>
      </c>
      <c r="G125" s="35">
        <f>IFERROR(VLOOKUP("2_"&amp;A125,SyS!$B:$P,12,FALSE()),0)</f>
      </c>
      <c r="H125" s="36">
        <f>+F125-G125</f>
        <v>72.52</v>
      </c>
      <c r="I125" s="35"/>
      <c r="J125" s="35"/>
      <c r="K125" s="35"/>
      <c r="L125" s="35"/>
      <c r="M125" s="35"/>
      <c r="N125" s="35"/>
      <c r="O125" s="34">
        <f>IFERROR(VLOOKUP("14_"&amp;A125,SyS!$B:$P,10,FALSE()),0)</f>
      </c>
      <c r="P125" s="35">
        <f>IFERROR(VLOOKUP("14_"&amp;A125,SyS!$B:$P,12,FALSE()),0)</f>
      </c>
      <c r="Q125" s="36">
        <f>+O125-P125</f>
      </c>
      <c r="R125" s="34">
        <f>IFERROR(VLOOKUP("15_"&amp;A125,SyS!$B:$P,10,FALSE()),0)</f>
      </c>
      <c r="S125" s="35">
        <f>IFERROR(VLOOKUP("15_"&amp;A125,SyS!$B:$P,12,FALSE()),0)</f>
      </c>
      <c r="T125" s="36">
        <f>+R125-S125</f>
      </c>
      <c r="U125" s="34">
        <f>IFERROR(VLOOKUP("16_"&amp;A125,SyS!$B:$P,10,FALSE()),0)</f>
      </c>
      <c r="V125" s="35">
        <f>IFERROR(VLOOKUP("16_"&amp;A125,SyS!$B:$P,12,FALSE()),0)</f>
      </c>
      <c r="W125" s="36">
        <f>+U125-V125</f>
      </c>
      <c r="X125" s="34">
        <f>IFERROR(VLOOKUP("13_"&amp;A125,SyS!$B:$P,10,FALSE()),0)</f>
      </c>
      <c r="Y125" s="35">
        <f>IFERROR(VLOOKUP("13_"&amp;A125,SyS!$B:$P,12,FALSE()),0)</f>
      </c>
      <c r="Z125" s="36">
        <f>+X125-Y125</f>
      </c>
      <c r="AA125" s="34">
        <f>IFERROR(VLOOKUP("17_"&amp;A125,SyS!$B:$P,10,FALSE()),0)</f>
      </c>
      <c r="AB125" s="35">
        <f>IFERROR(VLOOKUP("17_"&amp;A125,SyS!$B:$P,12,FALSE()),0)</f>
      </c>
      <c r="AC125" s="36">
        <f>+AA125-AB125</f>
      </c>
      <c r="AD125" s="35"/>
      <c r="AE125" s="35"/>
      <c r="AF125" s="35"/>
      <c r="AG125" s="35">
        <f>IFERROR(VLOOKUP("19_"&amp;A125,SyS!$B:$P,10,FALSE()),0)</f>
      </c>
      <c r="AH125" s="35">
        <f>IFERROR(VLOOKUP("19_"&amp;A125,SyS!$B:$P,12,FALSE()),0)</f>
      </c>
      <c r="AI125" s="35">
        <f>+AG125-AH125</f>
      </c>
      <c r="AJ125" s="35"/>
      <c r="AK125" s="35"/>
      <c r="AL125" s="35"/>
      <c r="AM125" s="34">
        <f>IFERROR(VLOOKUP("23_"&amp;A125,SyS!$B:$P,10,FALSE()),0)</f>
        <v>63.35</v>
      </c>
      <c r="AN125" s="35">
        <f>IFERROR(VLOOKUP("23_"&amp;A125,SyS!$B:$P,12,FALSE()),0)</f>
      </c>
      <c r="AO125" s="36">
        <f>+AM125-AN125</f>
        <v>63.35</v>
      </c>
      <c r="AP125" s="40"/>
      <c r="AQ125" s="40"/>
      <c r="AR125" s="40"/>
      <c r="AS125" s="40"/>
      <c r="AT125" s="40"/>
      <c r="AU125" s="40"/>
      <c r="AV125" s="40"/>
      <c r="AW125" s="40"/>
      <c r="AX125" s="40"/>
      <c r="AY125" s="40"/>
      <c r="AZ125" s="40"/>
      <c r="BA125" s="40"/>
      <c r="BB125" s="40"/>
      <c r="BC125" s="40"/>
      <c r="BD125" s="40"/>
      <c r="BE125" s="40"/>
      <c r="BF125" s="40"/>
      <c r="BG125" s="40"/>
      <c r="BH125" s="40"/>
      <c r="BI125" s="40"/>
      <c r="BJ125" s="40"/>
      <c r="BK125" s="40">
        <f>IFERROR(VLOOKUP("29_"&amp;A125,SyS!$B:$P,10,FALSE()),0)</f>
      </c>
      <c r="BL125" s="40">
        <f>IFERROR(VLOOKUP("29_"&amp;A125,SyS!$B:$P,12,FALSE()),0)</f>
      </c>
      <c r="BM125" s="40">
        <f>+BK125-BL125</f>
      </c>
      <c r="BN125" s="42">
        <f>IFERROR(VLOOKUP("30_"&amp;A125,SyS!$B:$P,10,FALSE()),0)</f>
      </c>
      <c r="BO125" s="40">
        <f>IFERROR(VLOOKUP("30_"&amp;A125,SyS!$B:$P,12,FALSE()),0)</f>
      </c>
      <c r="BP125" s="43">
        <f>+BN125-BO125</f>
      </c>
      <c r="BQ125" s="44">
        <f>+E125+H125+K125+N125+Q125+T125+W125+Z125+AC125+AF125+AI125+AL125+AO125+AR125+AU125+AX125+BA125+BD125+BG125+BJ125+BM125+BP125</f>
        <v>135.87</v>
      </c>
    </row>
    <row r="126" ht="11.25" customHeight="1" spans="1:69" x14ac:dyDescent="0.25">
      <c r="A126" s="9">
        <v>426260000</v>
      </c>
      <c r="B126" s="9" t="s">
        <v>163</v>
      </c>
      <c r="C126" s="34">
        <f>IFERROR(VLOOKUP("1_"&amp;A126,SyS!$B:$P,10,FALSE()),0)</f>
      </c>
      <c r="D126" s="35">
        <f>IFERROR(VLOOKUP("1_"&amp;A126,SyS!$B:$P,12,FALSE()),0)</f>
      </c>
      <c r="E126" s="35">
        <f>+C126-D126</f>
      </c>
      <c r="F126" s="34">
        <f>IFERROR(VLOOKUP("2_"&amp;A126,SyS!$B:$P,10,FALSE()),0)</f>
        <v>4779.29</v>
      </c>
      <c r="G126" s="35">
        <f>IFERROR(VLOOKUP("2_"&amp;A126,SyS!$B:$P,12,FALSE()),0)</f>
      </c>
      <c r="H126" s="36">
        <f>+F126-G126</f>
        <v>4779.29</v>
      </c>
      <c r="I126" s="35"/>
      <c r="J126" s="35"/>
      <c r="K126" s="35"/>
      <c r="L126" s="35"/>
      <c r="M126" s="35"/>
      <c r="N126" s="35"/>
      <c r="O126" s="34">
        <f>IFERROR(VLOOKUP("14_"&amp;A126,SyS!$B:$P,10,FALSE()),0)</f>
      </c>
      <c r="P126" s="35">
        <f>IFERROR(VLOOKUP("14_"&amp;A126,SyS!$B:$P,12,FALSE()),0)</f>
      </c>
      <c r="Q126" s="36">
        <f>+O126-P126</f>
      </c>
      <c r="R126" s="34">
        <f>IFERROR(VLOOKUP("15_"&amp;A126,SyS!$B:$P,10,FALSE()),0)</f>
      </c>
      <c r="S126" s="35">
        <f>IFERROR(VLOOKUP("15_"&amp;A126,SyS!$B:$P,12,FALSE()),0)</f>
      </c>
      <c r="T126" s="36">
        <f>+R126-S126</f>
      </c>
      <c r="U126" s="34">
        <f>IFERROR(VLOOKUP("16_"&amp;A126,SyS!$B:$P,10,FALSE()),0)</f>
      </c>
      <c r="V126" s="35">
        <f>IFERROR(VLOOKUP("16_"&amp;A126,SyS!$B:$P,12,FALSE()),0)</f>
      </c>
      <c r="W126" s="36">
        <f>+U126-V126</f>
      </c>
      <c r="X126" s="34">
        <f>IFERROR(VLOOKUP("13_"&amp;A126,SyS!$B:$P,10,FALSE()),0)</f>
      </c>
      <c r="Y126" s="35">
        <f>IFERROR(VLOOKUP("13_"&amp;A126,SyS!$B:$P,12,FALSE()),0)</f>
      </c>
      <c r="Z126" s="36">
        <f>+X126-Y126</f>
      </c>
      <c r="AA126" s="34">
        <f>IFERROR(VLOOKUP("17_"&amp;A126,SyS!$B:$P,10,FALSE()),0)</f>
      </c>
      <c r="AB126" s="35">
        <f>IFERROR(VLOOKUP("17_"&amp;A126,SyS!$B:$P,12,FALSE()),0)</f>
      </c>
      <c r="AC126" s="36">
        <f>+AA126-AB126</f>
      </c>
      <c r="AD126" s="35"/>
      <c r="AE126" s="35"/>
      <c r="AF126" s="35"/>
      <c r="AG126" s="35">
        <f>IFERROR(VLOOKUP("19_"&amp;A126,SyS!$B:$P,10,FALSE()),0)</f>
      </c>
      <c r="AH126" s="35">
        <f>IFERROR(VLOOKUP("19_"&amp;A126,SyS!$B:$P,12,FALSE()),0)</f>
      </c>
      <c r="AI126" s="35">
        <f>+AG126-AH126</f>
      </c>
      <c r="AJ126" s="35"/>
      <c r="AK126" s="35"/>
      <c r="AL126" s="35"/>
      <c r="AM126" s="34">
        <f>IFERROR(VLOOKUP("23_"&amp;A126,SyS!$B:$P,10,FALSE()),0)</f>
        <v>13.32</v>
      </c>
      <c r="AN126" s="35">
        <f>IFERROR(VLOOKUP("23_"&amp;A126,SyS!$B:$P,12,FALSE()),0)</f>
      </c>
      <c r="AO126" s="36">
        <f>+AM126-AN126</f>
        <v>13.32</v>
      </c>
      <c r="AP126" s="40"/>
      <c r="AQ126" s="40"/>
      <c r="AR126" s="40"/>
      <c r="AS126" s="40"/>
      <c r="AT126" s="40"/>
      <c r="AU126" s="40"/>
      <c r="AV126" s="40"/>
      <c r="AW126" s="40"/>
      <c r="AX126" s="40"/>
      <c r="AY126" s="40"/>
      <c r="AZ126" s="40"/>
      <c r="BA126" s="40"/>
      <c r="BB126" s="40"/>
      <c r="BC126" s="40"/>
      <c r="BD126" s="40"/>
      <c r="BE126" s="40"/>
      <c r="BF126" s="40"/>
      <c r="BG126" s="40"/>
      <c r="BH126" s="40"/>
      <c r="BI126" s="40"/>
      <c r="BJ126" s="40"/>
      <c r="BK126" s="40">
        <f>IFERROR(VLOOKUP("29_"&amp;A126,SyS!$B:$P,10,FALSE()),0)</f>
      </c>
      <c r="BL126" s="40">
        <f>IFERROR(VLOOKUP("29_"&amp;A126,SyS!$B:$P,12,FALSE()),0)</f>
      </c>
      <c r="BM126" s="40">
        <f>+BK126-BL126</f>
      </c>
      <c r="BN126" s="42">
        <f>IFERROR(VLOOKUP("30_"&amp;A126,SyS!$B:$P,10,FALSE()),0)</f>
      </c>
      <c r="BO126" s="40">
        <f>IFERROR(VLOOKUP("30_"&amp;A126,SyS!$B:$P,12,FALSE()),0)</f>
      </c>
      <c r="BP126" s="43">
        <f>+BN126-BO126</f>
      </c>
      <c r="BQ126" s="44">
        <f>+E126+H126+K126+N126+Q126+T126+W126+Z126+AC126+AF126+AI126+AL126+AO126+AR126+AU126+AX126+BA126+BD126+BG126+BJ126+BM126+BP126</f>
        <v>4792.61</v>
      </c>
    </row>
    <row r="127" ht="11.25" customHeight="1" spans="1:69" x14ac:dyDescent="0.25">
      <c r="A127" s="9">
        <v>426270000</v>
      </c>
      <c r="B127" s="9" t="s">
        <v>164</v>
      </c>
      <c r="C127" s="34">
        <f>IFERROR(VLOOKUP("1_"&amp;A127,SyS!$B:$P,10,FALSE()),0)</f>
      </c>
      <c r="D127" s="35">
        <f>IFERROR(VLOOKUP("1_"&amp;A127,SyS!$B:$P,12,FALSE()),0)</f>
      </c>
      <c r="E127" s="35">
        <f>+C127-D127</f>
      </c>
      <c r="F127" s="34">
        <f>IFERROR(VLOOKUP("2_"&amp;A127,SyS!$B:$P,10,FALSE()),0)</f>
      </c>
      <c r="G127" s="35">
        <f>IFERROR(VLOOKUP("2_"&amp;A127,SyS!$B:$P,12,FALSE()),0)</f>
      </c>
      <c r="H127" s="36">
        <f>+F127-G127</f>
      </c>
      <c r="I127" s="35"/>
      <c r="J127" s="35"/>
      <c r="K127" s="35"/>
      <c r="L127" s="35"/>
      <c r="M127" s="35"/>
      <c r="N127" s="35"/>
      <c r="O127" s="34">
        <f>IFERROR(VLOOKUP("14_"&amp;A127,SyS!$B:$P,10,FALSE()),0)</f>
      </c>
      <c r="P127" s="35">
        <f>IFERROR(VLOOKUP("14_"&amp;A127,SyS!$B:$P,12,FALSE()),0)</f>
      </c>
      <c r="Q127" s="36">
        <f>+O127-P127</f>
      </c>
      <c r="R127" s="34">
        <f>IFERROR(VLOOKUP("15_"&amp;A127,SyS!$B:$P,10,FALSE()),0)</f>
      </c>
      <c r="S127" s="35">
        <f>IFERROR(VLOOKUP("15_"&amp;A127,SyS!$B:$P,12,FALSE()),0)</f>
      </c>
      <c r="T127" s="36">
        <f>+R127-S127</f>
      </c>
      <c r="U127" s="34">
        <f>IFERROR(VLOOKUP("16_"&amp;A127,SyS!$B:$P,10,FALSE()),0)</f>
      </c>
      <c r="V127" s="35">
        <f>IFERROR(VLOOKUP("16_"&amp;A127,SyS!$B:$P,12,FALSE()),0)</f>
      </c>
      <c r="W127" s="36">
        <f>+U127-V127</f>
      </c>
      <c r="X127" s="34">
        <f>IFERROR(VLOOKUP("13_"&amp;A127,SyS!$B:$P,10,FALSE()),0)</f>
      </c>
      <c r="Y127" s="35">
        <f>IFERROR(VLOOKUP("13_"&amp;A127,SyS!$B:$P,12,FALSE()),0)</f>
      </c>
      <c r="Z127" s="36">
        <f>+X127-Y127</f>
      </c>
      <c r="AA127" s="34">
        <f>IFERROR(VLOOKUP("17_"&amp;A127,SyS!$B:$P,10,FALSE()),0)</f>
      </c>
      <c r="AB127" s="35">
        <f>IFERROR(VLOOKUP("17_"&amp;A127,SyS!$B:$P,12,FALSE()),0)</f>
      </c>
      <c r="AC127" s="36">
        <f>+AA127-AB127</f>
      </c>
      <c r="AD127" s="35"/>
      <c r="AE127" s="35"/>
      <c r="AF127" s="35"/>
      <c r="AG127" s="35">
        <f>IFERROR(VLOOKUP("19_"&amp;A127,SyS!$B:$P,10,FALSE()),0)</f>
      </c>
      <c r="AH127" s="35">
        <f>IFERROR(VLOOKUP("19_"&amp;A127,SyS!$B:$P,12,FALSE()),0)</f>
      </c>
      <c r="AI127" s="35">
        <f>+AG127-AH127</f>
      </c>
      <c r="AJ127" s="35"/>
      <c r="AK127" s="35"/>
      <c r="AL127" s="35"/>
      <c r="AM127" s="34">
        <f>IFERROR(VLOOKUP("23_"&amp;A127,SyS!$B:$P,10,FALSE()),0)</f>
      </c>
      <c r="AN127" s="35">
        <f>IFERROR(VLOOKUP("23_"&amp;A127,SyS!$B:$P,12,FALSE()),0)</f>
      </c>
      <c r="AO127" s="36">
        <f>+AM127-AN127</f>
      </c>
      <c r="AP127" s="40"/>
      <c r="AQ127" s="40"/>
      <c r="AR127" s="40"/>
      <c r="AS127" s="40"/>
      <c r="AT127" s="40"/>
      <c r="AU127" s="40"/>
      <c r="AV127" s="40"/>
      <c r="AW127" s="40"/>
      <c r="AX127" s="40"/>
      <c r="AY127" s="40"/>
      <c r="AZ127" s="40"/>
      <c r="BA127" s="40"/>
      <c r="BB127" s="40"/>
      <c r="BC127" s="40"/>
      <c r="BD127" s="40"/>
      <c r="BE127" s="40"/>
      <c r="BF127" s="40"/>
      <c r="BG127" s="40"/>
      <c r="BH127" s="40"/>
      <c r="BI127" s="40"/>
      <c r="BJ127" s="40"/>
      <c r="BK127" s="40">
        <f>IFERROR(VLOOKUP("29_"&amp;A127,SyS!$B:$P,10,FALSE()),0)</f>
      </c>
      <c r="BL127" s="40">
        <f>IFERROR(VLOOKUP("29_"&amp;A127,SyS!$B:$P,12,FALSE()),0)</f>
      </c>
      <c r="BM127" s="40">
        <f>+BK127-BL127</f>
      </c>
      <c r="BN127" s="42">
        <f>IFERROR(VLOOKUP("30_"&amp;A127,SyS!$B:$P,10,FALSE()),0)</f>
      </c>
      <c r="BO127" s="40">
        <f>IFERROR(VLOOKUP("30_"&amp;A127,SyS!$B:$P,12,FALSE()),0)</f>
      </c>
      <c r="BP127" s="43">
        <f>+BN127-BO127</f>
      </c>
      <c r="BQ127" s="44">
        <f>+E127+H127+K127+N127+Q127+T127+W127+Z127+AC127+AF127+AI127+AL127+AO127+AR127+AU127+AX127+BA127+BD127+BG127+BJ127+BM127+BP127</f>
      </c>
    </row>
    <row r="128" ht="11.25" customHeight="1" spans="1:69" x14ac:dyDescent="0.25">
      <c r="A128" s="9">
        <v>426280000</v>
      </c>
      <c r="B128" s="9" t="s">
        <v>165</v>
      </c>
      <c r="C128" s="34">
        <f>IFERROR(VLOOKUP("1_"&amp;A128,SyS!$B:$P,10,FALSE()),0)</f>
      </c>
      <c r="D128" s="35">
        <f>IFERROR(VLOOKUP("1_"&amp;A128,SyS!$B:$P,12,FALSE()),0)</f>
      </c>
      <c r="E128" s="35">
        <f>+C128-D128</f>
      </c>
      <c r="F128" s="34">
        <f>IFERROR(VLOOKUP("2_"&amp;A128,SyS!$B:$P,10,FALSE()),0)</f>
      </c>
      <c r="G128" s="35">
        <f>IFERROR(VLOOKUP("2_"&amp;A128,SyS!$B:$P,12,FALSE()),0)</f>
      </c>
      <c r="H128" s="36">
        <f>+F128-G128</f>
      </c>
      <c r="I128" s="35"/>
      <c r="J128" s="35"/>
      <c r="K128" s="35"/>
      <c r="L128" s="35"/>
      <c r="M128" s="35"/>
      <c r="N128" s="35"/>
      <c r="O128" s="34">
        <f>IFERROR(VLOOKUP("14_"&amp;A128,SyS!$B:$P,10,FALSE()),0)</f>
      </c>
      <c r="P128" s="35">
        <f>IFERROR(VLOOKUP("14_"&amp;A128,SyS!$B:$P,12,FALSE()),0)</f>
      </c>
      <c r="Q128" s="36">
        <f>+O128-P128</f>
      </c>
      <c r="R128" s="34">
        <f>IFERROR(VLOOKUP("15_"&amp;A128,SyS!$B:$P,10,FALSE()),0)</f>
      </c>
      <c r="S128" s="35">
        <f>IFERROR(VLOOKUP("15_"&amp;A128,SyS!$B:$P,12,FALSE()),0)</f>
      </c>
      <c r="T128" s="36">
        <f>+R128-S128</f>
      </c>
      <c r="U128" s="34">
        <f>IFERROR(VLOOKUP("16_"&amp;A128,SyS!$B:$P,10,FALSE()),0)</f>
      </c>
      <c r="V128" s="35">
        <f>IFERROR(VLOOKUP("16_"&amp;A128,SyS!$B:$P,12,FALSE()),0)</f>
      </c>
      <c r="W128" s="36">
        <f>+U128-V128</f>
      </c>
      <c r="X128" s="34">
        <f>IFERROR(VLOOKUP("13_"&amp;A128,SyS!$B:$P,10,FALSE()),0)</f>
      </c>
      <c r="Y128" s="35">
        <f>IFERROR(VLOOKUP("13_"&amp;A128,SyS!$B:$P,12,FALSE()),0)</f>
      </c>
      <c r="Z128" s="36">
        <f>+X128-Y128</f>
      </c>
      <c r="AA128" s="34">
        <f>IFERROR(VLOOKUP("17_"&amp;A128,SyS!$B:$P,10,FALSE()),0)</f>
      </c>
      <c r="AB128" s="35">
        <f>IFERROR(VLOOKUP("17_"&amp;A128,SyS!$B:$P,12,FALSE()),0)</f>
      </c>
      <c r="AC128" s="36">
        <f>+AA128-AB128</f>
      </c>
      <c r="AD128" s="35"/>
      <c r="AE128" s="35"/>
      <c r="AF128" s="35"/>
      <c r="AG128" s="35">
        <f>IFERROR(VLOOKUP("19_"&amp;A128,SyS!$B:$P,10,FALSE()),0)</f>
      </c>
      <c r="AH128" s="35">
        <f>IFERROR(VLOOKUP("19_"&amp;A128,SyS!$B:$P,12,FALSE()),0)</f>
      </c>
      <c r="AI128" s="35">
        <f>+AG128-AH128</f>
      </c>
      <c r="AJ128" s="35"/>
      <c r="AK128" s="35"/>
      <c r="AL128" s="35"/>
      <c r="AM128" s="34">
        <f>IFERROR(VLOOKUP("23_"&amp;A128,SyS!$B:$P,10,FALSE()),0)</f>
      </c>
      <c r="AN128" s="35">
        <f>IFERROR(VLOOKUP("23_"&amp;A128,SyS!$B:$P,12,FALSE()),0)</f>
      </c>
      <c r="AO128" s="36">
        <f>+AM128-AN128</f>
      </c>
      <c r="AP128" s="40"/>
      <c r="AQ128" s="40"/>
      <c r="AR128" s="40"/>
      <c r="AS128" s="40"/>
      <c r="AT128" s="40"/>
      <c r="AU128" s="40"/>
      <c r="AV128" s="40"/>
      <c r="AW128" s="40"/>
      <c r="AX128" s="40"/>
      <c r="AY128" s="40"/>
      <c r="AZ128" s="40"/>
      <c r="BA128" s="40"/>
      <c r="BB128" s="40"/>
      <c r="BC128" s="40"/>
      <c r="BD128" s="40"/>
      <c r="BE128" s="40"/>
      <c r="BF128" s="40"/>
      <c r="BG128" s="40"/>
      <c r="BH128" s="40"/>
      <c r="BI128" s="40"/>
      <c r="BJ128" s="40"/>
      <c r="BK128" s="40">
        <f>IFERROR(VLOOKUP("29_"&amp;A128,SyS!$B:$P,10,FALSE()),0)</f>
      </c>
      <c r="BL128" s="40">
        <f>IFERROR(VLOOKUP("29_"&amp;A128,SyS!$B:$P,12,FALSE()),0)</f>
      </c>
      <c r="BM128" s="40">
        <f>+BK128-BL128</f>
      </c>
      <c r="BN128" s="42">
        <f>IFERROR(VLOOKUP("30_"&amp;A128,SyS!$B:$P,10,FALSE()),0)</f>
      </c>
      <c r="BO128" s="40">
        <f>IFERROR(VLOOKUP("30_"&amp;A128,SyS!$B:$P,12,FALSE()),0)</f>
      </c>
      <c r="BP128" s="43">
        <f>+BN128-BO128</f>
      </c>
      <c r="BQ128" s="44">
        <f>+E128+H128+K128+N128+Q128+T128+W128+Z128+AC128+AF128+AI128+AL128+AO128+AR128+AU128+AX128+BA128+BD128+BG128+BJ128+BM128+BP128</f>
      </c>
    </row>
    <row r="129" ht="11.25" customHeight="1" spans="1:69" x14ac:dyDescent="0.25">
      <c r="A129" s="9">
        <v>426290000</v>
      </c>
      <c r="B129" s="9" t="s">
        <v>166</v>
      </c>
      <c r="C129" s="34">
        <f>IFERROR(VLOOKUP("1_"&amp;A129,SyS!$B:$P,10,FALSE()),0)</f>
      </c>
      <c r="D129" s="35">
        <f>IFERROR(VLOOKUP("1_"&amp;A129,SyS!$B:$P,12,FALSE()),0)</f>
      </c>
      <c r="E129" s="35">
        <f>+C129-D129</f>
      </c>
      <c r="F129" s="34">
        <f>IFERROR(VLOOKUP("2_"&amp;A129,SyS!$B:$P,10,FALSE()),0)</f>
      </c>
      <c r="G129" s="35">
        <f>IFERROR(VLOOKUP("2_"&amp;A129,SyS!$B:$P,12,FALSE()),0)</f>
      </c>
      <c r="H129" s="36">
        <f>+F129-G129</f>
      </c>
      <c r="I129" s="35"/>
      <c r="J129" s="35"/>
      <c r="K129" s="35"/>
      <c r="L129" s="35"/>
      <c r="M129" s="35"/>
      <c r="N129" s="35"/>
      <c r="O129" s="34">
        <f>IFERROR(VLOOKUP("14_"&amp;A129,SyS!$B:$P,10,FALSE()),0)</f>
      </c>
      <c r="P129" s="35">
        <f>IFERROR(VLOOKUP("14_"&amp;A129,SyS!$B:$P,12,FALSE()),0)</f>
      </c>
      <c r="Q129" s="36">
        <f>+O129-P129</f>
      </c>
      <c r="R129" s="34">
        <f>IFERROR(VLOOKUP("15_"&amp;A129,SyS!$B:$P,10,FALSE()),0)</f>
      </c>
      <c r="S129" s="35">
        <f>IFERROR(VLOOKUP("15_"&amp;A129,SyS!$B:$P,12,FALSE()),0)</f>
      </c>
      <c r="T129" s="36">
        <f>+R129-S129</f>
      </c>
      <c r="U129" s="34">
        <f>IFERROR(VLOOKUP("16_"&amp;A129,SyS!$B:$P,10,FALSE()),0)</f>
      </c>
      <c r="V129" s="35">
        <f>IFERROR(VLOOKUP("16_"&amp;A129,SyS!$B:$P,12,FALSE()),0)</f>
      </c>
      <c r="W129" s="36">
        <f>+U129-V129</f>
      </c>
      <c r="X129" s="34">
        <f>IFERROR(VLOOKUP("13_"&amp;A129,SyS!$B:$P,10,FALSE()),0)</f>
      </c>
      <c r="Y129" s="35">
        <f>IFERROR(VLOOKUP("13_"&amp;A129,SyS!$B:$P,12,FALSE()),0)</f>
      </c>
      <c r="Z129" s="36">
        <f>+X129-Y129</f>
      </c>
      <c r="AA129" s="34">
        <f>IFERROR(VLOOKUP("17_"&amp;A129,SyS!$B:$P,10,FALSE()),0)</f>
      </c>
      <c r="AB129" s="35">
        <f>IFERROR(VLOOKUP("17_"&amp;A129,SyS!$B:$P,12,FALSE()),0)</f>
      </c>
      <c r="AC129" s="36">
        <f>+AA129-AB129</f>
      </c>
      <c r="AD129" s="35"/>
      <c r="AE129" s="35"/>
      <c r="AF129" s="35"/>
      <c r="AG129" s="35">
        <f>IFERROR(VLOOKUP("19_"&amp;A129,SyS!$B:$P,10,FALSE()),0)</f>
      </c>
      <c r="AH129" s="35">
        <f>IFERROR(VLOOKUP("19_"&amp;A129,SyS!$B:$P,12,FALSE()),0)</f>
      </c>
      <c r="AI129" s="35">
        <f>+AG129-AH129</f>
      </c>
      <c r="AJ129" s="35"/>
      <c r="AK129" s="35"/>
      <c r="AL129" s="35"/>
      <c r="AM129" s="34">
        <f>IFERROR(VLOOKUP("23_"&amp;A129,SyS!$B:$P,10,FALSE()),0)</f>
      </c>
      <c r="AN129" s="35">
        <f>IFERROR(VLOOKUP("23_"&amp;A129,SyS!$B:$P,12,FALSE()),0)</f>
      </c>
      <c r="AO129" s="36">
        <f>+AM129-AN129</f>
      </c>
      <c r="AP129" s="40"/>
      <c r="AQ129" s="40"/>
      <c r="AR129" s="40"/>
      <c r="AS129" s="40"/>
      <c r="AT129" s="40"/>
      <c r="AU129" s="40"/>
      <c r="AV129" s="40"/>
      <c r="AW129" s="40"/>
      <c r="AX129" s="40"/>
      <c r="AY129" s="40"/>
      <c r="AZ129" s="40"/>
      <c r="BA129" s="40"/>
      <c r="BB129" s="40"/>
      <c r="BC129" s="40"/>
      <c r="BD129" s="40"/>
      <c r="BE129" s="40"/>
      <c r="BF129" s="40"/>
      <c r="BG129" s="40"/>
      <c r="BH129" s="40"/>
      <c r="BI129" s="40"/>
      <c r="BJ129" s="40"/>
      <c r="BK129" s="40">
        <f>IFERROR(VLOOKUP("29_"&amp;A129,SyS!$B:$P,10,FALSE()),0)</f>
      </c>
      <c r="BL129" s="40">
        <f>IFERROR(VLOOKUP("29_"&amp;A129,SyS!$B:$P,12,FALSE()),0)</f>
      </c>
      <c r="BM129" s="40">
        <f>+BK129-BL129</f>
      </c>
      <c r="BN129" s="42">
        <f>IFERROR(VLOOKUP("30_"&amp;A129,SyS!$B:$P,10,FALSE()),0)</f>
      </c>
      <c r="BO129" s="40">
        <f>IFERROR(VLOOKUP("30_"&amp;A129,SyS!$B:$P,12,FALSE()),0)</f>
      </c>
      <c r="BP129" s="43">
        <f>+BN129-BO129</f>
      </c>
      <c r="BQ129" s="44">
        <f>+E129+H129+K129+N129+Q129+T129+W129+Z129+AC129+AF129+AI129+AL129+AO129+AR129+AU129+AX129+BA129+BD129+BG129+BJ129+BM129+BP129</f>
      </c>
    </row>
    <row r="130" ht="11.25" customHeight="1" spans="1:69" x14ac:dyDescent="0.25">
      <c r="A130" s="9">
        <v>426310000</v>
      </c>
      <c r="B130" s="9" t="s">
        <v>167</v>
      </c>
      <c r="C130" s="34">
        <f>IFERROR(VLOOKUP("1_"&amp;A130,SyS!$B:$P,10,FALSE()),0)</f>
      </c>
      <c r="D130" s="35">
        <f>IFERROR(VLOOKUP("1_"&amp;A130,SyS!$B:$P,12,FALSE()),0)</f>
      </c>
      <c r="E130" s="35">
        <f>+C130-D130</f>
      </c>
      <c r="F130" s="34">
        <f>IFERROR(VLOOKUP("2_"&amp;A130,SyS!$B:$P,10,FALSE()),0)</f>
      </c>
      <c r="G130" s="35">
        <f>IFERROR(VLOOKUP("2_"&amp;A130,SyS!$B:$P,12,FALSE()),0)</f>
      </c>
      <c r="H130" s="36">
        <f>+F130-G130</f>
      </c>
      <c r="I130" s="35"/>
      <c r="J130" s="35"/>
      <c r="K130" s="35"/>
      <c r="L130" s="35"/>
      <c r="M130" s="35"/>
      <c r="N130" s="35"/>
      <c r="O130" s="34">
        <f>IFERROR(VLOOKUP("14_"&amp;A130,SyS!$B:$P,10,FALSE()),0)</f>
      </c>
      <c r="P130" s="35">
        <f>IFERROR(VLOOKUP("14_"&amp;A130,SyS!$B:$P,12,FALSE()),0)</f>
      </c>
      <c r="Q130" s="36">
        <f>+O130-P130</f>
      </c>
      <c r="R130" s="34">
        <f>IFERROR(VLOOKUP("15_"&amp;A130,SyS!$B:$P,10,FALSE()),0)</f>
      </c>
      <c r="S130" s="35">
        <f>IFERROR(VLOOKUP("15_"&amp;A130,SyS!$B:$P,12,FALSE()),0)</f>
      </c>
      <c r="T130" s="36">
        <f>+R130-S130</f>
      </c>
      <c r="U130" s="34">
        <f>IFERROR(VLOOKUP("16_"&amp;A130,SyS!$B:$P,10,FALSE()),0)</f>
      </c>
      <c r="V130" s="35">
        <f>IFERROR(VLOOKUP("16_"&amp;A130,SyS!$B:$P,12,FALSE()),0)</f>
      </c>
      <c r="W130" s="36">
        <f>+U130-V130</f>
      </c>
      <c r="X130" s="34">
        <f>IFERROR(VLOOKUP("13_"&amp;A130,SyS!$B:$P,10,FALSE()),0)</f>
      </c>
      <c r="Y130" s="35">
        <f>IFERROR(VLOOKUP("13_"&amp;A130,SyS!$B:$P,12,FALSE()),0)</f>
      </c>
      <c r="Z130" s="36">
        <f>+X130-Y130</f>
      </c>
      <c r="AA130" s="34">
        <f>IFERROR(VLOOKUP("17_"&amp;A130,SyS!$B:$P,10,FALSE()),0)</f>
      </c>
      <c r="AB130" s="35">
        <f>IFERROR(VLOOKUP("17_"&amp;A130,SyS!$B:$P,12,FALSE()),0)</f>
      </c>
      <c r="AC130" s="36">
        <f>+AA130-AB130</f>
      </c>
      <c r="AD130" s="35"/>
      <c r="AE130" s="35"/>
      <c r="AF130" s="35"/>
      <c r="AG130" s="35">
        <f>IFERROR(VLOOKUP("19_"&amp;A130,SyS!$B:$P,10,FALSE()),0)</f>
      </c>
      <c r="AH130" s="35">
        <f>IFERROR(VLOOKUP("19_"&amp;A130,SyS!$B:$P,12,FALSE()),0)</f>
      </c>
      <c r="AI130" s="35">
        <f>+AG130-AH130</f>
      </c>
      <c r="AJ130" s="35"/>
      <c r="AK130" s="35"/>
      <c r="AL130" s="35"/>
      <c r="AM130" s="34">
        <f>IFERROR(VLOOKUP("23_"&amp;A130,SyS!$B:$P,10,FALSE()),0)</f>
      </c>
      <c r="AN130" s="35">
        <f>IFERROR(VLOOKUP("23_"&amp;A130,SyS!$B:$P,12,FALSE()),0)</f>
      </c>
      <c r="AO130" s="36">
        <f>+AM130-AN130</f>
      </c>
      <c r="AP130" s="40"/>
      <c r="AQ130" s="40"/>
      <c r="AR130" s="40"/>
      <c r="AS130" s="40"/>
      <c r="AT130" s="40"/>
      <c r="AU130" s="40"/>
      <c r="AV130" s="40"/>
      <c r="AW130" s="40"/>
      <c r="AX130" s="40"/>
      <c r="AY130" s="40"/>
      <c r="AZ130" s="40"/>
      <c r="BA130" s="40"/>
      <c r="BB130" s="40"/>
      <c r="BC130" s="40"/>
      <c r="BD130" s="40"/>
      <c r="BE130" s="40"/>
      <c r="BF130" s="40"/>
      <c r="BG130" s="40"/>
      <c r="BH130" s="40"/>
      <c r="BI130" s="40"/>
      <c r="BJ130" s="40"/>
      <c r="BK130" s="40">
        <f>IFERROR(VLOOKUP("29_"&amp;A130,SyS!$B:$P,10,FALSE()),0)</f>
      </c>
      <c r="BL130" s="40">
        <f>IFERROR(VLOOKUP("29_"&amp;A130,SyS!$B:$P,12,FALSE()),0)</f>
      </c>
      <c r="BM130" s="40">
        <f>+BK130-BL130</f>
      </c>
      <c r="BN130" s="42">
        <f>IFERROR(VLOOKUP("30_"&amp;A130,SyS!$B:$P,10,FALSE()),0)</f>
      </c>
      <c r="BO130" s="40">
        <f>IFERROR(VLOOKUP("30_"&amp;A130,SyS!$B:$P,12,FALSE()),0)</f>
      </c>
      <c r="BP130" s="43">
        <f>+BN130-BO130</f>
      </c>
      <c r="BQ130" s="44">
        <f>+E130+H130+K130+N130+Q130+T130+W130+Z130+AC130+AF130+AI130+AL130+AO130+AR130+AU130+AX130+BA130+BD130+BG130+BJ130+BM130+BP130</f>
      </c>
    </row>
    <row r="131" ht="11.25" customHeight="1" spans="1:69" x14ac:dyDescent="0.25">
      <c r="A131" s="9">
        <v>426320000</v>
      </c>
      <c r="B131" s="9" t="s">
        <v>168</v>
      </c>
      <c r="C131" s="34">
        <f>IFERROR(VLOOKUP("1_"&amp;A131,SyS!$B:$P,10,FALSE()),0)</f>
      </c>
      <c r="D131" s="35">
        <f>IFERROR(VLOOKUP("1_"&amp;A131,SyS!$B:$P,12,FALSE()),0)</f>
      </c>
      <c r="E131" s="35">
        <f>+C131-D131</f>
      </c>
      <c r="F131" s="34">
        <f>IFERROR(VLOOKUP("2_"&amp;A131,SyS!$B:$P,10,FALSE()),0)</f>
      </c>
      <c r="G131" s="35">
        <f>IFERROR(VLOOKUP("2_"&amp;A131,SyS!$B:$P,12,FALSE()),0)</f>
      </c>
      <c r="H131" s="36">
        <f>+F131-G131</f>
      </c>
      <c r="I131" s="35"/>
      <c r="J131" s="35"/>
      <c r="K131" s="35"/>
      <c r="L131" s="35"/>
      <c r="M131" s="35"/>
      <c r="N131" s="35"/>
      <c r="O131" s="34">
        <f>IFERROR(VLOOKUP("14_"&amp;A131,SyS!$B:$P,10,FALSE()),0)</f>
      </c>
      <c r="P131" s="35">
        <f>IFERROR(VLOOKUP("14_"&amp;A131,SyS!$B:$P,12,FALSE()),0)</f>
      </c>
      <c r="Q131" s="36">
        <f>+O131-P131</f>
      </c>
      <c r="R131" s="34">
        <f>IFERROR(VLOOKUP("15_"&amp;A131,SyS!$B:$P,10,FALSE()),0)</f>
      </c>
      <c r="S131" s="35">
        <f>IFERROR(VLOOKUP("15_"&amp;A131,SyS!$B:$P,12,FALSE()),0)</f>
      </c>
      <c r="T131" s="36">
        <f>+R131-S131</f>
      </c>
      <c r="U131" s="34">
        <f>IFERROR(VLOOKUP("16_"&amp;A131,SyS!$B:$P,10,FALSE()),0)</f>
      </c>
      <c r="V131" s="35">
        <f>IFERROR(VLOOKUP("16_"&amp;A131,SyS!$B:$P,12,FALSE()),0)</f>
      </c>
      <c r="W131" s="36">
        <f>+U131-V131</f>
      </c>
      <c r="X131" s="34">
        <f>IFERROR(VLOOKUP("13_"&amp;A131,SyS!$B:$P,10,FALSE()),0)</f>
      </c>
      <c r="Y131" s="35">
        <f>IFERROR(VLOOKUP("13_"&amp;A131,SyS!$B:$P,12,FALSE()),0)</f>
      </c>
      <c r="Z131" s="36">
        <f>+X131-Y131</f>
      </c>
      <c r="AA131" s="34">
        <f>IFERROR(VLOOKUP("17_"&amp;A131,SyS!$B:$P,10,FALSE()),0)</f>
      </c>
      <c r="AB131" s="35">
        <f>IFERROR(VLOOKUP("17_"&amp;A131,SyS!$B:$P,12,FALSE()),0)</f>
      </c>
      <c r="AC131" s="36">
        <f>+AA131-AB131</f>
      </c>
      <c r="AD131" s="35"/>
      <c r="AE131" s="35"/>
      <c r="AF131" s="35"/>
      <c r="AG131" s="35">
        <f>IFERROR(VLOOKUP("19_"&amp;A131,SyS!$B:$P,10,FALSE()),0)</f>
      </c>
      <c r="AH131" s="35">
        <f>IFERROR(VLOOKUP("19_"&amp;A131,SyS!$B:$P,12,FALSE()),0)</f>
      </c>
      <c r="AI131" s="35">
        <f>+AG131-AH131</f>
      </c>
      <c r="AJ131" s="35"/>
      <c r="AK131" s="35"/>
      <c r="AL131" s="35"/>
      <c r="AM131" s="34">
        <f>IFERROR(VLOOKUP("23_"&amp;A131,SyS!$B:$P,10,FALSE()),0)</f>
      </c>
      <c r="AN131" s="35">
        <f>IFERROR(VLOOKUP("23_"&amp;A131,SyS!$B:$P,12,FALSE()),0)</f>
      </c>
      <c r="AO131" s="36">
        <f>+AM131-AN131</f>
      </c>
      <c r="AP131" s="40"/>
      <c r="AQ131" s="40"/>
      <c r="AR131" s="40"/>
      <c r="AS131" s="40"/>
      <c r="AT131" s="40"/>
      <c r="AU131" s="40"/>
      <c r="AV131" s="40"/>
      <c r="AW131" s="40"/>
      <c r="AX131" s="40"/>
      <c r="AY131" s="40"/>
      <c r="AZ131" s="40"/>
      <c r="BA131" s="40"/>
      <c r="BB131" s="40"/>
      <c r="BC131" s="40"/>
      <c r="BD131" s="40"/>
      <c r="BE131" s="40"/>
      <c r="BF131" s="40"/>
      <c r="BG131" s="40"/>
      <c r="BH131" s="40"/>
      <c r="BI131" s="40"/>
      <c r="BJ131" s="40"/>
      <c r="BK131" s="40">
        <f>IFERROR(VLOOKUP("29_"&amp;A131,SyS!$B:$P,10,FALSE()),0)</f>
      </c>
      <c r="BL131" s="40">
        <f>IFERROR(VLOOKUP("29_"&amp;A131,SyS!$B:$P,12,FALSE()),0)</f>
      </c>
      <c r="BM131" s="40">
        <f>+BK131-BL131</f>
      </c>
      <c r="BN131" s="42">
        <f>IFERROR(VLOOKUP("30_"&amp;A131,SyS!$B:$P,10,FALSE()),0)</f>
      </c>
      <c r="BO131" s="40">
        <f>IFERROR(VLOOKUP("30_"&amp;A131,SyS!$B:$P,12,FALSE()),0)</f>
      </c>
      <c r="BP131" s="43">
        <f>+BN131-BO131</f>
      </c>
      <c r="BQ131" s="44">
        <f>+E131+H131+K131+N131+Q131+T131+W131+Z131+AC131+AF131+AI131+AL131+AO131+AR131+AU131+AX131+BA131+BD131+BG131+BJ131+BM131+BP131</f>
      </c>
    </row>
    <row r="132" ht="11.25" customHeight="1" spans="1:69" x14ac:dyDescent="0.25">
      <c r="A132" s="9">
        <v>426340000</v>
      </c>
      <c r="B132" s="9" t="s">
        <v>169</v>
      </c>
      <c r="C132" s="34">
        <f>IFERROR(VLOOKUP("1_"&amp;A132,SyS!$B:$P,10,FALSE()),0)</f>
      </c>
      <c r="D132" s="35">
        <f>IFERROR(VLOOKUP("1_"&amp;A132,SyS!$B:$P,12,FALSE()),0)</f>
      </c>
      <c r="E132" s="35">
        <f>+C132-D132</f>
      </c>
      <c r="F132" s="34">
        <f>IFERROR(VLOOKUP("2_"&amp;A132,SyS!$B:$P,10,FALSE()),0)</f>
        <v>27.35</v>
      </c>
      <c r="G132" s="35">
        <f>IFERROR(VLOOKUP("2_"&amp;A132,SyS!$B:$P,12,FALSE()),0)</f>
      </c>
      <c r="H132" s="36">
        <f>+F132-G132</f>
        <v>27.35</v>
      </c>
      <c r="I132" s="35"/>
      <c r="J132" s="35"/>
      <c r="K132" s="35"/>
      <c r="L132" s="35"/>
      <c r="M132" s="35"/>
      <c r="N132" s="35"/>
      <c r="O132" s="34">
        <f>IFERROR(VLOOKUP("14_"&amp;A132,SyS!$B:$P,10,FALSE()),0)</f>
      </c>
      <c r="P132" s="35">
        <f>IFERROR(VLOOKUP("14_"&amp;A132,SyS!$B:$P,12,FALSE()),0)</f>
      </c>
      <c r="Q132" s="36">
        <f>+O132-P132</f>
      </c>
      <c r="R132" s="34">
        <f>IFERROR(VLOOKUP("15_"&amp;A132,SyS!$B:$P,10,FALSE()),0)</f>
      </c>
      <c r="S132" s="35">
        <f>IFERROR(VLOOKUP("15_"&amp;A132,SyS!$B:$P,12,FALSE()),0)</f>
      </c>
      <c r="T132" s="36">
        <f>+R132-S132</f>
      </c>
      <c r="U132" s="34">
        <f>IFERROR(VLOOKUP("16_"&amp;A132,SyS!$B:$P,10,FALSE()),0)</f>
      </c>
      <c r="V132" s="35">
        <f>IFERROR(VLOOKUP("16_"&amp;A132,SyS!$B:$P,12,FALSE()),0)</f>
      </c>
      <c r="W132" s="36">
        <f>+U132-V132</f>
      </c>
      <c r="X132" s="34">
        <f>IFERROR(VLOOKUP("13_"&amp;A132,SyS!$B:$P,10,FALSE()),0)</f>
      </c>
      <c r="Y132" s="35">
        <f>IFERROR(VLOOKUP("13_"&amp;A132,SyS!$B:$P,12,FALSE()),0)</f>
      </c>
      <c r="Z132" s="36">
        <f>+X132-Y132</f>
      </c>
      <c r="AA132" s="34">
        <f>IFERROR(VLOOKUP("17_"&amp;A132,SyS!$B:$P,10,FALSE()),0)</f>
      </c>
      <c r="AB132" s="35">
        <f>IFERROR(VLOOKUP("17_"&amp;A132,SyS!$B:$P,12,FALSE()),0)</f>
      </c>
      <c r="AC132" s="36">
        <f>+AA132-AB132</f>
      </c>
      <c r="AD132" s="35"/>
      <c r="AE132" s="35"/>
      <c r="AF132" s="35"/>
      <c r="AG132" s="35">
        <f>IFERROR(VLOOKUP("19_"&amp;A132,SyS!$B:$P,10,FALSE()),0)</f>
      </c>
      <c r="AH132" s="35">
        <f>IFERROR(VLOOKUP("19_"&amp;A132,SyS!$B:$P,12,FALSE()),0)</f>
      </c>
      <c r="AI132" s="35">
        <f>+AG132-AH132</f>
      </c>
      <c r="AJ132" s="35"/>
      <c r="AK132" s="35"/>
      <c r="AL132" s="35"/>
      <c r="AM132" s="34">
        <f>IFERROR(VLOOKUP("23_"&amp;A132,SyS!$B:$P,10,FALSE()),0)</f>
      </c>
      <c r="AN132" s="35">
        <f>IFERROR(VLOOKUP("23_"&amp;A132,SyS!$B:$P,12,FALSE()),0)</f>
      </c>
      <c r="AO132" s="36">
        <f>+AM132-AN132</f>
      </c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>
        <f>IFERROR(VLOOKUP("29_"&amp;A132,SyS!$B:$P,10,FALSE()),0)</f>
      </c>
      <c r="BL132" s="40">
        <f>IFERROR(VLOOKUP("29_"&amp;A132,SyS!$B:$P,12,FALSE()),0)</f>
      </c>
      <c r="BM132" s="40">
        <f>+BK132-BL132</f>
      </c>
      <c r="BN132" s="42">
        <f>IFERROR(VLOOKUP("30_"&amp;A132,SyS!$B:$P,10,FALSE()),0)</f>
      </c>
      <c r="BO132" s="40">
        <f>IFERROR(VLOOKUP("30_"&amp;A132,SyS!$B:$P,12,FALSE()),0)</f>
      </c>
      <c r="BP132" s="43">
        <f>+BN132-BO132</f>
      </c>
      <c r="BQ132" s="44">
        <f>+E132+H132+K132+N132+Q132+T132+W132+Z132+AC132+AF132+AI132+AL132+AO132+AR132+AU132+AX132+BA132+BD132+BG132+BJ132+BM132+BP132</f>
        <v>27.35</v>
      </c>
    </row>
    <row r="133" ht="11.25" customHeight="1" spans="1:69" x14ac:dyDescent="0.25">
      <c r="A133" s="9">
        <v>426330000</v>
      </c>
      <c r="B133" s="9" t="s">
        <v>170</v>
      </c>
      <c r="C133" s="34">
        <f>IFERROR(VLOOKUP("1_"&amp;A133,SyS!$B:$P,10,FALSE()),0)</f>
      </c>
      <c r="D133" s="35">
        <f>IFERROR(VLOOKUP("1_"&amp;A133,SyS!$B:$P,12,FALSE()),0)</f>
      </c>
      <c r="E133" s="35">
        <f>+C133-D133</f>
      </c>
      <c r="F133" s="34">
        <f>IFERROR(VLOOKUP("2_"&amp;A133,SyS!$B:$P,10,FALSE()),0)</f>
      </c>
      <c r="G133" s="35">
        <f>IFERROR(VLOOKUP("2_"&amp;A133,SyS!$B:$P,12,FALSE()),0)</f>
      </c>
      <c r="H133" s="36">
        <f>+F133-G133</f>
      </c>
      <c r="I133" s="35"/>
      <c r="J133" s="35"/>
      <c r="K133" s="35"/>
      <c r="L133" s="35"/>
      <c r="M133" s="35"/>
      <c r="N133" s="35"/>
      <c r="O133" s="34">
        <f>IFERROR(VLOOKUP("14_"&amp;A133,SyS!$B:$P,10,FALSE()),0)</f>
      </c>
      <c r="P133" s="35">
        <f>IFERROR(VLOOKUP("14_"&amp;A133,SyS!$B:$P,12,FALSE()),0)</f>
      </c>
      <c r="Q133" s="36">
        <f>+O133-P133</f>
      </c>
      <c r="R133" s="34">
        <f>IFERROR(VLOOKUP("15_"&amp;A133,SyS!$B:$P,10,FALSE()),0)</f>
      </c>
      <c r="S133" s="35">
        <f>IFERROR(VLOOKUP("15_"&amp;A133,SyS!$B:$P,12,FALSE()),0)</f>
      </c>
      <c r="T133" s="36">
        <f>+R133-S133</f>
      </c>
      <c r="U133" s="34">
        <f>IFERROR(VLOOKUP("16_"&amp;A133,SyS!$B:$P,10,FALSE()),0)</f>
      </c>
      <c r="V133" s="35">
        <f>IFERROR(VLOOKUP("16_"&amp;A133,SyS!$B:$P,12,FALSE()),0)</f>
      </c>
      <c r="W133" s="36">
        <f>+U133-V133</f>
      </c>
      <c r="X133" s="34">
        <f>IFERROR(VLOOKUP("13_"&amp;A133,SyS!$B:$P,10,FALSE()),0)</f>
      </c>
      <c r="Y133" s="35">
        <f>IFERROR(VLOOKUP("13_"&amp;A133,SyS!$B:$P,12,FALSE()),0)</f>
      </c>
      <c r="Z133" s="36">
        <f>+X133-Y133</f>
      </c>
      <c r="AA133" s="34">
        <f>IFERROR(VLOOKUP("17_"&amp;A133,SyS!$B:$P,10,FALSE()),0)</f>
      </c>
      <c r="AB133" s="35">
        <f>IFERROR(VLOOKUP("17_"&amp;A133,SyS!$B:$P,12,FALSE()),0)</f>
      </c>
      <c r="AC133" s="36">
        <f>+AA133-AB133</f>
      </c>
      <c r="AD133" s="35"/>
      <c r="AE133" s="35"/>
      <c r="AF133" s="35"/>
      <c r="AG133" s="35">
        <f>IFERROR(VLOOKUP("19_"&amp;A133,SyS!$B:$P,10,FALSE()),0)</f>
      </c>
      <c r="AH133" s="35">
        <f>IFERROR(VLOOKUP("19_"&amp;A133,SyS!$B:$P,12,FALSE()),0)</f>
      </c>
      <c r="AI133" s="35">
        <f>+AG133-AH133</f>
      </c>
      <c r="AJ133" s="35"/>
      <c r="AK133" s="35"/>
      <c r="AL133" s="35"/>
      <c r="AM133" s="34">
        <f>IFERROR(VLOOKUP("23_"&amp;A133,SyS!$B:$P,10,FALSE()),0)</f>
      </c>
      <c r="AN133" s="35">
        <f>IFERROR(VLOOKUP("23_"&amp;A133,SyS!$B:$P,12,FALSE()),0)</f>
      </c>
      <c r="AO133" s="36">
        <f>+AM133-AN133</f>
      </c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>
        <f>IFERROR(VLOOKUP("29_"&amp;A133,SyS!$B:$P,10,FALSE()),0)</f>
      </c>
      <c r="BL133" s="40">
        <f>IFERROR(VLOOKUP("29_"&amp;A133,SyS!$B:$P,12,FALSE()),0)</f>
      </c>
      <c r="BM133" s="40">
        <f>+BK133-BL133</f>
      </c>
      <c r="BN133" s="42">
        <f>IFERROR(VLOOKUP("30_"&amp;A133,SyS!$B:$P,10,FALSE()),0)</f>
      </c>
      <c r="BO133" s="40">
        <f>IFERROR(VLOOKUP("30_"&amp;A133,SyS!$B:$P,12,FALSE()),0)</f>
      </c>
      <c r="BP133" s="43">
        <f>+BN133-BO133</f>
      </c>
      <c r="BQ133" s="44">
        <f>+E133+H133+K133+N133+Q133+T133+W133+Z133+AC133+AF133+AI133+AL133+AO133+AR133+AU133+AX133+BA133+BD133+BG133+BJ133+BM133+BP133</f>
      </c>
    </row>
    <row r="134" ht="11.25" customHeight="1" spans="1:69" x14ac:dyDescent="0.25">
      <c r="A134" s="50">
        <v>426380000</v>
      </c>
      <c r="B134" s="9" t="s">
        <v>171</v>
      </c>
      <c r="C134" s="34">
        <f>IFERROR(VLOOKUP("1_"&amp;A134,SyS!$B:$P,10,FALSE()),0)</f>
      </c>
      <c r="D134" s="35">
        <f>IFERROR(VLOOKUP("1_"&amp;A134,SyS!$B:$P,12,FALSE()),0)</f>
      </c>
      <c r="E134" s="35">
        <f>+C134-D134</f>
      </c>
      <c r="F134" s="34">
        <f>IFERROR(VLOOKUP("2_"&amp;A134,SyS!$B:$P,10,FALSE()),0)</f>
      </c>
      <c r="G134" s="35">
        <f>IFERROR(VLOOKUP("2_"&amp;A134,SyS!$B:$P,12,FALSE()),0)</f>
      </c>
      <c r="H134" s="36">
        <f>+F134-G134</f>
      </c>
      <c r="I134" s="35"/>
      <c r="J134" s="35"/>
      <c r="K134" s="35"/>
      <c r="L134" s="35"/>
      <c r="M134" s="35"/>
      <c r="N134" s="35"/>
      <c r="O134" s="34">
        <f>IFERROR(VLOOKUP("14_"&amp;A134,SyS!$B:$P,10,FALSE()),0)</f>
      </c>
      <c r="P134" s="35">
        <f>IFERROR(VLOOKUP("14_"&amp;A134,SyS!$B:$P,12,FALSE()),0)</f>
      </c>
      <c r="Q134" s="36">
        <f>+O134-P134</f>
      </c>
      <c r="R134" s="34">
        <f>IFERROR(VLOOKUP("15_"&amp;A134,SyS!$B:$P,10,FALSE()),0)</f>
      </c>
      <c r="S134" s="35">
        <f>IFERROR(VLOOKUP("15_"&amp;A134,SyS!$B:$P,12,FALSE()),0)</f>
      </c>
      <c r="T134" s="36">
        <f>+R134-S134</f>
      </c>
      <c r="U134" s="34">
        <f>IFERROR(VLOOKUP("16_"&amp;A134,SyS!$B:$P,10,FALSE()),0)</f>
      </c>
      <c r="V134" s="35">
        <f>IFERROR(VLOOKUP("16_"&amp;A134,SyS!$B:$P,12,FALSE()),0)</f>
      </c>
      <c r="W134" s="36">
        <f>+U134-V134</f>
      </c>
      <c r="X134" s="34">
        <f>IFERROR(VLOOKUP("13_"&amp;A134,SyS!$B:$P,10,FALSE()),0)</f>
      </c>
      <c r="Y134" s="35">
        <f>IFERROR(VLOOKUP("13_"&amp;A134,SyS!$B:$P,12,FALSE()),0)</f>
      </c>
      <c r="Z134" s="36">
        <f>+X134-Y134</f>
      </c>
      <c r="AA134" s="34">
        <f>IFERROR(VLOOKUP("17_"&amp;A134,SyS!$B:$P,10,FALSE()),0)</f>
      </c>
      <c r="AB134" s="35">
        <f>IFERROR(VLOOKUP("17_"&amp;A134,SyS!$B:$P,12,FALSE()),0)</f>
      </c>
      <c r="AC134" s="36">
        <f>+AA134-AB134</f>
      </c>
      <c r="AD134" s="35"/>
      <c r="AE134" s="35"/>
      <c r="AF134" s="35"/>
      <c r="AG134" s="35">
        <f>IFERROR(VLOOKUP("19_"&amp;A134,SyS!$B:$P,10,FALSE()),0)</f>
      </c>
      <c r="AH134" s="35">
        <f>IFERROR(VLOOKUP("19_"&amp;A134,SyS!$B:$P,12,FALSE()),0)</f>
      </c>
      <c r="AI134" s="35">
        <f>+AG134-AH134</f>
      </c>
      <c r="AJ134" s="35"/>
      <c r="AK134" s="35"/>
      <c r="AL134" s="35"/>
      <c r="AM134" s="34">
        <f>IFERROR(VLOOKUP("23_"&amp;A134,SyS!$B:$P,10,FALSE()),0)</f>
      </c>
      <c r="AN134" s="35">
        <f>IFERROR(VLOOKUP("23_"&amp;A134,SyS!$B:$P,12,FALSE()),0)</f>
      </c>
      <c r="AO134" s="36">
        <f>+AM134-AN134</f>
      </c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>
        <f>IFERROR(VLOOKUP("29_"&amp;A134,SyS!$B:$P,10,FALSE()),0)</f>
      </c>
      <c r="BL134" s="40">
        <f>IFERROR(VLOOKUP("29_"&amp;A134,SyS!$B:$P,12,FALSE()),0)</f>
      </c>
      <c r="BM134" s="40">
        <f>+BK134-BL134</f>
      </c>
      <c r="BN134" s="42">
        <f>IFERROR(VLOOKUP("30_"&amp;A134,SyS!$B:$P,10,FALSE()),0)</f>
      </c>
      <c r="BO134" s="40">
        <f>IFERROR(VLOOKUP("30_"&amp;A134,SyS!$B:$P,12,FALSE()),0)</f>
      </c>
      <c r="BP134" s="43">
        <f>+BN134-BO134</f>
      </c>
      <c r="BQ134" s="44">
        <f>+E134+H134+K134+N134+Q134+T134+W134+Z134+AC134+AF134+AI134+AL134+AO134+AR134+AU134+AX134+BA134+BD134+BG134+BJ134+BM134+BP134</f>
      </c>
    </row>
    <row r="135" ht="11.25" customHeight="1" spans="1:69" x14ac:dyDescent="0.25">
      <c r="A135" s="9">
        <v>426410000</v>
      </c>
      <c r="B135" s="9" t="s">
        <v>172</v>
      </c>
      <c r="C135" s="34">
        <f>IFERROR(VLOOKUP("1_"&amp;A135,SyS!$B:$P,10,FALSE()),0)</f>
      </c>
      <c r="D135" s="35">
        <f>IFERROR(VLOOKUP("1_"&amp;A135,SyS!$B:$P,12,FALSE()),0)</f>
      </c>
      <c r="E135" s="35">
        <f>+C135-D135</f>
      </c>
      <c r="F135" s="34">
        <f>IFERROR(VLOOKUP("2_"&amp;A135,SyS!$B:$P,10,FALSE()),0)</f>
      </c>
      <c r="G135" s="35">
        <f>IFERROR(VLOOKUP("2_"&amp;A135,SyS!$B:$P,12,FALSE()),0)</f>
      </c>
      <c r="H135" s="36">
        <f>+F135-G135</f>
      </c>
      <c r="I135" s="35"/>
      <c r="J135" s="35"/>
      <c r="K135" s="35"/>
      <c r="L135" s="35"/>
      <c r="M135" s="35"/>
      <c r="N135" s="35"/>
      <c r="O135" s="34">
        <f>IFERROR(VLOOKUP("14_"&amp;A135,SyS!$B:$P,10,FALSE()),0)</f>
      </c>
      <c r="P135" s="35">
        <f>IFERROR(VLOOKUP("14_"&amp;A135,SyS!$B:$P,12,FALSE()),0)</f>
      </c>
      <c r="Q135" s="36">
        <f>+O135-P135</f>
      </c>
      <c r="R135" s="34">
        <f>IFERROR(VLOOKUP("15_"&amp;A135,SyS!$B:$P,10,FALSE()),0)</f>
      </c>
      <c r="S135" s="35">
        <f>IFERROR(VLOOKUP("15_"&amp;A135,SyS!$B:$P,12,FALSE()),0)</f>
      </c>
      <c r="T135" s="36">
        <f>+R135-S135</f>
      </c>
      <c r="U135" s="34">
        <f>IFERROR(VLOOKUP("16_"&amp;A135,SyS!$B:$P,10,FALSE()),0)</f>
      </c>
      <c r="V135" s="35">
        <f>IFERROR(VLOOKUP("16_"&amp;A135,SyS!$B:$P,12,FALSE()),0)</f>
      </c>
      <c r="W135" s="36">
        <f>+U135-V135</f>
      </c>
      <c r="X135" s="34">
        <f>IFERROR(VLOOKUP("13_"&amp;A135,SyS!$B:$P,10,FALSE()),0)</f>
      </c>
      <c r="Y135" s="35">
        <f>IFERROR(VLOOKUP("13_"&amp;A135,SyS!$B:$P,12,FALSE()),0)</f>
      </c>
      <c r="Z135" s="36">
        <f>+X135-Y135</f>
      </c>
      <c r="AA135" s="34">
        <f>IFERROR(VLOOKUP("17_"&amp;A135,SyS!$B:$P,10,FALSE()),0)</f>
      </c>
      <c r="AB135" s="35">
        <f>IFERROR(VLOOKUP("17_"&amp;A135,SyS!$B:$P,12,FALSE()),0)</f>
      </c>
      <c r="AC135" s="36">
        <f>+AA135-AB135</f>
      </c>
      <c r="AD135" s="35"/>
      <c r="AE135" s="35"/>
      <c r="AF135" s="35"/>
      <c r="AG135" s="35">
        <f>IFERROR(VLOOKUP("19_"&amp;A135,SyS!$B:$P,10,FALSE()),0)</f>
      </c>
      <c r="AH135" s="35">
        <f>IFERROR(VLOOKUP("19_"&amp;A135,SyS!$B:$P,12,FALSE()),0)</f>
      </c>
      <c r="AI135" s="35">
        <f>+AG135-AH135</f>
      </c>
      <c r="AJ135" s="35"/>
      <c r="AK135" s="35"/>
      <c r="AL135" s="35"/>
      <c r="AM135" s="34">
        <f>IFERROR(VLOOKUP("23_"&amp;A135,SyS!$B:$P,10,FALSE()),0)</f>
      </c>
      <c r="AN135" s="35">
        <f>IFERROR(VLOOKUP("23_"&amp;A135,SyS!$B:$P,12,FALSE()),0)</f>
      </c>
      <c r="AO135" s="36">
        <f>+AM135-AN135</f>
      </c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>
        <f>IFERROR(VLOOKUP("29_"&amp;A135,SyS!$B:$P,10,FALSE()),0)</f>
      </c>
      <c r="BL135" s="40">
        <f>IFERROR(VLOOKUP("29_"&amp;A135,SyS!$B:$P,12,FALSE()),0)</f>
      </c>
      <c r="BM135" s="40">
        <f>+BK135-BL135</f>
      </c>
      <c r="BN135" s="42">
        <f>IFERROR(VLOOKUP("30_"&amp;A135,SyS!$B:$P,10,FALSE()),0)</f>
      </c>
      <c r="BO135" s="40">
        <f>IFERROR(VLOOKUP("30_"&amp;A135,SyS!$B:$P,12,FALSE()),0)</f>
      </c>
      <c r="BP135" s="43">
        <f>+BN135-BO135</f>
      </c>
      <c r="BQ135" s="44">
        <f>+E135+H135+K135+N135+Q135+T135+W135+Z135+AC135+AF135+AI135+AL135+AO135+AR135+AU135+AX135+BA135+BD135+BG135+BJ135+BM135+BP135</f>
      </c>
    </row>
    <row r="136" ht="11.25" customHeight="1" spans="1:69" x14ac:dyDescent="0.25">
      <c r="A136" s="9">
        <v>426430000</v>
      </c>
      <c r="B136" s="9" t="s">
        <v>173</v>
      </c>
      <c r="C136" s="34">
        <f>IFERROR(VLOOKUP("1_"&amp;A136,SyS!$B:$P,10,FALSE()),0)</f>
      </c>
      <c r="D136" s="35">
        <f>IFERROR(VLOOKUP("1_"&amp;A136,SyS!$B:$P,12,FALSE()),0)</f>
      </c>
      <c r="E136" s="35">
        <f>+C136-D136</f>
      </c>
      <c r="F136" s="34">
        <f>IFERROR(VLOOKUP("2_"&amp;A136,SyS!$B:$P,10,FALSE()),0)</f>
      </c>
      <c r="G136" s="35">
        <f>IFERROR(VLOOKUP("2_"&amp;A136,SyS!$B:$P,12,FALSE()),0)</f>
      </c>
      <c r="H136" s="36">
        <f>+F136-G136</f>
      </c>
      <c r="I136" s="35"/>
      <c r="J136" s="35"/>
      <c r="K136" s="35"/>
      <c r="L136" s="35"/>
      <c r="M136" s="35"/>
      <c r="N136" s="35"/>
      <c r="O136" s="34">
        <f>IFERROR(VLOOKUP("14_"&amp;A136,SyS!$B:$P,10,FALSE()),0)</f>
      </c>
      <c r="P136" s="35">
        <f>IFERROR(VLOOKUP("14_"&amp;A136,SyS!$B:$P,12,FALSE()),0)</f>
      </c>
      <c r="Q136" s="36">
        <f>+O136-P136</f>
      </c>
      <c r="R136" s="34">
        <f>IFERROR(VLOOKUP("15_"&amp;A136,SyS!$B:$P,10,FALSE()),0)</f>
      </c>
      <c r="S136" s="35">
        <f>IFERROR(VLOOKUP("15_"&amp;A136,SyS!$B:$P,12,FALSE()),0)</f>
      </c>
      <c r="T136" s="36">
        <f>+R136-S136</f>
      </c>
      <c r="U136" s="34">
        <f>IFERROR(VLOOKUP("16_"&amp;A136,SyS!$B:$P,10,FALSE()),0)</f>
      </c>
      <c r="V136" s="35">
        <f>IFERROR(VLOOKUP("16_"&amp;A136,SyS!$B:$P,12,FALSE()),0)</f>
      </c>
      <c r="W136" s="36">
        <f>+U136-V136</f>
      </c>
      <c r="X136" s="34">
        <f>IFERROR(VLOOKUP("13_"&amp;A136,SyS!$B:$P,10,FALSE()),0)</f>
      </c>
      <c r="Y136" s="35">
        <f>IFERROR(VLOOKUP("13_"&amp;A136,SyS!$B:$P,12,FALSE()),0)</f>
      </c>
      <c r="Z136" s="36">
        <f>+X136-Y136</f>
      </c>
      <c r="AA136" s="34">
        <f>IFERROR(VLOOKUP("17_"&amp;A136,SyS!$B:$P,10,FALSE()),0)</f>
      </c>
      <c r="AB136" s="35">
        <f>IFERROR(VLOOKUP("17_"&amp;A136,SyS!$B:$P,12,FALSE()),0)</f>
      </c>
      <c r="AC136" s="36">
        <f>+AA136-AB136</f>
      </c>
      <c r="AD136" s="35"/>
      <c r="AE136" s="35"/>
      <c r="AF136" s="35"/>
      <c r="AG136" s="35">
        <f>IFERROR(VLOOKUP("19_"&amp;A136,SyS!$B:$P,10,FALSE()),0)</f>
      </c>
      <c r="AH136" s="35">
        <f>IFERROR(VLOOKUP("19_"&amp;A136,SyS!$B:$P,12,FALSE()),0)</f>
      </c>
      <c r="AI136" s="35">
        <f>+AG136-AH136</f>
      </c>
      <c r="AJ136" s="35"/>
      <c r="AK136" s="35"/>
      <c r="AL136" s="35"/>
      <c r="AM136" s="34">
        <f>IFERROR(VLOOKUP("23_"&amp;A136,SyS!$B:$P,10,FALSE()),0)</f>
      </c>
      <c r="AN136" s="35">
        <f>IFERROR(VLOOKUP("23_"&amp;A136,SyS!$B:$P,12,FALSE()),0)</f>
      </c>
      <c r="AO136" s="36">
        <f>+AM136-AN136</f>
      </c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>
        <f>IFERROR(VLOOKUP("29_"&amp;A136,SyS!$B:$P,10,FALSE()),0)</f>
      </c>
      <c r="BL136" s="40">
        <f>IFERROR(VLOOKUP("29_"&amp;A136,SyS!$B:$P,12,FALSE()),0)</f>
      </c>
      <c r="BM136" s="40">
        <f>+BK136-BL136</f>
      </c>
      <c r="BN136" s="42">
        <f>IFERROR(VLOOKUP("30_"&amp;A136,SyS!$B:$P,10,FALSE()),0)</f>
      </c>
      <c r="BO136" s="40">
        <f>IFERROR(VLOOKUP("30_"&amp;A136,SyS!$B:$P,12,FALSE()),0)</f>
      </c>
      <c r="BP136" s="43">
        <f>+BN136-BO136</f>
      </c>
      <c r="BQ136" s="44">
        <f>+E136+H136+K136+N136+Q136+T136+W136+Z136+AC136+AF136+AI136+AL136+AO136+AR136+AU136+AX136+BA136+BD136+BG136+BJ136+BM136+BP136</f>
      </c>
    </row>
    <row r="137" ht="11.25" customHeight="1" spans="1:69" x14ac:dyDescent="0.25">
      <c r="A137" s="9">
        <v>426440000</v>
      </c>
      <c r="B137" s="9" t="s">
        <v>174</v>
      </c>
      <c r="C137" s="34">
        <f>IFERROR(VLOOKUP("1_"&amp;A137,SyS!$B:$P,10,FALSE()),0)</f>
      </c>
      <c r="D137" s="35">
        <f>IFERROR(VLOOKUP("1_"&amp;A137,SyS!$B:$P,12,FALSE()),0)</f>
      </c>
      <c r="E137" s="35">
        <f>+C137-D137</f>
      </c>
      <c r="F137" s="34">
        <f>IFERROR(VLOOKUP("2_"&amp;A137,SyS!$B:$P,10,FALSE()),0)</f>
      </c>
      <c r="G137" s="35">
        <f>IFERROR(VLOOKUP("2_"&amp;A137,SyS!$B:$P,12,FALSE()),0)</f>
      </c>
      <c r="H137" s="36">
        <f>+F137-G137</f>
      </c>
      <c r="I137" s="35"/>
      <c r="J137" s="35"/>
      <c r="K137" s="35"/>
      <c r="L137" s="35"/>
      <c r="M137" s="35"/>
      <c r="N137" s="35"/>
      <c r="O137" s="34">
        <f>IFERROR(VLOOKUP("14_"&amp;A137,SyS!$B:$P,10,FALSE()),0)</f>
      </c>
      <c r="P137" s="35">
        <f>IFERROR(VLOOKUP("14_"&amp;A137,SyS!$B:$P,12,FALSE()),0)</f>
      </c>
      <c r="Q137" s="36">
        <f>+O137-P137</f>
      </c>
      <c r="R137" s="34">
        <f>IFERROR(VLOOKUP("15_"&amp;A137,SyS!$B:$P,10,FALSE()),0)</f>
      </c>
      <c r="S137" s="35">
        <f>IFERROR(VLOOKUP("15_"&amp;A137,SyS!$B:$P,12,FALSE()),0)</f>
      </c>
      <c r="T137" s="36">
        <f>+R137-S137</f>
      </c>
      <c r="U137" s="34">
        <f>IFERROR(VLOOKUP("16_"&amp;A137,SyS!$B:$P,10,FALSE()),0)</f>
      </c>
      <c r="V137" s="35">
        <f>IFERROR(VLOOKUP("16_"&amp;A137,SyS!$B:$P,12,FALSE()),0)</f>
      </c>
      <c r="W137" s="36">
        <f>+U137-V137</f>
      </c>
      <c r="X137" s="34">
        <f>IFERROR(VLOOKUP("13_"&amp;A137,SyS!$B:$P,10,FALSE()),0)</f>
      </c>
      <c r="Y137" s="35">
        <f>IFERROR(VLOOKUP("13_"&amp;A137,SyS!$B:$P,12,FALSE()),0)</f>
      </c>
      <c r="Z137" s="36">
        <f>+X137-Y137</f>
      </c>
      <c r="AA137" s="34">
        <f>IFERROR(VLOOKUP("17_"&amp;A137,SyS!$B:$P,10,FALSE()),0)</f>
      </c>
      <c r="AB137" s="35">
        <f>IFERROR(VLOOKUP("17_"&amp;A137,SyS!$B:$P,12,FALSE()),0)</f>
      </c>
      <c r="AC137" s="36">
        <f>+AA137-AB137</f>
      </c>
      <c r="AD137" s="35"/>
      <c r="AE137" s="35"/>
      <c r="AF137" s="35"/>
      <c r="AG137" s="35">
        <f>IFERROR(VLOOKUP("19_"&amp;A137,SyS!$B:$P,10,FALSE()),0)</f>
      </c>
      <c r="AH137" s="35">
        <f>IFERROR(VLOOKUP("19_"&amp;A137,SyS!$B:$P,12,FALSE()),0)</f>
      </c>
      <c r="AI137" s="35">
        <f>+AG137-AH137</f>
      </c>
      <c r="AJ137" s="35"/>
      <c r="AK137" s="35"/>
      <c r="AL137" s="35"/>
      <c r="AM137" s="34">
        <f>IFERROR(VLOOKUP("23_"&amp;A137,SyS!$B:$P,10,FALSE()),0)</f>
      </c>
      <c r="AN137" s="35">
        <f>IFERROR(VLOOKUP("23_"&amp;A137,SyS!$B:$P,12,FALSE()),0)</f>
      </c>
      <c r="AO137" s="36">
        <f>+AM137-AN137</f>
      </c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>
        <f>IFERROR(VLOOKUP("29_"&amp;A137,SyS!$B:$P,10,FALSE()),0)</f>
      </c>
      <c r="BL137" s="40">
        <f>IFERROR(VLOOKUP("29_"&amp;A137,SyS!$B:$P,12,FALSE()),0)</f>
      </c>
      <c r="BM137" s="40">
        <f>+BK137-BL137</f>
      </c>
      <c r="BN137" s="42">
        <f>IFERROR(VLOOKUP("30_"&amp;A137,SyS!$B:$P,10,FALSE()),0)</f>
      </c>
      <c r="BO137" s="40">
        <f>IFERROR(VLOOKUP("30_"&amp;A137,SyS!$B:$P,12,FALSE()),0)</f>
      </c>
      <c r="BP137" s="43">
        <f>+BN137-BO137</f>
      </c>
      <c r="BQ137" s="44">
        <f>+E137+H137+K137+N137+Q137+T137+W137+Z137+AC137+AF137+AI137+AL137+AO137+AR137+AU137+AX137+BA137+BD137+BG137+BJ137+BM137+BP137</f>
      </c>
    </row>
    <row r="138" ht="11.25" customHeight="1" spans="1:69" x14ac:dyDescent="0.25">
      <c r="A138" s="50">
        <v>426450000</v>
      </c>
      <c r="B138" s="9" t="s">
        <v>175</v>
      </c>
      <c r="C138" s="34">
        <f>IFERROR(VLOOKUP("1_"&amp;A138,SyS!$B:$P,10,FALSE()),0)</f>
      </c>
      <c r="D138" s="35">
        <f>IFERROR(VLOOKUP("1_"&amp;A138,SyS!$B:$P,12,FALSE()),0)</f>
      </c>
      <c r="E138" s="35">
        <f>+C138-D138</f>
      </c>
      <c r="F138" s="34">
        <f>IFERROR(VLOOKUP("2_"&amp;A138,SyS!$B:$P,10,FALSE()),0)</f>
      </c>
      <c r="G138" s="35">
        <f>IFERROR(VLOOKUP("2_"&amp;A138,SyS!$B:$P,12,FALSE()),0)</f>
      </c>
      <c r="H138" s="36">
        <f>+F138-G138</f>
      </c>
      <c r="I138" s="35"/>
      <c r="J138" s="35"/>
      <c r="K138" s="35"/>
      <c r="L138" s="35"/>
      <c r="M138" s="35"/>
      <c r="N138" s="35"/>
      <c r="O138" s="34">
        <f>IFERROR(VLOOKUP("14_"&amp;A138,SyS!$B:$P,10,FALSE()),0)</f>
      </c>
      <c r="P138" s="35">
        <f>IFERROR(VLOOKUP("14_"&amp;A138,SyS!$B:$P,12,FALSE()),0)</f>
      </c>
      <c r="Q138" s="36">
        <f>+O138-P138</f>
      </c>
      <c r="R138" s="34">
        <f>IFERROR(VLOOKUP("15_"&amp;A138,SyS!$B:$P,10,FALSE()),0)</f>
      </c>
      <c r="S138" s="35">
        <f>IFERROR(VLOOKUP("15_"&amp;A138,SyS!$B:$P,12,FALSE()),0)</f>
      </c>
      <c r="T138" s="36">
        <f>+R138-S138</f>
      </c>
      <c r="U138" s="34">
        <f>IFERROR(VLOOKUP("16_"&amp;A138,SyS!$B:$P,10,FALSE()),0)</f>
      </c>
      <c r="V138" s="35">
        <f>IFERROR(VLOOKUP("16_"&amp;A138,SyS!$B:$P,12,FALSE()),0)</f>
      </c>
      <c r="W138" s="36">
        <f>+U138-V138</f>
      </c>
      <c r="X138" s="34">
        <f>IFERROR(VLOOKUP("13_"&amp;A138,SyS!$B:$P,10,FALSE()),0)</f>
      </c>
      <c r="Y138" s="35">
        <f>IFERROR(VLOOKUP("13_"&amp;A138,SyS!$B:$P,12,FALSE()),0)</f>
      </c>
      <c r="Z138" s="36">
        <f>+X138-Y138</f>
      </c>
      <c r="AA138" s="34">
        <f>IFERROR(VLOOKUP("17_"&amp;A138,SyS!$B:$P,10,FALSE()),0)</f>
      </c>
      <c r="AB138" s="35">
        <f>IFERROR(VLOOKUP("17_"&amp;A138,SyS!$B:$P,12,FALSE()),0)</f>
      </c>
      <c r="AC138" s="36">
        <f>+AA138-AB138</f>
      </c>
      <c r="AD138" s="35"/>
      <c r="AE138" s="35"/>
      <c r="AF138" s="35"/>
      <c r="AG138" s="35">
        <f>IFERROR(VLOOKUP("19_"&amp;A138,SyS!$B:$P,10,FALSE()),0)</f>
      </c>
      <c r="AH138" s="35">
        <f>IFERROR(VLOOKUP("19_"&amp;A138,SyS!$B:$P,12,FALSE()),0)</f>
      </c>
      <c r="AI138" s="35">
        <f>+AG138-AH138</f>
      </c>
      <c r="AJ138" s="35"/>
      <c r="AK138" s="35"/>
      <c r="AL138" s="35"/>
      <c r="AM138" s="34">
        <f>IFERROR(VLOOKUP("23_"&amp;A138,SyS!$B:$P,10,FALSE()),0)</f>
        <v>213.33</v>
      </c>
      <c r="AN138" s="35">
        <f>IFERROR(VLOOKUP("23_"&amp;A138,SyS!$B:$P,12,FALSE()),0)</f>
      </c>
      <c r="AO138" s="36">
        <f>+AM138-AN138</f>
        <v>213.33</v>
      </c>
      <c r="AP138" s="40"/>
      <c r="AQ138" s="40"/>
      <c r="AR138" s="40"/>
      <c r="AS138" s="40"/>
      <c r="AT138" s="40"/>
      <c r="AU138" s="40"/>
      <c r="AV138" s="40"/>
      <c r="AW138" s="40"/>
      <c r="AX138" s="40"/>
      <c r="AY138" s="40"/>
      <c r="AZ138" s="40"/>
      <c r="BA138" s="40"/>
      <c r="BB138" s="40"/>
      <c r="BC138" s="40"/>
      <c r="BD138" s="40"/>
      <c r="BE138" s="40"/>
      <c r="BF138" s="40"/>
      <c r="BG138" s="40"/>
      <c r="BH138" s="40"/>
      <c r="BI138" s="40"/>
      <c r="BJ138" s="40"/>
      <c r="BK138" s="40">
        <f>IFERROR(VLOOKUP("29_"&amp;A138,SyS!$B:$P,10,FALSE()),0)</f>
      </c>
      <c r="BL138" s="40">
        <f>IFERROR(VLOOKUP("29_"&amp;A138,SyS!$B:$P,12,FALSE()),0)</f>
      </c>
      <c r="BM138" s="40">
        <f>+BK138-BL138</f>
      </c>
      <c r="BN138" s="42">
        <f>IFERROR(VLOOKUP("30_"&amp;A138,SyS!$B:$P,10,FALSE()),0)</f>
      </c>
      <c r="BO138" s="40">
        <f>IFERROR(VLOOKUP("30_"&amp;A138,SyS!$B:$P,12,FALSE()),0)</f>
      </c>
      <c r="BP138" s="43">
        <f>+BN138-BO138</f>
      </c>
      <c r="BQ138" s="44">
        <f>+E138+H138+K138+N138+Q138+T138+W138+Z138+AC138+AF138+AI138+AL138+AO138+AR138+AU138+AX138+BA138+BD138+BG138+BJ138+BM138+BP138</f>
        <v>213.33</v>
      </c>
    </row>
    <row r="139" ht="11.25" customHeight="1" spans="1:69" x14ac:dyDescent="0.25">
      <c r="A139" s="9">
        <v>426460000</v>
      </c>
      <c r="B139" s="9" t="s">
        <v>176</v>
      </c>
      <c r="C139" s="34">
        <f>IFERROR(VLOOKUP("1_"&amp;A139,SyS!$B:$P,10,FALSE()),0)</f>
      </c>
      <c r="D139" s="35">
        <f>IFERROR(VLOOKUP("1_"&amp;A139,SyS!$B:$P,12,FALSE()),0)</f>
      </c>
      <c r="E139" s="35">
        <f>+C139-D139</f>
      </c>
      <c r="F139" s="34">
        <f>IFERROR(VLOOKUP("2_"&amp;A139,SyS!$B:$P,10,FALSE()),0)</f>
      </c>
      <c r="G139" s="35">
        <f>IFERROR(VLOOKUP("2_"&amp;A139,SyS!$B:$P,12,FALSE()),0)</f>
      </c>
      <c r="H139" s="36">
        <f>+F139-G139</f>
      </c>
      <c r="I139" s="35"/>
      <c r="J139" s="35"/>
      <c r="K139" s="35"/>
      <c r="L139" s="35"/>
      <c r="M139" s="35"/>
      <c r="N139" s="35"/>
      <c r="O139" s="34">
        <f>IFERROR(VLOOKUP("14_"&amp;A139,SyS!$B:$P,10,FALSE()),0)</f>
      </c>
      <c r="P139" s="35">
        <f>IFERROR(VLOOKUP("14_"&amp;A139,SyS!$B:$P,12,FALSE()),0)</f>
      </c>
      <c r="Q139" s="36">
        <f>+O139-P139</f>
      </c>
      <c r="R139" s="34">
        <f>IFERROR(VLOOKUP("15_"&amp;A139,SyS!$B:$P,10,FALSE()),0)</f>
      </c>
      <c r="S139" s="35">
        <f>IFERROR(VLOOKUP("15_"&amp;A139,SyS!$B:$P,12,FALSE()),0)</f>
      </c>
      <c r="T139" s="36">
        <f>+R139-S139</f>
      </c>
      <c r="U139" s="34">
        <f>IFERROR(VLOOKUP("16_"&amp;A139,SyS!$B:$P,10,FALSE()),0)</f>
      </c>
      <c r="V139" s="35">
        <f>IFERROR(VLOOKUP("16_"&amp;A139,SyS!$B:$P,12,FALSE()),0)</f>
      </c>
      <c r="W139" s="36">
        <f>+U139-V139</f>
      </c>
      <c r="X139" s="34">
        <f>IFERROR(VLOOKUP("13_"&amp;A139,SyS!$B:$P,10,FALSE()),0)</f>
      </c>
      <c r="Y139" s="35">
        <f>IFERROR(VLOOKUP("13_"&amp;A139,SyS!$B:$P,12,FALSE()),0)</f>
      </c>
      <c r="Z139" s="36">
        <f>+X139-Y139</f>
      </c>
      <c r="AA139" s="34">
        <f>IFERROR(VLOOKUP("17_"&amp;A139,SyS!$B:$P,10,FALSE()),0)</f>
      </c>
      <c r="AB139" s="35">
        <f>IFERROR(VLOOKUP("17_"&amp;A139,SyS!$B:$P,12,FALSE()),0)</f>
      </c>
      <c r="AC139" s="36">
        <f>+AA139-AB139</f>
      </c>
      <c r="AD139" s="35"/>
      <c r="AE139" s="35"/>
      <c r="AF139" s="35"/>
      <c r="AG139" s="35">
        <f>IFERROR(VLOOKUP("19_"&amp;A139,SyS!$B:$P,10,FALSE()),0)</f>
      </c>
      <c r="AH139" s="35">
        <f>IFERROR(VLOOKUP("19_"&amp;A139,SyS!$B:$P,12,FALSE()),0)</f>
      </c>
      <c r="AI139" s="35">
        <f>+AG139-AH139</f>
      </c>
      <c r="AJ139" s="35"/>
      <c r="AK139" s="35"/>
      <c r="AL139" s="35"/>
      <c r="AM139" s="34">
        <f>IFERROR(VLOOKUP("23_"&amp;A139,SyS!$B:$P,10,FALSE()),0)</f>
      </c>
      <c r="AN139" s="35">
        <f>IFERROR(VLOOKUP("23_"&amp;A139,SyS!$B:$P,12,FALSE()),0)</f>
      </c>
      <c r="AO139" s="36">
        <f>+AM139-AN139</f>
      </c>
      <c r="AP139" s="40"/>
      <c r="AQ139" s="40"/>
      <c r="AR139" s="40"/>
      <c r="AS139" s="40"/>
      <c r="AT139" s="40"/>
      <c r="AU139" s="40"/>
      <c r="AV139" s="40"/>
      <c r="AW139" s="40"/>
      <c r="AX139" s="40"/>
      <c r="AY139" s="40"/>
      <c r="AZ139" s="40"/>
      <c r="BA139" s="40"/>
      <c r="BB139" s="40"/>
      <c r="BC139" s="40"/>
      <c r="BD139" s="40"/>
      <c r="BE139" s="40"/>
      <c r="BF139" s="40"/>
      <c r="BG139" s="40"/>
      <c r="BH139" s="40"/>
      <c r="BI139" s="40"/>
      <c r="BJ139" s="40"/>
      <c r="BK139" s="40">
        <f>IFERROR(VLOOKUP("29_"&amp;A139,SyS!$B:$P,10,FALSE()),0)</f>
      </c>
      <c r="BL139" s="40">
        <f>IFERROR(VLOOKUP("29_"&amp;A139,SyS!$B:$P,12,FALSE()),0)</f>
      </c>
      <c r="BM139" s="40">
        <f>+BK139-BL139</f>
      </c>
      <c r="BN139" s="42">
        <f>IFERROR(VLOOKUP("30_"&amp;A139,SyS!$B:$P,10,FALSE()),0)</f>
      </c>
      <c r="BO139" s="40">
        <f>IFERROR(VLOOKUP("30_"&amp;A139,SyS!$B:$P,12,FALSE()),0)</f>
      </c>
      <c r="BP139" s="43">
        <f>+BN139-BO139</f>
      </c>
      <c r="BQ139" s="44">
        <f>+E139+H139+K139+N139+Q139+T139+W139+Z139+AC139+AF139+AI139+AL139+AO139+AR139+AU139+AX139+BA139+BD139+BG139+BJ139+BM139+BP139</f>
      </c>
    </row>
    <row r="140" ht="11.25" customHeight="1" spans="1:69" x14ac:dyDescent="0.25">
      <c r="A140" s="9">
        <v>426470000</v>
      </c>
      <c r="B140" s="9" t="s">
        <v>177</v>
      </c>
      <c r="C140" s="34">
        <f>IFERROR(VLOOKUP("1_"&amp;A140,SyS!$B:$P,10,FALSE()),0)</f>
      </c>
      <c r="D140" s="35">
        <f>IFERROR(VLOOKUP("1_"&amp;A140,SyS!$B:$P,12,FALSE()),0)</f>
      </c>
      <c r="E140" s="35">
        <f>+C140-D140</f>
      </c>
      <c r="F140" s="34">
        <f>IFERROR(VLOOKUP("2_"&amp;A140,SyS!$B:$P,10,FALSE()),0)</f>
      </c>
      <c r="G140" s="35">
        <f>IFERROR(VLOOKUP("2_"&amp;A140,SyS!$B:$P,12,FALSE()),0)</f>
      </c>
      <c r="H140" s="36">
        <f>+F140-G140</f>
      </c>
      <c r="I140" s="35"/>
      <c r="J140" s="35"/>
      <c r="K140" s="35"/>
      <c r="L140" s="35"/>
      <c r="M140" s="35"/>
      <c r="N140" s="35"/>
      <c r="O140" s="34">
        <f>IFERROR(VLOOKUP("14_"&amp;A140,SyS!$B:$P,10,FALSE()),0)</f>
      </c>
      <c r="P140" s="35">
        <f>IFERROR(VLOOKUP("14_"&amp;A140,SyS!$B:$P,12,FALSE()),0)</f>
      </c>
      <c r="Q140" s="36">
        <f>+O140-P140</f>
      </c>
      <c r="R140" s="34">
        <f>IFERROR(VLOOKUP("15_"&amp;A140,SyS!$B:$P,10,FALSE()),0)</f>
      </c>
      <c r="S140" s="35">
        <f>IFERROR(VLOOKUP("15_"&amp;A140,SyS!$B:$P,12,FALSE()),0)</f>
      </c>
      <c r="T140" s="36">
        <f>+R140-S140</f>
      </c>
      <c r="U140" s="34">
        <f>IFERROR(VLOOKUP("16_"&amp;A140,SyS!$B:$P,10,FALSE()),0)</f>
      </c>
      <c r="V140" s="35">
        <f>IFERROR(VLOOKUP("16_"&amp;A140,SyS!$B:$P,12,FALSE()),0)</f>
      </c>
      <c r="W140" s="36">
        <f>+U140-V140</f>
      </c>
      <c r="X140" s="34">
        <f>IFERROR(VLOOKUP("13_"&amp;A140,SyS!$B:$P,10,FALSE()),0)</f>
      </c>
      <c r="Y140" s="35">
        <f>IFERROR(VLOOKUP("13_"&amp;A140,SyS!$B:$P,12,FALSE()),0)</f>
      </c>
      <c r="Z140" s="36">
        <f>+X140-Y140</f>
      </c>
      <c r="AA140" s="34">
        <f>IFERROR(VLOOKUP("17_"&amp;A140,SyS!$B:$P,10,FALSE()),0)</f>
      </c>
      <c r="AB140" s="35">
        <f>IFERROR(VLOOKUP("17_"&amp;A140,SyS!$B:$P,12,FALSE()),0)</f>
      </c>
      <c r="AC140" s="36">
        <f>+AA140-AB140</f>
      </c>
      <c r="AD140" s="35"/>
      <c r="AE140" s="35"/>
      <c r="AF140" s="35"/>
      <c r="AG140" s="35">
        <f>IFERROR(VLOOKUP("19_"&amp;A140,SyS!$B:$P,10,FALSE()),0)</f>
      </c>
      <c r="AH140" s="35">
        <f>IFERROR(VLOOKUP("19_"&amp;A140,SyS!$B:$P,12,FALSE()),0)</f>
      </c>
      <c r="AI140" s="35">
        <f>+AG140-AH140</f>
      </c>
      <c r="AJ140" s="35"/>
      <c r="AK140" s="35"/>
      <c r="AL140" s="35"/>
      <c r="AM140" s="34">
        <f>IFERROR(VLOOKUP("23_"&amp;A140,SyS!$B:$P,10,FALSE()),0)</f>
        <v>136.1</v>
      </c>
      <c r="AN140" s="35">
        <f>IFERROR(VLOOKUP("23_"&amp;A140,SyS!$B:$P,12,FALSE()),0)</f>
      </c>
      <c r="AO140" s="36">
        <f>+AM140-AN140</f>
        <v>136.1</v>
      </c>
      <c r="AP140" s="40"/>
      <c r="AQ140" s="40"/>
      <c r="AR140" s="40"/>
      <c r="AS140" s="40"/>
      <c r="AT140" s="40"/>
      <c r="AU140" s="40"/>
      <c r="AV140" s="40"/>
      <c r="AW140" s="40"/>
      <c r="AX140" s="40"/>
      <c r="AY140" s="40"/>
      <c r="AZ140" s="40"/>
      <c r="BA140" s="40"/>
      <c r="BB140" s="40"/>
      <c r="BC140" s="40"/>
      <c r="BD140" s="40"/>
      <c r="BE140" s="40"/>
      <c r="BF140" s="40"/>
      <c r="BG140" s="40"/>
      <c r="BH140" s="40"/>
      <c r="BI140" s="40"/>
      <c r="BJ140" s="40"/>
      <c r="BK140" s="40">
        <f>IFERROR(VLOOKUP("29_"&amp;A140,SyS!$B:$P,10,FALSE()),0)</f>
      </c>
      <c r="BL140" s="40">
        <f>IFERROR(VLOOKUP("29_"&amp;A140,SyS!$B:$P,12,FALSE()),0)</f>
      </c>
      <c r="BM140" s="40">
        <f>+BK140-BL140</f>
      </c>
      <c r="BN140" s="42">
        <f>IFERROR(VLOOKUP("30_"&amp;A140,SyS!$B:$P,10,FALSE()),0)</f>
      </c>
      <c r="BO140" s="40">
        <f>IFERROR(VLOOKUP("30_"&amp;A140,SyS!$B:$P,12,FALSE()),0)</f>
      </c>
      <c r="BP140" s="43">
        <f>+BN140-BO140</f>
      </c>
      <c r="BQ140" s="44">
        <f>+E140+H140+K140+N140+Q140+T140+W140+Z140+AC140+AF140+AI140+AL140+AO140+AR140+AU140+AX140+BA140+BD140+BG140+BJ140+BM140+BP140</f>
        <v>136.1</v>
      </c>
    </row>
    <row r="141" ht="11.25" customHeight="1" spans="1:69" x14ac:dyDescent="0.25">
      <c r="A141" s="9">
        <v>426550000</v>
      </c>
      <c r="B141" s="9" t="s">
        <v>178</v>
      </c>
      <c r="C141" s="34">
        <f>IFERROR(VLOOKUP("1_"&amp;A141,SyS!$B:$P,10,FALSE()),0)</f>
      </c>
      <c r="D141" s="35">
        <f>IFERROR(VLOOKUP("1_"&amp;A141,SyS!$B:$P,12,FALSE()),0)</f>
      </c>
      <c r="E141" s="35">
        <f>+C141-D141</f>
      </c>
      <c r="F141" s="34">
        <f>IFERROR(VLOOKUP("2_"&amp;A141,SyS!$B:$P,10,FALSE()),0)</f>
      </c>
      <c r="G141" s="35">
        <f>IFERROR(VLOOKUP("2_"&amp;A141,SyS!$B:$P,12,FALSE()),0)</f>
      </c>
      <c r="H141" s="36">
        <f>+F141-G141</f>
      </c>
      <c r="I141" s="35"/>
      <c r="J141" s="35"/>
      <c r="K141" s="35"/>
      <c r="L141" s="35"/>
      <c r="M141" s="35"/>
      <c r="N141" s="35"/>
      <c r="O141" s="34">
        <f>IFERROR(VLOOKUP("14_"&amp;A141,SyS!$B:$P,10,FALSE()),0)</f>
      </c>
      <c r="P141" s="35">
        <f>IFERROR(VLOOKUP("14_"&amp;A141,SyS!$B:$P,12,FALSE()),0)</f>
      </c>
      <c r="Q141" s="36">
        <f>+O141-P141</f>
      </c>
      <c r="R141" s="34">
        <f>IFERROR(VLOOKUP("15_"&amp;A141,SyS!$B:$P,10,FALSE()),0)</f>
      </c>
      <c r="S141" s="35">
        <f>IFERROR(VLOOKUP("15_"&amp;A141,SyS!$B:$P,12,FALSE()),0)</f>
      </c>
      <c r="T141" s="36">
        <f>+R141-S141</f>
      </c>
      <c r="U141" s="34">
        <f>IFERROR(VLOOKUP("16_"&amp;A141,SyS!$B:$P,10,FALSE()),0)</f>
      </c>
      <c r="V141" s="35">
        <f>IFERROR(VLOOKUP("16_"&amp;A141,SyS!$B:$P,12,FALSE()),0)</f>
      </c>
      <c r="W141" s="36">
        <f>+U141-V141</f>
      </c>
      <c r="X141" s="34">
        <f>IFERROR(VLOOKUP("13_"&amp;A141,SyS!$B:$P,10,FALSE()),0)</f>
      </c>
      <c r="Y141" s="35">
        <f>IFERROR(VLOOKUP("13_"&amp;A141,SyS!$B:$P,12,FALSE()),0)</f>
      </c>
      <c r="Z141" s="36">
        <f>+X141-Y141</f>
      </c>
      <c r="AA141" s="34">
        <f>IFERROR(VLOOKUP("17_"&amp;A141,SyS!$B:$P,10,FALSE()),0)</f>
      </c>
      <c r="AB141" s="35">
        <f>IFERROR(VLOOKUP("17_"&amp;A141,SyS!$B:$P,12,FALSE()),0)</f>
      </c>
      <c r="AC141" s="36">
        <f>+AA141-AB141</f>
      </c>
      <c r="AD141" s="35"/>
      <c r="AE141" s="35"/>
      <c r="AF141" s="35"/>
      <c r="AG141" s="35">
        <f>IFERROR(VLOOKUP("19_"&amp;A141,SyS!$B:$P,10,FALSE()),0)</f>
      </c>
      <c r="AH141" s="35">
        <f>IFERROR(VLOOKUP("19_"&amp;A141,SyS!$B:$P,12,FALSE()),0)</f>
      </c>
      <c r="AI141" s="35">
        <f>+AG141-AH141</f>
      </c>
      <c r="AJ141" s="35"/>
      <c r="AK141" s="35"/>
      <c r="AL141" s="35"/>
      <c r="AM141" s="34">
        <f>IFERROR(VLOOKUP("23_"&amp;A141,SyS!$B:$P,10,FALSE()),0)</f>
      </c>
      <c r="AN141" s="35">
        <f>IFERROR(VLOOKUP("23_"&amp;A141,SyS!$B:$P,12,FALSE()),0)</f>
      </c>
      <c r="AO141" s="36">
        <f>+AM141-AN141</f>
      </c>
      <c r="AP141" s="40"/>
      <c r="AQ141" s="40"/>
      <c r="AR141" s="40"/>
      <c r="AS141" s="40"/>
      <c r="AT141" s="40"/>
      <c r="AU141" s="40"/>
      <c r="AV141" s="40"/>
      <c r="AW141" s="40"/>
      <c r="AX141" s="40"/>
      <c r="AY141" s="40"/>
      <c r="AZ141" s="40"/>
      <c r="BA141" s="40"/>
      <c r="BB141" s="40"/>
      <c r="BC141" s="40"/>
      <c r="BD141" s="40"/>
      <c r="BE141" s="40"/>
      <c r="BF141" s="40"/>
      <c r="BG141" s="40"/>
      <c r="BH141" s="40"/>
      <c r="BI141" s="40"/>
      <c r="BJ141" s="40"/>
      <c r="BK141" s="40">
        <f>IFERROR(VLOOKUP("29_"&amp;A141,SyS!$B:$P,10,FALSE()),0)</f>
      </c>
      <c r="BL141" s="40">
        <f>IFERROR(VLOOKUP("29_"&amp;A141,SyS!$B:$P,12,FALSE()),0)</f>
      </c>
      <c r="BM141" s="40">
        <f>+BK141-BL141</f>
      </c>
      <c r="BN141" s="42">
        <f>IFERROR(VLOOKUP("30_"&amp;A141,SyS!$B:$P,10,FALSE()),0)</f>
      </c>
      <c r="BO141" s="40">
        <f>IFERROR(VLOOKUP("30_"&amp;A141,SyS!$B:$P,12,FALSE()),0)</f>
      </c>
      <c r="BP141" s="43">
        <f>+BN141-BO141</f>
      </c>
      <c r="BQ141" s="44">
        <f>+E141+H141+K141+N141+Q141+T141+W141+Z141+AC141+AF141+AI141+AL141+AO141+AR141+AU141+AX141+BA141+BD141+BG141+BJ141+BM141+BP141</f>
      </c>
    </row>
    <row r="142" ht="11.25" customHeight="1" spans="1:69" x14ac:dyDescent="0.25">
      <c r="A142" s="9">
        <v>426480000</v>
      </c>
      <c r="B142" s="9" t="s">
        <v>179</v>
      </c>
      <c r="C142" s="34">
        <f>IFERROR(VLOOKUP("1_"&amp;A142,SyS!$B:$P,10,FALSE()),0)</f>
      </c>
      <c r="D142" s="35">
        <f>IFERROR(VLOOKUP("1_"&amp;A142,SyS!$B:$P,12,FALSE()),0)</f>
      </c>
      <c r="E142" s="35">
        <f>+C142-D142</f>
      </c>
      <c r="F142" s="34">
        <f>IFERROR(VLOOKUP("2_"&amp;A142,SyS!$B:$P,10,FALSE()),0)</f>
      </c>
      <c r="G142" s="35">
        <f>IFERROR(VLOOKUP("2_"&amp;A142,SyS!$B:$P,12,FALSE()),0)</f>
      </c>
      <c r="H142" s="36">
        <f>+F142-G142</f>
      </c>
      <c r="I142" s="35"/>
      <c r="J142" s="35"/>
      <c r="K142" s="35"/>
      <c r="L142" s="35"/>
      <c r="M142" s="35"/>
      <c r="N142" s="35"/>
      <c r="O142" s="34">
        <f>IFERROR(VLOOKUP("14_"&amp;A142,SyS!$B:$P,10,FALSE()),0)</f>
      </c>
      <c r="P142" s="35">
        <f>IFERROR(VLOOKUP("14_"&amp;A142,SyS!$B:$P,12,FALSE()),0)</f>
      </c>
      <c r="Q142" s="36">
        <f>+O142-P142</f>
      </c>
      <c r="R142" s="34">
        <f>IFERROR(VLOOKUP("15_"&amp;A142,SyS!$B:$P,10,FALSE()),0)</f>
      </c>
      <c r="S142" s="35">
        <f>IFERROR(VLOOKUP("15_"&amp;A142,SyS!$B:$P,12,FALSE()),0)</f>
      </c>
      <c r="T142" s="36">
        <f>+R142-S142</f>
      </c>
      <c r="U142" s="34">
        <f>IFERROR(VLOOKUP("16_"&amp;A142,SyS!$B:$P,10,FALSE()),0)</f>
      </c>
      <c r="V142" s="35">
        <f>IFERROR(VLOOKUP("16_"&amp;A142,SyS!$B:$P,12,FALSE()),0)</f>
      </c>
      <c r="W142" s="36">
        <f>+U142-V142</f>
      </c>
      <c r="X142" s="34">
        <f>IFERROR(VLOOKUP("13_"&amp;A142,SyS!$B:$P,10,FALSE()),0)</f>
      </c>
      <c r="Y142" s="35">
        <f>IFERROR(VLOOKUP("13_"&amp;A142,SyS!$B:$P,12,FALSE()),0)</f>
      </c>
      <c r="Z142" s="36">
        <f>+X142-Y142</f>
      </c>
      <c r="AA142" s="34">
        <f>IFERROR(VLOOKUP("17_"&amp;A142,SyS!$B:$P,10,FALSE()),0)</f>
      </c>
      <c r="AB142" s="35">
        <f>IFERROR(VLOOKUP("17_"&amp;A142,SyS!$B:$P,12,FALSE()),0)</f>
      </c>
      <c r="AC142" s="36">
        <f>+AA142-AB142</f>
      </c>
      <c r="AD142" s="35"/>
      <c r="AE142" s="35"/>
      <c r="AF142" s="35"/>
      <c r="AG142" s="35">
        <f>IFERROR(VLOOKUP("19_"&amp;A142,SyS!$B:$P,10,FALSE()),0)</f>
      </c>
      <c r="AH142" s="35">
        <f>IFERROR(VLOOKUP("19_"&amp;A142,SyS!$B:$P,12,FALSE()),0)</f>
      </c>
      <c r="AI142" s="35">
        <f>+AG142-AH142</f>
      </c>
      <c r="AJ142" s="35"/>
      <c r="AK142" s="35"/>
      <c r="AL142" s="35"/>
      <c r="AM142" s="34">
        <f>IFERROR(VLOOKUP("23_"&amp;A142,SyS!$B:$P,10,FALSE()),0)</f>
      </c>
      <c r="AN142" s="35">
        <f>IFERROR(VLOOKUP("23_"&amp;A142,SyS!$B:$P,12,FALSE()),0)</f>
      </c>
      <c r="AO142" s="36">
        <f>+AM142-AN142</f>
      </c>
      <c r="AP142" s="40"/>
      <c r="AQ142" s="40"/>
      <c r="AR142" s="40"/>
      <c r="AS142" s="40"/>
      <c r="AT142" s="40"/>
      <c r="AU142" s="40"/>
      <c r="AV142" s="40"/>
      <c r="AW142" s="40"/>
      <c r="AX142" s="40"/>
      <c r="AY142" s="40"/>
      <c r="AZ142" s="40"/>
      <c r="BA142" s="40"/>
      <c r="BB142" s="40"/>
      <c r="BC142" s="40"/>
      <c r="BD142" s="40"/>
      <c r="BE142" s="40"/>
      <c r="BF142" s="40"/>
      <c r="BG142" s="40"/>
      <c r="BH142" s="40"/>
      <c r="BI142" s="40"/>
      <c r="BJ142" s="40"/>
      <c r="BK142" s="40">
        <f>IFERROR(VLOOKUP("29_"&amp;A142,SyS!$B:$P,10,FALSE()),0)</f>
      </c>
      <c r="BL142" s="40">
        <f>IFERROR(VLOOKUP("29_"&amp;A142,SyS!$B:$P,12,FALSE()),0)</f>
      </c>
      <c r="BM142" s="40">
        <f>+BK142-BL142</f>
      </c>
      <c r="BN142" s="42">
        <f>IFERROR(VLOOKUP("30_"&amp;A142,SyS!$B:$P,10,FALSE()),0)</f>
      </c>
      <c r="BO142" s="40">
        <f>IFERROR(VLOOKUP("30_"&amp;A142,SyS!$B:$P,12,FALSE()),0)</f>
      </c>
      <c r="BP142" s="43">
        <f>+BN142-BO142</f>
      </c>
      <c r="BQ142" s="44">
        <f>+E142+H142+K142+N142+Q142+T142+W142+Z142+AC142+AF142+AI142+AL142+AO142+AR142+AU142+AX142+BA142+BD142+BG142+BJ142+BM142+BP142</f>
      </c>
    </row>
    <row r="143" ht="11.25" customHeight="1" spans="1:69" x14ac:dyDescent="0.25">
      <c r="A143" s="9">
        <v>426490000</v>
      </c>
      <c r="B143" s="9" t="s">
        <v>180</v>
      </c>
      <c r="C143" s="34">
        <f>IFERROR(VLOOKUP("1_"&amp;A143,SyS!$B:$P,10,FALSE()),0)</f>
      </c>
      <c r="D143" s="35">
        <f>IFERROR(VLOOKUP("1_"&amp;A143,SyS!$B:$P,12,FALSE()),0)</f>
      </c>
      <c r="E143" s="35">
        <f>+C143-D143</f>
      </c>
      <c r="F143" s="34">
        <f>IFERROR(VLOOKUP("2_"&amp;A143,SyS!$B:$P,10,FALSE()),0)</f>
      </c>
      <c r="G143" s="35">
        <f>IFERROR(VLOOKUP("2_"&amp;A143,SyS!$B:$P,12,FALSE()),0)</f>
      </c>
      <c r="H143" s="36">
        <f>+F143-G143</f>
      </c>
      <c r="I143" s="35"/>
      <c r="J143" s="35"/>
      <c r="K143" s="35"/>
      <c r="L143" s="35"/>
      <c r="M143" s="35"/>
      <c r="N143" s="35"/>
      <c r="O143" s="34">
        <f>IFERROR(VLOOKUP("14_"&amp;A143,SyS!$B:$P,10,FALSE()),0)</f>
      </c>
      <c r="P143" s="35">
        <f>IFERROR(VLOOKUP("14_"&amp;A143,SyS!$B:$P,12,FALSE()),0)</f>
      </c>
      <c r="Q143" s="36">
        <f>+O143-P143</f>
      </c>
      <c r="R143" s="34">
        <f>IFERROR(VLOOKUP("15_"&amp;A143,SyS!$B:$P,10,FALSE()),0)</f>
      </c>
      <c r="S143" s="35">
        <f>IFERROR(VLOOKUP("15_"&amp;A143,SyS!$B:$P,12,FALSE()),0)</f>
      </c>
      <c r="T143" s="36">
        <f>+R143-S143</f>
      </c>
      <c r="U143" s="34">
        <f>IFERROR(VLOOKUP("16_"&amp;A143,SyS!$B:$P,10,FALSE()),0)</f>
      </c>
      <c r="V143" s="35">
        <f>IFERROR(VLOOKUP("16_"&amp;A143,SyS!$B:$P,12,FALSE()),0)</f>
      </c>
      <c r="W143" s="36">
        <f>+U143-V143</f>
      </c>
      <c r="X143" s="34">
        <f>IFERROR(VLOOKUP("13_"&amp;A143,SyS!$B:$P,10,FALSE()),0)</f>
      </c>
      <c r="Y143" s="35">
        <f>IFERROR(VLOOKUP("13_"&amp;A143,SyS!$B:$P,12,FALSE()),0)</f>
      </c>
      <c r="Z143" s="36">
        <f>+X143-Y143</f>
      </c>
      <c r="AA143" s="34">
        <f>IFERROR(VLOOKUP("17_"&amp;A143,SyS!$B:$P,10,FALSE()),0)</f>
      </c>
      <c r="AB143" s="35">
        <f>IFERROR(VLOOKUP("17_"&amp;A143,SyS!$B:$P,12,FALSE()),0)</f>
      </c>
      <c r="AC143" s="36">
        <f>+AA143-AB143</f>
      </c>
      <c r="AD143" s="35"/>
      <c r="AE143" s="35"/>
      <c r="AF143" s="35"/>
      <c r="AG143" s="35">
        <f>IFERROR(VLOOKUP("19_"&amp;A143,SyS!$B:$P,10,FALSE()),0)</f>
      </c>
      <c r="AH143" s="35">
        <f>IFERROR(VLOOKUP("19_"&amp;A143,SyS!$B:$P,12,FALSE()),0)</f>
      </c>
      <c r="AI143" s="35">
        <f>+AG143-AH143</f>
      </c>
      <c r="AJ143" s="35"/>
      <c r="AK143" s="35"/>
      <c r="AL143" s="35"/>
      <c r="AM143" s="34">
        <f>IFERROR(VLOOKUP("23_"&amp;A143,SyS!$B:$P,10,FALSE()),0)</f>
      </c>
      <c r="AN143" s="35">
        <f>IFERROR(VLOOKUP("23_"&amp;A143,SyS!$B:$P,12,FALSE()),0)</f>
      </c>
      <c r="AO143" s="36">
        <f>+AM143-AN143</f>
      </c>
      <c r="AP143" s="40"/>
      <c r="AQ143" s="40"/>
      <c r="AR143" s="40"/>
      <c r="AS143" s="40"/>
      <c r="AT143" s="40"/>
      <c r="AU143" s="40"/>
      <c r="AV143" s="40"/>
      <c r="AW143" s="40"/>
      <c r="AX143" s="40"/>
      <c r="AY143" s="40"/>
      <c r="AZ143" s="40"/>
      <c r="BA143" s="40"/>
      <c r="BB143" s="40"/>
      <c r="BC143" s="40"/>
      <c r="BD143" s="40"/>
      <c r="BE143" s="40"/>
      <c r="BF143" s="40"/>
      <c r="BG143" s="40"/>
      <c r="BH143" s="40"/>
      <c r="BI143" s="40"/>
      <c r="BJ143" s="40"/>
      <c r="BK143" s="40">
        <f>IFERROR(VLOOKUP("29_"&amp;A143,SyS!$B:$P,10,FALSE()),0)</f>
      </c>
      <c r="BL143" s="40">
        <f>IFERROR(VLOOKUP("29_"&amp;A143,SyS!$B:$P,12,FALSE()),0)</f>
      </c>
      <c r="BM143" s="40">
        <f>+BK143-BL143</f>
      </c>
      <c r="BN143" s="42">
        <f>IFERROR(VLOOKUP("30_"&amp;A143,SyS!$B:$P,10,FALSE()),0)</f>
      </c>
      <c r="BO143" s="40">
        <f>IFERROR(VLOOKUP("30_"&amp;A143,SyS!$B:$P,12,FALSE()),0)</f>
      </c>
      <c r="BP143" s="43">
        <f>+BN143-BO143</f>
      </c>
      <c r="BQ143" s="44">
        <f>+E143+H143+K143+N143+Q143+T143+W143+Z143+AC143+AF143+AI143+AL143+AO143+AR143+AU143+AX143+BA143+BD143+BG143+BJ143+BM143+BP143</f>
      </c>
    </row>
    <row r="144" ht="11.25" customHeight="1" spans="1:69" x14ac:dyDescent="0.25">
      <c r="A144" s="9">
        <v>426500000</v>
      </c>
      <c r="B144" s="9" t="s">
        <v>181</v>
      </c>
      <c r="C144" s="34">
        <f>IFERROR(VLOOKUP("1_"&amp;A144,SyS!$B:$P,10,FALSE()),0)</f>
      </c>
      <c r="D144" s="35">
        <f>IFERROR(VLOOKUP("1_"&amp;A144,SyS!$B:$P,12,FALSE()),0)</f>
      </c>
      <c r="E144" s="35">
        <f>+C144-D144</f>
      </c>
      <c r="F144" s="34">
        <f>IFERROR(VLOOKUP("2_"&amp;A144,SyS!$B:$P,10,FALSE()),0)</f>
      </c>
      <c r="G144" s="35">
        <f>IFERROR(VLOOKUP("2_"&amp;A144,SyS!$B:$P,12,FALSE()),0)</f>
      </c>
      <c r="H144" s="36">
        <f>+F144-G144</f>
      </c>
      <c r="I144" s="35"/>
      <c r="J144" s="35"/>
      <c r="K144" s="35"/>
      <c r="L144" s="35"/>
      <c r="M144" s="35"/>
      <c r="N144" s="35"/>
      <c r="O144" s="34">
        <f>IFERROR(VLOOKUP("14_"&amp;A144,SyS!$B:$P,10,FALSE()),0)</f>
      </c>
      <c r="P144" s="35">
        <f>IFERROR(VLOOKUP("14_"&amp;A144,SyS!$B:$P,12,FALSE()),0)</f>
      </c>
      <c r="Q144" s="36">
        <f>+O144-P144</f>
      </c>
      <c r="R144" s="34">
        <f>IFERROR(VLOOKUP("15_"&amp;A144,SyS!$B:$P,10,FALSE()),0)</f>
      </c>
      <c r="S144" s="35">
        <f>IFERROR(VLOOKUP("15_"&amp;A144,SyS!$B:$P,12,FALSE()),0)</f>
      </c>
      <c r="T144" s="36">
        <f>+R144-S144</f>
      </c>
      <c r="U144" s="34">
        <f>IFERROR(VLOOKUP("16_"&amp;A144,SyS!$B:$P,10,FALSE()),0)</f>
      </c>
      <c r="V144" s="35">
        <f>IFERROR(VLOOKUP("16_"&amp;A144,SyS!$B:$P,12,FALSE()),0)</f>
      </c>
      <c r="W144" s="36">
        <f>+U144-V144</f>
      </c>
      <c r="X144" s="34">
        <f>IFERROR(VLOOKUP("13_"&amp;A144,SyS!$B:$P,10,FALSE()),0)</f>
      </c>
      <c r="Y144" s="35">
        <f>IFERROR(VLOOKUP("13_"&amp;A144,SyS!$B:$P,12,FALSE()),0)</f>
      </c>
      <c r="Z144" s="36">
        <f>+X144-Y144</f>
      </c>
      <c r="AA144" s="34">
        <f>IFERROR(VLOOKUP("17_"&amp;A144,SyS!$B:$P,10,FALSE()),0)</f>
      </c>
      <c r="AB144" s="35">
        <f>IFERROR(VLOOKUP("17_"&amp;A144,SyS!$B:$P,12,FALSE()),0)</f>
      </c>
      <c r="AC144" s="36">
        <f>+AA144-AB144</f>
      </c>
      <c r="AD144" s="35"/>
      <c r="AE144" s="35"/>
      <c r="AF144" s="35"/>
      <c r="AG144" s="35">
        <f>IFERROR(VLOOKUP("19_"&amp;A144,SyS!$B:$P,10,FALSE()),0)</f>
      </c>
      <c r="AH144" s="35">
        <f>IFERROR(VLOOKUP("19_"&amp;A144,SyS!$B:$P,12,FALSE()),0)</f>
      </c>
      <c r="AI144" s="35">
        <f>+AG144-AH144</f>
      </c>
      <c r="AJ144" s="35"/>
      <c r="AK144" s="35"/>
      <c r="AL144" s="35"/>
      <c r="AM144" s="34">
        <f>IFERROR(VLOOKUP("23_"&amp;A144,SyS!$B:$P,10,FALSE()),0)</f>
      </c>
      <c r="AN144" s="35">
        <f>IFERROR(VLOOKUP("23_"&amp;A144,SyS!$B:$P,12,FALSE()),0)</f>
      </c>
      <c r="AO144" s="36">
        <f>+AM144-AN144</f>
      </c>
      <c r="AP144" s="40"/>
      <c r="AQ144" s="40"/>
      <c r="AR144" s="40"/>
      <c r="AS144" s="40"/>
      <c r="AT144" s="40"/>
      <c r="AU144" s="40"/>
      <c r="AV144" s="40"/>
      <c r="AW144" s="40"/>
      <c r="AX144" s="40"/>
      <c r="AY144" s="40"/>
      <c r="AZ144" s="40"/>
      <c r="BA144" s="40"/>
      <c r="BB144" s="40"/>
      <c r="BC144" s="40"/>
      <c r="BD144" s="40"/>
      <c r="BE144" s="40"/>
      <c r="BF144" s="40"/>
      <c r="BG144" s="40"/>
      <c r="BH144" s="40"/>
      <c r="BI144" s="40"/>
      <c r="BJ144" s="40"/>
      <c r="BK144" s="40">
        <f>IFERROR(VLOOKUP("29_"&amp;A144,SyS!$B:$P,10,FALSE()),0)</f>
      </c>
      <c r="BL144" s="40">
        <f>IFERROR(VLOOKUP("29_"&amp;A144,SyS!$B:$P,12,FALSE()),0)</f>
      </c>
      <c r="BM144" s="40">
        <f>+BK144-BL144</f>
      </c>
      <c r="BN144" s="42">
        <f>IFERROR(VLOOKUP("30_"&amp;A144,SyS!$B:$P,10,FALSE()),0)</f>
      </c>
      <c r="BO144" s="40">
        <f>IFERROR(VLOOKUP("30_"&amp;A144,SyS!$B:$P,12,FALSE()),0)</f>
      </c>
      <c r="BP144" s="43">
        <f>+BN144-BO144</f>
      </c>
      <c r="BQ144" s="44">
        <f>+E144+H144+K144+N144+Q144+T144+W144+Z144+AC144+AF144+AI144+AL144+AO144+AR144+AU144+AX144+BA144+BD144+BG144+BJ144+BM144+BP144</f>
      </c>
    </row>
    <row r="145" ht="11.25" customHeight="1" spans="1:69" x14ac:dyDescent="0.25">
      <c r="A145" s="9">
        <v>426590000</v>
      </c>
      <c r="B145" s="9" t="s">
        <v>182</v>
      </c>
      <c r="C145" s="34">
        <f>IFERROR(VLOOKUP("1_"&amp;A145,SyS!$B:$P,10,FALSE()),0)</f>
      </c>
      <c r="D145" s="35">
        <f>IFERROR(VLOOKUP("1_"&amp;A145,SyS!$B:$P,12,FALSE()),0)</f>
      </c>
      <c r="E145" s="35">
        <f>+C145-D145</f>
      </c>
      <c r="F145" s="34">
        <f>IFERROR(VLOOKUP("2_"&amp;A145,SyS!$B:$P,10,FALSE()),0)</f>
      </c>
      <c r="G145" s="35">
        <f>IFERROR(VLOOKUP("2_"&amp;A145,SyS!$B:$P,12,FALSE()),0)</f>
      </c>
      <c r="H145" s="36">
        <f>+F145-G145</f>
      </c>
      <c r="I145" s="35"/>
      <c r="J145" s="35"/>
      <c r="K145" s="35"/>
      <c r="L145" s="35"/>
      <c r="M145" s="35"/>
      <c r="N145" s="35"/>
      <c r="O145" s="34">
        <f>IFERROR(VLOOKUP("14_"&amp;A145,SyS!$B:$P,10,FALSE()),0)</f>
      </c>
      <c r="P145" s="35">
        <f>IFERROR(VLOOKUP("14_"&amp;A145,SyS!$B:$P,12,FALSE()),0)</f>
      </c>
      <c r="Q145" s="36">
        <f>+O145-P145</f>
      </c>
      <c r="R145" s="34">
        <f>IFERROR(VLOOKUP("15_"&amp;A145,SyS!$B:$P,10,FALSE()),0)</f>
      </c>
      <c r="S145" s="35">
        <f>IFERROR(VLOOKUP("15_"&amp;A145,SyS!$B:$P,12,FALSE()),0)</f>
      </c>
      <c r="T145" s="36">
        <f>+R145-S145</f>
      </c>
      <c r="U145" s="34">
        <f>IFERROR(VLOOKUP("16_"&amp;A145,SyS!$B:$P,10,FALSE()),0)</f>
      </c>
      <c r="V145" s="35">
        <f>IFERROR(VLOOKUP("16_"&amp;A145,SyS!$B:$P,12,FALSE()),0)</f>
      </c>
      <c r="W145" s="36">
        <f>+U145-V145</f>
      </c>
      <c r="X145" s="34">
        <f>IFERROR(VLOOKUP("13_"&amp;A145,SyS!$B:$P,10,FALSE()),0)</f>
      </c>
      <c r="Y145" s="35">
        <f>IFERROR(VLOOKUP("13_"&amp;A145,SyS!$B:$P,12,FALSE()),0)</f>
      </c>
      <c r="Z145" s="36">
        <f>+X145-Y145</f>
      </c>
      <c r="AA145" s="34">
        <f>IFERROR(VLOOKUP("17_"&amp;A145,SyS!$B:$P,10,FALSE()),0)</f>
      </c>
      <c r="AB145" s="35">
        <f>IFERROR(VLOOKUP("17_"&amp;A145,SyS!$B:$P,12,FALSE()),0)</f>
      </c>
      <c r="AC145" s="36">
        <f>+AA145-AB145</f>
      </c>
      <c r="AD145" s="35"/>
      <c r="AE145" s="35"/>
      <c r="AF145" s="35"/>
      <c r="AG145" s="35">
        <f>IFERROR(VLOOKUP("19_"&amp;A145,SyS!$B:$P,10,FALSE()),0)</f>
      </c>
      <c r="AH145" s="35">
        <f>IFERROR(VLOOKUP("19_"&amp;A145,SyS!$B:$P,12,FALSE()),0)</f>
      </c>
      <c r="AI145" s="35">
        <f>+AG145-AH145</f>
      </c>
      <c r="AJ145" s="35"/>
      <c r="AK145" s="35"/>
      <c r="AL145" s="35"/>
      <c r="AM145" s="34">
        <f>IFERROR(VLOOKUP("23_"&amp;A145,SyS!$B:$P,10,FALSE()),0)</f>
      </c>
      <c r="AN145" s="35">
        <f>IFERROR(VLOOKUP("23_"&amp;A145,SyS!$B:$P,12,FALSE()),0)</f>
      </c>
      <c r="AO145" s="36">
        <f>+AM145-AN145</f>
      </c>
      <c r="AP145" s="40"/>
      <c r="AQ145" s="40"/>
      <c r="AR145" s="40"/>
      <c r="AS145" s="40"/>
      <c r="AT145" s="40"/>
      <c r="AU145" s="40"/>
      <c r="AV145" s="40"/>
      <c r="AW145" s="40"/>
      <c r="AX145" s="40"/>
      <c r="AY145" s="40"/>
      <c r="AZ145" s="40"/>
      <c r="BA145" s="40"/>
      <c r="BB145" s="40"/>
      <c r="BC145" s="40"/>
      <c r="BD145" s="40"/>
      <c r="BE145" s="40"/>
      <c r="BF145" s="40"/>
      <c r="BG145" s="40"/>
      <c r="BH145" s="40"/>
      <c r="BI145" s="40"/>
      <c r="BJ145" s="40"/>
      <c r="BK145" s="40">
        <f>IFERROR(VLOOKUP("29_"&amp;A145,SyS!$B:$P,10,FALSE()),0)</f>
      </c>
      <c r="BL145" s="40">
        <f>IFERROR(VLOOKUP("29_"&amp;A145,SyS!$B:$P,12,FALSE()),0)</f>
      </c>
      <c r="BM145" s="40">
        <f>+BK145-BL145</f>
      </c>
      <c r="BN145" s="42">
        <f>IFERROR(VLOOKUP("30_"&amp;A145,SyS!$B:$P,10,FALSE()),0)</f>
      </c>
      <c r="BO145" s="40">
        <f>IFERROR(VLOOKUP("30_"&amp;A145,SyS!$B:$P,12,FALSE()),0)</f>
      </c>
      <c r="BP145" s="43">
        <f>+BN145-BO145</f>
      </c>
      <c r="BQ145" s="44">
        <f>+E145+H145+K145+N145+Q145+T145+W145+Z145+AC145+AF145+AI145+AL145+AO145+AR145+AU145+AX145+BA145+BD145+BG145+BJ145+BM145+BP145</f>
      </c>
    </row>
    <row r="146" ht="11.25" customHeight="1" spans="1:69" x14ac:dyDescent="0.25">
      <c r="A146" s="9">
        <v>426600000</v>
      </c>
      <c r="B146" s="9" t="s">
        <v>183</v>
      </c>
      <c r="C146" s="34">
        <f>IFERROR(VLOOKUP("1_"&amp;A146,SyS!$B:$P,10,FALSE()),0)</f>
      </c>
      <c r="D146" s="35">
        <f>IFERROR(VLOOKUP("1_"&amp;A146,SyS!$B:$P,12,FALSE()),0)</f>
      </c>
      <c r="E146" s="35">
        <f>+C146-D146</f>
      </c>
      <c r="F146" s="34">
        <f>IFERROR(VLOOKUP("2_"&amp;A146,SyS!$B:$P,10,FALSE()),0)</f>
      </c>
      <c r="G146" s="35">
        <f>IFERROR(VLOOKUP("2_"&amp;A146,SyS!$B:$P,12,FALSE()),0)</f>
      </c>
      <c r="H146" s="36">
        <f>+F146-G146</f>
      </c>
      <c r="I146" s="35"/>
      <c r="J146" s="35"/>
      <c r="K146" s="35"/>
      <c r="L146" s="35"/>
      <c r="M146" s="35"/>
      <c r="N146" s="35"/>
      <c r="O146" s="34">
        <f>IFERROR(VLOOKUP("14_"&amp;A146,SyS!$B:$P,10,FALSE()),0)</f>
      </c>
      <c r="P146" s="35">
        <f>IFERROR(VLOOKUP("14_"&amp;A146,SyS!$B:$P,12,FALSE()),0)</f>
      </c>
      <c r="Q146" s="36">
        <f>+O146-P146</f>
      </c>
      <c r="R146" s="34">
        <f>IFERROR(VLOOKUP("15_"&amp;A146,SyS!$B:$P,10,FALSE()),0)</f>
      </c>
      <c r="S146" s="35">
        <f>IFERROR(VLOOKUP("15_"&amp;A146,SyS!$B:$P,12,FALSE()),0)</f>
      </c>
      <c r="T146" s="36">
        <f>+R146-S146</f>
      </c>
      <c r="U146" s="34">
        <f>IFERROR(VLOOKUP("16_"&amp;A146,SyS!$B:$P,10,FALSE()),0)</f>
      </c>
      <c r="V146" s="35">
        <f>IFERROR(VLOOKUP("16_"&amp;A146,SyS!$B:$P,12,FALSE()),0)</f>
      </c>
      <c r="W146" s="36">
        <f>+U146-V146</f>
      </c>
      <c r="X146" s="34">
        <f>IFERROR(VLOOKUP("13_"&amp;A146,SyS!$B:$P,10,FALSE()),0)</f>
      </c>
      <c r="Y146" s="35">
        <f>IFERROR(VLOOKUP("13_"&amp;A146,SyS!$B:$P,12,FALSE()),0)</f>
      </c>
      <c r="Z146" s="36">
        <f>+X146-Y146</f>
      </c>
      <c r="AA146" s="34">
        <f>IFERROR(VLOOKUP("17_"&amp;A146,SyS!$B:$P,10,FALSE()),0)</f>
      </c>
      <c r="AB146" s="35">
        <f>IFERROR(VLOOKUP("17_"&amp;A146,SyS!$B:$P,12,FALSE()),0)</f>
      </c>
      <c r="AC146" s="36">
        <f>+AA146-AB146</f>
      </c>
      <c r="AD146" s="35"/>
      <c r="AE146" s="35"/>
      <c r="AF146" s="35"/>
      <c r="AG146" s="35">
        <f>IFERROR(VLOOKUP("19_"&amp;A146,SyS!$B:$P,10,FALSE()),0)</f>
      </c>
      <c r="AH146" s="35">
        <f>IFERROR(VLOOKUP("19_"&amp;A146,SyS!$B:$P,12,FALSE()),0)</f>
      </c>
      <c r="AI146" s="35">
        <f>+AG146-AH146</f>
      </c>
      <c r="AJ146" s="35"/>
      <c r="AK146" s="35"/>
      <c r="AL146" s="35"/>
      <c r="AM146" s="34">
        <f>IFERROR(VLOOKUP("23_"&amp;A146,SyS!$B:$P,10,FALSE()),0)</f>
      </c>
      <c r="AN146" s="35">
        <f>IFERROR(VLOOKUP("23_"&amp;A146,SyS!$B:$P,12,FALSE()),0)</f>
      </c>
      <c r="AO146" s="36">
        <f>+AM146-AN146</f>
      </c>
      <c r="AP146" s="40"/>
      <c r="AQ146" s="40"/>
      <c r="AR146" s="40"/>
      <c r="AS146" s="40"/>
      <c r="AT146" s="40"/>
      <c r="AU146" s="40"/>
      <c r="AV146" s="40"/>
      <c r="AW146" s="40"/>
      <c r="AX146" s="40"/>
      <c r="AY146" s="40"/>
      <c r="AZ146" s="40"/>
      <c r="BA146" s="40"/>
      <c r="BB146" s="40"/>
      <c r="BC146" s="40"/>
      <c r="BD146" s="40"/>
      <c r="BE146" s="40"/>
      <c r="BF146" s="40"/>
      <c r="BG146" s="40"/>
      <c r="BH146" s="40"/>
      <c r="BI146" s="40"/>
      <c r="BJ146" s="40"/>
      <c r="BK146" s="40">
        <f>IFERROR(VLOOKUP("29_"&amp;A146,SyS!$B:$P,10,FALSE()),0)</f>
      </c>
      <c r="BL146" s="40">
        <f>IFERROR(VLOOKUP("29_"&amp;A146,SyS!$B:$P,12,FALSE()),0)</f>
      </c>
      <c r="BM146" s="40">
        <f>+BK146-BL146</f>
      </c>
      <c r="BN146" s="42">
        <f>IFERROR(VLOOKUP("30_"&amp;A146,SyS!$B:$P,10,FALSE()),0)</f>
      </c>
      <c r="BO146" s="40">
        <f>IFERROR(VLOOKUP("30_"&amp;A146,SyS!$B:$P,12,FALSE()),0)</f>
      </c>
      <c r="BP146" s="43">
        <f>+BN146-BO146</f>
      </c>
      <c r="BQ146" s="44">
        <f>+E146+H146+K146+N146+Q146+T146+W146+Z146+AC146+AF146+AI146+AL146+AO146+AR146+AU146+AX146+BA146+BD146+BG146+BJ146+BM146+BP146</f>
      </c>
    </row>
    <row r="147" ht="11.25" customHeight="1" spans="1:69" x14ac:dyDescent="0.25">
      <c r="A147" s="9">
        <v>426700000</v>
      </c>
      <c r="B147" s="9" t="s">
        <v>184</v>
      </c>
      <c r="C147" s="34">
        <f>IFERROR(VLOOKUP("1_"&amp;A147,SyS!$B:$P,10,FALSE()),0)</f>
      </c>
      <c r="D147" s="35">
        <f>IFERROR(VLOOKUP("1_"&amp;A147,SyS!$B:$P,12,FALSE()),0)</f>
      </c>
      <c r="E147" s="35">
        <f>+C147-D147</f>
      </c>
      <c r="F147" s="34">
        <f>IFERROR(VLOOKUP("2_"&amp;A147,SyS!$B:$P,10,FALSE()),0)</f>
      </c>
      <c r="G147" s="35">
        <f>IFERROR(VLOOKUP("2_"&amp;A147,SyS!$B:$P,12,FALSE()),0)</f>
      </c>
      <c r="H147" s="36">
        <f>+F147-G147</f>
      </c>
      <c r="I147" s="35"/>
      <c r="J147" s="35"/>
      <c r="K147" s="35"/>
      <c r="L147" s="35"/>
      <c r="M147" s="35"/>
      <c r="N147" s="35"/>
      <c r="O147" s="34">
        <f>IFERROR(VLOOKUP("14_"&amp;A147,SyS!$B:$P,10,FALSE()),0)</f>
      </c>
      <c r="P147" s="35">
        <f>IFERROR(VLOOKUP("14_"&amp;A147,SyS!$B:$P,12,FALSE()),0)</f>
      </c>
      <c r="Q147" s="36">
        <f>+O147-P147</f>
      </c>
      <c r="R147" s="34">
        <f>IFERROR(VLOOKUP("15_"&amp;A147,SyS!$B:$P,10,FALSE()),0)</f>
      </c>
      <c r="S147" s="35">
        <f>IFERROR(VLOOKUP("15_"&amp;A147,SyS!$B:$P,12,FALSE()),0)</f>
      </c>
      <c r="T147" s="36">
        <f>+R147-S147</f>
      </c>
      <c r="U147" s="34">
        <f>IFERROR(VLOOKUP("16_"&amp;A147,SyS!$B:$P,10,FALSE()),0)</f>
      </c>
      <c r="V147" s="35">
        <f>IFERROR(VLOOKUP("16_"&amp;A147,SyS!$B:$P,12,FALSE()),0)</f>
      </c>
      <c r="W147" s="36">
        <f>+U147-V147</f>
      </c>
      <c r="X147" s="34">
        <f>IFERROR(VLOOKUP("13_"&amp;A147,SyS!$B:$P,10,FALSE()),0)</f>
      </c>
      <c r="Y147" s="35">
        <f>IFERROR(VLOOKUP("13_"&amp;A147,SyS!$B:$P,12,FALSE()),0)</f>
      </c>
      <c r="Z147" s="36">
        <f>+X147-Y147</f>
      </c>
      <c r="AA147" s="34">
        <f>IFERROR(VLOOKUP("17_"&amp;A147,SyS!$B:$P,10,FALSE()),0)</f>
      </c>
      <c r="AB147" s="35">
        <f>IFERROR(VLOOKUP("17_"&amp;A147,SyS!$B:$P,12,FALSE()),0)</f>
      </c>
      <c r="AC147" s="36">
        <f>+AA147-AB147</f>
      </c>
      <c r="AD147" s="35"/>
      <c r="AE147" s="35"/>
      <c r="AF147" s="35"/>
      <c r="AG147" s="35">
        <f>IFERROR(VLOOKUP("19_"&amp;A147,SyS!$B:$P,10,FALSE()),0)</f>
      </c>
      <c r="AH147" s="35">
        <f>IFERROR(VLOOKUP("19_"&amp;A147,SyS!$B:$P,12,FALSE()),0)</f>
      </c>
      <c r="AI147" s="35">
        <f>+AG147-AH147</f>
      </c>
      <c r="AJ147" s="35"/>
      <c r="AK147" s="35"/>
      <c r="AL147" s="35"/>
      <c r="AM147" s="34">
        <f>IFERROR(VLOOKUP("23_"&amp;A147,SyS!$B:$P,10,FALSE()),0)</f>
      </c>
      <c r="AN147" s="35">
        <f>IFERROR(VLOOKUP("23_"&amp;A147,SyS!$B:$P,12,FALSE()),0)</f>
      </c>
      <c r="AO147" s="36">
        <f>+AM147-AN147</f>
      </c>
      <c r="AP147" s="40"/>
      <c r="AQ147" s="40"/>
      <c r="AR147" s="40"/>
      <c r="AS147" s="40"/>
      <c r="AT147" s="40"/>
      <c r="AU147" s="40"/>
      <c r="AV147" s="40"/>
      <c r="AW147" s="40"/>
      <c r="AX147" s="40"/>
      <c r="AY147" s="40"/>
      <c r="AZ147" s="40"/>
      <c r="BA147" s="40"/>
      <c r="BB147" s="40"/>
      <c r="BC147" s="40"/>
      <c r="BD147" s="40"/>
      <c r="BE147" s="40"/>
      <c r="BF147" s="40"/>
      <c r="BG147" s="40"/>
      <c r="BH147" s="40"/>
      <c r="BI147" s="40"/>
      <c r="BJ147" s="40"/>
      <c r="BK147" s="40">
        <f>IFERROR(VLOOKUP("29_"&amp;A147,SyS!$B:$P,10,FALSE()),0)</f>
      </c>
      <c r="BL147" s="40">
        <f>IFERROR(VLOOKUP("29_"&amp;A147,SyS!$B:$P,12,FALSE()),0)</f>
      </c>
      <c r="BM147" s="40">
        <f>+BK147-BL147</f>
      </c>
      <c r="BN147" s="42">
        <f>IFERROR(VLOOKUP("30_"&amp;A147,SyS!$B:$P,10,FALSE()),0)</f>
      </c>
      <c r="BO147" s="40">
        <f>IFERROR(VLOOKUP("30_"&amp;A147,SyS!$B:$P,12,FALSE()),0)</f>
      </c>
      <c r="BP147" s="43">
        <f>+BN147-BO147</f>
      </c>
      <c r="BQ147" s="44">
        <f>+E147+H147+K147+N147+Q147+T147+W147+Z147+AC147+AF147+AI147+AL147+AO147+AR147+AU147+AX147+BA147+BD147+BG147+BJ147+BM147+BP147</f>
      </c>
    </row>
    <row r="148" ht="11.25" customHeight="1" spans="1:69" x14ac:dyDescent="0.25">
      <c r="A148" s="9">
        <v>426100000</v>
      </c>
      <c r="B148" s="9" t="s">
        <v>185</v>
      </c>
      <c r="C148" s="34">
        <f>IFERROR(VLOOKUP("1_"&amp;A148,SyS!$B:$P,10,FALSE()),0)</f>
        <v>503.25</v>
      </c>
      <c r="D148" s="35">
        <f>IFERROR(VLOOKUP("1_"&amp;A148,SyS!$B:$P,12,FALSE()),0)</f>
      </c>
      <c r="E148" s="35">
        <f>+C148-D148</f>
        <v>503.25</v>
      </c>
      <c r="F148" s="34">
        <f>IFERROR(VLOOKUP("2_"&amp;A148,SyS!$B:$P,10,FALSE()),0)</f>
      </c>
      <c r="G148" s="35">
        <f>IFERROR(VLOOKUP("2_"&amp;A148,SyS!$B:$P,12,FALSE()),0)</f>
      </c>
      <c r="H148" s="36">
        <f>+F148-G148</f>
      </c>
      <c r="I148" s="35"/>
      <c r="J148" s="35"/>
      <c r="K148" s="35"/>
      <c r="L148" s="35"/>
      <c r="M148" s="35"/>
      <c r="N148" s="35"/>
      <c r="O148" s="34">
        <f>IFERROR(VLOOKUP("14_"&amp;A148,SyS!$B:$P,10,FALSE()),0)</f>
      </c>
      <c r="P148" s="35">
        <f>IFERROR(VLOOKUP("14_"&amp;A148,SyS!$B:$P,12,FALSE()),0)</f>
      </c>
      <c r="Q148" s="36">
        <f>+O148-P148</f>
      </c>
      <c r="R148" s="34">
        <f>IFERROR(VLOOKUP("15_"&amp;A148,SyS!$B:$P,10,FALSE()),0)</f>
      </c>
      <c r="S148" s="35">
        <f>IFERROR(VLOOKUP("15_"&amp;A148,SyS!$B:$P,12,FALSE()),0)</f>
      </c>
      <c r="T148" s="36">
        <f>+R148-S148</f>
      </c>
      <c r="U148" s="34">
        <f>IFERROR(VLOOKUP("16_"&amp;A148,SyS!$B:$P,10,FALSE()),0)</f>
      </c>
      <c r="V148" s="35">
        <f>IFERROR(VLOOKUP("16_"&amp;A148,SyS!$B:$P,12,FALSE()),0)</f>
      </c>
      <c r="W148" s="36">
        <f>+U148-V148</f>
      </c>
      <c r="X148" s="34">
        <f>IFERROR(VLOOKUP("13_"&amp;A148,SyS!$B:$P,10,FALSE()),0)</f>
      </c>
      <c r="Y148" s="35">
        <f>IFERROR(VLOOKUP("13_"&amp;A148,SyS!$B:$P,12,FALSE()),0)</f>
      </c>
      <c r="Z148" s="36">
        <f>+X148-Y148</f>
      </c>
      <c r="AA148" s="34">
        <f>IFERROR(VLOOKUP("17_"&amp;A148,SyS!$B:$P,10,FALSE()),0)</f>
      </c>
      <c r="AB148" s="35">
        <f>IFERROR(VLOOKUP("17_"&amp;A148,SyS!$B:$P,12,FALSE()),0)</f>
      </c>
      <c r="AC148" s="36">
        <f>+AA148-AB148</f>
      </c>
      <c r="AD148" s="35"/>
      <c r="AE148" s="35"/>
      <c r="AF148" s="35"/>
      <c r="AG148" s="35">
        <f>IFERROR(VLOOKUP("19_"&amp;A148,SyS!$B:$P,10,FALSE()),0)</f>
      </c>
      <c r="AH148" s="35">
        <f>IFERROR(VLOOKUP("19_"&amp;A148,SyS!$B:$P,12,FALSE()),0)</f>
      </c>
      <c r="AI148" s="35">
        <f>+AG148-AH148</f>
      </c>
      <c r="AJ148" s="35"/>
      <c r="AK148" s="35"/>
      <c r="AL148" s="35"/>
      <c r="AM148" s="34">
        <f>IFERROR(VLOOKUP("23_"&amp;A148,SyS!$B:$P,10,FALSE()),0)</f>
      </c>
      <c r="AN148" s="35">
        <f>IFERROR(VLOOKUP("23_"&amp;A148,SyS!$B:$P,12,FALSE()),0)</f>
      </c>
      <c r="AO148" s="36">
        <f>+AM148-AN148</f>
      </c>
      <c r="AP148" s="40"/>
      <c r="AQ148" s="40"/>
      <c r="AR148" s="40"/>
      <c r="AS148" s="40"/>
      <c r="AT148" s="40"/>
      <c r="AU148" s="40"/>
      <c r="AV148" s="40"/>
      <c r="AW148" s="40"/>
      <c r="AX148" s="40"/>
      <c r="AY148" s="40"/>
      <c r="AZ148" s="40"/>
      <c r="BA148" s="40"/>
      <c r="BB148" s="40"/>
      <c r="BC148" s="40"/>
      <c r="BD148" s="40"/>
      <c r="BE148" s="40"/>
      <c r="BF148" s="40"/>
      <c r="BG148" s="40"/>
      <c r="BH148" s="40"/>
      <c r="BI148" s="40"/>
      <c r="BJ148" s="40"/>
      <c r="BK148" s="40">
        <f>IFERROR(VLOOKUP("29_"&amp;A148,SyS!$B:$P,10,FALSE()),0)</f>
      </c>
      <c r="BL148" s="40">
        <f>IFERROR(VLOOKUP("29_"&amp;A148,SyS!$B:$P,12,FALSE()),0)</f>
      </c>
      <c r="BM148" s="40">
        <f>+BK148-BL148</f>
      </c>
      <c r="BN148" s="42">
        <f>IFERROR(VLOOKUP("30_"&amp;A148,SyS!$B:$P,10,FALSE()),0)</f>
      </c>
      <c r="BO148" s="40">
        <f>IFERROR(VLOOKUP("30_"&amp;A148,SyS!$B:$P,12,FALSE()),0)</f>
      </c>
      <c r="BP148" s="43">
        <f>+BN148-BO148</f>
      </c>
      <c r="BQ148" s="44">
        <f>+E148+H148+K148+N148+Q148+T148+W148+Z148+AC148+AF148+AI148+AL148+AO148+AR148+AU148+AX148+BA148+BD148+BG148+BJ148+BM148+BP148</f>
        <v>503.25</v>
      </c>
    </row>
    <row r="149" ht="11.25" customHeight="1" spans="1:69" x14ac:dyDescent="0.25">
      <c r="A149" s="9">
        <v>426800000</v>
      </c>
      <c r="B149" s="9" t="s">
        <v>186</v>
      </c>
      <c r="C149" s="34">
        <f>IFERROR(VLOOKUP("1_"&amp;A149,SyS!$B:$P,10,FALSE()),0)</f>
      </c>
      <c r="D149" s="35">
        <f>IFERROR(VLOOKUP("1_"&amp;A149,SyS!$B:$P,12,FALSE()),0)</f>
      </c>
      <c r="E149" s="35">
        <f>+C149-D149</f>
      </c>
      <c r="F149" s="34">
        <f>IFERROR(VLOOKUP("2_"&amp;A149,SyS!$B:$P,10,FALSE()),0)</f>
      </c>
      <c r="G149" s="35">
        <f>IFERROR(VLOOKUP("2_"&amp;A149,SyS!$B:$P,12,FALSE()),0)</f>
      </c>
      <c r="H149" s="36">
        <f>+F149-G149</f>
      </c>
      <c r="I149" s="35"/>
      <c r="J149" s="35"/>
      <c r="K149" s="35"/>
      <c r="L149" s="35"/>
      <c r="M149" s="35"/>
      <c r="N149" s="35"/>
      <c r="O149" s="34">
        <f>IFERROR(VLOOKUP("14_"&amp;A149,SyS!$B:$P,10,FALSE()),0)</f>
      </c>
      <c r="P149" s="35">
        <f>IFERROR(VLOOKUP("14_"&amp;A149,SyS!$B:$P,12,FALSE()),0)</f>
      </c>
      <c r="Q149" s="36">
        <f>+O149-P149</f>
      </c>
      <c r="R149" s="34">
        <f>IFERROR(VLOOKUP("15_"&amp;A149,SyS!$B:$P,10,FALSE()),0)</f>
      </c>
      <c r="S149" s="35">
        <f>IFERROR(VLOOKUP("15_"&amp;A149,SyS!$B:$P,12,FALSE()),0)</f>
      </c>
      <c r="T149" s="36">
        <f>+R149-S149</f>
      </c>
      <c r="U149" s="34">
        <f>IFERROR(VLOOKUP("16_"&amp;A149,SyS!$B:$P,10,FALSE()),0)</f>
      </c>
      <c r="V149" s="35">
        <f>IFERROR(VLOOKUP("16_"&amp;A149,SyS!$B:$P,12,FALSE()),0)</f>
      </c>
      <c r="W149" s="36">
        <f>+U149-V149</f>
      </c>
      <c r="X149" s="34">
        <f>IFERROR(VLOOKUP("13_"&amp;A149,SyS!$B:$P,10,FALSE()),0)</f>
      </c>
      <c r="Y149" s="35">
        <f>IFERROR(VLOOKUP("13_"&amp;A149,SyS!$B:$P,12,FALSE()),0)</f>
      </c>
      <c r="Z149" s="36">
        <f>+X149-Y149</f>
      </c>
      <c r="AA149" s="34">
        <f>IFERROR(VLOOKUP("17_"&amp;A149,SyS!$B:$P,10,FALSE()),0)</f>
      </c>
      <c r="AB149" s="35">
        <f>IFERROR(VLOOKUP("17_"&amp;A149,SyS!$B:$P,12,FALSE()),0)</f>
      </c>
      <c r="AC149" s="36">
        <f>+AA149-AB149</f>
      </c>
      <c r="AD149" s="35"/>
      <c r="AE149" s="35"/>
      <c r="AF149" s="35"/>
      <c r="AG149" s="35">
        <f>IFERROR(VLOOKUP("19_"&amp;A149,SyS!$B:$P,10,FALSE()),0)</f>
      </c>
      <c r="AH149" s="35">
        <f>IFERROR(VLOOKUP("19_"&amp;A149,SyS!$B:$P,12,FALSE()),0)</f>
      </c>
      <c r="AI149" s="35">
        <f>+AG149-AH149</f>
      </c>
      <c r="AJ149" s="35"/>
      <c r="AK149" s="35"/>
      <c r="AL149" s="35"/>
      <c r="AM149" s="34">
        <f>IFERROR(VLOOKUP("23_"&amp;A149,SyS!$B:$P,10,FALSE()),0)</f>
      </c>
      <c r="AN149" s="35">
        <f>IFERROR(VLOOKUP("23_"&amp;A149,SyS!$B:$P,12,FALSE()),0)</f>
      </c>
      <c r="AO149" s="36">
        <f>+AM149-AN149</f>
      </c>
      <c r="AP149" s="40"/>
      <c r="AQ149" s="40"/>
      <c r="AR149" s="40"/>
      <c r="AS149" s="40"/>
      <c r="AT149" s="40"/>
      <c r="AU149" s="40"/>
      <c r="AV149" s="40"/>
      <c r="AW149" s="40"/>
      <c r="AX149" s="40"/>
      <c r="AY149" s="40"/>
      <c r="AZ149" s="40"/>
      <c r="BA149" s="40"/>
      <c r="BB149" s="40"/>
      <c r="BC149" s="40"/>
      <c r="BD149" s="40"/>
      <c r="BE149" s="40"/>
      <c r="BF149" s="40"/>
      <c r="BG149" s="40"/>
      <c r="BH149" s="40"/>
      <c r="BI149" s="40"/>
      <c r="BJ149" s="40"/>
      <c r="BK149" s="40">
        <f>IFERROR(VLOOKUP("29_"&amp;A149,SyS!$B:$P,10,FALSE()),0)</f>
      </c>
      <c r="BL149" s="40">
        <f>IFERROR(VLOOKUP("29_"&amp;A149,SyS!$B:$P,12,FALSE()),0)</f>
      </c>
      <c r="BM149" s="40">
        <f>+BK149-BL149</f>
      </c>
      <c r="BN149" s="42">
        <f>IFERROR(VLOOKUP("30_"&amp;A149,SyS!$B:$P,10,FALSE()),0)</f>
      </c>
      <c r="BO149" s="40">
        <f>IFERROR(VLOOKUP("30_"&amp;A149,SyS!$B:$P,12,FALSE()),0)</f>
      </c>
      <c r="BP149" s="43">
        <f>+BN149-BO149</f>
      </c>
      <c r="BQ149" s="44">
        <f>+E149+H149+K149+N149+Q149+T149+W149+Z149+AC149+AF149+AI149+AL149+AO149+AR149+AU149+AX149+BA149+BD149+BG149+BJ149+BM149+BP149</f>
      </c>
    </row>
    <row r="150" ht="11.25" customHeight="1" spans="1:69" x14ac:dyDescent="0.25">
      <c r="A150" s="9">
        <v>426900000</v>
      </c>
      <c r="B150" s="9" t="s">
        <v>187</v>
      </c>
      <c r="C150" s="34">
        <f>IFERROR(VLOOKUP("1_"&amp;A150,SyS!$B:$P,10,FALSE()),0)</f>
      </c>
      <c r="D150" s="35">
        <f>IFERROR(VLOOKUP("1_"&amp;A150,SyS!$B:$P,12,FALSE()),0)</f>
      </c>
      <c r="E150" s="35">
        <f>+C150-D150</f>
      </c>
      <c r="F150" s="34">
        <f>IFERROR(VLOOKUP("2_"&amp;A150,SyS!$B:$P,10,FALSE()),0)</f>
      </c>
      <c r="G150" s="35">
        <f>IFERROR(VLOOKUP("2_"&amp;A150,SyS!$B:$P,12,FALSE()),0)</f>
      </c>
      <c r="H150" s="36">
        <f>+F150-G150</f>
      </c>
      <c r="I150" s="35"/>
      <c r="J150" s="35"/>
      <c r="K150" s="35"/>
      <c r="L150" s="35"/>
      <c r="M150" s="35"/>
      <c r="N150" s="35"/>
      <c r="O150" s="34">
        <f>IFERROR(VLOOKUP("14_"&amp;A150,SyS!$B:$P,10,FALSE()),0)</f>
      </c>
      <c r="P150" s="35">
        <f>IFERROR(VLOOKUP("14_"&amp;A150,SyS!$B:$P,12,FALSE()),0)</f>
      </c>
      <c r="Q150" s="36">
        <f>+O150-P150</f>
      </c>
      <c r="R150" s="34">
        <f>IFERROR(VLOOKUP("15_"&amp;A150,SyS!$B:$P,10,FALSE()),0)</f>
      </c>
      <c r="S150" s="35">
        <f>IFERROR(VLOOKUP("15_"&amp;A150,SyS!$B:$P,12,FALSE()),0)</f>
      </c>
      <c r="T150" s="36">
        <f>+R150-S150</f>
      </c>
      <c r="U150" s="34">
        <f>IFERROR(VLOOKUP("16_"&amp;A150,SyS!$B:$P,10,FALSE()),0)</f>
      </c>
      <c r="V150" s="35">
        <f>IFERROR(VLOOKUP("16_"&amp;A150,SyS!$B:$P,12,FALSE()),0)</f>
      </c>
      <c r="W150" s="36">
        <f>+U150-V150</f>
      </c>
      <c r="X150" s="34">
        <f>IFERROR(VLOOKUP("13_"&amp;A150,SyS!$B:$P,10,FALSE()),0)</f>
      </c>
      <c r="Y150" s="35">
        <f>IFERROR(VLOOKUP("13_"&amp;A150,SyS!$B:$P,12,FALSE()),0)</f>
      </c>
      <c r="Z150" s="36">
        <f>+X150-Y150</f>
      </c>
      <c r="AA150" s="34">
        <f>IFERROR(VLOOKUP("17_"&amp;A150,SyS!$B:$P,10,FALSE()),0)</f>
      </c>
      <c r="AB150" s="35">
        <f>IFERROR(VLOOKUP("17_"&amp;A150,SyS!$B:$P,12,FALSE()),0)</f>
      </c>
      <c r="AC150" s="36">
        <f>+AA150-AB150</f>
      </c>
      <c r="AD150" s="35"/>
      <c r="AE150" s="35"/>
      <c r="AF150" s="35"/>
      <c r="AG150" s="35">
        <f>IFERROR(VLOOKUP("19_"&amp;A150,SyS!$B:$P,10,FALSE()),0)</f>
      </c>
      <c r="AH150" s="35">
        <f>IFERROR(VLOOKUP("19_"&amp;A150,SyS!$B:$P,12,FALSE()),0)</f>
      </c>
      <c r="AI150" s="35">
        <f>+AG150-AH150</f>
      </c>
      <c r="AJ150" s="35"/>
      <c r="AK150" s="35"/>
      <c r="AL150" s="35"/>
      <c r="AM150" s="34">
        <f>IFERROR(VLOOKUP("23_"&amp;A150,SyS!$B:$P,10,FALSE()),0)</f>
      </c>
      <c r="AN150" s="35">
        <f>IFERROR(VLOOKUP("23_"&amp;A150,SyS!$B:$P,12,FALSE()),0)</f>
      </c>
      <c r="AO150" s="36">
        <f>+AM150-AN150</f>
      </c>
      <c r="AP150" s="40"/>
      <c r="AQ150" s="40"/>
      <c r="AR150" s="40"/>
      <c r="AS150" s="40"/>
      <c r="AT150" s="40"/>
      <c r="AU150" s="40"/>
      <c r="AV150" s="40"/>
      <c r="AW150" s="40"/>
      <c r="AX150" s="40"/>
      <c r="AY150" s="40"/>
      <c r="AZ150" s="40"/>
      <c r="BA150" s="40"/>
      <c r="BB150" s="40"/>
      <c r="BC150" s="40"/>
      <c r="BD150" s="40"/>
      <c r="BE150" s="40"/>
      <c r="BF150" s="40"/>
      <c r="BG150" s="40"/>
      <c r="BH150" s="40"/>
      <c r="BI150" s="40"/>
      <c r="BJ150" s="40"/>
      <c r="BK150" s="40">
        <f>IFERROR(VLOOKUP("29_"&amp;A150,SyS!$B:$P,10,FALSE()),0)</f>
      </c>
      <c r="BL150" s="40">
        <f>IFERROR(VLOOKUP("29_"&amp;A150,SyS!$B:$P,12,FALSE()),0)</f>
      </c>
      <c r="BM150" s="40">
        <f>+BK150-BL150</f>
      </c>
      <c r="BN150" s="42">
        <f>IFERROR(VLOOKUP("30_"&amp;A150,SyS!$B:$P,10,FALSE()),0)</f>
      </c>
      <c r="BO150" s="40">
        <f>IFERROR(VLOOKUP("30_"&amp;A150,SyS!$B:$P,12,FALSE()),0)</f>
      </c>
      <c r="BP150" s="43">
        <f>+BN150-BO150</f>
      </c>
      <c r="BQ150" s="44">
        <f>+E150+H150+K150+N150+Q150+T150+W150+Z150+AC150+AF150+AI150+AL150+AO150+AR150+AU150+AX150+BA150+BD150+BG150+BJ150+BM150+BP150</f>
      </c>
    </row>
    <row r="151" ht="11.25" customHeight="1" spans="1:69" x14ac:dyDescent="0.25">
      <c r="A151" s="9">
        <v>426510000</v>
      </c>
      <c r="B151" s="9" t="s">
        <v>188</v>
      </c>
      <c r="C151" s="34">
        <f>IFERROR(VLOOKUP("1_"&amp;A151,SyS!$B:$P,10,FALSE()),0)</f>
      </c>
      <c r="D151" s="35">
        <f>IFERROR(VLOOKUP("1_"&amp;A151,SyS!$B:$P,12,FALSE()),0)</f>
      </c>
      <c r="E151" s="35">
        <f>+C151-D151</f>
      </c>
      <c r="F151" s="34">
        <f>IFERROR(VLOOKUP("2_"&amp;A151,SyS!$B:$P,10,FALSE()),0)</f>
      </c>
      <c r="G151" s="35">
        <f>IFERROR(VLOOKUP("2_"&amp;A151,SyS!$B:$P,12,FALSE()),0)</f>
      </c>
      <c r="H151" s="36">
        <f>+F151-G151</f>
      </c>
      <c r="I151" s="35"/>
      <c r="J151" s="35"/>
      <c r="K151" s="35"/>
      <c r="L151" s="35"/>
      <c r="M151" s="35"/>
      <c r="N151" s="35"/>
      <c r="O151" s="34">
        <f>IFERROR(VLOOKUP("14_"&amp;A151,SyS!$B:$P,10,FALSE()),0)</f>
      </c>
      <c r="P151" s="35">
        <f>IFERROR(VLOOKUP("14_"&amp;A151,SyS!$B:$P,12,FALSE()),0)</f>
      </c>
      <c r="Q151" s="36">
        <f>+O151-P151</f>
      </c>
      <c r="R151" s="34">
        <f>IFERROR(VLOOKUP("15_"&amp;A151,SyS!$B:$P,10,FALSE()),0)</f>
      </c>
      <c r="S151" s="35">
        <f>IFERROR(VLOOKUP("15_"&amp;A151,SyS!$B:$P,12,FALSE()),0)</f>
      </c>
      <c r="T151" s="36">
        <f>+R151-S151</f>
      </c>
      <c r="U151" s="34">
        <f>IFERROR(VLOOKUP("16_"&amp;A151,SyS!$B:$P,10,FALSE()),0)</f>
      </c>
      <c r="V151" s="35">
        <f>IFERROR(VLOOKUP("16_"&amp;A151,SyS!$B:$P,12,FALSE()),0)</f>
      </c>
      <c r="W151" s="36">
        <f>+U151-V151</f>
      </c>
      <c r="X151" s="34">
        <f>IFERROR(VLOOKUP("13_"&amp;A151,SyS!$B:$P,10,FALSE()),0)</f>
      </c>
      <c r="Y151" s="35">
        <f>IFERROR(VLOOKUP("13_"&amp;A151,SyS!$B:$P,12,FALSE()),0)</f>
      </c>
      <c r="Z151" s="36">
        <f>+X151-Y151</f>
      </c>
      <c r="AA151" s="34">
        <f>IFERROR(VLOOKUP("17_"&amp;A151,SyS!$B:$P,10,FALSE()),0)</f>
      </c>
      <c r="AB151" s="35">
        <f>IFERROR(VLOOKUP("17_"&amp;A151,SyS!$B:$P,12,FALSE()),0)</f>
      </c>
      <c r="AC151" s="36">
        <f>+AA151-AB151</f>
      </c>
      <c r="AD151" s="35"/>
      <c r="AE151" s="35"/>
      <c r="AF151" s="35"/>
      <c r="AG151" s="35">
        <f>IFERROR(VLOOKUP("19_"&amp;A151,SyS!$B:$P,10,FALSE()),0)</f>
      </c>
      <c r="AH151" s="35">
        <f>IFERROR(VLOOKUP("19_"&amp;A151,SyS!$B:$P,12,FALSE()),0)</f>
      </c>
      <c r="AI151" s="35">
        <f>+AG151-AH151</f>
      </c>
      <c r="AJ151" s="35"/>
      <c r="AK151" s="35"/>
      <c r="AL151" s="35"/>
      <c r="AM151" s="34">
        <f>IFERROR(VLOOKUP("23_"&amp;A151,SyS!$B:$P,10,FALSE()),0)</f>
      </c>
      <c r="AN151" s="35">
        <f>IFERROR(VLOOKUP("23_"&amp;A151,SyS!$B:$P,12,FALSE()),0)</f>
      </c>
      <c r="AO151" s="36">
        <f>+AM151-AN151</f>
      </c>
      <c r="AP151" s="40"/>
      <c r="AQ151" s="40"/>
      <c r="AR151" s="40"/>
      <c r="AS151" s="40"/>
      <c r="AT151" s="40"/>
      <c r="AU151" s="40"/>
      <c r="AV151" s="40"/>
      <c r="AW151" s="40"/>
      <c r="AX151" s="40"/>
      <c r="AY151" s="40"/>
      <c r="AZ151" s="40"/>
      <c r="BA151" s="40"/>
      <c r="BB151" s="40"/>
      <c r="BC151" s="40"/>
      <c r="BD151" s="40"/>
      <c r="BE151" s="40"/>
      <c r="BF151" s="40"/>
      <c r="BG151" s="40"/>
      <c r="BH151" s="40"/>
      <c r="BI151" s="40"/>
      <c r="BJ151" s="40"/>
      <c r="BK151" s="40">
        <f>IFERROR(VLOOKUP("29_"&amp;A151,SyS!$B:$P,10,FALSE()),0)</f>
      </c>
      <c r="BL151" s="40">
        <f>IFERROR(VLOOKUP("29_"&amp;A151,SyS!$B:$P,12,FALSE()),0)</f>
      </c>
      <c r="BM151" s="40">
        <f>+BK151-BL151</f>
      </c>
      <c r="BN151" s="42">
        <f>IFERROR(VLOOKUP("30_"&amp;A151,SyS!$B:$P,10,FALSE()),0)</f>
      </c>
      <c r="BO151" s="40">
        <f>IFERROR(VLOOKUP("30_"&amp;A151,SyS!$B:$P,12,FALSE()),0)</f>
      </c>
      <c r="BP151" s="43">
        <f>+BN151-BO151</f>
      </c>
      <c r="BQ151" s="44">
        <f>+E151+H151+K151+N151+Q151+T151+W151+Z151+AC151+AF151+AI151+AL151+AO151+AR151+AU151+AX151+BA151+BD151+BG151+BJ151+BM151+BP151</f>
      </c>
    </row>
    <row r="152" ht="11.25" customHeight="1" spans="1:69" x14ac:dyDescent="0.25">
      <c r="A152" s="9">
        <v>426520000</v>
      </c>
      <c r="B152" s="9" t="s">
        <v>189</v>
      </c>
      <c r="C152" s="34">
        <f>IFERROR(VLOOKUP("1_"&amp;A152,SyS!$B:$P,10,FALSE()),0)</f>
      </c>
      <c r="D152" s="35">
        <f>IFERROR(VLOOKUP("1_"&amp;A152,SyS!$B:$P,12,FALSE()),0)</f>
      </c>
      <c r="E152" s="35">
        <f>+C152-D152</f>
      </c>
      <c r="F152" s="34">
        <f>IFERROR(VLOOKUP("2_"&amp;A152,SyS!$B:$P,10,FALSE()),0)</f>
      </c>
      <c r="G152" s="35">
        <f>IFERROR(VLOOKUP("2_"&amp;A152,SyS!$B:$P,12,FALSE()),0)</f>
      </c>
      <c r="H152" s="36">
        <f>+F152-G152</f>
      </c>
      <c r="I152" s="35"/>
      <c r="J152" s="35"/>
      <c r="K152" s="35"/>
      <c r="L152" s="35"/>
      <c r="M152" s="35"/>
      <c r="N152" s="35"/>
      <c r="O152" s="34">
        <f>IFERROR(VLOOKUP("14_"&amp;A152,SyS!$B:$P,10,FALSE()),0)</f>
      </c>
      <c r="P152" s="35">
        <f>IFERROR(VLOOKUP("14_"&amp;A152,SyS!$B:$P,12,FALSE()),0)</f>
      </c>
      <c r="Q152" s="36">
        <f>+O152-P152</f>
      </c>
      <c r="R152" s="34">
        <f>IFERROR(VLOOKUP("15_"&amp;A152,SyS!$B:$P,10,FALSE()),0)</f>
      </c>
      <c r="S152" s="35">
        <f>IFERROR(VLOOKUP("15_"&amp;A152,SyS!$B:$P,12,FALSE()),0)</f>
      </c>
      <c r="T152" s="36">
        <f>+R152-S152</f>
      </c>
      <c r="U152" s="34">
        <f>IFERROR(VLOOKUP("16_"&amp;A152,SyS!$B:$P,10,FALSE()),0)</f>
      </c>
      <c r="V152" s="35">
        <f>IFERROR(VLOOKUP("16_"&amp;A152,SyS!$B:$P,12,FALSE()),0)</f>
      </c>
      <c r="W152" s="36">
        <f>+U152-V152</f>
      </c>
      <c r="X152" s="34">
        <f>IFERROR(VLOOKUP("13_"&amp;A152,SyS!$B:$P,10,FALSE()),0)</f>
      </c>
      <c r="Y152" s="35">
        <f>IFERROR(VLOOKUP("13_"&amp;A152,SyS!$B:$P,12,FALSE()),0)</f>
      </c>
      <c r="Z152" s="36">
        <f>+X152-Y152</f>
      </c>
      <c r="AA152" s="34">
        <f>IFERROR(VLOOKUP("17_"&amp;A152,SyS!$B:$P,10,FALSE()),0)</f>
      </c>
      <c r="AB152" s="35">
        <f>IFERROR(VLOOKUP("17_"&amp;A152,SyS!$B:$P,12,FALSE()),0)</f>
      </c>
      <c r="AC152" s="36">
        <f>+AA152-AB152</f>
      </c>
      <c r="AD152" s="35"/>
      <c r="AE152" s="35"/>
      <c r="AF152" s="35"/>
      <c r="AG152" s="35">
        <f>IFERROR(VLOOKUP("19_"&amp;A152,SyS!$B:$P,10,FALSE()),0)</f>
      </c>
      <c r="AH152" s="35">
        <f>IFERROR(VLOOKUP("19_"&amp;A152,SyS!$B:$P,12,FALSE()),0)</f>
      </c>
      <c r="AI152" s="35">
        <f>+AG152-AH152</f>
      </c>
      <c r="AJ152" s="35"/>
      <c r="AK152" s="35"/>
      <c r="AL152" s="35"/>
      <c r="AM152" s="34">
        <f>IFERROR(VLOOKUP("23_"&amp;A152,SyS!$B:$P,10,FALSE()),0)</f>
        <v>21.03</v>
      </c>
      <c r="AN152" s="35">
        <f>IFERROR(VLOOKUP("23_"&amp;A152,SyS!$B:$P,12,FALSE()),0)</f>
      </c>
      <c r="AO152" s="36">
        <f>+AM152-AN152</f>
        <v>21.03</v>
      </c>
      <c r="AP152" s="40"/>
      <c r="AQ152" s="40"/>
      <c r="AR152" s="40"/>
      <c r="AS152" s="40"/>
      <c r="AT152" s="40"/>
      <c r="AU152" s="40"/>
      <c r="AV152" s="40"/>
      <c r="AW152" s="40"/>
      <c r="AX152" s="40"/>
      <c r="AY152" s="40"/>
      <c r="AZ152" s="40"/>
      <c r="BA152" s="40"/>
      <c r="BB152" s="40"/>
      <c r="BC152" s="40"/>
      <c r="BD152" s="40"/>
      <c r="BE152" s="40"/>
      <c r="BF152" s="40"/>
      <c r="BG152" s="40"/>
      <c r="BH152" s="40"/>
      <c r="BI152" s="40"/>
      <c r="BJ152" s="40"/>
      <c r="BK152" s="40">
        <f>IFERROR(VLOOKUP("29_"&amp;A152,SyS!$B:$P,10,FALSE()),0)</f>
      </c>
      <c r="BL152" s="40">
        <f>IFERROR(VLOOKUP("29_"&amp;A152,SyS!$B:$P,12,FALSE()),0)</f>
      </c>
      <c r="BM152" s="40">
        <f>+BK152-BL152</f>
      </c>
      <c r="BN152" s="42">
        <f>IFERROR(VLOOKUP("30_"&amp;A152,SyS!$B:$P,10,FALSE()),0)</f>
      </c>
      <c r="BO152" s="40">
        <f>IFERROR(VLOOKUP("30_"&amp;A152,SyS!$B:$P,12,FALSE()),0)</f>
      </c>
      <c r="BP152" s="43">
        <f>+BN152-BO152</f>
      </c>
      <c r="BQ152" s="44">
        <f>+E152+H152+K152+N152+Q152+T152+W152+Z152+AC152+AF152+AI152+AL152+AO152+AR152+AU152+AX152+BA152+BD152+BG152+BJ152+BM152+BP152</f>
        <v>21.03</v>
      </c>
    </row>
    <row r="153" ht="11.25" customHeight="1" spans="1:69" x14ac:dyDescent="0.25">
      <c r="A153" s="9">
        <v>426530000</v>
      </c>
      <c r="B153" s="9" t="s">
        <v>190</v>
      </c>
      <c r="C153" s="34">
        <f>IFERROR(VLOOKUP("1_"&amp;A153,SyS!$B:$P,10,FALSE()),0)</f>
      </c>
      <c r="D153" s="35">
        <f>IFERROR(VLOOKUP("1_"&amp;A153,SyS!$B:$P,12,FALSE()),0)</f>
      </c>
      <c r="E153" s="35">
        <f>+C153-D153</f>
      </c>
      <c r="F153" s="34">
        <f>IFERROR(VLOOKUP("2_"&amp;A153,SyS!$B:$P,10,FALSE()),0)</f>
      </c>
      <c r="G153" s="35">
        <f>IFERROR(VLOOKUP("2_"&amp;A153,SyS!$B:$P,12,FALSE()),0)</f>
      </c>
      <c r="H153" s="36">
        <f>+F153-G153</f>
      </c>
      <c r="I153" s="35"/>
      <c r="J153" s="35"/>
      <c r="K153" s="35"/>
      <c r="L153" s="35"/>
      <c r="M153" s="35"/>
      <c r="N153" s="35"/>
      <c r="O153" s="34">
        <f>IFERROR(VLOOKUP("14_"&amp;A153,SyS!$B:$P,10,FALSE()),0)</f>
      </c>
      <c r="P153" s="35">
        <f>IFERROR(VLOOKUP("14_"&amp;A153,SyS!$B:$P,12,FALSE()),0)</f>
      </c>
      <c r="Q153" s="36">
        <f>+O153-P153</f>
      </c>
      <c r="R153" s="34">
        <f>IFERROR(VLOOKUP("15_"&amp;A153,SyS!$B:$P,10,FALSE()),0)</f>
      </c>
      <c r="S153" s="35">
        <f>IFERROR(VLOOKUP("15_"&amp;A153,SyS!$B:$P,12,FALSE()),0)</f>
      </c>
      <c r="T153" s="36">
        <f>+R153-S153</f>
      </c>
      <c r="U153" s="34">
        <f>IFERROR(VLOOKUP("16_"&amp;A153,SyS!$B:$P,10,FALSE()),0)</f>
      </c>
      <c r="V153" s="35">
        <f>IFERROR(VLOOKUP("16_"&amp;A153,SyS!$B:$P,12,FALSE()),0)</f>
      </c>
      <c r="W153" s="36">
        <f>+U153-V153</f>
      </c>
      <c r="X153" s="34">
        <f>IFERROR(VLOOKUP("13_"&amp;A153,SyS!$B:$P,10,FALSE()),0)</f>
      </c>
      <c r="Y153" s="35">
        <f>IFERROR(VLOOKUP("13_"&amp;A153,SyS!$B:$P,12,FALSE()),0)</f>
      </c>
      <c r="Z153" s="36">
        <f>+X153-Y153</f>
      </c>
      <c r="AA153" s="34">
        <f>IFERROR(VLOOKUP("17_"&amp;A153,SyS!$B:$P,10,FALSE()),0)</f>
      </c>
      <c r="AB153" s="35">
        <f>IFERROR(VLOOKUP("17_"&amp;A153,SyS!$B:$P,12,FALSE()),0)</f>
      </c>
      <c r="AC153" s="36">
        <f>+AA153-AB153</f>
      </c>
      <c r="AD153" s="35"/>
      <c r="AE153" s="35"/>
      <c r="AF153" s="35"/>
      <c r="AG153" s="35">
        <f>IFERROR(VLOOKUP("19_"&amp;A153,SyS!$B:$P,10,FALSE()),0)</f>
      </c>
      <c r="AH153" s="35">
        <f>IFERROR(VLOOKUP("19_"&amp;A153,SyS!$B:$P,12,FALSE()),0)</f>
      </c>
      <c r="AI153" s="35">
        <f>+AG153-AH153</f>
      </c>
      <c r="AJ153" s="35"/>
      <c r="AK153" s="35"/>
      <c r="AL153" s="35"/>
      <c r="AM153" s="34">
        <f>IFERROR(VLOOKUP("23_"&amp;A153,SyS!$B:$P,10,FALSE()),0)</f>
      </c>
      <c r="AN153" s="35">
        <f>IFERROR(VLOOKUP("23_"&amp;A153,SyS!$B:$P,12,FALSE()),0)</f>
      </c>
      <c r="AO153" s="36">
        <f>+AM153-AN153</f>
      </c>
      <c r="AP153" s="40"/>
      <c r="AQ153" s="40"/>
      <c r="AR153" s="40"/>
      <c r="AS153" s="40"/>
      <c r="AT153" s="40"/>
      <c r="AU153" s="40"/>
      <c r="AV153" s="40"/>
      <c r="AW153" s="40"/>
      <c r="AX153" s="40"/>
      <c r="AY153" s="40"/>
      <c r="AZ153" s="40"/>
      <c r="BA153" s="40"/>
      <c r="BB153" s="40"/>
      <c r="BC153" s="40"/>
      <c r="BD153" s="40"/>
      <c r="BE153" s="40"/>
      <c r="BF153" s="40"/>
      <c r="BG153" s="40"/>
      <c r="BH153" s="40"/>
      <c r="BI153" s="40"/>
      <c r="BJ153" s="40"/>
      <c r="BK153" s="40">
        <f>IFERROR(VLOOKUP("29_"&amp;A153,SyS!$B:$P,10,FALSE()),0)</f>
      </c>
      <c r="BL153" s="40">
        <f>IFERROR(VLOOKUP("29_"&amp;A153,SyS!$B:$P,12,FALSE()),0)</f>
      </c>
      <c r="BM153" s="40">
        <f>+BK153-BL153</f>
      </c>
      <c r="BN153" s="42">
        <f>IFERROR(VLOOKUP("30_"&amp;A153,SyS!$B:$P,10,FALSE()),0)</f>
      </c>
      <c r="BO153" s="40">
        <f>IFERROR(VLOOKUP("30_"&amp;A153,SyS!$B:$P,12,FALSE()),0)</f>
      </c>
      <c r="BP153" s="43">
        <f>+BN153-BO153</f>
      </c>
      <c r="BQ153" s="44">
        <f>+E153+H153+K153+N153+Q153+T153+W153+Z153+AC153+AF153+AI153+AL153+AO153+AR153+AU153+AX153+BA153+BD153+BG153+BJ153+BM153+BP153</f>
      </c>
    </row>
    <row r="154" ht="11.25" customHeight="1" spans="1:69" x14ac:dyDescent="0.25">
      <c r="A154" s="9">
        <v>426540000</v>
      </c>
      <c r="B154" s="9" t="s">
        <v>191</v>
      </c>
      <c r="C154" s="34">
        <f>IFERROR(VLOOKUP("1_"&amp;A154,SyS!$B:$P,10,FALSE()),0)</f>
      </c>
      <c r="D154" s="35">
        <f>IFERROR(VLOOKUP("1_"&amp;A154,SyS!$B:$P,12,FALSE()),0)</f>
      </c>
      <c r="E154" s="35">
        <f>+C154-D154</f>
      </c>
      <c r="F154" s="34">
        <f>IFERROR(VLOOKUP("2_"&amp;A154,SyS!$B:$P,10,FALSE()),0)</f>
      </c>
      <c r="G154" s="35">
        <f>IFERROR(VLOOKUP("2_"&amp;A154,SyS!$B:$P,12,FALSE()),0)</f>
      </c>
      <c r="H154" s="36">
        <f>+F154-G154</f>
      </c>
      <c r="I154" s="35"/>
      <c r="J154" s="35"/>
      <c r="K154" s="35"/>
      <c r="L154" s="35"/>
      <c r="M154" s="35"/>
      <c r="N154" s="35"/>
      <c r="O154" s="34">
        <f>IFERROR(VLOOKUP("14_"&amp;A154,SyS!$B:$P,10,FALSE()),0)</f>
      </c>
      <c r="P154" s="35">
        <f>IFERROR(VLOOKUP("14_"&amp;A154,SyS!$B:$P,12,FALSE()),0)</f>
      </c>
      <c r="Q154" s="36">
        <f>+O154-P154</f>
      </c>
      <c r="R154" s="34">
        <f>IFERROR(VLOOKUP("15_"&amp;A154,SyS!$B:$P,10,FALSE()),0)</f>
      </c>
      <c r="S154" s="35">
        <f>IFERROR(VLOOKUP("15_"&amp;A154,SyS!$B:$P,12,FALSE()),0)</f>
      </c>
      <c r="T154" s="36">
        <f>+R154-S154</f>
      </c>
      <c r="U154" s="34">
        <f>IFERROR(VLOOKUP("16_"&amp;A154,SyS!$B:$P,10,FALSE()),0)</f>
      </c>
      <c r="V154" s="35">
        <f>IFERROR(VLOOKUP("16_"&amp;A154,SyS!$B:$P,12,FALSE()),0)</f>
      </c>
      <c r="W154" s="36">
        <f>+U154-V154</f>
      </c>
      <c r="X154" s="34">
        <f>IFERROR(VLOOKUP("13_"&amp;A154,SyS!$B:$P,10,FALSE()),0)</f>
      </c>
      <c r="Y154" s="35">
        <f>IFERROR(VLOOKUP("13_"&amp;A154,SyS!$B:$P,12,FALSE()),0)</f>
      </c>
      <c r="Z154" s="36">
        <f>+X154-Y154</f>
      </c>
      <c r="AA154" s="34">
        <f>IFERROR(VLOOKUP("17_"&amp;A154,SyS!$B:$P,10,FALSE()),0)</f>
      </c>
      <c r="AB154" s="35">
        <f>IFERROR(VLOOKUP("17_"&amp;A154,SyS!$B:$P,12,FALSE()),0)</f>
      </c>
      <c r="AC154" s="36">
        <f>+AA154-AB154</f>
      </c>
      <c r="AD154" s="35"/>
      <c r="AE154" s="35"/>
      <c r="AF154" s="35"/>
      <c r="AG154" s="35">
        <f>IFERROR(VLOOKUP("19_"&amp;A154,SyS!$B:$P,10,FALSE()),0)</f>
      </c>
      <c r="AH154" s="35">
        <f>IFERROR(VLOOKUP("19_"&amp;A154,SyS!$B:$P,12,FALSE()),0)</f>
      </c>
      <c r="AI154" s="35">
        <f>+AG154-AH154</f>
      </c>
      <c r="AJ154" s="35"/>
      <c r="AK154" s="35"/>
      <c r="AL154" s="35"/>
      <c r="AM154" s="34">
        <f>IFERROR(VLOOKUP("23_"&amp;A154,SyS!$B:$P,10,FALSE()),0)</f>
      </c>
      <c r="AN154" s="35">
        <f>IFERROR(VLOOKUP("23_"&amp;A154,SyS!$B:$P,12,FALSE()),0)</f>
      </c>
      <c r="AO154" s="36">
        <f>+AM154-AN154</f>
      </c>
      <c r="AP154" s="40"/>
      <c r="AQ154" s="40"/>
      <c r="AR154" s="40"/>
      <c r="AS154" s="40"/>
      <c r="AT154" s="40"/>
      <c r="AU154" s="40"/>
      <c r="AV154" s="40"/>
      <c r="AW154" s="40"/>
      <c r="AX154" s="40"/>
      <c r="AY154" s="40"/>
      <c r="AZ154" s="40"/>
      <c r="BA154" s="40"/>
      <c r="BB154" s="40"/>
      <c r="BC154" s="40"/>
      <c r="BD154" s="40"/>
      <c r="BE154" s="40"/>
      <c r="BF154" s="40"/>
      <c r="BG154" s="40"/>
      <c r="BH154" s="40"/>
      <c r="BI154" s="40"/>
      <c r="BJ154" s="40"/>
      <c r="BK154" s="40">
        <f>IFERROR(VLOOKUP("29_"&amp;A154,SyS!$B:$P,10,FALSE()),0)</f>
      </c>
      <c r="BL154" s="40">
        <f>IFERROR(VLOOKUP("29_"&amp;A154,SyS!$B:$P,12,FALSE()),0)</f>
      </c>
      <c r="BM154" s="40">
        <f>+BK154-BL154</f>
      </c>
      <c r="BN154" s="42">
        <f>IFERROR(VLOOKUP("30_"&amp;A154,SyS!$B:$P,10,FALSE()),0)</f>
      </c>
      <c r="BO154" s="40">
        <f>IFERROR(VLOOKUP("30_"&amp;A154,SyS!$B:$P,12,FALSE()),0)</f>
      </c>
      <c r="BP154" s="43">
        <f>+BN154-BO154</f>
      </c>
      <c r="BQ154" s="44">
        <f>+E154+H154+K154+N154+Q154+T154+W154+Z154+AC154+AF154+AI154+AL154+AO154+AR154+AU154+AX154+BA154+BD154+BG154+BJ154+BM154+BP154</f>
      </c>
    </row>
    <row r="155" ht="11.25" customHeight="1" spans="1:69" x14ac:dyDescent="0.25">
      <c r="A155" s="9">
        <v>426350000</v>
      </c>
      <c r="B155" s="9" t="s">
        <v>192</v>
      </c>
      <c r="C155" s="34">
        <f>IFERROR(VLOOKUP("1_"&amp;A155,SyS!$B:$P,10,FALSE()),0)</f>
      </c>
      <c r="D155" s="35">
        <f>IFERROR(VLOOKUP("1_"&amp;A155,SyS!$B:$P,12,FALSE()),0)</f>
      </c>
      <c r="E155" s="35">
        <f>+C155-D155</f>
      </c>
      <c r="F155" s="34">
        <f>IFERROR(VLOOKUP("2_"&amp;A155,SyS!$B:$P,10,FALSE()),0)</f>
      </c>
      <c r="G155" s="35">
        <f>IFERROR(VLOOKUP("2_"&amp;A155,SyS!$B:$P,12,FALSE()),0)</f>
      </c>
      <c r="H155" s="36">
        <f>+F155-G155</f>
      </c>
      <c r="I155" s="35"/>
      <c r="J155" s="35"/>
      <c r="K155" s="35"/>
      <c r="L155" s="35"/>
      <c r="M155" s="35"/>
      <c r="N155" s="35"/>
      <c r="O155" s="34">
        <f>IFERROR(VLOOKUP("14_"&amp;A155,SyS!$B:$P,10,FALSE()),0)</f>
      </c>
      <c r="P155" s="35">
        <f>IFERROR(VLOOKUP("14_"&amp;A155,SyS!$B:$P,12,FALSE()),0)</f>
      </c>
      <c r="Q155" s="36">
        <f>+O155-P155</f>
      </c>
      <c r="R155" s="34">
        <f>IFERROR(VLOOKUP("15_"&amp;A155,SyS!$B:$P,10,FALSE()),0)</f>
      </c>
      <c r="S155" s="35">
        <f>IFERROR(VLOOKUP("15_"&amp;A155,SyS!$B:$P,12,FALSE()),0)</f>
      </c>
      <c r="T155" s="36">
        <f>+R155-S155</f>
      </c>
      <c r="U155" s="34">
        <f>IFERROR(VLOOKUP("16_"&amp;A155,SyS!$B:$P,10,FALSE()),0)</f>
      </c>
      <c r="V155" s="35">
        <f>IFERROR(VLOOKUP("16_"&amp;A155,SyS!$B:$P,12,FALSE()),0)</f>
      </c>
      <c r="W155" s="36">
        <f>+U155-V155</f>
      </c>
      <c r="X155" s="34">
        <f>IFERROR(VLOOKUP("13_"&amp;A155,SyS!$B:$P,10,FALSE()),0)</f>
      </c>
      <c r="Y155" s="35">
        <f>IFERROR(VLOOKUP("13_"&amp;A155,SyS!$B:$P,12,FALSE()),0)</f>
      </c>
      <c r="Z155" s="36">
        <f>+X155-Y155</f>
      </c>
      <c r="AA155" s="34">
        <f>IFERROR(VLOOKUP("17_"&amp;A155,SyS!$B:$P,10,FALSE()),0)</f>
      </c>
      <c r="AB155" s="35">
        <f>IFERROR(VLOOKUP("17_"&amp;A155,SyS!$B:$P,12,FALSE()),0)</f>
      </c>
      <c r="AC155" s="36">
        <f>+AA155-AB155</f>
      </c>
      <c r="AD155" s="35"/>
      <c r="AE155" s="35"/>
      <c r="AF155" s="35"/>
      <c r="AG155" s="35">
        <f>IFERROR(VLOOKUP("19_"&amp;A155,SyS!$B:$P,10,FALSE()),0)</f>
      </c>
      <c r="AH155" s="35">
        <f>IFERROR(VLOOKUP("19_"&amp;A155,SyS!$B:$P,12,FALSE()),0)</f>
      </c>
      <c r="AI155" s="35">
        <f>+AG155-AH155</f>
      </c>
      <c r="AJ155" s="35"/>
      <c r="AK155" s="35"/>
      <c r="AL155" s="35"/>
      <c r="AM155" s="34">
        <f>IFERROR(VLOOKUP("23_"&amp;A155,SyS!$B:$P,10,FALSE()),0)</f>
      </c>
      <c r="AN155" s="35">
        <f>IFERROR(VLOOKUP("23_"&amp;A155,SyS!$B:$P,12,FALSE()),0)</f>
      </c>
      <c r="AO155" s="36">
        <f>+AM155-AN155</f>
      </c>
      <c r="AP155" s="40"/>
      <c r="AQ155" s="40"/>
      <c r="AR155" s="40"/>
      <c r="AS155" s="40"/>
      <c r="AT155" s="40"/>
      <c r="AU155" s="40"/>
      <c r="AV155" s="40"/>
      <c r="AW155" s="40"/>
      <c r="AX155" s="40"/>
      <c r="AY155" s="40"/>
      <c r="AZ155" s="40"/>
      <c r="BA155" s="40"/>
      <c r="BB155" s="40"/>
      <c r="BC155" s="40"/>
      <c r="BD155" s="40"/>
      <c r="BE155" s="40"/>
      <c r="BF155" s="40"/>
      <c r="BG155" s="40"/>
      <c r="BH155" s="40"/>
      <c r="BI155" s="40"/>
      <c r="BJ155" s="40"/>
      <c r="BK155" s="40">
        <f>IFERROR(VLOOKUP("29_"&amp;A155,SyS!$B:$P,10,FALSE()),0)</f>
      </c>
      <c r="BL155" s="40">
        <f>IFERROR(VLOOKUP("29_"&amp;A155,SyS!$B:$P,12,FALSE()),0)</f>
      </c>
      <c r="BM155" s="40">
        <f>+BK155-BL155</f>
      </c>
      <c r="BN155" s="42">
        <f>IFERROR(VLOOKUP("30_"&amp;A155,SyS!$B:$P,10,FALSE()),0)</f>
      </c>
      <c r="BO155" s="40">
        <f>IFERROR(VLOOKUP("30_"&amp;A155,SyS!$B:$P,12,FALSE()),0)</f>
      </c>
      <c r="BP155" s="43">
        <f>+BN155-BO155</f>
      </c>
      <c r="BQ155" s="44">
        <f>+E155+H155+K155+N155+Q155+T155+W155+Z155+AC155+AF155+AI155+AL155+AO155+AR155+AU155+AX155+BA155+BD155+BG155+BJ155+BM155+BP155</f>
      </c>
    </row>
    <row r="156" ht="11.25" customHeight="1" spans="1:69" x14ac:dyDescent="0.25">
      <c r="A156" s="9">
        <v>426840000</v>
      </c>
      <c r="B156" s="9" t="s">
        <v>193</v>
      </c>
      <c r="C156" s="34">
        <f>IFERROR(VLOOKUP("1_"&amp;A156,SyS!$B:$P,10,FALSE()),0)</f>
      </c>
      <c r="D156" s="35">
        <f>IFERROR(VLOOKUP("1_"&amp;A156,SyS!$B:$P,12,FALSE()),0)</f>
      </c>
      <c r="E156" s="35">
        <f>+C156-D156</f>
      </c>
      <c r="F156" s="34">
        <f>IFERROR(VLOOKUP("2_"&amp;A156,SyS!$B:$P,10,FALSE()),0)</f>
      </c>
      <c r="G156" s="35">
        <f>IFERROR(VLOOKUP("2_"&amp;A156,SyS!$B:$P,12,FALSE()),0)</f>
      </c>
      <c r="H156" s="36">
        <f>+F156-G156</f>
      </c>
      <c r="I156" s="35"/>
      <c r="J156" s="35"/>
      <c r="K156" s="35"/>
      <c r="L156" s="35"/>
      <c r="M156" s="35"/>
      <c r="N156" s="35"/>
      <c r="O156" s="34">
        <f>IFERROR(VLOOKUP("14_"&amp;A156,SyS!$B:$P,10,FALSE()),0)</f>
      </c>
      <c r="P156" s="35">
        <f>IFERROR(VLOOKUP("14_"&amp;A156,SyS!$B:$P,12,FALSE()),0)</f>
      </c>
      <c r="Q156" s="36">
        <f>+O156-P156</f>
      </c>
      <c r="R156" s="34">
        <f>IFERROR(VLOOKUP("15_"&amp;A156,SyS!$B:$P,10,FALSE()),0)</f>
      </c>
      <c r="S156" s="35">
        <f>IFERROR(VLOOKUP("15_"&amp;A156,SyS!$B:$P,12,FALSE()),0)</f>
      </c>
      <c r="T156" s="36">
        <f>+R156-S156</f>
      </c>
      <c r="U156" s="34">
        <f>IFERROR(VLOOKUP("16_"&amp;A156,SyS!$B:$P,10,FALSE()),0)</f>
      </c>
      <c r="V156" s="35">
        <f>IFERROR(VLOOKUP("16_"&amp;A156,SyS!$B:$P,12,FALSE()),0)</f>
      </c>
      <c r="W156" s="36">
        <f>+U156-V156</f>
      </c>
      <c r="X156" s="34">
        <f>IFERROR(VLOOKUP("13_"&amp;A156,SyS!$B:$P,10,FALSE()),0)</f>
      </c>
      <c r="Y156" s="35">
        <f>IFERROR(VLOOKUP("13_"&amp;A156,SyS!$B:$P,12,FALSE()),0)</f>
      </c>
      <c r="Z156" s="36">
        <f>+X156-Y156</f>
      </c>
      <c r="AA156" s="34">
        <f>IFERROR(VLOOKUP("17_"&amp;A156,SyS!$B:$P,10,FALSE()),0)</f>
      </c>
      <c r="AB156" s="35">
        <f>IFERROR(VLOOKUP("17_"&amp;A156,SyS!$B:$P,12,FALSE()),0)</f>
      </c>
      <c r="AC156" s="36">
        <f>+AA156-AB156</f>
      </c>
      <c r="AD156" s="35"/>
      <c r="AE156" s="35"/>
      <c r="AF156" s="35"/>
      <c r="AG156" s="35">
        <f>IFERROR(VLOOKUP("19_"&amp;A156,SyS!$B:$P,10,FALSE()),0)</f>
      </c>
      <c r="AH156" s="35">
        <f>IFERROR(VLOOKUP("19_"&amp;A156,SyS!$B:$P,12,FALSE()),0)</f>
      </c>
      <c r="AI156" s="35">
        <f>+AG156-AH156</f>
      </c>
      <c r="AJ156" s="35"/>
      <c r="AK156" s="35"/>
      <c r="AL156" s="35"/>
      <c r="AM156" s="34">
        <f>IFERROR(VLOOKUP("23_"&amp;A156,SyS!$B:$P,10,FALSE()),0)</f>
      </c>
      <c r="AN156" s="35">
        <f>IFERROR(VLOOKUP("23_"&amp;A156,SyS!$B:$P,12,FALSE()),0)</f>
      </c>
      <c r="AO156" s="36">
        <f>+AM156-AN156</f>
      </c>
      <c r="AP156" s="40"/>
      <c r="AQ156" s="40"/>
      <c r="AR156" s="40"/>
      <c r="AS156" s="40"/>
      <c r="AT156" s="40"/>
      <c r="AU156" s="40"/>
      <c r="AV156" s="40"/>
      <c r="AW156" s="40"/>
      <c r="AX156" s="40"/>
      <c r="AY156" s="40"/>
      <c r="AZ156" s="40"/>
      <c r="BA156" s="40"/>
      <c r="BB156" s="40"/>
      <c r="BC156" s="40"/>
      <c r="BD156" s="40"/>
      <c r="BE156" s="40"/>
      <c r="BF156" s="40"/>
      <c r="BG156" s="40"/>
      <c r="BH156" s="40"/>
      <c r="BI156" s="40"/>
      <c r="BJ156" s="40"/>
      <c r="BK156" s="40">
        <f>IFERROR(VLOOKUP("29_"&amp;A156,SyS!$B:$P,10,FALSE()),0)</f>
      </c>
      <c r="BL156" s="40">
        <f>IFERROR(VLOOKUP("29_"&amp;A156,SyS!$B:$P,12,FALSE()),0)</f>
      </c>
      <c r="BM156" s="40">
        <f>+BK156-BL156</f>
      </c>
      <c r="BN156" s="42">
        <f>IFERROR(VLOOKUP("30_"&amp;A156,SyS!$B:$P,10,FALSE()),0)</f>
      </c>
      <c r="BO156" s="40">
        <f>IFERROR(VLOOKUP("30_"&amp;A156,SyS!$B:$P,12,FALSE()),0)</f>
      </c>
      <c r="BP156" s="43">
        <f>+BN156-BO156</f>
      </c>
      <c r="BQ156" s="44">
        <f>+E156+H156+K156+N156+Q156+T156+W156+Z156+AC156+AF156+AI156+AL156+AO156+AR156+AU156+AX156+BA156+BD156+BG156+BJ156+BM156+BP156</f>
      </c>
    </row>
    <row r="157" ht="11.25" customHeight="1" spans="1:69" x14ac:dyDescent="0.25">
      <c r="A157" s="9">
        <v>426910000</v>
      </c>
      <c r="B157" s="9" t="s">
        <v>194</v>
      </c>
      <c r="C157" s="34">
        <f>IFERROR(VLOOKUP("1_"&amp;A157,SyS!$B:$P,10,FALSE()),0)</f>
      </c>
      <c r="D157" s="35">
        <f>IFERROR(VLOOKUP("1_"&amp;A157,SyS!$B:$P,12,FALSE()),0)</f>
      </c>
      <c r="E157" s="35">
        <f>+C157-D157</f>
      </c>
      <c r="F157" s="34">
        <f>IFERROR(VLOOKUP("2_"&amp;A157,SyS!$B:$P,10,FALSE()),0)</f>
      </c>
      <c r="G157" s="35">
        <f>IFERROR(VLOOKUP("2_"&amp;A157,SyS!$B:$P,12,FALSE()),0)</f>
      </c>
      <c r="H157" s="36">
        <f>+F157-G157</f>
      </c>
      <c r="I157" s="35"/>
      <c r="J157" s="35"/>
      <c r="K157" s="35"/>
      <c r="L157" s="35"/>
      <c r="M157" s="35"/>
      <c r="N157" s="35"/>
      <c r="O157" s="34">
        <f>IFERROR(VLOOKUP("14_"&amp;A157,SyS!$B:$P,10,FALSE()),0)</f>
      </c>
      <c r="P157" s="35">
        <f>IFERROR(VLOOKUP("14_"&amp;A157,SyS!$B:$P,12,FALSE()),0)</f>
      </c>
      <c r="Q157" s="36">
        <f>+O157-P157</f>
      </c>
      <c r="R157" s="34">
        <f>IFERROR(VLOOKUP("15_"&amp;A157,SyS!$B:$P,10,FALSE()),0)</f>
      </c>
      <c r="S157" s="35">
        <f>IFERROR(VLOOKUP("15_"&amp;A157,SyS!$B:$P,12,FALSE()),0)</f>
      </c>
      <c r="T157" s="36">
        <f>+R157-S157</f>
      </c>
      <c r="U157" s="34">
        <f>IFERROR(VLOOKUP("16_"&amp;A157,SyS!$B:$P,10,FALSE()),0)</f>
      </c>
      <c r="V157" s="35">
        <f>IFERROR(VLOOKUP("16_"&amp;A157,SyS!$B:$P,12,FALSE()),0)</f>
      </c>
      <c r="W157" s="36">
        <f>+U157-V157</f>
      </c>
      <c r="X157" s="34">
        <f>IFERROR(VLOOKUP("13_"&amp;A157,SyS!$B:$P,10,FALSE()),0)</f>
      </c>
      <c r="Y157" s="35">
        <f>IFERROR(VLOOKUP("13_"&amp;A157,SyS!$B:$P,12,FALSE()),0)</f>
      </c>
      <c r="Z157" s="36">
        <f>+X157-Y157</f>
      </c>
      <c r="AA157" s="34">
        <f>IFERROR(VLOOKUP("17_"&amp;A157,SyS!$B:$P,10,FALSE()),0)</f>
      </c>
      <c r="AB157" s="35">
        <f>IFERROR(VLOOKUP("17_"&amp;A157,SyS!$B:$P,12,FALSE()),0)</f>
      </c>
      <c r="AC157" s="36">
        <f>+AA157-AB157</f>
      </c>
      <c r="AD157" s="35"/>
      <c r="AE157" s="35"/>
      <c r="AF157" s="35"/>
      <c r="AG157" s="35">
        <f>IFERROR(VLOOKUP("19_"&amp;A157,SyS!$B:$P,10,FALSE()),0)</f>
      </c>
      <c r="AH157" s="35">
        <f>IFERROR(VLOOKUP("19_"&amp;A157,SyS!$B:$P,12,FALSE()),0)</f>
      </c>
      <c r="AI157" s="35">
        <f>+AG157-AH157</f>
      </c>
      <c r="AJ157" s="35"/>
      <c r="AK157" s="35"/>
      <c r="AL157" s="35"/>
      <c r="AM157" s="34">
        <f>IFERROR(VLOOKUP("23_"&amp;A157,SyS!$B:$P,10,FALSE()),0)</f>
      </c>
      <c r="AN157" s="35">
        <f>IFERROR(VLOOKUP("23_"&amp;A157,SyS!$B:$P,12,FALSE()),0)</f>
      </c>
      <c r="AO157" s="36">
        <f>+AM157-AN157</f>
      </c>
      <c r="AP157" s="40"/>
      <c r="AQ157" s="40"/>
      <c r="AR157" s="40"/>
      <c r="AS157" s="40"/>
      <c r="AT157" s="40"/>
      <c r="AU157" s="40"/>
      <c r="AV157" s="40"/>
      <c r="AW157" s="40"/>
      <c r="AX157" s="40"/>
      <c r="AY157" s="40"/>
      <c r="AZ157" s="40"/>
      <c r="BA157" s="40"/>
      <c r="BB157" s="40"/>
      <c r="BC157" s="40"/>
      <c r="BD157" s="40"/>
      <c r="BE157" s="40"/>
      <c r="BF157" s="40"/>
      <c r="BG157" s="40"/>
      <c r="BH157" s="40"/>
      <c r="BI157" s="40"/>
      <c r="BJ157" s="40"/>
      <c r="BK157" s="40">
        <f>IFERROR(VLOOKUP("29_"&amp;A157,SyS!$B:$P,10,FALSE()),0)</f>
      </c>
      <c r="BL157" s="40">
        <f>IFERROR(VLOOKUP("29_"&amp;A157,SyS!$B:$P,12,FALSE()),0)</f>
      </c>
      <c r="BM157" s="40">
        <f>+BK157-BL157</f>
      </c>
      <c r="BN157" s="42">
        <f>IFERROR(VLOOKUP("30_"&amp;A157,SyS!$B:$P,10,FALSE()),0)</f>
      </c>
      <c r="BO157" s="40">
        <f>IFERROR(VLOOKUP("30_"&amp;A157,SyS!$B:$P,12,FALSE()),0)</f>
      </c>
      <c r="BP157" s="43">
        <f>+BN157-BO157</f>
      </c>
      <c r="BQ157" s="44">
        <f>+E157+H157+K157+N157+Q157+T157+W157+Z157+AC157+AF157+AI157+AL157+AO157+AR157+AU157+AX157+BA157+BD157+BG157+BJ157+BM157+BP157</f>
      </c>
    </row>
    <row r="158" ht="11.25" customHeight="1" spans="1:69" x14ac:dyDescent="0.25">
      <c r="A158" s="9">
        <v>426920000</v>
      </c>
      <c r="B158" s="9" t="s">
        <v>195</v>
      </c>
      <c r="C158" s="34">
        <f>IFERROR(VLOOKUP("1_"&amp;A158,SyS!$B:$P,10,FALSE()),0)</f>
      </c>
      <c r="D158" s="35">
        <f>IFERROR(VLOOKUP("1_"&amp;A158,SyS!$B:$P,12,FALSE()),0)</f>
      </c>
      <c r="E158" s="35">
        <f>+C158-D158</f>
      </c>
      <c r="F158" s="34">
        <f>IFERROR(VLOOKUP("2_"&amp;A158,SyS!$B:$P,10,FALSE()),0)</f>
      </c>
      <c r="G158" s="35">
        <f>IFERROR(VLOOKUP("2_"&amp;A158,SyS!$B:$P,12,FALSE()),0)</f>
      </c>
      <c r="H158" s="36">
        <f>+F158-G158</f>
      </c>
      <c r="I158" s="35"/>
      <c r="J158" s="35"/>
      <c r="K158" s="35"/>
      <c r="L158" s="35"/>
      <c r="M158" s="35"/>
      <c r="N158" s="35"/>
      <c r="O158" s="34">
        <f>IFERROR(VLOOKUP("14_"&amp;A158,SyS!$B:$P,10,FALSE()),0)</f>
      </c>
      <c r="P158" s="35">
        <f>IFERROR(VLOOKUP("14_"&amp;A158,SyS!$B:$P,12,FALSE()),0)</f>
      </c>
      <c r="Q158" s="36">
        <f>+O158-P158</f>
      </c>
      <c r="R158" s="34">
        <f>IFERROR(VLOOKUP("15_"&amp;A158,SyS!$B:$P,10,FALSE()),0)</f>
      </c>
      <c r="S158" s="35">
        <f>IFERROR(VLOOKUP("15_"&amp;A158,SyS!$B:$P,12,FALSE()),0)</f>
      </c>
      <c r="T158" s="36">
        <f>+R158-S158</f>
      </c>
      <c r="U158" s="34">
        <f>IFERROR(VLOOKUP("16_"&amp;A158,SyS!$B:$P,10,FALSE()),0)</f>
      </c>
      <c r="V158" s="35">
        <f>IFERROR(VLOOKUP("16_"&amp;A158,SyS!$B:$P,12,FALSE()),0)</f>
      </c>
      <c r="W158" s="36">
        <f>+U158-V158</f>
      </c>
      <c r="X158" s="34">
        <f>IFERROR(VLOOKUP("13_"&amp;A158,SyS!$B:$P,10,FALSE()),0)</f>
      </c>
      <c r="Y158" s="35">
        <f>IFERROR(VLOOKUP("13_"&amp;A158,SyS!$B:$P,12,FALSE()),0)</f>
      </c>
      <c r="Z158" s="36">
        <f>+X158-Y158</f>
      </c>
      <c r="AA158" s="34">
        <f>IFERROR(VLOOKUP("17_"&amp;A158,SyS!$B:$P,10,FALSE()),0)</f>
      </c>
      <c r="AB158" s="35">
        <f>IFERROR(VLOOKUP("17_"&amp;A158,SyS!$B:$P,12,FALSE()),0)</f>
      </c>
      <c r="AC158" s="36">
        <f>+AA158-AB158</f>
      </c>
      <c r="AD158" s="35"/>
      <c r="AE158" s="35"/>
      <c r="AF158" s="35"/>
      <c r="AG158" s="35">
        <f>IFERROR(VLOOKUP("19_"&amp;A158,SyS!$B:$P,10,FALSE()),0)</f>
      </c>
      <c r="AH158" s="35">
        <f>IFERROR(VLOOKUP("19_"&amp;A158,SyS!$B:$P,12,FALSE()),0)</f>
      </c>
      <c r="AI158" s="35">
        <f>+AG158-AH158</f>
      </c>
      <c r="AJ158" s="35"/>
      <c r="AK158" s="35"/>
      <c r="AL158" s="35"/>
      <c r="AM158" s="34">
        <f>IFERROR(VLOOKUP("23_"&amp;A158,SyS!$B:$P,10,FALSE()),0)</f>
      </c>
      <c r="AN158" s="35">
        <f>IFERROR(VLOOKUP("23_"&amp;A158,SyS!$B:$P,12,FALSE()),0)</f>
      </c>
      <c r="AO158" s="36">
        <f>+AM158-AN158</f>
      </c>
      <c r="AP158" s="40"/>
      <c r="AQ158" s="40"/>
      <c r="AR158" s="40"/>
      <c r="AS158" s="40"/>
      <c r="AT158" s="40"/>
      <c r="AU158" s="40"/>
      <c r="AV158" s="40"/>
      <c r="AW158" s="40"/>
      <c r="AX158" s="40"/>
      <c r="AY158" s="40"/>
      <c r="AZ158" s="40"/>
      <c r="BA158" s="40"/>
      <c r="BB158" s="40"/>
      <c r="BC158" s="40"/>
      <c r="BD158" s="40"/>
      <c r="BE158" s="40"/>
      <c r="BF158" s="40"/>
      <c r="BG158" s="40"/>
      <c r="BH158" s="40"/>
      <c r="BI158" s="40"/>
      <c r="BJ158" s="40"/>
      <c r="BK158" s="40">
        <f>IFERROR(VLOOKUP("29_"&amp;A158,SyS!$B:$P,10,FALSE()),0)</f>
      </c>
      <c r="BL158" s="40">
        <f>IFERROR(VLOOKUP("29_"&amp;A158,SyS!$B:$P,12,FALSE()),0)</f>
      </c>
      <c r="BM158" s="40">
        <f>+BK158-BL158</f>
      </c>
      <c r="BN158" s="42">
        <f>IFERROR(VLOOKUP("30_"&amp;A158,SyS!$B:$P,10,FALSE()),0)</f>
      </c>
      <c r="BO158" s="40">
        <f>IFERROR(VLOOKUP("30_"&amp;A158,SyS!$B:$P,12,FALSE()),0)</f>
      </c>
      <c r="BP158" s="43">
        <f>+BN158-BO158</f>
      </c>
      <c r="BQ158" s="44">
        <f>+E158+H158+K158+N158+Q158+T158+W158+Z158+AC158+AF158+AI158+AL158+AO158+AR158+AU158+AX158+BA158+BD158+BG158+BJ158+BM158+BP158</f>
      </c>
    </row>
    <row r="159" ht="11.25" customHeight="1" spans="1:69" x14ac:dyDescent="0.25">
      <c r="A159" s="9">
        <v>426930000</v>
      </c>
      <c r="B159" s="9" t="s">
        <v>196</v>
      </c>
      <c r="C159" s="34">
        <f>IFERROR(VLOOKUP("1_"&amp;A159,SyS!$B:$P,10,FALSE()),0)</f>
      </c>
      <c r="D159" s="35">
        <f>IFERROR(VLOOKUP("1_"&amp;A159,SyS!$B:$P,12,FALSE()),0)</f>
      </c>
      <c r="E159" s="35">
        <f>+C159-D159</f>
      </c>
      <c r="F159" s="34">
        <f>IFERROR(VLOOKUP("2_"&amp;A159,SyS!$B:$P,10,FALSE()),0)</f>
      </c>
      <c r="G159" s="35">
        <f>IFERROR(VLOOKUP("2_"&amp;A159,SyS!$B:$P,12,FALSE()),0)</f>
      </c>
      <c r="H159" s="36">
        <f>+F159-G159</f>
      </c>
      <c r="I159" s="35"/>
      <c r="J159" s="35"/>
      <c r="K159" s="35"/>
      <c r="L159" s="35"/>
      <c r="M159" s="35"/>
      <c r="N159" s="35"/>
      <c r="O159" s="34">
        <f>IFERROR(VLOOKUP("14_"&amp;A159,SyS!$B:$P,10,FALSE()),0)</f>
      </c>
      <c r="P159" s="35">
        <f>IFERROR(VLOOKUP("14_"&amp;A159,SyS!$B:$P,12,FALSE()),0)</f>
      </c>
      <c r="Q159" s="36">
        <f>+O159-P159</f>
      </c>
      <c r="R159" s="34">
        <f>IFERROR(VLOOKUP("15_"&amp;A159,SyS!$B:$P,10,FALSE()),0)</f>
      </c>
      <c r="S159" s="35">
        <f>IFERROR(VLOOKUP("15_"&amp;A159,SyS!$B:$P,12,FALSE()),0)</f>
      </c>
      <c r="T159" s="36">
        <f>+R159-S159</f>
      </c>
      <c r="U159" s="34">
        <f>IFERROR(VLOOKUP("16_"&amp;A159,SyS!$B:$P,10,FALSE()),0)</f>
      </c>
      <c r="V159" s="35">
        <f>IFERROR(VLOOKUP("16_"&amp;A159,SyS!$B:$P,12,FALSE()),0)</f>
      </c>
      <c r="W159" s="36">
        <f>+U159-V159</f>
      </c>
      <c r="X159" s="34">
        <f>IFERROR(VLOOKUP("13_"&amp;A159,SyS!$B:$P,10,FALSE()),0)</f>
      </c>
      <c r="Y159" s="35">
        <f>IFERROR(VLOOKUP("13_"&amp;A159,SyS!$B:$P,12,FALSE()),0)</f>
      </c>
      <c r="Z159" s="36">
        <f>+X159-Y159</f>
      </c>
      <c r="AA159" s="34">
        <f>IFERROR(VLOOKUP("17_"&amp;A159,SyS!$B:$P,10,FALSE()),0)</f>
      </c>
      <c r="AB159" s="35">
        <f>IFERROR(VLOOKUP("17_"&amp;A159,SyS!$B:$P,12,FALSE()),0)</f>
      </c>
      <c r="AC159" s="36">
        <f>+AA159-AB159</f>
      </c>
      <c r="AD159" s="35"/>
      <c r="AE159" s="35"/>
      <c r="AF159" s="35"/>
      <c r="AG159" s="35">
        <f>IFERROR(VLOOKUP("19_"&amp;A159,SyS!$B:$P,10,FALSE()),0)</f>
      </c>
      <c r="AH159" s="35">
        <f>IFERROR(VLOOKUP("19_"&amp;A159,SyS!$B:$P,12,FALSE()),0)</f>
      </c>
      <c r="AI159" s="35">
        <f>+AG159-AH159</f>
      </c>
      <c r="AJ159" s="35"/>
      <c r="AK159" s="35"/>
      <c r="AL159" s="35"/>
      <c r="AM159" s="34">
        <f>IFERROR(VLOOKUP("23_"&amp;A159,SyS!$B:$P,10,FALSE()),0)</f>
      </c>
      <c r="AN159" s="35">
        <f>IFERROR(VLOOKUP("23_"&amp;A159,SyS!$B:$P,12,FALSE()),0)</f>
      </c>
      <c r="AO159" s="36">
        <f>+AM159-AN159</f>
      </c>
      <c r="AP159" s="40"/>
      <c r="AQ159" s="40"/>
      <c r="AR159" s="40"/>
      <c r="AS159" s="40"/>
      <c r="AT159" s="40"/>
      <c r="AU159" s="40"/>
      <c r="AV159" s="40"/>
      <c r="AW159" s="40"/>
      <c r="AX159" s="40"/>
      <c r="AY159" s="40"/>
      <c r="AZ159" s="40"/>
      <c r="BA159" s="40"/>
      <c r="BB159" s="40"/>
      <c r="BC159" s="40"/>
      <c r="BD159" s="40"/>
      <c r="BE159" s="40"/>
      <c r="BF159" s="40"/>
      <c r="BG159" s="40"/>
      <c r="BH159" s="40"/>
      <c r="BI159" s="40"/>
      <c r="BJ159" s="40"/>
      <c r="BK159" s="40">
        <f>IFERROR(VLOOKUP("29_"&amp;A159,SyS!$B:$P,10,FALSE()),0)</f>
      </c>
      <c r="BL159" s="40">
        <f>IFERROR(VLOOKUP("29_"&amp;A159,SyS!$B:$P,12,FALSE()),0)</f>
      </c>
      <c r="BM159" s="40">
        <f>+BK159-BL159</f>
      </c>
      <c r="BN159" s="42">
        <f>IFERROR(VLOOKUP("30_"&amp;A159,SyS!$B:$P,10,FALSE()),0)</f>
      </c>
      <c r="BO159" s="40">
        <f>IFERROR(VLOOKUP("30_"&amp;A159,SyS!$B:$P,12,FALSE()),0)</f>
      </c>
      <c r="BP159" s="43">
        <f>+BN159-BO159</f>
      </c>
      <c r="BQ159" s="44">
        <f>+E159+H159+K159+N159+Q159+T159+W159+Z159+AC159+AF159+AI159+AL159+AO159+AR159+AU159+AX159+BA159+BD159+BG159+BJ159+BM159+BP159</f>
      </c>
    </row>
    <row r="160" ht="11.25" customHeight="1" spans="1:69" x14ac:dyDescent="0.25">
      <c r="A160" s="9">
        <v>426940000</v>
      </c>
      <c r="B160" s="9" t="s">
        <v>197</v>
      </c>
      <c r="C160" s="34">
        <f>IFERROR(VLOOKUP("1_"&amp;A160,SyS!$B:$P,10,FALSE()),0)</f>
      </c>
      <c r="D160" s="35">
        <f>IFERROR(VLOOKUP("1_"&amp;A160,SyS!$B:$P,12,FALSE()),0)</f>
      </c>
      <c r="E160" s="35">
        <f>+C160-D160</f>
      </c>
      <c r="F160" s="34">
        <f>IFERROR(VLOOKUP("2_"&amp;A160,SyS!$B:$P,10,FALSE()),0)</f>
      </c>
      <c r="G160" s="35">
        <f>IFERROR(VLOOKUP("2_"&amp;A160,SyS!$B:$P,12,FALSE()),0)</f>
      </c>
      <c r="H160" s="36">
        <f>+F160-G160</f>
      </c>
      <c r="I160" s="35"/>
      <c r="J160" s="35"/>
      <c r="K160" s="35"/>
      <c r="L160" s="35"/>
      <c r="M160" s="35"/>
      <c r="N160" s="35"/>
      <c r="O160" s="34">
        <f>IFERROR(VLOOKUP("14_"&amp;A160,SyS!$B:$P,10,FALSE()),0)</f>
      </c>
      <c r="P160" s="35">
        <f>IFERROR(VLOOKUP("14_"&amp;A160,SyS!$B:$P,12,FALSE()),0)</f>
      </c>
      <c r="Q160" s="36">
        <f>+O160-P160</f>
      </c>
      <c r="R160" s="34">
        <f>IFERROR(VLOOKUP("15_"&amp;A160,SyS!$B:$P,10,FALSE()),0)</f>
      </c>
      <c r="S160" s="35">
        <f>IFERROR(VLOOKUP("15_"&amp;A160,SyS!$B:$P,12,FALSE()),0)</f>
      </c>
      <c r="T160" s="36">
        <f>+R160-S160</f>
      </c>
      <c r="U160" s="34">
        <f>IFERROR(VLOOKUP("16_"&amp;A160,SyS!$B:$P,10,FALSE()),0)</f>
      </c>
      <c r="V160" s="35">
        <f>IFERROR(VLOOKUP("16_"&amp;A160,SyS!$B:$P,12,FALSE()),0)</f>
      </c>
      <c r="W160" s="36">
        <f>+U160-V160</f>
      </c>
      <c r="X160" s="34">
        <f>IFERROR(VLOOKUP("13_"&amp;A160,SyS!$B:$P,10,FALSE()),0)</f>
      </c>
      <c r="Y160" s="35">
        <f>IFERROR(VLOOKUP("13_"&amp;A160,SyS!$B:$P,12,FALSE()),0)</f>
      </c>
      <c r="Z160" s="36">
        <f>+X160-Y160</f>
      </c>
      <c r="AA160" s="34">
        <f>IFERROR(VLOOKUP("17_"&amp;A160,SyS!$B:$P,10,FALSE()),0)</f>
      </c>
      <c r="AB160" s="35">
        <f>IFERROR(VLOOKUP("17_"&amp;A160,SyS!$B:$P,12,FALSE()),0)</f>
      </c>
      <c r="AC160" s="36">
        <f>+AA160-AB160</f>
      </c>
      <c r="AD160" s="35"/>
      <c r="AE160" s="35"/>
      <c r="AF160" s="35"/>
      <c r="AG160" s="35">
        <f>IFERROR(VLOOKUP("19_"&amp;A160,SyS!$B:$P,10,FALSE()),0)</f>
      </c>
      <c r="AH160" s="35">
        <f>IFERROR(VLOOKUP("19_"&amp;A160,SyS!$B:$P,12,FALSE()),0)</f>
      </c>
      <c r="AI160" s="35">
        <f>+AG160-AH160</f>
      </c>
      <c r="AJ160" s="35"/>
      <c r="AK160" s="35"/>
      <c r="AL160" s="35"/>
      <c r="AM160" s="34">
        <f>IFERROR(VLOOKUP("23_"&amp;A160,SyS!$B:$P,10,FALSE()),0)</f>
      </c>
      <c r="AN160" s="35">
        <f>IFERROR(VLOOKUP("23_"&amp;A160,SyS!$B:$P,12,FALSE()),0)</f>
      </c>
      <c r="AO160" s="36">
        <f>+AM160-AN160</f>
      </c>
      <c r="AP160" s="40"/>
      <c r="AQ160" s="40"/>
      <c r="AR160" s="40"/>
      <c r="AS160" s="40"/>
      <c r="AT160" s="40"/>
      <c r="AU160" s="40"/>
      <c r="AV160" s="40"/>
      <c r="AW160" s="40"/>
      <c r="AX160" s="40"/>
      <c r="AY160" s="40"/>
      <c r="AZ160" s="40"/>
      <c r="BA160" s="40"/>
      <c r="BB160" s="40"/>
      <c r="BC160" s="40"/>
      <c r="BD160" s="40"/>
      <c r="BE160" s="40"/>
      <c r="BF160" s="40"/>
      <c r="BG160" s="40"/>
      <c r="BH160" s="40"/>
      <c r="BI160" s="40"/>
      <c r="BJ160" s="40"/>
      <c r="BK160" s="40">
        <f>IFERROR(VLOOKUP("29_"&amp;A160,SyS!$B:$P,10,FALSE()),0)</f>
      </c>
      <c r="BL160" s="40">
        <f>IFERROR(VLOOKUP("29_"&amp;A160,SyS!$B:$P,12,FALSE()),0)</f>
      </c>
      <c r="BM160" s="40">
        <f>+BK160-BL160</f>
      </c>
      <c r="BN160" s="42">
        <f>IFERROR(VLOOKUP("30_"&amp;A160,SyS!$B:$P,10,FALSE()),0)</f>
      </c>
      <c r="BO160" s="40">
        <f>IFERROR(VLOOKUP("30_"&amp;A160,SyS!$B:$P,12,FALSE()),0)</f>
      </c>
      <c r="BP160" s="43">
        <f>+BN160-BO160</f>
      </c>
      <c r="BQ160" s="44">
        <f>+E160+H160+K160+N160+Q160+T160+W160+Z160+AC160+AF160+AI160+AL160+AO160+AR160+AU160+AX160+BA160+BD160+BG160+BJ160+BM160+BP160</f>
      </c>
    </row>
    <row r="161" ht="11.25" customHeight="1" spans="1:69" x14ac:dyDescent="0.25">
      <c r="A161" s="9">
        <v>426360000</v>
      </c>
      <c r="B161" s="9" t="s">
        <v>198</v>
      </c>
      <c r="C161" s="34">
        <f>IFERROR(VLOOKUP("1_"&amp;A161,SyS!$B:$P,10,FALSE()),0)</f>
        <v>2394.51</v>
      </c>
      <c r="D161" s="35">
        <f>IFERROR(VLOOKUP("1_"&amp;A161,SyS!$B:$P,12,FALSE()),0)</f>
      </c>
      <c r="E161" s="35">
        <f>+C161-D161</f>
        <v>2394.51</v>
      </c>
      <c r="F161" s="34">
        <f>IFERROR(VLOOKUP("2_"&amp;A161,SyS!$B:$P,10,FALSE()),0)</f>
      </c>
      <c r="G161" s="35">
        <f>IFERROR(VLOOKUP("2_"&amp;A161,SyS!$B:$P,12,FALSE()),0)</f>
      </c>
      <c r="H161" s="36">
        <f>+F161-G161</f>
      </c>
      <c r="I161" s="35"/>
      <c r="J161" s="35"/>
      <c r="K161" s="35"/>
      <c r="L161" s="35"/>
      <c r="M161" s="35"/>
      <c r="N161" s="35"/>
      <c r="O161" s="34">
        <f>IFERROR(VLOOKUP("14_"&amp;A161,SyS!$B:$P,10,FALSE()),0)</f>
      </c>
      <c r="P161" s="35">
        <f>IFERROR(VLOOKUP("14_"&amp;A161,SyS!$B:$P,12,FALSE()),0)</f>
      </c>
      <c r="Q161" s="36">
        <f>+O161-P161</f>
      </c>
      <c r="R161" s="34">
        <f>IFERROR(VLOOKUP("15_"&amp;A161,SyS!$B:$P,10,FALSE()),0)</f>
      </c>
      <c r="S161" s="35">
        <f>IFERROR(VLOOKUP("15_"&amp;A161,SyS!$B:$P,12,FALSE()),0)</f>
      </c>
      <c r="T161" s="36">
        <f>+R161-S161</f>
      </c>
      <c r="U161" s="34">
        <f>IFERROR(VLOOKUP("16_"&amp;A161,SyS!$B:$P,10,FALSE()),0)</f>
      </c>
      <c r="V161" s="35">
        <f>IFERROR(VLOOKUP("16_"&amp;A161,SyS!$B:$P,12,FALSE()),0)</f>
      </c>
      <c r="W161" s="36">
        <f>+U161-V161</f>
      </c>
      <c r="X161" s="34">
        <f>IFERROR(VLOOKUP("13_"&amp;A161,SyS!$B:$P,10,FALSE()),0)</f>
      </c>
      <c r="Y161" s="35">
        <f>IFERROR(VLOOKUP("13_"&amp;A161,SyS!$B:$P,12,FALSE()),0)</f>
      </c>
      <c r="Z161" s="36">
        <f>+X161-Y161</f>
      </c>
      <c r="AA161" s="34">
        <f>IFERROR(VLOOKUP("17_"&amp;A161,SyS!$B:$P,10,FALSE()),0)</f>
      </c>
      <c r="AB161" s="35">
        <f>IFERROR(VLOOKUP("17_"&amp;A161,SyS!$B:$P,12,FALSE()),0)</f>
      </c>
      <c r="AC161" s="36">
        <f>+AA161-AB161</f>
      </c>
      <c r="AD161" s="35"/>
      <c r="AE161" s="35"/>
      <c r="AF161" s="35"/>
      <c r="AG161" s="35">
        <f>IFERROR(VLOOKUP("19_"&amp;A161,SyS!$B:$P,10,FALSE()),0)</f>
      </c>
      <c r="AH161" s="35">
        <f>IFERROR(VLOOKUP("19_"&amp;A161,SyS!$B:$P,12,FALSE()),0)</f>
      </c>
      <c r="AI161" s="35">
        <f>+AG161-AH161</f>
      </c>
      <c r="AJ161" s="35"/>
      <c r="AK161" s="35"/>
      <c r="AL161" s="35"/>
      <c r="AM161" s="34">
        <f>IFERROR(VLOOKUP("23_"&amp;A161,SyS!$B:$P,10,FALSE()),0)</f>
      </c>
      <c r="AN161" s="35">
        <f>IFERROR(VLOOKUP("23_"&amp;A161,SyS!$B:$P,12,FALSE()),0)</f>
      </c>
      <c r="AO161" s="36">
        <f>+AM161-AN161</f>
      </c>
      <c r="AP161" s="40"/>
      <c r="AQ161" s="40"/>
      <c r="AR161" s="40"/>
      <c r="AS161" s="40"/>
      <c r="AT161" s="40"/>
      <c r="AU161" s="40"/>
      <c r="AV161" s="40"/>
      <c r="AW161" s="40"/>
      <c r="AX161" s="40"/>
      <c r="AY161" s="40"/>
      <c r="AZ161" s="40"/>
      <c r="BA161" s="40"/>
      <c r="BB161" s="40"/>
      <c r="BC161" s="40"/>
      <c r="BD161" s="40"/>
      <c r="BE161" s="40"/>
      <c r="BF161" s="40"/>
      <c r="BG161" s="40"/>
      <c r="BH161" s="40"/>
      <c r="BI161" s="40"/>
      <c r="BJ161" s="40"/>
      <c r="BK161" s="40">
        <f>IFERROR(VLOOKUP("29_"&amp;A161,SyS!$B:$P,10,FALSE()),0)</f>
      </c>
      <c r="BL161" s="40">
        <f>IFERROR(VLOOKUP("29_"&amp;A161,SyS!$B:$P,12,FALSE()),0)</f>
      </c>
      <c r="BM161" s="40">
        <f>+BK161-BL161</f>
      </c>
      <c r="BN161" s="42">
        <f>IFERROR(VLOOKUP("30_"&amp;A161,SyS!$B:$P,10,FALSE()),0)</f>
      </c>
      <c r="BO161" s="40">
        <f>IFERROR(VLOOKUP("30_"&amp;A161,SyS!$B:$P,12,FALSE()),0)</f>
      </c>
      <c r="BP161" s="43">
        <f>+BN161-BO161</f>
      </c>
      <c r="BQ161" s="44">
        <f>+E161+H161+K161+N161+Q161+T161+W161+Z161+AC161+AF161+AI161+AL161+AO161+AR161+AU161+AX161+BA161+BD161+BG161+BJ161+BM161+BP161</f>
        <v>2394.51</v>
      </c>
    </row>
    <row r="162" ht="11.25" customHeight="1" spans="1:69" x14ac:dyDescent="0.25">
      <c r="A162" s="9">
        <v>426960000</v>
      </c>
      <c r="B162" s="9" t="s">
        <v>199</v>
      </c>
      <c r="C162" s="34">
        <f>IFERROR(VLOOKUP("1_"&amp;A162,SyS!$B:$P,10,FALSE()),0)</f>
      </c>
      <c r="D162" s="35">
        <f>IFERROR(VLOOKUP("1_"&amp;A162,SyS!$B:$P,12,FALSE()),0)</f>
      </c>
      <c r="E162" s="35">
        <f>+C162-D162</f>
      </c>
      <c r="F162" s="34">
        <f>IFERROR(VLOOKUP("2_"&amp;A162,SyS!$B:$P,10,FALSE()),0)</f>
      </c>
      <c r="G162" s="35">
        <f>IFERROR(VLOOKUP("2_"&amp;A162,SyS!$B:$P,12,FALSE()),0)</f>
      </c>
      <c r="H162" s="36">
        <f>+F162-G162</f>
      </c>
      <c r="I162" s="35"/>
      <c r="J162" s="35"/>
      <c r="K162" s="35"/>
      <c r="L162" s="35"/>
      <c r="M162" s="35"/>
      <c r="N162" s="35"/>
      <c r="O162" s="34">
        <f>IFERROR(VLOOKUP("14_"&amp;A162,SyS!$B:$P,10,FALSE()),0)</f>
      </c>
      <c r="P162" s="35">
        <f>IFERROR(VLOOKUP("14_"&amp;A162,SyS!$B:$P,12,FALSE()),0)</f>
      </c>
      <c r="Q162" s="36">
        <f>+O162-P162</f>
      </c>
      <c r="R162" s="34">
        <f>IFERROR(VLOOKUP("15_"&amp;A162,SyS!$B:$P,10,FALSE()),0)</f>
      </c>
      <c r="S162" s="35">
        <f>IFERROR(VLOOKUP("15_"&amp;A162,SyS!$B:$P,12,FALSE()),0)</f>
      </c>
      <c r="T162" s="36">
        <f>+R162-S162</f>
      </c>
      <c r="U162" s="34">
        <f>IFERROR(VLOOKUP("16_"&amp;A162,SyS!$B:$P,10,FALSE()),0)</f>
      </c>
      <c r="V162" s="35">
        <f>IFERROR(VLOOKUP("16_"&amp;A162,SyS!$B:$P,12,FALSE()),0)</f>
      </c>
      <c r="W162" s="36">
        <f>+U162-V162</f>
      </c>
      <c r="X162" s="34">
        <f>IFERROR(VLOOKUP("13_"&amp;A162,SyS!$B:$P,10,FALSE()),0)</f>
      </c>
      <c r="Y162" s="35">
        <f>IFERROR(VLOOKUP("13_"&amp;A162,SyS!$B:$P,12,FALSE()),0)</f>
      </c>
      <c r="Z162" s="36">
        <f>+X162-Y162</f>
      </c>
      <c r="AA162" s="34">
        <f>IFERROR(VLOOKUP("17_"&amp;A162,SyS!$B:$P,10,FALSE()),0)</f>
      </c>
      <c r="AB162" s="35">
        <f>IFERROR(VLOOKUP("17_"&amp;A162,SyS!$B:$P,12,FALSE()),0)</f>
      </c>
      <c r="AC162" s="36">
        <f>+AA162-AB162</f>
      </c>
      <c r="AD162" s="35"/>
      <c r="AE162" s="35"/>
      <c r="AF162" s="35"/>
      <c r="AG162" s="35">
        <f>IFERROR(VLOOKUP("19_"&amp;A162,SyS!$B:$P,10,FALSE()),0)</f>
      </c>
      <c r="AH162" s="35">
        <f>IFERROR(VLOOKUP("19_"&amp;A162,SyS!$B:$P,12,FALSE()),0)</f>
      </c>
      <c r="AI162" s="35">
        <f>+AG162-AH162</f>
      </c>
      <c r="AJ162" s="35"/>
      <c r="AK162" s="35"/>
      <c r="AL162" s="35"/>
      <c r="AM162" s="34">
        <f>IFERROR(VLOOKUP("23_"&amp;A162,SyS!$B:$P,10,FALSE()),0)</f>
      </c>
      <c r="AN162" s="35">
        <f>IFERROR(VLOOKUP("23_"&amp;A162,SyS!$B:$P,12,FALSE()),0)</f>
      </c>
      <c r="AO162" s="36">
        <f>+AM162-AN162</f>
      </c>
      <c r="AP162" s="40"/>
      <c r="AQ162" s="40"/>
      <c r="AR162" s="40"/>
      <c r="AS162" s="40"/>
      <c r="AT162" s="40"/>
      <c r="AU162" s="40"/>
      <c r="AV162" s="40"/>
      <c r="AW162" s="40"/>
      <c r="AX162" s="40"/>
      <c r="AY162" s="40"/>
      <c r="AZ162" s="40"/>
      <c r="BA162" s="40"/>
      <c r="BB162" s="40"/>
      <c r="BC162" s="40"/>
      <c r="BD162" s="40"/>
      <c r="BE162" s="40"/>
      <c r="BF162" s="40"/>
      <c r="BG162" s="40"/>
      <c r="BH162" s="40"/>
      <c r="BI162" s="40"/>
      <c r="BJ162" s="40"/>
      <c r="BK162" s="40">
        <f>IFERROR(VLOOKUP("29_"&amp;A162,SyS!$B:$P,10,FALSE()),0)</f>
      </c>
      <c r="BL162" s="40">
        <f>IFERROR(VLOOKUP("29_"&amp;A162,SyS!$B:$P,12,FALSE()),0)</f>
      </c>
      <c r="BM162" s="40">
        <f>+BK162-BL162</f>
      </c>
      <c r="BN162" s="42">
        <f>IFERROR(VLOOKUP("30_"&amp;A162,SyS!$B:$P,10,FALSE()),0)</f>
      </c>
      <c r="BO162" s="40">
        <f>IFERROR(VLOOKUP("30_"&amp;A162,SyS!$B:$P,12,FALSE()),0)</f>
      </c>
      <c r="BP162" s="43">
        <f>+BN162-BO162</f>
      </c>
      <c r="BQ162" s="44">
        <f>+E162+H162+K162+N162+Q162+T162+W162+Z162+AC162+AF162+AI162+AL162+AO162+AR162+AU162+AX162+BA162+BD162+BG162+BJ162+BM162+BP162</f>
      </c>
    </row>
    <row r="163" ht="11.25" customHeight="1" spans="1:69" x14ac:dyDescent="0.25">
      <c r="A163" s="9">
        <v>426970000</v>
      </c>
      <c r="B163" s="9" t="s">
        <v>200</v>
      </c>
      <c r="C163" s="34">
        <f>IFERROR(VLOOKUP("1_"&amp;A163,SyS!$B:$P,10,FALSE()),0)</f>
      </c>
      <c r="D163" s="35">
        <f>IFERROR(VLOOKUP("1_"&amp;A163,SyS!$B:$P,12,FALSE()),0)</f>
      </c>
      <c r="E163" s="35">
        <f>+C163-D163</f>
      </c>
      <c r="F163" s="34">
        <f>IFERROR(VLOOKUP("2_"&amp;A163,SyS!$B:$P,10,FALSE()),0)</f>
      </c>
      <c r="G163" s="35">
        <f>IFERROR(VLOOKUP("2_"&amp;A163,SyS!$B:$P,12,FALSE()),0)</f>
      </c>
      <c r="H163" s="36">
        <f>+F163-G163</f>
      </c>
      <c r="I163" s="35"/>
      <c r="J163" s="35"/>
      <c r="K163" s="35"/>
      <c r="L163" s="35"/>
      <c r="M163" s="35"/>
      <c r="N163" s="35"/>
      <c r="O163" s="34">
        <f>IFERROR(VLOOKUP("14_"&amp;A163,SyS!$B:$P,10,FALSE()),0)</f>
      </c>
      <c r="P163" s="35">
        <f>IFERROR(VLOOKUP("14_"&amp;A163,SyS!$B:$P,12,FALSE()),0)</f>
      </c>
      <c r="Q163" s="36">
        <f>+O163-P163</f>
      </c>
      <c r="R163" s="34">
        <f>IFERROR(VLOOKUP("15_"&amp;A163,SyS!$B:$P,10,FALSE()),0)</f>
      </c>
      <c r="S163" s="35">
        <f>IFERROR(VLOOKUP("15_"&amp;A163,SyS!$B:$P,12,FALSE()),0)</f>
      </c>
      <c r="T163" s="36">
        <f>+R163-S163</f>
      </c>
      <c r="U163" s="34">
        <f>IFERROR(VLOOKUP("16_"&amp;A163,SyS!$B:$P,10,FALSE()),0)</f>
      </c>
      <c r="V163" s="35">
        <f>IFERROR(VLOOKUP("16_"&amp;A163,SyS!$B:$P,12,FALSE()),0)</f>
      </c>
      <c r="W163" s="36">
        <f>+U163-V163</f>
      </c>
      <c r="X163" s="34">
        <f>IFERROR(VLOOKUP("13_"&amp;A163,SyS!$B:$P,10,FALSE()),0)</f>
      </c>
      <c r="Y163" s="35">
        <f>IFERROR(VLOOKUP("13_"&amp;A163,SyS!$B:$P,12,FALSE()),0)</f>
      </c>
      <c r="Z163" s="36">
        <f>+X163-Y163</f>
      </c>
      <c r="AA163" s="34">
        <f>IFERROR(VLOOKUP("17_"&amp;A163,SyS!$B:$P,10,FALSE()),0)</f>
      </c>
      <c r="AB163" s="35">
        <f>IFERROR(VLOOKUP("17_"&amp;A163,SyS!$B:$P,12,FALSE()),0)</f>
      </c>
      <c r="AC163" s="36">
        <f>+AA163-AB163</f>
      </c>
      <c r="AD163" s="35"/>
      <c r="AE163" s="35"/>
      <c r="AF163" s="35"/>
      <c r="AG163" s="35">
        <f>IFERROR(VLOOKUP("19_"&amp;A163,SyS!$B:$P,10,FALSE()),0)</f>
      </c>
      <c r="AH163" s="35">
        <f>IFERROR(VLOOKUP("19_"&amp;A163,SyS!$B:$P,12,FALSE()),0)</f>
      </c>
      <c r="AI163" s="35">
        <f>+AG163-AH163</f>
      </c>
      <c r="AJ163" s="35"/>
      <c r="AK163" s="35"/>
      <c r="AL163" s="35"/>
      <c r="AM163" s="34">
        <f>IFERROR(VLOOKUP("23_"&amp;A163,SyS!$B:$P,10,FALSE()),0)</f>
      </c>
      <c r="AN163" s="35">
        <f>IFERROR(VLOOKUP("23_"&amp;A163,SyS!$B:$P,12,FALSE()),0)</f>
      </c>
      <c r="AO163" s="36">
        <f>+AM163-AN163</f>
      </c>
      <c r="AP163" s="40"/>
      <c r="AQ163" s="40"/>
      <c r="AR163" s="40"/>
      <c r="AS163" s="40"/>
      <c r="AT163" s="40"/>
      <c r="AU163" s="40"/>
      <c r="AV163" s="40"/>
      <c r="AW163" s="40"/>
      <c r="AX163" s="40"/>
      <c r="AY163" s="40"/>
      <c r="AZ163" s="40"/>
      <c r="BA163" s="40"/>
      <c r="BB163" s="40"/>
      <c r="BC163" s="40"/>
      <c r="BD163" s="40"/>
      <c r="BE163" s="40"/>
      <c r="BF163" s="40"/>
      <c r="BG163" s="40"/>
      <c r="BH163" s="40"/>
      <c r="BI163" s="40"/>
      <c r="BJ163" s="40"/>
      <c r="BK163" s="40">
        <f>IFERROR(VLOOKUP("29_"&amp;A163,SyS!$B:$P,10,FALSE()),0)</f>
      </c>
      <c r="BL163" s="40">
        <f>IFERROR(VLOOKUP("29_"&amp;A163,SyS!$B:$P,12,FALSE()),0)</f>
      </c>
      <c r="BM163" s="40">
        <f>+BK163-BL163</f>
      </c>
      <c r="BN163" s="42">
        <f>IFERROR(VLOOKUP("30_"&amp;A163,SyS!$B:$P,10,FALSE()),0)</f>
      </c>
      <c r="BO163" s="40">
        <f>IFERROR(VLOOKUP("30_"&amp;A163,SyS!$B:$P,12,FALSE()),0)</f>
      </c>
      <c r="BP163" s="43">
        <f>+BN163-BO163</f>
      </c>
      <c r="BQ163" s="44">
        <f>+E163+H163+K163+N163+Q163+T163+W163+Z163+AC163+AF163+AI163+AL163+AO163+AR163+AU163+AX163+BA163+BD163+BG163+BJ163+BM163+BP163</f>
      </c>
    </row>
    <row r="164" ht="11.25" customHeight="1" spans="1:69" x14ac:dyDescent="0.25">
      <c r="A164" s="9">
        <v>426980000</v>
      </c>
      <c r="B164" s="9" t="s">
        <v>201</v>
      </c>
      <c r="C164" s="34">
        <f>IFERROR(VLOOKUP("1_"&amp;A164,SyS!$B:$P,10,FALSE()),0)</f>
      </c>
      <c r="D164" s="35">
        <f>IFERROR(VLOOKUP("1_"&amp;A164,SyS!$B:$P,12,FALSE()),0)</f>
      </c>
      <c r="E164" s="35">
        <f>+C164-D164</f>
      </c>
      <c r="F164" s="34">
        <f>IFERROR(VLOOKUP("2_"&amp;A164,SyS!$B:$P,10,FALSE()),0)</f>
      </c>
      <c r="G164" s="35">
        <f>IFERROR(VLOOKUP("2_"&amp;A164,SyS!$B:$P,12,FALSE()),0)</f>
      </c>
      <c r="H164" s="36">
        <f>+F164-G164</f>
      </c>
      <c r="I164" s="35"/>
      <c r="J164" s="35"/>
      <c r="K164" s="35"/>
      <c r="L164" s="35"/>
      <c r="M164" s="35"/>
      <c r="N164" s="35"/>
      <c r="O164" s="34">
        <f>IFERROR(VLOOKUP("14_"&amp;A164,SyS!$B:$P,10,FALSE()),0)</f>
      </c>
      <c r="P164" s="35">
        <f>IFERROR(VLOOKUP("14_"&amp;A164,SyS!$B:$P,12,FALSE()),0)</f>
      </c>
      <c r="Q164" s="36">
        <f>+O164-P164</f>
      </c>
      <c r="R164" s="34">
        <f>IFERROR(VLOOKUP("15_"&amp;A164,SyS!$B:$P,10,FALSE()),0)</f>
      </c>
      <c r="S164" s="35">
        <f>IFERROR(VLOOKUP("15_"&amp;A164,SyS!$B:$P,12,FALSE()),0)</f>
      </c>
      <c r="T164" s="36">
        <f>+R164-S164</f>
      </c>
      <c r="U164" s="34">
        <f>IFERROR(VLOOKUP("16_"&amp;A164,SyS!$B:$P,10,FALSE()),0)</f>
      </c>
      <c r="V164" s="35">
        <f>IFERROR(VLOOKUP("16_"&amp;A164,SyS!$B:$P,12,FALSE()),0)</f>
      </c>
      <c r="W164" s="36">
        <f>+U164-V164</f>
      </c>
      <c r="X164" s="34">
        <f>IFERROR(VLOOKUP("13_"&amp;A164,SyS!$B:$P,10,FALSE()),0)</f>
      </c>
      <c r="Y164" s="35">
        <f>IFERROR(VLOOKUP("13_"&amp;A164,SyS!$B:$P,12,FALSE()),0)</f>
      </c>
      <c r="Z164" s="36">
        <f>+X164-Y164</f>
      </c>
      <c r="AA164" s="34">
        <f>IFERROR(VLOOKUP("17_"&amp;A164,SyS!$B:$P,10,FALSE()),0)</f>
      </c>
      <c r="AB164" s="35">
        <f>IFERROR(VLOOKUP("17_"&amp;A164,SyS!$B:$P,12,FALSE()),0)</f>
      </c>
      <c r="AC164" s="36">
        <f>+AA164-AB164</f>
      </c>
      <c r="AD164" s="35"/>
      <c r="AE164" s="35"/>
      <c r="AF164" s="35"/>
      <c r="AG164" s="35">
        <f>IFERROR(VLOOKUP("19_"&amp;A164,SyS!$B:$P,10,FALSE()),0)</f>
      </c>
      <c r="AH164" s="35">
        <f>IFERROR(VLOOKUP("19_"&amp;A164,SyS!$B:$P,12,FALSE()),0)</f>
      </c>
      <c r="AI164" s="35">
        <f>+AG164-AH164</f>
      </c>
      <c r="AJ164" s="35"/>
      <c r="AK164" s="35"/>
      <c r="AL164" s="35"/>
      <c r="AM164" s="34">
        <f>IFERROR(VLOOKUP("23_"&amp;A164,SyS!$B:$P,10,FALSE()),0)</f>
      </c>
      <c r="AN164" s="35">
        <f>IFERROR(VLOOKUP("23_"&amp;A164,SyS!$B:$P,12,FALSE()),0)</f>
      </c>
      <c r="AO164" s="36">
        <f>+AM164-AN164</f>
      </c>
      <c r="AP164" s="40"/>
      <c r="AQ164" s="40"/>
      <c r="AR164" s="40"/>
      <c r="AS164" s="40"/>
      <c r="AT164" s="40"/>
      <c r="AU164" s="40"/>
      <c r="AV164" s="40"/>
      <c r="AW164" s="40"/>
      <c r="AX164" s="40"/>
      <c r="AY164" s="40"/>
      <c r="AZ164" s="40"/>
      <c r="BA164" s="40"/>
      <c r="BB164" s="40"/>
      <c r="BC164" s="40"/>
      <c r="BD164" s="40"/>
      <c r="BE164" s="40"/>
      <c r="BF164" s="40"/>
      <c r="BG164" s="40"/>
      <c r="BH164" s="40"/>
      <c r="BI164" s="40"/>
      <c r="BJ164" s="40"/>
      <c r="BK164" s="40">
        <f>IFERROR(VLOOKUP("29_"&amp;A164,SyS!$B:$P,10,FALSE()),0)</f>
      </c>
      <c r="BL164" s="40">
        <f>IFERROR(VLOOKUP("29_"&amp;A164,SyS!$B:$P,12,FALSE()),0)</f>
      </c>
      <c r="BM164" s="40">
        <f>+BK164-BL164</f>
      </c>
      <c r="BN164" s="42">
        <f>IFERROR(VLOOKUP("30_"&amp;A164,SyS!$B:$P,10,FALSE()),0)</f>
      </c>
      <c r="BO164" s="40">
        <f>IFERROR(VLOOKUP("30_"&amp;A164,SyS!$B:$P,12,FALSE()),0)</f>
      </c>
      <c r="BP164" s="43">
        <f>+BN164-BO164</f>
      </c>
      <c r="BQ164" s="44">
        <f>+E164+H164+K164+N164+Q164+T164+W164+Z164+AC164+AF164+AI164+AL164+AO164+AR164+AU164+AX164+BA164+BD164+BG164+BJ164+BM164+BP164</f>
      </c>
    </row>
    <row r="165" ht="11.25" customHeight="1" spans="1:69" x14ac:dyDescent="0.25">
      <c r="A165" s="9">
        <v>426820000</v>
      </c>
      <c r="B165" s="9" t="s">
        <v>202</v>
      </c>
      <c r="C165" s="34">
        <f>IFERROR(VLOOKUP("1_"&amp;A165,SyS!$B:$P,10,FALSE()),0)</f>
      </c>
      <c r="D165" s="35">
        <f>IFERROR(VLOOKUP("1_"&amp;A165,SyS!$B:$P,12,FALSE()),0)</f>
      </c>
      <c r="E165" s="35">
        <f>+C165-D165</f>
      </c>
      <c r="F165" s="34">
        <f>IFERROR(VLOOKUP("2_"&amp;A165,SyS!$B:$P,10,FALSE()),0)</f>
      </c>
      <c r="G165" s="35">
        <f>IFERROR(VLOOKUP("2_"&amp;A165,SyS!$B:$P,12,FALSE()),0)</f>
      </c>
      <c r="H165" s="36">
        <f>+F165-G165</f>
      </c>
      <c r="I165" s="35"/>
      <c r="J165" s="35"/>
      <c r="K165" s="35"/>
      <c r="L165" s="35"/>
      <c r="M165" s="35"/>
      <c r="N165" s="35"/>
      <c r="O165" s="34">
        <f>IFERROR(VLOOKUP("14_"&amp;A165,SyS!$B:$P,10,FALSE()),0)</f>
      </c>
      <c r="P165" s="35">
        <f>IFERROR(VLOOKUP("14_"&amp;A165,SyS!$B:$P,12,FALSE()),0)</f>
      </c>
      <c r="Q165" s="36">
        <f>+O165-P165</f>
      </c>
      <c r="R165" s="34">
        <f>IFERROR(VLOOKUP("15_"&amp;A165,SyS!$B:$P,10,FALSE()),0)</f>
      </c>
      <c r="S165" s="35">
        <f>IFERROR(VLOOKUP("15_"&amp;A165,SyS!$B:$P,12,FALSE()),0)</f>
      </c>
      <c r="T165" s="36">
        <f>+R165-S165</f>
      </c>
      <c r="U165" s="34">
        <f>IFERROR(VLOOKUP("16_"&amp;A165,SyS!$B:$P,10,FALSE()),0)</f>
      </c>
      <c r="V165" s="35">
        <f>IFERROR(VLOOKUP("16_"&amp;A165,SyS!$B:$P,12,FALSE()),0)</f>
      </c>
      <c r="W165" s="36">
        <f>+U165-V165</f>
      </c>
      <c r="X165" s="34">
        <f>IFERROR(VLOOKUP("13_"&amp;A165,SyS!$B:$P,10,FALSE()),0)</f>
      </c>
      <c r="Y165" s="35">
        <f>IFERROR(VLOOKUP("13_"&amp;A165,SyS!$B:$P,12,FALSE()),0)</f>
      </c>
      <c r="Z165" s="36">
        <f>+X165-Y165</f>
      </c>
      <c r="AA165" s="34">
        <f>IFERROR(VLOOKUP("17_"&amp;A165,SyS!$B:$P,10,FALSE()),0)</f>
      </c>
      <c r="AB165" s="35">
        <f>IFERROR(VLOOKUP("17_"&amp;A165,SyS!$B:$P,12,FALSE()),0)</f>
      </c>
      <c r="AC165" s="36">
        <f>+AA165-AB165</f>
      </c>
      <c r="AD165" s="35"/>
      <c r="AE165" s="35"/>
      <c r="AF165" s="35"/>
      <c r="AG165" s="35">
        <f>IFERROR(VLOOKUP("19_"&amp;A165,SyS!$B:$P,10,FALSE()),0)</f>
      </c>
      <c r="AH165" s="35">
        <f>IFERROR(VLOOKUP("19_"&amp;A165,SyS!$B:$P,12,FALSE()),0)</f>
      </c>
      <c r="AI165" s="35">
        <f>+AG165-AH165</f>
      </c>
      <c r="AJ165" s="35"/>
      <c r="AK165" s="35"/>
      <c r="AL165" s="35"/>
      <c r="AM165" s="34">
        <f>IFERROR(VLOOKUP("23_"&amp;A165,SyS!$B:$P,10,FALSE()),0)</f>
      </c>
      <c r="AN165" s="35">
        <f>IFERROR(VLOOKUP("23_"&amp;A165,SyS!$B:$P,12,FALSE()),0)</f>
      </c>
      <c r="AO165" s="36">
        <f>+AM165-AN165</f>
      </c>
      <c r="AP165" s="40"/>
      <c r="AQ165" s="40"/>
      <c r="AR165" s="40"/>
      <c r="AS165" s="40"/>
      <c r="AT165" s="40"/>
      <c r="AU165" s="40"/>
      <c r="AV165" s="40"/>
      <c r="AW165" s="40"/>
      <c r="AX165" s="40"/>
      <c r="AY165" s="40"/>
      <c r="AZ165" s="40"/>
      <c r="BA165" s="40"/>
      <c r="BB165" s="40"/>
      <c r="BC165" s="40"/>
      <c r="BD165" s="40"/>
      <c r="BE165" s="40"/>
      <c r="BF165" s="40"/>
      <c r="BG165" s="40"/>
      <c r="BH165" s="40"/>
      <c r="BI165" s="40"/>
      <c r="BJ165" s="40"/>
      <c r="BK165" s="40">
        <f>IFERROR(VLOOKUP("29_"&amp;A165,SyS!$B:$P,10,FALSE()),0)</f>
      </c>
      <c r="BL165" s="40">
        <f>IFERROR(VLOOKUP("29_"&amp;A165,SyS!$B:$P,12,FALSE()),0)</f>
      </c>
      <c r="BM165" s="40">
        <f>+BK165-BL165</f>
      </c>
      <c r="BN165" s="42">
        <f>IFERROR(VLOOKUP("30_"&amp;A165,SyS!$B:$P,10,FALSE()),0)</f>
      </c>
      <c r="BO165" s="40">
        <f>IFERROR(VLOOKUP("30_"&amp;A165,SyS!$B:$P,12,FALSE()),0)</f>
      </c>
      <c r="BP165" s="43">
        <f>+BN165-BO165</f>
      </c>
      <c r="BQ165" s="44">
        <f>+E165+H165+K165+N165+Q165+T165+W165+Z165+AC165+AF165+AI165+AL165+AO165+AR165+AU165+AX165+BA165+BD165+BG165+BJ165+BM165+BP165</f>
      </c>
    </row>
    <row r="166" ht="11.25" customHeight="1" spans="1:69" x14ac:dyDescent="0.25">
      <c r="A166" s="9">
        <v>426990000</v>
      </c>
      <c r="B166" s="9" t="s">
        <v>203</v>
      </c>
      <c r="C166" s="34">
        <f>IFERROR(VLOOKUP("1_"&amp;A166,SyS!$B:$P,10,FALSE()),0)</f>
      </c>
      <c r="D166" s="35">
        <f>IFERROR(VLOOKUP("1_"&amp;A166,SyS!$B:$P,12,FALSE()),0)</f>
      </c>
      <c r="E166" s="35">
        <f>+C166-D166</f>
      </c>
      <c r="F166" s="34">
        <f>IFERROR(VLOOKUP("2_"&amp;A166,SyS!$B:$P,10,FALSE()),0)</f>
      </c>
      <c r="G166" s="35">
        <f>IFERROR(VLOOKUP("2_"&amp;A166,SyS!$B:$P,12,FALSE()),0)</f>
      </c>
      <c r="H166" s="36">
        <f>+F166-G166</f>
      </c>
      <c r="I166" s="35"/>
      <c r="J166" s="35"/>
      <c r="K166" s="35"/>
      <c r="L166" s="35"/>
      <c r="M166" s="35"/>
      <c r="N166" s="35"/>
      <c r="O166" s="34">
        <f>IFERROR(VLOOKUP("14_"&amp;A166,SyS!$B:$P,10,FALSE()),0)</f>
      </c>
      <c r="P166" s="35">
        <f>IFERROR(VLOOKUP("14_"&amp;A166,SyS!$B:$P,12,FALSE()),0)</f>
      </c>
      <c r="Q166" s="36">
        <f>+O166-P166</f>
      </c>
      <c r="R166" s="34">
        <f>IFERROR(VLOOKUP("15_"&amp;A166,SyS!$B:$P,10,FALSE()),0)</f>
      </c>
      <c r="S166" s="35">
        <f>IFERROR(VLOOKUP("15_"&amp;A166,SyS!$B:$P,12,FALSE()),0)</f>
      </c>
      <c r="T166" s="36">
        <f>+R166-S166</f>
      </c>
      <c r="U166" s="34">
        <f>IFERROR(VLOOKUP("16_"&amp;A166,SyS!$B:$P,10,FALSE()),0)</f>
      </c>
      <c r="V166" s="35">
        <f>IFERROR(VLOOKUP("16_"&amp;A166,SyS!$B:$P,12,FALSE()),0)</f>
      </c>
      <c r="W166" s="36">
        <f>+U166-V166</f>
      </c>
      <c r="X166" s="34">
        <f>IFERROR(VLOOKUP("13_"&amp;A166,SyS!$B:$P,10,FALSE()),0)</f>
      </c>
      <c r="Y166" s="35">
        <f>IFERROR(VLOOKUP("13_"&amp;A166,SyS!$B:$P,12,FALSE()),0)</f>
      </c>
      <c r="Z166" s="36">
        <f>+X166-Y166</f>
      </c>
      <c r="AA166" s="34">
        <f>IFERROR(VLOOKUP("17_"&amp;A166,SyS!$B:$P,10,FALSE()),0)</f>
        <v>1203.75</v>
      </c>
      <c r="AB166" s="35">
        <f>IFERROR(VLOOKUP("17_"&amp;A166,SyS!$B:$P,12,FALSE()),0)</f>
      </c>
      <c r="AC166" s="36">
        <f>+AA166-AB166</f>
        <v>1203.75</v>
      </c>
      <c r="AD166" s="35"/>
      <c r="AE166" s="35"/>
      <c r="AF166" s="35"/>
      <c r="AG166" s="35">
        <f>IFERROR(VLOOKUP("19_"&amp;A166,SyS!$B:$P,10,FALSE()),0)</f>
      </c>
      <c r="AH166" s="35">
        <f>IFERROR(VLOOKUP("19_"&amp;A166,SyS!$B:$P,12,FALSE()),0)</f>
      </c>
      <c r="AI166" s="35">
        <f>+AG166-AH166</f>
      </c>
      <c r="AJ166" s="35"/>
      <c r="AK166" s="35"/>
      <c r="AL166" s="35"/>
      <c r="AM166" s="34">
        <f>IFERROR(VLOOKUP("23_"&amp;A166,SyS!$B:$P,10,FALSE()),0)</f>
      </c>
      <c r="AN166" s="35">
        <f>IFERROR(VLOOKUP("23_"&amp;A166,SyS!$B:$P,12,FALSE()),0)</f>
      </c>
      <c r="AO166" s="36">
        <f>+AM166-AN166</f>
      </c>
      <c r="AP166" s="40"/>
      <c r="AQ166" s="40"/>
      <c r="AR166" s="40"/>
      <c r="AS166" s="40"/>
      <c r="AT166" s="40"/>
      <c r="AU166" s="40"/>
      <c r="AV166" s="40"/>
      <c r="AW166" s="40"/>
      <c r="AX166" s="40"/>
      <c r="AY166" s="40"/>
      <c r="AZ166" s="40"/>
      <c r="BA166" s="40"/>
      <c r="BB166" s="40"/>
      <c r="BC166" s="40"/>
      <c r="BD166" s="40"/>
      <c r="BE166" s="40"/>
      <c r="BF166" s="40"/>
      <c r="BG166" s="40"/>
      <c r="BH166" s="40"/>
      <c r="BI166" s="40"/>
      <c r="BJ166" s="40"/>
      <c r="BK166" s="40">
        <f>IFERROR(VLOOKUP("29_"&amp;A166,SyS!$B:$P,10,FALSE()),0)</f>
      </c>
      <c r="BL166" s="40">
        <f>IFERROR(VLOOKUP("29_"&amp;A166,SyS!$B:$P,12,FALSE()),0)</f>
      </c>
      <c r="BM166" s="40">
        <f>+BK166-BL166</f>
      </c>
      <c r="BN166" s="42">
        <f>IFERROR(VLOOKUP("30_"&amp;A166,SyS!$B:$P,10,FALSE()),0)</f>
      </c>
      <c r="BO166" s="40">
        <f>IFERROR(VLOOKUP("30_"&amp;A166,SyS!$B:$P,12,FALSE()),0)</f>
      </c>
      <c r="BP166" s="43">
        <f>+BN166-BO166</f>
      </c>
      <c r="BQ166" s="44">
        <f>+E166+H166+K166+N166+Q166+T166+W166+Z166+AC166+AF166+AI166+AL166+AO166+AR166+AU166+AX166+BA166+BD166+BG166+BJ166+BM166+BP166</f>
        <v>1203.75</v>
      </c>
    </row>
    <row r="167" ht="11.25" customHeight="1" spans="1:69" x14ac:dyDescent="0.25">
      <c r="A167" s="9">
        <v>431050000</v>
      </c>
      <c r="B167" s="9" t="s">
        <v>204</v>
      </c>
      <c r="C167" s="34">
        <f>IFERROR(VLOOKUP("1_"&amp;A167,SyS!$B:$P,10,FALSE()),0)</f>
      </c>
      <c r="D167" s="35">
        <f>IFERROR(VLOOKUP("1_"&amp;A167,SyS!$B:$P,12,FALSE()),0)</f>
      </c>
      <c r="E167" s="35">
        <f>+C167-D167</f>
      </c>
      <c r="F167" s="34">
        <f>IFERROR(VLOOKUP("2_"&amp;A167,SyS!$B:$P,10,FALSE()),0)</f>
      </c>
      <c r="G167" s="35">
        <f>IFERROR(VLOOKUP("2_"&amp;A167,SyS!$B:$P,12,FALSE()),0)</f>
      </c>
      <c r="H167" s="36">
        <f>+F167-G167</f>
      </c>
      <c r="I167" s="35"/>
      <c r="J167" s="35"/>
      <c r="K167" s="35"/>
      <c r="L167" s="35"/>
      <c r="M167" s="35"/>
      <c r="N167" s="35"/>
      <c r="O167" s="34">
        <f>IFERROR(VLOOKUP("14_"&amp;A167,SyS!$B:$P,10,FALSE()),0)</f>
      </c>
      <c r="P167" s="35">
        <f>IFERROR(VLOOKUP("14_"&amp;A167,SyS!$B:$P,12,FALSE()),0)</f>
      </c>
      <c r="Q167" s="36">
        <f>+O167-P167</f>
      </c>
      <c r="R167" s="34">
        <f>IFERROR(VLOOKUP("15_"&amp;A167,SyS!$B:$P,10,FALSE()),0)</f>
      </c>
      <c r="S167" s="35">
        <f>IFERROR(VLOOKUP("15_"&amp;A167,SyS!$B:$P,12,FALSE()),0)</f>
      </c>
      <c r="T167" s="36">
        <f>+R167-S167</f>
      </c>
      <c r="U167" s="34">
        <f>IFERROR(VLOOKUP("16_"&amp;A167,SyS!$B:$P,10,FALSE()),0)</f>
      </c>
      <c r="V167" s="35">
        <f>IFERROR(VLOOKUP("16_"&amp;A167,SyS!$B:$P,12,FALSE()),0)</f>
      </c>
      <c r="W167" s="36">
        <f>+U167-V167</f>
      </c>
      <c r="X167" s="34">
        <f>IFERROR(VLOOKUP("13_"&amp;A167,SyS!$B:$P,10,FALSE()),0)</f>
      </c>
      <c r="Y167" s="35">
        <f>IFERROR(VLOOKUP("13_"&amp;A167,SyS!$B:$P,12,FALSE()),0)</f>
      </c>
      <c r="Z167" s="36">
        <f>+X167-Y167</f>
      </c>
      <c r="AA167" s="34">
        <f>IFERROR(VLOOKUP("17_"&amp;A167,SyS!$B:$P,10,FALSE()),0)</f>
      </c>
      <c r="AB167" s="35">
        <f>IFERROR(VLOOKUP("17_"&amp;A167,SyS!$B:$P,12,FALSE()),0)</f>
      </c>
      <c r="AC167" s="36">
        <f>+AA167-AB167</f>
      </c>
      <c r="AD167" s="35"/>
      <c r="AE167" s="35"/>
      <c r="AF167" s="35"/>
      <c r="AG167" s="35">
        <f>IFERROR(VLOOKUP("19_"&amp;A167,SyS!$B:$P,10,FALSE()),0)</f>
      </c>
      <c r="AH167" s="35">
        <f>IFERROR(VLOOKUP("19_"&amp;A167,SyS!$B:$P,12,FALSE()),0)</f>
      </c>
      <c r="AI167" s="35">
        <f>+AG167-AH167</f>
      </c>
      <c r="AJ167" s="35"/>
      <c r="AK167" s="35"/>
      <c r="AL167" s="35"/>
      <c r="AM167" s="34">
        <f>IFERROR(VLOOKUP("23_"&amp;A167,SyS!$B:$P,10,FALSE()),0)</f>
      </c>
      <c r="AN167" s="35">
        <f>IFERROR(VLOOKUP("23_"&amp;A167,SyS!$B:$P,12,FALSE()),0)</f>
      </c>
      <c r="AO167" s="36">
        <f>+AM167-AN167</f>
      </c>
      <c r="AP167" s="40"/>
      <c r="AQ167" s="40"/>
      <c r="AR167" s="40"/>
      <c r="AS167" s="40"/>
      <c r="AT167" s="40"/>
      <c r="AU167" s="40"/>
      <c r="AV167" s="40"/>
      <c r="AW167" s="40"/>
      <c r="AX167" s="40"/>
      <c r="AY167" s="40"/>
      <c r="AZ167" s="40"/>
      <c r="BA167" s="40"/>
      <c r="BB167" s="40"/>
      <c r="BC167" s="40"/>
      <c r="BD167" s="40"/>
      <c r="BE167" s="40"/>
      <c r="BF167" s="40"/>
      <c r="BG167" s="40"/>
      <c r="BH167" s="40"/>
      <c r="BI167" s="40"/>
      <c r="BJ167" s="40"/>
      <c r="BK167" s="40">
        <f>IFERROR(VLOOKUP("29_"&amp;A167,SyS!$B:$P,10,FALSE()),0)</f>
      </c>
      <c r="BL167" s="40">
        <f>IFERROR(VLOOKUP("29_"&amp;A167,SyS!$B:$P,12,FALSE()),0)</f>
      </c>
      <c r="BM167" s="40">
        <f>+BK167-BL167</f>
      </c>
      <c r="BN167" s="42">
        <f>IFERROR(VLOOKUP("30_"&amp;A167,SyS!$B:$P,10,FALSE()),0)</f>
      </c>
      <c r="BO167" s="40">
        <f>IFERROR(VLOOKUP("30_"&amp;A167,SyS!$B:$P,12,FALSE()),0)</f>
      </c>
      <c r="BP167" s="43">
        <f>+BN167-BO167</f>
      </c>
      <c r="BQ167" s="44">
        <f>+E167+H167+K167+N167+Q167+T167+W167+Z167+AC167+AF167+AI167+AL167+AO167+AR167+AU167+AX167+BA167+BD167+BG167+BJ167+BM167+BP167</f>
      </c>
    </row>
    <row r="168" ht="11.25" customHeight="1" spans="1:69" x14ac:dyDescent="0.25">
      <c r="A168" s="9">
        <v>431080000</v>
      </c>
      <c r="B168" s="9" t="s">
        <v>205</v>
      </c>
      <c r="C168" s="34">
        <f>IFERROR(VLOOKUP("1_"&amp;A168,SyS!$B:$P,10,FALSE()),0)</f>
      </c>
      <c r="D168" s="35">
        <f>IFERROR(VLOOKUP("1_"&amp;A168,SyS!$B:$P,12,FALSE()),0)</f>
      </c>
      <c r="E168" s="35">
        <f>+C168-D168</f>
      </c>
      <c r="F168" s="34">
        <f>IFERROR(VLOOKUP("2_"&amp;A168,SyS!$B:$P,10,FALSE()),0)</f>
      </c>
      <c r="G168" s="35">
        <f>IFERROR(VLOOKUP("2_"&amp;A168,SyS!$B:$P,12,FALSE()),0)</f>
      </c>
      <c r="H168" s="36">
        <f>+F168-G168</f>
      </c>
      <c r="I168" s="35"/>
      <c r="J168" s="35"/>
      <c r="K168" s="35"/>
      <c r="L168" s="35"/>
      <c r="M168" s="35"/>
      <c r="N168" s="35"/>
      <c r="O168" s="34">
        <f>IFERROR(VLOOKUP("14_"&amp;A168,SyS!$B:$P,10,FALSE()),0)</f>
      </c>
      <c r="P168" s="35">
        <f>IFERROR(VLOOKUP("14_"&amp;A168,SyS!$B:$P,12,FALSE()),0)</f>
      </c>
      <c r="Q168" s="36">
        <f>+O168-P168</f>
      </c>
      <c r="R168" s="34">
        <f>IFERROR(VLOOKUP("15_"&amp;A168,SyS!$B:$P,10,FALSE()),0)</f>
      </c>
      <c r="S168" s="35">
        <f>IFERROR(VLOOKUP("15_"&amp;A168,SyS!$B:$P,12,FALSE()),0)</f>
      </c>
      <c r="T168" s="36">
        <f>+R168-S168</f>
      </c>
      <c r="U168" s="34">
        <f>IFERROR(VLOOKUP("16_"&amp;A168,SyS!$B:$P,10,FALSE()),0)</f>
      </c>
      <c r="V168" s="35">
        <f>IFERROR(VLOOKUP("16_"&amp;A168,SyS!$B:$P,12,FALSE()),0)</f>
      </c>
      <c r="W168" s="36">
        <f>+U168-V168</f>
      </c>
      <c r="X168" s="34">
        <f>IFERROR(VLOOKUP("13_"&amp;A168,SyS!$B:$P,10,FALSE()),0)</f>
      </c>
      <c r="Y168" s="35">
        <f>IFERROR(VLOOKUP("13_"&amp;A168,SyS!$B:$P,12,FALSE()),0)</f>
      </c>
      <c r="Z168" s="36">
        <f>+X168-Y168</f>
      </c>
      <c r="AA168" s="34">
        <f>IFERROR(VLOOKUP("17_"&amp;A168,SyS!$B:$P,10,FALSE()),0)</f>
      </c>
      <c r="AB168" s="35">
        <f>IFERROR(VLOOKUP("17_"&amp;A168,SyS!$B:$P,12,FALSE()),0)</f>
      </c>
      <c r="AC168" s="36">
        <f>+AA168-AB168</f>
      </c>
      <c r="AD168" s="35"/>
      <c r="AE168" s="35"/>
      <c r="AF168" s="35"/>
      <c r="AG168" s="35">
        <f>IFERROR(VLOOKUP("19_"&amp;A168,SyS!$B:$P,10,FALSE()),0)</f>
      </c>
      <c r="AH168" s="35">
        <f>IFERROR(VLOOKUP("19_"&amp;A168,SyS!$B:$P,12,FALSE()),0)</f>
      </c>
      <c r="AI168" s="35">
        <f>+AG168-AH168</f>
      </c>
      <c r="AJ168" s="35"/>
      <c r="AK168" s="35"/>
      <c r="AL168" s="35"/>
      <c r="AM168" s="34">
        <f>IFERROR(VLOOKUP("23_"&amp;A168,SyS!$B:$P,10,FALSE()),0)</f>
      </c>
      <c r="AN168" s="35">
        <f>IFERROR(VLOOKUP("23_"&amp;A168,SyS!$B:$P,12,FALSE()),0)</f>
      </c>
      <c r="AO168" s="36">
        <f>+AM168-AN168</f>
      </c>
      <c r="AP168" s="40"/>
      <c r="AQ168" s="40"/>
      <c r="AR168" s="40"/>
      <c r="AS168" s="40"/>
      <c r="AT168" s="40"/>
      <c r="AU168" s="40"/>
      <c r="AV168" s="40"/>
      <c r="AW168" s="40"/>
      <c r="AX168" s="40"/>
      <c r="AY168" s="40"/>
      <c r="AZ168" s="40"/>
      <c r="BA168" s="40"/>
      <c r="BB168" s="40"/>
      <c r="BC168" s="40"/>
      <c r="BD168" s="40"/>
      <c r="BE168" s="40"/>
      <c r="BF168" s="40"/>
      <c r="BG168" s="40"/>
      <c r="BH168" s="40"/>
      <c r="BI168" s="40"/>
      <c r="BJ168" s="40"/>
      <c r="BK168" s="40">
        <f>IFERROR(VLOOKUP("29_"&amp;A168,SyS!$B:$P,10,FALSE()),0)</f>
      </c>
      <c r="BL168" s="40">
        <f>IFERROR(VLOOKUP("29_"&amp;A168,SyS!$B:$P,12,FALSE()),0)</f>
      </c>
      <c r="BM168" s="40">
        <f>+BK168-BL168</f>
      </c>
      <c r="BN168" s="42">
        <f>IFERROR(VLOOKUP("30_"&amp;A168,SyS!$B:$P,10,FALSE()),0)</f>
      </c>
      <c r="BO168" s="40">
        <f>IFERROR(VLOOKUP("30_"&amp;A168,SyS!$B:$P,12,FALSE()),0)</f>
      </c>
      <c r="BP168" s="43">
        <f>+BN168-BO168</f>
      </c>
      <c r="BQ168" s="44">
        <f>+E168+H168+K168+N168+Q168+T168+W168+Z168+AC168+AF168+AI168+AL168+AO168+AR168+AU168+AX168+BA168+BD168+BG168+BJ168+BM168+BP168</f>
      </c>
    </row>
    <row r="169" ht="11.25" customHeight="1" spans="1:69" x14ac:dyDescent="0.25">
      <c r="A169" s="50">
        <v>421070000</v>
      </c>
      <c r="B169" s="9" t="s">
        <v>206</v>
      </c>
      <c r="C169" s="34">
        <f>IFERROR(VLOOKUP("1_"&amp;A169,SyS!$B:$P,10,FALSE()),0)</f>
      </c>
      <c r="D169" s="35">
        <f>IFERROR(VLOOKUP("1_"&amp;A169,SyS!$B:$P,12,FALSE()),0)</f>
      </c>
      <c r="E169" s="35">
        <f>+C169-D169</f>
      </c>
      <c r="F169" s="34">
        <f>IFERROR(VLOOKUP("2_"&amp;A169,SyS!$B:$P,10,FALSE()),0)</f>
        <v>4.21</v>
      </c>
      <c r="G169" s="35">
        <f>IFERROR(VLOOKUP("2_"&amp;A169,SyS!$B:$P,12,FALSE()),0)</f>
      </c>
      <c r="H169" s="36">
        <f>+F169-G169</f>
        <v>4.21</v>
      </c>
      <c r="I169" s="35"/>
      <c r="J169" s="35"/>
      <c r="K169" s="35"/>
      <c r="L169" s="35"/>
      <c r="M169" s="35"/>
      <c r="N169" s="35"/>
      <c r="O169" s="34">
        <f>IFERROR(VLOOKUP("14_"&amp;A169,SyS!$B:$P,10,FALSE()),0)</f>
      </c>
      <c r="P169" s="35">
        <f>IFERROR(VLOOKUP("14_"&amp;A169,SyS!$B:$P,12,FALSE()),0)</f>
      </c>
      <c r="Q169" s="36">
        <f>+O169-P169</f>
      </c>
      <c r="R169" s="34">
        <f>IFERROR(VLOOKUP("15_"&amp;A169,SyS!$B:$P,10,FALSE()),0)</f>
      </c>
      <c r="S169" s="35">
        <f>IFERROR(VLOOKUP("15_"&amp;A169,SyS!$B:$P,12,FALSE()),0)</f>
      </c>
      <c r="T169" s="36">
        <f>+R169-S169</f>
      </c>
      <c r="U169" s="34">
        <f>IFERROR(VLOOKUP("16_"&amp;A169,SyS!$B:$P,10,FALSE()),0)</f>
      </c>
      <c r="V169" s="35">
        <f>IFERROR(VLOOKUP("16_"&amp;A169,SyS!$B:$P,12,FALSE()),0)</f>
      </c>
      <c r="W169" s="36">
        <f>+U169-V169</f>
      </c>
      <c r="X169" s="34">
        <f>IFERROR(VLOOKUP("13_"&amp;A169,SyS!$B:$P,10,FALSE()),0)</f>
      </c>
      <c r="Y169" s="35">
        <f>IFERROR(VLOOKUP("13_"&amp;A169,SyS!$B:$P,12,FALSE()),0)</f>
      </c>
      <c r="Z169" s="36">
        <f>+X169-Y169</f>
      </c>
      <c r="AA169" s="34">
        <f>IFERROR(VLOOKUP("17_"&amp;A169,SyS!$B:$P,10,FALSE()),0)</f>
      </c>
      <c r="AB169" s="35">
        <f>IFERROR(VLOOKUP("17_"&amp;A169,SyS!$B:$P,12,FALSE()),0)</f>
      </c>
      <c r="AC169" s="36">
        <f>+AA169-AB169</f>
      </c>
      <c r="AD169" s="35"/>
      <c r="AE169" s="35"/>
      <c r="AF169" s="35"/>
      <c r="AG169" s="35">
        <f>IFERROR(VLOOKUP("19_"&amp;A169,SyS!$B:$P,10,FALSE()),0)</f>
      </c>
      <c r="AH169" s="35">
        <f>IFERROR(VLOOKUP("19_"&amp;A169,SyS!$B:$P,12,FALSE()),0)</f>
      </c>
      <c r="AI169" s="35">
        <f>+AG169-AH169</f>
      </c>
      <c r="AJ169" s="35"/>
      <c r="AK169" s="35"/>
      <c r="AL169" s="35"/>
      <c r="AM169" s="34">
        <f>IFERROR(VLOOKUP("23_"&amp;A169,SyS!$B:$P,10,FALSE()),0)</f>
      </c>
      <c r="AN169" s="35">
        <f>IFERROR(VLOOKUP("23_"&amp;A169,SyS!$B:$P,12,FALSE()),0)</f>
      </c>
      <c r="AO169" s="36">
        <f>+AM169-AN169</f>
      </c>
      <c r="AP169" s="40"/>
      <c r="AQ169" s="40"/>
      <c r="AR169" s="40"/>
      <c r="AS169" s="40"/>
      <c r="AT169" s="40"/>
      <c r="AU169" s="40"/>
      <c r="AV169" s="40"/>
      <c r="AW169" s="40"/>
      <c r="AX169" s="40"/>
      <c r="AY169" s="40"/>
      <c r="AZ169" s="40"/>
      <c r="BA169" s="40"/>
      <c r="BB169" s="40"/>
      <c r="BC169" s="40"/>
      <c r="BD169" s="40"/>
      <c r="BE169" s="40"/>
      <c r="BF169" s="40"/>
      <c r="BG169" s="40"/>
      <c r="BH169" s="40"/>
      <c r="BI169" s="40"/>
      <c r="BJ169" s="40"/>
      <c r="BK169" s="40">
        <f>IFERROR(VLOOKUP("29_"&amp;A169,SyS!$B:$P,10,FALSE()),0)</f>
      </c>
      <c r="BL169" s="40">
        <f>IFERROR(VLOOKUP("29_"&amp;A169,SyS!$B:$P,12,FALSE()),0)</f>
      </c>
      <c r="BM169" s="40">
        <f>+BK169-BL169</f>
      </c>
      <c r="BN169" s="42">
        <f>IFERROR(VLOOKUP("30_"&amp;A169,SyS!$B:$P,10,FALSE()),0)</f>
      </c>
      <c r="BO169" s="40">
        <f>IFERROR(VLOOKUP("30_"&amp;A169,SyS!$B:$P,12,FALSE()),0)</f>
      </c>
      <c r="BP169" s="43">
        <f>+BN169-BO169</f>
      </c>
      <c r="BQ169" s="44">
        <f>+E169+H169+K169+N169+Q169+T169+W169+Z169+AC169+AF169+AI169+AL169+AO169+AR169+AU169+AX169+BA169+BD169+BG169+BJ169+BM169+BP169</f>
        <v>4.21</v>
      </c>
    </row>
    <row r="170" ht="11.25" customHeight="1" spans="1:69" x14ac:dyDescent="0.25">
      <c r="A170" s="9">
        <v>421150000</v>
      </c>
      <c r="B170" s="9" t="s">
        <v>207</v>
      </c>
      <c r="C170" s="34">
        <f>IFERROR(VLOOKUP("1_"&amp;A170,SyS!$B:$P,10,FALSE()),0)</f>
      </c>
      <c r="D170" s="35">
        <f>IFERROR(VLOOKUP("1_"&amp;A170,SyS!$B:$P,12,FALSE()),0)</f>
      </c>
      <c r="E170" s="35">
        <f>+C170-D170</f>
      </c>
      <c r="F170" s="34">
        <f>IFERROR(VLOOKUP("2_"&amp;A170,SyS!$B:$P,10,FALSE()),0)</f>
      </c>
      <c r="G170" s="35">
        <f>IFERROR(VLOOKUP("2_"&amp;A170,SyS!$B:$P,12,FALSE()),0)</f>
      </c>
      <c r="H170" s="36">
        <f>+F170-G170</f>
      </c>
      <c r="I170" s="35"/>
      <c r="J170" s="35"/>
      <c r="K170" s="35"/>
      <c r="L170" s="35"/>
      <c r="M170" s="35"/>
      <c r="N170" s="35"/>
      <c r="O170" s="34">
        <f>IFERROR(VLOOKUP("14_"&amp;A170,SyS!$B:$P,10,FALSE()),0)</f>
      </c>
      <c r="P170" s="35">
        <f>IFERROR(VLOOKUP("14_"&amp;A170,SyS!$B:$P,12,FALSE()),0)</f>
      </c>
      <c r="Q170" s="36">
        <f>+O170-P170</f>
      </c>
      <c r="R170" s="34">
        <f>IFERROR(VLOOKUP("15_"&amp;A170,SyS!$B:$P,10,FALSE()),0)</f>
      </c>
      <c r="S170" s="35">
        <f>IFERROR(VLOOKUP("15_"&amp;A170,SyS!$B:$P,12,FALSE()),0)</f>
      </c>
      <c r="T170" s="36">
        <f>+R170-S170</f>
      </c>
      <c r="U170" s="34">
        <f>IFERROR(VLOOKUP("16_"&amp;A170,SyS!$B:$P,10,FALSE()),0)</f>
      </c>
      <c r="V170" s="35">
        <f>IFERROR(VLOOKUP("16_"&amp;A170,SyS!$B:$P,12,FALSE()),0)</f>
      </c>
      <c r="W170" s="36">
        <f>+U170-V170</f>
      </c>
      <c r="X170" s="34">
        <f>IFERROR(VLOOKUP("13_"&amp;A170,SyS!$B:$P,10,FALSE()),0)</f>
      </c>
      <c r="Y170" s="35">
        <f>IFERROR(VLOOKUP("13_"&amp;A170,SyS!$B:$P,12,FALSE()),0)</f>
      </c>
      <c r="Z170" s="36">
        <f>+X170-Y170</f>
      </c>
      <c r="AA170" s="34">
        <f>IFERROR(VLOOKUP("17_"&amp;A170,SyS!$B:$P,10,FALSE()),0)</f>
      </c>
      <c r="AB170" s="35">
        <f>IFERROR(VLOOKUP("17_"&amp;A170,SyS!$B:$P,12,FALSE()),0)</f>
      </c>
      <c r="AC170" s="36">
        <f>+AA170-AB170</f>
      </c>
      <c r="AD170" s="35"/>
      <c r="AE170" s="35"/>
      <c r="AF170" s="35"/>
      <c r="AG170" s="35">
        <f>IFERROR(VLOOKUP("19_"&amp;A170,SyS!$B:$P,10,FALSE()),0)</f>
      </c>
      <c r="AH170" s="35">
        <f>IFERROR(VLOOKUP("19_"&amp;A170,SyS!$B:$P,12,FALSE()),0)</f>
      </c>
      <c r="AI170" s="35">
        <f>+AG170-AH170</f>
      </c>
      <c r="AJ170" s="35"/>
      <c r="AK170" s="35"/>
      <c r="AL170" s="35"/>
      <c r="AM170" s="34">
        <f>IFERROR(VLOOKUP("23_"&amp;A170,SyS!$B:$P,10,FALSE()),0)</f>
      </c>
      <c r="AN170" s="35">
        <f>IFERROR(VLOOKUP("23_"&amp;A170,SyS!$B:$P,12,FALSE()),0)</f>
      </c>
      <c r="AO170" s="36">
        <f>+AM170-AN170</f>
      </c>
      <c r="AP170" s="40"/>
      <c r="AQ170" s="40"/>
      <c r="AR170" s="40"/>
      <c r="AS170" s="40"/>
      <c r="AT170" s="40"/>
      <c r="AU170" s="40"/>
      <c r="AV170" s="40"/>
      <c r="AW170" s="40"/>
      <c r="AX170" s="40"/>
      <c r="AY170" s="40"/>
      <c r="AZ170" s="40"/>
      <c r="BA170" s="40"/>
      <c r="BB170" s="40"/>
      <c r="BC170" s="40"/>
      <c r="BD170" s="40"/>
      <c r="BE170" s="40"/>
      <c r="BF170" s="40"/>
      <c r="BG170" s="40"/>
      <c r="BH170" s="40"/>
      <c r="BI170" s="40"/>
      <c r="BJ170" s="40"/>
      <c r="BK170" s="40">
        <f>IFERROR(VLOOKUP("29_"&amp;A170,SyS!$B:$P,10,FALSE()),0)</f>
      </c>
      <c r="BL170" s="40">
        <f>IFERROR(VLOOKUP("29_"&amp;A170,SyS!$B:$P,12,FALSE()),0)</f>
      </c>
      <c r="BM170" s="40">
        <f>+BK170-BL170</f>
      </c>
      <c r="BN170" s="42">
        <f>IFERROR(VLOOKUP("30_"&amp;A170,SyS!$B:$P,10,FALSE()),0)</f>
      </c>
      <c r="BO170" s="40">
        <f>IFERROR(VLOOKUP("30_"&amp;A170,SyS!$B:$P,12,FALSE()),0)</f>
      </c>
      <c r="BP170" s="43">
        <f>+BN170-BO170</f>
      </c>
      <c r="BQ170" s="44">
        <f>+E170+H170+K170+N170+Q170+T170+W170+Z170+AC170+AF170+AI170+AL170+AO170+AR170+AU170+AX170+BA170+BD170+BG170+BJ170+BM170+BP170</f>
      </c>
    </row>
    <row r="171" ht="11.25" customHeight="1" spans="1:69" x14ac:dyDescent="0.25">
      <c r="A171" s="9">
        <v>421160000</v>
      </c>
      <c r="B171" s="9" t="s">
        <v>208</v>
      </c>
      <c r="C171" s="34">
        <f>IFERROR(VLOOKUP("1_"&amp;A171,SyS!$B:$P,10,FALSE()),0)</f>
      </c>
      <c r="D171" s="35">
        <f>IFERROR(VLOOKUP("1_"&amp;A171,SyS!$B:$P,12,FALSE()),0)</f>
      </c>
      <c r="E171" s="35">
        <f>+C171-D171</f>
      </c>
      <c r="F171" s="34">
        <f>IFERROR(VLOOKUP("2_"&amp;A171,SyS!$B:$P,10,FALSE()),0)</f>
      </c>
      <c r="G171" s="35">
        <f>IFERROR(VLOOKUP("2_"&amp;A171,SyS!$B:$P,12,FALSE()),0)</f>
      </c>
      <c r="H171" s="36">
        <f>+F171-G171</f>
      </c>
      <c r="I171" s="35"/>
      <c r="J171" s="35"/>
      <c r="K171" s="35"/>
      <c r="L171" s="35"/>
      <c r="M171" s="35"/>
      <c r="N171" s="35"/>
      <c r="O171" s="34">
        <f>IFERROR(VLOOKUP("14_"&amp;A171,SyS!$B:$P,10,FALSE()),0)</f>
      </c>
      <c r="P171" s="35">
        <f>IFERROR(VLOOKUP("14_"&amp;A171,SyS!$B:$P,12,FALSE()),0)</f>
      </c>
      <c r="Q171" s="36">
        <f>+O171-P171</f>
      </c>
      <c r="R171" s="34">
        <f>IFERROR(VLOOKUP("15_"&amp;A171,SyS!$B:$P,10,FALSE()),0)</f>
      </c>
      <c r="S171" s="35">
        <f>IFERROR(VLOOKUP("15_"&amp;A171,SyS!$B:$P,12,FALSE()),0)</f>
      </c>
      <c r="T171" s="36">
        <f>+R171-S171</f>
      </c>
      <c r="U171" s="34">
        <f>IFERROR(VLOOKUP("16_"&amp;A171,SyS!$B:$P,10,FALSE()),0)</f>
      </c>
      <c r="V171" s="35">
        <f>IFERROR(VLOOKUP("16_"&amp;A171,SyS!$B:$P,12,FALSE()),0)</f>
      </c>
      <c r="W171" s="36">
        <f>+U171-V171</f>
      </c>
      <c r="X171" s="34">
        <f>IFERROR(VLOOKUP("13_"&amp;A171,SyS!$B:$P,10,FALSE()),0)</f>
      </c>
      <c r="Y171" s="35">
        <f>IFERROR(VLOOKUP("13_"&amp;A171,SyS!$B:$P,12,FALSE()),0)</f>
      </c>
      <c r="Z171" s="36">
        <f>+X171-Y171</f>
      </c>
      <c r="AA171" s="34">
        <f>IFERROR(VLOOKUP("17_"&amp;A171,SyS!$B:$P,10,FALSE()),0)</f>
      </c>
      <c r="AB171" s="35">
        <f>IFERROR(VLOOKUP("17_"&amp;A171,SyS!$B:$P,12,FALSE()),0)</f>
      </c>
      <c r="AC171" s="36">
        <f>+AA171-AB171</f>
      </c>
      <c r="AD171" s="35"/>
      <c r="AE171" s="35"/>
      <c r="AF171" s="35"/>
      <c r="AG171" s="35">
        <f>IFERROR(VLOOKUP("19_"&amp;A171,SyS!$B:$P,10,FALSE()),0)</f>
      </c>
      <c r="AH171" s="35">
        <f>IFERROR(VLOOKUP("19_"&amp;A171,SyS!$B:$P,12,FALSE()),0)</f>
      </c>
      <c r="AI171" s="35">
        <f>+AG171-AH171</f>
      </c>
      <c r="AJ171" s="35"/>
      <c r="AK171" s="35"/>
      <c r="AL171" s="35"/>
      <c r="AM171" s="34">
        <f>IFERROR(VLOOKUP("23_"&amp;A171,SyS!$B:$P,10,FALSE()),0)</f>
      </c>
      <c r="AN171" s="35">
        <f>IFERROR(VLOOKUP("23_"&amp;A171,SyS!$B:$P,12,FALSE()),0)</f>
      </c>
      <c r="AO171" s="36">
        <f>+AM171-AN171</f>
      </c>
      <c r="AP171" s="40"/>
      <c r="AQ171" s="40"/>
      <c r="AR171" s="40"/>
      <c r="AS171" s="40"/>
      <c r="AT171" s="40"/>
      <c r="AU171" s="40"/>
      <c r="AV171" s="40"/>
      <c r="AW171" s="40"/>
      <c r="AX171" s="40"/>
      <c r="AY171" s="40"/>
      <c r="AZ171" s="40"/>
      <c r="BA171" s="40"/>
      <c r="BB171" s="40"/>
      <c r="BC171" s="40"/>
      <c r="BD171" s="40"/>
      <c r="BE171" s="40"/>
      <c r="BF171" s="40"/>
      <c r="BG171" s="40"/>
      <c r="BH171" s="40"/>
      <c r="BI171" s="40"/>
      <c r="BJ171" s="40"/>
      <c r="BK171" s="40">
        <f>IFERROR(VLOOKUP("29_"&amp;A171,SyS!$B:$P,10,FALSE()),0)</f>
      </c>
      <c r="BL171" s="40">
        <f>IFERROR(VLOOKUP("29_"&amp;A171,SyS!$B:$P,12,FALSE()),0)</f>
      </c>
      <c r="BM171" s="40">
        <f>+BK171-BL171</f>
      </c>
      <c r="BN171" s="42">
        <f>IFERROR(VLOOKUP("30_"&amp;A171,SyS!$B:$P,10,FALSE()),0)</f>
      </c>
      <c r="BO171" s="40">
        <f>IFERROR(VLOOKUP("30_"&amp;A171,SyS!$B:$P,12,FALSE()),0)</f>
      </c>
      <c r="BP171" s="43">
        <f>+BN171-BO171</f>
      </c>
      <c r="BQ171" s="44">
        <f>+E171+H171+K171+N171+Q171+T171+W171+Z171+AC171+AF171+AI171+AL171+AO171+AR171+AU171+AX171+BA171+BD171+BG171+BJ171+BM171+BP171</f>
      </c>
    </row>
    <row r="172" ht="11.25" customHeight="1" spans="1:69" x14ac:dyDescent="0.25">
      <c r="A172" s="9">
        <v>421420000</v>
      </c>
      <c r="B172" s="9" t="s">
        <v>209</v>
      </c>
      <c r="C172" s="34">
        <f>IFERROR(VLOOKUP("1_"&amp;A172,SyS!$B:$P,10,FALSE()),0)</f>
      </c>
      <c r="D172" s="35">
        <f>IFERROR(VLOOKUP("1_"&amp;A172,SyS!$B:$P,12,FALSE()),0)</f>
      </c>
      <c r="E172" s="35">
        <f>+C172-D172</f>
      </c>
      <c r="F172" s="34">
        <f>IFERROR(VLOOKUP("2_"&amp;A172,SyS!$B:$P,10,FALSE()),0)</f>
      </c>
      <c r="G172" s="35">
        <f>IFERROR(VLOOKUP("2_"&amp;A172,SyS!$B:$P,12,FALSE()),0)</f>
      </c>
      <c r="H172" s="36">
        <f>+F172-G172</f>
      </c>
      <c r="I172" s="35"/>
      <c r="J172" s="35"/>
      <c r="K172" s="35"/>
      <c r="L172" s="35"/>
      <c r="M172" s="35"/>
      <c r="N172" s="35"/>
      <c r="O172" s="34">
        <f>IFERROR(VLOOKUP("14_"&amp;A172,SyS!$B:$P,10,FALSE()),0)</f>
      </c>
      <c r="P172" s="35">
        <f>IFERROR(VLOOKUP("14_"&amp;A172,SyS!$B:$P,12,FALSE()),0)</f>
      </c>
      <c r="Q172" s="36">
        <f>+O172-P172</f>
      </c>
      <c r="R172" s="34">
        <f>IFERROR(VLOOKUP("15_"&amp;A172,SyS!$B:$P,10,FALSE()),0)</f>
      </c>
      <c r="S172" s="35">
        <f>IFERROR(VLOOKUP("15_"&amp;A172,SyS!$B:$P,12,FALSE()),0)</f>
      </c>
      <c r="T172" s="36">
        <f>+R172-S172</f>
      </c>
      <c r="U172" s="34">
        <f>IFERROR(VLOOKUP("16_"&amp;A172,SyS!$B:$P,10,FALSE()),0)</f>
      </c>
      <c r="V172" s="35">
        <f>IFERROR(VLOOKUP("16_"&amp;A172,SyS!$B:$P,12,FALSE()),0)</f>
      </c>
      <c r="W172" s="36">
        <f>+U172-V172</f>
      </c>
      <c r="X172" s="34">
        <f>IFERROR(VLOOKUP("13_"&amp;A172,SyS!$B:$P,10,FALSE()),0)</f>
      </c>
      <c r="Y172" s="35">
        <f>IFERROR(VLOOKUP("13_"&amp;A172,SyS!$B:$P,12,FALSE()),0)</f>
      </c>
      <c r="Z172" s="36">
        <f>+X172-Y172</f>
      </c>
      <c r="AA172" s="34">
        <f>IFERROR(VLOOKUP("17_"&amp;A172,SyS!$B:$P,10,FALSE()),0)</f>
      </c>
      <c r="AB172" s="35">
        <f>IFERROR(VLOOKUP("17_"&amp;A172,SyS!$B:$P,12,FALSE()),0)</f>
      </c>
      <c r="AC172" s="36">
        <f>+AA172-AB172</f>
      </c>
      <c r="AD172" s="35"/>
      <c r="AE172" s="35"/>
      <c r="AF172" s="35"/>
      <c r="AG172" s="35">
        <f>IFERROR(VLOOKUP("19_"&amp;A172,SyS!$B:$P,10,FALSE()),0)</f>
      </c>
      <c r="AH172" s="35">
        <f>IFERROR(VLOOKUP("19_"&amp;A172,SyS!$B:$P,12,FALSE()),0)</f>
      </c>
      <c r="AI172" s="35">
        <f>+AG172-AH172</f>
      </c>
      <c r="AJ172" s="35"/>
      <c r="AK172" s="35"/>
      <c r="AL172" s="35"/>
      <c r="AM172" s="34">
        <f>IFERROR(VLOOKUP("23_"&amp;A172,SyS!$B:$P,10,FALSE()),0)</f>
      </c>
      <c r="AN172" s="35">
        <f>IFERROR(VLOOKUP("23_"&amp;A172,SyS!$B:$P,12,FALSE()),0)</f>
      </c>
      <c r="AO172" s="36">
        <f>+AM172-AN172</f>
      </c>
      <c r="AP172" s="40"/>
      <c r="AQ172" s="40"/>
      <c r="AR172" s="40"/>
      <c r="AS172" s="40"/>
      <c r="AT172" s="40"/>
      <c r="AU172" s="40"/>
      <c r="AV172" s="40"/>
      <c r="AW172" s="40"/>
      <c r="AX172" s="40"/>
      <c r="AY172" s="40"/>
      <c r="AZ172" s="40"/>
      <c r="BA172" s="40"/>
      <c r="BB172" s="40"/>
      <c r="BC172" s="40"/>
      <c r="BD172" s="40"/>
      <c r="BE172" s="40"/>
      <c r="BF172" s="40"/>
      <c r="BG172" s="40"/>
      <c r="BH172" s="40"/>
      <c r="BI172" s="40"/>
      <c r="BJ172" s="40"/>
      <c r="BK172" s="40">
        <f>IFERROR(VLOOKUP("29_"&amp;A172,SyS!$B:$P,10,FALSE()),0)</f>
      </c>
      <c r="BL172" s="40">
        <f>IFERROR(VLOOKUP("29_"&amp;A172,SyS!$B:$P,12,FALSE()),0)</f>
      </c>
      <c r="BM172" s="40">
        <f>+BK172-BL172</f>
      </c>
      <c r="BN172" s="42">
        <f>IFERROR(VLOOKUP("30_"&amp;A172,SyS!$B:$P,10,FALSE()),0)</f>
      </c>
      <c r="BO172" s="40">
        <f>IFERROR(VLOOKUP("30_"&amp;A172,SyS!$B:$P,12,FALSE()),0)</f>
      </c>
      <c r="BP172" s="43">
        <f>+BN172-BO172</f>
      </c>
      <c r="BQ172" s="44">
        <f>+E172+H172+K172+N172+Q172+T172+W172+Z172+AC172+AF172+AI172+AL172+AO172+AR172+AU172+AX172+BA172+BD172+BG172+BJ172+BM172+BP172</f>
      </c>
    </row>
    <row r="173" ht="11.25" customHeight="1" spans="1:69" x14ac:dyDescent="0.25">
      <c r="A173" s="9">
        <v>421410000</v>
      </c>
      <c r="B173" s="9" t="s">
        <v>210</v>
      </c>
      <c r="C173" s="34">
        <f>IFERROR(VLOOKUP("1_"&amp;A173,SyS!$B:$P,10,FALSE()),0)</f>
      </c>
      <c r="D173" s="35">
        <f>IFERROR(VLOOKUP("1_"&amp;A173,SyS!$B:$P,12,FALSE()),0)</f>
      </c>
      <c r="E173" s="35">
        <f>+C173-D173</f>
      </c>
      <c r="F173" s="34">
        <f>IFERROR(VLOOKUP("2_"&amp;A173,SyS!$B:$P,10,FALSE()),0)</f>
      </c>
      <c r="G173" s="35">
        <f>IFERROR(VLOOKUP("2_"&amp;A173,SyS!$B:$P,12,FALSE()),0)</f>
      </c>
      <c r="H173" s="36">
        <f>+F173-G173</f>
      </c>
      <c r="I173" s="35"/>
      <c r="J173" s="35"/>
      <c r="K173" s="35"/>
      <c r="L173" s="35"/>
      <c r="M173" s="35"/>
      <c r="N173" s="35"/>
      <c r="O173" s="34">
        <f>IFERROR(VLOOKUP("14_"&amp;A173,SyS!$B:$P,10,FALSE()),0)</f>
      </c>
      <c r="P173" s="35">
        <f>IFERROR(VLOOKUP("14_"&amp;A173,SyS!$B:$P,12,FALSE()),0)</f>
      </c>
      <c r="Q173" s="36">
        <f>+O173-P173</f>
      </c>
      <c r="R173" s="34">
        <f>IFERROR(VLOOKUP("15_"&amp;A173,SyS!$B:$P,10,FALSE()),0)</f>
      </c>
      <c r="S173" s="35">
        <f>IFERROR(VLOOKUP("15_"&amp;A173,SyS!$B:$P,12,FALSE()),0)</f>
      </c>
      <c r="T173" s="36">
        <f>+R173-S173</f>
      </c>
      <c r="U173" s="34">
        <f>IFERROR(VLOOKUP("16_"&amp;A173,SyS!$B:$P,10,FALSE()),0)</f>
      </c>
      <c r="V173" s="35">
        <f>IFERROR(VLOOKUP("16_"&amp;A173,SyS!$B:$P,12,FALSE()),0)</f>
      </c>
      <c r="W173" s="36">
        <f>+U173-V173</f>
      </c>
      <c r="X173" s="34">
        <f>IFERROR(VLOOKUP("13_"&amp;A173,SyS!$B:$P,10,FALSE()),0)</f>
      </c>
      <c r="Y173" s="35">
        <f>IFERROR(VLOOKUP("13_"&amp;A173,SyS!$B:$P,12,FALSE()),0)</f>
      </c>
      <c r="Z173" s="36">
        <f>+X173-Y173</f>
      </c>
      <c r="AA173" s="34">
        <f>IFERROR(VLOOKUP("17_"&amp;A173,SyS!$B:$P,10,FALSE()),0)</f>
      </c>
      <c r="AB173" s="35">
        <f>IFERROR(VLOOKUP("17_"&amp;A173,SyS!$B:$P,12,FALSE()),0)</f>
      </c>
      <c r="AC173" s="36">
        <f>+AA173-AB173</f>
      </c>
      <c r="AD173" s="35"/>
      <c r="AE173" s="35"/>
      <c r="AF173" s="35"/>
      <c r="AG173" s="35">
        <f>IFERROR(VLOOKUP("19_"&amp;A173,SyS!$B:$P,10,FALSE()),0)</f>
      </c>
      <c r="AH173" s="35">
        <f>IFERROR(VLOOKUP("19_"&amp;A173,SyS!$B:$P,12,FALSE()),0)</f>
      </c>
      <c r="AI173" s="35">
        <f>+AG173-AH173</f>
      </c>
      <c r="AJ173" s="35"/>
      <c r="AK173" s="35"/>
      <c r="AL173" s="35"/>
      <c r="AM173" s="34">
        <f>IFERROR(VLOOKUP("23_"&amp;A173,SyS!$B:$P,10,FALSE()),0)</f>
      </c>
      <c r="AN173" s="35">
        <f>IFERROR(VLOOKUP("23_"&amp;A173,SyS!$B:$P,12,FALSE()),0)</f>
      </c>
      <c r="AO173" s="36">
        <f>+AM173-AN173</f>
      </c>
      <c r="AP173" s="40"/>
      <c r="AQ173" s="40"/>
      <c r="AR173" s="40"/>
      <c r="AS173" s="40"/>
      <c r="AT173" s="40"/>
      <c r="AU173" s="40"/>
      <c r="AV173" s="40"/>
      <c r="AW173" s="40"/>
      <c r="AX173" s="40"/>
      <c r="AY173" s="40"/>
      <c r="AZ173" s="40"/>
      <c r="BA173" s="40"/>
      <c r="BB173" s="40"/>
      <c r="BC173" s="40"/>
      <c r="BD173" s="40"/>
      <c r="BE173" s="40"/>
      <c r="BF173" s="40"/>
      <c r="BG173" s="40"/>
      <c r="BH173" s="40"/>
      <c r="BI173" s="40"/>
      <c r="BJ173" s="40"/>
      <c r="BK173" s="40">
        <f>IFERROR(VLOOKUP("29_"&amp;A173,SyS!$B:$P,10,FALSE()),0)</f>
      </c>
      <c r="BL173" s="40">
        <f>IFERROR(VLOOKUP("29_"&amp;A173,SyS!$B:$P,12,FALSE()),0)</f>
      </c>
      <c r="BM173" s="40">
        <f>+BK173-BL173</f>
      </c>
      <c r="BN173" s="42">
        <f>IFERROR(VLOOKUP("30_"&amp;A173,SyS!$B:$P,10,FALSE()),0)</f>
      </c>
      <c r="BO173" s="40">
        <f>IFERROR(VLOOKUP("30_"&amp;A173,SyS!$B:$P,12,FALSE()),0)</f>
      </c>
      <c r="BP173" s="43">
        <f>+BN173-BO173</f>
      </c>
      <c r="BQ173" s="44">
        <f>+E173+H173+K173+N173+Q173+T173+W173+Z173+AC173+AF173+AI173+AL173+AO173+AR173+AU173+AX173+BA173+BD173+BG173+BJ173+BM173+BP173</f>
      </c>
    </row>
    <row r="174" ht="11.25" customHeight="1" spans="1:69" x14ac:dyDescent="0.25">
      <c r="A174" s="9">
        <v>421490000</v>
      </c>
      <c r="B174" s="9" t="s">
        <v>211</v>
      </c>
      <c r="C174" s="34">
        <f>IFERROR(VLOOKUP("1_"&amp;A174,SyS!$B:$P,10,FALSE()),0)</f>
      </c>
      <c r="D174" s="35">
        <f>IFERROR(VLOOKUP("1_"&amp;A174,SyS!$B:$P,12,FALSE()),0)</f>
      </c>
      <c r="E174" s="35">
        <f>+C174-D174</f>
      </c>
      <c r="F174" s="34">
        <f>IFERROR(VLOOKUP("2_"&amp;A174,SyS!$B:$P,10,FALSE()),0)</f>
      </c>
      <c r="G174" s="35">
        <f>IFERROR(VLOOKUP("2_"&amp;A174,SyS!$B:$P,12,FALSE()),0)</f>
      </c>
      <c r="H174" s="36">
        <f>+F174-G174</f>
      </c>
      <c r="I174" s="35"/>
      <c r="J174" s="35"/>
      <c r="K174" s="35"/>
      <c r="L174" s="35"/>
      <c r="M174" s="35"/>
      <c r="N174" s="35"/>
      <c r="O174" s="34">
        <f>IFERROR(VLOOKUP("14_"&amp;A174,SyS!$B:$P,10,FALSE()),0)</f>
      </c>
      <c r="P174" s="35">
        <f>IFERROR(VLOOKUP("14_"&amp;A174,SyS!$B:$P,12,FALSE()),0)</f>
      </c>
      <c r="Q174" s="36">
        <f>+O174-P174</f>
      </c>
      <c r="R174" s="34">
        <f>IFERROR(VLOOKUP("15_"&amp;A174,SyS!$B:$P,10,FALSE()),0)</f>
      </c>
      <c r="S174" s="35">
        <f>IFERROR(VLOOKUP("15_"&amp;A174,SyS!$B:$P,12,FALSE()),0)</f>
      </c>
      <c r="T174" s="36">
        <f>+R174-S174</f>
      </c>
      <c r="U174" s="34">
        <f>IFERROR(VLOOKUP("16_"&amp;A174,SyS!$B:$P,10,FALSE()),0)</f>
      </c>
      <c r="V174" s="35">
        <f>IFERROR(VLOOKUP("16_"&amp;A174,SyS!$B:$P,12,FALSE()),0)</f>
      </c>
      <c r="W174" s="36">
        <f>+U174-V174</f>
      </c>
      <c r="X174" s="34">
        <f>IFERROR(VLOOKUP("13_"&amp;A174,SyS!$B:$P,10,FALSE()),0)</f>
      </c>
      <c r="Y174" s="35">
        <f>IFERROR(VLOOKUP("13_"&amp;A174,SyS!$B:$P,12,FALSE()),0)</f>
      </c>
      <c r="Z174" s="36">
        <f>+X174-Y174</f>
      </c>
      <c r="AA174" s="34">
        <f>IFERROR(VLOOKUP("17_"&amp;A174,SyS!$B:$P,10,FALSE()),0)</f>
      </c>
      <c r="AB174" s="35">
        <f>IFERROR(VLOOKUP("17_"&amp;A174,SyS!$B:$P,12,FALSE()),0)</f>
      </c>
      <c r="AC174" s="36">
        <f>+AA174-AB174</f>
      </c>
      <c r="AD174" s="35"/>
      <c r="AE174" s="35"/>
      <c r="AF174" s="35"/>
      <c r="AG174" s="35">
        <f>IFERROR(VLOOKUP("19_"&amp;A174,SyS!$B:$P,10,FALSE()),0)</f>
      </c>
      <c r="AH174" s="35">
        <f>IFERROR(VLOOKUP("19_"&amp;A174,SyS!$B:$P,12,FALSE()),0)</f>
      </c>
      <c r="AI174" s="35">
        <f>+AG174-AH174</f>
      </c>
      <c r="AJ174" s="35"/>
      <c r="AK174" s="35"/>
      <c r="AL174" s="35"/>
      <c r="AM174" s="34">
        <f>IFERROR(VLOOKUP("23_"&amp;A174,SyS!$B:$P,10,FALSE()),0)</f>
      </c>
      <c r="AN174" s="35">
        <f>IFERROR(VLOOKUP("23_"&amp;A174,SyS!$B:$P,12,FALSE()),0)</f>
      </c>
      <c r="AO174" s="36">
        <f>+AM174-AN174</f>
      </c>
      <c r="AP174" s="40"/>
      <c r="AQ174" s="40"/>
      <c r="AR174" s="40"/>
      <c r="AS174" s="40"/>
      <c r="AT174" s="40"/>
      <c r="AU174" s="40"/>
      <c r="AV174" s="40"/>
      <c r="AW174" s="40"/>
      <c r="AX174" s="40"/>
      <c r="AY174" s="40"/>
      <c r="AZ174" s="40"/>
      <c r="BA174" s="40"/>
      <c r="BB174" s="40"/>
      <c r="BC174" s="40"/>
      <c r="BD174" s="40"/>
      <c r="BE174" s="40"/>
      <c r="BF174" s="40"/>
      <c r="BG174" s="40"/>
      <c r="BH174" s="40"/>
      <c r="BI174" s="40"/>
      <c r="BJ174" s="40"/>
      <c r="BK174" s="40">
        <f>IFERROR(VLOOKUP("29_"&amp;A174,SyS!$B:$P,10,FALSE()),0)</f>
      </c>
      <c r="BL174" s="40">
        <f>IFERROR(VLOOKUP("29_"&amp;A174,SyS!$B:$P,12,FALSE()),0)</f>
      </c>
      <c r="BM174" s="40">
        <f>+BK174-BL174</f>
      </c>
      <c r="BN174" s="42">
        <f>IFERROR(VLOOKUP("30_"&amp;A174,SyS!$B:$P,10,FALSE()),0)</f>
      </c>
      <c r="BO174" s="40">
        <f>IFERROR(VLOOKUP("30_"&amp;A174,SyS!$B:$P,12,FALSE()),0)</f>
      </c>
      <c r="BP174" s="43">
        <f>+BN174-BO174</f>
      </c>
      <c r="BQ174" s="44">
        <f>+E174+H174+K174+N174+Q174+T174+W174+Z174+AC174+AF174+AI174+AL174+AO174+AR174+AU174+AX174+BA174+BD174+BG174+BJ174+BM174+BP174</f>
      </c>
    </row>
    <row r="175" ht="11.25" customHeight="1" spans="1:69" x14ac:dyDescent="0.25">
      <c r="A175" s="9">
        <v>421600000</v>
      </c>
      <c r="B175" s="9" t="s">
        <v>212</v>
      </c>
      <c r="C175" s="34">
        <f>IFERROR(VLOOKUP("1_"&amp;A175,SyS!$B:$P,10,FALSE()),0)</f>
      </c>
      <c r="D175" s="35">
        <f>IFERROR(VLOOKUP("1_"&amp;A175,SyS!$B:$P,12,FALSE()),0)</f>
      </c>
      <c r="E175" s="35">
        <f>+C175-D175</f>
      </c>
      <c r="F175" s="34">
        <f>IFERROR(VLOOKUP("2_"&amp;A175,SyS!$B:$P,10,FALSE()),0)</f>
      </c>
      <c r="G175" s="35">
        <f>IFERROR(VLOOKUP("2_"&amp;A175,SyS!$B:$P,12,FALSE()),0)</f>
      </c>
      <c r="H175" s="36">
        <f>+F175-G175</f>
      </c>
      <c r="I175" s="35"/>
      <c r="J175" s="35"/>
      <c r="K175" s="35"/>
      <c r="L175" s="35"/>
      <c r="M175" s="35"/>
      <c r="N175" s="35"/>
      <c r="O175" s="34">
        <f>IFERROR(VLOOKUP("14_"&amp;A175,SyS!$B:$P,10,FALSE()),0)</f>
      </c>
      <c r="P175" s="35">
        <f>IFERROR(VLOOKUP("14_"&amp;A175,SyS!$B:$P,12,FALSE()),0)</f>
      </c>
      <c r="Q175" s="36">
        <f>+O175-P175</f>
      </c>
      <c r="R175" s="34">
        <f>IFERROR(VLOOKUP("15_"&amp;A175,SyS!$B:$P,10,FALSE()),0)</f>
      </c>
      <c r="S175" s="35">
        <f>IFERROR(VLOOKUP("15_"&amp;A175,SyS!$B:$P,12,FALSE()),0)</f>
      </c>
      <c r="T175" s="36">
        <f>+R175-S175</f>
      </c>
      <c r="U175" s="34">
        <f>IFERROR(VLOOKUP("16_"&amp;A175,SyS!$B:$P,10,FALSE()),0)</f>
      </c>
      <c r="V175" s="35">
        <f>IFERROR(VLOOKUP("16_"&amp;A175,SyS!$B:$P,12,FALSE()),0)</f>
      </c>
      <c r="W175" s="36">
        <f>+U175-V175</f>
      </c>
      <c r="X175" s="34">
        <f>IFERROR(VLOOKUP("13_"&amp;A175,SyS!$B:$P,10,FALSE()),0)</f>
      </c>
      <c r="Y175" s="35">
        <f>IFERROR(VLOOKUP("13_"&amp;A175,SyS!$B:$P,12,FALSE()),0)</f>
      </c>
      <c r="Z175" s="36">
        <f>+X175-Y175</f>
      </c>
      <c r="AA175" s="34">
        <f>IFERROR(VLOOKUP("17_"&amp;A175,SyS!$B:$P,10,FALSE()),0)</f>
      </c>
      <c r="AB175" s="35">
        <f>IFERROR(VLOOKUP("17_"&amp;A175,SyS!$B:$P,12,FALSE()),0)</f>
      </c>
      <c r="AC175" s="36">
        <f>+AA175-AB175</f>
      </c>
      <c r="AD175" s="35"/>
      <c r="AE175" s="35"/>
      <c r="AF175" s="35"/>
      <c r="AG175" s="35">
        <f>IFERROR(VLOOKUP("19_"&amp;A175,SyS!$B:$P,10,FALSE()),0)</f>
      </c>
      <c r="AH175" s="35">
        <f>IFERROR(VLOOKUP("19_"&amp;A175,SyS!$B:$P,12,FALSE()),0)</f>
      </c>
      <c r="AI175" s="35">
        <f>+AG175-AH175</f>
      </c>
      <c r="AJ175" s="35"/>
      <c r="AK175" s="35"/>
      <c r="AL175" s="35"/>
      <c r="AM175" s="34">
        <f>IFERROR(VLOOKUP("23_"&amp;A175,SyS!$B:$P,10,FALSE()),0)</f>
      </c>
      <c r="AN175" s="35">
        <f>IFERROR(VLOOKUP("23_"&amp;A175,SyS!$B:$P,12,FALSE()),0)</f>
      </c>
      <c r="AO175" s="36">
        <f>+AM175-AN175</f>
      </c>
      <c r="AP175" s="40"/>
      <c r="AQ175" s="40"/>
      <c r="AR175" s="40"/>
      <c r="AS175" s="40"/>
      <c r="AT175" s="40"/>
      <c r="AU175" s="40"/>
      <c r="AV175" s="40"/>
      <c r="AW175" s="40"/>
      <c r="AX175" s="40"/>
      <c r="AY175" s="40"/>
      <c r="AZ175" s="40"/>
      <c r="BA175" s="40"/>
      <c r="BB175" s="40"/>
      <c r="BC175" s="40"/>
      <c r="BD175" s="40"/>
      <c r="BE175" s="40"/>
      <c r="BF175" s="40"/>
      <c r="BG175" s="40"/>
      <c r="BH175" s="40"/>
      <c r="BI175" s="40"/>
      <c r="BJ175" s="40"/>
      <c r="BK175" s="40">
        <f>IFERROR(VLOOKUP("29_"&amp;A175,SyS!$B:$P,10,FALSE()),0)</f>
      </c>
      <c r="BL175" s="40">
        <f>IFERROR(VLOOKUP("29_"&amp;A175,SyS!$B:$P,12,FALSE()),0)</f>
      </c>
      <c r="BM175" s="40">
        <f>+BK175-BL175</f>
      </c>
      <c r="BN175" s="42">
        <f>IFERROR(VLOOKUP("30_"&amp;A175,SyS!$B:$P,10,FALSE()),0)</f>
      </c>
      <c r="BO175" s="40">
        <f>IFERROR(VLOOKUP("30_"&amp;A175,SyS!$B:$P,12,FALSE()),0)</f>
      </c>
      <c r="BP175" s="43">
        <f>+BN175-BO175</f>
      </c>
      <c r="BQ175" s="44">
        <f>+E175+H175+K175+N175+Q175+T175+W175+Z175+AC175+AF175+AI175+AL175+AO175+AR175+AU175+AX175+BA175+BD175+BG175+BJ175+BM175+BP175</f>
      </c>
    </row>
    <row r="176" ht="11.25" customHeight="1" spans="1:69" x14ac:dyDescent="0.25">
      <c r="A176" s="9">
        <v>421670000</v>
      </c>
      <c r="B176" s="9" t="s">
        <v>213</v>
      </c>
      <c r="C176" s="34">
        <f>IFERROR(VLOOKUP("1_"&amp;A176,SyS!$B:$P,10,FALSE()),0)</f>
      </c>
      <c r="D176" s="35">
        <f>IFERROR(VLOOKUP("1_"&amp;A176,SyS!$B:$P,12,FALSE()),0)</f>
      </c>
      <c r="E176" s="35">
        <f>+C176-D176</f>
      </c>
      <c r="F176" s="34">
        <f>IFERROR(VLOOKUP("2_"&amp;A176,SyS!$B:$P,10,FALSE()),0)</f>
      </c>
      <c r="G176" s="35">
        <f>IFERROR(VLOOKUP("2_"&amp;A176,SyS!$B:$P,12,FALSE()),0)</f>
      </c>
      <c r="H176" s="36">
        <f>+F176-G176</f>
      </c>
      <c r="I176" s="35"/>
      <c r="J176" s="35"/>
      <c r="K176" s="35"/>
      <c r="L176" s="35"/>
      <c r="M176" s="35"/>
      <c r="N176" s="35"/>
      <c r="O176" s="34">
        <f>IFERROR(VLOOKUP("14_"&amp;A176,SyS!$B:$P,10,FALSE()),0)</f>
      </c>
      <c r="P176" s="35">
        <f>IFERROR(VLOOKUP("14_"&amp;A176,SyS!$B:$P,12,FALSE()),0)</f>
      </c>
      <c r="Q176" s="36">
        <f>+O176-P176</f>
      </c>
      <c r="R176" s="34">
        <f>IFERROR(VLOOKUP("15_"&amp;A176,SyS!$B:$P,10,FALSE()),0)</f>
      </c>
      <c r="S176" s="35">
        <f>IFERROR(VLOOKUP("15_"&amp;A176,SyS!$B:$P,12,FALSE()),0)</f>
      </c>
      <c r="T176" s="36">
        <f>+R176-S176</f>
      </c>
      <c r="U176" s="34">
        <f>IFERROR(VLOOKUP("16_"&amp;A176,SyS!$B:$P,10,FALSE()),0)</f>
      </c>
      <c r="V176" s="35">
        <f>IFERROR(VLOOKUP("16_"&amp;A176,SyS!$B:$P,12,FALSE()),0)</f>
      </c>
      <c r="W176" s="36">
        <f>+U176-V176</f>
      </c>
      <c r="X176" s="34">
        <f>IFERROR(VLOOKUP("13_"&amp;A176,SyS!$B:$P,10,FALSE()),0)</f>
      </c>
      <c r="Y176" s="35">
        <f>IFERROR(VLOOKUP("13_"&amp;A176,SyS!$B:$P,12,FALSE()),0)</f>
      </c>
      <c r="Z176" s="36">
        <f>+X176-Y176</f>
      </c>
      <c r="AA176" s="34">
        <f>IFERROR(VLOOKUP("17_"&amp;A176,SyS!$B:$P,10,FALSE()),0)</f>
      </c>
      <c r="AB176" s="35">
        <f>IFERROR(VLOOKUP("17_"&amp;A176,SyS!$B:$P,12,FALSE()),0)</f>
      </c>
      <c r="AC176" s="36">
        <f>+AA176-AB176</f>
      </c>
      <c r="AD176" s="35"/>
      <c r="AE176" s="35"/>
      <c r="AF176" s="35"/>
      <c r="AG176" s="35">
        <f>IFERROR(VLOOKUP("19_"&amp;A176,SyS!$B:$P,10,FALSE()),0)</f>
      </c>
      <c r="AH176" s="35">
        <f>IFERROR(VLOOKUP("19_"&amp;A176,SyS!$B:$P,12,FALSE()),0)</f>
      </c>
      <c r="AI176" s="35">
        <f>+AG176-AH176</f>
      </c>
      <c r="AJ176" s="35"/>
      <c r="AK176" s="35"/>
      <c r="AL176" s="35"/>
      <c r="AM176" s="34">
        <f>IFERROR(VLOOKUP("23_"&amp;A176,SyS!$B:$P,10,FALSE()),0)</f>
      </c>
      <c r="AN176" s="35">
        <f>IFERROR(VLOOKUP("23_"&amp;A176,SyS!$B:$P,12,FALSE()),0)</f>
      </c>
      <c r="AO176" s="36">
        <f>+AM176-AN176</f>
      </c>
      <c r="AP176" s="40"/>
      <c r="AQ176" s="40"/>
      <c r="AR176" s="40"/>
      <c r="AS176" s="40"/>
      <c r="AT176" s="40"/>
      <c r="AU176" s="40"/>
      <c r="AV176" s="40"/>
      <c r="AW176" s="40"/>
      <c r="AX176" s="40"/>
      <c r="AY176" s="40"/>
      <c r="AZ176" s="40"/>
      <c r="BA176" s="40"/>
      <c r="BB176" s="40"/>
      <c r="BC176" s="40"/>
      <c r="BD176" s="40"/>
      <c r="BE176" s="40"/>
      <c r="BF176" s="40"/>
      <c r="BG176" s="40"/>
      <c r="BH176" s="40"/>
      <c r="BI176" s="40"/>
      <c r="BJ176" s="40"/>
      <c r="BK176" s="40">
        <f>IFERROR(VLOOKUP("29_"&amp;A176,SyS!$B:$P,10,FALSE()),0)</f>
      </c>
      <c r="BL176" s="40">
        <f>IFERROR(VLOOKUP("29_"&amp;A176,SyS!$B:$P,12,FALSE()),0)</f>
      </c>
      <c r="BM176" s="40">
        <f>+BK176-BL176</f>
      </c>
      <c r="BN176" s="42">
        <f>IFERROR(VLOOKUP("30_"&amp;A176,SyS!$B:$P,10,FALSE()),0)</f>
      </c>
      <c r="BO176" s="40">
        <f>IFERROR(VLOOKUP("30_"&amp;A176,SyS!$B:$P,12,FALSE()),0)</f>
      </c>
      <c r="BP176" s="43">
        <f>+BN176-BO176</f>
      </c>
      <c r="BQ176" s="44">
        <f>+E176+H176+K176+N176+Q176+T176+W176+Z176+AC176+AF176+AI176+AL176+AO176+AR176+AU176+AX176+BA176+BD176+BG176+BJ176+BM176+BP176</f>
      </c>
    </row>
    <row r="177" ht="11.25" customHeight="1" spans="1:69" x14ac:dyDescent="0.25">
      <c r="A177" s="9">
        <v>421680000</v>
      </c>
      <c r="B177" s="9" t="s">
        <v>214</v>
      </c>
      <c r="C177" s="34">
        <f>IFERROR(VLOOKUP("1_"&amp;A177,SyS!$B:$P,10,FALSE()),0)</f>
      </c>
      <c r="D177" s="35">
        <f>IFERROR(VLOOKUP("1_"&amp;A177,SyS!$B:$P,12,FALSE()),0)</f>
      </c>
      <c r="E177" s="35">
        <f>+C177-D177</f>
      </c>
      <c r="F177" s="34">
        <f>IFERROR(VLOOKUP("2_"&amp;A177,SyS!$B:$P,10,FALSE()),0)</f>
      </c>
      <c r="G177" s="35">
        <f>IFERROR(VLOOKUP("2_"&amp;A177,SyS!$B:$P,12,FALSE()),0)</f>
      </c>
      <c r="H177" s="36">
        <f>+F177-G177</f>
      </c>
      <c r="I177" s="35"/>
      <c r="J177" s="35"/>
      <c r="K177" s="35"/>
      <c r="L177" s="35"/>
      <c r="M177" s="35"/>
      <c r="N177" s="35"/>
      <c r="O177" s="34">
        <f>IFERROR(VLOOKUP("14_"&amp;A177,SyS!$B:$P,10,FALSE()),0)</f>
      </c>
      <c r="P177" s="35">
        <f>IFERROR(VLOOKUP("14_"&amp;A177,SyS!$B:$P,12,FALSE()),0)</f>
      </c>
      <c r="Q177" s="36">
        <f>+O177-P177</f>
      </c>
      <c r="R177" s="34">
        <f>IFERROR(VLOOKUP("15_"&amp;A177,SyS!$B:$P,10,FALSE()),0)</f>
      </c>
      <c r="S177" s="35">
        <f>IFERROR(VLOOKUP("15_"&amp;A177,SyS!$B:$P,12,FALSE()),0)</f>
      </c>
      <c r="T177" s="36">
        <f>+R177-S177</f>
      </c>
      <c r="U177" s="34">
        <f>IFERROR(VLOOKUP("16_"&amp;A177,SyS!$B:$P,10,FALSE()),0)</f>
      </c>
      <c r="V177" s="35">
        <f>IFERROR(VLOOKUP("16_"&amp;A177,SyS!$B:$P,12,FALSE()),0)</f>
      </c>
      <c r="W177" s="36">
        <f>+U177-V177</f>
      </c>
      <c r="X177" s="34">
        <f>IFERROR(VLOOKUP("13_"&amp;A177,SyS!$B:$P,10,FALSE()),0)</f>
      </c>
      <c r="Y177" s="35">
        <f>IFERROR(VLOOKUP("13_"&amp;A177,SyS!$B:$P,12,FALSE()),0)</f>
      </c>
      <c r="Z177" s="36">
        <f>+X177-Y177</f>
      </c>
      <c r="AA177" s="34">
        <f>IFERROR(VLOOKUP("17_"&amp;A177,SyS!$B:$P,10,FALSE()),0)</f>
      </c>
      <c r="AB177" s="35">
        <f>IFERROR(VLOOKUP("17_"&amp;A177,SyS!$B:$P,12,FALSE()),0)</f>
      </c>
      <c r="AC177" s="36">
        <f>+AA177-AB177</f>
      </c>
      <c r="AD177" s="35"/>
      <c r="AE177" s="35"/>
      <c r="AF177" s="35"/>
      <c r="AG177" s="35">
        <f>IFERROR(VLOOKUP("19_"&amp;A177,SyS!$B:$P,10,FALSE()),0)</f>
      </c>
      <c r="AH177" s="35">
        <f>IFERROR(VLOOKUP("19_"&amp;A177,SyS!$B:$P,12,FALSE()),0)</f>
      </c>
      <c r="AI177" s="35">
        <f>+AG177-AH177</f>
      </c>
      <c r="AJ177" s="35"/>
      <c r="AK177" s="35"/>
      <c r="AL177" s="35"/>
      <c r="AM177" s="34">
        <f>IFERROR(VLOOKUP("23_"&amp;A177,SyS!$B:$P,10,FALSE()),0)</f>
      </c>
      <c r="AN177" s="35">
        <f>IFERROR(VLOOKUP("23_"&amp;A177,SyS!$B:$P,12,FALSE()),0)</f>
      </c>
      <c r="AO177" s="36">
        <f>+AM177-AN177</f>
      </c>
      <c r="AP177" s="40"/>
      <c r="AQ177" s="40"/>
      <c r="AR177" s="40"/>
      <c r="AS177" s="40"/>
      <c r="AT177" s="40"/>
      <c r="AU177" s="40"/>
      <c r="AV177" s="40"/>
      <c r="AW177" s="40"/>
      <c r="AX177" s="40"/>
      <c r="AY177" s="40"/>
      <c r="AZ177" s="40"/>
      <c r="BA177" s="40"/>
      <c r="BB177" s="40"/>
      <c r="BC177" s="40"/>
      <c r="BD177" s="40"/>
      <c r="BE177" s="40"/>
      <c r="BF177" s="40"/>
      <c r="BG177" s="40"/>
      <c r="BH177" s="40"/>
      <c r="BI177" s="40"/>
      <c r="BJ177" s="40"/>
      <c r="BK177" s="40">
        <f>IFERROR(VLOOKUP("29_"&amp;A177,SyS!$B:$P,10,FALSE()),0)</f>
      </c>
      <c r="BL177" s="40">
        <f>IFERROR(VLOOKUP("29_"&amp;A177,SyS!$B:$P,12,FALSE()),0)</f>
      </c>
      <c r="BM177" s="40">
        <f>+BK177-BL177</f>
      </c>
      <c r="BN177" s="42">
        <f>IFERROR(VLOOKUP("30_"&amp;A177,SyS!$B:$P,10,FALSE()),0)</f>
      </c>
      <c r="BO177" s="40">
        <f>IFERROR(VLOOKUP("30_"&amp;A177,SyS!$B:$P,12,FALSE()),0)</f>
      </c>
      <c r="BP177" s="43">
        <f>+BN177-BO177</f>
      </c>
      <c r="BQ177" s="44">
        <f>+E177+H177+K177+N177+Q177+T177+W177+Z177+AC177+AF177+AI177+AL177+AO177+AR177+AU177+AX177+BA177+BD177+BG177+BJ177+BM177+BP177</f>
      </c>
    </row>
    <row r="178" ht="11.25" customHeight="1" spans="1:69" x14ac:dyDescent="0.25">
      <c r="A178" s="9">
        <v>421690000</v>
      </c>
      <c r="B178" s="9" t="s">
        <v>215</v>
      </c>
      <c r="C178" s="34">
        <f>IFERROR(VLOOKUP("1_"&amp;A178,SyS!$B:$P,10,FALSE()),0)</f>
      </c>
      <c r="D178" s="35">
        <f>IFERROR(VLOOKUP("1_"&amp;A178,SyS!$B:$P,12,FALSE()),0)</f>
      </c>
      <c r="E178" s="35">
        <f>+C178-D178</f>
      </c>
      <c r="F178" s="34">
        <f>IFERROR(VLOOKUP("2_"&amp;A178,SyS!$B:$P,10,FALSE()),0)</f>
      </c>
      <c r="G178" s="35">
        <f>IFERROR(VLOOKUP("2_"&amp;A178,SyS!$B:$P,12,FALSE()),0)</f>
      </c>
      <c r="H178" s="36">
        <f>+F178-G178</f>
      </c>
      <c r="I178" s="35"/>
      <c r="J178" s="35"/>
      <c r="K178" s="35"/>
      <c r="L178" s="35"/>
      <c r="M178" s="35"/>
      <c r="N178" s="35"/>
      <c r="O178" s="34">
        <f>IFERROR(VLOOKUP("14_"&amp;A178,SyS!$B:$P,10,FALSE()),0)</f>
      </c>
      <c r="P178" s="35">
        <f>IFERROR(VLOOKUP("14_"&amp;A178,SyS!$B:$P,12,FALSE()),0)</f>
      </c>
      <c r="Q178" s="36">
        <f>+O178-P178</f>
      </c>
      <c r="R178" s="34">
        <f>IFERROR(VLOOKUP("15_"&amp;A178,SyS!$B:$P,10,FALSE()),0)</f>
      </c>
      <c r="S178" s="35">
        <f>IFERROR(VLOOKUP("15_"&amp;A178,SyS!$B:$P,12,FALSE()),0)</f>
      </c>
      <c r="T178" s="36">
        <f>+R178-S178</f>
      </c>
      <c r="U178" s="34">
        <f>IFERROR(VLOOKUP("16_"&amp;A178,SyS!$B:$P,10,FALSE()),0)</f>
      </c>
      <c r="V178" s="35">
        <f>IFERROR(VLOOKUP("16_"&amp;A178,SyS!$B:$P,12,FALSE()),0)</f>
      </c>
      <c r="W178" s="36">
        <f>+U178-V178</f>
      </c>
      <c r="X178" s="34">
        <f>IFERROR(VLOOKUP("13_"&amp;A178,SyS!$B:$P,10,FALSE()),0)</f>
      </c>
      <c r="Y178" s="35">
        <f>IFERROR(VLOOKUP("13_"&amp;A178,SyS!$B:$P,12,FALSE()),0)</f>
      </c>
      <c r="Z178" s="36">
        <f>+X178-Y178</f>
      </c>
      <c r="AA178" s="34">
        <f>IFERROR(VLOOKUP("17_"&amp;A178,SyS!$B:$P,10,FALSE()),0)</f>
      </c>
      <c r="AB178" s="35">
        <f>IFERROR(VLOOKUP("17_"&amp;A178,SyS!$B:$P,12,FALSE()),0)</f>
      </c>
      <c r="AC178" s="36">
        <f>+AA178-AB178</f>
      </c>
      <c r="AD178" s="35"/>
      <c r="AE178" s="35"/>
      <c r="AF178" s="35"/>
      <c r="AG178" s="35">
        <f>IFERROR(VLOOKUP("19_"&amp;A178,SyS!$B:$P,10,FALSE()),0)</f>
      </c>
      <c r="AH178" s="35">
        <f>IFERROR(VLOOKUP("19_"&amp;A178,SyS!$B:$P,12,FALSE()),0)</f>
      </c>
      <c r="AI178" s="35">
        <f>+AG178-AH178</f>
      </c>
      <c r="AJ178" s="35"/>
      <c r="AK178" s="35"/>
      <c r="AL178" s="35"/>
      <c r="AM178" s="34">
        <f>IFERROR(VLOOKUP("23_"&amp;A178,SyS!$B:$P,10,FALSE()),0)</f>
      </c>
      <c r="AN178" s="35">
        <f>IFERROR(VLOOKUP("23_"&amp;A178,SyS!$B:$P,12,FALSE()),0)</f>
      </c>
      <c r="AO178" s="36">
        <f>+AM178-AN178</f>
      </c>
      <c r="AP178" s="40"/>
      <c r="AQ178" s="40"/>
      <c r="AR178" s="40"/>
      <c r="AS178" s="40"/>
      <c r="AT178" s="40"/>
      <c r="AU178" s="40"/>
      <c r="AV178" s="40"/>
      <c r="AW178" s="40"/>
      <c r="AX178" s="40"/>
      <c r="AY178" s="40"/>
      <c r="AZ178" s="40"/>
      <c r="BA178" s="40"/>
      <c r="BB178" s="40"/>
      <c r="BC178" s="40"/>
      <c r="BD178" s="40"/>
      <c r="BE178" s="40"/>
      <c r="BF178" s="40"/>
      <c r="BG178" s="40"/>
      <c r="BH178" s="40"/>
      <c r="BI178" s="40"/>
      <c r="BJ178" s="40"/>
      <c r="BK178" s="40">
        <f>IFERROR(VLOOKUP("29_"&amp;A178,SyS!$B:$P,10,FALSE()),0)</f>
      </c>
      <c r="BL178" s="40">
        <f>IFERROR(VLOOKUP("29_"&amp;A178,SyS!$B:$P,12,FALSE()),0)</f>
      </c>
      <c r="BM178" s="40">
        <f>+BK178-BL178</f>
      </c>
      <c r="BN178" s="42">
        <f>IFERROR(VLOOKUP("30_"&amp;A178,SyS!$B:$P,10,FALSE()),0)</f>
      </c>
      <c r="BO178" s="40">
        <f>IFERROR(VLOOKUP("30_"&amp;A178,SyS!$B:$P,12,FALSE()),0)</f>
      </c>
      <c r="BP178" s="43">
        <f>+BN178-BO178</f>
      </c>
      <c r="BQ178" s="44">
        <f>+E178+H178+K178+N178+Q178+T178+W178+Z178+AC178+AF178+AI178+AL178+AO178+AR178+AU178+AX178+BA178+BD178+BG178+BJ178+BM178+BP178</f>
      </c>
    </row>
    <row r="179" ht="11.25" customHeight="1" spans="1:69" x14ac:dyDescent="0.25">
      <c r="A179" s="9">
        <v>421700000</v>
      </c>
      <c r="B179" s="9" t="s">
        <v>216</v>
      </c>
      <c r="C179" s="34">
        <f>IFERROR(VLOOKUP("1_"&amp;A179,SyS!$B:$P,10,FALSE()),0)</f>
      </c>
      <c r="D179" s="35">
        <f>IFERROR(VLOOKUP("1_"&amp;A179,SyS!$B:$P,12,FALSE()),0)</f>
      </c>
      <c r="E179" s="35">
        <f>+C179-D179</f>
      </c>
      <c r="F179" s="34">
        <f>IFERROR(VLOOKUP("2_"&amp;A179,SyS!$B:$P,10,FALSE()),0)</f>
      </c>
      <c r="G179" s="35">
        <f>IFERROR(VLOOKUP("2_"&amp;A179,SyS!$B:$P,12,FALSE()),0)</f>
      </c>
      <c r="H179" s="36">
        <f>+F179-G179</f>
      </c>
      <c r="I179" s="35"/>
      <c r="J179" s="35"/>
      <c r="K179" s="35"/>
      <c r="L179" s="35"/>
      <c r="M179" s="35"/>
      <c r="N179" s="35"/>
      <c r="O179" s="34">
        <f>IFERROR(VLOOKUP("14_"&amp;A179,SyS!$B:$P,10,FALSE()),0)</f>
      </c>
      <c r="P179" s="35">
        <f>IFERROR(VLOOKUP("14_"&amp;A179,SyS!$B:$P,12,FALSE()),0)</f>
      </c>
      <c r="Q179" s="36">
        <f>+O179-P179</f>
      </c>
      <c r="R179" s="34">
        <f>IFERROR(VLOOKUP("15_"&amp;A179,SyS!$B:$P,10,FALSE()),0)</f>
      </c>
      <c r="S179" s="35">
        <f>IFERROR(VLOOKUP("15_"&amp;A179,SyS!$B:$P,12,FALSE()),0)</f>
      </c>
      <c r="T179" s="36">
        <f>+R179-S179</f>
      </c>
      <c r="U179" s="34">
        <f>IFERROR(VLOOKUP("16_"&amp;A179,SyS!$B:$P,10,FALSE()),0)</f>
      </c>
      <c r="V179" s="35">
        <f>IFERROR(VLOOKUP("16_"&amp;A179,SyS!$B:$P,12,FALSE()),0)</f>
      </c>
      <c r="W179" s="36">
        <f>+U179-V179</f>
      </c>
      <c r="X179" s="34">
        <f>IFERROR(VLOOKUP("13_"&amp;A179,SyS!$B:$P,10,FALSE()),0)</f>
      </c>
      <c r="Y179" s="35">
        <f>IFERROR(VLOOKUP("13_"&amp;A179,SyS!$B:$P,12,FALSE()),0)</f>
      </c>
      <c r="Z179" s="36">
        <f>+X179-Y179</f>
      </c>
      <c r="AA179" s="34">
        <f>IFERROR(VLOOKUP("17_"&amp;A179,SyS!$B:$P,10,FALSE()),0)</f>
      </c>
      <c r="AB179" s="35">
        <f>IFERROR(VLOOKUP("17_"&amp;A179,SyS!$B:$P,12,FALSE()),0)</f>
      </c>
      <c r="AC179" s="36">
        <f>+AA179-AB179</f>
      </c>
      <c r="AD179" s="35"/>
      <c r="AE179" s="35"/>
      <c r="AF179" s="35"/>
      <c r="AG179" s="35">
        <f>IFERROR(VLOOKUP("19_"&amp;A179,SyS!$B:$P,10,FALSE()),0)</f>
      </c>
      <c r="AH179" s="35">
        <f>IFERROR(VLOOKUP("19_"&amp;A179,SyS!$B:$P,12,FALSE()),0)</f>
      </c>
      <c r="AI179" s="35">
        <f>+AG179-AH179</f>
      </c>
      <c r="AJ179" s="35"/>
      <c r="AK179" s="35"/>
      <c r="AL179" s="35"/>
      <c r="AM179" s="34">
        <f>IFERROR(VLOOKUP("23_"&amp;A179,SyS!$B:$P,10,FALSE()),0)</f>
      </c>
      <c r="AN179" s="35">
        <f>IFERROR(VLOOKUP("23_"&amp;A179,SyS!$B:$P,12,FALSE()),0)</f>
      </c>
      <c r="AO179" s="36">
        <f>+AM179-AN179</f>
      </c>
      <c r="AP179" s="40"/>
      <c r="AQ179" s="40"/>
      <c r="AR179" s="40"/>
      <c r="AS179" s="40"/>
      <c r="AT179" s="40"/>
      <c r="AU179" s="40"/>
      <c r="AV179" s="40"/>
      <c r="AW179" s="40"/>
      <c r="AX179" s="40"/>
      <c r="AY179" s="40"/>
      <c r="AZ179" s="40"/>
      <c r="BA179" s="40"/>
      <c r="BB179" s="40"/>
      <c r="BC179" s="40"/>
      <c r="BD179" s="40"/>
      <c r="BE179" s="40"/>
      <c r="BF179" s="40"/>
      <c r="BG179" s="40"/>
      <c r="BH179" s="40"/>
      <c r="BI179" s="40"/>
      <c r="BJ179" s="40"/>
      <c r="BK179" s="40">
        <f>IFERROR(VLOOKUP("29_"&amp;A179,SyS!$B:$P,10,FALSE()),0)</f>
      </c>
      <c r="BL179" s="40">
        <f>IFERROR(VLOOKUP("29_"&amp;A179,SyS!$B:$P,12,FALSE()),0)</f>
      </c>
      <c r="BM179" s="40">
        <f>+BK179-BL179</f>
      </c>
      <c r="BN179" s="42">
        <f>IFERROR(VLOOKUP("30_"&amp;A179,SyS!$B:$P,10,FALSE()),0)</f>
      </c>
      <c r="BO179" s="40">
        <f>IFERROR(VLOOKUP("30_"&amp;A179,SyS!$B:$P,12,FALSE()),0)</f>
      </c>
      <c r="BP179" s="43">
        <f>+BN179-BO179</f>
      </c>
      <c r="BQ179" s="44">
        <f>+E179+H179+K179+N179+Q179+T179+W179+Z179+AC179+AF179+AI179+AL179+AO179+AR179+AU179+AX179+BA179+BD179+BG179+BJ179+BM179+BP179</f>
      </c>
    </row>
    <row r="180" ht="11.25" customHeight="1" spans="1:69" x14ac:dyDescent="0.25">
      <c r="A180" s="9">
        <v>421920000</v>
      </c>
      <c r="B180" s="9" t="s">
        <v>217</v>
      </c>
      <c r="C180" s="34">
        <f>IFERROR(VLOOKUP("1_"&amp;A180,SyS!$B:$P,10,FALSE()),0)</f>
      </c>
      <c r="D180" s="35">
        <f>IFERROR(VLOOKUP("1_"&amp;A180,SyS!$B:$P,12,FALSE()),0)</f>
      </c>
      <c r="E180" s="35">
        <f>+C180-D180</f>
      </c>
      <c r="F180" s="34">
        <f>IFERROR(VLOOKUP("2_"&amp;A180,SyS!$B:$P,10,FALSE()),0)</f>
      </c>
      <c r="G180" s="35">
        <f>IFERROR(VLOOKUP("2_"&amp;A180,SyS!$B:$P,12,FALSE()),0)</f>
      </c>
      <c r="H180" s="36">
        <f>+F180-G180</f>
      </c>
      <c r="I180" s="35"/>
      <c r="J180" s="35"/>
      <c r="K180" s="35"/>
      <c r="L180" s="35"/>
      <c r="M180" s="35"/>
      <c r="N180" s="35"/>
      <c r="O180" s="34">
        <f>IFERROR(VLOOKUP("14_"&amp;A180,SyS!$B:$P,10,FALSE()),0)</f>
      </c>
      <c r="P180" s="35">
        <f>IFERROR(VLOOKUP("14_"&amp;A180,SyS!$B:$P,12,FALSE()),0)</f>
      </c>
      <c r="Q180" s="36">
        <f>+O180-P180</f>
      </c>
      <c r="R180" s="34">
        <f>IFERROR(VLOOKUP("15_"&amp;A180,SyS!$B:$P,10,FALSE()),0)</f>
      </c>
      <c r="S180" s="35">
        <f>IFERROR(VLOOKUP("15_"&amp;A180,SyS!$B:$P,12,FALSE()),0)</f>
      </c>
      <c r="T180" s="36">
        <f>+R180-S180</f>
      </c>
      <c r="U180" s="34">
        <f>IFERROR(VLOOKUP("16_"&amp;A180,SyS!$B:$P,10,FALSE()),0)</f>
      </c>
      <c r="V180" s="35">
        <f>IFERROR(VLOOKUP("16_"&amp;A180,SyS!$B:$P,12,FALSE()),0)</f>
      </c>
      <c r="W180" s="36">
        <f>+U180-V180</f>
      </c>
      <c r="X180" s="34">
        <f>IFERROR(VLOOKUP("13_"&amp;A180,SyS!$B:$P,10,FALSE()),0)</f>
      </c>
      <c r="Y180" s="35">
        <f>IFERROR(VLOOKUP("13_"&amp;A180,SyS!$B:$P,12,FALSE()),0)</f>
      </c>
      <c r="Z180" s="36">
        <f>+X180-Y180</f>
      </c>
      <c r="AA180" s="34">
        <f>IFERROR(VLOOKUP("17_"&amp;A180,SyS!$B:$P,10,FALSE()),0)</f>
      </c>
      <c r="AB180" s="35">
        <f>IFERROR(VLOOKUP("17_"&amp;A180,SyS!$B:$P,12,FALSE()),0)</f>
      </c>
      <c r="AC180" s="36">
        <f>+AA180-AB180</f>
      </c>
      <c r="AD180" s="35"/>
      <c r="AE180" s="35"/>
      <c r="AF180" s="35"/>
      <c r="AG180" s="35">
        <f>IFERROR(VLOOKUP("19_"&amp;A180,SyS!$B:$P,10,FALSE()),0)</f>
      </c>
      <c r="AH180" s="35">
        <f>IFERROR(VLOOKUP("19_"&amp;A180,SyS!$B:$P,12,FALSE()),0)</f>
      </c>
      <c r="AI180" s="35">
        <f>+AG180-AH180</f>
      </c>
      <c r="AJ180" s="35"/>
      <c r="AK180" s="35"/>
      <c r="AL180" s="35"/>
      <c r="AM180" s="34">
        <f>IFERROR(VLOOKUP("23_"&amp;A180,SyS!$B:$P,10,FALSE()),0)</f>
      </c>
      <c r="AN180" s="35">
        <f>IFERROR(VLOOKUP("23_"&amp;A180,SyS!$B:$P,12,FALSE()),0)</f>
      </c>
      <c r="AO180" s="36">
        <f>+AM180-AN180</f>
      </c>
      <c r="AP180" s="40"/>
      <c r="AQ180" s="40"/>
      <c r="AR180" s="40"/>
      <c r="AS180" s="40"/>
      <c r="AT180" s="40"/>
      <c r="AU180" s="40"/>
      <c r="AV180" s="40"/>
      <c r="AW180" s="40"/>
      <c r="AX180" s="40"/>
      <c r="AY180" s="40"/>
      <c r="AZ180" s="40"/>
      <c r="BA180" s="40"/>
      <c r="BB180" s="40"/>
      <c r="BC180" s="40"/>
      <c r="BD180" s="40"/>
      <c r="BE180" s="40"/>
      <c r="BF180" s="40"/>
      <c r="BG180" s="40"/>
      <c r="BH180" s="40"/>
      <c r="BI180" s="40"/>
      <c r="BJ180" s="40"/>
      <c r="BK180" s="40">
        <f>IFERROR(VLOOKUP("29_"&amp;A180,SyS!$B:$P,10,FALSE()),0)</f>
      </c>
      <c r="BL180" s="40">
        <f>IFERROR(VLOOKUP("29_"&amp;A180,SyS!$B:$P,12,FALSE()),0)</f>
      </c>
      <c r="BM180" s="40">
        <f>+BK180-BL180</f>
      </c>
      <c r="BN180" s="42">
        <f>IFERROR(VLOOKUP("30_"&amp;A180,SyS!$B:$P,10,FALSE()),0)</f>
      </c>
      <c r="BO180" s="40">
        <f>IFERROR(VLOOKUP("30_"&amp;A180,SyS!$B:$P,12,FALSE()),0)</f>
      </c>
      <c r="BP180" s="43">
        <f>+BN180-BO180</f>
      </c>
      <c r="BQ180" s="44">
        <f>+E180+H180+K180+N180+Q180+T180+W180+Z180+AC180+AF180+AI180+AL180+AO180+AR180+AU180+AX180+BA180+BD180+BG180+BJ180+BM180+BP180</f>
      </c>
    </row>
    <row r="181" ht="11.25" customHeight="1" spans="1:69" x14ac:dyDescent="0.25">
      <c r="A181" s="9">
        <v>421930000</v>
      </c>
      <c r="B181" s="9" t="s">
        <v>218</v>
      </c>
      <c r="C181" s="34">
        <f>IFERROR(VLOOKUP("1_"&amp;A181,SyS!$B:$P,10,FALSE()),0)</f>
      </c>
      <c r="D181" s="35">
        <f>IFERROR(VLOOKUP("1_"&amp;A181,SyS!$B:$P,12,FALSE()),0)</f>
      </c>
      <c r="E181" s="35">
        <f>+C181-D181</f>
      </c>
      <c r="F181" s="34">
        <f>IFERROR(VLOOKUP("2_"&amp;A181,SyS!$B:$P,10,FALSE()),0)</f>
      </c>
      <c r="G181" s="35">
        <f>IFERROR(VLOOKUP("2_"&amp;A181,SyS!$B:$P,12,FALSE()),0)</f>
      </c>
      <c r="H181" s="36">
        <f>+F181-G181</f>
      </c>
      <c r="I181" s="35"/>
      <c r="J181" s="35"/>
      <c r="K181" s="35"/>
      <c r="L181" s="35"/>
      <c r="M181" s="35"/>
      <c r="N181" s="35"/>
      <c r="O181" s="34">
        <f>IFERROR(VLOOKUP("14_"&amp;A181,SyS!$B:$P,10,FALSE()),0)</f>
      </c>
      <c r="P181" s="35">
        <f>IFERROR(VLOOKUP("14_"&amp;A181,SyS!$B:$P,12,FALSE()),0)</f>
      </c>
      <c r="Q181" s="36">
        <f>+O181-P181</f>
      </c>
      <c r="R181" s="34">
        <f>IFERROR(VLOOKUP("15_"&amp;A181,SyS!$B:$P,10,FALSE()),0)</f>
      </c>
      <c r="S181" s="35">
        <f>IFERROR(VLOOKUP("15_"&amp;A181,SyS!$B:$P,12,FALSE()),0)</f>
      </c>
      <c r="T181" s="36">
        <f>+R181-S181</f>
      </c>
      <c r="U181" s="34">
        <f>IFERROR(VLOOKUP("16_"&amp;A181,SyS!$B:$P,10,FALSE()),0)</f>
      </c>
      <c r="V181" s="35">
        <f>IFERROR(VLOOKUP("16_"&amp;A181,SyS!$B:$P,12,FALSE()),0)</f>
      </c>
      <c r="W181" s="36">
        <f>+U181-V181</f>
      </c>
      <c r="X181" s="34">
        <f>IFERROR(VLOOKUP("13_"&amp;A181,SyS!$B:$P,10,FALSE()),0)</f>
      </c>
      <c r="Y181" s="35">
        <f>IFERROR(VLOOKUP("13_"&amp;A181,SyS!$B:$P,12,FALSE()),0)</f>
      </c>
      <c r="Z181" s="36">
        <f>+X181-Y181</f>
      </c>
      <c r="AA181" s="34">
        <f>IFERROR(VLOOKUP("17_"&amp;A181,SyS!$B:$P,10,FALSE()),0)</f>
      </c>
      <c r="AB181" s="35">
        <f>IFERROR(VLOOKUP("17_"&amp;A181,SyS!$B:$P,12,FALSE()),0)</f>
      </c>
      <c r="AC181" s="36">
        <f>+AA181-AB181</f>
      </c>
      <c r="AD181" s="35"/>
      <c r="AE181" s="35"/>
      <c r="AF181" s="35"/>
      <c r="AG181" s="35">
        <f>IFERROR(VLOOKUP("19_"&amp;A181,SyS!$B:$P,10,FALSE()),0)</f>
      </c>
      <c r="AH181" s="35">
        <f>IFERROR(VLOOKUP("19_"&amp;A181,SyS!$B:$P,12,FALSE()),0)</f>
      </c>
      <c r="AI181" s="35">
        <f>+AG181-AH181</f>
      </c>
      <c r="AJ181" s="35"/>
      <c r="AK181" s="35"/>
      <c r="AL181" s="35"/>
      <c r="AM181" s="34">
        <f>IFERROR(VLOOKUP("23_"&amp;A181,SyS!$B:$P,10,FALSE()),0)</f>
      </c>
      <c r="AN181" s="35">
        <f>IFERROR(VLOOKUP("23_"&amp;A181,SyS!$B:$P,12,FALSE()),0)</f>
      </c>
      <c r="AO181" s="36">
        <f>+AM181-AN181</f>
      </c>
      <c r="AP181" s="40"/>
      <c r="AQ181" s="40"/>
      <c r="AR181" s="40"/>
      <c r="AS181" s="40"/>
      <c r="AT181" s="40"/>
      <c r="AU181" s="40"/>
      <c r="AV181" s="40"/>
      <c r="AW181" s="40"/>
      <c r="AX181" s="40"/>
      <c r="AY181" s="40"/>
      <c r="AZ181" s="40"/>
      <c r="BA181" s="40"/>
      <c r="BB181" s="40"/>
      <c r="BC181" s="40"/>
      <c r="BD181" s="40"/>
      <c r="BE181" s="40"/>
      <c r="BF181" s="40"/>
      <c r="BG181" s="40"/>
      <c r="BH181" s="40"/>
      <c r="BI181" s="40"/>
      <c r="BJ181" s="40"/>
      <c r="BK181" s="40">
        <f>IFERROR(VLOOKUP("29_"&amp;A181,SyS!$B:$P,10,FALSE()),0)</f>
      </c>
      <c r="BL181" s="40">
        <f>IFERROR(VLOOKUP("29_"&amp;A181,SyS!$B:$P,12,FALSE()),0)</f>
      </c>
      <c r="BM181" s="40">
        <f>+BK181-BL181</f>
      </c>
      <c r="BN181" s="42">
        <f>IFERROR(VLOOKUP("30_"&amp;A181,SyS!$B:$P,10,FALSE()),0)</f>
      </c>
      <c r="BO181" s="40">
        <f>IFERROR(VLOOKUP("30_"&amp;A181,SyS!$B:$P,12,FALSE()),0)</f>
      </c>
      <c r="BP181" s="43">
        <f>+BN181-BO181</f>
      </c>
      <c r="BQ181" s="44">
        <f>+E181+H181+K181+N181+Q181+T181+W181+Z181+AC181+AF181+AI181+AL181+AO181+AR181+AU181+AX181+BA181+BD181+BG181+BJ181+BM181+BP181</f>
      </c>
    </row>
    <row r="182" ht="11.25" customHeight="1" spans="1:69" x14ac:dyDescent="0.25">
      <c r="A182" s="9">
        <v>421540000</v>
      </c>
      <c r="B182" s="9" t="s">
        <v>219</v>
      </c>
      <c r="C182" s="34">
        <f>IFERROR(VLOOKUP("1_"&amp;A182,SyS!$B:$P,10,FALSE()),0)</f>
      </c>
      <c r="D182" s="35">
        <f>IFERROR(VLOOKUP("1_"&amp;A182,SyS!$B:$P,12,FALSE()),0)</f>
      </c>
      <c r="E182" s="35">
        <f>+C182-D182</f>
      </c>
      <c r="F182" s="34">
        <f>IFERROR(VLOOKUP("2_"&amp;A182,SyS!$B:$P,10,FALSE()),0)</f>
      </c>
      <c r="G182" s="35">
        <f>IFERROR(VLOOKUP("2_"&amp;A182,SyS!$B:$P,12,FALSE()),0)</f>
      </c>
      <c r="H182" s="36">
        <f>+F182-G182</f>
      </c>
      <c r="I182" s="35"/>
      <c r="J182" s="35"/>
      <c r="K182" s="35"/>
      <c r="L182" s="35"/>
      <c r="M182" s="35"/>
      <c r="N182" s="35"/>
      <c r="O182" s="34">
        <f>IFERROR(VLOOKUP("14_"&amp;A182,SyS!$B:$P,10,FALSE()),0)</f>
      </c>
      <c r="P182" s="35">
        <f>IFERROR(VLOOKUP("14_"&amp;A182,SyS!$B:$P,12,FALSE()),0)</f>
      </c>
      <c r="Q182" s="36">
        <f>+O182-P182</f>
      </c>
      <c r="R182" s="34">
        <f>IFERROR(VLOOKUP("15_"&amp;A182,SyS!$B:$P,10,FALSE()),0)</f>
      </c>
      <c r="S182" s="35">
        <f>IFERROR(VLOOKUP("15_"&amp;A182,SyS!$B:$P,12,FALSE()),0)</f>
      </c>
      <c r="T182" s="36">
        <f>+R182-S182</f>
      </c>
      <c r="U182" s="34">
        <f>IFERROR(VLOOKUP("16_"&amp;A182,SyS!$B:$P,10,FALSE()),0)</f>
      </c>
      <c r="V182" s="35">
        <f>IFERROR(VLOOKUP("16_"&amp;A182,SyS!$B:$P,12,FALSE()),0)</f>
      </c>
      <c r="W182" s="36">
        <f>+U182-V182</f>
      </c>
      <c r="X182" s="34">
        <f>IFERROR(VLOOKUP("13_"&amp;A182,SyS!$B:$P,10,FALSE()),0)</f>
      </c>
      <c r="Y182" s="35">
        <f>IFERROR(VLOOKUP("13_"&amp;A182,SyS!$B:$P,12,FALSE()),0)</f>
      </c>
      <c r="Z182" s="36">
        <f>+X182-Y182</f>
      </c>
      <c r="AA182" s="34">
        <f>IFERROR(VLOOKUP("17_"&amp;A182,SyS!$B:$P,10,FALSE()),0)</f>
      </c>
      <c r="AB182" s="35">
        <f>IFERROR(VLOOKUP("17_"&amp;A182,SyS!$B:$P,12,FALSE()),0)</f>
      </c>
      <c r="AC182" s="36">
        <f>+AA182-AB182</f>
      </c>
      <c r="AD182" s="35"/>
      <c r="AE182" s="35"/>
      <c r="AF182" s="35"/>
      <c r="AG182" s="35">
        <f>IFERROR(VLOOKUP("19_"&amp;A182,SyS!$B:$P,10,FALSE()),0)</f>
      </c>
      <c r="AH182" s="35">
        <f>IFERROR(VLOOKUP("19_"&amp;A182,SyS!$B:$P,12,FALSE()),0)</f>
      </c>
      <c r="AI182" s="35">
        <f>+AG182-AH182</f>
      </c>
      <c r="AJ182" s="35"/>
      <c r="AK182" s="35"/>
      <c r="AL182" s="35"/>
      <c r="AM182" s="34">
        <f>IFERROR(VLOOKUP("23_"&amp;A182,SyS!$B:$P,10,FALSE()),0)</f>
      </c>
      <c r="AN182" s="35">
        <f>IFERROR(VLOOKUP("23_"&amp;A182,SyS!$B:$P,12,FALSE()),0)</f>
      </c>
      <c r="AO182" s="36">
        <f>+AM182-AN182</f>
      </c>
      <c r="AP182" s="40"/>
      <c r="AQ182" s="40"/>
      <c r="AR182" s="40"/>
      <c r="AS182" s="40"/>
      <c r="AT182" s="40"/>
      <c r="AU182" s="40"/>
      <c r="AV182" s="40"/>
      <c r="AW182" s="40"/>
      <c r="AX182" s="40"/>
      <c r="AY182" s="40"/>
      <c r="AZ182" s="40"/>
      <c r="BA182" s="40"/>
      <c r="BB182" s="40"/>
      <c r="BC182" s="40"/>
      <c r="BD182" s="40"/>
      <c r="BE182" s="40"/>
      <c r="BF182" s="40"/>
      <c r="BG182" s="40"/>
      <c r="BH182" s="40"/>
      <c r="BI182" s="40"/>
      <c r="BJ182" s="40"/>
      <c r="BK182" s="40">
        <f>IFERROR(VLOOKUP("29_"&amp;A182,SyS!$B:$P,10,FALSE()),0)</f>
      </c>
      <c r="BL182" s="40">
        <f>IFERROR(VLOOKUP("29_"&amp;A182,SyS!$B:$P,12,FALSE()),0)</f>
      </c>
      <c r="BM182" s="40">
        <f>+BK182-BL182</f>
      </c>
      <c r="BN182" s="42">
        <f>IFERROR(VLOOKUP("30_"&amp;A182,SyS!$B:$P,10,FALSE()),0)</f>
      </c>
      <c r="BO182" s="40">
        <f>IFERROR(VLOOKUP("30_"&amp;A182,SyS!$B:$P,12,FALSE()),0)</f>
      </c>
      <c r="BP182" s="43">
        <f>+BN182-BO182</f>
      </c>
      <c r="BQ182" s="44">
        <f>+E182+H182+K182+N182+Q182+T182+W182+Z182+AC182+AF182+AI182+AL182+AO182+AR182+AU182+AX182+BA182+BD182+BG182+BJ182+BM182+BP182</f>
      </c>
    </row>
    <row r="183" ht="11.25" customHeight="1" spans="1:69" x14ac:dyDescent="0.25">
      <c r="A183" s="9">
        <v>426640000</v>
      </c>
      <c r="B183" s="9" t="s">
        <v>220</v>
      </c>
      <c r="C183" s="34">
        <f>IFERROR(VLOOKUP("1_"&amp;A183,SyS!$B:$P,10,FALSE()),0)</f>
      </c>
      <c r="D183" s="35">
        <f>IFERROR(VLOOKUP("1_"&amp;A183,SyS!$B:$P,12,FALSE()),0)</f>
      </c>
      <c r="E183" s="35">
        <f>+C183-D183</f>
      </c>
      <c r="F183" s="34">
        <f>IFERROR(VLOOKUP("2_"&amp;A183,SyS!$B:$P,10,FALSE()),0)</f>
      </c>
      <c r="G183" s="35">
        <f>IFERROR(VLOOKUP("2_"&amp;A183,SyS!$B:$P,12,FALSE()),0)</f>
      </c>
      <c r="H183" s="36">
        <f>+F183-G183</f>
      </c>
      <c r="I183" s="35"/>
      <c r="J183" s="35"/>
      <c r="K183" s="35"/>
      <c r="L183" s="35"/>
      <c r="M183" s="35"/>
      <c r="N183" s="35"/>
      <c r="O183" s="34">
        <f>IFERROR(VLOOKUP("14_"&amp;A183,SyS!$B:$P,10,FALSE()),0)</f>
      </c>
      <c r="P183" s="35">
        <f>IFERROR(VLOOKUP("14_"&amp;A183,SyS!$B:$P,12,FALSE()),0)</f>
      </c>
      <c r="Q183" s="36">
        <f>+O183-P183</f>
      </c>
      <c r="R183" s="34">
        <f>IFERROR(VLOOKUP("15_"&amp;A183,SyS!$B:$P,10,FALSE()),0)</f>
      </c>
      <c r="S183" s="35">
        <f>IFERROR(VLOOKUP("15_"&amp;A183,SyS!$B:$P,12,FALSE()),0)</f>
      </c>
      <c r="T183" s="36">
        <f>+R183-S183</f>
      </c>
      <c r="U183" s="34">
        <f>IFERROR(VLOOKUP("16_"&amp;A183,SyS!$B:$P,10,FALSE()),0)</f>
      </c>
      <c r="V183" s="35">
        <f>IFERROR(VLOOKUP("16_"&amp;A183,SyS!$B:$P,12,FALSE()),0)</f>
      </c>
      <c r="W183" s="36">
        <f>+U183-V183</f>
      </c>
      <c r="X183" s="34">
        <f>IFERROR(VLOOKUP("13_"&amp;A183,SyS!$B:$P,10,FALSE()),0)</f>
      </c>
      <c r="Y183" s="35">
        <f>IFERROR(VLOOKUP("13_"&amp;A183,SyS!$B:$P,12,FALSE()),0)</f>
      </c>
      <c r="Z183" s="36">
        <f>+X183-Y183</f>
      </c>
      <c r="AA183" s="34">
        <f>IFERROR(VLOOKUP("17_"&amp;A183,SyS!$B:$P,10,FALSE()),0)</f>
      </c>
      <c r="AB183" s="35">
        <f>IFERROR(VLOOKUP("17_"&amp;A183,SyS!$B:$P,12,FALSE()),0)</f>
      </c>
      <c r="AC183" s="36">
        <f>+AA183-AB183</f>
      </c>
      <c r="AD183" s="35"/>
      <c r="AE183" s="35"/>
      <c r="AF183" s="35"/>
      <c r="AG183" s="35">
        <f>IFERROR(VLOOKUP("19_"&amp;A183,SyS!$B:$P,10,FALSE()),0)</f>
      </c>
      <c r="AH183" s="35">
        <f>IFERROR(VLOOKUP("19_"&amp;A183,SyS!$B:$P,12,FALSE()),0)</f>
      </c>
      <c r="AI183" s="35">
        <f>+AG183-AH183</f>
      </c>
      <c r="AJ183" s="35"/>
      <c r="AK183" s="35"/>
      <c r="AL183" s="35"/>
      <c r="AM183" s="34">
        <f>IFERROR(VLOOKUP("23_"&amp;A183,SyS!$B:$P,10,FALSE()),0)</f>
      </c>
      <c r="AN183" s="35">
        <f>IFERROR(VLOOKUP("23_"&amp;A183,SyS!$B:$P,12,FALSE()),0)</f>
      </c>
      <c r="AO183" s="36">
        <f>+AM183-AN183</f>
      </c>
      <c r="AP183" s="40"/>
      <c r="AQ183" s="40"/>
      <c r="AR183" s="40"/>
      <c r="AS183" s="40"/>
      <c r="AT183" s="40"/>
      <c r="AU183" s="40"/>
      <c r="AV183" s="40"/>
      <c r="AW183" s="40"/>
      <c r="AX183" s="40"/>
      <c r="AY183" s="40"/>
      <c r="AZ183" s="40"/>
      <c r="BA183" s="40"/>
      <c r="BB183" s="40"/>
      <c r="BC183" s="40"/>
      <c r="BD183" s="40"/>
      <c r="BE183" s="40"/>
      <c r="BF183" s="40"/>
      <c r="BG183" s="40"/>
      <c r="BH183" s="40"/>
      <c r="BI183" s="40"/>
      <c r="BJ183" s="40"/>
      <c r="BK183" s="40">
        <f>IFERROR(VLOOKUP("29_"&amp;A183,SyS!$B:$P,10,FALSE()),0)</f>
      </c>
      <c r="BL183" s="40">
        <f>IFERROR(VLOOKUP("29_"&amp;A183,SyS!$B:$P,12,FALSE()),0)</f>
      </c>
      <c r="BM183" s="40">
        <f>+BK183-BL183</f>
      </c>
      <c r="BN183" s="42">
        <f>IFERROR(VLOOKUP("30_"&amp;A183,SyS!$B:$P,10,FALSE()),0)</f>
      </c>
      <c r="BO183" s="40">
        <f>IFERROR(VLOOKUP("30_"&amp;A183,SyS!$B:$P,12,FALSE()),0)</f>
      </c>
      <c r="BP183" s="43">
        <f>+BN183-BO183</f>
      </c>
      <c r="BQ183" s="44">
        <f>+E183+H183+K183+N183+Q183+T183+W183+Z183+AC183+AF183+AI183+AL183+AO183+AR183+AU183+AX183+BA183+BD183+BG183+BJ183+BM183+BP183</f>
      </c>
    </row>
    <row r="184" ht="11.25" customHeight="1" spans="1:69" x14ac:dyDescent="0.25">
      <c r="A184" s="9">
        <v>426810000</v>
      </c>
      <c r="B184" s="9" t="s">
        <v>221</v>
      </c>
      <c r="C184" s="34">
        <f>IFERROR(VLOOKUP("1_"&amp;A184,SyS!$B:$P,10,FALSE()),0)</f>
      </c>
      <c r="D184" s="35">
        <f>IFERROR(VLOOKUP("1_"&amp;A184,SyS!$B:$P,12,FALSE()),0)</f>
      </c>
      <c r="E184" s="35">
        <f>+C184-D184</f>
      </c>
      <c r="F184" s="34">
        <f>IFERROR(VLOOKUP("2_"&amp;A184,SyS!$B:$P,10,FALSE()),0)</f>
      </c>
      <c r="G184" s="35">
        <f>IFERROR(VLOOKUP("2_"&amp;A184,SyS!$B:$P,12,FALSE()),0)</f>
      </c>
      <c r="H184" s="36">
        <f>+F184-G184</f>
      </c>
      <c r="I184" s="35"/>
      <c r="J184" s="35"/>
      <c r="K184" s="35"/>
      <c r="L184" s="35"/>
      <c r="M184" s="35"/>
      <c r="N184" s="35"/>
      <c r="O184" s="34">
        <f>IFERROR(VLOOKUP("14_"&amp;A184,SyS!$B:$P,10,FALSE()),0)</f>
      </c>
      <c r="P184" s="35">
        <f>IFERROR(VLOOKUP("14_"&amp;A184,SyS!$B:$P,12,FALSE()),0)</f>
      </c>
      <c r="Q184" s="36">
        <f>+O184-P184</f>
      </c>
      <c r="R184" s="34">
        <f>IFERROR(VLOOKUP("15_"&amp;A184,SyS!$B:$P,10,FALSE()),0)</f>
      </c>
      <c r="S184" s="35">
        <f>IFERROR(VLOOKUP("15_"&amp;A184,SyS!$B:$P,12,FALSE()),0)</f>
      </c>
      <c r="T184" s="36">
        <f>+R184-S184</f>
      </c>
      <c r="U184" s="34">
        <f>IFERROR(VLOOKUP("16_"&amp;A184,SyS!$B:$P,10,FALSE()),0)</f>
      </c>
      <c r="V184" s="35">
        <f>IFERROR(VLOOKUP("16_"&amp;A184,SyS!$B:$P,12,FALSE()),0)</f>
      </c>
      <c r="W184" s="36">
        <f>+U184-V184</f>
      </c>
      <c r="X184" s="34">
        <f>IFERROR(VLOOKUP("13_"&amp;A184,SyS!$B:$P,10,FALSE()),0)</f>
      </c>
      <c r="Y184" s="35">
        <f>IFERROR(VLOOKUP("13_"&amp;A184,SyS!$B:$P,12,FALSE()),0)</f>
      </c>
      <c r="Z184" s="36">
        <f>+X184-Y184</f>
      </c>
      <c r="AA184" s="34">
        <f>IFERROR(VLOOKUP("17_"&amp;A184,SyS!$B:$P,10,FALSE()),0)</f>
      </c>
      <c r="AB184" s="35">
        <f>IFERROR(VLOOKUP("17_"&amp;A184,SyS!$B:$P,12,FALSE()),0)</f>
      </c>
      <c r="AC184" s="36">
        <f>+AA184-AB184</f>
      </c>
      <c r="AD184" s="35"/>
      <c r="AE184" s="35"/>
      <c r="AF184" s="35"/>
      <c r="AG184" s="35">
        <f>IFERROR(VLOOKUP("19_"&amp;A184,SyS!$B:$P,10,FALSE()),0)</f>
      </c>
      <c r="AH184" s="35">
        <f>IFERROR(VLOOKUP("19_"&amp;A184,SyS!$B:$P,12,FALSE()),0)</f>
      </c>
      <c r="AI184" s="35">
        <f>+AG184-AH184</f>
      </c>
      <c r="AJ184" s="35"/>
      <c r="AK184" s="35"/>
      <c r="AL184" s="35"/>
      <c r="AM184" s="34">
        <f>IFERROR(VLOOKUP("23_"&amp;A184,SyS!$B:$P,10,FALSE()),0)</f>
      </c>
      <c r="AN184" s="35">
        <f>IFERROR(VLOOKUP("23_"&amp;A184,SyS!$B:$P,12,FALSE()),0)</f>
      </c>
      <c r="AO184" s="36">
        <f>+AM184-AN184</f>
      </c>
      <c r="AP184" s="40"/>
      <c r="AQ184" s="40"/>
      <c r="AR184" s="40"/>
      <c r="AS184" s="40"/>
      <c r="AT184" s="40"/>
      <c r="AU184" s="40"/>
      <c r="AV184" s="40"/>
      <c r="AW184" s="40"/>
      <c r="AX184" s="40"/>
      <c r="AY184" s="40"/>
      <c r="AZ184" s="40"/>
      <c r="BA184" s="40"/>
      <c r="BB184" s="40"/>
      <c r="BC184" s="40"/>
      <c r="BD184" s="40"/>
      <c r="BE184" s="40"/>
      <c r="BF184" s="40"/>
      <c r="BG184" s="40"/>
      <c r="BH184" s="40"/>
      <c r="BI184" s="40"/>
      <c r="BJ184" s="40"/>
      <c r="BK184" s="40">
        <f>IFERROR(VLOOKUP("29_"&amp;A184,SyS!$B:$P,10,FALSE()),0)</f>
      </c>
      <c r="BL184" s="40">
        <f>IFERROR(VLOOKUP("29_"&amp;A184,SyS!$B:$P,12,FALSE()),0)</f>
      </c>
      <c r="BM184" s="40">
        <f>+BK184-BL184</f>
      </c>
      <c r="BN184" s="42">
        <f>IFERROR(VLOOKUP("30_"&amp;A184,SyS!$B:$P,10,FALSE()),0)</f>
      </c>
      <c r="BO184" s="40">
        <f>IFERROR(VLOOKUP("30_"&amp;A184,SyS!$B:$P,12,FALSE()),0)</f>
      </c>
      <c r="BP184" s="43">
        <f>+BN184-BO184</f>
      </c>
      <c r="BQ184" s="44">
        <f>+E184+H184+K184+N184+Q184+T184+W184+Z184+AC184+AF184+AI184+AL184+AO184+AR184+AU184+AX184+BA184+BD184+BG184+BJ184+BM184+BP184</f>
      </c>
    </row>
    <row r="185" ht="11.25" customHeight="1" spans="1:69" x14ac:dyDescent="0.25">
      <c r="A185" s="9">
        <v>426580000</v>
      </c>
      <c r="B185" s="9" t="s">
        <v>222</v>
      </c>
      <c r="C185" s="34">
        <f>IFERROR(VLOOKUP("1_"&amp;A185,SyS!$B:$P,10,FALSE()),0)</f>
      </c>
      <c r="D185" s="35">
        <f>IFERROR(VLOOKUP("1_"&amp;A185,SyS!$B:$P,12,FALSE()),0)</f>
      </c>
      <c r="E185" s="35">
        <f>+C185-D185</f>
      </c>
      <c r="F185" s="34">
        <f>IFERROR(VLOOKUP("2_"&amp;A185,SyS!$B:$P,10,FALSE()),0)</f>
      </c>
      <c r="G185" s="35">
        <f>IFERROR(VLOOKUP("2_"&amp;A185,SyS!$B:$P,12,FALSE()),0)</f>
      </c>
      <c r="H185" s="36">
        <f>+F185-G185</f>
      </c>
      <c r="I185" s="35"/>
      <c r="J185" s="35"/>
      <c r="K185" s="35"/>
      <c r="L185" s="35"/>
      <c r="M185" s="35"/>
      <c r="N185" s="35"/>
      <c r="O185" s="34">
        <f>IFERROR(VLOOKUP("14_"&amp;A185,SyS!$B:$P,10,FALSE()),0)</f>
      </c>
      <c r="P185" s="35">
        <f>IFERROR(VLOOKUP("14_"&amp;A185,SyS!$B:$P,12,FALSE()),0)</f>
      </c>
      <c r="Q185" s="36">
        <f>+O185-P185</f>
      </c>
      <c r="R185" s="34">
        <f>IFERROR(VLOOKUP("15_"&amp;A185,SyS!$B:$P,10,FALSE()),0)</f>
      </c>
      <c r="S185" s="35">
        <f>IFERROR(VLOOKUP("15_"&amp;A185,SyS!$B:$P,12,FALSE()),0)</f>
      </c>
      <c r="T185" s="36">
        <f>+R185-S185</f>
      </c>
      <c r="U185" s="34">
        <f>IFERROR(VLOOKUP("16_"&amp;A185,SyS!$B:$P,10,FALSE()),0)</f>
      </c>
      <c r="V185" s="35">
        <f>IFERROR(VLOOKUP("16_"&amp;A185,SyS!$B:$P,12,FALSE()),0)</f>
      </c>
      <c r="W185" s="36">
        <f>+U185-V185</f>
      </c>
      <c r="X185" s="34">
        <f>IFERROR(VLOOKUP("13_"&amp;A185,SyS!$B:$P,10,FALSE()),0)</f>
      </c>
      <c r="Y185" s="35">
        <f>IFERROR(VLOOKUP("13_"&amp;A185,SyS!$B:$P,12,FALSE()),0)</f>
      </c>
      <c r="Z185" s="36">
        <f>+X185-Y185</f>
      </c>
      <c r="AA185" s="34">
        <f>IFERROR(VLOOKUP("17_"&amp;A185,SyS!$B:$P,10,FALSE()),0)</f>
      </c>
      <c r="AB185" s="35">
        <f>IFERROR(VLOOKUP("17_"&amp;A185,SyS!$B:$P,12,FALSE()),0)</f>
      </c>
      <c r="AC185" s="36">
        <f>+AA185-AB185</f>
      </c>
      <c r="AD185" s="35"/>
      <c r="AE185" s="35"/>
      <c r="AF185" s="35"/>
      <c r="AG185" s="35">
        <f>IFERROR(VLOOKUP("19_"&amp;A185,SyS!$B:$P,10,FALSE()),0)</f>
      </c>
      <c r="AH185" s="35">
        <f>IFERROR(VLOOKUP("19_"&amp;A185,SyS!$B:$P,12,FALSE()),0)</f>
      </c>
      <c r="AI185" s="35">
        <f>+AG185-AH185</f>
      </c>
      <c r="AJ185" s="35"/>
      <c r="AK185" s="35"/>
      <c r="AL185" s="35"/>
      <c r="AM185" s="34">
        <f>IFERROR(VLOOKUP("23_"&amp;A185,SyS!$B:$P,10,FALSE()),0)</f>
      </c>
      <c r="AN185" s="35">
        <f>IFERROR(VLOOKUP("23_"&amp;A185,SyS!$B:$P,12,FALSE()),0)</f>
      </c>
      <c r="AO185" s="36">
        <f>+AM185-AN185</f>
      </c>
      <c r="AP185" s="40"/>
      <c r="AQ185" s="40"/>
      <c r="AR185" s="40"/>
      <c r="AS185" s="40"/>
      <c r="AT185" s="40"/>
      <c r="AU185" s="40"/>
      <c r="AV185" s="40"/>
      <c r="AW185" s="40"/>
      <c r="AX185" s="40"/>
      <c r="AY185" s="40"/>
      <c r="AZ185" s="40"/>
      <c r="BA185" s="40"/>
      <c r="BB185" s="40"/>
      <c r="BC185" s="40"/>
      <c r="BD185" s="40"/>
      <c r="BE185" s="40"/>
      <c r="BF185" s="40"/>
      <c r="BG185" s="40"/>
      <c r="BH185" s="40"/>
      <c r="BI185" s="40"/>
      <c r="BJ185" s="40"/>
      <c r="BK185" s="40">
        <f>IFERROR(VLOOKUP("29_"&amp;A185,SyS!$B:$P,10,FALSE()),0)</f>
      </c>
      <c r="BL185" s="40">
        <f>IFERROR(VLOOKUP("29_"&amp;A185,SyS!$B:$P,12,FALSE()),0)</f>
      </c>
      <c r="BM185" s="40">
        <f>+BK185-BL185</f>
      </c>
      <c r="BN185" s="42">
        <f>IFERROR(VLOOKUP("30_"&amp;A185,SyS!$B:$P,10,FALSE()),0)</f>
      </c>
      <c r="BO185" s="40">
        <f>IFERROR(VLOOKUP("30_"&amp;A185,SyS!$B:$P,12,FALSE()),0)</f>
      </c>
      <c r="BP185" s="43">
        <f>+BN185-BO185</f>
      </c>
      <c r="BQ185" s="44">
        <f>+E185+H185+K185+N185+Q185+T185+W185+Z185+AC185+AF185+AI185+AL185+AO185+AR185+AU185+AX185+BA185+BD185+BG185+BJ185+BM185+BP185</f>
      </c>
    </row>
    <row r="186" ht="11.25" customHeight="1" spans="1:69" x14ac:dyDescent="0.25">
      <c r="A186" s="9">
        <v>421970000</v>
      </c>
      <c r="B186" s="9" t="s">
        <v>223</v>
      </c>
      <c r="C186" s="34">
        <f>IFERROR(VLOOKUP("1_"&amp;A186,SyS!$B:$P,10,FALSE()),0)</f>
      </c>
      <c r="D186" s="35">
        <f>IFERROR(VLOOKUP("1_"&amp;A186,SyS!$B:$P,12,FALSE()),0)</f>
      </c>
      <c r="E186" s="35">
        <f>+C186-D186</f>
      </c>
      <c r="F186" s="34">
        <f>IFERROR(VLOOKUP("2_"&amp;A186,SyS!$B:$P,10,FALSE()),0)</f>
      </c>
      <c r="G186" s="35">
        <f>IFERROR(VLOOKUP("2_"&amp;A186,SyS!$B:$P,12,FALSE()),0)</f>
      </c>
      <c r="H186" s="36">
        <f>+F186-G186</f>
      </c>
      <c r="I186" s="35"/>
      <c r="J186" s="35"/>
      <c r="K186" s="35"/>
      <c r="L186" s="35"/>
      <c r="M186" s="35"/>
      <c r="N186" s="35"/>
      <c r="O186" s="34">
        <f>IFERROR(VLOOKUP("14_"&amp;A186,SyS!$B:$P,10,FALSE()),0)</f>
      </c>
      <c r="P186" s="35">
        <f>IFERROR(VLOOKUP("14_"&amp;A186,SyS!$B:$P,12,FALSE()),0)</f>
      </c>
      <c r="Q186" s="36">
        <f>+O186-P186</f>
      </c>
      <c r="R186" s="34">
        <f>IFERROR(VLOOKUP("15_"&amp;A186,SyS!$B:$P,10,FALSE()),0)</f>
      </c>
      <c r="S186" s="35">
        <f>IFERROR(VLOOKUP("15_"&amp;A186,SyS!$B:$P,12,FALSE()),0)</f>
      </c>
      <c r="T186" s="36">
        <f>+R186-S186</f>
      </c>
      <c r="U186" s="34">
        <f>IFERROR(VLOOKUP("16_"&amp;A186,SyS!$B:$P,10,FALSE()),0)</f>
      </c>
      <c r="V186" s="35">
        <f>IFERROR(VLOOKUP("16_"&amp;A186,SyS!$B:$P,12,FALSE()),0)</f>
      </c>
      <c r="W186" s="36">
        <f>+U186-V186</f>
      </c>
      <c r="X186" s="34">
        <f>IFERROR(VLOOKUP("13_"&amp;A186,SyS!$B:$P,10,FALSE()),0)</f>
      </c>
      <c r="Y186" s="35">
        <f>IFERROR(VLOOKUP("13_"&amp;A186,SyS!$B:$P,12,FALSE()),0)</f>
      </c>
      <c r="Z186" s="36">
        <f>+X186-Y186</f>
      </c>
      <c r="AA186" s="34">
        <f>IFERROR(VLOOKUP("17_"&amp;A186,SyS!$B:$P,10,FALSE()),0)</f>
      </c>
      <c r="AB186" s="35">
        <f>IFERROR(VLOOKUP("17_"&amp;A186,SyS!$B:$P,12,FALSE()),0)</f>
      </c>
      <c r="AC186" s="36">
        <f>+AA186-AB186</f>
      </c>
      <c r="AD186" s="35"/>
      <c r="AE186" s="35"/>
      <c r="AF186" s="35"/>
      <c r="AG186" s="35">
        <f>IFERROR(VLOOKUP("19_"&amp;A186,SyS!$B:$P,10,FALSE()),0)</f>
      </c>
      <c r="AH186" s="35">
        <f>IFERROR(VLOOKUP("19_"&amp;A186,SyS!$B:$P,12,FALSE()),0)</f>
      </c>
      <c r="AI186" s="35">
        <f>+AG186-AH186</f>
      </c>
      <c r="AJ186" s="35"/>
      <c r="AK186" s="35"/>
      <c r="AL186" s="35"/>
      <c r="AM186" s="34">
        <f>IFERROR(VLOOKUP("23_"&amp;A186,SyS!$B:$P,10,FALSE()),0)</f>
      </c>
      <c r="AN186" s="35">
        <f>IFERROR(VLOOKUP("23_"&amp;A186,SyS!$B:$P,12,FALSE()),0)</f>
      </c>
      <c r="AO186" s="36">
        <f>+AM186-AN186</f>
      </c>
      <c r="AP186" s="40"/>
      <c r="AQ186" s="40"/>
      <c r="AR186" s="40"/>
      <c r="AS186" s="40"/>
      <c r="AT186" s="40"/>
      <c r="AU186" s="40"/>
      <c r="AV186" s="40"/>
      <c r="AW186" s="40"/>
      <c r="AX186" s="40"/>
      <c r="AY186" s="40"/>
      <c r="AZ186" s="40"/>
      <c r="BA186" s="40"/>
      <c r="BB186" s="40"/>
      <c r="BC186" s="40"/>
      <c r="BD186" s="40"/>
      <c r="BE186" s="40"/>
      <c r="BF186" s="40"/>
      <c r="BG186" s="40"/>
      <c r="BH186" s="40"/>
      <c r="BI186" s="40"/>
      <c r="BJ186" s="40"/>
      <c r="BK186" s="40">
        <f>IFERROR(VLOOKUP("29_"&amp;A186,SyS!$B:$P,10,FALSE()),0)</f>
      </c>
      <c r="BL186" s="40">
        <f>IFERROR(VLOOKUP("29_"&amp;A186,SyS!$B:$P,12,FALSE()),0)</f>
      </c>
      <c r="BM186" s="40">
        <f>+BK186-BL186</f>
      </c>
      <c r="BN186" s="42">
        <f>IFERROR(VLOOKUP("30_"&amp;A186,SyS!$B:$P,10,FALSE()),0)</f>
      </c>
      <c r="BO186" s="40">
        <f>IFERROR(VLOOKUP("30_"&amp;A186,SyS!$B:$P,12,FALSE()),0)</f>
      </c>
      <c r="BP186" s="43">
        <f>+BN186-BO186</f>
      </c>
      <c r="BQ186" s="44">
        <f>+E186+H186+K186+N186+Q186+T186+W186+Z186+AC186+AF186+AI186+AL186+AO186+AR186+AU186+AX186+BA186+BD186+BG186+BJ186+BM186+BP186</f>
      </c>
    </row>
    <row r="187" ht="11.25" customHeight="1" spans="1:69" x14ac:dyDescent="0.25">
      <c r="A187" s="9">
        <v>431030000</v>
      </c>
      <c r="B187" s="9" t="s">
        <v>224</v>
      </c>
      <c r="C187" s="34">
        <f>IFERROR(VLOOKUP("1_"&amp;A187,SyS!$B:$P,10,FALSE()),0)</f>
      </c>
      <c r="D187" s="35">
        <f>IFERROR(VLOOKUP("1_"&amp;A187,SyS!$B:$P,12,FALSE()),0)</f>
      </c>
      <c r="E187" s="35">
        <f>+C187-D187</f>
      </c>
      <c r="F187" s="34">
        <f>IFERROR(VLOOKUP("2_"&amp;A187,SyS!$B:$P,10,FALSE()),0)</f>
      </c>
      <c r="G187" s="35">
        <f>IFERROR(VLOOKUP("2_"&amp;A187,SyS!$B:$P,12,FALSE()),0)</f>
      </c>
      <c r="H187" s="36">
        <f>+F187-G187</f>
      </c>
      <c r="I187" s="35"/>
      <c r="J187" s="35"/>
      <c r="K187" s="35"/>
      <c r="L187" s="35"/>
      <c r="M187" s="35"/>
      <c r="N187" s="35"/>
      <c r="O187" s="34">
        <f>IFERROR(VLOOKUP("14_"&amp;A187,SyS!$B:$P,10,FALSE()),0)</f>
      </c>
      <c r="P187" s="35">
        <f>IFERROR(VLOOKUP("14_"&amp;A187,SyS!$B:$P,12,FALSE()),0)</f>
      </c>
      <c r="Q187" s="36">
        <f>+O187-P187</f>
      </c>
      <c r="R187" s="34">
        <f>IFERROR(VLOOKUP("15_"&amp;A187,SyS!$B:$P,10,FALSE()),0)</f>
      </c>
      <c r="S187" s="35">
        <f>IFERROR(VLOOKUP("15_"&amp;A187,SyS!$B:$P,12,FALSE()),0)</f>
      </c>
      <c r="T187" s="36">
        <f>+R187-S187</f>
      </c>
      <c r="U187" s="34">
        <f>IFERROR(VLOOKUP("16_"&amp;A187,SyS!$B:$P,10,FALSE()),0)</f>
      </c>
      <c r="V187" s="35">
        <f>IFERROR(VLOOKUP("16_"&amp;A187,SyS!$B:$P,12,FALSE()),0)</f>
      </c>
      <c r="W187" s="36">
        <f>+U187-V187</f>
      </c>
      <c r="X187" s="34">
        <f>IFERROR(VLOOKUP("13_"&amp;A187,SyS!$B:$P,10,FALSE()),0)</f>
      </c>
      <c r="Y187" s="35">
        <f>IFERROR(VLOOKUP("13_"&amp;A187,SyS!$B:$P,12,FALSE()),0)</f>
      </c>
      <c r="Z187" s="36">
        <f>+X187-Y187</f>
      </c>
      <c r="AA187" s="34">
        <f>IFERROR(VLOOKUP("17_"&amp;A187,SyS!$B:$P,10,FALSE()),0)</f>
      </c>
      <c r="AB187" s="35">
        <f>IFERROR(VLOOKUP("17_"&amp;A187,SyS!$B:$P,12,FALSE()),0)</f>
      </c>
      <c r="AC187" s="36">
        <f>+AA187-AB187</f>
      </c>
      <c r="AD187" s="35"/>
      <c r="AE187" s="35"/>
      <c r="AF187" s="35"/>
      <c r="AG187" s="35">
        <f>IFERROR(VLOOKUP("19_"&amp;A187,SyS!$B:$P,10,FALSE()),0)</f>
      </c>
      <c r="AH187" s="35">
        <f>IFERROR(VLOOKUP("19_"&amp;A187,SyS!$B:$P,12,FALSE()),0)</f>
      </c>
      <c r="AI187" s="35">
        <f>+AG187-AH187</f>
      </c>
      <c r="AJ187" s="35"/>
      <c r="AK187" s="35"/>
      <c r="AL187" s="35"/>
      <c r="AM187" s="34">
        <f>IFERROR(VLOOKUP("23_"&amp;A187,SyS!$B:$P,10,FALSE()),0)</f>
      </c>
      <c r="AN187" s="35">
        <f>IFERROR(VLOOKUP("23_"&amp;A187,SyS!$B:$P,12,FALSE()),0)</f>
      </c>
      <c r="AO187" s="36">
        <f>+AM187-AN187</f>
      </c>
      <c r="AP187" s="40"/>
      <c r="AQ187" s="40"/>
      <c r="AR187" s="40"/>
      <c r="AS187" s="40"/>
      <c r="AT187" s="40"/>
      <c r="AU187" s="40"/>
      <c r="AV187" s="40"/>
      <c r="AW187" s="40"/>
      <c r="AX187" s="40"/>
      <c r="AY187" s="40"/>
      <c r="AZ187" s="40"/>
      <c r="BA187" s="40"/>
      <c r="BB187" s="40"/>
      <c r="BC187" s="40"/>
      <c r="BD187" s="40"/>
      <c r="BE187" s="40"/>
      <c r="BF187" s="40"/>
      <c r="BG187" s="40"/>
      <c r="BH187" s="40"/>
      <c r="BI187" s="40"/>
      <c r="BJ187" s="40"/>
      <c r="BK187" s="40">
        <f>IFERROR(VLOOKUP("29_"&amp;A187,SyS!$B:$P,10,FALSE()),0)</f>
      </c>
      <c r="BL187" s="40">
        <f>IFERROR(VLOOKUP("29_"&amp;A187,SyS!$B:$P,12,FALSE()),0)</f>
      </c>
      <c r="BM187" s="40">
        <f>+BK187-BL187</f>
      </c>
      <c r="BN187" s="42">
        <f>IFERROR(VLOOKUP("30_"&amp;A187,SyS!$B:$P,10,FALSE()),0)</f>
      </c>
      <c r="BO187" s="40">
        <f>IFERROR(VLOOKUP("30_"&amp;A187,SyS!$B:$P,12,FALSE()),0)</f>
      </c>
      <c r="BP187" s="43">
        <f>+BN187-BO187</f>
      </c>
      <c r="BQ187" s="44">
        <f>+E187+H187+K187+N187+Q187+T187+W187+Z187+AC187+AF187+AI187+AL187+AO187+AR187+AU187+AX187+BA187+BD187+BG187+BJ187+BM187+BP187</f>
      </c>
    </row>
    <row r="188" ht="11.25" customHeight="1" spans="1:69" x14ac:dyDescent="0.25">
      <c r="A188" s="9">
        <v>421980000</v>
      </c>
      <c r="B188" s="9" t="s">
        <v>225</v>
      </c>
      <c r="C188" s="34">
        <f>IFERROR(VLOOKUP("1_"&amp;A188,SyS!$B:$P,10,FALSE()),0)</f>
      </c>
      <c r="D188" s="35">
        <f>IFERROR(VLOOKUP("1_"&amp;A188,SyS!$B:$P,12,FALSE()),0)</f>
      </c>
      <c r="E188" s="35">
        <f>+C188-D188</f>
      </c>
      <c r="F188" s="34">
        <f>IFERROR(VLOOKUP("2_"&amp;A188,SyS!$B:$P,10,FALSE()),0)</f>
      </c>
      <c r="G188" s="35">
        <f>IFERROR(VLOOKUP("2_"&amp;A188,SyS!$B:$P,12,FALSE()),0)</f>
      </c>
      <c r="H188" s="36">
        <f>+F188-G188</f>
      </c>
      <c r="I188" s="35"/>
      <c r="J188" s="35"/>
      <c r="K188" s="35"/>
      <c r="L188" s="35"/>
      <c r="M188" s="35"/>
      <c r="N188" s="35"/>
      <c r="O188" s="34">
        <f>IFERROR(VLOOKUP("14_"&amp;A188,SyS!$B:$P,10,FALSE()),0)</f>
      </c>
      <c r="P188" s="35">
        <f>IFERROR(VLOOKUP("14_"&amp;A188,SyS!$B:$P,12,FALSE()),0)</f>
      </c>
      <c r="Q188" s="36">
        <f>+O188-P188</f>
      </c>
      <c r="R188" s="34">
        <f>IFERROR(VLOOKUP("15_"&amp;A188,SyS!$B:$P,10,FALSE()),0)</f>
      </c>
      <c r="S188" s="35">
        <f>IFERROR(VLOOKUP("15_"&amp;A188,SyS!$B:$P,12,FALSE()),0)</f>
      </c>
      <c r="T188" s="36">
        <f>+R188-S188</f>
      </c>
      <c r="U188" s="34">
        <f>IFERROR(VLOOKUP("16_"&amp;A188,SyS!$B:$P,10,FALSE()),0)</f>
      </c>
      <c r="V188" s="35">
        <f>IFERROR(VLOOKUP("16_"&amp;A188,SyS!$B:$P,12,FALSE()),0)</f>
      </c>
      <c r="W188" s="36">
        <f>+U188-V188</f>
      </c>
      <c r="X188" s="34">
        <f>IFERROR(VLOOKUP("13_"&amp;A188,SyS!$B:$P,10,FALSE()),0)</f>
      </c>
      <c r="Y188" s="35">
        <f>IFERROR(VLOOKUP("13_"&amp;A188,SyS!$B:$P,12,FALSE()),0)</f>
      </c>
      <c r="Z188" s="36">
        <f>+X188-Y188</f>
      </c>
      <c r="AA188" s="34">
        <f>IFERROR(VLOOKUP("17_"&amp;A188,SyS!$B:$P,10,FALSE()),0)</f>
      </c>
      <c r="AB188" s="35">
        <f>IFERROR(VLOOKUP("17_"&amp;A188,SyS!$B:$P,12,FALSE()),0)</f>
      </c>
      <c r="AC188" s="36">
        <f>+AA188-AB188</f>
      </c>
      <c r="AD188" s="35"/>
      <c r="AE188" s="35"/>
      <c r="AF188" s="35"/>
      <c r="AG188" s="35">
        <f>IFERROR(VLOOKUP("19_"&amp;A188,SyS!$B:$P,10,FALSE()),0)</f>
      </c>
      <c r="AH188" s="35">
        <f>IFERROR(VLOOKUP("19_"&amp;A188,SyS!$B:$P,12,FALSE()),0)</f>
      </c>
      <c r="AI188" s="35">
        <f>+AG188-AH188</f>
      </c>
      <c r="AJ188" s="35"/>
      <c r="AK188" s="35"/>
      <c r="AL188" s="35"/>
      <c r="AM188" s="34">
        <f>IFERROR(VLOOKUP("23_"&amp;A188,SyS!$B:$P,10,FALSE()),0)</f>
      </c>
      <c r="AN188" s="35">
        <f>IFERROR(VLOOKUP("23_"&amp;A188,SyS!$B:$P,12,FALSE()),0)</f>
      </c>
      <c r="AO188" s="36">
        <f>+AM188-AN188</f>
      </c>
      <c r="AP188" s="40"/>
      <c r="AQ188" s="40"/>
      <c r="AR188" s="40"/>
      <c r="AS188" s="40"/>
      <c r="AT188" s="40"/>
      <c r="AU188" s="40"/>
      <c r="AV188" s="40"/>
      <c r="AW188" s="40"/>
      <c r="AX188" s="40"/>
      <c r="AY188" s="40"/>
      <c r="AZ188" s="40"/>
      <c r="BA188" s="40"/>
      <c r="BB188" s="40"/>
      <c r="BC188" s="40"/>
      <c r="BD188" s="40"/>
      <c r="BE188" s="40"/>
      <c r="BF188" s="40"/>
      <c r="BG188" s="40"/>
      <c r="BH188" s="40"/>
      <c r="BI188" s="40"/>
      <c r="BJ188" s="40"/>
      <c r="BK188" s="40">
        <f>IFERROR(VLOOKUP("29_"&amp;A188,SyS!$B:$P,10,FALSE()),0)</f>
      </c>
      <c r="BL188" s="40">
        <f>IFERROR(VLOOKUP("29_"&amp;A188,SyS!$B:$P,12,FALSE()),0)</f>
      </c>
      <c r="BM188" s="40">
        <f>+BK188-BL188</f>
      </c>
      <c r="BN188" s="42">
        <f>IFERROR(VLOOKUP("30_"&amp;A188,SyS!$B:$P,10,FALSE()),0)</f>
      </c>
      <c r="BO188" s="40">
        <f>IFERROR(VLOOKUP("30_"&amp;A188,SyS!$B:$P,12,FALSE()),0)</f>
      </c>
      <c r="BP188" s="43">
        <f>+BN188-BO188</f>
      </c>
      <c r="BQ188" s="44">
        <f>+E188+H188+K188+N188+Q188+T188+W188+Z188+AC188+AF188+AI188+AL188+AO188+AR188+AU188+AX188+BA188+BD188+BG188+BJ188+BM188+BP188</f>
      </c>
    </row>
    <row r="189" ht="11.25" customHeight="1" spans="1:69" x14ac:dyDescent="0.25">
      <c r="A189" s="9">
        <v>426610000</v>
      </c>
      <c r="B189" s="9" t="s">
        <v>226</v>
      </c>
      <c r="C189" s="34">
        <f>IFERROR(VLOOKUP("1_"&amp;A189,SyS!$B:$P,10,FALSE()),0)</f>
      </c>
      <c r="D189" s="35">
        <f>IFERROR(VLOOKUP("1_"&amp;A189,SyS!$B:$P,12,FALSE()),0)</f>
      </c>
      <c r="E189" s="35">
        <f>+C189-D189</f>
      </c>
      <c r="F189" s="34">
        <f>IFERROR(VLOOKUP("2_"&amp;A189,SyS!$B:$P,10,FALSE()),0)</f>
      </c>
      <c r="G189" s="35">
        <f>IFERROR(VLOOKUP("2_"&amp;A189,SyS!$B:$P,12,FALSE()),0)</f>
      </c>
      <c r="H189" s="36">
        <f>+F189-G189</f>
      </c>
      <c r="I189" s="35"/>
      <c r="J189" s="35"/>
      <c r="K189" s="35"/>
      <c r="L189" s="35"/>
      <c r="M189" s="35"/>
      <c r="N189" s="35"/>
      <c r="O189" s="34">
        <f>IFERROR(VLOOKUP("14_"&amp;A189,SyS!$B:$P,10,FALSE()),0)</f>
      </c>
      <c r="P189" s="35">
        <f>IFERROR(VLOOKUP("14_"&amp;A189,SyS!$B:$P,12,FALSE()),0)</f>
      </c>
      <c r="Q189" s="36">
        <f>+O189-P189</f>
      </c>
      <c r="R189" s="34">
        <f>IFERROR(VLOOKUP("15_"&amp;A189,SyS!$B:$P,10,FALSE()),0)</f>
      </c>
      <c r="S189" s="35">
        <f>IFERROR(VLOOKUP("15_"&amp;A189,SyS!$B:$P,12,FALSE()),0)</f>
      </c>
      <c r="T189" s="36">
        <f>+R189-S189</f>
      </c>
      <c r="U189" s="34">
        <f>IFERROR(VLOOKUP("16_"&amp;A189,SyS!$B:$P,10,FALSE()),0)</f>
      </c>
      <c r="V189" s="35">
        <f>IFERROR(VLOOKUP("16_"&amp;A189,SyS!$B:$P,12,FALSE()),0)</f>
      </c>
      <c r="W189" s="36">
        <f>+U189-V189</f>
      </c>
      <c r="X189" s="34">
        <f>IFERROR(VLOOKUP("13_"&amp;A189,SyS!$B:$P,10,FALSE()),0)</f>
      </c>
      <c r="Y189" s="35">
        <f>IFERROR(VLOOKUP("13_"&amp;A189,SyS!$B:$P,12,FALSE()),0)</f>
      </c>
      <c r="Z189" s="36">
        <f>+X189-Y189</f>
      </c>
      <c r="AA189" s="34">
        <f>IFERROR(VLOOKUP("17_"&amp;A189,SyS!$B:$P,10,FALSE()),0)</f>
      </c>
      <c r="AB189" s="35">
        <f>IFERROR(VLOOKUP("17_"&amp;A189,SyS!$B:$P,12,FALSE()),0)</f>
      </c>
      <c r="AC189" s="36">
        <f>+AA189-AB189</f>
      </c>
      <c r="AD189" s="35"/>
      <c r="AE189" s="35"/>
      <c r="AF189" s="35"/>
      <c r="AG189" s="35">
        <f>IFERROR(VLOOKUP("19_"&amp;A189,SyS!$B:$P,10,FALSE()),0)</f>
      </c>
      <c r="AH189" s="35">
        <f>IFERROR(VLOOKUP("19_"&amp;A189,SyS!$B:$P,12,FALSE()),0)</f>
      </c>
      <c r="AI189" s="35">
        <f>+AG189-AH189</f>
      </c>
      <c r="AJ189" s="35"/>
      <c r="AK189" s="35"/>
      <c r="AL189" s="35"/>
      <c r="AM189" s="34">
        <f>IFERROR(VLOOKUP("23_"&amp;A189,SyS!$B:$P,10,FALSE()),0)</f>
      </c>
      <c r="AN189" s="35">
        <f>IFERROR(VLOOKUP("23_"&amp;A189,SyS!$B:$P,12,FALSE()),0)</f>
      </c>
      <c r="AO189" s="36">
        <f>+AM189-AN189</f>
      </c>
      <c r="AP189" s="40"/>
      <c r="AQ189" s="40"/>
      <c r="AR189" s="40"/>
      <c r="AS189" s="40"/>
      <c r="AT189" s="40"/>
      <c r="AU189" s="40"/>
      <c r="AV189" s="40"/>
      <c r="AW189" s="40"/>
      <c r="AX189" s="40"/>
      <c r="AY189" s="40"/>
      <c r="AZ189" s="40"/>
      <c r="BA189" s="40"/>
      <c r="BB189" s="40"/>
      <c r="BC189" s="40"/>
      <c r="BD189" s="40"/>
      <c r="BE189" s="40"/>
      <c r="BF189" s="40"/>
      <c r="BG189" s="40"/>
      <c r="BH189" s="40"/>
      <c r="BI189" s="40"/>
      <c r="BJ189" s="40"/>
      <c r="BK189" s="40">
        <f>IFERROR(VLOOKUP("29_"&amp;A189,SyS!$B:$P,10,FALSE()),0)</f>
      </c>
      <c r="BL189" s="40">
        <f>IFERROR(VLOOKUP("29_"&amp;A189,SyS!$B:$P,12,FALSE()),0)</f>
      </c>
      <c r="BM189" s="40">
        <f>+BK189-BL189</f>
      </c>
      <c r="BN189" s="42">
        <f>IFERROR(VLOOKUP("30_"&amp;A189,SyS!$B:$P,10,FALSE()),0)</f>
      </c>
      <c r="BO189" s="40">
        <f>IFERROR(VLOOKUP("30_"&amp;A189,SyS!$B:$P,12,FALSE()),0)</f>
      </c>
      <c r="BP189" s="43">
        <f>+BN189-BO189</f>
      </c>
      <c r="BQ189" s="44">
        <f>+E189+H189+K189+N189+Q189+T189+W189+Z189+AC189+AF189+AI189+AL189+AO189+AR189+AU189+AX189+BA189+BD189+BG189+BJ189+BM189+BP189</f>
      </c>
    </row>
    <row r="190" ht="11.25" customHeight="1" spans="1:69" x14ac:dyDescent="0.25">
      <c r="A190" s="9">
        <v>426650000</v>
      </c>
      <c r="B190" s="9" t="s">
        <v>227</v>
      </c>
      <c r="C190" s="34">
        <f>IFERROR(VLOOKUP("1_"&amp;A190,SyS!$B:$P,10,FALSE()),0)</f>
      </c>
      <c r="D190" s="35">
        <f>IFERROR(VLOOKUP("1_"&amp;A190,SyS!$B:$P,12,FALSE()),0)</f>
      </c>
      <c r="E190" s="35">
        <f>+C190-D190</f>
      </c>
      <c r="F190" s="34">
        <f>IFERROR(VLOOKUP("2_"&amp;A190,SyS!$B:$P,10,FALSE()),0)</f>
      </c>
      <c r="G190" s="35">
        <f>IFERROR(VLOOKUP("2_"&amp;A190,SyS!$B:$P,12,FALSE()),0)</f>
      </c>
      <c r="H190" s="36">
        <f>+F190-G190</f>
      </c>
      <c r="I190" s="35"/>
      <c r="J190" s="35"/>
      <c r="K190" s="35"/>
      <c r="L190" s="35"/>
      <c r="M190" s="35"/>
      <c r="N190" s="35"/>
      <c r="O190" s="34">
        <f>IFERROR(VLOOKUP("14_"&amp;A190,SyS!$B:$P,10,FALSE()),0)</f>
      </c>
      <c r="P190" s="35">
        <f>IFERROR(VLOOKUP("14_"&amp;A190,SyS!$B:$P,12,FALSE()),0)</f>
      </c>
      <c r="Q190" s="36">
        <f>+O190-P190</f>
      </c>
      <c r="R190" s="34">
        <f>IFERROR(VLOOKUP("15_"&amp;A190,SyS!$B:$P,10,FALSE()),0)</f>
      </c>
      <c r="S190" s="35">
        <f>IFERROR(VLOOKUP("15_"&amp;A190,SyS!$B:$P,12,FALSE()),0)</f>
      </c>
      <c r="T190" s="36">
        <f>+R190-S190</f>
      </c>
      <c r="U190" s="34">
        <f>IFERROR(VLOOKUP("16_"&amp;A190,SyS!$B:$P,10,FALSE()),0)</f>
      </c>
      <c r="V190" s="35">
        <f>IFERROR(VLOOKUP("16_"&amp;A190,SyS!$B:$P,12,FALSE()),0)</f>
      </c>
      <c r="W190" s="36">
        <f>+U190-V190</f>
      </c>
      <c r="X190" s="34">
        <f>IFERROR(VLOOKUP("13_"&amp;A190,SyS!$B:$P,10,FALSE()),0)</f>
      </c>
      <c r="Y190" s="35">
        <f>IFERROR(VLOOKUP("13_"&amp;A190,SyS!$B:$P,12,FALSE()),0)</f>
      </c>
      <c r="Z190" s="36">
        <f>+X190-Y190</f>
      </c>
      <c r="AA190" s="34">
        <f>IFERROR(VLOOKUP("17_"&amp;A190,SyS!$B:$P,10,FALSE()),0)</f>
      </c>
      <c r="AB190" s="35">
        <f>IFERROR(VLOOKUP("17_"&amp;A190,SyS!$B:$P,12,FALSE()),0)</f>
      </c>
      <c r="AC190" s="36">
        <f>+AA190-AB190</f>
      </c>
      <c r="AD190" s="35"/>
      <c r="AE190" s="35"/>
      <c r="AF190" s="35"/>
      <c r="AG190" s="35">
        <f>IFERROR(VLOOKUP("19_"&amp;A190,SyS!$B:$P,10,FALSE()),0)</f>
      </c>
      <c r="AH190" s="35">
        <f>IFERROR(VLOOKUP("19_"&amp;A190,SyS!$B:$P,12,FALSE()),0)</f>
      </c>
      <c r="AI190" s="35">
        <f>+AG190-AH190</f>
      </c>
      <c r="AJ190" s="35"/>
      <c r="AK190" s="35"/>
      <c r="AL190" s="35"/>
      <c r="AM190" s="34">
        <f>IFERROR(VLOOKUP("23_"&amp;A190,SyS!$B:$P,10,FALSE()),0)</f>
      </c>
      <c r="AN190" s="35">
        <f>IFERROR(VLOOKUP("23_"&amp;A190,SyS!$B:$P,12,FALSE()),0)</f>
      </c>
      <c r="AO190" s="36">
        <f>+AM190-AN190</f>
      </c>
      <c r="AP190" s="40"/>
      <c r="AQ190" s="40"/>
      <c r="AR190" s="40"/>
      <c r="AS190" s="40"/>
      <c r="AT190" s="40"/>
      <c r="AU190" s="40"/>
      <c r="AV190" s="40"/>
      <c r="AW190" s="40"/>
      <c r="AX190" s="40"/>
      <c r="AY190" s="40"/>
      <c r="AZ190" s="40"/>
      <c r="BA190" s="40"/>
      <c r="BB190" s="40"/>
      <c r="BC190" s="40"/>
      <c r="BD190" s="40"/>
      <c r="BE190" s="40"/>
      <c r="BF190" s="40"/>
      <c r="BG190" s="40"/>
      <c r="BH190" s="40"/>
      <c r="BI190" s="40"/>
      <c r="BJ190" s="40"/>
      <c r="BK190" s="40">
        <f>IFERROR(VLOOKUP("29_"&amp;A190,SyS!$B:$P,10,FALSE()),0)</f>
      </c>
      <c r="BL190" s="40">
        <f>IFERROR(VLOOKUP("29_"&amp;A190,SyS!$B:$P,12,FALSE()),0)</f>
      </c>
      <c r="BM190" s="40">
        <f>+BK190-BL190</f>
      </c>
      <c r="BN190" s="42">
        <f>IFERROR(VLOOKUP("30_"&amp;A190,SyS!$B:$P,10,FALSE()),0)</f>
      </c>
      <c r="BO190" s="40">
        <f>IFERROR(VLOOKUP("30_"&amp;A190,SyS!$B:$P,12,FALSE()),0)</f>
      </c>
      <c r="BP190" s="43">
        <f>+BN190-BO190</f>
      </c>
      <c r="BQ190" s="44">
        <f>+E190+H190+K190+N190+Q190+T190+W190+Z190+AC190+AF190+AI190+AL190+AO190+AR190+AU190+AX190+BA190+BD190+BG190+BJ190+BM190+BP190</f>
      </c>
    </row>
    <row r="191" ht="11.25" customHeight="1" spans="1:69" x14ac:dyDescent="0.25">
      <c r="A191" s="9">
        <v>426660000</v>
      </c>
      <c r="B191" s="9" t="s">
        <v>228</v>
      </c>
      <c r="C191" s="34">
        <f>IFERROR(VLOOKUP("1_"&amp;A191,SyS!$B:$P,10,FALSE()),0)</f>
      </c>
      <c r="D191" s="35">
        <f>IFERROR(VLOOKUP("1_"&amp;A191,SyS!$B:$P,12,FALSE()),0)</f>
      </c>
      <c r="E191" s="35">
        <f>+C191-D191</f>
      </c>
      <c r="F191" s="34">
        <f>IFERROR(VLOOKUP("2_"&amp;A191,SyS!$B:$P,10,FALSE()),0)</f>
      </c>
      <c r="G191" s="35">
        <f>IFERROR(VLOOKUP("2_"&amp;A191,SyS!$B:$P,12,FALSE()),0)</f>
      </c>
      <c r="H191" s="36">
        <f>+F191-G191</f>
      </c>
      <c r="I191" s="35"/>
      <c r="J191" s="35"/>
      <c r="K191" s="35"/>
      <c r="L191" s="35"/>
      <c r="M191" s="35"/>
      <c r="N191" s="35"/>
      <c r="O191" s="34">
        <f>IFERROR(VLOOKUP("14_"&amp;A191,SyS!$B:$P,10,FALSE()),0)</f>
      </c>
      <c r="P191" s="35">
        <f>IFERROR(VLOOKUP("14_"&amp;A191,SyS!$B:$P,12,FALSE()),0)</f>
      </c>
      <c r="Q191" s="36">
        <f>+O191-P191</f>
      </c>
      <c r="R191" s="34">
        <f>IFERROR(VLOOKUP("15_"&amp;A191,SyS!$B:$P,10,FALSE()),0)</f>
      </c>
      <c r="S191" s="35">
        <f>IFERROR(VLOOKUP("15_"&amp;A191,SyS!$B:$P,12,FALSE()),0)</f>
      </c>
      <c r="T191" s="36">
        <f>+R191-S191</f>
      </c>
      <c r="U191" s="34">
        <f>IFERROR(VLOOKUP("16_"&amp;A191,SyS!$B:$P,10,FALSE()),0)</f>
      </c>
      <c r="V191" s="35">
        <f>IFERROR(VLOOKUP("16_"&amp;A191,SyS!$B:$P,12,FALSE()),0)</f>
      </c>
      <c r="W191" s="36">
        <f>+U191-V191</f>
      </c>
      <c r="X191" s="34">
        <f>IFERROR(VLOOKUP("13_"&amp;A191,SyS!$B:$P,10,FALSE()),0)</f>
      </c>
      <c r="Y191" s="35">
        <f>IFERROR(VLOOKUP("13_"&amp;A191,SyS!$B:$P,12,FALSE()),0)</f>
      </c>
      <c r="Z191" s="36">
        <f>+X191-Y191</f>
      </c>
      <c r="AA191" s="34">
        <f>IFERROR(VLOOKUP("17_"&amp;A191,SyS!$B:$P,10,FALSE()),0)</f>
      </c>
      <c r="AB191" s="35">
        <f>IFERROR(VLOOKUP("17_"&amp;A191,SyS!$B:$P,12,FALSE()),0)</f>
      </c>
      <c r="AC191" s="36">
        <f>+AA191-AB191</f>
      </c>
      <c r="AD191" s="35"/>
      <c r="AE191" s="35"/>
      <c r="AF191" s="35"/>
      <c r="AG191" s="35">
        <f>IFERROR(VLOOKUP("19_"&amp;A191,SyS!$B:$P,10,FALSE()),0)</f>
      </c>
      <c r="AH191" s="35">
        <f>IFERROR(VLOOKUP("19_"&amp;A191,SyS!$B:$P,12,FALSE()),0)</f>
      </c>
      <c r="AI191" s="35">
        <f>+AG191-AH191</f>
      </c>
      <c r="AJ191" s="35"/>
      <c r="AK191" s="35"/>
      <c r="AL191" s="35"/>
      <c r="AM191" s="34">
        <f>IFERROR(VLOOKUP("23_"&amp;A191,SyS!$B:$P,10,FALSE()),0)</f>
      </c>
      <c r="AN191" s="35">
        <f>IFERROR(VLOOKUP("23_"&amp;A191,SyS!$B:$P,12,FALSE()),0)</f>
      </c>
      <c r="AO191" s="36">
        <f>+AM191-AN191</f>
      </c>
      <c r="AP191" s="40"/>
      <c r="AQ191" s="40"/>
      <c r="AR191" s="40"/>
      <c r="AS191" s="40"/>
      <c r="AT191" s="40"/>
      <c r="AU191" s="40"/>
      <c r="AV191" s="40"/>
      <c r="AW191" s="40"/>
      <c r="AX191" s="40"/>
      <c r="AY191" s="40"/>
      <c r="AZ191" s="40"/>
      <c r="BA191" s="40"/>
      <c r="BB191" s="40"/>
      <c r="BC191" s="40"/>
      <c r="BD191" s="40"/>
      <c r="BE191" s="40"/>
      <c r="BF191" s="40"/>
      <c r="BG191" s="40"/>
      <c r="BH191" s="40"/>
      <c r="BI191" s="40"/>
      <c r="BJ191" s="40"/>
      <c r="BK191" s="40">
        <f>IFERROR(VLOOKUP("29_"&amp;A191,SyS!$B:$P,10,FALSE()),0)</f>
      </c>
      <c r="BL191" s="40">
        <f>IFERROR(VLOOKUP("29_"&amp;A191,SyS!$B:$P,12,FALSE()),0)</f>
      </c>
      <c r="BM191" s="40">
        <f>+BK191-BL191</f>
      </c>
      <c r="BN191" s="42">
        <f>IFERROR(VLOOKUP("30_"&amp;A191,SyS!$B:$P,10,FALSE()),0)</f>
      </c>
      <c r="BO191" s="40">
        <f>IFERROR(VLOOKUP("30_"&amp;A191,SyS!$B:$P,12,FALSE()),0)</f>
      </c>
      <c r="BP191" s="43">
        <f>+BN191-BO191</f>
      </c>
      <c r="BQ191" s="44">
        <f>+E191+H191+K191+N191+Q191+T191+W191+Z191+AC191+AF191+AI191+AL191+AO191+AR191+AU191+AX191+BA191+BD191+BG191+BJ191+BM191+BP191</f>
      </c>
    </row>
    <row r="192" ht="11.25" customHeight="1" spans="1:69" x14ac:dyDescent="0.25">
      <c r="A192" s="9">
        <v>421620000</v>
      </c>
      <c r="B192" s="9" t="s">
        <v>229</v>
      </c>
      <c r="C192" s="34">
        <f>IFERROR(VLOOKUP("1_"&amp;A192,SyS!$B:$P,10,FALSE()),0)</f>
      </c>
      <c r="D192" s="35">
        <f>IFERROR(VLOOKUP("1_"&amp;A192,SyS!$B:$P,12,FALSE()),0)</f>
      </c>
      <c r="E192" s="35">
        <f>+C192-D192</f>
      </c>
      <c r="F192" s="34">
        <f>IFERROR(VLOOKUP("2_"&amp;A192,SyS!$B:$P,10,FALSE()),0)</f>
      </c>
      <c r="G192" s="35">
        <f>IFERROR(VLOOKUP("2_"&amp;A192,SyS!$B:$P,12,FALSE()),0)</f>
      </c>
      <c r="H192" s="36">
        <f>+F192-G192</f>
      </c>
      <c r="I192" s="35"/>
      <c r="J192" s="35"/>
      <c r="K192" s="35"/>
      <c r="L192" s="35"/>
      <c r="M192" s="35"/>
      <c r="N192" s="35"/>
      <c r="O192" s="34">
        <f>IFERROR(VLOOKUP("14_"&amp;A192,SyS!$B:$P,10,FALSE()),0)</f>
      </c>
      <c r="P192" s="35">
        <f>IFERROR(VLOOKUP("14_"&amp;A192,SyS!$B:$P,12,FALSE()),0)</f>
      </c>
      <c r="Q192" s="36">
        <f>+O192-P192</f>
      </c>
      <c r="R192" s="34">
        <f>IFERROR(VLOOKUP("15_"&amp;A192,SyS!$B:$P,10,FALSE()),0)</f>
      </c>
      <c r="S192" s="35">
        <f>IFERROR(VLOOKUP("15_"&amp;A192,SyS!$B:$P,12,FALSE()),0)</f>
      </c>
      <c r="T192" s="36">
        <f>+R192-S192</f>
      </c>
      <c r="U192" s="34">
        <f>IFERROR(VLOOKUP("16_"&amp;A192,SyS!$B:$P,10,FALSE()),0)</f>
      </c>
      <c r="V192" s="35">
        <f>IFERROR(VLOOKUP("16_"&amp;A192,SyS!$B:$P,12,FALSE()),0)</f>
      </c>
      <c r="W192" s="36">
        <f>+U192-V192</f>
      </c>
      <c r="X192" s="34">
        <f>IFERROR(VLOOKUP("13_"&amp;A192,SyS!$B:$P,10,FALSE()),0)</f>
      </c>
      <c r="Y192" s="35">
        <f>IFERROR(VLOOKUP("13_"&amp;A192,SyS!$B:$P,12,FALSE()),0)</f>
      </c>
      <c r="Z192" s="36">
        <f>+X192-Y192</f>
      </c>
      <c r="AA192" s="34">
        <f>IFERROR(VLOOKUP("17_"&amp;A192,SyS!$B:$P,10,FALSE()),0)</f>
      </c>
      <c r="AB192" s="35">
        <f>IFERROR(VLOOKUP("17_"&amp;A192,SyS!$B:$P,12,FALSE()),0)</f>
      </c>
      <c r="AC192" s="36">
        <f>+AA192-AB192</f>
      </c>
      <c r="AD192" s="35"/>
      <c r="AE192" s="35"/>
      <c r="AF192" s="35"/>
      <c r="AG192" s="35">
        <f>IFERROR(VLOOKUP("19_"&amp;A192,SyS!$B:$P,10,FALSE()),0)</f>
      </c>
      <c r="AH192" s="35">
        <f>IFERROR(VLOOKUP("19_"&amp;A192,SyS!$B:$P,12,FALSE()),0)</f>
      </c>
      <c r="AI192" s="35">
        <f>+AG192-AH192</f>
      </c>
      <c r="AJ192" s="35"/>
      <c r="AK192" s="35"/>
      <c r="AL192" s="35"/>
      <c r="AM192" s="34">
        <f>IFERROR(VLOOKUP("23_"&amp;A192,SyS!$B:$P,10,FALSE()),0)</f>
      </c>
      <c r="AN192" s="35">
        <f>IFERROR(VLOOKUP("23_"&amp;A192,SyS!$B:$P,12,FALSE()),0)</f>
      </c>
      <c r="AO192" s="36">
        <f>+AM192-AN192</f>
      </c>
      <c r="AP192" s="40"/>
      <c r="AQ192" s="40"/>
      <c r="AR192" s="40"/>
      <c r="AS192" s="40"/>
      <c r="AT192" s="40"/>
      <c r="AU192" s="40"/>
      <c r="AV192" s="40"/>
      <c r="AW192" s="40"/>
      <c r="AX192" s="40"/>
      <c r="AY192" s="40"/>
      <c r="AZ192" s="40"/>
      <c r="BA192" s="40"/>
      <c r="BB192" s="40"/>
      <c r="BC192" s="40"/>
      <c r="BD192" s="40"/>
      <c r="BE192" s="40"/>
      <c r="BF192" s="40"/>
      <c r="BG192" s="40"/>
      <c r="BH192" s="40"/>
      <c r="BI192" s="40"/>
      <c r="BJ192" s="40"/>
      <c r="BK192" s="40">
        <f>IFERROR(VLOOKUP("29_"&amp;A192,SyS!$B:$P,10,FALSE()),0)</f>
      </c>
      <c r="BL192" s="40">
        <f>IFERROR(VLOOKUP("29_"&amp;A192,SyS!$B:$P,12,FALSE()),0)</f>
      </c>
      <c r="BM192" s="40">
        <f>+BK192-BL192</f>
      </c>
      <c r="BN192" s="42">
        <f>IFERROR(VLOOKUP("30_"&amp;A192,SyS!$B:$P,10,FALSE()),0)</f>
      </c>
      <c r="BO192" s="40">
        <f>IFERROR(VLOOKUP("30_"&amp;A192,SyS!$B:$P,12,FALSE()),0)</f>
      </c>
      <c r="BP192" s="43">
        <f>+BN192-BO192</f>
      </c>
      <c r="BQ192" s="44">
        <f>+E192+H192+K192+N192+Q192+T192+W192+Z192+AC192+AF192+AI192+AL192+AO192+AR192+AU192+AX192+BA192+BD192+BG192+BJ192+BM192+BP192</f>
      </c>
    </row>
    <row r="193" ht="11.25" customHeight="1" spans="1:69" x14ac:dyDescent="0.25">
      <c r="A193" s="9">
        <v>421630000</v>
      </c>
      <c r="B193" s="9" t="s">
        <v>230</v>
      </c>
      <c r="C193" s="34">
        <f>IFERROR(VLOOKUP("1_"&amp;A193,SyS!$B:$P,10,FALSE()),0)</f>
      </c>
      <c r="D193" s="35">
        <f>IFERROR(VLOOKUP("1_"&amp;A193,SyS!$B:$P,12,FALSE()),0)</f>
      </c>
      <c r="E193" s="35">
        <f>+C193-D193</f>
      </c>
      <c r="F193" s="34">
        <f>IFERROR(VLOOKUP("2_"&amp;A193,SyS!$B:$P,10,FALSE()),0)</f>
      </c>
      <c r="G193" s="35">
        <f>IFERROR(VLOOKUP("2_"&amp;A193,SyS!$B:$P,12,FALSE()),0)</f>
      </c>
      <c r="H193" s="36">
        <f>+F193-G193</f>
      </c>
      <c r="I193" s="35"/>
      <c r="J193" s="35"/>
      <c r="K193" s="35"/>
      <c r="L193" s="35"/>
      <c r="M193" s="35"/>
      <c r="N193" s="35"/>
      <c r="O193" s="34">
        <f>IFERROR(VLOOKUP("14_"&amp;A193,SyS!$B:$P,10,FALSE()),0)</f>
      </c>
      <c r="P193" s="35">
        <f>IFERROR(VLOOKUP("14_"&amp;A193,SyS!$B:$P,12,FALSE()),0)</f>
      </c>
      <c r="Q193" s="36">
        <f>+O193-P193</f>
      </c>
      <c r="R193" s="34">
        <f>IFERROR(VLOOKUP("15_"&amp;A193,SyS!$B:$P,10,FALSE()),0)</f>
      </c>
      <c r="S193" s="35">
        <f>IFERROR(VLOOKUP("15_"&amp;A193,SyS!$B:$P,12,FALSE()),0)</f>
      </c>
      <c r="T193" s="36">
        <f>+R193-S193</f>
      </c>
      <c r="U193" s="34">
        <f>IFERROR(VLOOKUP("16_"&amp;A193,SyS!$B:$P,10,FALSE()),0)</f>
      </c>
      <c r="V193" s="35">
        <f>IFERROR(VLOOKUP("16_"&amp;A193,SyS!$B:$P,12,FALSE()),0)</f>
      </c>
      <c r="W193" s="36">
        <f>+U193-V193</f>
      </c>
      <c r="X193" s="34">
        <f>IFERROR(VLOOKUP("13_"&amp;A193,SyS!$B:$P,10,FALSE()),0)</f>
      </c>
      <c r="Y193" s="35">
        <f>IFERROR(VLOOKUP("13_"&amp;A193,SyS!$B:$P,12,FALSE()),0)</f>
      </c>
      <c r="Z193" s="36">
        <f>+X193-Y193</f>
      </c>
      <c r="AA193" s="34">
        <f>IFERROR(VLOOKUP("17_"&amp;A193,SyS!$B:$P,10,FALSE()),0)</f>
      </c>
      <c r="AB193" s="35">
        <f>IFERROR(VLOOKUP("17_"&amp;A193,SyS!$B:$P,12,FALSE()),0)</f>
      </c>
      <c r="AC193" s="36">
        <f>+AA193-AB193</f>
      </c>
      <c r="AD193" s="35"/>
      <c r="AE193" s="35"/>
      <c r="AF193" s="35"/>
      <c r="AG193" s="35">
        <f>IFERROR(VLOOKUP("19_"&amp;A193,SyS!$B:$P,10,FALSE()),0)</f>
      </c>
      <c r="AH193" s="35">
        <f>IFERROR(VLOOKUP("19_"&amp;A193,SyS!$B:$P,12,FALSE()),0)</f>
      </c>
      <c r="AI193" s="35">
        <f>+AG193-AH193</f>
      </c>
      <c r="AJ193" s="35"/>
      <c r="AK193" s="35"/>
      <c r="AL193" s="35"/>
      <c r="AM193" s="34">
        <f>IFERROR(VLOOKUP("23_"&amp;A193,SyS!$B:$P,10,FALSE()),0)</f>
      </c>
      <c r="AN193" s="35">
        <f>IFERROR(VLOOKUP("23_"&amp;A193,SyS!$B:$P,12,FALSE()),0)</f>
      </c>
      <c r="AO193" s="36">
        <f>+AM193-AN193</f>
      </c>
      <c r="AP193" s="40"/>
      <c r="AQ193" s="40"/>
      <c r="AR193" s="40"/>
      <c r="AS193" s="40"/>
      <c r="AT193" s="40"/>
      <c r="AU193" s="40"/>
      <c r="AV193" s="40"/>
      <c r="AW193" s="40"/>
      <c r="AX193" s="40"/>
      <c r="AY193" s="40"/>
      <c r="AZ193" s="40"/>
      <c r="BA193" s="40"/>
      <c r="BB193" s="40"/>
      <c r="BC193" s="40"/>
      <c r="BD193" s="40"/>
      <c r="BE193" s="40"/>
      <c r="BF193" s="40"/>
      <c r="BG193" s="40"/>
      <c r="BH193" s="40"/>
      <c r="BI193" s="40"/>
      <c r="BJ193" s="40"/>
      <c r="BK193" s="40">
        <f>IFERROR(VLOOKUP("29_"&amp;A193,SyS!$B:$P,10,FALSE()),0)</f>
      </c>
      <c r="BL193" s="40">
        <f>IFERROR(VLOOKUP("29_"&amp;A193,SyS!$B:$P,12,FALSE()),0)</f>
      </c>
      <c r="BM193" s="40">
        <f>+BK193-BL193</f>
      </c>
      <c r="BN193" s="42">
        <f>IFERROR(VLOOKUP("30_"&amp;A193,SyS!$B:$P,10,FALSE()),0)</f>
      </c>
      <c r="BO193" s="40">
        <f>IFERROR(VLOOKUP("30_"&amp;A193,SyS!$B:$P,12,FALSE()),0)</f>
      </c>
      <c r="BP193" s="43">
        <f>+BN193-BO193</f>
      </c>
      <c r="BQ193" s="44">
        <f>+E193+H193+K193+N193+Q193+T193+W193+Z193+AC193+AF193+AI193+AL193+AO193+AR193+AU193+AX193+BA193+BD193+BG193+BJ193+BM193+BP193</f>
      </c>
    </row>
    <row r="194" ht="11.25" customHeight="1" spans="1:69" x14ac:dyDescent="0.25">
      <c r="A194" s="9">
        <v>421640000</v>
      </c>
      <c r="B194" s="9" t="s">
        <v>231</v>
      </c>
      <c r="C194" s="34">
        <f>IFERROR(VLOOKUP("1_"&amp;A194,SyS!$B:$P,10,FALSE()),0)</f>
      </c>
      <c r="D194" s="35">
        <f>IFERROR(VLOOKUP("1_"&amp;A194,SyS!$B:$P,12,FALSE()),0)</f>
      </c>
      <c r="E194" s="35">
        <f>+C194-D194</f>
      </c>
      <c r="F194" s="34">
        <f>IFERROR(VLOOKUP("2_"&amp;A194,SyS!$B:$P,10,FALSE()),0)</f>
      </c>
      <c r="G194" s="35">
        <f>IFERROR(VLOOKUP("2_"&amp;A194,SyS!$B:$P,12,FALSE()),0)</f>
      </c>
      <c r="H194" s="36">
        <f>+F194-G194</f>
      </c>
      <c r="I194" s="35"/>
      <c r="J194" s="35"/>
      <c r="K194" s="35"/>
      <c r="L194" s="35"/>
      <c r="M194" s="35"/>
      <c r="N194" s="35"/>
      <c r="O194" s="34">
        <f>IFERROR(VLOOKUP("14_"&amp;A194,SyS!$B:$P,10,FALSE()),0)</f>
      </c>
      <c r="P194" s="35">
        <f>IFERROR(VLOOKUP("14_"&amp;A194,SyS!$B:$P,12,FALSE()),0)</f>
      </c>
      <c r="Q194" s="36">
        <f>+O194-P194</f>
      </c>
      <c r="R194" s="34">
        <f>IFERROR(VLOOKUP("15_"&amp;A194,SyS!$B:$P,10,FALSE()),0)</f>
      </c>
      <c r="S194" s="35">
        <f>IFERROR(VLOOKUP("15_"&amp;A194,SyS!$B:$P,12,FALSE()),0)</f>
      </c>
      <c r="T194" s="36">
        <f>+R194-S194</f>
      </c>
      <c r="U194" s="34">
        <f>IFERROR(VLOOKUP("16_"&amp;A194,SyS!$B:$P,10,FALSE()),0)</f>
      </c>
      <c r="V194" s="35">
        <f>IFERROR(VLOOKUP("16_"&amp;A194,SyS!$B:$P,12,FALSE()),0)</f>
      </c>
      <c r="W194" s="36">
        <f>+U194-V194</f>
      </c>
      <c r="X194" s="34">
        <f>IFERROR(VLOOKUP("13_"&amp;A194,SyS!$B:$P,10,FALSE()),0)</f>
      </c>
      <c r="Y194" s="35">
        <f>IFERROR(VLOOKUP("13_"&amp;A194,SyS!$B:$P,12,FALSE()),0)</f>
      </c>
      <c r="Z194" s="36">
        <f>+X194-Y194</f>
      </c>
      <c r="AA194" s="34">
        <f>IFERROR(VLOOKUP("17_"&amp;A194,SyS!$B:$P,10,FALSE()),0)</f>
      </c>
      <c r="AB194" s="35">
        <f>IFERROR(VLOOKUP("17_"&amp;A194,SyS!$B:$P,12,FALSE()),0)</f>
      </c>
      <c r="AC194" s="36">
        <f>+AA194-AB194</f>
      </c>
      <c r="AD194" s="35"/>
      <c r="AE194" s="35"/>
      <c r="AF194" s="35"/>
      <c r="AG194" s="35">
        <f>IFERROR(VLOOKUP("19_"&amp;A194,SyS!$B:$P,10,FALSE()),0)</f>
      </c>
      <c r="AH194" s="35">
        <f>IFERROR(VLOOKUP("19_"&amp;A194,SyS!$B:$P,12,FALSE()),0)</f>
      </c>
      <c r="AI194" s="35">
        <f>+AG194-AH194</f>
      </c>
      <c r="AJ194" s="35"/>
      <c r="AK194" s="35"/>
      <c r="AL194" s="35"/>
      <c r="AM194" s="34">
        <f>IFERROR(VLOOKUP("23_"&amp;A194,SyS!$B:$P,10,FALSE()),0)</f>
      </c>
      <c r="AN194" s="35">
        <f>IFERROR(VLOOKUP("23_"&amp;A194,SyS!$B:$P,12,FALSE()),0)</f>
      </c>
      <c r="AO194" s="36">
        <f>+AM194-AN194</f>
      </c>
      <c r="AP194" s="40"/>
      <c r="AQ194" s="40"/>
      <c r="AR194" s="40"/>
      <c r="AS194" s="40"/>
      <c r="AT194" s="40"/>
      <c r="AU194" s="40"/>
      <c r="AV194" s="40"/>
      <c r="AW194" s="40"/>
      <c r="AX194" s="40"/>
      <c r="AY194" s="40"/>
      <c r="AZ194" s="40"/>
      <c r="BA194" s="40"/>
      <c r="BB194" s="40"/>
      <c r="BC194" s="40"/>
      <c r="BD194" s="40"/>
      <c r="BE194" s="40"/>
      <c r="BF194" s="40"/>
      <c r="BG194" s="40"/>
      <c r="BH194" s="40"/>
      <c r="BI194" s="40"/>
      <c r="BJ194" s="40"/>
      <c r="BK194" s="40">
        <f>IFERROR(VLOOKUP("29_"&amp;A194,SyS!$B:$P,10,FALSE()),0)</f>
      </c>
      <c r="BL194" s="40">
        <f>IFERROR(VLOOKUP("29_"&amp;A194,SyS!$B:$P,12,FALSE()),0)</f>
      </c>
      <c r="BM194" s="40">
        <f>+BK194-BL194</f>
      </c>
      <c r="BN194" s="42">
        <f>IFERROR(VLOOKUP("30_"&amp;A194,SyS!$B:$P,10,FALSE()),0)</f>
      </c>
      <c r="BO194" s="40">
        <f>IFERROR(VLOOKUP("30_"&amp;A194,SyS!$B:$P,12,FALSE()),0)</f>
      </c>
      <c r="BP194" s="43">
        <f>+BN194-BO194</f>
      </c>
      <c r="BQ194" s="44">
        <f>+E194+H194+K194+N194+Q194+T194+W194+Z194+AC194+AF194+AI194+AL194+AO194+AR194+AU194+AX194+BA194+BD194+BG194+BJ194+BM194+BP194</f>
      </c>
    </row>
    <row r="195" ht="11.25" customHeight="1" spans="1:69" x14ac:dyDescent="0.25">
      <c r="A195" s="9">
        <v>433070000</v>
      </c>
      <c r="B195" s="9" t="s">
        <v>232</v>
      </c>
      <c r="C195" s="34">
        <f>IFERROR(VLOOKUP("1_"&amp;A195,SyS!$B:$P,10,FALSE()),0)</f>
      </c>
      <c r="D195" s="35">
        <f>IFERROR(VLOOKUP("1_"&amp;A195,SyS!$B:$P,12,FALSE()),0)</f>
      </c>
      <c r="E195" s="35">
        <f>+C195-D195</f>
      </c>
      <c r="F195" s="34">
        <f>IFERROR(VLOOKUP("2_"&amp;A195,SyS!$B:$P,10,FALSE()),0)</f>
      </c>
      <c r="G195" s="35">
        <f>IFERROR(VLOOKUP("2_"&amp;A195,SyS!$B:$P,12,FALSE()),0)</f>
      </c>
      <c r="H195" s="36">
        <f>+F195-G195</f>
      </c>
      <c r="I195" s="35"/>
      <c r="J195" s="35"/>
      <c r="K195" s="35"/>
      <c r="L195" s="35"/>
      <c r="M195" s="35"/>
      <c r="N195" s="35"/>
      <c r="O195" s="34">
        <f>IFERROR(VLOOKUP("14_"&amp;A195,SyS!$B:$P,10,FALSE()),0)</f>
      </c>
      <c r="P195" s="35">
        <f>IFERROR(VLOOKUP("14_"&amp;A195,SyS!$B:$P,12,FALSE()),0)</f>
      </c>
      <c r="Q195" s="36">
        <f>+O195-P195</f>
      </c>
      <c r="R195" s="34">
        <f>IFERROR(VLOOKUP("15_"&amp;A195,SyS!$B:$P,10,FALSE()),0)</f>
      </c>
      <c r="S195" s="35">
        <f>IFERROR(VLOOKUP("15_"&amp;A195,SyS!$B:$P,12,FALSE()),0)</f>
      </c>
      <c r="T195" s="36">
        <f>+R195-S195</f>
      </c>
      <c r="U195" s="34">
        <f>IFERROR(VLOOKUP("16_"&amp;A195,SyS!$B:$P,10,FALSE()),0)</f>
      </c>
      <c r="V195" s="35">
        <f>IFERROR(VLOOKUP("16_"&amp;A195,SyS!$B:$P,12,FALSE()),0)</f>
      </c>
      <c r="W195" s="36">
        <f>+U195-V195</f>
      </c>
      <c r="X195" s="34">
        <f>IFERROR(VLOOKUP("13_"&amp;A195,SyS!$B:$P,10,FALSE()),0)</f>
      </c>
      <c r="Y195" s="35">
        <f>IFERROR(VLOOKUP("13_"&amp;A195,SyS!$B:$P,12,FALSE()),0)</f>
      </c>
      <c r="Z195" s="36">
        <f>+X195-Y195</f>
      </c>
      <c r="AA195" s="34">
        <f>IFERROR(VLOOKUP("17_"&amp;A195,SyS!$B:$P,10,FALSE()),0)</f>
      </c>
      <c r="AB195" s="35">
        <f>IFERROR(VLOOKUP("17_"&amp;A195,SyS!$B:$P,12,FALSE()),0)</f>
      </c>
      <c r="AC195" s="36">
        <f>+AA195-AB195</f>
      </c>
      <c r="AD195" s="35"/>
      <c r="AE195" s="35"/>
      <c r="AF195" s="35"/>
      <c r="AG195" s="35">
        <f>IFERROR(VLOOKUP("19_"&amp;A195,SyS!$B:$P,10,FALSE()),0)</f>
      </c>
      <c r="AH195" s="35">
        <f>IFERROR(VLOOKUP("19_"&amp;A195,SyS!$B:$P,12,FALSE()),0)</f>
      </c>
      <c r="AI195" s="35">
        <f>+AG195-AH195</f>
      </c>
      <c r="AJ195" s="35"/>
      <c r="AK195" s="35"/>
      <c r="AL195" s="35"/>
      <c r="AM195" s="34">
        <f>IFERROR(VLOOKUP("23_"&amp;A195,SyS!$B:$P,10,FALSE()),0)</f>
        <v>29.77</v>
      </c>
      <c r="AN195" s="35">
        <f>IFERROR(VLOOKUP("23_"&amp;A195,SyS!$B:$P,12,FALSE()),0)</f>
      </c>
      <c r="AO195" s="36">
        <f>+AM195-AN195</f>
        <v>29.77</v>
      </c>
      <c r="AP195" s="40"/>
      <c r="AQ195" s="40"/>
      <c r="AR195" s="40"/>
      <c r="AS195" s="40"/>
      <c r="AT195" s="40"/>
      <c r="AU195" s="40"/>
      <c r="AV195" s="40"/>
      <c r="AW195" s="40"/>
      <c r="AX195" s="40"/>
      <c r="AY195" s="40"/>
      <c r="AZ195" s="40"/>
      <c r="BA195" s="40"/>
      <c r="BB195" s="40"/>
      <c r="BC195" s="40"/>
      <c r="BD195" s="40"/>
      <c r="BE195" s="40"/>
      <c r="BF195" s="40"/>
      <c r="BG195" s="40"/>
      <c r="BH195" s="40"/>
      <c r="BI195" s="40"/>
      <c r="BJ195" s="40"/>
      <c r="BK195" s="40">
        <f>IFERROR(VLOOKUP("29_"&amp;A195,SyS!$B:$P,10,FALSE()),0)</f>
      </c>
      <c r="BL195" s="40">
        <f>IFERROR(VLOOKUP("29_"&amp;A195,SyS!$B:$P,12,FALSE()),0)</f>
      </c>
      <c r="BM195" s="40">
        <f>+BK195-BL195</f>
      </c>
      <c r="BN195" s="42">
        <f>IFERROR(VLOOKUP("30_"&amp;A195,SyS!$B:$P,10,FALSE()),0)</f>
      </c>
      <c r="BO195" s="40">
        <f>IFERROR(VLOOKUP("30_"&amp;A195,SyS!$B:$P,12,FALSE()),0)</f>
      </c>
      <c r="BP195" s="43">
        <f>+BN195-BO195</f>
      </c>
      <c r="BQ195" s="44">
        <f>+E195+H195+K195+N195+Q195+T195+W195+Z195+AC195+AF195+AI195+AL195+AO195+AR195+AU195+AX195+BA195+BD195+BG195+BJ195+BM195+BP195</f>
        <v>29.77</v>
      </c>
    </row>
    <row r="196" ht="11.25" customHeight="1" spans="1:69" x14ac:dyDescent="0.25">
      <c r="A196" s="9">
        <v>421650000</v>
      </c>
      <c r="B196" s="9" t="s">
        <v>233</v>
      </c>
      <c r="C196" s="34">
        <f>IFERROR(VLOOKUP("1_"&amp;A196,SyS!$B:$P,10,FALSE()),0)</f>
      </c>
      <c r="D196" s="35">
        <f>IFERROR(VLOOKUP("1_"&amp;A196,SyS!$B:$P,12,FALSE()),0)</f>
      </c>
      <c r="E196" s="35">
        <f>+C196-D196</f>
      </c>
      <c r="F196" s="34">
        <f>IFERROR(VLOOKUP("2_"&amp;A196,SyS!$B:$P,10,FALSE()),0)</f>
      </c>
      <c r="G196" s="35">
        <f>IFERROR(VLOOKUP("2_"&amp;A196,SyS!$B:$P,12,FALSE()),0)</f>
      </c>
      <c r="H196" s="36">
        <f>+F196-G196</f>
      </c>
      <c r="I196" s="35"/>
      <c r="J196" s="35"/>
      <c r="K196" s="35"/>
      <c r="L196" s="35"/>
      <c r="M196" s="35"/>
      <c r="N196" s="35"/>
      <c r="O196" s="34">
        <f>IFERROR(VLOOKUP("14_"&amp;A196,SyS!$B:$P,10,FALSE()),0)</f>
      </c>
      <c r="P196" s="35">
        <f>IFERROR(VLOOKUP("14_"&amp;A196,SyS!$B:$P,12,FALSE()),0)</f>
      </c>
      <c r="Q196" s="36">
        <f>+O196-P196</f>
      </c>
      <c r="R196" s="34">
        <f>IFERROR(VLOOKUP("15_"&amp;A196,SyS!$B:$P,10,FALSE()),0)</f>
      </c>
      <c r="S196" s="35">
        <f>IFERROR(VLOOKUP("15_"&amp;A196,SyS!$B:$P,12,FALSE()),0)</f>
      </c>
      <c r="T196" s="36">
        <f>+R196-S196</f>
      </c>
      <c r="U196" s="34">
        <f>IFERROR(VLOOKUP("16_"&amp;A196,SyS!$B:$P,10,FALSE()),0)</f>
      </c>
      <c r="V196" s="35">
        <f>IFERROR(VLOOKUP("16_"&amp;A196,SyS!$B:$P,12,FALSE()),0)</f>
      </c>
      <c r="W196" s="36">
        <f>+U196-V196</f>
      </c>
      <c r="X196" s="34">
        <f>IFERROR(VLOOKUP("13_"&amp;A196,SyS!$B:$P,10,FALSE()),0)</f>
      </c>
      <c r="Y196" s="35">
        <f>IFERROR(VLOOKUP("13_"&amp;A196,SyS!$B:$P,12,FALSE()),0)</f>
      </c>
      <c r="Z196" s="36">
        <f>+X196-Y196</f>
      </c>
      <c r="AA196" s="34">
        <f>IFERROR(VLOOKUP("17_"&amp;A196,SyS!$B:$P,10,FALSE()),0)</f>
      </c>
      <c r="AB196" s="35">
        <f>IFERROR(VLOOKUP("17_"&amp;A196,SyS!$B:$P,12,FALSE()),0)</f>
      </c>
      <c r="AC196" s="36">
        <f>+AA196-AB196</f>
      </c>
      <c r="AD196" s="35"/>
      <c r="AE196" s="35"/>
      <c r="AF196" s="35"/>
      <c r="AG196" s="35">
        <f>IFERROR(VLOOKUP("19_"&amp;A196,SyS!$B:$P,10,FALSE()),0)</f>
      </c>
      <c r="AH196" s="35">
        <f>IFERROR(VLOOKUP("19_"&amp;A196,SyS!$B:$P,12,FALSE()),0)</f>
      </c>
      <c r="AI196" s="35">
        <f>+AG196-AH196</f>
      </c>
      <c r="AJ196" s="35"/>
      <c r="AK196" s="35"/>
      <c r="AL196" s="35"/>
      <c r="AM196" s="34">
        <f>IFERROR(VLOOKUP("23_"&amp;A196,SyS!$B:$P,10,FALSE()),0)</f>
      </c>
      <c r="AN196" s="35">
        <f>IFERROR(VLOOKUP("23_"&amp;A196,SyS!$B:$P,12,FALSE()),0)</f>
      </c>
      <c r="AO196" s="36">
        <f>+AM196-AN196</f>
      </c>
      <c r="AP196" s="40"/>
      <c r="AQ196" s="40"/>
      <c r="AR196" s="40"/>
      <c r="AS196" s="40"/>
      <c r="AT196" s="40"/>
      <c r="AU196" s="40"/>
      <c r="AV196" s="40"/>
      <c r="AW196" s="40"/>
      <c r="AX196" s="40"/>
      <c r="AY196" s="40"/>
      <c r="AZ196" s="40"/>
      <c r="BA196" s="40"/>
      <c r="BB196" s="40"/>
      <c r="BC196" s="40"/>
      <c r="BD196" s="40"/>
      <c r="BE196" s="40"/>
      <c r="BF196" s="40"/>
      <c r="BG196" s="40"/>
      <c r="BH196" s="40"/>
      <c r="BI196" s="40"/>
      <c r="BJ196" s="40"/>
      <c r="BK196" s="40">
        <f>IFERROR(VLOOKUP("29_"&amp;A196,SyS!$B:$P,10,FALSE()),0)</f>
      </c>
      <c r="BL196" s="40">
        <f>IFERROR(VLOOKUP("29_"&amp;A196,SyS!$B:$P,12,FALSE()),0)</f>
      </c>
      <c r="BM196" s="40">
        <f>+BK196-BL196</f>
      </c>
      <c r="BN196" s="42">
        <f>IFERROR(VLOOKUP("30_"&amp;A196,SyS!$B:$P,10,FALSE()),0)</f>
      </c>
      <c r="BO196" s="40">
        <f>IFERROR(VLOOKUP("30_"&amp;A196,SyS!$B:$P,12,FALSE()),0)</f>
      </c>
      <c r="BP196" s="43">
        <f>+BN196-BO196</f>
      </c>
      <c r="BQ196" s="44">
        <f>+E196+H196+K196+N196+Q196+T196+W196+Z196+AC196+AF196+AI196+AL196+AO196+AR196+AU196+AX196+BA196+BD196+BG196+BJ196+BM196+BP196</f>
      </c>
    </row>
    <row r="197" ht="11.25" customHeight="1" spans="1:69" x14ac:dyDescent="0.25">
      <c r="A197" s="9">
        <v>421660000</v>
      </c>
      <c r="B197" s="9" t="s">
        <v>234</v>
      </c>
      <c r="C197" s="34">
        <f>IFERROR(VLOOKUP("1_"&amp;A197,SyS!$B:$P,10,FALSE()),0)</f>
      </c>
      <c r="D197" s="35">
        <f>IFERROR(VLOOKUP("1_"&amp;A197,SyS!$B:$P,12,FALSE()),0)</f>
      </c>
      <c r="E197" s="35">
        <f>+C197-D197</f>
      </c>
      <c r="F197" s="34">
        <f>IFERROR(VLOOKUP("2_"&amp;A197,SyS!$B:$P,10,FALSE()),0)</f>
      </c>
      <c r="G197" s="35">
        <f>IFERROR(VLOOKUP("2_"&amp;A197,SyS!$B:$P,12,FALSE()),0)</f>
      </c>
      <c r="H197" s="36">
        <f>+F197-G197</f>
      </c>
      <c r="I197" s="35"/>
      <c r="J197" s="35"/>
      <c r="K197" s="35"/>
      <c r="L197" s="35"/>
      <c r="M197" s="35"/>
      <c r="N197" s="35"/>
      <c r="O197" s="34">
        <f>IFERROR(VLOOKUP("14_"&amp;A197,SyS!$B:$P,10,FALSE()),0)</f>
      </c>
      <c r="P197" s="35">
        <f>IFERROR(VLOOKUP("14_"&amp;A197,SyS!$B:$P,12,FALSE()),0)</f>
      </c>
      <c r="Q197" s="36">
        <f>+O197-P197</f>
      </c>
      <c r="R197" s="34">
        <f>IFERROR(VLOOKUP("15_"&amp;A197,SyS!$B:$P,10,FALSE()),0)</f>
      </c>
      <c r="S197" s="35">
        <f>IFERROR(VLOOKUP("15_"&amp;A197,SyS!$B:$P,12,FALSE()),0)</f>
      </c>
      <c r="T197" s="36">
        <f>+R197-S197</f>
      </c>
      <c r="U197" s="34">
        <f>IFERROR(VLOOKUP("16_"&amp;A197,SyS!$B:$P,10,FALSE()),0)</f>
      </c>
      <c r="V197" s="35">
        <f>IFERROR(VLOOKUP("16_"&amp;A197,SyS!$B:$P,12,FALSE()),0)</f>
      </c>
      <c r="W197" s="36">
        <f>+U197-V197</f>
      </c>
      <c r="X197" s="34">
        <f>IFERROR(VLOOKUP("13_"&amp;A197,SyS!$B:$P,10,FALSE()),0)</f>
      </c>
      <c r="Y197" s="35">
        <f>IFERROR(VLOOKUP("13_"&amp;A197,SyS!$B:$P,12,FALSE()),0)</f>
      </c>
      <c r="Z197" s="36">
        <f>+X197-Y197</f>
      </c>
      <c r="AA197" s="34">
        <f>IFERROR(VLOOKUP("17_"&amp;A197,SyS!$B:$P,10,FALSE()),0)</f>
      </c>
      <c r="AB197" s="35">
        <f>IFERROR(VLOOKUP("17_"&amp;A197,SyS!$B:$P,12,FALSE()),0)</f>
      </c>
      <c r="AC197" s="36">
        <f>+AA197-AB197</f>
      </c>
      <c r="AD197" s="35"/>
      <c r="AE197" s="35"/>
      <c r="AF197" s="35"/>
      <c r="AG197" s="35">
        <f>IFERROR(VLOOKUP("19_"&amp;A197,SyS!$B:$P,10,FALSE()),0)</f>
      </c>
      <c r="AH197" s="35">
        <f>IFERROR(VLOOKUP("19_"&amp;A197,SyS!$B:$P,12,FALSE()),0)</f>
      </c>
      <c r="AI197" s="35">
        <f>+AG197-AH197</f>
      </c>
      <c r="AJ197" s="35"/>
      <c r="AK197" s="35"/>
      <c r="AL197" s="35"/>
      <c r="AM197" s="34">
        <f>IFERROR(VLOOKUP("23_"&amp;A197,SyS!$B:$P,10,FALSE()),0)</f>
      </c>
      <c r="AN197" s="35">
        <f>IFERROR(VLOOKUP("23_"&amp;A197,SyS!$B:$P,12,FALSE()),0)</f>
      </c>
      <c r="AO197" s="36">
        <f>+AM197-AN197</f>
      </c>
      <c r="AP197" s="40"/>
      <c r="AQ197" s="40"/>
      <c r="AR197" s="40"/>
      <c r="AS197" s="40"/>
      <c r="AT197" s="40"/>
      <c r="AU197" s="40"/>
      <c r="AV197" s="40"/>
      <c r="AW197" s="40"/>
      <c r="AX197" s="40"/>
      <c r="AY197" s="40"/>
      <c r="AZ197" s="40"/>
      <c r="BA197" s="40"/>
      <c r="BB197" s="40"/>
      <c r="BC197" s="40"/>
      <c r="BD197" s="40"/>
      <c r="BE197" s="40"/>
      <c r="BF197" s="40"/>
      <c r="BG197" s="40"/>
      <c r="BH197" s="40"/>
      <c r="BI197" s="40"/>
      <c r="BJ197" s="40"/>
      <c r="BK197" s="40">
        <f>IFERROR(VLOOKUP("29_"&amp;A197,SyS!$B:$P,10,FALSE()),0)</f>
      </c>
      <c r="BL197" s="40">
        <f>IFERROR(VLOOKUP("29_"&amp;A197,SyS!$B:$P,12,FALSE()),0)</f>
      </c>
      <c r="BM197" s="40">
        <f>+BK197-BL197</f>
      </c>
      <c r="BN197" s="42">
        <f>IFERROR(VLOOKUP("30_"&amp;A197,SyS!$B:$P,10,FALSE()),0)</f>
      </c>
      <c r="BO197" s="40">
        <f>IFERROR(VLOOKUP("30_"&amp;A197,SyS!$B:$P,12,FALSE()),0)</f>
      </c>
      <c r="BP197" s="43">
        <f>+BN197-BO197</f>
      </c>
      <c r="BQ197" s="44">
        <f>+E197+H197+K197+N197+Q197+T197+W197+Z197+AC197+AF197+AI197+AL197+AO197+AR197+AU197+AX197+BA197+BD197+BG197+BJ197+BM197+BP197</f>
      </c>
    </row>
    <row r="198" ht="11.25" customHeight="1" spans="1:69" x14ac:dyDescent="0.25">
      <c r="A198" s="9">
        <v>431060000</v>
      </c>
      <c r="B198" s="9" t="s">
        <v>235</v>
      </c>
      <c r="C198" s="34">
        <f>IFERROR(VLOOKUP("1_"&amp;A198,SyS!$B:$P,10,FALSE()),0)</f>
      </c>
      <c r="D198" s="35">
        <f>IFERROR(VLOOKUP("1_"&amp;A198,SyS!$B:$P,12,FALSE()),0)</f>
      </c>
      <c r="E198" s="35">
        <f>+C198-D198</f>
      </c>
      <c r="F198" s="34">
        <f>IFERROR(VLOOKUP("2_"&amp;A198,SyS!$B:$P,10,FALSE()),0)</f>
      </c>
      <c r="G198" s="35">
        <f>IFERROR(VLOOKUP("2_"&amp;A198,SyS!$B:$P,12,FALSE()),0)</f>
      </c>
      <c r="H198" s="36">
        <f>+F198-G198</f>
      </c>
      <c r="I198" s="35"/>
      <c r="J198" s="35"/>
      <c r="K198" s="35"/>
      <c r="L198" s="35"/>
      <c r="M198" s="35"/>
      <c r="N198" s="35"/>
      <c r="O198" s="34">
        <f>IFERROR(VLOOKUP("14_"&amp;A198,SyS!$B:$P,10,FALSE()),0)</f>
      </c>
      <c r="P198" s="35">
        <f>IFERROR(VLOOKUP("14_"&amp;A198,SyS!$B:$P,12,FALSE()),0)</f>
      </c>
      <c r="Q198" s="36">
        <f>+O198-P198</f>
      </c>
      <c r="R198" s="34">
        <f>IFERROR(VLOOKUP("15_"&amp;A198,SyS!$B:$P,10,FALSE()),0)</f>
      </c>
      <c r="S198" s="35">
        <f>IFERROR(VLOOKUP("15_"&amp;A198,SyS!$B:$P,12,FALSE()),0)</f>
      </c>
      <c r="T198" s="36">
        <f>+R198-S198</f>
      </c>
      <c r="U198" s="34">
        <f>IFERROR(VLOOKUP("16_"&amp;A198,SyS!$B:$P,10,FALSE()),0)</f>
      </c>
      <c r="V198" s="35">
        <f>IFERROR(VLOOKUP("16_"&amp;A198,SyS!$B:$P,12,FALSE()),0)</f>
      </c>
      <c r="W198" s="36">
        <f>+U198-V198</f>
      </c>
      <c r="X198" s="34">
        <f>IFERROR(VLOOKUP("13_"&amp;A198,SyS!$B:$P,10,FALSE()),0)</f>
      </c>
      <c r="Y198" s="35">
        <f>IFERROR(VLOOKUP("13_"&amp;A198,SyS!$B:$P,12,FALSE()),0)</f>
      </c>
      <c r="Z198" s="36">
        <f>+X198-Y198</f>
      </c>
      <c r="AA198" s="34">
        <f>IFERROR(VLOOKUP("17_"&amp;A198,SyS!$B:$P,10,FALSE()),0)</f>
      </c>
      <c r="AB198" s="35">
        <f>IFERROR(VLOOKUP("17_"&amp;A198,SyS!$B:$P,12,FALSE()),0)</f>
      </c>
      <c r="AC198" s="36">
        <f>+AA198-AB198</f>
      </c>
      <c r="AD198" s="35"/>
      <c r="AE198" s="35"/>
      <c r="AF198" s="35"/>
      <c r="AG198" s="35">
        <f>IFERROR(VLOOKUP("19_"&amp;A198,SyS!$B:$P,10,FALSE()),0)</f>
      </c>
      <c r="AH198" s="35">
        <f>IFERROR(VLOOKUP("19_"&amp;A198,SyS!$B:$P,12,FALSE()),0)</f>
      </c>
      <c r="AI198" s="35">
        <f>+AG198-AH198</f>
      </c>
      <c r="AJ198" s="35"/>
      <c r="AK198" s="35"/>
      <c r="AL198" s="35"/>
      <c r="AM198" s="34">
        <f>IFERROR(VLOOKUP("23_"&amp;A198,SyS!$B:$P,10,FALSE()),0)</f>
      </c>
      <c r="AN198" s="35">
        <f>IFERROR(VLOOKUP("23_"&amp;A198,SyS!$B:$P,12,FALSE()),0)</f>
      </c>
      <c r="AO198" s="36">
        <f>+AM198-AN198</f>
      </c>
      <c r="AP198" s="40"/>
      <c r="AQ198" s="40"/>
      <c r="AR198" s="40"/>
      <c r="AS198" s="40"/>
      <c r="AT198" s="40"/>
      <c r="AU198" s="40"/>
      <c r="AV198" s="40"/>
      <c r="AW198" s="40"/>
      <c r="AX198" s="40"/>
      <c r="AY198" s="40"/>
      <c r="AZ198" s="40"/>
      <c r="BA198" s="40"/>
      <c r="BB198" s="40"/>
      <c r="BC198" s="40"/>
      <c r="BD198" s="40"/>
      <c r="BE198" s="40"/>
      <c r="BF198" s="40"/>
      <c r="BG198" s="40"/>
      <c r="BH198" s="40"/>
      <c r="BI198" s="40"/>
      <c r="BJ198" s="40"/>
      <c r="BK198" s="40">
        <f>IFERROR(VLOOKUP("29_"&amp;A198,SyS!$B:$P,10,FALSE()),0)</f>
      </c>
      <c r="BL198" s="40">
        <f>IFERROR(VLOOKUP("29_"&amp;A198,SyS!$B:$P,12,FALSE()),0)</f>
      </c>
      <c r="BM198" s="40">
        <f>+BK198-BL198</f>
      </c>
      <c r="BN198" s="42">
        <f>IFERROR(VLOOKUP("30_"&amp;A198,SyS!$B:$P,10,FALSE()),0)</f>
      </c>
      <c r="BO198" s="40">
        <f>IFERROR(VLOOKUP("30_"&amp;A198,SyS!$B:$P,12,FALSE()),0)</f>
      </c>
      <c r="BP198" s="43">
        <f>+BN198-BO198</f>
      </c>
      <c r="BQ198" s="44">
        <f>+E198+H198+K198+N198+Q198+T198+W198+Z198+AC198+AF198+AI198+AL198+AO198+AR198+AU198+AX198+BA198+BD198+BG198+BJ198+BM198+BP198</f>
      </c>
    </row>
    <row r="199" ht="11.25" customHeight="1" spans="1:69" x14ac:dyDescent="0.25">
      <c r="A199" s="9">
        <v>421810000</v>
      </c>
      <c r="B199" s="9" t="s">
        <v>236</v>
      </c>
      <c r="C199" s="34">
        <f>IFERROR(VLOOKUP("1_"&amp;A199,SyS!$B:$P,10,FALSE()),0)</f>
      </c>
      <c r="D199" s="35">
        <f>IFERROR(VLOOKUP("1_"&amp;A199,SyS!$B:$P,12,FALSE()),0)</f>
      </c>
      <c r="E199" s="35">
        <f>+C199-D199</f>
      </c>
      <c r="F199" s="34">
        <f>IFERROR(VLOOKUP("2_"&amp;A199,SyS!$B:$P,10,FALSE()),0)</f>
      </c>
      <c r="G199" s="35">
        <f>IFERROR(VLOOKUP("2_"&amp;A199,SyS!$B:$P,12,FALSE()),0)</f>
      </c>
      <c r="H199" s="36">
        <f>+F199-G199</f>
      </c>
      <c r="I199" s="35"/>
      <c r="J199" s="35"/>
      <c r="K199" s="35"/>
      <c r="L199" s="35"/>
      <c r="M199" s="35"/>
      <c r="N199" s="35"/>
      <c r="O199" s="34">
        <f>IFERROR(VLOOKUP("14_"&amp;A199,SyS!$B:$P,10,FALSE()),0)</f>
      </c>
      <c r="P199" s="35">
        <f>IFERROR(VLOOKUP("14_"&amp;A199,SyS!$B:$P,12,FALSE()),0)</f>
      </c>
      <c r="Q199" s="36">
        <f>+O199-P199</f>
      </c>
      <c r="R199" s="34">
        <f>IFERROR(VLOOKUP("15_"&amp;A199,SyS!$B:$P,10,FALSE()),0)</f>
      </c>
      <c r="S199" s="35">
        <f>IFERROR(VLOOKUP("15_"&amp;A199,SyS!$B:$P,12,FALSE()),0)</f>
      </c>
      <c r="T199" s="36">
        <f>+R199-S199</f>
      </c>
      <c r="U199" s="34">
        <f>IFERROR(VLOOKUP("16_"&amp;A199,SyS!$B:$P,10,FALSE()),0)</f>
      </c>
      <c r="V199" s="35">
        <f>IFERROR(VLOOKUP("16_"&amp;A199,SyS!$B:$P,12,FALSE()),0)</f>
      </c>
      <c r="W199" s="36">
        <f>+U199-V199</f>
      </c>
      <c r="X199" s="34">
        <f>IFERROR(VLOOKUP("13_"&amp;A199,SyS!$B:$P,10,FALSE()),0)</f>
      </c>
      <c r="Y199" s="35">
        <f>IFERROR(VLOOKUP("13_"&amp;A199,SyS!$B:$P,12,FALSE()),0)</f>
      </c>
      <c r="Z199" s="36">
        <f>+X199-Y199</f>
      </c>
      <c r="AA199" s="34">
        <f>IFERROR(VLOOKUP("17_"&amp;A199,SyS!$B:$P,10,FALSE()),0)</f>
      </c>
      <c r="AB199" s="35">
        <f>IFERROR(VLOOKUP("17_"&amp;A199,SyS!$B:$P,12,FALSE()),0)</f>
      </c>
      <c r="AC199" s="36">
        <f>+AA199-AB199</f>
      </c>
      <c r="AD199" s="35"/>
      <c r="AE199" s="35"/>
      <c r="AF199" s="35"/>
      <c r="AG199" s="35">
        <f>IFERROR(VLOOKUP("19_"&amp;A199,SyS!$B:$P,10,FALSE()),0)</f>
      </c>
      <c r="AH199" s="35">
        <f>IFERROR(VLOOKUP("19_"&amp;A199,SyS!$B:$P,12,FALSE()),0)</f>
      </c>
      <c r="AI199" s="35">
        <f>+AG199-AH199</f>
      </c>
      <c r="AJ199" s="35"/>
      <c r="AK199" s="35"/>
      <c r="AL199" s="35"/>
      <c r="AM199" s="34">
        <f>IFERROR(VLOOKUP("23_"&amp;A199,SyS!$B:$P,10,FALSE()),0)</f>
      </c>
      <c r="AN199" s="35">
        <f>IFERROR(VLOOKUP("23_"&amp;A199,SyS!$B:$P,12,FALSE()),0)</f>
      </c>
      <c r="AO199" s="36">
        <f>+AM199-AN199</f>
      </c>
      <c r="AP199" s="40"/>
      <c r="AQ199" s="40"/>
      <c r="AR199" s="40"/>
      <c r="AS199" s="40"/>
      <c r="AT199" s="40"/>
      <c r="AU199" s="40"/>
      <c r="AV199" s="40"/>
      <c r="AW199" s="40"/>
      <c r="AX199" s="40"/>
      <c r="AY199" s="40"/>
      <c r="AZ199" s="40"/>
      <c r="BA199" s="40"/>
      <c r="BB199" s="40"/>
      <c r="BC199" s="40"/>
      <c r="BD199" s="40"/>
      <c r="BE199" s="40"/>
      <c r="BF199" s="40"/>
      <c r="BG199" s="40"/>
      <c r="BH199" s="40"/>
      <c r="BI199" s="40"/>
      <c r="BJ199" s="40"/>
      <c r="BK199" s="40">
        <f>IFERROR(VLOOKUP("29_"&amp;A199,SyS!$B:$P,10,FALSE()),0)</f>
      </c>
      <c r="BL199" s="40">
        <f>IFERROR(VLOOKUP("29_"&amp;A199,SyS!$B:$P,12,FALSE()),0)</f>
      </c>
      <c r="BM199" s="40">
        <f>+BK199-BL199</f>
      </c>
      <c r="BN199" s="42">
        <f>IFERROR(VLOOKUP("30_"&amp;A199,SyS!$B:$P,10,FALSE()),0)</f>
      </c>
      <c r="BO199" s="40">
        <f>IFERROR(VLOOKUP("30_"&amp;A199,SyS!$B:$P,12,FALSE()),0)</f>
      </c>
      <c r="BP199" s="43">
        <f>+BN199-BO199</f>
      </c>
      <c r="BQ199" s="44">
        <f>+E199+H199+K199+N199+Q199+T199+W199+Z199+AC199+AF199+AI199+AL199+AO199+AR199+AU199+AX199+BA199+BD199+BG199+BJ199+BM199+BP199</f>
      </c>
    </row>
    <row r="200" ht="11.25" customHeight="1" spans="1:69" x14ac:dyDescent="0.25">
      <c r="A200" s="9">
        <v>421820000</v>
      </c>
      <c r="B200" s="9" t="s">
        <v>237</v>
      </c>
      <c r="C200" s="34">
        <f>IFERROR(VLOOKUP("1_"&amp;A200,SyS!$B:$P,10,FALSE()),0)</f>
      </c>
      <c r="D200" s="35">
        <f>IFERROR(VLOOKUP("1_"&amp;A200,SyS!$B:$P,12,FALSE()),0)</f>
      </c>
      <c r="E200" s="35">
        <f>+C200-D200</f>
      </c>
      <c r="F200" s="34">
        <f>IFERROR(VLOOKUP("2_"&amp;A200,SyS!$B:$P,10,FALSE()),0)</f>
      </c>
      <c r="G200" s="35">
        <f>IFERROR(VLOOKUP("2_"&amp;A200,SyS!$B:$P,12,FALSE()),0)</f>
      </c>
      <c r="H200" s="36">
        <f>+F200-G200</f>
      </c>
      <c r="I200" s="35"/>
      <c r="J200" s="35"/>
      <c r="K200" s="35"/>
      <c r="L200" s="35"/>
      <c r="M200" s="35"/>
      <c r="N200" s="35"/>
      <c r="O200" s="34">
        <f>IFERROR(VLOOKUP("14_"&amp;A200,SyS!$B:$P,10,FALSE()),0)</f>
      </c>
      <c r="P200" s="35">
        <f>IFERROR(VLOOKUP("14_"&amp;A200,SyS!$B:$P,12,FALSE()),0)</f>
      </c>
      <c r="Q200" s="36">
        <f>+O200-P200</f>
      </c>
      <c r="R200" s="34">
        <f>IFERROR(VLOOKUP("15_"&amp;A200,SyS!$B:$P,10,FALSE()),0)</f>
      </c>
      <c r="S200" s="35">
        <f>IFERROR(VLOOKUP("15_"&amp;A200,SyS!$B:$P,12,FALSE()),0)</f>
      </c>
      <c r="T200" s="36">
        <f>+R200-S200</f>
      </c>
      <c r="U200" s="34">
        <f>IFERROR(VLOOKUP("16_"&amp;A200,SyS!$B:$P,10,FALSE()),0)</f>
      </c>
      <c r="V200" s="35">
        <f>IFERROR(VLOOKUP("16_"&amp;A200,SyS!$B:$P,12,FALSE()),0)</f>
      </c>
      <c r="W200" s="36">
        <f>+U200-V200</f>
      </c>
      <c r="X200" s="34">
        <f>IFERROR(VLOOKUP("13_"&amp;A200,SyS!$B:$P,10,FALSE()),0)</f>
      </c>
      <c r="Y200" s="35">
        <f>IFERROR(VLOOKUP("13_"&amp;A200,SyS!$B:$P,12,FALSE()),0)</f>
      </c>
      <c r="Z200" s="36">
        <f>+X200-Y200</f>
      </c>
      <c r="AA200" s="34">
        <f>IFERROR(VLOOKUP("17_"&amp;A200,SyS!$B:$P,10,FALSE()),0)</f>
      </c>
      <c r="AB200" s="35">
        <f>IFERROR(VLOOKUP("17_"&amp;A200,SyS!$B:$P,12,FALSE()),0)</f>
      </c>
      <c r="AC200" s="36">
        <f>+AA200-AB200</f>
      </c>
      <c r="AD200" s="35"/>
      <c r="AE200" s="35"/>
      <c r="AF200" s="35"/>
      <c r="AG200" s="35">
        <f>IFERROR(VLOOKUP("19_"&amp;A200,SyS!$B:$P,10,FALSE()),0)</f>
      </c>
      <c r="AH200" s="35">
        <f>IFERROR(VLOOKUP("19_"&amp;A200,SyS!$B:$P,12,FALSE()),0)</f>
      </c>
      <c r="AI200" s="35">
        <f>+AG200-AH200</f>
      </c>
      <c r="AJ200" s="35"/>
      <c r="AK200" s="35"/>
      <c r="AL200" s="35"/>
      <c r="AM200" s="34">
        <f>IFERROR(VLOOKUP("23_"&amp;A200,SyS!$B:$P,10,FALSE()),0)</f>
      </c>
      <c r="AN200" s="35">
        <f>IFERROR(VLOOKUP("23_"&amp;A200,SyS!$B:$P,12,FALSE()),0)</f>
      </c>
      <c r="AO200" s="36">
        <f>+AM200-AN200</f>
      </c>
      <c r="AP200" s="40"/>
      <c r="AQ200" s="40"/>
      <c r="AR200" s="40"/>
      <c r="AS200" s="40"/>
      <c r="AT200" s="40"/>
      <c r="AU200" s="40"/>
      <c r="AV200" s="40"/>
      <c r="AW200" s="40"/>
      <c r="AX200" s="40"/>
      <c r="AY200" s="40"/>
      <c r="AZ200" s="40"/>
      <c r="BA200" s="40"/>
      <c r="BB200" s="40"/>
      <c r="BC200" s="40"/>
      <c r="BD200" s="40"/>
      <c r="BE200" s="40"/>
      <c r="BF200" s="40"/>
      <c r="BG200" s="40"/>
      <c r="BH200" s="40"/>
      <c r="BI200" s="40"/>
      <c r="BJ200" s="40"/>
      <c r="BK200" s="40">
        <f>IFERROR(VLOOKUP("29_"&amp;A200,SyS!$B:$P,10,FALSE()),0)</f>
      </c>
      <c r="BL200" s="40">
        <f>IFERROR(VLOOKUP("29_"&amp;A200,SyS!$B:$P,12,FALSE()),0)</f>
      </c>
      <c r="BM200" s="40">
        <f>+BK200-BL200</f>
      </c>
      <c r="BN200" s="42">
        <f>IFERROR(VLOOKUP("30_"&amp;A200,SyS!$B:$P,10,FALSE()),0)</f>
      </c>
      <c r="BO200" s="40">
        <f>IFERROR(VLOOKUP("30_"&amp;A200,SyS!$B:$P,12,FALSE()),0)</f>
      </c>
      <c r="BP200" s="43">
        <f>+BN200-BO200</f>
      </c>
      <c r="BQ200" s="44">
        <f>+E200+H200+K200+N200+Q200+T200+W200+Z200+AC200+AF200+AI200+AL200+AO200+AR200+AU200+AX200+BA200+BD200+BG200+BJ200+BM200+BP200</f>
      </c>
    </row>
    <row r="201" ht="11.25" customHeight="1" spans="1:69" x14ac:dyDescent="0.25">
      <c r="A201" s="9">
        <v>421830000</v>
      </c>
      <c r="B201" s="9" t="s">
        <v>238</v>
      </c>
      <c r="C201" s="34">
        <f>IFERROR(VLOOKUP("1_"&amp;A201,SyS!$B:$P,10,FALSE()),0)</f>
      </c>
      <c r="D201" s="35">
        <f>IFERROR(VLOOKUP("1_"&amp;A201,SyS!$B:$P,12,FALSE()),0)</f>
      </c>
      <c r="E201" s="35">
        <f>+C201-D201</f>
      </c>
      <c r="F201" s="34">
        <f>IFERROR(VLOOKUP("2_"&amp;A201,SyS!$B:$P,10,FALSE()),0)</f>
      </c>
      <c r="G201" s="35">
        <f>IFERROR(VLOOKUP("2_"&amp;A201,SyS!$B:$P,12,FALSE()),0)</f>
      </c>
      <c r="H201" s="36">
        <f>+F201-G201</f>
      </c>
      <c r="I201" s="35"/>
      <c r="J201" s="35"/>
      <c r="K201" s="35"/>
      <c r="L201" s="35"/>
      <c r="M201" s="35"/>
      <c r="N201" s="35"/>
      <c r="O201" s="34">
        <f>IFERROR(VLOOKUP("14_"&amp;A201,SyS!$B:$P,10,FALSE()),0)</f>
      </c>
      <c r="P201" s="35">
        <f>IFERROR(VLOOKUP("14_"&amp;A201,SyS!$B:$P,12,FALSE()),0)</f>
      </c>
      <c r="Q201" s="36">
        <f>+O201-P201</f>
      </c>
      <c r="R201" s="34">
        <f>IFERROR(VLOOKUP("15_"&amp;A201,SyS!$B:$P,10,FALSE()),0)</f>
      </c>
      <c r="S201" s="35">
        <f>IFERROR(VLOOKUP("15_"&amp;A201,SyS!$B:$P,12,FALSE()),0)</f>
      </c>
      <c r="T201" s="36">
        <f>+R201-S201</f>
      </c>
      <c r="U201" s="34">
        <f>IFERROR(VLOOKUP("16_"&amp;A201,SyS!$B:$P,10,FALSE()),0)</f>
      </c>
      <c r="V201" s="35">
        <f>IFERROR(VLOOKUP("16_"&amp;A201,SyS!$B:$P,12,FALSE()),0)</f>
      </c>
      <c r="W201" s="36">
        <f>+U201-V201</f>
      </c>
      <c r="X201" s="34">
        <f>IFERROR(VLOOKUP("13_"&amp;A201,SyS!$B:$P,10,FALSE()),0)</f>
      </c>
      <c r="Y201" s="35">
        <f>IFERROR(VLOOKUP("13_"&amp;A201,SyS!$B:$P,12,FALSE()),0)</f>
      </c>
      <c r="Z201" s="36">
        <f>+X201-Y201</f>
      </c>
      <c r="AA201" s="34">
        <f>IFERROR(VLOOKUP("17_"&amp;A201,SyS!$B:$P,10,FALSE()),0)</f>
      </c>
      <c r="AB201" s="35">
        <f>IFERROR(VLOOKUP("17_"&amp;A201,SyS!$B:$P,12,FALSE()),0)</f>
      </c>
      <c r="AC201" s="36">
        <f>+AA201-AB201</f>
      </c>
      <c r="AD201" s="35"/>
      <c r="AE201" s="35"/>
      <c r="AF201" s="35"/>
      <c r="AG201" s="35">
        <f>IFERROR(VLOOKUP("19_"&amp;A201,SyS!$B:$P,10,FALSE()),0)</f>
      </c>
      <c r="AH201" s="35">
        <f>IFERROR(VLOOKUP("19_"&amp;A201,SyS!$B:$P,12,FALSE()),0)</f>
      </c>
      <c r="AI201" s="35">
        <f>+AG201-AH201</f>
      </c>
      <c r="AJ201" s="35"/>
      <c r="AK201" s="35"/>
      <c r="AL201" s="35"/>
      <c r="AM201" s="34">
        <f>IFERROR(VLOOKUP("23_"&amp;A201,SyS!$B:$P,10,FALSE()),0)</f>
      </c>
      <c r="AN201" s="35">
        <f>IFERROR(VLOOKUP("23_"&amp;A201,SyS!$B:$P,12,FALSE()),0)</f>
      </c>
      <c r="AO201" s="36">
        <f>+AM201-AN201</f>
      </c>
      <c r="AP201" s="40"/>
      <c r="AQ201" s="40"/>
      <c r="AR201" s="40"/>
      <c r="AS201" s="40"/>
      <c r="AT201" s="40"/>
      <c r="AU201" s="40"/>
      <c r="AV201" s="40"/>
      <c r="AW201" s="40"/>
      <c r="AX201" s="40"/>
      <c r="AY201" s="40"/>
      <c r="AZ201" s="40"/>
      <c r="BA201" s="40"/>
      <c r="BB201" s="40"/>
      <c r="BC201" s="40"/>
      <c r="BD201" s="40"/>
      <c r="BE201" s="40"/>
      <c r="BF201" s="40"/>
      <c r="BG201" s="40"/>
      <c r="BH201" s="40"/>
      <c r="BI201" s="40"/>
      <c r="BJ201" s="40"/>
      <c r="BK201" s="40">
        <f>IFERROR(VLOOKUP("29_"&amp;A201,SyS!$B:$P,10,FALSE()),0)</f>
      </c>
      <c r="BL201" s="40">
        <f>IFERROR(VLOOKUP("29_"&amp;A201,SyS!$B:$P,12,FALSE()),0)</f>
      </c>
      <c r="BM201" s="40">
        <f>+BK201-BL201</f>
      </c>
      <c r="BN201" s="42">
        <f>IFERROR(VLOOKUP("30_"&amp;A201,SyS!$B:$P,10,FALSE()),0)</f>
      </c>
      <c r="BO201" s="40">
        <f>IFERROR(VLOOKUP("30_"&amp;A201,SyS!$B:$P,12,FALSE()),0)</f>
      </c>
      <c r="BP201" s="43">
        <f>+BN201-BO201</f>
      </c>
      <c r="BQ201" s="44">
        <f>+E201+H201+K201+N201+Q201+T201+W201+Z201+AC201+AF201+AI201+AL201+AO201+AR201+AU201+AX201+BA201+BD201+BG201+BJ201+BM201+BP201</f>
      </c>
    </row>
    <row r="202" ht="11.25" customHeight="1" spans="1:69" x14ac:dyDescent="0.25">
      <c r="A202" s="9">
        <v>421840000</v>
      </c>
      <c r="B202" s="9" t="s">
        <v>239</v>
      </c>
      <c r="C202" s="34">
        <f>IFERROR(VLOOKUP("1_"&amp;A202,SyS!$B:$P,10,FALSE()),0)</f>
      </c>
      <c r="D202" s="35">
        <f>IFERROR(VLOOKUP("1_"&amp;A202,SyS!$B:$P,12,FALSE()),0)</f>
      </c>
      <c r="E202" s="35">
        <f>+C202-D202</f>
      </c>
      <c r="F202" s="34">
        <f>IFERROR(VLOOKUP("2_"&amp;A202,SyS!$B:$P,10,FALSE()),0)</f>
      </c>
      <c r="G202" s="35">
        <f>IFERROR(VLOOKUP("2_"&amp;A202,SyS!$B:$P,12,FALSE()),0)</f>
      </c>
      <c r="H202" s="36">
        <f>+F202-G202</f>
      </c>
      <c r="I202" s="35"/>
      <c r="J202" s="35"/>
      <c r="K202" s="35"/>
      <c r="L202" s="35"/>
      <c r="M202" s="35"/>
      <c r="N202" s="35"/>
      <c r="O202" s="34">
        <f>IFERROR(VLOOKUP("14_"&amp;A202,SyS!$B:$P,10,FALSE()),0)</f>
      </c>
      <c r="P202" s="35">
        <f>IFERROR(VLOOKUP("14_"&amp;A202,SyS!$B:$P,12,FALSE()),0)</f>
      </c>
      <c r="Q202" s="36">
        <f>+O202-P202</f>
      </c>
      <c r="R202" s="34">
        <f>IFERROR(VLOOKUP("15_"&amp;A202,SyS!$B:$P,10,FALSE()),0)</f>
      </c>
      <c r="S202" s="35">
        <f>IFERROR(VLOOKUP("15_"&amp;A202,SyS!$B:$P,12,FALSE()),0)</f>
      </c>
      <c r="T202" s="36">
        <f>+R202-S202</f>
      </c>
      <c r="U202" s="34">
        <f>IFERROR(VLOOKUP("16_"&amp;A202,SyS!$B:$P,10,FALSE()),0)</f>
      </c>
      <c r="V202" s="35">
        <f>IFERROR(VLOOKUP("16_"&amp;A202,SyS!$B:$P,12,FALSE()),0)</f>
      </c>
      <c r="W202" s="36">
        <f>+U202-V202</f>
      </c>
      <c r="X202" s="34">
        <f>IFERROR(VLOOKUP("13_"&amp;A202,SyS!$B:$P,10,FALSE()),0)</f>
      </c>
      <c r="Y202" s="35">
        <f>IFERROR(VLOOKUP("13_"&amp;A202,SyS!$B:$P,12,FALSE()),0)</f>
      </c>
      <c r="Z202" s="36">
        <f>+X202-Y202</f>
      </c>
      <c r="AA202" s="34">
        <f>IFERROR(VLOOKUP("17_"&amp;A202,SyS!$B:$P,10,FALSE()),0)</f>
      </c>
      <c r="AB202" s="35">
        <f>IFERROR(VLOOKUP("17_"&amp;A202,SyS!$B:$P,12,FALSE()),0)</f>
      </c>
      <c r="AC202" s="36">
        <f>+AA202-AB202</f>
      </c>
      <c r="AD202" s="35"/>
      <c r="AE202" s="35"/>
      <c r="AF202" s="35"/>
      <c r="AG202" s="35">
        <f>IFERROR(VLOOKUP("19_"&amp;A202,SyS!$B:$P,10,FALSE()),0)</f>
      </c>
      <c r="AH202" s="35">
        <f>IFERROR(VLOOKUP("19_"&amp;A202,SyS!$B:$P,12,FALSE()),0)</f>
      </c>
      <c r="AI202" s="35">
        <f>+AG202-AH202</f>
      </c>
      <c r="AJ202" s="35"/>
      <c r="AK202" s="35"/>
      <c r="AL202" s="35"/>
      <c r="AM202" s="34">
        <f>IFERROR(VLOOKUP("23_"&amp;A202,SyS!$B:$P,10,FALSE()),0)</f>
      </c>
      <c r="AN202" s="35">
        <f>IFERROR(VLOOKUP("23_"&amp;A202,SyS!$B:$P,12,FALSE()),0)</f>
      </c>
      <c r="AO202" s="36">
        <f>+AM202-AN202</f>
      </c>
      <c r="AP202" s="40"/>
      <c r="AQ202" s="40"/>
      <c r="AR202" s="40"/>
      <c r="AS202" s="40"/>
      <c r="AT202" s="40"/>
      <c r="AU202" s="40"/>
      <c r="AV202" s="40"/>
      <c r="AW202" s="40"/>
      <c r="AX202" s="40"/>
      <c r="AY202" s="40"/>
      <c r="AZ202" s="40"/>
      <c r="BA202" s="40"/>
      <c r="BB202" s="40"/>
      <c r="BC202" s="40"/>
      <c r="BD202" s="40"/>
      <c r="BE202" s="40"/>
      <c r="BF202" s="40"/>
      <c r="BG202" s="40"/>
      <c r="BH202" s="40"/>
      <c r="BI202" s="40"/>
      <c r="BJ202" s="40"/>
      <c r="BK202" s="40">
        <f>IFERROR(VLOOKUP("29_"&amp;A202,SyS!$B:$P,10,FALSE()),0)</f>
      </c>
      <c r="BL202" s="40">
        <f>IFERROR(VLOOKUP("29_"&amp;A202,SyS!$B:$P,12,FALSE()),0)</f>
      </c>
      <c r="BM202" s="40">
        <f>+BK202-BL202</f>
      </c>
      <c r="BN202" s="42">
        <f>IFERROR(VLOOKUP("30_"&amp;A202,SyS!$B:$P,10,FALSE()),0)</f>
      </c>
      <c r="BO202" s="40">
        <f>IFERROR(VLOOKUP("30_"&amp;A202,SyS!$B:$P,12,FALSE()),0)</f>
      </c>
      <c r="BP202" s="43">
        <f>+BN202-BO202</f>
      </c>
      <c r="BQ202" s="44">
        <f>+E202+H202+K202+N202+Q202+T202+W202+Z202+AC202+AF202+AI202+AL202+AO202+AR202+AU202+AX202+BA202+BD202+BG202+BJ202+BM202+BP202</f>
      </c>
    </row>
    <row r="203" ht="11.25" customHeight="1" spans="1:69" x14ac:dyDescent="0.25">
      <c r="A203" s="9">
        <v>421850000</v>
      </c>
      <c r="B203" s="9" t="s">
        <v>240</v>
      </c>
      <c r="C203" s="34">
        <f>IFERROR(VLOOKUP("1_"&amp;A203,SyS!$B:$P,10,FALSE()),0)</f>
      </c>
      <c r="D203" s="35">
        <f>IFERROR(VLOOKUP("1_"&amp;A203,SyS!$B:$P,12,FALSE()),0)</f>
      </c>
      <c r="E203" s="35">
        <f>+C203-D203</f>
      </c>
      <c r="F203" s="34">
        <f>IFERROR(VLOOKUP("2_"&amp;A203,SyS!$B:$P,10,FALSE()),0)</f>
      </c>
      <c r="G203" s="35">
        <f>IFERROR(VLOOKUP("2_"&amp;A203,SyS!$B:$P,12,FALSE()),0)</f>
      </c>
      <c r="H203" s="36">
        <f>+F203-G203</f>
      </c>
      <c r="I203" s="35"/>
      <c r="J203" s="35"/>
      <c r="K203" s="35"/>
      <c r="L203" s="35"/>
      <c r="M203" s="35"/>
      <c r="N203" s="35"/>
      <c r="O203" s="34">
        <f>IFERROR(VLOOKUP("14_"&amp;A203,SyS!$B:$P,10,FALSE()),0)</f>
      </c>
      <c r="P203" s="35">
        <f>IFERROR(VLOOKUP("14_"&amp;A203,SyS!$B:$P,12,FALSE()),0)</f>
      </c>
      <c r="Q203" s="36">
        <f>+O203-P203</f>
      </c>
      <c r="R203" s="34">
        <f>IFERROR(VLOOKUP("15_"&amp;A203,SyS!$B:$P,10,FALSE()),0)</f>
      </c>
      <c r="S203" s="35">
        <f>IFERROR(VLOOKUP("15_"&amp;A203,SyS!$B:$P,12,FALSE()),0)</f>
      </c>
      <c r="T203" s="36">
        <f>+R203-S203</f>
      </c>
      <c r="U203" s="34">
        <f>IFERROR(VLOOKUP("16_"&amp;A203,SyS!$B:$P,10,FALSE()),0)</f>
      </c>
      <c r="V203" s="35">
        <f>IFERROR(VLOOKUP("16_"&amp;A203,SyS!$B:$P,12,FALSE()),0)</f>
      </c>
      <c r="W203" s="36">
        <f>+U203-V203</f>
      </c>
      <c r="X203" s="34">
        <f>IFERROR(VLOOKUP("13_"&amp;A203,SyS!$B:$P,10,FALSE()),0)</f>
      </c>
      <c r="Y203" s="35">
        <f>IFERROR(VLOOKUP("13_"&amp;A203,SyS!$B:$P,12,FALSE()),0)</f>
      </c>
      <c r="Z203" s="36">
        <f>+X203-Y203</f>
      </c>
      <c r="AA203" s="34">
        <f>IFERROR(VLOOKUP("17_"&amp;A203,SyS!$B:$P,10,FALSE()),0)</f>
      </c>
      <c r="AB203" s="35">
        <f>IFERROR(VLOOKUP("17_"&amp;A203,SyS!$B:$P,12,FALSE()),0)</f>
      </c>
      <c r="AC203" s="36">
        <f>+AA203-AB203</f>
      </c>
      <c r="AD203" s="35"/>
      <c r="AE203" s="35"/>
      <c r="AF203" s="35"/>
      <c r="AG203" s="35">
        <f>IFERROR(VLOOKUP("19_"&amp;A203,SyS!$B:$P,10,FALSE()),0)</f>
      </c>
      <c r="AH203" s="35">
        <f>IFERROR(VLOOKUP("19_"&amp;A203,SyS!$B:$P,12,FALSE()),0)</f>
      </c>
      <c r="AI203" s="35">
        <f>+AG203-AH203</f>
      </c>
      <c r="AJ203" s="35"/>
      <c r="AK203" s="35"/>
      <c r="AL203" s="35"/>
      <c r="AM203" s="34">
        <f>IFERROR(VLOOKUP("23_"&amp;A203,SyS!$B:$P,10,FALSE()),0)</f>
      </c>
      <c r="AN203" s="35">
        <f>IFERROR(VLOOKUP("23_"&amp;A203,SyS!$B:$P,12,FALSE()),0)</f>
      </c>
      <c r="AO203" s="36">
        <f>+AM203-AN203</f>
      </c>
      <c r="AP203" s="40"/>
      <c r="AQ203" s="40"/>
      <c r="AR203" s="40"/>
      <c r="AS203" s="40"/>
      <c r="AT203" s="40"/>
      <c r="AU203" s="40"/>
      <c r="AV203" s="40"/>
      <c r="AW203" s="40"/>
      <c r="AX203" s="40"/>
      <c r="AY203" s="40"/>
      <c r="AZ203" s="40"/>
      <c r="BA203" s="40"/>
      <c r="BB203" s="40"/>
      <c r="BC203" s="40"/>
      <c r="BD203" s="40"/>
      <c r="BE203" s="40"/>
      <c r="BF203" s="40"/>
      <c r="BG203" s="40"/>
      <c r="BH203" s="40"/>
      <c r="BI203" s="40"/>
      <c r="BJ203" s="40"/>
      <c r="BK203" s="40">
        <f>IFERROR(VLOOKUP("29_"&amp;A203,SyS!$B:$P,10,FALSE()),0)</f>
      </c>
      <c r="BL203" s="40">
        <f>IFERROR(VLOOKUP("29_"&amp;A203,SyS!$B:$P,12,FALSE()),0)</f>
      </c>
      <c r="BM203" s="40">
        <f>+BK203-BL203</f>
      </c>
      <c r="BN203" s="42">
        <f>IFERROR(VLOOKUP("30_"&amp;A203,SyS!$B:$P,10,FALSE()),0)</f>
      </c>
      <c r="BO203" s="40">
        <f>IFERROR(VLOOKUP("30_"&amp;A203,SyS!$B:$P,12,FALSE()),0)</f>
      </c>
      <c r="BP203" s="43">
        <f>+BN203-BO203</f>
      </c>
      <c r="BQ203" s="44">
        <f>+E203+H203+K203+N203+Q203+T203+W203+Z203+AC203+AF203+AI203+AL203+AO203+AR203+AU203+AX203+BA203+BD203+BG203+BJ203+BM203+BP203</f>
      </c>
    </row>
    <row r="204" ht="11.25" customHeight="1" spans="1:69" x14ac:dyDescent="0.25">
      <c r="A204" s="9">
        <v>426370000</v>
      </c>
      <c r="B204" s="9" t="s">
        <v>241</v>
      </c>
      <c r="C204" s="34">
        <f>IFERROR(VLOOKUP("1_"&amp;A204,SyS!$B:$P,10,FALSE()),0)</f>
      </c>
      <c r="D204" s="35">
        <f>IFERROR(VLOOKUP("1_"&amp;A204,SyS!$B:$P,12,FALSE()),0)</f>
      </c>
      <c r="E204" s="35">
        <f>+C204-D204</f>
      </c>
      <c r="F204" s="34">
        <f>IFERROR(VLOOKUP("2_"&amp;A204,SyS!$B:$P,10,FALSE()),0)</f>
      </c>
      <c r="G204" s="35">
        <f>IFERROR(VLOOKUP("2_"&amp;A204,SyS!$B:$P,12,FALSE()),0)</f>
      </c>
      <c r="H204" s="36">
        <f>+F204-G204</f>
      </c>
      <c r="I204" s="35"/>
      <c r="J204" s="35"/>
      <c r="K204" s="35"/>
      <c r="L204" s="35"/>
      <c r="M204" s="35"/>
      <c r="N204" s="35"/>
      <c r="O204" s="34">
        <f>IFERROR(VLOOKUP("14_"&amp;A204,SyS!$B:$P,10,FALSE()),0)</f>
      </c>
      <c r="P204" s="35">
        <f>IFERROR(VLOOKUP("14_"&amp;A204,SyS!$B:$P,12,FALSE()),0)</f>
      </c>
      <c r="Q204" s="36">
        <f>+O204-P204</f>
      </c>
      <c r="R204" s="34">
        <f>IFERROR(VLOOKUP("15_"&amp;A204,SyS!$B:$P,10,FALSE()),0)</f>
      </c>
      <c r="S204" s="35">
        <f>IFERROR(VLOOKUP("15_"&amp;A204,SyS!$B:$P,12,FALSE()),0)</f>
      </c>
      <c r="T204" s="36">
        <f>+R204-S204</f>
      </c>
      <c r="U204" s="34">
        <f>IFERROR(VLOOKUP("16_"&amp;A204,SyS!$B:$P,10,FALSE()),0)</f>
      </c>
      <c r="V204" s="35">
        <f>IFERROR(VLOOKUP("16_"&amp;A204,SyS!$B:$P,12,FALSE()),0)</f>
      </c>
      <c r="W204" s="36">
        <f>+U204-V204</f>
      </c>
      <c r="X204" s="34">
        <f>IFERROR(VLOOKUP("13_"&amp;A204,SyS!$B:$P,10,FALSE()),0)</f>
      </c>
      <c r="Y204" s="35">
        <f>IFERROR(VLOOKUP("13_"&amp;A204,SyS!$B:$P,12,FALSE()),0)</f>
      </c>
      <c r="Z204" s="36">
        <f>+X204-Y204</f>
      </c>
      <c r="AA204" s="34">
        <f>IFERROR(VLOOKUP("17_"&amp;A204,SyS!$B:$P,10,FALSE()),0)</f>
      </c>
      <c r="AB204" s="35">
        <f>IFERROR(VLOOKUP("17_"&amp;A204,SyS!$B:$P,12,FALSE()),0)</f>
      </c>
      <c r="AC204" s="36">
        <f>+AA204-AB204</f>
      </c>
      <c r="AD204" s="35"/>
      <c r="AE204" s="35"/>
      <c r="AF204" s="35"/>
      <c r="AG204" s="35">
        <f>IFERROR(VLOOKUP("19_"&amp;A204,SyS!$B:$P,10,FALSE()),0)</f>
      </c>
      <c r="AH204" s="35">
        <f>IFERROR(VLOOKUP("19_"&amp;A204,SyS!$B:$P,12,FALSE()),0)</f>
      </c>
      <c r="AI204" s="35">
        <f>+AG204-AH204</f>
      </c>
      <c r="AJ204" s="35"/>
      <c r="AK204" s="35"/>
      <c r="AL204" s="35"/>
      <c r="AM204" s="34">
        <f>IFERROR(VLOOKUP("23_"&amp;A204,SyS!$B:$P,10,FALSE()),0)</f>
      </c>
      <c r="AN204" s="35">
        <f>IFERROR(VLOOKUP("23_"&amp;A204,SyS!$B:$P,12,FALSE()),0)</f>
      </c>
      <c r="AO204" s="36">
        <f>+AM204-AN204</f>
      </c>
      <c r="AP204" s="40"/>
      <c r="AQ204" s="40"/>
      <c r="AR204" s="40"/>
      <c r="AS204" s="40"/>
      <c r="AT204" s="40"/>
      <c r="AU204" s="40"/>
      <c r="AV204" s="40"/>
      <c r="AW204" s="40"/>
      <c r="AX204" s="40"/>
      <c r="AY204" s="40"/>
      <c r="AZ204" s="40"/>
      <c r="BA204" s="40"/>
      <c r="BB204" s="40"/>
      <c r="BC204" s="40"/>
      <c r="BD204" s="40"/>
      <c r="BE204" s="40"/>
      <c r="BF204" s="40"/>
      <c r="BG204" s="40"/>
      <c r="BH204" s="40"/>
      <c r="BI204" s="40"/>
      <c r="BJ204" s="40"/>
      <c r="BK204" s="40">
        <f>IFERROR(VLOOKUP("29_"&amp;A204,SyS!$B:$P,10,FALSE()),0)</f>
      </c>
      <c r="BL204" s="40">
        <f>IFERROR(VLOOKUP("29_"&amp;A204,SyS!$B:$P,12,FALSE()),0)</f>
      </c>
      <c r="BM204" s="40">
        <f>+BK204-BL204</f>
      </c>
      <c r="BN204" s="42">
        <f>IFERROR(VLOOKUP("30_"&amp;A204,SyS!$B:$P,10,FALSE()),0)</f>
      </c>
      <c r="BO204" s="40">
        <f>IFERROR(VLOOKUP("30_"&amp;A204,SyS!$B:$P,12,FALSE()),0)</f>
      </c>
      <c r="BP204" s="43">
        <f>+BN204-BO204</f>
      </c>
      <c r="BQ204" s="44">
        <f>+E204+H204+K204+N204+Q204+T204+W204+Z204+AC204+AF204+AI204+AL204+AO204+AR204+AU204+AX204+BA204+BD204+BG204+BJ204+BM204+BP204</f>
      </c>
    </row>
    <row r="205" ht="11.25" customHeight="1" spans="1:69" x14ac:dyDescent="0.25">
      <c r="A205" s="9">
        <v>426860000</v>
      </c>
      <c r="B205" s="9" t="s">
        <v>242</v>
      </c>
      <c r="C205" s="34">
        <f>IFERROR(VLOOKUP("1_"&amp;A205,SyS!$B:$P,10,FALSE()),0)</f>
      </c>
      <c r="D205" s="35">
        <f>IFERROR(VLOOKUP("1_"&amp;A205,SyS!$B:$P,12,FALSE()),0)</f>
      </c>
      <c r="E205" s="35">
        <f>+C205-D205</f>
      </c>
      <c r="F205" s="34">
        <f>IFERROR(VLOOKUP("2_"&amp;A205,SyS!$B:$P,10,FALSE()),0)</f>
      </c>
      <c r="G205" s="35">
        <f>IFERROR(VLOOKUP("2_"&amp;A205,SyS!$B:$P,12,FALSE()),0)</f>
      </c>
      <c r="H205" s="36">
        <f>+F205-G205</f>
      </c>
      <c r="I205" s="35"/>
      <c r="J205" s="35"/>
      <c r="K205" s="35"/>
      <c r="L205" s="35"/>
      <c r="M205" s="35"/>
      <c r="N205" s="35"/>
      <c r="O205" s="34">
        <f>IFERROR(VLOOKUP("14_"&amp;A205,SyS!$B:$P,10,FALSE()),0)</f>
      </c>
      <c r="P205" s="35">
        <f>IFERROR(VLOOKUP("14_"&amp;A205,SyS!$B:$P,12,FALSE()),0)</f>
      </c>
      <c r="Q205" s="36">
        <f>+O205-P205</f>
      </c>
      <c r="R205" s="34">
        <f>IFERROR(VLOOKUP("15_"&amp;A205,SyS!$B:$P,10,FALSE()),0)</f>
      </c>
      <c r="S205" s="35">
        <f>IFERROR(VLOOKUP("15_"&amp;A205,SyS!$B:$P,12,FALSE()),0)</f>
      </c>
      <c r="T205" s="36">
        <f>+R205-S205</f>
      </c>
      <c r="U205" s="34">
        <f>IFERROR(VLOOKUP("16_"&amp;A205,SyS!$B:$P,10,FALSE()),0)</f>
      </c>
      <c r="V205" s="35">
        <f>IFERROR(VLOOKUP("16_"&amp;A205,SyS!$B:$P,12,FALSE()),0)</f>
      </c>
      <c r="W205" s="36">
        <f>+U205-V205</f>
      </c>
      <c r="X205" s="34">
        <f>IFERROR(VLOOKUP("13_"&amp;A205,SyS!$B:$P,10,FALSE()),0)</f>
      </c>
      <c r="Y205" s="35">
        <f>IFERROR(VLOOKUP("13_"&amp;A205,SyS!$B:$P,12,FALSE()),0)</f>
      </c>
      <c r="Z205" s="36">
        <f>+X205-Y205</f>
      </c>
      <c r="AA205" s="34">
        <f>IFERROR(VLOOKUP("17_"&amp;A205,SyS!$B:$P,10,FALSE()),0)</f>
      </c>
      <c r="AB205" s="35">
        <f>IFERROR(VLOOKUP("17_"&amp;A205,SyS!$B:$P,12,FALSE()),0)</f>
      </c>
      <c r="AC205" s="36">
        <f>+AA205-AB205</f>
      </c>
      <c r="AD205" s="35"/>
      <c r="AE205" s="35"/>
      <c r="AF205" s="35"/>
      <c r="AG205" s="35">
        <f>IFERROR(VLOOKUP("19_"&amp;A205,SyS!$B:$P,10,FALSE()),0)</f>
      </c>
      <c r="AH205" s="35">
        <f>IFERROR(VLOOKUP("19_"&amp;A205,SyS!$B:$P,12,FALSE()),0)</f>
      </c>
      <c r="AI205" s="35">
        <f>+AG205-AH205</f>
      </c>
      <c r="AJ205" s="35"/>
      <c r="AK205" s="35"/>
      <c r="AL205" s="35"/>
      <c r="AM205" s="34">
        <f>IFERROR(VLOOKUP("23_"&amp;A205,SyS!$B:$P,10,FALSE()),0)</f>
      </c>
      <c r="AN205" s="35">
        <f>IFERROR(VLOOKUP("23_"&amp;A205,SyS!$B:$P,12,FALSE()),0)</f>
      </c>
      <c r="AO205" s="36">
        <f>+AM205-AN205</f>
      </c>
      <c r="AP205" s="40"/>
      <c r="AQ205" s="40"/>
      <c r="AR205" s="40"/>
      <c r="AS205" s="40"/>
      <c r="AT205" s="40"/>
      <c r="AU205" s="40"/>
      <c r="AV205" s="40"/>
      <c r="AW205" s="40"/>
      <c r="AX205" s="40"/>
      <c r="AY205" s="40"/>
      <c r="AZ205" s="40"/>
      <c r="BA205" s="40"/>
      <c r="BB205" s="40"/>
      <c r="BC205" s="40"/>
      <c r="BD205" s="40"/>
      <c r="BE205" s="40"/>
      <c r="BF205" s="40"/>
      <c r="BG205" s="40"/>
      <c r="BH205" s="40"/>
      <c r="BI205" s="40"/>
      <c r="BJ205" s="40"/>
      <c r="BK205" s="40">
        <f>IFERROR(VLOOKUP("29_"&amp;A205,SyS!$B:$P,10,FALSE()),0)</f>
      </c>
      <c r="BL205" s="40">
        <f>IFERROR(VLOOKUP("29_"&amp;A205,SyS!$B:$P,12,FALSE()),0)</f>
      </c>
      <c r="BM205" s="40">
        <f>+BK205-BL205</f>
      </c>
      <c r="BN205" s="42">
        <f>IFERROR(VLOOKUP("30_"&amp;A205,SyS!$B:$P,10,FALSE()),0)</f>
      </c>
      <c r="BO205" s="40">
        <f>IFERROR(VLOOKUP("30_"&amp;A205,SyS!$B:$P,12,FALSE()),0)</f>
      </c>
      <c r="BP205" s="43">
        <f>+BN205-BO205</f>
      </c>
      <c r="BQ205" s="44">
        <f>+E205+H205+K205+N205+Q205+T205+W205+Z205+AC205+AF205+AI205+AL205+AO205+AR205+AU205+AX205+BA205+BD205+BG205+BJ205+BM205+BP205</f>
      </c>
    </row>
    <row r="206" ht="11.25" customHeight="1" spans="1:69" x14ac:dyDescent="0.25">
      <c r="A206" s="9">
        <v>426850000</v>
      </c>
      <c r="B206" s="9" t="s">
        <v>243</v>
      </c>
      <c r="C206" s="34">
        <f>IFERROR(VLOOKUP("1_"&amp;A206,SyS!$B:$P,10,FALSE()),0)</f>
      </c>
      <c r="D206" s="35">
        <f>IFERROR(VLOOKUP("1_"&amp;A206,SyS!$B:$P,12,FALSE()),0)</f>
      </c>
      <c r="E206" s="35">
        <f>+C206-D206</f>
      </c>
      <c r="F206" s="34">
        <f>IFERROR(VLOOKUP("2_"&amp;A206,SyS!$B:$P,10,FALSE()),0)</f>
      </c>
      <c r="G206" s="35">
        <f>IFERROR(VLOOKUP("2_"&amp;A206,SyS!$B:$P,12,FALSE()),0)</f>
      </c>
      <c r="H206" s="36">
        <f>+F206-G206</f>
      </c>
      <c r="I206" s="35"/>
      <c r="J206" s="35"/>
      <c r="K206" s="35"/>
      <c r="L206" s="35"/>
      <c r="M206" s="35"/>
      <c r="N206" s="35"/>
      <c r="O206" s="34">
        <f>IFERROR(VLOOKUP("14_"&amp;A206,SyS!$B:$P,10,FALSE()),0)</f>
      </c>
      <c r="P206" s="35">
        <f>IFERROR(VLOOKUP("14_"&amp;A206,SyS!$B:$P,12,FALSE()),0)</f>
      </c>
      <c r="Q206" s="36">
        <f>+O206-P206</f>
      </c>
      <c r="R206" s="34">
        <f>IFERROR(VLOOKUP("15_"&amp;A206,SyS!$B:$P,10,FALSE()),0)</f>
      </c>
      <c r="S206" s="35">
        <f>IFERROR(VLOOKUP("15_"&amp;A206,SyS!$B:$P,12,FALSE()),0)</f>
      </c>
      <c r="T206" s="36">
        <f>+R206-S206</f>
      </c>
      <c r="U206" s="34">
        <f>IFERROR(VLOOKUP("16_"&amp;A206,SyS!$B:$P,10,FALSE()),0)</f>
      </c>
      <c r="V206" s="35">
        <f>IFERROR(VLOOKUP("16_"&amp;A206,SyS!$B:$P,12,FALSE()),0)</f>
      </c>
      <c r="W206" s="36">
        <f>+U206-V206</f>
      </c>
      <c r="X206" s="34">
        <f>IFERROR(VLOOKUP("13_"&amp;A206,SyS!$B:$P,10,FALSE()),0)</f>
      </c>
      <c r="Y206" s="35">
        <f>IFERROR(VLOOKUP("13_"&amp;A206,SyS!$B:$P,12,FALSE()),0)</f>
      </c>
      <c r="Z206" s="36">
        <f>+X206-Y206</f>
      </c>
      <c r="AA206" s="34">
        <f>IFERROR(VLOOKUP("17_"&amp;A206,SyS!$B:$P,10,FALSE()),0)</f>
      </c>
      <c r="AB206" s="35">
        <f>IFERROR(VLOOKUP("17_"&amp;A206,SyS!$B:$P,12,FALSE()),0)</f>
      </c>
      <c r="AC206" s="36">
        <f>+AA206-AB206</f>
      </c>
      <c r="AD206" s="35"/>
      <c r="AE206" s="35"/>
      <c r="AF206" s="35"/>
      <c r="AG206" s="35">
        <f>IFERROR(VLOOKUP("19_"&amp;A206,SyS!$B:$P,10,FALSE()),0)</f>
      </c>
      <c r="AH206" s="35">
        <f>IFERROR(VLOOKUP("19_"&amp;A206,SyS!$B:$P,12,FALSE()),0)</f>
      </c>
      <c r="AI206" s="35">
        <f>+AG206-AH206</f>
      </c>
      <c r="AJ206" s="35"/>
      <c r="AK206" s="35"/>
      <c r="AL206" s="35"/>
      <c r="AM206" s="34">
        <f>IFERROR(VLOOKUP("23_"&amp;A206,SyS!$B:$P,10,FALSE()),0)</f>
      </c>
      <c r="AN206" s="35">
        <f>IFERROR(VLOOKUP("23_"&amp;A206,SyS!$B:$P,12,FALSE()),0)</f>
      </c>
      <c r="AO206" s="36">
        <f>+AM206-AN206</f>
      </c>
      <c r="AP206" s="40"/>
      <c r="AQ206" s="40"/>
      <c r="AR206" s="40"/>
      <c r="AS206" s="40"/>
      <c r="AT206" s="40"/>
      <c r="AU206" s="40"/>
      <c r="AV206" s="40"/>
      <c r="AW206" s="40"/>
      <c r="AX206" s="40"/>
      <c r="AY206" s="40"/>
      <c r="AZ206" s="40"/>
      <c r="BA206" s="40"/>
      <c r="BB206" s="40"/>
      <c r="BC206" s="40"/>
      <c r="BD206" s="40"/>
      <c r="BE206" s="40"/>
      <c r="BF206" s="40"/>
      <c r="BG206" s="40"/>
      <c r="BH206" s="40"/>
      <c r="BI206" s="40"/>
      <c r="BJ206" s="40"/>
      <c r="BK206" s="40">
        <f>IFERROR(VLOOKUP("29_"&amp;A206,SyS!$B:$P,10,FALSE()),0)</f>
      </c>
      <c r="BL206" s="40">
        <f>IFERROR(VLOOKUP("29_"&amp;A206,SyS!$B:$P,12,FALSE()),0)</f>
      </c>
      <c r="BM206" s="40">
        <f>+BK206-BL206</f>
      </c>
      <c r="BN206" s="42">
        <f>IFERROR(VLOOKUP("30_"&amp;A206,SyS!$B:$P,10,FALSE()),0)</f>
      </c>
      <c r="BO206" s="40">
        <f>IFERROR(VLOOKUP("30_"&amp;A206,SyS!$B:$P,12,FALSE()),0)</f>
      </c>
      <c r="BP206" s="43">
        <f>+BN206-BO206</f>
      </c>
      <c r="BQ206" s="44">
        <f>+E206+H206+K206+N206+Q206+T206+W206+Z206+AC206+AF206+AI206+AL206+AO206+AR206+AU206+AX206+BA206+BD206+BG206+BJ206+BM206+BP206</f>
      </c>
    </row>
    <row r="207" ht="11.25" customHeight="1" spans="1:69" x14ac:dyDescent="0.25">
      <c r="A207" s="9">
        <v>426870000</v>
      </c>
      <c r="B207" s="9" t="s">
        <v>244</v>
      </c>
      <c r="C207" s="34">
        <f>IFERROR(VLOOKUP("1_"&amp;A207,SyS!$B:$P,10,FALSE()),0)</f>
      </c>
      <c r="D207" s="35">
        <f>IFERROR(VLOOKUP("1_"&amp;A207,SyS!$B:$P,12,FALSE()),0)</f>
      </c>
      <c r="E207" s="35">
        <f>+C207-D207</f>
      </c>
      <c r="F207" s="34">
        <f>IFERROR(VLOOKUP("2_"&amp;A207,SyS!$B:$P,10,FALSE()),0)</f>
      </c>
      <c r="G207" s="35">
        <f>IFERROR(VLOOKUP("2_"&amp;A207,SyS!$B:$P,12,FALSE()),0)</f>
      </c>
      <c r="H207" s="36">
        <f>+F207-G207</f>
      </c>
      <c r="I207" s="35"/>
      <c r="J207" s="35"/>
      <c r="K207" s="35"/>
      <c r="L207" s="35"/>
      <c r="M207" s="35"/>
      <c r="N207" s="35"/>
      <c r="O207" s="34">
        <f>IFERROR(VLOOKUP("14_"&amp;A207,SyS!$B:$P,10,FALSE()),0)</f>
      </c>
      <c r="P207" s="35">
        <f>IFERROR(VLOOKUP("14_"&amp;A207,SyS!$B:$P,12,FALSE()),0)</f>
      </c>
      <c r="Q207" s="36">
        <f>+O207-P207</f>
      </c>
      <c r="R207" s="34">
        <f>IFERROR(VLOOKUP("15_"&amp;A207,SyS!$B:$P,10,FALSE()),0)</f>
      </c>
      <c r="S207" s="35">
        <f>IFERROR(VLOOKUP("15_"&amp;A207,SyS!$B:$P,12,FALSE()),0)</f>
      </c>
      <c r="T207" s="36">
        <f>+R207-S207</f>
      </c>
      <c r="U207" s="34">
        <f>IFERROR(VLOOKUP("16_"&amp;A207,SyS!$B:$P,10,FALSE()),0)</f>
      </c>
      <c r="V207" s="35">
        <f>IFERROR(VLOOKUP("16_"&amp;A207,SyS!$B:$P,12,FALSE()),0)</f>
      </c>
      <c r="W207" s="36">
        <f>+U207-V207</f>
      </c>
      <c r="X207" s="34">
        <f>IFERROR(VLOOKUP("13_"&amp;A207,SyS!$B:$P,10,FALSE()),0)</f>
      </c>
      <c r="Y207" s="35">
        <f>IFERROR(VLOOKUP("13_"&amp;A207,SyS!$B:$P,12,FALSE()),0)</f>
      </c>
      <c r="Z207" s="36">
        <f>+X207-Y207</f>
      </c>
      <c r="AA207" s="34">
        <f>IFERROR(VLOOKUP("17_"&amp;A207,SyS!$B:$P,10,FALSE()),0)</f>
      </c>
      <c r="AB207" s="35">
        <f>IFERROR(VLOOKUP("17_"&amp;A207,SyS!$B:$P,12,FALSE()),0)</f>
      </c>
      <c r="AC207" s="36">
        <f>+AA207-AB207</f>
      </c>
      <c r="AD207" s="35"/>
      <c r="AE207" s="35"/>
      <c r="AF207" s="35"/>
      <c r="AG207" s="35">
        <f>IFERROR(VLOOKUP("19_"&amp;A207,SyS!$B:$P,10,FALSE()),0)</f>
      </c>
      <c r="AH207" s="35">
        <f>IFERROR(VLOOKUP("19_"&amp;A207,SyS!$B:$P,12,FALSE()),0)</f>
      </c>
      <c r="AI207" s="35">
        <f>+AG207-AH207</f>
      </c>
      <c r="AJ207" s="35"/>
      <c r="AK207" s="35"/>
      <c r="AL207" s="35"/>
      <c r="AM207" s="34">
        <f>IFERROR(VLOOKUP("23_"&amp;A207,SyS!$B:$P,10,FALSE()),0)</f>
      </c>
      <c r="AN207" s="35">
        <f>IFERROR(VLOOKUP("23_"&amp;A207,SyS!$B:$P,12,FALSE()),0)</f>
      </c>
      <c r="AO207" s="36">
        <f>+AM207-AN207</f>
      </c>
      <c r="AP207" s="40"/>
      <c r="AQ207" s="40"/>
      <c r="AR207" s="40"/>
      <c r="AS207" s="40"/>
      <c r="AT207" s="40"/>
      <c r="AU207" s="40"/>
      <c r="AV207" s="40"/>
      <c r="AW207" s="40"/>
      <c r="AX207" s="40"/>
      <c r="AY207" s="40"/>
      <c r="AZ207" s="40"/>
      <c r="BA207" s="40"/>
      <c r="BB207" s="40"/>
      <c r="BC207" s="40"/>
      <c r="BD207" s="40"/>
      <c r="BE207" s="40"/>
      <c r="BF207" s="40"/>
      <c r="BG207" s="40"/>
      <c r="BH207" s="40"/>
      <c r="BI207" s="40"/>
      <c r="BJ207" s="40"/>
      <c r="BK207" s="40">
        <f>IFERROR(VLOOKUP("29_"&amp;A207,SyS!$B:$P,10,FALSE()),0)</f>
      </c>
      <c r="BL207" s="40">
        <f>IFERROR(VLOOKUP("29_"&amp;A207,SyS!$B:$P,12,FALSE()),0)</f>
      </c>
      <c r="BM207" s="40">
        <f>+BK207-BL207</f>
      </c>
      <c r="BN207" s="42">
        <f>IFERROR(VLOOKUP("30_"&amp;A207,SyS!$B:$P,10,FALSE()),0)</f>
      </c>
      <c r="BO207" s="40">
        <f>IFERROR(VLOOKUP("30_"&amp;A207,SyS!$B:$P,12,FALSE()),0)</f>
      </c>
      <c r="BP207" s="43">
        <f>+BN207-BO207</f>
      </c>
      <c r="BQ207" s="44">
        <f>+E207+H207+K207+N207+Q207+T207+W207+Z207+AC207+AF207+AI207+AL207+AO207+AR207+AU207+AX207+BA207+BD207+BG207+BJ207+BM207+BP207</f>
      </c>
    </row>
    <row r="208" ht="11.25" customHeight="1" spans="1:69" x14ac:dyDescent="0.25">
      <c r="A208" s="9">
        <v>412600000</v>
      </c>
      <c r="B208" s="9" t="s">
        <v>245</v>
      </c>
      <c r="C208" s="34">
        <f>IFERROR(VLOOKUP("1_"&amp;A208,SyS!$B:$P,10,FALSE()),0)</f>
      </c>
      <c r="D208" s="35">
        <f>IFERROR(VLOOKUP("1_"&amp;A208,SyS!$B:$P,12,FALSE()),0)</f>
      </c>
      <c r="E208" s="35">
        <f>+C208-D208</f>
      </c>
      <c r="F208" s="34">
        <f>IFERROR(VLOOKUP("2_"&amp;A208,SyS!$B:$P,10,FALSE()),0)</f>
      </c>
      <c r="G208" s="35">
        <f>IFERROR(VLOOKUP("2_"&amp;A208,SyS!$B:$P,12,FALSE()),0)</f>
      </c>
      <c r="H208" s="36">
        <f>+F208-G208</f>
      </c>
      <c r="I208" s="35"/>
      <c r="J208" s="35"/>
      <c r="K208" s="35"/>
      <c r="L208" s="35"/>
      <c r="M208" s="35"/>
      <c r="N208" s="35"/>
      <c r="O208" s="34">
        <f>IFERROR(VLOOKUP("14_"&amp;A208,SyS!$B:$P,10,FALSE()),0)</f>
      </c>
      <c r="P208" s="35">
        <f>IFERROR(VLOOKUP("14_"&amp;A208,SyS!$B:$P,12,FALSE()),0)</f>
      </c>
      <c r="Q208" s="36">
        <f>+O208-P208</f>
      </c>
      <c r="R208" s="34">
        <f>IFERROR(VLOOKUP("15_"&amp;A208,SyS!$B:$P,10,FALSE()),0)</f>
      </c>
      <c r="S208" s="35">
        <f>IFERROR(VLOOKUP("15_"&amp;A208,SyS!$B:$P,12,FALSE()),0)</f>
      </c>
      <c r="T208" s="36">
        <f>+R208-S208</f>
      </c>
      <c r="U208" s="34">
        <f>IFERROR(VLOOKUP("16_"&amp;A208,SyS!$B:$P,10,FALSE()),0)</f>
      </c>
      <c r="V208" s="35">
        <f>IFERROR(VLOOKUP("16_"&amp;A208,SyS!$B:$P,12,FALSE()),0)</f>
      </c>
      <c r="W208" s="36">
        <f>+U208-V208</f>
      </c>
      <c r="X208" s="34">
        <f>IFERROR(VLOOKUP("13_"&amp;A208,SyS!$B:$P,10,FALSE()),0)</f>
      </c>
      <c r="Y208" s="35">
        <f>IFERROR(VLOOKUP("13_"&amp;A208,SyS!$B:$P,12,FALSE()),0)</f>
      </c>
      <c r="Z208" s="36">
        <f>+X208-Y208</f>
      </c>
      <c r="AA208" s="34">
        <f>IFERROR(VLOOKUP("17_"&amp;A208,SyS!$B:$P,10,FALSE()),0)</f>
      </c>
      <c r="AB208" s="35">
        <f>IFERROR(VLOOKUP("17_"&amp;A208,SyS!$B:$P,12,FALSE()),0)</f>
      </c>
      <c r="AC208" s="36">
        <f>+AA208-AB208</f>
      </c>
      <c r="AD208" s="35"/>
      <c r="AE208" s="35"/>
      <c r="AF208" s="35"/>
      <c r="AG208" s="35">
        <f>IFERROR(VLOOKUP("19_"&amp;A208,SyS!$B:$P,10,FALSE()),0)</f>
      </c>
      <c r="AH208" s="35">
        <f>IFERROR(VLOOKUP("19_"&amp;A208,SyS!$B:$P,12,FALSE()),0)</f>
      </c>
      <c r="AI208" s="35">
        <f>+AG208-AH208</f>
      </c>
      <c r="AJ208" s="35"/>
      <c r="AK208" s="35"/>
      <c r="AL208" s="35"/>
      <c r="AM208" s="34">
        <f>IFERROR(VLOOKUP("23_"&amp;A208,SyS!$B:$P,10,FALSE()),0)</f>
      </c>
      <c r="AN208" s="35">
        <f>IFERROR(VLOOKUP("23_"&amp;A208,SyS!$B:$P,12,FALSE()),0)</f>
      </c>
      <c r="AO208" s="36">
        <f>+AM208-AN208</f>
      </c>
      <c r="AP208" s="40"/>
      <c r="AQ208" s="40"/>
      <c r="AR208" s="40"/>
      <c r="AS208" s="40"/>
      <c r="AT208" s="40"/>
      <c r="AU208" s="40"/>
      <c r="AV208" s="40"/>
      <c r="AW208" s="40"/>
      <c r="AX208" s="40"/>
      <c r="AY208" s="40"/>
      <c r="AZ208" s="40"/>
      <c r="BA208" s="40"/>
      <c r="BB208" s="40"/>
      <c r="BC208" s="40"/>
      <c r="BD208" s="40"/>
      <c r="BE208" s="40"/>
      <c r="BF208" s="40"/>
      <c r="BG208" s="40"/>
      <c r="BH208" s="40"/>
      <c r="BI208" s="40"/>
      <c r="BJ208" s="40"/>
      <c r="BK208" s="40">
        <f>IFERROR(VLOOKUP("29_"&amp;A208,SyS!$B:$P,10,FALSE()),0)</f>
      </c>
      <c r="BL208" s="40">
        <f>IFERROR(VLOOKUP("29_"&amp;A208,SyS!$B:$P,12,FALSE()),0)</f>
      </c>
      <c r="BM208" s="40">
        <f>+BK208-BL208</f>
      </c>
      <c r="BN208" s="42">
        <f>IFERROR(VLOOKUP("30_"&amp;A208,SyS!$B:$P,10,FALSE()),0)</f>
      </c>
      <c r="BO208" s="40">
        <f>IFERROR(VLOOKUP("30_"&amp;A208,SyS!$B:$P,12,FALSE()),0)</f>
      </c>
      <c r="BP208" s="43">
        <f>+BN208-BO208</f>
      </c>
      <c r="BQ208" s="44">
        <f>+E208+H208+K208+N208+Q208+T208+W208+Z208+AC208+AF208+AI208+AL208+AO208+AR208+AU208+AX208+BA208+BD208+BG208+BJ208+BM208+BP208</f>
      </c>
    </row>
    <row r="209" ht="11.25" customHeight="1" spans="1:69" x14ac:dyDescent="0.25">
      <c r="A209" s="9">
        <v>426670000</v>
      </c>
      <c r="B209" s="9" t="s">
        <v>246</v>
      </c>
      <c r="C209" s="34">
        <f>IFERROR(VLOOKUP("1_"&amp;A209,SyS!$B:$P,10,FALSE()),0)</f>
      </c>
      <c r="D209" s="35">
        <f>IFERROR(VLOOKUP("1_"&amp;A209,SyS!$B:$P,12,FALSE()),0)</f>
      </c>
      <c r="E209" s="35">
        <f>+C209-D209</f>
      </c>
      <c r="F209" s="34">
        <f>IFERROR(VLOOKUP("2_"&amp;A209,SyS!$B:$P,10,FALSE()),0)</f>
      </c>
      <c r="G209" s="35">
        <f>IFERROR(VLOOKUP("2_"&amp;A209,SyS!$B:$P,12,FALSE()),0)</f>
      </c>
      <c r="H209" s="36">
        <f>+F209-G209</f>
      </c>
      <c r="I209" s="35"/>
      <c r="J209" s="35"/>
      <c r="K209" s="35"/>
      <c r="L209" s="35"/>
      <c r="M209" s="35"/>
      <c r="N209" s="35"/>
      <c r="O209" s="34">
        <f>IFERROR(VLOOKUP("14_"&amp;A209,SyS!$B:$P,10,FALSE()),0)</f>
      </c>
      <c r="P209" s="35">
        <f>IFERROR(VLOOKUP("14_"&amp;A209,SyS!$B:$P,12,FALSE()),0)</f>
      </c>
      <c r="Q209" s="36">
        <f>+O209-P209</f>
      </c>
      <c r="R209" s="34">
        <f>IFERROR(VLOOKUP("15_"&amp;A209,SyS!$B:$P,10,FALSE()),0)</f>
      </c>
      <c r="S209" s="35">
        <f>IFERROR(VLOOKUP("15_"&amp;A209,SyS!$B:$P,12,FALSE()),0)</f>
      </c>
      <c r="T209" s="36">
        <f>+R209-S209</f>
      </c>
      <c r="U209" s="34">
        <f>IFERROR(VLOOKUP("16_"&amp;A209,SyS!$B:$P,10,FALSE()),0)</f>
      </c>
      <c r="V209" s="35">
        <f>IFERROR(VLOOKUP("16_"&amp;A209,SyS!$B:$P,12,FALSE()),0)</f>
      </c>
      <c r="W209" s="36">
        <f>+U209-V209</f>
      </c>
      <c r="X209" s="34">
        <f>IFERROR(VLOOKUP("13_"&amp;A209,SyS!$B:$P,10,FALSE()),0)</f>
      </c>
      <c r="Y209" s="35">
        <f>IFERROR(VLOOKUP("13_"&amp;A209,SyS!$B:$P,12,FALSE()),0)</f>
      </c>
      <c r="Z209" s="36">
        <f>+X209-Y209</f>
      </c>
      <c r="AA209" s="34">
        <f>IFERROR(VLOOKUP("17_"&amp;A209,SyS!$B:$P,10,FALSE()),0)</f>
      </c>
      <c r="AB209" s="35">
        <f>IFERROR(VLOOKUP("17_"&amp;A209,SyS!$B:$P,12,FALSE()),0)</f>
      </c>
      <c r="AC209" s="36">
        <f>+AA209-AB209</f>
      </c>
      <c r="AD209" s="35"/>
      <c r="AE209" s="35"/>
      <c r="AF209" s="35"/>
      <c r="AG209" s="35">
        <f>IFERROR(VLOOKUP("19_"&amp;A209,SyS!$B:$P,10,FALSE()),0)</f>
      </c>
      <c r="AH209" s="35">
        <f>IFERROR(VLOOKUP("19_"&amp;A209,SyS!$B:$P,12,FALSE()),0)</f>
      </c>
      <c r="AI209" s="35">
        <f>+AG209-AH209</f>
      </c>
      <c r="AJ209" s="35"/>
      <c r="AK209" s="35"/>
      <c r="AL209" s="35"/>
      <c r="AM209" s="34">
        <f>IFERROR(VLOOKUP("23_"&amp;A209,SyS!$B:$P,10,FALSE()),0)</f>
      </c>
      <c r="AN209" s="35">
        <f>IFERROR(VLOOKUP("23_"&amp;A209,SyS!$B:$P,12,FALSE()),0)</f>
      </c>
      <c r="AO209" s="36">
        <f>+AM209-AN209</f>
      </c>
      <c r="AP209" s="40"/>
      <c r="AQ209" s="40"/>
      <c r="AR209" s="40"/>
      <c r="AS209" s="40"/>
      <c r="AT209" s="40"/>
      <c r="AU209" s="40"/>
      <c r="AV209" s="40"/>
      <c r="AW209" s="40"/>
      <c r="AX209" s="40"/>
      <c r="AY209" s="40"/>
      <c r="AZ209" s="40"/>
      <c r="BA209" s="40"/>
      <c r="BB209" s="40"/>
      <c r="BC209" s="40"/>
      <c r="BD209" s="40"/>
      <c r="BE209" s="40"/>
      <c r="BF209" s="40"/>
      <c r="BG209" s="40"/>
      <c r="BH209" s="40"/>
      <c r="BI209" s="40"/>
      <c r="BJ209" s="40"/>
      <c r="BK209" s="40">
        <f>IFERROR(VLOOKUP("29_"&amp;A209,SyS!$B:$P,10,FALSE()),0)</f>
      </c>
      <c r="BL209" s="40">
        <f>IFERROR(VLOOKUP("29_"&amp;A209,SyS!$B:$P,12,FALSE()),0)</f>
      </c>
      <c r="BM209" s="40">
        <f>+BK209-BL209</f>
      </c>
      <c r="BN209" s="42">
        <f>IFERROR(VLOOKUP("30_"&amp;A209,SyS!$B:$P,10,FALSE()),0)</f>
      </c>
      <c r="BO209" s="40">
        <f>IFERROR(VLOOKUP("30_"&amp;A209,SyS!$B:$P,12,FALSE()),0)</f>
      </c>
      <c r="BP209" s="43">
        <f>+BN209-BO209</f>
      </c>
      <c r="BQ209" s="44">
        <f>+E209+H209+K209+N209+Q209+T209+W209+Z209+AC209+AF209+AI209+AL209+AO209+AR209+AU209+AX209+BA209+BD209+BG209+BJ209+BM209+BP209</f>
      </c>
    </row>
    <row r="210" ht="11.25" customHeight="1" spans="1:69" x14ac:dyDescent="0.25">
      <c r="A210" s="9">
        <v>433010000</v>
      </c>
      <c r="B210" s="9" t="s">
        <v>247</v>
      </c>
      <c r="C210" s="34">
        <f>IFERROR(VLOOKUP("1_"&amp;A210,SyS!$B:$P,10,FALSE()),0)</f>
      </c>
      <c r="D210" s="35">
        <f>IFERROR(VLOOKUP("1_"&amp;A210,SyS!$B:$P,12,FALSE()),0)</f>
      </c>
      <c r="E210" s="35">
        <f>+C210-D210</f>
      </c>
      <c r="F210" s="34">
        <f>IFERROR(VLOOKUP("2_"&amp;A210,SyS!$B:$P,10,FALSE()),0)</f>
      </c>
      <c r="G210" s="35">
        <f>IFERROR(VLOOKUP("2_"&amp;A210,SyS!$B:$P,12,FALSE()),0)</f>
      </c>
      <c r="H210" s="36">
        <f>+F210-G210</f>
      </c>
      <c r="I210" s="35"/>
      <c r="J210" s="35"/>
      <c r="K210" s="35"/>
      <c r="L210" s="35"/>
      <c r="M210" s="35"/>
      <c r="N210" s="35"/>
      <c r="O210" s="34">
        <f>IFERROR(VLOOKUP("14_"&amp;A210,SyS!$B:$P,10,FALSE()),0)</f>
      </c>
      <c r="P210" s="35">
        <f>IFERROR(VLOOKUP("14_"&amp;A210,SyS!$B:$P,12,FALSE()),0)</f>
      </c>
      <c r="Q210" s="36">
        <f>+O210-P210</f>
      </c>
      <c r="R210" s="34">
        <f>IFERROR(VLOOKUP("15_"&amp;A210,SyS!$B:$P,10,FALSE()),0)</f>
      </c>
      <c r="S210" s="35">
        <f>IFERROR(VLOOKUP("15_"&amp;A210,SyS!$B:$P,12,FALSE()),0)</f>
      </c>
      <c r="T210" s="36">
        <f>+R210-S210</f>
      </c>
      <c r="U210" s="34">
        <f>IFERROR(VLOOKUP("16_"&amp;A210,SyS!$B:$P,10,FALSE()),0)</f>
      </c>
      <c r="V210" s="35">
        <f>IFERROR(VLOOKUP("16_"&amp;A210,SyS!$B:$P,12,FALSE()),0)</f>
      </c>
      <c r="W210" s="36">
        <f>+U210-V210</f>
      </c>
      <c r="X210" s="34">
        <f>IFERROR(VLOOKUP("13_"&amp;A210,SyS!$B:$P,10,FALSE()),0)</f>
      </c>
      <c r="Y210" s="35">
        <f>IFERROR(VLOOKUP("13_"&amp;A210,SyS!$B:$P,12,FALSE()),0)</f>
      </c>
      <c r="Z210" s="36">
        <f>+X210-Y210</f>
      </c>
      <c r="AA210" s="34">
        <f>IFERROR(VLOOKUP("17_"&amp;A210,SyS!$B:$P,10,FALSE()),0)</f>
      </c>
      <c r="AB210" s="35">
        <f>IFERROR(VLOOKUP("17_"&amp;A210,SyS!$B:$P,12,FALSE()),0)</f>
      </c>
      <c r="AC210" s="36">
        <f>+AA210-AB210</f>
      </c>
      <c r="AD210" s="35"/>
      <c r="AE210" s="35"/>
      <c r="AF210" s="35"/>
      <c r="AG210" s="35">
        <f>IFERROR(VLOOKUP("19_"&amp;A210,SyS!$B:$P,10,FALSE()),0)</f>
      </c>
      <c r="AH210" s="35">
        <f>IFERROR(VLOOKUP("19_"&amp;A210,SyS!$B:$P,12,FALSE()),0)</f>
      </c>
      <c r="AI210" s="35">
        <f>+AG210-AH210</f>
      </c>
      <c r="AJ210" s="35"/>
      <c r="AK210" s="35"/>
      <c r="AL210" s="35"/>
      <c r="AM210" s="34">
        <f>IFERROR(VLOOKUP("23_"&amp;A210,SyS!$B:$P,10,FALSE()),0)</f>
      </c>
      <c r="AN210" s="35">
        <f>IFERROR(VLOOKUP("23_"&amp;A210,SyS!$B:$P,12,FALSE()),0)</f>
      </c>
      <c r="AO210" s="36">
        <f>+AM210-AN210</f>
      </c>
      <c r="AP210" s="40"/>
      <c r="AQ210" s="40"/>
      <c r="AR210" s="40"/>
      <c r="AS210" s="40"/>
      <c r="AT210" s="40"/>
      <c r="AU210" s="40"/>
      <c r="AV210" s="40"/>
      <c r="AW210" s="40"/>
      <c r="AX210" s="40"/>
      <c r="AY210" s="40"/>
      <c r="AZ210" s="40"/>
      <c r="BA210" s="40"/>
      <c r="BB210" s="40"/>
      <c r="BC210" s="40"/>
      <c r="BD210" s="40"/>
      <c r="BE210" s="40"/>
      <c r="BF210" s="40"/>
      <c r="BG210" s="40"/>
      <c r="BH210" s="40"/>
      <c r="BI210" s="40"/>
      <c r="BJ210" s="40"/>
      <c r="BK210" s="40">
        <f>IFERROR(VLOOKUP("29_"&amp;A210,SyS!$B:$P,10,FALSE()),0)</f>
      </c>
      <c r="BL210" s="40">
        <f>IFERROR(VLOOKUP("29_"&amp;A210,SyS!$B:$P,12,FALSE()),0)</f>
      </c>
      <c r="BM210" s="40">
        <f>+BK210-BL210</f>
      </c>
      <c r="BN210" s="42">
        <f>IFERROR(VLOOKUP("30_"&amp;A210,SyS!$B:$P,10,FALSE()),0)</f>
      </c>
      <c r="BO210" s="40">
        <f>IFERROR(VLOOKUP("30_"&amp;A210,SyS!$B:$P,12,FALSE()),0)</f>
      </c>
      <c r="BP210" s="43">
        <f>+BN210-BO210</f>
      </c>
      <c r="BQ210" s="44">
        <f>+E210+H210+K210+N210+Q210+T210+W210+Z210+AC210+AF210+AI210+AL210+AO210+AR210+AU210+AX210+BA210+BD210+BG210+BJ210+BM210+BP210</f>
      </c>
    </row>
    <row r="211" ht="11.25" customHeight="1" spans="1:69" x14ac:dyDescent="0.25">
      <c r="A211" s="9">
        <v>433020000</v>
      </c>
      <c r="B211" s="9" t="s">
        <v>248</v>
      </c>
      <c r="C211" s="34">
        <f>IFERROR(VLOOKUP("1_"&amp;A211,SyS!$B:$P,10,FALSE()),0)</f>
      </c>
      <c r="D211" s="35">
        <f>IFERROR(VLOOKUP("1_"&amp;A211,SyS!$B:$P,12,FALSE()),0)</f>
      </c>
      <c r="E211" s="35">
        <f>+C211-D211</f>
      </c>
      <c r="F211" s="34">
        <f>IFERROR(VLOOKUP("2_"&amp;A211,SyS!$B:$P,10,FALSE()),0)</f>
      </c>
      <c r="G211" s="35">
        <f>IFERROR(VLOOKUP("2_"&amp;A211,SyS!$B:$P,12,FALSE()),0)</f>
      </c>
      <c r="H211" s="36">
        <f>+F211-G211</f>
      </c>
      <c r="I211" s="35"/>
      <c r="J211" s="35"/>
      <c r="K211" s="35"/>
      <c r="L211" s="35"/>
      <c r="M211" s="35"/>
      <c r="N211" s="35"/>
      <c r="O211" s="34">
        <f>IFERROR(VLOOKUP("14_"&amp;A211,SyS!$B:$P,10,FALSE()),0)</f>
      </c>
      <c r="P211" s="35">
        <f>IFERROR(VLOOKUP("14_"&amp;A211,SyS!$B:$P,12,FALSE()),0)</f>
      </c>
      <c r="Q211" s="36">
        <f>+O211-P211</f>
      </c>
      <c r="R211" s="34">
        <f>IFERROR(VLOOKUP("15_"&amp;A211,SyS!$B:$P,10,FALSE()),0)</f>
      </c>
      <c r="S211" s="35">
        <f>IFERROR(VLOOKUP("15_"&amp;A211,SyS!$B:$P,12,FALSE()),0)</f>
      </c>
      <c r="T211" s="36">
        <f>+R211-S211</f>
      </c>
      <c r="U211" s="34">
        <f>IFERROR(VLOOKUP("16_"&amp;A211,SyS!$B:$P,10,FALSE()),0)</f>
      </c>
      <c r="V211" s="35">
        <f>IFERROR(VLOOKUP("16_"&amp;A211,SyS!$B:$P,12,FALSE()),0)</f>
      </c>
      <c r="W211" s="36">
        <f>+U211-V211</f>
      </c>
      <c r="X211" s="34">
        <f>IFERROR(VLOOKUP("13_"&amp;A211,SyS!$B:$P,10,FALSE()),0)</f>
      </c>
      <c r="Y211" s="35">
        <f>IFERROR(VLOOKUP("13_"&amp;A211,SyS!$B:$P,12,FALSE()),0)</f>
      </c>
      <c r="Z211" s="36">
        <f>+X211-Y211</f>
      </c>
      <c r="AA211" s="34">
        <f>IFERROR(VLOOKUP("17_"&amp;A211,SyS!$B:$P,10,FALSE()),0)</f>
      </c>
      <c r="AB211" s="35">
        <f>IFERROR(VLOOKUP("17_"&amp;A211,SyS!$B:$P,12,FALSE()),0)</f>
      </c>
      <c r="AC211" s="36">
        <f>+AA211-AB211</f>
      </c>
      <c r="AD211" s="35"/>
      <c r="AE211" s="35"/>
      <c r="AF211" s="35"/>
      <c r="AG211" s="35">
        <f>IFERROR(VLOOKUP("19_"&amp;A211,SyS!$B:$P,10,FALSE()),0)</f>
      </c>
      <c r="AH211" s="35">
        <f>IFERROR(VLOOKUP("19_"&amp;A211,SyS!$B:$P,12,FALSE()),0)</f>
      </c>
      <c r="AI211" s="35">
        <f>+AG211-AH211</f>
      </c>
      <c r="AJ211" s="35"/>
      <c r="AK211" s="35"/>
      <c r="AL211" s="35"/>
      <c r="AM211" s="34">
        <f>IFERROR(VLOOKUP("23_"&amp;A211,SyS!$B:$P,10,FALSE()),0)</f>
      </c>
      <c r="AN211" s="35">
        <f>IFERROR(VLOOKUP("23_"&amp;A211,SyS!$B:$P,12,FALSE()),0)</f>
      </c>
      <c r="AO211" s="36">
        <f>+AM211-AN211</f>
      </c>
      <c r="AP211" s="40"/>
      <c r="AQ211" s="40"/>
      <c r="AR211" s="40"/>
      <c r="AS211" s="40"/>
      <c r="AT211" s="40"/>
      <c r="AU211" s="40"/>
      <c r="AV211" s="40"/>
      <c r="AW211" s="40"/>
      <c r="AX211" s="40"/>
      <c r="AY211" s="40"/>
      <c r="AZ211" s="40"/>
      <c r="BA211" s="40"/>
      <c r="BB211" s="40"/>
      <c r="BC211" s="40"/>
      <c r="BD211" s="40"/>
      <c r="BE211" s="40"/>
      <c r="BF211" s="40"/>
      <c r="BG211" s="40"/>
      <c r="BH211" s="40"/>
      <c r="BI211" s="40"/>
      <c r="BJ211" s="40"/>
      <c r="BK211" s="40">
        <f>IFERROR(VLOOKUP("29_"&amp;A211,SyS!$B:$P,10,FALSE()),0)</f>
      </c>
      <c r="BL211" s="40">
        <f>IFERROR(VLOOKUP("29_"&amp;A211,SyS!$B:$P,12,FALSE()),0)</f>
      </c>
      <c r="BM211" s="40">
        <f>+BK211-BL211</f>
      </c>
      <c r="BN211" s="42">
        <f>IFERROR(VLOOKUP("30_"&amp;A211,SyS!$B:$P,10,FALSE()),0)</f>
      </c>
      <c r="BO211" s="40">
        <f>IFERROR(VLOOKUP("30_"&amp;A211,SyS!$B:$P,12,FALSE()),0)</f>
      </c>
      <c r="BP211" s="43">
        <f>+BN211-BO211</f>
      </c>
      <c r="BQ211" s="44">
        <f>+E211+H211+K211+N211+Q211+T211+W211+Z211+AC211+AF211+AI211+AL211+AO211+AR211+AU211+AX211+BA211+BD211+BG211+BJ211+BM211+BP211</f>
      </c>
    </row>
    <row r="212" ht="11.25" customHeight="1" spans="1:69" x14ac:dyDescent="0.25">
      <c r="A212" s="50">
        <v>433090000</v>
      </c>
      <c r="B212" s="9" t="s">
        <v>249</v>
      </c>
      <c r="C212" s="34">
        <f>IFERROR(VLOOKUP("1_"&amp;A212,SyS!$B:$P,10,FALSE()),0)</f>
      </c>
      <c r="D212" s="35">
        <f>IFERROR(VLOOKUP("1_"&amp;A212,SyS!$B:$P,12,FALSE()),0)</f>
      </c>
      <c r="E212" s="35">
        <f>+C212-D212</f>
      </c>
      <c r="F212" s="34">
        <f>IFERROR(VLOOKUP("2_"&amp;A212,SyS!$B:$P,10,FALSE()),0)</f>
      </c>
      <c r="G212" s="35">
        <f>IFERROR(VLOOKUP("2_"&amp;A212,SyS!$B:$P,12,FALSE()),0)</f>
      </c>
      <c r="H212" s="36">
        <f>+F212-G212</f>
      </c>
      <c r="I212" s="35"/>
      <c r="J212" s="35"/>
      <c r="K212" s="35"/>
      <c r="L212" s="35"/>
      <c r="M212" s="35"/>
      <c r="N212" s="35"/>
      <c r="O212" s="34">
        <f>IFERROR(VLOOKUP("14_"&amp;A212,SyS!$B:$P,10,FALSE()),0)</f>
      </c>
      <c r="P212" s="35">
        <f>IFERROR(VLOOKUP("14_"&amp;A212,SyS!$B:$P,12,FALSE()),0)</f>
      </c>
      <c r="Q212" s="36">
        <f>+O212-P212</f>
      </c>
      <c r="R212" s="34">
        <f>IFERROR(VLOOKUP("15_"&amp;A212,SyS!$B:$P,10,FALSE()),0)</f>
      </c>
      <c r="S212" s="35">
        <f>IFERROR(VLOOKUP("15_"&amp;A212,SyS!$B:$P,12,FALSE()),0)</f>
      </c>
      <c r="T212" s="36">
        <f>+R212-S212</f>
      </c>
      <c r="U212" s="34">
        <f>IFERROR(VLOOKUP("16_"&amp;A212,SyS!$B:$P,10,FALSE()),0)</f>
      </c>
      <c r="V212" s="35">
        <f>IFERROR(VLOOKUP("16_"&amp;A212,SyS!$B:$P,12,FALSE()),0)</f>
      </c>
      <c r="W212" s="36">
        <f>+U212-V212</f>
      </c>
      <c r="X212" s="34">
        <f>IFERROR(VLOOKUP("13_"&amp;A212,SyS!$B:$P,10,FALSE()),0)</f>
      </c>
      <c r="Y212" s="35">
        <f>IFERROR(VLOOKUP("13_"&amp;A212,SyS!$B:$P,12,FALSE()),0)</f>
      </c>
      <c r="Z212" s="36">
        <f>+X212-Y212</f>
      </c>
      <c r="AA212" s="34">
        <f>IFERROR(VLOOKUP("17_"&amp;A212,SyS!$B:$P,10,FALSE()),0)</f>
      </c>
      <c r="AB212" s="35">
        <f>IFERROR(VLOOKUP("17_"&amp;A212,SyS!$B:$P,12,FALSE()),0)</f>
      </c>
      <c r="AC212" s="36">
        <f>+AA212-AB212</f>
      </c>
      <c r="AD212" s="35"/>
      <c r="AE212" s="35"/>
      <c r="AF212" s="35"/>
      <c r="AG212" s="35">
        <f>IFERROR(VLOOKUP("19_"&amp;A212,SyS!$B:$P,10,FALSE()),0)</f>
      </c>
      <c r="AH212" s="35">
        <f>IFERROR(VLOOKUP("19_"&amp;A212,SyS!$B:$P,12,FALSE()),0)</f>
      </c>
      <c r="AI212" s="35">
        <f>+AG212-AH212</f>
      </c>
      <c r="AJ212" s="35"/>
      <c r="AK212" s="35"/>
      <c r="AL212" s="35"/>
      <c r="AM212" s="34">
        <f>IFERROR(VLOOKUP("23_"&amp;A212,SyS!$B:$P,10,FALSE()),0)</f>
      </c>
      <c r="AN212" s="35">
        <f>IFERROR(VLOOKUP("23_"&amp;A212,SyS!$B:$P,12,FALSE()),0)</f>
      </c>
      <c r="AO212" s="36">
        <f>+AM212-AN212</f>
      </c>
      <c r="AP212" s="40"/>
      <c r="AQ212" s="40"/>
      <c r="AR212" s="40"/>
      <c r="AS212" s="40"/>
      <c r="AT212" s="40"/>
      <c r="AU212" s="40"/>
      <c r="AV212" s="40"/>
      <c r="AW212" s="40"/>
      <c r="AX212" s="40"/>
      <c r="AY212" s="40"/>
      <c r="AZ212" s="40"/>
      <c r="BA212" s="40"/>
      <c r="BB212" s="40"/>
      <c r="BC212" s="40"/>
      <c r="BD212" s="40"/>
      <c r="BE212" s="40"/>
      <c r="BF212" s="40"/>
      <c r="BG212" s="40"/>
      <c r="BH212" s="40"/>
      <c r="BI212" s="40"/>
      <c r="BJ212" s="40"/>
      <c r="BK212" s="40">
        <f>IFERROR(VLOOKUP("29_"&amp;A212,SyS!$B:$P,10,FALSE()),0)</f>
      </c>
      <c r="BL212" s="40">
        <f>IFERROR(VLOOKUP("29_"&amp;A212,SyS!$B:$P,12,FALSE()),0)</f>
      </c>
      <c r="BM212" s="40">
        <f>+BK212-BL212</f>
      </c>
      <c r="BN212" s="42">
        <f>IFERROR(VLOOKUP("30_"&amp;A212,SyS!$B:$P,10,FALSE()),0)</f>
      </c>
      <c r="BO212" s="40">
        <f>IFERROR(VLOOKUP("30_"&amp;A212,SyS!$B:$P,12,FALSE()),0)</f>
      </c>
      <c r="BP212" s="43">
        <f>+BN212-BO212</f>
      </c>
      <c r="BQ212" s="44">
        <f>+E212+H212+K212+N212+Q212+T212+W212+Z212+AC212+AF212+AI212+AL212+AO212+AR212+AU212+AX212+BA212+BD212+BG212+BJ212+BM212+BP212</f>
      </c>
    </row>
    <row r="213" ht="12" customHeight="1" spans="1:69" x14ac:dyDescent="0.25">
      <c r="A213" s="9">
        <v>426950000</v>
      </c>
      <c r="B213" s="9" t="s">
        <v>250</v>
      </c>
      <c r="C213" s="34">
        <f>IFERROR(VLOOKUP("1_"&amp;A213,SyS!$B:$P,10,FALSE()),0)</f>
      </c>
      <c r="D213" s="35">
        <f>IFERROR(VLOOKUP("1_"&amp;A213,SyS!$B:$P,12,FALSE()),0)</f>
      </c>
      <c r="E213" s="35">
        <f>+C213-D213</f>
      </c>
      <c r="F213" s="34">
        <f>IFERROR(VLOOKUP("2_"&amp;A213,SyS!$B:$P,10,FALSE()),0)</f>
      </c>
      <c r="G213" s="35">
        <f>IFERROR(VLOOKUP("2_"&amp;A213,SyS!$B:$P,12,FALSE()),0)</f>
      </c>
      <c r="H213" s="36">
        <f>+F213-G213</f>
      </c>
      <c r="I213" s="35"/>
      <c r="J213" s="35"/>
      <c r="K213" s="35"/>
      <c r="L213" s="35"/>
      <c r="M213" s="35"/>
      <c r="N213" s="35"/>
      <c r="O213" s="34">
        <f>IFERROR(VLOOKUP("14_"&amp;A213,SyS!$B:$P,10,FALSE()),0)</f>
      </c>
      <c r="P213" s="35">
        <f>IFERROR(VLOOKUP("14_"&amp;A213,SyS!$B:$P,12,FALSE()),0)</f>
      </c>
      <c r="Q213" s="36">
        <f>+O213-P213</f>
      </c>
      <c r="R213" s="34">
        <f>IFERROR(VLOOKUP("15_"&amp;A213,SyS!$B:$P,10,FALSE()),0)</f>
      </c>
      <c r="S213" s="35">
        <f>IFERROR(VLOOKUP("15_"&amp;A213,SyS!$B:$P,12,FALSE()),0)</f>
      </c>
      <c r="T213" s="36">
        <f>+R213-S213</f>
      </c>
      <c r="U213" s="34">
        <f>IFERROR(VLOOKUP("16_"&amp;A213,SyS!$B:$P,10,FALSE()),0)</f>
      </c>
      <c r="V213" s="35">
        <f>IFERROR(VLOOKUP("16_"&amp;A213,SyS!$B:$P,12,FALSE()),0)</f>
      </c>
      <c r="W213" s="36">
        <f>+U213-V213</f>
      </c>
      <c r="X213" s="34">
        <f>IFERROR(VLOOKUP("13_"&amp;A213,SyS!$B:$P,10,FALSE()),0)</f>
      </c>
      <c r="Y213" s="35">
        <f>IFERROR(VLOOKUP("13_"&amp;A213,SyS!$B:$P,12,FALSE()),0)</f>
      </c>
      <c r="Z213" s="36">
        <f>+X213-Y213</f>
      </c>
      <c r="AA213" s="34">
        <f>IFERROR(VLOOKUP("17_"&amp;A213,SyS!$B:$P,10,FALSE()),0)</f>
      </c>
      <c r="AB213" s="35">
        <f>IFERROR(VLOOKUP("17_"&amp;A213,SyS!$B:$P,12,FALSE()),0)</f>
      </c>
      <c r="AC213" s="36">
        <f>+AA213-AB213</f>
      </c>
      <c r="AD213" s="35"/>
      <c r="AE213" s="35"/>
      <c r="AF213" s="35"/>
      <c r="AG213" s="35">
        <f>IFERROR(VLOOKUP("19_"&amp;A213,SyS!$B:$P,10,FALSE()),0)</f>
      </c>
      <c r="AH213" s="35">
        <f>IFERROR(VLOOKUP("19_"&amp;A213,SyS!$B:$P,12,FALSE()),0)</f>
      </c>
      <c r="AI213" s="35">
        <f>+AG213-AH213</f>
      </c>
      <c r="AJ213" s="35"/>
      <c r="AK213" s="35"/>
      <c r="AL213" s="35"/>
      <c r="AM213" s="34">
        <f>IFERROR(VLOOKUP("23_"&amp;A213,SyS!$B:$P,10,FALSE()),0)</f>
      </c>
      <c r="AN213" s="35">
        <f>IFERROR(VLOOKUP("23_"&amp;A213,SyS!$B:$P,12,FALSE()),0)</f>
      </c>
      <c r="AO213" s="36">
        <f>+AM213-AN213</f>
      </c>
      <c r="AP213" s="40"/>
      <c r="AQ213" s="40"/>
      <c r="AR213" s="40"/>
      <c r="AS213" s="40"/>
      <c r="AT213" s="40"/>
      <c r="AU213" s="40"/>
      <c r="AV213" s="40"/>
      <c r="AW213" s="40"/>
      <c r="AX213" s="40"/>
      <c r="AY213" s="40"/>
      <c r="AZ213" s="40"/>
      <c r="BA213" s="40"/>
      <c r="BB213" s="40"/>
      <c r="BC213" s="40"/>
      <c r="BD213" s="40"/>
      <c r="BE213" s="40"/>
      <c r="BF213" s="40"/>
      <c r="BG213" s="40"/>
      <c r="BH213" s="40"/>
      <c r="BI213" s="40"/>
      <c r="BJ213" s="40"/>
      <c r="BK213" s="40">
        <f>IFERROR(VLOOKUP("29_"&amp;A213,SyS!$B:$P,10,FALSE()),0)</f>
      </c>
      <c r="BL213" s="40">
        <f>IFERROR(VLOOKUP("29_"&amp;A213,SyS!$B:$P,12,FALSE()),0)</f>
      </c>
      <c r="BM213" s="40">
        <f>+BK213-BL213</f>
      </c>
      <c r="BN213" s="42">
        <f>IFERROR(VLOOKUP("30_"&amp;A213,SyS!$B:$P,10,FALSE()),0)</f>
      </c>
      <c r="BO213" s="40">
        <f>IFERROR(VLOOKUP("30_"&amp;A213,SyS!$B:$P,12,FALSE()),0)</f>
      </c>
      <c r="BP213" s="43">
        <f>+BN213-BO213</f>
      </c>
      <c r="BQ213" s="44">
        <f>+E213+H213+K213+N213+Q213+T213+W213+Z213+AC213+AF213+AI213+AL213+AO213+AR213+AU213+AX213+BA213+BD213+BG213+BJ213+BM213+BP213</f>
      </c>
    </row>
    <row r="214" ht="11.25" customHeight="1" spans="1:69" x14ac:dyDescent="0.25">
      <c r="A214" s="9">
        <v>426880000</v>
      </c>
      <c r="B214" s="9" t="s">
        <v>251</v>
      </c>
      <c r="C214" s="34">
        <f>IFERROR(VLOOKUP("1_"&amp;A214,SyS!$B:$P,10,FALSE()),0)</f>
      </c>
      <c r="D214" s="35">
        <f>IFERROR(VLOOKUP("1_"&amp;A214,SyS!$B:$P,12,FALSE()),0)</f>
      </c>
      <c r="E214" s="35">
        <f>+C214-D214</f>
      </c>
      <c r="F214" s="34">
        <f>IFERROR(VLOOKUP("2_"&amp;A214,SyS!$B:$P,10,FALSE()),0)</f>
      </c>
      <c r="G214" s="35">
        <f>IFERROR(VLOOKUP("2_"&amp;A214,SyS!$B:$P,12,FALSE()),0)</f>
      </c>
      <c r="H214" s="36">
        <f>+F214-G214</f>
      </c>
      <c r="I214" s="35"/>
      <c r="J214" s="35"/>
      <c r="K214" s="35"/>
      <c r="L214" s="35"/>
      <c r="M214" s="35"/>
      <c r="N214" s="35"/>
      <c r="O214" s="34">
        <f>IFERROR(VLOOKUP("14_"&amp;A214,SyS!$B:$P,10,FALSE()),0)</f>
      </c>
      <c r="P214" s="35">
        <f>IFERROR(VLOOKUP("14_"&amp;A214,SyS!$B:$P,12,FALSE()),0)</f>
      </c>
      <c r="Q214" s="36">
        <f>+O214-P214</f>
      </c>
      <c r="R214" s="34">
        <f>IFERROR(VLOOKUP("15_"&amp;A214,SyS!$B:$P,10,FALSE()),0)</f>
      </c>
      <c r="S214" s="35">
        <f>IFERROR(VLOOKUP("15_"&amp;A214,SyS!$B:$P,12,FALSE()),0)</f>
      </c>
      <c r="T214" s="36">
        <f>+R214-S214</f>
      </c>
      <c r="U214" s="34">
        <f>IFERROR(VLOOKUP("16_"&amp;A214,SyS!$B:$P,10,FALSE()),0)</f>
      </c>
      <c r="V214" s="35">
        <f>IFERROR(VLOOKUP("16_"&amp;A214,SyS!$B:$P,12,FALSE()),0)</f>
      </c>
      <c r="W214" s="36">
        <f>+U214-V214</f>
      </c>
      <c r="X214" s="34">
        <f>IFERROR(VLOOKUP("13_"&amp;A214,SyS!$B:$P,10,FALSE()),0)</f>
      </c>
      <c r="Y214" s="35">
        <f>IFERROR(VLOOKUP("13_"&amp;A214,SyS!$B:$P,12,FALSE()),0)</f>
      </c>
      <c r="Z214" s="36">
        <f>+X214-Y214</f>
      </c>
      <c r="AA214" s="34">
        <f>IFERROR(VLOOKUP("17_"&amp;A214,SyS!$B:$P,10,FALSE()),0)</f>
      </c>
      <c r="AB214" s="35">
        <f>IFERROR(VLOOKUP("17_"&amp;A214,SyS!$B:$P,12,FALSE()),0)</f>
      </c>
      <c r="AC214" s="36">
        <f>+AA214-AB214</f>
      </c>
      <c r="AD214" s="35"/>
      <c r="AE214" s="35"/>
      <c r="AF214" s="35"/>
      <c r="AG214" s="35">
        <f>IFERROR(VLOOKUP("19_"&amp;A214,SyS!$B:$P,10,FALSE()),0)</f>
      </c>
      <c r="AH214" s="35">
        <f>IFERROR(VLOOKUP("19_"&amp;A214,SyS!$B:$P,12,FALSE()),0)</f>
      </c>
      <c r="AI214" s="35">
        <f>+AG214-AH214</f>
      </c>
      <c r="AJ214" s="35"/>
      <c r="AK214" s="35"/>
      <c r="AL214" s="35"/>
      <c r="AM214" s="34">
        <f>IFERROR(VLOOKUP("23_"&amp;A214,SyS!$B:$P,10,FALSE()),0)</f>
      </c>
      <c r="AN214" s="35">
        <f>IFERROR(VLOOKUP("23_"&amp;A214,SyS!$B:$P,12,FALSE()),0)</f>
      </c>
      <c r="AO214" s="36">
        <f>+AM214-AN214</f>
      </c>
      <c r="AP214" s="40"/>
      <c r="AQ214" s="40"/>
      <c r="AR214" s="40"/>
      <c r="AS214" s="40"/>
      <c r="AT214" s="40"/>
      <c r="AU214" s="40"/>
      <c r="AV214" s="40"/>
      <c r="AW214" s="40"/>
      <c r="AX214" s="40"/>
      <c r="AY214" s="40"/>
      <c r="AZ214" s="40"/>
      <c r="BA214" s="40"/>
      <c r="BB214" s="40"/>
      <c r="BC214" s="40"/>
      <c r="BD214" s="40"/>
      <c r="BE214" s="40"/>
      <c r="BF214" s="40"/>
      <c r="BG214" s="40"/>
      <c r="BH214" s="40"/>
      <c r="BI214" s="40"/>
      <c r="BJ214" s="40"/>
      <c r="BK214" s="40">
        <f>IFERROR(VLOOKUP("29_"&amp;A214,SyS!$B:$P,10,FALSE()),0)</f>
      </c>
      <c r="BL214" s="40">
        <f>IFERROR(VLOOKUP("29_"&amp;A214,SyS!$B:$P,12,FALSE()),0)</f>
      </c>
      <c r="BM214" s="40">
        <f>+BK214-BL214</f>
      </c>
      <c r="BN214" s="42">
        <f>IFERROR(VLOOKUP("30_"&amp;A214,SyS!$B:$P,10,FALSE()),0)</f>
      </c>
      <c r="BO214" s="40">
        <f>IFERROR(VLOOKUP("30_"&amp;A214,SyS!$B:$P,12,FALSE()),0)</f>
      </c>
      <c r="BP214" s="43">
        <f>+BN214-BO214</f>
      </c>
      <c r="BQ214" s="44">
        <f>+E214+H214+K214+N214+Q214+T214+W214+Z214+AC214+AF214+AI214+AL214+AO214+AR214+AU214+AX214+BA214+BD214+BG214+BJ214+BM214+BP214</f>
      </c>
    </row>
    <row r="215" ht="11.25" customHeight="1" spans="1:69" x14ac:dyDescent="0.25">
      <c r="A215" s="48"/>
      <c r="B215" s="49" t="s">
        <v>252</v>
      </c>
      <c r="C215" s="34"/>
      <c r="D215" s="35"/>
      <c r="E215" s="35"/>
      <c r="F215" s="34"/>
      <c r="G215" s="35"/>
      <c r="H215" s="36"/>
      <c r="I215" s="35"/>
      <c r="J215" s="35"/>
      <c r="K215" s="35"/>
      <c r="L215" s="35"/>
      <c r="M215" s="35"/>
      <c r="N215" s="35"/>
      <c r="O215" s="34"/>
      <c r="P215" s="35"/>
      <c r="Q215" s="36"/>
      <c r="R215" s="34"/>
      <c r="S215" s="35"/>
      <c r="T215" s="36"/>
      <c r="U215" s="34"/>
      <c r="V215" s="35"/>
      <c r="W215" s="36"/>
      <c r="X215" s="34"/>
      <c r="Y215" s="35"/>
      <c r="Z215" s="36"/>
      <c r="AA215" s="34"/>
      <c r="AB215" s="35"/>
      <c r="AC215" s="36"/>
      <c r="AD215" s="35"/>
      <c r="AE215" s="35"/>
      <c r="AF215" s="35"/>
      <c r="AG215" s="35">
        <f>IFERROR(VLOOKUP("19_"&amp;A214,SyS!$B:$P,10,FALSE()),0)</f>
      </c>
      <c r="AH215" s="35">
        <f>IFERROR(VLOOKUP("19_"&amp;A214,SyS!$B:$P,12,FALSE()),0)</f>
      </c>
      <c r="AI215" s="35">
        <f>+AG214-AH214</f>
      </c>
      <c r="AJ215" s="35"/>
      <c r="AK215" s="35"/>
      <c r="AL215" s="35"/>
      <c r="AM215" s="34"/>
      <c r="AN215" s="35"/>
      <c r="AO215" s="36"/>
      <c r="AP215" s="40"/>
      <c r="AQ215" s="40"/>
      <c r="AR215" s="40"/>
      <c r="AS215" s="40"/>
      <c r="AT215" s="40"/>
      <c r="AU215" s="40"/>
      <c r="AV215" s="40"/>
      <c r="AW215" s="40"/>
      <c r="AX215" s="40"/>
      <c r="AY215" s="40"/>
      <c r="AZ215" s="40"/>
      <c r="BA215" s="40"/>
      <c r="BB215" s="40"/>
      <c r="BC215" s="40"/>
      <c r="BD215" s="40"/>
      <c r="BE215" s="40"/>
      <c r="BF215" s="40"/>
      <c r="BG215" s="40"/>
      <c r="BH215" s="40"/>
      <c r="BI215" s="40"/>
      <c r="BJ215" s="40"/>
      <c r="BK215" s="40"/>
      <c r="BL215" s="40"/>
      <c r="BM215" s="40"/>
      <c r="BN215" s="42"/>
      <c r="BO215" s="40"/>
      <c r="BP215" s="43"/>
      <c r="BQ215" s="44"/>
    </row>
    <row r="216" ht="11.25" customHeight="1" spans="1:69" x14ac:dyDescent="0.25">
      <c r="A216" s="9">
        <v>427110000</v>
      </c>
      <c r="B216" s="9" t="s">
        <v>253</v>
      </c>
      <c r="C216" s="34">
        <f>IFERROR(VLOOKUP("1_"&amp;A216,SyS!$B:$P,10,FALSE()),0)</f>
      </c>
      <c r="D216" s="35">
        <f>IFERROR(VLOOKUP("1_"&amp;A216,SyS!$B:$P,12,FALSE()),0)</f>
      </c>
      <c r="E216" s="35">
        <f>+C216-D216</f>
      </c>
      <c r="F216" s="34">
        <f>IFERROR(VLOOKUP("2_"&amp;A216,SyS!$B:$P,10,FALSE()),0)</f>
      </c>
      <c r="G216" s="35">
        <f>IFERROR(VLOOKUP("2_"&amp;A216,SyS!$B:$P,12,FALSE()),0)</f>
      </c>
      <c r="H216" s="36">
        <f>+F216-G216</f>
      </c>
      <c r="I216" s="35"/>
      <c r="J216" s="35"/>
      <c r="K216" s="35"/>
      <c r="L216" s="35"/>
      <c r="M216" s="35"/>
      <c r="N216" s="35"/>
      <c r="O216" s="34">
        <f>IFERROR(VLOOKUP("14_"&amp;A216,SyS!$B:$P,10,FALSE()),0)</f>
      </c>
      <c r="P216" s="35">
        <f>IFERROR(VLOOKUP("14_"&amp;A216,SyS!$B:$P,12,FALSE()),0)</f>
      </c>
      <c r="Q216" s="36">
        <f>+O216-P216</f>
      </c>
      <c r="R216" s="34">
        <f>IFERROR(VLOOKUP("15_"&amp;A216,SyS!$B:$P,10,FALSE()),0)</f>
      </c>
      <c r="S216" s="35">
        <f>IFERROR(VLOOKUP("15_"&amp;A216,SyS!$B:$P,12,FALSE()),0)</f>
      </c>
      <c r="T216" s="36">
        <f>+R216-S216</f>
      </c>
      <c r="U216" s="34">
        <f>IFERROR(VLOOKUP("16_"&amp;A216,SyS!$B:$P,10,FALSE()),0)</f>
      </c>
      <c r="V216" s="35">
        <f>IFERROR(VLOOKUP("16_"&amp;A216,SyS!$B:$P,12,FALSE()),0)</f>
      </c>
      <c r="W216" s="36">
        <f>+U216-V216</f>
      </c>
      <c r="X216" s="34">
        <f>IFERROR(VLOOKUP("13_"&amp;A216,SyS!$B:$P,10,FALSE()),0)</f>
      </c>
      <c r="Y216" s="35">
        <f>IFERROR(VLOOKUP("13_"&amp;A216,SyS!$B:$P,12,FALSE()),0)</f>
      </c>
      <c r="Z216" s="36">
        <f>+X216-Y216</f>
      </c>
      <c r="AA216" s="34">
        <f>IFERROR(VLOOKUP("17_"&amp;A216,SyS!$B:$P,10,FALSE()),0)</f>
      </c>
      <c r="AB216" s="35">
        <f>IFERROR(VLOOKUP("17_"&amp;A216,SyS!$B:$P,12,FALSE()),0)</f>
      </c>
      <c r="AC216" s="36">
        <f>+AA216-AB216</f>
      </c>
      <c r="AD216" s="35"/>
      <c r="AE216" s="35"/>
      <c r="AF216" s="35"/>
      <c r="AG216" s="35">
        <f>IFERROR(VLOOKUP("19_"&amp;A216,SyS!$B:$P,10,FALSE()),0)</f>
      </c>
      <c r="AH216" s="35">
        <f>IFERROR(VLOOKUP("19_"&amp;A216,SyS!$B:$P,12,FALSE()),0)</f>
      </c>
      <c r="AI216" s="35">
        <f>+AG216-AH216</f>
      </c>
      <c r="AJ216" s="35"/>
      <c r="AK216" s="35"/>
      <c r="AL216" s="35"/>
      <c r="AM216" s="34">
        <f>IFERROR(VLOOKUP("23_"&amp;A216,SyS!$B:$P,10,FALSE()),0)</f>
      </c>
      <c r="AN216" s="35">
        <f>IFERROR(VLOOKUP("23_"&amp;A216,SyS!$B:$P,12,FALSE()),0)</f>
      </c>
      <c r="AO216" s="36">
        <f>+AM216-AN216</f>
      </c>
      <c r="AP216" s="40"/>
      <c r="AQ216" s="40"/>
      <c r="AR216" s="40"/>
      <c r="AS216" s="40"/>
      <c r="AT216" s="40"/>
      <c r="AU216" s="40"/>
      <c r="AV216" s="40"/>
      <c r="AW216" s="40"/>
      <c r="AX216" s="40"/>
      <c r="AY216" s="40"/>
      <c r="AZ216" s="40"/>
      <c r="BA216" s="40"/>
      <c r="BB216" s="40"/>
      <c r="BC216" s="40"/>
      <c r="BD216" s="40"/>
      <c r="BE216" s="40"/>
      <c r="BF216" s="40"/>
      <c r="BG216" s="40"/>
      <c r="BH216" s="40"/>
      <c r="BI216" s="40"/>
      <c r="BJ216" s="40"/>
      <c r="BK216" s="40">
        <f>IFERROR(VLOOKUP("29_"&amp;A216,SyS!$B:$P,10,FALSE()),0)</f>
      </c>
      <c r="BL216" s="40">
        <f>IFERROR(VLOOKUP("29_"&amp;A216,SyS!$B:$P,12,FALSE()),0)</f>
      </c>
      <c r="BM216" s="40">
        <f>+BK216-BL216</f>
      </c>
      <c r="BN216" s="42">
        <f>IFERROR(VLOOKUP("30_"&amp;A216,SyS!$B:$P,10,FALSE()),0)</f>
      </c>
      <c r="BO216" s="40">
        <f>IFERROR(VLOOKUP("30_"&amp;A216,SyS!$B:$P,12,FALSE()),0)</f>
      </c>
      <c r="BP216" s="43">
        <f>+BN216-BO216</f>
      </c>
      <c r="BQ216" s="44">
        <f>+E216+H216+K216+N216+Q216+T216+W216+Z216+AC216+AF216+AI216+AL216+AO216+AR216+AU216+AX216+BA216+BD216+BG216+BJ216+BM216+BP216</f>
      </c>
    </row>
    <row r="217" ht="11.25" customHeight="1" spans="1:69" x14ac:dyDescent="0.25">
      <c r="A217" s="9">
        <v>427120000</v>
      </c>
      <c r="B217" s="9" t="s">
        <v>254</v>
      </c>
      <c r="C217" s="34">
        <f>IFERROR(VLOOKUP("1_"&amp;A217,SyS!$B:$P,10,FALSE()),0)</f>
      </c>
      <c r="D217" s="35">
        <f>IFERROR(VLOOKUP("1_"&amp;A217,SyS!$B:$P,12,FALSE()),0)</f>
      </c>
      <c r="E217" s="35">
        <f>+C217-D217</f>
      </c>
      <c r="F217" s="34">
        <f>IFERROR(VLOOKUP("2_"&amp;A217,SyS!$B:$P,10,FALSE()),0)</f>
      </c>
      <c r="G217" s="35">
        <f>IFERROR(VLOOKUP("2_"&amp;A217,SyS!$B:$P,12,FALSE()),0)</f>
      </c>
      <c r="H217" s="36">
        <f>+F217-G217</f>
      </c>
      <c r="I217" s="35"/>
      <c r="J217" s="35"/>
      <c r="K217" s="35"/>
      <c r="L217" s="35"/>
      <c r="M217" s="35"/>
      <c r="N217" s="35"/>
      <c r="O217" s="34">
        <f>IFERROR(VLOOKUP("14_"&amp;A217,SyS!$B:$P,10,FALSE()),0)</f>
      </c>
      <c r="P217" s="35">
        <f>IFERROR(VLOOKUP("14_"&amp;A217,SyS!$B:$P,12,FALSE()),0)</f>
      </c>
      <c r="Q217" s="36">
        <f>+O217-P217</f>
      </c>
      <c r="R217" s="34">
        <f>IFERROR(VLOOKUP("15_"&amp;A217,SyS!$B:$P,10,FALSE()),0)</f>
      </c>
      <c r="S217" s="35">
        <f>IFERROR(VLOOKUP("15_"&amp;A217,SyS!$B:$P,12,FALSE()),0)</f>
      </c>
      <c r="T217" s="36">
        <f>+R217-S217</f>
      </c>
      <c r="U217" s="34">
        <f>IFERROR(VLOOKUP("16_"&amp;A217,SyS!$B:$P,10,FALSE()),0)</f>
      </c>
      <c r="V217" s="35">
        <f>IFERROR(VLOOKUP("16_"&amp;A217,SyS!$B:$P,12,FALSE()),0)</f>
      </c>
      <c r="W217" s="36">
        <f>+U217-V217</f>
      </c>
      <c r="X217" s="34">
        <f>IFERROR(VLOOKUP("13_"&amp;A217,SyS!$B:$P,10,FALSE()),0)</f>
      </c>
      <c r="Y217" s="35">
        <f>IFERROR(VLOOKUP("13_"&amp;A217,SyS!$B:$P,12,FALSE()),0)</f>
      </c>
      <c r="Z217" s="36">
        <f>+X217-Y217</f>
      </c>
      <c r="AA217" s="34">
        <f>IFERROR(VLOOKUP("17_"&amp;A217,SyS!$B:$P,10,FALSE()),0)</f>
      </c>
      <c r="AB217" s="35">
        <f>IFERROR(VLOOKUP("17_"&amp;A217,SyS!$B:$P,12,FALSE()),0)</f>
      </c>
      <c r="AC217" s="36">
        <f>+AA217-AB217</f>
      </c>
      <c r="AD217" s="35"/>
      <c r="AE217" s="35"/>
      <c r="AF217" s="35"/>
      <c r="AG217" s="35">
        <f>IFERROR(VLOOKUP("19_"&amp;A217,SyS!$B:$P,10,FALSE()),0)</f>
      </c>
      <c r="AH217" s="35">
        <f>IFERROR(VLOOKUP("19_"&amp;A217,SyS!$B:$P,12,FALSE()),0)</f>
      </c>
      <c r="AI217" s="35">
        <f>+AG217-AH217</f>
      </c>
      <c r="AJ217" s="35"/>
      <c r="AK217" s="35"/>
      <c r="AL217" s="35"/>
      <c r="AM217" s="34">
        <f>IFERROR(VLOOKUP("23_"&amp;A217,SyS!$B:$P,10,FALSE()),0)</f>
      </c>
      <c r="AN217" s="35">
        <f>IFERROR(VLOOKUP("23_"&amp;A217,SyS!$B:$P,12,FALSE()),0)</f>
      </c>
      <c r="AO217" s="36">
        <f>+AM217-AN217</f>
      </c>
      <c r="AP217" s="40"/>
      <c r="AQ217" s="40"/>
      <c r="AR217" s="40"/>
      <c r="AS217" s="40"/>
      <c r="AT217" s="40"/>
      <c r="AU217" s="40"/>
      <c r="AV217" s="40"/>
      <c r="AW217" s="40"/>
      <c r="AX217" s="40"/>
      <c r="AY217" s="40"/>
      <c r="AZ217" s="40"/>
      <c r="BA217" s="40"/>
      <c r="BB217" s="40"/>
      <c r="BC217" s="40"/>
      <c r="BD217" s="40"/>
      <c r="BE217" s="40"/>
      <c r="BF217" s="40"/>
      <c r="BG217" s="40"/>
      <c r="BH217" s="40"/>
      <c r="BI217" s="40"/>
      <c r="BJ217" s="40"/>
      <c r="BK217" s="40">
        <f>IFERROR(VLOOKUP("29_"&amp;A217,SyS!$B:$P,10,FALSE()),0)</f>
      </c>
      <c r="BL217" s="40">
        <f>IFERROR(VLOOKUP("29_"&amp;A217,SyS!$B:$P,12,FALSE()),0)</f>
      </c>
      <c r="BM217" s="40">
        <f>+BK217-BL217</f>
      </c>
      <c r="BN217" s="42">
        <f>IFERROR(VLOOKUP("30_"&amp;A217,SyS!$B:$P,10,FALSE()),0)</f>
      </c>
      <c r="BO217" s="40">
        <f>IFERROR(VLOOKUP("30_"&amp;A217,SyS!$B:$P,12,FALSE()),0)</f>
      </c>
      <c r="BP217" s="43">
        <f>+BN217-BO217</f>
      </c>
      <c r="BQ217" s="44">
        <f>+E217+H217+K217+N217+Q217+T217+W217+Z217+AC217+AF217+AI217+AL217+AO217+AR217+AU217+AX217+BA217+BD217+BG217+BJ217+BM217+BP217</f>
      </c>
    </row>
    <row r="218" ht="11.25" customHeight="1" spans="1:69" x14ac:dyDescent="0.25">
      <c r="A218" s="9">
        <v>427140000</v>
      </c>
      <c r="B218" s="9" t="s">
        <v>255</v>
      </c>
      <c r="C218" s="34">
        <f>IFERROR(VLOOKUP("1_"&amp;A218,SyS!$B:$P,10,FALSE()),0)</f>
      </c>
      <c r="D218" s="35">
        <f>IFERROR(VLOOKUP("1_"&amp;A218,SyS!$B:$P,12,FALSE()),0)</f>
      </c>
      <c r="E218" s="35">
        <f>+C218-D218</f>
      </c>
      <c r="F218" s="34">
        <f>IFERROR(VLOOKUP("2_"&amp;A218,SyS!$B:$P,10,FALSE()),0)</f>
      </c>
      <c r="G218" s="35">
        <f>IFERROR(VLOOKUP("2_"&amp;A218,SyS!$B:$P,12,FALSE()),0)</f>
      </c>
      <c r="H218" s="36">
        <f>+F218-G218</f>
      </c>
      <c r="I218" s="35"/>
      <c r="J218" s="35"/>
      <c r="K218" s="35"/>
      <c r="L218" s="35"/>
      <c r="M218" s="35"/>
      <c r="N218" s="35"/>
      <c r="O218" s="34">
        <f>IFERROR(VLOOKUP("14_"&amp;A218,SyS!$B:$P,10,FALSE()),0)</f>
      </c>
      <c r="P218" s="35">
        <f>IFERROR(VLOOKUP("14_"&amp;A218,SyS!$B:$P,12,FALSE()),0)</f>
      </c>
      <c r="Q218" s="36">
        <f>+O218-P218</f>
      </c>
      <c r="R218" s="34">
        <f>IFERROR(VLOOKUP("15_"&amp;A218,SyS!$B:$P,10,FALSE()),0)</f>
      </c>
      <c r="S218" s="35">
        <f>IFERROR(VLOOKUP("15_"&amp;A218,SyS!$B:$P,12,FALSE()),0)</f>
      </c>
      <c r="T218" s="36">
        <f>+R218-S218</f>
      </c>
      <c r="U218" s="34">
        <f>IFERROR(VLOOKUP("16_"&amp;A218,SyS!$B:$P,10,FALSE()),0)</f>
      </c>
      <c r="V218" s="35">
        <f>IFERROR(VLOOKUP("16_"&amp;A218,SyS!$B:$P,12,FALSE()),0)</f>
      </c>
      <c r="W218" s="36">
        <f>+U218-V218</f>
      </c>
      <c r="X218" s="34">
        <f>IFERROR(VLOOKUP("13_"&amp;A218,SyS!$B:$P,10,FALSE()),0)</f>
      </c>
      <c r="Y218" s="35">
        <f>IFERROR(VLOOKUP("13_"&amp;A218,SyS!$B:$P,12,FALSE()),0)</f>
      </c>
      <c r="Z218" s="36">
        <f>+X218-Y218</f>
      </c>
      <c r="AA218" s="34">
        <f>IFERROR(VLOOKUP("17_"&amp;A218,SyS!$B:$P,10,FALSE()),0)</f>
      </c>
      <c r="AB218" s="35">
        <f>IFERROR(VLOOKUP("17_"&amp;A218,SyS!$B:$P,12,FALSE()),0)</f>
      </c>
      <c r="AC218" s="36">
        <f>+AA218-AB218</f>
      </c>
      <c r="AD218" s="35"/>
      <c r="AE218" s="35"/>
      <c r="AF218" s="35"/>
      <c r="AG218" s="35">
        <f>IFERROR(VLOOKUP("19_"&amp;A218,SyS!$B:$P,10,FALSE()),0)</f>
      </c>
      <c r="AH218" s="35">
        <f>IFERROR(VLOOKUP("19_"&amp;A218,SyS!$B:$P,12,FALSE()),0)</f>
      </c>
      <c r="AI218" s="35">
        <f>+AG218-AH218</f>
      </c>
      <c r="AJ218" s="35"/>
      <c r="AK218" s="35"/>
      <c r="AL218" s="35"/>
      <c r="AM218" s="34">
        <f>IFERROR(VLOOKUP("23_"&amp;A218,SyS!$B:$P,10,FALSE()),0)</f>
      </c>
      <c r="AN218" s="35">
        <f>IFERROR(VLOOKUP("23_"&amp;A218,SyS!$B:$P,12,FALSE()),0)</f>
      </c>
      <c r="AO218" s="36">
        <f>+AM218-AN218</f>
      </c>
      <c r="AP218" s="40"/>
      <c r="AQ218" s="40"/>
      <c r="AR218" s="40"/>
      <c r="AS218" s="40"/>
      <c r="AT218" s="40"/>
      <c r="AU218" s="40"/>
      <c r="AV218" s="40"/>
      <c r="AW218" s="40"/>
      <c r="AX218" s="40"/>
      <c r="AY218" s="40"/>
      <c r="AZ218" s="40"/>
      <c r="BA218" s="40"/>
      <c r="BB218" s="40"/>
      <c r="BC218" s="40"/>
      <c r="BD218" s="40"/>
      <c r="BE218" s="40"/>
      <c r="BF218" s="40"/>
      <c r="BG218" s="40"/>
      <c r="BH218" s="40"/>
      <c r="BI218" s="40"/>
      <c r="BJ218" s="40"/>
      <c r="BK218" s="40">
        <f>IFERROR(VLOOKUP("29_"&amp;A218,SyS!$B:$P,10,FALSE()),0)</f>
      </c>
      <c r="BL218" s="40">
        <f>IFERROR(VLOOKUP("29_"&amp;A218,SyS!$B:$P,12,FALSE()),0)</f>
      </c>
      <c r="BM218" s="40">
        <f>+BK218-BL218</f>
      </c>
      <c r="BN218" s="42">
        <f>IFERROR(VLOOKUP("30_"&amp;A218,SyS!$B:$P,10,FALSE()),0)</f>
      </c>
      <c r="BO218" s="40">
        <f>IFERROR(VLOOKUP("30_"&amp;A218,SyS!$B:$P,12,FALSE()),0)</f>
      </c>
      <c r="BP218" s="43">
        <f>+BN218-BO218</f>
      </c>
      <c r="BQ218" s="44">
        <f>+E218+H218+K218+N218+Q218+T218+W218+Z218+AC218+AF218+AI218+AL218+AO218+AR218+AU218+AX218+BA218+BD218+BG218+BJ218+BM218+BP218</f>
      </c>
    </row>
    <row r="219" ht="11.25" customHeight="1" spans="1:69" x14ac:dyDescent="0.25">
      <c r="A219" s="9">
        <v>427150000</v>
      </c>
      <c r="B219" s="9" t="s">
        <v>256</v>
      </c>
      <c r="C219" s="34">
        <f>IFERROR(VLOOKUP("1_"&amp;A219,SyS!$B:$P,10,FALSE()),0)</f>
      </c>
      <c r="D219" s="35">
        <f>IFERROR(VLOOKUP("1_"&amp;A219,SyS!$B:$P,12,FALSE()),0)</f>
      </c>
      <c r="E219" s="35">
        <f>+C219-D219</f>
      </c>
      <c r="F219" s="34">
        <f>IFERROR(VLOOKUP("2_"&amp;A219,SyS!$B:$P,10,FALSE()),0)</f>
      </c>
      <c r="G219" s="35">
        <f>IFERROR(VLOOKUP("2_"&amp;A219,SyS!$B:$P,12,FALSE()),0)</f>
      </c>
      <c r="H219" s="36">
        <f>+F219-G219</f>
      </c>
      <c r="I219" s="35"/>
      <c r="J219" s="35"/>
      <c r="K219" s="35"/>
      <c r="L219" s="35"/>
      <c r="M219" s="35"/>
      <c r="N219" s="35"/>
      <c r="O219" s="34">
        <f>IFERROR(VLOOKUP("14_"&amp;A219,SyS!$B:$P,10,FALSE()),0)</f>
      </c>
      <c r="P219" s="35">
        <f>IFERROR(VLOOKUP("14_"&amp;A219,SyS!$B:$P,12,FALSE()),0)</f>
      </c>
      <c r="Q219" s="36">
        <f>+O219-P219</f>
      </c>
      <c r="R219" s="34">
        <f>IFERROR(VLOOKUP("15_"&amp;A219,SyS!$B:$P,10,FALSE()),0)</f>
      </c>
      <c r="S219" s="35">
        <f>IFERROR(VLOOKUP("15_"&amp;A219,SyS!$B:$P,12,FALSE()),0)</f>
      </c>
      <c r="T219" s="36">
        <f>+R219-S219</f>
      </c>
      <c r="U219" s="34">
        <f>IFERROR(VLOOKUP("16_"&amp;A219,SyS!$B:$P,10,FALSE()),0)</f>
      </c>
      <c r="V219" s="35">
        <f>IFERROR(VLOOKUP("16_"&amp;A219,SyS!$B:$P,12,FALSE()),0)</f>
      </c>
      <c r="W219" s="36">
        <f>+U219-V219</f>
      </c>
      <c r="X219" s="34">
        <f>IFERROR(VLOOKUP("13_"&amp;A219,SyS!$B:$P,10,FALSE()),0)</f>
      </c>
      <c r="Y219" s="35">
        <f>IFERROR(VLOOKUP("13_"&amp;A219,SyS!$B:$P,12,FALSE()),0)</f>
      </c>
      <c r="Z219" s="36">
        <f>+X219-Y219</f>
      </c>
      <c r="AA219" s="34">
        <f>IFERROR(VLOOKUP("17_"&amp;A219,SyS!$B:$P,10,FALSE()),0)</f>
      </c>
      <c r="AB219" s="35">
        <f>IFERROR(VLOOKUP("17_"&amp;A219,SyS!$B:$P,12,FALSE()),0)</f>
      </c>
      <c r="AC219" s="36">
        <f>+AA219-AB219</f>
      </c>
      <c r="AD219" s="35"/>
      <c r="AE219" s="35"/>
      <c r="AF219" s="35"/>
      <c r="AG219" s="35">
        <f>IFERROR(VLOOKUP("19_"&amp;A219,SyS!$B:$P,10,FALSE()),0)</f>
      </c>
      <c r="AH219" s="35">
        <f>IFERROR(VLOOKUP("19_"&amp;A219,SyS!$B:$P,12,FALSE()),0)</f>
      </c>
      <c r="AI219" s="35">
        <f>+AG219-AH219</f>
      </c>
      <c r="AJ219" s="35"/>
      <c r="AK219" s="35"/>
      <c r="AL219" s="35"/>
      <c r="AM219" s="34">
        <f>IFERROR(VLOOKUP("23_"&amp;A219,SyS!$B:$P,10,FALSE()),0)</f>
      </c>
      <c r="AN219" s="35">
        <f>IFERROR(VLOOKUP("23_"&amp;A219,SyS!$B:$P,12,FALSE()),0)</f>
      </c>
      <c r="AO219" s="36">
        <f>+AM219-AN219</f>
      </c>
      <c r="AP219" s="40"/>
      <c r="AQ219" s="40"/>
      <c r="AR219" s="40"/>
      <c r="AS219" s="40"/>
      <c r="AT219" s="40"/>
      <c r="AU219" s="40"/>
      <c r="AV219" s="40"/>
      <c r="AW219" s="40"/>
      <c r="AX219" s="40"/>
      <c r="AY219" s="40"/>
      <c r="AZ219" s="40"/>
      <c r="BA219" s="40"/>
      <c r="BB219" s="40"/>
      <c r="BC219" s="40"/>
      <c r="BD219" s="40"/>
      <c r="BE219" s="40"/>
      <c r="BF219" s="40"/>
      <c r="BG219" s="40"/>
      <c r="BH219" s="40"/>
      <c r="BI219" s="40"/>
      <c r="BJ219" s="40"/>
      <c r="BK219" s="40">
        <f>IFERROR(VLOOKUP("29_"&amp;A219,SyS!$B:$P,10,FALSE()),0)</f>
      </c>
      <c r="BL219" s="40">
        <f>IFERROR(VLOOKUP("29_"&amp;A219,SyS!$B:$P,12,FALSE()),0)</f>
      </c>
      <c r="BM219" s="40">
        <f>+BK219-BL219</f>
      </c>
      <c r="BN219" s="42">
        <f>IFERROR(VLOOKUP("30_"&amp;A219,SyS!$B:$P,10,FALSE()),0)</f>
      </c>
      <c r="BO219" s="40">
        <f>IFERROR(VLOOKUP("30_"&amp;A219,SyS!$B:$P,12,FALSE()),0)</f>
      </c>
      <c r="BP219" s="43">
        <f>+BN219-BO219</f>
      </c>
      <c r="BQ219" s="44">
        <f>+E219+H219+K219+N219+Q219+T219+W219+Z219+AC219+AF219+AI219+AL219+AO219+AR219+AU219+AX219+BA219+BD219+BG219+BJ219+BM219+BP219</f>
      </c>
    </row>
    <row r="220" ht="11.25" customHeight="1" spans="1:69" x14ac:dyDescent="0.25">
      <c r="A220" s="9">
        <v>427160000</v>
      </c>
      <c r="B220" s="9" t="s">
        <v>257</v>
      </c>
      <c r="C220" s="34">
        <f>IFERROR(VLOOKUP("1_"&amp;A220,SyS!$B:$P,10,FALSE()),0)</f>
      </c>
      <c r="D220" s="35">
        <f>IFERROR(VLOOKUP("1_"&amp;A220,SyS!$B:$P,12,FALSE()),0)</f>
      </c>
      <c r="E220" s="35">
        <f>+C220-D220</f>
      </c>
      <c r="F220" s="34">
        <f>IFERROR(VLOOKUP("2_"&amp;A220,SyS!$B:$P,10,FALSE()),0)</f>
      </c>
      <c r="G220" s="35">
        <f>IFERROR(VLOOKUP("2_"&amp;A220,SyS!$B:$P,12,FALSE()),0)</f>
      </c>
      <c r="H220" s="36">
        <f>+F220-G220</f>
      </c>
      <c r="I220" s="35"/>
      <c r="J220" s="35"/>
      <c r="K220" s="35"/>
      <c r="L220" s="35"/>
      <c r="M220" s="35"/>
      <c r="N220" s="35"/>
      <c r="O220" s="34">
        <f>IFERROR(VLOOKUP("14_"&amp;A220,SyS!$B:$P,10,FALSE()),0)</f>
      </c>
      <c r="P220" s="35">
        <f>IFERROR(VLOOKUP("14_"&amp;A220,SyS!$B:$P,12,FALSE()),0)</f>
      </c>
      <c r="Q220" s="36">
        <f>+O220-P220</f>
      </c>
      <c r="R220" s="34">
        <f>IFERROR(VLOOKUP("15_"&amp;A220,SyS!$B:$P,10,FALSE()),0)</f>
      </c>
      <c r="S220" s="35">
        <f>IFERROR(VLOOKUP("15_"&amp;A220,SyS!$B:$P,12,FALSE()),0)</f>
      </c>
      <c r="T220" s="36">
        <f>+R220-S220</f>
      </c>
      <c r="U220" s="34">
        <f>IFERROR(VLOOKUP("16_"&amp;A220,SyS!$B:$P,10,FALSE()),0)</f>
      </c>
      <c r="V220" s="35">
        <f>IFERROR(VLOOKUP("16_"&amp;A220,SyS!$B:$P,12,FALSE()),0)</f>
      </c>
      <c r="W220" s="36">
        <f>+U220-V220</f>
      </c>
      <c r="X220" s="34">
        <f>IFERROR(VLOOKUP("13_"&amp;A220,SyS!$B:$P,10,FALSE()),0)</f>
      </c>
      <c r="Y220" s="35">
        <f>IFERROR(VLOOKUP("13_"&amp;A220,SyS!$B:$P,12,FALSE()),0)</f>
      </c>
      <c r="Z220" s="36">
        <f>+X220-Y220</f>
      </c>
      <c r="AA220" s="34">
        <f>IFERROR(VLOOKUP("17_"&amp;A220,SyS!$B:$P,10,FALSE()),0)</f>
      </c>
      <c r="AB220" s="35">
        <f>IFERROR(VLOOKUP("17_"&amp;A220,SyS!$B:$P,12,FALSE()),0)</f>
      </c>
      <c r="AC220" s="36">
        <f>+AA220-AB220</f>
      </c>
      <c r="AD220" s="35"/>
      <c r="AE220" s="35"/>
      <c r="AF220" s="35"/>
      <c r="AG220" s="35">
        <f>IFERROR(VLOOKUP("19_"&amp;A220,SyS!$B:$P,10,FALSE()),0)</f>
      </c>
      <c r="AH220" s="35">
        <f>IFERROR(VLOOKUP("19_"&amp;A220,SyS!$B:$P,12,FALSE()),0)</f>
      </c>
      <c r="AI220" s="35">
        <f>+AG220-AH220</f>
      </c>
      <c r="AJ220" s="35"/>
      <c r="AK220" s="35"/>
      <c r="AL220" s="35"/>
      <c r="AM220" s="34">
        <f>IFERROR(VLOOKUP("23_"&amp;A220,SyS!$B:$P,10,FALSE()),0)</f>
      </c>
      <c r="AN220" s="35">
        <f>IFERROR(VLOOKUP("23_"&amp;A220,SyS!$B:$P,12,FALSE()),0)</f>
      </c>
      <c r="AO220" s="36">
        <f>+AM220-AN220</f>
      </c>
      <c r="AP220" s="40"/>
      <c r="AQ220" s="40"/>
      <c r="AR220" s="40"/>
      <c r="AS220" s="40"/>
      <c r="AT220" s="40"/>
      <c r="AU220" s="40"/>
      <c r="AV220" s="40"/>
      <c r="AW220" s="40"/>
      <c r="AX220" s="40"/>
      <c r="AY220" s="40"/>
      <c r="AZ220" s="40"/>
      <c r="BA220" s="40"/>
      <c r="BB220" s="40"/>
      <c r="BC220" s="40"/>
      <c r="BD220" s="40"/>
      <c r="BE220" s="40"/>
      <c r="BF220" s="40"/>
      <c r="BG220" s="40"/>
      <c r="BH220" s="40"/>
      <c r="BI220" s="40"/>
      <c r="BJ220" s="40"/>
      <c r="BK220" s="40">
        <f>IFERROR(VLOOKUP("29_"&amp;A220,SyS!$B:$P,10,FALSE()),0)</f>
      </c>
      <c r="BL220" s="40">
        <f>IFERROR(VLOOKUP("29_"&amp;A220,SyS!$B:$P,12,FALSE()),0)</f>
      </c>
      <c r="BM220" s="40">
        <f>+BK220-BL220</f>
      </c>
      <c r="BN220" s="42">
        <f>IFERROR(VLOOKUP("30_"&amp;A220,SyS!$B:$P,10,FALSE()),0)</f>
      </c>
      <c r="BO220" s="40">
        <f>IFERROR(VLOOKUP("30_"&amp;A220,SyS!$B:$P,12,FALSE()),0)</f>
      </c>
      <c r="BP220" s="43">
        <f>+BN220-BO220</f>
      </c>
      <c r="BQ220" s="44">
        <f>+E220+H220+K220+N220+Q220+T220+W220+Z220+AC220+AF220+AI220+AL220+AO220+AR220+AU220+AX220+BA220+BD220+BG220+BJ220+BM220+BP220</f>
      </c>
    </row>
    <row r="221" ht="11.25" customHeight="1" spans="1:69" x14ac:dyDescent="0.25">
      <c r="A221" s="9">
        <v>427170000</v>
      </c>
      <c r="B221" s="9" t="s">
        <v>258</v>
      </c>
      <c r="C221" s="34">
        <f>IFERROR(VLOOKUP("1_"&amp;A221,SyS!$B:$P,10,FALSE()),0)</f>
      </c>
      <c r="D221" s="35">
        <f>IFERROR(VLOOKUP("1_"&amp;A221,SyS!$B:$P,12,FALSE()),0)</f>
      </c>
      <c r="E221" s="35">
        <f>+C221-D221</f>
      </c>
      <c r="F221" s="34">
        <f>IFERROR(VLOOKUP("2_"&amp;A221,SyS!$B:$P,10,FALSE()),0)</f>
      </c>
      <c r="G221" s="35">
        <f>IFERROR(VLOOKUP("2_"&amp;A221,SyS!$B:$P,12,FALSE()),0)</f>
      </c>
      <c r="H221" s="36">
        <f>+F221-G221</f>
      </c>
      <c r="I221" s="35"/>
      <c r="J221" s="35"/>
      <c r="K221" s="35"/>
      <c r="L221" s="35"/>
      <c r="M221" s="35"/>
      <c r="N221" s="35"/>
      <c r="O221" s="34">
        <f>IFERROR(VLOOKUP("14_"&amp;A221,SyS!$B:$P,10,FALSE()),0)</f>
      </c>
      <c r="P221" s="35">
        <f>IFERROR(VLOOKUP("14_"&amp;A221,SyS!$B:$P,12,FALSE()),0)</f>
      </c>
      <c r="Q221" s="36">
        <f>+O221-P221</f>
      </c>
      <c r="R221" s="34">
        <f>IFERROR(VLOOKUP("15_"&amp;A221,SyS!$B:$P,10,FALSE()),0)</f>
      </c>
      <c r="S221" s="35">
        <f>IFERROR(VLOOKUP("15_"&amp;A221,SyS!$B:$P,12,FALSE()),0)</f>
      </c>
      <c r="T221" s="36">
        <f>+R221-S221</f>
      </c>
      <c r="U221" s="34">
        <f>IFERROR(VLOOKUP("16_"&amp;A221,SyS!$B:$P,10,FALSE()),0)</f>
      </c>
      <c r="V221" s="35">
        <f>IFERROR(VLOOKUP("16_"&amp;A221,SyS!$B:$P,12,FALSE()),0)</f>
      </c>
      <c r="W221" s="36">
        <f>+U221-V221</f>
      </c>
      <c r="X221" s="34">
        <f>IFERROR(VLOOKUP("13_"&amp;A221,SyS!$B:$P,10,FALSE()),0)</f>
      </c>
      <c r="Y221" s="35">
        <f>IFERROR(VLOOKUP("13_"&amp;A221,SyS!$B:$P,12,FALSE()),0)</f>
      </c>
      <c r="Z221" s="36">
        <f>+X221-Y221</f>
      </c>
      <c r="AA221" s="34">
        <f>IFERROR(VLOOKUP("17_"&amp;A221,SyS!$B:$P,10,FALSE()),0)</f>
      </c>
      <c r="AB221" s="35">
        <f>IFERROR(VLOOKUP("17_"&amp;A221,SyS!$B:$P,12,FALSE()),0)</f>
      </c>
      <c r="AC221" s="36">
        <f>+AA221-AB221</f>
      </c>
      <c r="AD221" s="35"/>
      <c r="AE221" s="35"/>
      <c r="AF221" s="35"/>
      <c r="AG221" s="35">
        <f>IFERROR(VLOOKUP("19_"&amp;A221,SyS!$B:$P,10,FALSE()),0)</f>
      </c>
      <c r="AH221" s="35">
        <f>IFERROR(VLOOKUP("19_"&amp;A221,SyS!$B:$P,12,FALSE()),0)</f>
      </c>
      <c r="AI221" s="35">
        <f>+AG221-AH221</f>
      </c>
      <c r="AJ221" s="35"/>
      <c r="AK221" s="35"/>
      <c r="AL221" s="35"/>
      <c r="AM221" s="34">
        <f>IFERROR(VLOOKUP("23_"&amp;A221,SyS!$B:$P,10,FALSE()),0)</f>
      </c>
      <c r="AN221" s="35">
        <f>IFERROR(VLOOKUP("23_"&amp;A221,SyS!$B:$P,12,FALSE()),0)</f>
      </c>
      <c r="AO221" s="36">
        <f>+AM221-AN221</f>
      </c>
      <c r="AP221" s="40"/>
      <c r="AQ221" s="40"/>
      <c r="AR221" s="40"/>
      <c r="AS221" s="40"/>
      <c r="AT221" s="40"/>
      <c r="AU221" s="40"/>
      <c r="AV221" s="40"/>
      <c r="AW221" s="40"/>
      <c r="AX221" s="40"/>
      <c r="AY221" s="40"/>
      <c r="AZ221" s="40"/>
      <c r="BA221" s="40"/>
      <c r="BB221" s="40"/>
      <c r="BC221" s="40"/>
      <c r="BD221" s="40"/>
      <c r="BE221" s="40"/>
      <c r="BF221" s="40"/>
      <c r="BG221" s="40"/>
      <c r="BH221" s="40"/>
      <c r="BI221" s="40"/>
      <c r="BJ221" s="40"/>
      <c r="BK221" s="40">
        <f>IFERROR(VLOOKUP("29_"&amp;A221,SyS!$B:$P,10,FALSE()),0)</f>
      </c>
      <c r="BL221" s="40">
        <f>IFERROR(VLOOKUP("29_"&amp;A221,SyS!$B:$P,12,FALSE()),0)</f>
      </c>
      <c r="BM221" s="40">
        <f>+BK221-BL221</f>
      </c>
      <c r="BN221" s="42">
        <f>IFERROR(VLOOKUP("30_"&amp;A221,SyS!$B:$P,10,FALSE()),0)</f>
      </c>
      <c r="BO221" s="40">
        <f>IFERROR(VLOOKUP("30_"&amp;A221,SyS!$B:$P,12,FALSE()),0)</f>
      </c>
      <c r="BP221" s="43">
        <f>+BN221-BO221</f>
      </c>
      <c r="BQ221" s="44">
        <f>+E221+H221+K221+N221+Q221+T221+W221+Z221+AC221+AF221+AI221+AL221+AO221+AR221+AU221+AX221+BA221+BD221+BG221+BJ221+BM221+BP221</f>
      </c>
    </row>
    <row r="222" ht="11.25" customHeight="1" spans="1:69" x14ac:dyDescent="0.25">
      <c r="A222" s="9">
        <v>427180000</v>
      </c>
      <c r="B222" s="9" t="s">
        <v>259</v>
      </c>
      <c r="C222" s="34">
        <f>IFERROR(VLOOKUP("1_"&amp;A222,SyS!$B:$P,10,FALSE()),0)</f>
      </c>
      <c r="D222" s="35">
        <f>IFERROR(VLOOKUP("1_"&amp;A222,SyS!$B:$P,12,FALSE()),0)</f>
      </c>
      <c r="E222" s="35">
        <f>+C222-D222</f>
      </c>
      <c r="F222" s="34">
        <f>IFERROR(VLOOKUP("2_"&amp;A222,SyS!$B:$P,10,FALSE()),0)</f>
      </c>
      <c r="G222" s="35">
        <f>IFERROR(VLOOKUP("2_"&amp;A222,SyS!$B:$P,12,FALSE()),0)</f>
      </c>
      <c r="H222" s="36">
        <f>+F222-G222</f>
      </c>
      <c r="I222" s="35"/>
      <c r="J222" s="35"/>
      <c r="K222" s="35"/>
      <c r="L222" s="35"/>
      <c r="M222" s="35"/>
      <c r="N222" s="35"/>
      <c r="O222" s="34">
        <f>IFERROR(VLOOKUP("14_"&amp;A222,SyS!$B:$P,10,FALSE()),0)</f>
      </c>
      <c r="P222" s="35">
        <f>IFERROR(VLOOKUP("14_"&amp;A222,SyS!$B:$P,12,FALSE()),0)</f>
      </c>
      <c r="Q222" s="36">
        <f>+O222-P222</f>
      </c>
      <c r="R222" s="34">
        <f>IFERROR(VLOOKUP("15_"&amp;A222,SyS!$B:$P,10,FALSE()),0)</f>
      </c>
      <c r="S222" s="35">
        <f>IFERROR(VLOOKUP("15_"&amp;A222,SyS!$B:$P,12,FALSE()),0)</f>
      </c>
      <c r="T222" s="36">
        <f>+R222-S222</f>
      </c>
      <c r="U222" s="34">
        <f>IFERROR(VLOOKUP("16_"&amp;A222,SyS!$B:$P,10,FALSE()),0)</f>
      </c>
      <c r="V222" s="35">
        <f>IFERROR(VLOOKUP("16_"&amp;A222,SyS!$B:$P,12,FALSE()),0)</f>
      </c>
      <c r="W222" s="36">
        <f>+U222-V222</f>
      </c>
      <c r="X222" s="34">
        <f>IFERROR(VLOOKUP("13_"&amp;A222,SyS!$B:$P,10,FALSE()),0)</f>
      </c>
      <c r="Y222" s="35">
        <f>IFERROR(VLOOKUP("13_"&amp;A222,SyS!$B:$P,12,FALSE()),0)</f>
      </c>
      <c r="Z222" s="36">
        <f>+X222-Y222</f>
      </c>
      <c r="AA222" s="34">
        <f>IFERROR(VLOOKUP("17_"&amp;A222,SyS!$B:$P,10,FALSE()),0)</f>
      </c>
      <c r="AB222" s="35">
        <f>IFERROR(VLOOKUP("17_"&amp;A222,SyS!$B:$P,12,FALSE()),0)</f>
      </c>
      <c r="AC222" s="36">
        <f>+AA222-AB222</f>
      </c>
      <c r="AD222" s="35"/>
      <c r="AE222" s="35"/>
      <c r="AF222" s="35"/>
      <c r="AG222" s="35">
        <f>IFERROR(VLOOKUP("19_"&amp;A222,SyS!$B:$P,10,FALSE()),0)</f>
      </c>
      <c r="AH222" s="35">
        <f>IFERROR(VLOOKUP("19_"&amp;A222,SyS!$B:$P,12,FALSE()),0)</f>
      </c>
      <c r="AI222" s="35">
        <f>+AG222-AH222</f>
      </c>
      <c r="AJ222" s="35"/>
      <c r="AK222" s="35"/>
      <c r="AL222" s="35"/>
      <c r="AM222" s="34">
        <f>IFERROR(VLOOKUP("23_"&amp;A222,SyS!$B:$P,10,FALSE()),0)</f>
      </c>
      <c r="AN222" s="35">
        <f>IFERROR(VLOOKUP("23_"&amp;A222,SyS!$B:$P,12,FALSE()),0)</f>
      </c>
      <c r="AO222" s="36">
        <f>+AM222-AN222</f>
      </c>
      <c r="AP222" s="40"/>
      <c r="AQ222" s="40"/>
      <c r="AR222" s="40"/>
      <c r="AS222" s="40"/>
      <c r="AT222" s="40"/>
      <c r="AU222" s="40"/>
      <c r="AV222" s="40"/>
      <c r="AW222" s="40"/>
      <c r="AX222" s="40"/>
      <c r="AY222" s="40"/>
      <c r="AZ222" s="40"/>
      <c r="BA222" s="40"/>
      <c r="BB222" s="40"/>
      <c r="BC222" s="40"/>
      <c r="BD222" s="40"/>
      <c r="BE222" s="40"/>
      <c r="BF222" s="40"/>
      <c r="BG222" s="40"/>
      <c r="BH222" s="40"/>
      <c r="BI222" s="40"/>
      <c r="BJ222" s="40"/>
      <c r="BK222" s="40">
        <f>IFERROR(VLOOKUP("29_"&amp;A222,SyS!$B:$P,10,FALSE()),0)</f>
      </c>
      <c r="BL222" s="40">
        <f>IFERROR(VLOOKUP("29_"&amp;A222,SyS!$B:$P,12,FALSE()),0)</f>
      </c>
      <c r="BM222" s="40">
        <f>+BK222-BL222</f>
      </c>
      <c r="BN222" s="42">
        <f>IFERROR(VLOOKUP("30_"&amp;A222,SyS!$B:$P,10,FALSE()),0)</f>
      </c>
      <c r="BO222" s="40">
        <f>IFERROR(VLOOKUP("30_"&amp;A222,SyS!$B:$P,12,FALSE()),0)</f>
      </c>
      <c r="BP222" s="43">
        <f>+BN222-BO222</f>
      </c>
      <c r="BQ222" s="44">
        <f>+E222+H222+K222+N222+Q222+T222+W222+Z222+AC222+AF222+AI222+AL222+AO222+AR222+AU222+AX222+BA222+BD222+BG222+BJ222+BM222+BP222</f>
      </c>
    </row>
    <row r="223" ht="11.25" customHeight="1" spans="1:69" x14ac:dyDescent="0.25">
      <c r="A223" s="9">
        <v>427210000</v>
      </c>
      <c r="B223" s="9" t="s">
        <v>260</v>
      </c>
      <c r="C223" s="34">
        <f>IFERROR(VLOOKUP("1_"&amp;A223,SyS!$B:$P,10,FALSE()),0)</f>
      </c>
      <c r="D223" s="35">
        <f>IFERROR(VLOOKUP("1_"&amp;A223,SyS!$B:$P,12,FALSE()),0)</f>
      </c>
      <c r="E223" s="35">
        <f>+C223-D223</f>
      </c>
      <c r="F223" s="34">
        <f>IFERROR(VLOOKUP("2_"&amp;A223,SyS!$B:$P,10,FALSE()),0)</f>
      </c>
      <c r="G223" s="35">
        <f>IFERROR(VLOOKUP("2_"&amp;A223,SyS!$B:$P,12,FALSE()),0)</f>
      </c>
      <c r="H223" s="36">
        <f>+F223-G223</f>
      </c>
      <c r="I223" s="35"/>
      <c r="J223" s="35"/>
      <c r="K223" s="35"/>
      <c r="L223" s="35"/>
      <c r="M223" s="35"/>
      <c r="N223" s="35"/>
      <c r="O223" s="34">
        <f>IFERROR(VLOOKUP("14_"&amp;A223,SyS!$B:$P,10,FALSE()),0)</f>
      </c>
      <c r="P223" s="35">
        <f>IFERROR(VLOOKUP("14_"&amp;A223,SyS!$B:$P,12,FALSE()),0)</f>
      </c>
      <c r="Q223" s="36">
        <f>+O223-P223</f>
      </c>
      <c r="R223" s="34">
        <f>IFERROR(VLOOKUP("15_"&amp;A223,SyS!$B:$P,10,FALSE()),0)</f>
      </c>
      <c r="S223" s="35">
        <f>IFERROR(VLOOKUP("15_"&amp;A223,SyS!$B:$P,12,FALSE()),0)</f>
      </c>
      <c r="T223" s="36">
        <f>+R223-S223</f>
      </c>
      <c r="U223" s="34">
        <f>IFERROR(VLOOKUP("16_"&amp;A223,SyS!$B:$P,10,FALSE()),0)</f>
      </c>
      <c r="V223" s="35">
        <f>IFERROR(VLOOKUP("16_"&amp;A223,SyS!$B:$P,12,FALSE()),0)</f>
      </c>
      <c r="W223" s="36">
        <f>+U223-V223</f>
      </c>
      <c r="X223" s="34">
        <f>IFERROR(VLOOKUP("13_"&amp;A223,SyS!$B:$P,10,FALSE()),0)</f>
      </c>
      <c r="Y223" s="35">
        <f>IFERROR(VLOOKUP("13_"&amp;A223,SyS!$B:$P,12,FALSE()),0)</f>
      </c>
      <c r="Z223" s="36">
        <f>+X223-Y223</f>
      </c>
      <c r="AA223" s="34">
        <f>IFERROR(VLOOKUP("17_"&amp;A223,SyS!$B:$P,10,FALSE()),0)</f>
      </c>
      <c r="AB223" s="35">
        <f>IFERROR(VLOOKUP("17_"&amp;A223,SyS!$B:$P,12,FALSE()),0)</f>
      </c>
      <c r="AC223" s="36">
        <f>+AA223-AB223</f>
      </c>
      <c r="AD223" s="35"/>
      <c r="AE223" s="35"/>
      <c r="AF223" s="35"/>
      <c r="AG223" s="35">
        <f>IFERROR(VLOOKUP("19_"&amp;A223,SyS!$B:$P,10,FALSE()),0)</f>
      </c>
      <c r="AH223" s="35">
        <f>IFERROR(VLOOKUP("19_"&amp;A223,SyS!$B:$P,12,FALSE()),0)</f>
      </c>
      <c r="AI223" s="35">
        <f>+AG223-AH223</f>
      </c>
      <c r="AJ223" s="35"/>
      <c r="AK223" s="35"/>
      <c r="AL223" s="35"/>
      <c r="AM223" s="34">
        <f>IFERROR(VLOOKUP("23_"&amp;A223,SyS!$B:$P,10,FALSE()),0)</f>
      </c>
      <c r="AN223" s="35">
        <f>IFERROR(VLOOKUP("23_"&amp;A223,SyS!$B:$P,12,FALSE()),0)</f>
      </c>
      <c r="AO223" s="36">
        <f>+AM223-AN223</f>
      </c>
      <c r="AP223" s="40"/>
      <c r="AQ223" s="40"/>
      <c r="AR223" s="40"/>
      <c r="AS223" s="40"/>
      <c r="AT223" s="40"/>
      <c r="AU223" s="40"/>
      <c r="AV223" s="40"/>
      <c r="AW223" s="40"/>
      <c r="AX223" s="40"/>
      <c r="AY223" s="40"/>
      <c r="AZ223" s="40"/>
      <c r="BA223" s="40"/>
      <c r="BB223" s="40"/>
      <c r="BC223" s="40"/>
      <c r="BD223" s="40"/>
      <c r="BE223" s="40"/>
      <c r="BF223" s="40"/>
      <c r="BG223" s="40"/>
      <c r="BH223" s="40"/>
      <c r="BI223" s="40"/>
      <c r="BJ223" s="40"/>
      <c r="BK223" s="40">
        <f>IFERROR(VLOOKUP("29_"&amp;A223,SyS!$B:$P,10,FALSE()),0)</f>
      </c>
      <c r="BL223" s="40">
        <f>IFERROR(VLOOKUP("29_"&amp;A223,SyS!$B:$P,12,FALSE()),0)</f>
      </c>
      <c r="BM223" s="40">
        <f>+BK223-BL223</f>
      </c>
      <c r="BN223" s="42">
        <f>IFERROR(VLOOKUP("30_"&amp;A223,SyS!$B:$P,10,FALSE()),0)</f>
      </c>
      <c r="BO223" s="40">
        <f>IFERROR(VLOOKUP("30_"&amp;A223,SyS!$B:$P,12,FALSE()),0)</f>
      </c>
      <c r="BP223" s="43">
        <f>+BN223-BO223</f>
      </c>
      <c r="BQ223" s="44">
        <f>+E223+H223+K223+N223+Q223+T223+W223+Z223+AC223+AF223+AI223+AL223+AO223+AR223+AU223+AX223+BA223+BD223+BG223+BJ223+BM223+BP223</f>
      </c>
    </row>
    <row r="224" ht="11.25" customHeight="1" spans="1:69" x14ac:dyDescent="0.25">
      <c r="A224" s="9">
        <v>427220000</v>
      </c>
      <c r="B224" s="9" t="s">
        <v>261</v>
      </c>
      <c r="C224" s="34">
        <f>IFERROR(VLOOKUP("1_"&amp;A224,SyS!$B:$P,10,FALSE()),0)</f>
      </c>
      <c r="D224" s="35">
        <f>IFERROR(VLOOKUP("1_"&amp;A224,SyS!$B:$P,12,FALSE()),0)</f>
      </c>
      <c r="E224" s="35">
        <f>+C224-D224</f>
      </c>
      <c r="F224" s="34">
        <f>IFERROR(VLOOKUP("2_"&amp;A224,SyS!$B:$P,10,FALSE()),0)</f>
      </c>
      <c r="G224" s="35">
        <f>IFERROR(VLOOKUP("2_"&amp;A224,SyS!$B:$P,12,FALSE()),0)</f>
      </c>
      <c r="H224" s="36">
        <f>+F224-G224</f>
      </c>
      <c r="I224" s="35"/>
      <c r="J224" s="35"/>
      <c r="K224" s="35"/>
      <c r="L224" s="35"/>
      <c r="M224" s="35"/>
      <c r="N224" s="35"/>
      <c r="O224" s="34">
        <f>IFERROR(VLOOKUP("14_"&amp;A224,SyS!$B:$P,10,FALSE()),0)</f>
      </c>
      <c r="P224" s="35">
        <f>IFERROR(VLOOKUP("14_"&amp;A224,SyS!$B:$P,12,FALSE()),0)</f>
      </c>
      <c r="Q224" s="36">
        <f>+O224-P224</f>
      </c>
      <c r="R224" s="34">
        <f>IFERROR(VLOOKUP("15_"&amp;A224,SyS!$B:$P,10,FALSE()),0)</f>
      </c>
      <c r="S224" s="35">
        <f>IFERROR(VLOOKUP("15_"&amp;A224,SyS!$B:$P,12,FALSE()),0)</f>
      </c>
      <c r="T224" s="36">
        <f>+R224-S224</f>
      </c>
      <c r="U224" s="34">
        <f>IFERROR(VLOOKUP("16_"&amp;A224,SyS!$B:$P,10,FALSE()),0)</f>
      </c>
      <c r="V224" s="35">
        <f>IFERROR(VLOOKUP("16_"&amp;A224,SyS!$B:$P,12,FALSE()),0)</f>
      </c>
      <c r="W224" s="36">
        <f>+U224-V224</f>
      </c>
      <c r="X224" s="34">
        <f>IFERROR(VLOOKUP("13_"&amp;A224,SyS!$B:$P,10,FALSE()),0)</f>
      </c>
      <c r="Y224" s="35">
        <f>IFERROR(VLOOKUP("13_"&amp;A224,SyS!$B:$P,12,FALSE()),0)</f>
      </c>
      <c r="Z224" s="36">
        <f>+X224-Y224</f>
      </c>
      <c r="AA224" s="34">
        <f>IFERROR(VLOOKUP("17_"&amp;A224,SyS!$B:$P,10,FALSE()),0)</f>
      </c>
      <c r="AB224" s="35">
        <f>IFERROR(VLOOKUP("17_"&amp;A224,SyS!$B:$P,12,FALSE()),0)</f>
      </c>
      <c r="AC224" s="36">
        <f>+AA224-AB224</f>
      </c>
      <c r="AD224" s="35"/>
      <c r="AE224" s="35"/>
      <c r="AF224" s="35"/>
      <c r="AG224" s="35">
        <f>IFERROR(VLOOKUP("19_"&amp;A224,SyS!$B:$P,10,FALSE()),0)</f>
      </c>
      <c r="AH224" s="35">
        <f>IFERROR(VLOOKUP("19_"&amp;A224,SyS!$B:$P,12,FALSE()),0)</f>
      </c>
      <c r="AI224" s="35">
        <f>+AG224-AH224</f>
      </c>
      <c r="AJ224" s="35"/>
      <c r="AK224" s="35"/>
      <c r="AL224" s="35"/>
      <c r="AM224" s="34">
        <f>IFERROR(VLOOKUP("23_"&amp;A224,SyS!$B:$P,10,FALSE()),0)</f>
      </c>
      <c r="AN224" s="35">
        <f>IFERROR(VLOOKUP("23_"&amp;A224,SyS!$B:$P,12,FALSE()),0)</f>
      </c>
      <c r="AO224" s="36">
        <f>+AM224-AN224</f>
      </c>
      <c r="AP224" s="40"/>
      <c r="AQ224" s="40"/>
      <c r="AR224" s="40"/>
      <c r="AS224" s="40"/>
      <c r="AT224" s="40"/>
      <c r="AU224" s="40"/>
      <c r="AV224" s="40"/>
      <c r="AW224" s="40"/>
      <c r="AX224" s="40"/>
      <c r="AY224" s="40"/>
      <c r="AZ224" s="40"/>
      <c r="BA224" s="40"/>
      <c r="BB224" s="40"/>
      <c r="BC224" s="40"/>
      <c r="BD224" s="40"/>
      <c r="BE224" s="40"/>
      <c r="BF224" s="40"/>
      <c r="BG224" s="40"/>
      <c r="BH224" s="40"/>
      <c r="BI224" s="40"/>
      <c r="BJ224" s="40"/>
      <c r="BK224" s="40">
        <f>IFERROR(VLOOKUP("29_"&amp;A224,SyS!$B:$P,10,FALSE()),0)</f>
      </c>
      <c r="BL224" s="40">
        <f>IFERROR(VLOOKUP("29_"&amp;A224,SyS!$B:$P,12,FALSE()),0)</f>
      </c>
      <c r="BM224" s="40">
        <f>+BK224-BL224</f>
      </c>
      <c r="BN224" s="42">
        <f>IFERROR(VLOOKUP("30_"&amp;A224,SyS!$B:$P,10,FALSE()),0)</f>
      </c>
      <c r="BO224" s="40">
        <f>IFERROR(VLOOKUP("30_"&amp;A224,SyS!$B:$P,12,FALSE()),0)</f>
      </c>
      <c r="BP224" s="43">
        <f>+BN224-BO224</f>
      </c>
      <c r="BQ224" s="44">
        <f>+E224+H224+K224+N224+Q224+T224+W224+Z224+AC224+AF224+AI224+AL224+AO224+AR224+AU224+AX224+BA224+BD224+BG224+BJ224+BM224+BP224</f>
      </c>
    </row>
    <row r="225" ht="11.25" customHeight="1" spans="1:69" x14ac:dyDescent="0.25">
      <c r="A225" s="9">
        <v>427230000</v>
      </c>
      <c r="B225" s="9" t="s">
        <v>262</v>
      </c>
      <c r="C225" s="34">
        <f>IFERROR(VLOOKUP("1_"&amp;A225,SyS!$B:$P,10,FALSE()),0)</f>
      </c>
      <c r="D225" s="35">
        <f>IFERROR(VLOOKUP("1_"&amp;A225,SyS!$B:$P,12,FALSE()),0)</f>
      </c>
      <c r="E225" s="35">
        <f>+C225-D225</f>
      </c>
      <c r="F225" s="34">
        <f>IFERROR(VLOOKUP("2_"&amp;A225,SyS!$B:$P,10,FALSE()),0)</f>
      </c>
      <c r="G225" s="35">
        <f>IFERROR(VLOOKUP("2_"&amp;A225,SyS!$B:$P,12,FALSE()),0)</f>
      </c>
      <c r="H225" s="36">
        <f>+F225-G225</f>
      </c>
      <c r="I225" s="35"/>
      <c r="J225" s="35"/>
      <c r="K225" s="35"/>
      <c r="L225" s="35"/>
      <c r="M225" s="35"/>
      <c r="N225" s="35"/>
      <c r="O225" s="34">
        <f>IFERROR(VLOOKUP("14_"&amp;A225,SyS!$B:$P,10,FALSE()),0)</f>
      </c>
      <c r="P225" s="35">
        <f>IFERROR(VLOOKUP("14_"&amp;A225,SyS!$B:$P,12,FALSE()),0)</f>
      </c>
      <c r="Q225" s="36">
        <f>+O225-P225</f>
      </c>
      <c r="R225" s="34">
        <f>IFERROR(VLOOKUP("15_"&amp;A225,SyS!$B:$P,10,FALSE()),0)</f>
      </c>
      <c r="S225" s="35">
        <f>IFERROR(VLOOKUP("15_"&amp;A225,SyS!$B:$P,12,FALSE()),0)</f>
      </c>
      <c r="T225" s="36">
        <f>+R225-S225</f>
      </c>
      <c r="U225" s="34">
        <f>IFERROR(VLOOKUP("16_"&amp;A225,SyS!$B:$P,10,FALSE()),0)</f>
      </c>
      <c r="V225" s="35">
        <f>IFERROR(VLOOKUP("16_"&amp;A225,SyS!$B:$P,12,FALSE()),0)</f>
      </c>
      <c r="W225" s="36">
        <f>+U225-V225</f>
      </c>
      <c r="X225" s="34">
        <f>IFERROR(VLOOKUP("13_"&amp;A225,SyS!$B:$P,10,FALSE()),0)</f>
      </c>
      <c r="Y225" s="35">
        <f>IFERROR(VLOOKUP("13_"&amp;A225,SyS!$B:$P,12,FALSE()),0)</f>
      </c>
      <c r="Z225" s="36">
        <f>+X225-Y225</f>
      </c>
      <c r="AA225" s="34">
        <f>IFERROR(VLOOKUP("17_"&amp;A225,SyS!$B:$P,10,FALSE()),0)</f>
      </c>
      <c r="AB225" s="35">
        <f>IFERROR(VLOOKUP("17_"&amp;A225,SyS!$B:$P,12,FALSE()),0)</f>
      </c>
      <c r="AC225" s="36">
        <f>+AA225-AB225</f>
      </c>
      <c r="AD225" s="35"/>
      <c r="AE225" s="35"/>
      <c r="AF225" s="35"/>
      <c r="AG225" s="35">
        <f>IFERROR(VLOOKUP("19_"&amp;A225,SyS!$B:$P,10,FALSE()),0)</f>
      </c>
      <c r="AH225" s="35">
        <f>IFERROR(VLOOKUP("19_"&amp;A225,SyS!$B:$P,12,FALSE()),0)</f>
      </c>
      <c r="AI225" s="35">
        <f>+AG225-AH225</f>
      </c>
      <c r="AJ225" s="35"/>
      <c r="AK225" s="35"/>
      <c r="AL225" s="35"/>
      <c r="AM225" s="34">
        <f>IFERROR(VLOOKUP("23_"&amp;A225,SyS!$B:$P,10,FALSE()),0)</f>
      </c>
      <c r="AN225" s="35">
        <f>IFERROR(VLOOKUP("23_"&amp;A225,SyS!$B:$P,12,FALSE()),0)</f>
      </c>
      <c r="AO225" s="36">
        <f>+AM225-AN225</f>
      </c>
      <c r="AP225" s="40"/>
      <c r="AQ225" s="40"/>
      <c r="AR225" s="40"/>
      <c r="AS225" s="40"/>
      <c r="AT225" s="40"/>
      <c r="AU225" s="40"/>
      <c r="AV225" s="40"/>
      <c r="AW225" s="40"/>
      <c r="AX225" s="40"/>
      <c r="AY225" s="40"/>
      <c r="AZ225" s="40"/>
      <c r="BA225" s="40"/>
      <c r="BB225" s="40"/>
      <c r="BC225" s="40"/>
      <c r="BD225" s="40"/>
      <c r="BE225" s="40"/>
      <c r="BF225" s="40"/>
      <c r="BG225" s="40"/>
      <c r="BH225" s="40"/>
      <c r="BI225" s="40"/>
      <c r="BJ225" s="40"/>
      <c r="BK225" s="40">
        <f>IFERROR(VLOOKUP("29_"&amp;A225,SyS!$B:$P,10,FALSE()),0)</f>
      </c>
      <c r="BL225" s="40">
        <f>IFERROR(VLOOKUP("29_"&amp;A225,SyS!$B:$P,12,FALSE()),0)</f>
      </c>
      <c r="BM225" s="40">
        <f>+BK225-BL225</f>
      </c>
      <c r="BN225" s="42">
        <f>IFERROR(VLOOKUP("30_"&amp;A225,SyS!$B:$P,10,FALSE()),0)</f>
      </c>
      <c r="BO225" s="40">
        <f>IFERROR(VLOOKUP("30_"&amp;A225,SyS!$B:$P,12,FALSE()),0)</f>
      </c>
      <c r="BP225" s="43">
        <f>+BN225-BO225</f>
      </c>
      <c r="BQ225" s="44">
        <f>+E225+H225+K225+N225+Q225+T225+W225+Z225+AC225+AF225+AI225+AL225+AO225+AR225+AU225+AX225+BA225+BD225+BG225+BJ225+BM225+BP225</f>
      </c>
    </row>
    <row r="226" ht="11.25" customHeight="1" spans="1:69" x14ac:dyDescent="0.25">
      <c r="A226" s="9">
        <v>427240000</v>
      </c>
      <c r="B226" s="9" t="s">
        <v>263</v>
      </c>
      <c r="C226" s="34">
        <f>IFERROR(VLOOKUP("1_"&amp;A226,SyS!$B:$P,10,FALSE()),0)</f>
      </c>
      <c r="D226" s="35">
        <f>IFERROR(VLOOKUP("1_"&amp;A226,SyS!$B:$P,12,FALSE()),0)</f>
      </c>
      <c r="E226" s="35">
        <f>+C226-D226</f>
      </c>
      <c r="F226" s="34">
        <f>IFERROR(VLOOKUP("2_"&amp;A226,SyS!$B:$P,10,FALSE()),0)</f>
      </c>
      <c r="G226" s="35">
        <f>IFERROR(VLOOKUP("2_"&amp;A226,SyS!$B:$P,12,FALSE()),0)</f>
      </c>
      <c r="H226" s="36">
        <f>+F226-G226</f>
      </c>
      <c r="I226" s="35"/>
      <c r="J226" s="35"/>
      <c r="K226" s="35"/>
      <c r="L226" s="35"/>
      <c r="M226" s="35"/>
      <c r="N226" s="35"/>
      <c r="O226" s="34">
        <f>IFERROR(VLOOKUP("14_"&amp;A226,SyS!$B:$P,10,FALSE()),0)</f>
      </c>
      <c r="P226" s="35">
        <f>IFERROR(VLOOKUP("14_"&amp;A226,SyS!$B:$P,12,FALSE()),0)</f>
      </c>
      <c r="Q226" s="36">
        <f>+O226-P226</f>
      </c>
      <c r="R226" s="34">
        <f>IFERROR(VLOOKUP("15_"&amp;A226,SyS!$B:$P,10,FALSE()),0)</f>
      </c>
      <c r="S226" s="35">
        <f>IFERROR(VLOOKUP("15_"&amp;A226,SyS!$B:$P,12,FALSE()),0)</f>
      </c>
      <c r="T226" s="36">
        <f>+R226-S226</f>
      </c>
      <c r="U226" s="34">
        <f>IFERROR(VLOOKUP("16_"&amp;A226,SyS!$B:$P,10,FALSE()),0)</f>
      </c>
      <c r="V226" s="35">
        <f>IFERROR(VLOOKUP("16_"&amp;A226,SyS!$B:$P,12,FALSE()),0)</f>
      </c>
      <c r="W226" s="36">
        <f>+U226-V226</f>
      </c>
      <c r="X226" s="34">
        <f>IFERROR(VLOOKUP("13_"&amp;A226,SyS!$B:$P,10,FALSE()),0)</f>
      </c>
      <c r="Y226" s="35">
        <f>IFERROR(VLOOKUP("13_"&amp;A226,SyS!$B:$P,12,FALSE()),0)</f>
      </c>
      <c r="Z226" s="36">
        <f>+X226-Y226</f>
      </c>
      <c r="AA226" s="34">
        <f>IFERROR(VLOOKUP("17_"&amp;A226,SyS!$B:$P,10,FALSE()),0)</f>
      </c>
      <c r="AB226" s="35">
        <f>IFERROR(VLOOKUP("17_"&amp;A226,SyS!$B:$P,12,FALSE()),0)</f>
      </c>
      <c r="AC226" s="36">
        <f>+AA226-AB226</f>
      </c>
      <c r="AD226" s="35"/>
      <c r="AE226" s="35"/>
      <c r="AF226" s="35"/>
      <c r="AG226" s="35">
        <f>IFERROR(VLOOKUP("19_"&amp;A226,SyS!$B:$P,10,FALSE()),0)</f>
      </c>
      <c r="AH226" s="35">
        <f>IFERROR(VLOOKUP("19_"&amp;A226,SyS!$B:$P,12,FALSE()),0)</f>
      </c>
      <c r="AI226" s="35">
        <f>+AG226-AH226</f>
      </c>
      <c r="AJ226" s="35"/>
      <c r="AK226" s="35"/>
      <c r="AL226" s="35"/>
      <c r="AM226" s="34">
        <f>IFERROR(VLOOKUP("23_"&amp;A226,SyS!$B:$P,10,FALSE()),0)</f>
      </c>
      <c r="AN226" s="35">
        <f>IFERROR(VLOOKUP("23_"&amp;A226,SyS!$B:$P,12,FALSE()),0)</f>
      </c>
      <c r="AO226" s="36">
        <f>+AM226-AN226</f>
      </c>
      <c r="AP226" s="40"/>
      <c r="AQ226" s="40"/>
      <c r="AR226" s="40"/>
      <c r="AS226" s="40"/>
      <c r="AT226" s="40"/>
      <c r="AU226" s="40"/>
      <c r="AV226" s="40"/>
      <c r="AW226" s="40"/>
      <c r="AX226" s="40"/>
      <c r="AY226" s="40"/>
      <c r="AZ226" s="40"/>
      <c r="BA226" s="40"/>
      <c r="BB226" s="40"/>
      <c r="BC226" s="40"/>
      <c r="BD226" s="40"/>
      <c r="BE226" s="40"/>
      <c r="BF226" s="40"/>
      <c r="BG226" s="40"/>
      <c r="BH226" s="40"/>
      <c r="BI226" s="40"/>
      <c r="BJ226" s="40"/>
      <c r="BK226" s="40">
        <f>IFERROR(VLOOKUP("29_"&amp;A226,SyS!$B:$P,10,FALSE()),0)</f>
      </c>
      <c r="BL226" s="40">
        <f>IFERROR(VLOOKUP("29_"&amp;A226,SyS!$B:$P,12,FALSE()),0)</f>
      </c>
      <c r="BM226" s="40">
        <f>+BK226-BL226</f>
      </c>
      <c r="BN226" s="42">
        <f>IFERROR(VLOOKUP("30_"&amp;A226,SyS!$B:$P,10,FALSE()),0)</f>
      </c>
      <c r="BO226" s="40">
        <f>IFERROR(VLOOKUP("30_"&amp;A226,SyS!$B:$P,12,FALSE()),0)</f>
      </c>
      <c r="BP226" s="43">
        <f>+BN226-BO226</f>
      </c>
      <c r="BQ226" s="44">
        <f>+E226+H226+K226+N226+Q226+T226+W226+Z226+AC226+AF226+AI226+AL226+AO226+AR226+AU226+AX226+BA226+BD226+BG226+BJ226+BM226+BP226</f>
      </c>
    </row>
    <row r="227" ht="11.25" customHeight="1" spans="1:69" x14ac:dyDescent="0.25">
      <c r="A227" s="9">
        <v>427250000</v>
      </c>
      <c r="B227" s="9" t="s">
        <v>264</v>
      </c>
      <c r="C227" s="34">
        <f>IFERROR(VLOOKUP("1_"&amp;A227,SyS!$B:$P,10,FALSE()),0)</f>
      </c>
      <c r="D227" s="35">
        <f>IFERROR(VLOOKUP("1_"&amp;A227,SyS!$B:$P,12,FALSE()),0)</f>
      </c>
      <c r="E227" s="35">
        <f>+C227-D227</f>
      </c>
      <c r="F227" s="34">
        <f>IFERROR(VLOOKUP("2_"&amp;A227,SyS!$B:$P,10,FALSE()),0)</f>
      </c>
      <c r="G227" s="35">
        <f>IFERROR(VLOOKUP("2_"&amp;A227,SyS!$B:$P,12,FALSE()),0)</f>
      </c>
      <c r="H227" s="36">
        <f>+F227-G227</f>
      </c>
      <c r="I227" s="35"/>
      <c r="J227" s="35"/>
      <c r="K227" s="35"/>
      <c r="L227" s="35"/>
      <c r="M227" s="35"/>
      <c r="N227" s="35"/>
      <c r="O227" s="34">
        <f>IFERROR(VLOOKUP("14_"&amp;A227,SyS!$B:$P,10,FALSE()),0)</f>
      </c>
      <c r="P227" s="35">
        <f>IFERROR(VLOOKUP("14_"&amp;A227,SyS!$B:$P,12,FALSE()),0)</f>
      </c>
      <c r="Q227" s="36">
        <f>+O227-P227</f>
      </c>
      <c r="R227" s="34">
        <f>IFERROR(VLOOKUP("15_"&amp;A227,SyS!$B:$P,10,FALSE()),0)</f>
      </c>
      <c r="S227" s="35">
        <f>IFERROR(VLOOKUP("15_"&amp;A227,SyS!$B:$P,12,FALSE()),0)</f>
      </c>
      <c r="T227" s="36">
        <f>+R227-S227</f>
      </c>
      <c r="U227" s="34">
        <f>IFERROR(VLOOKUP("16_"&amp;A227,SyS!$B:$P,10,FALSE()),0)</f>
      </c>
      <c r="V227" s="35">
        <f>IFERROR(VLOOKUP("16_"&amp;A227,SyS!$B:$P,12,FALSE()),0)</f>
      </c>
      <c r="W227" s="36">
        <f>+U227-V227</f>
      </c>
      <c r="X227" s="34">
        <f>IFERROR(VLOOKUP("13_"&amp;A227,SyS!$B:$P,10,FALSE()),0)</f>
      </c>
      <c r="Y227" s="35">
        <f>IFERROR(VLOOKUP("13_"&amp;A227,SyS!$B:$P,12,FALSE()),0)</f>
      </c>
      <c r="Z227" s="36">
        <f>+X227-Y227</f>
      </c>
      <c r="AA227" s="34">
        <f>IFERROR(VLOOKUP("17_"&amp;A227,SyS!$B:$P,10,FALSE()),0)</f>
      </c>
      <c r="AB227" s="35">
        <f>IFERROR(VLOOKUP("17_"&amp;A227,SyS!$B:$P,12,FALSE()),0)</f>
      </c>
      <c r="AC227" s="36">
        <f>+AA227-AB227</f>
      </c>
      <c r="AD227" s="35"/>
      <c r="AE227" s="35"/>
      <c r="AF227" s="35"/>
      <c r="AG227" s="35">
        <f>IFERROR(VLOOKUP("19_"&amp;A227,SyS!$B:$P,10,FALSE()),0)</f>
      </c>
      <c r="AH227" s="35">
        <f>IFERROR(VLOOKUP("19_"&amp;A227,SyS!$B:$P,12,FALSE()),0)</f>
      </c>
      <c r="AI227" s="35">
        <f>+AG227-AH227</f>
      </c>
      <c r="AJ227" s="35"/>
      <c r="AK227" s="35"/>
      <c r="AL227" s="35"/>
      <c r="AM227" s="34">
        <f>IFERROR(VLOOKUP("23_"&amp;A227,SyS!$B:$P,10,FALSE()),0)</f>
      </c>
      <c r="AN227" s="35">
        <f>IFERROR(VLOOKUP("23_"&amp;A227,SyS!$B:$P,12,FALSE()),0)</f>
      </c>
      <c r="AO227" s="36">
        <f>+AM227-AN227</f>
      </c>
      <c r="AP227" s="40"/>
      <c r="AQ227" s="40"/>
      <c r="AR227" s="40"/>
      <c r="AS227" s="40"/>
      <c r="AT227" s="40"/>
      <c r="AU227" s="40"/>
      <c r="AV227" s="40"/>
      <c r="AW227" s="40"/>
      <c r="AX227" s="40"/>
      <c r="AY227" s="40"/>
      <c r="AZ227" s="40"/>
      <c r="BA227" s="40"/>
      <c r="BB227" s="40"/>
      <c r="BC227" s="40"/>
      <c r="BD227" s="40"/>
      <c r="BE227" s="40"/>
      <c r="BF227" s="40"/>
      <c r="BG227" s="40"/>
      <c r="BH227" s="40"/>
      <c r="BI227" s="40"/>
      <c r="BJ227" s="40"/>
      <c r="BK227" s="40">
        <f>IFERROR(VLOOKUP("29_"&amp;A227,SyS!$B:$P,10,FALSE()),0)</f>
      </c>
      <c r="BL227" s="40">
        <f>IFERROR(VLOOKUP("29_"&amp;A227,SyS!$B:$P,12,FALSE()),0)</f>
      </c>
      <c r="BM227" s="40">
        <f>+BK227-BL227</f>
      </c>
      <c r="BN227" s="42">
        <f>IFERROR(VLOOKUP("30_"&amp;A227,SyS!$B:$P,10,FALSE()),0)</f>
      </c>
      <c r="BO227" s="40">
        <f>IFERROR(VLOOKUP("30_"&amp;A227,SyS!$B:$P,12,FALSE()),0)</f>
      </c>
      <c r="BP227" s="43">
        <f>+BN227-BO227</f>
      </c>
      <c r="BQ227" s="44">
        <f>+E227+H227+K227+N227+Q227+T227+W227+Z227+AC227+AF227+AI227+AL227+AO227+AR227+AU227+AX227+BA227+BD227+BG227+BJ227+BM227+BP227</f>
      </c>
    </row>
    <row r="228" ht="11.25" customHeight="1" spans="1:69" x14ac:dyDescent="0.25">
      <c r="A228" s="9">
        <v>427270000</v>
      </c>
      <c r="B228" s="9" t="s">
        <v>265</v>
      </c>
      <c r="C228" s="34">
        <f>IFERROR(VLOOKUP("1_"&amp;A228,SyS!$B:$P,10,FALSE()),0)</f>
      </c>
      <c r="D228" s="35">
        <f>IFERROR(VLOOKUP("1_"&amp;A228,SyS!$B:$P,12,FALSE()),0)</f>
      </c>
      <c r="E228" s="35">
        <f>+C228-D228</f>
      </c>
      <c r="F228" s="34">
        <f>IFERROR(VLOOKUP("2_"&amp;A228,SyS!$B:$P,10,FALSE()),0)</f>
      </c>
      <c r="G228" s="35">
        <f>IFERROR(VLOOKUP("2_"&amp;A228,SyS!$B:$P,12,FALSE()),0)</f>
      </c>
      <c r="H228" s="36">
        <f>+F228-G228</f>
      </c>
      <c r="I228" s="35"/>
      <c r="J228" s="35"/>
      <c r="K228" s="35"/>
      <c r="L228" s="35"/>
      <c r="M228" s="35"/>
      <c r="N228" s="35"/>
      <c r="O228" s="34">
        <f>IFERROR(VLOOKUP("14_"&amp;A228,SyS!$B:$P,10,FALSE()),0)</f>
      </c>
      <c r="P228" s="35">
        <f>IFERROR(VLOOKUP("14_"&amp;A228,SyS!$B:$P,12,FALSE()),0)</f>
      </c>
      <c r="Q228" s="36">
        <f>+O228-P228</f>
      </c>
      <c r="R228" s="34">
        <f>IFERROR(VLOOKUP("15_"&amp;A228,SyS!$B:$P,10,FALSE()),0)</f>
      </c>
      <c r="S228" s="35">
        <f>IFERROR(VLOOKUP("15_"&amp;A228,SyS!$B:$P,12,FALSE()),0)</f>
      </c>
      <c r="T228" s="36">
        <f>+R228-S228</f>
      </c>
      <c r="U228" s="34">
        <f>IFERROR(VLOOKUP("16_"&amp;A228,SyS!$B:$P,10,FALSE()),0)</f>
      </c>
      <c r="V228" s="35">
        <f>IFERROR(VLOOKUP("16_"&amp;A228,SyS!$B:$P,12,FALSE()),0)</f>
      </c>
      <c r="W228" s="36">
        <f>+U228-V228</f>
      </c>
      <c r="X228" s="34">
        <f>IFERROR(VLOOKUP("13_"&amp;A228,SyS!$B:$P,10,FALSE()),0)</f>
      </c>
      <c r="Y228" s="35">
        <f>IFERROR(VLOOKUP("13_"&amp;A228,SyS!$B:$P,12,FALSE()),0)</f>
      </c>
      <c r="Z228" s="36">
        <f>+X228-Y228</f>
      </c>
      <c r="AA228" s="34">
        <f>IFERROR(VLOOKUP("17_"&amp;A228,SyS!$B:$P,10,FALSE()),0)</f>
      </c>
      <c r="AB228" s="35">
        <f>IFERROR(VLOOKUP("17_"&amp;A228,SyS!$B:$P,12,FALSE()),0)</f>
      </c>
      <c r="AC228" s="36">
        <f>+AA228-AB228</f>
      </c>
      <c r="AD228" s="35"/>
      <c r="AE228" s="35"/>
      <c r="AF228" s="35"/>
      <c r="AG228" s="35">
        <f>IFERROR(VLOOKUP("19_"&amp;A228,SyS!$B:$P,10,FALSE()),0)</f>
      </c>
      <c r="AH228" s="35">
        <f>IFERROR(VLOOKUP("19_"&amp;A228,SyS!$B:$P,12,FALSE()),0)</f>
      </c>
      <c r="AI228" s="35">
        <f>+AG228-AH228</f>
      </c>
      <c r="AJ228" s="35"/>
      <c r="AK228" s="35"/>
      <c r="AL228" s="35"/>
      <c r="AM228" s="34">
        <f>IFERROR(VLOOKUP("23_"&amp;A228,SyS!$B:$P,10,FALSE()),0)</f>
      </c>
      <c r="AN228" s="35">
        <f>IFERROR(VLOOKUP("23_"&amp;A228,SyS!$B:$P,12,FALSE()),0)</f>
      </c>
      <c r="AO228" s="36">
        <f>+AM228-AN228</f>
      </c>
      <c r="AP228" s="40"/>
      <c r="AQ228" s="40"/>
      <c r="AR228" s="40"/>
      <c r="AS228" s="40"/>
      <c r="AT228" s="40"/>
      <c r="AU228" s="40"/>
      <c r="AV228" s="40"/>
      <c r="AW228" s="40"/>
      <c r="AX228" s="40"/>
      <c r="AY228" s="40"/>
      <c r="AZ228" s="40"/>
      <c r="BA228" s="40"/>
      <c r="BB228" s="40"/>
      <c r="BC228" s="40"/>
      <c r="BD228" s="40"/>
      <c r="BE228" s="40"/>
      <c r="BF228" s="40"/>
      <c r="BG228" s="40"/>
      <c r="BH228" s="40"/>
      <c r="BI228" s="40"/>
      <c r="BJ228" s="40"/>
      <c r="BK228" s="40">
        <f>IFERROR(VLOOKUP("29_"&amp;A228,SyS!$B:$P,10,FALSE()),0)</f>
      </c>
      <c r="BL228" s="40">
        <f>IFERROR(VLOOKUP("29_"&amp;A228,SyS!$B:$P,12,FALSE()),0)</f>
      </c>
      <c r="BM228" s="40">
        <f>+BK228-BL228</f>
      </c>
      <c r="BN228" s="42">
        <f>IFERROR(VLOOKUP("30_"&amp;A228,SyS!$B:$P,10,FALSE()),0)</f>
      </c>
      <c r="BO228" s="40">
        <f>IFERROR(VLOOKUP("30_"&amp;A228,SyS!$B:$P,12,FALSE()),0)</f>
      </c>
      <c r="BP228" s="43">
        <f>+BN228-BO228</f>
      </c>
      <c r="BQ228" s="44">
        <f>+E228+H228+K228+N228+Q228+T228+W228+Z228+AC228+AF228+AI228+AL228+AO228+AR228+AU228+AX228+BA228+BD228+BG228+BJ228+BM228+BP228</f>
      </c>
    </row>
    <row r="229" ht="11.25" customHeight="1" spans="1:69" x14ac:dyDescent="0.25">
      <c r="A229" s="9">
        <v>427260000</v>
      </c>
      <c r="B229" s="9" t="s">
        <v>266</v>
      </c>
      <c r="C229" s="34">
        <f>IFERROR(VLOOKUP("1_"&amp;A229,SyS!$B:$P,10,FALSE()),0)</f>
      </c>
      <c r="D229" s="35">
        <f>IFERROR(VLOOKUP("1_"&amp;A229,SyS!$B:$P,12,FALSE()),0)</f>
      </c>
      <c r="E229" s="35">
        <f>+C229-D229</f>
      </c>
      <c r="F229" s="34">
        <f>IFERROR(VLOOKUP("2_"&amp;A229,SyS!$B:$P,10,FALSE()),0)</f>
      </c>
      <c r="G229" s="35">
        <f>IFERROR(VLOOKUP("2_"&amp;A229,SyS!$B:$P,12,FALSE()),0)</f>
      </c>
      <c r="H229" s="36">
        <f>+F229-G229</f>
      </c>
      <c r="I229" s="35"/>
      <c r="J229" s="35"/>
      <c r="K229" s="35"/>
      <c r="L229" s="35"/>
      <c r="M229" s="35"/>
      <c r="N229" s="35"/>
      <c r="O229" s="34">
        <f>IFERROR(VLOOKUP("14_"&amp;A229,SyS!$B:$P,10,FALSE()),0)</f>
      </c>
      <c r="P229" s="35">
        <f>IFERROR(VLOOKUP("14_"&amp;A229,SyS!$B:$P,12,FALSE()),0)</f>
      </c>
      <c r="Q229" s="36">
        <f>+O229-P229</f>
      </c>
      <c r="R229" s="34">
        <f>IFERROR(VLOOKUP("15_"&amp;A229,SyS!$B:$P,10,FALSE()),0)</f>
      </c>
      <c r="S229" s="35">
        <f>IFERROR(VLOOKUP("15_"&amp;A229,SyS!$B:$P,12,FALSE()),0)</f>
      </c>
      <c r="T229" s="36">
        <f>+R229-S229</f>
      </c>
      <c r="U229" s="34">
        <f>IFERROR(VLOOKUP("16_"&amp;A229,SyS!$B:$P,10,FALSE()),0)</f>
      </c>
      <c r="V229" s="35">
        <f>IFERROR(VLOOKUP("16_"&amp;A229,SyS!$B:$P,12,FALSE()),0)</f>
      </c>
      <c r="W229" s="36">
        <f>+U229-V229</f>
      </c>
      <c r="X229" s="34">
        <f>IFERROR(VLOOKUP("13_"&amp;A229,SyS!$B:$P,10,FALSE()),0)</f>
      </c>
      <c r="Y229" s="35">
        <f>IFERROR(VLOOKUP("13_"&amp;A229,SyS!$B:$P,12,FALSE()),0)</f>
      </c>
      <c r="Z229" s="36">
        <f>+X229-Y229</f>
      </c>
      <c r="AA229" s="34">
        <f>IFERROR(VLOOKUP("17_"&amp;A229,SyS!$B:$P,10,FALSE()),0)</f>
      </c>
      <c r="AB229" s="35">
        <f>IFERROR(VLOOKUP("17_"&amp;A229,SyS!$B:$P,12,FALSE()),0)</f>
      </c>
      <c r="AC229" s="36">
        <f>+AA229-AB229</f>
      </c>
      <c r="AD229" s="35"/>
      <c r="AE229" s="35"/>
      <c r="AF229" s="35"/>
      <c r="AG229" s="35">
        <f>IFERROR(VLOOKUP("19_"&amp;A229,SyS!$B:$P,10,FALSE()),0)</f>
      </c>
      <c r="AH229" s="35">
        <f>IFERROR(VLOOKUP("19_"&amp;A229,SyS!$B:$P,12,FALSE()),0)</f>
      </c>
      <c r="AI229" s="35">
        <f>+AG229-AH229</f>
      </c>
      <c r="AJ229" s="35"/>
      <c r="AK229" s="35"/>
      <c r="AL229" s="35"/>
      <c r="AM229" s="34">
        <f>IFERROR(VLOOKUP("23_"&amp;A229,SyS!$B:$P,10,FALSE()),0)</f>
      </c>
      <c r="AN229" s="35">
        <f>IFERROR(VLOOKUP("23_"&amp;A229,SyS!$B:$P,12,FALSE()),0)</f>
      </c>
      <c r="AO229" s="36">
        <f>+AM229-AN229</f>
      </c>
      <c r="AP229" s="40"/>
      <c r="AQ229" s="40"/>
      <c r="AR229" s="40"/>
      <c r="AS229" s="40"/>
      <c r="AT229" s="40"/>
      <c r="AU229" s="40"/>
      <c r="AV229" s="40"/>
      <c r="AW229" s="40"/>
      <c r="AX229" s="40"/>
      <c r="AY229" s="40"/>
      <c r="AZ229" s="40"/>
      <c r="BA229" s="40"/>
      <c r="BB229" s="40"/>
      <c r="BC229" s="40"/>
      <c r="BD229" s="40"/>
      <c r="BE229" s="40"/>
      <c r="BF229" s="40"/>
      <c r="BG229" s="40"/>
      <c r="BH229" s="40"/>
      <c r="BI229" s="40"/>
      <c r="BJ229" s="40"/>
      <c r="BK229" s="40">
        <f>IFERROR(VLOOKUP("29_"&amp;A229,SyS!$B:$P,10,FALSE()),0)</f>
      </c>
      <c r="BL229" s="40">
        <f>IFERROR(VLOOKUP("29_"&amp;A229,SyS!$B:$P,12,FALSE()),0)</f>
      </c>
      <c r="BM229" s="40">
        <f>+BK229-BL229</f>
      </c>
      <c r="BN229" s="42">
        <f>IFERROR(VLOOKUP("30_"&amp;A229,SyS!$B:$P,10,FALSE()),0)</f>
      </c>
      <c r="BO229" s="40">
        <f>IFERROR(VLOOKUP("30_"&amp;A229,SyS!$B:$P,12,FALSE()),0)</f>
      </c>
      <c r="BP229" s="43">
        <f>+BN229-BO229</f>
      </c>
      <c r="BQ229" s="44">
        <f>+E229+H229+K229+N229+Q229+T229+W229+Z229+AC229+AF229+AI229+AL229+AO229+AR229+AU229+AX229+BA229+BD229+BG229+BJ229+BM229+BP229</f>
      </c>
    </row>
    <row r="230" ht="11.25" customHeight="1" spans="1:69" x14ac:dyDescent="0.25">
      <c r="A230" s="9">
        <v>427280000</v>
      </c>
      <c r="B230" s="9" t="s">
        <v>267</v>
      </c>
      <c r="C230" s="34">
        <f>IFERROR(VLOOKUP("1_"&amp;A230,SyS!$B:$P,10,FALSE()),0)</f>
      </c>
      <c r="D230" s="35">
        <f>IFERROR(VLOOKUP("1_"&amp;A230,SyS!$B:$P,12,FALSE()),0)</f>
      </c>
      <c r="E230" s="35">
        <f>+C230-D230</f>
      </c>
      <c r="F230" s="34">
        <f>IFERROR(VLOOKUP("2_"&amp;A230,SyS!$B:$P,10,FALSE()),0)</f>
      </c>
      <c r="G230" s="35">
        <f>IFERROR(VLOOKUP("2_"&amp;A230,SyS!$B:$P,12,FALSE()),0)</f>
      </c>
      <c r="H230" s="36">
        <f>+F230-G230</f>
      </c>
      <c r="I230" s="35"/>
      <c r="J230" s="35"/>
      <c r="K230" s="35"/>
      <c r="L230" s="35"/>
      <c r="M230" s="35"/>
      <c r="N230" s="35"/>
      <c r="O230" s="34">
        <f>IFERROR(VLOOKUP("14_"&amp;A230,SyS!$B:$P,10,FALSE()),0)</f>
      </c>
      <c r="P230" s="35">
        <f>IFERROR(VLOOKUP("14_"&amp;A230,SyS!$B:$P,12,FALSE()),0)</f>
      </c>
      <c r="Q230" s="36">
        <f>+O230-P230</f>
      </c>
      <c r="R230" s="34">
        <f>IFERROR(VLOOKUP("15_"&amp;A230,SyS!$B:$P,10,FALSE()),0)</f>
      </c>
      <c r="S230" s="35">
        <f>IFERROR(VLOOKUP("15_"&amp;A230,SyS!$B:$P,12,FALSE()),0)</f>
      </c>
      <c r="T230" s="36">
        <f>+R230-S230</f>
      </c>
      <c r="U230" s="34">
        <f>IFERROR(VLOOKUP("16_"&amp;A230,SyS!$B:$P,10,FALSE()),0)</f>
      </c>
      <c r="V230" s="35">
        <f>IFERROR(VLOOKUP("16_"&amp;A230,SyS!$B:$P,12,FALSE()),0)</f>
      </c>
      <c r="W230" s="36">
        <f>+U230-V230</f>
      </c>
      <c r="X230" s="34">
        <f>IFERROR(VLOOKUP("13_"&amp;A230,SyS!$B:$P,10,FALSE()),0)</f>
      </c>
      <c r="Y230" s="35">
        <f>IFERROR(VLOOKUP("13_"&amp;A230,SyS!$B:$P,12,FALSE()),0)</f>
      </c>
      <c r="Z230" s="36">
        <f>+X230-Y230</f>
      </c>
      <c r="AA230" s="34">
        <f>IFERROR(VLOOKUP("17_"&amp;A230,SyS!$B:$P,10,FALSE()),0)</f>
      </c>
      <c r="AB230" s="35">
        <f>IFERROR(VLOOKUP("17_"&amp;A230,SyS!$B:$P,12,FALSE()),0)</f>
      </c>
      <c r="AC230" s="36">
        <f>+AA230-AB230</f>
      </c>
      <c r="AD230" s="35"/>
      <c r="AE230" s="35"/>
      <c r="AF230" s="35"/>
      <c r="AG230" s="35">
        <f>IFERROR(VLOOKUP("19_"&amp;A230,SyS!$B:$P,10,FALSE()),0)</f>
      </c>
      <c r="AH230" s="35">
        <f>IFERROR(VLOOKUP("19_"&amp;A230,SyS!$B:$P,12,FALSE()),0)</f>
      </c>
      <c r="AI230" s="35">
        <f>+AG230-AH230</f>
      </c>
      <c r="AJ230" s="35"/>
      <c r="AK230" s="35"/>
      <c r="AL230" s="35"/>
      <c r="AM230" s="34">
        <f>IFERROR(VLOOKUP("23_"&amp;A230,SyS!$B:$P,10,FALSE()),0)</f>
      </c>
      <c r="AN230" s="35">
        <f>IFERROR(VLOOKUP("23_"&amp;A230,SyS!$B:$P,12,FALSE()),0)</f>
      </c>
      <c r="AO230" s="36">
        <f>+AM230-AN230</f>
      </c>
      <c r="AP230" s="40"/>
      <c r="AQ230" s="40"/>
      <c r="AR230" s="40"/>
      <c r="AS230" s="40"/>
      <c r="AT230" s="40"/>
      <c r="AU230" s="40"/>
      <c r="AV230" s="40"/>
      <c r="AW230" s="40"/>
      <c r="AX230" s="40"/>
      <c r="AY230" s="40"/>
      <c r="AZ230" s="40"/>
      <c r="BA230" s="40"/>
      <c r="BB230" s="40"/>
      <c r="BC230" s="40"/>
      <c r="BD230" s="40"/>
      <c r="BE230" s="40"/>
      <c r="BF230" s="40"/>
      <c r="BG230" s="40"/>
      <c r="BH230" s="40"/>
      <c r="BI230" s="40"/>
      <c r="BJ230" s="40"/>
      <c r="BK230" s="40">
        <f>IFERROR(VLOOKUP("29_"&amp;A230,SyS!$B:$P,10,FALSE()),0)</f>
      </c>
      <c r="BL230" s="40">
        <f>IFERROR(VLOOKUP("29_"&amp;A230,SyS!$B:$P,12,FALSE()),0)</f>
      </c>
      <c r="BM230" s="40">
        <f>+BK230-BL230</f>
      </c>
      <c r="BN230" s="42">
        <f>IFERROR(VLOOKUP("30_"&amp;A230,SyS!$B:$P,10,FALSE()),0)</f>
      </c>
      <c r="BO230" s="40">
        <f>IFERROR(VLOOKUP("30_"&amp;A230,SyS!$B:$P,12,FALSE()),0)</f>
      </c>
      <c r="BP230" s="43">
        <f>+BN230-BO230</f>
      </c>
      <c r="BQ230" s="44">
        <f>+E230+H230+K230+N230+Q230+T230+W230+Z230+AC230+AF230+AI230+AL230+AO230+AR230+AU230+AX230+BA230+BD230+BG230+BJ230+BM230+BP230</f>
      </c>
    </row>
    <row r="231" ht="11.25" customHeight="1" spans="1:69" x14ac:dyDescent="0.25">
      <c r="A231" s="9">
        <v>421170000</v>
      </c>
      <c r="B231" s="9" t="s">
        <v>268</v>
      </c>
      <c r="C231" s="34">
        <f>IFERROR(VLOOKUP("1_"&amp;A231,SyS!$B:$P,10,FALSE()),0)</f>
      </c>
      <c r="D231" s="35">
        <f>IFERROR(VLOOKUP("1_"&amp;A231,SyS!$B:$P,12,FALSE()),0)</f>
      </c>
      <c r="E231" s="35">
        <f>+C231-D231</f>
      </c>
      <c r="F231" s="34">
        <f>IFERROR(VLOOKUP("2_"&amp;A231,SyS!$B:$P,10,FALSE()),0)</f>
      </c>
      <c r="G231" s="35">
        <f>IFERROR(VLOOKUP("2_"&amp;A231,SyS!$B:$P,12,FALSE()),0)</f>
      </c>
      <c r="H231" s="36">
        <f>+F231-G231</f>
      </c>
      <c r="I231" s="35"/>
      <c r="J231" s="35"/>
      <c r="K231" s="35"/>
      <c r="L231" s="35"/>
      <c r="M231" s="35"/>
      <c r="N231" s="35"/>
      <c r="O231" s="34">
        <f>IFERROR(VLOOKUP("14_"&amp;A231,SyS!$B:$P,10,FALSE()),0)</f>
      </c>
      <c r="P231" s="35">
        <f>IFERROR(VLOOKUP("14_"&amp;A231,SyS!$B:$P,12,FALSE()),0)</f>
      </c>
      <c r="Q231" s="36">
        <f>+O231-P231</f>
      </c>
      <c r="R231" s="34">
        <f>IFERROR(VLOOKUP("15_"&amp;A231,SyS!$B:$P,10,FALSE()),0)</f>
      </c>
      <c r="S231" s="35">
        <f>IFERROR(VLOOKUP("15_"&amp;A231,SyS!$B:$P,12,FALSE()),0)</f>
      </c>
      <c r="T231" s="36">
        <f>+R231-S231</f>
      </c>
      <c r="U231" s="34">
        <f>IFERROR(VLOOKUP("16_"&amp;A231,SyS!$B:$P,10,FALSE()),0)</f>
      </c>
      <c r="V231" s="35">
        <f>IFERROR(VLOOKUP("16_"&amp;A231,SyS!$B:$P,12,FALSE()),0)</f>
      </c>
      <c r="W231" s="36">
        <f>+U231-V231</f>
      </c>
      <c r="X231" s="34">
        <f>IFERROR(VLOOKUP("13_"&amp;A231,SyS!$B:$P,10,FALSE()),0)</f>
      </c>
      <c r="Y231" s="35">
        <f>IFERROR(VLOOKUP("13_"&amp;A231,SyS!$B:$P,12,FALSE()),0)</f>
      </c>
      <c r="Z231" s="36">
        <f>+X231-Y231</f>
      </c>
      <c r="AA231" s="34">
        <f>IFERROR(VLOOKUP("17_"&amp;A231,SyS!$B:$P,10,FALSE()),0)</f>
      </c>
      <c r="AB231" s="35">
        <f>IFERROR(VLOOKUP("17_"&amp;A231,SyS!$B:$P,12,FALSE()),0)</f>
      </c>
      <c r="AC231" s="36">
        <f>+AA231-AB231</f>
      </c>
      <c r="AD231" s="35"/>
      <c r="AE231" s="35"/>
      <c r="AF231" s="35"/>
      <c r="AG231" s="35">
        <f>IFERROR(VLOOKUP("19_"&amp;A231,SyS!$B:$P,10,FALSE()),0)</f>
      </c>
      <c r="AH231" s="35">
        <f>IFERROR(VLOOKUP("19_"&amp;A231,SyS!$B:$P,12,FALSE()),0)</f>
      </c>
      <c r="AI231" s="35">
        <f>+AG231-AH231</f>
      </c>
      <c r="AJ231" s="35"/>
      <c r="AK231" s="35"/>
      <c r="AL231" s="35"/>
      <c r="AM231" s="34">
        <f>IFERROR(VLOOKUP("23_"&amp;A231,SyS!$B:$P,10,FALSE()),0)</f>
      </c>
      <c r="AN231" s="35">
        <f>IFERROR(VLOOKUP("23_"&amp;A231,SyS!$B:$P,12,FALSE()),0)</f>
      </c>
      <c r="AO231" s="36">
        <f>+AM231-AN231</f>
      </c>
      <c r="AP231" s="40"/>
      <c r="AQ231" s="40"/>
      <c r="AR231" s="40"/>
      <c r="AS231" s="40"/>
      <c r="AT231" s="40"/>
      <c r="AU231" s="40"/>
      <c r="AV231" s="40"/>
      <c r="AW231" s="40"/>
      <c r="AX231" s="40"/>
      <c r="AY231" s="40"/>
      <c r="AZ231" s="40"/>
      <c r="BA231" s="40"/>
      <c r="BB231" s="40"/>
      <c r="BC231" s="40"/>
      <c r="BD231" s="40"/>
      <c r="BE231" s="40"/>
      <c r="BF231" s="40"/>
      <c r="BG231" s="40"/>
      <c r="BH231" s="40"/>
      <c r="BI231" s="40"/>
      <c r="BJ231" s="40"/>
      <c r="BK231" s="40">
        <f>IFERROR(VLOOKUP("29_"&amp;A231,SyS!$B:$P,10,FALSE()),0)</f>
      </c>
      <c r="BL231" s="40">
        <f>IFERROR(VLOOKUP("29_"&amp;A231,SyS!$B:$P,12,FALSE()),0)</f>
      </c>
      <c r="BM231" s="40">
        <f>+BK231-BL231</f>
      </c>
      <c r="BN231" s="42">
        <f>IFERROR(VLOOKUP("30_"&amp;A231,SyS!$B:$P,10,FALSE()),0)</f>
      </c>
      <c r="BO231" s="40">
        <f>IFERROR(VLOOKUP("30_"&amp;A231,SyS!$B:$P,12,FALSE()),0)</f>
      </c>
      <c r="BP231" s="43">
        <f>+BN231-BO231</f>
      </c>
      <c r="BQ231" s="44">
        <f>+E231+H231+K231+N231+Q231+T231+W231+Z231+AC231+AF231+AI231+AL231+AO231+AR231+AU231+AX231+BA231+BD231+BG231+BJ231+BM231+BP231</f>
      </c>
    </row>
    <row r="232" ht="11.25" customHeight="1" spans="1:69" x14ac:dyDescent="0.25">
      <c r="A232" s="9">
        <v>421180000</v>
      </c>
      <c r="B232" s="9" t="s">
        <v>269</v>
      </c>
      <c r="C232" s="34">
        <f>IFERROR(VLOOKUP("1_"&amp;A232,SyS!$B:$P,10,FALSE()),0)</f>
      </c>
      <c r="D232" s="35">
        <f>IFERROR(VLOOKUP("1_"&amp;A232,SyS!$B:$P,12,FALSE()),0)</f>
      </c>
      <c r="E232" s="35">
        <f>+C232-D232</f>
      </c>
      <c r="F232" s="34">
        <f>IFERROR(VLOOKUP("2_"&amp;A232,SyS!$B:$P,10,FALSE()),0)</f>
      </c>
      <c r="G232" s="35">
        <f>IFERROR(VLOOKUP("2_"&amp;A232,SyS!$B:$P,12,FALSE()),0)</f>
      </c>
      <c r="H232" s="36">
        <f>+F232-G232</f>
      </c>
      <c r="I232" s="35"/>
      <c r="J232" s="35"/>
      <c r="K232" s="35"/>
      <c r="L232" s="35"/>
      <c r="M232" s="35"/>
      <c r="N232" s="35"/>
      <c r="O232" s="34">
        <f>IFERROR(VLOOKUP("14_"&amp;A232,SyS!$B:$P,10,FALSE()),0)</f>
      </c>
      <c r="P232" s="35">
        <f>IFERROR(VLOOKUP("14_"&amp;A232,SyS!$B:$P,12,FALSE()),0)</f>
      </c>
      <c r="Q232" s="36">
        <f>+O232-P232</f>
      </c>
      <c r="R232" s="34">
        <f>IFERROR(VLOOKUP("15_"&amp;A232,SyS!$B:$P,10,FALSE()),0)</f>
      </c>
      <c r="S232" s="35">
        <f>IFERROR(VLOOKUP("15_"&amp;A232,SyS!$B:$P,12,FALSE()),0)</f>
      </c>
      <c r="T232" s="36">
        <f>+R232-S232</f>
      </c>
      <c r="U232" s="34">
        <f>IFERROR(VLOOKUP("16_"&amp;A232,SyS!$B:$P,10,FALSE()),0)</f>
      </c>
      <c r="V232" s="35">
        <f>IFERROR(VLOOKUP("16_"&amp;A232,SyS!$B:$P,12,FALSE()),0)</f>
      </c>
      <c r="W232" s="36">
        <f>+U232-V232</f>
      </c>
      <c r="X232" s="34">
        <f>IFERROR(VLOOKUP("13_"&amp;A232,SyS!$B:$P,10,FALSE()),0)</f>
      </c>
      <c r="Y232" s="35">
        <f>IFERROR(VLOOKUP("13_"&amp;A232,SyS!$B:$P,12,FALSE()),0)</f>
      </c>
      <c r="Z232" s="36">
        <f>+X232-Y232</f>
      </c>
      <c r="AA232" s="34">
        <f>IFERROR(VLOOKUP("17_"&amp;A232,SyS!$B:$P,10,FALSE()),0)</f>
      </c>
      <c r="AB232" s="35">
        <f>IFERROR(VLOOKUP("17_"&amp;A232,SyS!$B:$P,12,FALSE()),0)</f>
      </c>
      <c r="AC232" s="36">
        <f>+AA232-AB232</f>
      </c>
      <c r="AD232" s="35"/>
      <c r="AE232" s="35"/>
      <c r="AF232" s="35"/>
      <c r="AG232" s="35">
        <f>IFERROR(VLOOKUP("19_"&amp;A232,SyS!$B:$P,10,FALSE()),0)</f>
      </c>
      <c r="AH232" s="35">
        <f>IFERROR(VLOOKUP("19_"&amp;A232,SyS!$B:$P,12,FALSE()),0)</f>
      </c>
      <c r="AI232" s="35">
        <f>+AG232-AH232</f>
      </c>
      <c r="AJ232" s="35"/>
      <c r="AK232" s="35"/>
      <c r="AL232" s="35"/>
      <c r="AM232" s="34">
        <f>IFERROR(VLOOKUP("23_"&amp;A232,SyS!$B:$P,10,FALSE()),0)</f>
      </c>
      <c r="AN232" s="35">
        <f>IFERROR(VLOOKUP("23_"&amp;A232,SyS!$B:$P,12,FALSE()),0)</f>
      </c>
      <c r="AO232" s="36">
        <f>+AM232-AN232</f>
      </c>
      <c r="AP232" s="40"/>
      <c r="AQ232" s="40"/>
      <c r="AR232" s="40"/>
      <c r="AS232" s="40"/>
      <c r="AT232" s="40"/>
      <c r="AU232" s="40"/>
      <c r="AV232" s="40"/>
      <c r="AW232" s="40"/>
      <c r="AX232" s="40"/>
      <c r="AY232" s="40"/>
      <c r="AZ232" s="40"/>
      <c r="BA232" s="40"/>
      <c r="BB232" s="40"/>
      <c r="BC232" s="40"/>
      <c r="BD232" s="40"/>
      <c r="BE232" s="40"/>
      <c r="BF232" s="40"/>
      <c r="BG232" s="40"/>
      <c r="BH232" s="40"/>
      <c r="BI232" s="40"/>
      <c r="BJ232" s="40"/>
      <c r="BK232" s="40">
        <f>IFERROR(VLOOKUP("29_"&amp;A232,SyS!$B:$P,10,FALSE()),0)</f>
      </c>
      <c r="BL232" s="40">
        <f>IFERROR(VLOOKUP("29_"&amp;A232,SyS!$B:$P,12,FALSE()),0)</f>
      </c>
      <c r="BM232" s="40">
        <f>+BK232-BL232</f>
      </c>
      <c r="BN232" s="42">
        <f>IFERROR(VLOOKUP("30_"&amp;A232,SyS!$B:$P,10,FALSE()),0)</f>
      </c>
      <c r="BO232" s="40">
        <f>IFERROR(VLOOKUP("30_"&amp;A232,SyS!$B:$P,12,FALSE()),0)</f>
      </c>
      <c r="BP232" s="43">
        <f>+BN232-BO232</f>
      </c>
      <c r="BQ232" s="44">
        <f>+E232+H232+K232+N232+Q232+T232+W232+Z232+AC232+AF232+AI232+AL232+AO232+AR232+AU232+AX232+BA232+BD232+BG232+BJ232+BM232+BP232</f>
      </c>
    </row>
    <row r="233" ht="11.25" customHeight="1" spans="1:69" x14ac:dyDescent="0.25">
      <c r="A233" s="9">
        <v>421350000</v>
      </c>
      <c r="B233" s="9" t="s">
        <v>270</v>
      </c>
      <c r="C233" s="34">
        <f>IFERROR(VLOOKUP("1_"&amp;A233,SyS!$B:$P,10,FALSE()),0)</f>
      </c>
      <c r="D233" s="35">
        <f>IFERROR(VLOOKUP("1_"&amp;A233,SyS!$B:$P,12,FALSE()),0)</f>
      </c>
      <c r="E233" s="35">
        <f>+C233-D233</f>
      </c>
      <c r="F233" s="34">
        <f>IFERROR(VLOOKUP("2_"&amp;A233,SyS!$B:$P,10,FALSE()),0)</f>
      </c>
      <c r="G233" s="35">
        <f>IFERROR(VLOOKUP("2_"&amp;A233,SyS!$B:$P,12,FALSE()),0)</f>
      </c>
      <c r="H233" s="36">
        <f>+F233-G233</f>
      </c>
      <c r="I233" s="35"/>
      <c r="J233" s="35"/>
      <c r="K233" s="35"/>
      <c r="L233" s="35"/>
      <c r="M233" s="35"/>
      <c r="N233" s="35"/>
      <c r="O233" s="34">
        <f>IFERROR(VLOOKUP("14_"&amp;A233,SyS!$B:$P,10,FALSE()),0)</f>
      </c>
      <c r="P233" s="35">
        <f>IFERROR(VLOOKUP("14_"&amp;A233,SyS!$B:$P,12,FALSE()),0)</f>
      </c>
      <c r="Q233" s="36">
        <f>+O233-P233</f>
      </c>
      <c r="R233" s="34">
        <f>IFERROR(VLOOKUP("15_"&amp;A233,SyS!$B:$P,10,FALSE()),0)</f>
      </c>
      <c r="S233" s="35">
        <f>IFERROR(VLOOKUP("15_"&amp;A233,SyS!$B:$P,12,FALSE()),0)</f>
      </c>
      <c r="T233" s="36">
        <f>+R233-S233</f>
      </c>
      <c r="U233" s="34">
        <f>IFERROR(VLOOKUP("16_"&amp;A233,SyS!$B:$P,10,FALSE()),0)</f>
      </c>
      <c r="V233" s="35">
        <f>IFERROR(VLOOKUP("16_"&amp;A233,SyS!$B:$P,12,FALSE()),0)</f>
      </c>
      <c r="W233" s="36">
        <f>+U233-V233</f>
      </c>
      <c r="X233" s="34">
        <f>IFERROR(VLOOKUP("13_"&amp;A233,SyS!$B:$P,10,FALSE()),0)</f>
      </c>
      <c r="Y233" s="35">
        <f>IFERROR(VLOOKUP("13_"&amp;A233,SyS!$B:$P,12,FALSE()),0)</f>
      </c>
      <c r="Z233" s="36">
        <f>+X233-Y233</f>
      </c>
      <c r="AA233" s="34">
        <f>IFERROR(VLOOKUP("17_"&amp;A233,SyS!$B:$P,10,FALSE()),0)</f>
      </c>
      <c r="AB233" s="35">
        <f>IFERROR(VLOOKUP("17_"&amp;A233,SyS!$B:$P,12,FALSE()),0)</f>
      </c>
      <c r="AC233" s="36">
        <f>+AA233-AB233</f>
      </c>
      <c r="AD233" s="35"/>
      <c r="AE233" s="35"/>
      <c r="AF233" s="35"/>
      <c r="AG233" s="35">
        <f>IFERROR(VLOOKUP("19_"&amp;A233,SyS!$B:$P,10,FALSE()),0)</f>
      </c>
      <c r="AH233" s="35">
        <f>IFERROR(VLOOKUP("19_"&amp;A233,SyS!$B:$P,12,FALSE()),0)</f>
      </c>
      <c r="AI233" s="35">
        <f>+AG233-AH233</f>
      </c>
      <c r="AJ233" s="35"/>
      <c r="AK233" s="35"/>
      <c r="AL233" s="35"/>
      <c r="AM233" s="34">
        <f>IFERROR(VLOOKUP("23_"&amp;A233,SyS!$B:$P,10,FALSE()),0)</f>
      </c>
      <c r="AN233" s="35">
        <f>IFERROR(VLOOKUP("23_"&amp;A233,SyS!$B:$P,12,FALSE()),0)</f>
      </c>
      <c r="AO233" s="36">
        <f>+AM233-AN233</f>
      </c>
      <c r="AP233" s="40"/>
      <c r="AQ233" s="40"/>
      <c r="AR233" s="40"/>
      <c r="AS233" s="40"/>
      <c r="AT233" s="40"/>
      <c r="AU233" s="40"/>
      <c r="AV233" s="40"/>
      <c r="AW233" s="40"/>
      <c r="AX233" s="40"/>
      <c r="AY233" s="40"/>
      <c r="AZ233" s="40"/>
      <c r="BA233" s="40"/>
      <c r="BB233" s="40"/>
      <c r="BC233" s="40"/>
      <c r="BD233" s="40"/>
      <c r="BE233" s="40"/>
      <c r="BF233" s="40"/>
      <c r="BG233" s="40"/>
      <c r="BH233" s="40"/>
      <c r="BI233" s="40"/>
      <c r="BJ233" s="40"/>
      <c r="BK233" s="40">
        <f>IFERROR(VLOOKUP("29_"&amp;A233,SyS!$B:$P,10,FALSE()),0)</f>
      </c>
      <c r="BL233" s="40">
        <f>IFERROR(VLOOKUP("29_"&amp;A233,SyS!$B:$P,12,FALSE()),0)</f>
      </c>
      <c r="BM233" s="40">
        <f>+BK233-BL233</f>
      </c>
      <c r="BN233" s="42">
        <f>IFERROR(VLOOKUP("30_"&amp;A233,SyS!$B:$P,10,FALSE()),0)</f>
      </c>
      <c r="BO233" s="40">
        <f>IFERROR(VLOOKUP("30_"&amp;A233,SyS!$B:$P,12,FALSE()),0)</f>
      </c>
      <c r="BP233" s="43">
        <f>+BN233-BO233</f>
      </c>
      <c r="BQ233" s="44">
        <f>+E233+H233+K233+N233+Q233+T233+W233+Z233+AC233+AF233+AI233+AL233+AO233+AR233+AU233+AX233+BA233+BD233+BG233+BJ233+BM233+BP233</f>
      </c>
    </row>
    <row r="234" ht="11.25" customHeight="1" spans="1:69" x14ac:dyDescent="0.25">
      <c r="A234" s="9">
        <v>421330000</v>
      </c>
      <c r="B234" s="9" t="s">
        <v>271</v>
      </c>
      <c r="C234" s="34">
        <f>IFERROR(VLOOKUP("1_"&amp;A234,SyS!$B:$P,10,FALSE()),0)</f>
      </c>
      <c r="D234" s="35">
        <f>IFERROR(VLOOKUP("1_"&amp;A234,SyS!$B:$P,12,FALSE()),0)</f>
      </c>
      <c r="E234" s="35">
        <f>+C234-D234</f>
      </c>
      <c r="F234" s="34">
        <f>IFERROR(VLOOKUP("2_"&amp;A234,SyS!$B:$P,10,FALSE()),0)</f>
      </c>
      <c r="G234" s="35">
        <f>IFERROR(VLOOKUP("2_"&amp;A234,SyS!$B:$P,12,FALSE()),0)</f>
      </c>
      <c r="H234" s="36">
        <f>+F234-G234</f>
      </c>
      <c r="I234" s="35"/>
      <c r="J234" s="35"/>
      <c r="K234" s="35"/>
      <c r="L234" s="35"/>
      <c r="M234" s="35"/>
      <c r="N234" s="35"/>
      <c r="O234" s="34">
        <f>IFERROR(VLOOKUP("14_"&amp;A234,SyS!$B:$P,10,FALSE()),0)</f>
      </c>
      <c r="P234" s="35">
        <f>IFERROR(VLOOKUP("14_"&amp;A234,SyS!$B:$P,12,FALSE()),0)</f>
      </c>
      <c r="Q234" s="36">
        <f>+O234-P234</f>
      </c>
      <c r="R234" s="34">
        <f>IFERROR(VLOOKUP("15_"&amp;A234,SyS!$B:$P,10,FALSE()),0)</f>
      </c>
      <c r="S234" s="35">
        <f>IFERROR(VLOOKUP("15_"&amp;A234,SyS!$B:$P,12,FALSE()),0)</f>
      </c>
      <c r="T234" s="36">
        <f>+R234-S234</f>
      </c>
      <c r="U234" s="34">
        <f>IFERROR(VLOOKUP("16_"&amp;A234,SyS!$B:$P,10,FALSE()),0)</f>
      </c>
      <c r="V234" s="35">
        <f>IFERROR(VLOOKUP("16_"&amp;A234,SyS!$B:$P,12,FALSE()),0)</f>
      </c>
      <c r="W234" s="36">
        <f>+U234-V234</f>
      </c>
      <c r="X234" s="34">
        <f>IFERROR(VLOOKUP("13_"&amp;A234,SyS!$B:$P,10,FALSE()),0)</f>
      </c>
      <c r="Y234" s="35">
        <f>IFERROR(VLOOKUP("13_"&amp;A234,SyS!$B:$P,12,FALSE()),0)</f>
      </c>
      <c r="Z234" s="36">
        <f>+X234-Y234</f>
      </c>
      <c r="AA234" s="34">
        <f>IFERROR(VLOOKUP("17_"&amp;A234,SyS!$B:$P,10,FALSE()),0)</f>
      </c>
      <c r="AB234" s="35">
        <f>IFERROR(VLOOKUP("17_"&amp;A234,SyS!$B:$P,12,FALSE()),0)</f>
      </c>
      <c r="AC234" s="36">
        <f>+AA234-AB234</f>
      </c>
      <c r="AD234" s="35"/>
      <c r="AE234" s="35"/>
      <c r="AF234" s="35"/>
      <c r="AG234" s="35">
        <f>IFERROR(VLOOKUP("19_"&amp;A234,SyS!$B:$P,10,FALSE()),0)</f>
      </c>
      <c r="AH234" s="35">
        <f>IFERROR(VLOOKUP("19_"&amp;A234,SyS!$B:$P,12,FALSE()),0)</f>
      </c>
      <c r="AI234" s="35">
        <f>+AG234-AH234</f>
      </c>
      <c r="AJ234" s="35"/>
      <c r="AK234" s="35"/>
      <c r="AL234" s="35"/>
      <c r="AM234" s="34">
        <f>IFERROR(VLOOKUP("23_"&amp;A234,SyS!$B:$P,10,FALSE()),0)</f>
      </c>
      <c r="AN234" s="35">
        <f>IFERROR(VLOOKUP("23_"&amp;A234,SyS!$B:$P,12,FALSE()),0)</f>
      </c>
      <c r="AO234" s="36">
        <f>+AM234-AN234</f>
      </c>
      <c r="AP234" s="40"/>
      <c r="AQ234" s="40"/>
      <c r="AR234" s="40"/>
      <c r="AS234" s="40"/>
      <c r="AT234" s="40"/>
      <c r="AU234" s="40"/>
      <c r="AV234" s="40"/>
      <c r="AW234" s="40"/>
      <c r="AX234" s="40"/>
      <c r="AY234" s="40"/>
      <c r="AZ234" s="40"/>
      <c r="BA234" s="40"/>
      <c r="BB234" s="40"/>
      <c r="BC234" s="40"/>
      <c r="BD234" s="40"/>
      <c r="BE234" s="40"/>
      <c r="BF234" s="40"/>
      <c r="BG234" s="40"/>
      <c r="BH234" s="40"/>
      <c r="BI234" s="40"/>
      <c r="BJ234" s="40"/>
      <c r="BK234" s="40">
        <f>IFERROR(VLOOKUP("29_"&amp;A234,SyS!$B:$P,10,FALSE()),0)</f>
      </c>
      <c r="BL234" s="40">
        <f>IFERROR(VLOOKUP("29_"&amp;A234,SyS!$B:$P,12,FALSE()),0)</f>
      </c>
      <c r="BM234" s="40">
        <f>+BK234-BL234</f>
      </c>
      <c r="BN234" s="42">
        <f>IFERROR(VLOOKUP("30_"&amp;A234,SyS!$B:$P,10,FALSE()),0)</f>
      </c>
      <c r="BO234" s="40">
        <f>IFERROR(VLOOKUP("30_"&amp;A234,SyS!$B:$P,12,FALSE()),0)</f>
      </c>
      <c r="BP234" s="43">
        <f>+BN234-BO234</f>
      </c>
      <c r="BQ234" s="44">
        <f>+E234+H234+K234+N234+Q234+T234+W234+Z234+AC234+AF234+AI234+AL234+AO234+AR234+AU234+AX234+BA234+BD234+BG234+BJ234+BM234+BP234</f>
      </c>
    </row>
    <row r="235" ht="11.25" customHeight="1" spans="1:69" x14ac:dyDescent="0.25">
      <c r="A235" s="9">
        <v>421360000</v>
      </c>
      <c r="B235" s="9" t="s">
        <v>272</v>
      </c>
      <c r="C235" s="34">
        <f>IFERROR(VLOOKUP("1_"&amp;A235,SyS!$B:$P,10,FALSE()),0)</f>
      </c>
      <c r="D235" s="35">
        <f>IFERROR(VLOOKUP("1_"&amp;A235,SyS!$B:$P,12,FALSE()),0)</f>
      </c>
      <c r="E235" s="35">
        <f>+C235-D235</f>
      </c>
      <c r="F235" s="34">
        <f>IFERROR(VLOOKUP("2_"&amp;A235,SyS!$B:$P,10,FALSE()),0)</f>
      </c>
      <c r="G235" s="35">
        <f>IFERROR(VLOOKUP("2_"&amp;A235,SyS!$B:$P,12,FALSE()),0)</f>
      </c>
      <c r="H235" s="36">
        <f>+F235-G235</f>
      </c>
      <c r="I235" s="35"/>
      <c r="J235" s="35"/>
      <c r="K235" s="35"/>
      <c r="L235" s="35"/>
      <c r="M235" s="35"/>
      <c r="N235" s="35"/>
      <c r="O235" s="34">
        <f>IFERROR(VLOOKUP("14_"&amp;A235,SyS!$B:$P,10,FALSE()),0)</f>
      </c>
      <c r="P235" s="35">
        <f>IFERROR(VLOOKUP("14_"&amp;A235,SyS!$B:$P,12,FALSE()),0)</f>
      </c>
      <c r="Q235" s="36">
        <f>+O235-P235</f>
      </c>
      <c r="R235" s="34">
        <f>IFERROR(VLOOKUP("15_"&amp;A235,SyS!$B:$P,10,FALSE()),0)</f>
      </c>
      <c r="S235" s="35">
        <f>IFERROR(VLOOKUP("15_"&amp;A235,SyS!$B:$P,12,FALSE()),0)</f>
      </c>
      <c r="T235" s="36">
        <f>+R235-S235</f>
      </c>
      <c r="U235" s="34">
        <f>IFERROR(VLOOKUP("16_"&amp;A235,SyS!$B:$P,10,FALSE()),0)</f>
      </c>
      <c r="V235" s="35">
        <f>IFERROR(VLOOKUP("16_"&amp;A235,SyS!$B:$P,12,FALSE()),0)</f>
      </c>
      <c r="W235" s="36">
        <f>+U235-V235</f>
      </c>
      <c r="X235" s="34">
        <f>IFERROR(VLOOKUP("13_"&amp;A235,SyS!$B:$P,10,FALSE()),0)</f>
      </c>
      <c r="Y235" s="35">
        <f>IFERROR(VLOOKUP("13_"&amp;A235,SyS!$B:$P,12,FALSE()),0)</f>
      </c>
      <c r="Z235" s="36">
        <f>+X235-Y235</f>
      </c>
      <c r="AA235" s="34">
        <f>IFERROR(VLOOKUP("17_"&amp;A235,SyS!$B:$P,10,FALSE()),0)</f>
      </c>
      <c r="AB235" s="35">
        <f>IFERROR(VLOOKUP("17_"&amp;A235,SyS!$B:$P,12,FALSE()),0)</f>
      </c>
      <c r="AC235" s="36">
        <f>+AA235-AB235</f>
      </c>
      <c r="AD235" s="35"/>
      <c r="AE235" s="35"/>
      <c r="AF235" s="35"/>
      <c r="AG235" s="35">
        <f>IFERROR(VLOOKUP("19_"&amp;A235,SyS!$B:$P,10,FALSE()),0)</f>
      </c>
      <c r="AH235" s="35">
        <f>IFERROR(VLOOKUP("19_"&amp;A235,SyS!$B:$P,12,FALSE()),0)</f>
      </c>
      <c r="AI235" s="35">
        <f>+AG235-AH235</f>
      </c>
      <c r="AJ235" s="35"/>
      <c r="AK235" s="35"/>
      <c r="AL235" s="35"/>
      <c r="AM235" s="34">
        <f>IFERROR(VLOOKUP("23_"&amp;A235,SyS!$B:$P,10,FALSE()),0)</f>
      </c>
      <c r="AN235" s="35">
        <f>IFERROR(VLOOKUP("23_"&amp;A235,SyS!$B:$P,12,FALSE()),0)</f>
      </c>
      <c r="AO235" s="36">
        <f>+AM235-AN235</f>
      </c>
      <c r="AP235" s="40"/>
      <c r="AQ235" s="40"/>
      <c r="AR235" s="40"/>
      <c r="AS235" s="40"/>
      <c r="AT235" s="40"/>
      <c r="AU235" s="40"/>
      <c r="AV235" s="40"/>
      <c r="AW235" s="40"/>
      <c r="AX235" s="40"/>
      <c r="AY235" s="40"/>
      <c r="AZ235" s="40"/>
      <c r="BA235" s="40"/>
      <c r="BB235" s="40"/>
      <c r="BC235" s="40"/>
      <c r="BD235" s="40"/>
      <c r="BE235" s="40"/>
      <c r="BF235" s="40"/>
      <c r="BG235" s="40"/>
      <c r="BH235" s="40"/>
      <c r="BI235" s="40"/>
      <c r="BJ235" s="40"/>
      <c r="BK235" s="40">
        <f>IFERROR(VLOOKUP("29_"&amp;A235,SyS!$B:$P,10,FALSE()),0)</f>
      </c>
      <c r="BL235" s="40">
        <f>IFERROR(VLOOKUP("29_"&amp;A235,SyS!$B:$P,12,FALSE()),0)</f>
      </c>
      <c r="BM235" s="40">
        <f>+BK235-BL235</f>
      </c>
      <c r="BN235" s="42">
        <f>IFERROR(VLOOKUP("30_"&amp;A235,SyS!$B:$P,10,FALSE()),0)</f>
      </c>
      <c r="BO235" s="40">
        <f>IFERROR(VLOOKUP("30_"&amp;A235,SyS!$B:$P,12,FALSE()),0)</f>
      </c>
      <c r="BP235" s="43">
        <f>+BN235-BO235</f>
      </c>
      <c r="BQ235" s="44">
        <f>+E235+H235+K235+N235+Q235+T235+W235+Z235+AC235+AF235+AI235+AL235+AO235+AR235+AU235+AX235+BA235+BD235+BG235+BJ235+BM235+BP235</f>
      </c>
    </row>
    <row r="236" ht="11.25" customHeight="1" spans="1:69" x14ac:dyDescent="0.25">
      <c r="A236" s="9">
        <v>421370000</v>
      </c>
      <c r="B236" s="9" t="s">
        <v>273</v>
      </c>
      <c r="C236" s="34">
        <f>IFERROR(VLOOKUP("1_"&amp;A236,SyS!$B:$P,10,FALSE()),0)</f>
      </c>
      <c r="D236" s="35">
        <f>IFERROR(VLOOKUP("1_"&amp;A236,SyS!$B:$P,12,FALSE()),0)</f>
      </c>
      <c r="E236" s="35">
        <f>+C236-D236</f>
      </c>
      <c r="F236" s="34">
        <f>IFERROR(VLOOKUP("2_"&amp;A236,SyS!$B:$P,10,FALSE()),0)</f>
      </c>
      <c r="G236" s="35">
        <f>IFERROR(VLOOKUP("2_"&amp;A236,SyS!$B:$P,12,FALSE()),0)</f>
      </c>
      <c r="H236" s="36">
        <f>+F236-G236</f>
      </c>
      <c r="I236" s="35"/>
      <c r="J236" s="35"/>
      <c r="K236" s="35"/>
      <c r="L236" s="35"/>
      <c r="M236" s="35"/>
      <c r="N236" s="35"/>
      <c r="O236" s="34">
        <f>IFERROR(VLOOKUP("14_"&amp;A236,SyS!$B:$P,10,FALSE()),0)</f>
      </c>
      <c r="P236" s="35">
        <f>IFERROR(VLOOKUP("14_"&amp;A236,SyS!$B:$P,12,FALSE()),0)</f>
      </c>
      <c r="Q236" s="36">
        <f>+O236-P236</f>
      </c>
      <c r="R236" s="34">
        <f>IFERROR(VLOOKUP("15_"&amp;A236,SyS!$B:$P,10,FALSE()),0)</f>
      </c>
      <c r="S236" s="35">
        <f>IFERROR(VLOOKUP("15_"&amp;A236,SyS!$B:$P,12,FALSE()),0)</f>
      </c>
      <c r="T236" s="36">
        <f>+R236-S236</f>
      </c>
      <c r="U236" s="34">
        <f>IFERROR(VLOOKUP("16_"&amp;A236,SyS!$B:$P,10,FALSE()),0)</f>
      </c>
      <c r="V236" s="35">
        <f>IFERROR(VLOOKUP("16_"&amp;A236,SyS!$B:$P,12,FALSE()),0)</f>
      </c>
      <c r="W236" s="36">
        <f>+U236-V236</f>
      </c>
      <c r="X236" s="34">
        <f>IFERROR(VLOOKUP("13_"&amp;A236,SyS!$B:$P,10,FALSE()),0)</f>
      </c>
      <c r="Y236" s="35">
        <f>IFERROR(VLOOKUP("13_"&amp;A236,SyS!$B:$P,12,FALSE()),0)</f>
      </c>
      <c r="Z236" s="36">
        <f>+X236-Y236</f>
      </c>
      <c r="AA236" s="34">
        <f>IFERROR(VLOOKUP("17_"&amp;A236,SyS!$B:$P,10,FALSE()),0)</f>
      </c>
      <c r="AB236" s="35">
        <f>IFERROR(VLOOKUP("17_"&amp;A236,SyS!$B:$P,12,FALSE()),0)</f>
      </c>
      <c r="AC236" s="36">
        <f>+AA236-AB236</f>
      </c>
      <c r="AD236" s="35"/>
      <c r="AE236" s="35"/>
      <c r="AF236" s="35"/>
      <c r="AG236" s="35">
        <f>IFERROR(VLOOKUP("19_"&amp;A236,SyS!$B:$P,10,FALSE()),0)</f>
      </c>
      <c r="AH236" s="35">
        <f>IFERROR(VLOOKUP("19_"&amp;A236,SyS!$B:$P,12,FALSE()),0)</f>
      </c>
      <c r="AI236" s="35">
        <f>+AG236-AH236</f>
      </c>
      <c r="AJ236" s="35"/>
      <c r="AK236" s="35"/>
      <c r="AL236" s="35"/>
      <c r="AM236" s="34">
        <f>IFERROR(VLOOKUP("23_"&amp;A236,SyS!$B:$P,10,FALSE()),0)</f>
      </c>
      <c r="AN236" s="35">
        <f>IFERROR(VLOOKUP("23_"&amp;A236,SyS!$B:$P,12,FALSE()),0)</f>
      </c>
      <c r="AO236" s="36">
        <f>+AM236-AN236</f>
      </c>
      <c r="AP236" s="40"/>
      <c r="AQ236" s="40"/>
      <c r="AR236" s="40"/>
      <c r="AS236" s="40"/>
      <c r="AT236" s="40"/>
      <c r="AU236" s="40"/>
      <c r="AV236" s="40"/>
      <c r="AW236" s="40"/>
      <c r="AX236" s="40"/>
      <c r="AY236" s="40"/>
      <c r="AZ236" s="40"/>
      <c r="BA236" s="40"/>
      <c r="BB236" s="40"/>
      <c r="BC236" s="40"/>
      <c r="BD236" s="40"/>
      <c r="BE236" s="40"/>
      <c r="BF236" s="40"/>
      <c r="BG236" s="40"/>
      <c r="BH236" s="40"/>
      <c r="BI236" s="40"/>
      <c r="BJ236" s="40"/>
      <c r="BK236" s="40">
        <f>IFERROR(VLOOKUP("29_"&amp;A236,SyS!$B:$P,10,FALSE()),0)</f>
      </c>
      <c r="BL236" s="40">
        <f>IFERROR(VLOOKUP("29_"&amp;A236,SyS!$B:$P,12,FALSE()),0)</f>
      </c>
      <c r="BM236" s="40">
        <f>+BK236-BL236</f>
      </c>
      <c r="BN236" s="42">
        <f>IFERROR(VLOOKUP("30_"&amp;A236,SyS!$B:$P,10,FALSE()),0)</f>
      </c>
      <c r="BO236" s="40">
        <f>IFERROR(VLOOKUP("30_"&amp;A236,SyS!$B:$P,12,FALSE()),0)</f>
      </c>
      <c r="BP236" s="43">
        <f>+BN236-BO236</f>
      </c>
      <c r="BQ236" s="44">
        <f>+E236+H236+K236+N236+Q236+T236+W236+Z236+AC236+AF236+AI236+AL236+AO236+AR236+AU236+AX236+BA236+BD236+BG236+BJ236+BM236+BP236</f>
      </c>
    </row>
    <row r="237" ht="11.25" customHeight="1" spans="1:69" x14ac:dyDescent="0.25">
      <c r="A237" s="9">
        <v>421380000</v>
      </c>
      <c r="B237" s="9" t="s">
        <v>274</v>
      </c>
      <c r="C237" s="34">
        <f>IFERROR(VLOOKUP("1_"&amp;A237,SyS!$B:$P,10,FALSE()),0)</f>
      </c>
      <c r="D237" s="35">
        <f>IFERROR(VLOOKUP("1_"&amp;A237,SyS!$B:$P,12,FALSE()),0)</f>
      </c>
      <c r="E237" s="35">
        <f>+C237-D237</f>
      </c>
      <c r="F237" s="34">
        <f>IFERROR(VLOOKUP("2_"&amp;A237,SyS!$B:$P,10,FALSE()),0)</f>
      </c>
      <c r="G237" s="35">
        <f>IFERROR(VLOOKUP("2_"&amp;A237,SyS!$B:$P,12,FALSE()),0)</f>
      </c>
      <c r="H237" s="36">
        <f>+F237-G237</f>
      </c>
      <c r="I237" s="35"/>
      <c r="J237" s="35"/>
      <c r="K237" s="35"/>
      <c r="L237" s="35"/>
      <c r="M237" s="35"/>
      <c r="N237" s="35"/>
      <c r="O237" s="34">
        <f>IFERROR(VLOOKUP("14_"&amp;A237,SyS!$B:$P,10,FALSE()),0)</f>
      </c>
      <c r="P237" s="35">
        <f>IFERROR(VLOOKUP("14_"&amp;A237,SyS!$B:$P,12,FALSE()),0)</f>
      </c>
      <c r="Q237" s="36">
        <f>+O237-P237</f>
      </c>
      <c r="R237" s="34">
        <f>IFERROR(VLOOKUP("15_"&amp;A237,SyS!$B:$P,10,FALSE()),0)</f>
      </c>
      <c r="S237" s="35">
        <f>IFERROR(VLOOKUP("15_"&amp;A237,SyS!$B:$P,12,FALSE()),0)</f>
      </c>
      <c r="T237" s="36">
        <f>+R237-S237</f>
      </c>
      <c r="U237" s="34">
        <f>IFERROR(VLOOKUP("16_"&amp;A237,SyS!$B:$P,10,FALSE()),0)</f>
      </c>
      <c r="V237" s="35">
        <f>IFERROR(VLOOKUP("16_"&amp;A237,SyS!$B:$P,12,FALSE()),0)</f>
      </c>
      <c r="W237" s="36">
        <f>+U237-V237</f>
      </c>
      <c r="X237" s="34">
        <f>IFERROR(VLOOKUP("13_"&amp;A237,SyS!$B:$P,10,FALSE()),0)</f>
      </c>
      <c r="Y237" s="35">
        <f>IFERROR(VLOOKUP("13_"&amp;A237,SyS!$B:$P,12,FALSE()),0)</f>
      </c>
      <c r="Z237" s="36">
        <f>+X237-Y237</f>
      </c>
      <c r="AA237" s="34">
        <f>IFERROR(VLOOKUP("17_"&amp;A237,SyS!$B:$P,10,FALSE()),0)</f>
      </c>
      <c r="AB237" s="35">
        <f>IFERROR(VLOOKUP("17_"&amp;A237,SyS!$B:$P,12,FALSE()),0)</f>
      </c>
      <c r="AC237" s="36">
        <f>+AA237-AB237</f>
      </c>
      <c r="AD237" s="35"/>
      <c r="AE237" s="35"/>
      <c r="AF237" s="35"/>
      <c r="AG237" s="35">
        <f>IFERROR(VLOOKUP("19_"&amp;A237,SyS!$B:$P,10,FALSE()),0)</f>
      </c>
      <c r="AH237" s="35">
        <f>IFERROR(VLOOKUP("19_"&amp;A237,SyS!$B:$P,12,FALSE()),0)</f>
      </c>
      <c r="AI237" s="35">
        <f>+AG237-AH237</f>
      </c>
      <c r="AJ237" s="35"/>
      <c r="AK237" s="35"/>
      <c r="AL237" s="35"/>
      <c r="AM237" s="34">
        <f>IFERROR(VLOOKUP("23_"&amp;A237,SyS!$B:$P,10,FALSE()),0)</f>
      </c>
      <c r="AN237" s="35">
        <f>IFERROR(VLOOKUP("23_"&amp;A237,SyS!$B:$P,12,FALSE()),0)</f>
      </c>
      <c r="AO237" s="36">
        <f>+AM237-AN237</f>
      </c>
      <c r="AP237" s="40"/>
      <c r="AQ237" s="40"/>
      <c r="AR237" s="40"/>
      <c r="AS237" s="40"/>
      <c r="AT237" s="40"/>
      <c r="AU237" s="40"/>
      <c r="AV237" s="40"/>
      <c r="AW237" s="40"/>
      <c r="AX237" s="40"/>
      <c r="AY237" s="40"/>
      <c r="AZ237" s="40"/>
      <c r="BA237" s="40"/>
      <c r="BB237" s="40"/>
      <c r="BC237" s="40"/>
      <c r="BD237" s="40"/>
      <c r="BE237" s="40"/>
      <c r="BF237" s="40"/>
      <c r="BG237" s="40"/>
      <c r="BH237" s="40"/>
      <c r="BI237" s="40"/>
      <c r="BJ237" s="40"/>
      <c r="BK237" s="40">
        <f>IFERROR(VLOOKUP("29_"&amp;A237,SyS!$B:$P,10,FALSE()),0)</f>
      </c>
      <c r="BL237" s="40">
        <f>IFERROR(VLOOKUP("29_"&amp;A237,SyS!$B:$P,12,FALSE()),0)</f>
      </c>
      <c r="BM237" s="40">
        <f>+BK237-BL237</f>
      </c>
      <c r="BN237" s="42">
        <f>IFERROR(VLOOKUP("30_"&amp;A237,SyS!$B:$P,10,FALSE()),0)</f>
      </c>
      <c r="BO237" s="40">
        <f>IFERROR(VLOOKUP("30_"&amp;A237,SyS!$B:$P,12,FALSE()),0)</f>
      </c>
      <c r="BP237" s="43">
        <f>+BN237-BO237</f>
      </c>
      <c r="BQ237" s="44">
        <f>+E237+H237+K237+N237+Q237+T237+W237+Z237+AC237+AF237+AI237+AL237+AO237+AR237+AU237+AX237+BA237+BD237+BG237+BJ237+BM237+BP237</f>
      </c>
    </row>
    <row r="238" ht="11.25" customHeight="1" spans="1:69" x14ac:dyDescent="0.25">
      <c r="A238" s="9">
        <v>421450000</v>
      </c>
      <c r="B238" s="9" t="s">
        <v>275</v>
      </c>
      <c r="C238" s="34">
        <f>IFERROR(VLOOKUP("1_"&amp;A238,SyS!$B:$P,10,FALSE()),0)</f>
      </c>
      <c r="D238" s="35">
        <f>IFERROR(VLOOKUP("1_"&amp;A238,SyS!$B:$P,12,FALSE()),0)</f>
      </c>
      <c r="E238" s="35">
        <f>+C238-D238</f>
      </c>
      <c r="F238" s="34">
        <f>IFERROR(VLOOKUP("2_"&amp;A238,SyS!$B:$P,10,FALSE()),0)</f>
      </c>
      <c r="G238" s="35">
        <f>IFERROR(VLOOKUP("2_"&amp;A238,SyS!$B:$P,12,FALSE()),0)</f>
      </c>
      <c r="H238" s="36">
        <f>+F238-G238</f>
      </c>
      <c r="I238" s="35"/>
      <c r="J238" s="35"/>
      <c r="K238" s="35"/>
      <c r="L238" s="35"/>
      <c r="M238" s="35"/>
      <c r="N238" s="35"/>
      <c r="O238" s="34">
        <f>IFERROR(VLOOKUP("14_"&amp;A238,SyS!$B:$P,10,FALSE()),0)</f>
      </c>
      <c r="P238" s="35">
        <f>IFERROR(VLOOKUP("14_"&amp;A238,SyS!$B:$P,12,FALSE()),0)</f>
      </c>
      <c r="Q238" s="36">
        <f>+O238-P238</f>
      </c>
      <c r="R238" s="34">
        <f>IFERROR(VLOOKUP("15_"&amp;A238,SyS!$B:$P,10,FALSE()),0)</f>
      </c>
      <c r="S238" s="35">
        <f>IFERROR(VLOOKUP("15_"&amp;A238,SyS!$B:$P,12,FALSE()),0)</f>
      </c>
      <c r="T238" s="36">
        <f>+R238-S238</f>
      </c>
      <c r="U238" s="34">
        <f>IFERROR(VLOOKUP("16_"&amp;A238,SyS!$B:$P,10,FALSE()),0)</f>
      </c>
      <c r="V238" s="35">
        <f>IFERROR(VLOOKUP("16_"&amp;A238,SyS!$B:$P,12,FALSE()),0)</f>
      </c>
      <c r="W238" s="36">
        <f>+U238-V238</f>
      </c>
      <c r="X238" s="34">
        <f>IFERROR(VLOOKUP("13_"&amp;A238,SyS!$B:$P,10,FALSE()),0)</f>
      </c>
      <c r="Y238" s="35">
        <f>IFERROR(VLOOKUP("13_"&amp;A238,SyS!$B:$P,12,FALSE()),0)</f>
      </c>
      <c r="Z238" s="36">
        <f>+X238-Y238</f>
      </c>
      <c r="AA238" s="34">
        <f>IFERROR(VLOOKUP("17_"&amp;A238,SyS!$B:$P,10,FALSE()),0)</f>
      </c>
      <c r="AB238" s="35">
        <f>IFERROR(VLOOKUP("17_"&amp;A238,SyS!$B:$P,12,FALSE()),0)</f>
      </c>
      <c r="AC238" s="36">
        <f>+AA238-AB238</f>
      </c>
      <c r="AD238" s="35"/>
      <c r="AE238" s="35"/>
      <c r="AF238" s="35"/>
      <c r="AG238" s="35">
        <f>IFERROR(VLOOKUP("19_"&amp;A238,SyS!$B:$P,10,FALSE()),0)</f>
      </c>
      <c r="AH238" s="35">
        <f>IFERROR(VLOOKUP("19_"&amp;A238,SyS!$B:$P,12,FALSE()),0)</f>
      </c>
      <c r="AI238" s="35">
        <f>+AG238-AH238</f>
      </c>
      <c r="AJ238" s="35"/>
      <c r="AK238" s="35"/>
      <c r="AL238" s="35"/>
      <c r="AM238" s="34">
        <f>IFERROR(VLOOKUP("23_"&amp;A238,SyS!$B:$P,10,FALSE()),0)</f>
      </c>
      <c r="AN238" s="35">
        <f>IFERROR(VLOOKUP("23_"&amp;A238,SyS!$B:$P,12,FALSE()),0)</f>
      </c>
      <c r="AO238" s="36">
        <f>+AM238-AN238</f>
      </c>
      <c r="AP238" s="40"/>
      <c r="AQ238" s="40"/>
      <c r="AR238" s="40"/>
      <c r="AS238" s="40"/>
      <c r="AT238" s="40"/>
      <c r="AU238" s="40"/>
      <c r="AV238" s="40"/>
      <c r="AW238" s="40"/>
      <c r="AX238" s="40"/>
      <c r="AY238" s="40"/>
      <c r="AZ238" s="40"/>
      <c r="BA238" s="40"/>
      <c r="BB238" s="40"/>
      <c r="BC238" s="40"/>
      <c r="BD238" s="40"/>
      <c r="BE238" s="40"/>
      <c r="BF238" s="40"/>
      <c r="BG238" s="40"/>
      <c r="BH238" s="40"/>
      <c r="BI238" s="40"/>
      <c r="BJ238" s="40"/>
      <c r="BK238" s="40">
        <f>IFERROR(VLOOKUP("29_"&amp;A238,SyS!$B:$P,10,FALSE()),0)</f>
      </c>
      <c r="BL238" s="40">
        <f>IFERROR(VLOOKUP("29_"&amp;A238,SyS!$B:$P,12,FALSE()),0)</f>
      </c>
      <c r="BM238" s="40">
        <f>+BK238-BL238</f>
      </c>
      <c r="BN238" s="42">
        <f>IFERROR(VLOOKUP("30_"&amp;A238,SyS!$B:$P,10,FALSE()),0)</f>
      </c>
      <c r="BO238" s="40">
        <f>IFERROR(VLOOKUP("30_"&amp;A238,SyS!$B:$P,12,FALSE()),0)</f>
      </c>
      <c r="BP238" s="43">
        <f>+BN238-BO238</f>
      </c>
      <c r="BQ238" s="44">
        <f>+E238+H238+K238+N238+Q238+T238+W238+Z238+AC238+AF238+AI238+AL238+AO238+AR238+AU238+AX238+BA238+BD238+BG238+BJ238+BM238+BP238</f>
      </c>
    </row>
    <row r="239" ht="11.25" customHeight="1" spans="1:69" x14ac:dyDescent="0.25">
      <c r="A239" s="9">
        <v>427290000</v>
      </c>
      <c r="B239" s="9" t="s">
        <v>276</v>
      </c>
      <c r="C239" s="34">
        <f>IFERROR(VLOOKUP("1_"&amp;A239,SyS!$B:$P,10,FALSE()),0)</f>
      </c>
      <c r="D239" s="35">
        <f>IFERROR(VLOOKUP("1_"&amp;A239,SyS!$B:$P,12,FALSE()),0)</f>
      </c>
      <c r="E239" s="35">
        <f>+C239-D239</f>
      </c>
      <c r="F239" s="34">
        <f>IFERROR(VLOOKUP("2_"&amp;A239,SyS!$B:$P,10,FALSE()),0)</f>
      </c>
      <c r="G239" s="35">
        <f>IFERROR(VLOOKUP("2_"&amp;A239,SyS!$B:$P,12,FALSE()),0)</f>
      </c>
      <c r="H239" s="36">
        <f>+F239-G239</f>
      </c>
      <c r="I239" s="35"/>
      <c r="J239" s="35"/>
      <c r="K239" s="35"/>
      <c r="L239" s="35"/>
      <c r="M239" s="35"/>
      <c r="N239" s="35"/>
      <c r="O239" s="34">
        <f>IFERROR(VLOOKUP("14_"&amp;A239,SyS!$B:$P,10,FALSE()),0)</f>
      </c>
      <c r="P239" s="35">
        <f>IFERROR(VLOOKUP("14_"&amp;A239,SyS!$B:$P,12,FALSE()),0)</f>
      </c>
      <c r="Q239" s="36">
        <f>+O239-P239</f>
      </c>
      <c r="R239" s="34">
        <f>IFERROR(VLOOKUP("15_"&amp;A239,SyS!$B:$P,10,FALSE()),0)</f>
      </c>
      <c r="S239" s="35">
        <f>IFERROR(VLOOKUP("15_"&amp;A239,SyS!$B:$P,12,FALSE()),0)</f>
      </c>
      <c r="T239" s="36">
        <f>+R239-S239</f>
      </c>
      <c r="U239" s="34">
        <f>IFERROR(VLOOKUP("16_"&amp;A239,SyS!$B:$P,10,FALSE()),0)</f>
      </c>
      <c r="V239" s="35">
        <f>IFERROR(VLOOKUP("16_"&amp;A239,SyS!$B:$P,12,FALSE()),0)</f>
      </c>
      <c r="W239" s="36">
        <f>+U239-V239</f>
      </c>
      <c r="X239" s="34">
        <f>IFERROR(VLOOKUP("13_"&amp;A239,SyS!$B:$P,10,FALSE()),0)</f>
      </c>
      <c r="Y239" s="35">
        <f>IFERROR(VLOOKUP("13_"&amp;A239,SyS!$B:$P,12,FALSE()),0)</f>
      </c>
      <c r="Z239" s="36">
        <f>+X239-Y239</f>
      </c>
      <c r="AA239" s="34">
        <f>IFERROR(VLOOKUP("17_"&amp;A239,SyS!$B:$P,10,FALSE()),0)</f>
      </c>
      <c r="AB239" s="35">
        <f>IFERROR(VLOOKUP("17_"&amp;A239,SyS!$B:$P,12,FALSE()),0)</f>
      </c>
      <c r="AC239" s="36">
        <f>+AA239-AB239</f>
      </c>
      <c r="AD239" s="35"/>
      <c r="AE239" s="35"/>
      <c r="AF239" s="35"/>
      <c r="AG239" s="35">
        <f>IFERROR(VLOOKUP("19_"&amp;A239,SyS!$B:$P,10,FALSE()),0)</f>
      </c>
      <c r="AH239" s="35">
        <f>IFERROR(VLOOKUP("19_"&amp;A239,SyS!$B:$P,12,FALSE()),0)</f>
      </c>
      <c r="AI239" s="35">
        <f>+AG239-AH239</f>
      </c>
      <c r="AJ239" s="35"/>
      <c r="AK239" s="35"/>
      <c r="AL239" s="35"/>
      <c r="AM239" s="34">
        <f>IFERROR(VLOOKUP("23_"&amp;A239,SyS!$B:$P,10,FALSE()),0)</f>
      </c>
      <c r="AN239" s="35">
        <f>IFERROR(VLOOKUP("23_"&amp;A239,SyS!$B:$P,12,FALSE()),0)</f>
      </c>
      <c r="AO239" s="36">
        <f>+AM239-AN239</f>
      </c>
      <c r="AP239" s="40"/>
      <c r="AQ239" s="40"/>
      <c r="AR239" s="40"/>
      <c r="AS239" s="40"/>
      <c r="AT239" s="40"/>
      <c r="AU239" s="40"/>
      <c r="AV239" s="40"/>
      <c r="AW239" s="40"/>
      <c r="AX239" s="40"/>
      <c r="AY239" s="40"/>
      <c r="AZ239" s="40"/>
      <c r="BA239" s="40"/>
      <c r="BB239" s="40"/>
      <c r="BC239" s="40"/>
      <c r="BD239" s="40"/>
      <c r="BE239" s="40"/>
      <c r="BF239" s="40"/>
      <c r="BG239" s="40"/>
      <c r="BH239" s="40"/>
      <c r="BI239" s="40"/>
      <c r="BJ239" s="40"/>
      <c r="BK239" s="40">
        <f>IFERROR(VLOOKUP("29_"&amp;A239,SyS!$B:$P,10,FALSE()),0)</f>
      </c>
      <c r="BL239" s="40">
        <f>IFERROR(VLOOKUP("29_"&amp;A239,SyS!$B:$P,12,FALSE()),0)</f>
      </c>
      <c r="BM239" s="40">
        <f>+BK239-BL239</f>
      </c>
      <c r="BN239" s="42">
        <f>IFERROR(VLOOKUP("30_"&amp;A239,SyS!$B:$P,10,FALSE()),0)</f>
      </c>
      <c r="BO239" s="40">
        <f>IFERROR(VLOOKUP("30_"&amp;A239,SyS!$B:$P,12,FALSE()),0)</f>
      </c>
      <c r="BP239" s="43">
        <f>+BN239-BO239</f>
      </c>
      <c r="BQ239" s="44">
        <f>+E239+H239+K239+N239+Q239+T239+W239+Z239+AC239+AF239+AI239+AL239+AO239+AR239+AU239+AX239+BA239+BD239+BG239+BJ239+BM239+BP239</f>
      </c>
    </row>
    <row r="240" ht="11.25" customHeight="1" spans="1:69" x14ac:dyDescent="0.25">
      <c r="A240" s="9">
        <v>427300000</v>
      </c>
      <c r="B240" s="9" t="s">
        <v>277</v>
      </c>
      <c r="C240" s="34">
        <f>IFERROR(VLOOKUP("1_"&amp;A240,SyS!$B:$P,10,FALSE()),0)</f>
      </c>
      <c r="D240" s="35">
        <f>IFERROR(VLOOKUP("1_"&amp;A240,SyS!$B:$P,12,FALSE()),0)</f>
      </c>
      <c r="E240" s="35">
        <f>+C240-D240</f>
      </c>
      <c r="F240" s="34">
        <f>IFERROR(VLOOKUP("2_"&amp;A240,SyS!$B:$P,10,FALSE()),0)</f>
      </c>
      <c r="G240" s="35">
        <f>IFERROR(VLOOKUP("2_"&amp;A240,SyS!$B:$P,12,FALSE()),0)</f>
      </c>
      <c r="H240" s="36">
        <f>+F240-G240</f>
      </c>
      <c r="I240" s="35"/>
      <c r="J240" s="35"/>
      <c r="K240" s="35"/>
      <c r="L240" s="35"/>
      <c r="M240" s="35"/>
      <c r="N240" s="35"/>
      <c r="O240" s="34">
        <f>IFERROR(VLOOKUP("14_"&amp;A240,SyS!$B:$P,10,FALSE()),0)</f>
      </c>
      <c r="P240" s="35">
        <f>IFERROR(VLOOKUP("14_"&amp;A240,SyS!$B:$P,12,FALSE()),0)</f>
      </c>
      <c r="Q240" s="36">
        <f>+O240-P240</f>
      </c>
      <c r="R240" s="34">
        <f>IFERROR(VLOOKUP("15_"&amp;A240,SyS!$B:$P,10,FALSE()),0)</f>
      </c>
      <c r="S240" s="35">
        <f>IFERROR(VLOOKUP("15_"&amp;A240,SyS!$B:$P,12,FALSE()),0)</f>
      </c>
      <c r="T240" s="36">
        <f>+R240-S240</f>
      </c>
      <c r="U240" s="34">
        <f>IFERROR(VLOOKUP("16_"&amp;A240,SyS!$B:$P,10,FALSE()),0)</f>
      </c>
      <c r="V240" s="35">
        <f>IFERROR(VLOOKUP("16_"&amp;A240,SyS!$B:$P,12,FALSE()),0)</f>
      </c>
      <c r="W240" s="36">
        <f>+U240-V240</f>
      </c>
      <c r="X240" s="34">
        <f>IFERROR(VLOOKUP("13_"&amp;A240,SyS!$B:$P,10,FALSE()),0)</f>
      </c>
      <c r="Y240" s="35">
        <f>IFERROR(VLOOKUP("13_"&amp;A240,SyS!$B:$P,12,FALSE()),0)</f>
      </c>
      <c r="Z240" s="36">
        <f>+X240-Y240</f>
      </c>
      <c r="AA240" s="34">
        <f>IFERROR(VLOOKUP("17_"&amp;A240,SyS!$B:$P,10,FALSE()),0)</f>
      </c>
      <c r="AB240" s="35">
        <f>IFERROR(VLOOKUP("17_"&amp;A240,SyS!$B:$P,12,FALSE()),0)</f>
      </c>
      <c r="AC240" s="36">
        <f>+AA240-AB240</f>
      </c>
      <c r="AD240" s="35"/>
      <c r="AE240" s="35"/>
      <c r="AF240" s="35"/>
      <c r="AG240" s="35">
        <f>IFERROR(VLOOKUP("19_"&amp;A240,SyS!$B:$P,10,FALSE()),0)</f>
      </c>
      <c r="AH240" s="35">
        <f>IFERROR(VLOOKUP("19_"&amp;A240,SyS!$B:$P,12,FALSE()),0)</f>
      </c>
      <c r="AI240" s="35">
        <f>+AG240-AH240</f>
      </c>
      <c r="AJ240" s="35"/>
      <c r="AK240" s="35"/>
      <c r="AL240" s="35"/>
      <c r="AM240" s="34">
        <f>IFERROR(VLOOKUP("23_"&amp;A240,SyS!$B:$P,10,FALSE()),0)</f>
      </c>
      <c r="AN240" s="35">
        <f>IFERROR(VLOOKUP("23_"&amp;A240,SyS!$B:$P,12,FALSE()),0)</f>
      </c>
      <c r="AO240" s="36">
        <f>+AM240-AN240</f>
      </c>
      <c r="AP240" s="40"/>
      <c r="AQ240" s="40"/>
      <c r="AR240" s="40"/>
      <c r="AS240" s="40"/>
      <c r="AT240" s="40"/>
      <c r="AU240" s="40"/>
      <c r="AV240" s="40"/>
      <c r="AW240" s="40"/>
      <c r="AX240" s="40"/>
      <c r="AY240" s="40"/>
      <c r="AZ240" s="40"/>
      <c r="BA240" s="40"/>
      <c r="BB240" s="40"/>
      <c r="BC240" s="40"/>
      <c r="BD240" s="40"/>
      <c r="BE240" s="40"/>
      <c r="BF240" s="40"/>
      <c r="BG240" s="40"/>
      <c r="BH240" s="40"/>
      <c r="BI240" s="40"/>
      <c r="BJ240" s="40"/>
      <c r="BK240" s="40">
        <f>IFERROR(VLOOKUP("29_"&amp;A240,SyS!$B:$P,10,FALSE()),0)</f>
      </c>
      <c r="BL240" s="40">
        <f>IFERROR(VLOOKUP("29_"&amp;A240,SyS!$B:$P,12,FALSE()),0)</f>
      </c>
      <c r="BM240" s="40">
        <f>+BK240-BL240</f>
      </c>
      <c r="BN240" s="42">
        <f>IFERROR(VLOOKUP("30_"&amp;A240,SyS!$B:$P,10,FALSE()),0)</f>
      </c>
      <c r="BO240" s="40">
        <f>IFERROR(VLOOKUP("30_"&amp;A240,SyS!$B:$P,12,FALSE()),0)</f>
      </c>
      <c r="BP240" s="43">
        <f>+BN240-BO240</f>
      </c>
      <c r="BQ240" s="44">
        <f>+E240+H240+K240+N240+Q240+T240+W240+Z240+AC240+AF240+AI240+AL240+AO240+AR240+AU240+AX240+BA240+BD240+BG240+BJ240+BM240+BP240</f>
      </c>
    </row>
    <row r="241" ht="11.25" customHeight="1" spans="1:69" x14ac:dyDescent="0.25">
      <c r="A241" s="9">
        <v>427310000</v>
      </c>
      <c r="B241" s="9" t="s">
        <v>278</v>
      </c>
      <c r="C241" s="34">
        <f>IFERROR(VLOOKUP("1_"&amp;A241,SyS!$B:$P,10,FALSE()),0)</f>
      </c>
      <c r="D241" s="35">
        <f>IFERROR(VLOOKUP("1_"&amp;A241,SyS!$B:$P,12,FALSE()),0)</f>
      </c>
      <c r="E241" s="35">
        <f>+C241-D241</f>
      </c>
      <c r="F241" s="34">
        <f>IFERROR(VLOOKUP("2_"&amp;A241,SyS!$B:$P,10,FALSE()),0)</f>
      </c>
      <c r="G241" s="35">
        <f>IFERROR(VLOOKUP("2_"&amp;A241,SyS!$B:$P,12,FALSE()),0)</f>
      </c>
      <c r="H241" s="36">
        <f>+F241-G241</f>
      </c>
      <c r="I241" s="35"/>
      <c r="J241" s="35"/>
      <c r="K241" s="35"/>
      <c r="L241" s="35"/>
      <c r="M241" s="35"/>
      <c r="N241" s="35"/>
      <c r="O241" s="34">
        <f>IFERROR(VLOOKUP("14_"&amp;A241,SyS!$B:$P,10,FALSE()),0)</f>
      </c>
      <c r="P241" s="35">
        <f>IFERROR(VLOOKUP("14_"&amp;A241,SyS!$B:$P,12,FALSE()),0)</f>
      </c>
      <c r="Q241" s="36">
        <f>+O241-P241</f>
      </c>
      <c r="R241" s="34">
        <f>IFERROR(VLOOKUP("15_"&amp;A241,SyS!$B:$P,10,FALSE()),0)</f>
      </c>
      <c r="S241" s="35">
        <f>IFERROR(VLOOKUP("15_"&amp;A241,SyS!$B:$P,12,FALSE()),0)</f>
      </c>
      <c r="T241" s="36">
        <f>+R241-S241</f>
      </c>
      <c r="U241" s="34">
        <f>IFERROR(VLOOKUP("16_"&amp;A241,SyS!$B:$P,10,FALSE()),0)</f>
      </c>
      <c r="V241" s="35">
        <f>IFERROR(VLOOKUP("16_"&amp;A241,SyS!$B:$P,12,FALSE()),0)</f>
      </c>
      <c r="W241" s="36">
        <f>+U241-V241</f>
      </c>
      <c r="X241" s="34">
        <f>IFERROR(VLOOKUP("13_"&amp;A241,SyS!$B:$P,10,FALSE()),0)</f>
      </c>
      <c r="Y241" s="35">
        <f>IFERROR(VLOOKUP("13_"&amp;A241,SyS!$B:$P,12,FALSE()),0)</f>
      </c>
      <c r="Z241" s="36">
        <f>+X241-Y241</f>
      </c>
      <c r="AA241" s="34">
        <f>IFERROR(VLOOKUP("17_"&amp;A241,SyS!$B:$P,10,FALSE()),0)</f>
      </c>
      <c r="AB241" s="35">
        <f>IFERROR(VLOOKUP("17_"&amp;A241,SyS!$B:$P,12,FALSE()),0)</f>
      </c>
      <c r="AC241" s="36">
        <f>+AA241-AB241</f>
      </c>
      <c r="AD241" s="35"/>
      <c r="AE241" s="35"/>
      <c r="AF241" s="35"/>
      <c r="AG241" s="35">
        <f>IFERROR(VLOOKUP("19_"&amp;A241,SyS!$B:$P,10,FALSE()),0)</f>
      </c>
      <c r="AH241" s="35">
        <f>IFERROR(VLOOKUP("19_"&amp;A241,SyS!$B:$P,12,FALSE()),0)</f>
      </c>
      <c r="AI241" s="35">
        <f>+AG241-AH241</f>
      </c>
      <c r="AJ241" s="35"/>
      <c r="AK241" s="35"/>
      <c r="AL241" s="35"/>
      <c r="AM241" s="34">
        <f>IFERROR(VLOOKUP("23_"&amp;A241,SyS!$B:$P,10,FALSE()),0)</f>
      </c>
      <c r="AN241" s="35">
        <f>IFERROR(VLOOKUP("23_"&amp;A241,SyS!$B:$P,12,FALSE()),0)</f>
      </c>
      <c r="AO241" s="36">
        <f>+AM241-AN241</f>
      </c>
      <c r="AP241" s="40"/>
      <c r="AQ241" s="40"/>
      <c r="AR241" s="40"/>
      <c r="AS241" s="40"/>
      <c r="AT241" s="40"/>
      <c r="AU241" s="40"/>
      <c r="AV241" s="40"/>
      <c r="AW241" s="40"/>
      <c r="AX241" s="40"/>
      <c r="AY241" s="40"/>
      <c r="AZ241" s="40"/>
      <c r="BA241" s="40"/>
      <c r="BB241" s="40"/>
      <c r="BC241" s="40"/>
      <c r="BD241" s="40"/>
      <c r="BE241" s="40"/>
      <c r="BF241" s="40"/>
      <c r="BG241" s="40"/>
      <c r="BH241" s="40"/>
      <c r="BI241" s="40"/>
      <c r="BJ241" s="40"/>
      <c r="BK241" s="40">
        <f>IFERROR(VLOOKUP("29_"&amp;A241,SyS!$B:$P,10,FALSE()),0)</f>
      </c>
      <c r="BL241" s="40">
        <f>IFERROR(VLOOKUP("29_"&amp;A241,SyS!$B:$P,12,FALSE()),0)</f>
      </c>
      <c r="BM241" s="40">
        <f>+BK241-BL241</f>
      </c>
      <c r="BN241" s="42">
        <f>IFERROR(VLOOKUP("30_"&amp;A241,SyS!$B:$P,10,FALSE()),0)</f>
      </c>
      <c r="BO241" s="40">
        <f>IFERROR(VLOOKUP("30_"&amp;A241,SyS!$B:$P,12,FALSE()),0)</f>
      </c>
      <c r="BP241" s="43">
        <f>+BN241-BO241</f>
      </c>
      <c r="BQ241" s="44">
        <f>+E241+H241+K241+N241+Q241+T241+W241+Z241+AC241+AF241+AI241+AL241+AO241+AR241+AU241+AX241+BA241+BD241+BG241+BJ241+BM241+BP241</f>
      </c>
    </row>
    <row r="242" ht="11.25" customHeight="1" spans="1:69" x14ac:dyDescent="0.25">
      <c r="A242" s="9">
        <v>421800000</v>
      </c>
      <c r="B242" s="9" t="s">
        <v>279</v>
      </c>
      <c r="C242" s="34">
        <f>IFERROR(VLOOKUP("1_"&amp;A242,SyS!$B:$P,10,FALSE()),0)</f>
      </c>
      <c r="D242" s="35">
        <f>IFERROR(VLOOKUP("1_"&amp;A242,SyS!$B:$P,12,FALSE()),0)</f>
      </c>
      <c r="E242" s="35">
        <f>+C242-D242</f>
      </c>
      <c r="F242" s="34">
        <f>IFERROR(VLOOKUP("2_"&amp;A242,SyS!$B:$P,10,FALSE()),0)</f>
      </c>
      <c r="G242" s="35">
        <f>IFERROR(VLOOKUP("2_"&amp;A242,SyS!$B:$P,12,FALSE()),0)</f>
      </c>
      <c r="H242" s="36">
        <f>+F242-G242</f>
      </c>
      <c r="I242" s="35"/>
      <c r="J242" s="35"/>
      <c r="K242" s="35"/>
      <c r="L242" s="35"/>
      <c r="M242" s="35"/>
      <c r="N242" s="35"/>
      <c r="O242" s="34">
        <f>IFERROR(VLOOKUP("14_"&amp;A242,SyS!$B:$P,10,FALSE()),0)</f>
      </c>
      <c r="P242" s="35">
        <f>IFERROR(VLOOKUP("14_"&amp;A242,SyS!$B:$P,12,FALSE()),0)</f>
      </c>
      <c r="Q242" s="36">
        <f>+O242-P242</f>
      </c>
      <c r="R242" s="34">
        <f>IFERROR(VLOOKUP("15_"&amp;A242,SyS!$B:$P,10,FALSE()),0)</f>
      </c>
      <c r="S242" s="35">
        <f>IFERROR(VLOOKUP("15_"&amp;A242,SyS!$B:$P,12,FALSE()),0)</f>
      </c>
      <c r="T242" s="36">
        <f>+R242-S242</f>
      </c>
      <c r="U242" s="34">
        <f>IFERROR(VLOOKUP("16_"&amp;A242,SyS!$B:$P,10,FALSE()),0)</f>
      </c>
      <c r="V242" s="35">
        <f>IFERROR(VLOOKUP("16_"&amp;A242,SyS!$B:$P,12,FALSE()),0)</f>
      </c>
      <c r="W242" s="36">
        <f>+U242-V242</f>
      </c>
      <c r="X242" s="34">
        <f>IFERROR(VLOOKUP("13_"&amp;A242,SyS!$B:$P,10,FALSE()),0)</f>
      </c>
      <c r="Y242" s="35">
        <f>IFERROR(VLOOKUP("13_"&amp;A242,SyS!$B:$P,12,FALSE()),0)</f>
      </c>
      <c r="Z242" s="36">
        <f>+X242-Y242</f>
      </c>
      <c r="AA242" s="34">
        <f>IFERROR(VLOOKUP("17_"&amp;A242,SyS!$B:$P,10,FALSE()),0)</f>
      </c>
      <c r="AB242" s="35">
        <f>IFERROR(VLOOKUP("17_"&amp;A242,SyS!$B:$P,12,FALSE()),0)</f>
      </c>
      <c r="AC242" s="36">
        <f>+AA242-AB242</f>
      </c>
      <c r="AD242" s="35"/>
      <c r="AE242" s="35"/>
      <c r="AF242" s="35"/>
      <c r="AG242" s="35">
        <f>IFERROR(VLOOKUP("19_"&amp;A242,SyS!$B:$P,10,FALSE()),0)</f>
      </c>
      <c r="AH242" s="35">
        <f>IFERROR(VLOOKUP("19_"&amp;A242,SyS!$B:$P,12,FALSE()),0)</f>
      </c>
      <c r="AI242" s="35">
        <f>+AG242-AH242</f>
      </c>
      <c r="AJ242" s="35"/>
      <c r="AK242" s="35"/>
      <c r="AL242" s="35"/>
      <c r="AM242" s="34">
        <f>IFERROR(VLOOKUP("23_"&amp;A242,SyS!$B:$P,10,FALSE()),0)</f>
      </c>
      <c r="AN242" s="35">
        <f>IFERROR(VLOOKUP("23_"&amp;A242,SyS!$B:$P,12,FALSE()),0)</f>
      </c>
      <c r="AO242" s="36">
        <f>+AM242-AN242</f>
      </c>
      <c r="AP242" s="40"/>
      <c r="AQ242" s="40"/>
      <c r="AR242" s="40"/>
      <c r="AS242" s="40"/>
      <c r="AT242" s="40"/>
      <c r="AU242" s="40"/>
      <c r="AV242" s="40"/>
      <c r="AW242" s="40"/>
      <c r="AX242" s="40"/>
      <c r="AY242" s="40"/>
      <c r="AZ242" s="40"/>
      <c r="BA242" s="40"/>
      <c r="BB242" s="40"/>
      <c r="BC242" s="40"/>
      <c r="BD242" s="40"/>
      <c r="BE242" s="40"/>
      <c r="BF242" s="40"/>
      <c r="BG242" s="40"/>
      <c r="BH242" s="40"/>
      <c r="BI242" s="40"/>
      <c r="BJ242" s="40"/>
      <c r="BK242" s="40">
        <f>IFERROR(VLOOKUP("29_"&amp;A242,SyS!$B:$P,10,FALSE()),0)</f>
      </c>
      <c r="BL242" s="40">
        <f>IFERROR(VLOOKUP("29_"&amp;A242,SyS!$B:$P,12,FALSE()),0)</f>
      </c>
      <c r="BM242" s="40">
        <f>+BK242-BL242</f>
      </c>
      <c r="BN242" s="42">
        <f>IFERROR(VLOOKUP("30_"&amp;A242,SyS!$B:$P,10,FALSE()),0)</f>
      </c>
      <c r="BO242" s="40">
        <f>IFERROR(VLOOKUP("30_"&amp;A242,SyS!$B:$P,12,FALSE()),0)</f>
      </c>
      <c r="BP242" s="43">
        <f>+BN242-BO242</f>
      </c>
      <c r="BQ242" s="44">
        <f>+E242+H242+K242+N242+Q242+T242+W242+Z242+AC242+AF242+AI242+AL242+AO242+AR242+AU242+AX242+BA242+BD242+BG242+BJ242+BM242+BP242</f>
      </c>
    </row>
    <row r="243" ht="11.25" customHeight="1" spans="1:69" x14ac:dyDescent="0.25">
      <c r="A243" s="9">
        <v>421550000</v>
      </c>
      <c r="B243" s="9" t="s">
        <v>280</v>
      </c>
      <c r="C243" s="34">
        <f>IFERROR(VLOOKUP("1_"&amp;A243,SyS!$B:$P,10,FALSE()),0)</f>
      </c>
      <c r="D243" s="35">
        <f>IFERROR(VLOOKUP("1_"&amp;A243,SyS!$B:$P,12,FALSE()),0)</f>
      </c>
      <c r="E243" s="35">
        <f>+C243-D243</f>
      </c>
      <c r="F243" s="34">
        <f>IFERROR(VLOOKUP("2_"&amp;A243,SyS!$B:$P,10,FALSE()),0)</f>
      </c>
      <c r="G243" s="35">
        <f>IFERROR(VLOOKUP("2_"&amp;A243,SyS!$B:$P,12,FALSE()),0)</f>
      </c>
      <c r="H243" s="36">
        <f>+F243-G243</f>
      </c>
      <c r="I243" s="35"/>
      <c r="J243" s="35"/>
      <c r="K243" s="35"/>
      <c r="L243" s="35"/>
      <c r="M243" s="35"/>
      <c r="N243" s="35"/>
      <c r="O243" s="34">
        <f>IFERROR(VLOOKUP("14_"&amp;A243,SyS!$B:$P,10,FALSE()),0)</f>
      </c>
      <c r="P243" s="35">
        <f>IFERROR(VLOOKUP("14_"&amp;A243,SyS!$B:$P,12,FALSE()),0)</f>
      </c>
      <c r="Q243" s="36">
        <f>+O243-P243</f>
      </c>
      <c r="R243" s="34">
        <f>IFERROR(VLOOKUP("15_"&amp;A243,SyS!$B:$P,10,FALSE()),0)</f>
      </c>
      <c r="S243" s="35">
        <f>IFERROR(VLOOKUP("15_"&amp;A243,SyS!$B:$P,12,FALSE()),0)</f>
      </c>
      <c r="T243" s="36">
        <f>+R243-S243</f>
      </c>
      <c r="U243" s="34">
        <f>IFERROR(VLOOKUP("16_"&amp;A243,SyS!$B:$P,10,FALSE()),0)</f>
      </c>
      <c r="V243" s="35">
        <f>IFERROR(VLOOKUP("16_"&amp;A243,SyS!$B:$P,12,FALSE()),0)</f>
      </c>
      <c r="W243" s="36">
        <f>+U243-V243</f>
      </c>
      <c r="X243" s="34">
        <f>IFERROR(VLOOKUP("13_"&amp;A243,SyS!$B:$P,10,FALSE()),0)</f>
      </c>
      <c r="Y243" s="35">
        <f>IFERROR(VLOOKUP("13_"&amp;A243,SyS!$B:$P,12,FALSE()),0)</f>
      </c>
      <c r="Z243" s="36">
        <f>+X243-Y243</f>
      </c>
      <c r="AA243" s="34">
        <f>IFERROR(VLOOKUP("17_"&amp;A243,SyS!$B:$P,10,FALSE()),0)</f>
      </c>
      <c r="AB243" s="35">
        <f>IFERROR(VLOOKUP("17_"&amp;A243,SyS!$B:$P,12,FALSE()),0)</f>
      </c>
      <c r="AC243" s="36">
        <f>+AA243-AB243</f>
      </c>
      <c r="AD243" s="35"/>
      <c r="AE243" s="35"/>
      <c r="AF243" s="35"/>
      <c r="AG243" s="35">
        <f>IFERROR(VLOOKUP("19_"&amp;A243,SyS!$B:$P,10,FALSE()),0)</f>
      </c>
      <c r="AH243" s="35">
        <f>IFERROR(VLOOKUP("19_"&amp;A243,SyS!$B:$P,12,FALSE()),0)</f>
      </c>
      <c r="AI243" s="35">
        <f>+AG243-AH243</f>
      </c>
      <c r="AJ243" s="35"/>
      <c r="AK243" s="35"/>
      <c r="AL243" s="35"/>
      <c r="AM243" s="34">
        <f>IFERROR(VLOOKUP("23_"&amp;A243,SyS!$B:$P,10,FALSE()),0)</f>
      </c>
      <c r="AN243" s="35">
        <f>IFERROR(VLOOKUP("23_"&amp;A243,SyS!$B:$P,12,FALSE()),0)</f>
      </c>
      <c r="AO243" s="36">
        <f>+AM243-AN243</f>
      </c>
      <c r="AP243" s="40"/>
      <c r="AQ243" s="40"/>
      <c r="AR243" s="40"/>
      <c r="AS243" s="40"/>
      <c r="AT243" s="40"/>
      <c r="AU243" s="40"/>
      <c r="AV243" s="40"/>
      <c r="AW243" s="40"/>
      <c r="AX243" s="40"/>
      <c r="AY243" s="40"/>
      <c r="AZ243" s="40"/>
      <c r="BA243" s="40"/>
      <c r="BB243" s="40"/>
      <c r="BC243" s="40"/>
      <c r="BD243" s="40"/>
      <c r="BE243" s="40"/>
      <c r="BF243" s="40"/>
      <c r="BG243" s="40"/>
      <c r="BH243" s="40"/>
      <c r="BI243" s="40"/>
      <c r="BJ243" s="40"/>
      <c r="BK243" s="40">
        <f>IFERROR(VLOOKUP("29_"&amp;A243,SyS!$B:$P,10,FALSE()),0)</f>
      </c>
      <c r="BL243" s="40">
        <f>IFERROR(VLOOKUP("29_"&amp;A243,SyS!$B:$P,12,FALSE()),0)</f>
      </c>
      <c r="BM243" s="40">
        <f>+BK243-BL243</f>
      </c>
      <c r="BN243" s="42">
        <f>IFERROR(VLOOKUP("30_"&amp;A243,SyS!$B:$P,10,FALSE()),0)</f>
      </c>
      <c r="BO243" s="40">
        <f>IFERROR(VLOOKUP("30_"&amp;A243,SyS!$B:$P,12,FALSE()),0)</f>
      </c>
      <c r="BP243" s="43">
        <f>+BN243-BO243</f>
      </c>
      <c r="BQ243" s="44">
        <f>+E243+H243+K243+N243+Q243+T243+W243+Z243+AC243+AF243+AI243+AL243+AO243+AR243+AU243+AX243+BA243+BD243+BG243+BJ243+BM243+BP243</f>
      </c>
    </row>
    <row r="244" ht="11.25" customHeight="1" spans="1:69" x14ac:dyDescent="0.25">
      <c r="A244" s="9">
        <v>421080000</v>
      </c>
      <c r="B244" s="9" t="s">
        <v>281</v>
      </c>
      <c r="C244" s="34">
        <f>IFERROR(VLOOKUP("1_"&amp;A244,SyS!$B:$P,10,FALSE()),0)</f>
      </c>
      <c r="D244" s="35">
        <f>IFERROR(VLOOKUP("1_"&amp;A244,SyS!$B:$P,12,FALSE()),0)</f>
      </c>
      <c r="E244" s="35">
        <f>+C244-D244</f>
      </c>
      <c r="F244" s="34">
        <f>IFERROR(VLOOKUP("2_"&amp;A244,SyS!$B:$P,10,FALSE()),0)</f>
      </c>
      <c r="G244" s="35">
        <f>IFERROR(VLOOKUP("2_"&amp;A244,SyS!$B:$P,12,FALSE()),0)</f>
      </c>
      <c r="H244" s="36">
        <f>+F244-G244</f>
      </c>
      <c r="I244" s="35"/>
      <c r="J244" s="35"/>
      <c r="K244" s="35"/>
      <c r="L244" s="35"/>
      <c r="M244" s="35"/>
      <c r="N244" s="35"/>
      <c r="O244" s="34">
        <f>IFERROR(VLOOKUP("14_"&amp;A244,SyS!$B:$P,10,FALSE()),0)</f>
      </c>
      <c r="P244" s="35">
        <f>IFERROR(VLOOKUP("14_"&amp;A244,SyS!$B:$P,12,FALSE()),0)</f>
      </c>
      <c r="Q244" s="36">
        <f>+O244-P244</f>
      </c>
      <c r="R244" s="34">
        <f>IFERROR(VLOOKUP("15_"&amp;A244,SyS!$B:$P,10,FALSE()),0)</f>
      </c>
      <c r="S244" s="35">
        <f>IFERROR(VLOOKUP("15_"&amp;A244,SyS!$B:$P,12,FALSE()),0)</f>
      </c>
      <c r="T244" s="36">
        <f>+R244-S244</f>
      </c>
      <c r="U244" s="34">
        <f>IFERROR(VLOOKUP("16_"&amp;A244,SyS!$B:$P,10,FALSE()),0)</f>
      </c>
      <c r="V244" s="35">
        <f>IFERROR(VLOOKUP("16_"&amp;A244,SyS!$B:$P,12,FALSE()),0)</f>
      </c>
      <c r="W244" s="36">
        <f>+U244-V244</f>
      </c>
      <c r="X244" s="34">
        <f>IFERROR(VLOOKUP("13_"&amp;A244,SyS!$B:$P,10,FALSE()),0)</f>
      </c>
      <c r="Y244" s="35">
        <f>IFERROR(VLOOKUP("13_"&amp;A244,SyS!$B:$P,12,FALSE()),0)</f>
      </c>
      <c r="Z244" s="36">
        <f>+X244-Y244</f>
      </c>
      <c r="AA244" s="34">
        <f>IFERROR(VLOOKUP("17_"&amp;A244,SyS!$B:$P,10,FALSE()),0)</f>
      </c>
      <c r="AB244" s="35">
        <f>IFERROR(VLOOKUP("17_"&amp;A244,SyS!$B:$P,12,FALSE()),0)</f>
      </c>
      <c r="AC244" s="36">
        <f>+AA244-AB244</f>
      </c>
      <c r="AD244" s="35"/>
      <c r="AE244" s="35"/>
      <c r="AF244" s="35"/>
      <c r="AG244" s="35">
        <f>IFERROR(VLOOKUP("19_"&amp;A244,SyS!$B:$P,10,FALSE()),0)</f>
      </c>
      <c r="AH244" s="35">
        <f>IFERROR(VLOOKUP("19_"&amp;A244,SyS!$B:$P,12,FALSE()),0)</f>
      </c>
      <c r="AI244" s="35">
        <f>+AG244-AH244</f>
      </c>
      <c r="AJ244" s="35"/>
      <c r="AK244" s="35"/>
      <c r="AL244" s="35"/>
      <c r="AM244" s="34">
        <f>IFERROR(VLOOKUP("23_"&amp;A244,SyS!$B:$P,10,FALSE()),0)</f>
      </c>
      <c r="AN244" s="35">
        <f>IFERROR(VLOOKUP("23_"&amp;A244,SyS!$B:$P,12,FALSE()),0)</f>
      </c>
      <c r="AO244" s="36">
        <f>+AM244-AN244</f>
      </c>
      <c r="AP244" s="40"/>
      <c r="AQ244" s="40"/>
      <c r="AR244" s="40"/>
      <c r="AS244" s="40"/>
      <c r="AT244" s="40"/>
      <c r="AU244" s="40"/>
      <c r="AV244" s="40"/>
      <c r="AW244" s="40"/>
      <c r="AX244" s="40"/>
      <c r="AY244" s="40"/>
      <c r="AZ244" s="40"/>
      <c r="BA244" s="40"/>
      <c r="BB244" s="40"/>
      <c r="BC244" s="40"/>
      <c r="BD244" s="40"/>
      <c r="BE244" s="40"/>
      <c r="BF244" s="40"/>
      <c r="BG244" s="40"/>
      <c r="BH244" s="40"/>
      <c r="BI244" s="40"/>
      <c r="BJ244" s="40"/>
      <c r="BK244" s="40">
        <f>IFERROR(VLOOKUP("29_"&amp;A244,SyS!$B:$P,10,FALSE()),0)</f>
      </c>
      <c r="BL244" s="40">
        <f>IFERROR(VLOOKUP("29_"&amp;A244,SyS!$B:$P,12,FALSE()),0)</f>
      </c>
      <c r="BM244" s="40">
        <f>+BK244-BL244</f>
      </c>
      <c r="BN244" s="42">
        <f>IFERROR(VLOOKUP("30_"&amp;A244,SyS!$B:$P,10,FALSE()),0)</f>
      </c>
      <c r="BO244" s="40">
        <f>IFERROR(VLOOKUP("30_"&amp;A244,SyS!$B:$P,12,FALSE()),0)</f>
      </c>
      <c r="BP244" s="43">
        <f>+BN244-BO244</f>
      </c>
      <c r="BQ244" s="44">
        <f>+E244+H244+K244+N244+Q244+T244+W244+Z244+AC244+AF244+AI244+AL244+AO244+AR244+AU244+AX244+BA244+BD244+BG244+BJ244+BM244+BP244</f>
      </c>
    </row>
    <row r="245" ht="11.25" customHeight="1" spans="1:69" x14ac:dyDescent="0.25">
      <c r="A245" s="9">
        <v>427400000</v>
      </c>
      <c r="B245" s="9" t="s">
        <v>282</v>
      </c>
      <c r="C245" s="34">
        <f>IFERROR(VLOOKUP("1_"&amp;A245,SyS!$B:$P,10,FALSE()),0)</f>
      </c>
      <c r="D245" s="35">
        <f>IFERROR(VLOOKUP("1_"&amp;A245,SyS!$B:$P,12,FALSE()),0)</f>
      </c>
      <c r="E245" s="35">
        <f>+C245-D245</f>
      </c>
      <c r="F245" s="34">
        <f>IFERROR(VLOOKUP("2_"&amp;A245,SyS!$B:$P,10,FALSE()),0)</f>
      </c>
      <c r="G245" s="35">
        <f>IFERROR(VLOOKUP("2_"&amp;A245,SyS!$B:$P,12,FALSE()),0)</f>
      </c>
      <c r="H245" s="36">
        <f>+F245-G245</f>
      </c>
      <c r="I245" s="35"/>
      <c r="J245" s="35"/>
      <c r="K245" s="35"/>
      <c r="L245" s="35"/>
      <c r="M245" s="35"/>
      <c r="N245" s="35"/>
      <c r="O245" s="34">
        <f>IFERROR(VLOOKUP("14_"&amp;A245,SyS!$B:$P,10,FALSE()),0)</f>
      </c>
      <c r="P245" s="35">
        <f>IFERROR(VLOOKUP("14_"&amp;A245,SyS!$B:$P,12,FALSE()),0)</f>
      </c>
      <c r="Q245" s="36">
        <f>+O245-P245</f>
      </c>
      <c r="R245" s="34">
        <f>IFERROR(VLOOKUP("15_"&amp;A245,SyS!$B:$P,10,FALSE()),0)</f>
      </c>
      <c r="S245" s="35">
        <f>IFERROR(VLOOKUP("15_"&amp;A245,SyS!$B:$P,12,FALSE()),0)</f>
      </c>
      <c r="T245" s="36">
        <f>+R245-S245</f>
      </c>
      <c r="U245" s="34">
        <f>IFERROR(VLOOKUP("16_"&amp;A245,SyS!$B:$P,10,FALSE()),0)</f>
      </c>
      <c r="V245" s="35">
        <f>IFERROR(VLOOKUP("16_"&amp;A245,SyS!$B:$P,12,FALSE()),0)</f>
      </c>
      <c r="W245" s="36">
        <f>+U245-V245</f>
      </c>
      <c r="X245" s="34">
        <f>IFERROR(VLOOKUP("13_"&amp;A245,SyS!$B:$P,10,FALSE()),0)</f>
      </c>
      <c r="Y245" s="35">
        <f>IFERROR(VLOOKUP("13_"&amp;A245,SyS!$B:$P,12,FALSE()),0)</f>
      </c>
      <c r="Z245" s="36">
        <f>+X245-Y245</f>
      </c>
      <c r="AA245" s="34">
        <f>IFERROR(VLOOKUP("17_"&amp;A245,SyS!$B:$P,10,FALSE()),0)</f>
      </c>
      <c r="AB245" s="35">
        <f>IFERROR(VLOOKUP("17_"&amp;A245,SyS!$B:$P,12,FALSE()),0)</f>
      </c>
      <c r="AC245" s="36">
        <f>+AA245-AB245</f>
      </c>
      <c r="AD245" s="35"/>
      <c r="AE245" s="35"/>
      <c r="AF245" s="35"/>
      <c r="AG245" s="35">
        <f>IFERROR(VLOOKUP("19_"&amp;A245,SyS!$B:$P,10,FALSE()),0)</f>
      </c>
      <c r="AH245" s="35">
        <f>IFERROR(VLOOKUP("19_"&amp;A245,SyS!$B:$P,12,FALSE()),0)</f>
      </c>
      <c r="AI245" s="35">
        <f>+AG245-AH245</f>
      </c>
      <c r="AJ245" s="35"/>
      <c r="AK245" s="35"/>
      <c r="AL245" s="35"/>
      <c r="AM245" s="34">
        <f>IFERROR(VLOOKUP("23_"&amp;A245,SyS!$B:$P,10,FALSE()),0)</f>
      </c>
      <c r="AN245" s="35">
        <f>IFERROR(VLOOKUP("23_"&amp;A245,SyS!$B:$P,12,FALSE()),0)</f>
      </c>
      <c r="AO245" s="36">
        <f>+AM245-AN245</f>
      </c>
      <c r="AP245" s="40"/>
      <c r="AQ245" s="40"/>
      <c r="AR245" s="40"/>
      <c r="AS245" s="40"/>
      <c r="AT245" s="40"/>
      <c r="AU245" s="40"/>
      <c r="AV245" s="40"/>
      <c r="AW245" s="40"/>
      <c r="AX245" s="40"/>
      <c r="AY245" s="40"/>
      <c r="AZ245" s="40"/>
      <c r="BA245" s="40"/>
      <c r="BB245" s="40"/>
      <c r="BC245" s="40"/>
      <c r="BD245" s="40"/>
      <c r="BE245" s="40"/>
      <c r="BF245" s="40"/>
      <c r="BG245" s="40"/>
      <c r="BH245" s="40"/>
      <c r="BI245" s="40"/>
      <c r="BJ245" s="40"/>
      <c r="BK245" s="40">
        <f>IFERROR(VLOOKUP("29_"&amp;A245,SyS!$B:$P,10,FALSE()),0)</f>
      </c>
      <c r="BL245" s="40">
        <f>IFERROR(VLOOKUP("29_"&amp;A245,SyS!$B:$P,12,FALSE()),0)</f>
      </c>
      <c r="BM245" s="40">
        <f>+BK245-BL245</f>
      </c>
      <c r="BN245" s="42">
        <f>IFERROR(VLOOKUP("30_"&amp;A245,SyS!$B:$P,10,FALSE()),0)</f>
      </c>
      <c r="BO245" s="40">
        <f>IFERROR(VLOOKUP("30_"&amp;A245,SyS!$B:$P,12,FALSE()),0)</f>
      </c>
      <c r="BP245" s="43">
        <f>+BN245-BO245</f>
      </c>
      <c r="BQ245" s="44">
        <f>+E245+H245+K245+N245+Q245+T245+W245+Z245+AC245+AF245+AI245+AL245+AO245+AR245+AU245+AX245+BA245+BD245+BG245+BJ245+BM245+BP245</f>
      </c>
    </row>
    <row r="246" ht="11.25" customHeight="1" spans="1:69" x14ac:dyDescent="0.25">
      <c r="A246" s="9">
        <v>427500000</v>
      </c>
      <c r="B246" s="9" t="s">
        <v>283</v>
      </c>
      <c r="C246" s="34">
        <f>IFERROR(VLOOKUP("1_"&amp;A246,SyS!$B:$P,10,FALSE()),0)</f>
      </c>
      <c r="D246" s="35">
        <f>IFERROR(VLOOKUP("1_"&amp;A246,SyS!$B:$P,12,FALSE()),0)</f>
      </c>
      <c r="E246" s="35">
        <f>+C246-D246</f>
      </c>
      <c r="F246" s="34">
        <f>IFERROR(VLOOKUP("2_"&amp;A246,SyS!$B:$P,10,FALSE()),0)</f>
      </c>
      <c r="G246" s="35">
        <f>IFERROR(VLOOKUP("2_"&amp;A246,SyS!$B:$P,12,FALSE()),0)</f>
      </c>
      <c r="H246" s="36">
        <f>+F246-G246</f>
      </c>
      <c r="I246" s="35"/>
      <c r="J246" s="35"/>
      <c r="K246" s="35"/>
      <c r="L246" s="35"/>
      <c r="M246" s="35"/>
      <c r="N246" s="35"/>
      <c r="O246" s="34">
        <f>IFERROR(VLOOKUP("14_"&amp;A246,SyS!$B:$P,10,FALSE()),0)</f>
      </c>
      <c r="P246" s="35">
        <f>IFERROR(VLOOKUP("14_"&amp;A246,SyS!$B:$P,12,FALSE()),0)</f>
      </c>
      <c r="Q246" s="36">
        <f>+O246-P246</f>
      </c>
      <c r="R246" s="34">
        <f>IFERROR(VLOOKUP("15_"&amp;A246,SyS!$B:$P,10,FALSE()),0)</f>
      </c>
      <c r="S246" s="35">
        <f>IFERROR(VLOOKUP("15_"&amp;A246,SyS!$B:$P,12,FALSE()),0)</f>
      </c>
      <c r="T246" s="36">
        <f>+R246-S246</f>
      </c>
      <c r="U246" s="34">
        <f>IFERROR(VLOOKUP("16_"&amp;A246,SyS!$B:$P,10,FALSE()),0)</f>
      </c>
      <c r="V246" s="35">
        <f>IFERROR(VLOOKUP("16_"&amp;A246,SyS!$B:$P,12,FALSE()),0)</f>
      </c>
      <c r="W246" s="36">
        <f>+U246-V246</f>
      </c>
      <c r="X246" s="34">
        <f>IFERROR(VLOOKUP("13_"&amp;A246,SyS!$B:$P,10,FALSE()),0)</f>
      </c>
      <c r="Y246" s="35">
        <f>IFERROR(VLOOKUP("13_"&amp;A246,SyS!$B:$P,12,FALSE()),0)</f>
      </c>
      <c r="Z246" s="36">
        <f>+X246-Y246</f>
      </c>
      <c r="AA246" s="34">
        <f>IFERROR(VLOOKUP("17_"&amp;A246,SyS!$B:$P,10,FALSE()),0)</f>
      </c>
      <c r="AB246" s="35">
        <f>IFERROR(VLOOKUP("17_"&amp;A246,SyS!$B:$P,12,FALSE()),0)</f>
      </c>
      <c r="AC246" s="36">
        <f>+AA246-AB246</f>
      </c>
      <c r="AD246" s="35"/>
      <c r="AE246" s="35"/>
      <c r="AF246" s="35"/>
      <c r="AG246" s="35">
        <f>IFERROR(VLOOKUP("19_"&amp;A246,SyS!$B:$P,10,FALSE()),0)</f>
      </c>
      <c r="AH246" s="35">
        <f>IFERROR(VLOOKUP("19_"&amp;A246,SyS!$B:$P,12,FALSE()),0)</f>
      </c>
      <c r="AI246" s="35">
        <f>+AG246-AH246</f>
      </c>
      <c r="AJ246" s="35"/>
      <c r="AK246" s="35"/>
      <c r="AL246" s="35"/>
      <c r="AM246" s="34">
        <f>IFERROR(VLOOKUP("23_"&amp;A246,SyS!$B:$P,10,FALSE()),0)</f>
      </c>
      <c r="AN246" s="35">
        <f>IFERROR(VLOOKUP("23_"&amp;A246,SyS!$B:$P,12,FALSE()),0)</f>
      </c>
      <c r="AO246" s="36">
        <f>+AM246-AN246</f>
      </c>
      <c r="AP246" s="40"/>
      <c r="AQ246" s="40"/>
      <c r="AR246" s="40"/>
      <c r="AS246" s="40"/>
      <c r="AT246" s="40"/>
      <c r="AU246" s="40"/>
      <c r="AV246" s="40"/>
      <c r="AW246" s="40"/>
      <c r="AX246" s="40"/>
      <c r="AY246" s="40"/>
      <c r="AZ246" s="40"/>
      <c r="BA246" s="40"/>
      <c r="BB246" s="40"/>
      <c r="BC246" s="40"/>
      <c r="BD246" s="40"/>
      <c r="BE246" s="40"/>
      <c r="BF246" s="40"/>
      <c r="BG246" s="40"/>
      <c r="BH246" s="40"/>
      <c r="BI246" s="40"/>
      <c r="BJ246" s="40"/>
      <c r="BK246" s="40">
        <f>IFERROR(VLOOKUP("29_"&amp;A246,SyS!$B:$P,10,FALSE()),0)</f>
      </c>
      <c r="BL246" s="40">
        <f>IFERROR(VLOOKUP("29_"&amp;A246,SyS!$B:$P,12,FALSE()),0)</f>
      </c>
      <c r="BM246" s="40">
        <f>+BK246-BL246</f>
      </c>
      <c r="BN246" s="42">
        <f>IFERROR(VLOOKUP("30_"&amp;A246,SyS!$B:$P,10,FALSE()),0)</f>
      </c>
      <c r="BO246" s="40">
        <f>IFERROR(VLOOKUP("30_"&amp;A246,SyS!$B:$P,12,FALSE()),0)</f>
      </c>
      <c r="BP246" s="43">
        <f>+BN246-BO246</f>
      </c>
      <c r="BQ246" s="44">
        <f>+E246+H246+K246+N246+Q246+T246+W246+Z246+AC246+AF246+AI246+AL246+AO246+AR246+AU246+AX246+BA246+BD246+BG246+BJ246+BM246+BP246</f>
      </c>
    </row>
    <row r="247" ht="11.25" customHeight="1" spans="1:69" x14ac:dyDescent="0.25">
      <c r="A247" s="9">
        <v>427700000</v>
      </c>
      <c r="B247" s="9" t="s">
        <v>284</v>
      </c>
      <c r="C247" s="34">
        <f>IFERROR(VLOOKUP("1_"&amp;A247,SyS!$B:$P,10,FALSE()),0)</f>
      </c>
      <c r="D247" s="35">
        <f>IFERROR(VLOOKUP("1_"&amp;A247,SyS!$B:$P,12,FALSE()),0)</f>
      </c>
      <c r="E247" s="35">
        <f>+C247-D247</f>
      </c>
      <c r="F247" s="34">
        <f>IFERROR(VLOOKUP("2_"&amp;A247,SyS!$B:$P,10,FALSE()),0)</f>
      </c>
      <c r="G247" s="35">
        <f>IFERROR(VLOOKUP("2_"&amp;A247,SyS!$B:$P,12,FALSE()),0)</f>
      </c>
      <c r="H247" s="36">
        <f>+F247-G247</f>
      </c>
      <c r="I247" s="35"/>
      <c r="J247" s="35"/>
      <c r="K247" s="35"/>
      <c r="L247" s="35"/>
      <c r="M247" s="35"/>
      <c r="N247" s="35"/>
      <c r="O247" s="34">
        <f>IFERROR(VLOOKUP("14_"&amp;A247,SyS!$B:$P,10,FALSE()),0)</f>
      </c>
      <c r="P247" s="35">
        <f>IFERROR(VLOOKUP("14_"&amp;A247,SyS!$B:$P,12,FALSE()),0)</f>
      </c>
      <c r="Q247" s="36">
        <f>+O247-P247</f>
      </c>
      <c r="R247" s="34">
        <f>IFERROR(VLOOKUP("15_"&amp;A247,SyS!$B:$P,10,FALSE()),0)</f>
      </c>
      <c r="S247" s="35">
        <f>IFERROR(VLOOKUP("15_"&amp;A247,SyS!$B:$P,12,FALSE()),0)</f>
      </c>
      <c r="T247" s="36">
        <f>+R247-S247</f>
      </c>
      <c r="U247" s="34">
        <f>IFERROR(VLOOKUP("16_"&amp;A247,SyS!$B:$P,10,FALSE()),0)</f>
      </c>
      <c r="V247" s="35">
        <f>IFERROR(VLOOKUP("16_"&amp;A247,SyS!$B:$P,12,FALSE()),0)</f>
      </c>
      <c r="W247" s="36">
        <f>+U247-V247</f>
      </c>
      <c r="X247" s="34">
        <f>IFERROR(VLOOKUP("13_"&amp;A247,SyS!$B:$P,10,FALSE()),0)</f>
      </c>
      <c r="Y247" s="35">
        <f>IFERROR(VLOOKUP("13_"&amp;A247,SyS!$B:$P,12,FALSE()),0)</f>
      </c>
      <c r="Z247" s="36">
        <f>+X247-Y247</f>
      </c>
      <c r="AA247" s="34">
        <f>IFERROR(VLOOKUP("17_"&amp;A247,SyS!$B:$P,10,FALSE()),0)</f>
      </c>
      <c r="AB247" s="35">
        <f>IFERROR(VLOOKUP("17_"&amp;A247,SyS!$B:$P,12,FALSE()),0)</f>
      </c>
      <c r="AC247" s="36">
        <f>+AA247-AB247</f>
      </c>
      <c r="AD247" s="35"/>
      <c r="AE247" s="35"/>
      <c r="AF247" s="35"/>
      <c r="AG247" s="35">
        <f>IFERROR(VLOOKUP("19_"&amp;A247,SyS!$B:$P,10,FALSE()),0)</f>
      </c>
      <c r="AH247" s="35">
        <f>IFERROR(VLOOKUP("19_"&amp;A247,SyS!$B:$P,12,FALSE()),0)</f>
      </c>
      <c r="AI247" s="35">
        <f>+AG247-AH247</f>
      </c>
      <c r="AJ247" s="35"/>
      <c r="AK247" s="35"/>
      <c r="AL247" s="35"/>
      <c r="AM247" s="34">
        <f>IFERROR(VLOOKUP("23_"&amp;A247,SyS!$B:$P,10,FALSE()),0)</f>
      </c>
      <c r="AN247" s="35">
        <f>IFERROR(VLOOKUP("23_"&amp;A247,SyS!$B:$P,12,FALSE()),0)</f>
      </c>
      <c r="AO247" s="36">
        <f>+AM247-AN247</f>
      </c>
      <c r="AP247" s="40"/>
      <c r="AQ247" s="40"/>
      <c r="AR247" s="40"/>
      <c r="AS247" s="40"/>
      <c r="AT247" s="40"/>
      <c r="AU247" s="40"/>
      <c r="AV247" s="40"/>
      <c r="AW247" s="40"/>
      <c r="AX247" s="40"/>
      <c r="AY247" s="40"/>
      <c r="AZ247" s="40"/>
      <c r="BA247" s="40"/>
      <c r="BB247" s="40"/>
      <c r="BC247" s="40"/>
      <c r="BD247" s="40"/>
      <c r="BE247" s="40"/>
      <c r="BF247" s="40"/>
      <c r="BG247" s="40"/>
      <c r="BH247" s="40"/>
      <c r="BI247" s="40"/>
      <c r="BJ247" s="40"/>
      <c r="BK247" s="40">
        <f>IFERROR(VLOOKUP("29_"&amp;A247,SyS!$B:$P,10,FALSE()),0)</f>
      </c>
      <c r="BL247" s="40">
        <f>IFERROR(VLOOKUP("29_"&amp;A247,SyS!$B:$P,12,FALSE()),0)</f>
      </c>
      <c r="BM247" s="40">
        <f>+BK247-BL247</f>
      </c>
      <c r="BN247" s="42">
        <f>IFERROR(VLOOKUP("30_"&amp;A247,SyS!$B:$P,10,FALSE()),0)</f>
      </c>
      <c r="BO247" s="40">
        <f>IFERROR(VLOOKUP("30_"&amp;A247,SyS!$B:$P,12,FALSE()),0)</f>
      </c>
      <c r="BP247" s="43">
        <f>+BN247-BO247</f>
      </c>
      <c r="BQ247" s="44">
        <f>+E247+H247+K247+N247+Q247+T247+W247+Z247+AC247+AF247+AI247+AL247+AO247+AR247+AU247+AX247+BA247+BD247+BG247+BJ247+BM247+BP247</f>
      </c>
    </row>
    <row r="248" ht="11.25" customHeight="1" spans="1:69" x14ac:dyDescent="0.25">
      <c r="A248" s="9">
        <v>421940000</v>
      </c>
      <c r="B248" s="9" t="s">
        <v>285</v>
      </c>
      <c r="C248" s="34">
        <f>IFERROR(VLOOKUP("1_"&amp;A248,SyS!$B:$P,10,FALSE()),0)</f>
      </c>
      <c r="D248" s="35">
        <f>IFERROR(VLOOKUP("1_"&amp;A248,SyS!$B:$P,12,FALSE()),0)</f>
      </c>
      <c r="E248" s="35">
        <f>+C248-D248</f>
      </c>
      <c r="F248" s="34">
        <f>IFERROR(VLOOKUP("2_"&amp;A248,SyS!$B:$P,10,FALSE()),0)</f>
      </c>
      <c r="G248" s="35">
        <f>IFERROR(VLOOKUP("2_"&amp;A248,SyS!$B:$P,12,FALSE()),0)</f>
      </c>
      <c r="H248" s="36">
        <f>+F248-G248</f>
      </c>
      <c r="I248" s="35"/>
      <c r="J248" s="35"/>
      <c r="K248" s="35"/>
      <c r="L248" s="35"/>
      <c r="M248" s="35"/>
      <c r="N248" s="35"/>
      <c r="O248" s="34">
        <f>IFERROR(VLOOKUP("14_"&amp;A248,SyS!$B:$P,10,FALSE()),0)</f>
      </c>
      <c r="P248" s="35">
        <f>IFERROR(VLOOKUP("14_"&amp;A248,SyS!$B:$P,12,FALSE()),0)</f>
      </c>
      <c r="Q248" s="36">
        <f>+O248-P248</f>
      </c>
      <c r="R248" s="34">
        <f>IFERROR(VLOOKUP("15_"&amp;A248,SyS!$B:$P,10,FALSE()),0)</f>
      </c>
      <c r="S248" s="35">
        <f>IFERROR(VLOOKUP("15_"&amp;A248,SyS!$B:$P,12,FALSE()),0)</f>
      </c>
      <c r="T248" s="36">
        <f>+R248-S248</f>
      </c>
      <c r="U248" s="34">
        <f>IFERROR(VLOOKUP("16_"&amp;A248,SyS!$B:$P,10,FALSE()),0)</f>
      </c>
      <c r="V248" s="35">
        <f>IFERROR(VLOOKUP("16_"&amp;A248,SyS!$B:$P,12,FALSE()),0)</f>
      </c>
      <c r="W248" s="36">
        <f>+U248-V248</f>
      </c>
      <c r="X248" s="34">
        <f>IFERROR(VLOOKUP("13_"&amp;A248,SyS!$B:$P,10,FALSE()),0)</f>
      </c>
      <c r="Y248" s="35">
        <f>IFERROR(VLOOKUP("13_"&amp;A248,SyS!$B:$P,12,FALSE()),0)</f>
      </c>
      <c r="Z248" s="36">
        <f>+X248-Y248</f>
      </c>
      <c r="AA248" s="34">
        <f>IFERROR(VLOOKUP("17_"&amp;A248,SyS!$B:$P,10,FALSE()),0)</f>
      </c>
      <c r="AB248" s="35">
        <f>IFERROR(VLOOKUP("17_"&amp;A248,SyS!$B:$P,12,FALSE()),0)</f>
      </c>
      <c r="AC248" s="36">
        <f>+AA248-AB248</f>
      </c>
      <c r="AD248" s="35"/>
      <c r="AE248" s="35"/>
      <c r="AF248" s="35"/>
      <c r="AG248" s="35">
        <f>IFERROR(VLOOKUP("19_"&amp;A248,SyS!$B:$P,10,FALSE()),0)</f>
      </c>
      <c r="AH248" s="35">
        <f>IFERROR(VLOOKUP("19_"&amp;A248,SyS!$B:$P,12,FALSE()),0)</f>
      </c>
      <c r="AI248" s="35">
        <f>+AG248-AH248</f>
      </c>
      <c r="AJ248" s="35"/>
      <c r="AK248" s="35"/>
      <c r="AL248" s="35"/>
      <c r="AM248" s="34">
        <f>IFERROR(VLOOKUP("23_"&amp;A248,SyS!$B:$P,10,FALSE()),0)</f>
      </c>
      <c r="AN248" s="35">
        <f>IFERROR(VLOOKUP("23_"&amp;A248,SyS!$B:$P,12,FALSE()),0)</f>
      </c>
      <c r="AO248" s="36">
        <f>+AM248-AN248</f>
      </c>
      <c r="AP248" s="40"/>
      <c r="AQ248" s="40"/>
      <c r="AR248" s="40"/>
      <c r="AS248" s="40"/>
      <c r="AT248" s="40"/>
      <c r="AU248" s="40"/>
      <c r="AV248" s="40"/>
      <c r="AW248" s="40"/>
      <c r="AX248" s="40"/>
      <c r="AY248" s="40"/>
      <c r="AZ248" s="40"/>
      <c r="BA248" s="40"/>
      <c r="BB248" s="40"/>
      <c r="BC248" s="40"/>
      <c r="BD248" s="40"/>
      <c r="BE248" s="40"/>
      <c r="BF248" s="40"/>
      <c r="BG248" s="40"/>
      <c r="BH248" s="40"/>
      <c r="BI248" s="40"/>
      <c r="BJ248" s="40"/>
      <c r="BK248" s="40">
        <f>IFERROR(VLOOKUP("29_"&amp;A248,SyS!$B:$P,10,FALSE()),0)</f>
      </c>
      <c r="BL248" s="40">
        <f>IFERROR(VLOOKUP("29_"&amp;A248,SyS!$B:$P,12,FALSE()),0)</f>
      </c>
      <c r="BM248" s="40">
        <f>+BK248-BL248</f>
      </c>
      <c r="BN248" s="42">
        <f>IFERROR(VLOOKUP("30_"&amp;A248,SyS!$B:$P,10,FALSE()),0)</f>
      </c>
      <c r="BO248" s="40">
        <f>IFERROR(VLOOKUP("30_"&amp;A248,SyS!$B:$P,12,FALSE()),0)</f>
      </c>
      <c r="BP248" s="43">
        <f>+BN248-BO248</f>
      </c>
      <c r="BQ248" s="44">
        <f>+E248+H248+K248+N248+Q248+T248+W248+Z248+AC248+AF248+AI248+AL248+AO248+AR248+AU248+AX248+BA248+BD248+BG248+BJ248+BM248+BP248</f>
      </c>
    </row>
    <row r="249" ht="11.25" customHeight="1" spans="1:69" x14ac:dyDescent="0.25">
      <c r="A249" s="9">
        <v>421580000</v>
      </c>
      <c r="B249" s="9" t="s">
        <v>286</v>
      </c>
      <c r="C249" s="34">
        <f>IFERROR(VLOOKUP("1_"&amp;A249,SyS!$B:$P,10,FALSE()),0)</f>
      </c>
      <c r="D249" s="35">
        <f>IFERROR(VLOOKUP("1_"&amp;A249,SyS!$B:$P,12,FALSE()),0)</f>
      </c>
      <c r="E249" s="35">
        <f>+C249-D249</f>
      </c>
      <c r="F249" s="34">
        <f>IFERROR(VLOOKUP("2_"&amp;A249,SyS!$B:$P,10,FALSE()),0)</f>
      </c>
      <c r="G249" s="35">
        <f>IFERROR(VLOOKUP("2_"&amp;A249,SyS!$B:$P,12,FALSE()),0)</f>
      </c>
      <c r="H249" s="36">
        <f>+F249-G249</f>
      </c>
      <c r="I249" s="35"/>
      <c r="J249" s="35"/>
      <c r="K249" s="35"/>
      <c r="L249" s="35"/>
      <c r="M249" s="35"/>
      <c r="N249" s="35"/>
      <c r="O249" s="34">
        <f>IFERROR(VLOOKUP("14_"&amp;A249,SyS!$B:$P,10,FALSE()),0)</f>
      </c>
      <c r="P249" s="35">
        <f>IFERROR(VLOOKUP("14_"&amp;A249,SyS!$B:$P,12,FALSE()),0)</f>
      </c>
      <c r="Q249" s="36">
        <f>+O249-P249</f>
      </c>
      <c r="R249" s="34">
        <f>IFERROR(VLOOKUP("15_"&amp;A249,SyS!$B:$P,10,FALSE()),0)</f>
      </c>
      <c r="S249" s="35">
        <f>IFERROR(VLOOKUP("15_"&amp;A249,SyS!$B:$P,12,FALSE()),0)</f>
      </c>
      <c r="T249" s="36">
        <f>+R249-S249</f>
      </c>
      <c r="U249" s="34">
        <f>IFERROR(VLOOKUP("16_"&amp;A249,SyS!$B:$P,10,FALSE()),0)</f>
      </c>
      <c r="V249" s="35">
        <f>IFERROR(VLOOKUP("16_"&amp;A249,SyS!$B:$P,12,FALSE()),0)</f>
      </c>
      <c r="W249" s="36">
        <f>+U249-V249</f>
      </c>
      <c r="X249" s="34">
        <f>IFERROR(VLOOKUP("13_"&amp;A249,SyS!$B:$P,10,FALSE()),0)</f>
      </c>
      <c r="Y249" s="35">
        <f>IFERROR(VLOOKUP("13_"&amp;A249,SyS!$B:$P,12,FALSE()),0)</f>
      </c>
      <c r="Z249" s="36">
        <f>+X249-Y249</f>
      </c>
      <c r="AA249" s="34">
        <f>IFERROR(VLOOKUP("17_"&amp;A249,SyS!$B:$P,10,FALSE()),0)</f>
      </c>
      <c r="AB249" s="35">
        <f>IFERROR(VLOOKUP("17_"&amp;A249,SyS!$B:$P,12,FALSE()),0)</f>
      </c>
      <c r="AC249" s="36">
        <f>+AA249-AB249</f>
      </c>
      <c r="AD249" s="35"/>
      <c r="AE249" s="35"/>
      <c r="AF249" s="35"/>
      <c r="AG249" s="35">
        <f>IFERROR(VLOOKUP("19_"&amp;A249,SyS!$B:$P,10,FALSE()),0)</f>
      </c>
      <c r="AH249" s="35">
        <f>IFERROR(VLOOKUP("19_"&amp;A249,SyS!$B:$P,12,FALSE()),0)</f>
      </c>
      <c r="AI249" s="35">
        <f>+AG249-AH249</f>
      </c>
      <c r="AJ249" s="35"/>
      <c r="AK249" s="35"/>
      <c r="AL249" s="35"/>
      <c r="AM249" s="34">
        <f>IFERROR(VLOOKUP("23_"&amp;A249,SyS!$B:$P,10,FALSE()),0)</f>
      </c>
      <c r="AN249" s="35">
        <f>IFERROR(VLOOKUP("23_"&amp;A249,SyS!$B:$P,12,FALSE()),0)</f>
      </c>
      <c r="AO249" s="36">
        <f>+AM249-AN249</f>
      </c>
      <c r="AP249" s="40"/>
      <c r="AQ249" s="40"/>
      <c r="AR249" s="40"/>
      <c r="AS249" s="40"/>
      <c r="AT249" s="40"/>
      <c r="AU249" s="40"/>
      <c r="AV249" s="40"/>
      <c r="AW249" s="40"/>
      <c r="AX249" s="40"/>
      <c r="AY249" s="40"/>
      <c r="AZ249" s="40"/>
      <c r="BA249" s="40"/>
      <c r="BB249" s="40"/>
      <c r="BC249" s="40"/>
      <c r="BD249" s="40"/>
      <c r="BE249" s="40"/>
      <c r="BF249" s="40"/>
      <c r="BG249" s="40"/>
      <c r="BH249" s="40"/>
      <c r="BI249" s="40"/>
      <c r="BJ249" s="40"/>
      <c r="BK249" s="40">
        <f>IFERROR(VLOOKUP("29_"&amp;A249,SyS!$B:$P,10,FALSE()),0)</f>
      </c>
      <c r="BL249" s="40">
        <f>IFERROR(VLOOKUP("29_"&amp;A249,SyS!$B:$P,12,FALSE()),0)</f>
      </c>
      <c r="BM249" s="40">
        <f>+BK249-BL249</f>
      </c>
      <c r="BN249" s="42">
        <f>IFERROR(VLOOKUP("30_"&amp;A249,SyS!$B:$P,10,FALSE()),0)</f>
      </c>
      <c r="BO249" s="40">
        <f>IFERROR(VLOOKUP("30_"&amp;A249,SyS!$B:$P,12,FALSE()),0)</f>
      </c>
      <c r="BP249" s="43">
        <f>+BN249-BO249</f>
      </c>
      <c r="BQ249" s="44">
        <f>+E249+H249+K249+N249+Q249+T249+W249+Z249+AC249+AF249+AI249+AL249+AO249+AR249+AU249+AX249+BA249+BD249+BG249+BJ249+BM249+BP249</f>
      </c>
    </row>
    <row r="250" ht="11.25" customHeight="1" spans="1:69" x14ac:dyDescent="0.25">
      <c r="A250" s="9">
        <v>421590000</v>
      </c>
      <c r="B250" s="9" t="s">
        <v>287</v>
      </c>
      <c r="C250" s="34">
        <f>IFERROR(VLOOKUP("1_"&amp;A250,SyS!$B:$P,10,FALSE()),0)</f>
      </c>
      <c r="D250" s="35">
        <f>IFERROR(VLOOKUP("1_"&amp;A250,SyS!$B:$P,12,FALSE()),0)</f>
      </c>
      <c r="E250" s="35">
        <f>+C250-D250</f>
      </c>
      <c r="F250" s="34">
        <f>IFERROR(VLOOKUP("2_"&amp;A250,SyS!$B:$P,10,FALSE()),0)</f>
      </c>
      <c r="G250" s="35">
        <f>IFERROR(VLOOKUP("2_"&amp;A250,SyS!$B:$P,12,FALSE()),0)</f>
      </c>
      <c r="H250" s="36">
        <f>+F250-G250</f>
      </c>
      <c r="I250" s="35"/>
      <c r="J250" s="35"/>
      <c r="K250" s="35"/>
      <c r="L250" s="35"/>
      <c r="M250" s="35"/>
      <c r="N250" s="35"/>
      <c r="O250" s="34">
        <f>IFERROR(VLOOKUP("14_"&amp;A250,SyS!$B:$P,10,FALSE()),0)</f>
      </c>
      <c r="P250" s="35">
        <f>IFERROR(VLOOKUP("14_"&amp;A250,SyS!$B:$P,12,FALSE()),0)</f>
      </c>
      <c r="Q250" s="36">
        <f>+O250-P250</f>
      </c>
      <c r="R250" s="34">
        <f>IFERROR(VLOOKUP("15_"&amp;A250,SyS!$B:$P,10,FALSE()),0)</f>
      </c>
      <c r="S250" s="35">
        <f>IFERROR(VLOOKUP("15_"&amp;A250,SyS!$B:$P,12,FALSE()),0)</f>
      </c>
      <c r="T250" s="36">
        <f>+R250-S250</f>
      </c>
      <c r="U250" s="34">
        <f>IFERROR(VLOOKUP("16_"&amp;A250,SyS!$B:$P,10,FALSE()),0)</f>
      </c>
      <c r="V250" s="35">
        <f>IFERROR(VLOOKUP("16_"&amp;A250,SyS!$B:$P,12,FALSE()),0)</f>
      </c>
      <c r="W250" s="36">
        <f>+U250-V250</f>
      </c>
      <c r="X250" s="34">
        <f>IFERROR(VLOOKUP("13_"&amp;A250,SyS!$B:$P,10,FALSE()),0)</f>
      </c>
      <c r="Y250" s="35">
        <f>IFERROR(VLOOKUP("13_"&amp;A250,SyS!$B:$P,12,FALSE()),0)</f>
      </c>
      <c r="Z250" s="36">
        <f>+X250-Y250</f>
      </c>
      <c r="AA250" s="34">
        <f>IFERROR(VLOOKUP("17_"&amp;A250,SyS!$B:$P,10,FALSE()),0)</f>
      </c>
      <c r="AB250" s="35">
        <f>IFERROR(VLOOKUP("17_"&amp;A250,SyS!$B:$P,12,FALSE()),0)</f>
      </c>
      <c r="AC250" s="36">
        <f>+AA250-AB250</f>
      </c>
      <c r="AD250" s="35"/>
      <c r="AE250" s="35"/>
      <c r="AF250" s="35"/>
      <c r="AG250" s="35">
        <f>IFERROR(VLOOKUP("19_"&amp;A250,SyS!$B:$P,10,FALSE()),0)</f>
      </c>
      <c r="AH250" s="35">
        <f>IFERROR(VLOOKUP("19_"&amp;A250,SyS!$B:$P,12,FALSE()),0)</f>
      </c>
      <c r="AI250" s="35">
        <f>+AG250-AH250</f>
      </c>
      <c r="AJ250" s="35"/>
      <c r="AK250" s="35"/>
      <c r="AL250" s="35"/>
      <c r="AM250" s="34">
        <f>IFERROR(VLOOKUP("23_"&amp;A250,SyS!$B:$P,10,FALSE()),0)</f>
      </c>
      <c r="AN250" s="35">
        <f>IFERROR(VLOOKUP("23_"&amp;A250,SyS!$B:$P,12,FALSE()),0)</f>
      </c>
      <c r="AO250" s="36">
        <f>+AM250-AN250</f>
      </c>
      <c r="AP250" s="40"/>
      <c r="AQ250" s="40"/>
      <c r="AR250" s="40"/>
      <c r="AS250" s="40"/>
      <c r="AT250" s="40"/>
      <c r="AU250" s="40"/>
      <c r="AV250" s="40"/>
      <c r="AW250" s="40"/>
      <c r="AX250" s="40"/>
      <c r="AY250" s="40"/>
      <c r="AZ250" s="40"/>
      <c r="BA250" s="40"/>
      <c r="BB250" s="40"/>
      <c r="BC250" s="40"/>
      <c r="BD250" s="40"/>
      <c r="BE250" s="40"/>
      <c r="BF250" s="40"/>
      <c r="BG250" s="40"/>
      <c r="BH250" s="40"/>
      <c r="BI250" s="40"/>
      <c r="BJ250" s="40"/>
      <c r="BK250" s="40">
        <f>IFERROR(VLOOKUP("29_"&amp;A250,SyS!$B:$P,10,FALSE()),0)</f>
      </c>
      <c r="BL250" s="40">
        <f>IFERROR(VLOOKUP("29_"&amp;A250,SyS!$B:$P,12,FALSE()),0)</f>
      </c>
      <c r="BM250" s="40">
        <f>+BK250-BL250</f>
      </c>
      <c r="BN250" s="42">
        <f>IFERROR(VLOOKUP("30_"&amp;A250,SyS!$B:$P,10,FALSE()),0)</f>
      </c>
      <c r="BO250" s="40">
        <f>IFERROR(VLOOKUP("30_"&amp;A250,SyS!$B:$P,12,FALSE()),0)</f>
      </c>
      <c r="BP250" s="43">
        <f>+BN250-BO250</f>
      </c>
      <c r="BQ250" s="44">
        <f>+E250+H250+K250+N250+Q250+T250+W250+Z250+AC250+AF250+AI250+AL250+AO250+AR250+AU250+AX250+BA250+BD250+BG250+BJ250+BM250+BP250</f>
      </c>
    </row>
    <row r="251" ht="11.25" customHeight="1" spans="1:69" x14ac:dyDescent="0.25">
      <c r="A251" s="9">
        <v>427800000</v>
      </c>
      <c r="B251" s="9" t="s">
        <v>288</v>
      </c>
      <c r="C251" s="34">
        <f>IFERROR(VLOOKUP("1_"&amp;A251,SyS!$B:$P,10,FALSE()),0)</f>
      </c>
      <c r="D251" s="35">
        <f>IFERROR(VLOOKUP("1_"&amp;A251,SyS!$B:$P,12,FALSE()),0)</f>
      </c>
      <c r="E251" s="35">
        <f>+C251-D251</f>
      </c>
      <c r="F251" s="34">
        <f>IFERROR(VLOOKUP("2_"&amp;A251,SyS!$B:$P,10,FALSE()),0)</f>
      </c>
      <c r="G251" s="35">
        <f>IFERROR(VLOOKUP("2_"&amp;A251,SyS!$B:$P,12,FALSE()),0)</f>
      </c>
      <c r="H251" s="36">
        <f>+F251-G251</f>
      </c>
      <c r="I251" s="35"/>
      <c r="J251" s="35"/>
      <c r="K251" s="35"/>
      <c r="L251" s="35"/>
      <c r="M251" s="35"/>
      <c r="N251" s="35"/>
      <c r="O251" s="34">
        <f>IFERROR(VLOOKUP("14_"&amp;A251,SyS!$B:$P,10,FALSE()),0)</f>
      </c>
      <c r="P251" s="35">
        <f>IFERROR(VLOOKUP("14_"&amp;A251,SyS!$B:$P,12,FALSE()),0)</f>
      </c>
      <c r="Q251" s="36">
        <f>+O251-P251</f>
      </c>
      <c r="R251" s="34">
        <f>IFERROR(VLOOKUP("15_"&amp;A251,SyS!$B:$P,10,FALSE()),0)</f>
      </c>
      <c r="S251" s="35">
        <f>IFERROR(VLOOKUP("15_"&amp;A251,SyS!$B:$P,12,FALSE()),0)</f>
      </c>
      <c r="T251" s="36">
        <f>+R251-S251</f>
      </c>
      <c r="U251" s="34">
        <f>IFERROR(VLOOKUP("16_"&amp;A251,SyS!$B:$P,10,FALSE()),0)</f>
      </c>
      <c r="V251" s="35">
        <f>IFERROR(VLOOKUP("16_"&amp;A251,SyS!$B:$P,12,FALSE()),0)</f>
      </c>
      <c r="W251" s="36">
        <f>+U251-V251</f>
      </c>
      <c r="X251" s="34">
        <f>IFERROR(VLOOKUP("13_"&amp;A251,SyS!$B:$P,10,FALSE()),0)</f>
      </c>
      <c r="Y251" s="35">
        <f>IFERROR(VLOOKUP("13_"&amp;A251,SyS!$B:$P,12,FALSE()),0)</f>
      </c>
      <c r="Z251" s="36">
        <f>+X251-Y251</f>
      </c>
      <c r="AA251" s="34">
        <f>IFERROR(VLOOKUP("17_"&amp;A251,SyS!$B:$P,10,FALSE()),0)</f>
      </c>
      <c r="AB251" s="35">
        <f>IFERROR(VLOOKUP("17_"&amp;A251,SyS!$B:$P,12,FALSE()),0)</f>
      </c>
      <c r="AC251" s="36">
        <f>+AA251-AB251</f>
      </c>
      <c r="AD251" s="35"/>
      <c r="AE251" s="35"/>
      <c r="AF251" s="35"/>
      <c r="AG251" s="35">
        <f>IFERROR(VLOOKUP("19_"&amp;A251,SyS!$B:$P,10,FALSE()),0)</f>
      </c>
      <c r="AH251" s="35">
        <f>IFERROR(VLOOKUP("19_"&amp;A251,SyS!$B:$P,12,FALSE()),0)</f>
      </c>
      <c r="AI251" s="35">
        <f>+AG251-AH251</f>
      </c>
      <c r="AJ251" s="35"/>
      <c r="AK251" s="35"/>
      <c r="AL251" s="35"/>
      <c r="AM251" s="34">
        <f>IFERROR(VLOOKUP("23_"&amp;A251,SyS!$B:$P,10,FALSE()),0)</f>
      </c>
      <c r="AN251" s="35">
        <f>IFERROR(VLOOKUP("23_"&amp;A251,SyS!$B:$P,12,FALSE()),0)</f>
      </c>
      <c r="AO251" s="36">
        <f>+AM251-AN251</f>
      </c>
      <c r="AP251" s="40"/>
      <c r="AQ251" s="40"/>
      <c r="AR251" s="40"/>
      <c r="AS251" s="40"/>
      <c r="AT251" s="40"/>
      <c r="AU251" s="40"/>
      <c r="AV251" s="40"/>
      <c r="AW251" s="40"/>
      <c r="AX251" s="40"/>
      <c r="AY251" s="40"/>
      <c r="AZ251" s="40"/>
      <c r="BA251" s="40"/>
      <c r="BB251" s="40"/>
      <c r="BC251" s="40"/>
      <c r="BD251" s="40"/>
      <c r="BE251" s="40"/>
      <c r="BF251" s="40"/>
      <c r="BG251" s="40"/>
      <c r="BH251" s="40"/>
      <c r="BI251" s="40"/>
      <c r="BJ251" s="40"/>
      <c r="BK251" s="40">
        <f>IFERROR(VLOOKUP("29_"&amp;A251,SyS!$B:$P,10,FALSE()),0)</f>
      </c>
      <c r="BL251" s="40">
        <f>IFERROR(VLOOKUP("29_"&amp;A251,SyS!$B:$P,12,FALSE()),0)</f>
      </c>
      <c r="BM251" s="40">
        <f>+BK251-BL251</f>
      </c>
      <c r="BN251" s="42">
        <f>IFERROR(VLOOKUP("30_"&amp;A251,SyS!$B:$P,10,FALSE()),0)</f>
      </c>
      <c r="BO251" s="40">
        <f>IFERROR(VLOOKUP("30_"&amp;A251,SyS!$B:$P,12,FALSE()),0)</f>
      </c>
      <c r="BP251" s="43">
        <f>+BN251-BO251</f>
      </c>
      <c r="BQ251" s="44">
        <f>+E251+H251+K251+N251+Q251+T251+W251+Z251+AC251+AF251+AI251+AL251+AO251+AR251+AU251+AX251+BA251+BD251+BG251+BJ251+BM251+BP251</f>
      </c>
    </row>
    <row r="252" ht="11.25" customHeight="1" spans="1:69" x14ac:dyDescent="0.25">
      <c r="A252" s="9">
        <v>427900000</v>
      </c>
      <c r="B252" s="9" t="s">
        <v>289</v>
      </c>
      <c r="C252" s="34">
        <f>IFERROR(VLOOKUP("1_"&amp;A252,SyS!$B:$P,10,FALSE()),0)</f>
      </c>
      <c r="D252" s="35">
        <f>IFERROR(VLOOKUP("1_"&amp;A252,SyS!$B:$P,12,FALSE()),0)</f>
      </c>
      <c r="E252" s="35">
        <f>+C252-D252</f>
      </c>
      <c r="F252" s="34">
        <f>IFERROR(VLOOKUP("2_"&amp;A252,SyS!$B:$P,10,FALSE()),0)</f>
      </c>
      <c r="G252" s="35">
        <f>IFERROR(VLOOKUP("2_"&amp;A252,SyS!$B:$P,12,FALSE()),0)</f>
      </c>
      <c r="H252" s="36">
        <f>+F252-G252</f>
      </c>
      <c r="I252" s="35"/>
      <c r="J252" s="35"/>
      <c r="K252" s="35"/>
      <c r="L252" s="35"/>
      <c r="M252" s="35"/>
      <c r="N252" s="35"/>
      <c r="O252" s="34">
        <f>IFERROR(VLOOKUP("14_"&amp;A252,SyS!$B:$P,10,FALSE()),0)</f>
      </c>
      <c r="P252" s="35">
        <f>IFERROR(VLOOKUP("14_"&amp;A252,SyS!$B:$P,12,FALSE()),0)</f>
      </c>
      <c r="Q252" s="36">
        <f>+O252-P252</f>
      </c>
      <c r="R252" s="34">
        <f>IFERROR(VLOOKUP("15_"&amp;A252,SyS!$B:$P,10,FALSE()),0)</f>
      </c>
      <c r="S252" s="35">
        <f>IFERROR(VLOOKUP("15_"&amp;A252,SyS!$B:$P,12,FALSE()),0)</f>
      </c>
      <c r="T252" s="36">
        <f>+R252-S252</f>
      </c>
      <c r="U252" s="34">
        <f>IFERROR(VLOOKUP("16_"&amp;A252,SyS!$B:$P,10,FALSE()),0)</f>
      </c>
      <c r="V252" s="35">
        <f>IFERROR(VLOOKUP("16_"&amp;A252,SyS!$B:$P,12,FALSE()),0)</f>
      </c>
      <c r="W252" s="36">
        <f>+U252-V252</f>
      </c>
      <c r="X252" s="34">
        <f>IFERROR(VLOOKUP("13_"&amp;A252,SyS!$B:$P,10,FALSE()),0)</f>
      </c>
      <c r="Y252" s="35">
        <f>IFERROR(VLOOKUP("13_"&amp;A252,SyS!$B:$P,12,FALSE()),0)</f>
      </c>
      <c r="Z252" s="36">
        <f>+X252-Y252</f>
      </c>
      <c r="AA252" s="34">
        <f>IFERROR(VLOOKUP("17_"&amp;A252,SyS!$B:$P,10,FALSE()),0)</f>
      </c>
      <c r="AB252" s="35">
        <f>IFERROR(VLOOKUP("17_"&amp;A252,SyS!$B:$P,12,FALSE()),0)</f>
      </c>
      <c r="AC252" s="36">
        <f>+AA252-AB252</f>
      </c>
      <c r="AD252" s="35"/>
      <c r="AE252" s="35"/>
      <c r="AF252" s="35"/>
      <c r="AG252" s="35">
        <f>IFERROR(VLOOKUP("19_"&amp;A252,SyS!$B:$P,10,FALSE()),0)</f>
      </c>
      <c r="AH252" s="35">
        <f>IFERROR(VLOOKUP("19_"&amp;A252,SyS!$B:$P,12,FALSE()),0)</f>
      </c>
      <c r="AI252" s="35">
        <f>+AG252-AH252</f>
      </c>
      <c r="AJ252" s="35"/>
      <c r="AK252" s="35"/>
      <c r="AL252" s="35"/>
      <c r="AM252" s="34">
        <f>IFERROR(VLOOKUP("23_"&amp;A252,SyS!$B:$P,10,FALSE()),0)</f>
      </c>
      <c r="AN252" s="35">
        <f>IFERROR(VLOOKUP("23_"&amp;A252,SyS!$B:$P,12,FALSE()),0)</f>
      </c>
      <c r="AO252" s="36">
        <f>+AM252-AN252</f>
      </c>
      <c r="AP252" s="40"/>
      <c r="AQ252" s="40"/>
      <c r="AR252" s="40"/>
      <c r="AS252" s="40"/>
      <c r="AT252" s="40"/>
      <c r="AU252" s="40"/>
      <c r="AV252" s="40"/>
      <c r="AW252" s="40"/>
      <c r="AX252" s="40"/>
      <c r="AY252" s="40"/>
      <c r="AZ252" s="40"/>
      <c r="BA252" s="40"/>
      <c r="BB252" s="40"/>
      <c r="BC252" s="40"/>
      <c r="BD252" s="40"/>
      <c r="BE252" s="40"/>
      <c r="BF252" s="40"/>
      <c r="BG252" s="40"/>
      <c r="BH252" s="40"/>
      <c r="BI252" s="40"/>
      <c r="BJ252" s="40"/>
      <c r="BK252" s="40">
        <f>IFERROR(VLOOKUP("29_"&amp;A252,SyS!$B:$P,10,FALSE()),0)</f>
      </c>
      <c r="BL252" s="40">
        <f>IFERROR(VLOOKUP("29_"&amp;A252,SyS!$B:$P,12,FALSE()),0)</f>
      </c>
      <c r="BM252" s="40">
        <f>+BK252-BL252</f>
      </c>
      <c r="BN252" s="42">
        <f>IFERROR(VLOOKUP("30_"&amp;A252,SyS!$B:$P,10,FALSE()),0)</f>
      </c>
      <c r="BO252" s="40">
        <f>IFERROR(VLOOKUP("30_"&amp;A252,SyS!$B:$P,12,FALSE()),0)</f>
      </c>
      <c r="BP252" s="43">
        <f>+BN252-BO252</f>
      </c>
      <c r="BQ252" s="44">
        <f>+E252+H252+K252+N252+Q252+T252+W252+Z252+AC252+AF252+AI252+AL252+AO252+AR252+AU252+AX252+BA252+BD252+BG252+BJ252+BM252+BP252</f>
      </c>
    </row>
    <row r="253" ht="11.25" customHeight="1" spans="1:69" x14ac:dyDescent="0.25">
      <c r="A253" s="9">
        <v>427510000</v>
      </c>
      <c r="B253" s="9" t="s">
        <v>290</v>
      </c>
      <c r="C253" s="34">
        <f>IFERROR(VLOOKUP("1_"&amp;A253,SyS!$B:$P,10,FALSE()),0)</f>
      </c>
      <c r="D253" s="35">
        <f>IFERROR(VLOOKUP("1_"&amp;A253,SyS!$B:$P,12,FALSE()),0)</f>
      </c>
      <c r="E253" s="35">
        <f>+C253-D253</f>
      </c>
      <c r="F253" s="34">
        <f>IFERROR(VLOOKUP("2_"&amp;A253,SyS!$B:$P,10,FALSE()),0)</f>
      </c>
      <c r="G253" s="35">
        <f>IFERROR(VLOOKUP("2_"&amp;A253,SyS!$B:$P,12,FALSE()),0)</f>
      </c>
      <c r="H253" s="36">
        <f>+F253-G253</f>
      </c>
      <c r="I253" s="35"/>
      <c r="J253" s="35"/>
      <c r="K253" s="35"/>
      <c r="L253" s="35"/>
      <c r="M253" s="35"/>
      <c r="N253" s="35"/>
      <c r="O253" s="34">
        <f>IFERROR(VLOOKUP("14_"&amp;A253,SyS!$B:$P,10,FALSE()),0)</f>
      </c>
      <c r="P253" s="35">
        <f>IFERROR(VLOOKUP("14_"&amp;A253,SyS!$B:$P,12,FALSE()),0)</f>
      </c>
      <c r="Q253" s="36">
        <f>+O253-P253</f>
      </c>
      <c r="R253" s="34">
        <f>IFERROR(VLOOKUP("15_"&amp;A253,SyS!$B:$P,10,FALSE()),0)</f>
      </c>
      <c r="S253" s="35">
        <f>IFERROR(VLOOKUP("15_"&amp;A253,SyS!$B:$P,12,FALSE()),0)</f>
      </c>
      <c r="T253" s="36">
        <f>+R253-S253</f>
      </c>
      <c r="U253" s="34">
        <f>IFERROR(VLOOKUP("16_"&amp;A253,SyS!$B:$P,10,FALSE()),0)</f>
      </c>
      <c r="V253" s="35">
        <f>IFERROR(VLOOKUP("16_"&amp;A253,SyS!$B:$P,12,FALSE()),0)</f>
      </c>
      <c r="W253" s="36">
        <f>+U253-V253</f>
      </c>
      <c r="X253" s="34">
        <f>IFERROR(VLOOKUP("13_"&amp;A253,SyS!$B:$P,10,FALSE()),0)</f>
      </c>
      <c r="Y253" s="35">
        <f>IFERROR(VLOOKUP("13_"&amp;A253,SyS!$B:$P,12,FALSE()),0)</f>
      </c>
      <c r="Z253" s="36">
        <f>+X253-Y253</f>
      </c>
      <c r="AA253" s="34">
        <f>IFERROR(VLOOKUP("17_"&amp;A253,SyS!$B:$P,10,FALSE()),0)</f>
      </c>
      <c r="AB253" s="35">
        <f>IFERROR(VLOOKUP("17_"&amp;A253,SyS!$B:$P,12,FALSE()),0)</f>
      </c>
      <c r="AC253" s="36">
        <f>+AA253-AB253</f>
      </c>
      <c r="AD253" s="35"/>
      <c r="AE253" s="35"/>
      <c r="AF253" s="35"/>
      <c r="AG253" s="35">
        <f>IFERROR(VLOOKUP("19_"&amp;A253,SyS!$B:$P,10,FALSE()),0)</f>
      </c>
      <c r="AH253" s="35">
        <f>IFERROR(VLOOKUP("19_"&amp;A253,SyS!$B:$P,12,FALSE()),0)</f>
      </c>
      <c r="AI253" s="35">
        <f>+AG253-AH253</f>
      </c>
      <c r="AJ253" s="35"/>
      <c r="AK253" s="35"/>
      <c r="AL253" s="35"/>
      <c r="AM253" s="34">
        <f>IFERROR(VLOOKUP("23_"&amp;A253,SyS!$B:$P,10,FALSE()),0)</f>
      </c>
      <c r="AN253" s="35">
        <f>IFERROR(VLOOKUP("23_"&amp;A253,SyS!$B:$P,12,FALSE()),0)</f>
      </c>
      <c r="AO253" s="36">
        <f>+AM253-AN253</f>
      </c>
      <c r="AP253" s="40"/>
      <c r="AQ253" s="40"/>
      <c r="AR253" s="40"/>
      <c r="AS253" s="40"/>
      <c r="AT253" s="40"/>
      <c r="AU253" s="40"/>
      <c r="AV253" s="40"/>
      <c r="AW253" s="40"/>
      <c r="AX253" s="40"/>
      <c r="AY253" s="40"/>
      <c r="AZ253" s="40"/>
      <c r="BA253" s="40"/>
      <c r="BB253" s="40"/>
      <c r="BC253" s="40"/>
      <c r="BD253" s="40"/>
      <c r="BE253" s="40"/>
      <c r="BF253" s="40"/>
      <c r="BG253" s="40"/>
      <c r="BH253" s="40"/>
      <c r="BI253" s="40"/>
      <c r="BJ253" s="40"/>
      <c r="BK253" s="40">
        <f>IFERROR(VLOOKUP("29_"&amp;A253,SyS!$B:$P,10,FALSE()),0)</f>
      </c>
      <c r="BL253" s="40">
        <f>IFERROR(VLOOKUP("29_"&amp;A253,SyS!$B:$P,12,FALSE()),0)</f>
      </c>
      <c r="BM253" s="40">
        <f>+BK253-BL253</f>
      </c>
      <c r="BN253" s="42">
        <f>IFERROR(VLOOKUP("30_"&amp;A253,SyS!$B:$P,10,FALSE()),0)</f>
      </c>
      <c r="BO253" s="40">
        <f>IFERROR(VLOOKUP("30_"&amp;A253,SyS!$B:$P,12,FALSE()),0)</f>
      </c>
      <c r="BP253" s="43">
        <f>+BN253-BO253</f>
      </c>
      <c r="BQ253" s="44">
        <f>+E253+H253+K253+N253+Q253+T253+W253+Z253+AC253+AF253+AI253+AL253+AO253+AR253+AU253+AX253+BA253+BD253+BG253+BJ253+BM253+BP253</f>
      </c>
    </row>
    <row r="254" ht="11.25" customHeight="1" spans="1:69" x14ac:dyDescent="0.25">
      <c r="A254" s="9">
        <v>427520000</v>
      </c>
      <c r="B254" s="9" t="s">
        <v>291</v>
      </c>
      <c r="C254" s="34">
        <f>IFERROR(VLOOKUP("1_"&amp;A254,SyS!$B:$P,10,FALSE()),0)</f>
      </c>
      <c r="D254" s="35">
        <f>IFERROR(VLOOKUP("1_"&amp;A254,SyS!$B:$P,12,FALSE()),0)</f>
      </c>
      <c r="E254" s="35">
        <f>+C254-D254</f>
      </c>
      <c r="F254" s="34">
        <f>IFERROR(VLOOKUP("2_"&amp;A254,SyS!$B:$P,10,FALSE()),0)</f>
      </c>
      <c r="G254" s="35">
        <f>IFERROR(VLOOKUP("2_"&amp;A254,SyS!$B:$P,12,FALSE()),0)</f>
      </c>
      <c r="H254" s="36">
        <f>+F254-G254</f>
      </c>
      <c r="I254" s="35"/>
      <c r="J254" s="35"/>
      <c r="K254" s="35"/>
      <c r="L254" s="35"/>
      <c r="M254" s="35"/>
      <c r="N254" s="35"/>
      <c r="O254" s="34">
        <f>IFERROR(VLOOKUP("14_"&amp;A254,SyS!$B:$P,10,FALSE()),0)</f>
      </c>
      <c r="P254" s="35">
        <f>IFERROR(VLOOKUP("14_"&amp;A254,SyS!$B:$P,12,FALSE()),0)</f>
      </c>
      <c r="Q254" s="36">
        <f>+O254-P254</f>
      </c>
      <c r="R254" s="34">
        <f>IFERROR(VLOOKUP("15_"&amp;A254,SyS!$B:$P,10,FALSE()),0)</f>
      </c>
      <c r="S254" s="35">
        <f>IFERROR(VLOOKUP("15_"&amp;A254,SyS!$B:$P,12,FALSE()),0)</f>
      </c>
      <c r="T254" s="36">
        <f>+R254-S254</f>
      </c>
      <c r="U254" s="34">
        <f>IFERROR(VLOOKUP("16_"&amp;A254,SyS!$B:$P,10,FALSE()),0)</f>
      </c>
      <c r="V254" s="35">
        <f>IFERROR(VLOOKUP("16_"&amp;A254,SyS!$B:$P,12,FALSE()),0)</f>
      </c>
      <c r="W254" s="36">
        <f>+U254-V254</f>
      </c>
      <c r="X254" s="34">
        <f>IFERROR(VLOOKUP("13_"&amp;A254,SyS!$B:$P,10,FALSE()),0)</f>
      </c>
      <c r="Y254" s="35">
        <f>IFERROR(VLOOKUP("13_"&amp;A254,SyS!$B:$P,12,FALSE()),0)</f>
      </c>
      <c r="Z254" s="36">
        <f>+X254-Y254</f>
      </c>
      <c r="AA254" s="34">
        <f>IFERROR(VLOOKUP("17_"&amp;A254,SyS!$B:$P,10,FALSE()),0)</f>
      </c>
      <c r="AB254" s="35">
        <f>IFERROR(VLOOKUP("17_"&amp;A254,SyS!$B:$P,12,FALSE()),0)</f>
      </c>
      <c r="AC254" s="36">
        <f>+AA254-AB254</f>
      </c>
      <c r="AD254" s="35"/>
      <c r="AE254" s="35"/>
      <c r="AF254" s="35"/>
      <c r="AG254" s="35">
        <f>IFERROR(VLOOKUP("19_"&amp;A254,SyS!$B:$P,10,FALSE()),0)</f>
      </c>
      <c r="AH254" s="35">
        <f>IFERROR(VLOOKUP("19_"&amp;A254,SyS!$B:$P,12,FALSE()),0)</f>
      </c>
      <c r="AI254" s="35">
        <f>+AG254-AH254</f>
      </c>
      <c r="AJ254" s="35"/>
      <c r="AK254" s="35"/>
      <c r="AL254" s="35"/>
      <c r="AM254" s="34">
        <f>IFERROR(VLOOKUP("23_"&amp;A254,SyS!$B:$P,10,FALSE()),0)</f>
      </c>
      <c r="AN254" s="35">
        <f>IFERROR(VLOOKUP("23_"&amp;A254,SyS!$B:$P,12,FALSE()),0)</f>
      </c>
      <c r="AO254" s="36">
        <f>+AM254-AN254</f>
      </c>
      <c r="AP254" s="40"/>
      <c r="AQ254" s="40"/>
      <c r="AR254" s="40"/>
      <c r="AS254" s="40"/>
      <c r="AT254" s="40"/>
      <c r="AU254" s="40"/>
      <c r="AV254" s="40"/>
      <c r="AW254" s="40"/>
      <c r="AX254" s="40"/>
      <c r="AY254" s="40"/>
      <c r="AZ254" s="40"/>
      <c r="BA254" s="40"/>
      <c r="BB254" s="40"/>
      <c r="BC254" s="40"/>
      <c r="BD254" s="40"/>
      <c r="BE254" s="40"/>
      <c r="BF254" s="40"/>
      <c r="BG254" s="40"/>
      <c r="BH254" s="40"/>
      <c r="BI254" s="40"/>
      <c r="BJ254" s="40"/>
      <c r="BK254" s="40">
        <f>IFERROR(VLOOKUP("29_"&amp;A254,SyS!$B:$P,10,FALSE()),0)</f>
      </c>
      <c r="BL254" s="40">
        <f>IFERROR(VLOOKUP("29_"&amp;A254,SyS!$B:$P,12,FALSE()),0)</f>
      </c>
      <c r="BM254" s="40">
        <f>+BK254-BL254</f>
      </c>
      <c r="BN254" s="42">
        <f>IFERROR(VLOOKUP("30_"&amp;A254,SyS!$B:$P,10,FALSE()),0)</f>
      </c>
      <c r="BO254" s="40">
        <f>IFERROR(VLOOKUP("30_"&amp;A254,SyS!$B:$P,12,FALSE()),0)</f>
      </c>
      <c r="BP254" s="43">
        <f>+BN254-BO254</f>
      </c>
      <c r="BQ254" s="44">
        <f>+E254+H254+K254+N254+Q254+T254+W254+Z254+AC254+AF254+AI254+AL254+AO254+AR254+AU254+AX254+BA254+BD254+BG254+BJ254+BM254+BP254</f>
      </c>
    </row>
    <row r="255" ht="11.25" customHeight="1" spans="1:253" x14ac:dyDescent="0.25">
      <c r="A255" s="9">
        <v>427320000</v>
      </c>
      <c r="B255" s="9" t="s">
        <v>292</v>
      </c>
      <c r="C255" s="34">
        <f>IFERROR(VLOOKUP("1_"&amp;A255,SyS!$B:$P,10,FALSE()),0)</f>
      </c>
      <c r="D255" s="35">
        <f>IFERROR(VLOOKUP("1_"&amp;A255,SyS!$B:$P,12,FALSE()),0)</f>
      </c>
      <c r="E255" s="35">
        <f>+C255-D255</f>
      </c>
      <c r="F255" s="34">
        <f>IFERROR(VLOOKUP("2_"&amp;A255,SyS!$B:$P,10,FALSE()),0)</f>
      </c>
      <c r="G255" s="35">
        <f>IFERROR(VLOOKUP("2_"&amp;A255,SyS!$B:$P,12,FALSE()),0)</f>
      </c>
      <c r="H255" s="36">
        <f>+F255-G255</f>
      </c>
      <c r="I255" s="35"/>
      <c r="J255" s="35"/>
      <c r="K255" s="35"/>
      <c r="L255" s="35"/>
      <c r="M255" s="35"/>
      <c r="N255" s="35"/>
      <c r="O255" s="34">
        <f>IFERROR(VLOOKUP("14_"&amp;A255,SyS!$B:$P,10,FALSE()),0)</f>
      </c>
      <c r="P255" s="35">
        <f>IFERROR(VLOOKUP("14_"&amp;A255,SyS!$B:$P,12,FALSE()),0)</f>
      </c>
      <c r="Q255" s="36">
        <f>+O255-P255</f>
      </c>
      <c r="R255" s="34">
        <f>IFERROR(VLOOKUP("15_"&amp;A255,SyS!$B:$P,10,FALSE()),0)</f>
      </c>
      <c r="S255" s="35">
        <f>IFERROR(VLOOKUP("15_"&amp;A255,SyS!$B:$P,12,FALSE()),0)</f>
      </c>
      <c r="T255" s="36">
        <f>+R255-S255</f>
      </c>
      <c r="U255" s="34">
        <f>IFERROR(VLOOKUP("16_"&amp;A255,SyS!$B:$P,10,FALSE()),0)</f>
      </c>
      <c r="V255" s="35">
        <f>IFERROR(VLOOKUP("16_"&amp;A255,SyS!$B:$P,12,FALSE()),0)</f>
      </c>
      <c r="W255" s="36">
        <f>+U255-V255</f>
      </c>
      <c r="X255" s="34">
        <f>IFERROR(VLOOKUP("13_"&amp;A255,SyS!$B:$P,10,FALSE()),0)</f>
      </c>
      <c r="Y255" s="35">
        <f>IFERROR(VLOOKUP("13_"&amp;A255,SyS!$B:$P,12,FALSE()),0)</f>
      </c>
      <c r="Z255" s="36">
        <f>+X255-Y255</f>
      </c>
      <c r="AA255" s="34">
        <f>IFERROR(VLOOKUP("17_"&amp;A255,SyS!$B:$P,10,FALSE()),0)</f>
      </c>
      <c r="AB255" s="35">
        <f>IFERROR(VLOOKUP("17_"&amp;A255,SyS!$B:$P,12,FALSE()),0)</f>
      </c>
      <c r="AC255" s="36">
        <f>+AA255-AB255</f>
      </c>
      <c r="AD255" s="35"/>
      <c r="AE255" s="35"/>
      <c r="AF255" s="35"/>
      <c r="AG255" s="35">
        <f>IFERROR(VLOOKUP("19_"&amp;A255,SyS!$B:$P,10,FALSE()),0)</f>
      </c>
      <c r="AH255" s="35">
        <f>IFERROR(VLOOKUP("19_"&amp;A255,SyS!$B:$P,12,FALSE()),0)</f>
      </c>
      <c r="AI255" s="35">
        <f>+AG255-AH255</f>
      </c>
      <c r="AJ255" s="35"/>
      <c r="AK255" s="35"/>
      <c r="AL255" s="35"/>
      <c r="AM255" s="34">
        <f>IFERROR(VLOOKUP("23_"&amp;A255,SyS!$B:$P,10,FALSE()),0)</f>
      </c>
      <c r="AN255" s="35">
        <f>IFERROR(VLOOKUP("23_"&amp;A255,SyS!$B:$P,12,FALSE()),0)</f>
      </c>
      <c r="AO255" s="36">
        <f>+AM255-AN255</f>
      </c>
      <c r="AP255" s="40"/>
      <c r="AQ255" s="40"/>
      <c r="AR255" s="40"/>
      <c r="AS255" s="40"/>
      <c r="AT255" s="40"/>
      <c r="AU255" s="40"/>
      <c r="AV255" s="40"/>
      <c r="AW255" s="40"/>
      <c r="AX255" s="40"/>
      <c r="AY255" s="40"/>
      <c r="AZ255" s="40"/>
      <c r="BA255" s="40"/>
      <c r="BB255" s="40"/>
      <c r="BC255" s="40"/>
      <c r="BD255" s="40"/>
      <c r="BE255" s="40"/>
      <c r="BF255" s="40"/>
      <c r="BG255" s="40"/>
      <c r="BH255" s="40"/>
      <c r="BI255" s="40"/>
      <c r="BJ255" s="40"/>
      <c r="BK255" s="40">
        <f>IFERROR(VLOOKUP("29_"&amp;A255,SyS!$B:$P,10,FALSE()),0)</f>
      </c>
      <c r="BL255" s="40">
        <f>IFERROR(VLOOKUP("29_"&amp;A255,SyS!$B:$P,12,FALSE()),0)</f>
      </c>
      <c r="BM255" s="40">
        <f>+BK255-BL255</f>
      </c>
      <c r="BN255" s="42">
        <f>IFERROR(VLOOKUP("30_"&amp;A255,SyS!$B:$P,10,FALSE()),0)</f>
      </c>
      <c r="BO255" s="40">
        <f>IFERROR(VLOOKUP("30_"&amp;A255,SyS!$B:$P,12,FALSE()),0)</f>
      </c>
      <c r="BP255" s="43">
        <f>+BN255-BO255</f>
      </c>
      <c r="BQ255" s="44">
        <f>+E255+H255+K255+N255+Q255+T255+W255+Z255+AC255+AF255+AI255+AL255+AO255+AR255+AU255+AX255+BA255+BD255+BG255+BJ255+BM255+BP255</f>
      </c>
      <c r="BR255" s="40"/>
      <c r="BS255" s="40"/>
      <c r="BT255" s="40"/>
      <c r="BU255" s="40"/>
      <c r="BV255" s="40"/>
      <c r="BW255" s="40"/>
      <c r="BX255" s="40"/>
      <c r="BY255" s="40"/>
      <c r="BZ255" s="40"/>
      <c r="CA255" s="40"/>
      <c r="CB255" s="40"/>
      <c r="CC255" s="40"/>
      <c r="CD255" s="40"/>
      <c r="CE255" s="40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  <c r="EF255" s="51"/>
      <c r="EG255" s="51"/>
      <c r="EH255" s="51"/>
      <c r="EI255" s="51"/>
      <c r="EJ255" s="51"/>
      <c r="EK255" s="51"/>
      <c r="EL255" s="51"/>
      <c r="EM255" s="51"/>
      <c r="EN255" s="51"/>
      <c r="EO255" s="51"/>
      <c r="EP255" s="51"/>
      <c r="EQ255" s="51"/>
      <c r="ER255" s="51"/>
      <c r="ES255" s="51"/>
      <c r="ET255" s="51"/>
      <c r="EU255" s="51"/>
      <c r="EV255" s="51"/>
      <c r="EW255" s="51"/>
      <c r="EX255" s="51"/>
      <c r="EY255" s="51"/>
      <c r="EZ255" s="51"/>
      <c r="FA255" s="51"/>
      <c r="FB255" s="51"/>
      <c r="FC255" s="51"/>
      <c r="FD255" s="51"/>
      <c r="FE255" s="51"/>
      <c r="FF255" s="51"/>
      <c r="FG255" s="51"/>
      <c r="FH255" s="51"/>
      <c r="FI255" s="51"/>
      <c r="FJ255" s="51"/>
      <c r="FK255" s="51"/>
      <c r="FL255" s="51"/>
      <c r="FM255" s="51"/>
      <c r="FN255" s="51"/>
      <c r="FO255" s="51"/>
      <c r="FP255" s="51"/>
      <c r="FQ255" s="51"/>
      <c r="FR255" s="51"/>
      <c r="FS255" s="51"/>
      <c r="FT255" s="51"/>
      <c r="FU255" s="51"/>
      <c r="FV255" s="51"/>
      <c r="FW255" s="51"/>
      <c r="FX255" s="51"/>
      <c r="FY255" s="51"/>
      <c r="FZ255" s="51"/>
      <c r="GA255" s="51"/>
      <c r="GB255" s="51"/>
      <c r="GC255" s="51"/>
      <c r="GD255" s="51"/>
      <c r="GE255" s="51"/>
      <c r="GF255" s="51"/>
      <c r="GG255" s="51"/>
      <c r="GH255" s="51"/>
      <c r="GI255" s="51"/>
      <c r="GJ255" s="51"/>
      <c r="GK255" s="51"/>
      <c r="GL255" s="51"/>
      <c r="GM255" s="51"/>
      <c r="GN255" s="51"/>
      <c r="GO255" s="51"/>
      <c r="GP255" s="51"/>
      <c r="GQ255" s="51"/>
      <c r="GR255" s="51"/>
      <c r="GS255" s="51"/>
      <c r="GT255" s="51"/>
      <c r="GU255" s="51"/>
      <c r="GV255" s="51"/>
      <c r="GW255" s="51"/>
      <c r="GX255" s="51"/>
      <c r="GY255" s="51"/>
      <c r="GZ255" s="51"/>
      <c r="HA255" s="51"/>
      <c r="HB255" s="51"/>
      <c r="HC255" s="51"/>
      <c r="HD255" s="51"/>
      <c r="HE255" s="51"/>
      <c r="HF255" s="51"/>
      <c r="HG255" s="51"/>
      <c r="HH255" s="51"/>
      <c r="HI255" s="51"/>
      <c r="HJ255" s="51"/>
      <c r="HK255" s="51"/>
      <c r="HL255" s="51"/>
      <c r="HM255" s="51"/>
      <c r="HN255" s="51"/>
      <c r="HO255" s="51"/>
      <c r="HP255" s="51"/>
      <c r="HQ255" s="51"/>
      <c r="HR255" s="51"/>
      <c r="HS255" s="51"/>
      <c r="HT255" s="51"/>
      <c r="HU255" s="51"/>
      <c r="HV255" s="51"/>
      <c r="HW255" s="51"/>
      <c r="HX255" s="51"/>
      <c r="HY255" s="51"/>
      <c r="HZ255" s="51"/>
      <c r="IA255" s="51"/>
      <c r="IB255" s="51"/>
      <c r="IC255" s="51"/>
      <c r="ID255" s="51"/>
      <c r="IE255" s="51"/>
      <c r="IF255" s="51"/>
      <c r="IG255" s="51"/>
      <c r="IH255" s="51"/>
      <c r="II255" s="51"/>
      <c r="IJ255" s="51"/>
      <c r="IK255" s="51"/>
      <c r="IL255" s="51"/>
      <c r="IM255" s="51"/>
      <c r="IN255" s="51"/>
      <c r="IO255" s="51"/>
      <c r="IP255" s="51"/>
      <c r="IQ255" s="51"/>
      <c r="IR255" s="51"/>
      <c r="IS255" s="51"/>
    </row>
    <row r="256" ht="12" customHeight="1" spans="1:253" x14ac:dyDescent="0.25">
      <c r="A256" s="9">
        <v>427330000</v>
      </c>
      <c r="B256" s="9" t="s">
        <v>293</v>
      </c>
      <c r="C256" s="34">
        <f>IFERROR(VLOOKUP("1_"&amp;A256,SyS!$B:$P,10,FALSE()),0)</f>
      </c>
      <c r="D256" s="35">
        <f>IFERROR(VLOOKUP("1_"&amp;A256,SyS!$B:$P,12,FALSE()),0)</f>
      </c>
      <c r="E256" s="35">
        <f>+C256-D256</f>
      </c>
      <c r="F256" s="34">
        <f>IFERROR(VLOOKUP("2_"&amp;A256,SyS!$B:$P,10,FALSE()),0)</f>
      </c>
      <c r="G256" s="35">
        <f>IFERROR(VLOOKUP("2_"&amp;A256,SyS!$B:$P,12,FALSE()),0)</f>
      </c>
      <c r="H256" s="36">
        <f>+F256-G256</f>
      </c>
      <c r="I256" s="35"/>
      <c r="J256" s="35"/>
      <c r="K256" s="35"/>
      <c r="L256" s="35"/>
      <c r="M256" s="35"/>
      <c r="N256" s="35"/>
      <c r="O256" s="34">
        <f>IFERROR(VLOOKUP("14_"&amp;A256,SyS!$B:$P,10,FALSE()),0)</f>
      </c>
      <c r="P256" s="35">
        <f>IFERROR(VLOOKUP("14_"&amp;A256,SyS!$B:$P,12,FALSE()),0)</f>
      </c>
      <c r="Q256" s="36">
        <f>+O256-P256</f>
      </c>
      <c r="R256" s="34">
        <f>IFERROR(VLOOKUP("15_"&amp;A256,SyS!$B:$P,10,FALSE()),0)</f>
      </c>
      <c r="S256" s="35">
        <f>IFERROR(VLOOKUP("15_"&amp;A256,SyS!$B:$P,12,FALSE()),0)</f>
      </c>
      <c r="T256" s="36">
        <f>+R256-S256</f>
      </c>
      <c r="U256" s="34">
        <f>IFERROR(VLOOKUP("16_"&amp;A256,SyS!$B:$P,10,FALSE()),0)</f>
      </c>
      <c r="V256" s="35">
        <f>IFERROR(VLOOKUP("16_"&amp;A256,SyS!$B:$P,12,FALSE()),0)</f>
      </c>
      <c r="W256" s="36">
        <f>+U256-V256</f>
      </c>
      <c r="X256" s="34">
        <f>IFERROR(VLOOKUP("13_"&amp;A256,SyS!$B:$P,10,FALSE()),0)</f>
      </c>
      <c r="Y256" s="35">
        <f>IFERROR(VLOOKUP("13_"&amp;A256,SyS!$B:$P,12,FALSE()),0)</f>
      </c>
      <c r="Z256" s="36">
        <f>+X256-Y256</f>
      </c>
      <c r="AA256" s="34">
        <f>IFERROR(VLOOKUP("17_"&amp;A256,SyS!$B:$P,10,FALSE()),0)</f>
      </c>
      <c r="AB256" s="35">
        <f>IFERROR(VLOOKUP("17_"&amp;A256,SyS!$B:$P,12,FALSE()),0)</f>
      </c>
      <c r="AC256" s="36">
        <f>+AA256-AB256</f>
      </c>
      <c r="AD256" s="35"/>
      <c r="AE256" s="35"/>
      <c r="AF256" s="35"/>
      <c r="AG256" s="35">
        <f>IFERROR(VLOOKUP("19_"&amp;A256,SyS!$B:$P,10,FALSE()),0)</f>
      </c>
      <c r="AH256" s="35">
        <f>IFERROR(VLOOKUP("19_"&amp;A256,SyS!$B:$P,12,FALSE()),0)</f>
      </c>
      <c r="AI256" s="35">
        <f>+AG256-AH256</f>
      </c>
      <c r="AJ256" s="35"/>
      <c r="AK256" s="35"/>
      <c r="AL256" s="35"/>
      <c r="AM256" s="34">
        <f>IFERROR(VLOOKUP("23_"&amp;A256,SyS!$B:$P,10,FALSE()),0)</f>
      </c>
      <c r="AN256" s="35">
        <f>IFERROR(VLOOKUP("23_"&amp;A256,SyS!$B:$P,12,FALSE()),0)</f>
      </c>
      <c r="AO256" s="36">
        <f>+AM256-AN256</f>
      </c>
      <c r="AP256" s="40"/>
      <c r="AQ256" s="40"/>
      <c r="AR256" s="40"/>
      <c r="AS256" s="40"/>
      <c r="AT256" s="40"/>
      <c r="AU256" s="40"/>
      <c r="AV256" s="40"/>
      <c r="AW256" s="40"/>
      <c r="AX256" s="40"/>
      <c r="AY256" s="40"/>
      <c r="AZ256" s="40"/>
      <c r="BA256" s="40"/>
      <c r="BB256" s="40"/>
      <c r="BC256" s="40"/>
      <c r="BD256" s="40"/>
      <c r="BE256" s="40"/>
      <c r="BF256" s="40"/>
      <c r="BG256" s="40"/>
      <c r="BH256" s="40"/>
      <c r="BI256" s="40"/>
      <c r="BJ256" s="40"/>
      <c r="BK256" s="40">
        <f>IFERROR(VLOOKUP("29_"&amp;A256,SyS!$B:$P,10,FALSE()),0)</f>
      </c>
      <c r="BL256" s="40">
        <f>IFERROR(VLOOKUP("29_"&amp;A256,SyS!$B:$P,12,FALSE()),0)</f>
      </c>
      <c r="BM256" s="40">
        <f>+BK256-BL256</f>
      </c>
      <c r="BN256" s="42">
        <f>IFERROR(VLOOKUP("30_"&amp;A256,SyS!$B:$P,10,FALSE()),0)</f>
      </c>
      <c r="BO256" s="40">
        <f>IFERROR(VLOOKUP("30_"&amp;A256,SyS!$B:$P,12,FALSE()),0)</f>
      </c>
      <c r="BP256" s="43">
        <f>+BN256-BO256</f>
      </c>
      <c r="BQ256" s="44">
        <f>+E256+H256+K256+N256+Q256+T256+W256+Z256+AC256+AF256+AI256+AL256+AO256+AR256+AU256+AX256+BA256+BD256+BG256+BJ256+BM256+BP256</f>
      </c>
      <c r="BR256" s="40"/>
      <c r="BS256" s="40"/>
      <c r="BT256" s="40"/>
      <c r="BU256" s="40"/>
      <c r="BV256" s="40"/>
      <c r="BW256" s="40"/>
      <c r="BX256" s="40"/>
      <c r="BY256" s="40"/>
      <c r="BZ256" s="40"/>
      <c r="CA256" s="40"/>
      <c r="CB256" s="40"/>
      <c r="CC256" s="40"/>
      <c r="CD256" s="40"/>
      <c r="CE256" s="40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  <c r="CQ256" s="51"/>
      <c r="CR256" s="51"/>
      <c r="CS256" s="51"/>
      <c r="CT256" s="51"/>
      <c r="CU256" s="51"/>
      <c r="CV256" s="51"/>
      <c r="CW256" s="51"/>
      <c r="CX256" s="51"/>
      <c r="CY256" s="51"/>
      <c r="CZ256" s="51"/>
      <c r="DA256" s="51"/>
      <c r="DB256" s="51"/>
      <c r="DC256" s="51"/>
      <c r="DD256" s="51"/>
      <c r="DE256" s="51"/>
      <c r="DF256" s="51"/>
      <c r="DG256" s="51"/>
      <c r="DH256" s="51"/>
      <c r="DI256" s="51"/>
      <c r="DJ256" s="51"/>
      <c r="DK256" s="51"/>
      <c r="DL256" s="51"/>
      <c r="DM256" s="51"/>
      <c r="DN256" s="51"/>
      <c r="DO256" s="51"/>
      <c r="DP256" s="51"/>
      <c r="DQ256" s="51"/>
      <c r="DR256" s="51"/>
      <c r="DS256" s="51"/>
      <c r="DT256" s="51"/>
      <c r="DU256" s="51"/>
      <c r="DV256" s="51"/>
      <c r="DW256" s="51"/>
      <c r="DX256" s="51"/>
      <c r="DY256" s="51"/>
      <c r="DZ256" s="51"/>
      <c r="EA256" s="51"/>
      <c r="EB256" s="51"/>
      <c r="EC256" s="51"/>
      <c r="ED256" s="51"/>
      <c r="EE256" s="51"/>
      <c r="EF256" s="51"/>
      <c r="EG256" s="51"/>
      <c r="EH256" s="51"/>
      <c r="EI256" s="51"/>
      <c r="EJ256" s="51"/>
      <c r="EK256" s="51"/>
      <c r="EL256" s="51"/>
      <c r="EM256" s="51"/>
      <c r="EN256" s="51"/>
      <c r="EO256" s="51"/>
      <c r="EP256" s="51"/>
      <c r="EQ256" s="51"/>
      <c r="ER256" s="51"/>
      <c r="ES256" s="51"/>
      <c r="ET256" s="51"/>
      <c r="EU256" s="51"/>
      <c r="EV256" s="51"/>
      <c r="EW256" s="51"/>
      <c r="EX256" s="51"/>
      <c r="EY256" s="51"/>
      <c r="EZ256" s="51"/>
      <c r="FA256" s="51"/>
      <c r="FB256" s="51"/>
      <c r="FC256" s="51"/>
      <c r="FD256" s="51"/>
      <c r="FE256" s="51"/>
      <c r="FF256" s="51"/>
      <c r="FG256" s="51"/>
      <c r="FH256" s="51"/>
      <c r="FI256" s="51"/>
      <c r="FJ256" s="51"/>
      <c r="FK256" s="51"/>
      <c r="FL256" s="51"/>
      <c r="FM256" s="51"/>
      <c r="FN256" s="51"/>
      <c r="FO256" s="51"/>
      <c r="FP256" s="51"/>
      <c r="FQ256" s="51"/>
      <c r="FR256" s="51"/>
      <c r="FS256" s="51"/>
      <c r="FT256" s="51"/>
      <c r="FU256" s="51"/>
      <c r="FV256" s="51"/>
      <c r="FW256" s="51"/>
      <c r="FX256" s="51"/>
      <c r="FY256" s="51"/>
      <c r="FZ256" s="51"/>
      <c r="GA256" s="51"/>
      <c r="GB256" s="51"/>
      <c r="GC256" s="51"/>
      <c r="GD256" s="51"/>
      <c r="GE256" s="51"/>
      <c r="GF256" s="51"/>
      <c r="GG256" s="51"/>
      <c r="GH256" s="51"/>
      <c r="GI256" s="51"/>
      <c r="GJ256" s="51"/>
      <c r="GK256" s="51"/>
      <c r="GL256" s="51"/>
      <c r="GM256" s="51"/>
      <c r="GN256" s="51"/>
      <c r="GO256" s="51"/>
      <c r="GP256" s="51"/>
      <c r="GQ256" s="51"/>
      <c r="GR256" s="51"/>
      <c r="GS256" s="51"/>
      <c r="GT256" s="51"/>
      <c r="GU256" s="51"/>
      <c r="GV256" s="51"/>
      <c r="GW256" s="51"/>
      <c r="GX256" s="51"/>
      <c r="GY256" s="51"/>
      <c r="GZ256" s="51"/>
      <c r="HA256" s="51"/>
      <c r="HB256" s="51"/>
      <c r="HC256" s="51"/>
      <c r="HD256" s="51"/>
      <c r="HE256" s="51"/>
      <c r="HF256" s="51"/>
      <c r="HG256" s="51"/>
      <c r="HH256" s="51"/>
      <c r="HI256" s="51"/>
      <c r="HJ256" s="51"/>
      <c r="HK256" s="51"/>
      <c r="HL256" s="51"/>
      <c r="HM256" s="51"/>
      <c r="HN256" s="51"/>
      <c r="HO256" s="51"/>
      <c r="HP256" s="51"/>
      <c r="HQ256" s="51"/>
      <c r="HR256" s="51"/>
      <c r="HS256" s="51"/>
      <c r="HT256" s="51"/>
      <c r="HU256" s="51"/>
      <c r="HV256" s="51"/>
      <c r="HW256" s="51"/>
      <c r="HX256" s="51"/>
      <c r="HY256" s="51"/>
      <c r="HZ256" s="51"/>
      <c r="IA256" s="51"/>
      <c r="IB256" s="51"/>
      <c r="IC256" s="51"/>
      <c r="ID256" s="51"/>
      <c r="IE256" s="51"/>
      <c r="IF256" s="51"/>
      <c r="IG256" s="51"/>
      <c r="IH256" s="51"/>
      <c r="II256" s="51"/>
      <c r="IJ256" s="51"/>
      <c r="IK256" s="51"/>
      <c r="IL256" s="51"/>
      <c r="IM256" s="51"/>
      <c r="IN256" s="51"/>
      <c r="IO256" s="51"/>
      <c r="IP256" s="51"/>
      <c r="IQ256" s="51"/>
      <c r="IR256" s="51"/>
      <c r="IS256" s="51"/>
    </row>
    <row r="257" ht="11.25" customHeight="1" spans="1:253" x14ac:dyDescent="0.25">
      <c r="A257" s="9">
        <v>427190000</v>
      </c>
      <c r="B257" s="9" t="s">
        <v>294</v>
      </c>
      <c r="C257" s="34">
        <f>IFERROR(VLOOKUP("1_"&amp;A257,SyS!$B:$P,10,FALSE()),0)</f>
      </c>
      <c r="D257" s="35">
        <f>IFERROR(VLOOKUP("1_"&amp;A257,SyS!$B:$P,12,FALSE()),0)</f>
      </c>
      <c r="E257" s="35">
        <f>+C257-D257</f>
      </c>
      <c r="F257" s="34">
        <f>IFERROR(VLOOKUP("2_"&amp;A257,SyS!$B:$P,10,FALSE()),0)</f>
      </c>
      <c r="G257" s="35">
        <f>IFERROR(VLOOKUP("2_"&amp;A257,SyS!$B:$P,12,FALSE()),0)</f>
      </c>
      <c r="H257" s="36">
        <f>+F257-G257</f>
      </c>
      <c r="I257" s="35"/>
      <c r="J257" s="35"/>
      <c r="K257" s="35"/>
      <c r="L257" s="35"/>
      <c r="M257" s="35"/>
      <c r="N257" s="35"/>
      <c r="O257" s="34">
        <f>IFERROR(VLOOKUP("14_"&amp;A257,SyS!$B:$P,10,FALSE()),0)</f>
      </c>
      <c r="P257" s="35">
        <f>IFERROR(VLOOKUP("14_"&amp;A257,SyS!$B:$P,12,FALSE()),0)</f>
      </c>
      <c r="Q257" s="36">
        <f>+O257-P257</f>
      </c>
      <c r="R257" s="34">
        <f>IFERROR(VLOOKUP("15_"&amp;A257,SyS!$B:$P,10,FALSE()),0)</f>
      </c>
      <c r="S257" s="35">
        <f>IFERROR(VLOOKUP("15_"&amp;A257,SyS!$B:$P,12,FALSE()),0)</f>
      </c>
      <c r="T257" s="36">
        <f>+R257-S257</f>
      </c>
      <c r="U257" s="34">
        <f>IFERROR(VLOOKUP("16_"&amp;A257,SyS!$B:$P,10,FALSE()),0)</f>
      </c>
      <c r="V257" s="35">
        <f>IFERROR(VLOOKUP("16_"&amp;A257,SyS!$B:$P,12,FALSE()),0)</f>
      </c>
      <c r="W257" s="36">
        <f>+U257-V257</f>
      </c>
      <c r="X257" s="34">
        <f>IFERROR(VLOOKUP("13_"&amp;A257,SyS!$B:$P,10,FALSE()),0)</f>
      </c>
      <c r="Y257" s="35">
        <f>IFERROR(VLOOKUP("13_"&amp;A257,SyS!$B:$P,12,FALSE()),0)</f>
      </c>
      <c r="Z257" s="36">
        <f>+X257-Y257</f>
      </c>
      <c r="AA257" s="34">
        <f>IFERROR(VLOOKUP("17_"&amp;A257,SyS!$B:$P,10,FALSE()),0)</f>
      </c>
      <c r="AB257" s="35">
        <f>IFERROR(VLOOKUP("17_"&amp;A257,SyS!$B:$P,12,FALSE()),0)</f>
      </c>
      <c r="AC257" s="36">
        <f>+AA257-AB257</f>
      </c>
      <c r="AD257" s="35"/>
      <c r="AE257" s="35"/>
      <c r="AF257" s="35"/>
      <c r="AG257" s="35">
        <f>IFERROR(VLOOKUP("19_"&amp;A257,SyS!$B:$P,10,FALSE()),0)</f>
      </c>
      <c r="AH257" s="35">
        <f>IFERROR(VLOOKUP("19_"&amp;A257,SyS!$B:$P,12,FALSE()),0)</f>
      </c>
      <c r="AI257" s="35">
        <f>+AG257-AH257</f>
      </c>
      <c r="AJ257" s="35"/>
      <c r="AK257" s="35"/>
      <c r="AL257" s="35"/>
      <c r="AM257" s="34">
        <f>IFERROR(VLOOKUP("23_"&amp;A257,SyS!$B:$P,10,FALSE()),0)</f>
      </c>
      <c r="AN257" s="35">
        <f>IFERROR(VLOOKUP("23_"&amp;A257,SyS!$B:$P,12,FALSE()),0)</f>
      </c>
      <c r="AO257" s="36">
        <f>+AM257-AN257</f>
      </c>
      <c r="AP257" s="40"/>
      <c r="AQ257" s="40"/>
      <c r="AR257" s="40"/>
      <c r="AS257" s="40"/>
      <c r="AT257" s="40"/>
      <c r="AU257" s="40"/>
      <c r="AV257" s="40"/>
      <c r="AW257" s="40"/>
      <c r="AX257" s="40"/>
      <c r="AY257" s="40"/>
      <c r="AZ257" s="40"/>
      <c r="BA257" s="40"/>
      <c r="BB257" s="40"/>
      <c r="BC257" s="40"/>
      <c r="BD257" s="40"/>
      <c r="BE257" s="40"/>
      <c r="BF257" s="40"/>
      <c r="BG257" s="40"/>
      <c r="BH257" s="40"/>
      <c r="BI257" s="40"/>
      <c r="BJ257" s="40"/>
      <c r="BK257" s="40">
        <f>IFERROR(VLOOKUP("29_"&amp;A257,SyS!$B:$P,10,FALSE()),0)</f>
      </c>
      <c r="BL257" s="40">
        <f>IFERROR(VLOOKUP("29_"&amp;A257,SyS!$B:$P,12,FALSE()),0)</f>
      </c>
      <c r="BM257" s="40">
        <f>+BK257-BL257</f>
      </c>
      <c r="BN257" s="42">
        <f>IFERROR(VLOOKUP("30_"&amp;A257,SyS!$B:$P,10,FALSE()),0)</f>
      </c>
      <c r="BO257" s="40">
        <f>IFERROR(VLOOKUP("30_"&amp;A257,SyS!$B:$P,12,FALSE()),0)</f>
      </c>
      <c r="BP257" s="43">
        <f>+BN257-BO257</f>
      </c>
      <c r="BQ257" s="44">
        <f>+E257+H257+K257+N257+Q257+T257+W257+Z257+AC257+AF257+AI257+AL257+AO257+AR257+AU257+AX257+BA257+BD257+BG257+BJ257+BM257+BP257</f>
      </c>
      <c r="BR257" s="40"/>
      <c r="BS257" s="40"/>
      <c r="BT257" s="40"/>
      <c r="BU257" s="40"/>
      <c r="BV257" s="40"/>
      <c r="BW257" s="40"/>
      <c r="BX257" s="40"/>
      <c r="BY257" s="40"/>
      <c r="BZ257" s="40"/>
      <c r="CA257" s="40"/>
      <c r="CB257" s="40"/>
      <c r="CC257" s="40"/>
      <c r="CD257" s="40"/>
      <c r="CE257" s="40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  <c r="CQ257" s="51"/>
      <c r="CR257" s="51"/>
      <c r="CS257" s="51"/>
      <c r="CT257" s="51"/>
      <c r="CU257" s="51"/>
      <c r="CV257" s="51"/>
      <c r="CW257" s="51"/>
      <c r="CX257" s="51"/>
      <c r="CY257" s="51"/>
      <c r="CZ257" s="51"/>
      <c r="DA257" s="51"/>
      <c r="DB257" s="51"/>
      <c r="DC257" s="51"/>
      <c r="DD257" s="51"/>
      <c r="DE257" s="51"/>
      <c r="DF257" s="51"/>
      <c r="DG257" s="51"/>
      <c r="DH257" s="51"/>
      <c r="DI257" s="51"/>
      <c r="DJ257" s="51"/>
      <c r="DK257" s="51"/>
      <c r="DL257" s="51"/>
      <c r="DM257" s="51"/>
      <c r="DN257" s="51"/>
      <c r="DO257" s="51"/>
      <c r="DP257" s="51"/>
      <c r="DQ257" s="51"/>
      <c r="DR257" s="51"/>
      <c r="DS257" s="51"/>
      <c r="DT257" s="51"/>
      <c r="DU257" s="51"/>
      <c r="DV257" s="51"/>
      <c r="DW257" s="51"/>
      <c r="DX257" s="51"/>
      <c r="DY257" s="51"/>
      <c r="DZ257" s="51"/>
      <c r="EA257" s="51"/>
      <c r="EB257" s="51"/>
      <c r="EC257" s="51"/>
      <c r="ED257" s="51"/>
      <c r="EE257" s="51"/>
      <c r="EF257" s="51"/>
      <c r="EG257" s="51"/>
      <c r="EH257" s="51"/>
      <c r="EI257" s="51"/>
      <c r="EJ257" s="51"/>
      <c r="EK257" s="51"/>
      <c r="EL257" s="51"/>
      <c r="EM257" s="51"/>
      <c r="EN257" s="51"/>
      <c r="EO257" s="51"/>
      <c r="EP257" s="51"/>
      <c r="EQ257" s="51"/>
      <c r="ER257" s="51"/>
      <c r="ES257" s="51"/>
      <c r="ET257" s="51"/>
      <c r="EU257" s="51"/>
      <c r="EV257" s="51"/>
      <c r="EW257" s="51"/>
      <c r="EX257" s="51"/>
      <c r="EY257" s="51"/>
      <c r="EZ257" s="51"/>
      <c r="FA257" s="51"/>
      <c r="FB257" s="51"/>
      <c r="FC257" s="51"/>
      <c r="FD257" s="51"/>
      <c r="FE257" s="51"/>
      <c r="FF257" s="51"/>
      <c r="FG257" s="51"/>
      <c r="FH257" s="51"/>
      <c r="FI257" s="51"/>
      <c r="FJ257" s="51"/>
      <c r="FK257" s="51"/>
      <c r="FL257" s="51"/>
      <c r="FM257" s="51"/>
      <c r="FN257" s="51"/>
      <c r="FO257" s="51"/>
      <c r="FP257" s="51"/>
      <c r="FQ257" s="51"/>
      <c r="FR257" s="51"/>
      <c r="FS257" s="51"/>
      <c r="FT257" s="51"/>
      <c r="FU257" s="51"/>
      <c r="FV257" s="51"/>
      <c r="FW257" s="51"/>
      <c r="FX257" s="51"/>
      <c r="FY257" s="51"/>
      <c r="FZ257" s="51"/>
      <c r="GA257" s="51"/>
      <c r="GB257" s="51"/>
      <c r="GC257" s="51"/>
      <c r="GD257" s="51"/>
      <c r="GE257" s="51"/>
      <c r="GF257" s="51"/>
      <c r="GG257" s="51"/>
      <c r="GH257" s="51"/>
      <c r="GI257" s="51"/>
      <c r="GJ257" s="51"/>
      <c r="GK257" s="51"/>
      <c r="GL257" s="51"/>
      <c r="GM257" s="51"/>
      <c r="GN257" s="51"/>
      <c r="GO257" s="51"/>
      <c r="GP257" s="51"/>
      <c r="GQ257" s="51"/>
      <c r="GR257" s="51"/>
      <c r="GS257" s="51"/>
      <c r="GT257" s="51"/>
      <c r="GU257" s="51"/>
      <c r="GV257" s="51"/>
      <c r="GW257" s="51"/>
      <c r="GX257" s="51"/>
      <c r="GY257" s="51"/>
      <c r="GZ257" s="51"/>
      <c r="HA257" s="51"/>
      <c r="HB257" s="51"/>
      <c r="HC257" s="51"/>
      <c r="HD257" s="51"/>
      <c r="HE257" s="51"/>
      <c r="HF257" s="51"/>
      <c r="HG257" s="51"/>
      <c r="HH257" s="51"/>
      <c r="HI257" s="51"/>
      <c r="HJ257" s="51"/>
      <c r="HK257" s="51"/>
      <c r="HL257" s="51"/>
      <c r="HM257" s="51"/>
      <c r="HN257" s="51"/>
      <c r="HO257" s="51"/>
      <c r="HP257" s="51"/>
      <c r="HQ257" s="51"/>
      <c r="HR257" s="51"/>
      <c r="HS257" s="51"/>
      <c r="HT257" s="51"/>
      <c r="HU257" s="51"/>
      <c r="HV257" s="51"/>
      <c r="HW257" s="51"/>
      <c r="HX257" s="51"/>
      <c r="HY257" s="51"/>
      <c r="HZ257" s="51"/>
      <c r="IA257" s="51"/>
      <c r="IB257" s="51"/>
      <c r="IC257" s="51"/>
      <c r="ID257" s="51"/>
      <c r="IE257" s="51"/>
      <c r="IF257" s="51"/>
      <c r="IG257" s="51"/>
      <c r="IH257" s="51"/>
      <c r="II257" s="51"/>
      <c r="IJ257" s="51"/>
      <c r="IK257" s="51"/>
      <c r="IL257" s="51"/>
      <c r="IM257" s="51"/>
      <c r="IN257" s="51"/>
      <c r="IO257" s="51"/>
      <c r="IP257" s="51"/>
      <c r="IQ257" s="51"/>
      <c r="IR257" s="51"/>
      <c r="IS257" s="51"/>
    </row>
    <row r="258" ht="11.25" customHeight="1" spans="1:69" x14ac:dyDescent="0.25">
      <c r="A258" s="48"/>
      <c r="B258" s="49" t="s">
        <v>295</v>
      </c>
      <c r="C258" s="34">
        <f>IFERROR(VLOOKUP("1_"&amp;A257,SyS!$B:$P,10,FALSE()),0)</f>
      </c>
      <c r="D258" s="35">
        <f>IFERROR(VLOOKUP("1_"&amp;A257,SyS!$B:$P,12,FALSE()),0)</f>
      </c>
      <c r="E258" s="35">
        <f>+C257-D257</f>
      </c>
      <c r="F258" s="34"/>
      <c r="G258" s="35"/>
      <c r="H258" s="36"/>
      <c r="I258" s="35"/>
      <c r="J258" s="35"/>
      <c r="K258" s="35"/>
      <c r="L258" s="35"/>
      <c r="M258" s="35"/>
      <c r="N258" s="35"/>
      <c r="O258" s="34"/>
      <c r="P258" s="35"/>
      <c r="Q258" s="36"/>
      <c r="R258" s="34"/>
      <c r="S258" s="35"/>
      <c r="T258" s="36"/>
      <c r="U258" s="34"/>
      <c r="V258" s="35"/>
      <c r="W258" s="36"/>
      <c r="X258" s="34"/>
      <c r="Y258" s="35"/>
      <c r="Z258" s="36"/>
      <c r="AA258" s="34"/>
      <c r="AB258" s="35"/>
      <c r="AC258" s="36"/>
      <c r="AD258" s="35"/>
      <c r="AE258" s="35"/>
      <c r="AF258" s="35"/>
      <c r="AG258" s="35"/>
      <c r="AH258" s="35"/>
      <c r="AI258" s="35"/>
      <c r="AJ258" s="35"/>
      <c r="AK258" s="35"/>
      <c r="AL258" s="35"/>
      <c r="AM258" s="34"/>
      <c r="AN258" s="35"/>
      <c r="AO258" s="36"/>
      <c r="AP258" s="40"/>
      <c r="AQ258" s="40"/>
      <c r="AR258" s="40"/>
      <c r="AS258" s="40"/>
      <c r="AT258" s="40"/>
      <c r="AU258" s="40"/>
      <c r="AV258" s="40"/>
      <c r="AW258" s="40"/>
      <c r="AX258" s="40"/>
      <c r="AY258" s="40"/>
      <c r="AZ258" s="40"/>
      <c r="BA258" s="40"/>
      <c r="BB258" s="40"/>
      <c r="BC258" s="40"/>
      <c r="BD258" s="40"/>
      <c r="BE258" s="40"/>
      <c r="BF258" s="40"/>
      <c r="BG258" s="40"/>
      <c r="BH258" s="40"/>
      <c r="BI258" s="40"/>
      <c r="BJ258" s="40"/>
      <c r="BK258" s="40"/>
      <c r="BL258" s="40"/>
      <c r="BM258" s="40"/>
      <c r="BN258" s="42"/>
      <c r="BO258" s="40"/>
      <c r="BP258" s="43"/>
      <c r="BQ258" s="44"/>
    </row>
    <row r="259" ht="11.25" customHeight="1" spans="1:69" x14ac:dyDescent="0.25">
      <c r="A259" s="9">
        <v>428100000</v>
      </c>
      <c r="B259" s="9" t="s">
        <v>296</v>
      </c>
      <c r="C259" s="34">
        <f>IFERROR(VLOOKUP("1_"&amp;A259,SyS!$B:$P,10,FALSE()),0)</f>
      </c>
      <c r="D259" s="35">
        <f>IFERROR(VLOOKUP("1_"&amp;A259,SyS!$B:$P,12,FALSE()),0)</f>
      </c>
      <c r="E259" s="35">
        <f>+C259-D259</f>
      </c>
      <c r="F259" s="34">
        <f>IFERROR(VLOOKUP("2_"&amp;A259,SyS!$B:$P,10,FALSE()),0)</f>
      </c>
      <c r="G259" s="35">
        <f>IFERROR(VLOOKUP("2_"&amp;A259,SyS!$B:$P,12,FALSE()),0)</f>
      </c>
      <c r="H259" s="36">
        <f>+F259-G259</f>
      </c>
      <c r="I259" s="35"/>
      <c r="J259" s="35"/>
      <c r="K259" s="35"/>
      <c r="L259" s="35"/>
      <c r="M259" s="35"/>
      <c r="N259" s="35"/>
      <c r="O259" s="34">
        <f>IFERROR(VLOOKUP("14_"&amp;A259,SyS!$B:$P,10,FALSE()),0)</f>
      </c>
      <c r="P259" s="35">
        <f>IFERROR(VLOOKUP("14_"&amp;A259,SyS!$B:$P,12,FALSE()),0)</f>
      </c>
      <c r="Q259" s="36">
        <f>+O259-P259</f>
      </c>
      <c r="R259" s="34">
        <f>IFERROR(VLOOKUP("15_"&amp;A259,SyS!$B:$P,10,FALSE()),0)</f>
      </c>
      <c r="S259" s="35">
        <f>IFERROR(VLOOKUP("15_"&amp;A259,SyS!$B:$P,12,FALSE()),0)</f>
      </c>
      <c r="T259" s="36">
        <f>+R259-S259</f>
      </c>
      <c r="U259" s="34">
        <f>IFERROR(VLOOKUP("16_"&amp;A259,SyS!$B:$P,10,FALSE()),0)</f>
      </c>
      <c r="V259" s="35">
        <f>IFERROR(VLOOKUP("16_"&amp;A259,SyS!$B:$P,12,FALSE()),0)</f>
      </c>
      <c r="W259" s="36">
        <f>+U259-V259</f>
      </c>
      <c r="X259" s="34">
        <f>IFERROR(VLOOKUP("13_"&amp;A259,SyS!$B:$P,10,FALSE()),0)</f>
      </c>
      <c r="Y259" s="35">
        <f>IFERROR(VLOOKUP("13_"&amp;A259,SyS!$B:$P,12,FALSE()),0)</f>
      </c>
      <c r="Z259" s="36">
        <f>+X259-Y259</f>
      </c>
      <c r="AA259" s="34">
        <f>IFERROR(VLOOKUP("17_"&amp;A259,SyS!$B:$P,10,FALSE()),0)</f>
      </c>
      <c r="AB259" s="35">
        <f>IFERROR(VLOOKUP("17_"&amp;A259,SyS!$B:$P,12,FALSE()),0)</f>
      </c>
      <c r="AC259" s="36">
        <f>+AA259-AB259</f>
      </c>
      <c r="AD259" s="35"/>
      <c r="AE259" s="35"/>
      <c r="AF259" s="35"/>
      <c r="AG259" s="35">
        <f>IFERROR(VLOOKUP("19_"&amp;A259,SyS!$B:$P,10,FALSE()),0)</f>
      </c>
      <c r="AH259" s="35">
        <f>IFERROR(VLOOKUP("19_"&amp;A259,SyS!$B:$P,12,FALSE()),0)</f>
      </c>
      <c r="AI259" s="35">
        <f>+AG259-AH259</f>
      </c>
      <c r="AJ259" s="35"/>
      <c r="AK259" s="35"/>
      <c r="AL259" s="35"/>
      <c r="AM259" s="34">
        <f>IFERROR(VLOOKUP("23_"&amp;A259,SyS!$B:$P,10,FALSE()),0)</f>
      </c>
      <c r="AN259" s="35">
        <f>IFERROR(VLOOKUP("23_"&amp;A259,SyS!$B:$P,12,FALSE()),0)</f>
      </c>
      <c r="AO259" s="36">
        <f>+AM259-AN259</f>
      </c>
      <c r="AP259" s="40"/>
      <c r="AQ259" s="40"/>
      <c r="AR259" s="40"/>
      <c r="AS259" s="40"/>
      <c r="AT259" s="40"/>
      <c r="AU259" s="40"/>
      <c r="AV259" s="40"/>
      <c r="AW259" s="40"/>
      <c r="AX259" s="40"/>
      <c r="AY259" s="40"/>
      <c r="AZ259" s="40"/>
      <c r="BA259" s="40"/>
      <c r="BB259" s="40"/>
      <c r="BC259" s="40"/>
      <c r="BD259" s="40"/>
      <c r="BE259" s="40"/>
      <c r="BF259" s="40"/>
      <c r="BG259" s="40"/>
      <c r="BH259" s="40"/>
      <c r="BI259" s="40"/>
      <c r="BJ259" s="40"/>
      <c r="BK259" s="40">
        <f>IFERROR(VLOOKUP("29_"&amp;A259,SyS!$B:$P,10,FALSE()),0)</f>
      </c>
      <c r="BL259" s="40">
        <f>IFERROR(VLOOKUP("29_"&amp;A259,SyS!$B:$P,12,FALSE()),0)</f>
      </c>
      <c r="BM259" s="40">
        <f>+BK259-BL259</f>
      </c>
      <c r="BN259" s="42">
        <f>IFERROR(VLOOKUP("30_"&amp;A259,SyS!$B:$P,10,FALSE()),0)</f>
      </c>
      <c r="BO259" s="40">
        <f>IFERROR(VLOOKUP("30_"&amp;A259,SyS!$B:$P,12,FALSE()),0)</f>
      </c>
      <c r="BP259" s="43">
        <f>+BN259-BO259</f>
      </c>
      <c r="BQ259" s="44">
        <f>+E259+H259+K259+N259+Q259+T259+W259+Z259+AC259+AF259+AI259+AL259+AO259+AR259+AU259+AX259+BA259+BD259+BG259+BJ259+BM259+BP259</f>
      </c>
    </row>
    <row r="260" ht="11.25" customHeight="1" spans="1:69" x14ac:dyDescent="0.25">
      <c r="A260" s="9">
        <v>428300000</v>
      </c>
      <c r="B260" s="9" t="s">
        <v>297</v>
      </c>
      <c r="C260" s="34">
        <f>IFERROR(VLOOKUP("1_"&amp;A260,SyS!$B:$P,10,FALSE()),0)</f>
      </c>
      <c r="D260" s="35">
        <f>IFERROR(VLOOKUP("1_"&amp;A260,SyS!$B:$P,12,FALSE()),0)</f>
      </c>
      <c r="E260" s="35">
        <f>+C260-D260</f>
      </c>
      <c r="F260" s="34">
        <f>IFERROR(VLOOKUP("2_"&amp;A260,SyS!$B:$P,10,FALSE()),0)</f>
      </c>
      <c r="G260" s="35">
        <f>IFERROR(VLOOKUP("2_"&amp;A260,SyS!$B:$P,12,FALSE()),0)</f>
      </c>
      <c r="H260" s="36">
        <f>+F260-G260</f>
      </c>
      <c r="I260" s="35"/>
      <c r="J260" s="35"/>
      <c r="K260" s="35"/>
      <c r="L260" s="35"/>
      <c r="M260" s="35"/>
      <c r="N260" s="35"/>
      <c r="O260" s="34">
        <f>IFERROR(VLOOKUP("14_"&amp;A260,SyS!$B:$P,10,FALSE()),0)</f>
      </c>
      <c r="P260" s="35">
        <f>IFERROR(VLOOKUP("14_"&amp;A260,SyS!$B:$P,12,FALSE()),0)</f>
      </c>
      <c r="Q260" s="36">
        <f>+O260-P260</f>
      </c>
      <c r="R260" s="34">
        <f>IFERROR(VLOOKUP("15_"&amp;A260,SyS!$B:$P,10,FALSE()),0)</f>
      </c>
      <c r="S260" s="35">
        <f>IFERROR(VLOOKUP("15_"&amp;A260,SyS!$B:$P,12,FALSE()),0)</f>
      </c>
      <c r="T260" s="36">
        <f>+R260-S260</f>
      </c>
      <c r="U260" s="34">
        <f>IFERROR(VLOOKUP("16_"&amp;A260,SyS!$B:$P,10,FALSE()),0)</f>
      </c>
      <c r="V260" s="35">
        <f>IFERROR(VLOOKUP("16_"&amp;A260,SyS!$B:$P,12,FALSE()),0)</f>
      </c>
      <c r="W260" s="36">
        <f>+U260-V260</f>
      </c>
      <c r="X260" s="34">
        <f>IFERROR(VLOOKUP("13_"&amp;A260,SyS!$B:$P,10,FALSE()),0)</f>
      </c>
      <c r="Y260" s="35">
        <f>IFERROR(VLOOKUP("13_"&amp;A260,SyS!$B:$P,12,FALSE()),0)</f>
      </c>
      <c r="Z260" s="36">
        <f>+X260-Y260</f>
      </c>
      <c r="AA260" s="34">
        <f>IFERROR(VLOOKUP("17_"&amp;A260,SyS!$B:$P,10,FALSE()),0)</f>
      </c>
      <c r="AB260" s="35">
        <f>IFERROR(VLOOKUP("17_"&amp;A260,SyS!$B:$P,12,FALSE()),0)</f>
      </c>
      <c r="AC260" s="36">
        <f>+AA260-AB260</f>
      </c>
      <c r="AD260" s="35"/>
      <c r="AE260" s="35"/>
      <c r="AF260" s="35"/>
      <c r="AG260" s="35">
        <f>IFERROR(VLOOKUP("19_"&amp;A260,SyS!$B:$P,10,FALSE()),0)</f>
      </c>
      <c r="AH260" s="35">
        <f>IFERROR(VLOOKUP("19_"&amp;A260,SyS!$B:$P,12,FALSE()),0)</f>
      </c>
      <c r="AI260" s="35">
        <f>+AG260-AH260</f>
      </c>
      <c r="AJ260" s="35"/>
      <c r="AK260" s="35"/>
      <c r="AL260" s="35"/>
      <c r="AM260" s="34">
        <f>IFERROR(VLOOKUP("23_"&amp;A260,SyS!$B:$P,10,FALSE()),0)</f>
      </c>
      <c r="AN260" s="35">
        <f>IFERROR(VLOOKUP("23_"&amp;A260,SyS!$B:$P,12,FALSE()),0)</f>
      </c>
      <c r="AO260" s="36">
        <f>+AM260-AN260</f>
      </c>
      <c r="AP260" s="40"/>
      <c r="AQ260" s="40"/>
      <c r="AR260" s="40"/>
      <c r="AS260" s="40"/>
      <c r="AT260" s="40"/>
      <c r="AU260" s="40"/>
      <c r="AV260" s="40"/>
      <c r="AW260" s="40"/>
      <c r="AX260" s="40"/>
      <c r="AY260" s="40"/>
      <c r="AZ260" s="40"/>
      <c r="BA260" s="40"/>
      <c r="BB260" s="40"/>
      <c r="BC260" s="40"/>
      <c r="BD260" s="40"/>
      <c r="BE260" s="40"/>
      <c r="BF260" s="40"/>
      <c r="BG260" s="40"/>
      <c r="BH260" s="40"/>
      <c r="BI260" s="40"/>
      <c r="BJ260" s="40"/>
      <c r="BK260" s="40">
        <f>IFERROR(VLOOKUP("29_"&amp;A260,SyS!$B:$P,10,FALSE()),0)</f>
      </c>
      <c r="BL260" s="40">
        <f>IFERROR(VLOOKUP("29_"&amp;A260,SyS!$B:$P,12,FALSE()),0)</f>
      </c>
      <c r="BM260" s="40">
        <f>+BK260-BL260</f>
      </c>
      <c r="BN260" s="42">
        <f>IFERROR(VLOOKUP("30_"&amp;A260,SyS!$B:$P,10,FALSE()),0)</f>
      </c>
      <c r="BO260" s="40">
        <f>IFERROR(VLOOKUP("30_"&amp;A260,SyS!$B:$P,12,FALSE()),0)</f>
      </c>
      <c r="BP260" s="43">
        <f>+BN260-BO260</f>
      </c>
      <c r="BQ260" s="44">
        <f>+E260+H260+K260+N260+Q260+T260+W260+Z260+AC260+AF260+AI260+AL260+AO260+AR260+AU260+AX260+BA260+BD260+BG260+BJ260+BM260+BP260</f>
      </c>
    </row>
    <row r="261" ht="12" customHeight="1" spans="1:69" x14ac:dyDescent="0.25">
      <c r="A261" s="9">
        <v>428200000</v>
      </c>
      <c r="B261" s="9" t="s">
        <v>298</v>
      </c>
      <c r="C261" s="34">
        <f>IFERROR(VLOOKUP("1_"&amp;A261,SyS!$B:$P,10,FALSE()),0)</f>
      </c>
      <c r="D261" s="35">
        <f>IFERROR(VLOOKUP("1_"&amp;A261,SyS!$B:$P,12,FALSE()),0)</f>
      </c>
      <c r="E261" s="35">
        <f>+C261-D261</f>
      </c>
      <c r="F261" s="34">
        <f>IFERROR(VLOOKUP("2_"&amp;A261,SyS!$B:$P,10,FALSE()),0)</f>
      </c>
      <c r="G261" s="35">
        <f>IFERROR(VLOOKUP("2_"&amp;A261,SyS!$B:$P,12,FALSE()),0)</f>
      </c>
      <c r="H261" s="36">
        <f>+F261-G261</f>
      </c>
      <c r="I261" s="35"/>
      <c r="J261" s="35"/>
      <c r="K261" s="35"/>
      <c r="L261" s="35"/>
      <c r="M261" s="35"/>
      <c r="N261" s="35"/>
      <c r="O261" s="34">
        <f>IFERROR(VLOOKUP("14_"&amp;A261,SyS!$B:$P,10,FALSE()),0)</f>
      </c>
      <c r="P261" s="35">
        <f>IFERROR(VLOOKUP("14_"&amp;A261,SyS!$B:$P,12,FALSE()),0)</f>
      </c>
      <c r="Q261" s="36">
        <f>+O261-P261</f>
      </c>
      <c r="R261" s="34">
        <f>IFERROR(VLOOKUP("15_"&amp;A261,SyS!$B:$P,10,FALSE()),0)</f>
      </c>
      <c r="S261" s="35">
        <f>IFERROR(VLOOKUP("15_"&amp;A261,SyS!$B:$P,12,FALSE()),0)</f>
      </c>
      <c r="T261" s="36">
        <f>+R261-S261</f>
      </c>
      <c r="U261" s="34">
        <f>IFERROR(VLOOKUP("16_"&amp;A261,SyS!$B:$P,10,FALSE()),0)</f>
      </c>
      <c r="V261" s="35">
        <f>IFERROR(VLOOKUP("16_"&amp;A261,SyS!$B:$P,12,FALSE()),0)</f>
      </c>
      <c r="W261" s="36">
        <f>+U261-V261</f>
      </c>
      <c r="X261" s="34">
        <f>IFERROR(VLOOKUP("13_"&amp;A261,SyS!$B:$P,10,FALSE()),0)</f>
      </c>
      <c r="Y261" s="35">
        <f>IFERROR(VLOOKUP("13_"&amp;A261,SyS!$B:$P,12,FALSE()),0)</f>
      </c>
      <c r="Z261" s="36">
        <f>+X261-Y261</f>
      </c>
      <c r="AA261" s="34">
        <f>IFERROR(VLOOKUP("17_"&amp;A261,SyS!$B:$P,10,FALSE()),0)</f>
      </c>
      <c r="AB261" s="35">
        <f>IFERROR(VLOOKUP("17_"&amp;A261,SyS!$B:$P,12,FALSE()),0)</f>
      </c>
      <c r="AC261" s="36">
        <f>+AA261-AB261</f>
      </c>
      <c r="AD261" s="35"/>
      <c r="AE261" s="35"/>
      <c r="AF261" s="35"/>
      <c r="AG261" s="35">
        <f>IFERROR(VLOOKUP("19_"&amp;A261,SyS!$B:$P,10,FALSE()),0)</f>
      </c>
      <c r="AH261" s="35">
        <f>IFERROR(VLOOKUP("19_"&amp;A261,SyS!$B:$P,12,FALSE()),0)</f>
      </c>
      <c r="AI261" s="35">
        <f>+AG261-AH261</f>
      </c>
      <c r="AJ261" s="35"/>
      <c r="AK261" s="35"/>
      <c r="AL261" s="35"/>
      <c r="AM261" s="34">
        <f>IFERROR(VLOOKUP("23_"&amp;A261,SyS!$B:$P,10,FALSE()),0)</f>
      </c>
      <c r="AN261" s="35">
        <f>IFERROR(VLOOKUP("23_"&amp;A261,SyS!$B:$P,12,FALSE()),0)</f>
      </c>
      <c r="AO261" s="36">
        <f>+AM261-AN261</f>
      </c>
      <c r="AP261" s="40"/>
      <c r="AQ261" s="40"/>
      <c r="AR261" s="40"/>
      <c r="AS261" s="40"/>
      <c r="AT261" s="40"/>
      <c r="AU261" s="40"/>
      <c r="AV261" s="40"/>
      <c r="AW261" s="40"/>
      <c r="AX261" s="40"/>
      <c r="AY261" s="40"/>
      <c r="AZ261" s="40"/>
      <c r="BA261" s="40"/>
      <c r="BB261" s="40"/>
      <c r="BC261" s="40"/>
      <c r="BD261" s="40"/>
      <c r="BE261" s="40"/>
      <c r="BF261" s="40"/>
      <c r="BG261" s="40"/>
      <c r="BH261" s="40"/>
      <c r="BI261" s="40"/>
      <c r="BJ261" s="40"/>
      <c r="BK261" s="40">
        <f>IFERROR(VLOOKUP("29_"&amp;A261,SyS!$B:$P,10,FALSE()),0)</f>
      </c>
      <c r="BL261" s="40">
        <f>IFERROR(VLOOKUP("29_"&amp;A261,SyS!$B:$P,12,FALSE()),0)</f>
      </c>
      <c r="BM261" s="40">
        <f>+BK261-BL261</f>
      </c>
      <c r="BN261" s="42">
        <f>IFERROR(VLOOKUP("30_"&amp;A261,SyS!$B:$P,10,FALSE()),0)</f>
      </c>
      <c r="BO261" s="40">
        <f>IFERROR(VLOOKUP("30_"&amp;A261,SyS!$B:$P,12,FALSE()),0)</f>
      </c>
      <c r="BP261" s="43">
        <f>+BN261-BO261</f>
      </c>
      <c r="BQ261" s="44">
        <f>+E261+H261+K261+N261+Q261+T261+W261+Z261+AC261+AF261+AI261+AL261+AO261+AR261+AU261+AX261+BA261+BD261+BG261+BJ261+BM261+BP261</f>
      </c>
    </row>
    <row r="262" ht="11.25" customHeight="1" spans="1:69" x14ac:dyDescent="0.25">
      <c r="A262" s="9">
        <v>421950000</v>
      </c>
      <c r="B262" s="9" t="s">
        <v>299</v>
      </c>
      <c r="C262" s="34">
        <f>IFERROR(VLOOKUP("1_"&amp;A262,SyS!$B:$P,10,FALSE()),0)</f>
      </c>
      <c r="D262" s="35">
        <f>IFERROR(VLOOKUP("1_"&amp;A262,SyS!$B:$P,12,FALSE()),0)</f>
      </c>
      <c r="E262" s="35">
        <f>+C262-D262</f>
      </c>
      <c r="F262" s="34">
        <f>IFERROR(VLOOKUP("2_"&amp;A262,SyS!$B:$P,10,FALSE()),0)</f>
      </c>
      <c r="G262" s="35">
        <f>IFERROR(VLOOKUP("2_"&amp;A262,SyS!$B:$P,12,FALSE()),0)</f>
      </c>
      <c r="H262" s="36">
        <f>+F262-G262</f>
      </c>
      <c r="I262" s="35"/>
      <c r="J262" s="35"/>
      <c r="K262" s="35"/>
      <c r="L262" s="35"/>
      <c r="M262" s="35"/>
      <c r="N262" s="35"/>
      <c r="O262" s="34">
        <f>IFERROR(VLOOKUP("14_"&amp;A262,SyS!$B:$P,10,FALSE()),0)</f>
      </c>
      <c r="P262" s="35">
        <f>IFERROR(VLOOKUP("14_"&amp;A262,SyS!$B:$P,12,FALSE()),0)</f>
      </c>
      <c r="Q262" s="36">
        <f>+O262-P262</f>
      </c>
      <c r="R262" s="34">
        <f>IFERROR(VLOOKUP("15_"&amp;A262,SyS!$B:$P,10,FALSE()),0)</f>
      </c>
      <c r="S262" s="35">
        <f>IFERROR(VLOOKUP("15_"&amp;A262,SyS!$B:$P,12,FALSE()),0)</f>
      </c>
      <c r="T262" s="36">
        <f>+R262-S262</f>
      </c>
      <c r="U262" s="34">
        <f>IFERROR(VLOOKUP("16_"&amp;A262,SyS!$B:$P,10,FALSE()),0)</f>
      </c>
      <c r="V262" s="35">
        <f>IFERROR(VLOOKUP("16_"&amp;A262,SyS!$B:$P,12,FALSE()),0)</f>
      </c>
      <c r="W262" s="36">
        <f>+U262-V262</f>
      </c>
      <c r="X262" s="34">
        <f>IFERROR(VLOOKUP("13_"&amp;A262,SyS!$B:$P,10,FALSE()),0)</f>
      </c>
      <c r="Y262" s="35">
        <f>IFERROR(VLOOKUP("13_"&amp;A262,SyS!$B:$P,12,FALSE()),0)</f>
      </c>
      <c r="Z262" s="36">
        <f>+X262-Y262</f>
      </c>
      <c r="AA262" s="34">
        <f>IFERROR(VLOOKUP("17_"&amp;A262,SyS!$B:$P,10,FALSE()),0)</f>
      </c>
      <c r="AB262" s="35">
        <f>IFERROR(VLOOKUP("17_"&amp;A262,SyS!$B:$P,12,FALSE()),0)</f>
      </c>
      <c r="AC262" s="36">
        <f>+AA262-AB262</f>
      </c>
      <c r="AD262" s="35"/>
      <c r="AE262" s="35"/>
      <c r="AF262" s="35"/>
      <c r="AG262" s="35">
        <f>IFERROR(VLOOKUP("19_"&amp;A262,SyS!$B:$P,10,FALSE()),0)</f>
      </c>
      <c r="AH262" s="35">
        <f>IFERROR(VLOOKUP("19_"&amp;A262,SyS!$B:$P,12,FALSE()),0)</f>
      </c>
      <c r="AI262" s="35">
        <f>+AG262-AH262</f>
      </c>
      <c r="AJ262" s="35"/>
      <c r="AK262" s="35"/>
      <c r="AL262" s="35"/>
      <c r="AM262" s="34">
        <f>IFERROR(VLOOKUP("23_"&amp;A262,SyS!$B:$P,10,FALSE()),0)</f>
      </c>
      <c r="AN262" s="35">
        <f>IFERROR(VLOOKUP("23_"&amp;A262,SyS!$B:$P,12,FALSE()),0)</f>
      </c>
      <c r="AO262" s="36">
        <f>+AM262-AN262</f>
      </c>
      <c r="AP262" s="40"/>
      <c r="AQ262" s="40"/>
      <c r="AR262" s="40"/>
      <c r="AS262" s="40"/>
      <c r="AT262" s="40"/>
      <c r="AU262" s="40"/>
      <c r="AV262" s="40"/>
      <c r="AW262" s="40"/>
      <c r="AX262" s="40"/>
      <c r="AY262" s="40"/>
      <c r="AZ262" s="40"/>
      <c r="BA262" s="40"/>
      <c r="BB262" s="40"/>
      <c r="BC262" s="40"/>
      <c r="BD262" s="40"/>
      <c r="BE262" s="40"/>
      <c r="BF262" s="40"/>
      <c r="BG262" s="40"/>
      <c r="BH262" s="40"/>
      <c r="BI262" s="40"/>
      <c r="BJ262" s="40"/>
      <c r="BK262" s="40">
        <f>IFERROR(VLOOKUP("29_"&amp;A262,SyS!$B:$P,10,FALSE()),0)</f>
      </c>
      <c r="BL262" s="40">
        <f>IFERROR(VLOOKUP("29_"&amp;A262,SyS!$B:$P,12,FALSE()),0)</f>
      </c>
      <c r="BM262" s="40">
        <f>+BK262-BL262</f>
      </c>
      <c r="BN262" s="42">
        <f>IFERROR(VLOOKUP("30_"&amp;A262,SyS!$B:$P,10,FALSE()),0)</f>
      </c>
      <c r="BO262" s="40">
        <f>IFERROR(VLOOKUP("30_"&amp;A262,SyS!$B:$P,12,FALSE()),0)</f>
      </c>
      <c r="BP262" s="43">
        <f>+BN262-BO262</f>
      </c>
      <c r="BQ262" s="44">
        <f>+E262+H262+K262+N262+Q262+T262+W262+Z262+AC262+AF262+AI262+AL262+AO262+AR262+AU262+AX262+BA262+BD262+BG262+BJ262+BM262+BP262</f>
      </c>
    </row>
    <row r="263" ht="11.25" customHeight="1" spans="1:69" x14ac:dyDescent="0.25">
      <c r="A263" s="48"/>
      <c r="B263" s="49" t="s">
        <v>300</v>
      </c>
      <c r="C263" s="34">
        <f>IFERROR(VLOOKUP("1_"&amp;A262,SyS!$B:$P,10,FALSE()),0)</f>
      </c>
      <c r="D263" s="35">
        <f>IFERROR(VLOOKUP("1_"&amp;A262,SyS!$B:$P,12,FALSE()),0)</f>
      </c>
      <c r="E263" s="35">
        <f>+C262-D262</f>
      </c>
      <c r="F263" s="34"/>
      <c r="G263" s="35"/>
      <c r="H263" s="36"/>
      <c r="I263" s="35"/>
      <c r="J263" s="35"/>
      <c r="K263" s="35"/>
      <c r="L263" s="35"/>
      <c r="M263" s="35"/>
      <c r="N263" s="35"/>
      <c r="O263" s="34"/>
      <c r="P263" s="35"/>
      <c r="Q263" s="36"/>
      <c r="R263" s="34"/>
      <c r="S263" s="35"/>
      <c r="T263" s="36"/>
      <c r="U263" s="34"/>
      <c r="V263" s="35"/>
      <c r="W263" s="36"/>
      <c r="X263" s="34"/>
      <c r="Y263" s="35"/>
      <c r="Z263" s="36"/>
      <c r="AA263" s="34"/>
      <c r="AB263" s="35"/>
      <c r="AC263" s="36"/>
      <c r="AD263" s="35"/>
      <c r="AE263" s="35"/>
      <c r="AF263" s="35"/>
      <c r="AG263" s="35"/>
      <c r="AH263" s="35"/>
      <c r="AI263" s="35"/>
      <c r="AJ263" s="35"/>
      <c r="AK263" s="35"/>
      <c r="AL263" s="35"/>
      <c r="AM263" s="34"/>
      <c r="AN263" s="35"/>
      <c r="AO263" s="36"/>
      <c r="AP263" s="40"/>
      <c r="AQ263" s="40"/>
      <c r="AR263" s="40"/>
      <c r="AS263" s="40"/>
      <c r="AT263" s="40"/>
      <c r="AU263" s="40"/>
      <c r="AV263" s="40"/>
      <c r="AW263" s="40"/>
      <c r="AX263" s="40"/>
      <c r="AY263" s="40"/>
      <c r="AZ263" s="40"/>
      <c r="BA263" s="40"/>
      <c r="BB263" s="40"/>
      <c r="BC263" s="40"/>
      <c r="BD263" s="40"/>
      <c r="BE263" s="40"/>
      <c r="BF263" s="40"/>
      <c r="BG263" s="40"/>
      <c r="BH263" s="40"/>
      <c r="BI263" s="40"/>
      <c r="BJ263" s="40"/>
      <c r="BK263" s="40"/>
      <c r="BL263" s="40"/>
      <c r="BM263" s="40"/>
      <c r="BN263" s="42"/>
      <c r="BO263" s="40"/>
      <c r="BP263" s="43"/>
      <c r="BQ263" s="44"/>
    </row>
    <row r="264" ht="11.25" customHeight="1" spans="1:69" x14ac:dyDescent="0.25">
      <c r="A264" s="9">
        <v>429100000</v>
      </c>
      <c r="B264" s="9" t="s">
        <v>301</v>
      </c>
      <c r="C264" s="34">
        <f>IFERROR(VLOOKUP("1_"&amp;A264,SyS!$B:$P,10,FALSE()),0)</f>
      </c>
      <c r="D264" s="35">
        <f>IFERROR(VLOOKUP("1_"&amp;A264,SyS!$B:$P,12,FALSE()),0)</f>
      </c>
      <c r="E264" s="35">
        <f>+C264-D264</f>
      </c>
      <c r="F264" s="34">
        <f>IFERROR(VLOOKUP("2_"&amp;A264,SyS!$B:$P,10,FALSE()),0)</f>
      </c>
      <c r="G264" s="35">
        <f>IFERROR(VLOOKUP("2_"&amp;A264,SyS!$B:$P,12,FALSE()),0)</f>
      </c>
      <c r="H264" s="36">
        <f>+F264-G264</f>
      </c>
      <c r="I264" s="35"/>
      <c r="J264" s="35"/>
      <c r="K264" s="35"/>
      <c r="L264" s="35"/>
      <c r="M264" s="35"/>
      <c r="N264" s="35"/>
      <c r="O264" s="34">
        <f>IFERROR(VLOOKUP("14_"&amp;A264,SyS!$B:$P,10,FALSE()),0)</f>
      </c>
      <c r="P264" s="35">
        <f>IFERROR(VLOOKUP("14_"&amp;A264,SyS!$B:$P,12,FALSE()),0)</f>
      </c>
      <c r="Q264" s="36">
        <f>+O264-P264</f>
      </c>
      <c r="R264" s="34">
        <f>IFERROR(VLOOKUP("15_"&amp;A264,SyS!$B:$P,10,FALSE()),0)</f>
      </c>
      <c r="S264" s="35">
        <f>IFERROR(VLOOKUP("15_"&amp;A264,SyS!$B:$P,12,FALSE()),0)</f>
      </c>
      <c r="T264" s="36">
        <f>+R264-S264</f>
      </c>
      <c r="U264" s="34">
        <f>IFERROR(VLOOKUP("16_"&amp;A264,SyS!$B:$P,10,FALSE()),0)</f>
      </c>
      <c r="V264" s="35">
        <f>IFERROR(VLOOKUP("16_"&amp;A264,SyS!$B:$P,12,FALSE()),0)</f>
      </c>
      <c r="W264" s="36">
        <f>+U264-V264</f>
      </c>
      <c r="X264" s="34">
        <f>IFERROR(VLOOKUP("13_"&amp;A264,SyS!$B:$P,10,FALSE()),0)</f>
      </c>
      <c r="Y264" s="35">
        <f>IFERROR(VLOOKUP("13_"&amp;A264,SyS!$B:$P,12,FALSE()),0)</f>
      </c>
      <c r="Z264" s="36">
        <f>+X264-Y264</f>
      </c>
      <c r="AA264" s="34">
        <f>IFERROR(VLOOKUP("17_"&amp;A264,SyS!$B:$P,10,FALSE()),0)</f>
      </c>
      <c r="AB264" s="35">
        <f>IFERROR(VLOOKUP("17_"&amp;A264,SyS!$B:$P,12,FALSE()),0)</f>
      </c>
      <c r="AC264" s="36">
        <f>+AA264-AB264</f>
      </c>
      <c r="AD264" s="35"/>
      <c r="AE264" s="35"/>
      <c r="AF264" s="35"/>
      <c r="AG264" s="35">
        <f>IFERROR(VLOOKUP("19_"&amp;A264,SyS!$B:$P,10,FALSE()),0)</f>
      </c>
      <c r="AH264" s="35">
        <f>IFERROR(VLOOKUP("19_"&amp;A264,SyS!$B:$P,12,FALSE()),0)</f>
      </c>
      <c r="AI264" s="35">
        <f>+AG264-AH264</f>
      </c>
      <c r="AJ264" s="35"/>
      <c r="AK264" s="35"/>
      <c r="AL264" s="35"/>
      <c r="AM264" s="34">
        <f>IFERROR(VLOOKUP("23_"&amp;A264,SyS!$B:$P,10,FALSE()),0)</f>
      </c>
      <c r="AN264" s="35">
        <f>IFERROR(VLOOKUP("23_"&amp;A264,SyS!$B:$P,12,FALSE()),0)</f>
      </c>
      <c r="AO264" s="36">
        <f>+AM264-AN264</f>
      </c>
      <c r="AP264" s="40"/>
      <c r="AQ264" s="40"/>
      <c r="AR264" s="40"/>
      <c r="AS264" s="40"/>
      <c r="AT264" s="40"/>
      <c r="AU264" s="40"/>
      <c r="AV264" s="40"/>
      <c r="AW264" s="40"/>
      <c r="AX264" s="40"/>
      <c r="AY264" s="40"/>
      <c r="AZ264" s="40"/>
      <c r="BA264" s="40"/>
      <c r="BB264" s="40"/>
      <c r="BC264" s="40"/>
      <c r="BD264" s="40"/>
      <c r="BE264" s="40"/>
      <c r="BF264" s="40"/>
      <c r="BG264" s="40"/>
      <c r="BH264" s="40"/>
      <c r="BI264" s="40"/>
      <c r="BJ264" s="40"/>
      <c r="BK264" s="40">
        <f>IFERROR(VLOOKUP("29_"&amp;A264,SyS!$B:$P,10,FALSE()),0)</f>
      </c>
      <c r="BL264" s="40">
        <f>IFERROR(VLOOKUP("29_"&amp;A264,SyS!$B:$P,12,FALSE()),0)</f>
      </c>
      <c r="BM264" s="40">
        <f>+BK264-BL264</f>
      </c>
      <c r="BN264" s="42">
        <f>IFERROR(VLOOKUP("30_"&amp;A264,SyS!$B:$P,10,FALSE()),0)</f>
      </c>
      <c r="BO264" s="40">
        <f>IFERROR(VLOOKUP("30_"&amp;A264,SyS!$B:$P,12,FALSE()),0)</f>
      </c>
      <c r="BP264" s="43">
        <f>+BN264-BO264</f>
      </c>
      <c r="BQ264" s="44">
        <f>+E264+H264+K264+N264+Q264+T264+W264+Z264+AC264+AF264+AI264+AL264+AO264+AR264+AU264+AX264+BA264+BD264+BG264+BJ264+BM264+BP264</f>
      </c>
    </row>
    <row r="265" ht="11.25" customHeight="1" spans="1:69" x14ac:dyDescent="0.25">
      <c r="A265" s="9">
        <v>429200000</v>
      </c>
      <c r="B265" s="9" t="s">
        <v>302</v>
      </c>
      <c r="C265" s="34">
        <f>IFERROR(VLOOKUP("1_"&amp;A265,SyS!$B:$P,10,FALSE()),0)</f>
      </c>
      <c r="D265" s="35">
        <f>IFERROR(VLOOKUP("1_"&amp;A265,SyS!$B:$P,12,FALSE()),0)</f>
      </c>
      <c r="E265" s="35">
        <f>+C265-D265</f>
      </c>
      <c r="F265" s="34">
        <f>IFERROR(VLOOKUP("2_"&amp;A265,SyS!$B:$P,10,FALSE()),0)</f>
      </c>
      <c r="G265" s="35">
        <f>IFERROR(VLOOKUP("2_"&amp;A265,SyS!$B:$P,12,FALSE()),0)</f>
      </c>
      <c r="H265" s="36">
        <f>+F265-G265</f>
      </c>
      <c r="I265" s="35"/>
      <c r="J265" s="35"/>
      <c r="K265" s="35"/>
      <c r="L265" s="35"/>
      <c r="M265" s="35"/>
      <c r="N265" s="35"/>
      <c r="O265" s="34">
        <f>IFERROR(VLOOKUP("14_"&amp;A265,SyS!$B:$P,10,FALSE()),0)</f>
      </c>
      <c r="P265" s="35">
        <f>IFERROR(VLOOKUP("14_"&amp;A265,SyS!$B:$P,12,FALSE()),0)</f>
      </c>
      <c r="Q265" s="36">
        <f>+O265-P265</f>
      </c>
      <c r="R265" s="34">
        <f>IFERROR(VLOOKUP("15_"&amp;A265,SyS!$B:$P,10,FALSE()),0)</f>
      </c>
      <c r="S265" s="35">
        <f>IFERROR(VLOOKUP("15_"&amp;A265,SyS!$B:$P,12,FALSE()),0)</f>
      </c>
      <c r="T265" s="36">
        <f>+R265-S265</f>
      </c>
      <c r="U265" s="34">
        <f>IFERROR(VLOOKUP("16_"&amp;A265,SyS!$B:$P,10,FALSE()),0)</f>
      </c>
      <c r="V265" s="35">
        <f>IFERROR(VLOOKUP("16_"&amp;A265,SyS!$B:$P,12,FALSE()),0)</f>
      </c>
      <c r="W265" s="36">
        <f>+U265-V265</f>
      </c>
      <c r="X265" s="34">
        <f>IFERROR(VLOOKUP("13_"&amp;A265,SyS!$B:$P,10,FALSE()),0)</f>
      </c>
      <c r="Y265" s="35">
        <f>IFERROR(VLOOKUP("13_"&amp;A265,SyS!$B:$P,12,FALSE()),0)</f>
      </c>
      <c r="Z265" s="36">
        <f>+X265-Y265</f>
      </c>
      <c r="AA265" s="34">
        <f>IFERROR(VLOOKUP("17_"&amp;A265,SyS!$B:$P,10,FALSE()),0)</f>
      </c>
      <c r="AB265" s="35">
        <f>IFERROR(VLOOKUP("17_"&amp;A265,SyS!$B:$P,12,FALSE()),0)</f>
      </c>
      <c r="AC265" s="36">
        <f>+AA265-AB265</f>
      </c>
      <c r="AD265" s="35"/>
      <c r="AE265" s="35"/>
      <c r="AF265" s="35"/>
      <c r="AG265" s="35">
        <f>IFERROR(VLOOKUP("19_"&amp;A265,SyS!$B:$P,10,FALSE()),0)</f>
      </c>
      <c r="AH265" s="35">
        <f>IFERROR(VLOOKUP("19_"&amp;A265,SyS!$B:$P,12,FALSE()),0)</f>
      </c>
      <c r="AI265" s="35">
        <f>+AG265-AH265</f>
      </c>
      <c r="AJ265" s="35"/>
      <c r="AK265" s="35"/>
      <c r="AL265" s="35"/>
      <c r="AM265" s="34">
        <f>IFERROR(VLOOKUP("23_"&amp;A265,SyS!$B:$P,10,FALSE()),0)</f>
      </c>
      <c r="AN265" s="35">
        <f>IFERROR(VLOOKUP("23_"&amp;A265,SyS!$B:$P,12,FALSE()),0)</f>
      </c>
      <c r="AO265" s="36">
        <f>+AM265-AN265</f>
      </c>
      <c r="AP265" s="40"/>
      <c r="AQ265" s="40"/>
      <c r="AR265" s="40"/>
      <c r="AS265" s="40"/>
      <c r="AT265" s="40"/>
      <c r="AU265" s="40"/>
      <c r="AV265" s="40"/>
      <c r="AW265" s="40"/>
      <c r="AX265" s="40"/>
      <c r="AY265" s="40"/>
      <c r="AZ265" s="40"/>
      <c r="BA265" s="40"/>
      <c r="BB265" s="40"/>
      <c r="BC265" s="40"/>
      <c r="BD265" s="40"/>
      <c r="BE265" s="40"/>
      <c r="BF265" s="40"/>
      <c r="BG265" s="40"/>
      <c r="BH265" s="40"/>
      <c r="BI265" s="40"/>
      <c r="BJ265" s="40"/>
      <c r="BK265" s="40">
        <f>IFERROR(VLOOKUP("29_"&amp;A265,SyS!$B:$P,10,FALSE()),0)</f>
      </c>
      <c r="BL265" s="40">
        <f>IFERROR(VLOOKUP("29_"&amp;A265,SyS!$B:$P,12,FALSE()),0)</f>
      </c>
      <c r="BM265" s="40">
        <f>+BK265-BL265</f>
      </c>
      <c r="BN265" s="42">
        <f>IFERROR(VLOOKUP("30_"&amp;A265,SyS!$B:$P,10,FALSE()),0)</f>
      </c>
      <c r="BO265" s="40">
        <f>IFERROR(VLOOKUP("30_"&amp;A265,SyS!$B:$P,12,FALSE()),0)</f>
      </c>
      <c r="BP265" s="43">
        <f>+BN265-BO265</f>
      </c>
      <c r="BQ265" s="44">
        <f>+E265+H265+K265+N265+Q265+T265+W265+Z265+AC265+AF265+AI265+AL265+AO265+AR265+AU265+AX265+BA265+BD265+BG265+BJ265+BM265+BP265</f>
      </c>
    </row>
    <row r="266" ht="11.25" customHeight="1" spans="1:69" x14ac:dyDescent="0.25">
      <c r="A266" s="9">
        <v>429300000</v>
      </c>
      <c r="B266" s="9" t="s">
        <v>303</v>
      </c>
      <c r="C266" s="34">
        <f>IFERROR(VLOOKUP("1_"&amp;A266,SyS!$B:$P,10,FALSE()),0)</f>
      </c>
      <c r="D266" s="35">
        <f>IFERROR(VLOOKUP("1_"&amp;A266,SyS!$B:$P,12,FALSE()),0)</f>
      </c>
      <c r="E266" s="35">
        <f>+C266-D266</f>
      </c>
      <c r="F266" s="34">
        <f>IFERROR(VLOOKUP("2_"&amp;A266,SyS!$B:$P,10,FALSE()),0)</f>
      </c>
      <c r="G266" s="35">
        <f>IFERROR(VLOOKUP("2_"&amp;A266,SyS!$B:$P,12,FALSE()),0)</f>
      </c>
      <c r="H266" s="36">
        <f>+F266-G266</f>
      </c>
      <c r="I266" s="35"/>
      <c r="J266" s="35"/>
      <c r="K266" s="35"/>
      <c r="L266" s="35"/>
      <c r="M266" s="35"/>
      <c r="N266" s="35"/>
      <c r="O266" s="34">
        <f>IFERROR(VLOOKUP("14_"&amp;A266,SyS!$B:$P,10,FALSE()),0)</f>
      </c>
      <c r="P266" s="35">
        <f>IFERROR(VLOOKUP("14_"&amp;A266,SyS!$B:$P,12,FALSE()),0)</f>
      </c>
      <c r="Q266" s="36">
        <f>+O266-P266</f>
      </c>
      <c r="R266" s="34">
        <f>IFERROR(VLOOKUP("15_"&amp;A266,SyS!$B:$P,10,FALSE()),0)</f>
      </c>
      <c r="S266" s="35">
        <f>IFERROR(VLOOKUP("15_"&amp;A266,SyS!$B:$P,12,FALSE()),0)</f>
      </c>
      <c r="T266" s="36">
        <f>+R266-S266</f>
      </c>
      <c r="U266" s="34">
        <f>IFERROR(VLOOKUP("16_"&amp;A266,SyS!$B:$P,10,FALSE()),0)</f>
      </c>
      <c r="V266" s="35">
        <f>IFERROR(VLOOKUP("16_"&amp;A266,SyS!$B:$P,12,FALSE()),0)</f>
      </c>
      <c r="W266" s="36">
        <f>+U266-V266</f>
      </c>
      <c r="X266" s="34">
        <f>IFERROR(VLOOKUP("13_"&amp;A266,SyS!$B:$P,10,FALSE()),0)</f>
      </c>
      <c r="Y266" s="35">
        <f>IFERROR(VLOOKUP("13_"&amp;A266,SyS!$B:$P,12,FALSE()),0)</f>
      </c>
      <c r="Z266" s="36">
        <f>+X266-Y266</f>
      </c>
      <c r="AA266" s="34">
        <f>IFERROR(VLOOKUP("17_"&amp;A266,SyS!$B:$P,10,FALSE()),0)</f>
      </c>
      <c r="AB266" s="35">
        <f>IFERROR(VLOOKUP("17_"&amp;A266,SyS!$B:$P,12,FALSE()),0)</f>
      </c>
      <c r="AC266" s="36">
        <f>+AA266-AB266</f>
      </c>
      <c r="AD266" s="35"/>
      <c r="AE266" s="35"/>
      <c r="AF266" s="35"/>
      <c r="AG266" s="35">
        <f>IFERROR(VLOOKUP("19_"&amp;A266,SyS!$B:$P,10,FALSE()),0)</f>
      </c>
      <c r="AH266" s="35">
        <f>IFERROR(VLOOKUP("19_"&amp;A266,SyS!$B:$P,12,FALSE()),0)</f>
      </c>
      <c r="AI266" s="35">
        <f>+AG266-AH266</f>
      </c>
      <c r="AJ266" s="35"/>
      <c r="AK266" s="35"/>
      <c r="AL266" s="35"/>
      <c r="AM266" s="34">
        <f>IFERROR(VLOOKUP("23_"&amp;A266,SyS!$B:$P,10,FALSE()),0)</f>
      </c>
      <c r="AN266" s="35">
        <f>IFERROR(VLOOKUP("23_"&amp;A266,SyS!$B:$P,12,FALSE()),0)</f>
      </c>
      <c r="AO266" s="36">
        <f>+AM266-AN266</f>
      </c>
      <c r="AP266" s="40"/>
      <c r="AQ266" s="40"/>
      <c r="AR266" s="40"/>
      <c r="AS266" s="40"/>
      <c r="AT266" s="40"/>
      <c r="AU266" s="40"/>
      <c r="AV266" s="40"/>
      <c r="AW266" s="40"/>
      <c r="AX266" s="40"/>
      <c r="AY266" s="40"/>
      <c r="AZ266" s="40"/>
      <c r="BA266" s="40"/>
      <c r="BB266" s="40"/>
      <c r="BC266" s="40"/>
      <c r="BD266" s="40"/>
      <c r="BE266" s="40"/>
      <c r="BF266" s="40"/>
      <c r="BG266" s="40"/>
      <c r="BH266" s="40"/>
      <c r="BI266" s="40"/>
      <c r="BJ266" s="40"/>
      <c r="BK266" s="40">
        <f>IFERROR(VLOOKUP("29_"&amp;A266,SyS!$B:$P,10,FALSE()),0)</f>
      </c>
      <c r="BL266" s="40">
        <f>IFERROR(VLOOKUP("29_"&amp;A266,SyS!$B:$P,12,FALSE()),0)</f>
      </c>
      <c r="BM266" s="40">
        <f>+BK266-BL266</f>
      </c>
      <c r="BN266" s="42">
        <f>IFERROR(VLOOKUP("30_"&amp;A266,SyS!$B:$P,10,FALSE()),0)</f>
      </c>
      <c r="BO266" s="40">
        <f>IFERROR(VLOOKUP("30_"&amp;A266,SyS!$B:$P,12,FALSE()),0)</f>
      </c>
      <c r="BP266" s="43">
        <f>+BN266-BO266</f>
      </c>
      <c r="BQ266" s="44">
        <f>+E266+H266+K266+N266+Q266+T266+W266+Z266+AC266+AF266+AI266+AL266+AO266+AR266+AU266+AX266+BA266+BD266+BG266+BJ266+BM266+BP266</f>
      </c>
    </row>
    <row r="267" ht="11.25" customHeight="1" spans="1:69" x14ac:dyDescent="0.25">
      <c r="A267" s="9">
        <v>429400000</v>
      </c>
      <c r="B267" s="9" t="s">
        <v>304</v>
      </c>
      <c r="C267" s="34">
        <f>IFERROR(VLOOKUP("1_"&amp;A267,SyS!$B:$P,10,FALSE()),0)</f>
      </c>
      <c r="D267" s="35">
        <f>IFERROR(VLOOKUP("1_"&amp;A267,SyS!$B:$P,12,FALSE()),0)</f>
      </c>
      <c r="E267" s="35">
        <f>+C267-D267</f>
      </c>
      <c r="F267" s="34">
        <f>IFERROR(VLOOKUP("2_"&amp;A267,SyS!$B:$P,10,FALSE()),0)</f>
      </c>
      <c r="G267" s="35">
        <f>IFERROR(VLOOKUP("2_"&amp;A267,SyS!$B:$P,12,FALSE()),0)</f>
      </c>
      <c r="H267" s="36">
        <f>+F267-G267</f>
      </c>
      <c r="I267" s="35"/>
      <c r="J267" s="35"/>
      <c r="K267" s="35"/>
      <c r="L267" s="35"/>
      <c r="M267" s="35"/>
      <c r="N267" s="35"/>
      <c r="O267" s="34">
        <f>IFERROR(VLOOKUP("14_"&amp;A267,SyS!$B:$P,10,FALSE()),0)</f>
      </c>
      <c r="P267" s="35">
        <f>IFERROR(VLOOKUP("14_"&amp;A267,SyS!$B:$P,12,FALSE()),0)</f>
      </c>
      <c r="Q267" s="36">
        <f>+O267-P267</f>
      </c>
      <c r="R267" s="34">
        <f>IFERROR(VLOOKUP("15_"&amp;A267,SyS!$B:$P,10,FALSE()),0)</f>
      </c>
      <c r="S267" s="35">
        <f>IFERROR(VLOOKUP("15_"&amp;A267,SyS!$B:$P,12,FALSE()),0)</f>
      </c>
      <c r="T267" s="36">
        <f>+R267-S267</f>
      </c>
      <c r="U267" s="34">
        <f>IFERROR(VLOOKUP("16_"&amp;A267,SyS!$B:$P,10,FALSE()),0)</f>
      </c>
      <c r="V267" s="35">
        <f>IFERROR(VLOOKUP("16_"&amp;A267,SyS!$B:$P,12,FALSE()),0)</f>
      </c>
      <c r="W267" s="36">
        <f>+U267-V267</f>
      </c>
      <c r="X267" s="34">
        <f>IFERROR(VLOOKUP("13_"&amp;A267,SyS!$B:$P,10,FALSE()),0)</f>
      </c>
      <c r="Y267" s="35">
        <f>IFERROR(VLOOKUP("13_"&amp;A267,SyS!$B:$P,12,FALSE()),0)</f>
      </c>
      <c r="Z267" s="36">
        <f>+X267-Y267</f>
      </c>
      <c r="AA267" s="34">
        <f>IFERROR(VLOOKUP("17_"&amp;A267,SyS!$B:$P,10,FALSE()),0)</f>
      </c>
      <c r="AB267" s="35">
        <f>IFERROR(VLOOKUP("17_"&amp;A267,SyS!$B:$P,12,FALSE()),0)</f>
      </c>
      <c r="AC267" s="36">
        <f>+AA267-AB267</f>
      </c>
      <c r="AD267" s="35"/>
      <c r="AE267" s="35"/>
      <c r="AF267" s="35"/>
      <c r="AG267" s="35">
        <f>IFERROR(VLOOKUP("19_"&amp;A267,SyS!$B:$P,10,FALSE()),0)</f>
      </c>
      <c r="AH267" s="35">
        <f>IFERROR(VLOOKUP("19_"&amp;A267,SyS!$B:$P,12,FALSE()),0)</f>
      </c>
      <c r="AI267" s="35">
        <f>+AG267-AH267</f>
      </c>
      <c r="AJ267" s="35"/>
      <c r="AK267" s="35"/>
      <c r="AL267" s="35"/>
      <c r="AM267" s="34">
        <f>IFERROR(VLOOKUP("23_"&amp;A267,SyS!$B:$P,10,FALSE()),0)</f>
      </c>
      <c r="AN267" s="35">
        <f>IFERROR(VLOOKUP("23_"&amp;A267,SyS!$B:$P,12,FALSE()),0)</f>
      </c>
      <c r="AO267" s="36">
        <f>+AM267-AN267</f>
      </c>
      <c r="AP267" s="40"/>
      <c r="AQ267" s="40"/>
      <c r="AR267" s="40"/>
      <c r="AS267" s="40"/>
      <c r="AT267" s="40"/>
      <c r="AU267" s="40"/>
      <c r="AV267" s="40"/>
      <c r="AW267" s="40"/>
      <c r="AX267" s="40"/>
      <c r="AY267" s="40"/>
      <c r="AZ267" s="40"/>
      <c r="BA267" s="40"/>
      <c r="BB267" s="40"/>
      <c r="BC267" s="40"/>
      <c r="BD267" s="40"/>
      <c r="BE267" s="40"/>
      <c r="BF267" s="40"/>
      <c r="BG267" s="40"/>
      <c r="BH267" s="40"/>
      <c r="BI267" s="40"/>
      <c r="BJ267" s="40"/>
      <c r="BK267" s="40">
        <f>IFERROR(VLOOKUP("29_"&amp;A267,SyS!$B:$P,10,FALSE()),0)</f>
      </c>
      <c r="BL267" s="40">
        <f>IFERROR(VLOOKUP("29_"&amp;A267,SyS!$B:$P,12,FALSE()),0)</f>
      </c>
      <c r="BM267" s="40">
        <f>+BK267-BL267</f>
      </c>
      <c r="BN267" s="42">
        <f>IFERROR(VLOOKUP("30_"&amp;A267,SyS!$B:$P,10,FALSE()),0)</f>
      </c>
      <c r="BO267" s="40">
        <f>IFERROR(VLOOKUP("30_"&amp;A267,SyS!$B:$P,12,FALSE()),0)</f>
      </c>
      <c r="BP267" s="43">
        <f>+BN267-BO267</f>
      </c>
      <c r="BQ267" s="44">
        <f>+E267+H267+K267+N267+Q267+T267+W267+Z267+AC267+AF267+AI267+AL267+AO267+AR267+AU267+AX267+BA267+BD267+BG267+BJ267+BM267+BP267</f>
      </c>
    </row>
    <row r="268" ht="11.25" customHeight="1" spans="1:69" x14ac:dyDescent="0.25">
      <c r="A268" s="9">
        <v>429500000</v>
      </c>
      <c r="B268" s="9" t="s">
        <v>305</v>
      </c>
      <c r="C268" s="34">
        <f>IFERROR(VLOOKUP("1_"&amp;A268,SyS!$B:$P,10,FALSE()),0)</f>
      </c>
      <c r="D268" s="35">
        <f>IFERROR(VLOOKUP("1_"&amp;A268,SyS!$B:$P,12,FALSE()),0)</f>
      </c>
      <c r="E268" s="35">
        <f>+C268-D268</f>
      </c>
      <c r="F268" s="34">
        <f>IFERROR(VLOOKUP("2_"&amp;A268,SyS!$B:$P,10,FALSE()),0)</f>
      </c>
      <c r="G268" s="35">
        <f>IFERROR(VLOOKUP("2_"&amp;A268,SyS!$B:$P,12,FALSE()),0)</f>
      </c>
      <c r="H268" s="36">
        <f>+F268-G268</f>
      </c>
      <c r="I268" s="35"/>
      <c r="J268" s="35"/>
      <c r="K268" s="35"/>
      <c r="L268" s="35"/>
      <c r="M268" s="35"/>
      <c r="N268" s="35"/>
      <c r="O268" s="34">
        <f>IFERROR(VLOOKUP("14_"&amp;A268,SyS!$B:$P,10,FALSE()),0)</f>
      </c>
      <c r="P268" s="35">
        <f>IFERROR(VLOOKUP("14_"&amp;A268,SyS!$B:$P,12,FALSE()),0)</f>
      </c>
      <c r="Q268" s="36">
        <f>+O268-P268</f>
      </c>
      <c r="R268" s="34">
        <f>IFERROR(VLOOKUP("15_"&amp;A268,SyS!$B:$P,10,FALSE()),0)</f>
      </c>
      <c r="S268" s="35">
        <f>IFERROR(VLOOKUP("15_"&amp;A268,SyS!$B:$P,12,FALSE()),0)</f>
      </c>
      <c r="T268" s="36">
        <f>+R268-S268</f>
      </c>
      <c r="U268" s="34">
        <f>IFERROR(VLOOKUP("16_"&amp;A268,SyS!$B:$P,10,FALSE()),0)</f>
      </c>
      <c r="V268" s="35">
        <f>IFERROR(VLOOKUP("16_"&amp;A268,SyS!$B:$P,12,FALSE()),0)</f>
      </c>
      <c r="W268" s="36">
        <f>+U268-V268</f>
      </c>
      <c r="X268" s="34">
        <f>IFERROR(VLOOKUP("13_"&amp;A268,SyS!$B:$P,10,FALSE()),0)</f>
      </c>
      <c r="Y268" s="35">
        <f>IFERROR(VLOOKUP("13_"&amp;A268,SyS!$B:$P,12,FALSE()),0)</f>
      </c>
      <c r="Z268" s="36">
        <f>+X268-Y268</f>
      </c>
      <c r="AA268" s="34">
        <f>IFERROR(VLOOKUP("17_"&amp;A268,SyS!$B:$P,10,FALSE()),0)</f>
      </c>
      <c r="AB268" s="35">
        <f>IFERROR(VLOOKUP("17_"&amp;A268,SyS!$B:$P,12,FALSE()),0)</f>
      </c>
      <c r="AC268" s="36">
        <f>+AA268-AB268</f>
      </c>
      <c r="AD268" s="35"/>
      <c r="AE268" s="35"/>
      <c r="AF268" s="35"/>
      <c r="AG268" s="35">
        <f>IFERROR(VLOOKUP("19_"&amp;A268,SyS!$B:$P,10,FALSE()),0)</f>
      </c>
      <c r="AH268" s="35">
        <f>IFERROR(VLOOKUP("19_"&amp;A268,SyS!$B:$P,12,FALSE()),0)</f>
      </c>
      <c r="AI268" s="35">
        <f>+AG268-AH268</f>
      </c>
      <c r="AJ268" s="35"/>
      <c r="AK268" s="35"/>
      <c r="AL268" s="35"/>
      <c r="AM268" s="34">
        <f>IFERROR(VLOOKUP("23_"&amp;A268,SyS!$B:$P,10,FALSE()),0)</f>
      </c>
      <c r="AN268" s="35">
        <f>IFERROR(VLOOKUP("23_"&amp;A268,SyS!$B:$P,12,FALSE()),0)</f>
      </c>
      <c r="AO268" s="36">
        <f>+AM268-AN268</f>
      </c>
      <c r="AP268" s="40"/>
      <c r="AQ268" s="40"/>
      <c r="AR268" s="40"/>
      <c r="AS268" s="40"/>
      <c r="AT268" s="40"/>
      <c r="AU268" s="40"/>
      <c r="AV268" s="40"/>
      <c r="AW268" s="40"/>
      <c r="AX268" s="40"/>
      <c r="AY268" s="40"/>
      <c r="AZ268" s="40"/>
      <c r="BA268" s="40"/>
      <c r="BB268" s="40"/>
      <c r="BC268" s="40"/>
      <c r="BD268" s="40"/>
      <c r="BE268" s="40"/>
      <c r="BF268" s="40"/>
      <c r="BG268" s="40"/>
      <c r="BH268" s="40"/>
      <c r="BI268" s="40"/>
      <c r="BJ268" s="40"/>
      <c r="BK268" s="40">
        <f>IFERROR(VLOOKUP("29_"&amp;A268,SyS!$B:$P,10,FALSE()),0)</f>
      </c>
      <c r="BL268" s="40">
        <f>IFERROR(VLOOKUP("29_"&amp;A268,SyS!$B:$P,12,FALSE()),0)</f>
      </c>
      <c r="BM268" s="40">
        <f>+BK268-BL268</f>
      </c>
      <c r="BN268" s="42">
        <f>IFERROR(VLOOKUP("30_"&amp;A268,SyS!$B:$P,10,FALSE()),0)</f>
      </c>
      <c r="BO268" s="40">
        <f>IFERROR(VLOOKUP("30_"&amp;A268,SyS!$B:$P,12,FALSE()),0)</f>
      </c>
      <c r="BP268" s="43">
        <f>+BN268-BO268</f>
      </c>
      <c r="BQ268" s="44">
        <f>+E268+H268+K268+N268+Q268+T268+W268+Z268+AC268+AF268+AI268+AL268+AO268+AR268+AU268+AX268+BA268+BD268+BG268+BJ268+BM268+BP268</f>
      </c>
    </row>
    <row r="269" ht="11.25" customHeight="1" spans="1:69" x14ac:dyDescent="0.25">
      <c r="A269" s="9">
        <v>429800000</v>
      </c>
      <c r="B269" s="9" t="s">
        <v>306</v>
      </c>
      <c r="C269" s="34">
        <f>IFERROR(VLOOKUP("1_"&amp;A269,SyS!$B:$P,10,FALSE()),0)</f>
      </c>
      <c r="D269" s="35">
        <f>IFERROR(VLOOKUP("1_"&amp;A269,SyS!$B:$P,12,FALSE()),0)</f>
      </c>
      <c r="E269" s="35">
        <f>+C269-D269</f>
      </c>
      <c r="F269" s="34">
        <f>IFERROR(VLOOKUP("2_"&amp;A269,SyS!$B:$P,10,FALSE()),0)</f>
      </c>
      <c r="G269" s="35">
        <f>IFERROR(VLOOKUP("2_"&amp;A269,SyS!$B:$P,12,FALSE()),0)</f>
      </c>
      <c r="H269" s="36">
        <f>+F269-G269</f>
      </c>
      <c r="I269" s="35"/>
      <c r="J269" s="35"/>
      <c r="K269" s="35"/>
      <c r="L269" s="35"/>
      <c r="M269" s="35"/>
      <c r="N269" s="35"/>
      <c r="O269" s="34">
        <f>IFERROR(VLOOKUP("14_"&amp;A269,SyS!$B:$P,10,FALSE()),0)</f>
      </c>
      <c r="P269" s="35">
        <f>IFERROR(VLOOKUP("14_"&amp;A269,SyS!$B:$P,12,FALSE()),0)</f>
      </c>
      <c r="Q269" s="36">
        <f>+O269-P269</f>
      </c>
      <c r="R269" s="34">
        <f>IFERROR(VLOOKUP("15_"&amp;A269,SyS!$B:$P,10,FALSE()),0)</f>
      </c>
      <c r="S269" s="35">
        <f>IFERROR(VLOOKUP("15_"&amp;A269,SyS!$B:$P,12,FALSE()),0)</f>
      </c>
      <c r="T269" s="36">
        <f>+R269-S269</f>
      </c>
      <c r="U269" s="34">
        <f>IFERROR(VLOOKUP("16_"&amp;A269,SyS!$B:$P,10,FALSE()),0)</f>
      </c>
      <c r="V269" s="35">
        <f>IFERROR(VLOOKUP("16_"&amp;A269,SyS!$B:$P,12,FALSE()),0)</f>
      </c>
      <c r="W269" s="36">
        <f>+U269-V269</f>
      </c>
      <c r="X269" s="34">
        <f>IFERROR(VLOOKUP("13_"&amp;A269,SyS!$B:$P,10,FALSE()),0)</f>
      </c>
      <c r="Y269" s="35">
        <f>IFERROR(VLOOKUP("13_"&amp;A269,SyS!$B:$P,12,FALSE()),0)</f>
      </c>
      <c r="Z269" s="36">
        <f>+X269-Y269</f>
      </c>
      <c r="AA269" s="34">
        <f>IFERROR(VLOOKUP("17_"&amp;A269,SyS!$B:$P,10,FALSE()),0)</f>
      </c>
      <c r="AB269" s="35">
        <f>IFERROR(VLOOKUP("17_"&amp;A269,SyS!$B:$P,12,FALSE()),0)</f>
      </c>
      <c r="AC269" s="36">
        <f>+AA269-AB269</f>
      </c>
      <c r="AD269" s="35"/>
      <c r="AE269" s="35"/>
      <c r="AF269" s="35"/>
      <c r="AG269" s="35">
        <f>IFERROR(VLOOKUP("19_"&amp;A269,SyS!$B:$P,10,FALSE()),0)</f>
      </c>
      <c r="AH269" s="35">
        <f>IFERROR(VLOOKUP("19_"&amp;A269,SyS!$B:$P,12,FALSE()),0)</f>
      </c>
      <c r="AI269" s="35">
        <f>+AG269-AH269</f>
      </c>
      <c r="AJ269" s="35"/>
      <c r="AK269" s="35"/>
      <c r="AL269" s="35"/>
      <c r="AM269" s="34">
        <f>IFERROR(VLOOKUP("23_"&amp;A269,SyS!$B:$P,10,FALSE()),0)</f>
      </c>
      <c r="AN269" s="35">
        <f>IFERROR(VLOOKUP("23_"&amp;A269,SyS!$B:$P,12,FALSE()),0)</f>
      </c>
      <c r="AO269" s="36">
        <f>+AM269-AN269</f>
      </c>
      <c r="AP269" s="40"/>
      <c r="AQ269" s="40"/>
      <c r="AR269" s="40"/>
      <c r="AS269" s="40"/>
      <c r="AT269" s="40"/>
      <c r="AU269" s="40"/>
      <c r="AV269" s="40"/>
      <c r="AW269" s="40"/>
      <c r="AX269" s="40"/>
      <c r="AY269" s="40"/>
      <c r="AZ269" s="40"/>
      <c r="BA269" s="40"/>
      <c r="BB269" s="40"/>
      <c r="BC269" s="40"/>
      <c r="BD269" s="40"/>
      <c r="BE269" s="40"/>
      <c r="BF269" s="40"/>
      <c r="BG269" s="40"/>
      <c r="BH269" s="40"/>
      <c r="BI269" s="40"/>
      <c r="BJ269" s="40"/>
      <c r="BK269" s="40">
        <f>IFERROR(VLOOKUP("29_"&amp;A269,SyS!$B:$P,10,FALSE()),0)</f>
      </c>
      <c r="BL269" s="40">
        <f>IFERROR(VLOOKUP("29_"&amp;A269,SyS!$B:$P,12,FALSE()),0)</f>
      </c>
      <c r="BM269" s="40">
        <f>+BK269-BL269</f>
      </c>
      <c r="BN269" s="42">
        <f>IFERROR(VLOOKUP("30_"&amp;A269,SyS!$B:$P,10,FALSE()),0)</f>
      </c>
      <c r="BO269" s="40">
        <f>IFERROR(VLOOKUP("30_"&amp;A269,SyS!$B:$P,12,FALSE()),0)</f>
      </c>
      <c r="BP269" s="43">
        <f>+BN269-BO269</f>
      </c>
      <c r="BQ269" s="44">
        <f>+E269+H269+K269+N269+Q269+T269+W269+Z269+AC269+AF269+AI269+AL269+AO269+AR269+AU269+AX269+BA269+BD269+BG269+BJ269+BM269+BP269</f>
      </c>
    </row>
    <row r="270" ht="11.25" customHeight="1" spans="1:69" x14ac:dyDescent="0.25">
      <c r="A270" s="9">
        <v>429700000</v>
      </c>
      <c r="B270" s="9" t="s">
        <v>307</v>
      </c>
      <c r="C270" s="34">
        <f>IFERROR(VLOOKUP("1_"&amp;A270,SyS!$B:$P,10,FALSE()),0)</f>
      </c>
      <c r="D270" s="35">
        <f>IFERROR(VLOOKUP("1_"&amp;A270,SyS!$B:$P,12,FALSE()),0)</f>
      </c>
      <c r="E270" s="35">
        <f>+C270-D270</f>
      </c>
      <c r="F270" s="34">
        <f>IFERROR(VLOOKUP("2_"&amp;A270,SyS!$B:$P,10,FALSE()),0)</f>
      </c>
      <c r="G270" s="35">
        <f>IFERROR(VLOOKUP("2_"&amp;A270,SyS!$B:$P,12,FALSE()),0)</f>
      </c>
      <c r="H270" s="36">
        <f>+F270-G270</f>
      </c>
      <c r="I270" s="35"/>
      <c r="J270" s="35"/>
      <c r="K270" s="35"/>
      <c r="L270" s="35"/>
      <c r="M270" s="35"/>
      <c r="N270" s="35"/>
      <c r="O270" s="34">
        <f>IFERROR(VLOOKUP("14_"&amp;A270,SyS!$B:$P,10,FALSE()),0)</f>
      </c>
      <c r="P270" s="35">
        <f>IFERROR(VLOOKUP("14_"&amp;A270,SyS!$B:$P,12,FALSE()),0)</f>
      </c>
      <c r="Q270" s="36">
        <f>+O270-P270</f>
      </c>
      <c r="R270" s="34">
        <f>IFERROR(VLOOKUP("15_"&amp;A270,SyS!$B:$P,10,FALSE()),0)</f>
      </c>
      <c r="S270" s="35">
        <f>IFERROR(VLOOKUP("15_"&amp;A270,SyS!$B:$P,12,FALSE()),0)</f>
      </c>
      <c r="T270" s="36">
        <f>+R270-S270</f>
      </c>
      <c r="U270" s="34">
        <f>IFERROR(VLOOKUP("16_"&amp;A270,SyS!$B:$P,10,FALSE()),0)</f>
      </c>
      <c r="V270" s="35">
        <f>IFERROR(VLOOKUP("16_"&amp;A270,SyS!$B:$P,12,FALSE()),0)</f>
      </c>
      <c r="W270" s="36">
        <f>+U270-V270</f>
      </c>
      <c r="X270" s="34">
        <f>IFERROR(VLOOKUP("13_"&amp;A270,SyS!$B:$P,10,FALSE()),0)</f>
      </c>
      <c r="Y270" s="35">
        <f>IFERROR(VLOOKUP("13_"&amp;A270,SyS!$B:$P,12,FALSE()),0)</f>
      </c>
      <c r="Z270" s="36">
        <f>+X270-Y270</f>
      </c>
      <c r="AA270" s="34">
        <f>IFERROR(VLOOKUP("17_"&amp;A270,SyS!$B:$P,10,FALSE()),0)</f>
      </c>
      <c r="AB270" s="35">
        <f>IFERROR(VLOOKUP("17_"&amp;A270,SyS!$B:$P,12,FALSE()),0)</f>
      </c>
      <c r="AC270" s="36">
        <f>+AA270-AB270</f>
      </c>
      <c r="AD270" s="35"/>
      <c r="AE270" s="35"/>
      <c r="AF270" s="35"/>
      <c r="AG270" s="35">
        <f>IFERROR(VLOOKUP("19_"&amp;A270,SyS!$B:$P,10,FALSE()),0)</f>
      </c>
      <c r="AH270" s="35">
        <f>IFERROR(VLOOKUP("19_"&amp;A270,SyS!$B:$P,12,FALSE()),0)</f>
      </c>
      <c r="AI270" s="35">
        <f>+AG270-AH270</f>
      </c>
      <c r="AJ270" s="35"/>
      <c r="AK270" s="35"/>
      <c r="AL270" s="35"/>
      <c r="AM270" s="34">
        <f>IFERROR(VLOOKUP("23_"&amp;A270,SyS!$B:$P,10,FALSE()),0)</f>
      </c>
      <c r="AN270" s="35">
        <f>IFERROR(VLOOKUP("23_"&amp;A270,SyS!$B:$P,12,FALSE()),0)</f>
      </c>
      <c r="AO270" s="36">
        <f>+AM270-AN270</f>
      </c>
      <c r="AP270" s="40"/>
      <c r="AQ270" s="40"/>
      <c r="AR270" s="40"/>
      <c r="AS270" s="40"/>
      <c r="AT270" s="40"/>
      <c r="AU270" s="40"/>
      <c r="AV270" s="40"/>
      <c r="AW270" s="40"/>
      <c r="AX270" s="40"/>
      <c r="AY270" s="40"/>
      <c r="AZ270" s="40"/>
      <c r="BA270" s="40"/>
      <c r="BB270" s="40"/>
      <c r="BC270" s="40"/>
      <c r="BD270" s="40"/>
      <c r="BE270" s="40"/>
      <c r="BF270" s="40"/>
      <c r="BG270" s="40"/>
      <c r="BH270" s="40"/>
      <c r="BI270" s="40"/>
      <c r="BJ270" s="40"/>
      <c r="BK270" s="40">
        <f>IFERROR(VLOOKUP("29_"&amp;A270,SyS!$B:$P,10,FALSE()),0)</f>
      </c>
      <c r="BL270" s="40">
        <f>IFERROR(VLOOKUP("29_"&amp;A270,SyS!$B:$P,12,FALSE()),0)</f>
      </c>
      <c r="BM270" s="40">
        <f>+BK270-BL270</f>
      </c>
      <c r="BN270" s="42">
        <f>IFERROR(VLOOKUP("30_"&amp;A270,SyS!$B:$P,10,FALSE()),0)</f>
      </c>
      <c r="BO270" s="40">
        <f>IFERROR(VLOOKUP("30_"&amp;A270,SyS!$B:$P,12,FALSE()),0)</f>
      </c>
      <c r="BP270" s="43">
        <f>+BN270-BO270</f>
      </c>
      <c r="BQ270" s="44">
        <f>+E270+H270+K270+N270+Q270+T270+W270+Z270+AC270+AF270+AI270+AL270+AO270+AR270+AU270+AX270+BA270+BD270+BG270+BJ270+BM270+BP270</f>
      </c>
    </row>
    <row r="271" ht="11.25" customHeight="1" spans="1:69" x14ac:dyDescent="0.25">
      <c r="A271" s="9">
        <v>429900000</v>
      </c>
      <c r="B271" s="9" t="s">
        <v>308</v>
      </c>
      <c r="C271" s="34">
        <f>IFERROR(VLOOKUP("1_"&amp;A271,SyS!$B:$P,10,FALSE()),0)</f>
      </c>
      <c r="D271" s="35">
        <f>IFERROR(VLOOKUP("1_"&amp;A271,SyS!$B:$P,12,FALSE()),0)</f>
      </c>
      <c r="E271" s="35">
        <f>+C271-D271</f>
      </c>
      <c r="F271" s="34">
        <f>IFERROR(VLOOKUP("2_"&amp;A271,SyS!$B:$P,10,FALSE()),0)</f>
      </c>
      <c r="G271" s="35">
        <f>IFERROR(VLOOKUP("2_"&amp;A271,SyS!$B:$P,12,FALSE()),0)</f>
      </c>
      <c r="H271" s="36">
        <f>+F271-G271</f>
      </c>
      <c r="I271" s="35"/>
      <c r="J271" s="35"/>
      <c r="K271" s="35"/>
      <c r="L271" s="35"/>
      <c r="M271" s="35"/>
      <c r="N271" s="35"/>
      <c r="O271" s="34">
        <f>IFERROR(VLOOKUP("14_"&amp;A271,SyS!$B:$P,10,FALSE()),0)</f>
      </c>
      <c r="P271" s="35">
        <f>IFERROR(VLOOKUP("14_"&amp;A271,SyS!$B:$P,12,FALSE()),0)</f>
      </c>
      <c r="Q271" s="36">
        <f>+O271-P271</f>
      </c>
      <c r="R271" s="34">
        <f>IFERROR(VLOOKUP("15_"&amp;A271,SyS!$B:$P,10,FALSE()),0)</f>
      </c>
      <c r="S271" s="35">
        <f>IFERROR(VLOOKUP("15_"&amp;A271,SyS!$B:$P,12,FALSE()),0)</f>
      </c>
      <c r="T271" s="36">
        <f>+R271-S271</f>
      </c>
      <c r="U271" s="34">
        <f>IFERROR(VLOOKUP("16_"&amp;A271,SyS!$B:$P,10,FALSE()),0)</f>
      </c>
      <c r="V271" s="35">
        <f>IFERROR(VLOOKUP("16_"&amp;A271,SyS!$B:$P,12,FALSE()),0)</f>
      </c>
      <c r="W271" s="36">
        <f>+U271-V271</f>
      </c>
      <c r="X271" s="34">
        <f>IFERROR(VLOOKUP("13_"&amp;A271,SyS!$B:$P,10,FALSE()),0)</f>
      </c>
      <c r="Y271" s="35">
        <f>IFERROR(VLOOKUP("13_"&amp;A271,SyS!$B:$P,12,FALSE()),0)</f>
      </c>
      <c r="Z271" s="36">
        <f>+X271-Y271</f>
      </c>
      <c r="AA271" s="34">
        <f>IFERROR(VLOOKUP("17_"&amp;A271,SyS!$B:$P,10,FALSE()),0)</f>
      </c>
      <c r="AB271" s="35">
        <f>IFERROR(VLOOKUP("17_"&amp;A271,SyS!$B:$P,12,FALSE()),0)</f>
      </c>
      <c r="AC271" s="36">
        <f>+AA271-AB271</f>
      </c>
      <c r="AD271" s="35"/>
      <c r="AE271" s="35"/>
      <c r="AF271" s="35"/>
      <c r="AG271" s="35">
        <f>IFERROR(VLOOKUP("19_"&amp;A271,SyS!$B:$P,10,FALSE()),0)</f>
      </c>
      <c r="AH271" s="35">
        <f>IFERROR(VLOOKUP("19_"&amp;A271,SyS!$B:$P,12,FALSE()),0)</f>
      </c>
      <c r="AI271" s="35">
        <f>+AG271-AH271</f>
      </c>
      <c r="AJ271" s="35"/>
      <c r="AK271" s="35"/>
      <c r="AL271" s="35"/>
      <c r="AM271" s="34">
        <f>IFERROR(VLOOKUP("23_"&amp;A271,SyS!$B:$P,10,FALSE()),0)</f>
      </c>
      <c r="AN271" s="35">
        <f>IFERROR(VLOOKUP("23_"&amp;A271,SyS!$B:$P,12,FALSE()),0)</f>
      </c>
      <c r="AO271" s="36">
        <f>+AM271-AN271</f>
      </c>
      <c r="AP271" s="40"/>
      <c r="AQ271" s="40"/>
      <c r="AR271" s="40"/>
      <c r="AS271" s="40"/>
      <c r="AT271" s="40"/>
      <c r="AU271" s="40"/>
      <c r="AV271" s="40"/>
      <c r="AW271" s="40"/>
      <c r="AX271" s="40"/>
      <c r="AY271" s="40"/>
      <c r="AZ271" s="40"/>
      <c r="BA271" s="40"/>
      <c r="BB271" s="40"/>
      <c r="BC271" s="40"/>
      <c r="BD271" s="40"/>
      <c r="BE271" s="40"/>
      <c r="BF271" s="40"/>
      <c r="BG271" s="40"/>
      <c r="BH271" s="40"/>
      <c r="BI271" s="40"/>
      <c r="BJ271" s="40"/>
      <c r="BK271" s="40">
        <f>IFERROR(VLOOKUP("29_"&amp;A271,SyS!$B:$P,10,FALSE()),0)</f>
      </c>
      <c r="BL271" s="40">
        <f>IFERROR(VLOOKUP("29_"&amp;A271,SyS!$B:$P,12,FALSE()),0)</f>
      </c>
      <c r="BM271" s="40">
        <f>+BK271-BL271</f>
      </c>
      <c r="BN271" s="42">
        <f>IFERROR(VLOOKUP("30_"&amp;A271,SyS!$B:$P,10,FALSE()),0)</f>
      </c>
      <c r="BO271" s="40">
        <f>IFERROR(VLOOKUP("30_"&amp;A271,SyS!$B:$P,12,FALSE()),0)</f>
      </c>
      <c r="BP271" s="43">
        <f>+BN271-BO271</f>
      </c>
      <c r="BQ271" s="44">
        <f>+E271+H271+K271+N271+Q271+T271+W271+Z271+AC271+AF271+AI271+AL271+AO271+AR271+AU271+AX271+BA271+BD271+BG271+BJ271+BM271+BP271</f>
      </c>
    </row>
    <row r="272" ht="11.25" customHeight="1" spans="1:69" x14ac:dyDescent="0.25">
      <c r="A272" s="9">
        <v>429910000</v>
      </c>
      <c r="B272" s="9" t="s">
        <v>309</v>
      </c>
      <c r="C272" s="34">
        <f>IFERROR(VLOOKUP("1_"&amp;A272,SyS!$B:$P,10,FALSE()),0)</f>
      </c>
      <c r="D272" s="35">
        <f>IFERROR(VLOOKUP("1_"&amp;A272,SyS!$B:$P,12,FALSE()),0)</f>
      </c>
      <c r="E272" s="35">
        <f>+C272-D272</f>
      </c>
      <c r="F272" s="34">
        <f>IFERROR(VLOOKUP("2_"&amp;A272,SyS!$B:$P,10,FALSE()),0)</f>
      </c>
      <c r="G272" s="35">
        <f>IFERROR(VLOOKUP("2_"&amp;A272,SyS!$B:$P,12,FALSE()),0)</f>
      </c>
      <c r="H272" s="36">
        <f>+F272-G272</f>
      </c>
      <c r="I272" s="35"/>
      <c r="J272" s="35"/>
      <c r="K272" s="35"/>
      <c r="L272" s="35"/>
      <c r="M272" s="35"/>
      <c r="N272" s="35"/>
      <c r="O272" s="34">
        <f>IFERROR(VLOOKUP("14_"&amp;A272,SyS!$B:$P,10,FALSE()),0)</f>
      </c>
      <c r="P272" s="35">
        <f>IFERROR(VLOOKUP("14_"&amp;A272,SyS!$B:$P,12,FALSE()),0)</f>
      </c>
      <c r="Q272" s="36">
        <f>+O272-P272</f>
      </c>
      <c r="R272" s="34">
        <f>IFERROR(VLOOKUP("15_"&amp;A272,SyS!$B:$P,10,FALSE()),0)</f>
      </c>
      <c r="S272" s="35">
        <f>IFERROR(VLOOKUP("15_"&amp;A272,SyS!$B:$P,12,FALSE()),0)</f>
      </c>
      <c r="T272" s="36">
        <f>+R272-S272</f>
      </c>
      <c r="U272" s="34">
        <f>IFERROR(VLOOKUP("16_"&amp;A272,SyS!$B:$P,10,FALSE()),0)</f>
      </c>
      <c r="V272" s="35">
        <f>IFERROR(VLOOKUP("16_"&amp;A272,SyS!$B:$P,12,FALSE()),0)</f>
      </c>
      <c r="W272" s="36">
        <f>+U272-V272</f>
      </c>
      <c r="X272" s="34">
        <f>IFERROR(VLOOKUP("13_"&amp;A272,SyS!$B:$P,10,FALSE()),0)</f>
      </c>
      <c r="Y272" s="35">
        <f>IFERROR(VLOOKUP("13_"&amp;A272,SyS!$B:$P,12,FALSE()),0)</f>
      </c>
      <c r="Z272" s="36">
        <f>+X272-Y272</f>
      </c>
      <c r="AA272" s="34">
        <f>IFERROR(VLOOKUP("17_"&amp;A272,SyS!$B:$P,10,FALSE()),0)</f>
      </c>
      <c r="AB272" s="35">
        <f>IFERROR(VLOOKUP("17_"&amp;A272,SyS!$B:$P,12,FALSE()),0)</f>
      </c>
      <c r="AC272" s="36">
        <f>+AA272-AB272</f>
      </c>
      <c r="AD272" s="35"/>
      <c r="AE272" s="35"/>
      <c r="AF272" s="35"/>
      <c r="AG272" s="35">
        <f>IFERROR(VLOOKUP("19_"&amp;A272,SyS!$B:$P,10,FALSE()),0)</f>
      </c>
      <c r="AH272" s="35">
        <f>IFERROR(VLOOKUP("19_"&amp;A272,SyS!$B:$P,12,FALSE()),0)</f>
      </c>
      <c r="AI272" s="35">
        <f>+AG272-AH272</f>
      </c>
      <c r="AJ272" s="35"/>
      <c r="AK272" s="35"/>
      <c r="AL272" s="35"/>
      <c r="AM272" s="34">
        <f>IFERROR(VLOOKUP("23_"&amp;A272,SyS!$B:$P,10,FALSE()),0)</f>
      </c>
      <c r="AN272" s="35">
        <f>IFERROR(VLOOKUP("23_"&amp;A272,SyS!$B:$P,12,FALSE()),0)</f>
      </c>
      <c r="AO272" s="36">
        <f>+AM272-AN272</f>
      </c>
      <c r="AP272" s="40"/>
      <c r="AQ272" s="40"/>
      <c r="AR272" s="40"/>
      <c r="AS272" s="40"/>
      <c r="AT272" s="40"/>
      <c r="AU272" s="40"/>
      <c r="AV272" s="40"/>
      <c r="AW272" s="40"/>
      <c r="AX272" s="40"/>
      <c r="AY272" s="40"/>
      <c r="AZ272" s="40"/>
      <c r="BA272" s="40"/>
      <c r="BB272" s="40"/>
      <c r="BC272" s="40"/>
      <c r="BD272" s="40"/>
      <c r="BE272" s="40"/>
      <c r="BF272" s="40"/>
      <c r="BG272" s="40"/>
      <c r="BH272" s="40"/>
      <c r="BI272" s="40"/>
      <c r="BJ272" s="40"/>
      <c r="BK272" s="40">
        <f>IFERROR(VLOOKUP("29_"&amp;A272,SyS!$B:$P,10,FALSE()),0)</f>
      </c>
      <c r="BL272" s="40">
        <f>IFERROR(VLOOKUP("29_"&amp;A272,SyS!$B:$P,12,FALSE()),0)</f>
      </c>
      <c r="BM272" s="40">
        <f>+BK272-BL272</f>
      </c>
      <c r="BN272" s="42">
        <f>IFERROR(VLOOKUP("30_"&amp;A272,SyS!$B:$P,10,FALSE()),0)</f>
      </c>
      <c r="BO272" s="40">
        <f>IFERROR(VLOOKUP("30_"&amp;A272,SyS!$B:$P,12,FALSE()),0)</f>
      </c>
      <c r="BP272" s="43">
        <f>+BN272-BO272</f>
      </c>
      <c r="BQ272" s="44">
        <f>+E272+H272+K272+N272+Q272+T272+W272+Z272+AC272+AF272+AI272+AL272+AO272+AR272+AU272+AX272+BA272+BD272+BG272+BJ272+BM272+BP272</f>
      </c>
    </row>
    <row r="273" ht="11.25" customHeight="1" spans="1:69" x14ac:dyDescent="0.25">
      <c r="A273" s="9">
        <v>429920000</v>
      </c>
      <c r="B273" s="9" t="s">
        <v>310</v>
      </c>
      <c r="C273" s="34">
        <f>IFERROR(VLOOKUP("1_"&amp;A273,SyS!$B:$P,10,FALSE()),0)</f>
      </c>
      <c r="D273" s="35">
        <f>IFERROR(VLOOKUP("1_"&amp;A273,SyS!$B:$P,12,FALSE()),0)</f>
      </c>
      <c r="E273" s="35">
        <f>+C273-D273</f>
      </c>
      <c r="F273" s="34">
        <f>IFERROR(VLOOKUP("2_"&amp;A273,SyS!$B:$P,10,FALSE()),0)</f>
      </c>
      <c r="G273" s="35">
        <f>IFERROR(VLOOKUP("2_"&amp;A273,SyS!$B:$P,12,FALSE()),0)</f>
      </c>
      <c r="H273" s="36">
        <f>+F273-G273</f>
      </c>
      <c r="I273" s="35"/>
      <c r="J273" s="35"/>
      <c r="K273" s="35"/>
      <c r="L273" s="35"/>
      <c r="M273" s="35"/>
      <c r="N273" s="35"/>
      <c r="O273" s="34">
        <f>IFERROR(VLOOKUP("14_"&amp;A273,SyS!$B:$P,10,FALSE()),0)</f>
      </c>
      <c r="P273" s="35">
        <f>IFERROR(VLOOKUP("14_"&amp;A273,SyS!$B:$P,12,FALSE()),0)</f>
      </c>
      <c r="Q273" s="36">
        <f>+O273-P273</f>
      </c>
      <c r="R273" s="34">
        <f>IFERROR(VLOOKUP("15_"&amp;A273,SyS!$B:$P,10,FALSE()),0)</f>
      </c>
      <c r="S273" s="35">
        <f>IFERROR(VLOOKUP("15_"&amp;A273,SyS!$B:$P,12,FALSE()),0)</f>
      </c>
      <c r="T273" s="36">
        <f>+R273-S273</f>
      </c>
      <c r="U273" s="34">
        <f>IFERROR(VLOOKUP("16_"&amp;A273,SyS!$B:$P,10,FALSE()),0)</f>
      </c>
      <c r="V273" s="35">
        <f>IFERROR(VLOOKUP("16_"&amp;A273,SyS!$B:$P,12,FALSE()),0)</f>
      </c>
      <c r="W273" s="36">
        <f>+U273-V273</f>
      </c>
      <c r="X273" s="34">
        <f>IFERROR(VLOOKUP("13_"&amp;A273,SyS!$B:$P,10,FALSE()),0)</f>
      </c>
      <c r="Y273" s="35">
        <f>IFERROR(VLOOKUP("13_"&amp;A273,SyS!$B:$P,12,FALSE()),0)</f>
      </c>
      <c r="Z273" s="36">
        <f>+X273-Y273</f>
      </c>
      <c r="AA273" s="34">
        <f>IFERROR(VLOOKUP("17_"&amp;A273,SyS!$B:$P,10,FALSE()),0)</f>
      </c>
      <c r="AB273" s="35">
        <f>IFERROR(VLOOKUP("17_"&amp;A273,SyS!$B:$P,12,FALSE()),0)</f>
      </c>
      <c r="AC273" s="36">
        <f>+AA273-AB273</f>
      </c>
      <c r="AD273" s="35"/>
      <c r="AE273" s="35"/>
      <c r="AF273" s="35"/>
      <c r="AG273" s="35">
        <f>IFERROR(VLOOKUP("19_"&amp;A273,SyS!$B:$P,10,FALSE()),0)</f>
      </c>
      <c r="AH273" s="35">
        <f>IFERROR(VLOOKUP("19_"&amp;A273,SyS!$B:$P,12,FALSE()),0)</f>
      </c>
      <c r="AI273" s="35">
        <f>+AG273-AH273</f>
      </c>
      <c r="AJ273" s="35"/>
      <c r="AK273" s="35"/>
      <c r="AL273" s="35"/>
      <c r="AM273" s="34">
        <f>IFERROR(VLOOKUP("23_"&amp;A273,SyS!$B:$P,10,FALSE()),0)</f>
      </c>
      <c r="AN273" s="35">
        <f>IFERROR(VLOOKUP("23_"&amp;A273,SyS!$B:$P,12,FALSE()),0)</f>
      </c>
      <c r="AO273" s="36">
        <f>+AM273-AN273</f>
      </c>
      <c r="AP273" s="40"/>
      <c r="AQ273" s="40"/>
      <c r="AR273" s="40"/>
      <c r="AS273" s="40"/>
      <c r="AT273" s="40"/>
      <c r="AU273" s="40"/>
      <c r="AV273" s="40"/>
      <c r="AW273" s="40"/>
      <c r="AX273" s="40"/>
      <c r="AY273" s="40"/>
      <c r="AZ273" s="40"/>
      <c r="BA273" s="40"/>
      <c r="BB273" s="40"/>
      <c r="BC273" s="40"/>
      <c r="BD273" s="40"/>
      <c r="BE273" s="40"/>
      <c r="BF273" s="40"/>
      <c r="BG273" s="40"/>
      <c r="BH273" s="40"/>
      <c r="BI273" s="40"/>
      <c r="BJ273" s="40"/>
      <c r="BK273" s="40">
        <f>IFERROR(VLOOKUP("29_"&amp;A273,SyS!$B:$P,10,FALSE()),0)</f>
      </c>
      <c r="BL273" s="40">
        <f>IFERROR(VLOOKUP("29_"&amp;A273,SyS!$B:$P,12,FALSE()),0)</f>
      </c>
      <c r="BM273" s="40">
        <f>+BK273-BL273</f>
      </c>
      <c r="BN273" s="42">
        <f>IFERROR(VLOOKUP("30_"&amp;A273,SyS!$B:$P,10,FALSE()),0)</f>
      </c>
      <c r="BO273" s="40">
        <f>IFERROR(VLOOKUP("30_"&amp;A273,SyS!$B:$P,12,FALSE()),0)</f>
      </c>
      <c r="BP273" s="43">
        <f>+BN273-BO273</f>
      </c>
      <c r="BQ273" s="44">
        <f>+E273+H273+K273+N273+Q273+T273+W273+Z273+AC273+AF273+AI273+AL273+AO273+AR273+AU273+AX273+BA273+BD273+BG273+BJ273+BM273+BP273</f>
      </c>
    </row>
    <row r="274" ht="11.25" customHeight="1" spans="1:69" x14ac:dyDescent="0.25">
      <c r="A274" s="9">
        <v>429210000</v>
      </c>
      <c r="B274" s="9" t="s">
        <v>311</v>
      </c>
      <c r="C274" s="34">
        <f>IFERROR(VLOOKUP("1_"&amp;A274,SyS!$B:$P,10,FALSE()),0)</f>
      </c>
      <c r="D274" s="35">
        <f>IFERROR(VLOOKUP("1_"&amp;A274,SyS!$B:$P,12,FALSE()),0)</f>
      </c>
      <c r="E274" s="35">
        <f>+C274-D274</f>
      </c>
      <c r="F274" s="34">
        <f>IFERROR(VLOOKUP("2_"&amp;A274,SyS!$B:$P,10,FALSE()),0)</f>
      </c>
      <c r="G274" s="35">
        <f>IFERROR(VLOOKUP("2_"&amp;A274,SyS!$B:$P,12,FALSE()),0)</f>
      </c>
      <c r="H274" s="36">
        <f>+F274-G274</f>
      </c>
      <c r="I274" s="35"/>
      <c r="J274" s="35"/>
      <c r="K274" s="35"/>
      <c r="L274" s="35"/>
      <c r="M274" s="35"/>
      <c r="N274" s="35"/>
      <c r="O274" s="34">
        <f>IFERROR(VLOOKUP("14_"&amp;A274,SyS!$B:$P,10,FALSE()),0)</f>
      </c>
      <c r="P274" s="35">
        <f>IFERROR(VLOOKUP("14_"&amp;A274,SyS!$B:$P,12,FALSE()),0)</f>
      </c>
      <c r="Q274" s="36">
        <f>+O274-P274</f>
      </c>
      <c r="R274" s="34">
        <f>IFERROR(VLOOKUP("15_"&amp;A274,SyS!$B:$P,10,FALSE()),0)</f>
      </c>
      <c r="S274" s="35">
        <f>IFERROR(VLOOKUP("15_"&amp;A274,SyS!$B:$P,12,FALSE()),0)</f>
      </c>
      <c r="T274" s="36">
        <f>+R274-S274</f>
      </c>
      <c r="U274" s="34">
        <f>IFERROR(VLOOKUP("16_"&amp;A274,SyS!$B:$P,10,FALSE()),0)</f>
      </c>
      <c r="V274" s="35">
        <f>IFERROR(VLOOKUP("16_"&amp;A274,SyS!$B:$P,12,FALSE()),0)</f>
      </c>
      <c r="W274" s="36">
        <f>+U274-V274</f>
      </c>
      <c r="X274" s="34">
        <f>IFERROR(VLOOKUP("13_"&amp;A274,SyS!$B:$P,10,FALSE()),0)</f>
      </c>
      <c r="Y274" s="35">
        <f>IFERROR(VLOOKUP("13_"&amp;A274,SyS!$B:$P,12,FALSE()),0)</f>
      </c>
      <c r="Z274" s="36">
        <f>+X274-Y274</f>
      </c>
      <c r="AA274" s="34">
        <f>IFERROR(VLOOKUP("17_"&amp;A274,SyS!$B:$P,10,FALSE()),0)</f>
      </c>
      <c r="AB274" s="35">
        <f>IFERROR(VLOOKUP("17_"&amp;A274,SyS!$B:$P,12,FALSE()),0)</f>
      </c>
      <c r="AC274" s="36">
        <f>+AA274-AB274</f>
      </c>
      <c r="AD274" s="35"/>
      <c r="AE274" s="35"/>
      <c r="AF274" s="35"/>
      <c r="AG274" s="35">
        <f>IFERROR(VLOOKUP("19_"&amp;A274,SyS!$B:$P,10,FALSE()),0)</f>
      </c>
      <c r="AH274" s="35">
        <f>IFERROR(VLOOKUP("19_"&amp;A274,SyS!$B:$P,12,FALSE()),0)</f>
      </c>
      <c r="AI274" s="35">
        <f>+AG274-AH274</f>
      </c>
      <c r="AJ274" s="35"/>
      <c r="AK274" s="35"/>
      <c r="AL274" s="35"/>
      <c r="AM274" s="34">
        <f>IFERROR(VLOOKUP("23_"&amp;A274,SyS!$B:$P,10,FALSE()),0)</f>
      </c>
      <c r="AN274" s="35">
        <f>IFERROR(VLOOKUP("23_"&amp;A274,SyS!$B:$P,12,FALSE()),0)</f>
      </c>
      <c r="AO274" s="36">
        <f>+AM274-AN274</f>
      </c>
      <c r="AP274" s="40"/>
      <c r="AQ274" s="40"/>
      <c r="AR274" s="40"/>
      <c r="AS274" s="40"/>
      <c r="AT274" s="40"/>
      <c r="AU274" s="40"/>
      <c r="AV274" s="40"/>
      <c r="AW274" s="40"/>
      <c r="AX274" s="40"/>
      <c r="AY274" s="40"/>
      <c r="AZ274" s="40"/>
      <c r="BA274" s="40"/>
      <c r="BB274" s="40"/>
      <c r="BC274" s="40"/>
      <c r="BD274" s="40"/>
      <c r="BE274" s="40"/>
      <c r="BF274" s="40"/>
      <c r="BG274" s="40"/>
      <c r="BH274" s="40"/>
      <c r="BI274" s="40"/>
      <c r="BJ274" s="40"/>
      <c r="BK274" s="40">
        <f>IFERROR(VLOOKUP("29_"&amp;A274,SyS!$B:$P,10,FALSE()),0)</f>
      </c>
      <c r="BL274" s="40">
        <f>IFERROR(VLOOKUP("29_"&amp;A274,SyS!$B:$P,12,FALSE()),0)</f>
      </c>
      <c r="BM274" s="40">
        <f>+BK274-BL274</f>
      </c>
      <c r="BN274" s="42">
        <f>IFERROR(VLOOKUP("30_"&amp;A274,SyS!$B:$P,10,FALSE()),0)</f>
      </c>
      <c r="BO274" s="40">
        <f>IFERROR(VLOOKUP("30_"&amp;A274,SyS!$B:$P,12,FALSE()),0)</f>
      </c>
      <c r="BP274" s="43">
        <f>+BN274-BO274</f>
      </c>
      <c r="BQ274" s="44">
        <f>+E274+H274+K274+N274+Q274+T274+W274+Z274+AC274+AF274+AI274+AL274+AO274+AR274+AU274+AX274+BA274+BD274+BG274+BJ274+BM274+BP274</f>
      </c>
    </row>
    <row r="275" ht="11.25" customHeight="1" spans="1:69" x14ac:dyDescent="0.25">
      <c r="A275" s="9">
        <v>429220000</v>
      </c>
      <c r="B275" s="9" t="s">
        <v>312</v>
      </c>
      <c r="C275" s="34">
        <f>IFERROR(VLOOKUP("1_"&amp;A275,SyS!$B:$P,10,FALSE()),0)</f>
      </c>
      <c r="D275" s="35">
        <f>IFERROR(VLOOKUP("1_"&amp;A275,SyS!$B:$P,12,FALSE()),0)</f>
      </c>
      <c r="E275" s="35">
        <f>+C275-D275</f>
      </c>
      <c r="F275" s="34">
        <f>IFERROR(VLOOKUP("2_"&amp;A275,SyS!$B:$P,10,FALSE()),0)</f>
      </c>
      <c r="G275" s="35">
        <f>IFERROR(VLOOKUP("2_"&amp;A275,SyS!$B:$P,12,FALSE()),0)</f>
      </c>
      <c r="H275" s="36">
        <f>+F275-G275</f>
      </c>
      <c r="I275" s="35"/>
      <c r="J275" s="35"/>
      <c r="K275" s="35"/>
      <c r="L275" s="35"/>
      <c r="M275" s="35"/>
      <c r="N275" s="35"/>
      <c r="O275" s="34">
        <f>IFERROR(VLOOKUP("14_"&amp;A275,SyS!$B:$P,10,FALSE()),0)</f>
      </c>
      <c r="P275" s="35">
        <f>IFERROR(VLOOKUP("14_"&amp;A275,SyS!$B:$P,12,FALSE()),0)</f>
      </c>
      <c r="Q275" s="36">
        <f>+O275-P275</f>
      </c>
      <c r="R275" s="34">
        <f>IFERROR(VLOOKUP("15_"&amp;A275,SyS!$B:$P,10,FALSE()),0)</f>
      </c>
      <c r="S275" s="35">
        <f>IFERROR(VLOOKUP("15_"&amp;A275,SyS!$B:$P,12,FALSE()),0)</f>
      </c>
      <c r="T275" s="36">
        <f>+R275-S275</f>
      </c>
      <c r="U275" s="34">
        <f>IFERROR(VLOOKUP("16_"&amp;A275,SyS!$B:$P,10,FALSE()),0)</f>
      </c>
      <c r="V275" s="35">
        <f>IFERROR(VLOOKUP("16_"&amp;A275,SyS!$B:$P,12,FALSE()),0)</f>
      </c>
      <c r="W275" s="36">
        <f>+U275-V275</f>
      </c>
      <c r="X275" s="34">
        <f>IFERROR(VLOOKUP("13_"&amp;A275,SyS!$B:$P,10,FALSE()),0)</f>
      </c>
      <c r="Y275" s="35">
        <f>IFERROR(VLOOKUP("13_"&amp;A275,SyS!$B:$P,12,FALSE()),0)</f>
      </c>
      <c r="Z275" s="36">
        <f>+X275-Y275</f>
      </c>
      <c r="AA275" s="34">
        <f>IFERROR(VLOOKUP("17_"&amp;A275,SyS!$B:$P,10,FALSE()),0)</f>
      </c>
      <c r="AB275" s="35">
        <f>IFERROR(VLOOKUP("17_"&amp;A275,SyS!$B:$P,12,FALSE()),0)</f>
      </c>
      <c r="AC275" s="36">
        <f>+AA275-AB275</f>
      </c>
      <c r="AD275" s="35"/>
      <c r="AE275" s="35"/>
      <c r="AF275" s="35"/>
      <c r="AG275" s="35">
        <f>IFERROR(VLOOKUP("19_"&amp;A275,SyS!$B:$P,10,FALSE()),0)</f>
      </c>
      <c r="AH275" s="35">
        <f>IFERROR(VLOOKUP("19_"&amp;A275,SyS!$B:$P,12,FALSE()),0)</f>
      </c>
      <c r="AI275" s="35">
        <f>+AG275-AH275</f>
      </c>
      <c r="AJ275" s="35"/>
      <c r="AK275" s="35"/>
      <c r="AL275" s="35"/>
      <c r="AM275" s="34">
        <f>IFERROR(VLOOKUP("23_"&amp;A275,SyS!$B:$P,10,FALSE()),0)</f>
      </c>
      <c r="AN275" s="35">
        <f>IFERROR(VLOOKUP("23_"&amp;A275,SyS!$B:$P,12,FALSE()),0)</f>
      </c>
      <c r="AO275" s="36">
        <f>+AM275-AN275</f>
      </c>
      <c r="AP275" s="40"/>
      <c r="AQ275" s="40"/>
      <c r="AR275" s="40"/>
      <c r="AS275" s="40"/>
      <c r="AT275" s="40"/>
      <c r="AU275" s="40"/>
      <c r="AV275" s="40"/>
      <c r="AW275" s="40"/>
      <c r="AX275" s="40"/>
      <c r="AY275" s="40"/>
      <c r="AZ275" s="40"/>
      <c r="BA275" s="40"/>
      <c r="BB275" s="40"/>
      <c r="BC275" s="40"/>
      <c r="BD275" s="40"/>
      <c r="BE275" s="40"/>
      <c r="BF275" s="40"/>
      <c r="BG275" s="40"/>
      <c r="BH275" s="40"/>
      <c r="BI275" s="40"/>
      <c r="BJ275" s="40"/>
      <c r="BK275" s="40">
        <f>IFERROR(VLOOKUP("29_"&amp;A275,SyS!$B:$P,10,FALSE()),0)</f>
      </c>
      <c r="BL275" s="40">
        <f>IFERROR(VLOOKUP("29_"&amp;A275,SyS!$B:$P,12,FALSE()),0)</f>
      </c>
      <c r="BM275" s="40">
        <f>+BK275-BL275</f>
      </c>
      <c r="BN275" s="42">
        <f>IFERROR(VLOOKUP("30_"&amp;A275,SyS!$B:$P,10,FALSE()),0)</f>
      </c>
      <c r="BO275" s="40">
        <f>IFERROR(VLOOKUP("30_"&amp;A275,SyS!$B:$P,12,FALSE()),0)</f>
      </c>
      <c r="BP275" s="43">
        <f>+BN275-BO275</f>
      </c>
      <c r="BQ275" s="44">
        <f>+E275+H275+K275+N275+Q275+T275+W275+Z275+AC275+AF275+AI275+AL275+AO275+AR275+AU275+AX275+BA275+BD275+BG275+BJ275+BM275+BP275</f>
      </c>
    </row>
    <row r="276" ht="11.25" customHeight="1" spans="1:69" x14ac:dyDescent="0.25">
      <c r="A276" s="9">
        <v>429110000</v>
      </c>
      <c r="B276" s="9" t="s">
        <v>313</v>
      </c>
      <c r="C276" s="34">
        <f>IFERROR(VLOOKUP("1_"&amp;A276,SyS!$B:$P,10,FALSE()),0)</f>
      </c>
      <c r="D276" s="35">
        <f>IFERROR(VLOOKUP("1_"&amp;A276,SyS!$B:$P,12,FALSE()),0)</f>
      </c>
      <c r="E276" s="35">
        <f>+C276-D276</f>
      </c>
      <c r="F276" s="34">
        <f>IFERROR(VLOOKUP("2_"&amp;A276,SyS!$B:$P,10,FALSE()),0)</f>
      </c>
      <c r="G276" s="35">
        <f>IFERROR(VLOOKUP("2_"&amp;A276,SyS!$B:$P,12,FALSE()),0)</f>
      </c>
      <c r="H276" s="36">
        <f>+F276-G276</f>
      </c>
      <c r="I276" s="35"/>
      <c r="J276" s="35"/>
      <c r="K276" s="35"/>
      <c r="L276" s="35"/>
      <c r="M276" s="35"/>
      <c r="N276" s="35"/>
      <c r="O276" s="34">
        <f>IFERROR(VLOOKUP("14_"&amp;A276,SyS!$B:$P,10,FALSE()),0)</f>
      </c>
      <c r="P276" s="35">
        <f>IFERROR(VLOOKUP("14_"&amp;A276,SyS!$B:$P,12,FALSE()),0)</f>
      </c>
      <c r="Q276" s="36">
        <f>+O276-P276</f>
      </c>
      <c r="R276" s="34">
        <f>IFERROR(VLOOKUP("15_"&amp;A276,SyS!$B:$P,10,FALSE()),0)</f>
      </c>
      <c r="S276" s="35">
        <f>IFERROR(VLOOKUP("15_"&amp;A276,SyS!$B:$P,12,FALSE()),0)</f>
      </c>
      <c r="T276" s="36">
        <f>+R276-S276</f>
      </c>
      <c r="U276" s="34">
        <f>IFERROR(VLOOKUP("16_"&amp;A276,SyS!$B:$P,10,FALSE()),0)</f>
      </c>
      <c r="V276" s="35">
        <f>IFERROR(VLOOKUP("16_"&amp;A276,SyS!$B:$P,12,FALSE()),0)</f>
      </c>
      <c r="W276" s="36">
        <f>+U276-V276</f>
      </c>
      <c r="X276" s="34">
        <f>IFERROR(VLOOKUP("13_"&amp;A276,SyS!$B:$P,10,FALSE()),0)</f>
      </c>
      <c r="Y276" s="35">
        <f>IFERROR(VLOOKUP("13_"&amp;A276,SyS!$B:$P,12,FALSE()),0)</f>
      </c>
      <c r="Z276" s="36">
        <f>+X276-Y276</f>
      </c>
      <c r="AA276" s="34">
        <f>IFERROR(VLOOKUP("17_"&amp;A276,SyS!$B:$P,10,FALSE()),0)</f>
      </c>
      <c r="AB276" s="35">
        <f>IFERROR(VLOOKUP("17_"&amp;A276,SyS!$B:$P,12,FALSE()),0)</f>
      </c>
      <c r="AC276" s="36">
        <f>+AA276-AB276</f>
      </c>
      <c r="AD276" s="35"/>
      <c r="AE276" s="35"/>
      <c r="AF276" s="35"/>
      <c r="AG276" s="35">
        <f>IFERROR(VLOOKUP("19_"&amp;A276,SyS!$B:$P,10,FALSE()),0)</f>
      </c>
      <c r="AH276" s="35">
        <f>IFERROR(VLOOKUP("19_"&amp;A276,SyS!$B:$P,12,FALSE()),0)</f>
      </c>
      <c r="AI276" s="35">
        <f>+AG276-AH276</f>
      </c>
      <c r="AJ276" s="35"/>
      <c r="AK276" s="35"/>
      <c r="AL276" s="35"/>
      <c r="AM276" s="34">
        <f>IFERROR(VLOOKUP("23_"&amp;A276,SyS!$B:$P,10,FALSE()),0)</f>
      </c>
      <c r="AN276" s="35">
        <f>IFERROR(VLOOKUP("23_"&amp;A276,SyS!$B:$P,12,FALSE()),0)</f>
      </c>
      <c r="AO276" s="36">
        <f>+AM276-AN276</f>
      </c>
      <c r="AP276" s="40"/>
      <c r="AQ276" s="40"/>
      <c r="AR276" s="40"/>
      <c r="AS276" s="40"/>
      <c r="AT276" s="40"/>
      <c r="AU276" s="40"/>
      <c r="AV276" s="40"/>
      <c r="AW276" s="40"/>
      <c r="AX276" s="40"/>
      <c r="AY276" s="40"/>
      <c r="AZ276" s="40"/>
      <c r="BA276" s="40"/>
      <c r="BB276" s="40"/>
      <c r="BC276" s="40"/>
      <c r="BD276" s="40"/>
      <c r="BE276" s="40"/>
      <c r="BF276" s="40"/>
      <c r="BG276" s="40"/>
      <c r="BH276" s="40"/>
      <c r="BI276" s="40"/>
      <c r="BJ276" s="40"/>
      <c r="BK276" s="40">
        <f>IFERROR(VLOOKUP("29_"&amp;A276,SyS!$B:$P,10,FALSE()),0)</f>
      </c>
      <c r="BL276" s="40">
        <f>IFERROR(VLOOKUP("29_"&amp;A276,SyS!$B:$P,12,FALSE()),0)</f>
      </c>
      <c r="BM276" s="40">
        <f>+BK276-BL276</f>
      </c>
      <c r="BN276" s="42">
        <f>IFERROR(VLOOKUP("30_"&amp;A276,SyS!$B:$P,10,FALSE()),0)</f>
      </c>
      <c r="BO276" s="40">
        <f>IFERROR(VLOOKUP("30_"&amp;A276,SyS!$B:$P,12,FALSE()),0)</f>
      </c>
      <c r="BP276" s="43">
        <f>+BN276-BO276</f>
      </c>
      <c r="BQ276" s="44">
        <f>+E276+H276+K276+N276+Q276+T276+W276+Z276+AC276+AF276+AI276+AL276+AO276+AR276+AU276+AX276+BA276+BD276+BG276+BJ276+BM276+BP276</f>
      </c>
    </row>
    <row r="277" ht="11.25" customHeight="1" spans="1:69" x14ac:dyDescent="0.25">
      <c r="A277" s="9">
        <v>429240000</v>
      </c>
      <c r="B277" s="9" t="s">
        <v>314</v>
      </c>
      <c r="C277" s="34">
        <f>IFERROR(VLOOKUP("1_"&amp;A277,SyS!$B:$P,10,FALSE()),0)</f>
      </c>
      <c r="D277" s="35">
        <f>IFERROR(VLOOKUP("1_"&amp;A277,SyS!$B:$P,12,FALSE()),0)</f>
      </c>
      <c r="E277" s="35">
        <f>+C277-D277</f>
      </c>
      <c r="F277" s="34">
        <f>IFERROR(VLOOKUP("2_"&amp;A277,SyS!$B:$P,10,FALSE()),0)</f>
      </c>
      <c r="G277" s="35">
        <f>IFERROR(VLOOKUP("2_"&amp;A277,SyS!$B:$P,12,FALSE()),0)</f>
      </c>
      <c r="H277" s="36">
        <f>+F277-G277</f>
      </c>
      <c r="I277" s="35"/>
      <c r="J277" s="35"/>
      <c r="K277" s="35"/>
      <c r="L277" s="35"/>
      <c r="M277" s="35"/>
      <c r="N277" s="35"/>
      <c r="O277" s="34">
        <f>IFERROR(VLOOKUP("14_"&amp;A277,SyS!$B:$P,10,FALSE()),0)</f>
      </c>
      <c r="P277" s="35">
        <f>IFERROR(VLOOKUP("14_"&amp;A277,SyS!$B:$P,12,FALSE()),0)</f>
      </c>
      <c r="Q277" s="36">
        <f>+O277-P277</f>
      </c>
      <c r="R277" s="34">
        <f>IFERROR(VLOOKUP("15_"&amp;A277,SyS!$B:$P,10,FALSE()),0)</f>
      </c>
      <c r="S277" s="35">
        <f>IFERROR(VLOOKUP("15_"&amp;A277,SyS!$B:$P,12,FALSE()),0)</f>
      </c>
      <c r="T277" s="36">
        <f>+R277-S277</f>
      </c>
      <c r="U277" s="34">
        <f>IFERROR(VLOOKUP("16_"&amp;A277,SyS!$B:$P,10,FALSE()),0)</f>
      </c>
      <c r="V277" s="35">
        <f>IFERROR(VLOOKUP("16_"&amp;A277,SyS!$B:$P,12,FALSE()),0)</f>
      </c>
      <c r="W277" s="36">
        <f>+U277-V277</f>
      </c>
      <c r="X277" s="34">
        <f>IFERROR(VLOOKUP("13_"&amp;A277,SyS!$B:$P,10,FALSE()),0)</f>
      </c>
      <c r="Y277" s="35">
        <f>IFERROR(VLOOKUP("13_"&amp;A277,SyS!$B:$P,12,FALSE()),0)</f>
      </c>
      <c r="Z277" s="36">
        <f>+X277-Y277</f>
      </c>
      <c r="AA277" s="34">
        <f>IFERROR(VLOOKUP("17_"&amp;A277,SyS!$B:$P,10,FALSE()),0)</f>
      </c>
      <c r="AB277" s="35">
        <f>IFERROR(VLOOKUP("17_"&amp;A277,SyS!$B:$P,12,FALSE()),0)</f>
      </c>
      <c r="AC277" s="36">
        <f>+AA277-AB277</f>
      </c>
      <c r="AD277" s="35"/>
      <c r="AE277" s="35"/>
      <c r="AF277" s="35"/>
      <c r="AG277" s="35">
        <f>IFERROR(VLOOKUP("19_"&amp;A277,SyS!$B:$P,10,FALSE()),0)</f>
      </c>
      <c r="AH277" s="35">
        <f>IFERROR(VLOOKUP("19_"&amp;A277,SyS!$B:$P,12,FALSE()),0)</f>
      </c>
      <c r="AI277" s="35">
        <f>+AG277-AH277</f>
      </c>
      <c r="AJ277" s="35"/>
      <c r="AK277" s="35"/>
      <c r="AL277" s="35"/>
      <c r="AM277" s="34">
        <f>IFERROR(VLOOKUP("23_"&amp;A277,SyS!$B:$P,10,FALSE()),0)</f>
      </c>
      <c r="AN277" s="35">
        <f>IFERROR(VLOOKUP("23_"&amp;A277,SyS!$B:$P,12,FALSE()),0)</f>
      </c>
      <c r="AO277" s="36">
        <f>+AM277-AN277</f>
      </c>
      <c r="AP277" s="40"/>
      <c r="AQ277" s="40"/>
      <c r="AR277" s="40"/>
      <c r="AS277" s="40"/>
      <c r="AT277" s="40"/>
      <c r="AU277" s="40"/>
      <c r="AV277" s="40"/>
      <c r="AW277" s="40"/>
      <c r="AX277" s="40"/>
      <c r="AY277" s="40"/>
      <c r="AZ277" s="40"/>
      <c r="BA277" s="40"/>
      <c r="BB277" s="40"/>
      <c r="BC277" s="40"/>
      <c r="BD277" s="40"/>
      <c r="BE277" s="40"/>
      <c r="BF277" s="40"/>
      <c r="BG277" s="40"/>
      <c r="BH277" s="40"/>
      <c r="BI277" s="40"/>
      <c r="BJ277" s="40"/>
      <c r="BK277" s="40">
        <f>IFERROR(VLOOKUP("29_"&amp;A277,SyS!$B:$P,10,FALSE()),0)</f>
      </c>
      <c r="BL277" s="40">
        <f>IFERROR(VLOOKUP("29_"&amp;A277,SyS!$B:$P,12,FALSE()),0)</f>
      </c>
      <c r="BM277" s="40">
        <f>+BK277-BL277</f>
      </c>
      <c r="BN277" s="42">
        <f>IFERROR(VLOOKUP("30_"&amp;A277,SyS!$B:$P,10,FALSE()),0)</f>
      </c>
      <c r="BO277" s="40">
        <f>IFERROR(VLOOKUP("30_"&amp;A277,SyS!$B:$P,12,FALSE()),0)</f>
      </c>
      <c r="BP277" s="43">
        <f>+BN277-BO277</f>
      </c>
      <c r="BQ277" s="44">
        <f>+E277+H277+K277+N277+Q277+T277+W277+Z277+AC277+AF277+AI277+AL277+AO277+AR277+AU277+AX277+BA277+BD277+BG277+BJ277+BM277+BP277</f>
      </c>
    </row>
    <row r="278" ht="11.25" customHeight="1" spans="1:69" x14ac:dyDescent="0.25">
      <c r="A278" s="9">
        <v>429250000</v>
      </c>
      <c r="B278" s="9" t="s">
        <v>315</v>
      </c>
      <c r="C278" s="34">
        <f>IFERROR(VLOOKUP("1_"&amp;A278,SyS!$B:$P,10,FALSE()),0)</f>
      </c>
      <c r="D278" s="35">
        <f>IFERROR(VLOOKUP("1_"&amp;A278,SyS!$B:$P,12,FALSE()),0)</f>
      </c>
      <c r="E278" s="35">
        <f>+C278-D278</f>
      </c>
      <c r="F278" s="34">
        <f>IFERROR(VLOOKUP("2_"&amp;A278,SyS!$B:$P,10,FALSE()),0)</f>
      </c>
      <c r="G278" s="35">
        <f>IFERROR(VLOOKUP("2_"&amp;A278,SyS!$B:$P,12,FALSE()),0)</f>
      </c>
      <c r="H278" s="36">
        <f>+F278-G278</f>
      </c>
      <c r="I278" s="35"/>
      <c r="J278" s="35"/>
      <c r="K278" s="35"/>
      <c r="L278" s="35"/>
      <c r="M278" s="35"/>
      <c r="N278" s="35"/>
      <c r="O278" s="34">
        <f>IFERROR(VLOOKUP("14_"&amp;A278,SyS!$B:$P,10,FALSE()),0)</f>
      </c>
      <c r="P278" s="35">
        <f>IFERROR(VLOOKUP("14_"&amp;A278,SyS!$B:$P,12,FALSE()),0)</f>
      </c>
      <c r="Q278" s="36">
        <f>+O278-P278</f>
      </c>
      <c r="R278" s="34">
        <f>IFERROR(VLOOKUP("15_"&amp;A278,SyS!$B:$P,10,FALSE()),0)</f>
      </c>
      <c r="S278" s="35">
        <f>IFERROR(VLOOKUP("15_"&amp;A278,SyS!$B:$P,12,FALSE()),0)</f>
      </c>
      <c r="T278" s="36">
        <f>+R278-S278</f>
      </c>
      <c r="U278" s="34">
        <f>IFERROR(VLOOKUP("16_"&amp;A278,SyS!$B:$P,10,FALSE()),0)</f>
      </c>
      <c r="V278" s="35">
        <f>IFERROR(VLOOKUP("16_"&amp;A278,SyS!$B:$P,12,FALSE()),0)</f>
      </c>
      <c r="W278" s="36">
        <f>+U278-V278</f>
      </c>
      <c r="X278" s="34">
        <f>IFERROR(VLOOKUP("13_"&amp;A278,SyS!$B:$P,10,FALSE()),0)</f>
      </c>
      <c r="Y278" s="35">
        <f>IFERROR(VLOOKUP("13_"&amp;A278,SyS!$B:$P,12,FALSE()),0)</f>
      </c>
      <c r="Z278" s="36">
        <f>+X278-Y278</f>
      </c>
      <c r="AA278" s="34">
        <f>IFERROR(VLOOKUP("17_"&amp;A278,SyS!$B:$P,10,FALSE()),0)</f>
      </c>
      <c r="AB278" s="35">
        <f>IFERROR(VLOOKUP("17_"&amp;A278,SyS!$B:$P,12,FALSE()),0)</f>
      </c>
      <c r="AC278" s="36">
        <f>+AA278-AB278</f>
      </c>
      <c r="AD278" s="35"/>
      <c r="AE278" s="35"/>
      <c r="AF278" s="35"/>
      <c r="AG278" s="35">
        <f>IFERROR(VLOOKUP("19_"&amp;A278,SyS!$B:$P,10,FALSE()),0)</f>
      </c>
      <c r="AH278" s="35">
        <f>IFERROR(VLOOKUP("19_"&amp;A278,SyS!$B:$P,12,FALSE()),0)</f>
      </c>
      <c r="AI278" s="35">
        <f>+AG278-AH278</f>
      </c>
      <c r="AJ278" s="35"/>
      <c r="AK278" s="35"/>
      <c r="AL278" s="35"/>
      <c r="AM278" s="34">
        <f>IFERROR(VLOOKUP("23_"&amp;A278,SyS!$B:$P,10,FALSE()),0)</f>
      </c>
      <c r="AN278" s="35">
        <f>IFERROR(VLOOKUP("23_"&amp;A278,SyS!$B:$P,12,FALSE()),0)</f>
      </c>
      <c r="AO278" s="36">
        <f>+AM278-AN278</f>
      </c>
      <c r="AP278" s="40"/>
      <c r="AQ278" s="40"/>
      <c r="AR278" s="40"/>
      <c r="AS278" s="40"/>
      <c r="AT278" s="40"/>
      <c r="AU278" s="40"/>
      <c r="AV278" s="40"/>
      <c r="AW278" s="40"/>
      <c r="AX278" s="40"/>
      <c r="AY278" s="40"/>
      <c r="AZ278" s="40"/>
      <c r="BA278" s="40"/>
      <c r="BB278" s="40"/>
      <c r="BC278" s="40"/>
      <c r="BD278" s="40"/>
      <c r="BE278" s="40"/>
      <c r="BF278" s="40"/>
      <c r="BG278" s="40"/>
      <c r="BH278" s="40"/>
      <c r="BI278" s="40"/>
      <c r="BJ278" s="40"/>
      <c r="BK278" s="40">
        <f>IFERROR(VLOOKUP("29_"&amp;A278,SyS!$B:$P,10,FALSE()),0)</f>
      </c>
      <c r="BL278" s="40">
        <f>IFERROR(VLOOKUP("29_"&amp;A278,SyS!$B:$P,12,FALSE()),0)</f>
      </c>
      <c r="BM278" s="40">
        <f>+BK278-BL278</f>
      </c>
      <c r="BN278" s="42">
        <f>IFERROR(VLOOKUP("30_"&amp;A278,SyS!$B:$P,10,FALSE()),0)</f>
      </c>
      <c r="BO278" s="40">
        <f>IFERROR(VLOOKUP("30_"&amp;A278,SyS!$B:$P,12,FALSE()),0)</f>
      </c>
      <c r="BP278" s="43">
        <f>+BN278-BO278</f>
      </c>
      <c r="BQ278" s="44">
        <f>+E278+H278+K278+N278+Q278+T278+W278+Z278+AC278+AF278+AI278+AL278+AO278+AR278+AU278+AX278+BA278+BD278+BG278+BJ278+BM278+BP278</f>
      </c>
    </row>
    <row r="279" ht="11.25" customHeight="1" spans="1:69" x14ac:dyDescent="0.25">
      <c r="A279" s="9">
        <v>429260000</v>
      </c>
      <c r="B279" s="9" t="s">
        <v>316</v>
      </c>
      <c r="C279" s="34">
        <f>IFERROR(VLOOKUP("1_"&amp;A279,SyS!$B:$P,10,FALSE()),0)</f>
      </c>
      <c r="D279" s="35">
        <f>IFERROR(VLOOKUP("1_"&amp;A279,SyS!$B:$P,12,FALSE()),0)</f>
      </c>
      <c r="E279" s="35">
        <f>+C279-D279</f>
      </c>
      <c r="F279" s="34">
        <f>IFERROR(VLOOKUP("2_"&amp;A279,SyS!$B:$P,10,FALSE()),0)</f>
      </c>
      <c r="G279" s="35">
        <f>IFERROR(VLOOKUP("2_"&amp;A279,SyS!$B:$P,12,FALSE()),0)</f>
      </c>
      <c r="H279" s="36">
        <f>+F279-G279</f>
      </c>
      <c r="I279" s="35"/>
      <c r="J279" s="35"/>
      <c r="K279" s="35"/>
      <c r="L279" s="35"/>
      <c r="M279" s="35"/>
      <c r="N279" s="35"/>
      <c r="O279" s="34">
        <f>IFERROR(VLOOKUP("14_"&amp;A279,SyS!$B:$P,10,FALSE()),0)</f>
      </c>
      <c r="P279" s="35">
        <f>IFERROR(VLOOKUP("14_"&amp;A279,SyS!$B:$P,12,FALSE()),0)</f>
      </c>
      <c r="Q279" s="36">
        <f>+O279-P279</f>
      </c>
      <c r="R279" s="34">
        <f>IFERROR(VLOOKUP("15_"&amp;A279,SyS!$B:$P,10,FALSE()),0)</f>
      </c>
      <c r="S279" s="35">
        <f>IFERROR(VLOOKUP("15_"&amp;A279,SyS!$B:$P,12,FALSE()),0)</f>
      </c>
      <c r="T279" s="36">
        <f>+R279-S279</f>
      </c>
      <c r="U279" s="34">
        <f>IFERROR(VLOOKUP("16_"&amp;A279,SyS!$B:$P,10,FALSE()),0)</f>
      </c>
      <c r="V279" s="35">
        <f>IFERROR(VLOOKUP("16_"&amp;A279,SyS!$B:$P,12,FALSE()),0)</f>
      </c>
      <c r="W279" s="36">
        <f>+U279-V279</f>
      </c>
      <c r="X279" s="34">
        <f>IFERROR(VLOOKUP("13_"&amp;A279,SyS!$B:$P,10,FALSE()),0)</f>
      </c>
      <c r="Y279" s="35">
        <f>IFERROR(VLOOKUP("13_"&amp;A279,SyS!$B:$P,12,FALSE()),0)</f>
      </c>
      <c r="Z279" s="36">
        <f>+X279-Y279</f>
      </c>
      <c r="AA279" s="34">
        <f>IFERROR(VLOOKUP("17_"&amp;A279,SyS!$B:$P,10,FALSE()),0)</f>
      </c>
      <c r="AB279" s="35">
        <f>IFERROR(VLOOKUP("17_"&amp;A279,SyS!$B:$P,12,FALSE()),0)</f>
      </c>
      <c r="AC279" s="36">
        <f>+AA279-AB279</f>
      </c>
      <c r="AD279" s="35"/>
      <c r="AE279" s="35"/>
      <c r="AF279" s="35"/>
      <c r="AG279" s="35">
        <f>IFERROR(VLOOKUP("19_"&amp;A279,SyS!$B:$P,10,FALSE()),0)</f>
      </c>
      <c r="AH279" s="35">
        <f>IFERROR(VLOOKUP("19_"&amp;A279,SyS!$B:$P,12,FALSE()),0)</f>
      </c>
      <c r="AI279" s="35">
        <f>+AG279-AH279</f>
      </c>
      <c r="AJ279" s="35"/>
      <c r="AK279" s="35"/>
      <c r="AL279" s="35"/>
      <c r="AM279" s="34">
        <f>IFERROR(VLOOKUP("23_"&amp;A279,SyS!$B:$P,10,FALSE()),0)</f>
      </c>
      <c r="AN279" s="35">
        <f>IFERROR(VLOOKUP("23_"&amp;A279,SyS!$B:$P,12,FALSE()),0)</f>
      </c>
      <c r="AO279" s="36">
        <f>+AM279-AN279</f>
      </c>
      <c r="AP279" s="40"/>
      <c r="AQ279" s="40"/>
      <c r="AR279" s="40"/>
      <c r="AS279" s="40"/>
      <c r="AT279" s="40"/>
      <c r="AU279" s="40"/>
      <c r="AV279" s="40"/>
      <c r="AW279" s="40"/>
      <c r="AX279" s="40"/>
      <c r="AY279" s="40"/>
      <c r="AZ279" s="40"/>
      <c r="BA279" s="40"/>
      <c r="BB279" s="40"/>
      <c r="BC279" s="40"/>
      <c r="BD279" s="40"/>
      <c r="BE279" s="40"/>
      <c r="BF279" s="40"/>
      <c r="BG279" s="40"/>
      <c r="BH279" s="40"/>
      <c r="BI279" s="40"/>
      <c r="BJ279" s="40"/>
      <c r="BK279" s="40">
        <f>IFERROR(VLOOKUP("29_"&amp;A279,SyS!$B:$P,10,FALSE()),0)</f>
      </c>
      <c r="BL279" s="40">
        <f>IFERROR(VLOOKUP("29_"&amp;A279,SyS!$B:$P,12,FALSE()),0)</f>
      </c>
      <c r="BM279" s="40">
        <f>+BK279-BL279</f>
      </c>
      <c r="BN279" s="42">
        <f>IFERROR(VLOOKUP("30_"&amp;A279,SyS!$B:$P,10,FALSE()),0)</f>
      </c>
      <c r="BO279" s="40">
        <f>IFERROR(VLOOKUP("30_"&amp;A279,SyS!$B:$P,12,FALSE()),0)</f>
      </c>
      <c r="BP279" s="43">
        <f>+BN279-BO279</f>
      </c>
      <c r="BQ279" s="44">
        <f>+E279+H279+K279+N279+Q279+T279+W279+Z279+AC279+AF279+AI279+AL279+AO279+AR279+AU279+AX279+BA279+BD279+BG279+BJ279+BM279+BP279</f>
      </c>
    </row>
    <row r="280" ht="11.25" customHeight="1" spans="1:69" x14ac:dyDescent="0.25">
      <c r="A280" s="9">
        <v>429270000</v>
      </c>
      <c r="B280" s="9" t="s">
        <v>317</v>
      </c>
      <c r="C280" s="34">
        <f>IFERROR(VLOOKUP("1_"&amp;A280,SyS!$B:$P,10,FALSE()),0)</f>
      </c>
      <c r="D280" s="35">
        <f>IFERROR(VLOOKUP("1_"&amp;A280,SyS!$B:$P,12,FALSE()),0)</f>
      </c>
      <c r="E280" s="35">
        <f>+C280-D280</f>
      </c>
      <c r="F280" s="34">
        <f>IFERROR(VLOOKUP("2_"&amp;A280,SyS!$B:$P,10,FALSE()),0)</f>
      </c>
      <c r="G280" s="35">
        <f>IFERROR(VLOOKUP("2_"&amp;A280,SyS!$B:$P,12,FALSE()),0)</f>
      </c>
      <c r="H280" s="36">
        <f>+F280-G280</f>
      </c>
      <c r="I280" s="35"/>
      <c r="J280" s="35"/>
      <c r="K280" s="35"/>
      <c r="L280" s="35"/>
      <c r="M280" s="35"/>
      <c r="N280" s="35"/>
      <c r="O280" s="34">
        <f>IFERROR(VLOOKUP("14_"&amp;A280,SyS!$B:$P,10,FALSE()),0)</f>
      </c>
      <c r="P280" s="35">
        <f>IFERROR(VLOOKUP("14_"&amp;A280,SyS!$B:$P,12,FALSE()),0)</f>
      </c>
      <c r="Q280" s="36">
        <f>+O280-P280</f>
      </c>
      <c r="R280" s="34">
        <f>IFERROR(VLOOKUP("15_"&amp;A280,SyS!$B:$P,10,FALSE()),0)</f>
      </c>
      <c r="S280" s="35">
        <f>IFERROR(VLOOKUP("15_"&amp;A280,SyS!$B:$P,12,FALSE()),0)</f>
      </c>
      <c r="T280" s="36">
        <f>+R280-S280</f>
      </c>
      <c r="U280" s="34">
        <f>IFERROR(VLOOKUP("16_"&amp;A280,SyS!$B:$P,10,FALSE()),0)</f>
      </c>
      <c r="V280" s="35">
        <f>IFERROR(VLOOKUP("16_"&amp;A280,SyS!$B:$P,12,FALSE()),0)</f>
      </c>
      <c r="W280" s="36">
        <f>+U280-V280</f>
      </c>
      <c r="X280" s="34">
        <f>IFERROR(VLOOKUP("13_"&amp;A280,SyS!$B:$P,10,FALSE()),0)</f>
      </c>
      <c r="Y280" s="35">
        <f>IFERROR(VLOOKUP("13_"&amp;A280,SyS!$B:$P,12,FALSE()),0)</f>
      </c>
      <c r="Z280" s="36">
        <f>+X280-Y280</f>
      </c>
      <c r="AA280" s="34">
        <f>IFERROR(VLOOKUP("17_"&amp;A280,SyS!$B:$P,10,FALSE()),0)</f>
      </c>
      <c r="AB280" s="35">
        <f>IFERROR(VLOOKUP("17_"&amp;A280,SyS!$B:$P,12,FALSE()),0)</f>
      </c>
      <c r="AC280" s="36">
        <f>+AA280-AB280</f>
      </c>
      <c r="AD280" s="35"/>
      <c r="AE280" s="35"/>
      <c r="AF280" s="35"/>
      <c r="AG280" s="35">
        <f>IFERROR(VLOOKUP("19_"&amp;A280,SyS!$B:$P,10,FALSE()),0)</f>
      </c>
      <c r="AH280" s="35">
        <f>IFERROR(VLOOKUP("19_"&amp;A280,SyS!$B:$P,12,FALSE()),0)</f>
      </c>
      <c r="AI280" s="35">
        <f>+AG280-AH280</f>
      </c>
      <c r="AJ280" s="35"/>
      <c r="AK280" s="35"/>
      <c r="AL280" s="35"/>
      <c r="AM280" s="34">
        <f>IFERROR(VLOOKUP("23_"&amp;A280,SyS!$B:$P,10,FALSE()),0)</f>
      </c>
      <c r="AN280" s="35">
        <f>IFERROR(VLOOKUP("23_"&amp;A280,SyS!$B:$P,12,FALSE()),0)</f>
      </c>
      <c r="AO280" s="36">
        <f>+AM280-AN280</f>
      </c>
      <c r="AP280" s="40"/>
      <c r="AQ280" s="40"/>
      <c r="AR280" s="40"/>
      <c r="AS280" s="40"/>
      <c r="AT280" s="40"/>
      <c r="AU280" s="40"/>
      <c r="AV280" s="40"/>
      <c r="AW280" s="40"/>
      <c r="AX280" s="40"/>
      <c r="AY280" s="40"/>
      <c r="AZ280" s="40"/>
      <c r="BA280" s="40"/>
      <c r="BB280" s="40"/>
      <c r="BC280" s="40"/>
      <c r="BD280" s="40"/>
      <c r="BE280" s="40"/>
      <c r="BF280" s="40"/>
      <c r="BG280" s="40"/>
      <c r="BH280" s="40"/>
      <c r="BI280" s="40"/>
      <c r="BJ280" s="40"/>
      <c r="BK280" s="40">
        <f>IFERROR(VLOOKUP("29_"&amp;A280,SyS!$B:$P,10,FALSE()),0)</f>
      </c>
      <c r="BL280" s="40">
        <f>IFERROR(VLOOKUP("29_"&amp;A280,SyS!$B:$P,12,FALSE()),0)</f>
      </c>
      <c r="BM280" s="40">
        <f>+BK280-BL280</f>
      </c>
      <c r="BN280" s="42">
        <f>IFERROR(VLOOKUP("30_"&amp;A280,SyS!$B:$P,10,FALSE()),0)</f>
      </c>
      <c r="BO280" s="40">
        <f>IFERROR(VLOOKUP("30_"&amp;A280,SyS!$B:$P,12,FALSE()),0)</f>
      </c>
      <c r="BP280" s="43">
        <f>+BN280-BO280</f>
      </c>
      <c r="BQ280" s="44">
        <f>+E280+H280+K280+N280+Q280+T280+W280+Z280+AC280+AF280+AI280+AL280+AO280+AR280+AU280+AX280+BA280+BD280+BG280+BJ280+BM280+BP280</f>
      </c>
    </row>
    <row r="281" ht="11.25" customHeight="1" spans="1:69" x14ac:dyDescent="0.25">
      <c r="A281" s="9">
        <v>429280000</v>
      </c>
      <c r="B281" s="9" t="s">
        <v>318</v>
      </c>
      <c r="C281" s="34">
        <f>IFERROR(VLOOKUP("1_"&amp;A281,SyS!$B:$P,10,FALSE()),0)</f>
      </c>
      <c r="D281" s="35">
        <f>IFERROR(VLOOKUP("1_"&amp;A281,SyS!$B:$P,12,FALSE()),0)</f>
      </c>
      <c r="E281" s="35">
        <f>+C281-D281</f>
      </c>
      <c r="F281" s="34">
        <f>IFERROR(VLOOKUP("2_"&amp;A281,SyS!$B:$P,10,FALSE()),0)</f>
      </c>
      <c r="G281" s="35">
        <f>IFERROR(VLOOKUP("2_"&amp;A281,SyS!$B:$P,12,FALSE()),0)</f>
      </c>
      <c r="H281" s="36">
        <f>+F281-G281</f>
      </c>
      <c r="I281" s="35"/>
      <c r="J281" s="35"/>
      <c r="K281" s="35"/>
      <c r="L281" s="35"/>
      <c r="M281" s="35"/>
      <c r="N281" s="35"/>
      <c r="O281" s="34">
        <f>IFERROR(VLOOKUP("14_"&amp;A281,SyS!$B:$P,10,FALSE()),0)</f>
      </c>
      <c r="P281" s="35">
        <f>IFERROR(VLOOKUP("14_"&amp;A281,SyS!$B:$P,12,FALSE()),0)</f>
      </c>
      <c r="Q281" s="36">
        <f>+O281-P281</f>
      </c>
      <c r="R281" s="34">
        <f>IFERROR(VLOOKUP("15_"&amp;A281,SyS!$B:$P,10,FALSE()),0)</f>
      </c>
      <c r="S281" s="35">
        <f>IFERROR(VLOOKUP("15_"&amp;A281,SyS!$B:$P,12,FALSE()),0)</f>
      </c>
      <c r="T281" s="36">
        <f>+R281-S281</f>
      </c>
      <c r="U281" s="34">
        <f>IFERROR(VLOOKUP("16_"&amp;A281,SyS!$B:$P,10,FALSE()),0)</f>
      </c>
      <c r="V281" s="35">
        <f>IFERROR(VLOOKUP("16_"&amp;A281,SyS!$B:$P,12,FALSE()),0)</f>
      </c>
      <c r="W281" s="36">
        <f>+U281-V281</f>
      </c>
      <c r="X281" s="34">
        <f>IFERROR(VLOOKUP("13_"&amp;A281,SyS!$B:$P,10,FALSE()),0)</f>
      </c>
      <c r="Y281" s="35">
        <f>IFERROR(VLOOKUP("13_"&amp;A281,SyS!$B:$P,12,FALSE()),0)</f>
      </c>
      <c r="Z281" s="36">
        <f>+X281-Y281</f>
      </c>
      <c r="AA281" s="34">
        <f>IFERROR(VLOOKUP("17_"&amp;A281,SyS!$B:$P,10,FALSE()),0)</f>
      </c>
      <c r="AB281" s="35">
        <f>IFERROR(VLOOKUP("17_"&amp;A281,SyS!$B:$P,12,FALSE()),0)</f>
      </c>
      <c r="AC281" s="36">
        <f>+AA281-AB281</f>
      </c>
      <c r="AD281" s="35"/>
      <c r="AE281" s="35"/>
      <c r="AF281" s="35"/>
      <c r="AG281" s="35">
        <f>IFERROR(VLOOKUP("19_"&amp;A281,SyS!$B:$P,10,FALSE()),0)</f>
      </c>
      <c r="AH281" s="35">
        <f>IFERROR(VLOOKUP("19_"&amp;A281,SyS!$B:$P,12,FALSE()),0)</f>
      </c>
      <c r="AI281" s="35">
        <f>+AG281-AH281</f>
      </c>
      <c r="AJ281" s="35"/>
      <c r="AK281" s="35"/>
      <c r="AL281" s="35"/>
      <c r="AM281" s="34">
        <f>IFERROR(VLOOKUP("23_"&amp;A281,SyS!$B:$P,10,FALSE()),0)</f>
      </c>
      <c r="AN281" s="35">
        <f>IFERROR(VLOOKUP("23_"&amp;A281,SyS!$B:$P,12,FALSE()),0)</f>
      </c>
      <c r="AO281" s="36">
        <f>+AM281-AN281</f>
      </c>
      <c r="AP281" s="40"/>
      <c r="AQ281" s="40"/>
      <c r="AR281" s="40"/>
      <c r="AS281" s="40"/>
      <c r="AT281" s="40"/>
      <c r="AU281" s="40"/>
      <c r="AV281" s="40"/>
      <c r="AW281" s="40"/>
      <c r="AX281" s="40"/>
      <c r="AY281" s="40"/>
      <c r="AZ281" s="40"/>
      <c r="BA281" s="40"/>
      <c r="BB281" s="40"/>
      <c r="BC281" s="40"/>
      <c r="BD281" s="40"/>
      <c r="BE281" s="40"/>
      <c r="BF281" s="40"/>
      <c r="BG281" s="40"/>
      <c r="BH281" s="40"/>
      <c r="BI281" s="40"/>
      <c r="BJ281" s="40"/>
      <c r="BK281" s="40">
        <f>IFERROR(VLOOKUP("29_"&amp;A281,SyS!$B:$P,10,FALSE()),0)</f>
      </c>
      <c r="BL281" s="40">
        <f>IFERROR(VLOOKUP("29_"&amp;A281,SyS!$B:$P,12,FALSE()),0)</f>
      </c>
      <c r="BM281" s="40">
        <f>+BK281-BL281</f>
      </c>
      <c r="BN281" s="42">
        <f>IFERROR(VLOOKUP("30_"&amp;A281,SyS!$B:$P,10,FALSE()),0)</f>
      </c>
      <c r="BO281" s="40">
        <f>IFERROR(VLOOKUP("30_"&amp;A281,SyS!$B:$P,12,FALSE()),0)</f>
      </c>
      <c r="BP281" s="43">
        <f>+BN281-BO281</f>
      </c>
      <c r="BQ281" s="44">
        <f>+E281+H281+K281+N281+Q281+T281+W281+Z281+AC281+AF281+AI281+AL281+AO281+AR281+AU281+AX281+BA281+BD281+BG281+BJ281+BM281+BP281</f>
      </c>
    </row>
    <row r="282" ht="11.25" customHeight="1" spans="1:69" x14ac:dyDescent="0.25">
      <c r="A282" s="9">
        <v>429310000</v>
      </c>
      <c r="B282" s="9" t="s">
        <v>319</v>
      </c>
      <c r="C282" s="34">
        <f>IFERROR(VLOOKUP("1_"&amp;A282,SyS!$B:$P,10,FALSE()),0)</f>
      </c>
      <c r="D282" s="35">
        <f>IFERROR(VLOOKUP("1_"&amp;A282,SyS!$B:$P,12,FALSE()),0)</f>
      </c>
      <c r="E282" s="35">
        <f>+C282-D282</f>
      </c>
      <c r="F282" s="34">
        <f>IFERROR(VLOOKUP("2_"&amp;A282,SyS!$B:$P,10,FALSE()),0)</f>
      </c>
      <c r="G282" s="35">
        <f>IFERROR(VLOOKUP("2_"&amp;A282,SyS!$B:$P,12,FALSE()),0)</f>
      </c>
      <c r="H282" s="36">
        <f>+F282-G282</f>
      </c>
      <c r="I282" s="35"/>
      <c r="J282" s="35"/>
      <c r="K282" s="35"/>
      <c r="L282" s="35"/>
      <c r="M282" s="35"/>
      <c r="N282" s="35"/>
      <c r="O282" s="34">
        <f>IFERROR(VLOOKUP("14_"&amp;A282,SyS!$B:$P,10,FALSE()),0)</f>
      </c>
      <c r="P282" s="35">
        <f>IFERROR(VLOOKUP("14_"&amp;A282,SyS!$B:$P,12,FALSE()),0)</f>
      </c>
      <c r="Q282" s="36">
        <f>+O282-P282</f>
      </c>
      <c r="R282" s="34">
        <f>IFERROR(VLOOKUP("15_"&amp;A282,SyS!$B:$P,10,FALSE()),0)</f>
      </c>
      <c r="S282" s="35">
        <f>IFERROR(VLOOKUP("15_"&amp;A282,SyS!$B:$P,12,FALSE()),0)</f>
      </c>
      <c r="T282" s="36">
        <f>+R282-S282</f>
      </c>
      <c r="U282" s="34">
        <f>IFERROR(VLOOKUP("16_"&amp;A282,SyS!$B:$P,10,FALSE()),0)</f>
      </c>
      <c r="V282" s="35">
        <f>IFERROR(VLOOKUP("16_"&amp;A282,SyS!$B:$P,12,FALSE()),0)</f>
      </c>
      <c r="W282" s="36">
        <f>+U282-V282</f>
      </c>
      <c r="X282" s="34">
        <f>IFERROR(VLOOKUP("13_"&amp;A282,SyS!$B:$P,10,FALSE()),0)</f>
      </c>
      <c r="Y282" s="35">
        <f>IFERROR(VLOOKUP("13_"&amp;A282,SyS!$B:$P,12,FALSE()),0)</f>
      </c>
      <c r="Z282" s="36">
        <f>+X282-Y282</f>
      </c>
      <c r="AA282" s="34">
        <f>IFERROR(VLOOKUP("17_"&amp;A282,SyS!$B:$P,10,FALSE()),0)</f>
      </c>
      <c r="AB282" s="35">
        <f>IFERROR(VLOOKUP("17_"&amp;A282,SyS!$B:$P,12,FALSE()),0)</f>
      </c>
      <c r="AC282" s="36">
        <f>+AA282-AB282</f>
      </c>
      <c r="AD282" s="35"/>
      <c r="AE282" s="35"/>
      <c r="AF282" s="35"/>
      <c r="AG282" s="35">
        <f>IFERROR(VLOOKUP("19_"&amp;A282,SyS!$B:$P,10,FALSE()),0)</f>
      </c>
      <c r="AH282" s="35">
        <f>IFERROR(VLOOKUP("19_"&amp;A282,SyS!$B:$P,12,FALSE()),0)</f>
      </c>
      <c r="AI282" s="35">
        <f>+AG282-AH282</f>
      </c>
      <c r="AJ282" s="35"/>
      <c r="AK282" s="35"/>
      <c r="AL282" s="35"/>
      <c r="AM282" s="34">
        <f>IFERROR(VLOOKUP("23_"&amp;A282,SyS!$B:$P,10,FALSE()),0)</f>
      </c>
      <c r="AN282" s="35">
        <f>IFERROR(VLOOKUP("23_"&amp;A282,SyS!$B:$P,12,FALSE()),0)</f>
      </c>
      <c r="AO282" s="36">
        <f>+AM282-AN282</f>
      </c>
      <c r="AP282" s="40"/>
      <c r="AQ282" s="40"/>
      <c r="AR282" s="40"/>
      <c r="AS282" s="40"/>
      <c r="AT282" s="40"/>
      <c r="AU282" s="40"/>
      <c r="AV282" s="40"/>
      <c r="AW282" s="40"/>
      <c r="AX282" s="40"/>
      <c r="AY282" s="40"/>
      <c r="AZ282" s="40"/>
      <c r="BA282" s="40"/>
      <c r="BB282" s="40"/>
      <c r="BC282" s="40"/>
      <c r="BD282" s="40"/>
      <c r="BE282" s="40"/>
      <c r="BF282" s="40"/>
      <c r="BG282" s="40"/>
      <c r="BH282" s="40"/>
      <c r="BI282" s="40"/>
      <c r="BJ282" s="40"/>
      <c r="BK282" s="40">
        <f>IFERROR(VLOOKUP("29_"&amp;A282,SyS!$B:$P,10,FALSE()),0)</f>
      </c>
      <c r="BL282" s="40">
        <f>IFERROR(VLOOKUP("29_"&amp;A282,SyS!$B:$P,12,FALSE()),0)</f>
      </c>
      <c r="BM282" s="40">
        <f>+BK282-BL282</f>
      </c>
      <c r="BN282" s="42">
        <f>IFERROR(VLOOKUP("30_"&amp;A282,SyS!$B:$P,10,FALSE()),0)</f>
      </c>
      <c r="BO282" s="40">
        <f>IFERROR(VLOOKUP("30_"&amp;A282,SyS!$B:$P,12,FALSE()),0)</f>
      </c>
      <c r="BP282" s="43">
        <f>+BN282-BO282</f>
      </c>
      <c r="BQ282" s="44">
        <f>+E282+H282+K282+N282+Q282+T282+W282+Z282+AC282+AF282+AI282+AL282+AO282+AR282+AU282+AX282+BA282+BD282+BG282+BJ282+BM282+BP282</f>
      </c>
    </row>
    <row r="283" ht="11.25" customHeight="1" spans="1:69" x14ac:dyDescent="0.25">
      <c r="A283" s="9">
        <v>429930000</v>
      </c>
      <c r="B283" s="9" t="s">
        <v>320</v>
      </c>
      <c r="C283" s="34">
        <f>IFERROR(VLOOKUP("1_"&amp;A283,SyS!$B:$P,10,FALSE()),0)</f>
      </c>
      <c r="D283" s="35">
        <f>IFERROR(VLOOKUP("1_"&amp;A283,SyS!$B:$P,12,FALSE()),0)</f>
      </c>
      <c r="E283" s="35">
        <f>+C283-D283</f>
      </c>
      <c r="F283" s="34">
        <f>IFERROR(VLOOKUP("2_"&amp;A283,SyS!$B:$P,10,FALSE()),0)</f>
      </c>
      <c r="G283" s="35">
        <f>IFERROR(VLOOKUP("2_"&amp;A283,SyS!$B:$P,12,FALSE()),0)</f>
      </c>
      <c r="H283" s="36">
        <f>+F283-G283</f>
      </c>
      <c r="I283" s="35"/>
      <c r="J283" s="35"/>
      <c r="K283" s="35"/>
      <c r="L283" s="35"/>
      <c r="M283" s="35"/>
      <c r="N283" s="35"/>
      <c r="O283" s="34">
        <f>IFERROR(VLOOKUP("14_"&amp;A283,SyS!$B:$P,10,FALSE()),0)</f>
      </c>
      <c r="P283" s="35">
        <f>IFERROR(VLOOKUP("14_"&amp;A283,SyS!$B:$P,12,FALSE()),0)</f>
      </c>
      <c r="Q283" s="36">
        <f>+O283-P283</f>
      </c>
      <c r="R283" s="34">
        <f>IFERROR(VLOOKUP("15_"&amp;A283,SyS!$B:$P,10,FALSE()),0)</f>
      </c>
      <c r="S283" s="35">
        <f>IFERROR(VLOOKUP("15_"&amp;A283,SyS!$B:$P,12,FALSE()),0)</f>
      </c>
      <c r="T283" s="36">
        <f>+R283-S283</f>
      </c>
      <c r="U283" s="34">
        <f>IFERROR(VLOOKUP("16_"&amp;A283,SyS!$B:$P,10,FALSE()),0)</f>
      </c>
      <c r="V283" s="35">
        <f>IFERROR(VLOOKUP("16_"&amp;A283,SyS!$B:$P,12,FALSE()),0)</f>
      </c>
      <c r="W283" s="36">
        <f>+U283-V283</f>
      </c>
      <c r="X283" s="34">
        <f>IFERROR(VLOOKUP("13_"&amp;A283,SyS!$B:$P,10,FALSE()),0)</f>
      </c>
      <c r="Y283" s="35">
        <f>IFERROR(VLOOKUP("13_"&amp;A283,SyS!$B:$P,12,FALSE()),0)</f>
      </c>
      <c r="Z283" s="36">
        <f>+X283-Y283</f>
      </c>
      <c r="AA283" s="34">
        <f>IFERROR(VLOOKUP("17_"&amp;A283,SyS!$B:$P,10,FALSE()),0)</f>
      </c>
      <c r="AB283" s="35">
        <f>IFERROR(VLOOKUP("17_"&amp;A283,SyS!$B:$P,12,FALSE()),0)</f>
      </c>
      <c r="AC283" s="36">
        <f>+AA283-AB283</f>
      </c>
      <c r="AD283" s="35"/>
      <c r="AE283" s="35"/>
      <c r="AF283" s="35"/>
      <c r="AG283" s="35">
        <f>IFERROR(VLOOKUP("19_"&amp;A283,SyS!$B:$P,10,FALSE()),0)</f>
      </c>
      <c r="AH283" s="35">
        <f>IFERROR(VLOOKUP("19_"&amp;A283,SyS!$B:$P,12,FALSE()),0)</f>
      </c>
      <c r="AI283" s="35">
        <f>+AG283-AH283</f>
      </c>
      <c r="AJ283" s="35"/>
      <c r="AK283" s="35"/>
      <c r="AL283" s="35"/>
      <c r="AM283" s="34">
        <f>IFERROR(VLOOKUP("23_"&amp;A283,SyS!$B:$P,10,FALSE()),0)</f>
      </c>
      <c r="AN283" s="35">
        <f>IFERROR(VLOOKUP("23_"&amp;A283,SyS!$B:$P,12,FALSE()),0)</f>
      </c>
      <c r="AO283" s="36">
        <f>+AM283-AN283</f>
      </c>
      <c r="AP283" s="40"/>
      <c r="AQ283" s="40"/>
      <c r="AR283" s="40"/>
      <c r="AS283" s="40"/>
      <c r="AT283" s="40"/>
      <c r="AU283" s="40"/>
      <c r="AV283" s="40"/>
      <c r="AW283" s="40"/>
      <c r="AX283" s="40"/>
      <c r="AY283" s="40"/>
      <c r="AZ283" s="40"/>
      <c r="BA283" s="40"/>
      <c r="BB283" s="40"/>
      <c r="BC283" s="40"/>
      <c r="BD283" s="40"/>
      <c r="BE283" s="40"/>
      <c r="BF283" s="40"/>
      <c r="BG283" s="40"/>
      <c r="BH283" s="40"/>
      <c r="BI283" s="40"/>
      <c r="BJ283" s="40"/>
      <c r="BK283" s="40">
        <f>IFERROR(VLOOKUP("29_"&amp;A283,SyS!$B:$P,10,FALSE()),0)</f>
      </c>
      <c r="BL283" s="40">
        <f>IFERROR(VLOOKUP("29_"&amp;A283,SyS!$B:$P,12,FALSE()),0)</f>
      </c>
      <c r="BM283" s="40">
        <f>+BK283-BL283</f>
      </c>
      <c r="BN283" s="42">
        <f>IFERROR(VLOOKUP("30_"&amp;A283,SyS!$B:$P,10,FALSE()),0)</f>
      </c>
      <c r="BO283" s="40">
        <f>IFERROR(VLOOKUP("30_"&amp;A283,SyS!$B:$P,12,FALSE()),0)</f>
      </c>
      <c r="BP283" s="43">
        <f>+BN283-BO283</f>
      </c>
      <c r="BQ283" s="44">
        <f>+E283+H283+K283+N283+Q283+T283+W283+Z283+AC283+AF283+AI283+AL283+AO283+AR283+AU283+AX283+BA283+BD283+BG283+BJ283+BM283+BP283</f>
      </c>
    </row>
    <row r="284" ht="11.25" customHeight="1" spans="1:69" x14ac:dyDescent="0.25">
      <c r="A284" s="9">
        <v>429940000</v>
      </c>
      <c r="B284" s="9" t="s">
        <v>321</v>
      </c>
      <c r="C284" s="34">
        <f>IFERROR(VLOOKUP("1_"&amp;A284,SyS!$B:$P,10,FALSE()),0)</f>
      </c>
      <c r="D284" s="35">
        <f>IFERROR(VLOOKUP("1_"&amp;A284,SyS!$B:$P,12,FALSE()),0)</f>
      </c>
      <c r="E284" s="35">
        <f>+C284-D284</f>
      </c>
      <c r="F284" s="34">
        <f>IFERROR(VLOOKUP("2_"&amp;A284,SyS!$B:$P,10,FALSE()),0)</f>
      </c>
      <c r="G284" s="35">
        <f>IFERROR(VLOOKUP("2_"&amp;A284,SyS!$B:$P,12,FALSE()),0)</f>
      </c>
      <c r="H284" s="36">
        <f>+F284-G284</f>
      </c>
      <c r="I284" s="35"/>
      <c r="J284" s="35"/>
      <c r="K284" s="35"/>
      <c r="L284" s="35"/>
      <c r="M284" s="35"/>
      <c r="N284" s="35"/>
      <c r="O284" s="34">
        <f>IFERROR(VLOOKUP("14_"&amp;A284,SyS!$B:$P,10,FALSE()),0)</f>
      </c>
      <c r="P284" s="35">
        <f>IFERROR(VLOOKUP("14_"&amp;A284,SyS!$B:$P,12,FALSE()),0)</f>
      </c>
      <c r="Q284" s="36">
        <f>+O284-P284</f>
      </c>
      <c r="R284" s="34">
        <f>IFERROR(VLOOKUP("15_"&amp;A284,SyS!$B:$P,10,FALSE()),0)</f>
      </c>
      <c r="S284" s="35">
        <f>IFERROR(VLOOKUP("15_"&amp;A284,SyS!$B:$P,12,FALSE()),0)</f>
      </c>
      <c r="T284" s="36">
        <f>+R284-S284</f>
      </c>
      <c r="U284" s="34">
        <f>IFERROR(VLOOKUP("16_"&amp;A284,SyS!$B:$P,10,FALSE()),0)</f>
      </c>
      <c r="V284" s="35">
        <f>IFERROR(VLOOKUP("16_"&amp;A284,SyS!$B:$P,12,FALSE()),0)</f>
      </c>
      <c r="W284" s="36">
        <f>+U284-V284</f>
      </c>
      <c r="X284" s="34">
        <f>IFERROR(VLOOKUP("13_"&amp;A284,SyS!$B:$P,10,FALSE()),0)</f>
      </c>
      <c r="Y284" s="35">
        <f>IFERROR(VLOOKUP("13_"&amp;A284,SyS!$B:$P,12,FALSE()),0)</f>
      </c>
      <c r="Z284" s="36">
        <f>+X284-Y284</f>
      </c>
      <c r="AA284" s="34">
        <f>IFERROR(VLOOKUP("17_"&amp;A284,SyS!$B:$P,10,FALSE()),0)</f>
      </c>
      <c r="AB284" s="35">
        <f>IFERROR(VLOOKUP("17_"&amp;A284,SyS!$B:$P,12,FALSE()),0)</f>
      </c>
      <c r="AC284" s="36">
        <f>+AA284-AB284</f>
      </c>
      <c r="AD284" s="35"/>
      <c r="AE284" s="35"/>
      <c r="AF284" s="35"/>
      <c r="AG284" s="35">
        <f>IFERROR(VLOOKUP("19_"&amp;A284,SyS!$B:$P,10,FALSE()),0)</f>
      </c>
      <c r="AH284" s="35">
        <f>IFERROR(VLOOKUP("19_"&amp;A284,SyS!$B:$P,12,FALSE()),0)</f>
      </c>
      <c r="AI284" s="35">
        <f>+AG284-AH284</f>
      </c>
      <c r="AJ284" s="35"/>
      <c r="AK284" s="35"/>
      <c r="AL284" s="35"/>
      <c r="AM284" s="34">
        <f>IFERROR(VLOOKUP("23_"&amp;A284,SyS!$B:$P,10,FALSE()),0)</f>
      </c>
      <c r="AN284" s="35">
        <f>IFERROR(VLOOKUP("23_"&amp;A284,SyS!$B:$P,12,FALSE()),0)</f>
      </c>
      <c r="AO284" s="36">
        <f>+AM284-AN284</f>
      </c>
      <c r="AP284" s="40"/>
      <c r="AQ284" s="40"/>
      <c r="AR284" s="40"/>
      <c r="AS284" s="40"/>
      <c r="AT284" s="40"/>
      <c r="AU284" s="40"/>
      <c r="AV284" s="40"/>
      <c r="AW284" s="40"/>
      <c r="AX284" s="40"/>
      <c r="AY284" s="40"/>
      <c r="AZ284" s="40"/>
      <c r="BA284" s="40"/>
      <c r="BB284" s="40"/>
      <c r="BC284" s="40"/>
      <c r="BD284" s="40"/>
      <c r="BE284" s="40"/>
      <c r="BF284" s="40"/>
      <c r="BG284" s="40"/>
      <c r="BH284" s="40"/>
      <c r="BI284" s="40"/>
      <c r="BJ284" s="40"/>
      <c r="BK284" s="40">
        <f>IFERROR(VLOOKUP("29_"&amp;A284,SyS!$B:$P,10,FALSE()),0)</f>
      </c>
      <c r="BL284" s="40">
        <f>IFERROR(VLOOKUP("29_"&amp;A284,SyS!$B:$P,12,FALSE()),0)</f>
      </c>
      <c r="BM284" s="40">
        <f>+BK284-BL284</f>
      </c>
      <c r="BN284" s="42">
        <f>IFERROR(VLOOKUP("30_"&amp;A284,SyS!$B:$P,10,FALSE()),0)</f>
      </c>
      <c r="BO284" s="40">
        <f>IFERROR(VLOOKUP("30_"&amp;A284,SyS!$B:$P,12,FALSE()),0)</f>
      </c>
      <c r="BP284" s="43">
        <f>+BN284-BO284</f>
      </c>
      <c r="BQ284" s="44">
        <f>+E284+H284+K284+N284+Q284+T284+W284+Z284+AC284+AF284+AI284+AL284+AO284+AR284+AU284+AX284+BA284+BD284+BG284+BJ284+BM284+BP284</f>
      </c>
    </row>
    <row r="285" ht="12" customHeight="1" spans="1:69" x14ac:dyDescent="0.25">
      <c r="A285" s="9">
        <v>429950000</v>
      </c>
      <c r="B285" s="9" t="s">
        <v>322</v>
      </c>
      <c r="C285" s="34">
        <f>IFERROR(VLOOKUP("1_"&amp;A285,SyS!$B:$P,10,FALSE()),0)</f>
      </c>
      <c r="D285" s="35">
        <f>IFERROR(VLOOKUP("1_"&amp;A285,SyS!$B:$P,12,FALSE()),0)</f>
      </c>
      <c r="E285" s="35">
        <f>+C285-D285</f>
      </c>
      <c r="F285" s="34">
        <f>IFERROR(VLOOKUP("2_"&amp;A285,SyS!$B:$P,10,FALSE()),0)</f>
      </c>
      <c r="G285" s="35">
        <f>IFERROR(VLOOKUP("2_"&amp;A285,SyS!$B:$P,12,FALSE()),0)</f>
      </c>
      <c r="H285" s="36">
        <f>+F285-G285</f>
      </c>
      <c r="I285" s="35"/>
      <c r="J285" s="35"/>
      <c r="K285" s="35"/>
      <c r="L285" s="35"/>
      <c r="M285" s="35"/>
      <c r="N285" s="35"/>
      <c r="O285" s="34">
        <f>IFERROR(VLOOKUP("14_"&amp;A285,SyS!$B:$P,10,FALSE()),0)</f>
      </c>
      <c r="P285" s="35">
        <f>IFERROR(VLOOKUP("14_"&amp;A285,SyS!$B:$P,12,FALSE()),0)</f>
      </c>
      <c r="Q285" s="36">
        <f>+O285-P285</f>
      </c>
      <c r="R285" s="34">
        <f>IFERROR(VLOOKUP("15_"&amp;A285,SyS!$B:$P,10,FALSE()),0)</f>
      </c>
      <c r="S285" s="35">
        <f>IFERROR(VLOOKUP("15_"&amp;A285,SyS!$B:$P,12,FALSE()),0)</f>
      </c>
      <c r="T285" s="36">
        <f>+R285-S285</f>
      </c>
      <c r="U285" s="34">
        <f>IFERROR(VLOOKUP("16_"&amp;A285,SyS!$B:$P,10,FALSE()),0)</f>
      </c>
      <c r="V285" s="35">
        <f>IFERROR(VLOOKUP("16_"&amp;A285,SyS!$B:$P,12,FALSE()),0)</f>
      </c>
      <c r="W285" s="36">
        <f>+U285-V285</f>
      </c>
      <c r="X285" s="34">
        <f>IFERROR(VLOOKUP("13_"&amp;A285,SyS!$B:$P,10,FALSE()),0)</f>
      </c>
      <c r="Y285" s="35">
        <f>IFERROR(VLOOKUP("13_"&amp;A285,SyS!$B:$P,12,FALSE()),0)</f>
      </c>
      <c r="Z285" s="36">
        <f>+X285-Y285</f>
      </c>
      <c r="AA285" s="34">
        <f>IFERROR(VLOOKUP("17_"&amp;A285,SyS!$B:$P,10,FALSE()),0)</f>
      </c>
      <c r="AB285" s="35">
        <f>IFERROR(VLOOKUP("17_"&amp;A285,SyS!$B:$P,12,FALSE()),0)</f>
      </c>
      <c r="AC285" s="36">
        <f>+AA285-AB285</f>
      </c>
      <c r="AD285" s="35"/>
      <c r="AE285" s="35"/>
      <c r="AF285" s="35"/>
      <c r="AG285" s="35">
        <f>IFERROR(VLOOKUP("19_"&amp;A285,SyS!$B:$P,10,FALSE()),0)</f>
      </c>
      <c r="AH285" s="35">
        <f>IFERROR(VLOOKUP("19_"&amp;A285,SyS!$B:$P,12,FALSE()),0)</f>
      </c>
      <c r="AI285" s="35">
        <f>+AG285-AH285</f>
      </c>
      <c r="AJ285" s="35"/>
      <c r="AK285" s="35"/>
      <c r="AL285" s="35"/>
      <c r="AM285" s="34">
        <f>IFERROR(VLOOKUP("23_"&amp;A285,SyS!$B:$P,10,FALSE()),0)</f>
      </c>
      <c r="AN285" s="35">
        <f>IFERROR(VLOOKUP("23_"&amp;A285,SyS!$B:$P,12,FALSE()),0)</f>
      </c>
      <c r="AO285" s="36">
        <f>+AM285-AN285</f>
      </c>
      <c r="AP285" s="40"/>
      <c r="AQ285" s="40"/>
      <c r="AR285" s="40"/>
      <c r="AS285" s="40"/>
      <c r="AT285" s="40"/>
      <c r="AU285" s="40"/>
      <c r="AV285" s="40"/>
      <c r="AW285" s="40"/>
      <c r="AX285" s="40"/>
      <c r="AY285" s="40"/>
      <c r="AZ285" s="40"/>
      <c r="BA285" s="40"/>
      <c r="BB285" s="40"/>
      <c r="BC285" s="40"/>
      <c r="BD285" s="40"/>
      <c r="BE285" s="40"/>
      <c r="BF285" s="40"/>
      <c r="BG285" s="40"/>
      <c r="BH285" s="40"/>
      <c r="BI285" s="40"/>
      <c r="BJ285" s="40"/>
      <c r="BK285" s="40">
        <f>IFERROR(VLOOKUP("29_"&amp;A285,SyS!$B:$P,10,FALSE()),0)</f>
      </c>
      <c r="BL285" s="40">
        <f>IFERROR(VLOOKUP("29_"&amp;A285,SyS!$B:$P,12,FALSE()),0)</f>
      </c>
      <c r="BM285" s="40">
        <f>+BK285-BL285</f>
      </c>
      <c r="BN285" s="42">
        <f>IFERROR(VLOOKUP("30_"&amp;A285,SyS!$B:$P,10,FALSE()),0)</f>
      </c>
      <c r="BO285" s="40">
        <f>IFERROR(VLOOKUP("30_"&amp;A285,SyS!$B:$P,12,FALSE()),0)</f>
      </c>
      <c r="BP285" s="43">
        <f>+BN285-BO285</f>
      </c>
      <c r="BQ285" s="44">
        <f>+E285+H285+K285+N285+Q285+T285+W285+Z285+AC285+AF285+AI285+AL285+AO285+AR285+AU285+AX285+BA285+BD285+BG285+BJ285+BM285+BP285</f>
      </c>
    </row>
    <row r="286" ht="11.25" customHeight="1" spans="1:69" x14ac:dyDescent="0.25">
      <c r="A286" s="9">
        <v>429960000</v>
      </c>
      <c r="B286" s="9" t="s">
        <v>323</v>
      </c>
      <c r="C286" s="34">
        <f>IFERROR(VLOOKUP("1_"&amp;A286,SyS!$B:$P,10,FALSE()),0)</f>
      </c>
      <c r="D286" s="35">
        <f>IFERROR(VLOOKUP("1_"&amp;A286,SyS!$B:$P,12,FALSE()),0)</f>
      </c>
      <c r="E286" s="35">
        <f>+C286-D286</f>
      </c>
      <c r="F286" s="34">
        <f>IFERROR(VLOOKUP("2_"&amp;A286,SyS!$B:$P,10,FALSE()),0)</f>
      </c>
      <c r="G286" s="35">
        <f>IFERROR(VLOOKUP("2_"&amp;A286,SyS!$B:$P,12,FALSE()),0)</f>
      </c>
      <c r="H286" s="36">
        <f>+F286-G286</f>
      </c>
      <c r="I286" s="35"/>
      <c r="J286" s="35"/>
      <c r="K286" s="35"/>
      <c r="L286" s="35"/>
      <c r="M286" s="35"/>
      <c r="N286" s="35"/>
      <c r="O286" s="34">
        <f>IFERROR(VLOOKUP("14_"&amp;A286,SyS!$B:$P,10,FALSE()),0)</f>
      </c>
      <c r="P286" s="35">
        <f>IFERROR(VLOOKUP("14_"&amp;A286,SyS!$B:$P,12,FALSE()),0)</f>
      </c>
      <c r="Q286" s="36">
        <f>+O286-P286</f>
      </c>
      <c r="R286" s="34">
        <f>IFERROR(VLOOKUP("15_"&amp;A286,SyS!$B:$P,10,FALSE()),0)</f>
      </c>
      <c r="S286" s="35">
        <f>IFERROR(VLOOKUP("15_"&amp;A286,SyS!$B:$P,12,FALSE()),0)</f>
      </c>
      <c r="T286" s="36">
        <f>+R286-S286</f>
      </c>
      <c r="U286" s="34">
        <f>IFERROR(VLOOKUP("16_"&amp;A286,SyS!$B:$P,10,FALSE()),0)</f>
      </c>
      <c r="V286" s="35">
        <f>IFERROR(VLOOKUP("16_"&amp;A286,SyS!$B:$P,12,FALSE()),0)</f>
      </c>
      <c r="W286" s="36">
        <f>+U286-V286</f>
      </c>
      <c r="X286" s="34">
        <f>IFERROR(VLOOKUP("13_"&amp;A286,SyS!$B:$P,10,FALSE()),0)</f>
      </c>
      <c r="Y286" s="35">
        <f>IFERROR(VLOOKUP("13_"&amp;A286,SyS!$B:$P,12,FALSE()),0)</f>
      </c>
      <c r="Z286" s="36">
        <f>+X286-Y286</f>
      </c>
      <c r="AA286" s="34">
        <f>IFERROR(VLOOKUP("17_"&amp;A286,SyS!$B:$P,10,FALSE()),0)</f>
      </c>
      <c r="AB286" s="35">
        <f>IFERROR(VLOOKUP("17_"&amp;A286,SyS!$B:$P,12,FALSE()),0)</f>
      </c>
      <c r="AC286" s="36">
        <f>+AA286-AB286</f>
      </c>
      <c r="AD286" s="35"/>
      <c r="AE286" s="35"/>
      <c r="AF286" s="35"/>
      <c r="AG286" s="35">
        <f>IFERROR(VLOOKUP("19_"&amp;A286,SyS!$B:$P,10,FALSE()),0)</f>
      </c>
      <c r="AH286" s="35">
        <f>IFERROR(VLOOKUP("19_"&amp;A286,SyS!$B:$P,12,FALSE()),0)</f>
      </c>
      <c r="AI286" s="35">
        <f>+AG286-AH286</f>
      </c>
      <c r="AJ286" s="35"/>
      <c r="AK286" s="35"/>
      <c r="AL286" s="35"/>
      <c r="AM286" s="34">
        <f>IFERROR(VLOOKUP("23_"&amp;A286,SyS!$B:$P,10,FALSE()),0)</f>
      </c>
      <c r="AN286" s="35">
        <f>IFERROR(VLOOKUP("23_"&amp;A286,SyS!$B:$P,12,FALSE()),0)</f>
      </c>
      <c r="AO286" s="36">
        <f>+AM286-AN286</f>
      </c>
      <c r="AP286" s="40"/>
      <c r="AQ286" s="40"/>
      <c r="AR286" s="40"/>
      <c r="AS286" s="40"/>
      <c r="AT286" s="40"/>
      <c r="AU286" s="40"/>
      <c r="AV286" s="40"/>
      <c r="AW286" s="40"/>
      <c r="AX286" s="40"/>
      <c r="AY286" s="40"/>
      <c r="AZ286" s="40"/>
      <c r="BA286" s="40"/>
      <c r="BB286" s="40"/>
      <c r="BC286" s="40"/>
      <c r="BD286" s="40"/>
      <c r="BE286" s="40"/>
      <c r="BF286" s="40"/>
      <c r="BG286" s="40"/>
      <c r="BH286" s="40"/>
      <c r="BI286" s="40"/>
      <c r="BJ286" s="40"/>
      <c r="BK286" s="40">
        <f>IFERROR(VLOOKUP("29_"&amp;A286,SyS!$B:$P,10,FALSE()),0)</f>
      </c>
      <c r="BL286" s="40">
        <f>IFERROR(VLOOKUP("29_"&amp;A286,SyS!$B:$P,12,FALSE()),0)</f>
      </c>
      <c r="BM286" s="40">
        <f>+BK286-BL286</f>
      </c>
      <c r="BN286" s="42">
        <f>IFERROR(VLOOKUP("30_"&amp;A286,SyS!$B:$P,10,FALSE()),0)</f>
      </c>
      <c r="BO286" s="40">
        <f>IFERROR(VLOOKUP("30_"&amp;A286,SyS!$B:$P,12,FALSE()),0)</f>
      </c>
      <c r="BP286" s="43">
        <f>+BN286-BO286</f>
      </c>
      <c r="BQ286" s="44">
        <f>+E286+H286+K286+N286+Q286+T286+W286+Z286+AC286+AF286+AI286+AL286+AO286+AR286+AU286+AX286+BA286+BD286+BG286+BJ286+BM286+BP286</f>
      </c>
    </row>
    <row r="287" ht="11.25" customHeight="1" spans="1:69" x14ac:dyDescent="0.25">
      <c r="A287" s="48"/>
      <c r="B287" s="49" t="s">
        <v>324</v>
      </c>
      <c r="C287" s="34">
        <f>IFERROR(VLOOKUP("1_"&amp;A286,SyS!$B:$P,10,FALSE()),0)</f>
      </c>
      <c r="D287" s="35">
        <f>IFERROR(VLOOKUP("1_"&amp;A286,SyS!$B:$P,12,FALSE()),0)</f>
      </c>
      <c r="E287" s="35">
        <f>+C286-D286</f>
      </c>
      <c r="F287" s="34"/>
      <c r="G287" s="35"/>
      <c r="H287" s="36"/>
      <c r="I287" s="35"/>
      <c r="J287" s="35"/>
      <c r="K287" s="35"/>
      <c r="L287" s="35"/>
      <c r="M287" s="35"/>
      <c r="N287" s="35"/>
      <c r="O287" s="34"/>
      <c r="P287" s="35"/>
      <c r="Q287" s="36"/>
      <c r="R287" s="34"/>
      <c r="S287" s="35"/>
      <c r="T287" s="36"/>
      <c r="U287" s="34"/>
      <c r="V287" s="35"/>
      <c r="W287" s="36"/>
      <c r="X287" s="34"/>
      <c r="Y287" s="35"/>
      <c r="Z287" s="36"/>
      <c r="AA287" s="34"/>
      <c r="AB287" s="35"/>
      <c r="AC287" s="36"/>
      <c r="AD287" s="35"/>
      <c r="AE287" s="35"/>
      <c r="AF287" s="35"/>
      <c r="AG287" s="35"/>
      <c r="AH287" s="35"/>
      <c r="AI287" s="35"/>
      <c r="AJ287" s="35"/>
      <c r="AK287" s="35"/>
      <c r="AL287" s="35"/>
      <c r="AM287" s="34"/>
      <c r="AN287" s="35"/>
      <c r="AO287" s="36"/>
      <c r="AP287" s="40"/>
      <c r="AQ287" s="40"/>
      <c r="AR287" s="40"/>
      <c r="AS287" s="40"/>
      <c r="AT287" s="40"/>
      <c r="AU287" s="40"/>
      <c r="AV287" s="40"/>
      <c r="AW287" s="40"/>
      <c r="AX287" s="40"/>
      <c r="AY287" s="40"/>
      <c r="AZ287" s="40"/>
      <c r="BA287" s="40"/>
      <c r="BB287" s="40"/>
      <c r="BC287" s="40"/>
      <c r="BD287" s="40"/>
      <c r="BE287" s="40"/>
      <c r="BF287" s="40"/>
      <c r="BG287" s="40"/>
      <c r="BH287" s="40"/>
      <c r="BI287" s="40"/>
      <c r="BJ287" s="40"/>
      <c r="BK287" s="40"/>
      <c r="BL287" s="40"/>
      <c r="BM287" s="40"/>
      <c r="BN287" s="42"/>
      <c r="BO287" s="40"/>
      <c r="BP287" s="43"/>
      <c r="BQ287" s="44"/>
    </row>
    <row r="288" ht="11.25" customHeight="1" spans="1:69" x14ac:dyDescent="0.25">
      <c r="A288" s="9">
        <v>426560000</v>
      </c>
      <c r="B288" s="9" t="s">
        <v>325</v>
      </c>
      <c r="C288" s="34">
        <f>IFERROR(VLOOKUP("1_"&amp;A288,SyS!$B:$P,10,FALSE()),0)</f>
      </c>
      <c r="D288" s="35">
        <f>IFERROR(VLOOKUP("1_"&amp;A288,SyS!$B:$P,12,FALSE()),0)</f>
      </c>
      <c r="E288" s="35">
        <f>+C288-D288</f>
      </c>
      <c r="F288" s="34">
        <f>IFERROR(VLOOKUP("2_"&amp;A288,SyS!$B:$P,10,FALSE()),0)</f>
      </c>
      <c r="G288" s="35">
        <f>IFERROR(VLOOKUP("2_"&amp;A288,SyS!$B:$P,12,FALSE()),0)</f>
      </c>
      <c r="H288" s="36">
        <f>+F288-G288</f>
      </c>
      <c r="I288" s="35"/>
      <c r="J288" s="35"/>
      <c r="K288" s="35"/>
      <c r="L288" s="35"/>
      <c r="M288" s="35"/>
      <c r="N288" s="35"/>
      <c r="O288" s="34">
        <f>IFERROR(VLOOKUP("14_"&amp;A288,SyS!$B:$P,10,FALSE()),0)</f>
      </c>
      <c r="P288" s="35">
        <f>IFERROR(VLOOKUP("14_"&amp;A288,SyS!$B:$P,12,FALSE()),0)</f>
      </c>
      <c r="Q288" s="36">
        <f>+O288-P288</f>
      </c>
      <c r="R288" s="34">
        <f>IFERROR(VLOOKUP("15_"&amp;A288,SyS!$B:$P,10,FALSE()),0)</f>
      </c>
      <c r="S288" s="35">
        <f>IFERROR(VLOOKUP("15_"&amp;A288,SyS!$B:$P,12,FALSE()),0)</f>
      </c>
      <c r="T288" s="36">
        <f>+R288-S288</f>
      </c>
      <c r="U288" s="34">
        <f>IFERROR(VLOOKUP("16_"&amp;A288,SyS!$B:$P,10,FALSE()),0)</f>
      </c>
      <c r="V288" s="35">
        <f>IFERROR(VLOOKUP("16_"&amp;A288,SyS!$B:$P,12,FALSE()),0)</f>
      </c>
      <c r="W288" s="36">
        <f>+U288-V288</f>
      </c>
      <c r="X288" s="34">
        <f>IFERROR(VLOOKUP("13_"&amp;A288,SyS!$B:$P,10,FALSE()),0)</f>
      </c>
      <c r="Y288" s="35">
        <f>IFERROR(VLOOKUP("13_"&amp;A288,SyS!$B:$P,12,FALSE()),0)</f>
      </c>
      <c r="Z288" s="36">
        <f>+X288-Y288</f>
      </c>
      <c r="AA288" s="34">
        <f>IFERROR(VLOOKUP("17_"&amp;A288,SyS!$B:$P,10,FALSE()),0)</f>
      </c>
      <c r="AB288" s="35">
        <f>IFERROR(VLOOKUP("17_"&amp;A288,SyS!$B:$P,12,FALSE()),0)</f>
      </c>
      <c r="AC288" s="36">
        <f>+AA288-AB288</f>
      </c>
      <c r="AD288" s="35"/>
      <c r="AE288" s="35"/>
      <c r="AF288" s="35"/>
      <c r="AG288" s="35">
        <f>IFERROR(VLOOKUP("19_"&amp;A288,SyS!$B:$P,10,FALSE()),0)</f>
      </c>
      <c r="AH288" s="35">
        <f>IFERROR(VLOOKUP("19_"&amp;A288,SyS!$B:$P,12,FALSE()),0)</f>
      </c>
      <c r="AI288" s="35">
        <f>+AG288-AH288</f>
      </c>
      <c r="AJ288" s="35"/>
      <c r="AK288" s="35"/>
      <c r="AL288" s="35"/>
      <c r="AM288" s="34">
        <f>IFERROR(VLOOKUP("23_"&amp;A288,SyS!$B:$P,10,FALSE()),0)</f>
      </c>
      <c r="AN288" s="35">
        <f>IFERROR(VLOOKUP("23_"&amp;A288,SyS!$B:$P,12,FALSE()),0)</f>
      </c>
      <c r="AO288" s="36">
        <f>+AM288-AN288</f>
      </c>
      <c r="AP288" s="40"/>
      <c r="AQ288" s="40"/>
      <c r="AR288" s="40"/>
      <c r="AS288" s="40"/>
      <c r="AT288" s="40"/>
      <c r="AU288" s="40"/>
      <c r="AV288" s="40"/>
      <c r="AW288" s="40"/>
      <c r="AX288" s="40"/>
      <c r="AY288" s="40"/>
      <c r="AZ288" s="40"/>
      <c r="BA288" s="40"/>
      <c r="BB288" s="40"/>
      <c r="BC288" s="40"/>
      <c r="BD288" s="40"/>
      <c r="BE288" s="40"/>
      <c r="BF288" s="40"/>
      <c r="BG288" s="40"/>
      <c r="BH288" s="40"/>
      <c r="BI288" s="40"/>
      <c r="BJ288" s="40"/>
      <c r="BK288" s="40">
        <f>IFERROR(VLOOKUP("29_"&amp;A288,SyS!$B:$P,10,FALSE()),0)</f>
      </c>
      <c r="BL288" s="40">
        <f>IFERROR(VLOOKUP("29_"&amp;A288,SyS!$B:$P,12,FALSE()),0)</f>
      </c>
      <c r="BM288" s="40">
        <f>+BK288-BL288</f>
      </c>
      <c r="BN288" s="42">
        <f>IFERROR(VLOOKUP("30_"&amp;A288,SyS!$B:$P,10,FALSE()),0)</f>
      </c>
      <c r="BO288" s="40">
        <f>IFERROR(VLOOKUP("30_"&amp;A288,SyS!$B:$P,12,FALSE()),0)</f>
      </c>
      <c r="BP288" s="43">
        <f>+BN288-BO288</f>
      </c>
      <c r="BQ288" s="44">
        <f>+E288+H288+K288+N288+Q288+T288+W288+Z288+AC288+AF288+AI288+AL288+AO288+AR288+AU288+AX288+BA288+BD288+BG288+BJ288+BM288+BP288</f>
      </c>
    </row>
    <row r="289" ht="11.25" customHeight="1" spans="1:69" x14ac:dyDescent="0.25">
      <c r="A289" s="9">
        <v>426570000</v>
      </c>
      <c r="B289" s="9" t="s">
        <v>326</v>
      </c>
      <c r="C289" s="34">
        <f>IFERROR(VLOOKUP("1_"&amp;A289,SyS!$B:$P,10,FALSE()),0)</f>
      </c>
      <c r="D289" s="35">
        <f>IFERROR(VLOOKUP("1_"&amp;A289,SyS!$B:$P,12,FALSE()),0)</f>
      </c>
      <c r="E289" s="35">
        <f>+C289-D289</f>
      </c>
      <c r="F289" s="34">
        <f>IFERROR(VLOOKUP("2_"&amp;A289,SyS!$B:$P,10,FALSE()),0)</f>
      </c>
      <c r="G289" s="35">
        <f>IFERROR(VLOOKUP("2_"&amp;A289,SyS!$B:$P,12,FALSE()),0)</f>
      </c>
      <c r="H289" s="36">
        <f>+F289-G289</f>
      </c>
      <c r="I289" s="35"/>
      <c r="J289" s="35"/>
      <c r="K289" s="35"/>
      <c r="L289" s="35"/>
      <c r="M289" s="35"/>
      <c r="N289" s="35"/>
      <c r="O289" s="34">
        <f>IFERROR(VLOOKUP("14_"&amp;A289,SyS!$B:$P,10,FALSE()),0)</f>
      </c>
      <c r="P289" s="35">
        <f>IFERROR(VLOOKUP("14_"&amp;A289,SyS!$B:$P,12,FALSE()),0)</f>
      </c>
      <c r="Q289" s="36">
        <f>+O289-P289</f>
      </c>
      <c r="R289" s="34">
        <f>IFERROR(VLOOKUP("15_"&amp;A289,SyS!$B:$P,10,FALSE()),0)</f>
      </c>
      <c r="S289" s="35">
        <f>IFERROR(VLOOKUP("15_"&amp;A289,SyS!$B:$P,12,FALSE()),0)</f>
      </c>
      <c r="T289" s="36">
        <f>+R289-S289</f>
      </c>
      <c r="U289" s="34">
        <f>IFERROR(VLOOKUP("16_"&amp;A289,SyS!$B:$P,10,FALSE()),0)</f>
      </c>
      <c r="V289" s="35">
        <f>IFERROR(VLOOKUP("16_"&amp;A289,SyS!$B:$P,12,FALSE()),0)</f>
      </c>
      <c r="W289" s="36">
        <f>+U289-V289</f>
      </c>
      <c r="X289" s="34">
        <f>IFERROR(VLOOKUP("13_"&amp;A289,SyS!$B:$P,10,FALSE()),0)</f>
      </c>
      <c r="Y289" s="35">
        <f>IFERROR(VLOOKUP("13_"&amp;A289,SyS!$B:$P,12,FALSE()),0)</f>
      </c>
      <c r="Z289" s="36">
        <f>+X289-Y289</f>
      </c>
      <c r="AA289" s="34">
        <f>IFERROR(VLOOKUP("17_"&amp;A289,SyS!$B:$P,10,FALSE()),0)</f>
      </c>
      <c r="AB289" s="35">
        <f>IFERROR(VLOOKUP("17_"&amp;A289,SyS!$B:$P,12,FALSE()),0)</f>
      </c>
      <c r="AC289" s="36">
        <f>+AA289-AB289</f>
      </c>
      <c r="AD289" s="35"/>
      <c r="AE289" s="35"/>
      <c r="AF289" s="35"/>
      <c r="AG289" s="35">
        <f>IFERROR(VLOOKUP("19_"&amp;A289,SyS!$B:$P,10,FALSE()),0)</f>
      </c>
      <c r="AH289" s="35">
        <f>IFERROR(VLOOKUP("19_"&amp;A289,SyS!$B:$P,12,FALSE()),0)</f>
      </c>
      <c r="AI289" s="35">
        <f>+AG289-AH289</f>
      </c>
      <c r="AJ289" s="35"/>
      <c r="AK289" s="35"/>
      <c r="AL289" s="35"/>
      <c r="AM289" s="34">
        <f>IFERROR(VLOOKUP("23_"&amp;A289,SyS!$B:$P,10,FALSE()),0)</f>
      </c>
      <c r="AN289" s="35">
        <f>IFERROR(VLOOKUP("23_"&amp;A289,SyS!$B:$P,12,FALSE()),0)</f>
      </c>
      <c r="AO289" s="36">
        <f>+AM289-AN289</f>
      </c>
      <c r="AP289" s="40"/>
      <c r="AQ289" s="40"/>
      <c r="AR289" s="40"/>
      <c r="AS289" s="40"/>
      <c r="AT289" s="40"/>
      <c r="AU289" s="40"/>
      <c r="AV289" s="40"/>
      <c r="AW289" s="40"/>
      <c r="AX289" s="40"/>
      <c r="AY289" s="40"/>
      <c r="AZ289" s="40"/>
      <c r="BA289" s="40"/>
      <c r="BB289" s="40"/>
      <c r="BC289" s="40"/>
      <c r="BD289" s="40"/>
      <c r="BE289" s="40"/>
      <c r="BF289" s="40"/>
      <c r="BG289" s="40"/>
      <c r="BH289" s="40"/>
      <c r="BI289" s="40"/>
      <c r="BJ289" s="40"/>
      <c r="BK289" s="40">
        <f>IFERROR(VLOOKUP("29_"&amp;A289,SyS!$B:$P,10,FALSE()),0)</f>
      </c>
      <c r="BL289" s="40">
        <f>IFERROR(VLOOKUP("29_"&amp;A289,SyS!$B:$P,12,FALSE()),0)</f>
      </c>
      <c r="BM289" s="40">
        <f>+BK289-BL289</f>
      </c>
      <c r="BN289" s="42">
        <f>IFERROR(VLOOKUP("30_"&amp;A289,SyS!$B:$P,10,FALSE()),0)</f>
      </c>
      <c r="BO289" s="40">
        <f>IFERROR(VLOOKUP("30_"&amp;A289,SyS!$B:$P,12,FALSE()),0)</f>
      </c>
      <c r="BP289" s="43">
        <f>+BN289-BO289</f>
      </c>
      <c r="BQ289" s="44">
        <f>+E289+H289+K289+N289+Q289+T289+W289+Z289+AC289+AF289+AI289+AL289+AO289+AR289+AU289+AX289+BA289+BD289+BG289+BJ289+BM289+BP289</f>
      </c>
    </row>
    <row r="290" ht="11.25" customHeight="1" spans="1:69" x14ac:dyDescent="0.25">
      <c r="A290" s="9">
        <v>421570000</v>
      </c>
      <c r="B290" s="9" t="s">
        <v>327</v>
      </c>
      <c r="C290" s="34">
        <f>IFERROR(VLOOKUP("1_"&amp;A290,SyS!$B:$P,10,FALSE()),0)</f>
      </c>
      <c r="D290" s="35">
        <f>IFERROR(VLOOKUP("1_"&amp;A290,SyS!$B:$P,12,FALSE()),0)</f>
      </c>
      <c r="E290" s="35">
        <f>+C290-D290</f>
      </c>
      <c r="F290" s="34">
        <f>IFERROR(VLOOKUP("2_"&amp;A290,SyS!$B:$P,10,FALSE()),0)</f>
      </c>
      <c r="G290" s="35">
        <f>IFERROR(VLOOKUP("2_"&amp;A290,SyS!$B:$P,12,FALSE()),0)</f>
      </c>
      <c r="H290" s="36">
        <f>+F290-G290</f>
      </c>
      <c r="I290" s="35"/>
      <c r="J290" s="35"/>
      <c r="K290" s="35"/>
      <c r="L290" s="35"/>
      <c r="M290" s="35"/>
      <c r="N290" s="35"/>
      <c r="O290" s="34">
        <f>IFERROR(VLOOKUP("14_"&amp;A290,SyS!$B:$P,10,FALSE()),0)</f>
      </c>
      <c r="P290" s="35">
        <f>IFERROR(VLOOKUP("14_"&amp;A290,SyS!$B:$P,12,FALSE()),0)</f>
      </c>
      <c r="Q290" s="36">
        <f>+O290-P290</f>
      </c>
      <c r="R290" s="34">
        <f>IFERROR(VLOOKUP("15_"&amp;A290,SyS!$B:$P,10,FALSE()),0)</f>
      </c>
      <c r="S290" s="35">
        <f>IFERROR(VLOOKUP("15_"&amp;A290,SyS!$B:$P,12,FALSE()),0)</f>
      </c>
      <c r="T290" s="36">
        <f>+R290-S290</f>
      </c>
      <c r="U290" s="34">
        <f>IFERROR(VLOOKUP("16_"&amp;A290,SyS!$B:$P,10,FALSE()),0)</f>
      </c>
      <c r="V290" s="35">
        <f>IFERROR(VLOOKUP("16_"&amp;A290,SyS!$B:$P,12,FALSE()),0)</f>
      </c>
      <c r="W290" s="36">
        <f>+U290-V290</f>
      </c>
      <c r="X290" s="34">
        <f>IFERROR(VLOOKUP("13_"&amp;A290,SyS!$B:$P,10,FALSE()),0)</f>
      </c>
      <c r="Y290" s="35">
        <f>IFERROR(VLOOKUP("13_"&amp;A290,SyS!$B:$P,12,FALSE()),0)</f>
      </c>
      <c r="Z290" s="36">
        <f>+X290-Y290</f>
      </c>
      <c r="AA290" s="34">
        <f>IFERROR(VLOOKUP("17_"&amp;A290,SyS!$B:$P,10,FALSE()),0)</f>
      </c>
      <c r="AB290" s="35">
        <f>IFERROR(VLOOKUP("17_"&amp;A290,SyS!$B:$P,12,FALSE()),0)</f>
      </c>
      <c r="AC290" s="36">
        <f>+AA290-AB290</f>
      </c>
      <c r="AD290" s="35"/>
      <c r="AE290" s="35"/>
      <c r="AF290" s="35"/>
      <c r="AG290" s="35">
        <f>IFERROR(VLOOKUP("19_"&amp;A290,SyS!$B:$P,10,FALSE()),0)</f>
      </c>
      <c r="AH290" s="35">
        <f>IFERROR(VLOOKUP("19_"&amp;A290,SyS!$B:$P,12,FALSE()),0)</f>
      </c>
      <c r="AI290" s="35">
        <f>+AG290-AH290</f>
      </c>
      <c r="AJ290" s="35"/>
      <c r="AK290" s="35"/>
      <c r="AL290" s="35"/>
      <c r="AM290" s="34">
        <f>IFERROR(VLOOKUP("23_"&amp;A290,SyS!$B:$P,10,FALSE()),0)</f>
      </c>
      <c r="AN290" s="35">
        <f>IFERROR(VLOOKUP("23_"&amp;A290,SyS!$B:$P,12,FALSE()),0)</f>
      </c>
      <c r="AO290" s="36">
        <f>+AM290-AN290</f>
      </c>
      <c r="AP290" s="40"/>
      <c r="AQ290" s="40"/>
      <c r="AR290" s="40"/>
      <c r="AS290" s="40"/>
      <c r="AT290" s="40"/>
      <c r="AU290" s="40"/>
      <c r="AV290" s="40"/>
      <c r="AW290" s="40"/>
      <c r="AX290" s="40"/>
      <c r="AY290" s="40"/>
      <c r="AZ290" s="40"/>
      <c r="BA290" s="40"/>
      <c r="BB290" s="40"/>
      <c r="BC290" s="40"/>
      <c r="BD290" s="40"/>
      <c r="BE290" s="40"/>
      <c r="BF290" s="40"/>
      <c r="BG290" s="40"/>
      <c r="BH290" s="40"/>
      <c r="BI290" s="40"/>
      <c r="BJ290" s="40"/>
      <c r="BK290" s="40">
        <f>IFERROR(VLOOKUP("29_"&amp;A290,SyS!$B:$P,10,FALSE()),0)</f>
      </c>
      <c r="BL290" s="40">
        <f>IFERROR(VLOOKUP("29_"&amp;A290,SyS!$B:$P,12,FALSE()),0)</f>
      </c>
      <c r="BM290" s="40">
        <f>+BK290-BL290</f>
      </c>
      <c r="BN290" s="42">
        <f>IFERROR(VLOOKUP("30_"&amp;A290,SyS!$B:$P,10,FALSE()),0)</f>
      </c>
      <c r="BO290" s="40">
        <f>IFERROR(VLOOKUP("30_"&amp;A290,SyS!$B:$P,12,FALSE()),0)</f>
      </c>
      <c r="BP290" s="43">
        <f>+BN290-BO290</f>
      </c>
      <c r="BQ290" s="44">
        <f>+E290+H290+K290+N290+Q290+T290+W290+Z290+AC290+AF290+AI290+AL290+AO290+AR290+AU290+AX290+BA290+BD290+BG290+BJ290+BM290+BP290</f>
      </c>
    </row>
    <row r="291" ht="11.25" customHeight="1" spans="1:69" x14ac:dyDescent="0.25">
      <c r="A291" s="9">
        <v>421210000</v>
      </c>
      <c r="B291" s="9" t="s">
        <v>328</v>
      </c>
      <c r="C291" s="34">
        <f>IFERROR(VLOOKUP("1_"&amp;A291,SyS!$B:$P,10,FALSE()),0)</f>
      </c>
      <c r="D291" s="35">
        <f>IFERROR(VLOOKUP("1_"&amp;A291,SyS!$B:$P,12,FALSE()),0)</f>
      </c>
      <c r="E291" s="35">
        <f>+C291-D291</f>
      </c>
      <c r="F291" s="34">
        <f>IFERROR(VLOOKUP("2_"&amp;A291,SyS!$B:$P,10,FALSE()),0)</f>
      </c>
      <c r="G291" s="35">
        <f>IFERROR(VLOOKUP("2_"&amp;A291,SyS!$B:$P,12,FALSE()),0)</f>
      </c>
      <c r="H291" s="36">
        <f>+F291-G291</f>
      </c>
      <c r="I291" s="35"/>
      <c r="J291" s="35"/>
      <c r="K291" s="35"/>
      <c r="L291" s="35"/>
      <c r="M291" s="35"/>
      <c r="N291" s="35"/>
      <c r="O291" s="34">
        <f>IFERROR(VLOOKUP("14_"&amp;A291,SyS!$B:$P,10,FALSE()),0)</f>
      </c>
      <c r="P291" s="35">
        <f>IFERROR(VLOOKUP("14_"&amp;A291,SyS!$B:$P,12,FALSE()),0)</f>
      </c>
      <c r="Q291" s="36">
        <f>+O291-P291</f>
      </c>
      <c r="R291" s="34">
        <f>IFERROR(VLOOKUP("15_"&amp;A291,SyS!$B:$P,10,FALSE()),0)</f>
      </c>
      <c r="S291" s="35">
        <f>IFERROR(VLOOKUP("15_"&amp;A291,SyS!$B:$P,12,FALSE()),0)</f>
      </c>
      <c r="T291" s="36">
        <f>+R291-S291</f>
      </c>
      <c r="U291" s="34">
        <f>IFERROR(VLOOKUP("16_"&amp;A291,SyS!$B:$P,10,FALSE()),0)</f>
      </c>
      <c r="V291" s="35">
        <f>IFERROR(VLOOKUP("16_"&amp;A291,SyS!$B:$P,12,FALSE()),0)</f>
      </c>
      <c r="W291" s="36">
        <f>+U291-V291</f>
      </c>
      <c r="X291" s="34">
        <f>IFERROR(VLOOKUP("13_"&amp;A291,SyS!$B:$P,10,FALSE()),0)</f>
      </c>
      <c r="Y291" s="35">
        <f>IFERROR(VLOOKUP("13_"&amp;A291,SyS!$B:$P,12,FALSE()),0)</f>
      </c>
      <c r="Z291" s="36">
        <f>+X291-Y291</f>
      </c>
      <c r="AA291" s="34">
        <f>IFERROR(VLOOKUP("17_"&amp;A291,SyS!$B:$P,10,FALSE()),0)</f>
      </c>
      <c r="AB291" s="35">
        <f>IFERROR(VLOOKUP("17_"&amp;A291,SyS!$B:$P,12,FALSE()),0)</f>
      </c>
      <c r="AC291" s="36">
        <f>+AA291-AB291</f>
      </c>
      <c r="AD291" s="35"/>
      <c r="AE291" s="35"/>
      <c r="AF291" s="35"/>
      <c r="AG291" s="35">
        <f>IFERROR(VLOOKUP("19_"&amp;A291,SyS!$B:$P,10,FALSE()),0)</f>
      </c>
      <c r="AH291" s="35">
        <f>IFERROR(VLOOKUP("19_"&amp;A291,SyS!$B:$P,12,FALSE()),0)</f>
      </c>
      <c r="AI291" s="35">
        <f>+AG291-AH291</f>
      </c>
      <c r="AJ291" s="35"/>
      <c r="AK291" s="35"/>
      <c r="AL291" s="35"/>
      <c r="AM291" s="34">
        <f>IFERROR(VLOOKUP("23_"&amp;A291,SyS!$B:$P,10,FALSE()),0)</f>
      </c>
      <c r="AN291" s="35">
        <f>IFERROR(VLOOKUP("23_"&amp;A291,SyS!$B:$P,12,FALSE()),0)</f>
      </c>
      <c r="AO291" s="36">
        <f>+AM291-AN291</f>
      </c>
      <c r="AP291" s="40"/>
      <c r="AQ291" s="40"/>
      <c r="AR291" s="40"/>
      <c r="AS291" s="40"/>
      <c r="AT291" s="40"/>
      <c r="AU291" s="40"/>
      <c r="AV291" s="40"/>
      <c r="AW291" s="40"/>
      <c r="AX291" s="40"/>
      <c r="AY291" s="40"/>
      <c r="AZ291" s="40"/>
      <c r="BA291" s="40"/>
      <c r="BB291" s="40"/>
      <c r="BC291" s="40"/>
      <c r="BD291" s="40"/>
      <c r="BE291" s="40"/>
      <c r="BF291" s="40"/>
      <c r="BG291" s="40"/>
      <c r="BH291" s="40"/>
      <c r="BI291" s="40"/>
      <c r="BJ291" s="40"/>
      <c r="BK291" s="40">
        <f>IFERROR(VLOOKUP("29_"&amp;A291,SyS!$B:$P,10,FALSE()),0)</f>
      </c>
      <c r="BL291" s="40">
        <f>IFERROR(VLOOKUP("29_"&amp;A291,SyS!$B:$P,12,FALSE()),0)</f>
      </c>
      <c r="BM291" s="40">
        <f>+BK291-BL291</f>
      </c>
      <c r="BN291" s="42">
        <f>IFERROR(VLOOKUP("30_"&amp;A291,SyS!$B:$P,10,FALSE()),0)</f>
      </c>
      <c r="BO291" s="40">
        <f>IFERROR(VLOOKUP("30_"&amp;A291,SyS!$B:$P,12,FALSE()),0)</f>
      </c>
      <c r="BP291" s="43">
        <f>+BN291-BO291</f>
      </c>
      <c r="BQ291" s="44">
        <f>+E291+H291+K291+N291+Q291+T291+W291+Z291+AC291+AF291+AI291+AL291+AO291+AR291+AU291+AX291+BA291+BD291+BG291+BJ291+BM291+BP291</f>
      </c>
    </row>
    <row r="292" ht="11.25" customHeight="1" spans="1:69" x14ac:dyDescent="0.25">
      <c r="A292" s="9">
        <v>431040000</v>
      </c>
      <c r="B292" s="9" t="s">
        <v>329</v>
      </c>
      <c r="C292" s="34">
        <f>IFERROR(VLOOKUP("1_"&amp;A292,SyS!$B:$P,10,FALSE()),0)</f>
      </c>
      <c r="D292" s="35">
        <f>IFERROR(VLOOKUP("1_"&amp;A292,SyS!$B:$P,12,FALSE()),0)</f>
      </c>
      <c r="E292" s="35">
        <f>+C292-D292</f>
      </c>
      <c r="F292" s="34">
        <f>IFERROR(VLOOKUP("2_"&amp;A292,SyS!$B:$P,10,FALSE()),0)</f>
      </c>
      <c r="G292" s="35">
        <f>IFERROR(VLOOKUP("2_"&amp;A292,SyS!$B:$P,12,FALSE()),0)</f>
      </c>
      <c r="H292" s="36">
        <f>+F292-G292</f>
      </c>
      <c r="I292" s="35"/>
      <c r="J292" s="35"/>
      <c r="K292" s="35"/>
      <c r="L292" s="35"/>
      <c r="M292" s="35"/>
      <c r="N292" s="35"/>
      <c r="O292" s="34">
        <f>IFERROR(VLOOKUP("14_"&amp;A292,SyS!$B:$P,10,FALSE()),0)</f>
      </c>
      <c r="P292" s="35">
        <f>IFERROR(VLOOKUP("14_"&amp;A292,SyS!$B:$P,12,FALSE()),0)</f>
      </c>
      <c r="Q292" s="36">
        <f>+O292-P292</f>
      </c>
      <c r="R292" s="34">
        <f>IFERROR(VLOOKUP("15_"&amp;A292,SyS!$B:$P,10,FALSE()),0)</f>
      </c>
      <c r="S292" s="35">
        <f>IFERROR(VLOOKUP("15_"&amp;A292,SyS!$B:$P,12,FALSE()),0)</f>
      </c>
      <c r="T292" s="36">
        <f>+R292-S292</f>
      </c>
      <c r="U292" s="34">
        <f>IFERROR(VLOOKUP("16_"&amp;A292,SyS!$B:$P,10,FALSE()),0)</f>
      </c>
      <c r="V292" s="35">
        <f>IFERROR(VLOOKUP("16_"&amp;A292,SyS!$B:$P,12,FALSE()),0)</f>
      </c>
      <c r="W292" s="36">
        <f>+U292-V292</f>
      </c>
      <c r="X292" s="34">
        <f>IFERROR(VLOOKUP("13_"&amp;A292,SyS!$B:$P,10,FALSE()),0)</f>
      </c>
      <c r="Y292" s="35">
        <f>IFERROR(VLOOKUP("13_"&amp;A292,SyS!$B:$P,12,FALSE()),0)</f>
      </c>
      <c r="Z292" s="36">
        <f>+X292-Y292</f>
      </c>
      <c r="AA292" s="34">
        <f>IFERROR(VLOOKUP("17_"&amp;A292,SyS!$B:$P,10,FALSE()),0)</f>
      </c>
      <c r="AB292" s="35">
        <f>IFERROR(VLOOKUP("17_"&amp;A292,SyS!$B:$P,12,FALSE()),0)</f>
      </c>
      <c r="AC292" s="36">
        <f>+AA292-AB292</f>
      </c>
      <c r="AD292" s="35"/>
      <c r="AE292" s="35"/>
      <c r="AF292" s="35"/>
      <c r="AG292" s="35">
        <f>IFERROR(VLOOKUP("19_"&amp;A292,SyS!$B:$P,10,FALSE()),0)</f>
      </c>
      <c r="AH292" s="35">
        <f>IFERROR(VLOOKUP("19_"&amp;A292,SyS!$B:$P,12,FALSE()),0)</f>
      </c>
      <c r="AI292" s="35">
        <f>+AG292-AH292</f>
      </c>
      <c r="AJ292" s="35"/>
      <c r="AK292" s="35"/>
      <c r="AL292" s="35"/>
      <c r="AM292" s="34">
        <f>IFERROR(VLOOKUP("23_"&amp;A292,SyS!$B:$P,10,FALSE()),0)</f>
      </c>
      <c r="AN292" s="35">
        <f>IFERROR(VLOOKUP("23_"&amp;A292,SyS!$B:$P,12,FALSE()),0)</f>
      </c>
      <c r="AO292" s="36">
        <f>+AM292-AN292</f>
      </c>
      <c r="AP292" s="40"/>
      <c r="AQ292" s="40"/>
      <c r="AR292" s="40"/>
      <c r="AS292" s="40"/>
      <c r="AT292" s="40"/>
      <c r="AU292" s="40"/>
      <c r="AV292" s="40"/>
      <c r="AW292" s="40"/>
      <c r="AX292" s="40"/>
      <c r="AY292" s="40"/>
      <c r="AZ292" s="40"/>
      <c r="BA292" s="40"/>
      <c r="BB292" s="40"/>
      <c r="BC292" s="40"/>
      <c r="BD292" s="40"/>
      <c r="BE292" s="40"/>
      <c r="BF292" s="40"/>
      <c r="BG292" s="40"/>
      <c r="BH292" s="40"/>
      <c r="BI292" s="40"/>
      <c r="BJ292" s="40"/>
      <c r="BK292" s="40">
        <f>IFERROR(VLOOKUP("29_"&amp;A292,SyS!$B:$P,10,FALSE()),0)</f>
      </c>
      <c r="BL292" s="40">
        <f>IFERROR(VLOOKUP("29_"&amp;A292,SyS!$B:$P,12,FALSE()),0)</f>
      </c>
      <c r="BM292" s="40">
        <f>+BK292-BL292</f>
      </c>
      <c r="BN292" s="42">
        <f>IFERROR(VLOOKUP("30_"&amp;A292,SyS!$B:$P,10,FALSE()),0)</f>
      </c>
      <c r="BO292" s="40">
        <f>IFERROR(VLOOKUP("30_"&amp;A292,SyS!$B:$P,12,FALSE()),0)</f>
      </c>
      <c r="BP292" s="43">
        <f>+BN292-BO292</f>
      </c>
      <c r="BQ292" s="44">
        <f>+E292+H292+K292+N292+Q292+T292+W292+Z292+AC292+AF292+AI292+AL292+AO292+AR292+AU292+AX292+BA292+BD292+BG292+BJ292+BM292+BP292</f>
      </c>
    </row>
    <row r="293" ht="11.25" customHeight="1" spans="1:69" x14ac:dyDescent="0.25">
      <c r="A293" s="9">
        <v>426620000</v>
      </c>
      <c r="B293" s="9" t="s">
        <v>330</v>
      </c>
      <c r="C293" s="34">
        <f>IFERROR(VLOOKUP("1_"&amp;A293,SyS!$B:$P,10,FALSE()),0)</f>
      </c>
      <c r="D293" s="35">
        <f>IFERROR(VLOOKUP("1_"&amp;A293,SyS!$B:$P,12,FALSE()),0)</f>
      </c>
      <c r="E293" s="35">
        <f>+C293-D293</f>
      </c>
      <c r="F293" s="34">
        <f>IFERROR(VLOOKUP("2_"&amp;A293,SyS!$B:$P,10,FALSE()),0)</f>
      </c>
      <c r="G293" s="35">
        <f>IFERROR(VLOOKUP("2_"&amp;A293,SyS!$B:$P,12,FALSE()),0)</f>
      </c>
      <c r="H293" s="36">
        <f>+F293-G293</f>
      </c>
      <c r="I293" s="35"/>
      <c r="J293" s="35"/>
      <c r="K293" s="35"/>
      <c r="L293" s="35"/>
      <c r="M293" s="35"/>
      <c r="N293" s="35"/>
      <c r="O293" s="34">
        <f>IFERROR(VLOOKUP("14_"&amp;A293,SyS!$B:$P,10,FALSE()),0)</f>
      </c>
      <c r="P293" s="35">
        <f>IFERROR(VLOOKUP("14_"&amp;A293,SyS!$B:$P,12,FALSE()),0)</f>
      </c>
      <c r="Q293" s="36">
        <f>+O293-P293</f>
      </c>
      <c r="R293" s="34">
        <f>IFERROR(VLOOKUP("15_"&amp;A293,SyS!$B:$P,10,FALSE()),0)</f>
      </c>
      <c r="S293" s="35">
        <f>IFERROR(VLOOKUP("15_"&amp;A293,SyS!$B:$P,12,FALSE()),0)</f>
      </c>
      <c r="T293" s="36">
        <f>+R293-S293</f>
      </c>
      <c r="U293" s="34">
        <f>IFERROR(VLOOKUP("16_"&amp;A293,SyS!$B:$P,10,FALSE()),0)</f>
      </c>
      <c r="V293" s="35">
        <f>IFERROR(VLOOKUP("16_"&amp;A293,SyS!$B:$P,12,FALSE()),0)</f>
      </c>
      <c r="W293" s="36">
        <f>+U293-V293</f>
      </c>
      <c r="X293" s="34">
        <f>IFERROR(VLOOKUP("13_"&amp;A293,SyS!$B:$P,10,FALSE()),0)</f>
      </c>
      <c r="Y293" s="35">
        <f>IFERROR(VLOOKUP("13_"&amp;A293,SyS!$B:$P,12,FALSE()),0)</f>
      </c>
      <c r="Z293" s="36">
        <f>+X293-Y293</f>
      </c>
      <c r="AA293" s="34">
        <f>IFERROR(VLOOKUP("17_"&amp;A293,SyS!$B:$P,10,FALSE()),0)</f>
      </c>
      <c r="AB293" s="35">
        <f>IFERROR(VLOOKUP("17_"&amp;A293,SyS!$B:$P,12,FALSE()),0)</f>
      </c>
      <c r="AC293" s="36">
        <f>+AA293-AB293</f>
      </c>
      <c r="AD293" s="35"/>
      <c r="AE293" s="35"/>
      <c r="AF293" s="35"/>
      <c r="AG293" s="35">
        <f>IFERROR(VLOOKUP("19_"&amp;A293,SyS!$B:$P,10,FALSE()),0)</f>
      </c>
      <c r="AH293" s="35">
        <f>IFERROR(VLOOKUP("19_"&amp;A293,SyS!$B:$P,12,FALSE()),0)</f>
      </c>
      <c r="AI293" s="35">
        <f>+AG293-AH293</f>
      </c>
      <c r="AJ293" s="35"/>
      <c r="AK293" s="35"/>
      <c r="AL293" s="35"/>
      <c r="AM293" s="34">
        <f>IFERROR(VLOOKUP("23_"&amp;A293,SyS!$B:$P,10,FALSE()),0)</f>
      </c>
      <c r="AN293" s="35">
        <f>IFERROR(VLOOKUP("23_"&amp;A293,SyS!$B:$P,12,FALSE()),0)</f>
      </c>
      <c r="AO293" s="36">
        <f>+AM293-AN293</f>
      </c>
      <c r="AP293" s="40"/>
      <c r="AQ293" s="40"/>
      <c r="AR293" s="40"/>
      <c r="AS293" s="40"/>
      <c r="AT293" s="40"/>
      <c r="AU293" s="40"/>
      <c r="AV293" s="40"/>
      <c r="AW293" s="40"/>
      <c r="AX293" s="40"/>
      <c r="AY293" s="40"/>
      <c r="AZ293" s="40"/>
      <c r="BA293" s="40"/>
      <c r="BB293" s="40"/>
      <c r="BC293" s="40"/>
      <c r="BD293" s="40"/>
      <c r="BE293" s="40"/>
      <c r="BF293" s="40"/>
      <c r="BG293" s="40"/>
      <c r="BH293" s="40"/>
      <c r="BI293" s="40"/>
      <c r="BJ293" s="40"/>
      <c r="BK293" s="40">
        <f>IFERROR(VLOOKUP("29_"&amp;A293,SyS!$B:$P,10,FALSE()),0)</f>
      </c>
      <c r="BL293" s="40">
        <f>IFERROR(VLOOKUP("29_"&amp;A293,SyS!$B:$P,12,FALSE()),0)</f>
      </c>
      <c r="BM293" s="40">
        <f>+BK293-BL293</f>
      </c>
      <c r="BN293" s="42">
        <f>IFERROR(VLOOKUP("30_"&amp;A293,SyS!$B:$P,10,FALSE()),0)</f>
      </c>
      <c r="BO293" s="40">
        <f>IFERROR(VLOOKUP("30_"&amp;A293,SyS!$B:$P,12,FALSE()),0)</f>
      </c>
      <c r="BP293" s="43">
        <f>+BN293-BO293</f>
      </c>
      <c r="BQ293" s="44">
        <f>+E293+H293+K293+N293+Q293+T293+W293+Z293+AC293+AF293+AI293+AL293+AO293+AR293+AU293+AX293+BA293+BD293+BG293+BJ293+BM293+BP293</f>
      </c>
    </row>
    <row r="294" ht="12" customHeight="1" spans="1:69" x14ac:dyDescent="0.25">
      <c r="A294" s="9">
        <v>431090000</v>
      </c>
      <c r="B294" s="9" t="s">
        <v>331</v>
      </c>
      <c r="C294" s="34">
        <f>IFERROR(VLOOKUP("1_"&amp;A294,SyS!$B:$P,10,FALSE()),0)</f>
      </c>
      <c r="D294" s="35">
        <f>IFERROR(VLOOKUP("1_"&amp;A294,SyS!$B:$P,12,FALSE()),0)</f>
      </c>
      <c r="E294" s="35">
        <f>+C294-D294</f>
      </c>
      <c r="F294" s="34">
        <f>IFERROR(VLOOKUP("2_"&amp;A294,SyS!$B:$P,10,FALSE()),0)</f>
      </c>
      <c r="G294" s="35">
        <f>IFERROR(VLOOKUP("2_"&amp;A294,SyS!$B:$P,12,FALSE()),0)</f>
      </c>
      <c r="H294" s="36">
        <f>+F294-G294</f>
      </c>
      <c r="I294" s="35"/>
      <c r="J294" s="35"/>
      <c r="K294" s="35"/>
      <c r="L294" s="35"/>
      <c r="M294" s="35"/>
      <c r="N294" s="35"/>
      <c r="O294" s="34">
        <f>IFERROR(VLOOKUP("14_"&amp;A294,SyS!$B:$P,10,FALSE()),0)</f>
      </c>
      <c r="P294" s="35">
        <f>IFERROR(VLOOKUP("14_"&amp;A294,SyS!$B:$P,12,FALSE()),0)</f>
      </c>
      <c r="Q294" s="36">
        <f>+O294-P294</f>
      </c>
      <c r="R294" s="34">
        <f>IFERROR(VLOOKUP("15_"&amp;A294,SyS!$B:$P,10,FALSE()),0)</f>
      </c>
      <c r="S294" s="35">
        <f>IFERROR(VLOOKUP("15_"&amp;A294,SyS!$B:$P,12,FALSE()),0)</f>
      </c>
      <c r="T294" s="36">
        <f>+R294-S294</f>
      </c>
      <c r="U294" s="34">
        <f>IFERROR(VLOOKUP("16_"&amp;A294,SyS!$B:$P,10,FALSE()),0)</f>
      </c>
      <c r="V294" s="35">
        <f>IFERROR(VLOOKUP("16_"&amp;A294,SyS!$B:$P,12,FALSE()),0)</f>
      </c>
      <c r="W294" s="36">
        <f>+U294-V294</f>
      </c>
      <c r="X294" s="34">
        <f>IFERROR(VLOOKUP("13_"&amp;A294,SyS!$B:$P,10,FALSE()),0)</f>
      </c>
      <c r="Y294" s="35">
        <f>IFERROR(VLOOKUP("13_"&amp;A294,SyS!$B:$P,12,FALSE()),0)</f>
      </c>
      <c r="Z294" s="36">
        <f>+X294-Y294</f>
      </c>
      <c r="AA294" s="34">
        <f>IFERROR(VLOOKUP("17_"&amp;A294,SyS!$B:$P,10,FALSE()),0)</f>
      </c>
      <c r="AB294" s="35">
        <f>IFERROR(VLOOKUP("17_"&amp;A294,SyS!$B:$P,12,FALSE()),0)</f>
      </c>
      <c r="AC294" s="36">
        <f>+AA294-AB294</f>
      </c>
      <c r="AD294" s="35"/>
      <c r="AE294" s="35"/>
      <c r="AF294" s="35"/>
      <c r="AG294" s="35">
        <f>IFERROR(VLOOKUP("19_"&amp;A294,SyS!$B:$P,10,FALSE()),0)</f>
      </c>
      <c r="AH294" s="35">
        <f>IFERROR(VLOOKUP("19_"&amp;A294,SyS!$B:$P,12,FALSE()),0)</f>
      </c>
      <c r="AI294" s="35">
        <f>+AG294-AH294</f>
      </c>
      <c r="AJ294" s="35"/>
      <c r="AK294" s="35"/>
      <c r="AL294" s="35"/>
      <c r="AM294" s="34">
        <f>IFERROR(VLOOKUP("23_"&amp;A294,SyS!$B:$P,10,FALSE()),0)</f>
      </c>
      <c r="AN294" s="35">
        <f>IFERROR(VLOOKUP("23_"&amp;A294,SyS!$B:$P,12,FALSE()),0)</f>
      </c>
      <c r="AO294" s="36">
        <f>+AM294-AN294</f>
      </c>
      <c r="AP294" s="40"/>
      <c r="AQ294" s="40"/>
      <c r="AR294" s="40"/>
      <c r="AS294" s="40"/>
      <c r="AT294" s="40"/>
      <c r="AU294" s="40"/>
      <c r="AV294" s="40"/>
      <c r="AW294" s="40"/>
      <c r="AX294" s="40"/>
      <c r="AY294" s="40"/>
      <c r="AZ294" s="40"/>
      <c r="BA294" s="40"/>
      <c r="BB294" s="40"/>
      <c r="BC294" s="40"/>
      <c r="BD294" s="40"/>
      <c r="BE294" s="40"/>
      <c r="BF294" s="40"/>
      <c r="BG294" s="40"/>
      <c r="BH294" s="40"/>
      <c r="BI294" s="40"/>
      <c r="BJ294" s="40"/>
      <c r="BK294" s="40">
        <f>IFERROR(VLOOKUP("29_"&amp;A294,SyS!$B:$P,10,FALSE()),0)</f>
      </c>
      <c r="BL294" s="40">
        <f>IFERROR(VLOOKUP("29_"&amp;A294,SyS!$B:$P,12,FALSE()),0)</f>
      </c>
      <c r="BM294" s="40">
        <f>+BK294-BL294</f>
      </c>
      <c r="BN294" s="42">
        <f>IFERROR(VLOOKUP("30_"&amp;A294,SyS!$B:$P,10,FALSE()),0)</f>
      </c>
      <c r="BO294" s="40">
        <f>IFERROR(VLOOKUP("30_"&amp;A294,SyS!$B:$P,12,FALSE()),0)</f>
      </c>
      <c r="BP294" s="43">
        <f>+BN294-BO294</f>
      </c>
      <c r="BQ294" s="44">
        <f>+E294+H294+K294+N294+Q294+T294+W294+Z294+AC294+AF294+AI294+AL294+AO294+AR294+AU294+AX294+BA294+BD294+BG294+BJ294+BM294+BP294</f>
      </c>
    </row>
    <row r="295" ht="11.25" customHeight="1" spans="1:69" x14ac:dyDescent="0.25">
      <c r="A295" s="9">
        <v>426630000</v>
      </c>
      <c r="B295" s="9" t="s">
        <v>332</v>
      </c>
      <c r="C295" s="34">
        <f>IFERROR(VLOOKUP("1_"&amp;A295,SyS!$B:$P,10,FALSE()),0)</f>
      </c>
      <c r="D295" s="35">
        <f>IFERROR(VLOOKUP("1_"&amp;A295,SyS!$B:$P,12,FALSE()),0)</f>
      </c>
      <c r="E295" s="35">
        <f>+C295-D295</f>
      </c>
      <c r="F295" s="34">
        <f>IFERROR(VLOOKUP("2_"&amp;A295,SyS!$B:$P,10,FALSE()),0)</f>
        <v>469.85</v>
      </c>
      <c r="G295" s="35">
        <f>IFERROR(VLOOKUP("2_"&amp;A295,SyS!$B:$P,12,FALSE()),0)</f>
      </c>
      <c r="H295" s="36">
        <f>+F295-G295</f>
        <v>469.85</v>
      </c>
      <c r="I295" s="35"/>
      <c r="J295" s="35"/>
      <c r="K295" s="35"/>
      <c r="L295" s="35"/>
      <c r="M295" s="35"/>
      <c r="N295" s="35"/>
      <c r="O295" s="34">
        <f>IFERROR(VLOOKUP("14_"&amp;A295,SyS!$B:$P,10,FALSE()),0)</f>
      </c>
      <c r="P295" s="35">
        <f>IFERROR(VLOOKUP("14_"&amp;A295,SyS!$B:$P,12,FALSE()),0)</f>
      </c>
      <c r="Q295" s="36">
        <f>+O295-P295</f>
      </c>
      <c r="R295" s="34">
        <f>IFERROR(VLOOKUP("15_"&amp;A295,SyS!$B:$P,10,FALSE()),0)</f>
      </c>
      <c r="S295" s="35">
        <f>IFERROR(VLOOKUP("15_"&amp;A295,SyS!$B:$P,12,FALSE()),0)</f>
      </c>
      <c r="T295" s="36">
        <f>+R295-S295</f>
      </c>
      <c r="U295" s="34">
        <f>IFERROR(VLOOKUP("16_"&amp;A295,SyS!$B:$P,10,FALSE()),0)</f>
      </c>
      <c r="V295" s="35">
        <f>IFERROR(VLOOKUP("16_"&amp;A295,SyS!$B:$P,12,FALSE()),0)</f>
      </c>
      <c r="W295" s="36">
        <f>+U295-V295</f>
      </c>
      <c r="X295" s="34">
        <f>IFERROR(VLOOKUP("13_"&amp;A295,SyS!$B:$P,10,FALSE()),0)</f>
      </c>
      <c r="Y295" s="35">
        <f>IFERROR(VLOOKUP("13_"&amp;A295,SyS!$B:$P,12,FALSE()),0)</f>
      </c>
      <c r="Z295" s="36">
        <f>+X295-Y295</f>
      </c>
      <c r="AA295" s="34">
        <f>IFERROR(VLOOKUP("17_"&amp;A295,SyS!$B:$P,10,FALSE()),0)</f>
      </c>
      <c r="AB295" s="35">
        <f>IFERROR(VLOOKUP("17_"&amp;A295,SyS!$B:$P,12,FALSE()),0)</f>
      </c>
      <c r="AC295" s="36">
        <f>+AA295-AB295</f>
      </c>
      <c r="AD295" s="35"/>
      <c r="AE295" s="35"/>
      <c r="AF295" s="35"/>
      <c r="AG295" s="35">
        <f>IFERROR(VLOOKUP("19_"&amp;A295,SyS!$B:$P,10,FALSE()),0)</f>
      </c>
      <c r="AH295" s="35">
        <f>IFERROR(VLOOKUP("19_"&amp;A295,SyS!$B:$P,12,FALSE()),0)</f>
      </c>
      <c r="AI295" s="35">
        <f>+AG295-AH295</f>
      </c>
      <c r="AJ295" s="35"/>
      <c r="AK295" s="35"/>
      <c r="AL295" s="35"/>
      <c r="AM295" s="34">
        <f>IFERROR(VLOOKUP("23_"&amp;A295,SyS!$B:$P,10,FALSE()),0)</f>
      </c>
      <c r="AN295" s="35">
        <f>IFERROR(VLOOKUP("23_"&amp;A295,SyS!$B:$P,12,FALSE()),0)</f>
      </c>
      <c r="AO295" s="36">
        <f>+AM295-AN295</f>
      </c>
      <c r="AP295" s="40"/>
      <c r="AQ295" s="40"/>
      <c r="AR295" s="40"/>
      <c r="AS295" s="40"/>
      <c r="AT295" s="40"/>
      <c r="AU295" s="40"/>
      <c r="AV295" s="40"/>
      <c r="AW295" s="40"/>
      <c r="AX295" s="40"/>
      <c r="AY295" s="40"/>
      <c r="AZ295" s="40"/>
      <c r="BA295" s="40"/>
      <c r="BB295" s="40"/>
      <c r="BC295" s="40"/>
      <c r="BD295" s="40"/>
      <c r="BE295" s="40"/>
      <c r="BF295" s="40"/>
      <c r="BG295" s="40"/>
      <c r="BH295" s="40"/>
      <c r="BI295" s="40"/>
      <c r="BJ295" s="40"/>
      <c r="BK295" s="40">
        <f>IFERROR(VLOOKUP("29_"&amp;A295,SyS!$B:$P,10,FALSE()),0)</f>
      </c>
      <c r="BL295" s="40">
        <f>IFERROR(VLOOKUP("29_"&amp;A295,SyS!$B:$P,12,FALSE()),0)</f>
      </c>
      <c r="BM295" s="40">
        <f>+BK295-BL295</f>
      </c>
      <c r="BN295" s="42">
        <f>IFERROR(VLOOKUP("30_"&amp;A295,SyS!$B:$P,10,FALSE()),0)</f>
      </c>
      <c r="BO295" s="40">
        <f>IFERROR(VLOOKUP("30_"&amp;A295,SyS!$B:$P,12,FALSE()),0)</f>
      </c>
      <c r="BP295" s="43">
        <f>+BN295-BO295</f>
      </c>
      <c r="BQ295" s="44">
        <f>+E295+H295+K295+N295+Q295+T295+W295+Z295+AC295+AF295+AI295+AL295+AO295+AR295+AU295+AX295+BA295+BD295+BG295+BJ295+BM295+BP295</f>
        <v>469.85</v>
      </c>
    </row>
    <row r="296" ht="11.25" customHeight="1" spans="1:69" x14ac:dyDescent="0.25">
      <c r="A296" s="48"/>
      <c r="B296" s="49" t="s">
        <v>333</v>
      </c>
      <c r="C296" s="34">
        <f>IFERROR(VLOOKUP("1_"&amp;A295,SyS!$B:$P,10,FALSE()),0)</f>
      </c>
      <c r="D296" s="35">
        <f>IFERROR(VLOOKUP("1_"&amp;A295,SyS!$B:$P,12,FALSE()),0)</f>
      </c>
      <c r="E296" s="35">
        <f>+C295-D295</f>
      </c>
      <c r="F296" s="34"/>
      <c r="G296" s="35"/>
      <c r="H296" s="36"/>
      <c r="I296" s="35"/>
      <c r="J296" s="35"/>
      <c r="K296" s="35"/>
      <c r="L296" s="35"/>
      <c r="M296" s="35"/>
      <c r="N296" s="35"/>
      <c r="O296" s="34"/>
      <c r="P296" s="35"/>
      <c r="Q296" s="36"/>
      <c r="R296" s="34"/>
      <c r="S296" s="35"/>
      <c r="T296" s="36"/>
      <c r="U296" s="34"/>
      <c r="V296" s="35"/>
      <c r="W296" s="36"/>
      <c r="X296" s="34"/>
      <c r="Y296" s="35"/>
      <c r="Z296" s="36"/>
      <c r="AA296" s="34"/>
      <c r="AB296" s="35"/>
      <c r="AC296" s="36"/>
      <c r="AD296" s="35"/>
      <c r="AE296" s="35"/>
      <c r="AF296" s="35"/>
      <c r="AG296" s="35"/>
      <c r="AH296" s="35"/>
      <c r="AI296" s="35"/>
      <c r="AJ296" s="35"/>
      <c r="AK296" s="35"/>
      <c r="AL296" s="35"/>
      <c r="AM296" s="34"/>
      <c r="AN296" s="35"/>
      <c r="AO296" s="36"/>
      <c r="AP296" s="40"/>
      <c r="AQ296" s="40"/>
      <c r="AR296" s="40"/>
      <c r="AS296" s="40"/>
      <c r="AT296" s="40"/>
      <c r="AU296" s="40"/>
      <c r="AV296" s="40"/>
      <c r="AW296" s="40"/>
      <c r="AX296" s="40"/>
      <c r="AY296" s="40"/>
      <c r="AZ296" s="40"/>
      <c r="BA296" s="40"/>
      <c r="BB296" s="40"/>
      <c r="BC296" s="40"/>
      <c r="BD296" s="40"/>
      <c r="BE296" s="40"/>
      <c r="BF296" s="40"/>
      <c r="BG296" s="40"/>
      <c r="BH296" s="40"/>
      <c r="BI296" s="40"/>
      <c r="BJ296" s="40"/>
      <c r="BK296" s="40"/>
      <c r="BL296" s="40"/>
      <c r="BM296" s="40"/>
      <c r="BN296" s="42"/>
      <c r="BO296" s="40"/>
      <c r="BP296" s="43"/>
      <c r="BQ296" s="44"/>
    </row>
    <row r="297" ht="11.25" customHeight="1" spans="1:69" x14ac:dyDescent="0.25">
      <c r="A297" s="9">
        <v>431020000</v>
      </c>
      <c r="B297" s="9" t="s">
        <v>334</v>
      </c>
      <c r="C297" s="34">
        <f>IFERROR(VLOOKUP("1_"&amp;A297,SyS!$B:$P,10,FALSE()),0)</f>
      </c>
      <c r="D297" s="35">
        <f>IFERROR(VLOOKUP("1_"&amp;A297,SyS!$B:$P,12,FALSE()),0)</f>
      </c>
      <c r="E297" s="35">
        <f>+C297-D297</f>
      </c>
      <c r="F297" s="34">
        <f>IFERROR(VLOOKUP("2_"&amp;A297,SyS!$B:$P,10,FALSE()),0)</f>
      </c>
      <c r="G297" s="35">
        <f>IFERROR(VLOOKUP("2_"&amp;A297,SyS!$B:$P,12,FALSE()),0)</f>
      </c>
      <c r="H297" s="36">
        <f>+F297-G297</f>
      </c>
      <c r="I297" s="35"/>
      <c r="J297" s="35"/>
      <c r="K297" s="35"/>
      <c r="L297" s="35"/>
      <c r="M297" s="35"/>
      <c r="N297" s="35"/>
      <c r="O297" s="34">
        <f>IFERROR(VLOOKUP("14_"&amp;A297,SyS!$B:$P,10,FALSE()),0)</f>
      </c>
      <c r="P297" s="35">
        <f>IFERROR(VLOOKUP("14_"&amp;A297,SyS!$B:$P,12,FALSE()),0)</f>
      </c>
      <c r="Q297" s="36">
        <f>+O297-P297</f>
      </c>
      <c r="R297" s="34">
        <f>IFERROR(VLOOKUP("15_"&amp;A297,SyS!$B:$P,10,FALSE()),0)</f>
      </c>
      <c r="S297" s="35">
        <f>IFERROR(VLOOKUP("15_"&amp;A297,SyS!$B:$P,12,FALSE()),0)</f>
      </c>
      <c r="T297" s="36">
        <f>+R297-S297</f>
      </c>
      <c r="U297" s="34">
        <f>IFERROR(VLOOKUP("16_"&amp;A297,SyS!$B:$P,10,FALSE()),0)</f>
      </c>
      <c r="V297" s="35">
        <f>IFERROR(VLOOKUP("16_"&amp;A297,SyS!$B:$P,12,FALSE()),0)</f>
      </c>
      <c r="W297" s="36">
        <f>+U297-V297</f>
      </c>
      <c r="X297" s="34">
        <f>IFERROR(VLOOKUP("13_"&amp;A297,SyS!$B:$P,10,FALSE()),0)</f>
      </c>
      <c r="Y297" s="35">
        <f>IFERROR(VLOOKUP("13_"&amp;A297,SyS!$B:$P,12,FALSE()),0)</f>
      </c>
      <c r="Z297" s="36">
        <f>+X297-Y297</f>
      </c>
      <c r="AA297" s="34">
        <f>IFERROR(VLOOKUP("17_"&amp;A297,SyS!$B:$P,10,FALSE()),0)</f>
      </c>
      <c r="AB297" s="35">
        <f>IFERROR(VLOOKUP("17_"&amp;A297,SyS!$B:$P,12,FALSE()),0)</f>
      </c>
      <c r="AC297" s="36">
        <f>+AA297-AB297</f>
      </c>
      <c r="AD297" s="35"/>
      <c r="AE297" s="35"/>
      <c r="AF297" s="35"/>
      <c r="AG297" s="35">
        <f>IFERROR(VLOOKUP("19_"&amp;A297,SyS!$B:$P,10,FALSE()),0)</f>
      </c>
      <c r="AH297" s="35">
        <f>IFERROR(VLOOKUP("19_"&amp;A297,SyS!$B:$P,12,FALSE()),0)</f>
      </c>
      <c r="AI297" s="35">
        <f>+AG297-AH297</f>
      </c>
      <c r="AJ297" s="35"/>
      <c r="AK297" s="35"/>
      <c r="AL297" s="35"/>
      <c r="AM297" s="34">
        <f>IFERROR(VLOOKUP("23_"&amp;A297,SyS!$B:$P,10,FALSE()),0)</f>
      </c>
      <c r="AN297" s="35">
        <f>IFERROR(VLOOKUP("23_"&amp;A297,SyS!$B:$P,12,FALSE()),0)</f>
      </c>
      <c r="AO297" s="36">
        <f>+AM297-AN297</f>
      </c>
      <c r="AP297" s="40"/>
      <c r="AQ297" s="40"/>
      <c r="AR297" s="40"/>
      <c r="AS297" s="40"/>
      <c r="AT297" s="40"/>
      <c r="AU297" s="40"/>
      <c r="AV297" s="40"/>
      <c r="AW297" s="40"/>
      <c r="AX297" s="40"/>
      <c r="AY297" s="40"/>
      <c r="AZ297" s="40"/>
      <c r="BA297" s="40"/>
      <c r="BB297" s="40"/>
      <c r="BC297" s="40"/>
      <c r="BD297" s="40"/>
      <c r="BE297" s="40"/>
      <c r="BF297" s="40"/>
      <c r="BG297" s="40"/>
      <c r="BH297" s="40"/>
      <c r="BI297" s="40"/>
      <c r="BJ297" s="40"/>
      <c r="BK297" s="40">
        <f>IFERROR(VLOOKUP("29_"&amp;A297,SyS!$B:$P,10,FALSE()),0)</f>
      </c>
      <c r="BL297" s="40">
        <f>IFERROR(VLOOKUP("29_"&amp;A297,SyS!$B:$P,12,FALSE()),0)</f>
      </c>
      <c r="BM297" s="40">
        <f>+BK297-BL297</f>
      </c>
      <c r="BN297" s="42">
        <f>IFERROR(VLOOKUP("30_"&amp;A297,SyS!$B:$P,10,FALSE()),0)</f>
      </c>
      <c r="BO297" s="40">
        <f>IFERROR(VLOOKUP("30_"&amp;A297,SyS!$B:$P,12,FALSE()),0)</f>
      </c>
      <c r="BP297" s="43">
        <f>+BN297-BO297</f>
      </c>
      <c r="BQ297" s="44">
        <f>+E297+H297+K297+N297+Q297+T297+W297+Z297+AC297+AF297+AI297+AL297+AO297+AR297+AU297+AX297+BA297+BD297+BG297+BJ297+BM297+BP297</f>
      </c>
    </row>
    <row r="298" ht="11.25" customHeight="1" spans="1:69" x14ac:dyDescent="0.25">
      <c r="A298" s="9">
        <v>431010000</v>
      </c>
      <c r="B298" s="9" t="s">
        <v>335</v>
      </c>
      <c r="C298" s="34">
        <f>IFERROR(VLOOKUP("1_"&amp;A298,SyS!$B:$P,10,FALSE()),0)</f>
      </c>
      <c r="D298" s="35">
        <f>IFERROR(VLOOKUP("1_"&amp;A298,SyS!$B:$P,12,FALSE()),0)</f>
      </c>
      <c r="E298" s="35">
        <f>+C298-D298</f>
      </c>
      <c r="F298" s="34">
        <f>IFERROR(VLOOKUP("2_"&amp;A298,SyS!$B:$P,10,FALSE()),0)</f>
      </c>
      <c r="G298" s="35">
        <f>IFERROR(VLOOKUP("2_"&amp;A298,SyS!$B:$P,12,FALSE()),0)</f>
      </c>
      <c r="H298" s="36">
        <f>+F298-G298</f>
      </c>
      <c r="I298" s="35"/>
      <c r="J298" s="35"/>
      <c r="K298" s="35"/>
      <c r="L298" s="35"/>
      <c r="M298" s="35"/>
      <c r="N298" s="35"/>
      <c r="O298" s="34">
        <f>IFERROR(VLOOKUP("14_"&amp;A298,SyS!$B:$P,10,FALSE()),0)</f>
      </c>
      <c r="P298" s="35">
        <f>IFERROR(VLOOKUP("14_"&amp;A298,SyS!$B:$P,12,FALSE()),0)</f>
      </c>
      <c r="Q298" s="36">
        <f>+O298-P298</f>
      </c>
      <c r="R298" s="34">
        <f>IFERROR(VLOOKUP("15_"&amp;A298,SyS!$B:$P,10,FALSE()),0)</f>
      </c>
      <c r="S298" s="35">
        <f>IFERROR(VLOOKUP("15_"&amp;A298,SyS!$B:$P,12,FALSE()),0)</f>
      </c>
      <c r="T298" s="36">
        <f>+R298-S298</f>
      </c>
      <c r="U298" s="34">
        <f>IFERROR(VLOOKUP("16_"&amp;A298,SyS!$B:$P,10,FALSE()),0)</f>
      </c>
      <c r="V298" s="35">
        <f>IFERROR(VLOOKUP("16_"&amp;A298,SyS!$B:$P,12,FALSE()),0)</f>
      </c>
      <c r="W298" s="36">
        <f>+U298-V298</f>
      </c>
      <c r="X298" s="34">
        <f>IFERROR(VLOOKUP("13_"&amp;A298,SyS!$B:$P,10,FALSE()),0)</f>
      </c>
      <c r="Y298" s="35">
        <f>IFERROR(VLOOKUP("13_"&amp;A298,SyS!$B:$P,12,FALSE()),0)</f>
      </c>
      <c r="Z298" s="36">
        <f>+X298-Y298</f>
      </c>
      <c r="AA298" s="34">
        <f>IFERROR(VLOOKUP("17_"&amp;A298,SyS!$B:$P,10,FALSE()),0)</f>
      </c>
      <c r="AB298" s="35">
        <f>IFERROR(VLOOKUP("17_"&amp;A298,SyS!$B:$P,12,FALSE()),0)</f>
      </c>
      <c r="AC298" s="36">
        <f>+AA298-AB298</f>
      </c>
      <c r="AD298" s="35"/>
      <c r="AE298" s="35"/>
      <c r="AF298" s="35"/>
      <c r="AG298" s="35">
        <f>IFERROR(VLOOKUP("19_"&amp;A298,SyS!$B:$P,10,FALSE()),0)</f>
      </c>
      <c r="AH298" s="35">
        <f>IFERROR(VLOOKUP("19_"&amp;A298,SyS!$B:$P,12,FALSE()),0)</f>
      </c>
      <c r="AI298" s="35">
        <f>+AG298-AH298</f>
      </c>
      <c r="AJ298" s="35"/>
      <c r="AK298" s="35"/>
      <c r="AL298" s="35"/>
      <c r="AM298" s="34">
        <f>IFERROR(VLOOKUP("23_"&amp;A298,SyS!$B:$P,10,FALSE()),0)</f>
      </c>
      <c r="AN298" s="35">
        <f>IFERROR(VLOOKUP("23_"&amp;A298,SyS!$B:$P,12,FALSE()),0)</f>
      </c>
      <c r="AO298" s="36">
        <f>+AM298-AN298</f>
      </c>
      <c r="AP298" s="40"/>
      <c r="AQ298" s="40"/>
      <c r="AR298" s="40"/>
      <c r="AS298" s="40"/>
      <c r="AT298" s="40"/>
      <c r="AU298" s="40"/>
      <c r="AV298" s="40"/>
      <c r="AW298" s="40"/>
      <c r="AX298" s="40"/>
      <c r="AY298" s="40"/>
      <c r="AZ298" s="40"/>
      <c r="BA298" s="40"/>
      <c r="BB298" s="40"/>
      <c r="BC298" s="40"/>
      <c r="BD298" s="40"/>
      <c r="BE298" s="40"/>
      <c r="BF298" s="40"/>
      <c r="BG298" s="40"/>
      <c r="BH298" s="40"/>
      <c r="BI298" s="40"/>
      <c r="BJ298" s="40"/>
      <c r="BK298" s="40">
        <f>IFERROR(VLOOKUP("29_"&amp;A298,SyS!$B:$P,10,FALSE()),0)</f>
      </c>
      <c r="BL298" s="40">
        <f>IFERROR(VLOOKUP("29_"&amp;A298,SyS!$B:$P,12,FALSE()),0)</f>
      </c>
      <c r="BM298" s="40">
        <f>+BK298-BL298</f>
      </c>
      <c r="BN298" s="42">
        <f>IFERROR(VLOOKUP("30_"&amp;A298,SyS!$B:$P,10,FALSE()),0)</f>
      </c>
      <c r="BO298" s="40">
        <f>IFERROR(VLOOKUP("30_"&amp;A298,SyS!$B:$P,12,FALSE()),0)</f>
      </c>
      <c r="BP298" s="43">
        <f>+BN298-BO298</f>
      </c>
      <c r="BQ298" s="44">
        <f>+E298+H298+K298+N298+Q298+T298+W298+Z298+AC298+AF298+AI298+AL298+AO298+AR298+AU298+AX298+BA298+BD298+BG298+BJ298+BM298+BP298</f>
      </c>
    </row>
    <row r="299" ht="12" customHeight="1" spans="1:69" s="11" customFormat="1" x14ac:dyDescent="0.25">
      <c r="A299" s="9">
        <v>431120000</v>
      </c>
      <c r="B299" s="9" t="s">
        <v>336</v>
      </c>
      <c r="C299" s="34">
        <f>IFERROR(VLOOKUP("1_"&amp;A299,SyS!$B:$P,10,FALSE()),0)</f>
      </c>
      <c r="D299" s="35">
        <f>IFERROR(VLOOKUP("1_"&amp;A299,SyS!$B:$P,12,FALSE()),0)</f>
      </c>
      <c r="E299" s="35">
        <f>+C299-D299</f>
      </c>
      <c r="F299" s="34">
        <f>IFERROR(VLOOKUP("2_"&amp;A299,SyS!$B:$P,10,FALSE()),0)</f>
      </c>
      <c r="G299" s="35">
        <f>IFERROR(VLOOKUP("2_"&amp;A299,SyS!$B:$P,12,FALSE()),0)</f>
      </c>
      <c r="H299" s="36">
        <f>+F299-G299</f>
      </c>
      <c r="I299" s="35"/>
      <c r="J299" s="35"/>
      <c r="K299" s="35"/>
      <c r="L299" s="35"/>
      <c r="M299" s="35"/>
      <c r="N299" s="35"/>
      <c r="O299" s="34">
        <f>IFERROR(VLOOKUP("14_"&amp;A299,SyS!$B:$P,10,FALSE()),0)</f>
      </c>
      <c r="P299" s="35">
        <f>IFERROR(VLOOKUP("14_"&amp;A299,SyS!$B:$P,12,FALSE()),0)</f>
      </c>
      <c r="Q299" s="36">
        <f>+O299-P299</f>
      </c>
      <c r="R299" s="34">
        <f>IFERROR(VLOOKUP("15_"&amp;A299,SyS!$B:$P,10,FALSE()),0)</f>
      </c>
      <c r="S299" s="35">
        <f>IFERROR(VLOOKUP("15_"&amp;A299,SyS!$B:$P,12,FALSE()),0)</f>
      </c>
      <c r="T299" s="36">
        <f>+R299-S299</f>
      </c>
      <c r="U299" s="34">
        <f>IFERROR(VLOOKUP("16_"&amp;A299,SyS!$B:$P,10,FALSE()),0)</f>
      </c>
      <c r="V299" s="35">
        <f>IFERROR(VLOOKUP("16_"&amp;A299,SyS!$B:$P,12,FALSE()),0)</f>
      </c>
      <c r="W299" s="36">
        <f>+U299-V299</f>
      </c>
      <c r="X299" s="34">
        <f>IFERROR(VLOOKUP("13_"&amp;A299,SyS!$B:$P,10,FALSE()),0)</f>
      </c>
      <c r="Y299" s="35">
        <f>IFERROR(VLOOKUP("13_"&amp;A299,SyS!$B:$P,12,FALSE()),0)</f>
      </c>
      <c r="Z299" s="36">
        <f>+X299-Y299</f>
      </c>
      <c r="AA299" s="34">
        <f>IFERROR(VLOOKUP("17_"&amp;A299,SyS!$B:$P,10,FALSE()),0)</f>
      </c>
      <c r="AB299" s="35">
        <f>IFERROR(VLOOKUP("17_"&amp;A299,SyS!$B:$P,12,FALSE()),0)</f>
      </c>
      <c r="AC299" s="36">
        <f>+AA299-AB299</f>
      </c>
      <c r="AD299" s="35"/>
      <c r="AE299" s="35"/>
      <c r="AF299" s="35"/>
      <c r="AG299" s="35">
        <f>IFERROR(VLOOKUP("19_"&amp;A299,SyS!$B:$P,10,FALSE()),0)</f>
      </c>
      <c r="AH299" s="35">
        <f>IFERROR(VLOOKUP("19_"&amp;A299,SyS!$B:$P,12,FALSE()),0)</f>
      </c>
      <c r="AI299" s="35">
        <f>+AG299-AH299</f>
      </c>
      <c r="AJ299" s="35"/>
      <c r="AK299" s="35"/>
      <c r="AL299" s="35"/>
      <c r="AM299" s="34">
        <f>IFERROR(VLOOKUP("23_"&amp;A299,SyS!$B:$P,10,FALSE()),0)</f>
      </c>
      <c r="AN299" s="35">
        <f>IFERROR(VLOOKUP("23_"&amp;A299,SyS!$B:$P,12,FALSE()),0)</f>
      </c>
      <c r="AO299" s="36">
        <f>+AM299-AN299</f>
      </c>
      <c r="AP299" s="40"/>
      <c r="AQ299" s="40"/>
      <c r="AR299" s="40"/>
      <c r="AS299" s="40"/>
      <c r="AT299" s="40"/>
      <c r="AU299" s="40"/>
      <c r="AV299" s="40"/>
      <c r="AW299" s="40"/>
      <c r="AX299" s="40"/>
      <c r="AY299" s="40"/>
      <c r="AZ299" s="40"/>
      <c r="BA299" s="40"/>
      <c r="BB299" s="40"/>
      <c r="BC299" s="40"/>
      <c r="BD299" s="40"/>
      <c r="BE299" s="40"/>
      <c r="BF299" s="40"/>
      <c r="BG299" s="40"/>
      <c r="BH299" s="40"/>
      <c r="BI299" s="40"/>
      <c r="BJ299" s="40"/>
      <c r="BK299" s="40">
        <f>IFERROR(VLOOKUP("29_"&amp;A299,SyS!$B:$P,10,FALSE()),0)</f>
      </c>
      <c r="BL299" s="40">
        <f>IFERROR(VLOOKUP("29_"&amp;A299,SyS!$B:$P,12,FALSE()),0)</f>
      </c>
      <c r="BM299" s="40">
        <f>+BK299-BL299</f>
      </c>
      <c r="BN299" s="42">
        <f>IFERROR(VLOOKUP("30_"&amp;A299,SyS!$B:$P,10,FALSE()),0)</f>
      </c>
      <c r="BO299" s="40">
        <f>IFERROR(VLOOKUP("30_"&amp;A299,SyS!$B:$P,12,FALSE()),0)</f>
      </c>
      <c r="BP299" s="43">
        <f>+BN299-BO299</f>
      </c>
      <c r="BQ299" s="44">
        <f>+E299+H299+K299+N299+Q299+T299+W299+Z299+AC299+AF299+AI299+AL299+AO299+AR299+AU299+AX299+BA299+BD299+BG299+BJ299+BM299+BP299</f>
      </c>
    </row>
    <row r="300" ht="12" customHeight="1" spans="1:69" x14ac:dyDescent="0.25">
      <c r="A300" s="41"/>
      <c r="B300" s="41"/>
      <c r="C300" s="34"/>
      <c r="D300" s="35"/>
      <c r="E300" s="35"/>
      <c r="F300" s="34"/>
      <c r="G300" s="35"/>
      <c r="H300" s="36"/>
      <c r="I300" s="35"/>
      <c r="J300" s="35"/>
      <c r="K300" s="35"/>
      <c r="L300" s="35"/>
      <c r="M300" s="35"/>
      <c r="N300" s="35"/>
      <c r="O300" s="34"/>
      <c r="P300" s="35"/>
      <c r="Q300" s="36"/>
      <c r="R300" s="34"/>
      <c r="S300" s="35"/>
      <c r="T300" s="36"/>
      <c r="U300" s="34"/>
      <c r="V300" s="35"/>
      <c r="W300" s="36"/>
      <c r="X300" s="34"/>
      <c r="Y300" s="35"/>
      <c r="Z300" s="36"/>
      <c r="AA300" s="34"/>
      <c r="AB300" s="35"/>
      <c r="AC300" s="36"/>
      <c r="AD300" s="35"/>
      <c r="AE300" s="35"/>
      <c r="AF300" s="35"/>
      <c r="AG300" s="35"/>
      <c r="AH300" s="35"/>
      <c r="AI300" s="35"/>
      <c r="AJ300" s="35"/>
      <c r="AK300" s="35"/>
      <c r="AL300" s="35"/>
      <c r="AM300" s="34"/>
      <c r="AN300" s="35"/>
      <c r="AO300" s="36"/>
      <c r="AP300" s="40"/>
      <c r="AQ300" s="40"/>
      <c r="AR300" s="40"/>
      <c r="AS300" s="40"/>
      <c r="AT300" s="40"/>
      <c r="AU300" s="40"/>
      <c r="AV300" s="40"/>
      <c r="AW300" s="40"/>
      <c r="AX300" s="40"/>
      <c r="AY300" s="40"/>
      <c r="AZ300" s="40"/>
      <c r="BA300" s="40"/>
      <c r="BB300" s="40"/>
      <c r="BC300" s="40"/>
      <c r="BD300" s="52"/>
      <c r="BE300" s="40"/>
      <c r="BF300" s="40"/>
      <c r="BG300" s="40"/>
      <c r="BH300" s="40"/>
      <c r="BI300" s="40"/>
      <c r="BJ300" s="40"/>
      <c r="BK300" s="40"/>
      <c r="BL300" s="40"/>
      <c r="BM300" s="40"/>
      <c r="BN300" s="42"/>
      <c r="BO300" s="40"/>
      <c r="BP300" s="43"/>
      <c r="BQ300" s="44"/>
    </row>
    <row r="301" ht="12" customHeight="1" spans="1:69" s="53" customFormat="1" x14ac:dyDescent="0.25">
      <c r="A301" s="54"/>
      <c r="B301" s="23" t="s">
        <v>38</v>
      </c>
      <c r="C301" s="55">
        <f>SUM(C7:C299)</f>
        <v>30055.240000000005</v>
      </c>
      <c r="D301" s="55">
        <f>SUM(D7:D299)</f>
      </c>
      <c r="E301" s="55">
        <f>SUM(E7:E299)</f>
        <v>30055.240000000005</v>
      </c>
      <c r="F301" s="55">
        <f>SUM(F7:F299)</f>
        <v>10615.58</v>
      </c>
      <c r="G301" s="55">
        <f>SUM(G7:G299)</f>
      </c>
      <c r="H301" s="55">
        <f>SUM(H7:H299)</f>
        <v>10615.58</v>
      </c>
      <c r="I301" s="55">
        <f>SUM(I7:I299)</f>
      </c>
      <c r="J301" s="55">
        <f>SUM(J7:J299)</f>
      </c>
      <c r="K301" s="55">
        <f>SUM(K7:K299)</f>
      </c>
      <c r="L301" s="55">
        <f>SUM(L7:L299)</f>
      </c>
      <c r="M301" s="55">
        <f>SUM(M7:M299)</f>
      </c>
      <c r="N301" s="55">
        <f>SUM(N7:N299)</f>
      </c>
      <c r="O301" s="55">
        <f>SUM(O7:O299)</f>
      </c>
      <c r="P301" s="55">
        <f>SUM(P7:P299)</f>
      </c>
      <c r="Q301" s="55">
        <f>SUM(Q7:Q299)</f>
      </c>
      <c r="R301" s="55">
        <f>SUM(R7:R299)</f>
        <v>23166.25</v>
      </c>
      <c r="S301" s="55">
        <f>SUM(S7:S299)</f>
      </c>
      <c r="T301" s="55">
        <f>SUM(T7:T299)</f>
        <v>23166.25</v>
      </c>
      <c r="U301" s="55">
        <f>SUM(U7:U299)</f>
      </c>
      <c r="V301" s="55">
        <f>SUM(V7:V299)</f>
      </c>
      <c r="W301" s="55">
        <f>SUM(W7:W299)</f>
      </c>
      <c r="X301" s="55">
        <f>SUM(X7:X299)</f>
      </c>
      <c r="Y301" s="55">
        <f>SUM(Y7:Y299)</f>
      </c>
      <c r="Z301" s="55">
        <f>SUM(Z7:Z299)</f>
      </c>
      <c r="AA301" s="55">
        <f>SUM(AA7:AA299)</f>
        <v>30291.66</v>
      </c>
      <c r="AB301" s="55">
        <f>SUM(AB7:AB299)</f>
      </c>
      <c r="AC301" s="55">
        <f>SUM(AC7:AC299)</f>
        <v>30291.66</v>
      </c>
      <c r="AD301" s="55">
        <f>SUM(AD7:AD299)</f>
      </c>
      <c r="AE301" s="55">
        <f>SUM(AE7:AE299)</f>
      </c>
      <c r="AF301" s="55">
        <f>SUM(AF7:AF299)</f>
      </c>
      <c r="AG301" s="55">
        <f>SUM(AG7:AG299)</f>
      </c>
      <c r="AH301" s="55">
        <f>SUM(AH7:AH299)</f>
      </c>
      <c r="AI301" s="55">
        <f>SUM(AI7:AI299)</f>
      </c>
      <c r="AJ301" s="55">
        <f>SUM(AJ7:AJ299)</f>
      </c>
      <c r="AK301" s="55">
        <f>SUM(AK7:AK299)</f>
      </c>
      <c r="AL301" s="55">
        <f>SUM(AL7:AL299)</f>
      </c>
      <c r="AM301" s="55">
        <f>SUM(AM7:AM299)</f>
        <v>1663.8699999999997</v>
      </c>
      <c r="AN301" s="55">
        <f>SUM(AN7:AN299)</f>
      </c>
      <c r="AO301" s="55">
        <f>SUM(AO7:AO299)</f>
        <v>1663.8699999999997</v>
      </c>
      <c r="AP301" s="56">
        <f>SUM(AP7:AP299)</f>
      </c>
      <c r="AQ301" s="56">
        <f>SUM(AQ7:AQ299)</f>
      </c>
      <c r="AR301" s="56">
        <f>SUM(AR7:AR299)</f>
      </c>
      <c r="AS301" s="56">
        <f>SUM(AS7:AS299)</f>
      </c>
      <c r="AT301" s="56">
        <f>SUM(AT7:AT299)</f>
      </c>
      <c r="AU301" s="56">
        <f>SUM(AU7:AU299)</f>
      </c>
      <c r="AV301" s="56">
        <f>SUM(AV7:AV299)</f>
      </c>
      <c r="AW301" s="56">
        <f>SUM(AW7:AW299)</f>
      </c>
      <c r="AX301" s="56">
        <f>SUM(AX7:AX299)</f>
      </c>
      <c r="AY301" s="56">
        <f>SUM(AY7:AY299)</f>
      </c>
      <c r="AZ301" s="56">
        <f>SUM(AZ7:AZ299)</f>
      </c>
      <c r="BA301" s="56">
        <f>SUM(BA7:BA299)</f>
      </c>
      <c r="BB301" s="56">
        <f>SUM(BB7:BB299)</f>
      </c>
      <c r="BC301" s="56">
        <f>SUM(BC7:BC299)</f>
      </c>
      <c r="BD301" s="56">
        <f>SUM(BD7:BD299)</f>
      </c>
      <c r="BE301" s="56">
        <f>SUM(BE7:BE299)</f>
      </c>
      <c r="BF301" s="56">
        <f>SUM(BF7:BF299)</f>
      </c>
      <c r="BG301" s="56">
        <f>SUM(BG7:BG299)</f>
      </c>
      <c r="BH301" s="56">
        <f>SUM(BH7:BH299)</f>
      </c>
      <c r="BI301" s="56">
        <f>SUM(BI7:BI299)</f>
      </c>
      <c r="BJ301" s="56">
        <f>SUM(BJ7:BJ299)</f>
      </c>
      <c r="BK301" s="56">
        <f>SUM(BK7:BK299)</f>
      </c>
      <c r="BL301" s="56">
        <f>SUM(BL7:BL299)</f>
      </c>
      <c r="BM301" s="56">
        <f>SUM(BM7:BM299)</f>
      </c>
      <c r="BN301" s="56">
        <f>SUM(BN7:BN299)</f>
      </c>
      <c r="BO301" s="56">
        <f>SUM(BO7:BO299)</f>
      </c>
      <c r="BP301" s="56">
        <f>SUM(BP7:BP299)</f>
      </c>
      <c r="BQ301" s="56">
        <f>SUM(BQ7:BQ299)</f>
        <v>95792.60000000002</v>
      </c>
    </row>
    <row r="302" ht="12" customHeight="1" spans="1:5" x14ac:dyDescent="0.25">
      <c r="A302" s="54"/>
      <c r="B302" s="9"/>
      <c r="C302" s="57"/>
      <c r="D302" s="10"/>
      <c r="E302" s="58"/>
    </row>
    <row r="303" ht="11.25" customHeight="1" spans="1:83" x14ac:dyDescent="0.25">
      <c r="A303" s="9"/>
      <c r="B303" s="9"/>
      <c r="C303" s="10"/>
      <c r="D303" s="10"/>
      <c r="E303" s="10"/>
      <c r="F303" s="57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59"/>
      <c r="BL303" s="11"/>
      <c r="BM303" s="11"/>
      <c r="BN303" s="11"/>
      <c r="BO303" s="11"/>
      <c r="BP303" s="11" t="s">
        <v>337</v>
      </c>
      <c r="BQ303" s="60"/>
      <c r="BR303" s="61"/>
      <c r="BS303" s="61"/>
      <c r="BT303" s="61"/>
      <c r="BU303" s="61"/>
      <c r="BV303" s="61"/>
      <c r="BW303" s="61"/>
      <c r="BX303" s="61"/>
      <c r="BY303" s="61"/>
      <c r="BZ303" s="61"/>
      <c r="CA303" s="61"/>
      <c r="CB303" s="61"/>
      <c r="CC303" s="61"/>
      <c r="CD303" s="61"/>
      <c r="CE303" s="61"/>
    </row>
    <row r="304" ht="11.25" customHeight="1" spans="1:67" x14ac:dyDescent="0.25">
      <c r="A304" s="23"/>
      <c r="B304" s="23"/>
      <c r="C304" s="10"/>
      <c r="D304" s="10"/>
      <c r="E304" s="10"/>
      <c r="F304" s="10"/>
      <c r="G304" s="10"/>
      <c r="H304" s="10"/>
      <c r="I304" s="62"/>
      <c r="J304" s="62"/>
      <c r="K304" s="62"/>
      <c r="L304" s="63"/>
      <c r="M304" s="63"/>
      <c r="N304" s="63"/>
      <c r="O304" s="62"/>
      <c r="P304" s="62"/>
      <c r="Q304" s="10"/>
      <c r="R304" s="10"/>
      <c r="S304" s="10"/>
      <c r="T304" s="10"/>
      <c r="U304" s="10"/>
      <c r="V304" s="10"/>
      <c r="W304" s="64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65"/>
    </row>
    <row r="305" ht="11.25" customHeight="1" spans="1:68" x14ac:dyDescent="0.25">
      <c r="A305" s="9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 t="s">
        <v>338</v>
      </c>
    </row>
    <row r="306" ht="12" customHeight="1" spans="1:2" x14ac:dyDescent="0.25">
      <c r="A306" s="9"/>
      <c r="B306" s="9"/>
    </row>
    <row r="307" ht="11.25" customHeight="1" spans="1:69" x14ac:dyDescent="0.25">
      <c r="A307" s="9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44"/>
    </row>
    <row r="308" ht="12" customHeight="1" spans="1:7" x14ac:dyDescent="0.25">
      <c r="A308" s="9"/>
      <c r="B308" s="9"/>
      <c r="C308" s="10"/>
      <c r="D308" s="10"/>
      <c r="E308" s="10"/>
      <c r="F308" s="10"/>
      <c r="G308" s="62"/>
    </row>
    <row r="309" ht="12" customHeight="1" spans="1:2" x14ac:dyDescent="0.25">
      <c r="A309" s="9"/>
      <c r="B309" s="9"/>
    </row>
    <row r="310" ht="11.25" customHeight="1" spans="1:6" x14ac:dyDescent="0.25">
      <c r="A310" s="9"/>
      <c r="B310" s="9"/>
      <c r="C310" s="10"/>
      <c r="D310" s="62"/>
      <c r="E310" s="62"/>
      <c r="F310" s="62"/>
    </row>
    <row r="311" ht="11.25" customHeight="1" spans="1:3" x14ac:dyDescent="0.25">
      <c r="A311" s="9"/>
      <c r="B311" s="9"/>
      <c r="C311" s="62"/>
    </row>
    <row r="312" ht="11.25" customHeight="1" spans="1:3" x14ac:dyDescent="0.25">
      <c r="A312" s="9"/>
      <c r="B312" s="9"/>
      <c r="C312" s="66"/>
    </row>
    <row r="313" ht="11.25" customHeight="1" spans="1:3" x14ac:dyDescent="0.25">
      <c r="A313" s="9"/>
      <c r="B313" s="9"/>
      <c r="C313" s="66"/>
    </row>
    <row r="314" spans="1:2" x14ac:dyDescent="0.25">
      <c r="A314" s="9"/>
      <c r="B314" s="9"/>
    </row>
    <row r="315" ht="12" customHeight="1" spans="1:2" x14ac:dyDescent="0.25">
      <c r="A315" s="9"/>
      <c r="B315" s="9"/>
    </row>
    <row r="316" ht="12" customHeight="1" spans="1:2" x14ac:dyDescent="0.25">
      <c r="A316" s="9"/>
      <c r="B316" s="9"/>
    </row>
    <row r="317" ht="11.25" customHeight="1" spans="1:6" x14ac:dyDescent="0.25">
      <c r="A317" s="9"/>
      <c r="B317" s="9"/>
      <c r="C317" s="10"/>
      <c r="D317" s="62"/>
      <c r="E317" s="62"/>
      <c r="F317" s="62"/>
    </row>
    <row r="318" ht="11.25" customHeight="1" spans="1:3" x14ac:dyDescent="0.25">
      <c r="A318" s="9"/>
      <c r="B318" s="9"/>
      <c r="C318" s="62"/>
    </row>
    <row r="319" ht="11.25" customHeight="1" spans="1:2" x14ac:dyDescent="0.25">
      <c r="A319" s="9"/>
      <c r="B319" s="9"/>
    </row>
    <row r="320" ht="11.25" customHeight="1" spans="1:2" x14ac:dyDescent="0.25">
      <c r="A320" s="9"/>
      <c r="B320" s="9"/>
    </row>
    <row r="321" ht="11.25" customHeight="1" spans="1:5" x14ac:dyDescent="0.25">
      <c r="A321" s="9"/>
      <c r="B321" s="9"/>
      <c r="C321" s="10"/>
      <c r="D321" s="10"/>
      <c r="E321" s="58"/>
    </row>
    <row r="322" ht="11.25" customHeight="1" spans="1:2" x14ac:dyDescent="0.25">
      <c r="A322" s="9"/>
      <c r="B322" s="9"/>
    </row>
    <row r="323" ht="11.25" customHeight="1" spans="1:68" x14ac:dyDescent="0.25">
      <c r="A323" s="9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  <c r="AE323" s="58"/>
      <c r="AF323" s="58"/>
      <c r="AG323" s="58"/>
      <c r="AH323" s="58"/>
      <c r="AI323" s="58"/>
      <c r="AJ323" s="58"/>
      <c r="AK323" s="58"/>
      <c r="AL323" s="58"/>
      <c r="AM323" s="58"/>
      <c r="AN323" s="58"/>
      <c r="AO323" s="58"/>
      <c r="AP323" s="67"/>
      <c r="AQ323" s="67"/>
      <c r="AR323" s="67"/>
      <c r="AS323" s="67"/>
      <c r="AT323" s="67"/>
      <c r="AU323" s="67"/>
      <c r="AV323" s="67"/>
      <c r="AW323" s="67"/>
      <c r="AX323" s="67"/>
      <c r="AY323" s="67"/>
      <c r="AZ323" s="67"/>
      <c r="BA323" s="67"/>
      <c r="BB323" s="67"/>
      <c r="BC323" s="67"/>
      <c r="BD323" s="67"/>
      <c r="BE323" s="67"/>
      <c r="BF323" s="67"/>
      <c r="BG323" s="67"/>
      <c r="BH323" s="67"/>
      <c r="BI323" s="67"/>
      <c r="BJ323" s="67"/>
      <c r="BK323" s="67"/>
      <c r="BL323" s="67"/>
      <c r="BM323" s="67"/>
      <c r="BN323" s="67"/>
      <c r="BO323" s="67"/>
      <c r="BP323" s="67"/>
    </row>
    <row r="324" ht="11.25" customHeight="1" spans="1:2" x14ac:dyDescent="0.25">
      <c r="A324" s="9"/>
      <c r="B324" s="9"/>
    </row>
    <row r="325" ht="11.25" customHeight="1" spans="1:2" x14ac:dyDescent="0.25">
      <c r="A325" s="9"/>
      <c r="B325" s="9"/>
    </row>
    <row r="326" ht="11.25" customHeight="1" spans="1:68" x14ac:dyDescent="0.25">
      <c r="A326" s="9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  <c r="AE326" s="58"/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67"/>
      <c r="AQ326" s="67"/>
      <c r="AR326" s="67"/>
      <c r="AS326" s="67"/>
      <c r="AT326" s="67"/>
      <c r="AU326" s="67"/>
      <c r="AV326" s="67"/>
      <c r="AW326" s="67"/>
      <c r="AX326" s="67"/>
      <c r="AY326" s="67"/>
      <c r="AZ326" s="67"/>
      <c r="BA326" s="67"/>
      <c r="BB326" s="67"/>
      <c r="BC326" s="67"/>
      <c r="BD326" s="67"/>
      <c r="BE326" s="67"/>
      <c r="BF326" s="67"/>
      <c r="BG326" s="67"/>
      <c r="BH326" s="67"/>
      <c r="BI326" s="67"/>
      <c r="BJ326" s="67"/>
      <c r="BK326" s="67"/>
      <c r="BL326" s="67"/>
      <c r="BM326" s="67"/>
      <c r="BN326" s="67"/>
      <c r="BO326" s="67"/>
      <c r="BP326" s="67"/>
    </row>
    <row r="327" ht="11.25" customHeight="1" spans="1:68" x14ac:dyDescent="0.25">
      <c r="A327" s="9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  <c r="AE327" s="58"/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67"/>
      <c r="AQ327" s="67"/>
      <c r="AR327" s="67"/>
      <c r="AS327" s="67"/>
      <c r="AT327" s="67"/>
      <c r="AU327" s="67"/>
      <c r="AV327" s="67"/>
      <c r="AW327" s="67"/>
      <c r="AX327" s="67"/>
      <c r="AY327" s="67"/>
      <c r="AZ327" s="67"/>
      <c r="BA327" s="67"/>
      <c r="BB327" s="67"/>
      <c r="BC327" s="67"/>
      <c r="BD327" s="67"/>
      <c r="BE327" s="67"/>
      <c r="BF327" s="67"/>
      <c r="BG327" s="67"/>
      <c r="BH327" s="67"/>
      <c r="BI327" s="67"/>
      <c r="BJ327" s="67"/>
      <c r="BK327" s="67"/>
      <c r="BL327" s="67"/>
      <c r="BM327" s="67"/>
      <c r="BN327" s="67"/>
      <c r="BO327" s="67"/>
      <c r="BP327" s="67"/>
    </row>
    <row r="328" ht="11.25" customHeight="1" spans="1:68" x14ac:dyDescent="0.25">
      <c r="A328" s="9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  <c r="AE328" s="58"/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67"/>
      <c r="AQ328" s="67"/>
      <c r="AR328" s="67"/>
      <c r="AS328" s="67"/>
      <c r="AT328" s="67"/>
      <c r="AU328" s="67"/>
      <c r="AV328" s="67"/>
      <c r="AW328" s="67"/>
      <c r="AX328" s="67"/>
      <c r="AY328" s="67"/>
      <c r="AZ328" s="67"/>
      <c r="BA328" s="67"/>
      <c r="BB328" s="67"/>
      <c r="BC328" s="67"/>
      <c r="BD328" s="67"/>
      <c r="BE328" s="67"/>
      <c r="BF328" s="67"/>
      <c r="BG328" s="67"/>
      <c r="BH328" s="67"/>
      <c r="BI328" s="67"/>
      <c r="BJ328" s="67"/>
      <c r="BK328" s="67"/>
      <c r="BL328" s="67"/>
      <c r="BM328" s="67"/>
      <c r="BN328" s="67"/>
      <c r="BO328" s="67"/>
      <c r="BP328" s="67"/>
    </row>
    <row r="329" ht="12" customHeight="1" spans="1:5" x14ac:dyDescent="0.25">
      <c r="A329" s="9"/>
      <c r="B329" s="9"/>
      <c r="C329" s="10"/>
      <c r="D329" s="10"/>
      <c r="E329" s="68"/>
    </row>
    <row r="330" ht="12" customHeight="1" spans="1:2" x14ac:dyDescent="0.25">
      <c r="A330" s="9"/>
      <c r="B330" s="9"/>
    </row>
    <row r="331" ht="12" customHeight="1" spans="1:2" x14ac:dyDescent="0.25">
      <c r="A331" s="69"/>
      <c r="B331" s="69"/>
    </row>
    <row r="332" ht="11.25" customHeight="1" spans="1:2" x14ac:dyDescent="0.25">
      <c r="A332" s="9"/>
      <c r="B332" s="23"/>
    </row>
    <row r="333" ht="11.25" customHeight="1" spans="1:2" x14ac:dyDescent="0.25">
      <c r="A333" s="70"/>
      <c r="B333" s="70"/>
    </row>
    <row r="334" ht="11.25" customHeight="1" spans="1:2" x14ac:dyDescent="0.25">
      <c r="A334" s="9"/>
      <c r="B334" s="9"/>
    </row>
    <row r="335" ht="11.25" customHeight="1" spans="1:2" x14ac:dyDescent="0.25">
      <c r="A335" s="9"/>
      <c r="B335" s="9"/>
    </row>
    <row r="336" ht="11.25" customHeight="1" spans="1:8" x14ac:dyDescent="0.25">
      <c r="A336" s="9"/>
      <c r="B336" s="9"/>
      <c r="C336" s="10"/>
      <c r="D336" s="10"/>
      <c r="E336" s="10"/>
      <c r="F336" s="58"/>
      <c r="G336" s="10"/>
      <c r="H336" s="58"/>
    </row>
    <row r="337" ht="11.25" customHeight="1" spans="1:8" x14ac:dyDescent="0.25">
      <c r="A337" s="9"/>
      <c r="B337" s="9"/>
      <c r="C337" s="10"/>
      <c r="D337" s="10"/>
      <c r="E337" s="10"/>
      <c r="F337" s="58"/>
      <c r="G337" s="10"/>
      <c r="H337" s="58"/>
    </row>
    <row r="338" ht="11.25" customHeight="1" spans="1:8" x14ac:dyDescent="0.25">
      <c r="A338" s="9"/>
      <c r="B338" s="9"/>
      <c r="C338" s="10"/>
      <c r="D338" s="10"/>
      <c r="E338" s="10"/>
      <c r="F338" s="58"/>
      <c r="G338" s="10"/>
      <c r="H338" s="58"/>
    </row>
    <row r="339" ht="11.25" customHeight="1" spans="1:8" x14ac:dyDescent="0.25">
      <c r="A339" s="9"/>
      <c r="B339" s="9"/>
      <c r="C339" s="10"/>
      <c r="D339" s="10"/>
      <c r="E339" s="10"/>
      <c r="F339" s="58"/>
      <c r="G339" s="10"/>
      <c r="H339" s="58"/>
    </row>
    <row r="340" ht="11.25" customHeight="1" spans="1:8" x14ac:dyDescent="0.25">
      <c r="A340" s="9"/>
      <c r="B340" s="9"/>
      <c r="C340" s="10"/>
      <c r="D340" s="10"/>
      <c r="E340" s="10"/>
      <c r="F340" s="58"/>
      <c r="G340" s="10"/>
      <c r="H340" s="58"/>
    </row>
    <row r="341" ht="11.25" customHeight="1" spans="1:8" x14ac:dyDescent="0.25">
      <c r="A341" s="9"/>
      <c r="B341" s="9"/>
      <c r="C341" s="10"/>
      <c r="D341" s="10"/>
      <c r="E341" s="10"/>
      <c r="F341" s="58"/>
      <c r="G341" s="10"/>
      <c r="H341" s="58"/>
    </row>
    <row r="342" ht="11.25" customHeight="1" spans="1:2" x14ac:dyDescent="0.25">
      <c r="A342" s="9"/>
      <c r="B342" s="9"/>
    </row>
    <row r="343" ht="11.25" customHeight="1" spans="1:2" x14ac:dyDescent="0.25">
      <c r="A343" s="9"/>
      <c r="B343" s="71"/>
    </row>
    <row r="344" ht="11.25" customHeight="1" spans="1:2" x14ac:dyDescent="0.25">
      <c r="A344" s="9"/>
      <c r="B344" s="9"/>
    </row>
    <row r="345" ht="11.25" customHeight="1" spans="1:2" x14ac:dyDescent="0.25">
      <c r="A345" s="9"/>
      <c r="B345" s="71"/>
    </row>
    <row r="346" ht="11.25" customHeight="1" spans="1:2" x14ac:dyDescent="0.25">
      <c r="A346" s="9"/>
      <c r="B346" s="71"/>
    </row>
    <row r="347" ht="11.25" customHeight="1" spans="1:2" x14ac:dyDescent="0.25">
      <c r="A347" s="9"/>
      <c r="B347" s="71"/>
    </row>
    <row r="348" ht="11.25" customHeight="1" spans="1:2" x14ac:dyDescent="0.25">
      <c r="A348" s="9"/>
      <c r="B348" s="9"/>
    </row>
    <row r="349" ht="11.25" customHeight="1" spans="1:2" x14ac:dyDescent="0.25">
      <c r="A349" s="9"/>
      <c r="B349" s="71"/>
    </row>
    <row r="350" spans="1:2" x14ac:dyDescent="0.25">
      <c r="A350" s="9"/>
      <c r="B350" s="9"/>
    </row>
    <row r="351" spans="1:2" x14ac:dyDescent="0.25">
      <c r="A351" s="9"/>
      <c r="B351" s="9"/>
    </row>
    <row r="352" spans="1:2" x14ac:dyDescent="0.25">
      <c r="A352" s="9"/>
      <c r="B352" s="9"/>
    </row>
    <row r="353" spans="1:2" x14ac:dyDescent="0.25">
      <c r="A353" s="9"/>
      <c r="B353" s="9"/>
    </row>
    <row r="354" ht="11.25" customHeight="1" spans="1:2" x14ac:dyDescent="0.25">
      <c r="A354" s="9"/>
      <c r="B354" s="9"/>
    </row>
    <row r="355" ht="11.25" customHeight="1" spans="1:2" x14ac:dyDescent="0.25">
      <c r="A355" s="9"/>
      <c r="B355" s="9"/>
    </row>
    <row r="356" ht="11.25" customHeight="1" spans="1:7" x14ac:dyDescent="0.25">
      <c r="A356" s="9"/>
      <c r="B356" s="9"/>
      <c r="C356" s="10"/>
      <c r="D356" s="10"/>
      <c r="E356" s="10"/>
      <c r="F356" s="10"/>
      <c r="G356" s="72"/>
    </row>
    <row r="357" spans="1:2" x14ac:dyDescent="0.25">
      <c r="A357" s="9"/>
      <c r="B357" s="9"/>
    </row>
    <row r="358" spans="1:2" x14ac:dyDescent="0.25">
      <c r="A358" s="9"/>
      <c r="B358" s="9"/>
    </row>
    <row r="359" spans="1:2" x14ac:dyDescent="0.25">
      <c r="A359" s="9"/>
      <c r="B359" s="9"/>
    </row>
    <row r="360" spans="1:2" x14ac:dyDescent="0.25">
      <c r="A360" s="9"/>
      <c r="B360" s="9"/>
    </row>
    <row r="361" spans="1:2" x14ac:dyDescent="0.25">
      <c r="A361" s="9"/>
      <c r="B361" s="9"/>
    </row>
    <row r="362" spans="1:2" x14ac:dyDescent="0.25">
      <c r="A362" s="9"/>
      <c r="B362" s="9"/>
    </row>
    <row r="363" spans="1:2" x14ac:dyDescent="0.25">
      <c r="A363" s="9"/>
      <c r="B363" s="9"/>
    </row>
    <row r="364" spans="1:2" x14ac:dyDescent="0.25">
      <c r="A364" s="9"/>
      <c r="B364" s="9"/>
    </row>
    <row r="365" spans="1:2" x14ac:dyDescent="0.25">
      <c r="A365" s="9"/>
      <c r="B365" s="9"/>
    </row>
    <row r="366" spans="1:2" x14ac:dyDescent="0.25">
      <c r="A366" s="9"/>
      <c r="B366" s="9"/>
    </row>
    <row r="367" spans="1:2" x14ac:dyDescent="0.25">
      <c r="A367" s="9"/>
      <c r="B367" s="9"/>
    </row>
    <row r="368" spans="1:2" x14ac:dyDescent="0.25">
      <c r="A368" s="9"/>
      <c r="B368" s="9"/>
    </row>
    <row r="369" spans="1:2" x14ac:dyDescent="0.25">
      <c r="A369" s="9"/>
      <c r="B369" s="9"/>
    </row>
    <row r="370" spans="1:2" x14ac:dyDescent="0.25">
      <c r="A370" s="9"/>
      <c r="B370" s="9"/>
    </row>
    <row r="371" spans="1:2" x14ac:dyDescent="0.25">
      <c r="A371" s="9"/>
      <c r="B371" s="9"/>
    </row>
    <row r="372" spans="1:2" x14ac:dyDescent="0.25">
      <c r="A372" s="9"/>
      <c r="B372" s="9"/>
    </row>
    <row r="373" spans="1:2" x14ac:dyDescent="0.25">
      <c r="A373" s="9"/>
      <c r="B373" s="9"/>
    </row>
    <row r="374" spans="1:2" x14ac:dyDescent="0.25">
      <c r="A374" s="9"/>
      <c r="B374" s="9"/>
    </row>
    <row r="375" spans="1:2" x14ac:dyDescent="0.25">
      <c r="A375" s="9"/>
      <c r="B375" s="9"/>
    </row>
    <row r="376" spans="1:2" x14ac:dyDescent="0.25">
      <c r="A376" s="9"/>
      <c r="B376" s="9"/>
    </row>
    <row r="377" spans="1:2" x14ac:dyDescent="0.25">
      <c r="A377" s="9"/>
      <c r="B377" s="9"/>
    </row>
    <row r="378" spans="1:2" x14ac:dyDescent="0.25">
      <c r="A378" s="9"/>
      <c r="B378" s="9"/>
    </row>
    <row r="379" spans="1:2" x14ac:dyDescent="0.25">
      <c r="A379" s="9"/>
      <c r="B379" s="9"/>
    </row>
    <row r="380" spans="1:2" x14ac:dyDescent="0.25">
      <c r="A380" s="9"/>
      <c r="B380" s="9"/>
    </row>
    <row r="381" spans="1:2" x14ac:dyDescent="0.25">
      <c r="A381" s="9"/>
      <c r="B381" s="9"/>
    </row>
    <row r="382" spans="1:2" x14ac:dyDescent="0.25">
      <c r="A382" s="9"/>
      <c r="B382" s="9"/>
    </row>
    <row r="383" spans="1:2" x14ac:dyDescent="0.25">
      <c r="A383" s="9"/>
      <c r="B383" s="9"/>
    </row>
    <row r="384" spans="1:2" x14ac:dyDescent="0.25">
      <c r="A384" s="9"/>
      <c r="B384" s="9"/>
    </row>
    <row r="385" spans="1:2" x14ac:dyDescent="0.25">
      <c r="A385" s="9"/>
      <c r="B385" s="9"/>
    </row>
    <row r="386" ht="11.25" customHeight="1" spans="1:2" x14ac:dyDescent="0.25">
      <c r="A386" s="9"/>
      <c r="B386" s="9"/>
    </row>
    <row r="387" ht="11.25" customHeight="1" spans="1:2" x14ac:dyDescent="0.25">
      <c r="A387" s="9"/>
      <c r="B387" s="9"/>
    </row>
    <row r="388" ht="11.25" customHeight="1" spans="1:4" x14ac:dyDescent="0.25">
      <c r="A388" s="9"/>
      <c r="B388" s="9"/>
      <c r="C388" s="10"/>
      <c r="D388" s="58"/>
    </row>
  </sheetData>
  <autoFilter ref="A6:IV397"/>
  <mergeCells count="21">
    <mergeCell ref="C4:E4"/>
    <mergeCell ref="F4:H4"/>
    <mergeCell ref="I4:K4"/>
    <mergeCell ref="L4:N4"/>
    <mergeCell ref="O4:Q4"/>
    <mergeCell ref="R4:T4"/>
    <mergeCell ref="X4:Z4"/>
    <mergeCell ref="AA4:AC4"/>
    <mergeCell ref="AD4:AF4"/>
    <mergeCell ref="AG4:AI4"/>
    <mergeCell ref="AJ4:AL4"/>
    <mergeCell ref="AM4:AO4"/>
    <mergeCell ref="AP4:AR4"/>
    <mergeCell ref="AS4:AU4"/>
    <mergeCell ref="AV4:AX4"/>
    <mergeCell ref="AY4:BA4"/>
    <mergeCell ref="BB4:BD4"/>
    <mergeCell ref="BE4:BG4"/>
    <mergeCell ref="BH4:BJ4"/>
    <mergeCell ref="BK4:BM4"/>
    <mergeCell ref="BN4:BP4"/>
  </mergeCells>
  <printOptions gridLines="1"/>
  <pageMargins left="0.275694444444444" right="0.196527777777778" top="0.315277777777778" bottom="0.118055555555556" header="0.511811023622047" footer="0.511811023622047"/>
  <pageSetup paperSize="9" orientation="landscape" horizontalDpi="300" verticalDpi="300" scale="100" fitToWidth="2" fitToHeight="7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U114"/>
  <sheetViews>
    <sheetView workbookViewId="0" zoomScale="85" zoomScaleNormal="85">
      <pane xSplit="1" ySplit="7" topLeftCell="D8" activePane="bottomRight" state="frozen"/>
      <selection pane="bottomRight" activeCell="C1" sqref="C1"/>
    </sheetView>
  </sheetViews>
  <sheetFormatPr defaultRowHeight="12.75" outlineLevelRow="0" outlineLevelCol="0" x14ac:dyDescent="0.2" defaultColWidth="9.140625" customHeight="1"/>
  <cols>
    <col min="1" max="1" width="9.140625" style="73" customWidth="1"/>
    <col min="2" max="2" width="12.85546875" style="73" customWidth="1"/>
    <col min="3" max="3" width="59.28515625" style="73" customWidth="1"/>
    <col min="4" max="4" width="23" style="74" customWidth="1"/>
    <col min="5" max="5" width="14.42578125" style="74" customWidth="1"/>
    <col min="6" max="6" width="14.5703125" style="74" customWidth="1"/>
    <col min="7" max="7" width="16" style="74" customWidth="1"/>
    <col min="8" max="8" width="16.28515625" style="74" hidden="1" customWidth="1"/>
    <col min="9" max="9" width="12.5703125" style="74" hidden="1" customWidth="1"/>
    <col min="10" max="10" width="13.7109375" style="74" hidden="1" customWidth="1"/>
    <col min="11" max="11" width="13.7109375" style="74" customWidth="1"/>
    <col min="12" max="12" width="14.7109375" style="74" hidden="1" customWidth="1"/>
    <col min="13" max="13" width="10" style="74" hidden="1" customWidth="1"/>
    <col min="14" max="14" width="16" style="74" customWidth="1"/>
    <col min="15" max="15" width="15.5703125" style="74" hidden="1" customWidth="1"/>
    <col min="16" max="16" width="17" style="74" customWidth="1"/>
    <col min="17" max="17" width="11.140625" style="74" hidden="1" customWidth="1"/>
    <col min="18" max="18" width="13.5703125" style="74" hidden="1" customWidth="1"/>
    <col min="19" max="19" width="14.5703125" style="74" hidden="1" customWidth="1"/>
    <col min="20" max="20" width="19.140625" style="74" hidden="1" customWidth="1"/>
    <col min="21" max="21" width="11.7109375" style="74" hidden="1" customWidth="1"/>
    <col min="22" max="22" width="12.42578125" style="74" hidden="1" customWidth="1"/>
    <col min="23" max="23" width="16.140625" style="74" hidden="1" customWidth="1"/>
    <col min="24" max="24" width="17" style="74" hidden="1" customWidth="1"/>
    <col min="25" max="25" width="15" style="74" hidden="1" customWidth="1"/>
    <col min="26" max="26" width="17.5703125" style="74" hidden="1" customWidth="1"/>
    <col min="27" max="27" width="13.85546875" style="74" hidden="1" customWidth="1"/>
    <col min="28" max="28" width="11.42578125" style="74" hidden="1" customWidth="1"/>
    <col min="29" max="29" width="11.5703125" style="74" customWidth="1"/>
    <col min="30" max="30" width="10.5703125" style="74" customWidth="1"/>
    <col min="31" max="31" width="12" style="74" customWidth="1"/>
    <col min="32" max="32" width="13" style="74" customWidth="1"/>
    <col min="33" max="33" width="13.85546875" style="74" customWidth="1"/>
    <col min="34" max="34" width="11.28515625" style="74" customWidth="1"/>
    <col min="35" max="35" width="13.85546875" style="74" customWidth="1"/>
    <col min="36" max="16384" width="9.140625" style="73" customWidth="1"/>
  </cols>
  <sheetData>
    <row r="1" ht="12.75" customHeight="1" spans="1:35" x14ac:dyDescent="0.25">
      <c r="A1" s="73"/>
      <c r="B1" s="73"/>
      <c r="C1" s="75" t="s">
        <v>339</v>
      </c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</row>
    <row r="2" ht="12.75" customHeight="1" spans="1:35" x14ac:dyDescent="0.25">
      <c r="A2" s="73"/>
      <c r="B2" s="73"/>
      <c r="C2" s="77" t="s">
        <v>340</v>
      </c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</row>
    <row r="3" ht="12.75" customHeight="1" spans="1:35" x14ac:dyDescent="0.25">
      <c r="A3" s="73"/>
      <c r="B3" s="73"/>
      <c r="C3" s="78" t="s">
        <v>341</v>
      </c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</row>
    <row r="4" ht="12.75" customHeight="1" spans="1:35" x14ac:dyDescent="0.25">
      <c r="A4" s="73"/>
      <c r="B4" s="73"/>
      <c r="C4" s="79"/>
      <c r="D4" s="76"/>
      <c r="E4" s="76"/>
      <c r="F4" s="76" t="s">
        <v>342</v>
      </c>
      <c r="G4" s="76"/>
      <c r="H4" s="76"/>
      <c r="I4" s="76"/>
      <c r="J4" s="76"/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</row>
    <row r="5" ht="12.75" customHeight="1" spans="1:35" x14ac:dyDescent="0.25">
      <c r="A5" s="80"/>
      <c r="B5" s="80"/>
      <c r="C5" s="81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82"/>
      <c r="X5" s="82"/>
      <c r="Y5" s="82"/>
      <c r="Z5" s="82"/>
      <c r="AA5" s="82"/>
      <c r="AB5" s="82"/>
      <c r="AC5" s="82"/>
      <c r="AD5" s="82"/>
      <c r="AE5" s="82"/>
      <c r="AF5" s="82"/>
      <c r="AG5" s="82"/>
      <c r="AH5" s="82"/>
      <c r="AI5" s="82"/>
    </row>
    <row r="6" ht="12.75" customHeight="1" spans="1:35" x14ac:dyDescent="0.25">
      <c r="A6" s="73"/>
      <c r="B6" s="73"/>
      <c r="C6" s="83" t="s">
        <v>343</v>
      </c>
      <c r="D6" s="84" t="s">
        <v>344</v>
      </c>
      <c r="E6" s="85"/>
      <c r="F6" s="86" t="s">
        <v>345</v>
      </c>
      <c r="G6" s="86" t="s">
        <v>346</v>
      </c>
      <c r="H6" s="86" t="s">
        <v>347</v>
      </c>
      <c r="I6" s="86" t="s">
        <v>348</v>
      </c>
      <c r="J6" s="86" t="s">
        <v>348</v>
      </c>
      <c r="K6" s="86" t="s">
        <v>349</v>
      </c>
      <c r="L6" s="86" t="s">
        <v>350</v>
      </c>
      <c r="M6" s="86" t="s">
        <v>350</v>
      </c>
      <c r="N6" s="86" t="s">
        <v>351</v>
      </c>
      <c r="O6" s="86" t="s">
        <v>352</v>
      </c>
      <c r="P6" s="86" t="s">
        <v>353</v>
      </c>
      <c r="Q6" s="86" t="s">
        <v>354</v>
      </c>
      <c r="R6" s="86" t="s">
        <v>354</v>
      </c>
      <c r="S6" s="86" t="s">
        <v>354</v>
      </c>
      <c r="T6" s="86" t="s">
        <v>354</v>
      </c>
      <c r="U6" s="87" t="s">
        <v>36</v>
      </c>
      <c r="V6" s="87" t="s">
        <v>355</v>
      </c>
      <c r="W6" s="88" t="s">
        <v>356</v>
      </c>
      <c r="X6" s="88" t="s">
        <v>356</v>
      </c>
      <c r="Y6" s="88" t="s">
        <v>356</v>
      </c>
      <c r="Z6" s="88" t="s">
        <v>356</v>
      </c>
      <c r="AA6" s="88" t="s">
        <v>357</v>
      </c>
      <c r="AB6" s="88" t="s">
        <v>356</v>
      </c>
      <c r="AC6" s="88" t="s">
        <v>356</v>
      </c>
      <c r="AD6" s="88" t="s">
        <v>356</v>
      </c>
      <c r="AE6" s="88" t="s">
        <v>356</v>
      </c>
      <c r="AF6" s="88" t="s">
        <v>356</v>
      </c>
      <c r="AG6" s="88" t="s">
        <v>356</v>
      </c>
      <c r="AH6" s="88" t="s">
        <v>356</v>
      </c>
      <c r="AI6" s="89" t="s">
        <v>356</v>
      </c>
    </row>
    <row r="7" ht="12.75" customHeight="1" spans="1:35" x14ac:dyDescent="0.25">
      <c r="A7" s="80" t="s">
        <v>358</v>
      </c>
      <c r="B7" s="80" t="s">
        <v>359</v>
      </c>
      <c r="C7" s="90"/>
      <c r="D7" s="91" t="s">
        <v>360</v>
      </c>
      <c r="E7" s="92" t="s">
        <v>361</v>
      </c>
      <c r="F7" s="91" t="s">
        <v>362</v>
      </c>
      <c r="G7" s="91" t="s">
        <v>363</v>
      </c>
      <c r="H7" s="91" t="s">
        <v>364</v>
      </c>
      <c r="I7" s="91" t="s">
        <v>365</v>
      </c>
      <c r="J7" s="91" t="s">
        <v>366</v>
      </c>
      <c r="K7" s="91" t="s">
        <v>367</v>
      </c>
      <c r="L7" s="91" t="s">
        <v>368</v>
      </c>
      <c r="M7" s="91" t="s">
        <v>369</v>
      </c>
      <c r="N7" s="91" t="s">
        <v>370</v>
      </c>
      <c r="O7" s="91" t="s">
        <v>371</v>
      </c>
      <c r="P7" s="91" t="s">
        <v>372</v>
      </c>
      <c r="Q7" s="91" t="s">
        <v>31</v>
      </c>
      <c r="R7" s="91" t="s">
        <v>34</v>
      </c>
      <c r="S7" s="91" t="s">
        <v>35</v>
      </c>
      <c r="T7" s="91" t="s">
        <v>373</v>
      </c>
      <c r="U7" s="87"/>
      <c r="V7" s="87"/>
      <c r="W7" s="93" t="s">
        <v>374</v>
      </c>
      <c r="X7" s="93" t="s">
        <v>375</v>
      </c>
      <c r="Y7" s="93" t="s">
        <v>376</v>
      </c>
      <c r="Z7" s="93" t="s">
        <v>377</v>
      </c>
      <c r="AA7" s="93" t="s">
        <v>378</v>
      </c>
      <c r="AB7" s="93" t="s">
        <v>379</v>
      </c>
      <c r="AC7" s="93" t="s">
        <v>380</v>
      </c>
      <c r="AD7" s="93" t="s">
        <v>381</v>
      </c>
      <c r="AE7" s="93" t="s">
        <v>382</v>
      </c>
      <c r="AF7" s="93" t="s">
        <v>383</v>
      </c>
      <c r="AG7" s="93" t="s">
        <v>384</v>
      </c>
      <c r="AH7" s="93" t="s">
        <v>385</v>
      </c>
      <c r="AI7" s="94" t="s">
        <v>386</v>
      </c>
    </row>
    <row r="8" ht="12.75" customHeight="1" spans="1:37" x14ac:dyDescent="0.25">
      <c r="A8" s="73" t="s">
        <v>387</v>
      </c>
      <c r="B8" s="73">
        <v>9600000062</v>
      </c>
      <c r="C8" s="95" t="s">
        <v>388</v>
      </c>
      <c r="D8" s="96">
        <f>SUM(F8:V8)+E8</f>
        <v>0</v>
      </c>
      <c r="E8" s="97">
        <f>'Sumas y Saldos'!D155+'Sumas y Saldos'!D227+'Sumas y Saldos'!D209+'Sumas y Saldos'!G155+'Sumas y Saldos'!G227+'Sumas y Saldos'!G209+'Sumas y Saldos'!J155+'Sumas y Saldos'!J227+'Sumas y Saldos'!J209+'Sumas y Saldos'!P155+'Sumas y Saldos'!P227+'Sumas y Saldos'!P209+'Sumas y Saldos'!Y155+'Sumas y Saldos'!Y227+'Sumas y Saldos'!Y209+'Sumas y Saldos'!AB155+'Sumas y Saldos'!AB227+'Sumas y Saldos'!AB209+'Sumas y Saldos'!AE155+'Sumas y Saldos'!AE227+'Sumas y Saldos'!AE209+'Sumas y Saldos'!V155+'Sumas y Saldos'!V227+'Sumas y Saldos'!V209+'Sumas y Saldos'!S155+'Sumas y Saldos'!S227+'Sumas y Saldos'!S209+'Sumas y Saldos'!AH155+'Sumas y Saldos'!AH227+'Sumas y Saldos'!AH209+'Sumas y Saldos'!AN155+'Sumas y Saldos'!AN227+'Sumas y Saldos'!AN209+'Sumas y Saldos'!AK155+'Sumas y Saldos'!AK227+'Sumas y Saldos'!AK209+'Sumas y Saldos'!BC155+'Sumas y Saldos'!BL227+'Sumas y Saldos'!BO227</f>
      </c>
      <c r="F8" s="98">
        <f>'Sumas y Saldos'!E155+'Sumas y Saldos'!E227+'Sumas y Saldos'!E209</f>
      </c>
      <c r="G8" s="98">
        <f>'Sumas y Saldos'!H155+'Sumas y Saldos'!H227+'Sumas y Saldos'!H209</f>
      </c>
      <c r="H8" s="98">
        <f>'Sumas y Saldos'!K155+'Sumas y Saldos'!K227+'Sumas y Saldos'!K209</f>
      </c>
      <c r="I8" s="98">
        <f>'Sumas y Saldos'!Q155+'Sumas y Saldos'!Q227+'Sumas y Saldos'!Q209</f>
      </c>
      <c r="J8" s="98">
        <f>'Sumas y Saldos'!Z155+'Sumas y Saldos'!Z227+'Sumas y Saldos'!Z209</f>
      </c>
      <c r="K8" s="98">
        <f>'Sumas y Saldos'!AC155+'Sumas y Saldos'!AC227+'Sumas y Saldos'!AC209</f>
      </c>
      <c r="L8" s="99">
        <f>'Sumas y Saldos'!AF155+'Sumas y Saldos'!AF227+'Sumas y Saldos'!AF209</f>
      </c>
      <c r="M8" s="98">
        <f>'Sumas y Saldos'!W155+'Sumas y Saldos'!W227+'Sumas y Saldos'!W209</f>
      </c>
      <c r="N8" s="98">
        <f>'Sumas y Saldos'!T155+'Sumas y Saldos'!T227+'Sumas y Saldos'!T209</f>
      </c>
      <c r="O8" s="100">
        <f>'Sumas y Saldos'!AI155+'Sumas y Saldos'!AI227+'Sumas y Saldos'!AI209</f>
      </c>
      <c r="P8" s="98">
        <f>'Sumas y Saldos'!AO155+'Sumas y Saldos'!AO227+'Sumas y Saldos'!AO209</f>
      </c>
      <c r="Q8" s="98">
        <f>'Sumas y Saldos'!AL155+'Sumas y Saldos'!AL227+'Sumas y Saldos'!AL209</f>
      </c>
      <c r="R8" s="98"/>
      <c r="S8" s="98"/>
      <c r="T8" s="98">
        <f>+'Sumas y Saldos'!BD155</f>
      </c>
      <c r="U8" s="98">
        <f>+'Sumas y Saldos'!BM227</f>
      </c>
      <c r="V8" s="98">
        <f>+'Sumas y Saldos'!BP227</f>
      </c>
      <c r="W8" s="98"/>
      <c r="X8" s="98"/>
      <c r="Y8" s="98"/>
      <c r="Z8" s="98"/>
      <c r="AA8" s="98"/>
      <c r="AB8" s="98"/>
      <c r="AC8" s="98">
        <v>0</v>
      </c>
      <c r="AD8" s="98">
        <v>243.71</v>
      </c>
      <c r="AE8" s="98">
        <v>234.18</v>
      </c>
      <c r="AF8" s="98">
        <v>240.92</v>
      </c>
      <c r="AG8" s="98">
        <v>242</v>
      </c>
      <c r="AH8" s="98">
        <v>499.18</v>
      </c>
      <c r="AI8" s="101">
        <f>SUM(W8:AH8)</f>
        <v>1459.99</v>
      </c>
      <c r="AJ8" s="73"/>
      <c r="AK8" s="102"/>
    </row>
    <row r="9" ht="12.75" customHeight="1" spans="1:37" x14ac:dyDescent="0.25">
      <c r="A9" s="73" t="s">
        <v>389</v>
      </c>
      <c r="B9" s="73">
        <v>9600000062</v>
      </c>
      <c r="C9" s="95" t="s">
        <v>390</v>
      </c>
      <c r="D9" s="96">
        <f>SUM(F9:V9)+E9</f>
        <v>487.49</v>
      </c>
      <c r="E9" s="96">
        <f>'Sumas y Saldos'!D120+'Sumas y Saldos'!D53+'Sumas y Saldos'!D146+'Sumas y Saldos'!D72+'Sumas y Saldos'!D84+'Sumas y Saldos'!D97+'Sumas y Saldos'!D236+'Sumas y Saldos'!G120+'Sumas y Saldos'!G53+'Sumas y Saldos'!G146+'Sumas y Saldos'!G72+'Sumas y Saldos'!G84+'Sumas y Saldos'!G97+'Sumas y Saldos'!G236+'Sumas y Saldos'!J120+'Sumas y Saldos'!J53+'Sumas y Saldos'!J146+'Sumas y Saldos'!J72+'Sumas y Saldos'!J84+'Sumas y Saldos'!J97+'Sumas y Saldos'!J236+'Sumas y Saldos'!P120+'Sumas y Saldos'!P53+'Sumas y Saldos'!P146+'Sumas y Saldos'!P72+'Sumas y Saldos'!P84+'Sumas y Saldos'!P97+'Sumas y Saldos'!P236+'Sumas y Saldos'!Y120+'Sumas y Saldos'!Y53+'Sumas y Saldos'!Y146+'Sumas y Saldos'!Y72+'Sumas y Saldos'!Y84+'Sumas y Saldos'!Y97+'Sumas y Saldos'!Y236+'Sumas y Saldos'!AB120+'Sumas y Saldos'!AB53+'Sumas y Saldos'!AB146+'Sumas y Saldos'!AB72+'Sumas y Saldos'!AB84+'Sumas y Saldos'!AB97+'Sumas y Saldos'!AB236+'Sumas y Saldos'!AE120+'Sumas y Saldos'!AE53+'Sumas y Saldos'!AE146+'Sumas y Saldos'!AE72+'Sumas y Saldos'!AE84+'Sumas y Saldos'!AE97+'Sumas y Saldos'!AE236+'Sumas y Saldos'!V120+'Sumas y Saldos'!V53+'Sumas y Saldos'!V146+'Sumas y Saldos'!V72+'Sumas y Saldos'!V84+'Sumas y Saldos'!V97+'Sumas y Saldos'!V236+'Sumas y Saldos'!S120+'Sumas y Saldos'!S53+'Sumas y Saldos'!S146+'Sumas y Saldos'!S72+'Sumas y Saldos'!S84+'Sumas y Saldos'!S97+'Sumas y Saldos'!S236+'Sumas y Saldos'!AH120+'Sumas y Saldos'!AH53+'Sumas y Saldos'!AH146+'Sumas y Saldos'!AH72+'Sumas y Saldos'!AH84+'Sumas y Saldos'!AH97+'Sumas y Saldos'!AH236+'Sumas y Saldos'!AN120+'Sumas y Saldos'!AN53+'Sumas y Saldos'!AN146+'Sumas y Saldos'!AN72+'Sumas y Saldos'!AN84+'Sumas y Saldos'!AN97+'Sumas y Saldos'!AN236+'Sumas y Saldos'!AK120+'Sumas y Saldos'!AK53+'Sumas y Saldos'!AK146+'Sumas y Saldos'!AK72+'Sumas y Saldos'!AK84+'Sumas y Saldos'!AK97+'Sumas y Saldos'!AK236+'Sumas y Saldos'!BC120+'Sumas y Saldos'!BC146+'Sumas y Saldos'!BL120+'Sumas y Saldos'!BL84+'Sumas y Saldos'!BL236+'Sumas y Saldos'!BO53+'Sumas y Saldos'!BO84+'Sumas y Saldos'!BO97</f>
      </c>
      <c r="F9" s="98">
        <f>'Sumas y Saldos'!E120+'Sumas y Saldos'!E53+'Sumas y Saldos'!E146+'Sumas y Saldos'!E72+'Sumas y Saldos'!E84+'Sumas y Saldos'!E97+'Sumas y Saldos'!E236</f>
      </c>
      <c r="G9" s="98">
        <f>'Sumas y Saldos'!H120+'Sumas y Saldos'!H53+'Sumas y Saldos'!H146+'Sumas y Saldos'!H72+'Sumas y Saldos'!H84+'Sumas y Saldos'!H97+'Sumas y Saldos'!H236</f>
      </c>
      <c r="H9" s="98">
        <f>'Sumas y Saldos'!K120+'Sumas y Saldos'!K53+'Sumas y Saldos'!K146+'Sumas y Saldos'!K72+'Sumas y Saldos'!K84+'Sumas y Saldos'!K97+'Sumas y Saldos'!K236</f>
      </c>
      <c r="I9" s="98">
        <f>'Sumas y Saldos'!Q120+'Sumas y Saldos'!Q53+'Sumas y Saldos'!Q146+'Sumas y Saldos'!Q72+'Sumas y Saldos'!Q84+'Sumas y Saldos'!Q97+'Sumas y Saldos'!Q236</f>
      </c>
      <c r="J9" s="98">
        <f>'Sumas y Saldos'!Z120+'Sumas y Saldos'!Z53+'Sumas y Saldos'!Z146+'Sumas y Saldos'!Z72+'Sumas y Saldos'!Z84+'Sumas y Saldos'!Z97+'Sumas y Saldos'!Z236</f>
      </c>
      <c r="K9" s="98">
        <f>'Sumas y Saldos'!AC120+'Sumas y Saldos'!AC53+'Sumas y Saldos'!AC146+'Sumas y Saldos'!AC72+'Sumas y Saldos'!AC84+'Sumas y Saldos'!AC97+'Sumas y Saldos'!AC236</f>
      </c>
      <c r="L9" s="98">
        <f>'Sumas y Saldos'!AF120+'Sumas y Saldos'!AF53+'Sumas y Saldos'!AF146+'Sumas y Saldos'!AF72+'Sumas y Saldos'!AF84+'Sumas y Saldos'!AF97+'Sumas y Saldos'!AF236</f>
      </c>
      <c r="M9" s="98">
        <f>'Sumas y Saldos'!W120+'Sumas y Saldos'!W53+'Sumas y Saldos'!W146+'Sumas y Saldos'!W72+'Sumas y Saldos'!W84+'Sumas y Saldos'!W97+'Sumas y Saldos'!W236</f>
      </c>
      <c r="N9" s="98">
        <f>'Sumas y Saldos'!T120+'Sumas y Saldos'!T53+'Sumas y Saldos'!T146+'Sumas y Saldos'!T72+'Sumas y Saldos'!T84+'Sumas y Saldos'!T97+'Sumas y Saldos'!T236</f>
      </c>
      <c r="O9" s="98">
        <f>'Sumas y Saldos'!AI120+'Sumas y Saldos'!AI53+'Sumas y Saldos'!AI146+'Sumas y Saldos'!AI72+'Sumas y Saldos'!AI84+'Sumas y Saldos'!AI97+'Sumas y Saldos'!AI236</f>
      </c>
      <c r="P9" s="98">
        <f>'Sumas y Saldos'!AO120+'Sumas y Saldos'!AO53+'Sumas y Saldos'!AO146+'Sumas y Saldos'!AO72+'Sumas y Saldos'!AO84+'Sumas y Saldos'!AO97+'Sumas y Saldos'!AO236</f>
      </c>
      <c r="Q9" s="98">
        <f>'Sumas y Saldos'!AL120+'Sumas y Saldos'!AL53+'Sumas y Saldos'!AL146+'Sumas y Saldos'!AL72+'Sumas y Saldos'!AL84+'Sumas y Saldos'!AL97+'Sumas y Saldos'!AL236</f>
      </c>
      <c r="R9" s="98"/>
      <c r="S9" s="98"/>
      <c r="T9" s="98">
        <f>+'Sumas y Saldos'!BD120+'Sumas y Saldos'!BD146</f>
      </c>
      <c r="U9" s="98">
        <f>'Sumas y Saldos'!BM120+'Sumas y Saldos'!BM84+'Sumas y Saldos'!BM236</f>
      </c>
      <c r="V9" s="98">
        <f>'Sumas y Saldos'!BP53+'Sumas y Saldos'!BP84+'Sumas y Saldos'!BP97</f>
      </c>
      <c r="W9" s="98"/>
      <c r="X9" s="98"/>
      <c r="Y9" s="98"/>
      <c r="Z9" s="98"/>
      <c r="AA9" s="98"/>
      <c r="AB9" s="98"/>
      <c r="AC9" s="98">
        <v>487.49</v>
      </c>
      <c r="AD9" s="98">
        <v>1767.88</v>
      </c>
      <c r="AE9" s="98">
        <v>5044.24</v>
      </c>
      <c r="AF9" s="98">
        <v>286.33</v>
      </c>
      <c r="AG9" s="98">
        <v>24.29</v>
      </c>
      <c r="AH9" s="98">
        <v>1249.18</v>
      </c>
      <c r="AI9" s="101">
        <f>SUM(W9:AH9)</f>
        <v>8859.41</v>
      </c>
      <c r="AJ9" s="73"/>
      <c r="AK9" s="102"/>
    </row>
    <row r="10" ht="12.75" customHeight="1" spans="1:37" x14ac:dyDescent="0.25">
      <c r="A10" s="73" t="s">
        <v>391</v>
      </c>
      <c r="B10" s="73">
        <v>9600000062</v>
      </c>
      <c r="C10" s="95" t="s">
        <v>392</v>
      </c>
      <c r="D10" s="96">
        <f>SUM(F10:V10)+E10</f>
        <v>366.27</v>
      </c>
      <c r="E10" s="96">
        <f>'Sumas y Saldos'!D15+'Sumas y Saldos'!D39+'Sumas y Saldos'!D212+'Sumas y Saldos'!D176+'Sumas y Saldos'!D99+'Sumas y Saldos'!D115+'Sumas y Saldos'!D228+'Sumas y Saldos'!D247+'Sumas y Saldos'!D106+'Sumas y Saldos'!D40+'Sumas y Saldos'!D83+'Sumas y Saldos'!D267+'Sumas y Saldos'!G15+'Sumas y Saldos'!G39+'Sumas y Saldos'!G212+'Sumas y Saldos'!G176+'Sumas y Saldos'!G99+'Sumas y Saldos'!G115+'Sumas y Saldos'!G228+'Sumas y Saldos'!G247+'Sumas y Saldos'!G106+'Sumas y Saldos'!G40+'Sumas y Saldos'!G83+'Sumas y Saldos'!G267+'Sumas y Saldos'!J15+'Sumas y Saldos'!J39+'Sumas y Saldos'!J212+'Sumas y Saldos'!J176+'Sumas y Saldos'!J99+'Sumas y Saldos'!J115+'Sumas y Saldos'!J228+'Sumas y Saldos'!J247+'Sumas y Saldos'!J106+'Sumas y Saldos'!J40+'Sumas y Saldos'!J83+'Sumas y Saldos'!J267+'Sumas y Saldos'!P15+'Sumas y Saldos'!P39+'Sumas y Saldos'!P212+'Sumas y Saldos'!P176+'Sumas y Saldos'!P99+'Sumas y Saldos'!P115+'Sumas y Saldos'!P228+'Sumas y Saldos'!P247+'Sumas y Saldos'!P106+'Sumas y Saldos'!P40+'Sumas y Saldos'!P83+'Sumas y Saldos'!P267+'Sumas y Saldos'!Y15+'Sumas y Saldos'!Y39+'Sumas y Saldos'!Y212+'Sumas y Saldos'!Y176+'Sumas y Saldos'!Y99+'Sumas y Saldos'!Y115+'Sumas y Saldos'!Y228+'Sumas y Saldos'!Y247+'Sumas y Saldos'!Y106+'Sumas y Saldos'!Y40+'Sumas y Saldos'!Y83+'Sumas y Saldos'!Y267+'Sumas y Saldos'!AB15+'Sumas y Saldos'!AB39+'Sumas y Saldos'!AB212+'Sumas y Saldos'!AB176+'Sumas y Saldos'!AB99+'Sumas y Saldos'!AB115+'Sumas y Saldos'!AB228+'Sumas y Saldos'!AB247+'Sumas y Saldos'!AB106+'Sumas y Saldos'!AB40+'Sumas y Saldos'!AB83+'Sumas y Saldos'!AB267+'Sumas y Saldos'!AE15+'Sumas y Saldos'!AE39+'Sumas y Saldos'!AE212+'Sumas y Saldos'!AE176+'Sumas y Saldos'!AE99+'Sumas y Saldos'!AE115+'Sumas y Saldos'!AE228+'Sumas y Saldos'!AE247+'Sumas y Saldos'!AE106+'Sumas y Saldos'!AE40+'Sumas y Saldos'!AE83+'Sumas y Saldos'!AE267+'Sumas y Saldos'!V15+'Sumas y Saldos'!V39+'Sumas y Saldos'!V212+'Sumas y Saldos'!V176+'Sumas y Saldos'!V99+'Sumas y Saldos'!V115+'Sumas y Saldos'!V228+'Sumas y Saldos'!V247+'Sumas y Saldos'!V106+'Sumas y Saldos'!V40+'Sumas y Saldos'!V83+'Sumas y Saldos'!V267+'Sumas y Saldos'!S15+'Sumas y Saldos'!S39+'Sumas y Saldos'!S212+'Sumas y Saldos'!S176+'Sumas y Saldos'!S99+'Sumas y Saldos'!S115+'Sumas y Saldos'!S228+'Sumas y Saldos'!S247+'Sumas y Saldos'!S106+'Sumas y Saldos'!S40+'Sumas y Saldos'!S83+'Sumas y Saldos'!S267+'Sumas y Saldos'!AH15+'Sumas y Saldos'!AH39+'Sumas y Saldos'!AH212+'Sumas y Saldos'!AH176+'Sumas y Saldos'!AH99+'Sumas y Saldos'!AH115+'Sumas y Saldos'!AH228+'Sumas y Saldos'!AH247+'Sumas y Saldos'!AH106+'Sumas y Saldos'!AH40+'Sumas y Saldos'!AH83+'Sumas y Saldos'!AH267+'Sumas y Saldos'!AN15+'Sumas y Saldos'!AN39+'Sumas y Saldos'!AN212+'Sumas y Saldos'!AN176+'Sumas y Saldos'!AN99+'Sumas y Saldos'!AN115+'Sumas y Saldos'!AN228+'Sumas y Saldos'!AN247+'Sumas y Saldos'!AN106+'Sumas y Saldos'!AN40+'Sumas y Saldos'!AN83+'Sumas y Saldos'!AN267+'Sumas y Saldos'!AK15+'Sumas y Saldos'!AK39+'Sumas y Saldos'!AK212+'Sumas y Saldos'!AK176+'Sumas y Saldos'!AK99+'Sumas y Saldos'!AK115+'Sumas y Saldos'!AK228+'Sumas y Saldos'!AK247+'Sumas y Saldos'!AK106+'Sumas y Saldos'!AK40+'Sumas y Saldos'!AK83+'Sumas y Saldos'!AK267+'Sumas y Saldos'!BC212+'Sumas y Saldos'!BC176+'Sumas y Saldos'!BL176+'Sumas y Saldos'!BL39+'Sumas y Saldos'!BL228+'Sumas y Saldos'!BL247+'Sumas y Saldos'!BL106+'Sumas y Saldos'!BO212+'Sumas y Saldos'!BO39+'Sumas y Saldos'!BO99+'Sumas y Saldos'!BO115+'Sumas y Saldos'!BO228+'Sumas y Saldos'!BO247+'Sumas y Saldos'!BO106+'Sumas y Saldos'!BO83</f>
      </c>
      <c r="F10" s="98">
        <f>'Sumas y Saldos'!E15+'Sumas y Saldos'!E39+'Sumas y Saldos'!E212+'Sumas y Saldos'!E176+'Sumas y Saldos'!E99+'Sumas y Saldos'!E115+'Sumas y Saldos'!E228+'Sumas y Saldos'!E247+'Sumas y Saldos'!E106+'Sumas y Saldos'!E40+'Sumas y Saldos'!E83+'Sumas y Saldos'!E267</f>
      </c>
      <c r="G10" s="98">
        <f>'Sumas y Saldos'!H15+'Sumas y Saldos'!H39+'Sumas y Saldos'!H212+'Sumas y Saldos'!H176+'Sumas y Saldos'!H99+'Sumas y Saldos'!H115+'Sumas y Saldos'!H228+'Sumas y Saldos'!H247+'Sumas y Saldos'!H106+'Sumas y Saldos'!H40+'Sumas y Saldos'!H83+'Sumas y Saldos'!H267</f>
      </c>
      <c r="H10" s="98">
        <f>'Sumas y Saldos'!K15+'Sumas y Saldos'!K39+'Sumas y Saldos'!K212+'Sumas y Saldos'!K176+'Sumas y Saldos'!K99+'Sumas y Saldos'!K115+'Sumas y Saldos'!K228+'Sumas y Saldos'!K247+'Sumas y Saldos'!K106+'Sumas y Saldos'!K40+'Sumas y Saldos'!K83+'Sumas y Saldos'!K267</f>
      </c>
      <c r="I10" s="98">
        <f>'Sumas y Saldos'!Q15+'Sumas y Saldos'!Q39+'Sumas y Saldos'!Q212+'Sumas y Saldos'!Q176+'Sumas y Saldos'!Q99+'Sumas y Saldos'!Q115+'Sumas y Saldos'!Q228+'Sumas y Saldos'!Q247+'Sumas y Saldos'!Q106+'Sumas y Saldos'!Q40+'Sumas y Saldos'!Q83+'Sumas y Saldos'!Q267</f>
      </c>
      <c r="J10" s="98">
        <f>'Sumas y Saldos'!Z15+'Sumas y Saldos'!Z39+'Sumas y Saldos'!Z212+'Sumas y Saldos'!Z176+'Sumas y Saldos'!Z99+'Sumas y Saldos'!Z115+'Sumas y Saldos'!Z228+'Sumas y Saldos'!Z247+'Sumas y Saldos'!Z106+'Sumas y Saldos'!Z40+'Sumas y Saldos'!Z83+'Sumas y Saldos'!Z267</f>
      </c>
      <c r="K10" s="98">
        <f>'Sumas y Saldos'!AC15+'Sumas y Saldos'!AC39+'Sumas y Saldos'!AC212+'Sumas y Saldos'!AC176+'Sumas y Saldos'!AC99+'Sumas y Saldos'!AC115+'Sumas y Saldos'!AC228+'Sumas y Saldos'!AC247+'Sumas y Saldos'!AC106+'Sumas y Saldos'!AC40+'Sumas y Saldos'!AC83+'Sumas y Saldos'!AC267</f>
      </c>
      <c r="L10" s="98">
        <f>'Sumas y Saldos'!AF15+'Sumas y Saldos'!AF39+'Sumas y Saldos'!AF212+'Sumas y Saldos'!AF176+'Sumas y Saldos'!AF99+'Sumas y Saldos'!AF115+'Sumas y Saldos'!AF228+'Sumas y Saldos'!AF247+'Sumas y Saldos'!AF106+'Sumas y Saldos'!AF40+'Sumas y Saldos'!AF83+'Sumas y Saldos'!AF267</f>
      </c>
      <c r="M10" s="98">
        <f>'Sumas y Saldos'!W15+'Sumas y Saldos'!W39+'Sumas y Saldos'!W212+'Sumas y Saldos'!W176+'Sumas y Saldos'!W99+'Sumas y Saldos'!W115+'Sumas y Saldos'!W228+'Sumas y Saldos'!W247+'Sumas y Saldos'!W106+'Sumas y Saldos'!W40+'Sumas y Saldos'!W83+'Sumas y Saldos'!W267</f>
      </c>
      <c r="N10" s="98">
        <f>'Sumas y Saldos'!T15+'Sumas y Saldos'!T39+'Sumas y Saldos'!T212+'Sumas y Saldos'!T176+'Sumas y Saldos'!T99+'Sumas y Saldos'!T115+'Sumas y Saldos'!T228+'Sumas y Saldos'!T247+'Sumas y Saldos'!T106+'Sumas y Saldos'!T40+'Sumas y Saldos'!T83+'Sumas y Saldos'!T267</f>
      </c>
      <c r="O10" s="98">
        <f>'Sumas y Saldos'!AI15+'Sumas y Saldos'!AI39+'Sumas y Saldos'!AI212+'Sumas y Saldos'!AI176+'Sumas y Saldos'!AI99+'Sumas y Saldos'!AI115+'Sumas y Saldos'!AI228+'Sumas y Saldos'!AI247+'Sumas y Saldos'!AI106+'Sumas y Saldos'!AI40+'Sumas y Saldos'!AI83+'Sumas y Saldos'!AI267</f>
      </c>
      <c r="P10" s="98">
        <f>'Sumas y Saldos'!AO15+'Sumas y Saldos'!AO39+'Sumas y Saldos'!AO212+'Sumas y Saldos'!AO176+'Sumas y Saldos'!AO99+'Sumas y Saldos'!AO115+'Sumas y Saldos'!AO228+'Sumas y Saldos'!AO247+'Sumas y Saldos'!AO106+'Sumas y Saldos'!AO40+'Sumas y Saldos'!AO83+'Sumas y Saldos'!AO267</f>
      </c>
      <c r="Q10" s="98">
        <f>'Sumas y Saldos'!AL15+'Sumas y Saldos'!AL39+'Sumas y Saldos'!AL212+'Sumas y Saldos'!AL176+'Sumas y Saldos'!AL99+'Sumas y Saldos'!AL115+'Sumas y Saldos'!AL228+'Sumas y Saldos'!AL247+'Sumas y Saldos'!AL106+'Sumas y Saldos'!AL40+'Sumas y Saldos'!AL83+'Sumas y Saldos'!AL267</f>
      </c>
      <c r="R10" s="98"/>
      <c r="S10" s="98"/>
      <c r="T10" s="98">
        <f>+'Sumas y Saldos'!BD212+'Sumas y Saldos'!BD176</f>
      </c>
      <c r="U10" s="98">
        <f>'Sumas y Saldos'!BM176+'Sumas y Saldos'!BM39+'Sumas y Saldos'!BM228+'Sumas y Saldos'!BM247+'Sumas y Saldos'!BM106</f>
      </c>
      <c r="V10" s="98">
        <f>'Sumas y Saldos'!BP212+'Sumas y Saldos'!BP39+'Sumas y Saldos'!BP99+'Sumas y Saldos'!BP115+'Sumas y Saldos'!BP228+'Sumas y Saldos'!BP247+'Sumas y Saldos'!BP106+'Sumas y Saldos'!BP83</f>
      </c>
      <c r="W10" s="98"/>
      <c r="X10" s="98"/>
      <c r="Y10" s="98"/>
      <c r="Z10" s="98"/>
      <c r="AA10" s="98"/>
      <c r="AB10" s="98"/>
      <c r="AC10" s="98">
        <v>366.27</v>
      </c>
      <c r="AD10" s="98">
        <v>359.96</v>
      </c>
      <c r="AE10" s="98">
        <v>0</v>
      </c>
      <c r="AF10" s="98">
        <v>2805.03</v>
      </c>
      <c r="AG10" s="98">
        <v>1468.51</v>
      </c>
      <c r="AH10" s="98">
        <v>546.58</v>
      </c>
      <c r="AI10" s="101">
        <f>SUM(W10:AH10)</f>
        <v>5546.35</v>
      </c>
      <c r="AJ10" s="73"/>
      <c r="AK10" s="102"/>
    </row>
    <row r="11" ht="12.75" customHeight="1" spans="1:37" x14ac:dyDescent="0.25">
      <c r="A11" s="73" t="s">
        <v>393</v>
      </c>
      <c r="B11" s="73">
        <v>9600000062</v>
      </c>
      <c r="C11" s="95" t="s">
        <v>394</v>
      </c>
      <c r="D11" s="96">
        <f>SUM(F11:V11)+E11</f>
        <v>0</v>
      </c>
      <c r="E11" s="96">
        <f>'Sumas y Saldos'!D196+'Sumas y Saldos'!D154+'Sumas y Saldos'!D233+'Sumas y Saldos'!G196+'Sumas y Saldos'!G154+'Sumas y Saldos'!G233+'Sumas y Saldos'!J196+'Sumas y Saldos'!J154+'Sumas y Saldos'!J233+'Sumas y Saldos'!P196+'Sumas y Saldos'!P154+'Sumas y Saldos'!P233+'Sumas y Saldos'!Y196+'Sumas y Saldos'!Y154+'Sumas y Saldos'!Y233+'Sumas y Saldos'!AB196+'Sumas y Saldos'!AB154+'Sumas y Saldos'!AB233+'Sumas y Saldos'!AE196+'Sumas y Saldos'!AE154+'Sumas y Saldos'!AE233+'Sumas y Saldos'!V196+'Sumas y Saldos'!V154+'Sumas y Saldos'!V233+'Sumas y Saldos'!S196+'Sumas y Saldos'!S154+'Sumas y Saldos'!S233+'Sumas y Saldos'!AH196+'Sumas y Saldos'!AH154+'Sumas y Saldos'!AH233+'Sumas y Saldos'!AN196+'Sumas y Saldos'!AN154+'Sumas y Saldos'!AN233+'Sumas y Saldos'!AK196+'Sumas y Saldos'!AK154+'Sumas y Saldos'!AK233+'Sumas y Saldos'!BC196+'Sumas y Saldos'!BC154+'Sumas y Saldos'!BL196+'Sumas y Saldos'!BL233+'Sumas y Saldos'!BO196+'Sumas y Saldos'!BO233</f>
      </c>
      <c r="F11" s="98">
        <f>'Sumas y Saldos'!E196+'Sumas y Saldos'!E154+'Sumas y Saldos'!E233</f>
      </c>
      <c r="G11" s="98">
        <f>'Sumas y Saldos'!H196+'Sumas y Saldos'!H154+'Sumas y Saldos'!H233</f>
      </c>
      <c r="H11" s="98">
        <f>'Sumas y Saldos'!K196+'Sumas y Saldos'!K154+'Sumas y Saldos'!K233</f>
      </c>
      <c r="I11" s="98">
        <f>'Sumas y Saldos'!Q196+'Sumas y Saldos'!Q154+'Sumas y Saldos'!Q233</f>
      </c>
      <c r="J11" s="98">
        <f>'Sumas y Saldos'!Z196+'Sumas y Saldos'!Z154+'Sumas y Saldos'!Z233</f>
      </c>
      <c r="K11" s="98">
        <f>'Sumas y Saldos'!AC196+'Sumas y Saldos'!AC154+'Sumas y Saldos'!AC233</f>
      </c>
      <c r="L11" s="98">
        <f>'Sumas y Saldos'!AF196+'Sumas y Saldos'!AF154+'Sumas y Saldos'!AF233</f>
      </c>
      <c r="M11" s="98">
        <f>'Sumas y Saldos'!W196+'Sumas y Saldos'!W154+'Sumas y Saldos'!W233</f>
      </c>
      <c r="N11" s="98">
        <f>'Sumas y Saldos'!T196+'Sumas y Saldos'!T154+'Sumas y Saldos'!T233</f>
      </c>
      <c r="O11" s="98">
        <f>'Sumas y Saldos'!AI196+'Sumas y Saldos'!AI154+'Sumas y Saldos'!AI233</f>
      </c>
      <c r="P11" s="98">
        <f>'Sumas y Saldos'!AO196+'Sumas y Saldos'!AO154+'Sumas y Saldos'!AO233</f>
      </c>
      <c r="Q11" s="98">
        <f>'Sumas y Saldos'!AL196+'Sumas y Saldos'!AL154+'Sumas y Saldos'!AL233</f>
      </c>
      <c r="R11" s="98"/>
      <c r="S11" s="98"/>
      <c r="T11" s="98">
        <f>'Sumas y Saldos'!BD196+'Sumas y Saldos'!BD154</f>
      </c>
      <c r="U11" s="98">
        <f>+'Sumas y Saldos'!BM196+'Sumas y Saldos'!BM233</f>
      </c>
      <c r="V11" s="98">
        <f>+'Sumas y Saldos'!BP196+'Sumas y Saldos'!BP233</f>
      </c>
      <c r="W11" s="98"/>
      <c r="X11" s="98"/>
      <c r="Y11" s="98"/>
      <c r="Z11" s="98"/>
      <c r="AA11" s="98"/>
      <c r="AB11" s="98"/>
      <c r="AC11" s="98">
        <v>0</v>
      </c>
      <c r="AD11" s="98">
        <v>0</v>
      </c>
      <c r="AE11" s="98">
        <v>0</v>
      </c>
      <c r="AF11" s="98">
        <v>2234.96</v>
      </c>
      <c r="AG11" s="98">
        <v>0</v>
      </c>
      <c r="AH11" s="98">
        <v>0</v>
      </c>
      <c r="AI11" s="101">
        <f>SUM(W11:AH11)</f>
        <v>2234.96</v>
      </c>
      <c r="AJ11" s="73"/>
      <c r="AK11" s="102"/>
    </row>
    <row r="12" ht="12.75" customHeight="1" spans="1:37" x14ac:dyDescent="0.25">
      <c r="A12" s="73" t="s">
        <v>395</v>
      </c>
      <c r="B12" s="73">
        <v>9600000062</v>
      </c>
      <c r="C12" s="95" t="s">
        <v>396</v>
      </c>
      <c r="D12" s="96">
        <f>SUM(F12:V12)+E12</f>
        <v>225.95</v>
      </c>
      <c r="E12" s="96">
        <f>'Sumas y Saldos'!D203+'Sumas y Saldos'!D125+'Sumas y Saldos'!D55+'Sumas y Saldos'!D102+'Sumas y Saldos'!G203+'Sumas y Saldos'!G125+'Sumas y Saldos'!G55+'Sumas y Saldos'!G102+'Sumas y Saldos'!J203+'Sumas y Saldos'!J125+'Sumas y Saldos'!J55+'Sumas y Saldos'!J102+'Sumas y Saldos'!P203+'Sumas y Saldos'!P125+'Sumas y Saldos'!P55+'Sumas y Saldos'!P102+'Sumas y Saldos'!Y203+'Sumas y Saldos'!Y125+'Sumas y Saldos'!Y55+'Sumas y Saldos'!Y102+'Sumas y Saldos'!AB203+'Sumas y Saldos'!AB125+'Sumas y Saldos'!AB55+'Sumas y Saldos'!AB102+'Sumas y Saldos'!AE203+'Sumas y Saldos'!AE125+'Sumas y Saldos'!AE55+'Sumas y Saldos'!AE102+'Sumas y Saldos'!V203+'Sumas y Saldos'!V125+'Sumas y Saldos'!V55+'Sumas y Saldos'!V102+'Sumas y Saldos'!S203+'Sumas y Saldos'!S125+'Sumas y Saldos'!S55+'Sumas y Saldos'!S102+'Sumas y Saldos'!AH203+'Sumas y Saldos'!AH125+'Sumas y Saldos'!AH55+'Sumas y Saldos'!AH102+'Sumas y Saldos'!AN203+'Sumas y Saldos'!AN125+'Sumas y Saldos'!AN55+'Sumas y Saldos'!AN102+'Sumas y Saldos'!AK203+'Sumas y Saldos'!AK125+'Sumas y Saldos'!AK55+'Sumas y Saldos'!AK102+'Sumas y Saldos'!BC203+'Sumas y Saldos'!BC125+'Sumas y Saldos'!BL203+'Sumas y Saldos'!BL125+'Sumas y Saldos'!BO125+'Sumas y Saldos'!BO102</f>
      </c>
      <c r="F12" s="98">
        <f>'Sumas y Saldos'!E203+'Sumas y Saldos'!E125+'Sumas y Saldos'!E55+'Sumas y Saldos'!E102</f>
      </c>
      <c r="G12" s="98">
        <f>'Sumas y Saldos'!H203+'Sumas y Saldos'!H125+'Sumas y Saldos'!H55+'Sumas y Saldos'!H102</f>
      </c>
      <c r="H12" s="98">
        <f>'Sumas y Saldos'!K203+'Sumas y Saldos'!K125+'Sumas y Saldos'!K55+'Sumas y Saldos'!K102</f>
      </c>
      <c r="I12" s="98">
        <f>'Sumas y Saldos'!Q203+'Sumas y Saldos'!Q125+'Sumas y Saldos'!Q55+'Sumas y Saldos'!Q102</f>
      </c>
      <c r="J12" s="98">
        <f>'Sumas y Saldos'!Z203+'Sumas y Saldos'!Z125+'Sumas y Saldos'!Z55+'Sumas y Saldos'!Z102</f>
      </c>
      <c r="K12" s="98">
        <f>'Sumas y Saldos'!AC203+'Sumas y Saldos'!AC125+'Sumas y Saldos'!AC55+'Sumas y Saldos'!AC102</f>
      </c>
      <c r="L12" s="98">
        <f>'Sumas y Saldos'!AF203+'Sumas y Saldos'!AF125+'Sumas y Saldos'!AF55+'Sumas y Saldos'!AF102</f>
      </c>
      <c r="M12" s="98">
        <f>'Sumas y Saldos'!W203+'Sumas y Saldos'!W125+'Sumas y Saldos'!W55+'Sumas y Saldos'!W102</f>
      </c>
      <c r="N12" s="98">
        <f>'Sumas y Saldos'!T203+'Sumas y Saldos'!T125+'Sumas y Saldos'!T55+'Sumas y Saldos'!T102</f>
      </c>
      <c r="O12" s="98">
        <f>'Sumas y Saldos'!AI203+'Sumas y Saldos'!AI125+'Sumas y Saldos'!AI55+'Sumas y Saldos'!AI102</f>
      </c>
      <c r="P12" s="98">
        <f>'Sumas y Saldos'!AO203+'Sumas y Saldos'!AO125+'Sumas y Saldos'!AO55+'Sumas y Saldos'!AO102</f>
      </c>
      <c r="Q12" s="98">
        <f>'Sumas y Saldos'!AL203+'Sumas y Saldos'!AL125+'Sumas y Saldos'!AL55+'Sumas y Saldos'!AL102</f>
      </c>
      <c r="R12" s="98"/>
      <c r="S12" s="98"/>
      <c r="T12" s="98">
        <f>'Sumas y Saldos'!BD203+'Sumas y Saldos'!BD125</f>
      </c>
      <c r="U12" s="98">
        <f>+'Sumas y Saldos'!BM203+'Sumas y Saldos'!BM125</f>
      </c>
      <c r="V12" s="98">
        <f>'Sumas y Saldos'!BP125+'Sumas y Saldos'!BP102</f>
      </c>
      <c r="W12" s="98"/>
      <c r="X12" s="98"/>
      <c r="Y12" s="98"/>
      <c r="Z12" s="98"/>
      <c r="AA12" s="98"/>
      <c r="AB12" s="98"/>
      <c r="AC12" s="98">
        <v>225.95</v>
      </c>
      <c r="AD12" s="98">
        <v>0</v>
      </c>
      <c r="AE12" s="98">
        <v>42.89</v>
      </c>
      <c r="AF12" s="98">
        <v>171.92</v>
      </c>
      <c r="AG12" s="98">
        <v>0</v>
      </c>
      <c r="AH12" s="98">
        <v>9907.11</v>
      </c>
      <c r="AI12" s="101">
        <f>SUM(W12:AH12)</f>
        <v>10347.87</v>
      </c>
      <c r="AJ12" s="73"/>
      <c r="AK12" s="102"/>
    </row>
    <row r="13" ht="12.75" customHeight="1" spans="1:37" x14ac:dyDescent="0.25">
      <c r="A13" s="73" t="s">
        <v>397</v>
      </c>
      <c r="B13" s="73">
        <v>9600000062</v>
      </c>
      <c r="C13" s="95" t="s">
        <v>398</v>
      </c>
      <c r="D13" s="96">
        <f>SUM(F13:V13)+E13</f>
        <v>0</v>
      </c>
      <c r="E13" s="96">
        <f>'Sumas y Saldos'!D64+'Sumas y Saldos'!D91+'Sumas y Saldos'!G64+'Sumas y Saldos'!G91+'Sumas y Saldos'!J64+'Sumas y Saldos'!J91+'Sumas y Saldos'!P64+'Sumas y Saldos'!P91+'Sumas y Saldos'!Y64+'Sumas y Saldos'!Y91+'Sumas y Saldos'!AB64+'Sumas y Saldos'!AB91+'Sumas y Saldos'!AE64+'Sumas y Saldos'!AE91+'Sumas y Saldos'!V64+'Sumas y Saldos'!V91+'Sumas y Saldos'!S64+'Sumas y Saldos'!S91+'Sumas y Saldos'!AH64+'Sumas y Saldos'!AH91+'Sumas y Saldos'!AN64+'Sumas y Saldos'!AN91+'Sumas y Saldos'!AK64+'Sumas y Saldos'!AK91+'Sumas y Saldos'!BC91+'Sumas y Saldos'!BL91+'Sumas y Saldos'!BO64+'Sumas y Saldos'!BO91</f>
      </c>
      <c r="F13" s="98">
        <f>+'Sumas y Saldos'!E64+'Sumas y Saldos'!E91</f>
      </c>
      <c r="G13" s="98">
        <f>+'Sumas y Saldos'!H64+'Sumas y Saldos'!H91</f>
      </c>
      <c r="H13" s="98">
        <f>+'Sumas y Saldos'!K64+'Sumas y Saldos'!K91</f>
      </c>
      <c r="I13" s="98">
        <f>+'Sumas y Saldos'!Q64+'Sumas y Saldos'!Q91</f>
      </c>
      <c r="J13" s="98">
        <f>+'Sumas y Saldos'!Z64+'Sumas y Saldos'!Z91</f>
      </c>
      <c r="K13" s="98">
        <f>+'Sumas y Saldos'!AC64+'Sumas y Saldos'!AC91</f>
      </c>
      <c r="L13" s="98">
        <f>+'Sumas y Saldos'!AF64+'Sumas y Saldos'!AF91</f>
      </c>
      <c r="M13" s="98">
        <f>+'Sumas y Saldos'!W64+'Sumas y Saldos'!W91</f>
      </c>
      <c r="N13" s="98">
        <f>+'Sumas y Saldos'!T64+'Sumas y Saldos'!T91</f>
      </c>
      <c r="O13" s="98">
        <f>+'Sumas y Saldos'!AI64+'Sumas y Saldos'!AI91</f>
      </c>
      <c r="P13" s="98">
        <f>+'Sumas y Saldos'!AO64+'Sumas y Saldos'!AO91</f>
      </c>
      <c r="Q13" s="98">
        <f>+'Sumas y Saldos'!AL64+'Sumas y Saldos'!AL91</f>
      </c>
      <c r="R13" s="98"/>
      <c r="S13" s="98"/>
      <c r="T13" s="98">
        <f>+'Sumas y Saldos'!BD91</f>
      </c>
      <c r="U13" s="98">
        <f>+'Sumas y Saldos'!BM91</f>
      </c>
      <c r="V13" s="98">
        <f>+'Sumas y Saldos'!BP64+'Sumas y Saldos'!BP91</f>
      </c>
      <c r="W13" s="98"/>
      <c r="X13" s="98"/>
      <c r="Y13" s="98"/>
      <c r="Z13" s="98"/>
      <c r="AA13" s="98"/>
      <c r="AB13" s="98"/>
      <c r="AC13" s="98">
        <v>0</v>
      </c>
      <c r="AD13" s="98">
        <v>0</v>
      </c>
      <c r="AE13" s="98">
        <v>0</v>
      </c>
      <c r="AF13" s="98">
        <v>0</v>
      </c>
      <c r="AG13" s="98">
        <v>0</v>
      </c>
      <c r="AH13" s="98">
        <v>0</v>
      </c>
      <c r="AI13" s="101">
        <f>SUM(W13:AH13)</f>
        <v>0</v>
      </c>
      <c r="AJ13" s="73"/>
      <c r="AK13" s="102"/>
    </row>
    <row r="14" ht="12.75" customHeight="1" spans="1:37" x14ac:dyDescent="0.25">
      <c r="A14" s="73" t="s">
        <v>399</v>
      </c>
      <c r="B14" s="73">
        <v>9600000062</v>
      </c>
      <c r="C14" s="95" t="s">
        <v>400</v>
      </c>
      <c r="D14" s="96">
        <f>SUM(F14:V14)+E14</f>
        <v>0</v>
      </c>
      <c r="E14" s="96">
        <v>0</v>
      </c>
      <c r="F14" s="98">
        <v>0</v>
      </c>
      <c r="G14" s="98">
        <v>0</v>
      </c>
      <c r="H14" s="98">
        <v>0</v>
      </c>
      <c r="I14" s="98">
        <v>0</v>
      </c>
      <c r="J14" s="98">
        <v>0</v>
      </c>
      <c r="K14" s="98">
        <v>0</v>
      </c>
      <c r="L14" s="98">
        <v>0</v>
      </c>
      <c r="M14" s="98">
        <v>0</v>
      </c>
      <c r="N14" s="98">
        <v>0</v>
      </c>
      <c r="O14" s="98">
        <v>0</v>
      </c>
      <c r="P14" s="98">
        <v>0</v>
      </c>
      <c r="Q14" s="98">
        <v>0</v>
      </c>
      <c r="R14" s="98"/>
      <c r="S14" s="98"/>
      <c r="T14" s="98">
        <v>0</v>
      </c>
      <c r="U14" s="98"/>
      <c r="V14" s="98">
        <v>0</v>
      </c>
      <c r="W14" s="98"/>
      <c r="X14" s="98"/>
      <c r="Y14" s="98"/>
      <c r="Z14" s="98"/>
      <c r="AA14" s="98"/>
      <c r="AB14" s="98"/>
      <c r="AC14" s="98">
        <v>0</v>
      </c>
      <c r="AD14" s="98">
        <v>0</v>
      </c>
      <c r="AE14" s="98">
        <v>0</v>
      </c>
      <c r="AF14" s="98">
        <v>0</v>
      </c>
      <c r="AG14" s="98">
        <v>0</v>
      </c>
      <c r="AH14" s="98">
        <v>0</v>
      </c>
      <c r="AI14" s="101">
        <f>SUM(W14:AH14)</f>
        <v>0</v>
      </c>
      <c r="AJ14" s="73"/>
      <c r="AK14" s="102"/>
    </row>
    <row r="15" ht="12.75" customHeight="1" spans="1:37" x14ac:dyDescent="0.25">
      <c r="A15" s="73" t="s">
        <v>401</v>
      </c>
      <c r="B15" s="73">
        <v>9600000062</v>
      </c>
      <c r="C15" s="95" t="s">
        <v>402</v>
      </c>
      <c r="D15" s="96">
        <f>SUM(F15:V15)+E15</f>
        <v>21.03</v>
      </c>
      <c r="E15" s="96">
        <f>'Sumas y Saldos'!D153+'Sumas y Saldos'!D201+'Sumas y Saldos'!D44+'Sumas y Saldos'!G153+'Sumas y Saldos'!G201+'Sumas y Saldos'!G44+'Sumas y Saldos'!J153+'Sumas y Saldos'!J201+'Sumas y Saldos'!J44+'Sumas y Saldos'!P153+'Sumas y Saldos'!P201+'Sumas y Saldos'!P44+'Sumas y Saldos'!Y153+'Sumas y Saldos'!Y201+'Sumas y Saldos'!Y44+'Sumas y Saldos'!AB153+'Sumas y Saldos'!AB201+'Sumas y Saldos'!AB44+'Sumas y Saldos'!AE153+'Sumas y Saldos'!AE201+'Sumas y Saldos'!AE44+'Sumas y Saldos'!V153+'Sumas y Saldos'!V201+'Sumas y Saldos'!V44+'Sumas y Saldos'!S153+'Sumas y Saldos'!S201+'Sumas y Saldos'!S44+'Sumas y Saldos'!AH153+'Sumas y Saldos'!AH201+'Sumas y Saldos'!AH44+'Sumas y Saldos'!AN153+'Sumas y Saldos'!AN201+'Sumas y Saldos'!AN44+'Sumas y Saldos'!AK153+'Sumas y Saldos'!AK201+'Sumas y Saldos'!AK44+'Sumas y Saldos'!BC153+'Sumas y Saldos'!BC201+'Sumas y Saldos'!BL153+'Sumas y Saldos'!BO153+'Sumas y Saldos'!BO44</f>
      </c>
      <c r="F15" s="98">
        <f>'Sumas y Saldos'!E153+'Sumas y Saldos'!E201+'Sumas y Saldos'!E44</f>
      </c>
      <c r="G15" s="98">
        <f>'Sumas y Saldos'!H153+'Sumas y Saldos'!H201+'Sumas y Saldos'!H44</f>
      </c>
      <c r="H15" s="98">
        <f>'Sumas y Saldos'!K153+'Sumas y Saldos'!K201+'Sumas y Saldos'!K44</f>
      </c>
      <c r="I15" s="98">
        <f>'Sumas y Saldos'!Q153+'Sumas y Saldos'!Q201+'Sumas y Saldos'!Q44</f>
      </c>
      <c r="J15" s="98">
        <f>'Sumas y Saldos'!Z153+'Sumas y Saldos'!Z201+'Sumas y Saldos'!Z44</f>
      </c>
      <c r="K15" s="98">
        <f>'Sumas y Saldos'!AC153+'Sumas y Saldos'!AC201+'Sumas y Saldos'!AC44</f>
      </c>
      <c r="L15" s="98">
        <f>'Sumas y Saldos'!AF153+'Sumas y Saldos'!AF201+'Sumas y Saldos'!AF44</f>
      </c>
      <c r="M15" s="98">
        <f>'Sumas y Saldos'!W153+'Sumas y Saldos'!W201+'Sumas y Saldos'!W44</f>
      </c>
      <c r="N15" s="98">
        <f>'Sumas y Saldos'!T153+'Sumas y Saldos'!T201+'Sumas y Saldos'!T44</f>
      </c>
      <c r="O15" s="98">
        <f>'Sumas y Saldos'!AI153+'Sumas y Saldos'!AI201+'Sumas y Saldos'!AI44</f>
      </c>
      <c r="P15" s="98">
        <f>'Sumas y Saldos'!AO153+'Sumas y Saldos'!AO201+'Sumas y Saldos'!AO44</f>
      </c>
      <c r="Q15" s="98">
        <f>'Sumas y Saldos'!AL153+'Sumas y Saldos'!AL201+'Sumas y Saldos'!AL44</f>
      </c>
      <c r="R15" s="98"/>
      <c r="S15" s="98"/>
      <c r="T15" s="98">
        <f>'Sumas y Saldos'!BD153+'Sumas y Saldos'!BD201</f>
      </c>
      <c r="U15" s="98">
        <f>'Sumas y Saldos'!BM153</f>
      </c>
      <c r="V15" s="98">
        <f>+'Sumas y Saldos'!BP153+'Sumas y Saldos'!BP44</f>
      </c>
      <c r="W15" s="98"/>
      <c r="X15" s="98"/>
      <c r="Y15" s="98"/>
      <c r="Z15" s="98"/>
      <c r="AA15" s="98"/>
      <c r="AB15" s="98"/>
      <c r="AC15" s="98">
        <v>21.03</v>
      </c>
      <c r="AD15" s="98">
        <v>0</v>
      </c>
      <c r="AE15" s="98">
        <v>0</v>
      </c>
      <c r="AF15" s="98">
        <v>0</v>
      </c>
      <c r="AG15" s="98">
        <v>0</v>
      </c>
      <c r="AH15" s="98">
        <v>0</v>
      </c>
      <c r="AI15" s="101">
        <f>SUM(W15:AH15)</f>
        <v>21.03</v>
      </c>
      <c r="AJ15" s="73"/>
      <c r="AK15" s="102"/>
    </row>
    <row r="16" ht="12.75" customHeight="1" spans="1:37" x14ac:dyDescent="0.25">
      <c r="A16" s="73"/>
      <c r="B16" s="73"/>
      <c r="C16" s="95" t="s">
        <v>403</v>
      </c>
      <c r="D16" s="96">
        <f>SUM(F16:V16)+E16</f>
        <v>0</v>
      </c>
      <c r="E16" s="96">
        <v>0</v>
      </c>
      <c r="F16" s="98">
        <v>0</v>
      </c>
      <c r="G16" s="98">
        <v>0</v>
      </c>
      <c r="H16" s="98">
        <v>0</v>
      </c>
      <c r="I16" s="98">
        <v>0</v>
      </c>
      <c r="J16" s="98">
        <v>0</v>
      </c>
      <c r="K16" s="98">
        <v>0</v>
      </c>
      <c r="L16" s="98">
        <v>0</v>
      </c>
      <c r="M16" s="98">
        <v>0</v>
      </c>
      <c r="N16" s="98">
        <v>0</v>
      </c>
      <c r="O16" s="98">
        <v>0</v>
      </c>
      <c r="P16" s="98">
        <v>0</v>
      </c>
      <c r="Q16" s="98">
        <v>0</v>
      </c>
      <c r="R16" s="98"/>
      <c r="S16" s="98"/>
      <c r="T16" s="98">
        <v>0</v>
      </c>
      <c r="U16" s="98"/>
      <c r="V16" s="98"/>
      <c r="W16" s="98"/>
      <c r="X16" s="98"/>
      <c r="Y16" s="98"/>
      <c r="Z16" s="98"/>
      <c r="AA16" s="98"/>
      <c r="AB16" s="98"/>
      <c r="AC16" s="98">
        <v>0</v>
      </c>
      <c r="AD16" s="98">
        <v>0</v>
      </c>
      <c r="AE16" s="98">
        <v>0</v>
      </c>
      <c r="AF16" s="98">
        <v>0</v>
      </c>
      <c r="AG16" s="98">
        <v>0</v>
      </c>
      <c r="AH16" s="98">
        <v>0</v>
      </c>
      <c r="AI16" s="101">
        <f>SUM(W16:AH16)</f>
        <v>0</v>
      </c>
      <c r="AJ16" s="73"/>
      <c r="AK16" s="102"/>
    </row>
    <row r="17" ht="12.75" customHeight="1" spans="1:37" x14ac:dyDescent="0.25">
      <c r="A17" s="73" t="s">
        <v>404</v>
      </c>
      <c r="B17" s="73">
        <v>9600000062</v>
      </c>
      <c r="C17" s="95" t="s">
        <v>405</v>
      </c>
      <c r="D17" s="96">
        <f>SUM(F17:V17)+E17</f>
        <v>0</v>
      </c>
      <c r="E17" s="96">
        <f>'Sumas y Saldos'!D263+'Sumas y Saldos'!D296+'Sumas y Saldos'!D140+'Sumas y Saldos'!D180+'Sumas y Saldos'!D240+'Sumas y Saldos'!D62+'Sumas y Saldos'!D94+'Sumas y Saldos'!D237+'Sumas y Saldos'!D264+'Sumas y Saldos'!D297+'Sumas y Saldos'!G263+'Sumas y Saldos'!G296+'Sumas y Saldos'!G140+'Sumas y Saldos'!G180+'Sumas y Saldos'!G240+'Sumas y Saldos'!G62+'Sumas y Saldos'!G94+'Sumas y Saldos'!G237+'Sumas y Saldos'!G264+'Sumas y Saldos'!G297+'Sumas y Saldos'!J263+'Sumas y Saldos'!J296+'Sumas y Saldos'!J140+'Sumas y Saldos'!J180+'Sumas y Saldos'!J240+'Sumas y Saldos'!J62+'Sumas y Saldos'!J94+'Sumas y Saldos'!J237+'Sumas y Saldos'!J264+'Sumas y Saldos'!J297+'Sumas y Saldos'!P263+'Sumas y Saldos'!P296+'Sumas y Saldos'!P140+'Sumas y Saldos'!P180+'Sumas y Saldos'!P240+'Sumas y Saldos'!P62+'Sumas y Saldos'!P94+'Sumas y Saldos'!P237+'Sumas y Saldos'!P264+'Sumas y Saldos'!P297+'Sumas y Saldos'!Y263+'Sumas y Saldos'!Y296+'Sumas y Saldos'!Y140+'Sumas y Saldos'!Y180+'Sumas y Saldos'!Y240+'Sumas y Saldos'!Y62+'Sumas y Saldos'!Y94+'Sumas y Saldos'!Y237+'Sumas y Saldos'!Y264+'Sumas y Saldos'!Y297+'Sumas y Saldos'!AB263+'Sumas y Saldos'!AB296+'Sumas y Saldos'!AB140+'Sumas y Saldos'!AB180+'Sumas y Saldos'!AB240+'Sumas y Saldos'!AB62+'Sumas y Saldos'!AB94+'Sumas y Saldos'!AB237+'Sumas y Saldos'!AB264+'Sumas y Saldos'!AB297+'Sumas y Saldos'!AE263+'Sumas y Saldos'!AE296+'Sumas y Saldos'!AE140+'Sumas y Saldos'!AE180+'Sumas y Saldos'!AE240+'Sumas y Saldos'!AE62+'Sumas y Saldos'!AE94+'Sumas y Saldos'!AE237+'Sumas y Saldos'!AE264+'Sumas y Saldos'!AE297+'Sumas y Saldos'!V263+'Sumas y Saldos'!V296+'Sumas y Saldos'!V140+'Sumas y Saldos'!V180+'Sumas y Saldos'!V240+'Sumas y Saldos'!V62+'Sumas y Saldos'!V94+'Sumas y Saldos'!V237+'Sumas y Saldos'!V264+'Sumas y Saldos'!V297+'Sumas y Saldos'!S263+'Sumas y Saldos'!S296+'Sumas y Saldos'!S140+'Sumas y Saldos'!S180+'Sumas y Saldos'!S240+'Sumas y Saldos'!S62+'Sumas y Saldos'!S94+'Sumas y Saldos'!S237+'Sumas y Saldos'!S264+'Sumas y Saldos'!S297+'Sumas y Saldos'!AH263+'Sumas y Saldos'!AH296+'Sumas y Saldos'!AH140+'Sumas y Saldos'!AH180+'Sumas y Saldos'!AH240+'Sumas y Saldos'!AH62+'Sumas y Saldos'!AH94+'Sumas y Saldos'!AH237+'Sumas y Saldos'!AH264+'Sumas y Saldos'!AH297+'Sumas y Saldos'!AN263+'Sumas y Saldos'!AN296+'Sumas y Saldos'!AN140+'Sumas y Saldos'!AN180+'Sumas y Saldos'!AN240+'Sumas y Saldos'!AN62+'Sumas y Saldos'!AN94+'Sumas y Saldos'!AN237+'Sumas y Saldos'!AN264+'Sumas y Saldos'!AN297+'Sumas y Saldos'!AK263+'Sumas y Saldos'!AK296+'Sumas y Saldos'!AK140+'Sumas y Saldos'!AK180+'Sumas y Saldos'!AK240+'Sumas y Saldos'!AK62+'Sumas y Saldos'!AK94+'Sumas y Saldos'!AK237+'Sumas y Saldos'!AK264+'Sumas y Saldos'!AK297+'Sumas y Saldos'!BC140+'Sumas y Saldos'!BC180+'Sumas y Saldos'!BL140+'Sumas y Saldos'!BL240+'Sumas y Saldos'!BO94</f>
      </c>
      <c r="F17" s="98">
        <f>'Sumas y Saldos'!E263+'Sumas y Saldos'!E296+'Sumas y Saldos'!E140+'Sumas y Saldos'!E180+'Sumas y Saldos'!E240+'Sumas y Saldos'!E62+'Sumas y Saldos'!E94+'Sumas y Saldos'!E237+'Sumas y Saldos'!E264+'Sumas y Saldos'!E297</f>
      </c>
      <c r="G17" s="98">
        <f>'Sumas y Saldos'!H263+'Sumas y Saldos'!H296+'Sumas y Saldos'!H140+'Sumas y Saldos'!H180+'Sumas y Saldos'!H240+'Sumas y Saldos'!H62+'Sumas y Saldos'!H94+'Sumas y Saldos'!H237+'Sumas y Saldos'!H264+'Sumas y Saldos'!H297</f>
      </c>
      <c r="H17" s="98">
        <f>'Sumas y Saldos'!K263+'Sumas y Saldos'!K296+'Sumas y Saldos'!K140+'Sumas y Saldos'!K180+'Sumas y Saldos'!K240+'Sumas y Saldos'!K62+'Sumas y Saldos'!K94+'Sumas y Saldos'!K237+'Sumas y Saldos'!K264+'Sumas y Saldos'!K297</f>
      </c>
      <c r="I17" s="98">
        <f>'Sumas y Saldos'!Q263+'Sumas y Saldos'!Q296+'Sumas y Saldos'!Q140+'Sumas y Saldos'!Q180+'Sumas y Saldos'!Q240+'Sumas y Saldos'!Q62+'Sumas y Saldos'!Q94+'Sumas y Saldos'!Q237+'Sumas y Saldos'!Q264+'Sumas y Saldos'!Q297</f>
      </c>
      <c r="J17" s="98">
        <f>'Sumas y Saldos'!Z263+'Sumas y Saldos'!Z296+'Sumas y Saldos'!Z140+'Sumas y Saldos'!Z180+'Sumas y Saldos'!Z240+'Sumas y Saldos'!Z62+'Sumas y Saldos'!Z94+'Sumas y Saldos'!Z237+'Sumas y Saldos'!Z264+'Sumas y Saldos'!Z297</f>
      </c>
      <c r="K17" s="98">
        <f>'Sumas y Saldos'!AC263+'Sumas y Saldos'!AC296+'Sumas y Saldos'!AC140+'Sumas y Saldos'!AC180+'Sumas y Saldos'!AC240+'Sumas y Saldos'!AC62+'Sumas y Saldos'!AC94+'Sumas y Saldos'!AC237+'Sumas y Saldos'!AC264+'Sumas y Saldos'!AC297</f>
      </c>
      <c r="L17" s="98">
        <f>'Sumas y Saldos'!AF263+'Sumas y Saldos'!AF296+'Sumas y Saldos'!AF140+'Sumas y Saldos'!AF180+'Sumas y Saldos'!AF240+'Sumas y Saldos'!AF62+'Sumas y Saldos'!AF94+'Sumas y Saldos'!AF237+'Sumas y Saldos'!AF264+'Sumas y Saldos'!AF297</f>
      </c>
      <c r="M17" s="98">
        <f>'Sumas y Saldos'!W263+'Sumas y Saldos'!W296+'Sumas y Saldos'!W140+'Sumas y Saldos'!W180+'Sumas y Saldos'!W240+'Sumas y Saldos'!W62+'Sumas y Saldos'!W94+'Sumas y Saldos'!W237+'Sumas y Saldos'!W264+'Sumas y Saldos'!W297</f>
      </c>
      <c r="N17" s="98">
        <f>'Sumas y Saldos'!T263+'Sumas y Saldos'!T296+'Sumas y Saldos'!T140+'Sumas y Saldos'!T180+'Sumas y Saldos'!T240+'Sumas y Saldos'!T62+'Sumas y Saldos'!T94+'Sumas y Saldos'!T237+'Sumas y Saldos'!T264+'Sumas y Saldos'!T297</f>
      </c>
      <c r="O17" s="98">
        <f>'Sumas y Saldos'!AI263+'Sumas y Saldos'!AI296+'Sumas y Saldos'!AI140+'Sumas y Saldos'!AI180+'Sumas y Saldos'!AI240+'Sumas y Saldos'!AI62+'Sumas y Saldos'!AI94+'Sumas y Saldos'!AI237+'Sumas y Saldos'!AI264+'Sumas y Saldos'!AI297</f>
      </c>
      <c r="P17" s="98">
        <f>'Sumas y Saldos'!AO263+'Sumas y Saldos'!AO296+'Sumas y Saldos'!AO140+'Sumas y Saldos'!AO180+'Sumas y Saldos'!AO240+'Sumas y Saldos'!AO62+'Sumas y Saldos'!AO94+'Sumas y Saldos'!AO237+'Sumas y Saldos'!AO264+'Sumas y Saldos'!AO297</f>
      </c>
      <c r="Q17" s="98">
        <f>'Sumas y Saldos'!AL263+'Sumas y Saldos'!AL296+'Sumas y Saldos'!AL140+'Sumas y Saldos'!AL180+'Sumas y Saldos'!AL240+'Sumas y Saldos'!AL62+'Sumas y Saldos'!AL94+'Sumas y Saldos'!AL237+'Sumas y Saldos'!AL264+'Sumas y Saldos'!AL297</f>
      </c>
      <c r="R17" s="98">
        <v>0</v>
      </c>
      <c r="S17" s="98"/>
      <c r="T17" s="98">
        <f>'Sumas y Saldos'!BD140+'Sumas y Saldos'!BD180</f>
      </c>
      <c r="U17" s="98">
        <f>'Sumas y Saldos'!BM140+'Sumas y Saldos'!BM240</f>
      </c>
      <c r="V17" s="98">
        <f>'Sumas y Saldos'!BP94</f>
      </c>
      <c r="W17" s="98"/>
      <c r="X17" s="98"/>
      <c r="Y17" s="98"/>
      <c r="Z17" s="98"/>
      <c r="AA17" s="98"/>
      <c r="AB17" s="98"/>
      <c r="AC17" s="98">
        <v>0</v>
      </c>
      <c r="AD17" s="98">
        <v>21.79</v>
      </c>
      <c r="AE17" s="98">
        <v>270.41</v>
      </c>
      <c r="AF17" s="98">
        <v>96.91</v>
      </c>
      <c r="AG17" s="98">
        <v>22.16</v>
      </c>
      <c r="AH17" s="98">
        <v>0</v>
      </c>
      <c r="AI17" s="101">
        <f>SUM(W17:AH17)</f>
        <v>411.27000000000004</v>
      </c>
      <c r="AJ17" s="73"/>
      <c r="AK17" s="102"/>
    </row>
    <row r="18" ht="12.75" customHeight="1" spans="1:37" x14ac:dyDescent="0.25">
      <c r="A18" s="73" t="s">
        <v>406</v>
      </c>
      <c r="B18" s="73">
        <v>9600000062</v>
      </c>
      <c r="C18" s="95" t="s">
        <v>407</v>
      </c>
      <c r="D18" s="96">
        <f>SUM(F18:V18)+E18</f>
        <v>78.2</v>
      </c>
      <c r="E18" s="96">
        <f>'Sumas y Saldos'!D173+'Sumas y Saldos'!D119+'Sumas y Saldos'!D221+'Sumas y Saldos'!D43+'Sumas y Saldos'!D103+'Sumas y Saldos'!D254+'Sumas y Saldos'!D269+'Sumas y Saldos'!G173+'Sumas y Saldos'!G119+'Sumas y Saldos'!G221+'Sumas y Saldos'!G43+'Sumas y Saldos'!G103+'Sumas y Saldos'!G254+'Sumas y Saldos'!G269+'Sumas y Saldos'!J173+'Sumas y Saldos'!J119+'Sumas y Saldos'!J221+'Sumas y Saldos'!J43+'Sumas y Saldos'!J103+'Sumas y Saldos'!J254+'Sumas y Saldos'!J269+'Sumas y Saldos'!P173+'Sumas y Saldos'!P119+'Sumas y Saldos'!P221+'Sumas y Saldos'!P43+'Sumas y Saldos'!P103+'Sumas y Saldos'!P254+'Sumas y Saldos'!P269+'Sumas y Saldos'!Y173+'Sumas y Saldos'!Y119+'Sumas y Saldos'!Y221+'Sumas y Saldos'!Y43+'Sumas y Saldos'!Y103+'Sumas y Saldos'!Y254+'Sumas y Saldos'!Y269+'Sumas y Saldos'!AB173+'Sumas y Saldos'!AB119+'Sumas y Saldos'!AB221+'Sumas y Saldos'!AB43+'Sumas y Saldos'!AB103+'Sumas y Saldos'!AB254+'Sumas y Saldos'!AB269+'Sumas y Saldos'!AE173+'Sumas y Saldos'!AE119+'Sumas y Saldos'!AE221+'Sumas y Saldos'!AE43+'Sumas y Saldos'!AE103+'Sumas y Saldos'!AE254+'Sumas y Saldos'!AE269+'Sumas y Saldos'!V173+'Sumas y Saldos'!V119+'Sumas y Saldos'!V221+'Sumas y Saldos'!V43+'Sumas y Saldos'!V103+'Sumas y Saldos'!V254+'Sumas y Saldos'!V269+'Sumas y Saldos'!S173+'Sumas y Saldos'!S119+'Sumas y Saldos'!S221+'Sumas y Saldos'!S43+'Sumas y Saldos'!S103+'Sumas y Saldos'!S254+'Sumas y Saldos'!S269+'Sumas y Saldos'!AH173+'Sumas y Saldos'!AH119+'Sumas y Saldos'!AH221+'Sumas y Saldos'!AH43+'Sumas y Saldos'!AH103+'Sumas y Saldos'!AH254+'Sumas y Saldos'!AH269+'Sumas y Saldos'!AN173+'Sumas y Saldos'!AN119+'Sumas y Saldos'!AN221+'Sumas y Saldos'!AN43+'Sumas y Saldos'!AN103+'Sumas y Saldos'!AN254+'Sumas y Saldos'!AN269+'Sumas y Saldos'!AK173+'Sumas y Saldos'!AK119+'Sumas y Saldos'!AK221+'Sumas y Saldos'!AK43+'Sumas y Saldos'!AK103+'Sumas y Saldos'!AK254+'Sumas y Saldos'!AK269+'Sumas y Saldos'!BC173+'Sumas y Saldos'!BC119+'Sumas y Saldos'!BL173+'Sumas y Saldos'!BL221+'Sumas y Saldos'!BO173+'Sumas y Saldos'!BO221+'Sumas y Saldos'!BO103</f>
      </c>
      <c r="F18" s="98">
        <f>'Sumas y Saldos'!E173+'Sumas y Saldos'!E119+'Sumas y Saldos'!E221+'Sumas y Saldos'!E43+'Sumas y Saldos'!E103+'Sumas y Saldos'!E254+'Sumas y Saldos'!E269</f>
      </c>
      <c r="G18" s="98">
        <f>'Sumas y Saldos'!H173+'Sumas y Saldos'!H119+'Sumas y Saldos'!H221+'Sumas y Saldos'!H43+'Sumas y Saldos'!H103+'Sumas y Saldos'!H254+'Sumas y Saldos'!H269</f>
      </c>
      <c r="H18" s="98">
        <f>'Sumas y Saldos'!K173+'Sumas y Saldos'!K119+'Sumas y Saldos'!K221+'Sumas y Saldos'!K43+'Sumas y Saldos'!K103+'Sumas y Saldos'!K254+'Sumas y Saldos'!K269</f>
      </c>
      <c r="I18" s="98">
        <f>'Sumas y Saldos'!Q173+'Sumas y Saldos'!Q119+'Sumas y Saldos'!Q221+'Sumas y Saldos'!Q43+'Sumas y Saldos'!Q103+'Sumas y Saldos'!Q254+'Sumas y Saldos'!Q269</f>
      </c>
      <c r="J18" s="98">
        <f>'Sumas y Saldos'!Z173+'Sumas y Saldos'!Z119+'Sumas y Saldos'!Z221+'Sumas y Saldos'!Z43+'Sumas y Saldos'!Z103+'Sumas y Saldos'!Z254+'Sumas y Saldos'!Z269</f>
      </c>
      <c r="K18" s="98">
        <f>'Sumas y Saldos'!AC173+'Sumas y Saldos'!AC119+'Sumas y Saldos'!AC221+'Sumas y Saldos'!AC43+'Sumas y Saldos'!AC103+'Sumas y Saldos'!AC254+'Sumas y Saldos'!AC269</f>
      </c>
      <c r="L18" s="98">
        <f>'Sumas y Saldos'!AF173+'Sumas y Saldos'!AF119+'Sumas y Saldos'!AF221+'Sumas y Saldos'!AF43+'Sumas y Saldos'!AF103+'Sumas y Saldos'!AF254+'Sumas y Saldos'!AF269</f>
      </c>
      <c r="M18" s="98">
        <f>'Sumas y Saldos'!W173+'Sumas y Saldos'!W119+'Sumas y Saldos'!W221+'Sumas y Saldos'!W43+'Sumas y Saldos'!W103+'Sumas y Saldos'!W254+'Sumas y Saldos'!W269</f>
      </c>
      <c r="N18" s="98">
        <f>'Sumas y Saldos'!T173+'Sumas y Saldos'!T119+'Sumas y Saldos'!T221+'Sumas y Saldos'!T43+'Sumas y Saldos'!T103+'Sumas y Saldos'!T254+'Sumas y Saldos'!T269</f>
      </c>
      <c r="O18" s="98">
        <f>'Sumas y Saldos'!AI173+'Sumas y Saldos'!AI119+'Sumas y Saldos'!AI221+'Sumas y Saldos'!AI43+'Sumas y Saldos'!AI103+'Sumas y Saldos'!AI254+'Sumas y Saldos'!AI269</f>
      </c>
      <c r="P18" s="98">
        <f>'Sumas y Saldos'!AO173+'Sumas y Saldos'!AO119+'Sumas y Saldos'!AO221+'Sumas y Saldos'!AO43+'Sumas y Saldos'!AO103+'Sumas y Saldos'!AO254+'Sumas y Saldos'!AO269</f>
      </c>
      <c r="Q18" s="98">
        <f>'Sumas y Saldos'!AL173+'Sumas y Saldos'!AL119+'Sumas y Saldos'!AL221+'Sumas y Saldos'!AL43+'Sumas y Saldos'!AL103+'Sumas y Saldos'!AL254+'Sumas y Saldos'!AL269</f>
      </c>
      <c r="R18" s="98">
        <v>0</v>
      </c>
      <c r="S18" s="98">
        <v>0</v>
      </c>
      <c r="T18" s="98">
        <f>'Sumas y Saldos'!BD173+'Sumas y Saldos'!BD119</f>
      </c>
      <c r="U18" s="98">
        <f>'Sumas y Saldos'!BM173+'Sumas y Saldos'!BM221</f>
      </c>
      <c r="V18" s="98">
        <f>'Sumas y Saldos'!BP173+'Sumas y Saldos'!BP221+'Sumas y Saldos'!BP103</f>
      </c>
      <c r="W18" s="98"/>
      <c r="X18" s="98"/>
      <c r="Y18" s="98"/>
      <c r="Z18" s="98"/>
      <c r="AA18" s="98"/>
      <c r="AB18" s="98"/>
      <c r="AC18" s="98">
        <v>78.2</v>
      </c>
      <c r="AD18" s="98">
        <v>871.4100000000001</v>
      </c>
      <c r="AE18" s="98">
        <v>925.46</v>
      </c>
      <c r="AF18" s="98">
        <v>798.34</v>
      </c>
      <c r="AG18" s="98">
        <v>1059.48</v>
      </c>
      <c r="AH18" s="98">
        <v>1908.93</v>
      </c>
      <c r="AI18" s="101">
        <f>SUM(W18:AH18)</f>
        <v>5641.820000000001</v>
      </c>
      <c r="AJ18" s="73"/>
      <c r="AK18" s="102"/>
    </row>
    <row r="19" ht="12.75" customHeight="1" spans="1:37" x14ac:dyDescent="0.25">
      <c r="A19" s="73" t="s">
        <v>408</v>
      </c>
      <c r="B19" s="73">
        <v>9600000062</v>
      </c>
      <c r="C19" s="95" t="s">
        <v>409</v>
      </c>
      <c r="D19" s="96">
        <f>SUM(F19:V19)+E19</f>
      </c>
      <c r="E19" s="96">
        <f>'Sumas y Saldos'!D200+'Sumas y Saldos'!D145+'Sumas y Saldos'!D219+'Sumas y Saldos'!G200+'Sumas y Saldos'!G145+'Sumas y Saldos'!G219+'Sumas y Saldos'!J200+'Sumas y Saldos'!J145+'Sumas y Saldos'!J219+'Sumas y Saldos'!P200+'Sumas y Saldos'!P145+'Sumas y Saldos'!P219+'Sumas y Saldos'!Y200+'Sumas y Saldos'!Y145+'Sumas y Saldos'!Y219+'Sumas y Saldos'!AB200+'Sumas y Saldos'!AB145+'Sumas y Saldos'!AB219+'Sumas y Saldos'!AE200+'Sumas y Saldos'!AE145+'Sumas y Saldos'!AE219+'Sumas y Saldos'!V200+'Sumas y Saldos'!V145+'Sumas y Saldos'!V219+'Sumas y Saldos'!S200+'Sumas y Saldos'!S145+'Sumas y Saldos'!S219+'Sumas y Saldos'!AH200+'Sumas y Saldos'!AH145+'Sumas y Saldos'!AH219+'Sumas y Saldos'!AN200+'Sumas y Saldos'!AN145+'Sumas y Saldos'!AN219+'Sumas y Saldos'!AK200+'Sumas y Saldos'!AK145+'Sumas y Saldos'!AK219+'Sumas y Saldos'!BC200+'Sumas y Saldos'!BC145+'Sumas y Saldos'!BL200</f>
      </c>
      <c r="F19" s="98">
        <f>'Sumas y Saldos'!E200+'Sumas y Saldos'!E145+'Sumas y Saldos'!E219</f>
      </c>
      <c r="G19" s="98">
        <f>'Sumas y Saldos'!H200+'Sumas y Saldos'!H145+'Sumas y Saldos'!H219</f>
      </c>
      <c r="H19" s="98">
        <f>'Sumas y Saldos'!K200+'Sumas y Saldos'!K145+'Sumas y Saldos'!K219</f>
      </c>
      <c r="I19" s="98">
        <f>'Sumas y Saldos'!Q200+'Sumas y Saldos'!Q145+'Sumas y Saldos'!Q219</f>
      </c>
      <c r="J19" s="98">
        <f>'Sumas y Saldos'!Z200+'Sumas y Saldos'!Z145+'Sumas y Saldos'!Z219</f>
      </c>
      <c r="K19" s="98">
        <f>'Sumas y Saldos'!AC200+'Sumas y Saldos'!AC145+'Sumas y Saldos'!AC219</f>
      </c>
      <c r="L19" s="98">
        <f>'Sumas y Saldos'!AF200+'Sumas y Saldos'!AF145+'Sumas y Saldos'!AF219</f>
      </c>
      <c r="M19" s="98">
        <f>'Sumas y Saldos'!W200+'Sumas y Saldos'!W145+'Sumas y Saldos'!W219</f>
      </c>
      <c r="N19" s="98">
        <f>'Sumas y Saldos'!T200+'Sumas y Saldos'!T145+'Sumas y Saldos'!T219</f>
      </c>
      <c r="O19" s="98">
        <f>'Sumas y Saldos'!AI200+'Sumas y Saldos'!AI145+'Sumas y Saldos'!AI219</f>
      </c>
      <c r="P19" s="98">
        <f>'Sumas y Saldos'!AO200+'Sumas y Saldos'!AO145+'Sumas y Saldos'!AO219</f>
      </c>
      <c r="Q19" s="98">
        <f>'Sumas y Saldos'!AL200+'Sumas y Saldos'!AL145+'Sumas y Saldos'!AL219</f>
      </c>
      <c r="R19" s="98"/>
      <c r="S19" s="98"/>
      <c r="T19" s="98">
        <f>'Sumas y Saldos'!BD200+'Sumas y Saldos'!BD145</f>
      </c>
      <c r="U19" s="98">
        <f>+'Sumas y Saldos'!BM200</f>
      </c>
      <c r="V19" s="98"/>
      <c r="W19" s="98"/>
      <c r="X19" s="98"/>
      <c r="Y19" s="98"/>
      <c r="Z19" s="98"/>
      <c r="AA19" s="98"/>
      <c r="AB19" s="98"/>
      <c r="AC19" s="98">
        <v>0</v>
      </c>
      <c r="AD19" s="98">
        <v>0</v>
      </c>
      <c r="AE19" s="98">
        <v>0</v>
      </c>
      <c r="AF19" s="98">
        <v>0</v>
      </c>
      <c r="AG19" s="98">
        <v>0</v>
      </c>
      <c r="AH19" s="98">
        <v>130.73</v>
      </c>
      <c r="AI19" s="101">
        <f>SUM(W19:AH19)</f>
        <v>130.73</v>
      </c>
      <c r="AJ19" s="73"/>
      <c r="AK19" s="102"/>
    </row>
    <row r="20" ht="12.75" customHeight="1" spans="1:37" x14ac:dyDescent="0.25">
      <c r="A20" s="73" t="s">
        <v>410</v>
      </c>
      <c r="B20" s="73">
        <v>9600000062</v>
      </c>
      <c r="C20" s="95" t="s">
        <v>411</v>
      </c>
      <c r="D20" s="96">
        <f>SUM(F20:V20)+E20</f>
        <v>10178.220000000001</v>
      </c>
      <c r="E20" s="96">
        <f>'Sumas y Saldos'!D51+'Sumas y Saldos'!D258+'Sumas y Saldos'!D127+'Sumas y Saldos'!D181+'Sumas y Saldos'!D52+'Sumas y Saldos'!D86+'Sumas y Saldos'!D175+'Sumas y Saldos'!D230+'Sumas y Saldos'!D246+'Sumas y Saldos'!D118+'Sumas y Saldos'!D235+'Sumas y Saldos'!G51+'Sumas y Saldos'!G258+'Sumas y Saldos'!G127+'Sumas y Saldos'!G181+'Sumas y Saldos'!G52+'Sumas y Saldos'!G86+'Sumas y Saldos'!G175+'Sumas y Saldos'!G230+'Sumas y Saldos'!G246+'Sumas y Saldos'!G118+'Sumas y Saldos'!G235+'Sumas y Saldos'!J51+'Sumas y Saldos'!J258+'Sumas y Saldos'!J127+'Sumas y Saldos'!J181+'Sumas y Saldos'!J52+'Sumas y Saldos'!J86+'Sumas y Saldos'!J175+'Sumas y Saldos'!J230+'Sumas y Saldos'!J246+'Sumas y Saldos'!J118+'Sumas y Saldos'!J235+'Sumas y Saldos'!P51+'Sumas y Saldos'!P258+'Sumas y Saldos'!P127+'Sumas y Saldos'!P181+'Sumas y Saldos'!P52+'Sumas y Saldos'!P86+'Sumas y Saldos'!P175+'Sumas y Saldos'!P230+'Sumas y Saldos'!P246+'Sumas y Saldos'!P118+'Sumas y Saldos'!P235+'Sumas y Saldos'!Y51+'Sumas y Saldos'!Y258+'Sumas y Saldos'!Y127+'Sumas y Saldos'!Y181+'Sumas y Saldos'!Y52+'Sumas y Saldos'!Y86+'Sumas y Saldos'!Y175+'Sumas y Saldos'!Y230+'Sumas y Saldos'!Y246+'Sumas y Saldos'!Y118+'Sumas y Saldos'!Y235+'Sumas y Saldos'!AB51+'Sumas y Saldos'!AB258+'Sumas y Saldos'!AB127+'Sumas y Saldos'!AB181+'Sumas y Saldos'!AB52+'Sumas y Saldos'!AB86+'Sumas y Saldos'!AB175+'Sumas y Saldos'!AB230+'Sumas y Saldos'!AB246+'Sumas y Saldos'!AB118+'Sumas y Saldos'!AB235+'Sumas y Saldos'!AE51+'Sumas y Saldos'!AE258+'Sumas y Saldos'!AE127+'Sumas y Saldos'!AE181+'Sumas y Saldos'!AE52+'Sumas y Saldos'!AE86+'Sumas y Saldos'!AE175+'Sumas y Saldos'!AE230+'Sumas y Saldos'!AE246+'Sumas y Saldos'!AE118+'Sumas y Saldos'!AE235+'Sumas y Saldos'!V51+'Sumas y Saldos'!V258+'Sumas y Saldos'!V127+'Sumas y Saldos'!V181+'Sumas y Saldos'!V52+'Sumas y Saldos'!V86+'Sumas y Saldos'!V175+'Sumas y Saldos'!V230+'Sumas y Saldos'!V246+'Sumas y Saldos'!V118+'Sumas y Saldos'!V235+'Sumas y Saldos'!S51+'Sumas y Saldos'!S258+'Sumas y Saldos'!S127+'Sumas y Saldos'!S181+'Sumas y Saldos'!S52+'Sumas y Saldos'!S86+'Sumas y Saldos'!S175+'Sumas y Saldos'!S230+'Sumas y Saldos'!S246+'Sumas y Saldos'!S118+'Sumas y Saldos'!S235+'Sumas y Saldos'!AH51+'Sumas y Saldos'!AH258+'Sumas y Saldos'!AH127+'Sumas y Saldos'!AH181+'Sumas y Saldos'!AH52+'Sumas y Saldos'!AH86+'Sumas y Saldos'!AH175+'Sumas y Saldos'!AH230+'Sumas y Saldos'!AH246+'Sumas y Saldos'!AH118+'Sumas y Saldos'!AH235+'Sumas y Saldos'!AN51+'Sumas y Saldos'!AN258+'Sumas y Saldos'!AN127+'Sumas y Saldos'!AN181+'Sumas y Saldos'!AN52+'Sumas y Saldos'!AN86+'Sumas y Saldos'!AN175+'Sumas y Saldos'!AN230+'Sumas y Saldos'!AN246+'Sumas y Saldos'!AN118+'Sumas y Saldos'!AN235+'Sumas y Saldos'!AK51+'Sumas y Saldos'!AK258+'Sumas y Saldos'!AK127+'Sumas y Saldos'!AK181+'Sumas y Saldos'!AK52+'Sumas y Saldos'!AK86+'Sumas y Saldos'!AK175+'Sumas y Saldos'!AK230+'Sumas y Saldos'!AK246+'Sumas y Saldos'!AK118+'Sumas y Saldos'!AK235+'Sumas y Saldos'!BF127+'Sumas y Saldos'!BF181+'Sumas y Saldos'!BF175+'Sumas y Saldos'!BI127+'Sumas y Saldos'!BI181+'Sumas y Saldos'!BC127+'Sumas y Saldos'!BC181+'Sumas y Saldos'!BC175+'Sumas y Saldos'!BL127+'Sumas y Saldos'!BL181+'Sumas y Saldos'!BL86+'Sumas y Saldos'!BL175+'Sumas y Saldos'!BL230+'Sumas y Saldos'!BL246+'Sumas y Saldos'!BL118+'Sumas y Saldos'!BO127+'Sumas y Saldos'!BO181+'Sumas y Saldos'!BO51+'Sumas y Saldos'!BO52+'Sumas y Saldos'!BO86+'Sumas y Saldos'!BO230+'Sumas y Saldos'!BO246+'Sumas y Saldos'!BO118</f>
      </c>
      <c r="F20" s="98">
        <f>'Sumas y Saldos'!E51+'Sumas y Saldos'!E258+'Sumas y Saldos'!E127+'Sumas y Saldos'!E181+'Sumas y Saldos'!E52+'Sumas y Saldos'!E86+'Sumas y Saldos'!E175+'Sumas y Saldos'!E230+'Sumas y Saldos'!E246+'Sumas y Saldos'!E118+'Sumas y Saldos'!E235</f>
      </c>
      <c r="G20" s="98">
        <f>'Sumas y Saldos'!H51+'Sumas y Saldos'!H258+'Sumas y Saldos'!H127+'Sumas y Saldos'!H181+'Sumas y Saldos'!H52+'Sumas y Saldos'!H86+'Sumas y Saldos'!H175+'Sumas y Saldos'!H230+'Sumas y Saldos'!H246+'Sumas y Saldos'!H118+'Sumas y Saldos'!H235</f>
      </c>
      <c r="H20" s="98">
        <f>'Sumas y Saldos'!K51+'Sumas y Saldos'!K258+'Sumas y Saldos'!K127+'Sumas y Saldos'!K181+'Sumas y Saldos'!K52+'Sumas y Saldos'!K86+'Sumas y Saldos'!K175+'Sumas y Saldos'!K230+'Sumas y Saldos'!K246+'Sumas y Saldos'!K118+'Sumas y Saldos'!K235</f>
      </c>
      <c r="I20" s="98">
        <f>'Sumas y Saldos'!Q51+'Sumas y Saldos'!Q258+'Sumas y Saldos'!Q127+'Sumas y Saldos'!Q181+'Sumas y Saldos'!Q52+'Sumas y Saldos'!Q86+'Sumas y Saldos'!Q175+'Sumas y Saldos'!Q230+'Sumas y Saldos'!Q246+'Sumas y Saldos'!Q118+'Sumas y Saldos'!Q235</f>
      </c>
      <c r="J20" s="98">
        <f>'Sumas y Saldos'!Z51+'Sumas y Saldos'!Z258+'Sumas y Saldos'!Z127+'Sumas y Saldos'!Z181+'Sumas y Saldos'!Z52+'Sumas y Saldos'!Z86+'Sumas y Saldos'!Z175+'Sumas y Saldos'!Z230+'Sumas y Saldos'!Z246+'Sumas y Saldos'!Z118+'Sumas y Saldos'!Z235</f>
      </c>
      <c r="K20" s="98">
        <f>'Sumas y Saldos'!AC51+'Sumas y Saldos'!AC258+'Sumas y Saldos'!AC127+'Sumas y Saldos'!AC181+'Sumas y Saldos'!AC52+'Sumas y Saldos'!AC86+'Sumas y Saldos'!AC175+'Sumas y Saldos'!AC230+'Sumas y Saldos'!AC246+'Sumas y Saldos'!AC118+'Sumas y Saldos'!AC235</f>
      </c>
      <c r="L20" s="98">
        <f>'Sumas y Saldos'!AF51+'Sumas y Saldos'!AF258+'Sumas y Saldos'!AF127+'Sumas y Saldos'!AF181+'Sumas y Saldos'!AF52+'Sumas y Saldos'!AF86+'Sumas y Saldos'!AF175+'Sumas y Saldos'!AF230+'Sumas y Saldos'!AF246+'Sumas y Saldos'!AF118+'Sumas y Saldos'!AF235</f>
      </c>
      <c r="M20" s="98">
        <f>'Sumas y Saldos'!W51+'Sumas y Saldos'!W258+'Sumas y Saldos'!W127+'Sumas y Saldos'!W181+'Sumas y Saldos'!W52+'Sumas y Saldos'!W86+'Sumas y Saldos'!W175+'Sumas y Saldos'!W230+'Sumas y Saldos'!W246+'Sumas y Saldos'!W118+'Sumas y Saldos'!W235</f>
      </c>
      <c r="N20" s="98">
        <f>'Sumas y Saldos'!T51+'Sumas y Saldos'!T258+'Sumas y Saldos'!T127+'Sumas y Saldos'!T181+'Sumas y Saldos'!T52+'Sumas y Saldos'!T86+'Sumas y Saldos'!T175+'Sumas y Saldos'!T230+'Sumas y Saldos'!T246+'Sumas y Saldos'!T118+'Sumas y Saldos'!T235</f>
      </c>
      <c r="O20" s="98">
        <f>'Sumas y Saldos'!AI51+'Sumas y Saldos'!AI258+'Sumas y Saldos'!AI127+'Sumas y Saldos'!AI181+'Sumas y Saldos'!AI52+'Sumas y Saldos'!AI86+'Sumas y Saldos'!AI175+'Sumas y Saldos'!AI230+'Sumas y Saldos'!AI246+'Sumas y Saldos'!AI118+'Sumas y Saldos'!AI235</f>
      </c>
      <c r="P20" s="98">
        <f>'Sumas y Saldos'!AO51+'Sumas y Saldos'!AO258+'Sumas y Saldos'!AO127+'Sumas y Saldos'!AO181+'Sumas y Saldos'!AO52+'Sumas y Saldos'!AO86+'Sumas y Saldos'!AO175+'Sumas y Saldos'!AO230+'Sumas y Saldos'!AO246+'Sumas y Saldos'!AO118+'Sumas y Saldos'!AO235</f>
      </c>
      <c r="Q20" s="98">
        <f>'Sumas y Saldos'!AL51+'Sumas y Saldos'!AL258+'Sumas y Saldos'!AL127+'Sumas y Saldos'!AL181+'Sumas y Saldos'!AL52+'Sumas y Saldos'!AL86+'Sumas y Saldos'!AL175+'Sumas y Saldos'!AL230+'Sumas y Saldos'!AL246+'Sumas y Saldos'!AL118+'Sumas y Saldos'!AL235</f>
      </c>
      <c r="R20" s="98">
        <f>+'Sumas y Saldos'!BE127+'Sumas y Saldos'!BE181+'Sumas y Saldos'!BE175</f>
      </c>
      <c r="S20" s="98">
        <f>+'Sumas y Saldos'!BF127+'Sumas y Saldos'!BF181</f>
      </c>
      <c r="T20" s="98">
        <f>'Sumas y Saldos'!BD127+'Sumas y Saldos'!BD181+'Sumas y Saldos'!BD175</f>
      </c>
      <c r="U20" s="98">
        <f>'Sumas y Saldos'!BM127+'Sumas y Saldos'!BM181+'Sumas y Saldos'!BM86+'Sumas y Saldos'!BM175+'Sumas y Saldos'!BM230+'Sumas y Saldos'!BM246+'Sumas y Saldos'!BM118</f>
      </c>
      <c r="V20" s="98">
        <f>'Sumas y Saldos'!BN127+'Sumas y Saldos'!BP181+'Sumas y Saldos'!BP51+'Sumas y Saldos'!BP52+'Sumas y Saldos'!BP86+'Sumas y Saldos'!BP230+'Sumas y Saldos'!BP246+'Sumas y Saldos'!BP118</f>
      </c>
      <c r="W20" s="98"/>
      <c r="X20" s="98"/>
      <c r="Y20" s="98"/>
      <c r="Z20" s="98"/>
      <c r="AA20" s="98"/>
      <c r="AB20" s="98"/>
      <c r="AC20" s="98">
        <v>10178.220000000001</v>
      </c>
      <c r="AD20" s="98">
        <v>1955.8000000000002</v>
      </c>
      <c r="AE20" s="98">
        <v>959.86</v>
      </c>
      <c r="AF20" s="98">
        <v>5943.76</v>
      </c>
      <c r="AG20" s="98">
        <v>64.57</v>
      </c>
      <c r="AH20" s="98">
        <v>618.82</v>
      </c>
      <c r="AI20" s="101">
        <f>SUM(W20:AH20)</f>
        <v>19721.03</v>
      </c>
      <c r="AJ20" s="73"/>
      <c r="AK20" s="102"/>
    </row>
    <row r="21" ht="12.75" customHeight="1" spans="1:37" x14ac:dyDescent="0.25">
      <c r="A21" s="73"/>
      <c r="B21" s="73"/>
      <c r="C21" s="95" t="s">
        <v>412</v>
      </c>
      <c r="D21" s="96">
        <f>SUM(F21:V21)+E21</f>
        <v>490.88</v>
      </c>
      <c r="E21" s="96">
        <f>'Sumas y Saldos'!D184+'Sumas y Saldos'!D123+'Sumas y Saldos'!D90+'Sumas y Saldos'!D218+'Sumas y Saldos'!D66+'Sumas y Saldos'!G184+'Sumas y Saldos'!G123+'Sumas y Saldos'!G90+'Sumas y Saldos'!G218+'Sumas y Saldos'!G66+'Sumas y Saldos'!J184+'Sumas y Saldos'!J123+'Sumas y Saldos'!J90+'Sumas y Saldos'!J218+'Sumas y Saldos'!J66+'Sumas y Saldos'!P184+'Sumas y Saldos'!P123+'Sumas y Saldos'!P90+'Sumas y Saldos'!P218+'Sumas y Saldos'!P66+'Sumas y Saldos'!Y184+'Sumas y Saldos'!Y123+'Sumas y Saldos'!Y90+'Sumas y Saldos'!Y218+'Sumas y Saldos'!Y66+'Sumas y Saldos'!AB184+'Sumas y Saldos'!AB123+'Sumas y Saldos'!AB90+'Sumas y Saldos'!AB218+'Sumas y Saldos'!AB66+'Sumas y Saldos'!AE184+'Sumas y Saldos'!AE123+'Sumas y Saldos'!AE90+'Sumas y Saldos'!AE218+'Sumas y Saldos'!AE66+'Sumas y Saldos'!V184+'Sumas y Saldos'!V123+'Sumas y Saldos'!V90+'Sumas y Saldos'!V218+'Sumas y Saldos'!V66+'Sumas y Saldos'!S184+'Sumas y Saldos'!S123+'Sumas y Saldos'!S90+'Sumas y Saldos'!S218+'Sumas y Saldos'!S66+'Sumas y Saldos'!AH184+'Sumas y Saldos'!AH123+'Sumas y Saldos'!AH90+'Sumas y Saldos'!AH218+'Sumas y Saldos'!AH66+'Sumas y Saldos'!AN184+'Sumas y Saldos'!AN123+'Sumas y Saldos'!AN90+'Sumas y Saldos'!AN218+'Sumas y Saldos'!AN66+'Sumas y Saldos'!AK184+'Sumas y Saldos'!AK123+'Sumas y Saldos'!AK90+'Sumas y Saldos'!AK218+'Sumas y Saldos'!AK66+'Sumas y Saldos'!BC184+'Sumas y Saldos'!BC123+'Sumas y Saldos'!BL184+'Sumas y Saldos'!BL123+'Sumas y Saldos'!BL218+'Sumas y Saldos'!BO184+'Sumas y Saldos'!BO123+'Sumas y Saldos'!BO90+'Sumas y Saldos'!BO218</f>
      </c>
      <c r="F21" s="98">
        <f>'Sumas y Saldos'!E184+'Sumas y Saldos'!E123+'Sumas y Saldos'!E90+'Sumas y Saldos'!E218+'Sumas y Saldos'!E66</f>
      </c>
      <c r="G21" s="98">
        <f>'Sumas y Saldos'!H184+'Sumas y Saldos'!H123+'Sumas y Saldos'!H90+'Sumas y Saldos'!H218+'Sumas y Saldos'!H66</f>
      </c>
      <c r="H21" s="98">
        <f>'Sumas y Saldos'!K184+'Sumas y Saldos'!K123+'Sumas y Saldos'!K90+'Sumas y Saldos'!K218+'Sumas y Saldos'!K66</f>
      </c>
      <c r="I21" s="98">
        <f>'Sumas y Saldos'!Q184+'Sumas y Saldos'!Q123+'Sumas y Saldos'!Q90+'Sumas y Saldos'!Q218+'Sumas y Saldos'!Q66</f>
      </c>
      <c r="J21" s="98">
        <f>'Sumas y Saldos'!Z184+'Sumas y Saldos'!Z123+'Sumas y Saldos'!Z90+'Sumas y Saldos'!Z218+'Sumas y Saldos'!Z66</f>
      </c>
      <c r="K21" s="98">
        <f>'Sumas y Saldos'!AC184+'Sumas y Saldos'!AC123+'Sumas y Saldos'!AC90+'Sumas y Saldos'!AC218+'Sumas y Saldos'!AC66</f>
      </c>
      <c r="L21" s="98">
        <f>'Sumas y Saldos'!AF184+'Sumas y Saldos'!AF123+'Sumas y Saldos'!AF90+'Sumas y Saldos'!AF218+'Sumas y Saldos'!AF66</f>
      </c>
      <c r="M21" s="98">
        <f>'Sumas y Saldos'!W184+'Sumas y Saldos'!W123+'Sumas y Saldos'!W90+'Sumas y Saldos'!W218+'Sumas y Saldos'!W66</f>
      </c>
      <c r="N21" s="98">
        <f>'Sumas y Saldos'!T184+'Sumas y Saldos'!T123+'Sumas y Saldos'!T90+'Sumas y Saldos'!T218+'Sumas y Saldos'!T66</f>
      </c>
      <c r="O21" s="98">
        <f>'Sumas y Saldos'!AI184+'Sumas y Saldos'!AI123+'Sumas y Saldos'!AI90+'Sumas y Saldos'!AI218+'Sumas y Saldos'!AI66</f>
      </c>
      <c r="P21" s="98">
        <f>'Sumas y Saldos'!AO184+'Sumas y Saldos'!AO123+'Sumas y Saldos'!AO90+'Sumas y Saldos'!AO218+'Sumas y Saldos'!AO66</f>
      </c>
      <c r="Q21" s="98">
        <f>'Sumas y Saldos'!AL184+'Sumas y Saldos'!AL123+'Sumas y Saldos'!AL90+'Sumas y Saldos'!AL218+'Sumas y Saldos'!AL66</f>
      </c>
      <c r="R21" s="98">
        <v>0</v>
      </c>
      <c r="S21" s="98">
        <v>0</v>
      </c>
      <c r="T21" s="98">
        <f>'Sumas y Saldos'!BD184+'Sumas y Saldos'!BD123</f>
      </c>
      <c r="U21" s="98">
        <f>'Sumas y Saldos'!BM184+'Sumas y Saldos'!BM123+'Sumas y Saldos'!BM218</f>
      </c>
      <c r="V21" s="98">
        <f>'Sumas y Saldos'!BN184+'Sumas y Saldos'!BP123+'Sumas y Saldos'!BP90+'Sumas y Saldos'!BP218</f>
      </c>
      <c r="W21" s="98"/>
      <c r="X21" s="98"/>
      <c r="Y21" s="98"/>
      <c r="Z21" s="98"/>
      <c r="AA21" s="98"/>
      <c r="AB21" s="98"/>
      <c r="AC21" s="98">
        <v>490.88</v>
      </c>
      <c r="AD21" s="98">
        <v>608.97</v>
      </c>
      <c r="AE21" s="98">
        <v>401.72</v>
      </c>
      <c r="AF21" s="98">
        <v>739.17</v>
      </c>
      <c r="AG21" s="98">
        <v>0</v>
      </c>
      <c r="AH21" s="98">
        <v>0</v>
      </c>
      <c r="AI21" s="101">
        <f>SUM(W21:AH21)</f>
        <v>2240.74</v>
      </c>
      <c r="AJ21" s="73"/>
      <c r="AK21" s="102"/>
    </row>
    <row r="22" ht="12.75" customHeight="1" spans="1:37" x14ac:dyDescent="0.25">
      <c r="A22" s="73"/>
      <c r="B22" s="73"/>
      <c r="C22" s="95" t="s">
        <v>413</v>
      </c>
      <c r="D22" s="96">
        <f>SUM(F22:V22)+E22</f>
      </c>
      <c r="E22" s="96">
        <f>'Sumas y Saldos'!D56+'Sumas y Saldos'!D160+'Sumas y Saldos'!D289+'Sumas y Saldos'!G56+'Sumas y Saldos'!G160+'Sumas y Saldos'!G289+'Sumas y Saldos'!J56+'Sumas y Saldos'!J160+'Sumas y Saldos'!J289+'Sumas y Saldos'!P56+'Sumas y Saldos'!P160+'Sumas y Saldos'!P289+'Sumas y Saldos'!Y56+'Sumas y Saldos'!Y160+'Sumas y Saldos'!Y289+'Sumas y Saldos'!AB56+'Sumas y Saldos'!AB160+'Sumas y Saldos'!AB289+'Sumas y Saldos'!AE56+'Sumas y Saldos'!AE160+'Sumas y Saldos'!AE289+'Sumas y Saldos'!V56+'Sumas y Saldos'!V160+'Sumas y Saldos'!V289+'Sumas y Saldos'!S56+'Sumas y Saldos'!S160+'Sumas y Saldos'!S289+'Sumas y Saldos'!AH56+'Sumas y Saldos'!AH160+'Sumas y Saldos'!AH289+'Sumas y Saldos'!AN56+'Sumas y Saldos'!AN160+'Sumas y Saldos'!AN289+'Sumas y Saldos'!AK56+'Sumas y Saldos'!AK160+'Sumas y Saldos'!AK289+'Sumas y Saldos'!BC160+'Sumas y Saldos'!BO56</f>
      </c>
      <c r="F22" s="98">
        <f>'Sumas y Saldos'!E56+'Sumas y Saldos'!E160+'Sumas y Saldos'!E289</f>
      </c>
      <c r="G22" s="98">
        <f>'Sumas y Saldos'!H56+'Sumas y Saldos'!H160+'Sumas y Saldos'!H289</f>
      </c>
      <c r="H22" s="98">
        <f>'Sumas y Saldos'!K56+'Sumas y Saldos'!K160+'Sumas y Saldos'!K289</f>
      </c>
      <c r="I22" s="98">
        <f>'Sumas y Saldos'!Q56+'Sumas y Saldos'!Q160+'Sumas y Saldos'!Q289</f>
      </c>
      <c r="J22" s="98">
        <f>'Sumas y Saldos'!Z56+'Sumas y Saldos'!Z160+'Sumas y Saldos'!Z289</f>
      </c>
      <c r="K22" s="98">
        <f>'Sumas y Saldos'!AC56+'Sumas y Saldos'!AC160+'Sumas y Saldos'!AC289</f>
      </c>
      <c r="L22" s="98">
        <f>'Sumas y Saldos'!AF56+'Sumas y Saldos'!AF160+'Sumas y Saldos'!AF289</f>
      </c>
      <c r="M22" s="98">
        <f>'Sumas y Saldos'!W56+'Sumas y Saldos'!W160+'Sumas y Saldos'!W289</f>
      </c>
      <c r="N22" s="98">
        <f>'Sumas y Saldos'!T56+'Sumas y Saldos'!T160+'Sumas y Saldos'!T289</f>
      </c>
      <c r="O22" s="98">
        <f>'Sumas y Saldos'!AI56+'Sumas y Saldos'!AI160+'Sumas y Saldos'!AI289</f>
      </c>
      <c r="P22" s="98">
        <f>'Sumas y Saldos'!AO56+'Sumas y Saldos'!AO160+'Sumas y Saldos'!AO289</f>
      </c>
      <c r="Q22" s="98">
        <f>'Sumas y Saldos'!AL56+'Sumas y Saldos'!AL160+'Sumas y Saldos'!AL289</f>
      </c>
      <c r="R22" s="98"/>
      <c r="S22" s="98"/>
      <c r="T22" s="98">
        <f>+'Sumas y Saldos'!BD160</f>
      </c>
      <c r="U22" s="98"/>
      <c r="V22" s="98">
        <f>+'Sumas y Saldos'!BP56</f>
      </c>
      <c r="W22" s="98"/>
      <c r="X22" s="98"/>
      <c r="Y22" s="98"/>
      <c r="Z22" s="98"/>
      <c r="AA22" s="98"/>
      <c r="AB22" s="98"/>
      <c r="AC22" s="98">
        <v>0</v>
      </c>
      <c r="AD22" s="98">
        <v>0</v>
      </c>
      <c r="AE22" s="98">
        <v>0</v>
      </c>
      <c r="AF22" s="98">
        <v>0</v>
      </c>
      <c r="AG22" s="98">
        <v>0</v>
      </c>
      <c r="AH22" s="98">
        <v>0</v>
      </c>
      <c r="AI22" s="101">
        <f>SUM(W22:AH22)</f>
      </c>
      <c r="AJ22" s="73"/>
      <c r="AK22" s="102"/>
    </row>
    <row r="23" ht="12.75" customHeight="1" spans="1:37" x14ac:dyDescent="0.25">
      <c r="A23" s="73" t="s">
        <v>414</v>
      </c>
      <c r="B23" s="73">
        <v>9600000062</v>
      </c>
      <c r="C23" s="95" t="s">
        <v>415</v>
      </c>
      <c r="D23" s="96">
        <f>SUM(F23:V23)+E23</f>
        <v>541.29</v>
      </c>
      <c r="E23" s="96">
        <f>'Sumas y Saldos'!D194+'Sumas y Saldos'!D195+'Sumas y Saldos'!D124+'Sumas y Saldos'!D67+'Sumas y Saldos'!D229+'Sumas y Saldos'!D96+'Sumas y Saldos'!D251+'Sumas y Saldos'!D282+'Sumas y Saldos'!G194+'Sumas y Saldos'!G195+'Sumas y Saldos'!G124+'Sumas y Saldos'!G67+'Sumas y Saldos'!G229+'Sumas y Saldos'!G96+'Sumas y Saldos'!G251+'Sumas y Saldos'!G282+'Sumas y Saldos'!J194+'Sumas y Saldos'!J195+'Sumas y Saldos'!J124+'Sumas y Saldos'!J67+'Sumas y Saldos'!J229+'Sumas y Saldos'!J96+'Sumas y Saldos'!J251+'Sumas y Saldos'!J282+'Sumas y Saldos'!P194+'Sumas y Saldos'!P195+'Sumas y Saldos'!P124+'Sumas y Saldos'!P67+'Sumas y Saldos'!P229+'Sumas y Saldos'!P96+'Sumas y Saldos'!P251+'Sumas y Saldos'!P282+'Sumas y Saldos'!Y194+'Sumas y Saldos'!Y195+'Sumas y Saldos'!Y124+'Sumas y Saldos'!Y67+'Sumas y Saldos'!Y229+'Sumas y Saldos'!Y96+'Sumas y Saldos'!Y251+'Sumas y Saldos'!Y282+'Sumas y Saldos'!AB194+'Sumas y Saldos'!AB195+'Sumas y Saldos'!AB124+'Sumas y Saldos'!AB67+'Sumas y Saldos'!AB229+'Sumas y Saldos'!AB96+'Sumas y Saldos'!AB251+'Sumas y Saldos'!AB282+'Sumas y Saldos'!AE194+'Sumas y Saldos'!AE195+'Sumas y Saldos'!AE124+'Sumas y Saldos'!AE67+'Sumas y Saldos'!AE229+'Sumas y Saldos'!AE96+'Sumas y Saldos'!AE251+'Sumas y Saldos'!AE282+'Sumas y Saldos'!V194+'Sumas y Saldos'!V195+'Sumas y Saldos'!V124+'Sumas y Saldos'!V67+'Sumas y Saldos'!V229+'Sumas y Saldos'!V96+'Sumas y Saldos'!V251+'Sumas y Saldos'!V282+'Sumas y Saldos'!S194+'Sumas y Saldos'!S195+'Sumas y Saldos'!S124+'Sumas y Saldos'!S67+'Sumas y Saldos'!S229+'Sumas y Saldos'!S96+'Sumas y Saldos'!S251+'Sumas y Saldos'!S282+'Sumas y Saldos'!AH194+'Sumas y Saldos'!AH195+'Sumas y Saldos'!AH124+'Sumas y Saldos'!AH67+'Sumas y Saldos'!AH229+'Sumas y Saldos'!AH96+'Sumas y Saldos'!AH251+'Sumas y Saldos'!AH282+'Sumas y Saldos'!AN194+'Sumas y Saldos'!AN195+'Sumas y Saldos'!AN124+'Sumas y Saldos'!AN67+'Sumas y Saldos'!AN229+'Sumas y Saldos'!AN96+'Sumas y Saldos'!AN251+'Sumas y Saldos'!AN282+'Sumas y Saldos'!AK194+'Sumas y Saldos'!AK195+'Sumas y Saldos'!AK124+'Sumas y Saldos'!AK67+'Sumas y Saldos'!AK229+'Sumas y Saldos'!AK96+'Sumas y Saldos'!AK251+'Sumas y Saldos'!AK282+'Sumas y Saldos'!BC195+'Sumas y Saldos'!BC194+'Sumas y Saldos'!BC124+'Sumas y Saldos'!BL195+'Sumas y Saldos'!BL194+'Sumas y Saldos'!BL229+'Sumas y Saldos'!BO195+'Sumas y Saldos'!BO67+'Sumas y Saldos'!BO96</f>
      </c>
      <c r="F23" s="98">
        <f>'Sumas y Saldos'!E194+'Sumas y Saldos'!E195+'Sumas y Saldos'!E124+'Sumas y Saldos'!E67+'Sumas y Saldos'!E229+'Sumas y Saldos'!E96+'Sumas y Saldos'!E251+'Sumas y Saldos'!E282</f>
      </c>
      <c r="G23" s="98">
        <f>'Sumas y Saldos'!H194+'Sumas y Saldos'!H195+'Sumas y Saldos'!H124+'Sumas y Saldos'!H67+'Sumas y Saldos'!H229+'Sumas y Saldos'!H96+'Sumas y Saldos'!H251+'Sumas y Saldos'!H282</f>
      </c>
      <c r="H23" s="98">
        <f>'Sumas y Saldos'!K194+'Sumas y Saldos'!K195+'Sumas y Saldos'!K124+'Sumas y Saldos'!K67+'Sumas y Saldos'!K229+'Sumas y Saldos'!K96+'Sumas y Saldos'!K251+'Sumas y Saldos'!K282</f>
      </c>
      <c r="I23" s="98">
        <f>'Sumas y Saldos'!Q194+'Sumas y Saldos'!Q195+'Sumas y Saldos'!Q124+'Sumas y Saldos'!Q67+'Sumas y Saldos'!Q229+'Sumas y Saldos'!Q96+'Sumas y Saldos'!Q251+'Sumas y Saldos'!Q282</f>
      </c>
      <c r="J23" s="98">
        <f>'Sumas y Saldos'!Z194+'Sumas y Saldos'!Z195+'Sumas y Saldos'!Z124+'Sumas y Saldos'!Z67+'Sumas y Saldos'!Z229+'Sumas y Saldos'!Z96+'Sumas y Saldos'!Z251+'Sumas y Saldos'!Z282</f>
      </c>
      <c r="K23" s="98">
        <f>'Sumas y Saldos'!AC194+'Sumas y Saldos'!AC195+'Sumas y Saldos'!AC124+'Sumas y Saldos'!AC67+'Sumas y Saldos'!AC229+'Sumas y Saldos'!AC96+'Sumas y Saldos'!AC251+'Sumas y Saldos'!AC282</f>
      </c>
      <c r="L23" s="98">
        <f>'Sumas y Saldos'!AF194+'Sumas y Saldos'!AF195+'Sumas y Saldos'!AF124+'Sumas y Saldos'!AF67+'Sumas y Saldos'!AF229+'Sumas y Saldos'!AF96+'Sumas y Saldos'!AF251+'Sumas y Saldos'!AF282</f>
      </c>
      <c r="M23" s="98">
        <f>'Sumas y Saldos'!W194+'Sumas y Saldos'!W195+'Sumas y Saldos'!W124+'Sumas y Saldos'!W67+'Sumas y Saldos'!W229+'Sumas y Saldos'!W96+'Sumas y Saldos'!W251+'Sumas y Saldos'!W282</f>
      </c>
      <c r="N23" s="98">
        <f>'Sumas y Saldos'!T194+'Sumas y Saldos'!T195+'Sumas y Saldos'!T124+'Sumas y Saldos'!T67+'Sumas y Saldos'!T229+'Sumas y Saldos'!T96+'Sumas y Saldos'!T251+'Sumas y Saldos'!T282</f>
      </c>
      <c r="O23" s="98">
        <f>'Sumas y Saldos'!AI194+'Sumas y Saldos'!AI195+'Sumas y Saldos'!AI124+'Sumas y Saldos'!AI67+'Sumas y Saldos'!AI229+'Sumas y Saldos'!AI96+'Sumas y Saldos'!AI251+'Sumas y Saldos'!AI282</f>
      </c>
      <c r="P23" s="98">
        <f>'Sumas y Saldos'!AO194+'Sumas y Saldos'!AO195+'Sumas y Saldos'!AO124+'Sumas y Saldos'!AO67+'Sumas y Saldos'!AO229+'Sumas y Saldos'!AO96+'Sumas y Saldos'!AO251+'Sumas y Saldos'!AO282</f>
      </c>
      <c r="Q23" s="98">
        <f>'Sumas y Saldos'!AL194+'Sumas y Saldos'!AL195+'Sumas y Saldos'!AL124+'Sumas y Saldos'!AL67+'Sumas y Saldos'!AL229+'Sumas y Saldos'!AL96+'Sumas y Saldos'!AL251+'Sumas y Saldos'!AL282</f>
      </c>
      <c r="R23" s="98">
        <v>0</v>
      </c>
      <c r="S23" s="98">
        <v>0</v>
      </c>
      <c r="T23" s="98">
        <f>'Sumas y Saldos'!BD195+'Sumas y Saldos'!BD194+'Sumas y Saldos'!BD124</f>
      </c>
      <c r="U23" s="98">
        <f>'Sumas y Saldos'!BM195+'Sumas y Saldos'!BK194+'Sumas y Saldos'!BM229</f>
      </c>
      <c r="V23" s="98">
        <f>'Sumas y Saldos'!BP195+'Sumas y Saldos'!BP67+'Sumas y Saldos'!BP96</f>
      </c>
      <c r="W23" s="98"/>
      <c r="X23" s="98"/>
      <c r="Y23" s="98"/>
      <c r="Z23" s="98"/>
      <c r="AA23" s="98"/>
      <c r="AB23" s="98"/>
      <c r="AC23" s="98">
        <v>541.29</v>
      </c>
      <c r="AD23" s="98">
        <v>5085.540000000001</v>
      </c>
      <c r="AE23" s="98">
        <v>2631.84</v>
      </c>
      <c r="AF23" s="98">
        <v>382.87</v>
      </c>
      <c r="AG23" s="98">
        <v>2488.36</v>
      </c>
      <c r="AH23" s="98">
        <v>289.18</v>
      </c>
      <c r="AI23" s="101">
        <f>SUM(W23:AH23)</f>
        <v>11419.080000000004</v>
      </c>
      <c r="AJ23" s="73"/>
      <c r="AK23" s="102"/>
    </row>
    <row r="24" ht="12.75" customHeight="1" spans="1:37" x14ac:dyDescent="0.25">
      <c r="A24" s="73" t="s">
        <v>416</v>
      </c>
      <c r="B24" s="73">
        <v>9600000062</v>
      </c>
      <c r="C24" s="95" t="s">
        <v>417</v>
      </c>
      <c r="D24" s="96">
        <f>SUM(F24:V24)+E24</f>
      </c>
      <c r="E24" s="96">
        <f>'Sumas y Saldos'!D207+'Sumas y Saldos'!D114+'Sumas y Saldos'!D54+'Sumas y Saldos'!D80+'Sumas y Saldos'!G207+'Sumas y Saldos'!G114+'Sumas y Saldos'!G54+'Sumas y Saldos'!G80+'Sumas y Saldos'!J207+'Sumas y Saldos'!J114+'Sumas y Saldos'!J54+'Sumas y Saldos'!J80+'Sumas y Saldos'!P207+'Sumas y Saldos'!P114+'Sumas y Saldos'!P54+'Sumas y Saldos'!P80+'Sumas y Saldos'!Y207+'Sumas y Saldos'!Y114+'Sumas y Saldos'!Y54+'Sumas y Saldos'!Y80+'Sumas y Saldos'!AB207+'Sumas y Saldos'!AB114+'Sumas y Saldos'!AB54+'Sumas y Saldos'!AB80+'Sumas y Saldos'!AE207+'Sumas y Saldos'!AE114+'Sumas y Saldos'!AE54+'Sumas y Saldos'!AE80+'Sumas y Saldos'!V207+'Sumas y Saldos'!V114+'Sumas y Saldos'!V54+'Sumas y Saldos'!V80+'Sumas y Saldos'!S207+'Sumas y Saldos'!S114+'Sumas y Saldos'!S54+'Sumas y Saldos'!S80+'Sumas y Saldos'!AH207+'Sumas y Saldos'!AH114+'Sumas y Saldos'!AH54+'Sumas y Saldos'!AH80+'Sumas y Saldos'!AN207+'Sumas y Saldos'!AN114+'Sumas y Saldos'!AN54+'Sumas y Saldos'!AN80+'Sumas y Saldos'!AK207+'Sumas y Saldos'!AK114+'Sumas y Saldos'!AK54+'Sumas y Saldos'!AK80+'Sumas y Saldos'!BL207+'Sumas y Saldos'!BO207+'Sumas y Saldos'!BO80</f>
      </c>
      <c r="F24" s="98">
        <f>'Sumas y Saldos'!E207+'Sumas y Saldos'!E114+'Sumas y Saldos'!E54+'Sumas y Saldos'!E80</f>
      </c>
      <c r="G24" s="98">
        <f>'Sumas y Saldos'!H207+'Sumas y Saldos'!H114+'Sumas y Saldos'!H54+'Sumas y Saldos'!H80</f>
      </c>
      <c r="H24" s="98">
        <f>'Sumas y Saldos'!K207+'Sumas y Saldos'!K114+'Sumas y Saldos'!K54+'Sumas y Saldos'!K80</f>
      </c>
      <c r="I24" s="98">
        <f>'Sumas y Saldos'!Q207+'Sumas y Saldos'!Q114+'Sumas y Saldos'!Q54+'Sumas y Saldos'!Q80</f>
      </c>
      <c r="J24" s="98">
        <f>'Sumas y Saldos'!Z207+'Sumas y Saldos'!Z114+'Sumas y Saldos'!Z54+'Sumas y Saldos'!Z80</f>
      </c>
      <c r="K24" s="98">
        <f>'Sumas y Saldos'!AC207+'Sumas y Saldos'!AC114+'Sumas y Saldos'!AC54+'Sumas y Saldos'!AC80</f>
      </c>
      <c r="L24" s="98">
        <f>'Sumas y Saldos'!AF207+'Sumas y Saldos'!AF114+'Sumas y Saldos'!AF54+'Sumas y Saldos'!AF80</f>
      </c>
      <c r="M24" s="98">
        <f>'Sumas y Saldos'!W207+'Sumas y Saldos'!W114+'Sumas y Saldos'!W54+'Sumas y Saldos'!W80</f>
      </c>
      <c r="N24" s="98">
        <f>'Sumas y Saldos'!T207+'Sumas y Saldos'!T114+'Sumas y Saldos'!T54+'Sumas y Saldos'!T80</f>
      </c>
      <c r="O24" s="98">
        <f>'Sumas y Saldos'!AI207+'Sumas y Saldos'!AI114+'Sumas y Saldos'!AI54+'Sumas y Saldos'!AI80</f>
      </c>
      <c r="P24" s="98">
        <f>'Sumas y Saldos'!AO207+'Sumas y Saldos'!AO114+'Sumas y Saldos'!AO54+'Sumas y Saldos'!AO80</f>
      </c>
      <c r="Q24" s="98">
        <f>'Sumas y Saldos'!AL207+'Sumas y Saldos'!AL114+'Sumas y Saldos'!AL54+'Sumas y Saldos'!AL80</f>
      </c>
      <c r="R24" s="98"/>
      <c r="S24" s="98"/>
      <c r="T24" s="98">
        <v>0</v>
      </c>
      <c r="U24" s="98">
        <f>'Sumas y Saldos'!BK207</f>
      </c>
      <c r="V24" s="98">
        <f>+'Sumas y Saldos'!BP207+'Sumas y Saldos'!BP80</f>
      </c>
      <c r="W24" s="98"/>
      <c r="X24" s="98"/>
      <c r="Y24" s="98"/>
      <c r="Z24" s="98"/>
      <c r="AA24" s="98"/>
      <c r="AB24" s="98"/>
      <c r="AC24" s="98">
        <v>0</v>
      </c>
      <c r="AD24" s="98">
        <v>0</v>
      </c>
      <c r="AE24" s="98">
        <v>254.32</v>
      </c>
      <c r="AF24" s="98">
        <v>10959.78</v>
      </c>
      <c r="AG24" s="98">
        <v>46.91</v>
      </c>
      <c r="AH24" s="98">
        <v>368.07</v>
      </c>
      <c r="AI24" s="101">
        <f>SUM(W24:AH24)</f>
        <v>11629.08</v>
      </c>
      <c r="AJ24" s="73"/>
      <c r="AK24" s="102"/>
    </row>
    <row r="25" ht="12.75" customHeight="1" spans="1:37" x14ac:dyDescent="0.25">
      <c r="A25" s="73" t="s">
        <v>418</v>
      </c>
      <c r="B25" s="73">
        <v>9600000062</v>
      </c>
      <c r="C25" s="95" t="s">
        <v>419</v>
      </c>
      <c r="D25" s="96">
        <f>SUM(F25:V25)+E25</f>
        <v>1697.79</v>
      </c>
      <c r="E25" s="96">
        <f>'Sumas y Saldos'!D215+'Sumas y Saldos'!D169+'Sumas y Saldos'!D189+'Sumas y Saldos'!D216+'Sumas y Saldos'!D112+'Sumas y Saldos'!D33+'Sumas y Saldos'!D92+'Sumas y Saldos'!D272+'Sumas y Saldos'!G215+'Sumas y Saldos'!G169+'Sumas y Saldos'!G189+'Sumas y Saldos'!G216+'Sumas y Saldos'!G112+'Sumas y Saldos'!G33+'Sumas y Saldos'!G92+'Sumas y Saldos'!G272+'Sumas y Saldos'!J215+'Sumas y Saldos'!J169+'Sumas y Saldos'!J189+'Sumas y Saldos'!J216+'Sumas y Saldos'!J112+'Sumas y Saldos'!J33+'Sumas y Saldos'!J92+'Sumas y Saldos'!J272+'Sumas y Saldos'!P215+'Sumas y Saldos'!P169+'Sumas y Saldos'!P189+'Sumas y Saldos'!P216+'Sumas y Saldos'!P112+'Sumas y Saldos'!P33+'Sumas y Saldos'!P92+'Sumas y Saldos'!P272+'Sumas y Saldos'!Y215+'Sumas y Saldos'!Y169+'Sumas y Saldos'!Y189+'Sumas y Saldos'!Y216+'Sumas y Saldos'!Y112+'Sumas y Saldos'!Y33+'Sumas y Saldos'!Y92+'Sumas y Saldos'!Y272+'Sumas y Saldos'!AB215+'Sumas y Saldos'!AB169+'Sumas y Saldos'!AB189+'Sumas y Saldos'!AB216+'Sumas y Saldos'!AB112+'Sumas y Saldos'!AB33+'Sumas y Saldos'!AB92+'Sumas y Saldos'!AB272+'Sumas y Saldos'!AE215+'Sumas y Saldos'!AE169+'Sumas y Saldos'!AE189+'Sumas y Saldos'!AE216+'Sumas y Saldos'!AE112+'Sumas y Saldos'!AE33+'Sumas y Saldos'!AE92+'Sumas y Saldos'!AE272+'Sumas y Saldos'!V215+'Sumas y Saldos'!V169+'Sumas y Saldos'!V189+'Sumas y Saldos'!V216+'Sumas y Saldos'!V112+'Sumas y Saldos'!V33+'Sumas y Saldos'!V92+'Sumas y Saldos'!V272+'Sumas y Saldos'!S215+'Sumas y Saldos'!S169+'Sumas y Saldos'!S189+'Sumas y Saldos'!S216+'Sumas y Saldos'!S112+'Sumas y Saldos'!S33+'Sumas y Saldos'!S92+'Sumas y Saldos'!S272+'Sumas y Saldos'!AH215+'Sumas y Saldos'!AH169+'Sumas y Saldos'!AH189+'Sumas y Saldos'!AH216+'Sumas y Saldos'!AH112+'Sumas y Saldos'!AH33+'Sumas y Saldos'!AH92+'Sumas y Saldos'!AH272+'Sumas y Saldos'!AN215+'Sumas y Saldos'!AN169+'Sumas y Saldos'!AN189+'Sumas y Saldos'!AN216+'Sumas y Saldos'!AN112+'Sumas y Saldos'!AN33+'Sumas y Saldos'!AN92+'Sumas y Saldos'!AN272+'Sumas y Saldos'!AK215+'Sumas y Saldos'!AK169+'Sumas y Saldos'!AK189+'Sumas y Saldos'!AK216+'Sumas y Saldos'!AK112+'Sumas y Saldos'!AK33+'Sumas y Saldos'!AK92+'Sumas y Saldos'!AK272+'Sumas y Saldos'!BF169+'Sumas y Saldos'!BI169+'Sumas y Saldos'!BC169+'Sumas y Saldos'!BC189+'Sumas y Saldos'!BC216+'Sumas y Saldos'!BL169+'Sumas y Saldos'!BL189+'Sumas y Saldos'!BL216+'Sumas y Saldos'!BL232+'Sumas y Saldos'!BO169+'Sumas y Saldos'!BO216+'Sumas y Saldos'!BO232</f>
      </c>
      <c r="F25" s="98">
        <f>'Sumas y Saldos'!E215+'Sumas y Saldos'!E169+'Sumas y Saldos'!E189+'Sumas y Saldos'!E216+'Sumas y Saldos'!E112+'Sumas y Saldos'!E33+'Sumas y Saldos'!E92+'Sumas y Saldos'!E272</f>
      </c>
      <c r="G25" s="98">
        <f>'Sumas y Saldos'!H215+'Sumas y Saldos'!H169+'Sumas y Saldos'!H189+'Sumas y Saldos'!H216+'Sumas y Saldos'!H112+'Sumas y Saldos'!H33+'Sumas y Saldos'!H92+'Sumas y Saldos'!H272</f>
      </c>
      <c r="H25" s="98">
        <f>'Sumas y Saldos'!K215+'Sumas y Saldos'!K169+'Sumas y Saldos'!K189+'Sumas y Saldos'!K216+'Sumas y Saldos'!K112+'Sumas y Saldos'!K33+'Sumas y Saldos'!K92+'Sumas y Saldos'!K272</f>
      </c>
      <c r="I25" s="98">
        <f>'Sumas y Saldos'!Q215+'Sumas y Saldos'!Q169+'Sumas y Saldos'!Q189+'Sumas y Saldos'!Q216+'Sumas y Saldos'!Q112+'Sumas y Saldos'!Q33+'Sumas y Saldos'!Q92+'Sumas y Saldos'!Q272</f>
      </c>
      <c r="J25" s="98">
        <f>'Sumas y Saldos'!Z215+'Sumas y Saldos'!Z169+'Sumas y Saldos'!Z189+'Sumas y Saldos'!Z216+'Sumas y Saldos'!Z112+'Sumas y Saldos'!Z33+'Sumas y Saldos'!Z92+'Sumas y Saldos'!Z272</f>
      </c>
      <c r="K25" s="98">
        <f>'Sumas y Saldos'!AC215+'Sumas y Saldos'!AC169+'Sumas y Saldos'!AC189+'Sumas y Saldos'!AC216+'Sumas y Saldos'!AC112+'Sumas y Saldos'!AC33+'Sumas y Saldos'!AC92+'Sumas y Saldos'!AC272</f>
      </c>
      <c r="L25" s="98">
        <f>'Sumas y Saldos'!AF215+'Sumas y Saldos'!AF169+'Sumas y Saldos'!AF189+'Sumas y Saldos'!AF216+'Sumas y Saldos'!AF112+'Sumas y Saldos'!AF33+'Sumas y Saldos'!AF92+'Sumas y Saldos'!AF272</f>
      </c>
      <c r="M25" s="98">
        <f>'Sumas y Saldos'!W215+'Sumas y Saldos'!W169+'Sumas y Saldos'!W189+'Sumas y Saldos'!W216+'Sumas y Saldos'!W112+'Sumas y Saldos'!W33+'Sumas y Saldos'!W92+'Sumas y Saldos'!W272</f>
      </c>
      <c r="N25" s="98">
        <f>'Sumas y Saldos'!T215+'Sumas y Saldos'!T169+'Sumas y Saldos'!T189+'Sumas y Saldos'!T216+'Sumas y Saldos'!T112+'Sumas y Saldos'!T33+'Sumas y Saldos'!T92+'Sumas y Saldos'!T272</f>
      </c>
      <c r="O25" s="98">
        <f>'Sumas y Saldos'!AI215+'Sumas y Saldos'!AI169+'Sumas y Saldos'!AI189+'Sumas y Saldos'!AI216+'Sumas y Saldos'!AI112+'Sumas y Saldos'!AI33+'Sumas y Saldos'!AI92+'Sumas y Saldos'!AI272</f>
      </c>
      <c r="P25" s="98">
        <f>'Sumas y Saldos'!AO215+'Sumas y Saldos'!AO169+'Sumas y Saldos'!AO189+'Sumas y Saldos'!AO216+'Sumas y Saldos'!AO112+'Sumas y Saldos'!AO33+'Sumas y Saldos'!AO92+'Sumas y Saldos'!AO272</f>
      </c>
      <c r="Q25" s="98">
        <f>'Sumas y Saldos'!AL215+'Sumas y Saldos'!AL169+'Sumas y Saldos'!AL189+'Sumas y Saldos'!AL216+'Sumas y Saldos'!AL112+'Sumas y Saldos'!AL33+'Sumas y Saldos'!AL92+'Sumas y Saldos'!AL272</f>
      </c>
      <c r="R25" s="98">
        <f>'Sumas y Saldos'!BE169</f>
      </c>
      <c r="S25" s="98">
        <f>'Sumas y Saldos'!BF169</f>
      </c>
      <c r="T25" s="98">
        <f>'Sumas y Saldos'!BD169+'Sumas y Saldos'!BD189+'Sumas y Saldos'!BD216</f>
      </c>
      <c r="U25" s="98">
        <f>'Sumas y Saldos'!BM169+'Sumas y Saldos'!BM189+'Sumas y Saldos'!BM216+'Sumas y Saldos'!BM232</f>
      </c>
      <c r="V25" s="98">
        <f>'Sumas y Saldos'!BP169+'Sumas y Saldos'!BP216+'Sumas y Saldos'!BP232</f>
      </c>
      <c r="W25" s="98"/>
      <c r="X25" s="98"/>
      <c r="Y25" s="98"/>
      <c r="Z25" s="98"/>
      <c r="AA25" s="98"/>
      <c r="AB25" s="98"/>
      <c r="AC25" s="98">
        <v>1697.79</v>
      </c>
      <c r="AD25" s="98">
        <v>6632.79</v>
      </c>
      <c r="AE25" s="98">
        <v>7087.03</v>
      </c>
      <c r="AF25" s="98">
        <v>12663.87</v>
      </c>
      <c r="AG25" s="98">
        <v>11490.93</v>
      </c>
      <c r="AH25" s="98">
        <v>24053.61</v>
      </c>
      <c r="AI25" s="101">
        <f>SUM(W25:AH25)</f>
        <v>63626.020000000004</v>
      </c>
      <c r="AJ25" s="73"/>
      <c r="AK25" s="102"/>
    </row>
    <row r="26" ht="12.75" customHeight="1" spans="1:37" x14ac:dyDescent="0.25">
      <c r="A26" s="73" t="s">
        <v>420</v>
      </c>
      <c r="B26" s="73">
        <v>9600000062</v>
      </c>
      <c r="C26" s="95" t="s">
        <v>421</v>
      </c>
      <c r="D26" s="96">
        <f>SUM(F26:V26)+E26</f>
        <v>213.33</v>
      </c>
      <c r="E26" s="96">
        <f>'Sumas y Saldos'!D177+'Sumas y Saldos'!D139+'Sumas y Saldos'!D285+'Sumas y Saldos'!G177+'Sumas y Saldos'!G139+'Sumas y Saldos'!G285+'Sumas y Saldos'!J177+'Sumas y Saldos'!J139+'Sumas y Saldos'!J285+'Sumas y Saldos'!P177+'Sumas y Saldos'!P139+'Sumas y Saldos'!P285+'Sumas y Saldos'!Y177+'Sumas y Saldos'!Y139+'Sumas y Saldos'!Y285+'Sumas y Saldos'!AB177+'Sumas y Saldos'!AB139+'Sumas y Saldos'!AB285+'Sumas y Saldos'!AE177+'Sumas y Saldos'!AE139+'Sumas y Saldos'!AE285+'Sumas y Saldos'!V177+'Sumas y Saldos'!V139+'Sumas y Saldos'!V285+'Sumas y Saldos'!S177+'Sumas y Saldos'!S139+'Sumas y Saldos'!S285+'Sumas y Saldos'!AH177+'Sumas y Saldos'!AH139+'Sumas y Saldos'!AH285+'Sumas y Saldos'!AN177+'Sumas y Saldos'!AN139+'Sumas y Saldos'!AN285+'Sumas y Saldos'!AK177+'Sumas y Saldos'!AK139+'Sumas y Saldos'!AK285+'Sumas y Saldos'!BF177+'Sumas y Saldos'!BC177+'Sumas y Saldos'!BC139+'Sumas y Saldos'!BL177</f>
      </c>
      <c r="F26" s="98">
        <f>'Sumas y Saldos'!E177+'Sumas y Saldos'!E139+'Sumas y Saldos'!E285</f>
      </c>
      <c r="G26" s="98">
        <f>'Sumas y Saldos'!H177+'Sumas y Saldos'!H139+'Sumas y Saldos'!H285</f>
      </c>
      <c r="H26" s="98">
        <f>'Sumas y Saldos'!K177+'Sumas y Saldos'!K139+'Sumas y Saldos'!K285</f>
      </c>
      <c r="I26" s="98">
        <f>'Sumas y Saldos'!Q177+'Sumas y Saldos'!Q139+'Sumas y Saldos'!Q285</f>
      </c>
      <c r="J26" s="98">
        <f>'Sumas y Saldos'!Z177+'Sumas y Saldos'!Z139+'Sumas y Saldos'!Z285</f>
      </c>
      <c r="K26" s="98">
        <f>'Sumas y Saldos'!AC177+'Sumas y Saldos'!AC139+'Sumas y Saldos'!AC285</f>
      </c>
      <c r="L26" s="98">
        <f>'Sumas y Saldos'!AF177+'Sumas y Saldos'!AF139+'Sumas y Saldos'!AF285</f>
      </c>
      <c r="M26" s="98">
        <f>'Sumas y Saldos'!W177+'Sumas y Saldos'!W139+'Sumas y Saldos'!W285</f>
      </c>
      <c r="N26" s="98">
        <f>'Sumas y Saldos'!T177+'Sumas y Saldos'!T139+'Sumas y Saldos'!T285</f>
      </c>
      <c r="O26" s="98">
        <f>'Sumas y Saldos'!AI177+'Sumas y Saldos'!AI139+'Sumas y Saldos'!AI285</f>
      </c>
      <c r="P26" s="98">
        <f>'Sumas y Saldos'!AO177+'Sumas y Saldos'!AO139+'Sumas y Saldos'!AO285</f>
      </c>
      <c r="Q26" s="98">
        <f>'Sumas y Saldos'!AL177+'Sumas y Saldos'!AL139+'Sumas y Saldos'!AL285</f>
      </c>
      <c r="R26" s="98">
        <f>+'Sumas y Saldos'!BE177</f>
      </c>
      <c r="S26" s="98"/>
      <c r="T26" s="98">
        <f>'Sumas y Saldos'!BD177+'Sumas y Saldos'!BD139</f>
      </c>
      <c r="U26" s="98">
        <f>+'Sumas y Saldos'!BM177</f>
      </c>
      <c r="V26" s="98"/>
      <c r="W26" s="98"/>
      <c r="X26" s="98"/>
      <c r="Y26" s="98"/>
      <c r="Z26" s="98"/>
      <c r="AA26" s="98"/>
      <c r="AB26" s="98"/>
      <c r="AC26" s="98">
        <v>213.33</v>
      </c>
      <c r="AD26" s="98">
        <v>0</v>
      </c>
      <c r="AE26" s="98">
        <v>0</v>
      </c>
      <c r="AF26" s="98">
        <v>0</v>
      </c>
      <c r="AG26" s="98">
        <v>0</v>
      </c>
      <c r="AH26" s="98">
        <v>0</v>
      </c>
      <c r="AI26" s="101">
        <f>SUM(W26:AH26)</f>
        <v>213.33</v>
      </c>
      <c r="AJ26" s="73"/>
      <c r="AK26" s="102"/>
    </row>
    <row r="27" ht="12.75" customHeight="1" spans="1:37" x14ac:dyDescent="0.25">
      <c r="A27" s="73" t="s">
        <v>422</v>
      </c>
      <c r="B27" s="73">
        <v>9600000062</v>
      </c>
      <c r="C27" s="95" t="s">
        <v>423</v>
      </c>
      <c r="D27" s="96">
        <f>SUM(F27:V27)+E27</f>
      </c>
      <c r="E27" s="96">
        <f>'Sumas y Saldos'!D134+'Sumas y Saldos'!D166+'Sumas y Saldos'!D37+'Sumas y Saldos'!G134+'Sumas y Saldos'!G166+'Sumas y Saldos'!G37+'Sumas y Saldos'!J134+'Sumas y Saldos'!J166+'Sumas y Saldos'!J37+'Sumas y Saldos'!P134+'Sumas y Saldos'!P166+'Sumas y Saldos'!P37+'Sumas y Saldos'!Y134+'Sumas y Saldos'!Y166+'Sumas y Saldos'!Y37+'Sumas y Saldos'!AB134+'Sumas y Saldos'!AB166+'Sumas y Saldos'!AB37+'Sumas y Saldos'!AE134+'Sumas y Saldos'!AE166+'Sumas y Saldos'!AE37+'Sumas y Saldos'!V134+'Sumas y Saldos'!V166+'Sumas y Saldos'!V37+'Sumas y Saldos'!S134+'Sumas y Saldos'!S166+'Sumas y Saldos'!S37+'Sumas y Saldos'!AH134+'Sumas y Saldos'!AH166+'Sumas y Saldos'!AH37+'Sumas y Saldos'!AN134+'Sumas y Saldos'!AN166+'Sumas y Saldos'!AN37+'Sumas y Saldos'!AK134+'Sumas y Saldos'!AK166+'Sumas y Saldos'!AK37+'Sumas y Saldos'!BC134+'Sumas y Saldos'!BC166+'Sumas y Saldos'!BO134+'Sumas y Saldos'!BO37</f>
      </c>
      <c r="F27" s="98">
        <f>'Sumas y Saldos'!E134+'Sumas y Saldos'!E166+'Sumas y Saldos'!E37</f>
      </c>
      <c r="G27" s="98">
        <f>'Sumas y Saldos'!H134+'Sumas y Saldos'!H166+'Sumas y Saldos'!H37</f>
      </c>
      <c r="H27" s="98">
        <f>'Sumas y Saldos'!K134+'Sumas y Saldos'!K166+'Sumas y Saldos'!K37</f>
      </c>
      <c r="I27" s="98">
        <f>'Sumas y Saldos'!Q134+'Sumas y Saldos'!Q166+'Sumas y Saldos'!Q37</f>
      </c>
      <c r="J27" s="98">
        <f>'Sumas y Saldos'!Z134+'Sumas y Saldos'!Z166+'Sumas y Saldos'!Z37</f>
      </c>
      <c r="K27" s="98">
        <f>'Sumas y Saldos'!AC134+'Sumas y Saldos'!AC166+'Sumas y Saldos'!AC37</f>
      </c>
      <c r="L27" s="98">
        <f>'Sumas y Saldos'!AF134+'Sumas y Saldos'!AF166+'Sumas y Saldos'!AF37</f>
      </c>
      <c r="M27" s="98">
        <f>'Sumas y Saldos'!W134+'Sumas y Saldos'!W166+'Sumas y Saldos'!W37</f>
      </c>
      <c r="N27" s="98">
        <f>'Sumas y Saldos'!T134+'Sumas y Saldos'!T166+'Sumas y Saldos'!T37</f>
      </c>
      <c r="O27" s="98">
        <f>'Sumas y Saldos'!AI134+'Sumas y Saldos'!AI166+'Sumas y Saldos'!AI37</f>
      </c>
      <c r="P27" s="98">
        <f>'Sumas y Saldos'!AO134+'Sumas y Saldos'!AO166+'Sumas y Saldos'!AO37</f>
      </c>
      <c r="Q27" s="98">
        <f>'Sumas y Saldos'!AL134+'Sumas y Saldos'!AL166+'Sumas y Saldos'!AL37</f>
      </c>
      <c r="R27" s="98"/>
      <c r="S27" s="98"/>
      <c r="T27" s="98">
        <f>'Sumas y Saldos'!BD134+'Sumas y Saldos'!BD166</f>
      </c>
      <c r="U27" s="98"/>
      <c r="V27" s="98">
        <f>+'Sumas y Saldos'!BP134+'Sumas y Saldos'!BP37</f>
      </c>
      <c r="W27" s="98"/>
      <c r="X27" s="98"/>
      <c r="Y27" s="98"/>
      <c r="Z27" s="98"/>
      <c r="AA27" s="98"/>
      <c r="AB27" s="98"/>
      <c r="AC27" s="98">
        <v>0</v>
      </c>
      <c r="AD27" s="98">
        <v>0</v>
      </c>
      <c r="AE27" s="98">
        <v>0</v>
      </c>
      <c r="AF27" s="98">
        <v>0</v>
      </c>
      <c r="AG27" s="98">
        <v>0</v>
      </c>
      <c r="AH27" s="98">
        <v>0</v>
      </c>
      <c r="AI27" s="101">
        <f>SUM(W27:AH27)</f>
      </c>
      <c r="AJ27" s="73"/>
      <c r="AK27" s="102"/>
    </row>
    <row r="28" ht="12.75" customHeight="1" spans="1:37" x14ac:dyDescent="0.25">
      <c r="A28" s="73" t="s">
        <v>424</v>
      </c>
      <c r="B28" s="73">
        <v>9600000062</v>
      </c>
      <c r="C28" s="95" t="s">
        <v>425</v>
      </c>
      <c r="D28" s="96">
        <f>SUM(F28:V28)+E28</f>
      </c>
      <c r="E28" s="96">
        <f>'Sumas y Saldos'!D81+'Sumas y Saldos'!D182+'Sumas y Saldos'!D188+'Sumas y Saldos'!D191+'Sumas y Saldos'!D159+'Sumas y Saldos'!D65+'Sumas y Saldos'!D82+'Sumas y Saldos'!D279+'Sumas y Saldos'!G81+'Sumas y Saldos'!G182+'Sumas y Saldos'!G188+'Sumas y Saldos'!G191+'Sumas y Saldos'!G159+'Sumas y Saldos'!G65+'Sumas y Saldos'!G82+'Sumas y Saldos'!G279+'Sumas y Saldos'!J81+'Sumas y Saldos'!J182+'Sumas y Saldos'!J188+'Sumas y Saldos'!J191+'Sumas y Saldos'!J159+'Sumas y Saldos'!J65+'Sumas y Saldos'!J82+'Sumas y Saldos'!J279+'Sumas y Saldos'!P81+'Sumas y Saldos'!P182+'Sumas y Saldos'!P188+'Sumas y Saldos'!P191+'Sumas y Saldos'!P159+'Sumas y Saldos'!P65+'Sumas y Saldos'!P82+'Sumas y Saldos'!P279+'Sumas y Saldos'!Y81+'Sumas y Saldos'!Y182+'Sumas y Saldos'!Y188+'Sumas y Saldos'!Y191+'Sumas y Saldos'!Y159+'Sumas y Saldos'!Y65+'Sumas y Saldos'!Y82+'Sumas y Saldos'!Y279+'Sumas y Saldos'!AB81+'Sumas y Saldos'!AB182+'Sumas y Saldos'!AB188+'Sumas y Saldos'!AB191+'Sumas y Saldos'!AB159+'Sumas y Saldos'!AB65+'Sumas y Saldos'!AB82+'Sumas y Saldos'!AB279+'Sumas y Saldos'!AE81+'Sumas y Saldos'!AE182+'Sumas y Saldos'!AE188+'Sumas y Saldos'!AE191+'Sumas y Saldos'!AE159+'Sumas y Saldos'!AE65+'Sumas y Saldos'!AE82+'Sumas y Saldos'!AE279+'Sumas y Saldos'!V81+'Sumas y Saldos'!V182+'Sumas y Saldos'!V188+'Sumas y Saldos'!V191+'Sumas y Saldos'!V159+'Sumas y Saldos'!V65+'Sumas y Saldos'!V82+'Sumas y Saldos'!V279+'Sumas y Saldos'!S81+'Sumas y Saldos'!S182+'Sumas y Saldos'!S188+'Sumas y Saldos'!S191+'Sumas y Saldos'!S159+'Sumas y Saldos'!S65+'Sumas y Saldos'!S82+'Sumas y Saldos'!S279+'Sumas y Saldos'!AH81+'Sumas y Saldos'!AH182+'Sumas y Saldos'!AH188+'Sumas y Saldos'!AH191+'Sumas y Saldos'!AH159+'Sumas y Saldos'!AH65+'Sumas y Saldos'!AH82+'Sumas y Saldos'!AH279+'Sumas y Saldos'!AN81+'Sumas y Saldos'!AN182+'Sumas y Saldos'!AN188+'Sumas y Saldos'!AN191+'Sumas y Saldos'!AN159+'Sumas y Saldos'!AN65+'Sumas y Saldos'!AN82+'Sumas y Saldos'!AN279+'Sumas y Saldos'!AK81+'Sumas y Saldos'!AK182+'Sumas y Saldos'!AK188+'Sumas y Saldos'!AK191+'Sumas y Saldos'!AK159+'Sumas y Saldos'!AK65+'Sumas y Saldos'!AK82+'Sumas y Saldos'!AK279+'Sumas y Saldos'!BF191+'Sumas y Saldos'!BI191+'Sumas y Saldos'!BC182+'Sumas y Saldos'!BC188+'Sumas y Saldos'!BC191+'Sumas y Saldos'!BC159+'Sumas y Saldos'!BL188+'Sumas y Saldos'!BL182+'Sumas y Saldos'!BL191+'Sumas y Saldos'!BL82+'Sumas y Saldos'!BO191+'Sumas y Saldos'!BO81+'Sumas y Saldos'!BO65+'Sumas y Saldos'!BO82</f>
      </c>
      <c r="F28" s="98">
        <f>'Sumas y Saldos'!E81+'Sumas y Saldos'!E182+'Sumas y Saldos'!E188+'Sumas y Saldos'!E191+'Sumas y Saldos'!E159+'Sumas y Saldos'!E65+'Sumas y Saldos'!E82+'Sumas y Saldos'!E279</f>
      </c>
      <c r="G28" s="98">
        <f>'Sumas y Saldos'!H81+'Sumas y Saldos'!H182+'Sumas y Saldos'!H188+'Sumas y Saldos'!H191+'Sumas y Saldos'!H159+'Sumas y Saldos'!H65+'Sumas y Saldos'!H82+'Sumas y Saldos'!H279</f>
      </c>
      <c r="H28" s="98">
        <f>'Sumas y Saldos'!K81+'Sumas y Saldos'!K182+'Sumas y Saldos'!K188+'Sumas y Saldos'!K191+'Sumas y Saldos'!K159+'Sumas y Saldos'!K65+'Sumas y Saldos'!K82+'Sumas y Saldos'!K279</f>
      </c>
      <c r="I28" s="98">
        <f>'Sumas y Saldos'!Q81+'Sumas y Saldos'!Q182+'Sumas y Saldos'!Q188+'Sumas y Saldos'!Q191+'Sumas y Saldos'!Q159+'Sumas y Saldos'!Q65+'Sumas y Saldos'!Q82+'Sumas y Saldos'!Q279</f>
      </c>
      <c r="J28" s="98">
        <f>'Sumas y Saldos'!Z81+'Sumas y Saldos'!Z182+'Sumas y Saldos'!Z188+'Sumas y Saldos'!Z191+'Sumas y Saldos'!Z159+'Sumas y Saldos'!Z65+'Sumas y Saldos'!Z82+'Sumas y Saldos'!Z279</f>
      </c>
      <c r="K28" s="98">
        <f>'Sumas y Saldos'!AC81+'Sumas y Saldos'!AC182+'Sumas y Saldos'!AC188+'Sumas y Saldos'!AC191+'Sumas y Saldos'!AC159+'Sumas y Saldos'!AC65+'Sumas y Saldos'!AC82+'Sumas y Saldos'!AC279</f>
      </c>
      <c r="L28" s="98">
        <f>'Sumas y Saldos'!AF81+'Sumas y Saldos'!AF182+'Sumas y Saldos'!AF188+'Sumas y Saldos'!AF191+'Sumas y Saldos'!AF159+'Sumas y Saldos'!AF65+'Sumas y Saldos'!AF82+'Sumas y Saldos'!AF279</f>
      </c>
      <c r="M28" s="98">
        <f>'Sumas y Saldos'!W81+'Sumas y Saldos'!W182+'Sumas y Saldos'!W188+'Sumas y Saldos'!W191+'Sumas y Saldos'!W159+'Sumas y Saldos'!W65+'Sumas y Saldos'!W82+'Sumas y Saldos'!W279</f>
      </c>
      <c r="N28" s="98">
        <f>'Sumas y Saldos'!T81+'Sumas y Saldos'!T182+'Sumas y Saldos'!T188+'Sumas y Saldos'!T191+'Sumas y Saldos'!T159+'Sumas y Saldos'!T65+'Sumas y Saldos'!T82+'Sumas y Saldos'!T279</f>
      </c>
      <c r="O28" s="98">
        <f>'Sumas y Saldos'!AI81+'Sumas y Saldos'!AI182+'Sumas y Saldos'!AI188+'Sumas y Saldos'!AI191+'Sumas y Saldos'!AI159+'Sumas y Saldos'!AI65+'Sumas y Saldos'!AI82+'Sumas y Saldos'!AI279</f>
      </c>
      <c r="P28" s="98">
        <f>'Sumas y Saldos'!AO81+'Sumas y Saldos'!AO182+'Sumas y Saldos'!AO188+'Sumas y Saldos'!AO191+'Sumas y Saldos'!AO159+'Sumas y Saldos'!AO65+'Sumas y Saldos'!AO82+'Sumas y Saldos'!AO279</f>
      </c>
      <c r="Q28" s="98">
        <f>'Sumas y Saldos'!AL81+'Sumas y Saldos'!AL182+'Sumas y Saldos'!AL188+'Sumas y Saldos'!AL191+'Sumas y Saldos'!AL159+'Sumas y Saldos'!AL65+'Sumas y Saldos'!AL82+'Sumas y Saldos'!AL279</f>
      </c>
      <c r="R28" s="98">
        <f>+'Sumas y Saldos'!BE191</f>
      </c>
      <c r="S28" s="98">
        <f>+'Sumas y Saldos'!BF191</f>
      </c>
      <c r="T28" s="98">
        <f>+'Sumas y Saldos'!BD182+'Sumas y Saldos'!BD188+'Sumas y Saldos'!BD191+'Sumas y Saldos'!BD159</f>
      </c>
      <c r="U28" s="98">
        <f>'Sumas y Saldos'!BM188+'Sumas y Saldos'!BM182+'Sumas y Saldos'!BM191+'Sumas y Saldos'!BM82</f>
      </c>
      <c r="V28" s="98">
        <f>'Sumas y Saldos'!BP191+'Sumas y Saldos'!BP81+'Sumas y Saldos'!BP65+'Sumas y Saldos'!BP82</f>
      </c>
      <c r="W28" s="98"/>
      <c r="X28" s="98"/>
      <c r="Y28" s="98"/>
      <c r="Z28" s="98"/>
      <c r="AA28" s="98"/>
      <c r="AB28" s="98"/>
      <c r="AC28" s="98">
        <v>0</v>
      </c>
      <c r="AD28" s="98">
        <v>0</v>
      </c>
      <c r="AE28" s="98">
        <v>0</v>
      </c>
      <c r="AF28" s="98">
        <v>0</v>
      </c>
      <c r="AG28" s="98">
        <v>156.87</v>
      </c>
      <c r="AH28" s="98">
        <v>0</v>
      </c>
      <c r="AI28" s="101">
        <f>SUM(W28:AH28)</f>
        <v>156.87</v>
      </c>
      <c r="AJ28" s="73"/>
      <c r="AK28" s="102"/>
    </row>
    <row r="29" ht="12.75" customHeight="1" spans="1:37" x14ac:dyDescent="0.25">
      <c r="A29" s="73"/>
      <c r="B29" s="73"/>
      <c r="C29" s="95" t="s">
        <v>426</v>
      </c>
      <c r="D29" s="96">
        <f>SUM(F29:V29)+E29</f>
      </c>
      <c r="E29" s="96">
        <f>'Sumas y Saldos'!D25+'Sumas y Saldos'!D138+'Sumas y Saldos'!D205+'Sumas y Saldos'!D222+'Sumas y Saldos'!D85+'Sumas y Saldos'!D275+'Sumas y Saldos'!G25+'Sumas y Saldos'!G138+'Sumas y Saldos'!G205+'Sumas y Saldos'!G222+'Sumas y Saldos'!G85+'Sumas y Saldos'!G275+'Sumas y Saldos'!J25+'Sumas y Saldos'!J138+'Sumas y Saldos'!J205+'Sumas y Saldos'!J222+'Sumas y Saldos'!J85+'Sumas y Saldos'!J275+'Sumas y Saldos'!P25+'Sumas y Saldos'!P138+'Sumas y Saldos'!P205+'Sumas y Saldos'!P222+'Sumas y Saldos'!P85+'Sumas y Saldos'!P275+'Sumas y Saldos'!Y25+'Sumas y Saldos'!Y138+'Sumas y Saldos'!Y205+'Sumas y Saldos'!Y222+'Sumas y Saldos'!Y85+'Sumas y Saldos'!Y275+'Sumas y Saldos'!AB25+'Sumas y Saldos'!AB138+'Sumas y Saldos'!AB205+'Sumas y Saldos'!AB222+'Sumas y Saldos'!AB85+'Sumas y Saldos'!AB275+'Sumas y Saldos'!AE25+'Sumas y Saldos'!AE138+'Sumas y Saldos'!AE205+'Sumas y Saldos'!AE222+'Sumas y Saldos'!AE85+'Sumas y Saldos'!AE275+'Sumas y Saldos'!V25+'Sumas y Saldos'!V138+'Sumas y Saldos'!V205+'Sumas y Saldos'!V222+'Sumas y Saldos'!V85+'Sumas y Saldos'!V275+'Sumas y Saldos'!S25+'Sumas y Saldos'!S138+'Sumas y Saldos'!S205+'Sumas y Saldos'!S222+'Sumas y Saldos'!S85+'Sumas y Saldos'!S275+'Sumas y Saldos'!AH25+'Sumas y Saldos'!AH138+'Sumas y Saldos'!AH205+'Sumas y Saldos'!AH222+'Sumas y Saldos'!AH85+'Sumas y Saldos'!AH275+'Sumas y Saldos'!AN25+'Sumas y Saldos'!AN138+'Sumas y Saldos'!AN205+'Sumas y Saldos'!AN222+'Sumas y Saldos'!AN85+'Sumas y Saldos'!AN275+'Sumas y Saldos'!AK25+'Sumas y Saldos'!AK138+'Sumas y Saldos'!AK205+'Sumas y Saldos'!AK222+'Sumas y Saldos'!AK85+'Sumas y Saldos'!AK275+'Sumas y Saldos'!BC138+'Sumas y Saldos'!BC205+'Sumas y Saldos'!BL138+'Sumas y Saldos'!BL222+'Sumas y Saldos'!BL85+'Sumas y Saldos'!BO85</f>
      </c>
      <c r="F29" s="98">
        <f>'Sumas y Saldos'!E25+'Sumas y Saldos'!E138+'Sumas y Saldos'!E205+'Sumas y Saldos'!E222+'Sumas y Saldos'!E85+'Sumas y Saldos'!E275</f>
      </c>
      <c r="G29" s="98">
        <f>'Sumas y Saldos'!H25+'Sumas y Saldos'!H138+'Sumas y Saldos'!H205+'Sumas y Saldos'!H222+'Sumas y Saldos'!H85+'Sumas y Saldos'!H275</f>
      </c>
      <c r="H29" s="98">
        <f>'Sumas y Saldos'!K25+'Sumas y Saldos'!K138+'Sumas y Saldos'!K205+'Sumas y Saldos'!K222+'Sumas y Saldos'!K85+'Sumas y Saldos'!K275</f>
      </c>
      <c r="I29" s="98">
        <f>'Sumas y Saldos'!Q25+'Sumas y Saldos'!Q138+'Sumas y Saldos'!Q205+'Sumas y Saldos'!Q222+'Sumas y Saldos'!Q85+'Sumas y Saldos'!Q275</f>
      </c>
      <c r="J29" s="98">
        <f>'Sumas y Saldos'!Z25+'Sumas y Saldos'!Z138+'Sumas y Saldos'!Z205+'Sumas y Saldos'!Z222+'Sumas y Saldos'!Z85+'Sumas y Saldos'!Z275</f>
      </c>
      <c r="K29" s="98">
        <f>'Sumas y Saldos'!AC25+'Sumas y Saldos'!AC138+'Sumas y Saldos'!AC205+'Sumas y Saldos'!AC222+'Sumas y Saldos'!AC85+'Sumas y Saldos'!AC275</f>
      </c>
      <c r="L29" s="98">
        <f>'Sumas y Saldos'!AF25+'Sumas y Saldos'!AF138+'Sumas y Saldos'!AF205+'Sumas y Saldos'!AF222+'Sumas y Saldos'!AF85+'Sumas y Saldos'!AF275</f>
      </c>
      <c r="M29" s="98">
        <f>'Sumas y Saldos'!W25+'Sumas y Saldos'!W138+'Sumas y Saldos'!W205+'Sumas y Saldos'!W222+'Sumas y Saldos'!W85+'Sumas y Saldos'!W275</f>
      </c>
      <c r="N29" s="98">
        <f>'Sumas y Saldos'!T25+'Sumas y Saldos'!T138+'Sumas y Saldos'!T205+'Sumas y Saldos'!T222+'Sumas y Saldos'!T85+'Sumas y Saldos'!T275</f>
      </c>
      <c r="O29" s="98">
        <f>'Sumas y Saldos'!AI25+'Sumas y Saldos'!AI138+'Sumas y Saldos'!AI205+'Sumas y Saldos'!AI222+'Sumas y Saldos'!AI85+'Sumas y Saldos'!AI275</f>
      </c>
      <c r="P29" s="98">
        <f>'Sumas y Saldos'!AO25+'Sumas y Saldos'!AO138+'Sumas y Saldos'!AO205+'Sumas y Saldos'!AO222+'Sumas y Saldos'!AO85+'Sumas y Saldos'!AO275</f>
      </c>
      <c r="Q29" s="98">
        <f>'Sumas y Saldos'!AL25+'Sumas y Saldos'!AL138+'Sumas y Saldos'!AL205+'Sumas y Saldos'!AL222+'Sumas y Saldos'!AL85+'Sumas y Saldos'!AL275</f>
      </c>
      <c r="R29" s="98">
        <v>0</v>
      </c>
      <c r="S29" s="98">
        <v>0</v>
      </c>
      <c r="T29" s="98">
        <f>+'Sumas y Saldos'!BD138+'Sumas y Saldos'!BD205</f>
      </c>
      <c r="U29" s="98">
        <f>'Sumas y Saldos'!BM138+'Sumas y Saldos'!BM222+'Sumas y Saldos'!BM85</f>
      </c>
      <c r="V29" s="98">
        <f>+'Sumas y Saldos'!BP85</f>
      </c>
      <c r="W29" s="98"/>
      <c r="X29" s="98"/>
      <c r="Y29" s="98"/>
      <c r="Z29" s="98"/>
      <c r="AA29" s="98"/>
      <c r="AB29" s="98"/>
      <c r="AC29" s="98">
        <v>0</v>
      </c>
      <c r="AD29" s="98">
        <v>1.07</v>
      </c>
      <c r="AE29" s="98">
        <v>123.25</v>
      </c>
      <c r="AF29" s="98">
        <v>0</v>
      </c>
      <c r="AG29" s="98">
        <v>1.43</v>
      </c>
      <c r="AH29" s="98">
        <v>6.94</v>
      </c>
      <c r="AI29" s="101">
        <f>SUM(W29:AH29)</f>
        <v>132.69</v>
      </c>
      <c r="AJ29" s="73"/>
      <c r="AK29" s="102"/>
    </row>
    <row r="30" ht="12.75" customHeight="1" spans="1:37" x14ac:dyDescent="0.25">
      <c r="A30" s="73"/>
      <c r="B30" s="73"/>
      <c r="C30" s="95" t="s">
        <v>427</v>
      </c>
      <c r="D30" s="96">
        <f>SUM(F30:V30)+E30</f>
      </c>
      <c r="E30" s="96">
        <f>'Sumas y Saldos'!D202+'Sumas y Saldos'!D242+'Sumas y Saldos'!G202+'Sumas y Saldos'!G242+'Sumas y Saldos'!J202+'Sumas y Saldos'!J242+'Sumas y Saldos'!P202+'Sumas y Saldos'!P242+'Sumas y Saldos'!Y202+'Sumas y Saldos'!Y242+'Sumas y Saldos'!AB202+'Sumas y Saldos'!AB242+'Sumas y Saldos'!AE202+'Sumas y Saldos'!AE242+'Sumas y Saldos'!V202+'Sumas y Saldos'!V242+'Sumas y Saldos'!S202+'Sumas y Saldos'!S242+'Sumas y Saldos'!AH202+'Sumas y Saldos'!AH242+'Sumas y Saldos'!AN202+'Sumas y Saldos'!AN242+'Sumas y Saldos'!AK202+'Sumas y Saldos'!AK242+'Sumas y Saldos'!BF202+'Sumas y Saldos'!BI202+'Sumas y Saldos'!BC202+'Sumas y Saldos'!BL202+'Sumas y Saldos'!BL242+'Sumas y Saldos'!BO202+'Sumas y Saldos'!BO242</f>
      </c>
      <c r="F30" s="98">
        <f>'Sumas y Saldos'!E202+'Sumas y Saldos'!E242</f>
      </c>
      <c r="G30" s="98">
        <f>'Sumas y Saldos'!H202+'Sumas y Saldos'!H242</f>
      </c>
      <c r="H30" s="98">
        <f>'Sumas y Saldos'!K202+'Sumas y Saldos'!K242</f>
      </c>
      <c r="I30" s="98">
        <f>'Sumas y Saldos'!Q202+'Sumas y Saldos'!Q242</f>
      </c>
      <c r="J30" s="98">
        <f>'Sumas y Saldos'!Z202+'Sumas y Saldos'!Z242</f>
      </c>
      <c r="K30" s="98">
        <f>'Sumas y Saldos'!AC202+'Sumas y Saldos'!AC242</f>
      </c>
      <c r="L30" s="98">
        <f>'Sumas y Saldos'!AF202+'Sumas y Saldos'!AF242</f>
      </c>
      <c r="M30" s="98">
        <f>'Sumas y Saldos'!W202+'Sumas y Saldos'!W242</f>
      </c>
      <c r="N30" s="98">
        <f>'Sumas y Saldos'!T202+'Sumas y Saldos'!T242</f>
      </c>
      <c r="O30" s="98">
        <f>'Sumas y Saldos'!AI202+'Sumas y Saldos'!AI242</f>
      </c>
      <c r="P30" s="98">
        <f>'Sumas y Saldos'!AO202+'Sumas y Saldos'!AO242</f>
      </c>
      <c r="Q30" s="98">
        <f>'Sumas y Saldos'!AL202+'Sumas y Saldos'!AL242</f>
      </c>
      <c r="R30" s="98">
        <f>+'Sumas y Saldos'!BE202</f>
      </c>
      <c r="S30" s="98">
        <f>+'Sumas y Saldos'!BF202</f>
      </c>
      <c r="T30" s="98">
        <f>'Sumas y Saldos'!BD202</f>
      </c>
      <c r="U30" s="98">
        <f>'Sumas y Saldos'!BM202+'Sumas y Saldos'!BM242</f>
      </c>
      <c r="V30" s="98">
        <f>+'Sumas y Saldos'!BP202+'Sumas y Saldos'!BN242</f>
      </c>
      <c r="W30" s="98"/>
      <c r="X30" s="98"/>
      <c r="Y30" s="98"/>
      <c r="Z30" s="98"/>
      <c r="AA30" s="98"/>
      <c r="AB30" s="98"/>
      <c r="AC30" s="98">
        <v>0</v>
      </c>
      <c r="AD30" s="98">
        <v>0</v>
      </c>
      <c r="AE30" s="98">
        <v>0</v>
      </c>
      <c r="AF30" s="98">
        <v>0</v>
      </c>
      <c r="AG30" s="98">
        <v>0</v>
      </c>
      <c r="AH30" s="98">
        <v>0</v>
      </c>
      <c r="AI30" s="101">
        <f>SUM(W30:AH30)</f>
      </c>
      <c r="AJ30" s="73"/>
      <c r="AK30" s="102"/>
    </row>
    <row r="31" ht="12.75" customHeight="1" spans="1:37" x14ac:dyDescent="0.25">
      <c r="A31" s="73"/>
      <c r="B31" s="73"/>
      <c r="C31" s="95" t="s">
        <v>428</v>
      </c>
      <c r="D31" s="96">
        <f>SUM(F31:V31)+E31</f>
      </c>
      <c r="E31" s="96">
        <v>0</v>
      </c>
      <c r="F31" s="98">
        <v>0</v>
      </c>
      <c r="G31" s="98">
        <v>0</v>
      </c>
      <c r="H31" s="98">
        <v>0</v>
      </c>
      <c r="I31" s="98">
        <v>0</v>
      </c>
      <c r="J31" s="98">
        <v>0</v>
      </c>
      <c r="K31" s="98">
        <v>0</v>
      </c>
      <c r="L31" s="98">
        <v>0</v>
      </c>
      <c r="M31" s="98">
        <v>0</v>
      </c>
      <c r="N31" s="98">
        <v>0</v>
      </c>
      <c r="O31" s="98">
        <v>0</v>
      </c>
      <c r="P31" s="98">
        <v>0</v>
      </c>
      <c r="Q31" s="98">
        <v>0</v>
      </c>
      <c r="R31" s="98"/>
      <c r="S31" s="98"/>
      <c r="T31" s="98">
        <v>0</v>
      </c>
      <c r="U31" s="98"/>
      <c r="V31" s="98"/>
      <c r="W31" s="98"/>
      <c r="X31" s="98"/>
      <c r="Y31" s="98"/>
      <c r="Z31" s="98"/>
      <c r="AA31" s="98"/>
      <c r="AB31" s="98"/>
      <c r="AC31" s="98">
        <v>0</v>
      </c>
      <c r="AD31" s="98">
        <v>0</v>
      </c>
      <c r="AE31" s="98">
        <v>0</v>
      </c>
      <c r="AF31" s="98">
        <v>0</v>
      </c>
      <c r="AG31" s="98">
        <v>0</v>
      </c>
      <c r="AH31" s="98">
        <v>0</v>
      </c>
      <c r="AI31" s="101">
        <f>SUM(W31:AH31)</f>
      </c>
      <c r="AJ31" s="73"/>
      <c r="AK31" s="102"/>
    </row>
    <row r="32" ht="12.75" customHeight="1" spans="1:37" x14ac:dyDescent="0.25">
      <c r="A32" s="73" t="s">
        <v>429</v>
      </c>
      <c r="B32" s="73">
        <v>9600000062</v>
      </c>
      <c r="C32" s="95" t="s">
        <v>430</v>
      </c>
      <c r="D32" s="96">
        <f>SUM(F32:V32)+E32</f>
      </c>
      <c r="E32" s="96">
        <f>'Sumas y Saldos'!D179+'Sumas y Saldos'!D157+'Sumas y Saldos'!D104+'Sumas y Saldos'!D280+'Sumas y Saldos'!G179+'Sumas y Saldos'!G157+'Sumas y Saldos'!G104+'Sumas y Saldos'!G280+'Sumas y Saldos'!J179+'Sumas y Saldos'!J157+'Sumas y Saldos'!J104+'Sumas y Saldos'!J280+'Sumas y Saldos'!P179+'Sumas y Saldos'!P157+'Sumas y Saldos'!P104+'Sumas y Saldos'!P280+'Sumas y Saldos'!Y179+'Sumas y Saldos'!Y157+'Sumas y Saldos'!Y104+'Sumas y Saldos'!Y280+'Sumas y Saldos'!AB179+'Sumas y Saldos'!AB157+'Sumas y Saldos'!AB104+'Sumas y Saldos'!AB280+'Sumas y Saldos'!AE179+'Sumas y Saldos'!AE157+'Sumas y Saldos'!AE104+'Sumas y Saldos'!AE280+'Sumas y Saldos'!V179+'Sumas y Saldos'!V157+'Sumas y Saldos'!V104+'Sumas y Saldos'!V280+'Sumas y Saldos'!S179+'Sumas y Saldos'!S157+'Sumas y Saldos'!S104+'Sumas y Saldos'!S280+'Sumas y Saldos'!AH179+'Sumas y Saldos'!AH157+'Sumas y Saldos'!AH104+'Sumas y Saldos'!AH280+'Sumas y Saldos'!AN179+'Sumas y Saldos'!AN157+'Sumas y Saldos'!AN104+'Sumas y Saldos'!AN280+'Sumas y Saldos'!AK179+'Sumas y Saldos'!AK157+'Sumas y Saldos'!AK104+'Sumas y Saldos'!AK280+'Sumas y Saldos'!BC179+'Sumas y Saldos'!BC157+'Sumas y Saldos'!BL179+'Sumas y Saldos'!BL157+'Sumas y Saldos'!BL104+'Sumas y Saldos'!BO157+'Sumas y Saldos'!BO104</f>
      </c>
      <c r="F32" s="98">
        <f>'Sumas y Saldos'!E179+'Sumas y Saldos'!E157+'Sumas y Saldos'!E104+'Sumas y Saldos'!E280</f>
      </c>
      <c r="G32" s="98">
        <f>'Sumas y Saldos'!H179+'Sumas y Saldos'!H157+'Sumas y Saldos'!H104+'Sumas y Saldos'!H280</f>
      </c>
      <c r="H32" s="98">
        <f>'Sumas y Saldos'!K179+'Sumas y Saldos'!K157+'Sumas y Saldos'!K104+'Sumas y Saldos'!K280</f>
      </c>
      <c r="I32" s="98">
        <f>'Sumas y Saldos'!Q179+'Sumas y Saldos'!Q157+'Sumas y Saldos'!Q104+'Sumas y Saldos'!Q280</f>
      </c>
      <c r="J32" s="98">
        <f>'Sumas y Saldos'!Z179+'Sumas y Saldos'!Z157+'Sumas y Saldos'!Z104+'Sumas y Saldos'!Z280</f>
      </c>
      <c r="K32" s="98">
        <f>'Sumas y Saldos'!AC179+'Sumas y Saldos'!AC157+'Sumas y Saldos'!AC104+'Sumas y Saldos'!AC280</f>
      </c>
      <c r="L32" s="98">
        <f>'Sumas y Saldos'!AF179+'Sumas y Saldos'!AF157+'Sumas y Saldos'!AF104+'Sumas y Saldos'!AF280</f>
      </c>
      <c r="M32" s="98">
        <f>'Sumas y Saldos'!W179+'Sumas y Saldos'!W157+'Sumas y Saldos'!W104+'Sumas y Saldos'!W280</f>
      </c>
      <c r="N32" s="98">
        <f>'Sumas y Saldos'!T179+'Sumas y Saldos'!T157+'Sumas y Saldos'!T104+'Sumas y Saldos'!T280</f>
      </c>
      <c r="O32" s="98">
        <f>'Sumas y Saldos'!AI179+'Sumas y Saldos'!AI157+'Sumas y Saldos'!AI104+'Sumas y Saldos'!AI280</f>
      </c>
      <c r="P32" s="98">
        <f>'Sumas y Saldos'!AO179+'Sumas y Saldos'!AO157+'Sumas y Saldos'!AO104+'Sumas y Saldos'!AO280</f>
      </c>
      <c r="Q32" s="98">
        <f>'Sumas y Saldos'!AL179+'Sumas y Saldos'!AL157+'Sumas y Saldos'!AL104+'Sumas y Saldos'!AL280</f>
      </c>
      <c r="R32" s="98"/>
      <c r="S32" s="98"/>
      <c r="T32" s="98">
        <f>'Sumas y Saldos'!BD179+'Sumas y Saldos'!BD157</f>
      </c>
      <c r="U32" s="98">
        <f>+'Sumas y Saldos'!BM179+'Sumas y Saldos'!BM157+'Sumas y Saldos'!BM104</f>
      </c>
      <c r="V32" s="98">
        <f>'Sumas y Saldos'!BP157+'Sumas y Saldos'!BP104</f>
      </c>
      <c r="W32" s="98"/>
      <c r="X32" s="98"/>
      <c r="Y32" s="98"/>
      <c r="Z32" s="98"/>
      <c r="AA32" s="98"/>
      <c r="AB32" s="98"/>
      <c r="AC32" s="98">
        <v>0</v>
      </c>
      <c r="AD32" s="98">
        <v>0</v>
      </c>
      <c r="AE32" s="98">
        <v>0</v>
      </c>
      <c r="AF32" s="98">
        <v>4064.29</v>
      </c>
      <c r="AG32" s="98">
        <v>0</v>
      </c>
      <c r="AH32" s="98">
        <v>0</v>
      </c>
      <c r="AI32" s="101">
        <f>SUM(W32:AH32)</f>
        <v>4064.29</v>
      </c>
      <c r="AJ32" s="73"/>
      <c r="AK32" s="102"/>
    </row>
    <row r="33" ht="12.75" customHeight="1" spans="1:37" x14ac:dyDescent="0.25">
      <c r="A33" s="73" t="s">
        <v>431</v>
      </c>
      <c r="B33" s="73">
        <v>9600000062</v>
      </c>
      <c r="C33" s="95" t="s">
        <v>432</v>
      </c>
      <c r="D33" s="96">
        <f>SUM(F33:V33)+E33</f>
      </c>
      <c r="E33" s="96">
        <v>0</v>
      </c>
      <c r="F33" s="98">
        <v>0</v>
      </c>
      <c r="G33" s="98">
        <v>0</v>
      </c>
      <c r="H33" s="98">
        <v>0</v>
      </c>
      <c r="I33" s="98">
        <v>0</v>
      </c>
      <c r="J33" s="98">
        <v>0</v>
      </c>
      <c r="K33" s="98">
        <v>0</v>
      </c>
      <c r="L33" s="98">
        <v>0</v>
      </c>
      <c r="M33" s="98">
        <v>0</v>
      </c>
      <c r="N33" s="98">
        <v>0</v>
      </c>
      <c r="O33" s="98">
        <v>0</v>
      </c>
      <c r="P33" s="98">
        <v>0</v>
      </c>
      <c r="Q33" s="98">
        <v>0</v>
      </c>
      <c r="R33" s="98"/>
      <c r="S33" s="98"/>
      <c r="T33" s="98">
        <v>0</v>
      </c>
      <c r="U33" s="98"/>
      <c r="V33" s="98"/>
      <c r="W33" s="98"/>
      <c r="X33" s="98"/>
      <c r="Y33" s="98"/>
      <c r="Z33" s="98"/>
      <c r="AA33" s="98"/>
      <c r="AB33" s="98"/>
      <c r="AC33" s="98">
        <v>0</v>
      </c>
      <c r="AD33" s="98">
        <v>0</v>
      </c>
      <c r="AE33" s="98">
        <v>0</v>
      </c>
      <c r="AF33" s="98">
        <v>0</v>
      </c>
      <c r="AG33" s="98">
        <v>0</v>
      </c>
      <c r="AH33" s="98">
        <v>0</v>
      </c>
      <c r="AI33" s="101">
        <f>SUM(W33:AH33)</f>
      </c>
      <c r="AJ33" s="73"/>
      <c r="AK33" s="102"/>
    </row>
    <row r="34" ht="12.75" customHeight="1" spans="1:37" x14ac:dyDescent="0.25">
      <c r="A34" s="73" t="s">
        <v>433</v>
      </c>
      <c r="B34" s="73">
        <v>9600000062</v>
      </c>
      <c r="C34" s="95" t="s">
        <v>434</v>
      </c>
      <c r="D34" s="96">
        <f>SUM(F34:V34)+E34</f>
        <v>1911.15</v>
      </c>
      <c r="E34" s="96">
        <f>'Sumas y Saldos'!D8+'Sumas y Saldos'!G8+'Sumas y Saldos'!J8+'Sumas y Saldos'!P8+'Sumas y Saldos'!Y8+'Sumas y Saldos'!AB8+'Sumas y Saldos'!AE8+'Sumas y Saldos'!V8+'Sumas y Saldos'!S8+'Sumas y Saldos'!AH8+'Sumas y Saldos'!AN8+'Sumas y Saldos'!AK8+'Sumas y Saldos'!BL8</f>
      </c>
      <c r="F34" s="98">
        <f>'Sumas y Saldos'!E8</f>
      </c>
      <c r="G34" s="98">
        <f>'Sumas y Saldos'!H8</f>
      </c>
      <c r="H34" s="98">
        <f>'Sumas y Saldos'!K8</f>
      </c>
      <c r="I34" s="98">
        <f>'Sumas y Saldos'!Q8</f>
      </c>
      <c r="J34" s="98">
        <f>'Sumas y Saldos'!Z8</f>
      </c>
      <c r="K34" s="98">
        <f>'Sumas y Saldos'!AC8</f>
      </c>
      <c r="L34" s="98">
        <f>'Sumas y Saldos'!AF8</f>
      </c>
      <c r="M34" s="98">
        <f>'Sumas y Saldos'!W8</f>
      </c>
      <c r="N34" s="98">
        <f>'Sumas y Saldos'!T8</f>
      </c>
      <c r="O34" s="98">
        <f>'Sumas y Saldos'!AI8</f>
      </c>
      <c r="P34" s="98">
        <f>'Sumas y Saldos'!AO8</f>
      </c>
      <c r="Q34" s="98">
        <f>'Sumas y Saldos'!AL8</f>
      </c>
      <c r="R34" s="98"/>
      <c r="S34" s="98"/>
      <c r="T34" s="98">
        <v>0</v>
      </c>
      <c r="U34" s="98">
        <f>'Sumas y Saldos'!BM8</f>
      </c>
      <c r="V34" s="98">
        <v>0</v>
      </c>
      <c r="W34" s="98"/>
      <c r="X34" s="98"/>
      <c r="Y34" s="98"/>
      <c r="Z34" s="98"/>
      <c r="AA34" s="98"/>
      <c r="AB34" s="98"/>
      <c r="AC34" s="98">
        <v>1911.15</v>
      </c>
      <c r="AD34" s="98">
        <v>8810.54</v>
      </c>
      <c r="AE34" s="98">
        <v>2564.8</v>
      </c>
      <c r="AF34" s="98">
        <v>2227.69</v>
      </c>
      <c r="AG34" s="98">
        <v>85936.77</v>
      </c>
      <c r="AH34" s="98">
        <v>5025.14</v>
      </c>
      <c r="AI34" s="101">
        <f>SUM(W34:AH34)</f>
        <v>106476.09000000001</v>
      </c>
      <c r="AJ34" s="73"/>
      <c r="AK34" s="102"/>
    </row>
    <row r="35" ht="12.75" customHeight="1" spans="1:37" x14ac:dyDescent="0.25">
      <c r="A35" s="73" t="s">
        <v>435</v>
      </c>
      <c r="B35" s="73">
        <v>9600000062</v>
      </c>
      <c r="C35" s="95" t="s">
        <v>436</v>
      </c>
      <c r="D35" s="96">
        <f>SUM(F35:V35)+E35</f>
        <v>38936.45</v>
      </c>
      <c r="E35" s="96">
        <f>'Sumas y Saldos'!D16+'Sumas y Saldos'!G16+'Sumas y Saldos'!J16+'Sumas y Saldos'!P16+'Sumas y Saldos'!Y16+'Sumas y Saldos'!AB16+'Sumas y Saldos'!AE16+'Sumas y Saldos'!V16+'Sumas y Saldos'!S16+'Sumas y Saldos'!AH16+'Sumas y Saldos'!AN16+'Sumas y Saldos'!AK16</f>
      </c>
      <c r="F35" s="98">
        <f>+'Sumas y Saldos'!E16</f>
      </c>
      <c r="G35" s="98">
        <f>+'Sumas y Saldos'!H16</f>
      </c>
      <c r="H35" s="98">
        <f>+'Sumas y Saldos'!K16</f>
      </c>
      <c r="I35" s="98">
        <f>+'Sumas y Saldos'!Q16</f>
      </c>
      <c r="J35" s="98">
        <f>+'Sumas y Saldos'!Z16</f>
      </c>
      <c r="K35" s="98">
        <f>+'Sumas y Saldos'!AC16</f>
        <v>21921.22</v>
      </c>
      <c r="L35" s="98">
        <f>+'Sumas y Saldos'!AF16</f>
      </c>
      <c r="M35" s="98">
        <f>+'Sumas y Saldos'!W16</f>
      </c>
      <c r="N35" s="98">
        <f>+'Sumas y Saldos'!T16</f>
        <v>17015.23</v>
      </c>
      <c r="O35" s="98">
        <f>+'Sumas y Saldos'!AI16</f>
      </c>
      <c r="P35" s="98">
        <f>+'Sumas y Saldos'!AO16</f>
      </c>
      <c r="Q35" s="98">
        <f>+'Sumas y Saldos'!AL16</f>
      </c>
      <c r="R35" s="98">
        <v>0</v>
      </c>
      <c r="S35" s="98">
        <v>0</v>
      </c>
      <c r="T35" s="98">
        <v>0</v>
      </c>
      <c r="U35" s="98">
        <v>0</v>
      </c>
      <c r="V35" s="98">
        <v>0</v>
      </c>
      <c r="W35" s="98"/>
      <c r="X35" s="98"/>
      <c r="Y35" s="98"/>
      <c r="Z35" s="98"/>
      <c r="AA35" s="98"/>
      <c r="AB35" s="98"/>
      <c r="AC35" s="98">
        <v>38936.45</v>
      </c>
      <c r="AD35" s="98">
        <v>18147.13</v>
      </c>
      <c r="AE35" s="98">
        <v>24218.79</v>
      </c>
      <c r="AF35" s="98">
        <v>24830.04</v>
      </c>
      <c r="AG35" s="98">
        <v>57217.44</v>
      </c>
      <c r="AH35" s="98">
        <v>31490.86</v>
      </c>
      <c r="AI35" s="101">
        <f>SUM(W35:AH35)</f>
        <v>194840.71000000002</v>
      </c>
      <c r="AJ35" s="73"/>
      <c r="AK35" s="102"/>
    </row>
    <row r="36" ht="12.75" customHeight="1" spans="1:37" x14ac:dyDescent="0.25">
      <c r="A36" s="73" t="s">
        <v>437</v>
      </c>
      <c r="B36" s="73">
        <v>9600000062</v>
      </c>
      <c r="C36" s="95" t="s">
        <v>438</v>
      </c>
      <c r="D36" s="96">
        <f>SUM(F36:V36)+E36</f>
        <v>554.77</v>
      </c>
      <c r="E36" s="96">
        <f>'Sumas y Saldos'!D9+'Sumas y Saldos'!G9+'Sumas y Saldos'!J9+'Sumas y Saldos'!P9+'Sumas y Saldos'!Y9+'Sumas y Saldos'!AB9+'Sumas y Saldos'!AE9+'Sumas y Saldos'!V9+'Sumas y Saldos'!S9+'Sumas y Saldos'!AH9+'Sumas y Saldos'!AN9+'Sumas y Saldos'!AK9</f>
      </c>
      <c r="F36" s="98">
        <f>'Sumas y Saldos'!E9</f>
      </c>
      <c r="G36" s="98">
        <f>'Sumas y Saldos'!H9</f>
      </c>
      <c r="H36" s="98">
        <f>'Sumas y Saldos'!K9</f>
      </c>
      <c r="I36" s="98">
        <f>'Sumas y Saldos'!Q9</f>
      </c>
      <c r="J36" s="98">
        <f>'Sumas y Saldos'!Z9</f>
      </c>
      <c r="K36" s="98">
        <f>'Sumas y Saldos'!AC9</f>
      </c>
      <c r="L36" s="98">
        <f>'Sumas y Saldos'!AF9</f>
      </c>
      <c r="M36" s="98">
        <f>'Sumas y Saldos'!W9</f>
      </c>
      <c r="N36" s="98">
        <f>'Sumas y Saldos'!T9</f>
      </c>
      <c r="O36" s="98">
        <f>'Sumas y Saldos'!AI9</f>
      </c>
      <c r="P36" s="98">
        <f>'Sumas y Saldos'!AO9</f>
      </c>
      <c r="Q36" s="98">
        <f>'Sumas y Saldos'!AL9</f>
      </c>
      <c r="R36" s="98">
        <v>0</v>
      </c>
      <c r="S36" s="98"/>
      <c r="T36" s="98">
        <v>0</v>
      </c>
      <c r="U36" s="98">
        <v>0</v>
      </c>
      <c r="V36" s="98"/>
      <c r="W36" s="98"/>
      <c r="X36" s="98"/>
      <c r="Y36" s="98"/>
      <c r="Z36" s="98"/>
      <c r="AA36" s="98"/>
      <c r="AB36" s="98"/>
      <c r="AC36" s="98">
        <v>554.77</v>
      </c>
      <c r="AD36" s="98">
        <v>2558.21</v>
      </c>
      <c r="AE36" s="98">
        <v>744.67</v>
      </c>
      <c r="AF36" s="98">
        <v>754.36</v>
      </c>
      <c r="AG36" s="98">
        <v>3929.41</v>
      </c>
      <c r="AH36" s="98">
        <v>1459.51</v>
      </c>
      <c r="AI36" s="101">
        <f>SUM(W36:AH36)</f>
        <v>10000.93</v>
      </c>
      <c r="AJ36" s="73"/>
      <c r="AK36" s="102"/>
    </row>
    <row r="37" ht="12.75" customHeight="1" spans="1:37" x14ac:dyDescent="0.25">
      <c r="A37" s="73" t="s">
        <v>439</v>
      </c>
      <c r="B37" s="73">
        <v>9600000062</v>
      </c>
      <c r="C37" s="95" t="s">
        <v>55</v>
      </c>
      <c r="D37" s="96">
        <f>SUM(F37:V37)+E37</f>
        <v>11302.09</v>
      </c>
      <c r="E37" s="96">
        <f>'Sumas y Saldos'!D18+'Sumas y Saldos'!G18+'Sumas y Saldos'!J18+'Sumas y Saldos'!P18+'Sumas y Saldos'!Y18+'Sumas y Saldos'!AB18+'Sumas y Saldos'!AE18+'Sumas y Saldos'!V18+'Sumas y Saldos'!S18+'Sumas y Saldos'!AH18+'Sumas y Saldos'!AN18+'Sumas y Saldos'!AK18</f>
      </c>
      <c r="F37" s="98">
        <f>'Sumas y Saldos'!E18</f>
      </c>
      <c r="G37" s="98">
        <f>'Sumas y Saldos'!H18</f>
      </c>
      <c r="H37" s="98">
        <f>'Sumas y Saldos'!K18</f>
      </c>
      <c r="I37" s="98">
        <f>'Sumas y Saldos'!Q18</f>
      </c>
      <c r="J37" s="98">
        <f>'Sumas y Saldos'!Z18</f>
      </c>
      <c r="K37" s="98">
        <f>'Sumas y Saldos'!AC18</f>
      </c>
      <c r="L37" s="98">
        <f>'Sumas y Saldos'!AF18</f>
      </c>
      <c r="M37" s="98">
        <f>'Sumas y Saldos'!W18</f>
      </c>
      <c r="N37" s="98">
        <f>'Sumas y Saldos'!T18</f>
      </c>
      <c r="O37" s="98">
        <f>'Sumas y Saldos'!AI18</f>
      </c>
      <c r="P37" s="98">
        <f>'Sumas y Saldos'!AO18</f>
      </c>
      <c r="Q37" s="98">
        <f>'Sumas y Saldos'!AL18</f>
      </c>
      <c r="R37" s="98"/>
      <c r="S37" s="98"/>
      <c r="T37" s="98">
        <v>0</v>
      </c>
      <c r="U37" s="98">
        <v>0</v>
      </c>
      <c r="V37" s="98">
        <v>0</v>
      </c>
      <c r="W37" s="98"/>
      <c r="X37" s="98"/>
      <c r="Y37" s="98"/>
      <c r="Z37" s="98"/>
      <c r="AA37" s="98"/>
      <c r="AB37" s="98"/>
      <c r="AC37" s="98">
        <v>11302.09</v>
      </c>
      <c r="AD37" s="98">
        <v>5300</v>
      </c>
      <c r="AE37" s="98">
        <v>7031.860000000001</v>
      </c>
      <c r="AF37" s="98">
        <v>7209.37</v>
      </c>
      <c r="AG37" s="98">
        <v>7509.87</v>
      </c>
      <c r="AH37" s="98">
        <v>-1635.7</v>
      </c>
      <c r="AI37" s="101">
        <f>SUM(W37:AH37)</f>
        <v>36717.490000000005</v>
      </c>
      <c r="AJ37" s="73"/>
      <c r="AK37" s="102"/>
    </row>
    <row r="38" ht="12.75" customHeight="1" spans="1:37" x14ac:dyDescent="0.25">
      <c r="A38" s="73" t="s">
        <v>440</v>
      </c>
      <c r="B38" s="73">
        <v>9600000062</v>
      </c>
      <c r="C38" s="95" t="s">
        <v>441</v>
      </c>
      <c r="D38" s="96">
        <f>SUM(F38:V38)+E38</f>
        <v>5.7700000000000005</v>
      </c>
      <c r="E38" s="96">
        <f>'Sumas y Saldos'!D148+'Sumas y Saldos'!D49+'Sumas y Saldos'!D270+'Sumas y Saldos'!G148+'Sumas y Saldos'!G49+'Sumas y Saldos'!G270+'Sumas y Saldos'!J148+'Sumas y Saldos'!J49+'Sumas y Saldos'!J270+'Sumas y Saldos'!P148+'Sumas y Saldos'!P49+'Sumas y Saldos'!P270+'Sumas y Saldos'!Y148+'Sumas y Saldos'!Y49+'Sumas y Saldos'!Y270+'Sumas y Saldos'!AB148+'Sumas y Saldos'!AB49+'Sumas y Saldos'!AB270+'Sumas y Saldos'!AE148+'Sumas y Saldos'!AE49+'Sumas y Saldos'!AE270+'Sumas y Saldos'!V148+'Sumas y Saldos'!V49+'Sumas y Saldos'!V270+'Sumas y Saldos'!S148+'Sumas y Saldos'!S49+'Sumas y Saldos'!S270+'Sumas y Saldos'!AH148+'Sumas y Saldos'!AH49+'Sumas y Saldos'!AH270+'Sumas y Saldos'!AN148+'Sumas y Saldos'!AN49+'Sumas y Saldos'!AN270+'Sumas y Saldos'!AK148+'Sumas y Saldos'!AK49+'Sumas y Saldos'!AK270+'Sumas y Saldos'!BC148+'Sumas y Saldos'!BO49</f>
      </c>
      <c r="F38" s="98">
        <f>'Sumas y Saldos'!E148+'Sumas y Saldos'!E49+'Sumas y Saldos'!E270</f>
      </c>
      <c r="G38" s="98">
        <f>'Sumas y Saldos'!H148+'Sumas y Saldos'!H49+'Sumas y Saldos'!H270</f>
      </c>
      <c r="H38" s="98">
        <f>'Sumas y Saldos'!K148+'Sumas y Saldos'!K49+'Sumas y Saldos'!K270</f>
      </c>
      <c r="I38" s="98">
        <f>'Sumas y Saldos'!Q148+'Sumas y Saldos'!Q49+'Sumas y Saldos'!Q270</f>
      </c>
      <c r="J38" s="98">
        <f>'Sumas y Saldos'!Z148+'Sumas y Saldos'!Z49+'Sumas y Saldos'!Z270</f>
      </c>
      <c r="K38" s="98">
        <f>'Sumas y Saldos'!AC148+'Sumas y Saldos'!AC49+'Sumas y Saldos'!AC270</f>
      </c>
      <c r="L38" s="98">
        <f>'Sumas y Saldos'!AF148+'Sumas y Saldos'!AF49+'Sumas y Saldos'!AF270</f>
      </c>
      <c r="M38" s="98">
        <f>'Sumas y Saldos'!W148+'Sumas y Saldos'!W49+'Sumas y Saldos'!W270</f>
      </c>
      <c r="N38" s="98">
        <f>'Sumas y Saldos'!T148+'Sumas y Saldos'!T49+'Sumas y Saldos'!T270</f>
      </c>
      <c r="O38" s="98">
        <f>'Sumas y Saldos'!AI148+'Sumas y Saldos'!AI49+'Sumas y Saldos'!AI270</f>
      </c>
      <c r="P38" s="98">
        <f>'Sumas y Saldos'!AO148+'Sumas y Saldos'!AO49+'Sumas y Saldos'!AO270</f>
      </c>
      <c r="Q38" s="98">
        <f>'Sumas y Saldos'!AL148+'Sumas y Saldos'!AL49+'Sumas y Saldos'!AL270</f>
      </c>
      <c r="R38" s="98"/>
      <c r="S38" s="98"/>
      <c r="T38" s="98">
        <f>'Sumas y Saldos'!BD148</f>
      </c>
      <c r="U38" s="98"/>
      <c r="V38" s="98">
        <f>+'Sumas y Saldos'!BP49</f>
      </c>
      <c r="W38" s="98"/>
      <c r="X38" s="98"/>
      <c r="Y38" s="98"/>
      <c r="Z38" s="98"/>
      <c r="AA38" s="98"/>
      <c r="AB38" s="98"/>
      <c r="AC38" s="98">
        <v>5.7700000000000005</v>
      </c>
      <c r="AD38" s="98">
        <v>559.21</v>
      </c>
      <c r="AE38" s="98">
        <v>494.77000000000004</v>
      </c>
      <c r="AF38" s="98">
        <v>429.26</v>
      </c>
      <c r="AG38" s="98">
        <v>429.26</v>
      </c>
      <c r="AH38" s="98">
        <v>429.26</v>
      </c>
      <c r="AI38" s="101">
        <f>SUM(W38:AH38)</f>
        <v>2347.5299999999997</v>
      </c>
      <c r="AJ38" s="73"/>
      <c r="AK38" s="102"/>
    </row>
    <row r="39" ht="12.75" customHeight="1" spans="1:37" x14ac:dyDescent="0.25">
      <c r="A39" s="73" t="s">
        <v>442</v>
      </c>
      <c r="B39" s="73">
        <v>9600000062</v>
      </c>
      <c r="C39" s="95" t="s">
        <v>443</v>
      </c>
      <c r="D39" s="96">
        <f>SUM(F39:V39)+E39</f>
      </c>
      <c r="E39" s="96">
        <f>'Sumas y Saldos'!D172+'Sumas y Saldos'!D128+'Sumas y Saldos'!D226+'Sumas y Saldos'!D60+'Sumas y Saldos'!D28+'Sumas y Saldos'!D87+'Sumas y Saldos'!D265+'Sumas y Saldos'!G172+'Sumas y Saldos'!G128+'Sumas y Saldos'!G226+'Sumas y Saldos'!G60+'Sumas y Saldos'!G28+'Sumas y Saldos'!G87+'Sumas y Saldos'!G265+'Sumas y Saldos'!J172+'Sumas y Saldos'!J128+'Sumas y Saldos'!J226+'Sumas y Saldos'!J60+'Sumas y Saldos'!J28+'Sumas y Saldos'!J87+'Sumas y Saldos'!J265+'Sumas y Saldos'!P172+'Sumas y Saldos'!P128+'Sumas y Saldos'!P226+'Sumas y Saldos'!P60+'Sumas y Saldos'!P28+'Sumas y Saldos'!P87+'Sumas y Saldos'!P265+'Sumas y Saldos'!Y172+'Sumas y Saldos'!Y128+'Sumas y Saldos'!Y226+'Sumas y Saldos'!Y60+'Sumas y Saldos'!Y28+'Sumas y Saldos'!Y87+'Sumas y Saldos'!Y265+'Sumas y Saldos'!AB172+'Sumas y Saldos'!AB128+'Sumas y Saldos'!AB226+'Sumas y Saldos'!AB60+'Sumas y Saldos'!AB28+'Sumas y Saldos'!AB87+'Sumas y Saldos'!AB265+'Sumas y Saldos'!AE172+'Sumas y Saldos'!AE128+'Sumas y Saldos'!AE226+'Sumas y Saldos'!AE60+'Sumas y Saldos'!AE28+'Sumas y Saldos'!AE87+'Sumas y Saldos'!AE265+'Sumas y Saldos'!V172+'Sumas y Saldos'!V128+'Sumas y Saldos'!V226+'Sumas y Saldos'!V60+'Sumas y Saldos'!V28+'Sumas y Saldos'!V87+'Sumas y Saldos'!V265+'Sumas y Saldos'!S172+'Sumas y Saldos'!S128+'Sumas y Saldos'!S226+'Sumas y Saldos'!S60+'Sumas y Saldos'!S28+'Sumas y Saldos'!S87+'Sumas y Saldos'!S265+'Sumas y Saldos'!AH172+'Sumas y Saldos'!AH128+'Sumas y Saldos'!AH226+'Sumas y Saldos'!AH60+'Sumas y Saldos'!AH28+'Sumas y Saldos'!AH87+'Sumas y Saldos'!AH265+'Sumas y Saldos'!AN172+'Sumas y Saldos'!AN128+'Sumas y Saldos'!AN226+'Sumas y Saldos'!AN60+'Sumas y Saldos'!AN28+'Sumas y Saldos'!AN87+'Sumas y Saldos'!AN265+'Sumas y Saldos'!AK172+'Sumas y Saldos'!AK128+'Sumas y Saldos'!AK226+'Sumas y Saldos'!AK60+'Sumas y Saldos'!AK28+'Sumas y Saldos'!AK87+'Sumas y Saldos'!AK265+'Sumas y Saldos'!BC172+'Sumas y Saldos'!BC128+'Sumas y Saldos'!BL172+'Sumas y Saldos'!BL87+'Sumas y Saldos'!BL238+'Sumas y Saldos'!BO172+'Sumas y Saldos'!BO128+'Sumas y Saldos'!BO226+'Sumas y Saldos'!BO87</f>
      </c>
      <c r="F39" s="98">
        <f>+'Sumas y Saldos'!E172+'Sumas y Saldos'!E128+'Sumas y Saldos'!E226+'Sumas y Saldos'!E60+'Sumas y Saldos'!E28+'Sumas y Saldos'!E87+'Sumas y Saldos'!E265</f>
      </c>
      <c r="G39" s="98">
        <f>+'Sumas y Saldos'!H172+'Sumas y Saldos'!H128+'Sumas y Saldos'!H226+'Sumas y Saldos'!H60+'Sumas y Saldos'!H28+'Sumas y Saldos'!H87+'Sumas y Saldos'!H265</f>
      </c>
      <c r="H39" s="98">
        <f>+'Sumas y Saldos'!K172+'Sumas y Saldos'!K128+'Sumas y Saldos'!K226+'Sumas y Saldos'!K60+'Sumas y Saldos'!K28+'Sumas y Saldos'!K87+'Sumas y Saldos'!K265</f>
      </c>
      <c r="I39" s="98">
        <f>+'Sumas y Saldos'!Q172+'Sumas y Saldos'!Q128+'Sumas y Saldos'!Q226+'Sumas y Saldos'!Q60+'Sumas y Saldos'!Q28+'Sumas y Saldos'!Q87+'Sumas y Saldos'!Q265</f>
      </c>
      <c r="J39" s="98">
        <f>+'Sumas y Saldos'!Z172+'Sumas y Saldos'!Z128+'Sumas y Saldos'!Z226+'Sumas y Saldos'!Z60+'Sumas y Saldos'!Z28+'Sumas y Saldos'!Z87+'Sumas y Saldos'!Z265</f>
      </c>
      <c r="K39" s="98">
        <f>+'Sumas y Saldos'!AC172+'Sumas y Saldos'!AC128+'Sumas y Saldos'!AC226+'Sumas y Saldos'!AC60+'Sumas y Saldos'!AC28+'Sumas y Saldos'!AC87+'Sumas y Saldos'!AC265</f>
      </c>
      <c r="L39" s="98">
        <f>+'Sumas y Saldos'!AF172+'Sumas y Saldos'!AF128+'Sumas y Saldos'!AF226+'Sumas y Saldos'!AF60+'Sumas y Saldos'!AF28+'Sumas y Saldos'!AF87+'Sumas y Saldos'!AF265</f>
      </c>
      <c r="M39" s="98">
        <f>+'Sumas y Saldos'!W172+'Sumas y Saldos'!W128+'Sumas y Saldos'!W226+'Sumas y Saldos'!W60+'Sumas y Saldos'!W28+'Sumas y Saldos'!W87+'Sumas y Saldos'!W265</f>
      </c>
      <c r="N39" s="98">
        <f>+'Sumas y Saldos'!T172+'Sumas y Saldos'!T128+'Sumas y Saldos'!T226+'Sumas y Saldos'!T60+'Sumas y Saldos'!T28+'Sumas y Saldos'!T87+'Sumas y Saldos'!T265</f>
      </c>
      <c r="O39" s="98">
        <f>+'Sumas y Saldos'!AI172+'Sumas y Saldos'!AI128+'Sumas y Saldos'!AI226+'Sumas y Saldos'!AI60+'Sumas y Saldos'!AI28+'Sumas y Saldos'!AI87+'Sumas y Saldos'!AI265</f>
      </c>
      <c r="P39" s="98">
        <f>+'Sumas y Saldos'!AO172+'Sumas y Saldos'!AO128+'Sumas y Saldos'!AO226+'Sumas y Saldos'!AO60+'Sumas y Saldos'!AO28+'Sumas y Saldos'!AO87+'Sumas y Saldos'!AO265</f>
      </c>
      <c r="Q39" s="98">
        <f>+'Sumas y Saldos'!AL172+'Sumas y Saldos'!AL128+'Sumas y Saldos'!AL226+'Sumas y Saldos'!AL60+'Sumas y Saldos'!AL28+'Sumas y Saldos'!AL87+'Sumas y Saldos'!AL265</f>
      </c>
      <c r="R39" s="98">
        <v>0</v>
      </c>
      <c r="S39" s="98">
        <v>0</v>
      </c>
      <c r="T39" s="98">
        <f>'Sumas y Saldos'!BD172+'Sumas y Saldos'!BD128</f>
      </c>
      <c r="U39" s="98">
        <f>'Sumas y Saldos'!BM172+'Sumas y Saldos'!BM87+'Sumas y Saldos'!BM238</f>
      </c>
      <c r="V39" s="98">
        <f>'Sumas y Saldos'!BP172+'Sumas y Saldos'!BP128+'Sumas y Saldos'!BP226+'Sumas y Saldos'!BP87</f>
      </c>
      <c r="W39" s="98"/>
      <c r="X39" s="98"/>
      <c r="Y39" s="98"/>
      <c r="Z39" s="98"/>
      <c r="AA39" s="98"/>
      <c r="AB39" s="98"/>
      <c r="AC39" s="98">
        <v>0</v>
      </c>
      <c r="AD39" s="98">
        <v>0</v>
      </c>
      <c r="AE39" s="98">
        <v>0</v>
      </c>
      <c r="AF39" s="98">
        <v>0</v>
      </c>
      <c r="AG39" s="98">
        <v>0</v>
      </c>
      <c r="AH39" s="98">
        <v>0</v>
      </c>
      <c r="AI39" s="101">
        <f>SUM(W39:AH39)</f>
      </c>
      <c r="AJ39" s="73"/>
      <c r="AK39" s="102"/>
    </row>
    <row r="40" ht="12.75" customHeight="1" spans="1:37" x14ac:dyDescent="0.25">
      <c r="A40" s="73" t="s">
        <v>444</v>
      </c>
      <c r="B40" s="73">
        <v>9600000062</v>
      </c>
      <c r="C40" s="95" t="s">
        <v>445</v>
      </c>
      <c r="D40" s="96">
        <f>SUM(F40:V40)+E40</f>
        <v>18469.85</v>
      </c>
      <c r="E40" s="96">
        <f>'Sumas y Saldos'!D41+'Sumas y Saldos'!D186+'Sumas y Saldos'!D250+'Sumas y Saldos'!D137+'Sumas y Saldos'!D42+'Sumas y Saldos'!D29+'Sumas y Saldos'!D88+'Sumas y Saldos'!G41+'Sumas y Saldos'!G295+'Sumas y Saldos'!G186+'Sumas y Saldos'!G250+'Sumas y Saldos'!G137+'Sumas y Saldos'!G42+'Sumas y Saldos'!G29+'Sumas y Saldos'!G88+'Sumas y Saldos'!J41+'Sumas y Saldos'!J186+'Sumas y Saldos'!J250+'Sumas y Saldos'!J137+'Sumas y Saldos'!J42+'Sumas y Saldos'!J29+'Sumas y Saldos'!J88+'Sumas y Saldos'!P41+'Sumas y Saldos'!P186+'Sumas y Saldos'!P250+'Sumas y Saldos'!P137+'Sumas y Saldos'!P42+'Sumas y Saldos'!P29+'Sumas y Saldos'!P88+'Sumas y Saldos'!Y41+'Sumas y Saldos'!Y186+'Sumas y Saldos'!Y250+'Sumas y Saldos'!Y137+'Sumas y Saldos'!Y42+'Sumas y Saldos'!Y29+'Sumas y Saldos'!Y88+'Sumas y Saldos'!AB41+'Sumas y Saldos'!AB186+'Sumas y Saldos'!AB250+'Sumas y Saldos'!AB137+'Sumas y Saldos'!AB42+'Sumas y Saldos'!AB29+'Sumas y Saldos'!AB88+'Sumas y Saldos'!AE41+'Sumas y Saldos'!AE186+'Sumas y Saldos'!AE250+'Sumas y Saldos'!AE137+'Sumas y Saldos'!AE42+'Sumas y Saldos'!AE29+'Sumas y Saldos'!AE88+'Sumas y Saldos'!V41+'Sumas y Saldos'!V186+'Sumas y Saldos'!V250+'Sumas y Saldos'!V137+'Sumas y Saldos'!V42+'Sumas y Saldos'!V29+'Sumas y Saldos'!V88+'Sumas y Saldos'!S41+'Sumas y Saldos'!S186+'Sumas y Saldos'!S250+'Sumas y Saldos'!S137+'Sumas y Saldos'!S42+'Sumas y Saldos'!S29+'Sumas y Saldos'!S88+'Sumas y Saldos'!AH41+'Sumas y Saldos'!AH186+'Sumas y Saldos'!AH250+'Sumas y Saldos'!AH137+'Sumas y Saldos'!AH42+'Sumas y Saldos'!AH29+'Sumas y Saldos'!AH88+'Sumas y Saldos'!AN41+'Sumas y Saldos'!AN186+'Sumas y Saldos'!AN250+'Sumas y Saldos'!AN137+'Sumas y Saldos'!AN42+'Sumas y Saldos'!AN29+'Sumas y Saldos'!AN88+'Sumas y Saldos'!AK41+'Sumas y Saldos'!AK186+'Sumas y Saldos'!AK250+'Sumas y Saldos'!AK137+'Sumas y Saldos'!AK42+'Sumas y Saldos'!AK29+'Sumas y Saldos'!AK88+'Sumas y Saldos'!BF186+'Sumas y Saldos'!BI186+'Sumas y Saldos'!BC186+'Sumas y Saldos'!BL186+'Sumas y Saldos'!BL295+'Sumas y Saldos'!BL250+'Sumas y Saldos'!BL245+'Sumas y Saldos'!BO186+'Sumas y Saldos'!BO41+'Sumas y Saldos'!BO250+'Sumas y Saldos'!BO88</f>
      </c>
      <c r="F40" s="98">
        <f>'Sumas y Saldos'!E41+'Sumas y Saldos'!E186+'Sumas y Saldos'!E250+'Sumas y Saldos'!E137+'Sumas y Saldos'!E42+'Sumas y Saldos'!E29+'Sumas y Saldos'!E88</f>
      </c>
      <c r="G40" s="98">
        <f>'Sumas y Saldos'!H41+'Sumas y Saldos'!F295+'Sumas y Saldos'!H186+'Sumas y Saldos'!H250+'Sumas y Saldos'!H137+'Sumas y Saldos'!H42+'Sumas y Saldos'!H29+'Sumas y Saldos'!H88</f>
      </c>
      <c r="H40" s="98">
        <f>'Sumas y Saldos'!K41+'Sumas y Saldos'!K186+'Sumas y Saldos'!K250+'Sumas y Saldos'!K137+'Sumas y Saldos'!K42+'Sumas y Saldos'!K29+'Sumas y Saldos'!K88</f>
      </c>
      <c r="I40" s="98">
        <f>'Sumas y Saldos'!Q41+'Sumas y Saldos'!Q186+'Sumas y Saldos'!Q250+'Sumas y Saldos'!Q137+'Sumas y Saldos'!Q42+'Sumas y Saldos'!Q29+'Sumas y Saldos'!Q88</f>
      </c>
      <c r="J40" s="98">
        <f>'Sumas y Saldos'!Z41+'Sumas y Saldos'!Z186+'Sumas y Saldos'!Z250+'Sumas y Saldos'!Z137+'Sumas y Saldos'!Z42+'Sumas y Saldos'!Z29+'Sumas y Saldos'!Z88</f>
      </c>
      <c r="K40" s="98">
        <f>'Sumas y Saldos'!AC41+'Sumas y Saldos'!AC186+'Sumas y Saldos'!AC250+'Sumas y Saldos'!AC137+'Sumas y Saldos'!AC42+'Sumas y Saldos'!AC29+'Sumas y Saldos'!AC88</f>
      </c>
      <c r="L40" s="98">
        <f>'Sumas y Saldos'!AF41+'Sumas y Saldos'!AF186+'Sumas y Saldos'!AF250+'Sumas y Saldos'!AF137+'Sumas y Saldos'!AF42+'Sumas y Saldos'!AF29+'Sumas y Saldos'!AF88</f>
      </c>
      <c r="M40" s="98">
        <f>'Sumas y Saldos'!W41+'Sumas y Saldos'!W186+'Sumas y Saldos'!W250+'Sumas y Saldos'!W137+'Sumas y Saldos'!W42+'Sumas y Saldos'!W29+'Sumas y Saldos'!W88</f>
      </c>
      <c r="N40" s="98">
        <f>'Sumas y Saldos'!T41+'Sumas y Saldos'!T186+'Sumas y Saldos'!T250+'Sumas y Saldos'!T137+'Sumas y Saldos'!T42+'Sumas y Saldos'!T29+'Sumas y Saldos'!T88</f>
      </c>
      <c r="O40" s="98">
        <f>'Sumas y Saldos'!AI41+'Sumas y Saldos'!AI186+'Sumas y Saldos'!AI250+'Sumas y Saldos'!AI137+'Sumas y Saldos'!AI42+'Sumas y Saldos'!AI29+'Sumas y Saldos'!AI88</f>
      </c>
      <c r="P40" s="98">
        <f>'Sumas y Saldos'!AO41+'Sumas y Saldos'!AO186+'Sumas y Saldos'!AO250+'Sumas y Saldos'!AO137+'Sumas y Saldos'!AO42+'Sumas y Saldos'!AO29+'Sumas y Saldos'!AO88</f>
      </c>
      <c r="Q40" s="98">
        <f>'Sumas y Saldos'!AL41+'Sumas y Saldos'!AL186+'Sumas y Saldos'!AL250+'Sumas y Saldos'!AL137+'Sumas y Saldos'!AL42+'Sumas y Saldos'!AL29+'Sumas y Saldos'!AL88</f>
      </c>
      <c r="R40" s="98">
        <f>+'Sumas y Saldos'!BE186</f>
      </c>
      <c r="S40" s="98">
        <f>+'Sumas y Saldos'!BF186</f>
      </c>
      <c r="T40" s="98">
        <f>+'Sumas y Saldos'!BD186</f>
      </c>
      <c r="U40" s="98">
        <f>'Sumas y Saldos'!BM186+'Sumas y Saldos'!BM295+'Sumas y Saldos'!BM250+'Sumas y Saldos'!BM245</f>
      </c>
      <c r="V40" s="98">
        <f>'Sumas y Saldos'!BP186+'Sumas y Saldos'!BP41+'Sumas y Saldos'!BP250+'Sumas y Saldos'!BP88</f>
      </c>
      <c r="W40" s="98"/>
      <c r="X40" s="98"/>
      <c r="Y40" s="98"/>
      <c r="Z40" s="98"/>
      <c r="AA40" s="98"/>
      <c r="AB40" s="98"/>
      <c r="AC40" s="98">
        <v>18469.85</v>
      </c>
      <c r="AD40" s="98">
        <v>6481.67</v>
      </c>
      <c r="AE40" s="98">
        <v>13523.85</v>
      </c>
      <c r="AF40" s="98">
        <v>16367.66</v>
      </c>
      <c r="AG40" s="98">
        <v>38159.61</v>
      </c>
      <c r="AH40" s="98">
        <v>26653.13</v>
      </c>
      <c r="AI40" s="101">
        <f>SUM(W40:AH40)</f>
        <v>119655.77</v>
      </c>
      <c r="AJ40" s="73"/>
      <c r="AK40" s="102"/>
    </row>
    <row r="41" ht="12.75" customHeight="1" spans="1:37" x14ac:dyDescent="0.25">
      <c r="A41" s="73" t="s">
        <v>446</v>
      </c>
      <c r="B41" s="73">
        <v>9600000062</v>
      </c>
      <c r="C41" s="95" t="s">
        <v>447</v>
      </c>
      <c r="D41" s="96">
        <f>SUM(F41:V41)+E41</f>
      </c>
      <c r="E41" s="96">
        <v>0</v>
      </c>
      <c r="F41" s="98">
        <v>0</v>
      </c>
      <c r="G41" s="98">
        <v>0</v>
      </c>
      <c r="H41" s="98">
        <v>0</v>
      </c>
      <c r="I41" s="98">
        <v>0</v>
      </c>
      <c r="J41" s="98">
        <v>0</v>
      </c>
      <c r="K41" s="98">
        <v>0</v>
      </c>
      <c r="L41" s="98">
        <v>0</v>
      </c>
      <c r="M41" s="98">
        <v>0</v>
      </c>
      <c r="N41" s="98">
        <v>0</v>
      </c>
      <c r="O41" s="98">
        <v>0</v>
      </c>
      <c r="P41" s="98">
        <v>0</v>
      </c>
      <c r="Q41" s="98">
        <v>0</v>
      </c>
      <c r="R41" s="98"/>
      <c r="S41" s="98"/>
      <c r="T41" s="98">
        <v>0</v>
      </c>
      <c r="U41" s="98"/>
      <c r="V41" s="98"/>
      <c r="W41" s="98"/>
      <c r="X41" s="98"/>
      <c r="Y41" s="98"/>
      <c r="Z41" s="98"/>
      <c r="AA41" s="98"/>
      <c r="AB41" s="98"/>
      <c r="AC41" s="98">
        <v>0</v>
      </c>
      <c r="AD41" s="98">
        <v>0</v>
      </c>
      <c r="AE41" s="98">
        <v>0</v>
      </c>
      <c r="AF41" s="98">
        <v>0</v>
      </c>
      <c r="AG41" s="98">
        <v>0</v>
      </c>
      <c r="AH41" s="98">
        <v>0</v>
      </c>
      <c r="AI41" s="101">
        <f>SUM(W41:AH41)</f>
      </c>
      <c r="AJ41" s="73"/>
      <c r="AK41" s="102"/>
    </row>
    <row r="42" ht="12.75" customHeight="1" spans="1:37" x14ac:dyDescent="0.25">
      <c r="A42" s="73" t="s">
        <v>448</v>
      </c>
      <c r="B42" s="73">
        <v>9600000062</v>
      </c>
      <c r="C42" s="95" t="s">
        <v>449</v>
      </c>
      <c r="D42" s="96">
        <f>SUM(F42:V42)+E42</f>
        <v>333.34000000000003</v>
      </c>
      <c r="E42" s="96">
        <f>'Sumas y Saldos'!D45+'Sumas y Saldos'!D46+'Sumas y Saldos'!D141+'Sumas y Saldos'!D48+'Sumas y Saldos'!D11+'Sumas y Saldos'!D47+'Sumas y Saldos'!D220+'Sumas y Saldos'!G45+'Sumas y Saldos'!G46+'Sumas y Saldos'!G141+'Sumas y Saldos'!G48+'Sumas y Saldos'!G11+'Sumas y Saldos'!G47+'Sumas y Saldos'!G220+'Sumas y Saldos'!J45+'Sumas y Saldos'!J46+'Sumas y Saldos'!J141+'Sumas y Saldos'!J48+'Sumas y Saldos'!J11+'Sumas y Saldos'!J47+'Sumas y Saldos'!J220+'Sumas y Saldos'!P45+'Sumas y Saldos'!P46+'Sumas y Saldos'!P141+'Sumas y Saldos'!P48+'Sumas y Saldos'!P11+'Sumas y Saldos'!P47+'Sumas y Saldos'!P220+'Sumas y Saldos'!Y45+'Sumas y Saldos'!Y46+'Sumas y Saldos'!Y141+'Sumas y Saldos'!Y48+'Sumas y Saldos'!Y11+'Sumas y Saldos'!Y47+'Sumas y Saldos'!Y220+'Sumas y Saldos'!AB45+'Sumas y Saldos'!AB46+'Sumas y Saldos'!AB141+'Sumas y Saldos'!AB48+'Sumas y Saldos'!AB11+'Sumas y Saldos'!AB47+'Sumas y Saldos'!AB220+'Sumas y Saldos'!AE45+'Sumas y Saldos'!AE46+'Sumas y Saldos'!AE141+'Sumas y Saldos'!AE48+'Sumas y Saldos'!AE11+'Sumas y Saldos'!AE47+'Sumas y Saldos'!AE220+'Sumas y Saldos'!V45+'Sumas y Saldos'!V46+'Sumas y Saldos'!V141+'Sumas y Saldos'!V48+'Sumas y Saldos'!V11+'Sumas y Saldos'!V47+'Sumas y Saldos'!V220+'Sumas y Saldos'!S45+'Sumas y Saldos'!S46+'Sumas y Saldos'!S141+'Sumas y Saldos'!S48+'Sumas y Saldos'!S11+'Sumas y Saldos'!S47+'Sumas y Saldos'!S220+'Sumas y Saldos'!AH45+'Sumas y Saldos'!AH46+'Sumas y Saldos'!AH141+'Sumas y Saldos'!AH48+'Sumas y Saldos'!AH11+'Sumas y Saldos'!AH47+'Sumas y Saldos'!AH220+'Sumas y Saldos'!AN45+'Sumas y Saldos'!AN46+'Sumas y Saldos'!AN141+'Sumas y Saldos'!AN48+'Sumas y Saldos'!AN11+'Sumas y Saldos'!AN47+'Sumas y Saldos'!AN220+'Sumas y Saldos'!AK45+'Sumas y Saldos'!AK46+'Sumas y Saldos'!AK141+'Sumas y Saldos'!AK48+'Sumas y Saldos'!AK11+'Sumas y Saldos'!AK47+'Sumas y Saldos'!AK220+'Sumas y Saldos'!BC141+'Sumas y Saldos'!BL141+'Sumas y Saldos'!BL257+'Sumas y Saldos'!BO257</f>
      </c>
      <c r="F42" s="98">
        <f>'Sumas y Saldos'!E45+'Sumas y Saldos'!E46+'Sumas y Saldos'!E141+'Sumas y Saldos'!E48+'Sumas y Saldos'!E11+'Sumas y Saldos'!E47+'Sumas y Saldos'!E220</f>
      </c>
      <c r="G42" s="98">
        <f>'Sumas y Saldos'!H45+'Sumas y Saldos'!H46+'Sumas y Saldos'!H141+'Sumas y Saldos'!H48+'Sumas y Saldos'!H11+'Sumas y Saldos'!H47+'Sumas y Saldos'!H220</f>
      </c>
      <c r="H42" s="98">
        <f>'Sumas y Saldos'!K45+'Sumas y Saldos'!K46+'Sumas y Saldos'!K141+'Sumas y Saldos'!K48+'Sumas y Saldos'!K11+'Sumas y Saldos'!K47+'Sumas y Saldos'!K220</f>
      </c>
      <c r="I42" s="98">
        <f>'Sumas y Saldos'!Q45+'Sumas y Saldos'!Q46+'Sumas y Saldos'!Q141+'Sumas y Saldos'!Q48+'Sumas y Saldos'!Q11+'Sumas y Saldos'!Q47+'Sumas y Saldos'!Q220</f>
      </c>
      <c r="J42" s="98">
        <f>'Sumas y Saldos'!Z45+'Sumas y Saldos'!Z46+'Sumas y Saldos'!Z141+'Sumas y Saldos'!Z48+'Sumas y Saldos'!Z11+'Sumas y Saldos'!Z47+'Sumas y Saldos'!Z220</f>
      </c>
      <c r="K42" s="98">
        <f>'Sumas y Saldos'!AC45+'Sumas y Saldos'!AC46+'Sumas y Saldos'!AC141+'Sumas y Saldos'!AC48+'Sumas y Saldos'!AC11+'Sumas y Saldos'!AC47+'Sumas y Saldos'!AC220</f>
      </c>
      <c r="L42" s="98">
        <f>'Sumas y Saldos'!AF45+'Sumas y Saldos'!AF46+'Sumas y Saldos'!AF141+'Sumas y Saldos'!AF48+'Sumas y Saldos'!AF11+'Sumas y Saldos'!AF47+'Sumas y Saldos'!AF220</f>
      </c>
      <c r="M42" s="98">
        <f>'Sumas y Saldos'!W45+'Sumas y Saldos'!W46+'Sumas y Saldos'!W141+'Sumas y Saldos'!W48+'Sumas y Saldos'!W11+'Sumas y Saldos'!W47+'Sumas y Saldos'!W220</f>
      </c>
      <c r="N42" s="98">
        <f>'Sumas y Saldos'!T45+'Sumas y Saldos'!T46+'Sumas y Saldos'!T141+'Sumas y Saldos'!T48+'Sumas y Saldos'!T11+'Sumas y Saldos'!T47+'Sumas y Saldos'!T220</f>
      </c>
      <c r="O42" s="98">
        <f>'Sumas y Saldos'!AI45+'Sumas y Saldos'!AI46+'Sumas y Saldos'!AI141+'Sumas y Saldos'!AI48+'Sumas y Saldos'!AI11+'Sumas y Saldos'!AI47+'Sumas y Saldos'!AI220</f>
      </c>
      <c r="P42" s="98">
        <f>'Sumas y Saldos'!AO45+'Sumas y Saldos'!AO46+'Sumas y Saldos'!AO141+'Sumas y Saldos'!AO48+'Sumas y Saldos'!AO11+'Sumas y Saldos'!AO47+'Sumas y Saldos'!AO220</f>
      </c>
      <c r="Q42" s="98">
        <f>'Sumas y Saldos'!AL45+'Sumas y Saldos'!AL46+'Sumas y Saldos'!AL141+'Sumas y Saldos'!AL48+'Sumas y Saldos'!AL11+'Sumas y Saldos'!AL47+'Sumas y Saldos'!AL220</f>
      </c>
      <c r="R42" s="98"/>
      <c r="S42" s="98"/>
      <c r="T42" s="98">
        <f>'Sumas y Saldos'!BD141</f>
      </c>
      <c r="U42" s="98">
        <f>'Sumas y Saldos'!BM141+'Sumas y Saldos'!BM257</f>
      </c>
      <c r="V42" s="98">
        <f>+'Sumas y Saldos'!BP257</f>
      </c>
      <c r="W42" s="98"/>
      <c r="X42" s="98"/>
      <c r="Y42" s="98"/>
      <c r="Z42" s="98"/>
      <c r="AA42" s="98"/>
      <c r="AB42" s="98"/>
      <c r="AC42" s="98">
        <v>333.34000000000003</v>
      </c>
      <c r="AD42" s="98">
        <v>194.08</v>
      </c>
      <c r="AE42" s="98">
        <v>687.46</v>
      </c>
      <c r="AF42" s="98">
        <v>850.28</v>
      </c>
      <c r="AG42" s="98">
        <v>1628.9</v>
      </c>
      <c r="AH42" s="98">
        <v>18476.3</v>
      </c>
      <c r="AI42" s="101">
        <f>SUM(W42:AH42)</f>
        <v>22170.36</v>
      </c>
      <c r="AJ42" s="73"/>
      <c r="AK42" s="102"/>
    </row>
    <row r="43" ht="12.75" customHeight="1" spans="1:37" x14ac:dyDescent="0.25">
      <c r="A43" s="73" t="s">
        <v>450</v>
      </c>
      <c r="B43" s="73">
        <v>9600000062</v>
      </c>
      <c r="C43" s="95" t="s">
        <v>451</v>
      </c>
      <c r="D43" s="96">
        <f>SUM(F43:V43)+E43</f>
      </c>
      <c r="E43" s="96">
        <f>'Sumas y Saldos'!D243+'Sumas y Saldos'!D185+'Sumas y Saldos'!D244+'Sumas y Saldos'!G243+'Sumas y Saldos'!G185+'Sumas y Saldos'!G244+'Sumas y Saldos'!J243+'Sumas y Saldos'!J185+'Sumas y Saldos'!J244+'Sumas y Saldos'!P243+'Sumas y Saldos'!P185+'Sumas y Saldos'!P244+'Sumas y Saldos'!Y243+'Sumas y Saldos'!Y185+'Sumas y Saldos'!Y244+'Sumas y Saldos'!AB243+'Sumas y Saldos'!AB185+'Sumas y Saldos'!AB244+'Sumas y Saldos'!AE243+'Sumas y Saldos'!AE185+'Sumas y Saldos'!AE244+'Sumas y Saldos'!V243+'Sumas y Saldos'!V185+'Sumas y Saldos'!V244+'Sumas y Saldos'!S243+'Sumas y Saldos'!S185+'Sumas y Saldos'!S244+'Sumas y Saldos'!AH243+'Sumas y Saldos'!AH185+'Sumas y Saldos'!AH244+'Sumas y Saldos'!AN243+'Sumas y Saldos'!AN185+'Sumas y Saldos'!AN244+'Sumas y Saldos'!AK243+'Sumas y Saldos'!AK185+'Sumas y Saldos'!AK244+'Sumas y Saldos'!BC185+'Sumas y Saldos'!BL185+'Sumas y Saldos'!BL243+'Sumas y Saldos'!BO244</f>
      </c>
      <c r="F43" s="98">
        <f>'Sumas y Saldos'!E243+'Sumas y Saldos'!E185+'Sumas y Saldos'!E244</f>
      </c>
      <c r="G43" s="98">
        <f>'Sumas y Saldos'!H243+'Sumas y Saldos'!H185+'Sumas y Saldos'!H244</f>
      </c>
      <c r="H43" s="98">
        <f>'Sumas y Saldos'!K243+'Sumas y Saldos'!K185+'Sumas y Saldos'!K244</f>
      </c>
      <c r="I43" s="98">
        <f>'Sumas y Saldos'!Q243+'Sumas y Saldos'!Q185+'Sumas y Saldos'!Q244</f>
      </c>
      <c r="J43" s="98">
        <f>'Sumas y Saldos'!Z243+'Sumas y Saldos'!Z185+'Sumas y Saldos'!Z244</f>
      </c>
      <c r="K43" s="98">
        <f>'Sumas y Saldos'!AC243+'Sumas y Saldos'!AC185+'Sumas y Saldos'!AC244</f>
      </c>
      <c r="L43" s="98">
        <f>'Sumas y Saldos'!AF243+'Sumas y Saldos'!AF185+'Sumas y Saldos'!AF244</f>
      </c>
      <c r="M43" s="98">
        <f>'Sumas y Saldos'!W243+'Sumas y Saldos'!W185+'Sumas y Saldos'!W244</f>
      </c>
      <c r="N43" s="98">
        <f>'Sumas y Saldos'!T243+'Sumas y Saldos'!T185+'Sumas y Saldos'!T244</f>
      </c>
      <c r="O43" s="98">
        <f>'Sumas y Saldos'!AI243+'Sumas y Saldos'!AI185+'Sumas y Saldos'!AI244</f>
      </c>
      <c r="P43" s="98">
        <f>'Sumas y Saldos'!AO243+'Sumas y Saldos'!AO185+'Sumas y Saldos'!AO244</f>
      </c>
      <c r="Q43" s="98">
        <f>'Sumas y Saldos'!AL243+'Sumas y Saldos'!AL185+'Sumas y Saldos'!AL244</f>
      </c>
      <c r="R43" s="98"/>
      <c r="S43" s="98"/>
      <c r="T43" s="98">
        <f>'Sumas y Saldos'!BD185</f>
      </c>
      <c r="U43" s="98">
        <f>'Sumas y Saldos'!BK185+'Sumas y Saldos'!BM243</f>
      </c>
      <c r="V43" s="98">
        <f>+'Sumas y Saldos'!BN244</f>
      </c>
      <c r="W43" s="98"/>
      <c r="X43" s="98"/>
      <c r="Y43" s="98"/>
      <c r="Z43" s="98"/>
      <c r="AA43" s="98"/>
      <c r="AB43" s="98"/>
      <c r="AC43" s="98">
        <v>0</v>
      </c>
      <c r="AD43" s="98">
        <v>0</v>
      </c>
      <c r="AE43" s="98">
        <v>6047.35</v>
      </c>
      <c r="AF43" s="98">
        <v>0</v>
      </c>
      <c r="AG43" s="98">
        <v>7.74</v>
      </c>
      <c r="AH43" s="98">
        <v>0</v>
      </c>
      <c r="AI43" s="101">
        <f>SUM(W43:AH43)</f>
        <v>6055.09</v>
      </c>
      <c r="AJ43" s="73"/>
      <c r="AK43" s="102"/>
    </row>
    <row r="44" ht="12.75" customHeight="1" spans="1:37" x14ac:dyDescent="0.25">
      <c r="A44" s="73" t="s">
        <v>452</v>
      </c>
      <c r="B44" s="103">
        <v>6792020061</v>
      </c>
      <c r="C44" s="95" t="s">
        <v>453</v>
      </c>
      <c r="D44" s="96">
        <f>SUM(F44:V44)+E44</f>
      </c>
      <c r="E44" s="96">
        <v>0</v>
      </c>
      <c r="F44" s="98">
        <v>0</v>
      </c>
      <c r="G44" s="98">
        <v>0</v>
      </c>
      <c r="H44" s="98">
        <v>0</v>
      </c>
      <c r="I44" s="98">
        <v>0</v>
      </c>
      <c r="J44" s="98">
        <v>0</v>
      </c>
      <c r="K44" s="98">
        <v>0</v>
      </c>
      <c r="L44" s="98">
        <v>0</v>
      </c>
      <c r="M44" s="98">
        <v>0</v>
      </c>
      <c r="N44" s="98">
        <v>0</v>
      </c>
      <c r="O44" s="98">
        <v>0</v>
      </c>
      <c r="P44" s="98">
        <v>0</v>
      </c>
      <c r="Q44" s="98">
        <v>0</v>
      </c>
      <c r="R44" s="98"/>
      <c r="S44" s="98"/>
      <c r="T44" s="98">
        <v>0</v>
      </c>
      <c r="U44" s="98"/>
      <c r="V44" s="98"/>
      <c r="W44" s="98"/>
      <c r="X44" s="98"/>
      <c r="Y44" s="98"/>
      <c r="Z44" s="98"/>
      <c r="AA44" s="98"/>
      <c r="AB44" s="98"/>
      <c r="AC44" s="98">
        <v>0</v>
      </c>
      <c r="AD44" s="98">
        <v>0</v>
      </c>
      <c r="AE44" s="98">
        <v>0</v>
      </c>
      <c r="AF44" s="98">
        <v>0</v>
      </c>
      <c r="AG44" s="98">
        <v>0</v>
      </c>
      <c r="AH44" s="98">
        <v>0</v>
      </c>
      <c r="AI44" s="101">
        <f>SUM(W44:AH44)</f>
      </c>
      <c r="AJ44" s="73"/>
      <c r="AK44" s="102"/>
    </row>
    <row r="45" ht="12.75" customHeight="1" spans="1:37" x14ac:dyDescent="0.25">
      <c r="A45" s="73" t="s">
        <v>454</v>
      </c>
      <c r="B45" s="103">
        <v>6792020061</v>
      </c>
      <c r="C45" s="95" t="s">
        <v>455</v>
      </c>
      <c r="D45" s="96">
        <f>SUM(F45:V45)+E45</f>
      </c>
      <c r="E45" s="96">
        <f>'Sumas y Saldos'!D12+'Sumas y Saldos'!D158+'Sumas y Saldos'!D35+'Sumas y Saldos'!D76+'Sumas y Saldos'!D107+'Sumas y Saldos'!D210+'Sumas y Saldos'!G12+'Sumas y Saldos'!G158+'Sumas y Saldos'!G35+'Sumas y Saldos'!G76+'Sumas y Saldos'!G107+'Sumas y Saldos'!G210+'Sumas y Saldos'!J12+'Sumas y Saldos'!J158+'Sumas y Saldos'!J35+'Sumas y Saldos'!J76+'Sumas y Saldos'!J107+'Sumas y Saldos'!J210+'Sumas y Saldos'!P12+'Sumas y Saldos'!P158+'Sumas y Saldos'!P35+'Sumas y Saldos'!P76+'Sumas y Saldos'!P107+'Sumas y Saldos'!P210+'Sumas y Saldos'!Y12+'Sumas y Saldos'!Y158+'Sumas y Saldos'!Y35+'Sumas y Saldos'!Y76+'Sumas y Saldos'!Y107+'Sumas y Saldos'!Y210+'Sumas y Saldos'!AB12+'Sumas y Saldos'!AB158+'Sumas y Saldos'!AB35+'Sumas y Saldos'!AB76+'Sumas y Saldos'!AB107+'Sumas y Saldos'!AB210+'Sumas y Saldos'!AE12+'Sumas y Saldos'!AE158+'Sumas y Saldos'!AE35+'Sumas y Saldos'!AE76+'Sumas y Saldos'!AE107+'Sumas y Saldos'!AE210+'Sumas y Saldos'!V12+'Sumas y Saldos'!V158+'Sumas y Saldos'!V35+'Sumas y Saldos'!V76+'Sumas y Saldos'!V107+'Sumas y Saldos'!V210+'Sumas y Saldos'!S12+'Sumas y Saldos'!S158+'Sumas y Saldos'!S35+'Sumas y Saldos'!S76+'Sumas y Saldos'!S107+'Sumas y Saldos'!S210+'Sumas y Saldos'!AH12+'Sumas y Saldos'!AH158+'Sumas y Saldos'!AH35+'Sumas y Saldos'!AH76+'Sumas y Saldos'!AH107+'Sumas y Saldos'!AH210+'Sumas y Saldos'!AN12+'Sumas y Saldos'!AN158+'Sumas y Saldos'!AN35+'Sumas y Saldos'!AN76+'Sumas y Saldos'!AN107+'Sumas y Saldos'!AN210+'Sumas y Saldos'!AK12+'Sumas y Saldos'!AK158+'Sumas y Saldos'!AK35+'Sumas y Saldos'!AK76+'Sumas y Saldos'!AK107+'Sumas y Saldos'!AK210+'Sumas y Saldos'!BC158</f>
      </c>
      <c r="F45" s="98">
        <f>'Sumas y Saldos'!E12+'Sumas y Saldos'!E158+'Sumas y Saldos'!E35+'Sumas y Saldos'!E76+'Sumas y Saldos'!E107+'Sumas y Saldos'!E210</f>
      </c>
      <c r="G45" s="98">
        <f>'Sumas y Saldos'!H12+'Sumas y Saldos'!H158+'Sumas y Saldos'!H35+'Sumas y Saldos'!H76+'Sumas y Saldos'!H107+'Sumas y Saldos'!H210</f>
      </c>
      <c r="H45" s="98">
        <f>'Sumas y Saldos'!K12+'Sumas y Saldos'!K158+'Sumas y Saldos'!K35+'Sumas y Saldos'!K76+'Sumas y Saldos'!K107+'Sumas y Saldos'!K210</f>
      </c>
      <c r="I45" s="98">
        <f>'Sumas y Saldos'!Q12+'Sumas y Saldos'!Q158+'Sumas y Saldos'!Q35+'Sumas y Saldos'!Q76+'Sumas y Saldos'!Q107+'Sumas y Saldos'!Q210</f>
      </c>
      <c r="J45" s="98">
        <f>'Sumas y Saldos'!Z12+'Sumas y Saldos'!Z158+'Sumas y Saldos'!Z35+'Sumas y Saldos'!Z76+'Sumas y Saldos'!Z107+'Sumas y Saldos'!Z210</f>
      </c>
      <c r="K45" s="98">
        <f>'Sumas y Saldos'!AC12+'Sumas y Saldos'!AC158+'Sumas y Saldos'!AC35+'Sumas y Saldos'!AC76+'Sumas y Saldos'!AC107+'Sumas y Saldos'!AC210</f>
      </c>
      <c r="L45" s="98">
        <f>'Sumas y Saldos'!AF12+'Sumas y Saldos'!AF158+'Sumas y Saldos'!AF35+'Sumas y Saldos'!AF76+'Sumas y Saldos'!AF107+'Sumas y Saldos'!AF210</f>
      </c>
      <c r="M45" s="98">
        <f>'Sumas y Saldos'!W12+'Sumas y Saldos'!W158+'Sumas y Saldos'!W35+'Sumas y Saldos'!W76+'Sumas y Saldos'!W107+'Sumas y Saldos'!W210</f>
      </c>
      <c r="N45" s="98">
        <f>'Sumas y Saldos'!T12+'Sumas y Saldos'!T158+'Sumas y Saldos'!T35+'Sumas y Saldos'!T76+'Sumas y Saldos'!T107+'Sumas y Saldos'!T210</f>
      </c>
      <c r="O45" s="98">
        <f>'Sumas y Saldos'!AI12+'Sumas y Saldos'!AI158+'Sumas y Saldos'!AI35+'Sumas y Saldos'!AI76+'Sumas y Saldos'!AI107+'Sumas y Saldos'!AI210</f>
      </c>
      <c r="P45" s="98">
        <f>'Sumas y Saldos'!AO12+'Sumas y Saldos'!AO158+'Sumas y Saldos'!AO35+'Sumas y Saldos'!AO76+'Sumas y Saldos'!AO107+'Sumas y Saldos'!AO210</f>
      </c>
      <c r="Q45" s="98">
        <f>'Sumas y Saldos'!AL12+'Sumas y Saldos'!AL158+'Sumas y Saldos'!AL35+'Sumas y Saldos'!AL76+'Sumas y Saldos'!AL107+'Sumas y Saldos'!AL210</f>
      </c>
      <c r="R45" s="98"/>
      <c r="S45" s="98"/>
      <c r="T45" s="98">
        <f>+'Sumas y Saldos'!BD158</f>
      </c>
      <c r="U45" s="98">
        <v>0</v>
      </c>
      <c r="V45" s="98">
        <v>0</v>
      </c>
      <c r="W45" s="98"/>
      <c r="X45" s="98"/>
      <c r="Y45" s="98"/>
      <c r="Z45" s="98"/>
      <c r="AA45" s="98"/>
      <c r="AB45" s="98"/>
      <c r="AC45" s="98">
        <v>0</v>
      </c>
      <c r="AD45" s="98">
        <v>0</v>
      </c>
      <c r="AE45" s="98">
        <v>0</v>
      </c>
      <c r="AF45" s="98">
        <v>0</v>
      </c>
      <c r="AG45" s="98">
        <v>0</v>
      </c>
      <c r="AH45" s="98">
        <v>0</v>
      </c>
      <c r="AI45" s="101">
        <f>SUM(W45:AH45)</f>
      </c>
      <c r="AJ45" s="73"/>
      <c r="AK45" s="102"/>
    </row>
    <row r="46" ht="12.75" customHeight="1" spans="1:37" x14ac:dyDescent="0.25">
      <c r="A46" s="73" t="s">
        <v>456</v>
      </c>
      <c r="B46" s="104">
        <v>6814200060</v>
      </c>
      <c r="C46" s="95" t="s">
        <v>457</v>
      </c>
      <c r="D46" s="96">
        <f>SUM(F46:V46)+E46</f>
      </c>
      <c r="E46" s="96">
        <f>'Sumas y Saldos'!D50+'Sumas y Saldos'!G50+'Sumas y Saldos'!J50+'Sumas y Saldos'!P50+'Sumas y Saldos'!Y50+'Sumas y Saldos'!AB50+'Sumas y Saldos'!AE50+'Sumas y Saldos'!V50+'Sumas y Saldos'!S50+'Sumas y Saldos'!AH50+'Sumas y Saldos'!AN50+'Sumas y Saldos'!AK50</f>
      </c>
      <c r="F46" s="98">
        <f>'Sumas y Saldos'!E50</f>
      </c>
      <c r="G46" s="98">
        <f>'Sumas y Saldos'!H50</f>
      </c>
      <c r="H46" s="98">
        <f>'Sumas y Saldos'!K50</f>
      </c>
      <c r="I46" s="98">
        <f>'Sumas y Saldos'!Q50</f>
      </c>
      <c r="J46" s="98">
        <f>'Sumas y Saldos'!Z50</f>
      </c>
      <c r="K46" s="98">
        <f>'Sumas y Saldos'!AC50</f>
      </c>
      <c r="L46" s="98">
        <f>'Sumas y Saldos'!AF50</f>
      </c>
      <c r="M46" s="98">
        <f>'Sumas y Saldos'!W50</f>
      </c>
      <c r="N46" s="98">
        <f>'Sumas y Saldos'!T50</f>
      </c>
      <c r="O46" s="98">
        <f>'Sumas y Saldos'!AI50</f>
      </c>
      <c r="P46" s="98">
        <f>'Sumas y Saldos'!AO50</f>
      </c>
      <c r="Q46" s="98">
        <f>'Sumas y Saldos'!AL50</f>
      </c>
      <c r="R46" s="98"/>
      <c r="S46" s="98"/>
      <c r="T46" s="98">
        <v>0</v>
      </c>
      <c r="U46" s="98"/>
      <c r="V46" s="98"/>
      <c r="W46" s="98"/>
      <c r="X46" s="98"/>
      <c r="Y46" s="98"/>
      <c r="Z46" s="98"/>
      <c r="AA46" s="98"/>
      <c r="AB46" s="98"/>
      <c r="AC46" s="98">
        <v>0</v>
      </c>
      <c r="AD46" s="98">
        <v>3918.01</v>
      </c>
      <c r="AE46" s="98">
        <v>3631.57</v>
      </c>
      <c r="AF46" s="98">
        <v>311.38</v>
      </c>
      <c r="AG46" s="98">
        <v>309.41</v>
      </c>
      <c r="AH46" s="98">
        <v>311.12</v>
      </c>
      <c r="AI46" s="101">
        <f>SUM(W46:AH46)</f>
        <v>8481.49</v>
      </c>
      <c r="AJ46" s="73"/>
      <c r="AK46" s="102"/>
    </row>
    <row r="47" ht="12.75" customHeight="1" spans="1:37" x14ac:dyDescent="0.25">
      <c r="A47" s="73"/>
      <c r="B47" s="104"/>
      <c r="C47" s="95" t="s">
        <v>458</v>
      </c>
      <c r="D47" s="96">
        <f>SUM(F47:V47)+E47</f>
      </c>
      <c r="E47" s="96">
        <v>0</v>
      </c>
      <c r="F47" s="98">
        <v>0</v>
      </c>
      <c r="G47" s="98">
        <v>0</v>
      </c>
      <c r="H47" s="98">
        <v>0</v>
      </c>
      <c r="I47" s="98">
        <v>0</v>
      </c>
      <c r="J47" s="98">
        <v>0</v>
      </c>
      <c r="K47" s="98">
        <v>0</v>
      </c>
      <c r="L47" s="98">
        <v>0</v>
      </c>
      <c r="M47" s="98">
        <v>0</v>
      </c>
      <c r="N47" s="98">
        <v>0</v>
      </c>
      <c r="O47" s="98">
        <v>0</v>
      </c>
      <c r="P47" s="98">
        <v>0</v>
      </c>
      <c r="Q47" s="98">
        <v>0</v>
      </c>
      <c r="R47" s="98"/>
      <c r="S47" s="98"/>
      <c r="T47" s="98">
        <v>0</v>
      </c>
      <c r="U47" s="98"/>
      <c r="V47" s="98"/>
      <c r="W47" s="98"/>
      <c r="X47" s="98"/>
      <c r="Y47" s="98"/>
      <c r="Z47" s="98"/>
      <c r="AA47" s="98"/>
      <c r="AB47" s="98"/>
      <c r="AC47" s="98">
        <v>0</v>
      </c>
      <c r="AD47" s="98">
        <v>0</v>
      </c>
      <c r="AE47" s="98">
        <v>0</v>
      </c>
      <c r="AF47" s="98">
        <v>0</v>
      </c>
      <c r="AG47" s="98">
        <v>0</v>
      </c>
      <c r="AH47" s="98">
        <v>0</v>
      </c>
      <c r="AI47" s="101">
        <f>SUM(W47:AH47)</f>
      </c>
      <c r="AJ47" s="73"/>
      <c r="AK47" s="102"/>
    </row>
    <row r="48" ht="12.75" customHeight="1" spans="1:37" x14ac:dyDescent="0.25">
      <c r="A48" s="73"/>
      <c r="B48" s="104"/>
      <c r="C48" s="95" t="s">
        <v>459</v>
      </c>
      <c r="D48" s="96">
        <f>SUM(F48:V48)+E48</f>
      </c>
      <c r="E48" s="96">
        <v>0</v>
      </c>
      <c r="F48" s="98">
        <v>0</v>
      </c>
      <c r="G48" s="98">
        <v>0</v>
      </c>
      <c r="H48" s="98">
        <v>0</v>
      </c>
      <c r="I48" s="98">
        <v>0</v>
      </c>
      <c r="J48" s="98">
        <v>0</v>
      </c>
      <c r="K48" s="98">
        <v>0</v>
      </c>
      <c r="L48" s="98">
        <v>0</v>
      </c>
      <c r="M48" s="98">
        <v>0</v>
      </c>
      <c r="N48" s="98">
        <v>0</v>
      </c>
      <c r="O48" s="98">
        <v>0</v>
      </c>
      <c r="P48" s="98">
        <v>0</v>
      </c>
      <c r="Q48" s="98">
        <v>0</v>
      </c>
      <c r="R48" s="98"/>
      <c r="S48" s="98"/>
      <c r="T48" s="98">
        <v>0</v>
      </c>
      <c r="U48" s="98"/>
      <c r="V48" s="98"/>
      <c r="W48" s="98"/>
      <c r="X48" s="98"/>
      <c r="Y48" s="98"/>
      <c r="Z48" s="98"/>
      <c r="AA48" s="98"/>
      <c r="AB48" s="98"/>
      <c r="AC48" s="98">
        <v>0</v>
      </c>
      <c r="AD48" s="98">
        <v>0</v>
      </c>
      <c r="AE48" s="98">
        <v>0</v>
      </c>
      <c r="AF48" s="98">
        <v>0</v>
      </c>
      <c r="AG48" s="98">
        <v>0</v>
      </c>
      <c r="AH48" s="98">
        <v>0</v>
      </c>
      <c r="AI48" s="101">
        <f>SUM(W48:AH48)</f>
      </c>
      <c r="AJ48" s="73"/>
      <c r="AK48" s="102"/>
    </row>
    <row r="49" ht="12.75" customHeight="1" spans="1:37" x14ac:dyDescent="0.25">
      <c r="A49" s="73"/>
      <c r="B49" s="104"/>
      <c r="C49" s="95" t="s">
        <v>460</v>
      </c>
      <c r="D49" s="96">
        <f>SUM(F49:V49)+E49</f>
      </c>
      <c r="E49" s="96">
        <f>'Sumas y Saldos'!D206+'Sumas y Saldos'!D164+'Sumas y Saldos'!D252+'Sumas y Saldos'!G206+'Sumas y Saldos'!G164+'Sumas y Saldos'!G252+'Sumas y Saldos'!J206+'Sumas y Saldos'!J164+'Sumas y Saldos'!J252+'Sumas y Saldos'!P206+'Sumas y Saldos'!P164+'Sumas y Saldos'!P252+'Sumas y Saldos'!Y206+'Sumas y Saldos'!Y164+'Sumas y Saldos'!Y252+'Sumas y Saldos'!AB206+'Sumas y Saldos'!AB164+'Sumas y Saldos'!AB252+'Sumas y Saldos'!AE206+'Sumas y Saldos'!AE164+'Sumas y Saldos'!AE252+'Sumas y Saldos'!V206+'Sumas y Saldos'!V164+'Sumas y Saldos'!V252+'Sumas y Saldos'!S206+'Sumas y Saldos'!S164+'Sumas y Saldos'!S252+'Sumas y Saldos'!AH206+'Sumas y Saldos'!AH164+'Sumas y Saldos'!AH252+'Sumas y Saldos'!AN206+'Sumas y Saldos'!AN164+'Sumas y Saldos'!AN252+'Sumas y Saldos'!AK206+'Sumas y Saldos'!AK164+'Sumas y Saldos'!AK252+'Sumas y Saldos'!BC206+'Sumas y Saldos'!BC164+'Sumas y Saldos'!BL206+'Sumas y Saldos'!BO252</f>
      </c>
      <c r="F49" s="98">
        <f>'Sumas y Saldos'!E206+'Sumas y Saldos'!E164+'Sumas y Saldos'!E252</f>
      </c>
      <c r="G49" s="98">
        <f>'Sumas y Saldos'!H206+'Sumas y Saldos'!H164+'Sumas y Saldos'!H252</f>
      </c>
      <c r="H49" s="98">
        <f>'Sumas y Saldos'!K206+'Sumas y Saldos'!K164+'Sumas y Saldos'!K252</f>
      </c>
      <c r="I49" s="98">
        <f>'Sumas y Saldos'!Q206+'Sumas y Saldos'!Q164+'Sumas y Saldos'!Q252</f>
      </c>
      <c r="J49" s="98">
        <f>'Sumas y Saldos'!Z206+'Sumas y Saldos'!Z164+'Sumas y Saldos'!Z252</f>
      </c>
      <c r="K49" s="98">
        <f>'Sumas y Saldos'!AC206+'Sumas y Saldos'!AC164+'Sumas y Saldos'!AC252</f>
      </c>
      <c r="L49" s="98">
        <f>'Sumas y Saldos'!AF206+'Sumas y Saldos'!AF164+'Sumas y Saldos'!AF252</f>
      </c>
      <c r="M49" s="98">
        <f>'Sumas y Saldos'!W206+'Sumas y Saldos'!W164+'Sumas y Saldos'!W252</f>
      </c>
      <c r="N49" s="98">
        <f>'Sumas y Saldos'!T206+'Sumas y Saldos'!T164+'Sumas y Saldos'!T252</f>
      </c>
      <c r="O49" s="98">
        <f>'Sumas y Saldos'!AI206+'Sumas y Saldos'!AI164+'Sumas y Saldos'!AI252</f>
      </c>
      <c r="P49" s="98">
        <f>'Sumas y Saldos'!AO206+'Sumas y Saldos'!AO164+'Sumas y Saldos'!AO252</f>
      </c>
      <c r="Q49" s="98">
        <f>'Sumas y Saldos'!AL206+'Sumas y Saldos'!AL164+'Sumas y Saldos'!AL252</f>
      </c>
      <c r="R49" s="98"/>
      <c r="S49" s="98"/>
      <c r="T49" s="98">
        <f>+'Sumas y Saldos'!BD206+'Sumas y Saldos'!BD164</f>
      </c>
      <c r="U49" s="98">
        <f>'Sumas y Saldos'!BM206</f>
      </c>
      <c r="V49" s="98">
        <f>+'Sumas y Saldos'!BP252</f>
      </c>
      <c r="W49" s="98"/>
      <c r="X49" s="98"/>
      <c r="Y49" s="98"/>
      <c r="Z49" s="98"/>
      <c r="AA49" s="98"/>
      <c r="AB49" s="98"/>
      <c r="AC49" s="98">
        <v>0</v>
      </c>
      <c r="AD49" s="98">
        <v>0</v>
      </c>
      <c r="AE49" s="98">
        <v>0</v>
      </c>
      <c r="AF49" s="98">
        <v>0</v>
      </c>
      <c r="AG49" s="98">
        <v>0</v>
      </c>
      <c r="AH49" s="98">
        <v>0</v>
      </c>
      <c r="AI49" s="101">
        <f>SUM(W49:AH49)</f>
      </c>
      <c r="AJ49" s="73"/>
      <c r="AK49" s="102"/>
    </row>
    <row r="50" ht="12.75" customHeight="1" spans="1:37" x14ac:dyDescent="0.25">
      <c r="A50" s="73" t="s">
        <v>461</v>
      </c>
      <c r="B50" s="73">
        <v>9600000062</v>
      </c>
      <c r="C50" s="95" t="s">
        <v>462</v>
      </c>
      <c r="D50" s="96">
        <f>SUM(F50:V50)+E50</f>
        <v>135.87</v>
      </c>
      <c r="E50" s="96">
        <f>'Sumas y Saldos'!D171+'Sumas y Saldos'!D126+'Sumas y Saldos'!D225+'Sumas y Saldos'!D231+'Sumas y Saldos'!D58+'Sumas y Saldos'!D98+'Sumas y Saldos'!D273+'Sumas y Saldos'!G171+'Sumas y Saldos'!G126+'Sumas y Saldos'!G225+'Sumas y Saldos'!G231+'Sumas y Saldos'!G58+'Sumas y Saldos'!G98+'Sumas y Saldos'!G273+'Sumas y Saldos'!J171+'Sumas y Saldos'!J126+'Sumas y Saldos'!J225+'Sumas y Saldos'!J231+'Sumas y Saldos'!J58+'Sumas y Saldos'!J98+'Sumas y Saldos'!J273+'Sumas y Saldos'!P171+'Sumas y Saldos'!P126+'Sumas y Saldos'!P225+'Sumas y Saldos'!P231+'Sumas y Saldos'!P58+'Sumas y Saldos'!P98+'Sumas y Saldos'!P273+'Sumas y Saldos'!Y171+'Sumas y Saldos'!Y126+'Sumas y Saldos'!Y225+'Sumas y Saldos'!Y231+'Sumas y Saldos'!Y58+'Sumas y Saldos'!Y98+'Sumas y Saldos'!Y273+'Sumas y Saldos'!AB171+'Sumas y Saldos'!AB126+'Sumas y Saldos'!AB225+'Sumas y Saldos'!AB231+'Sumas y Saldos'!AB58+'Sumas y Saldos'!AB98+'Sumas y Saldos'!AB273+'Sumas y Saldos'!AE171+'Sumas y Saldos'!AE126+'Sumas y Saldos'!AE225+'Sumas y Saldos'!AE231+'Sumas y Saldos'!AE58+'Sumas y Saldos'!AE98+'Sumas y Saldos'!AE273+'Sumas y Saldos'!V171+'Sumas y Saldos'!V126+'Sumas y Saldos'!V225+'Sumas y Saldos'!V231+'Sumas y Saldos'!V58+'Sumas y Saldos'!V98+'Sumas y Saldos'!V273+'Sumas y Saldos'!S171+'Sumas y Saldos'!S126+'Sumas y Saldos'!S225+'Sumas y Saldos'!S231+'Sumas y Saldos'!S58+'Sumas y Saldos'!S98+'Sumas y Saldos'!S273+'Sumas y Saldos'!AH171+'Sumas y Saldos'!AH126+'Sumas y Saldos'!AH225+'Sumas y Saldos'!AH231+'Sumas y Saldos'!AH58+'Sumas y Saldos'!AH98+'Sumas y Saldos'!AH273+'Sumas y Saldos'!AN171+'Sumas y Saldos'!AN126+'Sumas y Saldos'!AN225+'Sumas y Saldos'!AN231+'Sumas y Saldos'!AN58+'Sumas y Saldos'!AN98+'Sumas y Saldos'!AN273+'Sumas y Saldos'!AK171+'Sumas y Saldos'!AK126+'Sumas y Saldos'!AK225+'Sumas y Saldos'!AK231+'Sumas y Saldos'!AK58+'Sumas y Saldos'!AK98+'Sumas y Saldos'!AK273+'Sumas y Saldos'!BC171+'Sumas y Saldos'!BC126+'Sumas y Saldos'!BL171+'Sumas y Saldos'!BL126+'Sumas y Saldos'!BL225+'Sumas y Saldos'!BL231+'Sumas y Saldos'!BL98+'Sumas y Saldos'!BO171+'Sumas y Saldos'!BO126+'Sumas y Saldos'!BO225+'Sumas y Saldos'!BO231+'Sumas y Saldos'!BO98</f>
      </c>
      <c r="F50" s="98">
        <f>'Sumas y Saldos'!E171+'Sumas y Saldos'!E126+'Sumas y Saldos'!E225+'Sumas y Saldos'!E231+'Sumas y Saldos'!E58+'Sumas y Saldos'!E98+'Sumas y Saldos'!E273</f>
      </c>
      <c r="G50" s="98">
        <f>'Sumas y Saldos'!H171+'Sumas y Saldos'!H126+'Sumas y Saldos'!H225+'Sumas y Saldos'!H231+'Sumas y Saldos'!H58+'Sumas y Saldos'!H98+'Sumas y Saldos'!H273</f>
      </c>
      <c r="H50" s="98">
        <f>'Sumas y Saldos'!K171+'Sumas y Saldos'!K126+'Sumas y Saldos'!K225+'Sumas y Saldos'!K231+'Sumas y Saldos'!K58+'Sumas y Saldos'!K98+'Sumas y Saldos'!K273</f>
      </c>
      <c r="I50" s="98">
        <f>'Sumas y Saldos'!Q171+'Sumas y Saldos'!Q126+'Sumas y Saldos'!Q225+'Sumas y Saldos'!Q231+'Sumas y Saldos'!Q58+'Sumas y Saldos'!Q98+'Sumas y Saldos'!Q273</f>
      </c>
      <c r="J50" s="98">
        <f>'Sumas y Saldos'!Z171+'Sumas y Saldos'!Z126+'Sumas y Saldos'!Z225+'Sumas y Saldos'!Z231+'Sumas y Saldos'!Z58+'Sumas y Saldos'!Z98+'Sumas y Saldos'!Z273</f>
      </c>
      <c r="K50" s="98">
        <f>'Sumas y Saldos'!AC171+'Sumas y Saldos'!AC126+'Sumas y Saldos'!AC225+'Sumas y Saldos'!AC231+'Sumas y Saldos'!AC58+'Sumas y Saldos'!AC98+'Sumas y Saldos'!AC273</f>
      </c>
      <c r="L50" s="98">
        <f>'Sumas y Saldos'!AF171+'Sumas y Saldos'!AF126+'Sumas y Saldos'!AF225+'Sumas y Saldos'!AF231+'Sumas y Saldos'!AF58+'Sumas y Saldos'!AF98+'Sumas y Saldos'!AF273</f>
      </c>
      <c r="M50" s="98">
        <f>'Sumas y Saldos'!W171+'Sumas y Saldos'!W126+'Sumas y Saldos'!W225+'Sumas y Saldos'!W231+'Sumas y Saldos'!W58+'Sumas y Saldos'!W98+'Sumas y Saldos'!W273</f>
      </c>
      <c r="N50" s="98">
        <f>'Sumas y Saldos'!T171+'Sumas y Saldos'!T126+'Sumas y Saldos'!T225+'Sumas y Saldos'!T231+'Sumas y Saldos'!T58+'Sumas y Saldos'!T98+'Sumas y Saldos'!T273</f>
      </c>
      <c r="O50" s="98">
        <f>'Sumas y Saldos'!AI171+'Sumas y Saldos'!AI126+'Sumas y Saldos'!AI225+'Sumas y Saldos'!AI231+'Sumas y Saldos'!AI58+'Sumas y Saldos'!AI98+'Sumas y Saldos'!AI273</f>
      </c>
      <c r="P50" s="98">
        <f>'Sumas y Saldos'!AO171+'Sumas y Saldos'!AO126+'Sumas y Saldos'!AO225+'Sumas y Saldos'!AO231+'Sumas y Saldos'!AO58+'Sumas y Saldos'!AO98+'Sumas y Saldos'!AO273</f>
      </c>
      <c r="Q50" s="98">
        <f>'Sumas y Saldos'!AL171+'Sumas y Saldos'!AL126+'Sumas y Saldos'!AL225+'Sumas y Saldos'!AL231+'Sumas y Saldos'!AL58+'Sumas y Saldos'!AL98+'Sumas y Saldos'!AL273</f>
      </c>
      <c r="R50" s="98">
        <v>0</v>
      </c>
      <c r="S50" s="98">
        <v>0</v>
      </c>
      <c r="T50" s="98">
        <f>'Sumas y Saldos'!BD171+'Sumas y Saldos'!BD126</f>
      </c>
      <c r="U50" s="98">
        <f>'Sumas y Saldos'!BM171+'Sumas y Saldos'!BM126+'Sumas y Saldos'!BM225+'Sumas y Saldos'!BM231+'Sumas y Saldos'!BM98</f>
      </c>
      <c r="V50" s="98">
        <f>'Sumas y Saldos'!BP171+'Sumas y Saldos'!BP126+'Sumas y Saldos'!BP225+'Sumas y Saldos'!BP231+'Sumas y Saldos'!BP98</f>
      </c>
      <c r="W50" s="98"/>
      <c r="X50" s="98"/>
      <c r="Y50" s="98"/>
      <c r="Z50" s="98"/>
      <c r="AA50" s="98"/>
      <c r="AB50" s="98"/>
      <c r="AC50" s="98">
        <v>135.87</v>
      </c>
      <c r="AD50" s="98">
        <v>4596.95</v>
      </c>
      <c r="AE50" s="98">
        <v>6798.38</v>
      </c>
      <c r="AF50" s="98">
        <v>10001.9</v>
      </c>
      <c r="AG50" s="98">
        <v>5573.98</v>
      </c>
      <c r="AH50" s="98">
        <v>4945.92</v>
      </c>
      <c r="AI50" s="101">
        <f>SUM(W50:AH50)</f>
        <v>32053</v>
      </c>
      <c r="AJ50" s="73"/>
      <c r="AK50" s="102"/>
    </row>
    <row r="51" ht="12.75" customHeight="1" spans="1:37" x14ac:dyDescent="0.25">
      <c r="A51" s="73" t="s">
        <v>463</v>
      </c>
      <c r="B51" s="73">
        <v>9600000062</v>
      </c>
      <c r="C51" s="95" t="s">
        <v>464</v>
      </c>
      <c r="D51" s="96">
        <f>SUM(F51:V51)+E51</f>
        <v>4.21</v>
      </c>
      <c r="E51" s="96">
        <f>'Sumas y Saldos'!D31+'Sumas y Saldos'!D110+'Sumas y Saldos'!D217+'Sumas y Saldos'!D170+'Sumas y Saldos'!D79+'Sumas y Saldos'!D234+'Sumas y Saldos'!D111+'Sumas y Saldos'!D32+'Sumas y Saldos'!D14+'Sumas y Saldos'!D268+'Sumas y Saldos'!G31+'Sumas y Saldos'!G110+'Sumas y Saldos'!G217+'Sumas y Saldos'!G170+'Sumas y Saldos'!G79+'Sumas y Saldos'!G234+'Sumas y Saldos'!G111+'Sumas y Saldos'!G32+'Sumas y Saldos'!G14+'Sumas y Saldos'!G268+'Sumas y Saldos'!J31+'Sumas y Saldos'!J110+'Sumas y Saldos'!J217+'Sumas y Saldos'!J170+'Sumas y Saldos'!J79+'Sumas y Saldos'!J234+'Sumas y Saldos'!J111+'Sumas y Saldos'!J32+'Sumas y Saldos'!J14+'Sumas y Saldos'!J268+'Sumas y Saldos'!P31+'Sumas y Saldos'!P110+'Sumas y Saldos'!P217+'Sumas y Saldos'!P170+'Sumas y Saldos'!P79+'Sumas y Saldos'!P234+'Sumas y Saldos'!P111+'Sumas y Saldos'!P32+'Sumas y Saldos'!P14+'Sumas y Saldos'!P268+'Sumas y Saldos'!Y31+'Sumas y Saldos'!Y110+'Sumas y Saldos'!Y217+'Sumas y Saldos'!Y170+'Sumas y Saldos'!Y79+'Sumas y Saldos'!Y234+'Sumas y Saldos'!Y111+'Sumas y Saldos'!Y32+'Sumas y Saldos'!Y14+'Sumas y Saldos'!Y268+'Sumas y Saldos'!AB31+'Sumas y Saldos'!AB110+'Sumas y Saldos'!AB217+'Sumas y Saldos'!AB170+'Sumas y Saldos'!AB79+'Sumas y Saldos'!AB234+'Sumas y Saldos'!AB111+'Sumas y Saldos'!AB32+'Sumas y Saldos'!AB14+'Sumas y Saldos'!AB268+'Sumas y Saldos'!AE31+'Sumas y Saldos'!AE110+'Sumas y Saldos'!AE217+'Sumas y Saldos'!AE170+'Sumas y Saldos'!AE79+'Sumas y Saldos'!AE234+'Sumas y Saldos'!AE111+'Sumas y Saldos'!AE32+'Sumas y Saldos'!AE14+'Sumas y Saldos'!AE268+'Sumas y Saldos'!V31+'Sumas y Saldos'!V110+'Sumas y Saldos'!V217+'Sumas y Saldos'!V170+'Sumas y Saldos'!V79+'Sumas y Saldos'!V234+'Sumas y Saldos'!V111+'Sumas y Saldos'!V32+'Sumas y Saldos'!V14+'Sumas y Saldos'!V268+'Sumas y Saldos'!S31+'Sumas y Saldos'!S110+'Sumas y Saldos'!S217+'Sumas y Saldos'!S170+'Sumas y Saldos'!S79+'Sumas y Saldos'!S234+'Sumas y Saldos'!S111+'Sumas y Saldos'!S32+'Sumas y Saldos'!S14+'Sumas y Saldos'!S268+'Sumas y Saldos'!AH31+'Sumas y Saldos'!AH110+'Sumas y Saldos'!AH217+'Sumas y Saldos'!AH170+'Sumas y Saldos'!AH79+'Sumas y Saldos'!AH234+'Sumas y Saldos'!AH111+'Sumas y Saldos'!AH32+'Sumas y Saldos'!AH14+'Sumas y Saldos'!AH268+'Sumas y Saldos'!AN31+'Sumas y Saldos'!AN110+'Sumas y Saldos'!AN217+'Sumas y Saldos'!AN170+'Sumas y Saldos'!AN79+'Sumas y Saldos'!AN234+'Sumas y Saldos'!AN111+'Sumas y Saldos'!AN32+'Sumas y Saldos'!AN14+'Sumas y Saldos'!AN268+'Sumas y Saldos'!AK31+'Sumas y Saldos'!AK110+'Sumas y Saldos'!AK217+'Sumas y Saldos'!AK170+'Sumas y Saldos'!AK79+'Sumas y Saldos'!AK234+'Sumas y Saldos'!AK111+'Sumas y Saldos'!AK32+'Sumas y Saldos'!AK14+'Sumas y Saldos'!AK268+'Sumas y Saldos'!BF170+'Sumas y Saldos'!BI110+'Sumas y Saldos'!BI170+'Sumas y Saldos'!BC217+'Sumas y Saldos'!BC170+'Sumas y Saldos'!BL110+'Sumas y Saldos'!BL217+'Sumas y Saldos'!BL170+'Sumas y Saldos'!BL79+'Sumas y Saldos'!BL234+'Sumas y Saldos'!BL111+'Sumas y Saldos'!BO30+'Sumas y Saldos'!BO110+'Sumas y Saldos'!BO217+'Sumas y Saldos'!BO170+'Sumas y Saldos'!BO79+'Sumas y Saldos'!BO234+'Sumas y Saldos'!BO111+'Sumas y Saldos'!BO31</f>
      </c>
      <c r="F51" s="98">
        <f>'Sumas y Saldos'!E31+'Sumas y Saldos'!E110+'Sumas y Saldos'!E217+'Sumas y Saldos'!E170+'Sumas y Saldos'!E79+'Sumas y Saldos'!E234+'Sumas y Saldos'!E111+'Sumas y Saldos'!E32+'Sumas y Saldos'!E14+'Sumas y Saldos'!E268</f>
      </c>
      <c r="G51" s="98">
        <f>'Sumas y Saldos'!H31+'Sumas y Saldos'!H110+'Sumas y Saldos'!H217+'Sumas y Saldos'!H170+'Sumas y Saldos'!H79+'Sumas y Saldos'!H234+'Sumas y Saldos'!H111+'Sumas y Saldos'!H32+'Sumas y Saldos'!H14+'Sumas y Saldos'!H268</f>
      </c>
      <c r="H51" s="98">
        <f>'Sumas y Saldos'!K31+'Sumas y Saldos'!K110+'Sumas y Saldos'!K217+'Sumas y Saldos'!K170+'Sumas y Saldos'!K79+'Sumas y Saldos'!K234+'Sumas y Saldos'!K111+'Sumas y Saldos'!K32+'Sumas y Saldos'!K14+'Sumas y Saldos'!K268</f>
      </c>
      <c r="I51" s="98">
        <f>'Sumas y Saldos'!Q31+'Sumas y Saldos'!Q110+'Sumas y Saldos'!Q217+'Sumas y Saldos'!Q170+'Sumas y Saldos'!Q79+'Sumas y Saldos'!Q234+'Sumas y Saldos'!Q111+'Sumas y Saldos'!Q32+'Sumas y Saldos'!Q14+'Sumas y Saldos'!Q268</f>
      </c>
      <c r="J51" s="98">
        <f>'Sumas y Saldos'!Z31+'Sumas y Saldos'!Z110+'Sumas y Saldos'!Z217+'Sumas y Saldos'!Z170+'Sumas y Saldos'!Z79+'Sumas y Saldos'!Z234+'Sumas y Saldos'!Z111+'Sumas y Saldos'!Z32+'Sumas y Saldos'!Z14+'Sumas y Saldos'!Z268</f>
      </c>
      <c r="K51" s="98">
        <f>'Sumas y Saldos'!AC31+'Sumas y Saldos'!AC110+'Sumas y Saldos'!AC217+'Sumas y Saldos'!AC170+'Sumas y Saldos'!AC79+'Sumas y Saldos'!AC234+'Sumas y Saldos'!AC111+'Sumas y Saldos'!AC32+'Sumas y Saldos'!AC14+'Sumas y Saldos'!AC268</f>
      </c>
      <c r="L51" s="98">
        <f>'Sumas y Saldos'!AF31+'Sumas y Saldos'!AF110+'Sumas y Saldos'!AF217+'Sumas y Saldos'!AF170+'Sumas y Saldos'!AF79+'Sumas y Saldos'!AF234+'Sumas y Saldos'!AF111+'Sumas y Saldos'!AF32+'Sumas y Saldos'!AF14+'Sumas y Saldos'!AF268</f>
      </c>
      <c r="M51" s="98">
        <f>'Sumas y Saldos'!W31+'Sumas y Saldos'!W110+'Sumas y Saldos'!W217+'Sumas y Saldos'!W170+'Sumas y Saldos'!W79+'Sumas y Saldos'!W234+'Sumas y Saldos'!W111+'Sumas y Saldos'!W32+'Sumas y Saldos'!W14+'Sumas y Saldos'!W268</f>
      </c>
      <c r="N51" s="98">
        <f>'Sumas y Saldos'!T31+'Sumas y Saldos'!T110+'Sumas y Saldos'!T217+'Sumas y Saldos'!T170+'Sumas y Saldos'!T79+'Sumas y Saldos'!T234+'Sumas y Saldos'!T111+'Sumas y Saldos'!T32+'Sumas y Saldos'!T14+'Sumas y Saldos'!T268</f>
      </c>
      <c r="O51" s="98">
        <f>'Sumas y Saldos'!AI31+'Sumas y Saldos'!AI110+'Sumas y Saldos'!AI217+'Sumas y Saldos'!AI170+'Sumas y Saldos'!AI79+'Sumas y Saldos'!AI234+'Sumas y Saldos'!AI111+'Sumas y Saldos'!AI32+'Sumas y Saldos'!AI14+'Sumas y Saldos'!AI268</f>
      </c>
      <c r="P51" s="98">
        <f>'Sumas y Saldos'!AO31+'Sumas y Saldos'!AO110+'Sumas y Saldos'!AO217+'Sumas y Saldos'!AO170+'Sumas y Saldos'!AO79+'Sumas y Saldos'!AO234+'Sumas y Saldos'!AO111+'Sumas y Saldos'!AO32+'Sumas y Saldos'!AO14+'Sumas y Saldos'!AO268</f>
      </c>
      <c r="Q51" s="98">
        <f>'Sumas y Saldos'!AL31+'Sumas y Saldos'!AL110+'Sumas y Saldos'!AL217+'Sumas y Saldos'!AL170+'Sumas y Saldos'!AL79+'Sumas y Saldos'!AL234+'Sumas y Saldos'!AL111+'Sumas y Saldos'!AL32+'Sumas y Saldos'!AL14+'Sumas y Saldos'!AL268</f>
      </c>
      <c r="R51" s="98">
        <f>+'Sumas y Saldos'!BE170</f>
      </c>
      <c r="S51" s="98">
        <f>'Sumas y Saldos'!BJ110+'Sumas y Saldos'!BF170</f>
      </c>
      <c r="T51" s="98">
        <f>+'Sumas y Saldos'!BD217+'Sumas y Saldos'!BD170</f>
      </c>
      <c r="U51" s="98">
        <f>'Sumas y Saldos'!BM110+'Sumas y Saldos'!BM217+'Sumas y Saldos'!BM170+'Sumas y Saldos'!BM79+'Sumas y Saldos'!BM234+'Sumas y Saldos'!BM111</f>
      </c>
      <c r="V51" s="98">
        <f>'Sumas y Saldos'!BP30+'Sumas y Saldos'!BP110+'Sumas y Saldos'!BP217+'Sumas y Saldos'!BP170+'Sumas y Saldos'!BP79+'Sumas y Saldos'!BP234+'Sumas y Saldos'!BP111+'Sumas y Saldos'!BP31</f>
      </c>
      <c r="W51" s="98"/>
      <c r="X51" s="98"/>
      <c r="Y51" s="98"/>
      <c r="Z51" s="98"/>
      <c r="AA51" s="98"/>
      <c r="AB51" s="98"/>
      <c r="AC51" s="98">
        <v>4.21</v>
      </c>
      <c r="AD51" s="98">
        <v>2578.0499999999997</v>
      </c>
      <c r="AE51" s="98">
        <v>3623.96</v>
      </c>
      <c r="AF51" s="98">
        <v>5318.37</v>
      </c>
      <c r="AG51" s="98">
        <v>1737.01</v>
      </c>
      <c r="AH51" s="98">
        <v>4440.43</v>
      </c>
      <c r="AI51" s="101">
        <f>SUM(W51:AH51)</f>
        <v>17702.03</v>
      </c>
      <c r="AJ51" s="73"/>
      <c r="AK51" s="102"/>
    </row>
    <row r="52" ht="12.75" customHeight="1" spans="1:37" x14ac:dyDescent="0.25">
      <c r="A52" s="73" t="s">
        <v>465</v>
      </c>
      <c r="B52" s="73">
        <v>9600000062</v>
      </c>
      <c r="C52" s="95" t="s">
        <v>466</v>
      </c>
      <c r="D52" s="96">
        <f>SUM(F52:V52)+E52</f>
        <v>2452.02</v>
      </c>
      <c r="E52" s="96">
        <f>'Sumas y Saldos'!D7+'Sumas y Saldos'!D13+'Sumas y Saldos'!D69+'Sumas y Saldos'!D167+'Sumas y Saldos'!D255+'Sumas y Saldos'!D135+'Sumas y Saldos'!D168+'Sumas y Saldos'!D199+'Sumas y Saldos'!D147+'Sumas y Saldos'!D256+'Sumas y Saldos'!D70+'Sumas y Saldos'!D78+'Sumas y Saldos'!D108+'Sumas y Saldos'!G7+'Sumas y Saldos'!G13+'Sumas y Saldos'!G69+'Sumas y Saldos'!G167+'Sumas y Saldos'!G255+'Sumas y Saldos'!G135+'Sumas y Saldos'!G168+'Sumas y Saldos'!G199+'Sumas y Saldos'!G147+'Sumas y Saldos'!G256+'Sumas y Saldos'!G70+'Sumas y Saldos'!G78+'Sumas y Saldos'!G108+'Sumas y Saldos'!J7+'Sumas y Saldos'!J13+'Sumas y Saldos'!J69+'Sumas y Saldos'!J167+'Sumas y Saldos'!J255+'Sumas y Saldos'!J135+'Sumas y Saldos'!J168+'Sumas y Saldos'!J199+'Sumas y Saldos'!J147+'Sumas y Saldos'!J256+'Sumas y Saldos'!J70+'Sumas y Saldos'!J78+'Sumas y Saldos'!J108+'Sumas y Saldos'!P7+'Sumas y Saldos'!P13+'Sumas y Saldos'!P69+'Sumas y Saldos'!P167+'Sumas y Saldos'!P255+'Sumas y Saldos'!P135+'Sumas y Saldos'!P168+'Sumas y Saldos'!P199+'Sumas y Saldos'!P147+'Sumas y Saldos'!P256+'Sumas y Saldos'!P70+'Sumas y Saldos'!P78+'Sumas y Saldos'!P108+'Sumas y Saldos'!Y7+'Sumas y Saldos'!Y13+'Sumas y Saldos'!Y69+'Sumas y Saldos'!Y167+'Sumas y Saldos'!Y255+'Sumas y Saldos'!Y135+'Sumas y Saldos'!Y168+'Sumas y Saldos'!Y199+'Sumas y Saldos'!Y147+'Sumas y Saldos'!Y256+'Sumas y Saldos'!Y70+'Sumas y Saldos'!Y78+'Sumas y Saldos'!Y108+'Sumas y Saldos'!AB7+'Sumas y Saldos'!AB13+'Sumas y Saldos'!AB69+'Sumas y Saldos'!AB167+'Sumas y Saldos'!AB255+'Sumas y Saldos'!AB135+'Sumas y Saldos'!AB168+'Sumas y Saldos'!AB199+'Sumas y Saldos'!AB147+'Sumas y Saldos'!AB256+'Sumas y Saldos'!AB70+'Sumas y Saldos'!AB78+'Sumas y Saldos'!AB108+'Sumas y Saldos'!AE7+'Sumas y Saldos'!AE13+'Sumas y Saldos'!AE69+'Sumas y Saldos'!AE167+'Sumas y Saldos'!AE255+'Sumas y Saldos'!AE135+'Sumas y Saldos'!AE168+'Sumas y Saldos'!AE199+'Sumas y Saldos'!AE147+'Sumas y Saldos'!AE256+'Sumas y Saldos'!AE70+'Sumas y Saldos'!AE78+'Sumas y Saldos'!AE108+'Sumas y Saldos'!V7+'Sumas y Saldos'!V13+'Sumas y Saldos'!V69+'Sumas y Saldos'!V167+'Sumas y Saldos'!V255+'Sumas y Saldos'!V135+'Sumas y Saldos'!V168+'Sumas y Saldos'!V199+'Sumas y Saldos'!V147+'Sumas y Saldos'!V256+'Sumas y Saldos'!V70+'Sumas y Saldos'!V78+'Sumas y Saldos'!V108+'Sumas y Saldos'!S7+'Sumas y Saldos'!S13+'Sumas y Saldos'!S69+'Sumas y Saldos'!S167+'Sumas y Saldos'!S255+'Sumas y Saldos'!S135+'Sumas y Saldos'!S168+'Sumas y Saldos'!S199+'Sumas y Saldos'!S147+'Sumas y Saldos'!S256+'Sumas y Saldos'!S70+'Sumas y Saldos'!S78+'Sumas y Saldos'!S108+'Sumas y Saldos'!AH7+'Sumas y Saldos'!AH13+'Sumas y Saldos'!AH69+'Sumas y Saldos'!AH167+'Sumas y Saldos'!AH255+'Sumas y Saldos'!AH135+'Sumas y Saldos'!AH168+'Sumas y Saldos'!AH199+'Sumas y Saldos'!AH147+'Sumas y Saldos'!AH256+'Sumas y Saldos'!AH70+'Sumas y Saldos'!AH78+'Sumas y Saldos'!AH108+'Sumas y Saldos'!AN7+'Sumas y Saldos'!AN13+'Sumas y Saldos'!AN69+'Sumas y Saldos'!AN167+'Sumas y Saldos'!AN255+'Sumas y Saldos'!AN135+'Sumas y Saldos'!AN168+'Sumas y Saldos'!AN199+'Sumas y Saldos'!AN147+'Sumas y Saldos'!AN256+'Sumas y Saldos'!AN70+'Sumas y Saldos'!AN78+'Sumas y Saldos'!AN108+'Sumas y Saldos'!AK7+'Sumas y Saldos'!AK13+'Sumas y Saldos'!AK69+'Sumas y Saldos'!AK167+'Sumas y Saldos'!AK255+'Sumas y Saldos'!AK135+'Sumas y Saldos'!AK168+'Sumas y Saldos'!AK199+'Sumas y Saldos'!AK147+'Sumas y Saldos'!AK256+'Sumas y Saldos'!AK70+'Sumas y Saldos'!AK78+'Sumas y Saldos'!AK108+'Sumas y Saldos'!BF167+'Sumas y Saldos'!BF168+'Sumas y Saldos'!BI167+'Sumas y Saldos'!BI168+'Sumas y Saldos'!BC135+'Sumas y Saldos'!BC167+'Sumas y Saldos'!BC168+'Sumas y Saldos'!BC199+'Sumas y Saldos'!BC147+'Sumas y Saldos'!BL135+'Sumas y Saldos'!BL167+'Sumas y Saldos'!BL168+'Sumas y Saldos'!BL199+'Sumas y Saldos'!BL256+'Sumas y Saldos'!BL78+'Sumas y Saldos'!BL108+'Sumas y Saldos'!BO135+'Sumas y Saldos'!BO167+'Sumas y Saldos'!BO168+'Sumas y Saldos'!BO78+'Sumas y Saldos'!BO108</f>
      </c>
      <c r="F52" s="98">
        <f>'Sumas y Saldos'!E7+'Sumas y Saldos'!E13+'Sumas y Saldos'!E69+'Sumas y Saldos'!E167+'Sumas y Saldos'!E255+'Sumas y Saldos'!E135+'Sumas y Saldos'!E168+'Sumas y Saldos'!E199+'Sumas y Saldos'!E147+'Sumas y Saldos'!E256+'Sumas y Saldos'!E70+'Sumas y Saldos'!E78+'Sumas y Saldos'!E108</f>
      </c>
      <c r="G52" s="98">
        <f>'Sumas y Saldos'!H7+'Sumas y Saldos'!H13+'Sumas y Saldos'!H69+'Sumas y Saldos'!H167+'Sumas y Saldos'!H255+'Sumas y Saldos'!H135+'Sumas y Saldos'!H168+'Sumas y Saldos'!H199+'Sumas y Saldos'!H147+'Sumas y Saldos'!H256+'Sumas y Saldos'!H70+'Sumas y Saldos'!H78+'Sumas y Saldos'!H108</f>
      </c>
      <c r="H52" s="98">
        <f>'Sumas y Saldos'!K7+'Sumas y Saldos'!K13+'Sumas y Saldos'!K69+'Sumas y Saldos'!K167+'Sumas y Saldos'!K255+'Sumas y Saldos'!K135+'Sumas y Saldos'!K168+'Sumas y Saldos'!K199+'Sumas y Saldos'!K147+'Sumas y Saldos'!K256+'Sumas y Saldos'!K70+'Sumas y Saldos'!K78+'Sumas y Saldos'!K108</f>
      </c>
      <c r="I52" s="98">
        <f>'Sumas y Saldos'!Q7+'Sumas y Saldos'!Q13+'Sumas y Saldos'!Q69+'Sumas y Saldos'!Q167+'Sumas y Saldos'!Q255+'Sumas y Saldos'!Q135+'Sumas y Saldos'!Q168+'Sumas y Saldos'!Q199+'Sumas y Saldos'!Q147+'Sumas y Saldos'!Q256+'Sumas y Saldos'!Q70+'Sumas y Saldos'!Q78+'Sumas y Saldos'!Q108</f>
      </c>
      <c r="J52" s="98">
        <f>'Sumas y Saldos'!Z7+'Sumas y Saldos'!Z13+'Sumas y Saldos'!Z69+'Sumas y Saldos'!Z167+'Sumas y Saldos'!Z255+'Sumas y Saldos'!Z135+'Sumas y Saldos'!Z168+'Sumas y Saldos'!Z199+'Sumas y Saldos'!Z147+'Sumas y Saldos'!Z256+'Sumas y Saldos'!Z70+'Sumas y Saldos'!Z78+'Sumas y Saldos'!Z108</f>
      </c>
      <c r="K52" s="98">
        <f>'Sumas y Saldos'!AC7+'Sumas y Saldos'!AC13+'Sumas y Saldos'!AC69+'Sumas y Saldos'!AC167+'Sumas y Saldos'!AC255+'Sumas y Saldos'!AC135+'Sumas y Saldos'!AC168+'Sumas y Saldos'!AC199+'Sumas y Saldos'!AC147+'Sumas y Saldos'!AC256+'Sumas y Saldos'!AC70+'Sumas y Saldos'!AC78+'Sumas y Saldos'!AC108</f>
      </c>
      <c r="L52" s="98">
        <f>'Sumas y Saldos'!AF7+'Sumas y Saldos'!AF13+'Sumas y Saldos'!AF69+'Sumas y Saldos'!AF167+'Sumas y Saldos'!AF255+'Sumas y Saldos'!AF135+'Sumas y Saldos'!AF168+'Sumas y Saldos'!AF199+'Sumas y Saldos'!AF147+'Sumas y Saldos'!AF256+'Sumas y Saldos'!AF70+'Sumas y Saldos'!AF78+'Sumas y Saldos'!AF108</f>
      </c>
      <c r="M52" s="98">
        <f>'Sumas y Saldos'!W7+'Sumas y Saldos'!W13+'Sumas y Saldos'!W69+'Sumas y Saldos'!W167+'Sumas y Saldos'!W255+'Sumas y Saldos'!W135+'Sumas y Saldos'!W168+'Sumas y Saldos'!W199+'Sumas y Saldos'!W147+'Sumas y Saldos'!W256+'Sumas y Saldos'!W70+'Sumas y Saldos'!W78+'Sumas y Saldos'!W108</f>
      </c>
      <c r="N52" s="98">
        <f>'Sumas y Saldos'!T7+'Sumas y Saldos'!T13+'Sumas y Saldos'!T69+'Sumas y Saldos'!T167+'Sumas y Saldos'!T255+'Sumas y Saldos'!T135+'Sumas y Saldos'!T168+'Sumas y Saldos'!T199+'Sumas y Saldos'!T147+'Sumas y Saldos'!T256+'Sumas y Saldos'!T70+'Sumas y Saldos'!T78+'Sumas y Saldos'!T108</f>
      </c>
      <c r="O52" s="98">
        <f>'Sumas y Saldos'!AI7+'Sumas y Saldos'!AI13+'Sumas y Saldos'!AI69+'Sumas y Saldos'!AI167+'Sumas y Saldos'!AI255+'Sumas y Saldos'!AI135+'Sumas y Saldos'!AI168+'Sumas y Saldos'!AI199+'Sumas y Saldos'!AI147+'Sumas y Saldos'!AI256+'Sumas y Saldos'!AI70+'Sumas y Saldos'!AI78+'Sumas y Saldos'!AI108</f>
      </c>
      <c r="P52" s="98">
        <f>'Sumas y Saldos'!AO7+'Sumas y Saldos'!AO13+'Sumas y Saldos'!AO69+'Sumas y Saldos'!AO167+'Sumas y Saldos'!AO255+'Sumas y Saldos'!AO135+'Sumas y Saldos'!AO168+'Sumas y Saldos'!AO199+'Sumas y Saldos'!AO147+'Sumas y Saldos'!AO256+'Sumas y Saldos'!AO70+'Sumas y Saldos'!AO78+'Sumas y Saldos'!AO108</f>
      </c>
      <c r="Q52" s="98">
        <f>'Sumas y Saldos'!AL7+'Sumas y Saldos'!AL13+'Sumas y Saldos'!AL69+'Sumas y Saldos'!AL167+'Sumas y Saldos'!AL255+'Sumas y Saldos'!AL135+'Sumas y Saldos'!AL168+'Sumas y Saldos'!AL199+'Sumas y Saldos'!AL147+'Sumas y Saldos'!AL256+'Sumas y Saldos'!AL70+'Sumas y Saldos'!AL78+'Sumas y Saldos'!AL108</f>
      </c>
      <c r="R52" s="98">
        <f>+'Sumas y Saldos'!BE167+'Sumas y Saldos'!BE168</f>
      </c>
      <c r="S52" s="98">
        <f>+'Sumas y Saldos'!BF167+'Sumas y Saldos'!BF168</f>
      </c>
      <c r="T52" s="98">
        <f>'Sumas y Saldos'!BD135+'Sumas y Saldos'!BD167+'Sumas y Saldos'!BD168+'Sumas y Saldos'!BD199+'Sumas y Saldos'!BD147</f>
      </c>
      <c r="U52" s="98">
        <f>'Sumas y Saldos'!BM135+'Sumas y Saldos'!BM167+'Sumas y Saldos'!BM168+'Sumas y Saldos'!BM199+'Sumas y Saldos'!BM256+'Sumas y Saldos'!BM78+'Sumas y Saldos'!BM108</f>
      </c>
      <c r="V52" s="98">
        <f>'Sumas y Saldos'!BP135+'Sumas y Saldos'!BP167+'Sumas y Saldos'!BP168+'Sumas y Saldos'!BP78+'Sumas y Saldos'!BP108</f>
      </c>
      <c r="W52" s="98"/>
      <c r="X52" s="98"/>
      <c r="Y52" s="98"/>
      <c r="Z52" s="98"/>
      <c r="AA52" s="98"/>
      <c r="AB52" s="98"/>
      <c r="AC52" s="98">
        <v>2452.02</v>
      </c>
      <c r="AD52" s="98">
        <v>1669.43</v>
      </c>
      <c r="AE52" s="98">
        <v>1706.13</v>
      </c>
      <c r="AF52" s="98">
        <v>1950.95</v>
      </c>
      <c r="AG52" s="98">
        <v>868.73</v>
      </c>
      <c r="AH52" s="98">
        <v>1202.84</v>
      </c>
      <c r="AI52" s="101">
        <f>SUM(W52:AH52)</f>
        <v>9850.1</v>
      </c>
      <c r="AJ52" s="73"/>
      <c r="AK52" s="102"/>
    </row>
    <row r="53" ht="12.75" customHeight="1" spans="1:37" x14ac:dyDescent="0.25">
      <c r="A53" s="73" t="s">
        <v>467</v>
      </c>
      <c r="B53" s="73">
        <v>9600000062</v>
      </c>
      <c r="C53" s="95" t="s">
        <v>468</v>
      </c>
      <c r="D53" s="96">
        <f>SUM(F53:V53)+E53</f>
        <v>177.42000000000002</v>
      </c>
      <c r="E53" s="96">
        <f>'Sumas y Saldos'!D121+'Sumas y Saldos'!D174+'Sumas y Saldos'!D36+'Sumas y Saldos'!D248+'Sumas y Saldos'!D89+'Sumas y Saldos'!G121+'Sumas y Saldos'!G174+'Sumas y Saldos'!G36+'Sumas y Saldos'!G248+'Sumas y Saldos'!G89+'Sumas y Saldos'!J121+'Sumas y Saldos'!J174+'Sumas y Saldos'!J36+'Sumas y Saldos'!J248+'Sumas y Saldos'!J89+'Sumas y Saldos'!P121+'Sumas y Saldos'!P174+'Sumas y Saldos'!P36+'Sumas y Saldos'!P248+'Sumas y Saldos'!P89+'Sumas y Saldos'!Y121+'Sumas y Saldos'!Y174+'Sumas y Saldos'!Y36+'Sumas y Saldos'!Y248+'Sumas y Saldos'!Y89+'Sumas y Saldos'!AB121+'Sumas y Saldos'!AB174+'Sumas y Saldos'!AB36+'Sumas y Saldos'!AB248+'Sumas y Saldos'!AB89+'Sumas y Saldos'!AE121+'Sumas y Saldos'!AE174+'Sumas y Saldos'!AE36+'Sumas y Saldos'!AE248+'Sumas y Saldos'!AE89+'Sumas y Saldos'!V121+'Sumas y Saldos'!V174+'Sumas y Saldos'!V36+'Sumas y Saldos'!V248+'Sumas y Saldos'!V89+'Sumas y Saldos'!S121+'Sumas y Saldos'!S174+'Sumas y Saldos'!S36+'Sumas y Saldos'!S248+'Sumas y Saldos'!S89+'Sumas y Saldos'!AH121+'Sumas y Saldos'!AH174+'Sumas y Saldos'!AH36+'Sumas y Saldos'!AH248+'Sumas y Saldos'!AH89+'Sumas y Saldos'!AN121+'Sumas y Saldos'!AN174+'Sumas y Saldos'!AN36+'Sumas y Saldos'!AN248+'Sumas y Saldos'!AN89+'Sumas y Saldos'!AK121+'Sumas y Saldos'!AK174+'Sumas y Saldos'!AK36+'Sumas y Saldos'!AK248+'Sumas y Saldos'!AK89+'Sumas y Saldos'!BC121+'Sumas y Saldos'!BC174+'Sumas y Saldos'!BL174+'Sumas y Saldos'!BL248+'Sumas y Saldos'!BL89+'Sumas y Saldos'!BO121+'Sumas y Saldos'!BO36+'Sumas y Saldos'!BO89</f>
      </c>
      <c r="F53" s="98">
        <f>'Sumas y Saldos'!E121+'Sumas y Saldos'!E174+'Sumas y Saldos'!E36+'Sumas y Saldos'!E248+'Sumas y Saldos'!E89</f>
      </c>
      <c r="G53" s="98">
        <f>'Sumas y Saldos'!H121+'Sumas y Saldos'!H174+'Sumas y Saldos'!H36+'Sumas y Saldos'!H248+'Sumas y Saldos'!H89</f>
      </c>
      <c r="H53" s="98">
        <f>'Sumas y Saldos'!K121+'Sumas y Saldos'!K174+'Sumas y Saldos'!K36+'Sumas y Saldos'!K248+'Sumas y Saldos'!K89</f>
      </c>
      <c r="I53" s="98">
        <f>'Sumas y Saldos'!Q121+'Sumas y Saldos'!Q174+'Sumas y Saldos'!Q36+'Sumas y Saldos'!Q248+'Sumas y Saldos'!Q89</f>
      </c>
      <c r="J53" s="98">
        <f>'Sumas y Saldos'!Z121+'Sumas y Saldos'!Z174+'Sumas y Saldos'!Z36+'Sumas y Saldos'!Z248+'Sumas y Saldos'!Z89</f>
      </c>
      <c r="K53" s="98">
        <f>'Sumas y Saldos'!AC121+'Sumas y Saldos'!AC174+'Sumas y Saldos'!AC36+'Sumas y Saldos'!AC248+'Sumas y Saldos'!AC89</f>
      </c>
      <c r="L53" s="98">
        <f>'Sumas y Saldos'!AF121+'Sumas y Saldos'!AF174+'Sumas y Saldos'!AF36+'Sumas y Saldos'!AF248+'Sumas y Saldos'!AF89</f>
      </c>
      <c r="M53" s="98">
        <f>'Sumas y Saldos'!W121+'Sumas y Saldos'!W174+'Sumas y Saldos'!W36+'Sumas y Saldos'!W248+'Sumas y Saldos'!W89</f>
      </c>
      <c r="N53" s="98">
        <f>'Sumas y Saldos'!T121+'Sumas y Saldos'!T174+'Sumas y Saldos'!T36+'Sumas y Saldos'!T248+'Sumas y Saldos'!T89</f>
      </c>
      <c r="O53" s="98">
        <f>'Sumas y Saldos'!AI121+'Sumas y Saldos'!AI174+'Sumas y Saldos'!AI36+'Sumas y Saldos'!AI248+'Sumas y Saldos'!AI89</f>
      </c>
      <c r="P53" s="98">
        <f>'Sumas y Saldos'!AO121+'Sumas y Saldos'!AO174+'Sumas y Saldos'!AO36+'Sumas y Saldos'!AO248+'Sumas y Saldos'!AO89</f>
      </c>
      <c r="Q53" s="98">
        <f>'Sumas y Saldos'!AL121+'Sumas y Saldos'!AL174+'Sumas y Saldos'!AL36+'Sumas y Saldos'!AL248+'Sumas y Saldos'!AL89</f>
      </c>
      <c r="R53" s="98"/>
      <c r="S53" s="98"/>
      <c r="T53" s="98">
        <f>'Sumas y Saldos'!BD121+'Sumas y Saldos'!BD174</f>
      </c>
      <c r="U53" s="98">
        <f>'Sumas y Saldos'!BM174+'Sumas y Saldos'!BM248+'Sumas y Saldos'!BK89</f>
      </c>
      <c r="V53" s="98">
        <f>'Sumas y Saldos'!BP121+'Sumas y Saldos'!BP36+'Sumas y Saldos'!BP89</f>
      </c>
      <c r="W53" s="98"/>
      <c r="X53" s="98"/>
      <c r="Y53" s="98"/>
      <c r="Z53" s="98"/>
      <c r="AA53" s="98"/>
      <c r="AB53" s="98"/>
      <c r="AC53" s="98">
        <v>177.42000000000002</v>
      </c>
      <c r="AD53" s="98">
        <v>8121.4</v>
      </c>
      <c r="AE53" s="98">
        <v>3096.15</v>
      </c>
      <c r="AF53" s="98">
        <v>10263.28</v>
      </c>
      <c r="AG53" s="98">
        <v>8351.09</v>
      </c>
      <c r="AH53" s="98">
        <v>145855.42</v>
      </c>
      <c r="AI53" s="101">
        <f>SUM(W53:AH53)</f>
        <v>175864.76</v>
      </c>
      <c r="AJ53" s="73"/>
      <c r="AK53" s="102"/>
    </row>
    <row r="54" ht="12.75" customHeight="1" spans="1:37" x14ac:dyDescent="0.25">
      <c r="A54" s="73"/>
      <c r="B54" s="73"/>
      <c r="C54" s="95" t="s">
        <v>469</v>
      </c>
      <c r="D54" s="96">
        <f>SUM(F54:V54)+E54</f>
      </c>
      <c r="E54" s="96">
        <f>'Sumas y Saldos'!D156+'Sumas y Saldos'!D34+'Sumas y Saldos'!D130+'Sumas y Saldos'!D101+'Sumas y Saldos'!D113+'Sumas y Saldos'!D116+'Sumas y Saldos'!D224+'Sumas y Saldos'!D271+'Sumas y Saldos'!G156+'Sumas y Saldos'!G34+'Sumas y Saldos'!G130+'Sumas y Saldos'!G101+'Sumas y Saldos'!G113+'Sumas y Saldos'!G116+'Sumas y Saldos'!G224+'Sumas y Saldos'!G271+'Sumas y Saldos'!J156+'Sumas y Saldos'!J34+'Sumas y Saldos'!J130+'Sumas y Saldos'!J101+'Sumas y Saldos'!J113+'Sumas y Saldos'!J116+'Sumas y Saldos'!J224+'Sumas y Saldos'!J271+'Sumas y Saldos'!P156+'Sumas y Saldos'!P34+'Sumas y Saldos'!P130+'Sumas y Saldos'!P101+'Sumas y Saldos'!P113+'Sumas y Saldos'!P116+'Sumas y Saldos'!P224+'Sumas y Saldos'!P271+'Sumas y Saldos'!Y156+'Sumas y Saldos'!Y34+'Sumas y Saldos'!Y130+'Sumas y Saldos'!Y101+'Sumas y Saldos'!Y113+'Sumas y Saldos'!Y116+'Sumas y Saldos'!Y224+'Sumas y Saldos'!Y271+'Sumas y Saldos'!AB156+'Sumas y Saldos'!AB34+'Sumas y Saldos'!AB130+'Sumas y Saldos'!AB101+'Sumas y Saldos'!AB113+'Sumas y Saldos'!AB116+'Sumas y Saldos'!AB224+'Sumas y Saldos'!AB271+'Sumas y Saldos'!AE156+'Sumas y Saldos'!AE34+'Sumas y Saldos'!AE130+'Sumas y Saldos'!AE101+'Sumas y Saldos'!AE113+'Sumas y Saldos'!AE116+'Sumas y Saldos'!AE224+'Sumas y Saldos'!AE271+'Sumas y Saldos'!V156+'Sumas y Saldos'!V34+'Sumas y Saldos'!V130+'Sumas y Saldos'!V101+'Sumas y Saldos'!V113+'Sumas y Saldos'!V116+'Sumas y Saldos'!V224+'Sumas y Saldos'!V271+'Sumas y Saldos'!S156+'Sumas y Saldos'!S34+'Sumas y Saldos'!S130+'Sumas y Saldos'!S101+'Sumas y Saldos'!S113+'Sumas y Saldos'!S116+'Sumas y Saldos'!S224+'Sumas y Saldos'!S271+'Sumas y Saldos'!AH156+'Sumas y Saldos'!AH34+'Sumas y Saldos'!AH130+'Sumas y Saldos'!AH101+'Sumas y Saldos'!AH113+'Sumas y Saldos'!AH116+'Sumas y Saldos'!AH224+'Sumas y Saldos'!AH271+'Sumas y Saldos'!AN156+'Sumas y Saldos'!AN34+'Sumas y Saldos'!AN130+'Sumas y Saldos'!AN101+'Sumas y Saldos'!AN113+'Sumas y Saldos'!AN116+'Sumas y Saldos'!AN224+'Sumas y Saldos'!AN271+'Sumas y Saldos'!AK156+'Sumas y Saldos'!AK34+'Sumas y Saldos'!AK130+'Sumas y Saldos'!AK101+'Sumas y Saldos'!AK113+'Sumas y Saldos'!AK116+'Sumas y Saldos'!AK224+'Sumas y Saldos'!AK271+'Sumas y Saldos'!BC156+'Sumas y Saldos'!BC130+'Sumas y Saldos'!BL156+'Sumas y Saldos'!BL113+'Sumas y Saldos'!BL116+'Sumas y Saldos'!BO156+'Sumas y Saldos'!BO34+'Sumas y Saldos'!BO101</f>
      </c>
      <c r="F54" s="98">
        <f>'Sumas y Saldos'!E156+'Sumas y Saldos'!E34+'Sumas y Saldos'!E130+'Sumas y Saldos'!E101+'Sumas y Saldos'!E113+'Sumas y Saldos'!E116+'Sumas y Saldos'!E224+'Sumas y Saldos'!E271</f>
      </c>
      <c r="G54" s="98">
        <f>'Sumas y Saldos'!H156+'Sumas y Saldos'!H34+'Sumas y Saldos'!H130+'Sumas y Saldos'!H101+'Sumas y Saldos'!H113+'Sumas y Saldos'!H116+'Sumas y Saldos'!H224+'Sumas y Saldos'!H271</f>
      </c>
      <c r="H54" s="98">
        <f>'Sumas y Saldos'!K156+'Sumas y Saldos'!K34+'Sumas y Saldos'!K130+'Sumas y Saldos'!K101+'Sumas y Saldos'!K113+'Sumas y Saldos'!K116+'Sumas y Saldos'!K224+'Sumas y Saldos'!K271</f>
      </c>
      <c r="I54" s="98">
        <f>'Sumas y Saldos'!Q156+'Sumas y Saldos'!Q34+'Sumas y Saldos'!Q130+'Sumas y Saldos'!Q101+'Sumas y Saldos'!Q113+'Sumas y Saldos'!Q116+'Sumas y Saldos'!Q224+'Sumas y Saldos'!Q271</f>
      </c>
      <c r="J54" s="98">
        <f>'Sumas y Saldos'!Z156+'Sumas y Saldos'!Z34+'Sumas y Saldos'!Z130+'Sumas y Saldos'!Z101+'Sumas y Saldos'!Z113+'Sumas y Saldos'!Z116+'Sumas y Saldos'!Z224+'Sumas y Saldos'!Z271</f>
      </c>
      <c r="K54" s="98">
        <f>'Sumas y Saldos'!AC156+'Sumas y Saldos'!AC34+'Sumas y Saldos'!AC130+'Sumas y Saldos'!AC101+'Sumas y Saldos'!AC113+'Sumas y Saldos'!AC116+'Sumas y Saldos'!AC224+'Sumas y Saldos'!AC271</f>
      </c>
      <c r="L54" s="98">
        <f>'Sumas y Saldos'!AF156+'Sumas y Saldos'!AF34+'Sumas y Saldos'!AF130+'Sumas y Saldos'!AF101+'Sumas y Saldos'!AF113+'Sumas y Saldos'!AF116+'Sumas y Saldos'!AF224+'Sumas y Saldos'!AF271</f>
      </c>
      <c r="M54" s="98">
        <f>'Sumas y Saldos'!W156+'Sumas y Saldos'!W34+'Sumas y Saldos'!W130+'Sumas y Saldos'!W101+'Sumas y Saldos'!W113+'Sumas y Saldos'!W116+'Sumas y Saldos'!W224+'Sumas y Saldos'!W271</f>
      </c>
      <c r="N54" s="98">
        <f>'Sumas y Saldos'!T156+'Sumas y Saldos'!T34+'Sumas y Saldos'!T130+'Sumas y Saldos'!T101+'Sumas y Saldos'!T113+'Sumas y Saldos'!T116+'Sumas y Saldos'!T224+'Sumas y Saldos'!T271</f>
      </c>
      <c r="O54" s="98">
        <f>'Sumas y Saldos'!AI156+'Sumas y Saldos'!AI34+'Sumas y Saldos'!AI130+'Sumas y Saldos'!AI101+'Sumas y Saldos'!AI113+'Sumas y Saldos'!AI116+'Sumas y Saldos'!AI224+'Sumas y Saldos'!AI271</f>
      </c>
      <c r="P54" s="98">
        <f>'Sumas y Saldos'!AO156+'Sumas y Saldos'!AO34+'Sumas y Saldos'!AO130+'Sumas y Saldos'!AO101+'Sumas y Saldos'!AO113+'Sumas y Saldos'!AO116+'Sumas y Saldos'!AO224+'Sumas y Saldos'!AO271</f>
      </c>
      <c r="Q54" s="98">
        <f>'Sumas y Saldos'!AL156+'Sumas y Saldos'!AL34+'Sumas y Saldos'!AL130+'Sumas y Saldos'!AL101+'Sumas y Saldos'!AL113+'Sumas y Saldos'!AL116+'Sumas y Saldos'!AL224+'Sumas y Saldos'!AL271</f>
      </c>
      <c r="R54" s="98"/>
      <c r="S54" s="98"/>
      <c r="T54" s="98">
        <f>+'Sumas y Saldos'!BD156+'Sumas y Saldos'!BD130</f>
      </c>
      <c r="U54" s="98">
        <f>+'Sumas y Saldos'!BM156+'Sumas y Saldos'!BM113+'Sumas y Saldos'!BM116</f>
      </c>
      <c r="V54" s="98">
        <f>+'Sumas y Saldos'!BP156+'Sumas y Saldos'!BP34+'Sumas y Saldos'!BN101</f>
      </c>
      <c r="W54" s="98"/>
      <c r="X54" s="98"/>
      <c r="Y54" s="98"/>
      <c r="Z54" s="98"/>
      <c r="AA54" s="98"/>
      <c r="AB54" s="98"/>
      <c r="AC54" s="98">
        <v>0</v>
      </c>
      <c r="AD54" s="98">
        <v>0</v>
      </c>
      <c r="AE54" s="98">
        <v>1059.1</v>
      </c>
      <c r="AF54" s="98">
        <v>0</v>
      </c>
      <c r="AG54" s="98">
        <v>0</v>
      </c>
      <c r="AH54" s="98">
        <v>0</v>
      </c>
      <c r="AI54" s="101">
        <f>SUM(W54:AH54)</f>
      </c>
      <c r="AJ54" s="73"/>
      <c r="AK54" s="102"/>
    </row>
    <row r="55" ht="12.75" customHeight="1" spans="1:37" x14ac:dyDescent="0.25">
      <c r="A55" s="73" t="s">
        <v>470</v>
      </c>
      <c r="B55" s="73">
        <v>9600000062</v>
      </c>
      <c r="C55" s="95" t="s">
        <v>471</v>
      </c>
      <c r="D55" s="96">
        <f>SUM(F55:V55)+E55</f>
      </c>
      <c r="E55" s="96">
        <v>0</v>
      </c>
      <c r="F55" s="98">
        <v>0</v>
      </c>
      <c r="G55" s="98">
        <v>0</v>
      </c>
      <c r="H55" s="98">
        <v>0</v>
      </c>
      <c r="I55" s="98">
        <v>0</v>
      </c>
      <c r="J55" s="98">
        <v>0</v>
      </c>
      <c r="K55" s="98">
        <v>0</v>
      </c>
      <c r="L55" s="98">
        <v>0</v>
      </c>
      <c r="M55" s="98">
        <v>0</v>
      </c>
      <c r="N55" s="98">
        <v>0</v>
      </c>
      <c r="O55" s="98">
        <v>0</v>
      </c>
      <c r="P55" s="98">
        <v>0</v>
      </c>
      <c r="Q55" s="98">
        <v>0</v>
      </c>
      <c r="R55" s="98"/>
      <c r="S55" s="98"/>
      <c r="T55" s="98">
        <v>0</v>
      </c>
      <c r="U55" s="98"/>
      <c r="V55" s="98"/>
      <c r="W55" s="98"/>
      <c r="X55" s="98"/>
      <c r="Y55" s="98"/>
      <c r="Z55" s="98"/>
      <c r="AA55" s="98"/>
      <c r="AB55" s="98"/>
      <c r="AC55" s="98">
        <v>0</v>
      </c>
      <c r="AD55" s="98">
        <v>0</v>
      </c>
      <c r="AE55" s="98">
        <v>0</v>
      </c>
      <c r="AF55" s="98">
        <v>0</v>
      </c>
      <c r="AG55" s="98">
        <v>0</v>
      </c>
      <c r="AH55" s="98">
        <v>0</v>
      </c>
      <c r="AI55" s="101">
        <f>SUM(W55:AH55)</f>
      </c>
      <c r="AJ55" s="73"/>
      <c r="AK55" s="102"/>
    </row>
    <row r="56" ht="12.75" customHeight="1" spans="1:37" x14ac:dyDescent="0.25">
      <c r="A56" s="73" t="s">
        <v>472</v>
      </c>
      <c r="B56" s="73">
        <v>9600000062</v>
      </c>
      <c r="C56" s="95" t="s">
        <v>473</v>
      </c>
      <c r="D56" s="96">
        <f>SUM(F56:V56)+E56</f>
        <v>2394.51</v>
      </c>
      <c r="E56" s="96">
        <f>'Sumas y Saldos'!D260+'Sumas y Saldos'!D298+'Sumas y Saldos'!D198+'Sumas y Saldos'!D162+'Sumas y Saldos'!D26+'Sumas y Saldos'!D284+'Sumas y Saldos'!D27+'Sumas y Saldos'!D259+'Sumas y Saldos'!D261+'Sumas y Saldos'!D281+'Sumas y Saldos'!G260+'Sumas y Saldos'!G298+'Sumas y Saldos'!G198+'Sumas y Saldos'!G162+'Sumas y Saldos'!G26+'Sumas y Saldos'!G284+'Sumas y Saldos'!G27+'Sumas y Saldos'!G259+'Sumas y Saldos'!G261+'Sumas y Saldos'!G281+'Sumas y Saldos'!J260+'Sumas y Saldos'!J298+'Sumas y Saldos'!J198+'Sumas y Saldos'!J162+'Sumas y Saldos'!J26+'Sumas y Saldos'!J284+'Sumas y Saldos'!J27+'Sumas y Saldos'!J259+'Sumas y Saldos'!J261+'Sumas y Saldos'!J281+'Sumas y Saldos'!P260+'Sumas y Saldos'!P298+'Sumas y Saldos'!P198+'Sumas y Saldos'!P162+'Sumas y Saldos'!P26+'Sumas y Saldos'!P284+'Sumas y Saldos'!P27+'Sumas y Saldos'!P259+'Sumas y Saldos'!P261+'Sumas y Saldos'!P281+'Sumas y Saldos'!Y260+'Sumas y Saldos'!Y298+'Sumas y Saldos'!Y198+'Sumas y Saldos'!Y162+'Sumas y Saldos'!Y26+'Sumas y Saldos'!Y284+'Sumas y Saldos'!Y27+'Sumas y Saldos'!Y259+'Sumas y Saldos'!Y261+'Sumas y Saldos'!Y281+'Sumas y Saldos'!AB260+'Sumas y Saldos'!AB298+'Sumas y Saldos'!AB198+'Sumas y Saldos'!AB162+'Sumas y Saldos'!AB26+'Sumas y Saldos'!AB284+'Sumas y Saldos'!AB27+'Sumas y Saldos'!AB259+'Sumas y Saldos'!AB261+'Sumas y Saldos'!AB281+'Sumas y Saldos'!AE260+'Sumas y Saldos'!AE298+'Sumas y Saldos'!AE198+'Sumas y Saldos'!AE162+'Sumas y Saldos'!AE26+'Sumas y Saldos'!AE284+'Sumas y Saldos'!AE27+'Sumas y Saldos'!AE259+'Sumas y Saldos'!AE261+'Sumas y Saldos'!AE281+'Sumas y Saldos'!V260+'Sumas y Saldos'!V298+'Sumas y Saldos'!V198+'Sumas y Saldos'!V162+'Sumas y Saldos'!V26+'Sumas y Saldos'!V284+'Sumas y Saldos'!V27+'Sumas y Saldos'!V259+'Sumas y Saldos'!V261+'Sumas y Saldos'!V281+'Sumas y Saldos'!S260+'Sumas y Saldos'!S298+'Sumas y Saldos'!S198+'Sumas y Saldos'!S162+'Sumas y Saldos'!S26+'Sumas y Saldos'!S284+'Sumas y Saldos'!S27+'Sumas y Saldos'!S259+'Sumas y Saldos'!S261+'Sumas y Saldos'!S281+'Sumas y Saldos'!AH260+'Sumas y Saldos'!AH298+'Sumas y Saldos'!AH198+'Sumas y Saldos'!AH162+'Sumas y Saldos'!AH26+'Sumas y Saldos'!AH284+'Sumas y Saldos'!AH27+'Sumas y Saldos'!AH259+'Sumas y Saldos'!AH261+'Sumas y Saldos'!AH281+'Sumas y Saldos'!AN260+'Sumas y Saldos'!AN298+'Sumas y Saldos'!AN198+'Sumas y Saldos'!AN162+'Sumas y Saldos'!AN26+'Sumas y Saldos'!AN284+'Sumas y Saldos'!AN27+'Sumas y Saldos'!AN259+'Sumas y Saldos'!AN261+'Sumas y Saldos'!AN281+'Sumas y Saldos'!AK260+'Sumas y Saldos'!AK298+'Sumas y Saldos'!AK198+'Sumas y Saldos'!AK162+'Sumas y Saldos'!AK26+'Sumas y Saldos'!AK284+'Sumas y Saldos'!AK27+'Sumas y Saldos'!AK259+'Sumas y Saldos'!AK261+'Sumas y Saldos'!AK281+'Sumas y Saldos'!BC198+'Sumas y Saldos'!BC162+'Sumas y Saldos'!BL198+'Sumas y Saldos'!BL26</f>
      </c>
      <c r="F56" s="98">
        <f>'Sumas y Saldos'!E260+'Sumas y Saldos'!E298+'Sumas y Saldos'!E198+'Sumas y Saldos'!E162+'Sumas y Saldos'!E26+'Sumas y Saldos'!E284+'Sumas y Saldos'!E27+'Sumas y Saldos'!E259+'Sumas y Saldos'!E261+'Sumas y Saldos'!E281</f>
      </c>
      <c r="G56" s="98">
        <f>'Sumas y Saldos'!H260+'Sumas y Saldos'!H298+'Sumas y Saldos'!H198+'Sumas y Saldos'!H162+'Sumas y Saldos'!H26+'Sumas y Saldos'!H284+'Sumas y Saldos'!H27+'Sumas y Saldos'!H259+'Sumas y Saldos'!H261+'Sumas y Saldos'!H281</f>
      </c>
      <c r="H56" s="98">
        <f>'Sumas y Saldos'!K260+'Sumas y Saldos'!K298+'Sumas y Saldos'!K198+'Sumas y Saldos'!K162+'Sumas y Saldos'!K26+'Sumas y Saldos'!K284+'Sumas y Saldos'!K27+'Sumas y Saldos'!K259+'Sumas y Saldos'!K261+'Sumas y Saldos'!K281</f>
      </c>
      <c r="I56" s="98">
        <f>'Sumas y Saldos'!Q260+'Sumas y Saldos'!Q298+'Sumas y Saldos'!Q198+'Sumas y Saldos'!Q162+'Sumas y Saldos'!Q26+'Sumas y Saldos'!Q284+'Sumas y Saldos'!Q27+'Sumas y Saldos'!Q259+'Sumas y Saldos'!Q261+'Sumas y Saldos'!Q281</f>
      </c>
      <c r="J56" s="98">
        <f>'Sumas y Saldos'!Z260+'Sumas y Saldos'!Z298+'Sumas y Saldos'!Z198+'Sumas y Saldos'!Z162+'Sumas y Saldos'!Z26+'Sumas y Saldos'!Z284+'Sumas y Saldos'!Z27+'Sumas y Saldos'!Z259+'Sumas y Saldos'!Z261+'Sumas y Saldos'!Z281</f>
      </c>
      <c r="K56" s="98">
        <f>'Sumas y Saldos'!AC260+'Sumas y Saldos'!AC298+'Sumas y Saldos'!AC198+'Sumas y Saldos'!AC162+'Sumas y Saldos'!AC26+'Sumas y Saldos'!AC284+'Sumas y Saldos'!AC27+'Sumas y Saldos'!AC259+'Sumas y Saldos'!AC261+'Sumas y Saldos'!AC281</f>
      </c>
      <c r="L56" s="98">
        <f>'Sumas y Saldos'!AF260+'Sumas y Saldos'!AF298+'Sumas y Saldos'!AF198+'Sumas y Saldos'!AF162+'Sumas y Saldos'!AF26+'Sumas y Saldos'!AF284+'Sumas y Saldos'!AF27+'Sumas y Saldos'!AF259+'Sumas y Saldos'!AF261+'Sumas y Saldos'!AF281</f>
      </c>
      <c r="M56" s="98">
        <f>'Sumas y Saldos'!W260+'Sumas y Saldos'!W298+'Sumas y Saldos'!W198+'Sumas y Saldos'!W162+'Sumas y Saldos'!W26+'Sumas y Saldos'!W284+'Sumas y Saldos'!W27+'Sumas y Saldos'!W259+'Sumas y Saldos'!W261+'Sumas y Saldos'!W281</f>
      </c>
      <c r="N56" s="98">
        <f>'Sumas y Saldos'!T260+'Sumas y Saldos'!T298+'Sumas y Saldos'!T198+'Sumas y Saldos'!T162+'Sumas y Saldos'!T26+'Sumas y Saldos'!T284+'Sumas y Saldos'!T27+'Sumas y Saldos'!T259+'Sumas y Saldos'!T261+'Sumas y Saldos'!T281</f>
      </c>
      <c r="O56" s="98">
        <f>'Sumas y Saldos'!AI260+'Sumas y Saldos'!AI298+'Sumas y Saldos'!AI198+'Sumas y Saldos'!AI162+'Sumas y Saldos'!AI26+'Sumas y Saldos'!AI284+'Sumas y Saldos'!AI27+'Sumas y Saldos'!AI259+'Sumas y Saldos'!AI261+'Sumas y Saldos'!AI281</f>
      </c>
      <c r="P56" s="98">
        <f>'Sumas y Saldos'!AO260+'Sumas y Saldos'!AO298+'Sumas y Saldos'!AO198+'Sumas y Saldos'!AO162+'Sumas y Saldos'!AO26+'Sumas y Saldos'!AO284+'Sumas y Saldos'!AO27+'Sumas y Saldos'!AO259+'Sumas y Saldos'!AO261+'Sumas y Saldos'!AO281</f>
      </c>
      <c r="Q56" s="98">
        <f>'Sumas y Saldos'!AL260+'Sumas y Saldos'!AL298+'Sumas y Saldos'!AL198+'Sumas y Saldos'!AL162+'Sumas y Saldos'!AL26+'Sumas y Saldos'!AL284+'Sumas y Saldos'!AL27+'Sumas y Saldos'!AL259+'Sumas y Saldos'!AL261+'Sumas y Saldos'!AL281</f>
      </c>
      <c r="R56" s="98"/>
      <c r="S56" s="98"/>
      <c r="T56" s="98">
        <f>+'Sumas y Saldos'!BD198+'Sumas y Saldos'!BD162</f>
      </c>
      <c r="U56" s="98">
        <f>'Sumas y Saldos'!BM198+'Sumas y Saldos'!BM26</f>
      </c>
      <c r="V56" s="98">
        <v>0</v>
      </c>
      <c r="W56" s="98"/>
      <c r="X56" s="98"/>
      <c r="Y56" s="98"/>
      <c r="Z56" s="98"/>
      <c r="AA56" s="98"/>
      <c r="AB56" s="98"/>
      <c r="AC56" s="98">
        <v>2394.51</v>
      </c>
      <c r="AD56" s="98">
        <v>818.52</v>
      </c>
      <c r="AE56" s="98">
        <v>0</v>
      </c>
      <c r="AF56" s="98">
        <v>0</v>
      </c>
      <c r="AG56" s="98">
        <v>0</v>
      </c>
      <c r="AH56" s="98">
        <v>0</v>
      </c>
      <c r="AI56" s="101">
        <f>SUM(W56:AH56)</f>
        <v>3213.03</v>
      </c>
      <c r="AJ56" s="73"/>
      <c r="AK56" s="102"/>
    </row>
    <row r="57" ht="12.75" customHeight="1" spans="1:37" x14ac:dyDescent="0.25">
      <c r="A57" s="73" t="s">
        <v>474</v>
      </c>
      <c r="B57" s="73">
        <v>9600000062</v>
      </c>
      <c r="C57" s="95" t="s">
        <v>475</v>
      </c>
      <c r="D57" s="96">
        <f>SUM(F57:V57)+E57</f>
      </c>
      <c r="E57" s="96">
        <v>0</v>
      </c>
      <c r="F57" s="98">
        <v>0</v>
      </c>
      <c r="G57" s="98">
        <v>0</v>
      </c>
      <c r="H57" s="98">
        <v>0</v>
      </c>
      <c r="I57" s="98">
        <v>0</v>
      </c>
      <c r="J57" s="98">
        <v>0</v>
      </c>
      <c r="K57" s="98">
        <v>0</v>
      </c>
      <c r="L57" s="98">
        <v>0</v>
      </c>
      <c r="M57" s="98">
        <v>0</v>
      </c>
      <c r="N57" s="98">
        <v>0</v>
      </c>
      <c r="O57" s="98">
        <v>0</v>
      </c>
      <c r="P57" s="98">
        <v>0</v>
      </c>
      <c r="Q57" s="98">
        <v>0</v>
      </c>
      <c r="R57" s="98"/>
      <c r="S57" s="98"/>
      <c r="T57" s="98">
        <v>0</v>
      </c>
      <c r="U57" s="98"/>
      <c r="V57" s="98"/>
      <c r="W57" s="98"/>
      <c r="X57" s="98"/>
      <c r="Y57" s="98"/>
      <c r="Z57" s="98"/>
      <c r="AA57" s="98"/>
      <c r="AB57" s="98"/>
      <c r="AC57" s="98">
        <v>0</v>
      </c>
      <c r="AD57" s="98">
        <v>0</v>
      </c>
      <c r="AE57" s="98">
        <v>0</v>
      </c>
      <c r="AF57" s="98">
        <v>0</v>
      </c>
      <c r="AG57" s="98">
        <v>0</v>
      </c>
      <c r="AH57" s="98">
        <v>0</v>
      </c>
      <c r="AI57" s="101">
        <f>SUM(W57:AH57)</f>
      </c>
      <c r="AJ57" s="73"/>
      <c r="AK57" s="102"/>
    </row>
    <row r="58" ht="12.75" customHeight="1" spans="1:37" x14ac:dyDescent="0.25">
      <c r="A58" s="73" t="s">
        <v>476</v>
      </c>
      <c r="B58" s="73">
        <v>9600000062</v>
      </c>
      <c r="C58" s="95" t="s">
        <v>477</v>
      </c>
      <c r="D58" s="96">
        <f>SUM(F58:V58)+E58</f>
        <v>27.35</v>
      </c>
      <c r="E58" s="96">
        <f>'Sumas y Saldos'!D187+'Sumas y Saldos'!D197+'Sumas y Saldos'!D133+'Sumas y Saldos'!D142+'Sumas y Saldos'!G187+'Sumas y Saldos'!G197+'Sumas y Saldos'!G133+'Sumas y Saldos'!G142+'Sumas y Saldos'!J187+'Sumas y Saldos'!J197+'Sumas y Saldos'!J133+'Sumas y Saldos'!J142+'Sumas y Saldos'!P187+'Sumas y Saldos'!P197+'Sumas y Saldos'!P133+'Sumas y Saldos'!P142+'Sumas y Saldos'!Y187+'Sumas y Saldos'!Y197+'Sumas y Saldos'!Y133+'Sumas y Saldos'!Y142+'Sumas y Saldos'!AB187+'Sumas y Saldos'!AB197+'Sumas y Saldos'!AB133+'Sumas y Saldos'!AB142+'Sumas y Saldos'!AE187+'Sumas y Saldos'!AE197+'Sumas y Saldos'!AE133+'Sumas y Saldos'!AE142+'Sumas y Saldos'!V187+'Sumas y Saldos'!V197+'Sumas y Saldos'!V133+'Sumas y Saldos'!V142+'Sumas y Saldos'!S187+'Sumas y Saldos'!S197+'Sumas y Saldos'!S133+'Sumas y Saldos'!S142+'Sumas y Saldos'!AH187+'Sumas y Saldos'!AH197+'Sumas y Saldos'!AH133+'Sumas y Saldos'!AH142+'Sumas y Saldos'!AN187+'Sumas y Saldos'!AN197+'Sumas y Saldos'!AN133+'Sumas y Saldos'!AN142+'Sumas y Saldos'!AK187+'Sumas y Saldos'!AK197+'Sumas y Saldos'!AK133+'Sumas y Saldos'!AK142+'Sumas y Saldos'!BC187+'Sumas y Saldos'!BC197+'Sumas y Saldos'!BC133+'Sumas y Saldos'!BC142+'Sumas y Saldos'!BL187+'Sumas y Saldos'!BL197</f>
      </c>
      <c r="F58" s="98">
        <f>'Sumas y Saldos'!E187+'Sumas y Saldos'!E197+'Sumas y Saldos'!E133+'Sumas y Saldos'!E142</f>
      </c>
      <c r="G58" s="98">
        <f>'Sumas y Saldos'!H187+'Sumas y Saldos'!H197+'Sumas y Saldos'!H133+'Sumas y Saldos'!H142</f>
      </c>
      <c r="H58" s="98">
        <f>'Sumas y Saldos'!K187+'Sumas y Saldos'!K197+'Sumas y Saldos'!K133+'Sumas y Saldos'!K142</f>
      </c>
      <c r="I58" s="98">
        <f>'Sumas y Saldos'!Q187+'Sumas y Saldos'!Q197+'Sumas y Saldos'!Q133+'Sumas y Saldos'!Q142</f>
      </c>
      <c r="J58" s="98">
        <f>'Sumas y Saldos'!Z187+'Sumas y Saldos'!Z197+'Sumas y Saldos'!Z133+'Sumas y Saldos'!Z142</f>
      </c>
      <c r="K58" s="98">
        <f>'Sumas y Saldos'!AC187+'Sumas y Saldos'!AC197+'Sumas y Saldos'!AC133+'Sumas y Saldos'!AC142</f>
      </c>
      <c r="L58" s="98">
        <f>'Sumas y Saldos'!AF187+'Sumas y Saldos'!AF197+'Sumas y Saldos'!AF133+'Sumas y Saldos'!AF142</f>
      </c>
      <c r="M58" s="98">
        <f>'Sumas y Saldos'!W187+'Sumas y Saldos'!W197+'Sumas y Saldos'!W133+'Sumas y Saldos'!W142</f>
      </c>
      <c r="N58" s="98">
        <f>'Sumas y Saldos'!T187+'Sumas y Saldos'!T197+'Sumas y Saldos'!T133+'Sumas y Saldos'!T142</f>
      </c>
      <c r="O58" s="98">
        <f>'Sumas y Saldos'!AI187+'Sumas y Saldos'!AI197+'Sumas y Saldos'!AI133+'Sumas y Saldos'!AI142</f>
      </c>
      <c r="P58" s="98">
        <f>'Sumas y Saldos'!AO187+'Sumas y Saldos'!AO197+'Sumas y Saldos'!AO133+'Sumas y Saldos'!AO142</f>
      </c>
      <c r="Q58" s="98">
        <f>'Sumas y Saldos'!AL187+'Sumas y Saldos'!AL197+'Sumas y Saldos'!AL133+'Sumas y Saldos'!AL142</f>
      </c>
      <c r="R58" s="98"/>
      <c r="S58" s="98"/>
      <c r="T58" s="98">
        <f>+'Sumas y Saldos'!BD187+'Sumas y Saldos'!BD197+'Sumas y Saldos'!BD133+'Sumas y Saldos'!BD142</f>
      </c>
      <c r="U58" s="98">
        <f>+'Sumas y Saldos'!BM187+'Sumas y Saldos'!BM197</f>
      </c>
      <c r="V58" s="98">
        <v>0</v>
      </c>
      <c r="W58" s="98"/>
      <c r="X58" s="98"/>
      <c r="Y58" s="98"/>
      <c r="Z58" s="98"/>
      <c r="AA58" s="98"/>
      <c r="AB58" s="98"/>
      <c r="AC58" s="98">
        <v>27.35</v>
      </c>
      <c r="AD58" s="98">
        <v>0</v>
      </c>
      <c r="AE58" s="98">
        <v>0</v>
      </c>
      <c r="AF58" s="98">
        <v>0</v>
      </c>
      <c r="AG58" s="98">
        <v>0</v>
      </c>
      <c r="AH58" s="98">
        <v>0</v>
      </c>
      <c r="AI58" s="101">
        <f>SUM(W58:AH58)</f>
        <v>27.35</v>
      </c>
      <c r="AJ58" s="73"/>
      <c r="AK58" s="102"/>
    </row>
    <row r="59" ht="12.75" customHeight="1" spans="1:37" x14ac:dyDescent="0.25">
      <c r="A59" s="73" t="s">
        <v>478</v>
      </c>
      <c r="B59" s="73">
        <v>9600000062</v>
      </c>
      <c r="C59" s="95" t="s">
        <v>479</v>
      </c>
      <c r="D59" s="96">
        <f>SUM(F59:V59)+E59</f>
      </c>
      <c r="E59" s="96">
        <v>0</v>
      </c>
      <c r="F59" s="98">
        <v>0</v>
      </c>
      <c r="G59" s="98">
        <v>0</v>
      </c>
      <c r="H59" s="98">
        <v>0</v>
      </c>
      <c r="I59" s="98">
        <v>0</v>
      </c>
      <c r="J59" s="98">
        <v>0</v>
      </c>
      <c r="K59" s="98">
        <v>0</v>
      </c>
      <c r="L59" s="98">
        <v>0</v>
      </c>
      <c r="M59" s="98">
        <v>0</v>
      </c>
      <c r="N59" s="98">
        <v>0</v>
      </c>
      <c r="O59" s="98">
        <v>0</v>
      </c>
      <c r="P59" s="98">
        <v>0</v>
      </c>
      <c r="Q59" s="98">
        <v>0</v>
      </c>
      <c r="R59" s="98"/>
      <c r="S59" s="98"/>
      <c r="T59" s="98">
        <v>0</v>
      </c>
      <c r="U59" s="98"/>
      <c r="V59" s="98"/>
      <c r="W59" s="98"/>
      <c r="X59" s="98"/>
      <c r="Y59" s="98"/>
      <c r="Z59" s="98"/>
      <c r="AA59" s="98"/>
      <c r="AB59" s="98"/>
      <c r="AC59" s="98">
        <v>0</v>
      </c>
      <c r="AD59" s="98">
        <v>0</v>
      </c>
      <c r="AE59" s="98">
        <v>0</v>
      </c>
      <c r="AF59" s="98">
        <v>0</v>
      </c>
      <c r="AG59" s="98">
        <v>0</v>
      </c>
      <c r="AH59" s="98">
        <v>0</v>
      </c>
      <c r="AI59" s="101">
        <f>SUM(W59:AH59)</f>
      </c>
      <c r="AJ59" s="73"/>
      <c r="AK59" s="102"/>
    </row>
    <row r="60" ht="12.75" customHeight="1" spans="1:37" x14ac:dyDescent="0.25">
      <c r="A60" s="73" t="s">
        <v>480</v>
      </c>
      <c r="B60" s="73">
        <v>9600000062</v>
      </c>
      <c r="C60" s="95" t="s">
        <v>481</v>
      </c>
      <c r="D60" s="96">
        <f>SUM(F60:V60)+E60</f>
      </c>
      <c r="E60" s="96">
        <v>0</v>
      </c>
      <c r="F60" s="98">
        <v>0</v>
      </c>
      <c r="G60" s="98">
        <v>0</v>
      </c>
      <c r="H60" s="98">
        <v>0</v>
      </c>
      <c r="I60" s="98">
        <v>0</v>
      </c>
      <c r="J60" s="98">
        <v>0</v>
      </c>
      <c r="K60" s="98">
        <v>0</v>
      </c>
      <c r="L60" s="98">
        <v>0</v>
      </c>
      <c r="M60" s="98">
        <v>0</v>
      </c>
      <c r="N60" s="98">
        <v>0</v>
      </c>
      <c r="O60" s="98">
        <v>0</v>
      </c>
      <c r="P60" s="98">
        <v>0</v>
      </c>
      <c r="Q60" s="98">
        <v>0</v>
      </c>
      <c r="R60" s="98"/>
      <c r="S60" s="98"/>
      <c r="T60" s="98">
        <v>0</v>
      </c>
      <c r="U60" s="98"/>
      <c r="V60" s="98"/>
      <c r="W60" s="98"/>
      <c r="X60" s="98"/>
      <c r="Y60" s="98"/>
      <c r="Z60" s="98"/>
      <c r="AA60" s="98"/>
      <c r="AB60" s="98"/>
      <c r="AC60" s="98">
        <v>0</v>
      </c>
      <c r="AD60" s="98">
        <v>0</v>
      </c>
      <c r="AE60" s="98">
        <v>0</v>
      </c>
      <c r="AF60" s="98">
        <v>0</v>
      </c>
      <c r="AG60" s="98">
        <v>0</v>
      </c>
      <c r="AH60" s="98">
        <v>0</v>
      </c>
      <c r="AI60" s="101">
        <f>SUM(W60:AH60)</f>
      </c>
      <c r="AJ60" s="73"/>
      <c r="AK60" s="102"/>
    </row>
    <row r="61" ht="12.75" customHeight="1" spans="1:37" x14ac:dyDescent="0.25">
      <c r="A61" s="73"/>
      <c r="B61" s="73"/>
      <c r="C61" s="95" t="s">
        <v>482</v>
      </c>
      <c r="D61" s="96">
        <f>SUM(F61:V61)+E61</f>
      </c>
      <c r="E61" s="96">
        <f>'Sumas y Saldos'!D68+'Sumas y Saldos'!D105+'Sumas y Saldos'!G68+'Sumas y Saldos'!G105+'Sumas y Saldos'!J68+'Sumas y Saldos'!J105+'Sumas y Saldos'!P68+'Sumas y Saldos'!P105+'Sumas y Saldos'!Y68+'Sumas y Saldos'!Y105+'Sumas y Saldos'!AB68+'Sumas y Saldos'!AB105+'Sumas y Saldos'!AE68+'Sumas y Saldos'!AE105+'Sumas y Saldos'!V68+'Sumas y Saldos'!V105+'Sumas y Saldos'!S68+'Sumas y Saldos'!S105+'Sumas y Saldos'!AH68+'Sumas y Saldos'!AH105+'Sumas y Saldos'!AN68+'Sumas y Saldos'!AN105+'Sumas y Saldos'!AK68+'Sumas y Saldos'!AK105+'Sumas y Saldos'!BC214+'Sumas y Saldos'!BL214+'Sumas y Saldos'!BO68+'Sumas y Saldos'!BO214</f>
      </c>
      <c r="F61" s="98">
        <f>+'Sumas y Saldos'!E68+'Sumas y Saldos'!E105</f>
      </c>
      <c r="G61" s="98">
        <f>+'Sumas y Saldos'!H68+'Sumas y Saldos'!H105</f>
      </c>
      <c r="H61" s="98">
        <f>+'Sumas y Saldos'!K68+'Sumas y Saldos'!K105</f>
      </c>
      <c r="I61" s="98">
        <f>+'Sumas y Saldos'!Q68+'Sumas y Saldos'!Q105</f>
      </c>
      <c r="J61" s="98">
        <f>+'Sumas y Saldos'!Z68+'Sumas y Saldos'!Z105</f>
      </c>
      <c r="K61" s="98">
        <f>+'Sumas y Saldos'!AC68+'Sumas y Saldos'!AC105</f>
      </c>
      <c r="L61" s="98">
        <f>+'Sumas y Saldos'!AF68+'Sumas y Saldos'!AF105</f>
      </c>
      <c r="M61" s="98">
        <f>+'Sumas y Saldos'!W68+'Sumas y Saldos'!W105</f>
      </c>
      <c r="N61" s="98">
        <f>+'Sumas y Saldos'!T68+'Sumas y Saldos'!T105</f>
      </c>
      <c r="O61" s="98">
        <f>+'Sumas y Saldos'!AI68+'Sumas y Saldos'!AI105</f>
      </c>
      <c r="P61" s="98">
        <f>+'Sumas y Saldos'!AO68+'Sumas y Saldos'!AO105</f>
      </c>
      <c r="Q61" s="98">
        <f>+'Sumas y Saldos'!AL68+'Sumas y Saldos'!AL105</f>
      </c>
      <c r="R61" s="98"/>
      <c r="S61" s="98"/>
      <c r="T61" s="98">
        <f>+'Sumas y Saldos'!BD214</f>
      </c>
      <c r="U61" s="98">
        <f>'Sumas y Saldos'!BM214</f>
      </c>
      <c r="V61" s="98">
        <f>'Sumas y Saldos'!BP68+'Sumas y Saldos'!BP214</f>
      </c>
      <c r="W61" s="98"/>
      <c r="X61" s="98"/>
      <c r="Y61" s="98"/>
      <c r="Z61" s="98"/>
      <c r="AA61" s="98"/>
      <c r="AB61" s="98"/>
      <c r="AC61" s="98">
        <v>0</v>
      </c>
      <c r="AD61" s="98">
        <v>0</v>
      </c>
      <c r="AE61" s="98">
        <v>0</v>
      </c>
      <c r="AF61" s="98">
        <v>175.46</v>
      </c>
      <c r="AG61" s="98">
        <v>1505.98</v>
      </c>
      <c r="AH61" s="98">
        <v>787.32</v>
      </c>
      <c r="AI61" s="101">
        <f>SUM(W61:AH61)</f>
        <v>2468.76</v>
      </c>
      <c r="AJ61" s="73"/>
      <c r="AK61" s="102"/>
    </row>
    <row r="62" ht="12.75" customHeight="1" spans="1:37" x14ac:dyDescent="0.25">
      <c r="A62" s="73" t="s">
        <v>483</v>
      </c>
      <c r="B62" s="73">
        <v>9600000062</v>
      </c>
      <c r="C62" s="95" t="s">
        <v>484</v>
      </c>
      <c r="D62" s="96">
        <f>SUM(F62:V62)+E62</f>
      </c>
      <c r="E62" s="96">
        <v>0</v>
      </c>
      <c r="F62" s="98">
        <v>0</v>
      </c>
      <c r="G62" s="98">
        <v>0</v>
      </c>
      <c r="H62" s="98">
        <v>0</v>
      </c>
      <c r="I62" s="98">
        <v>0</v>
      </c>
      <c r="J62" s="98">
        <v>0</v>
      </c>
      <c r="K62" s="98">
        <v>0</v>
      </c>
      <c r="L62" s="98">
        <v>0</v>
      </c>
      <c r="M62" s="98">
        <v>0</v>
      </c>
      <c r="N62" s="98">
        <v>0</v>
      </c>
      <c r="O62" s="98">
        <v>0</v>
      </c>
      <c r="P62" s="98">
        <v>0</v>
      </c>
      <c r="Q62" s="98">
        <v>0</v>
      </c>
      <c r="R62" s="98"/>
      <c r="S62" s="98"/>
      <c r="T62" s="98">
        <v>0</v>
      </c>
      <c r="U62" s="98"/>
      <c r="V62" s="98"/>
      <c r="W62" s="98"/>
      <c r="X62" s="98"/>
      <c r="Y62" s="98"/>
      <c r="Z62" s="98"/>
      <c r="AA62" s="98"/>
      <c r="AB62" s="98"/>
      <c r="AC62" s="98">
        <v>0</v>
      </c>
      <c r="AD62" s="98">
        <v>0</v>
      </c>
      <c r="AE62" s="98">
        <v>0</v>
      </c>
      <c r="AF62" s="98">
        <v>0</v>
      </c>
      <c r="AG62" s="98">
        <v>0</v>
      </c>
      <c r="AH62" s="98">
        <v>0</v>
      </c>
      <c r="AI62" s="101">
        <f>SUM(W62:AH62)</f>
      </c>
      <c r="AJ62" s="73"/>
      <c r="AK62" s="102"/>
    </row>
    <row r="63" ht="12.75" customHeight="1" spans="1:37" x14ac:dyDescent="0.25">
      <c r="A63" s="73" t="s">
        <v>485</v>
      </c>
      <c r="B63" s="73">
        <v>9600000062</v>
      </c>
      <c r="C63" s="95" t="s">
        <v>486</v>
      </c>
      <c r="D63" s="96">
        <f>SUM(F63:V63)+E63</f>
      </c>
      <c r="E63" s="96">
        <f>'Sumas y Saldos'!D178+'Sumas y Saldos'!D239+'Sumas y Saldos'!D117+'Sumas y Saldos'!D274+'Sumas y Saldos'!D293+'Sumas y Saldos'!G178+'Sumas y Saldos'!G239+'Sumas y Saldos'!G117+'Sumas y Saldos'!G274+'Sumas y Saldos'!G293+'Sumas y Saldos'!J178+'Sumas y Saldos'!J239+'Sumas y Saldos'!J117+'Sumas y Saldos'!J274+'Sumas y Saldos'!J293+'Sumas y Saldos'!P178+'Sumas y Saldos'!P239+'Sumas y Saldos'!P117+'Sumas y Saldos'!P274+'Sumas y Saldos'!P293+'Sumas y Saldos'!Y178+'Sumas y Saldos'!Y239+'Sumas y Saldos'!Y117+'Sumas y Saldos'!Y274+'Sumas y Saldos'!Y293+'Sumas y Saldos'!AB178+'Sumas y Saldos'!AB239+'Sumas y Saldos'!AB117+'Sumas y Saldos'!AB274+'Sumas y Saldos'!AB293+'Sumas y Saldos'!AE178+'Sumas y Saldos'!AE239+'Sumas y Saldos'!AE117+'Sumas y Saldos'!AE274+'Sumas y Saldos'!AE293+'Sumas y Saldos'!V178+'Sumas y Saldos'!V239+'Sumas y Saldos'!V117+'Sumas y Saldos'!V274+'Sumas y Saldos'!V293+'Sumas y Saldos'!S178+'Sumas y Saldos'!S239+'Sumas y Saldos'!S117+'Sumas y Saldos'!S274+'Sumas y Saldos'!S293+'Sumas y Saldos'!AH178+'Sumas y Saldos'!AH239+'Sumas y Saldos'!AH117+'Sumas y Saldos'!AH274+'Sumas y Saldos'!AH293+'Sumas y Saldos'!AN178+'Sumas y Saldos'!AN239+'Sumas y Saldos'!AN117+'Sumas y Saldos'!AN274+'Sumas y Saldos'!AN293+'Sumas y Saldos'!AK178+'Sumas y Saldos'!AK239+'Sumas y Saldos'!AK117+'Sumas y Saldos'!AK274+'Sumas y Saldos'!AK293+'Sumas y Saldos'!BC178+'Sumas y Saldos'!BL178+'Sumas y Saldos'!BL239+'Sumas y Saldos'!BO178+'Sumas y Saldos'!BO117</f>
      </c>
      <c r="F63" s="98">
        <f>'Sumas y Saldos'!E178+'Sumas y Saldos'!E239+'Sumas y Saldos'!E117+'Sumas y Saldos'!E274+'Sumas y Saldos'!E293</f>
      </c>
      <c r="G63" s="98">
        <f>'Sumas y Saldos'!H178+'Sumas y Saldos'!H239+'Sumas y Saldos'!H117+'Sumas y Saldos'!H274+'Sumas y Saldos'!H293</f>
      </c>
      <c r="H63" s="98">
        <f>'Sumas y Saldos'!K178+'Sumas y Saldos'!K239+'Sumas y Saldos'!K117+'Sumas y Saldos'!K274+'Sumas y Saldos'!K293</f>
      </c>
      <c r="I63" s="98">
        <f>'Sumas y Saldos'!Q178+'Sumas y Saldos'!Q239+'Sumas y Saldos'!Q117+'Sumas y Saldos'!Q274+'Sumas y Saldos'!Q293</f>
      </c>
      <c r="J63" s="98">
        <f>'Sumas y Saldos'!Z178+'Sumas y Saldos'!Z239+'Sumas y Saldos'!Z117+'Sumas y Saldos'!Z274+'Sumas y Saldos'!Z293</f>
      </c>
      <c r="K63" s="98">
        <f>'Sumas y Saldos'!AC178+'Sumas y Saldos'!AC239+'Sumas y Saldos'!AC117+'Sumas y Saldos'!AC274+'Sumas y Saldos'!AC293</f>
      </c>
      <c r="L63" s="98">
        <f>'Sumas y Saldos'!AF178+'Sumas y Saldos'!AF239+'Sumas y Saldos'!AF117+'Sumas y Saldos'!AF274+'Sumas y Saldos'!AF293</f>
      </c>
      <c r="M63" s="98">
        <f>'Sumas y Saldos'!W178+'Sumas y Saldos'!W239+'Sumas y Saldos'!W117+'Sumas y Saldos'!W274+'Sumas y Saldos'!W293</f>
      </c>
      <c r="N63" s="98">
        <f>'Sumas y Saldos'!T178+'Sumas y Saldos'!T239+'Sumas y Saldos'!T117+'Sumas y Saldos'!T274+'Sumas y Saldos'!T293</f>
      </c>
      <c r="O63" s="98">
        <f>'Sumas y Saldos'!AI178+'Sumas y Saldos'!AI239+'Sumas y Saldos'!AI117+'Sumas y Saldos'!AI274+'Sumas y Saldos'!AI293</f>
      </c>
      <c r="P63" s="98">
        <f>'Sumas y Saldos'!AO178+'Sumas y Saldos'!AO239+'Sumas y Saldos'!AO117+'Sumas y Saldos'!AO274+'Sumas y Saldos'!AO293</f>
      </c>
      <c r="Q63" s="98">
        <f>'Sumas y Saldos'!AL178+'Sumas y Saldos'!AL239+'Sumas y Saldos'!AL117+'Sumas y Saldos'!AL274+'Sumas y Saldos'!AL293</f>
      </c>
      <c r="R63" s="98">
        <v>0</v>
      </c>
      <c r="S63" s="98"/>
      <c r="T63" s="98">
        <f>'Sumas y Saldos'!BD178</f>
      </c>
      <c r="U63" s="98">
        <f>'Sumas y Saldos'!BM178+'Sumas y Saldos'!BM239</f>
      </c>
      <c r="V63" s="98">
        <f>+'Sumas y Saldos'!BP178+'Sumas y Saldos'!BP117</f>
      </c>
      <c r="W63" s="98"/>
      <c r="X63" s="98"/>
      <c r="Y63" s="98"/>
      <c r="Z63" s="98"/>
      <c r="AA63" s="98"/>
      <c r="AB63" s="98"/>
      <c r="AC63" s="98">
        <v>0</v>
      </c>
      <c r="AD63" s="98">
        <v>0</v>
      </c>
      <c r="AE63" s="98">
        <v>43.4</v>
      </c>
      <c r="AF63" s="98">
        <v>0</v>
      </c>
      <c r="AG63" s="98">
        <v>0</v>
      </c>
      <c r="AH63" s="98">
        <v>0</v>
      </c>
      <c r="AI63" s="101">
        <f>SUM(W63:AH63)</f>
        <v>43.4</v>
      </c>
      <c r="AJ63" s="73"/>
      <c r="AK63" s="102"/>
    </row>
    <row r="64" ht="12.75" customHeight="1" spans="1:37" x14ac:dyDescent="0.25">
      <c r="A64" s="73"/>
      <c r="B64" s="73"/>
      <c r="C64" s="95" t="s">
        <v>487</v>
      </c>
      <c r="D64" s="96">
        <f>SUM(F64:V64)+E64</f>
      </c>
      <c r="E64" s="96">
        <f>'Sumas y Saldos'!D131+'Sumas y Saldos'!D291+'Sumas y Saldos'!D95+'Sumas y Saldos'!G131+'Sumas y Saldos'!G291+'Sumas y Saldos'!G95+'Sumas y Saldos'!J131+'Sumas y Saldos'!J291+'Sumas y Saldos'!J95+'Sumas y Saldos'!P131+'Sumas y Saldos'!P291+'Sumas y Saldos'!P95+'Sumas y Saldos'!Y131+'Sumas y Saldos'!Y291+'Sumas y Saldos'!Y95+'Sumas y Saldos'!AB131+'Sumas y Saldos'!AB291+'Sumas y Saldos'!AB95+'Sumas y Saldos'!AE131+'Sumas y Saldos'!AE291+'Sumas y Saldos'!AE95+'Sumas y Saldos'!V131+'Sumas y Saldos'!V291+'Sumas y Saldos'!V95+'Sumas y Saldos'!S131+'Sumas y Saldos'!S291+'Sumas y Saldos'!S95+'Sumas y Saldos'!AH131+'Sumas y Saldos'!AH291+'Sumas y Saldos'!AH95+'Sumas y Saldos'!AN131+'Sumas y Saldos'!AN291+'Sumas y Saldos'!AN95+'Sumas y Saldos'!AK131+'Sumas y Saldos'!AK291+'Sumas y Saldos'!AK95+'Sumas y Saldos'!BC131+'Sumas y Saldos'!BL95+'Sumas y Saldos'!BO95</f>
      </c>
      <c r="F64" s="98">
        <f>'Sumas y Saldos'!E131+'Sumas y Saldos'!E291+'Sumas y Saldos'!E95</f>
      </c>
      <c r="G64" s="98">
        <f>'Sumas y Saldos'!H131+'Sumas y Saldos'!H291+'Sumas y Saldos'!H95</f>
      </c>
      <c r="H64" s="98">
        <f>'Sumas y Saldos'!K131+'Sumas y Saldos'!K291+'Sumas y Saldos'!K95</f>
      </c>
      <c r="I64" s="98">
        <f>'Sumas y Saldos'!Q131+'Sumas y Saldos'!Q291+'Sumas y Saldos'!Q95</f>
      </c>
      <c r="J64" s="98">
        <f>'Sumas y Saldos'!Z131+'Sumas y Saldos'!Z291+'Sumas y Saldos'!Z95</f>
      </c>
      <c r="K64" s="98">
        <f>'Sumas y Saldos'!AC131+'Sumas y Saldos'!AC291+'Sumas y Saldos'!AC95</f>
      </c>
      <c r="L64" s="98">
        <f>'Sumas y Saldos'!AF131+'Sumas y Saldos'!AF291+'Sumas y Saldos'!AF95</f>
      </c>
      <c r="M64" s="98">
        <f>'Sumas y Saldos'!W131+'Sumas y Saldos'!W291+'Sumas y Saldos'!W95</f>
      </c>
      <c r="N64" s="98">
        <f>'Sumas y Saldos'!T131+'Sumas y Saldos'!T291+'Sumas y Saldos'!T95</f>
      </c>
      <c r="O64" s="98">
        <f>'Sumas y Saldos'!AI131+'Sumas y Saldos'!AI291+'Sumas y Saldos'!AI95</f>
      </c>
      <c r="P64" s="98">
        <f>'Sumas y Saldos'!AO131+'Sumas y Saldos'!AO291+'Sumas y Saldos'!AO95</f>
      </c>
      <c r="Q64" s="98">
        <f>'Sumas y Saldos'!AL131+'Sumas y Saldos'!AL291+'Sumas y Saldos'!AL95</f>
      </c>
      <c r="R64" s="98"/>
      <c r="S64" s="98"/>
      <c r="T64" s="98">
        <f>+'Sumas y Saldos'!BD131</f>
      </c>
      <c r="U64" s="98">
        <f>+'Sumas y Saldos'!BM95</f>
      </c>
      <c r="V64" s="98">
        <f>+'Sumas y Saldos'!BP95</f>
      </c>
      <c r="W64" s="98"/>
      <c r="X64" s="98"/>
      <c r="Y64" s="98"/>
      <c r="Z64" s="98"/>
      <c r="AA64" s="98"/>
      <c r="AB64" s="98"/>
      <c r="AC64" s="98">
        <v>0</v>
      </c>
      <c r="AD64" s="98">
        <v>0</v>
      </c>
      <c r="AE64" s="98">
        <v>0</v>
      </c>
      <c r="AF64" s="98">
        <v>0</v>
      </c>
      <c r="AG64" s="98">
        <v>34732.29</v>
      </c>
      <c r="AH64" s="98">
        <v>0</v>
      </c>
      <c r="AI64" s="101">
        <f>SUM(W64:AH64)</f>
        <v>34732.29</v>
      </c>
      <c r="AJ64" s="73"/>
      <c r="AK64" s="102"/>
    </row>
    <row r="65" ht="12.75" customHeight="1" spans="1:37" x14ac:dyDescent="0.25">
      <c r="A65" s="73"/>
      <c r="B65" s="73"/>
      <c r="C65" s="95" t="s">
        <v>488</v>
      </c>
      <c r="D65" s="96">
        <f>SUM(F65:V65)+E65</f>
      </c>
      <c r="E65" s="96">
        <v>0</v>
      </c>
      <c r="F65" s="98">
        <v>0</v>
      </c>
      <c r="G65" s="98">
        <v>0</v>
      </c>
      <c r="H65" s="98">
        <v>0</v>
      </c>
      <c r="I65" s="98">
        <v>0</v>
      </c>
      <c r="J65" s="98">
        <v>0</v>
      </c>
      <c r="K65" s="98">
        <v>0</v>
      </c>
      <c r="L65" s="98">
        <v>0</v>
      </c>
      <c r="M65" s="98">
        <v>0</v>
      </c>
      <c r="N65" s="98">
        <v>0</v>
      </c>
      <c r="O65" s="98">
        <v>0</v>
      </c>
      <c r="P65" s="98">
        <v>0</v>
      </c>
      <c r="Q65" s="98">
        <v>0</v>
      </c>
      <c r="R65" s="98"/>
      <c r="S65" s="98"/>
      <c r="T65" s="98">
        <v>0</v>
      </c>
      <c r="U65" s="98"/>
      <c r="V65" s="98"/>
      <c r="W65" s="98"/>
      <c r="X65" s="98"/>
      <c r="Y65" s="98"/>
      <c r="Z65" s="98"/>
      <c r="AA65" s="98"/>
      <c r="AB65" s="98"/>
      <c r="AC65" s="98">
        <v>0</v>
      </c>
      <c r="AD65" s="98">
        <v>0</v>
      </c>
      <c r="AE65" s="98">
        <v>0</v>
      </c>
      <c r="AF65" s="98">
        <v>0</v>
      </c>
      <c r="AG65" s="98">
        <v>0</v>
      </c>
      <c r="AH65" s="98">
        <v>0</v>
      </c>
      <c r="AI65" s="101">
        <f>SUM(W65:AH65)</f>
      </c>
      <c r="AJ65" s="73"/>
      <c r="AK65" s="102"/>
    </row>
    <row r="66" ht="12.75" customHeight="1" spans="1:37" x14ac:dyDescent="0.25">
      <c r="A66" s="73"/>
      <c r="B66" s="73"/>
      <c r="C66" s="95" t="s">
        <v>489</v>
      </c>
      <c r="D66" s="96">
        <f>SUM(F66:V66)+E66</f>
      </c>
      <c r="E66" s="96">
        <f>'Sumas y Saldos'!D152+'Sumas y Saldos'!G152+'Sumas y Saldos'!J152+'Sumas y Saldos'!P152+'Sumas y Saldos'!Y152+'Sumas y Saldos'!AB152+'Sumas y Saldos'!AE152+'Sumas y Saldos'!V152+'Sumas y Saldos'!S152+'Sumas y Saldos'!AH152+'Sumas y Saldos'!AN152+'Sumas y Saldos'!AK152+'Sumas y Saldos'!BC152+'Sumas y Saldos'!BO152</f>
      </c>
      <c r="F66" s="98">
        <f>'Sumas y Saldos'!E152</f>
      </c>
      <c r="G66" s="98">
        <f>'Sumas y Saldos'!H152</f>
      </c>
      <c r="H66" s="98">
        <f>'Sumas y Saldos'!K152</f>
      </c>
      <c r="I66" s="98">
        <f>'Sumas y Saldos'!Q152</f>
      </c>
      <c r="J66" s="98">
        <f>'Sumas y Saldos'!Z152</f>
      </c>
      <c r="K66" s="98">
        <f>'Sumas y Saldos'!AC152</f>
      </c>
      <c r="L66" s="98">
        <f>'Sumas y Saldos'!AF152</f>
      </c>
      <c r="M66" s="98">
        <f>'Sumas y Saldos'!W152</f>
      </c>
      <c r="N66" s="98">
        <f>'Sumas y Saldos'!T152</f>
      </c>
      <c r="O66" s="98">
        <f>'Sumas y Saldos'!AI152</f>
      </c>
      <c r="P66" s="98">
        <f>'Sumas y Saldos'!AO152</f>
      </c>
      <c r="Q66" s="98">
        <f>'Sumas y Saldos'!AL152</f>
      </c>
      <c r="R66" s="98"/>
      <c r="S66" s="98"/>
      <c r="T66" s="98">
        <f>'Sumas y Saldos'!BD152</f>
      </c>
      <c r="U66" s="98"/>
      <c r="V66" s="98">
        <f>+'Sumas y Saldos'!BP152</f>
      </c>
      <c r="W66" s="98"/>
      <c r="X66" s="98"/>
      <c r="Y66" s="98"/>
      <c r="Z66" s="98"/>
      <c r="AA66" s="98"/>
      <c r="AB66" s="98"/>
      <c r="AC66" s="98">
        <v>0</v>
      </c>
      <c r="AD66" s="98">
        <v>0</v>
      </c>
      <c r="AE66" s="98">
        <v>0</v>
      </c>
      <c r="AF66" s="98">
        <v>0</v>
      </c>
      <c r="AG66" s="98">
        <v>0</v>
      </c>
      <c r="AH66" s="98">
        <v>0</v>
      </c>
      <c r="AI66" s="101">
        <f>SUM(W66:AH66)</f>
      </c>
      <c r="AJ66" s="73"/>
      <c r="AK66" s="102"/>
    </row>
    <row r="67" ht="12.75" customHeight="1" spans="1:37" x14ac:dyDescent="0.25">
      <c r="A67" s="73"/>
      <c r="B67" s="73"/>
      <c r="C67" s="95" t="s">
        <v>490</v>
      </c>
      <c r="D67" s="96">
        <f>SUM(F67:V67)+E67</f>
      </c>
      <c r="E67" s="96">
        <v>0</v>
      </c>
      <c r="F67" s="98">
        <v>0</v>
      </c>
      <c r="G67" s="98">
        <v>0</v>
      </c>
      <c r="H67" s="98">
        <v>0</v>
      </c>
      <c r="I67" s="98">
        <v>0</v>
      </c>
      <c r="J67" s="98">
        <v>0</v>
      </c>
      <c r="K67" s="98">
        <v>0</v>
      </c>
      <c r="L67" s="98">
        <v>0</v>
      </c>
      <c r="M67" s="98">
        <v>0</v>
      </c>
      <c r="N67" s="98">
        <v>0</v>
      </c>
      <c r="O67" s="98">
        <v>0</v>
      </c>
      <c r="P67" s="98">
        <v>0</v>
      </c>
      <c r="Q67" s="98">
        <v>0</v>
      </c>
      <c r="R67" s="98"/>
      <c r="S67" s="98"/>
      <c r="T67" s="98">
        <v>0</v>
      </c>
      <c r="U67" s="98"/>
      <c r="V67" s="98"/>
      <c r="W67" s="98"/>
      <c r="X67" s="98"/>
      <c r="Y67" s="98"/>
      <c r="Z67" s="98"/>
      <c r="AA67" s="98"/>
      <c r="AB67" s="98"/>
      <c r="AC67" s="98">
        <v>0</v>
      </c>
      <c r="AD67" s="98">
        <v>0</v>
      </c>
      <c r="AE67" s="98">
        <v>0</v>
      </c>
      <c r="AF67" s="98">
        <v>0</v>
      </c>
      <c r="AG67" s="98">
        <v>0</v>
      </c>
      <c r="AH67" s="98">
        <v>0</v>
      </c>
      <c r="AI67" s="101">
        <f>SUM(W67:AH67)</f>
      </c>
      <c r="AJ67" s="73"/>
      <c r="AK67" s="102"/>
    </row>
    <row r="68" ht="12.75" customHeight="1" spans="1:37" x14ac:dyDescent="0.25">
      <c r="A68" s="73"/>
      <c r="B68" s="73"/>
      <c r="C68" s="95" t="s">
        <v>491</v>
      </c>
      <c r="D68" s="96">
        <f>SUM(F68:V68)+E68</f>
      </c>
      <c r="E68" s="96">
        <v>0</v>
      </c>
      <c r="F68" s="98">
        <v>0</v>
      </c>
      <c r="G68" s="98">
        <v>0</v>
      </c>
      <c r="H68" s="98">
        <v>0</v>
      </c>
      <c r="I68" s="98">
        <v>0</v>
      </c>
      <c r="J68" s="98">
        <v>0</v>
      </c>
      <c r="K68" s="98">
        <v>0</v>
      </c>
      <c r="L68" s="98">
        <v>0</v>
      </c>
      <c r="M68" s="98">
        <v>0</v>
      </c>
      <c r="N68" s="98">
        <v>0</v>
      </c>
      <c r="O68" s="98">
        <v>0</v>
      </c>
      <c r="P68" s="98">
        <v>0</v>
      </c>
      <c r="Q68" s="98">
        <v>0</v>
      </c>
      <c r="R68" s="98"/>
      <c r="S68" s="98"/>
      <c r="T68" s="98">
        <v>0</v>
      </c>
      <c r="U68" s="98"/>
      <c r="V68" s="98"/>
      <c r="W68" s="98"/>
      <c r="X68" s="98"/>
      <c r="Y68" s="98"/>
      <c r="Z68" s="98"/>
      <c r="AA68" s="98"/>
      <c r="AB68" s="98"/>
      <c r="AC68" s="98">
        <v>0</v>
      </c>
      <c r="AD68" s="98">
        <v>0</v>
      </c>
      <c r="AE68" s="98">
        <v>0</v>
      </c>
      <c r="AF68" s="98">
        <v>0</v>
      </c>
      <c r="AG68" s="98">
        <v>0</v>
      </c>
      <c r="AH68" s="98">
        <v>0</v>
      </c>
      <c r="AI68" s="101">
        <f>SUM(W68:AH68)</f>
      </c>
      <c r="AJ68" s="73"/>
      <c r="AK68" s="102"/>
    </row>
    <row r="69" ht="12.75" customHeight="1" spans="1:37" x14ac:dyDescent="0.25">
      <c r="A69" s="73"/>
      <c r="B69" s="73"/>
      <c r="C69" s="95" t="s">
        <v>492</v>
      </c>
      <c r="D69" s="96">
        <f>SUM(F69:V69)+E69</f>
      </c>
      <c r="E69" s="96">
        <v>0</v>
      </c>
      <c r="F69" s="98">
        <v>0</v>
      </c>
      <c r="G69" s="98">
        <v>0</v>
      </c>
      <c r="H69" s="98">
        <v>0</v>
      </c>
      <c r="I69" s="98">
        <v>0</v>
      </c>
      <c r="J69" s="98">
        <v>0</v>
      </c>
      <c r="K69" s="98">
        <v>0</v>
      </c>
      <c r="L69" s="98">
        <v>0</v>
      </c>
      <c r="M69" s="98">
        <v>0</v>
      </c>
      <c r="N69" s="98">
        <v>0</v>
      </c>
      <c r="O69" s="98">
        <v>0</v>
      </c>
      <c r="P69" s="98">
        <v>0</v>
      </c>
      <c r="Q69" s="98">
        <v>0</v>
      </c>
      <c r="R69" s="98"/>
      <c r="S69" s="98"/>
      <c r="T69" s="98">
        <v>0</v>
      </c>
      <c r="U69" s="98"/>
      <c r="V69" s="98"/>
      <c r="W69" s="98"/>
      <c r="X69" s="98"/>
      <c r="Y69" s="98"/>
      <c r="Z69" s="98"/>
      <c r="AA69" s="98"/>
      <c r="AB69" s="98"/>
      <c r="AC69" s="98">
        <v>0</v>
      </c>
      <c r="AD69" s="98">
        <v>0</v>
      </c>
      <c r="AE69" s="98">
        <v>0</v>
      </c>
      <c r="AF69" s="98">
        <v>0</v>
      </c>
      <c r="AG69" s="98">
        <v>0</v>
      </c>
      <c r="AH69" s="98">
        <v>0</v>
      </c>
      <c r="AI69" s="101">
        <f>SUM(W69:AH69)</f>
      </c>
      <c r="AJ69" s="73"/>
      <c r="AK69" s="102"/>
    </row>
    <row r="70" ht="12.75" customHeight="1" spans="1:37" x14ac:dyDescent="0.25">
      <c r="A70" s="73"/>
      <c r="B70" s="73"/>
      <c r="C70" s="95" t="s">
        <v>493</v>
      </c>
      <c r="D70" s="96">
        <f>SUM(F70:V70)+E70</f>
      </c>
      <c r="E70" s="96">
        <v>0</v>
      </c>
      <c r="F70" s="98">
        <v>0</v>
      </c>
      <c r="G70" s="98">
        <v>0</v>
      </c>
      <c r="H70" s="98">
        <v>0</v>
      </c>
      <c r="I70" s="98">
        <v>0</v>
      </c>
      <c r="J70" s="98">
        <v>0</v>
      </c>
      <c r="K70" s="98">
        <v>0</v>
      </c>
      <c r="L70" s="98">
        <v>0</v>
      </c>
      <c r="M70" s="98">
        <v>0</v>
      </c>
      <c r="N70" s="98">
        <v>0</v>
      </c>
      <c r="O70" s="98">
        <v>0</v>
      </c>
      <c r="P70" s="98">
        <v>0</v>
      </c>
      <c r="Q70" s="98">
        <v>0</v>
      </c>
      <c r="R70" s="98"/>
      <c r="S70" s="98"/>
      <c r="T70" s="98">
        <v>0</v>
      </c>
      <c r="U70" s="98"/>
      <c r="V70" s="98"/>
      <c r="W70" s="98"/>
      <c r="X70" s="98"/>
      <c r="Y70" s="98"/>
      <c r="Z70" s="98"/>
      <c r="AA70" s="98"/>
      <c r="AB70" s="98"/>
      <c r="AC70" s="98">
        <v>0</v>
      </c>
      <c r="AD70" s="98">
        <v>0</v>
      </c>
      <c r="AE70" s="98">
        <v>0</v>
      </c>
      <c r="AF70" s="98">
        <v>0</v>
      </c>
      <c r="AG70" s="98">
        <v>0</v>
      </c>
      <c r="AH70" s="98">
        <v>0</v>
      </c>
      <c r="AI70" s="101">
        <f>SUM(W70:AH70)</f>
      </c>
      <c r="AJ70" s="73"/>
      <c r="AK70" s="102"/>
    </row>
    <row r="71" ht="12.75" customHeight="1" spans="1:37" x14ac:dyDescent="0.25">
      <c r="A71" s="73"/>
      <c r="B71" s="73"/>
      <c r="C71" s="95" t="s">
        <v>494</v>
      </c>
      <c r="D71" s="96">
        <f>SUM(F71:V71)+E71</f>
      </c>
      <c r="E71" s="96">
        <f>'Sumas y Saldos'!D151+'Sumas y Saldos'!G151+'Sumas y Saldos'!J151+'Sumas y Saldos'!P151+'Sumas y Saldos'!Y151+'Sumas y Saldos'!AB151+'Sumas y Saldos'!AE151+'Sumas y Saldos'!V151+'Sumas y Saldos'!S151+'Sumas y Saldos'!AH151+'Sumas y Saldos'!AN151+'Sumas y Saldos'!AK151+'Sumas y Saldos'!BC151</f>
      </c>
      <c r="F71" s="98">
        <f>'Sumas y Saldos'!E151</f>
      </c>
      <c r="G71" s="98">
        <f>'Sumas y Saldos'!H151</f>
      </c>
      <c r="H71" s="98">
        <f>'Sumas y Saldos'!K151</f>
      </c>
      <c r="I71" s="98">
        <f>'Sumas y Saldos'!Q151</f>
      </c>
      <c r="J71" s="98">
        <f>'Sumas y Saldos'!Z151</f>
      </c>
      <c r="K71" s="98">
        <f>'Sumas y Saldos'!AC151</f>
      </c>
      <c r="L71" s="98">
        <f>'Sumas y Saldos'!AF151</f>
      </c>
      <c r="M71" s="98">
        <f>'Sumas y Saldos'!W151</f>
      </c>
      <c r="N71" s="98">
        <f>'Sumas y Saldos'!T151</f>
      </c>
      <c r="O71" s="98">
        <f>'Sumas y Saldos'!AI151</f>
      </c>
      <c r="P71" s="98">
        <f>'Sumas y Saldos'!AO151</f>
      </c>
      <c r="Q71" s="98">
        <f>'Sumas y Saldos'!AL151</f>
      </c>
      <c r="R71" s="98"/>
      <c r="S71" s="98"/>
      <c r="T71" s="98">
        <f>+'Sumas y Saldos'!BD151</f>
      </c>
      <c r="U71" s="98"/>
      <c r="V71" s="98">
        <v>0</v>
      </c>
      <c r="W71" s="98"/>
      <c r="X71" s="98"/>
      <c r="Y71" s="98"/>
      <c r="Z71" s="98"/>
      <c r="AA71" s="98"/>
      <c r="AB71" s="98"/>
      <c r="AC71" s="98">
        <v>0</v>
      </c>
      <c r="AD71" s="98">
        <v>20.08</v>
      </c>
      <c r="AE71" s="98">
        <v>0</v>
      </c>
      <c r="AF71" s="98">
        <v>0</v>
      </c>
      <c r="AG71" s="98">
        <v>20.34</v>
      </c>
      <c r="AH71" s="98">
        <v>31.22</v>
      </c>
      <c r="AI71" s="101">
        <f>SUM(W71:AH71)</f>
        <v>71.64</v>
      </c>
      <c r="AJ71" s="73"/>
      <c r="AK71" s="102"/>
    </row>
    <row r="72" ht="12.75" customHeight="1" spans="1:37" x14ac:dyDescent="0.25">
      <c r="A72" s="73" t="s">
        <v>495</v>
      </c>
      <c r="B72" s="73">
        <v>9600000062</v>
      </c>
      <c r="C72" s="95" t="s">
        <v>496</v>
      </c>
      <c r="D72" s="96">
        <f>SUM(F72:V72)+E72</f>
      </c>
      <c r="E72" s="96">
        <f>'Sumas y Saldos'!D287+'Sumas y Saldos'!D61+'Sumas y Saldos'!D71+'Sumas y Saldos'!D288+'Sumas y Saldos'!D290+'Sumas y Saldos'!G287+'Sumas y Saldos'!G61+'Sumas y Saldos'!G71+'Sumas y Saldos'!G288+'Sumas y Saldos'!G290+'Sumas y Saldos'!J287+'Sumas y Saldos'!J61+'Sumas y Saldos'!J71+'Sumas y Saldos'!J288+'Sumas y Saldos'!J290+'Sumas y Saldos'!P287+'Sumas y Saldos'!P61+'Sumas y Saldos'!P71+'Sumas y Saldos'!P288+'Sumas y Saldos'!P290+'Sumas y Saldos'!Y287+'Sumas y Saldos'!Y61+'Sumas y Saldos'!Y71+'Sumas y Saldos'!Y288+'Sumas y Saldos'!Y290+'Sumas y Saldos'!AB287+'Sumas y Saldos'!AB61+'Sumas y Saldos'!AB71+'Sumas y Saldos'!AB288+'Sumas y Saldos'!AB290+'Sumas y Saldos'!AE287+'Sumas y Saldos'!AE61+'Sumas y Saldos'!AE71+'Sumas y Saldos'!AE288+'Sumas y Saldos'!AE290+'Sumas y Saldos'!V287+'Sumas y Saldos'!V61+'Sumas y Saldos'!V71+'Sumas y Saldos'!V288+'Sumas y Saldos'!V290+'Sumas y Saldos'!S287+'Sumas y Saldos'!S61+'Sumas y Saldos'!S71+'Sumas y Saldos'!S288+'Sumas y Saldos'!S290+'Sumas y Saldos'!AH287+'Sumas y Saldos'!AH61+'Sumas y Saldos'!AH71+'Sumas y Saldos'!AH288+'Sumas y Saldos'!AH290+'Sumas y Saldos'!AN287+'Sumas y Saldos'!AN61+'Sumas y Saldos'!AN71+'Sumas y Saldos'!AN288+'Sumas y Saldos'!AN290+'Sumas y Saldos'!AK287+'Sumas y Saldos'!AK61+'Sumas y Saldos'!AK71+'Sumas y Saldos'!AK288+'Sumas y Saldos'!AK290+'Sumas y Saldos'!BO61</f>
      </c>
      <c r="F72" s="98">
        <f>'Sumas y Saldos'!E287+'Sumas y Saldos'!E61+'Sumas y Saldos'!E71+'Sumas y Saldos'!E288+'Sumas y Saldos'!E290</f>
      </c>
      <c r="G72" s="98">
        <f>'Sumas y Saldos'!H287+'Sumas y Saldos'!H61+'Sumas y Saldos'!H71+'Sumas y Saldos'!H288+'Sumas y Saldos'!H290</f>
      </c>
      <c r="H72" s="98">
        <f>'Sumas y Saldos'!K287+'Sumas y Saldos'!K61+'Sumas y Saldos'!K71+'Sumas y Saldos'!K288+'Sumas y Saldos'!K290</f>
      </c>
      <c r="I72" s="98">
        <f>'Sumas y Saldos'!Q287+'Sumas y Saldos'!Q61+'Sumas y Saldos'!Q71+'Sumas y Saldos'!Q288+'Sumas y Saldos'!Q290</f>
      </c>
      <c r="J72" s="98">
        <f>'Sumas y Saldos'!Z287+'Sumas y Saldos'!Z61+'Sumas y Saldos'!Z71+'Sumas y Saldos'!Z288+'Sumas y Saldos'!Z290</f>
      </c>
      <c r="K72" s="98">
        <f>'Sumas y Saldos'!AC287+'Sumas y Saldos'!AC61+'Sumas y Saldos'!AC71+'Sumas y Saldos'!AC288+'Sumas y Saldos'!AC290</f>
      </c>
      <c r="L72" s="98">
        <f>'Sumas y Saldos'!AF287+'Sumas y Saldos'!AF61+'Sumas y Saldos'!AF71+'Sumas y Saldos'!AF288+'Sumas y Saldos'!AF290</f>
      </c>
      <c r="M72" s="98">
        <f>'Sumas y Saldos'!W287+'Sumas y Saldos'!W61+'Sumas y Saldos'!W71+'Sumas y Saldos'!W288+'Sumas y Saldos'!W290</f>
      </c>
      <c r="N72" s="98">
        <f>'Sumas y Saldos'!T287+'Sumas y Saldos'!T61+'Sumas y Saldos'!T71+'Sumas y Saldos'!T288+'Sumas y Saldos'!T290</f>
      </c>
      <c r="O72" s="98">
        <f>'Sumas y Saldos'!AI287+'Sumas y Saldos'!AI61+'Sumas y Saldos'!AI71+'Sumas y Saldos'!AI288+'Sumas y Saldos'!AI290</f>
      </c>
      <c r="P72" s="98">
        <f>'Sumas y Saldos'!AO287+'Sumas y Saldos'!AO61+'Sumas y Saldos'!AO71+'Sumas y Saldos'!AO288+'Sumas y Saldos'!AO290</f>
      </c>
      <c r="Q72" s="98">
        <f>'Sumas y Saldos'!AL287+'Sumas y Saldos'!AL61+'Sumas y Saldos'!AL71+'Sumas y Saldos'!AL288+'Sumas y Saldos'!AL290</f>
      </c>
      <c r="R72" s="98"/>
      <c r="S72" s="98"/>
      <c r="T72" s="98">
        <v>0</v>
      </c>
      <c r="U72" s="98"/>
      <c r="V72" s="98">
        <f>+'Sumas y Saldos'!BP61</f>
      </c>
      <c r="W72" s="98"/>
      <c r="X72" s="98"/>
      <c r="Y72" s="98"/>
      <c r="Z72" s="98"/>
      <c r="AA72" s="98"/>
      <c r="AB72" s="98"/>
      <c r="AC72" s="98">
        <v>0</v>
      </c>
      <c r="AD72" s="98">
        <v>0</v>
      </c>
      <c r="AE72" s="98">
        <v>0</v>
      </c>
      <c r="AF72" s="98">
        <v>0</v>
      </c>
      <c r="AG72" s="98">
        <v>0</v>
      </c>
      <c r="AH72" s="98">
        <v>0</v>
      </c>
      <c r="AI72" s="101">
        <f>SUM(W72:AH72)</f>
      </c>
      <c r="AJ72" s="73"/>
      <c r="AK72" s="102"/>
    </row>
    <row r="73" ht="12.75" customHeight="1" spans="1:37" x14ac:dyDescent="0.25">
      <c r="A73" s="73"/>
      <c r="B73" s="73"/>
      <c r="C73" s="95" t="s">
        <v>497</v>
      </c>
      <c r="D73" s="96">
        <f>SUM(F73:V73)+E73</f>
      </c>
      <c r="E73" s="96">
        <v>0</v>
      </c>
      <c r="F73" s="98">
        <v>0</v>
      </c>
      <c r="G73" s="98">
        <v>0</v>
      </c>
      <c r="H73" s="98">
        <v>0</v>
      </c>
      <c r="I73" s="98">
        <v>0</v>
      </c>
      <c r="J73" s="98">
        <v>0</v>
      </c>
      <c r="K73" s="98">
        <v>0</v>
      </c>
      <c r="L73" s="98">
        <v>0</v>
      </c>
      <c r="M73" s="98">
        <v>0</v>
      </c>
      <c r="N73" s="98">
        <v>0</v>
      </c>
      <c r="O73" s="98">
        <v>0</v>
      </c>
      <c r="P73" s="98">
        <v>0</v>
      </c>
      <c r="Q73" s="98">
        <v>0</v>
      </c>
      <c r="R73" s="98"/>
      <c r="S73" s="98"/>
      <c r="T73" s="98">
        <v>0</v>
      </c>
      <c r="U73" s="98"/>
      <c r="V73" s="98"/>
      <c r="W73" s="98"/>
      <c r="X73" s="98"/>
      <c r="Y73" s="98"/>
      <c r="Z73" s="98"/>
      <c r="AA73" s="98"/>
      <c r="AB73" s="98"/>
      <c r="AC73" s="98">
        <v>0</v>
      </c>
      <c r="AD73" s="98">
        <v>0</v>
      </c>
      <c r="AE73" s="98">
        <v>0</v>
      </c>
      <c r="AF73" s="98">
        <v>0</v>
      </c>
      <c r="AG73" s="98">
        <v>0</v>
      </c>
      <c r="AH73" s="98">
        <v>0</v>
      </c>
      <c r="AI73" s="101">
        <f>SUM(W73:AH73)</f>
      </c>
      <c r="AJ73" s="73"/>
      <c r="AK73" s="102"/>
    </row>
    <row r="74" ht="12.75" customHeight="1" spans="1:37" x14ac:dyDescent="0.25">
      <c r="A74" s="73"/>
      <c r="B74" s="73"/>
      <c r="C74" s="95" t="s">
        <v>498</v>
      </c>
      <c r="D74" s="96">
        <f>SUM(F74:V74)+E74</f>
      </c>
      <c r="E74" s="96">
        <v>0</v>
      </c>
      <c r="F74" s="98">
        <v>0</v>
      </c>
      <c r="G74" s="98">
        <v>0</v>
      </c>
      <c r="H74" s="98">
        <v>0</v>
      </c>
      <c r="I74" s="98">
        <v>0</v>
      </c>
      <c r="J74" s="98">
        <v>0</v>
      </c>
      <c r="K74" s="98">
        <v>0</v>
      </c>
      <c r="L74" s="98">
        <v>0</v>
      </c>
      <c r="M74" s="98">
        <v>0</v>
      </c>
      <c r="N74" s="98">
        <v>0</v>
      </c>
      <c r="O74" s="98">
        <v>0</v>
      </c>
      <c r="P74" s="98">
        <v>0</v>
      </c>
      <c r="Q74" s="98">
        <v>0</v>
      </c>
      <c r="R74" s="98"/>
      <c r="S74" s="98"/>
      <c r="T74" s="98">
        <v>0</v>
      </c>
      <c r="U74" s="98"/>
      <c r="V74" s="98"/>
      <c r="W74" s="98"/>
      <c r="X74" s="98"/>
      <c r="Y74" s="98"/>
      <c r="Z74" s="98"/>
      <c r="AA74" s="98"/>
      <c r="AB74" s="98"/>
      <c r="AC74" s="98">
        <v>0</v>
      </c>
      <c r="AD74" s="98">
        <v>0</v>
      </c>
      <c r="AE74" s="98">
        <v>0</v>
      </c>
      <c r="AF74" s="98">
        <v>0</v>
      </c>
      <c r="AG74" s="98">
        <v>0</v>
      </c>
      <c r="AH74" s="98">
        <v>0</v>
      </c>
      <c r="AI74" s="101">
        <f>SUM(W74:AH74)</f>
      </c>
      <c r="AJ74" s="73"/>
      <c r="AK74" s="102"/>
    </row>
    <row r="75" ht="12.75" customHeight="1" spans="1:37" x14ac:dyDescent="0.25">
      <c r="A75" s="73"/>
      <c r="B75" s="73"/>
      <c r="C75" s="95" t="s">
        <v>499</v>
      </c>
      <c r="D75" s="96">
        <f>SUM(F75:V75)+E75</f>
      </c>
      <c r="E75" s="96">
        <v>0</v>
      </c>
      <c r="F75" s="98">
        <v>0</v>
      </c>
      <c r="G75" s="98">
        <v>0</v>
      </c>
      <c r="H75" s="98">
        <v>0</v>
      </c>
      <c r="I75" s="98">
        <v>0</v>
      </c>
      <c r="J75" s="98">
        <v>0</v>
      </c>
      <c r="K75" s="98">
        <v>0</v>
      </c>
      <c r="L75" s="98">
        <v>0</v>
      </c>
      <c r="M75" s="98">
        <v>0</v>
      </c>
      <c r="N75" s="98">
        <v>0</v>
      </c>
      <c r="O75" s="98">
        <v>0</v>
      </c>
      <c r="P75" s="98">
        <v>0</v>
      </c>
      <c r="Q75" s="98">
        <v>0</v>
      </c>
      <c r="R75" s="98"/>
      <c r="S75" s="98"/>
      <c r="T75" s="98">
        <v>0</v>
      </c>
      <c r="U75" s="98"/>
      <c r="V75" s="98"/>
      <c r="W75" s="98"/>
      <c r="X75" s="98"/>
      <c r="Y75" s="98"/>
      <c r="Z75" s="98"/>
      <c r="AA75" s="98"/>
      <c r="AB75" s="98"/>
      <c r="AC75" s="98">
        <v>0</v>
      </c>
      <c r="AD75" s="98">
        <v>0</v>
      </c>
      <c r="AE75" s="98">
        <v>0</v>
      </c>
      <c r="AF75" s="98">
        <v>0</v>
      </c>
      <c r="AG75" s="98">
        <v>0</v>
      </c>
      <c r="AH75" s="98">
        <v>0</v>
      </c>
      <c r="AI75" s="101">
        <f>SUM(W75:AH75)</f>
      </c>
      <c r="AJ75" s="73"/>
      <c r="AK75" s="102"/>
    </row>
    <row r="76" ht="12.75" customHeight="1" spans="1:37" x14ac:dyDescent="0.25">
      <c r="A76" s="73"/>
      <c r="B76" s="73"/>
      <c r="C76" s="95" t="s">
        <v>500</v>
      </c>
      <c r="D76" s="96">
        <f>SUM(F76:V76)+E76</f>
      </c>
      <c r="E76" s="96">
        <f>'Sumas y Saldos'!D165+'Sumas y Saldos'!D63+'Sumas y Saldos'!G165+'Sumas y Saldos'!G63+'Sumas y Saldos'!J165+'Sumas y Saldos'!J63+'Sumas y Saldos'!P165+'Sumas y Saldos'!P63+'Sumas y Saldos'!Y165+'Sumas y Saldos'!Y63+'Sumas y Saldos'!AB165+'Sumas y Saldos'!AB63+'Sumas y Saldos'!AE165+'Sumas y Saldos'!AE63+'Sumas y Saldos'!V165+'Sumas y Saldos'!V63+'Sumas y Saldos'!S165+'Sumas y Saldos'!S63+'Sumas y Saldos'!AH165+'Sumas y Saldos'!AH63+'Sumas y Saldos'!AN165+'Sumas y Saldos'!AN63+'Sumas y Saldos'!AK165+'Sumas y Saldos'!AK63+'Sumas y Saldos'!BC165+'Sumas y Saldos'!BL165+'Sumas y Saldos'!BL63+'Sumas y Saldos'!BO165</f>
      </c>
      <c r="F76" s="98">
        <f>'Sumas y Saldos'!E165+'Sumas y Saldos'!E63</f>
      </c>
      <c r="G76" s="98">
        <f>'Sumas y Saldos'!H165+'Sumas y Saldos'!H63</f>
      </c>
      <c r="H76" s="98">
        <f>'Sumas y Saldos'!K165+'Sumas y Saldos'!K63</f>
      </c>
      <c r="I76" s="98">
        <f>'Sumas y Saldos'!Q165+'Sumas y Saldos'!Q63</f>
      </c>
      <c r="J76" s="98">
        <f>'Sumas y Saldos'!Z165+'Sumas y Saldos'!Z63</f>
      </c>
      <c r="K76" s="98">
        <f>'Sumas y Saldos'!AC165+'Sumas y Saldos'!AC63</f>
      </c>
      <c r="L76" s="98">
        <f>'Sumas y Saldos'!AF165+'Sumas y Saldos'!AF63</f>
      </c>
      <c r="M76" s="98">
        <f>'Sumas y Saldos'!W165+'Sumas y Saldos'!W63</f>
      </c>
      <c r="N76" s="98">
        <f>'Sumas y Saldos'!T165+'Sumas y Saldos'!T63</f>
      </c>
      <c r="O76" s="98">
        <f>'Sumas y Saldos'!AI165+'Sumas y Saldos'!AI63</f>
      </c>
      <c r="P76" s="98">
        <f>'Sumas y Saldos'!AO165+'Sumas y Saldos'!AO63</f>
      </c>
      <c r="Q76" s="98">
        <f>'Sumas y Saldos'!AL165+'Sumas y Saldos'!AL63</f>
      </c>
      <c r="R76" s="98"/>
      <c r="S76" s="98"/>
      <c r="T76" s="98">
        <f>'Sumas y Saldos'!BD165</f>
      </c>
      <c r="U76" s="98">
        <f>+'Sumas y Saldos'!BM165+'Sumas y Saldos'!BM63</f>
      </c>
      <c r="V76" s="98">
        <f>+'Sumas y Saldos'!BP165</f>
      </c>
      <c r="W76" s="98"/>
      <c r="X76" s="98"/>
      <c r="Y76" s="98"/>
      <c r="Z76" s="98"/>
      <c r="AA76" s="98"/>
      <c r="AB76" s="98"/>
      <c r="AC76" s="98">
        <v>0</v>
      </c>
      <c r="AD76" s="98">
        <v>0</v>
      </c>
      <c r="AE76" s="98">
        <v>0</v>
      </c>
      <c r="AF76" s="98">
        <v>0</v>
      </c>
      <c r="AG76" s="98">
        <v>0</v>
      </c>
      <c r="AH76" s="98">
        <v>0</v>
      </c>
      <c r="AI76" s="101">
        <f>SUM(W76:AH76)</f>
      </c>
      <c r="AJ76" s="73"/>
      <c r="AK76" s="102"/>
    </row>
    <row r="77" ht="12.75" customHeight="1" spans="1:37" x14ac:dyDescent="0.25">
      <c r="A77" s="73"/>
      <c r="B77" s="73"/>
      <c r="C77" s="95" t="s">
        <v>501</v>
      </c>
      <c r="D77" s="96">
        <f>SUM(F77:V77)+E77</f>
      </c>
      <c r="E77" s="96">
        <v>0</v>
      </c>
      <c r="F77" s="98">
        <v>0</v>
      </c>
      <c r="G77" s="98">
        <v>0</v>
      </c>
      <c r="H77" s="98">
        <v>0</v>
      </c>
      <c r="I77" s="98">
        <v>0</v>
      </c>
      <c r="J77" s="98">
        <v>0</v>
      </c>
      <c r="K77" s="98">
        <v>0</v>
      </c>
      <c r="L77" s="98">
        <v>0</v>
      </c>
      <c r="M77" s="98">
        <v>0</v>
      </c>
      <c r="N77" s="98">
        <v>0</v>
      </c>
      <c r="O77" s="98">
        <v>0</v>
      </c>
      <c r="P77" s="98">
        <v>0</v>
      </c>
      <c r="Q77" s="98">
        <v>0</v>
      </c>
      <c r="R77" s="98"/>
      <c r="S77" s="98"/>
      <c r="T77" s="98">
        <v>0</v>
      </c>
      <c r="U77" s="98"/>
      <c r="V77" s="98"/>
      <c r="W77" s="98"/>
      <c r="X77" s="98"/>
      <c r="Y77" s="98"/>
      <c r="Z77" s="98"/>
      <c r="AA77" s="98"/>
      <c r="AB77" s="98"/>
      <c r="AC77" s="98">
        <v>0</v>
      </c>
      <c r="AD77" s="98">
        <v>0</v>
      </c>
      <c r="AE77" s="98">
        <v>0</v>
      </c>
      <c r="AF77" s="98">
        <v>0</v>
      </c>
      <c r="AG77" s="98">
        <v>0</v>
      </c>
      <c r="AH77" s="98">
        <v>0</v>
      </c>
      <c r="AI77" s="101">
        <f>SUM(W77:AH77)</f>
      </c>
      <c r="AJ77" s="73"/>
      <c r="AK77" s="102"/>
    </row>
    <row r="78" ht="12.75" customHeight="1" spans="1:37" x14ac:dyDescent="0.25">
      <c r="A78" s="73"/>
      <c r="B78" s="73"/>
      <c r="C78" s="95" t="s">
        <v>502</v>
      </c>
      <c r="D78" s="96">
        <f>SUM(F78:V78)+E78</f>
      </c>
      <c r="E78" s="96">
        <v>0</v>
      </c>
      <c r="F78" s="98">
        <v>0</v>
      </c>
      <c r="G78" s="98">
        <v>0</v>
      </c>
      <c r="H78" s="98">
        <v>0</v>
      </c>
      <c r="I78" s="98">
        <v>0</v>
      </c>
      <c r="J78" s="98">
        <v>0</v>
      </c>
      <c r="K78" s="98">
        <v>0</v>
      </c>
      <c r="L78" s="98">
        <v>0</v>
      </c>
      <c r="M78" s="98">
        <v>0</v>
      </c>
      <c r="N78" s="98">
        <v>0</v>
      </c>
      <c r="O78" s="98">
        <v>0</v>
      </c>
      <c r="P78" s="98">
        <v>0</v>
      </c>
      <c r="Q78" s="98">
        <v>0</v>
      </c>
      <c r="R78" s="98"/>
      <c r="S78" s="98"/>
      <c r="T78" s="98">
        <v>0</v>
      </c>
      <c r="U78" s="98"/>
      <c r="V78" s="98"/>
      <c r="W78" s="98"/>
      <c r="X78" s="98"/>
      <c r="Y78" s="98"/>
      <c r="Z78" s="98"/>
      <c r="AA78" s="98"/>
      <c r="AB78" s="98"/>
      <c r="AC78" s="98">
        <v>0</v>
      </c>
      <c r="AD78" s="98">
        <v>0</v>
      </c>
      <c r="AE78" s="98">
        <v>0</v>
      </c>
      <c r="AF78" s="98">
        <v>0</v>
      </c>
      <c r="AG78" s="98">
        <v>0</v>
      </c>
      <c r="AH78" s="98">
        <v>0</v>
      </c>
      <c r="AI78" s="101">
        <f>SUM(W78:AH78)</f>
      </c>
      <c r="AJ78" s="73"/>
      <c r="AK78" s="102"/>
    </row>
    <row r="79" ht="12.75" customHeight="1" spans="1:37" x14ac:dyDescent="0.25">
      <c r="A79" s="73"/>
      <c r="B79" s="73"/>
      <c r="C79" s="95" t="s">
        <v>503</v>
      </c>
      <c r="D79" s="96">
        <f>SUM(F79:V79)+E79</f>
      </c>
      <c r="E79" s="96">
        <v>0</v>
      </c>
      <c r="F79" s="98">
        <v>0</v>
      </c>
      <c r="G79" s="98">
        <v>0</v>
      </c>
      <c r="H79" s="98">
        <v>0</v>
      </c>
      <c r="I79" s="98">
        <v>0</v>
      </c>
      <c r="J79" s="98">
        <v>0</v>
      </c>
      <c r="K79" s="98">
        <v>0</v>
      </c>
      <c r="L79" s="98">
        <v>0</v>
      </c>
      <c r="M79" s="98">
        <v>0</v>
      </c>
      <c r="N79" s="98">
        <v>0</v>
      </c>
      <c r="O79" s="98">
        <v>0</v>
      </c>
      <c r="P79" s="98">
        <v>0</v>
      </c>
      <c r="Q79" s="98">
        <v>0</v>
      </c>
      <c r="R79" s="98"/>
      <c r="S79" s="98"/>
      <c r="T79" s="98">
        <v>0</v>
      </c>
      <c r="U79" s="98"/>
      <c r="V79" s="98"/>
      <c r="W79" s="98"/>
      <c r="X79" s="98"/>
      <c r="Y79" s="98"/>
      <c r="Z79" s="98"/>
      <c r="AA79" s="98"/>
      <c r="AB79" s="98"/>
      <c r="AC79" s="98">
        <v>0</v>
      </c>
      <c r="AD79" s="98">
        <v>0</v>
      </c>
      <c r="AE79" s="98">
        <v>0</v>
      </c>
      <c r="AF79" s="98">
        <v>0</v>
      </c>
      <c r="AG79" s="98">
        <v>0</v>
      </c>
      <c r="AH79" s="98">
        <v>0</v>
      </c>
      <c r="AI79" s="101">
        <f>SUM(W79:AH79)</f>
      </c>
      <c r="AJ79" s="73"/>
      <c r="AK79" s="102"/>
    </row>
    <row r="80" ht="12.75" customHeight="1" spans="1:37" x14ac:dyDescent="0.25">
      <c r="A80" s="73"/>
      <c r="B80" s="73"/>
      <c r="C80" s="95" t="s">
        <v>504</v>
      </c>
      <c r="D80" s="96">
        <f>SUM(F80:V80)+E80</f>
      </c>
      <c r="E80" s="96">
        <v>0</v>
      </c>
      <c r="F80" s="98">
        <v>0</v>
      </c>
      <c r="G80" s="98">
        <v>0</v>
      </c>
      <c r="H80" s="98">
        <v>0</v>
      </c>
      <c r="I80" s="98">
        <v>0</v>
      </c>
      <c r="J80" s="98">
        <v>0</v>
      </c>
      <c r="K80" s="98">
        <v>0</v>
      </c>
      <c r="L80" s="98">
        <v>0</v>
      </c>
      <c r="M80" s="98">
        <v>0</v>
      </c>
      <c r="N80" s="98">
        <v>0</v>
      </c>
      <c r="O80" s="98">
        <v>0</v>
      </c>
      <c r="P80" s="98">
        <v>0</v>
      </c>
      <c r="Q80" s="98">
        <v>0</v>
      </c>
      <c r="R80" s="98"/>
      <c r="S80" s="98"/>
      <c r="T80" s="98">
        <v>0</v>
      </c>
      <c r="U80" s="98"/>
      <c r="V80" s="98"/>
      <c r="W80" s="98"/>
      <c r="X80" s="98"/>
      <c r="Y80" s="98"/>
      <c r="Z80" s="98"/>
      <c r="AA80" s="98"/>
      <c r="AB80" s="98"/>
      <c r="AC80" s="98">
        <v>0</v>
      </c>
      <c r="AD80" s="98">
        <v>0</v>
      </c>
      <c r="AE80" s="98">
        <v>0</v>
      </c>
      <c r="AF80" s="98">
        <v>0</v>
      </c>
      <c r="AG80" s="98">
        <v>0</v>
      </c>
      <c r="AH80" s="98">
        <v>0</v>
      </c>
      <c r="AI80" s="101">
        <f>SUM(W80:AH80)</f>
      </c>
      <c r="AJ80" s="73"/>
      <c r="AK80" s="102"/>
    </row>
    <row r="81" ht="12.75" customHeight="1" spans="1:37" x14ac:dyDescent="0.25">
      <c r="A81" s="73"/>
      <c r="B81" s="73"/>
      <c r="C81" s="95" t="s">
        <v>505</v>
      </c>
      <c r="D81" s="96">
        <f>SUM(F81:V81)+E81</f>
        <v>29.77</v>
      </c>
      <c r="E81" s="96">
        <f>'Sumas y Saldos'!D213+'Sumas y Saldos'!D192+'Sumas y Saldos'!G213+'Sumas y Saldos'!G192+'Sumas y Saldos'!J213+'Sumas y Saldos'!J192+'Sumas y Saldos'!P213+'Sumas y Saldos'!P192+'Sumas y Saldos'!Y213+'Sumas y Saldos'!Y192+'Sumas y Saldos'!AB213+'Sumas y Saldos'!AB192+'Sumas y Saldos'!AE213+'Sumas y Saldos'!AE192+'Sumas y Saldos'!V213+'Sumas y Saldos'!V192+'Sumas y Saldos'!S213+'Sumas y Saldos'!S192+'Sumas y Saldos'!AH213+'Sumas y Saldos'!AH192+'Sumas y Saldos'!AN213+'Sumas y Saldos'!AN192+'Sumas y Saldos'!AK213+'Sumas y Saldos'!AK192+'Sumas y Saldos'!BC213+'Sumas y Saldos'!BL213+'Sumas y Saldos'!BO213+'Sumas y Saldos'!BO192</f>
      </c>
      <c r="F81" s="98">
        <f>'Sumas y Saldos'!E213+'Sumas y Saldos'!E192</f>
      </c>
      <c r="G81" s="98">
        <f>'Sumas y Saldos'!H213+'Sumas y Saldos'!H192</f>
      </c>
      <c r="H81" s="98">
        <f>'Sumas y Saldos'!K213+'Sumas y Saldos'!K192</f>
      </c>
      <c r="I81" s="98">
        <f>'Sumas y Saldos'!Q213+'Sumas y Saldos'!Q192</f>
      </c>
      <c r="J81" s="98">
        <f>'Sumas y Saldos'!Z213+'Sumas y Saldos'!Z192</f>
      </c>
      <c r="K81" s="98">
        <f>'Sumas y Saldos'!AC213+'Sumas y Saldos'!AC192</f>
      </c>
      <c r="L81" s="98">
        <f>'Sumas y Saldos'!AF213+'Sumas y Saldos'!AF192</f>
      </c>
      <c r="M81" s="98">
        <f>'Sumas y Saldos'!W213+'Sumas y Saldos'!W192</f>
      </c>
      <c r="N81" s="98">
        <f>'Sumas y Saldos'!T213+'Sumas y Saldos'!T192</f>
      </c>
      <c r="O81" s="98">
        <f>'Sumas y Saldos'!AI213+'Sumas y Saldos'!AI192</f>
      </c>
      <c r="P81" s="98">
        <f>'Sumas y Saldos'!AO213+'Sumas y Saldos'!AO192</f>
      </c>
      <c r="Q81" s="98">
        <f>'Sumas y Saldos'!AL213+'Sumas y Saldos'!AL192</f>
      </c>
      <c r="R81" s="98"/>
      <c r="S81" s="98"/>
      <c r="T81" s="98">
        <f>'Sumas y Saldos'!BD213</f>
      </c>
      <c r="U81" s="98">
        <f>'Sumas y Saldos'!BM213</f>
      </c>
      <c r="V81" s="98">
        <f>+'Sumas y Saldos'!BP213+'Sumas y Saldos'!BP192</f>
      </c>
      <c r="W81" s="98"/>
      <c r="X81" s="98"/>
      <c r="Y81" s="98"/>
      <c r="Z81" s="98"/>
      <c r="AA81" s="98"/>
      <c r="AB81" s="98"/>
      <c r="AC81" s="98">
        <v>29.77</v>
      </c>
      <c r="AD81" s="98">
        <v>0</v>
      </c>
      <c r="AE81" s="98">
        <v>13.290000000000001</v>
      </c>
      <c r="AF81" s="98">
        <v>0</v>
      </c>
      <c r="AG81" s="98">
        <v>0</v>
      </c>
      <c r="AH81" s="98">
        <v>0</v>
      </c>
      <c r="AI81" s="101">
        <f>SUM(W81:AH81)</f>
        <v>43.06</v>
      </c>
      <c r="AJ81" s="73"/>
      <c r="AK81" s="102"/>
    </row>
    <row r="82" ht="12.75" customHeight="1" spans="1:37" x14ac:dyDescent="0.25">
      <c r="A82" s="73"/>
      <c r="B82" s="73"/>
      <c r="C82" s="95" t="s">
        <v>56</v>
      </c>
      <c r="D82" s="96">
        <f>SUM(F82:V82)+E82</f>
      </c>
      <c r="E82" s="96">
        <v>0</v>
      </c>
      <c r="F82" s="98">
        <v>0</v>
      </c>
      <c r="G82" s="98">
        <v>0</v>
      </c>
      <c r="H82" s="98">
        <v>0</v>
      </c>
      <c r="I82" s="98">
        <v>0</v>
      </c>
      <c r="J82" s="98">
        <v>0</v>
      </c>
      <c r="K82" s="98">
        <v>0</v>
      </c>
      <c r="L82" s="98">
        <v>0</v>
      </c>
      <c r="M82" s="98">
        <v>0</v>
      </c>
      <c r="N82" s="98">
        <v>0</v>
      </c>
      <c r="O82" s="98">
        <v>0</v>
      </c>
      <c r="P82" s="98">
        <v>0</v>
      </c>
      <c r="Q82" s="98">
        <v>0</v>
      </c>
      <c r="R82" s="98"/>
      <c r="S82" s="98"/>
      <c r="T82" s="98">
        <v>0</v>
      </c>
      <c r="U82" s="98"/>
      <c r="V82" s="98"/>
      <c r="W82" s="98"/>
      <c r="X82" s="98"/>
      <c r="Y82" s="98"/>
      <c r="Z82" s="98"/>
      <c r="AA82" s="98"/>
      <c r="AB82" s="98"/>
      <c r="AC82" s="98">
        <v>0</v>
      </c>
      <c r="AD82" s="98">
        <v>0</v>
      </c>
      <c r="AE82" s="98">
        <v>0</v>
      </c>
      <c r="AF82" s="98">
        <v>0</v>
      </c>
      <c r="AG82" s="98">
        <v>0</v>
      </c>
      <c r="AH82" s="98">
        <v>0</v>
      </c>
      <c r="AI82" s="101">
        <f>SUM(W82:AH82)</f>
      </c>
      <c r="AJ82" s="73"/>
      <c r="AK82" s="102"/>
    </row>
    <row r="83" ht="12.75" customHeight="1" spans="1:37" x14ac:dyDescent="0.25">
      <c r="A83" s="73"/>
      <c r="B83" s="73"/>
      <c r="C83" s="95" t="s">
        <v>54</v>
      </c>
      <c r="D83" s="96">
        <f>SUM(F83:V83)+E83</f>
      </c>
      <c r="E83" s="96">
        <f>'Sumas y Saldos'!D17+'Sumas y Saldos'!D266+'Sumas y Saldos'!G17+'Sumas y Saldos'!G266+'Sumas y Saldos'!J17+'Sumas y Saldos'!J266+'Sumas y Saldos'!P17+'Sumas y Saldos'!P266+'Sumas y Saldos'!Y17+'Sumas y Saldos'!Y266+'Sumas y Saldos'!AB17+'Sumas y Saldos'!AB266+'Sumas y Saldos'!AE17+'Sumas y Saldos'!AE266+'Sumas y Saldos'!V17+'Sumas y Saldos'!V266+'Sumas y Saldos'!S17+'Sumas y Saldos'!S266+'Sumas y Saldos'!AH17+'Sumas y Saldos'!AH266+'Sumas y Saldos'!AN17+'Sumas y Saldos'!AN266+'Sumas y Saldos'!AK17+'Sumas y Saldos'!AK266+'Sumas y Saldos'!BF17+'Sumas y Saldos'!BL17+'Sumas y Saldos'!BO17</f>
      </c>
      <c r="F83" s="98">
        <f>'Sumas y Saldos'!E17+'Sumas y Saldos'!E266</f>
      </c>
      <c r="G83" s="98">
        <f>'Sumas y Saldos'!H17+'Sumas y Saldos'!H266</f>
      </c>
      <c r="H83" s="98">
        <f>'Sumas y Saldos'!K17+'Sumas y Saldos'!K266</f>
      </c>
      <c r="I83" s="98">
        <f>'Sumas y Saldos'!Q17+'Sumas y Saldos'!Q266</f>
      </c>
      <c r="J83" s="98">
        <f>'Sumas y Saldos'!Z17+'Sumas y Saldos'!Z266</f>
      </c>
      <c r="K83" s="98">
        <f>'Sumas y Saldos'!AC17+'Sumas y Saldos'!AC266</f>
      </c>
      <c r="L83" s="98">
        <f>'Sumas y Saldos'!AF17+'Sumas y Saldos'!AF266</f>
      </c>
      <c r="M83" s="98">
        <f>'Sumas y Saldos'!W17+'Sumas y Saldos'!W266</f>
      </c>
      <c r="N83" s="98">
        <f>'Sumas y Saldos'!T17+'Sumas y Saldos'!T266</f>
      </c>
      <c r="O83" s="98">
        <f>'Sumas y Saldos'!AI17+'Sumas y Saldos'!AI266</f>
      </c>
      <c r="P83" s="98">
        <f>'Sumas y Saldos'!AO17+'Sumas y Saldos'!AO266</f>
      </c>
      <c r="Q83" s="98">
        <f>'Sumas y Saldos'!AL17+'Sumas y Saldos'!AL266</f>
      </c>
      <c r="R83" s="98">
        <f>+'Sumas y Saldos'!BG17</f>
      </c>
      <c r="S83" s="98"/>
      <c r="T83" s="98">
        <v>0</v>
      </c>
      <c r="U83" s="98">
        <f>+'Sumas y Saldos'!BM17</f>
      </c>
      <c r="V83" s="98">
        <f>+'Sumas y Saldos'!BP17</f>
      </c>
      <c r="W83" s="98"/>
      <c r="X83" s="98"/>
      <c r="Y83" s="98"/>
      <c r="Z83" s="98"/>
      <c r="AA83" s="98"/>
      <c r="AB83" s="98"/>
      <c r="AC83" s="98">
        <v>0</v>
      </c>
      <c r="AD83" s="98">
        <v>0</v>
      </c>
      <c r="AE83" s="98">
        <v>0</v>
      </c>
      <c r="AF83" s="98">
        <v>9812.85</v>
      </c>
      <c r="AG83" s="98">
        <v>0</v>
      </c>
      <c r="AH83" s="98">
        <v>0</v>
      </c>
      <c r="AI83" s="101">
        <f>SUM(W83:AH83)</f>
        <v>9812.85</v>
      </c>
      <c r="AJ83" s="73"/>
      <c r="AK83" s="102"/>
    </row>
    <row r="84" ht="12.75" customHeight="1" spans="1:37" x14ac:dyDescent="0.25">
      <c r="A84" s="73"/>
      <c r="B84" s="73"/>
      <c r="C84" s="95" t="s">
        <v>506</v>
      </c>
      <c r="D84" s="96">
        <f>SUM(F84:V84)+E84</f>
      </c>
      <c r="E84" s="96">
        <f>'Sumas y Saldos'!D183+'Sumas y Saldos'!D241+'Sumas y Saldos'!G183+'Sumas y Saldos'!G241+'Sumas y Saldos'!J183+'Sumas y Saldos'!J241+'Sumas y Saldos'!P183+'Sumas y Saldos'!P241+'Sumas y Saldos'!Y183+'Sumas y Saldos'!Y241+'Sumas y Saldos'!AB183+'Sumas y Saldos'!AB241+'Sumas y Saldos'!AE183+'Sumas y Saldos'!AE241+'Sumas y Saldos'!V183+'Sumas y Saldos'!V241+'Sumas y Saldos'!S183+'Sumas y Saldos'!S241+'Sumas y Saldos'!AH183+'Sumas y Saldos'!AH241+'Sumas y Saldos'!AN183+'Sumas y Saldos'!AN241+'Sumas y Saldos'!AK183+'Sumas y Saldos'!AK241+'Sumas y Saldos'!BC183+'Sumas y Saldos'!BL183+'Sumas y Saldos'!BO183</f>
      </c>
      <c r="F84" s="98">
        <f>'Sumas y Saldos'!E183+'Sumas y Saldos'!E241</f>
      </c>
      <c r="G84" s="98">
        <f>'Sumas y Saldos'!H183+'Sumas y Saldos'!H241</f>
      </c>
      <c r="H84" s="98">
        <f>'Sumas y Saldos'!K183+'Sumas y Saldos'!K241</f>
      </c>
      <c r="I84" s="98">
        <f>'Sumas y Saldos'!Q183+'Sumas y Saldos'!Q241</f>
      </c>
      <c r="J84" s="98">
        <f>'Sumas y Saldos'!Z183+'Sumas y Saldos'!Z241</f>
      </c>
      <c r="K84" s="98">
        <f>'Sumas y Saldos'!AC183+'Sumas y Saldos'!AC241</f>
      </c>
      <c r="L84" s="98">
        <f>'Sumas y Saldos'!AF183+'Sumas y Saldos'!AF241</f>
      </c>
      <c r="M84" s="98">
        <f>'Sumas y Saldos'!W183+'Sumas y Saldos'!W241</f>
      </c>
      <c r="N84" s="98">
        <f>'Sumas y Saldos'!T183+'Sumas y Saldos'!T241</f>
      </c>
      <c r="O84" s="98">
        <f>'Sumas y Saldos'!AI183+'Sumas y Saldos'!AI241</f>
      </c>
      <c r="P84" s="98">
        <f>'Sumas y Saldos'!AO183+'Sumas y Saldos'!AO241</f>
      </c>
      <c r="Q84" s="98">
        <f>'Sumas y Saldos'!AL183+'Sumas y Saldos'!AL241</f>
      </c>
      <c r="R84" s="98"/>
      <c r="S84" s="98"/>
      <c r="T84" s="98">
        <f>'Sumas y Saldos'!BD183</f>
      </c>
      <c r="U84" s="98">
        <f>+'Sumas y Saldos'!BM183</f>
      </c>
      <c r="V84" s="98">
        <f>+'Sumas y Saldos'!BN183</f>
      </c>
      <c r="W84" s="98"/>
      <c r="X84" s="98"/>
      <c r="Y84" s="98"/>
      <c r="Z84" s="98"/>
      <c r="AA84" s="98"/>
      <c r="AB84" s="98"/>
      <c r="AC84" s="98">
        <v>0</v>
      </c>
      <c r="AD84" s="98">
        <v>0</v>
      </c>
      <c r="AE84" s="98">
        <v>0</v>
      </c>
      <c r="AF84" s="98">
        <v>0</v>
      </c>
      <c r="AG84" s="98">
        <v>0</v>
      </c>
      <c r="AH84" s="98">
        <v>165115.85</v>
      </c>
      <c r="AI84" s="101">
        <f>SUM(W84:AH84)</f>
        <v>165115.85</v>
      </c>
      <c r="AJ84" s="73"/>
      <c r="AK84" s="102"/>
    </row>
    <row r="85" ht="12.75" customHeight="1" spans="1:37" x14ac:dyDescent="0.25">
      <c r="A85" s="73"/>
      <c r="B85" s="73"/>
      <c r="C85" s="95" t="s">
        <v>507</v>
      </c>
      <c r="D85" s="96">
        <f>SUM(F85:V85)+E85</f>
      </c>
      <c r="E85" s="96">
        <f>'Sumas y Saldos'!D208+'Sumas y Saldos'!G208+'Sumas y Saldos'!J208+'Sumas y Saldos'!P208+'Sumas y Saldos'!Y208+'Sumas y Saldos'!AB208+'Sumas y Saldos'!AE208+'Sumas y Saldos'!V208+'Sumas y Saldos'!S208+'Sumas y Saldos'!AH208+'Sumas y Saldos'!AN208+'Sumas y Saldos'!AK208</f>
      </c>
      <c r="F85" s="98">
        <f>+'Sumas y Saldos'!E208</f>
      </c>
      <c r="G85" s="98">
        <f>+'Sumas y Saldos'!H208</f>
      </c>
      <c r="H85" s="98">
        <f>+'Sumas y Saldos'!K208</f>
      </c>
      <c r="I85" s="98">
        <f>+'Sumas y Saldos'!Q208</f>
      </c>
      <c r="J85" s="98">
        <f>+'Sumas y Saldos'!Z208</f>
      </c>
      <c r="K85" s="98">
        <f>+'Sumas y Saldos'!AC208</f>
      </c>
      <c r="L85" s="98">
        <f>+'Sumas y Saldos'!AF208</f>
      </c>
      <c r="M85" s="98">
        <f>+'Sumas y Saldos'!W208</f>
      </c>
      <c r="N85" s="98">
        <f>+'Sumas y Saldos'!T208</f>
      </c>
      <c r="O85" s="98">
        <f>+'Sumas y Saldos'!AI208</f>
      </c>
      <c r="P85" s="98">
        <f>+'Sumas y Saldos'!AO208</f>
      </c>
      <c r="Q85" s="98">
        <f>+'Sumas y Saldos'!AL208</f>
      </c>
      <c r="R85" s="98"/>
      <c r="S85" s="98"/>
      <c r="T85" s="98">
        <v>0</v>
      </c>
      <c r="U85" s="98"/>
      <c r="V85" s="98"/>
      <c r="W85" s="98"/>
      <c r="X85" s="98"/>
      <c r="Y85" s="98"/>
      <c r="Z85" s="98"/>
      <c r="AA85" s="98"/>
      <c r="AB85" s="98"/>
      <c r="AC85" s="98">
        <v>0</v>
      </c>
      <c r="AD85" s="98">
        <v>0</v>
      </c>
      <c r="AE85" s="98">
        <v>0</v>
      </c>
      <c r="AF85" s="98">
        <v>0</v>
      </c>
      <c r="AG85" s="98">
        <v>0</v>
      </c>
      <c r="AH85" s="98">
        <v>0</v>
      </c>
      <c r="AI85" s="101">
        <f>SUM(W85:AH85)</f>
      </c>
      <c r="AJ85" s="73"/>
      <c r="AK85" s="102"/>
    </row>
    <row r="86" ht="12.75" customHeight="1" spans="1:37" x14ac:dyDescent="0.25">
      <c r="A86" s="73"/>
      <c r="B86" s="73"/>
      <c r="C86" s="95" t="s">
        <v>57</v>
      </c>
      <c r="D86" s="96">
        <f>SUM(F86:V86)+E86</f>
      </c>
      <c r="E86" s="96">
        <f>'Sumas y Saldos'!D24+'Sumas y Saldos'!D20+'Sumas y Saldos'!D93+'Sumas y Saldos'!D143+'Sumas y Saldos'!D276+'Sumas y Saldos'!G24+'Sumas y Saldos'!G20+'Sumas y Saldos'!G93+'Sumas y Saldos'!G143+'Sumas y Saldos'!G276+'Sumas y Saldos'!J24+'Sumas y Saldos'!J20+'Sumas y Saldos'!J93+'Sumas y Saldos'!J143+'Sumas y Saldos'!J276+'Sumas y Saldos'!P24+'Sumas y Saldos'!P20+'Sumas y Saldos'!P93+'Sumas y Saldos'!P143+'Sumas y Saldos'!P276+'Sumas y Saldos'!Y24+'Sumas y Saldos'!Y20+'Sumas y Saldos'!Y93+'Sumas y Saldos'!Y143+'Sumas y Saldos'!Y276+'Sumas y Saldos'!AB24+'Sumas y Saldos'!AB20+'Sumas y Saldos'!AB93+'Sumas y Saldos'!AB143+'Sumas y Saldos'!AB276+'Sumas y Saldos'!AE24+'Sumas y Saldos'!AE20+'Sumas y Saldos'!AE93+'Sumas y Saldos'!AE143+'Sumas y Saldos'!AE276+'Sumas y Saldos'!V24+'Sumas y Saldos'!V20+'Sumas y Saldos'!V93+'Sumas y Saldos'!V143+'Sumas y Saldos'!V276+'Sumas y Saldos'!S24+'Sumas y Saldos'!S20+'Sumas y Saldos'!S93+'Sumas y Saldos'!S143+'Sumas y Saldos'!S276+'Sumas y Saldos'!AH24+'Sumas y Saldos'!AH20+'Sumas y Saldos'!AH93+'Sumas y Saldos'!AH143+'Sumas y Saldos'!AH276+'Sumas y Saldos'!AN24+'Sumas y Saldos'!AN20+'Sumas y Saldos'!AN93+'Sumas y Saldos'!AN143+'Sumas y Saldos'!AN276+'Sumas y Saldos'!AK24+'Sumas y Saldos'!AK20+'Sumas y Saldos'!AK93+'Sumas y Saldos'!AK143+'Sumas y Saldos'!AK276+'Sumas y Saldos'!BC143+'Sumas y Saldos'!BL24+'Sumas y Saldos'!BL20+'Sumas y Saldos'!BO93</f>
      </c>
      <c r="F86" s="98">
        <f>+'Sumas y Saldos'!E24+'Sumas y Saldos'!E20+'Sumas y Saldos'!E93+'Sumas y Saldos'!E143+'Sumas y Saldos'!E276</f>
      </c>
      <c r="G86" s="98">
        <f>+'Sumas y Saldos'!H24+'Sumas y Saldos'!H20+'Sumas y Saldos'!H93+'Sumas y Saldos'!H143+'Sumas y Saldos'!H276</f>
      </c>
      <c r="H86" s="98">
        <f>+'Sumas y Saldos'!K24+'Sumas y Saldos'!K20+'Sumas y Saldos'!K93+'Sumas y Saldos'!K143+'Sumas y Saldos'!K276</f>
      </c>
      <c r="I86" s="98">
        <f>+'Sumas y Saldos'!Q24+'Sumas y Saldos'!Q20+'Sumas y Saldos'!Q93+'Sumas y Saldos'!Q143+'Sumas y Saldos'!Q276</f>
      </c>
      <c r="J86" s="98">
        <f>+'Sumas y Saldos'!Z24+'Sumas y Saldos'!Z20+'Sumas y Saldos'!Z93+'Sumas y Saldos'!Z143+'Sumas y Saldos'!Z276</f>
      </c>
      <c r="K86" s="98">
        <f>+'Sumas y Saldos'!AC24+'Sumas y Saldos'!AC20+'Sumas y Saldos'!AC93+'Sumas y Saldos'!AC143+'Sumas y Saldos'!AC276</f>
      </c>
      <c r="L86" s="98">
        <f>+'Sumas y Saldos'!AF24+'Sumas y Saldos'!AF20+'Sumas y Saldos'!AF93+'Sumas y Saldos'!AF143+'Sumas y Saldos'!AF276</f>
      </c>
      <c r="M86" s="98">
        <f>+'Sumas y Saldos'!W24+'Sumas y Saldos'!W20+'Sumas y Saldos'!W93+'Sumas y Saldos'!W143+'Sumas y Saldos'!W276</f>
      </c>
      <c r="N86" s="98">
        <f>+'Sumas y Saldos'!T24+'Sumas y Saldos'!T20+'Sumas y Saldos'!T93+'Sumas y Saldos'!T143+'Sumas y Saldos'!T276</f>
      </c>
      <c r="O86" s="98">
        <f>+'Sumas y Saldos'!AI24+'Sumas y Saldos'!AI20+'Sumas y Saldos'!AI93+'Sumas y Saldos'!AI143+'Sumas y Saldos'!AI276</f>
      </c>
      <c r="P86" s="98">
        <f>+'Sumas y Saldos'!AO24+'Sumas y Saldos'!AO20+'Sumas y Saldos'!AO93+'Sumas y Saldos'!AO143+'Sumas y Saldos'!AO276</f>
      </c>
      <c r="Q86" s="98">
        <f>+'Sumas y Saldos'!AL24+'Sumas y Saldos'!AL20+'Sumas y Saldos'!AL93+'Sumas y Saldos'!AL143+'Sumas y Saldos'!AL276</f>
      </c>
      <c r="R86" s="98"/>
      <c r="S86" s="98"/>
      <c r="T86" s="98">
        <f>+'Sumas y Saldos'!BD143</f>
      </c>
      <c r="U86" s="98">
        <f>+'Sumas y Saldos'!BM24+'Sumas y Saldos'!BM20</f>
      </c>
      <c r="V86" s="98">
        <f>+'Sumas y Saldos'!BP93</f>
      </c>
      <c r="W86" s="98"/>
      <c r="X86" s="98"/>
      <c r="Y86" s="98"/>
      <c r="Z86" s="98"/>
      <c r="AA86" s="98"/>
      <c r="AB86" s="98"/>
      <c r="AC86" s="98">
        <v>0</v>
      </c>
      <c r="AD86" s="98">
        <v>0</v>
      </c>
      <c r="AE86" s="98">
        <v>0</v>
      </c>
      <c r="AF86" s="98">
        <v>0</v>
      </c>
      <c r="AG86" s="98">
        <v>0</v>
      </c>
      <c r="AH86" s="98">
        <v>69.84</v>
      </c>
      <c r="AI86" s="101">
        <f>SUM(W86:AH86)</f>
        <v>69.84</v>
      </c>
      <c r="AJ86" s="73"/>
      <c r="AK86" s="102"/>
    </row>
    <row r="87" ht="12.75" customHeight="1" spans="1:37" x14ac:dyDescent="0.25">
      <c r="A87" s="73"/>
      <c r="B87" s="73"/>
      <c r="C87" s="95" t="s">
        <v>508</v>
      </c>
      <c r="D87" s="96">
        <f>SUM(F87:V87)+E87</f>
      </c>
      <c r="E87" s="96">
        <f>'Sumas y Saldos'!D150+'Sumas y Saldos'!G150+'Sumas y Saldos'!J150+'Sumas y Saldos'!P150+'Sumas y Saldos'!Y150+'Sumas y Saldos'!AB150+'Sumas y Saldos'!AE150+'Sumas y Saldos'!V150+'Sumas y Saldos'!S150+'Sumas y Saldos'!AH150+'Sumas y Saldos'!AN150+'Sumas y Saldos'!AK150+'Sumas y Saldos'!BC150</f>
      </c>
      <c r="F87" s="98">
        <f>+'Sumas y Saldos'!E150</f>
      </c>
      <c r="G87" s="98">
        <f>+'Sumas y Saldos'!H150</f>
      </c>
      <c r="H87" s="98">
        <f>+'Sumas y Saldos'!K150</f>
      </c>
      <c r="I87" s="98">
        <f>+'Sumas y Saldos'!Q150</f>
      </c>
      <c r="J87" s="98">
        <f>+'Sumas y Saldos'!Z150</f>
      </c>
      <c r="K87" s="98">
        <f>+'Sumas y Saldos'!AC150</f>
      </c>
      <c r="L87" s="98">
        <f>+'Sumas y Saldos'!AF150</f>
      </c>
      <c r="M87" s="98">
        <f>+'Sumas y Saldos'!W150</f>
      </c>
      <c r="N87" s="98">
        <f>+'Sumas y Saldos'!T150</f>
      </c>
      <c r="O87" s="98">
        <f>+'Sumas y Saldos'!AI150</f>
      </c>
      <c r="P87" s="98">
        <f>+'Sumas y Saldos'!AO150</f>
      </c>
      <c r="Q87" s="98">
        <f>+'Sumas y Saldos'!AL150</f>
      </c>
      <c r="R87" s="98"/>
      <c r="S87" s="98"/>
      <c r="T87" s="98">
        <f>+'Sumas y Saldos'!BD150</f>
      </c>
      <c r="U87" s="98">
        <v>0</v>
      </c>
      <c r="V87" s="98"/>
      <c r="W87" s="98"/>
      <c r="X87" s="98"/>
      <c r="Y87" s="98"/>
      <c r="Z87" s="98"/>
      <c r="AA87" s="98"/>
      <c r="AB87" s="98"/>
      <c r="AC87" s="98">
        <v>0</v>
      </c>
      <c r="AD87" s="98">
        <v>0</v>
      </c>
      <c r="AE87" s="98">
        <v>0</v>
      </c>
      <c r="AF87" s="98">
        <v>0</v>
      </c>
      <c r="AG87" s="98">
        <v>0</v>
      </c>
      <c r="AH87" s="98">
        <v>0</v>
      </c>
      <c r="AI87" s="101">
        <f>SUM(W87:AH87)</f>
      </c>
      <c r="AJ87" s="73"/>
      <c r="AK87" s="102"/>
    </row>
    <row r="88" ht="12.75" customHeight="1" spans="1:37" x14ac:dyDescent="0.25">
      <c r="A88" s="73"/>
      <c r="B88" s="73"/>
      <c r="C88" s="95" t="s">
        <v>509</v>
      </c>
      <c r="D88" s="96">
        <f>SUM(F88:V88)+E88</f>
      </c>
      <c r="E88" s="96">
        <f>'Sumas y Saldos'!D249+'Sumas y Saldos'!D57+'Sumas y Saldos'!G249+'Sumas y Saldos'!G57+'Sumas y Saldos'!J249+'Sumas y Saldos'!J57+'Sumas y Saldos'!P249+'Sumas y Saldos'!P57+'Sumas y Saldos'!Y249+'Sumas y Saldos'!Y57+'Sumas y Saldos'!AB249+'Sumas y Saldos'!AB57+'Sumas y Saldos'!AE249+'Sumas y Saldos'!AE57+'Sumas y Saldos'!V249+'Sumas y Saldos'!V57+'Sumas y Saldos'!S249+'Sumas y Saldos'!S57+'Sumas y Saldos'!AH249+'Sumas y Saldos'!AH57+'Sumas y Saldos'!AN249+'Sumas y Saldos'!AN57+'Sumas y Saldos'!AK249+'Sumas y Saldos'!AK57+'Sumas y Saldos'!BL249+'Sumas y Saldos'!BO57</f>
      </c>
      <c r="F88" s="98">
        <f>'Sumas y Saldos'!E249+'Sumas y Saldos'!E57</f>
      </c>
      <c r="G88" s="98">
        <f>'Sumas y Saldos'!H249+'Sumas y Saldos'!H57</f>
      </c>
      <c r="H88" s="98">
        <f>'Sumas y Saldos'!K249+'Sumas y Saldos'!K57</f>
      </c>
      <c r="I88" s="98">
        <f>'Sumas y Saldos'!Q249+'Sumas y Saldos'!Q57</f>
      </c>
      <c r="J88" s="98">
        <f>'Sumas y Saldos'!Z249+'Sumas y Saldos'!Z57</f>
      </c>
      <c r="K88" s="98">
        <f>'Sumas y Saldos'!AC249+'Sumas y Saldos'!AC57</f>
      </c>
      <c r="L88" s="98">
        <f>'Sumas y Saldos'!AF249+'Sumas y Saldos'!AF57</f>
      </c>
      <c r="M88" s="98">
        <f>'Sumas y Saldos'!W249+'Sumas y Saldos'!W57</f>
      </c>
      <c r="N88" s="98">
        <f>'Sumas y Saldos'!T249+'Sumas y Saldos'!T57</f>
      </c>
      <c r="O88" s="98">
        <f>'Sumas y Saldos'!AI249+'Sumas y Saldos'!AI57</f>
      </c>
      <c r="P88" s="98">
        <f>'Sumas y Saldos'!AO249+'Sumas y Saldos'!AO57</f>
      </c>
      <c r="Q88" s="98">
        <f>'Sumas y Saldos'!AL249+'Sumas y Saldos'!AL57</f>
      </c>
      <c r="R88" s="98"/>
      <c r="S88" s="98"/>
      <c r="T88" s="98">
        <v>0</v>
      </c>
      <c r="U88" s="98">
        <f>'Sumas y Saldos'!BM249</f>
      </c>
      <c r="V88" s="98">
        <f>+'Sumas y Saldos'!BP57</f>
      </c>
      <c r="W88" s="98"/>
      <c r="X88" s="98"/>
      <c r="Y88" s="98"/>
      <c r="Z88" s="98"/>
      <c r="AA88" s="98"/>
      <c r="AB88" s="98"/>
      <c r="AC88" s="98">
        <v>0</v>
      </c>
      <c r="AD88" s="98">
        <v>0</v>
      </c>
      <c r="AE88" s="98">
        <v>0</v>
      </c>
      <c r="AF88" s="98">
        <v>4965.52</v>
      </c>
      <c r="AG88" s="98">
        <v>0</v>
      </c>
      <c r="AH88" s="98">
        <v>0</v>
      </c>
      <c r="AI88" s="101">
        <f>SUM(W88:AH88)</f>
        <v>4965.52</v>
      </c>
      <c r="AJ88" s="73"/>
      <c r="AK88" s="102"/>
    </row>
    <row r="89" ht="12.75" customHeight="1" spans="1:37" x14ac:dyDescent="0.25">
      <c r="A89" s="73"/>
      <c r="B89" s="73"/>
      <c r="C89" s="95" t="s">
        <v>60</v>
      </c>
      <c r="D89" s="96">
        <f>SUM(F89:V89)+E89</f>
      </c>
      <c r="E89" s="96">
        <f>'Sumas y Saldos'!D23+'Sumas y Saldos'!D77+'Sumas y Saldos'!D144+'Sumas y Saldos'!D283+'Sumas y Saldos'!D294+'Sumas y Saldos'!G23+'Sumas y Saldos'!G77+'Sumas y Saldos'!G144+'Sumas y Saldos'!G283+'Sumas y Saldos'!G294+'Sumas y Saldos'!J23+'Sumas y Saldos'!J77+'Sumas y Saldos'!J144+'Sumas y Saldos'!J283+'Sumas y Saldos'!J294+'Sumas y Saldos'!P23+'Sumas y Saldos'!P77+'Sumas y Saldos'!P144+'Sumas y Saldos'!P283+'Sumas y Saldos'!P294+'Sumas y Saldos'!Y23+'Sumas y Saldos'!Y77+'Sumas y Saldos'!Y144+'Sumas y Saldos'!Y283+'Sumas y Saldos'!Y294+'Sumas y Saldos'!AB23+'Sumas y Saldos'!AB77+'Sumas y Saldos'!AB144+'Sumas y Saldos'!AB283+'Sumas y Saldos'!AB294+'Sumas y Saldos'!AE23+'Sumas y Saldos'!AE77+'Sumas y Saldos'!AE144+'Sumas y Saldos'!AE283+'Sumas y Saldos'!AE294+'Sumas y Saldos'!V23+'Sumas y Saldos'!V77+'Sumas y Saldos'!V144+'Sumas y Saldos'!V283+'Sumas y Saldos'!V294+'Sumas y Saldos'!S23+'Sumas y Saldos'!S77+'Sumas y Saldos'!S144+'Sumas y Saldos'!S283+'Sumas y Saldos'!S294+'Sumas y Saldos'!AH23+'Sumas y Saldos'!AH77+'Sumas y Saldos'!AH144+'Sumas y Saldos'!AH283+'Sumas y Saldos'!AH294+'Sumas y Saldos'!AN23+'Sumas y Saldos'!AN77+'Sumas y Saldos'!AN144+'Sumas y Saldos'!AN283+'Sumas y Saldos'!AN294+'Sumas y Saldos'!AK23+'Sumas y Saldos'!AK77+'Sumas y Saldos'!AK144+'Sumas y Saldos'!AK283+'Sumas y Saldos'!AK294+'Sumas y Saldos'!BC144+'Sumas y Saldos'!BO294</f>
      </c>
      <c r="F89" s="98">
        <f>+'Sumas y Saldos'!E23+'Sumas y Saldos'!E77+'Sumas y Saldos'!E144+'Sumas y Saldos'!E283+'Sumas y Saldos'!E294</f>
      </c>
      <c r="G89" s="98">
        <f>+'Sumas y Saldos'!H23+'Sumas y Saldos'!H77+'Sumas y Saldos'!H144+'Sumas y Saldos'!H283+'Sumas y Saldos'!H294</f>
      </c>
      <c r="H89" s="98">
        <f>+'Sumas y Saldos'!K23+'Sumas y Saldos'!K77+'Sumas y Saldos'!K144+'Sumas y Saldos'!K283+'Sumas y Saldos'!K294</f>
      </c>
      <c r="I89" s="98">
        <f>+'Sumas y Saldos'!Q23+'Sumas y Saldos'!Q77+'Sumas y Saldos'!Q144+'Sumas y Saldos'!Q283+'Sumas y Saldos'!Q294</f>
      </c>
      <c r="J89" s="98">
        <f>+'Sumas y Saldos'!Z23+'Sumas y Saldos'!Z77+'Sumas y Saldos'!Z144+'Sumas y Saldos'!Z283+'Sumas y Saldos'!Z294</f>
      </c>
      <c r="K89" s="98">
        <f>+'Sumas y Saldos'!AC23+'Sumas y Saldos'!AC77+'Sumas y Saldos'!AC144+'Sumas y Saldos'!AC283+'Sumas y Saldos'!AC294</f>
      </c>
      <c r="L89" s="98">
        <f>+'Sumas y Saldos'!AF23+'Sumas y Saldos'!AF77+'Sumas y Saldos'!AF144+'Sumas y Saldos'!AF283+'Sumas y Saldos'!AF294</f>
      </c>
      <c r="M89" s="98">
        <f>+'Sumas y Saldos'!W23+'Sumas y Saldos'!W77+'Sumas y Saldos'!W144+'Sumas y Saldos'!W283+'Sumas y Saldos'!W294</f>
      </c>
      <c r="N89" s="98">
        <f>+'Sumas y Saldos'!T23+'Sumas y Saldos'!T77+'Sumas y Saldos'!T144+'Sumas y Saldos'!T283+'Sumas y Saldos'!T294</f>
      </c>
      <c r="O89" s="98">
        <f>+'Sumas y Saldos'!AI23+'Sumas y Saldos'!AI77+'Sumas y Saldos'!AI144+'Sumas y Saldos'!AI283+'Sumas y Saldos'!AI294</f>
      </c>
      <c r="P89" s="98">
        <f>+'Sumas y Saldos'!AO23+'Sumas y Saldos'!AO77+'Sumas y Saldos'!AO144+'Sumas y Saldos'!AO283+'Sumas y Saldos'!AO294</f>
      </c>
      <c r="Q89" s="98">
        <f>+'Sumas y Saldos'!AL23+'Sumas y Saldos'!AL77+'Sumas y Saldos'!AL144+'Sumas y Saldos'!AL283+'Sumas y Saldos'!AL294</f>
      </c>
      <c r="R89" s="98"/>
      <c r="S89" s="98"/>
      <c r="T89" s="98">
        <f>+'Sumas y Saldos'!BD144</f>
      </c>
      <c r="U89" s="98"/>
      <c r="V89" s="98">
        <f>+'Sumas y Saldos'!BN294</f>
      </c>
      <c r="W89" s="98"/>
      <c r="X89" s="98"/>
      <c r="Y89" s="98"/>
      <c r="Z89" s="98"/>
      <c r="AA89" s="98"/>
      <c r="AB89" s="98"/>
      <c r="AC89" s="98">
        <v>0</v>
      </c>
      <c r="AD89" s="98">
        <v>0</v>
      </c>
      <c r="AE89" s="98">
        <v>0</v>
      </c>
      <c r="AF89" s="98">
        <v>0</v>
      </c>
      <c r="AG89" s="98">
        <v>0</v>
      </c>
      <c r="AH89" s="98">
        <v>0</v>
      </c>
      <c r="AI89" s="101">
        <f>SUM(W89:AH89)</f>
      </c>
      <c r="AJ89" s="73"/>
      <c r="AK89" s="102"/>
    </row>
    <row r="90" ht="12.75" customHeight="1" spans="1:37" x14ac:dyDescent="0.25">
      <c r="A90" s="73"/>
      <c r="B90" s="73"/>
      <c r="C90" s="95" t="s">
        <v>166</v>
      </c>
      <c r="D90" s="96">
        <f>SUM(F90:V90)+E90</f>
      </c>
      <c r="E90" s="96">
        <f>'Sumas y Saldos'!D129+'Sumas y Saldos'!D223+'Sumas y Saldos'!G129+'Sumas y Saldos'!G223+'Sumas y Saldos'!J129+'Sumas y Saldos'!J223+'Sumas y Saldos'!P129+'Sumas y Saldos'!P223+'Sumas y Saldos'!Y129+'Sumas y Saldos'!Y223+'Sumas y Saldos'!AB129+'Sumas y Saldos'!AB223+'Sumas y Saldos'!AE129+'Sumas y Saldos'!AE223+'Sumas y Saldos'!V129+'Sumas y Saldos'!V223+'Sumas y Saldos'!S129+'Sumas y Saldos'!S223+'Sumas y Saldos'!AH129+'Sumas y Saldos'!AH223+'Sumas y Saldos'!AN129+'Sumas y Saldos'!AN223+'Sumas y Saldos'!AK129+'Sumas y Saldos'!AK223+'Sumas y Saldos'!BC129+'Sumas y Saldos'!BO129</f>
      </c>
      <c r="F90" s="98">
        <f>'Sumas y Saldos'!E129+'Sumas y Saldos'!E223</f>
      </c>
      <c r="G90" s="98">
        <f>'Sumas y Saldos'!H129+'Sumas y Saldos'!H223</f>
      </c>
      <c r="H90" s="98">
        <f>'Sumas y Saldos'!K129+'Sumas y Saldos'!K223</f>
      </c>
      <c r="I90" s="98">
        <f>'Sumas y Saldos'!Q129+'Sumas y Saldos'!Q223</f>
      </c>
      <c r="J90" s="98">
        <f>'Sumas y Saldos'!Z129+'Sumas y Saldos'!Z223</f>
      </c>
      <c r="K90" s="98">
        <f>'Sumas y Saldos'!AC129+'Sumas y Saldos'!AC223</f>
      </c>
      <c r="L90" s="98">
        <f>'Sumas y Saldos'!AF129+'Sumas y Saldos'!AF223</f>
      </c>
      <c r="M90" s="98">
        <f>'Sumas y Saldos'!W129+'Sumas y Saldos'!W223</f>
      </c>
      <c r="N90" s="98">
        <f>'Sumas y Saldos'!T129+'Sumas y Saldos'!T223</f>
      </c>
      <c r="O90" s="98">
        <f>'Sumas y Saldos'!AI129+'Sumas y Saldos'!AI223</f>
      </c>
      <c r="P90" s="98">
        <f>'Sumas y Saldos'!AO129+'Sumas y Saldos'!AO223</f>
      </c>
      <c r="Q90" s="98">
        <f>'Sumas y Saldos'!AL129+'Sumas y Saldos'!AL223</f>
      </c>
      <c r="R90" s="98"/>
      <c r="S90" s="98"/>
      <c r="T90" s="98">
        <f>'Sumas y Saldos'!BD129</f>
      </c>
      <c r="U90" s="98"/>
      <c r="V90" s="98">
        <f>'Sumas y Saldos'!BP129</f>
      </c>
      <c r="W90" s="98"/>
      <c r="X90" s="98"/>
      <c r="Y90" s="98"/>
      <c r="Z90" s="98"/>
      <c r="AA90" s="98"/>
      <c r="AB90" s="98"/>
      <c r="AC90" s="98">
        <v>0</v>
      </c>
      <c r="AD90" s="98">
        <v>0</v>
      </c>
      <c r="AE90" s="98">
        <v>1243.07</v>
      </c>
      <c r="AF90" s="98">
        <v>0</v>
      </c>
      <c r="AG90" s="98">
        <v>0</v>
      </c>
      <c r="AH90" s="98">
        <v>0</v>
      </c>
      <c r="AI90" s="101">
        <f>SUM(W90:AH90)</f>
        <v>1243.07</v>
      </c>
      <c r="AJ90" s="73"/>
      <c r="AK90" s="102"/>
    </row>
    <row r="91" ht="12.75" customHeight="1" spans="1:37" x14ac:dyDescent="0.25">
      <c r="A91" s="73"/>
      <c r="B91" s="73"/>
      <c r="C91" s="95" t="s">
        <v>173</v>
      </c>
      <c r="D91" s="96">
        <f>SUM(F91:V91)+E91</f>
      </c>
      <c r="E91" s="96">
        <f>'Sumas y Saldos'!D136+'Sumas y Saldos'!G136+'Sumas y Saldos'!J136+'Sumas y Saldos'!P136+'Sumas y Saldos'!Y136+'Sumas y Saldos'!AB136+'Sumas y Saldos'!AE136+'Sumas y Saldos'!V136+'Sumas y Saldos'!S136+'Sumas y Saldos'!AH136+'Sumas y Saldos'!AN136+'Sumas y Saldos'!AK136+'Sumas y Saldos'!BF136+'Sumas y Saldos'!BC136+'Sumas y Saldos'!BL136+'Sumas y Saldos'!BO136</f>
      </c>
      <c r="F91" s="98">
        <f>'Sumas y Saldos'!E136</f>
      </c>
      <c r="G91" s="98">
        <f>'Sumas y Saldos'!H136</f>
      </c>
      <c r="H91" s="98">
        <f>'Sumas y Saldos'!K136</f>
      </c>
      <c r="I91" s="105">
        <f>'Sumas y Saldos'!Q136</f>
      </c>
      <c r="J91" s="98">
        <f>'Sumas y Saldos'!Z136</f>
      </c>
      <c r="K91" s="98">
        <f>'Sumas y Saldos'!AC136</f>
      </c>
      <c r="L91" s="98">
        <f>'Sumas y Saldos'!AF136</f>
      </c>
      <c r="M91" s="98">
        <f>'Sumas y Saldos'!W136</f>
      </c>
      <c r="N91" s="98">
        <f>'Sumas y Saldos'!T136</f>
      </c>
      <c r="O91" s="98">
        <f>'Sumas y Saldos'!AI136</f>
      </c>
      <c r="P91" s="98">
        <f>'Sumas y Saldos'!AO136</f>
      </c>
      <c r="Q91" s="98">
        <f>'Sumas y Saldos'!AL136</f>
      </c>
      <c r="R91" s="98">
        <f>+'Sumas y Saldos'!BE136</f>
      </c>
      <c r="S91" s="98"/>
      <c r="T91" s="98">
        <f>'Sumas y Saldos'!BD136</f>
      </c>
      <c r="U91" s="98">
        <f>+'Sumas y Saldos'!BM136</f>
      </c>
      <c r="V91" s="98">
        <f>+'Sumas y Saldos'!BP136</f>
      </c>
      <c r="W91" s="98"/>
      <c r="X91" s="98"/>
      <c r="Y91" s="98"/>
      <c r="Z91" s="98"/>
      <c r="AA91" s="98"/>
      <c r="AB91" s="98"/>
      <c r="AC91" s="98">
        <v>0</v>
      </c>
      <c r="AD91" s="98">
        <v>0</v>
      </c>
      <c r="AE91" s="98">
        <v>1626.32</v>
      </c>
      <c r="AF91" s="98">
        <v>0</v>
      </c>
      <c r="AG91" s="98">
        <v>1299.04</v>
      </c>
      <c r="AH91" s="98">
        <v>0</v>
      </c>
      <c r="AI91" s="101">
        <f>SUM(W91:AH91)</f>
        <v>2925.3599999999997</v>
      </c>
      <c r="AJ91" s="73"/>
      <c r="AK91" s="102"/>
    </row>
    <row r="92" ht="12.75" customHeight="1" spans="1:37" x14ac:dyDescent="0.25">
      <c r="A92" s="73"/>
      <c r="B92" s="73"/>
      <c r="C92" s="95" t="s">
        <v>186</v>
      </c>
      <c r="D92" s="96">
        <f>SUM(F92:V92)+E92</f>
        <v>503.25</v>
      </c>
      <c r="E92" s="96">
        <f>'Sumas y Saldos'!D149+'Sumas y Saldos'!D278+'Sumas y Saldos'!G149+'Sumas y Saldos'!G278+'Sumas y Saldos'!J149+'Sumas y Saldos'!J278+'Sumas y Saldos'!P149+'Sumas y Saldos'!P278+'Sumas y Saldos'!Y149+'Sumas y Saldos'!Y278+'Sumas y Saldos'!AB149+'Sumas y Saldos'!AB278+'Sumas y Saldos'!AE149+'Sumas y Saldos'!AE278+'Sumas y Saldos'!V149+'Sumas y Saldos'!V278+'Sumas y Saldos'!S149+'Sumas y Saldos'!S278+'Sumas y Saldos'!AH149+'Sumas y Saldos'!AH278+'Sumas y Saldos'!AN149+'Sumas y Saldos'!AN278+'Sumas y Saldos'!AK149+'Sumas y Saldos'!AK278+'Sumas y Saldos'!BC149+'Sumas y Saldos'!BL296+'Sumas y Saldos'!BO149</f>
      </c>
      <c r="F92" s="98">
        <f>'Sumas y Saldos'!E149+'Sumas y Saldos'!E278</f>
      </c>
      <c r="G92" s="98">
        <f>'Sumas y Saldos'!H149+'Sumas y Saldos'!H278</f>
      </c>
      <c r="H92" s="98">
        <f>'Sumas y Saldos'!K149+'Sumas y Saldos'!K278</f>
      </c>
      <c r="I92" s="105">
        <f>'Sumas y Saldos'!Q149+'Sumas y Saldos'!Q278</f>
      </c>
      <c r="J92" s="98">
        <f>'Sumas y Saldos'!Z149+'Sumas y Saldos'!Z278</f>
      </c>
      <c r="K92" s="98">
        <f>'Sumas y Saldos'!AC149+'Sumas y Saldos'!AC278</f>
      </c>
      <c r="L92" s="98">
        <f>'Sumas y Saldos'!AF149+'Sumas y Saldos'!AF278</f>
      </c>
      <c r="M92" s="98">
        <f>'Sumas y Saldos'!W149+'Sumas y Saldos'!W278</f>
      </c>
      <c r="N92" s="98">
        <f>'Sumas y Saldos'!T149+'Sumas y Saldos'!T278</f>
      </c>
      <c r="O92" s="106">
        <f>'Sumas y Saldos'!AI149+'Sumas y Saldos'!AI278</f>
      </c>
      <c r="P92" s="107">
        <f>'Sumas y Saldos'!AO149+'Sumas y Saldos'!AO278</f>
      </c>
      <c r="Q92" s="98">
        <f>'Sumas y Saldos'!AL149+'Sumas y Saldos'!AL278</f>
      </c>
      <c r="R92" s="98"/>
      <c r="S92" s="98"/>
      <c r="T92" s="98">
        <f>'Sumas y Saldos'!BD149</f>
      </c>
      <c r="U92" s="98">
        <f>'Sumas y Saldos'!BK296</f>
      </c>
      <c r="V92" s="98">
        <f>+'Sumas y Saldos'!BP149</f>
      </c>
      <c r="W92" s="98"/>
      <c r="X92" s="98"/>
      <c r="Y92" s="98"/>
      <c r="Z92" s="98"/>
      <c r="AA92" s="98"/>
      <c r="AB92" s="98"/>
      <c r="AC92" s="98">
        <v>503.25</v>
      </c>
      <c r="AD92" s="98">
        <v>0</v>
      </c>
      <c r="AE92" s="98">
        <v>163.4</v>
      </c>
      <c r="AF92" s="98">
        <v>487.94</v>
      </c>
      <c r="AG92" s="98">
        <v>0</v>
      </c>
      <c r="AH92" s="98">
        <v>0</v>
      </c>
      <c r="AI92" s="101">
        <f>SUM(W92:AH92)</f>
        <v>1154.59</v>
      </c>
      <c r="AJ92" s="73"/>
      <c r="AK92" s="102"/>
    </row>
    <row r="93" ht="12.75" customHeight="1" spans="1:37" x14ac:dyDescent="0.25">
      <c r="A93" s="73"/>
      <c r="B93" s="73"/>
      <c r="C93" s="95" t="s">
        <v>510</v>
      </c>
      <c r="D93" s="96">
        <f>SUM(F93:V93)+E93</f>
      </c>
      <c r="E93" s="96">
        <f>'Sumas y Saldos'!D161+'Sumas y Saldos'!D73+'Sumas y Saldos'!G161+'Sumas y Saldos'!G73+'Sumas y Saldos'!J161+'Sumas y Saldos'!J73+'Sumas y Saldos'!P161+'Sumas y Saldos'!P73+'Sumas y Saldos'!Y161+'Sumas y Saldos'!Y73+'Sumas y Saldos'!AB161+'Sumas y Saldos'!AB73+'Sumas y Saldos'!AE161+'Sumas y Saldos'!AE73+'Sumas y Saldos'!V161+'Sumas y Saldos'!V73+'Sumas y Saldos'!S161+'Sumas y Saldos'!S73+'Sumas y Saldos'!AH161+'Sumas y Saldos'!AH73+'Sumas y Saldos'!AN161+'Sumas y Saldos'!AN73+'Sumas y Saldos'!AK161+'Sumas y Saldos'!AK73+'Sumas y Saldos'!BC161+'Sumas y Saldos'!BL161+'Sumas y Saldos'!BO73</f>
      </c>
      <c r="F93" s="98">
        <f>'Sumas y Saldos'!E161+'Sumas y Saldos'!E73</f>
      </c>
      <c r="G93" s="98">
        <f>'Sumas y Saldos'!H161+'Sumas y Saldos'!H73</f>
      </c>
      <c r="H93" s="98">
        <f>'Sumas y Saldos'!K161+'Sumas y Saldos'!K73</f>
      </c>
      <c r="I93" s="105">
        <f>'Sumas y Saldos'!Q161+'Sumas y Saldos'!Q73</f>
      </c>
      <c r="J93" s="98">
        <f>'Sumas y Saldos'!Z161+'Sumas y Saldos'!Z73</f>
      </c>
      <c r="K93" s="98">
        <f>'Sumas y Saldos'!AC161+'Sumas y Saldos'!AC73</f>
      </c>
      <c r="L93" s="98">
        <f>'Sumas y Saldos'!AF161+'Sumas y Saldos'!AF73</f>
      </c>
      <c r="M93" s="98">
        <f>'Sumas y Saldos'!W161+'Sumas y Saldos'!W73</f>
      </c>
      <c r="N93" s="98">
        <f>'Sumas y Saldos'!T161+'Sumas y Saldos'!T73</f>
      </c>
      <c r="O93" s="106">
        <f>'Sumas y Saldos'!AI161+'Sumas y Saldos'!AI73</f>
      </c>
      <c r="P93" s="107">
        <f>'Sumas y Saldos'!AO161+'Sumas y Saldos'!AO73</f>
      </c>
      <c r="Q93" s="106">
        <f>'Sumas y Saldos'!AL161+'Sumas y Saldos'!AL73</f>
      </c>
      <c r="R93" s="99"/>
      <c r="S93" s="99"/>
      <c r="T93" s="98">
        <f>'Sumas y Saldos'!BD161</f>
      </c>
      <c r="U93" s="99">
        <f>+'Sumas y Saldos'!BM161</f>
      </c>
      <c r="V93" s="98">
        <f>+'Sumas y Saldos'!BP73</f>
      </c>
      <c r="W93" s="98"/>
      <c r="X93" s="98"/>
      <c r="Y93" s="98"/>
      <c r="Z93" s="98"/>
      <c r="AA93" s="98"/>
      <c r="AB93" s="98"/>
      <c r="AC93" s="98">
        <v>0</v>
      </c>
      <c r="AD93" s="98">
        <v>2144.09</v>
      </c>
      <c r="AE93" s="98">
        <v>2148.96</v>
      </c>
      <c r="AF93" s="98">
        <v>-1002.87</v>
      </c>
      <c r="AG93" s="98">
        <v>-12621.6</v>
      </c>
      <c r="AH93" s="98">
        <v>2919.19</v>
      </c>
      <c r="AI93" s="101">
        <f>SUM(W93:AH93)</f>
        <v>-6412.23</v>
      </c>
      <c r="AJ93" s="73"/>
      <c r="AK93" s="102"/>
    </row>
    <row r="94" ht="12.75" customHeight="1" spans="1:37" x14ac:dyDescent="0.25">
      <c r="A94" s="73"/>
      <c r="B94" s="73"/>
      <c r="C94" s="95" t="s">
        <v>511</v>
      </c>
      <c r="D94" s="96">
        <f>SUM(F94:V94)+E94</f>
        <v>3294.57</v>
      </c>
      <c r="E94" s="96">
        <f>'Sumas y Saldos'!D163+'Sumas y Saldos'!D193+'Sumas y Saldos'!D122+'Sumas y Saldos'!D253+'Sumas y Saldos'!D38+'Sumas y Saldos'!D59+'Sumas y Saldos'!D75+'Sumas y Saldos'!D100+'Sumas y Saldos'!D277+'Sumas y Saldos'!G163+'Sumas y Saldos'!G193+'Sumas y Saldos'!G122+'Sumas y Saldos'!G253+'Sumas y Saldos'!G38+'Sumas y Saldos'!G59+'Sumas y Saldos'!G75+'Sumas y Saldos'!G100+'Sumas y Saldos'!G277+'Sumas y Saldos'!J163+'Sumas y Saldos'!J193+'Sumas y Saldos'!J122+'Sumas y Saldos'!J253+'Sumas y Saldos'!J38+'Sumas y Saldos'!J59+'Sumas y Saldos'!J75+'Sumas y Saldos'!J100+'Sumas y Saldos'!J277+'Sumas y Saldos'!P163+'Sumas y Saldos'!P193+'Sumas y Saldos'!P122+'Sumas y Saldos'!P253+'Sumas y Saldos'!P38+'Sumas y Saldos'!P59+'Sumas y Saldos'!P75+'Sumas y Saldos'!P100+'Sumas y Saldos'!P277+'Sumas y Saldos'!Y163+'Sumas y Saldos'!Y193+'Sumas y Saldos'!Y122+'Sumas y Saldos'!Y253+'Sumas y Saldos'!Y38+'Sumas y Saldos'!Y59+'Sumas y Saldos'!Y75+'Sumas y Saldos'!Y100+'Sumas y Saldos'!Y277+'Sumas y Saldos'!AB163+'Sumas y Saldos'!AB193+'Sumas y Saldos'!AB122+'Sumas y Saldos'!AB253+'Sumas y Saldos'!AB38+'Sumas y Saldos'!AB59+'Sumas y Saldos'!AB75+'Sumas y Saldos'!AB100+'Sumas y Saldos'!AB277+'Sumas y Saldos'!AE163+'Sumas y Saldos'!AE193+'Sumas y Saldos'!AE122+'Sumas y Saldos'!AE253+'Sumas y Saldos'!AE38+'Sumas y Saldos'!AE59+'Sumas y Saldos'!AE75+'Sumas y Saldos'!AE100+'Sumas y Saldos'!AE277+'Sumas y Saldos'!V163+'Sumas y Saldos'!V193+'Sumas y Saldos'!V122+'Sumas y Saldos'!V253+'Sumas y Saldos'!V38+'Sumas y Saldos'!V59+'Sumas y Saldos'!V75+'Sumas y Saldos'!V100+'Sumas y Saldos'!V277+'Sumas y Saldos'!S163+'Sumas y Saldos'!S193+'Sumas y Saldos'!S122+'Sumas y Saldos'!S253+'Sumas y Saldos'!S38+'Sumas y Saldos'!S59+'Sumas y Saldos'!S75+'Sumas y Saldos'!S100+'Sumas y Saldos'!S277+'Sumas y Saldos'!AH163+'Sumas y Saldos'!AH193+'Sumas y Saldos'!AH122+'Sumas y Saldos'!AH253+'Sumas y Saldos'!AH38+'Sumas y Saldos'!AH59+'Sumas y Saldos'!AH75+'Sumas y Saldos'!AH100+'Sumas y Saldos'!AH277+'Sumas y Saldos'!AN163+'Sumas y Saldos'!AN193+'Sumas y Saldos'!AN122+'Sumas y Saldos'!AN253+'Sumas y Saldos'!AN38+'Sumas y Saldos'!AN59+'Sumas y Saldos'!AN75+'Sumas y Saldos'!AN100+'Sumas y Saldos'!AN277+'Sumas y Saldos'!AK163+'Sumas y Saldos'!AK193+'Sumas y Saldos'!AK122+'Sumas y Saldos'!AK253+'Sumas y Saldos'!AK38+'Sumas y Saldos'!AK59+'Sumas y Saldos'!AK75+'Sumas y Saldos'!AK100+'Sumas y Saldos'!AK277+'Sumas y Saldos'!BC163+'Sumas y Saldos'!BC193+'Sumas y Saldos'!BC122+'Sumas y Saldos'!BL258+'Sumas y Saldos'!BL193+'Sumas y Saldos'!BL122+'Sumas y Saldos'!BO258+'Sumas y Saldos'!BO163+'Sumas y Saldos'!BO122+'Sumas y Saldos'!BO253+'Sumas y Saldos'!BO100</f>
      </c>
      <c r="F94" s="98">
        <f>'Sumas y Saldos'!E163+'Sumas y Saldos'!E193+'Sumas y Saldos'!E122+'Sumas y Saldos'!E253+'Sumas y Saldos'!E38+'Sumas y Saldos'!E59+'Sumas y Saldos'!E75+'Sumas y Saldos'!E100+'Sumas y Saldos'!E277</f>
      </c>
      <c r="G94" s="98">
        <f>'Sumas y Saldos'!H163+'Sumas y Saldos'!H193+'Sumas y Saldos'!H122+'Sumas y Saldos'!H253+'Sumas y Saldos'!H38+'Sumas y Saldos'!H59+'Sumas y Saldos'!H75+'Sumas y Saldos'!H100+'Sumas y Saldos'!H277</f>
      </c>
      <c r="H94" s="98">
        <f>'Sumas y Saldos'!K163+'Sumas y Saldos'!K193+'Sumas y Saldos'!K122+'Sumas y Saldos'!K253+'Sumas y Saldos'!K38+'Sumas y Saldos'!K59+'Sumas y Saldos'!K75+'Sumas y Saldos'!K100+'Sumas y Saldos'!K277</f>
      </c>
      <c r="I94" s="105">
        <f>'Sumas y Saldos'!Q163+'Sumas y Saldos'!Q193+'Sumas y Saldos'!Q122+'Sumas y Saldos'!Q253+'Sumas y Saldos'!Q38+'Sumas y Saldos'!Q59+'Sumas y Saldos'!Q75+'Sumas y Saldos'!Q100+'Sumas y Saldos'!Q277</f>
      </c>
      <c r="J94" s="98">
        <f>'Sumas y Saldos'!Z163+'Sumas y Saldos'!Z193+'Sumas y Saldos'!Z122+'Sumas y Saldos'!Z253+'Sumas y Saldos'!Z38+'Sumas y Saldos'!Z59+'Sumas y Saldos'!Z75+'Sumas y Saldos'!Z100+'Sumas y Saldos'!Z277</f>
      </c>
      <c r="K94" s="98">
        <f>'Sumas y Saldos'!AC163+'Sumas y Saldos'!AC193+'Sumas y Saldos'!AC122+'Sumas y Saldos'!AC253+'Sumas y Saldos'!AC38+'Sumas y Saldos'!AC59+'Sumas y Saldos'!AC75+'Sumas y Saldos'!AC100+'Sumas y Saldos'!AC277</f>
      </c>
      <c r="L94" s="98">
        <f>'Sumas y Saldos'!AF163+'Sumas y Saldos'!AF193+'Sumas y Saldos'!AF122+'Sumas y Saldos'!AF253+'Sumas y Saldos'!AF38+'Sumas y Saldos'!AF59+'Sumas y Saldos'!AF75+'Sumas y Saldos'!AF100+'Sumas y Saldos'!AF277</f>
      </c>
      <c r="M94" s="98">
        <f>'Sumas y Saldos'!W163+'Sumas y Saldos'!W193+'Sumas y Saldos'!W122+'Sumas y Saldos'!W253+'Sumas y Saldos'!W38+'Sumas y Saldos'!W59+'Sumas y Saldos'!W75+'Sumas y Saldos'!W100+'Sumas y Saldos'!W277</f>
      </c>
      <c r="N94" s="98">
        <f>'Sumas y Saldos'!T163+'Sumas y Saldos'!T193+'Sumas y Saldos'!T122+'Sumas y Saldos'!T253+'Sumas y Saldos'!T38+'Sumas y Saldos'!T59+'Sumas y Saldos'!T75+'Sumas y Saldos'!T100+'Sumas y Saldos'!T277</f>
      </c>
      <c r="O94" s="106">
        <f>'Sumas y Saldos'!AI163+'Sumas y Saldos'!AI193+'Sumas y Saldos'!AI122+'Sumas y Saldos'!AI253+'Sumas y Saldos'!AI38+'Sumas y Saldos'!AI59+'Sumas y Saldos'!AI75+'Sumas y Saldos'!AI100+'Sumas y Saldos'!AI277</f>
      </c>
      <c r="P94" s="99">
        <f>'Sumas y Saldos'!AO163+'Sumas y Saldos'!AO193+'Sumas y Saldos'!AO122+'Sumas y Saldos'!AO253+'Sumas y Saldos'!AO38+'Sumas y Saldos'!AO59+'Sumas y Saldos'!AO75+'Sumas y Saldos'!AO100+'Sumas y Saldos'!AO277</f>
      </c>
      <c r="Q94" s="99">
        <f>'Sumas y Saldos'!AL163+'Sumas y Saldos'!AL193+'Sumas y Saldos'!AL122+'Sumas y Saldos'!AL253+'Sumas y Saldos'!AL38+'Sumas y Saldos'!AL59+'Sumas y Saldos'!AL75+'Sumas y Saldos'!AL100+'Sumas y Saldos'!AL277</f>
      </c>
      <c r="R94" s="99"/>
      <c r="S94" s="99"/>
      <c r="T94" s="98">
        <f>'Sumas y Saldos'!BD163+'Sumas y Saldos'!BD193+'Sumas y Saldos'!BD122</f>
      </c>
      <c r="U94" s="99">
        <f>'Sumas y Saldos'!BM258+'Sumas y Saldos'!BM193+'Sumas y Saldos'!BM122</f>
      </c>
      <c r="V94" s="98">
        <f>'Sumas y Saldos'!BP258+'Sumas y Saldos'!BN163+'Sumas y Saldos'!BP122+'Sumas y Saldos'!BP253+'Sumas y Saldos'!BP100</f>
      </c>
      <c r="W94" s="98"/>
      <c r="X94" s="98"/>
      <c r="Y94" s="98"/>
      <c r="Z94" s="98"/>
      <c r="AA94" s="98"/>
      <c r="AB94" s="98"/>
      <c r="AC94" s="98">
        <v>3294.57</v>
      </c>
      <c r="AD94" s="98">
        <v>0</v>
      </c>
      <c r="AE94" s="98">
        <v>558.3599999999999</v>
      </c>
      <c r="AF94" s="98">
        <v>0</v>
      </c>
      <c r="AG94" s="98">
        <v>0</v>
      </c>
      <c r="AH94" s="98">
        <v>66.36</v>
      </c>
      <c r="AI94" s="101">
        <f>SUM(W94:AH94)</f>
        <v>3919.2900000000004</v>
      </c>
      <c r="AJ94" s="73"/>
      <c r="AK94" s="102"/>
    </row>
    <row r="95" ht="12.75" customHeight="1" spans="1:37" x14ac:dyDescent="0.25">
      <c r="A95" s="73"/>
      <c r="B95" s="73"/>
      <c r="C95" s="95" t="s">
        <v>512</v>
      </c>
      <c r="D95" s="96">
        <f>SUM(F95:V95)+E95</f>
        <v>959.76</v>
      </c>
      <c r="E95" s="96">
        <f>'Sumas y Saldos'!D132+'Sumas y Saldos'!D74+'Sumas y Saldos'!G132+'Sumas y Saldos'!G74+'Sumas y Saldos'!J132+'Sumas y Saldos'!J74+'Sumas y Saldos'!P132+'Sumas y Saldos'!P74+'Sumas y Saldos'!Y132+'Sumas y Saldos'!Y74+'Sumas y Saldos'!AB132+'Sumas y Saldos'!AB74+'Sumas y Saldos'!AE132+'Sumas y Saldos'!AE74+'Sumas y Saldos'!V132+'Sumas y Saldos'!V74+'Sumas y Saldos'!S132+'Sumas y Saldos'!S74+'Sumas y Saldos'!AH132+'Sumas y Saldos'!AH74+'Sumas y Saldos'!AN132+'Sumas y Saldos'!AN74+'Sumas y Saldos'!AK132+'Sumas y Saldos'!AK74+'Sumas y Saldos'!BC132</f>
      </c>
      <c r="F95" s="98">
        <f>'Sumas y Saldos'!E132+'Sumas y Saldos'!E74</f>
      </c>
      <c r="G95" s="98">
        <f>'Sumas y Saldos'!H132+'Sumas y Saldos'!H74</f>
      </c>
      <c r="H95" s="98">
        <f>'Sumas y Saldos'!K132+'Sumas y Saldos'!K74</f>
      </c>
      <c r="I95" s="105">
        <f>'Sumas y Saldos'!Q132+'Sumas y Saldos'!Q74</f>
      </c>
      <c r="J95" s="98">
        <f>'Sumas y Saldos'!Z132+'Sumas y Saldos'!Z74</f>
      </c>
      <c r="K95" s="98">
        <f>'Sumas y Saldos'!AC132+'Sumas y Saldos'!AC74</f>
      </c>
      <c r="L95" s="98">
        <f>'Sumas y Saldos'!AF132+'Sumas y Saldos'!AF74</f>
      </c>
      <c r="M95" s="98">
        <f>'Sumas y Saldos'!W132+'Sumas y Saldos'!W74</f>
      </c>
      <c r="N95" s="98">
        <f>'Sumas y Saldos'!T132+'Sumas y Saldos'!T74</f>
      </c>
      <c r="O95" s="106">
        <f>'Sumas y Saldos'!AI132+'Sumas y Saldos'!AI74</f>
      </c>
      <c r="P95" s="107">
        <f>'Sumas y Saldos'!AO132+'Sumas y Saldos'!AO74</f>
      </c>
      <c r="Q95" s="99">
        <f>'Sumas y Saldos'!AL132+'Sumas y Saldos'!AL74</f>
      </c>
      <c r="R95" s="99"/>
      <c r="S95" s="99"/>
      <c r="T95" s="98">
        <f>+'Sumas y Saldos'!BD132</f>
      </c>
      <c r="U95" s="107"/>
      <c r="V95" s="98">
        <v>0</v>
      </c>
      <c r="W95" s="98"/>
      <c r="X95" s="98"/>
      <c r="Y95" s="98"/>
      <c r="Z95" s="98"/>
      <c r="AA95" s="98"/>
      <c r="AB95" s="98"/>
      <c r="AC95" s="98">
        <v>959.76</v>
      </c>
      <c r="AD95" s="98">
        <v>0</v>
      </c>
      <c r="AE95" s="98">
        <v>0</v>
      </c>
      <c r="AF95" s="98">
        <v>0</v>
      </c>
      <c r="AG95" s="98">
        <v>0</v>
      </c>
      <c r="AH95" s="98">
        <v>0</v>
      </c>
      <c r="AI95" s="101">
        <f>SUM(W95:AH95)</f>
        <v>959.76</v>
      </c>
      <c r="AJ95" s="73"/>
      <c r="AK95" s="102"/>
    </row>
    <row r="96" ht="12.75" customHeight="1" spans="1:37" x14ac:dyDescent="0.25">
      <c r="A96" s="73"/>
      <c r="B96" s="73"/>
      <c r="C96" s="95" t="s">
        <v>513</v>
      </c>
      <c r="D96" s="96">
        <f>SUM(F96:V96)+E96</f>
      </c>
      <c r="E96" s="96">
        <f>'Sumas y Saldos'!D190+'Sumas y Saldos'!D211+'Sumas y Saldos'!G190+'Sumas y Saldos'!G211+'Sumas y Saldos'!J190+'Sumas y Saldos'!J211+'Sumas y Saldos'!P190+'Sumas y Saldos'!P211+'Sumas y Saldos'!Y190+'Sumas y Saldos'!Y211+'Sumas y Saldos'!AB190+'Sumas y Saldos'!AB211+'Sumas y Saldos'!AE190+'Sumas y Saldos'!AE211+'Sumas y Saldos'!V190+'Sumas y Saldos'!V211+'Sumas y Saldos'!S190+'Sumas y Saldos'!S211+'Sumas y Saldos'!AH190+'Sumas y Saldos'!AH211+'Sumas y Saldos'!AN190+'Sumas y Saldos'!AN211+'Sumas y Saldos'!AK190+'Sumas y Saldos'!AK211+'Sumas y Saldos'!BC215+'Sumas y Saldos'!BC190+'Sumas y Saldos'!BC211+'Sumas y Saldos'!BL190+'Sumas y Saldos'!BO190</f>
      </c>
      <c r="F96" s="105">
        <f>'Sumas y Saldos'!E190+'Sumas y Saldos'!E211</f>
      </c>
      <c r="G96" s="98">
        <f>'Sumas y Saldos'!H190+'Sumas y Saldos'!H211</f>
      </c>
      <c r="H96" s="105">
        <f>'Sumas y Saldos'!K190+'Sumas y Saldos'!K211</f>
      </c>
      <c r="I96" s="105">
        <f>'Sumas y Saldos'!Q190+'Sumas y Saldos'!Q211</f>
      </c>
      <c r="J96" s="98">
        <f>'Sumas y Saldos'!Z190+'Sumas y Saldos'!Z211</f>
      </c>
      <c r="K96" s="98">
        <f>'Sumas y Saldos'!AC190+'Sumas y Saldos'!AC211</f>
      </c>
      <c r="L96" s="98">
        <f>'Sumas y Saldos'!AF190+'Sumas y Saldos'!AF211</f>
      </c>
      <c r="M96" s="98">
        <f>'Sumas y Saldos'!W190+'Sumas y Saldos'!W211</f>
      </c>
      <c r="N96" s="98">
        <f>'Sumas y Saldos'!T190+'Sumas y Saldos'!T211</f>
      </c>
      <c r="O96" s="106">
        <f>'Sumas y Saldos'!AI190+'Sumas y Saldos'!AI211</f>
      </c>
      <c r="P96" s="107">
        <f>'Sumas y Saldos'!AO190+'Sumas y Saldos'!AO211</f>
      </c>
      <c r="Q96" s="99">
        <f>'Sumas y Saldos'!AL190+'Sumas y Saldos'!AL211</f>
      </c>
      <c r="R96" s="99"/>
      <c r="S96" s="99"/>
      <c r="T96" s="98">
        <f>+'Sumas y Saldos'!BD215+'Sumas y Saldos'!BD190+'Sumas y Saldos'!BD211</f>
      </c>
      <c r="U96" s="99">
        <f>'Sumas y Saldos'!BM190</f>
      </c>
      <c r="V96" s="98">
        <f>+'Sumas y Saldos'!BP190</f>
      </c>
      <c r="W96" s="98"/>
      <c r="X96" s="98"/>
      <c r="Y96" s="98"/>
      <c r="Z96" s="98"/>
      <c r="AA96" s="98"/>
      <c r="AB96" s="98"/>
      <c r="AC96" s="98">
        <v>0</v>
      </c>
      <c r="AD96" s="98">
        <v>0</v>
      </c>
      <c r="AE96" s="98">
        <v>0</v>
      </c>
      <c r="AF96" s="98">
        <v>2183.66</v>
      </c>
      <c r="AG96" s="98">
        <v>26575.86</v>
      </c>
      <c r="AH96" s="98">
        <v>2505.39</v>
      </c>
      <c r="AI96" s="101">
        <f>SUM(W96:AH96)</f>
        <v>31264.91</v>
      </c>
      <c r="AJ96" s="73"/>
      <c r="AK96" s="102"/>
    </row>
    <row r="97" ht="12.75" customHeight="1" spans="1:47" x14ac:dyDescent="0.25">
      <c r="A97" s="73"/>
      <c r="B97" s="73"/>
      <c r="C97" s="95" t="s">
        <v>514</v>
      </c>
      <c r="D97" s="96">
        <f>SUM(F97:V97)+E97</f>
      </c>
      <c r="E97" s="96">
        <f>'Sumas y Saldos'!D204+'Sumas y Saldos'!G204+'Sumas y Saldos'!J204+'Sumas y Saldos'!P204+'Sumas y Saldos'!Y204+'Sumas y Saldos'!AB204+'Sumas y Saldos'!AE204+'Sumas y Saldos'!V204+'Sumas y Saldos'!S204+'Sumas y Saldos'!AH204+'Sumas y Saldos'!AN204+'Sumas y Saldos'!AK204+'Sumas y Saldos'!BC204+'Sumas y Saldos'!BL204+'Sumas y Saldos'!BO204</f>
      </c>
      <c r="F97" s="105">
        <f>+'Sumas y Saldos'!E204</f>
      </c>
      <c r="G97" s="105">
        <f>+'Sumas y Saldos'!H204</f>
      </c>
      <c r="H97" s="105">
        <f>+'Sumas y Saldos'!K204</f>
      </c>
      <c r="I97" s="105">
        <f>+'Sumas y Saldos'!Q204</f>
      </c>
      <c r="J97" s="105">
        <f>+'Sumas y Saldos'!Z204</f>
      </c>
      <c r="K97" s="105">
        <f>+'Sumas y Saldos'!AC204</f>
      </c>
      <c r="L97" s="98">
        <f>+'Sumas y Saldos'!AF204</f>
      </c>
      <c r="M97" s="105">
        <f>+'Sumas y Saldos'!W204</f>
      </c>
      <c r="N97" s="105">
        <f>+'Sumas y Saldos'!T204</f>
      </c>
      <c r="O97" s="106">
        <f>+'Sumas y Saldos'!AI204</f>
      </c>
      <c r="P97" s="107">
        <f>+'Sumas y Saldos'!AO204</f>
      </c>
      <c r="Q97" s="99">
        <f>+'Sumas y Saldos'!AL204</f>
      </c>
      <c r="R97" s="99"/>
      <c r="S97" s="99"/>
      <c r="T97" s="98">
        <f>'Sumas y Saldos'!BD204</f>
      </c>
      <c r="U97" s="99">
        <f>+'Sumas y Saldos'!BM204</f>
      </c>
      <c r="V97" s="98">
        <f>+'Sumas y Saldos'!BP204</f>
      </c>
      <c r="W97" s="98"/>
      <c r="X97" s="98"/>
      <c r="Y97" s="98"/>
      <c r="Z97" s="98"/>
      <c r="AA97" s="98"/>
      <c r="AB97" s="98"/>
      <c r="AC97" s="98">
        <v>0</v>
      </c>
      <c r="AD97" s="98">
        <v>0</v>
      </c>
      <c r="AE97" s="98">
        <v>0</v>
      </c>
      <c r="AF97" s="98">
        <v>0</v>
      </c>
      <c r="AG97" s="98">
        <v>0</v>
      </c>
      <c r="AH97" s="98">
        <v>0</v>
      </c>
      <c r="AI97" s="101">
        <f>SUM(W97:AH97)</f>
      </c>
      <c r="AJ97" s="73"/>
      <c r="AK97" s="102"/>
      <c r="AL97" s="73"/>
      <c r="AM97" s="73"/>
      <c r="AN97" s="73"/>
      <c r="AO97" s="73"/>
      <c r="AP97" s="73"/>
      <c r="AQ97" s="73"/>
      <c r="AR97" s="73"/>
      <c r="AS97" s="73"/>
      <c r="AT97" s="73"/>
      <c r="AU97" s="73"/>
    </row>
    <row r="98" ht="12.75" customHeight="1" spans="1:37" x14ac:dyDescent="0.25">
      <c r="A98" s="73"/>
      <c r="B98" s="73"/>
      <c r="C98" s="108" t="s">
        <v>58</v>
      </c>
      <c r="D98" s="96">
        <f>SUM(F98:V98)+E98</f>
      </c>
      <c r="E98" s="109">
        <f>'Sumas y Saldos'!D21+'Sumas y Saldos'!G21+'Sumas y Saldos'!J21+'Sumas y Saldos'!P21+'Sumas y Saldos'!Y21+'Sumas y Saldos'!AB21+'Sumas y Saldos'!AE21+'Sumas y Saldos'!V21+'Sumas y Saldos'!S21+'Sumas y Saldos'!AH21+'Sumas y Saldos'!AN21+'Sumas y Saldos'!AK21</f>
      </c>
      <c r="F98" s="110">
        <f>'Sumas y Saldos'!E21</f>
      </c>
      <c r="G98" s="110">
        <f>'Sumas y Saldos'!H21</f>
      </c>
      <c r="H98" s="110">
        <f>'Sumas y Saldos'!K21</f>
      </c>
      <c r="I98" s="110">
        <f>'Sumas y Saldos'!Q21</f>
      </c>
      <c r="J98" s="110">
        <f>'Sumas y Saldos'!Z21</f>
      </c>
      <c r="K98" s="110">
        <f>'Sumas y Saldos'!AC21</f>
      </c>
      <c r="L98" s="110">
        <f>'Sumas y Saldos'!AF21</f>
      </c>
      <c r="M98" s="110">
        <f>'Sumas y Saldos'!W21</f>
      </c>
      <c r="N98" s="110">
        <f>'Sumas y Saldos'!T21</f>
      </c>
      <c r="O98" s="110">
        <f>'Sumas y Saldos'!AI21</f>
      </c>
      <c r="P98" s="110">
        <f>'Sumas y Saldos'!AO21</f>
      </c>
      <c r="Q98" s="110">
        <f>'Sumas y Saldos'!AL21</f>
      </c>
      <c r="R98" s="110"/>
      <c r="S98" s="110"/>
      <c r="T98" s="111">
        <v>0</v>
      </c>
      <c r="U98" s="110">
        <v>0</v>
      </c>
      <c r="V98" s="110"/>
      <c r="W98" s="98"/>
      <c r="X98" s="98"/>
      <c r="Y98" s="110"/>
      <c r="Z98" s="111"/>
      <c r="AA98" s="111"/>
      <c r="AB98" s="111"/>
      <c r="AC98" s="98">
        <v>0</v>
      </c>
      <c r="AD98" s="110">
        <v>0</v>
      </c>
      <c r="AE98" s="98">
        <v>0</v>
      </c>
      <c r="AF98" s="110">
        <v>0</v>
      </c>
      <c r="AG98" s="111">
        <v>0</v>
      </c>
      <c r="AH98" s="110">
        <v>0</v>
      </c>
      <c r="AI98" s="112">
        <f>SUM(W98:AH98)</f>
      </c>
      <c r="AJ98" s="73"/>
      <c r="AK98" s="102"/>
    </row>
    <row r="99" ht="12.75" customHeight="1" spans="1:35" x14ac:dyDescent="0.25">
      <c r="A99" s="73"/>
      <c r="B99" s="73"/>
      <c r="C99" s="113"/>
      <c r="D99" s="114"/>
      <c r="E99" s="74"/>
      <c r="F99" s="115"/>
      <c r="G99" s="115"/>
      <c r="H99" s="115"/>
      <c r="I99" s="115"/>
      <c r="J99" s="115"/>
      <c r="K99" s="115"/>
      <c r="L99" s="116"/>
      <c r="M99" s="115"/>
      <c r="N99" s="115"/>
      <c r="O99" s="115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  <c r="AD99" s="117"/>
      <c r="AE99" s="118"/>
      <c r="AF99" s="117"/>
      <c r="AG99" s="117"/>
      <c r="AH99" s="117"/>
      <c r="AI99" s="115"/>
    </row>
    <row r="100" ht="12.75" customHeight="1" spans="1:47" s="119" customFormat="1" x14ac:dyDescent="0.25">
      <c r="A100" s="119"/>
      <c r="B100" s="119"/>
      <c r="C100" s="120" t="s">
        <v>515</v>
      </c>
      <c r="D100" s="121">
        <f>SUM(D8:D98)</f>
      </c>
      <c r="E100" s="122">
        <f>+SUM(E8:E98)</f>
      </c>
      <c r="F100" s="123">
        <f>+SUM(F8:F98)</f>
      </c>
      <c r="G100" s="123">
        <f>+SUM(G8:G98)</f>
      </c>
      <c r="H100" s="123">
        <f>+SUM(H8:H97)</f>
      </c>
      <c r="I100" s="123">
        <f>+SUM(I8:I98)</f>
      </c>
      <c r="J100" s="123">
        <f>+SUM(J8:J97)</f>
      </c>
      <c r="K100" s="123">
        <f>+SUM(K8:K98)</f>
      </c>
      <c r="L100" s="84">
        <f>+SUM(L8:L97)</f>
      </c>
      <c r="M100" s="123">
        <f>+SUM(M8:M97)</f>
      </c>
      <c r="N100" s="123">
        <f>+SUM(N8:N98)</f>
      </c>
      <c r="O100" s="123">
        <f>+SUM(O8:O97)</f>
      </c>
      <c r="P100" s="124">
        <f>+SUM(P8:P97)</f>
      </c>
      <c r="Q100" s="124">
        <f>+SUM(Q8:Q97)</f>
      </c>
      <c r="R100" s="124">
        <f>+SUM(R8:R98)</f>
      </c>
      <c r="S100" s="124">
        <f>+SUM(S8:S98)</f>
      </c>
      <c r="T100" s="124">
        <f>+SUM(T8:T98)</f>
      </c>
      <c r="U100" s="124">
        <f>+SUM(U8:U98)</f>
      </c>
      <c r="V100" s="124">
        <f>+SUM(V8:V97)</f>
      </c>
      <c r="W100" s="124">
        <f>SUM(W8:W97)</f>
      </c>
      <c r="X100" s="124">
        <f>SUM(X8:X97)</f>
      </c>
      <c r="Y100" s="124">
        <f>SUM(Y8:Y99)</f>
      </c>
      <c r="Z100" s="124">
        <f>SUM(Z8:Z97)</f>
      </c>
      <c r="AA100" s="124">
        <f>SUM(AA8:AA97)</f>
      </c>
      <c r="AB100" s="124">
        <f>+SUM(AB8:AB97)</f>
      </c>
      <c r="AC100" s="124">
        <f>+SUM(AC8:AC97)</f>
      </c>
      <c r="AD100" s="124">
        <f>SUM(AD8:AD97)</f>
      </c>
      <c r="AE100" s="124">
        <f>SUBTOTAL(9,AE8:AE98)</f>
      </c>
      <c r="AF100" s="124">
        <f>SUM(AF8:AF98)</f>
      </c>
      <c r="AG100" s="124">
        <f>SUM(AG8:AG98)</f>
      </c>
      <c r="AH100" s="124">
        <f>SUM(AH8:AH98)</f>
      </c>
      <c r="AI100" s="123">
        <f>SUM(AI8:AI98)</f>
      </c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</row>
    <row r="101" ht="13.5" customHeight="1" spans="1:35" x14ac:dyDescent="0.25">
      <c r="A101" s="73"/>
      <c r="B101" s="73"/>
      <c r="C101" s="125"/>
      <c r="D101" s="126"/>
      <c r="E101" s="127">
        <f>+D100-E100</f>
      </c>
      <c r="F101" s="128"/>
      <c r="G101" s="128"/>
      <c r="H101" s="128"/>
      <c r="I101" s="129"/>
      <c r="J101" s="129"/>
      <c r="K101" s="129"/>
      <c r="L101" s="129"/>
      <c r="M101" s="129"/>
      <c r="N101" s="129"/>
      <c r="O101" s="129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  <c r="AB101" s="130"/>
      <c r="AC101" s="130"/>
      <c r="AD101" s="130"/>
      <c r="AE101" s="130"/>
      <c r="AF101" s="130"/>
      <c r="AG101" s="130"/>
      <c r="AH101" s="130"/>
      <c r="AI101" s="129"/>
    </row>
    <row r="102" ht="13.5" customHeight="1" spans="1:35" s="131" customFormat="1" x14ac:dyDescent="0.25">
      <c r="A102" s="131"/>
      <c r="B102" s="131"/>
      <c r="C102" s="131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  <c r="AB102" s="132"/>
      <c r="AC102" s="132"/>
      <c r="AD102" s="132"/>
      <c r="AE102" s="132"/>
      <c r="AF102" s="132"/>
      <c r="AG102" s="132"/>
      <c r="AH102" s="132"/>
      <c r="AI102" s="132"/>
    </row>
    <row r="103" ht="12.75" customHeight="1" spans="1:35" s="133" customFormat="1" x14ac:dyDescent="0.25">
      <c r="A103" s="133"/>
      <c r="B103" s="133"/>
      <c r="C103" s="134"/>
      <c r="D103" s="135"/>
      <c r="E103" s="135"/>
      <c r="F103" s="135">
        <f>+'Sumas y Saldos'!E299</f>
      </c>
      <c r="G103" s="135">
        <f>+'Sumas y Saldos'!H299</f>
      </c>
      <c r="H103" s="135"/>
      <c r="I103" s="135"/>
      <c r="J103" s="135"/>
      <c r="K103" s="135">
        <f>+'Sumas y Saldos'!AC299</f>
      </c>
      <c r="L103" s="135"/>
      <c r="M103" s="135">
        <f>+'Sumas y Saldos'!W299</f>
      </c>
      <c r="N103" s="135">
        <f>+'Sumas y Saldos'!T299</f>
      </c>
      <c r="O103" s="135"/>
      <c r="P103" s="135">
        <f>+'Sumas y Saldos'!AO299</f>
      </c>
      <c r="Q103" s="135"/>
      <c r="R103" s="135"/>
      <c r="S103" s="135"/>
      <c r="T103" s="135"/>
      <c r="U103" s="135"/>
      <c r="V103" s="135">
        <f>+'Sumas y Saldos'!BP299</f>
      </c>
      <c r="W103" s="135"/>
      <c r="X103" s="135"/>
      <c r="Y103" s="135"/>
      <c r="Z103" s="135"/>
      <c r="AA103" s="135"/>
      <c r="AB103" s="135"/>
      <c r="AC103" s="135"/>
      <c r="AD103" s="135"/>
      <c r="AE103" s="135"/>
      <c r="AF103" s="135"/>
      <c r="AG103" s="135"/>
      <c r="AH103" s="135"/>
      <c r="AI103" s="135">
        <f>+AI100-'Gastos Acumulados'!E74</f>
      </c>
    </row>
    <row r="104" ht="12.75" customHeight="1" spans="1:35" s="133" customFormat="1" x14ac:dyDescent="0.25">
      <c r="A104" s="133"/>
      <c r="B104" s="133"/>
      <c r="C104" s="134"/>
      <c r="D104" s="135" t="s">
        <v>516</v>
      </c>
      <c r="E104" s="135">
        <f>+E103-E101</f>
      </c>
      <c r="F104" s="135">
        <f>+F103-F100</f>
      </c>
      <c r="G104" s="135">
        <f>+G103-G100</f>
      </c>
      <c r="H104" s="135">
        <f>+H103-H100</f>
      </c>
      <c r="I104" s="135">
        <f>+I103-I100</f>
      </c>
      <c r="J104" s="135">
        <f>+J103-J100</f>
      </c>
      <c r="K104" s="135">
        <f>+K103-K100</f>
      </c>
      <c r="L104" s="135">
        <f>+L103-L100</f>
      </c>
      <c r="M104" s="135">
        <f>+M103-M100</f>
      </c>
      <c r="N104" s="135">
        <f>+N103-N100</f>
      </c>
      <c r="O104" s="135">
        <f>+O103-O100</f>
      </c>
      <c r="P104" s="135">
        <f>+P103-P100</f>
      </c>
      <c r="Q104" s="135"/>
      <c r="R104" s="135"/>
      <c r="S104" s="135"/>
      <c r="T104" s="135"/>
      <c r="U104" s="135"/>
      <c r="V104" s="135">
        <f>+V103-V100</f>
      </c>
      <c r="W104" s="135"/>
      <c r="X104" s="135"/>
      <c r="Y104" s="135"/>
      <c r="Z104" s="135"/>
      <c r="AA104" s="135"/>
      <c r="AB104" s="135"/>
      <c r="AC104" s="135"/>
      <c r="AD104" s="135"/>
      <c r="AE104" s="135"/>
      <c r="AF104" s="135"/>
      <c r="AG104" s="135"/>
      <c r="AH104" s="135"/>
      <c r="AI104" s="135"/>
    </row>
    <row r="105" ht="12.75" customHeight="1" spans="1:35" s="133" customFormat="1" x14ac:dyDescent="0.25">
      <c r="A105" s="133"/>
      <c r="B105" s="133"/>
      <c r="C105" s="133"/>
      <c r="D105" s="135"/>
      <c r="E105" s="135"/>
      <c r="F105" s="135">
        <f>+F100-F103</f>
      </c>
      <c r="G105" s="135">
        <f>+G100-G103</f>
      </c>
      <c r="H105" s="135"/>
      <c r="I105" s="135"/>
      <c r="J105" s="135"/>
      <c r="K105" s="135">
        <f>+K100-K103</f>
      </c>
      <c r="L105" s="135">
        <f>+L100-L103</f>
      </c>
      <c r="M105" s="135">
        <f>+M100-M103</f>
      </c>
      <c r="N105" s="135">
        <f>+N100-N103</f>
      </c>
      <c r="O105" s="135">
        <f>+O100-O103</f>
      </c>
      <c r="P105" s="135">
        <f>+P100-P103</f>
      </c>
      <c r="Q105" s="135">
        <f>+Q100-Q103</f>
      </c>
      <c r="R105" s="135">
        <f>+R100-R103</f>
      </c>
      <c r="S105" s="135">
        <f>+S100-S103</f>
      </c>
      <c r="T105" s="135">
        <f>+T100-T103</f>
      </c>
      <c r="U105" s="135">
        <f>+U100-U103</f>
      </c>
      <c r="V105" s="135">
        <f>+V100-V103</f>
      </c>
      <c r="W105" s="135">
        <f>+W100-W103</f>
      </c>
      <c r="X105" s="135">
        <f>+X100-X103</f>
      </c>
      <c r="Y105" s="135">
        <f>+Y100-Y103</f>
      </c>
      <c r="Z105" s="135">
        <f>+Z100-Z103</f>
      </c>
      <c r="AA105" s="135">
        <f>+AA100-AA103</f>
      </c>
      <c r="AB105" s="135">
        <f>+AB100-AB103</f>
      </c>
      <c r="AC105" s="135">
        <f>+AC100-AC103</f>
      </c>
      <c r="AD105" s="135">
        <f>+AD100-AD103</f>
      </c>
      <c r="AE105" s="135">
        <f>+AE100-AE103</f>
      </c>
      <c r="AF105" s="135">
        <f>+AF100-AF103</f>
      </c>
      <c r="AG105" s="135">
        <f>+AG100-AG103</f>
      </c>
      <c r="AH105" s="135">
        <f>+AH100-AH103</f>
      </c>
      <c r="AI105" s="135">
        <f>+AI100-AI103</f>
      </c>
    </row>
    <row r="106" ht="12.75" customHeight="1" spans="1:35" s="133" customFormat="1" x14ac:dyDescent="0.25">
      <c r="A106" s="133"/>
      <c r="B106" s="133"/>
      <c r="C106" s="136"/>
      <c r="D106" s="137" t="s">
        <v>517</v>
      </c>
      <c r="E106" s="135">
        <f>+'Sumas y Saldos'!C301</f>
        <v>30055.240000000005</v>
      </c>
      <c r="F106" s="135"/>
      <c r="G106" s="135"/>
      <c r="H106" s="135"/>
      <c r="I106" s="135"/>
      <c r="J106" s="135"/>
      <c r="K106" s="135"/>
      <c r="L106" s="135"/>
      <c r="M106" s="135"/>
      <c r="N106" s="135"/>
      <c r="O106" s="135"/>
      <c r="P106" s="138"/>
      <c r="Q106" s="135"/>
      <c r="R106" s="135"/>
      <c r="S106" s="135"/>
      <c r="T106" s="135"/>
      <c r="U106" s="135"/>
      <c r="V106" s="135"/>
      <c r="W106" s="135"/>
      <c r="X106" s="135"/>
      <c r="Y106" s="135"/>
      <c r="Z106" s="135"/>
      <c r="AA106" s="135"/>
      <c r="AB106" s="135"/>
      <c r="AC106" s="135"/>
      <c r="AD106" s="135"/>
      <c r="AE106" s="135"/>
      <c r="AF106" s="135"/>
      <c r="AG106" s="135"/>
      <c r="AH106" s="135"/>
      <c r="AI106" s="135"/>
    </row>
    <row r="107" ht="12.75" customHeight="1" spans="1:35" s="133" customFormat="1" x14ac:dyDescent="0.25">
      <c r="A107" s="133"/>
      <c r="B107" s="133"/>
      <c r="C107" s="133"/>
      <c r="D107" s="135"/>
      <c r="E107" s="135"/>
      <c r="F107" s="135"/>
      <c r="G107" s="135"/>
      <c r="H107" s="135"/>
      <c r="I107" s="135"/>
      <c r="J107" s="135"/>
      <c r="K107" s="135"/>
      <c r="L107" s="135"/>
      <c r="M107" s="135"/>
      <c r="N107" s="135"/>
      <c r="O107" s="135"/>
      <c r="P107" s="138"/>
      <c r="Q107" s="135"/>
      <c r="R107" s="135"/>
      <c r="S107" s="135"/>
      <c r="T107" s="135"/>
      <c r="U107" s="138"/>
      <c r="V107" s="135"/>
      <c r="W107" s="135"/>
      <c r="X107" s="135"/>
      <c r="Y107" s="135"/>
      <c r="Z107" s="135"/>
      <c r="AA107" s="135"/>
      <c r="AB107" s="135"/>
      <c r="AC107" s="135"/>
      <c r="AD107" s="135"/>
      <c r="AE107" s="135"/>
      <c r="AF107" s="135"/>
      <c r="AG107" s="135"/>
      <c r="AH107" s="135"/>
      <c r="AI107" s="135"/>
    </row>
    <row r="108" ht="13.5" customHeight="1" spans="1:47" s="133" customFormat="1" x14ac:dyDescent="0.25">
      <c r="A108" s="133"/>
      <c r="B108" s="133"/>
      <c r="C108" s="133"/>
      <c r="D108" s="139" t="s">
        <v>518</v>
      </c>
      <c r="E108" s="135">
        <f>+E104+E106</f>
      </c>
      <c r="F108" s="135"/>
      <c r="G108" s="135"/>
      <c r="H108" s="135"/>
      <c r="I108" s="137"/>
      <c r="J108" s="135"/>
      <c r="K108" s="140"/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  <c r="V108" s="135"/>
      <c r="W108" s="135"/>
      <c r="X108" s="135"/>
      <c r="Y108" s="135"/>
      <c r="Z108" s="135"/>
      <c r="AA108" s="135"/>
      <c r="AB108" s="135"/>
      <c r="AC108" s="135"/>
      <c r="AD108" s="135"/>
      <c r="AE108" s="135"/>
      <c r="AF108" s="135"/>
      <c r="AG108" s="135"/>
      <c r="AH108" s="135"/>
      <c r="AI108" s="135"/>
      <c r="AJ108" s="133"/>
      <c r="AK108" s="133"/>
      <c r="AL108" s="133"/>
      <c r="AM108" s="133"/>
      <c r="AN108" s="141"/>
      <c r="AO108" s="133"/>
      <c r="AP108" s="133"/>
      <c r="AQ108" s="133"/>
      <c r="AR108" s="133"/>
      <c r="AS108" s="133"/>
      <c r="AT108" s="133"/>
      <c r="AU108" s="141"/>
    </row>
    <row r="109" ht="12.75" customHeight="1" spans="1:35" s="133" customFormat="1" x14ac:dyDescent="0.25">
      <c r="A109" s="133"/>
      <c r="B109" s="133"/>
      <c r="C109" s="133"/>
      <c r="D109" s="135"/>
      <c r="E109" s="135"/>
      <c r="F109" s="135"/>
      <c r="G109" s="135"/>
      <c r="H109" s="135"/>
      <c r="I109" s="135"/>
      <c r="J109" s="135"/>
      <c r="K109" s="135"/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  <c r="V109" s="135"/>
      <c r="W109" s="135"/>
      <c r="X109" s="135"/>
      <c r="Y109" s="135"/>
      <c r="Z109" s="135"/>
      <c r="AA109" s="135"/>
      <c r="AB109" s="135"/>
      <c r="AC109" s="135"/>
      <c r="AD109" s="135"/>
      <c r="AE109" s="135"/>
      <c r="AF109" s="135"/>
      <c r="AG109" s="135"/>
      <c r="AH109" s="135"/>
      <c r="AI109" s="135"/>
    </row>
    <row r="110" ht="12.75" customHeight="1" spans="1:35" s="133" customFormat="1" x14ac:dyDescent="0.25">
      <c r="A110" s="133"/>
      <c r="B110" s="133"/>
      <c r="C110" s="133"/>
      <c r="D110" s="135"/>
      <c r="E110" s="135"/>
      <c r="F110" s="135"/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  <c r="Y110" s="135"/>
      <c r="Z110" s="135"/>
      <c r="AA110" s="135"/>
      <c r="AB110" s="135"/>
      <c r="AC110" s="135"/>
      <c r="AD110" s="135"/>
      <c r="AE110" s="135"/>
      <c r="AF110" s="135"/>
      <c r="AG110" s="135"/>
      <c r="AH110" s="135"/>
      <c r="AI110" s="135"/>
    </row>
    <row r="111" ht="12.75" customHeight="1" spans="1:35" s="133" customFormat="1" x14ac:dyDescent="0.25">
      <c r="A111" s="133"/>
      <c r="B111" s="133"/>
      <c r="C111" s="133"/>
      <c r="D111" s="135"/>
      <c r="E111" s="135"/>
      <c r="F111" s="135"/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  <c r="Y111" s="135"/>
      <c r="Z111" s="135"/>
      <c r="AA111" s="135"/>
      <c r="AB111" s="135"/>
      <c r="AC111" s="135"/>
      <c r="AD111" s="135"/>
      <c r="AE111" s="135"/>
      <c r="AF111" s="135"/>
      <c r="AG111" s="135"/>
      <c r="AH111" s="135"/>
      <c r="AI111" s="135"/>
    </row>
    <row r="112" ht="12.75" customHeight="1" spans="1:4" x14ac:dyDescent="0.25">
      <c r="A112" s="73"/>
      <c r="B112" s="73"/>
      <c r="C112" s="142"/>
      <c r="D112" s="74"/>
    </row>
    <row r="113" spans="1:4" x14ac:dyDescent="0.25">
      <c r="A113" s="73"/>
      <c r="B113" s="73"/>
      <c r="C113" s="73"/>
      <c r="D113" s="74"/>
    </row>
    <row r="114" ht="12.75" customHeight="1" spans="1:5" x14ac:dyDescent="0.25">
      <c r="A114" s="73"/>
      <c r="B114" s="73"/>
      <c r="C114" s="73"/>
      <c r="D114" s="74"/>
      <c r="E114" s="143"/>
    </row>
  </sheetData>
  <mergeCells count="2">
    <mergeCell ref="U6:U7"/>
    <mergeCell ref="V6:V7"/>
  </mergeCells>
  <printOptions gridLines="1"/>
  <pageMargins left="0.472222222222222" right="0.196527777777778" top="0.275694444444444" bottom="0.196527777777778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94"/>
  <sheetViews>
    <sheetView workbookViewId="0" zoomScale="100" zoomScaleNormal="100"/>
  </sheetViews>
  <sheetFormatPr defaultRowHeight="12.75" outlineLevelRow="0" outlineLevelCol="0" x14ac:dyDescent="0.2" defaultColWidth="9.140625" customHeight="1"/>
  <cols>
    <col min="1" max="1" width="30.7109375" style="1" customWidth="1"/>
    <col min="2" max="2" width="15.7109375" style="1" customWidth="1"/>
    <col min="3" max="3" width="19.28515625" style="1" customWidth="1"/>
    <col min="4" max="5" width="15.7109375" style="1" customWidth="1"/>
    <col min="6" max="6" width="16.7109375" style="1" customWidth="1"/>
    <col min="7" max="7" width="12.7109375" style="1" customWidth="1"/>
    <col min="8" max="8" width="11.28515625" style="1" customWidth="1"/>
  </cols>
  <sheetData>
    <row r="1" ht="12.75" customHeight="1" spans="1:8" x14ac:dyDescent="0.25">
      <c r="A1" s="161" t="s">
        <v>339</v>
      </c>
      <c r="B1" s="161"/>
      <c r="C1" s="161"/>
      <c r="D1" s="161"/>
      <c r="E1" s="162"/>
      <c r="F1" s="162"/>
      <c r="G1" s="1"/>
      <c r="H1" s="1"/>
    </row>
    <row r="2" ht="12.75" customHeight="1" spans="1:8" x14ac:dyDescent="0.25">
      <c r="A2" s="161"/>
      <c r="B2" s="161"/>
      <c r="C2" s="161"/>
      <c r="D2" s="161"/>
      <c r="E2" s="162"/>
      <c r="F2" s="162"/>
      <c r="G2" s="1"/>
      <c r="H2" s="1"/>
    </row>
    <row r="3" ht="13.5" customHeight="1" spans="1:8" x14ac:dyDescent="0.25">
      <c r="A3" s="163" t="s">
        <v>744</v>
      </c>
      <c r="B3" s="162"/>
      <c r="C3" s="162"/>
      <c r="D3" s="162"/>
      <c r="E3" s="162"/>
      <c r="F3" s="162"/>
      <c r="G3" s="1"/>
      <c r="H3" s="1"/>
    </row>
    <row r="4" ht="13.5" customHeight="1" spans="1:8" x14ac:dyDescent="0.25">
      <c r="A4" s="164" t="s">
        <v>341</v>
      </c>
      <c r="B4" s="162"/>
      <c r="C4" s="162"/>
      <c r="D4" s="162"/>
      <c r="E4" s="162"/>
      <c r="F4" s="162"/>
      <c r="G4" s="1"/>
      <c r="H4" s="1"/>
    </row>
    <row r="5" ht="12.75" customHeight="1" spans="1:8" x14ac:dyDescent="0.25">
      <c r="A5" s="165"/>
      <c r="B5" s="162"/>
      <c r="C5" s="162"/>
      <c r="D5" s="162"/>
      <c r="E5" s="162"/>
      <c r="F5" s="162"/>
      <c r="G5" s="1"/>
      <c r="H5" s="1"/>
    </row>
    <row r="6" ht="12.75" customHeight="1" spans="1:8" x14ac:dyDescent="0.25">
      <c r="A6" s="162"/>
      <c r="B6" s="162"/>
      <c r="C6" s="162"/>
      <c r="D6" s="162"/>
      <c r="E6" s="162"/>
      <c r="F6" s="162"/>
      <c r="G6" s="1"/>
      <c r="H6" s="1"/>
    </row>
    <row r="7" ht="12.75" customHeight="1" spans="1:8" x14ac:dyDescent="0.25">
      <c r="A7" s="166" t="s">
        <v>745</v>
      </c>
      <c r="B7" s="165"/>
      <c r="C7" s="162"/>
      <c r="D7" s="162"/>
      <c r="E7" s="162"/>
      <c r="F7" s="162"/>
      <c r="G7" s="1"/>
      <c r="H7" s="1"/>
    </row>
    <row r="8" ht="12.75" customHeight="1" spans="1:8" x14ac:dyDescent="0.25">
      <c r="A8" s="165"/>
      <c r="B8" s="162"/>
      <c r="C8" s="162"/>
      <c r="D8" s="162"/>
      <c r="E8" s="162"/>
      <c r="F8" s="162"/>
      <c r="G8" s="1"/>
      <c r="H8" s="1"/>
    </row>
    <row r="9" ht="12.75" customHeight="1" spans="1:8" x14ac:dyDescent="0.25">
      <c r="A9" s="167"/>
      <c r="B9" s="165"/>
      <c r="C9" s="162"/>
      <c r="D9" s="162"/>
      <c r="E9" s="162"/>
      <c r="F9" s="167"/>
      <c r="G9" s="1"/>
      <c r="H9" s="1"/>
    </row>
    <row r="10" ht="12.75" customHeight="1" spans="1:8" x14ac:dyDescent="0.25">
      <c r="A10" s="168"/>
      <c r="B10" s="169" t="s">
        <v>746</v>
      </c>
      <c r="C10" s="170" t="s">
        <v>747</v>
      </c>
      <c r="D10" s="170"/>
      <c r="E10" s="170"/>
      <c r="F10" s="171" t="s">
        <v>748</v>
      </c>
      <c r="G10" s="1"/>
      <c r="H10" s="1"/>
    </row>
    <row r="11" ht="12.75" customHeight="1" spans="1:8" x14ac:dyDescent="0.25">
      <c r="A11" s="172" t="s">
        <v>354</v>
      </c>
      <c r="B11" s="173" t="s">
        <v>749</v>
      </c>
      <c r="C11" s="174" t="s">
        <v>750</v>
      </c>
      <c r="D11" s="175" t="s">
        <v>379</v>
      </c>
      <c r="E11" s="176" t="s">
        <v>356</v>
      </c>
      <c r="F11" s="177" t="s">
        <v>751</v>
      </c>
      <c r="G11" s="1"/>
      <c r="H11" s="1"/>
    </row>
    <row r="12" ht="12.75" customHeight="1" spans="1:8" x14ac:dyDescent="0.25">
      <c r="A12" s="178"/>
      <c r="B12" s="179" t="s">
        <v>752</v>
      </c>
      <c r="C12" s="174"/>
      <c r="D12" s="180"/>
      <c r="E12" s="180"/>
      <c r="F12" s="181" t="s">
        <v>753</v>
      </c>
      <c r="G12" s="1"/>
      <c r="H12" s="1"/>
    </row>
    <row r="13" ht="12.75" customHeight="1" spans="1:8" x14ac:dyDescent="0.25">
      <c r="A13" s="182"/>
      <c r="B13" s="183"/>
      <c r="C13" s="184"/>
      <c r="D13" s="185"/>
      <c r="E13" s="186"/>
      <c r="F13" s="187"/>
      <c r="G13" s="1"/>
      <c r="H13" s="1"/>
    </row>
    <row r="14" ht="12.75" customHeight="1" spans="1:8" x14ac:dyDescent="0.25">
      <c r="A14" s="182" t="s">
        <v>754</v>
      </c>
      <c r="B14" s="188">
        <v>10655170.5685161</v>
      </c>
      <c r="C14" s="185">
        <v>221950.07</v>
      </c>
      <c r="D14" s="185">
        <f>+'Dist.de gastos'!F100</f>
      </c>
      <c r="E14" s="185">
        <f>+C14+D14</f>
        <v>221950.07</v>
      </c>
      <c r="F14" s="189">
        <f>+B14+E14</f>
        <v>10877120.6385161</v>
      </c>
      <c r="G14" s="190"/>
      <c r="H14" s="191"/>
    </row>
    <row r="15" ht="12.75" customHeight="1" spans="1:8" x14ac:dyDescent="0.25">
      <c r="A15" s="182"/>
      <c r="B15" s="188"/>
      <c r="C15" s="185">
        <v>0</v>
      </c>
      <c r="D15" s="185">
        <f>+'Dist.de gastos'!F101</f>
      </c>
      <c r="E15" s="185">
        <f>+C15+D15</f>
        <v>0</v>
      </c>
      <c r="F15" s="189"/>
      <c r="G15" s="190"/>
      <c r="H15" s="191"/>
    </row>
    <row r="16" ht="12.75" customHeight="1" spans="1:8" x14ac:dyDescent="0.25">
      <c r="A16" s="182" t="s">
        <v>755</v>
      </c>
      <c r="B16" s="188">
        <v>7616043.07</v>
      </c>
      <c r="C16" s="185">
        <v>293725.66</v>
      </c>
      <c r="D16" s="185">
        <f>+'Dist.de gastos'!G100</f>
      </c>
      <c r="E16" s="185">
        <f>+C16+D16</f>
        <v>293725.66000000003</v>
      </c>
      <c r="F16" s="189">
        <f>+B16+E16</f>
        <v>7909768.73</v>
      </c>
      <c r="G16" s="190"/>
      <c r="H16" s="191"/>
    </row>
    <row r="17" ht="12.75" customHeight="1" spans="1:8" x14ac:dyDescent="0.25">
      <c r="A17" s="182"/>
      <c r="B17" s="188"/>
      <c r="C17" s="185">
        <v>0</v>
      </c>
      <c r="D17" s="185"/>
      <c r="E17" s="185">
        <f>+C17+D17</f>
        <v>0</v>
      </c>
      <c r="F17" s="189"/>
      <c r="G17" s="190"/>
      <c r="H17" s="191"/>
    </row>
    <row r="18" ht="12.75" customHeight="1" spans="1:8" x14ac:dyDescent="0.25">
      <c r="A18" s="182" t="s">
        <v>756</v>
      </c>
      <c r="B18" s="188">
        <v>539339.15</v>
      </c>
      <c r="C18" s="185">
        <v>0</v>
      </c>
      <c r="D18" s="185">
        <v>0</v>
      </c>
      <c r="E18" s="185">
        <f>+C18+D18</f>
        <v>0</v>
      </c>
      <c r="F18" s="189">
        <f>+B18+E18</f>
        <v>539339.15</v>
      </c>
      <c r="G18" s="190"/>
      <c r="H18" s="191"/>
    </row>
    <row r="19" ht="12.75" customHeight="1" spans="1:8" x14ac:dyDescent="0.25">
      <c r="A19" s="182"/>
      <c r="B19" s="188"/>
      <c r="C19" s="185">
        <v>0</v>
      </c>
      <c r="D19" s="185"/>
      <c r="E19" s="185">
        <f>+C19+D19</f>
        <v>0</v>
      </c>
      <c r="F19" s="189"/>
      <c r="G19" s="190"/>
      <c r="H19" s="191"/>
    </row>
    <row r="20" ht="12.75" customHeight="1" spans="1:8" x14ac:dyDescent="0.25">
      <c r="A20" s="182" t="s">
        <v>757</v>
      </c>
      <c r="B20" s="188">
        <v>104295.02</v>
      </c>
      <c r="C20" s="185">
        <v>0</v>
      </c>
      <c r="D20" s="185">
        <v>0</v>
      </c>
      <c r="E20" s="185">
        <f>+C20+D20</f>
        <v>0</v>
      </c>
      <c r="F20" s="189">
        <f>+B20+E20</f>
        <v>104295.02</v>
      </c>
      <c r="G20" s="190"/>
      <c r="H20" s="191"/>
    </row>
    <row r="21" ht="12.75" customHeight="1" spans="1:8" x14ac:dyDescent="0.25">
      <c r="A21" s="182"/>
      <c r="B21" s="188"/>
      <c r="C21" s="185">
        <v>0</v>
      </c>
      <c r="D21" s="185"/>
      <c r="E21" s="185">
        <f>+C21+D21</f>
        <v>0</v>
      </c>
      <c r="F21" s="189"/>
      <c r="G21" s="190"/>
      <c r="H21" s="191"/>
    </row>
    <row r="22" ht="12.75" customHeight="1" spans="1:8" x14ac:dyDescent="0.25">
      <c r="A22" s="182" t="s">
        <v>758</v>
      </c>
      <c r="B22" s="188">
        <v>1342066.81</v>
      </c>
      <c r="C22" s="185">
        <v>0</v>
      </c>
      <c r="D22" s="185">
        <v>0</v>
      </c>
      <c r="E22" s="185">
        <f>+C22+D22</f>
        <v>0</v>
      </c>
      <c r="F22" s="189">
        <f>+B22+E22</f>
        <v>1342066.81</v>
      </c>
      <c r="G22" s="190"/>
      <c r="H22" s="191"/>
    </row>
    <row r="23" ht="12.75" customHeight="1" spans="1:8" x14ac:dyDescent="0.25">
      <c r="A23" s="182"/>
      <c r="B23" s="188"/>
      <c r="C23" s="185">
        <v>0</v>
      </c>
      <c r="D23" s="185"/>
      <c r="E23" s="185">
        <f>+C23+D23</f>
        <v>0</v>
      </c>
      <c r="F23" s="189"/>
      <c r="G23" s="190"/>
      <c r="H23" s="191"/>
    </row>
    <row r="24" ht="12.75" customHeight="1" spans="1:8" x14ac:dyDescent="0.25">
      <c r="A24" s="182" t="s">
        <v>759</v>
      </c>
      <c r="B24" s="188">
        <v>2514895.5</v>
      </c>
      <c r="C24" s="185">
        <v>0</v>
      </c>
      <c r="D24" s="185">
        <v>0</v>
      </c>
      <c r="E24" s="185">
        <f>+C24+D24</f>
        <v>0</v>
      </c>
      <c r="F24" s="189">
        <f>+B24+E24</f>
        <v>2514895.5</v>
      </c>
      <c r="G24" s="190"/>
      <c r="H24" s="191"/>
    </row>
    <row r="25" ht="12.75" customHeight="1" spans="1:8" x14ac:dyDescent="0.25">
      <c r="A25" s="182"/>
      <c r="B25" s="188"/>
      <c r="C25" s="185">
        <v>0</v>
      </c>
      <c r="D25" s="185"/>
      <c r="E25" s="185">
        <f>+C25+D25</f>
        <v>0</v>
      </c>
      <c r="F25" s="189"/>
      <c r="G25" s="190"/>
      <c r="H25" s="191"/>
    </row>
    <row r="26" ht="12.75" customHeight="1" spans="1:8" x14ac:dyDescent="0.25">
      <c r="A26" s="182" t="s">
        <v>760</v>
      </c>
      <c r="B26" s="188">
        <v>247500.23</v>
      </c>
      <c r="C26" s="185">
        <v>0</v>
      </c>
      <c r="D26" s="185">
        <v>0</v>
      </c>
      <c r="E26" s="185">
        <f>+C26+D26</f>
        <v>0</v>
      </c>
      <c r="F26" s="189">
        <f>+B26+E26</f>
        <v>247500.23</v>
      </c>
      <c r="G26" s="190"/>
      <c r="H26" s="191"/>
    </row>
    <row r="27" ht="12.75" customHeight="1" spans="1:8" x14ac:dyDescent="0.25">
      <c r="A27" s="182"/>
      <c r="B27" s="188"/>
      <c r="C27" s="185">
        <v>0</v>
      </c>
      <c r="D27" s="185"/>
      <c r="E27" s="185">
        <f>+C27+D27</f>
        <v>0</v>
      </c>
      <c r="F27" s="189"/>
      <c r="G27" s="190"/>
      <c r="H27" s="191"/>
    </row>
    <row r="28" ht="12.75" customHeight="1" spans="1:8" x14ac:dyDescent="0.25">
      <c r="A28" s="182" t="s">
        <v>761</v>
      </c>
      <c r="B28" s="188">
        <v>1113083.26</v>
      </c>
      <c r="C28" s="185">
        <v>0</v>
      </c>
      <c r="D28" s="185">
        <v>0</v>
      </c>
      <c r="E28" s="185">
        <f>+C28+D28</f>
        <v>0</v>
      </c>
      <c r="F28" s="189">
        <f>+B28+E28</f>
        <v>1113083.26</v>
      </c>
      <c r="G28" s="190"/>
      <c r="H28" s="191"/>
    </row>
    <row r="29" ht="12.75" customHeight="1" spans="1:8" x14ac:dyDescent="0.25">
      <c r="A29" s="182"/>
      <c r="B29" s="188"/>
      <c r="C29" s="185">
        <v>0</v>
      </c>
      <c r="D29" s="185"/>
      <c r="E29" s="185">
        <f>+C29+D29</f>
        <v>0</v>
      </c>
      <c r="F29" s="189"/>
      <c r="G29" s="190"/>
      <c r="H29" s="191"/>
    </row>
    <row r="30" ht="12.75" customHeight="1" spans="1:8" x14ac:dyDescent="0.25">
      <c r="A30" s="182" t="s">
        <v>762</v>
      </c>
      <c r="B30" s="188">
        <v>462831.19</v>
      </c>
      <c r="C30" s="185">
        <v>2171.47</v>
      </c>
      <c r="D30" s="185">
        <f>+'Dist.de gastos'!I100</f>
      </c>
      <c r="E30" s="185">
        <f>+C30+D30</f>
        <v>2171.47</v>
      </c>
      <c r="F30" s="189">
        <f>+B30+E30</f>
        <v>465002.66</v>
      </c>
      <c r="G30" s="190"/>
      <c r="H30" s="191"/>
    </row>
    <row r="31" ht="12.75" customHeight="1" spans="1:8" x14ac:dyDescent="0.25">
      <c r="A31" s="182"/>
      <c r="B31" s="188"/>
      <c r="C31" s="185">
        <v>0</v>
      </c>
      <c r="D31" s="185"/>
      <c r="E31" s="185">
        <f>+C31+D31</f>
        <v>0</v>
      </c>
      <c r="F31" s="189"/>
      <c r="G31" s="190"/>
      <c r="H31" s="191"/>
    </row>
    <row r="32" ht="12.75" customHeight="1" spans="1:8" x14ac:dyDescent="0.25">
      <c r="A32" s="182" t="s">
        <v>763</v>
      </c>
      <c r="B32" s="188">
        <v>964922.37</v>
      </c>
      <c r="C32" s="185">
        <v>2008.07</v>
      </c>
      <c r="D32" s="185">
        <f>+'Dist.de gastos'!J100</f>
      </c>
      <c r="E32" s="185">
        <f>+C32+D32</f>
        <v>2008.07</v>
      </c>
      <c r="F32" s="189">
        <f>+B32+E32</f>
        <v>966930.44</v>
      </c>
      <c r="G32" s="190"/>
      <c r="H32" s="191"/>
    </row>
    <row r="33" ht="12.75" customHeight="1" spans="1:8" x14ac:dyDescent="0.25">
      <c r="A33" s="182"/>
      <c r="B33" s="188"/>
      <c r="C33" s="185">
        <v>0</v>
      </c>
      <c r="D33" s="185"/>
      <c r="E33" s="185">
        <f>+C33+D33</f>
        <v>0</v>
      </c>
      <c r="F33" s="189"/>
      <c r="G33" s="190"/>
      <c r="H33" s="191"/>
    </row>
    <row r="34" ht="12.75" customHeight="1" spans="1:8" x14ac:dyDescent="0.25">
      <c r="A34" s="182" t="s">
        <v>764</v>
      </c>
      <c r="B34" s="188">
        <v>847852.08</v>
      </c>
      <c r="C34" s="185">
        <v>2614.37</v>
      </c>
      <c r="D34" s="185">
        <f>+'Dist.de gastos'!M100</f>
      </c>
      <c r="E34" s="185">
        <f>+C34+D34</f>
        <v>2614.37</v>
      </c>
      <c r="F34" s="189">
        <f>+B34+E34</f>
        <v>850466.45</v>
      </c>
      <c r="G34" s="190"/>
      <c r="H34" s="191"/>
    </row>
    <row r="35" ht="12.75" customHeight="1" spans="1:8" x14ac:dyDescent="0.25">
      <c r="A35" s="182"/>
      <c r="B35" s="188"/>
      <c r="C35" s="185">
        <v>0</v>
      </c>
      <c r="D35" s="185"/>
      <c r="E35" s="185">
        <f>+C35+D35</f>
        <v>0</v>
      </c>
      <c r="F35" s="189"/>
      <c r="G35" s="190"/>
      <c r="H35" s="191"/>
    </row>
    <row r="36" ht="12.75" customHeight="1" spans="1:8" x14ac:dyDescent="0.25">
      <c r="A36" s="182" t="s">
        <v>765</v>
      </c>
      <c r="B36" s="188">
        <v>9494209.2</v>
      </c>
      <c r="C36" s="185">
        <v>65848.73</v>
      </c>
      <c r="D36" s="185">
        <f>+'Dist.de gastos'!N100</f>
      </c>
      <c r="E36" s="185">
        <f>+C36+D36</f>
        <v>65848.73</v>
      </c>
      <c r="F36" s="189">
        <f>+B36+E36</f>
        <v>9560057.93</v>
      </c>
      <c r="G36" s="190"/>
      <c r="H36" s="191"/>
    </row>
    <row r="37" ht="12.75" customHeight="1" spans="1:8" x14ac:dyDescent="0.25">
      <c r="A37" s="182"/>
      <c r="B37" s="188"/>
      <c r="C37" s="185">
        <v>0</v>
      </c>
      <c r="D37" s="185"/>
      <c r="E37" s="185">
        <f>+C37+D37</f>
        <v>0</v>
      </c>
      <c r="F37" s="189"/>
      <c r="G37" s="190"/>
      <c r="H37" s="191"/>
    </row>
    <row r="38" ht="12.75" customHeight="1" spans="1:8" x14ac:dyDescent="0.25">
      <c r="A38" s="182" t="s">
        <v>766</v>
      </c>
      <c r="B38" s="188">
        <v>2577915.86</v>
      </c>
      <c r="C38" s="185">
        <v>553114.11</v>
      </c>
      <c r="D38" s="185">
        <f>+'Dist.de gastos'!K100</f>
      </c>
      <c r="E38" s="185">
        <f>+C38+D38</f>
        <v>553114.11</v>
      </c>
      <c r="F38" s="189">
        <f>+B38+E38</f>
        <v>3131029.9699999997</v>
      </c>
      <c r="G38" s="190"/>
      <c r="H38" s="191"/>
    </row>
    <row r="39" ht="12.75" customHeight="1" spans="1:8" x14ac:dyDescent="0.25">
      <c r="A39" s="182"/>
      <c r="B39" s="188"/>
      <c r="C39" s="185">
        <v>0</v>
      </c>
      <c r="D39" s="185"/>
      <c r="E39" s="185">
        <f>+C39+D39</f>
        <v>0</v>
      </c>
      <c r="F39" s="189"/>
      <c r="G39" s="190"/>
      <c r="H39" s="191"/>
    </row>
    <row r="40" ht="12.75" customHeight="1" spans="1:8" x14ac:dyDescent="0.25">
      <c r="A40" s="182" t="s">
        <v>767</v>
      </c>
      <c r="B40" s="188">
        <v>158896.84</v>
      </c>
      <c r="C40" s="185">
        <v>0</v>
      </c>
      <c r="D40" s="192">
        <f>+'Dist.de gastos'!O98</f>
      </c>
      <c r="E40" s="185">
        <f>+C40+D40</f>
        <v>0</v>
      </c>
      <c r="F40" s="189">
        <f>+B40+E40</f>
        <v>158896.84</v>
      </c>
      <c r="G40" s="190"/>
      <c r="H40" s="191"/>
    </row>
    <row r="41" ht="12.75" customHeight="1" spans="1:8" x14ac:dyDescent="0.25">
      <c r="A41" s="182"/>
      <c r="B41" s="188"/>
      <c r="C41" s="185">
        <v>0</v>
      </c>
      <c r="D41" s="192">
        <f>+'Dist.de gastos'!O99</f>
      </c>
      <c r="E41" s="185">
        <f>+C41+D41</f>
        <v>0</v>
      </c>
      <c r="F41" s="189"/>
      <c r="G41" s="190"/>
      <c r="H41" s="191"/>
    </row>
    <row r="42" ht="12.75" customHeight="1" spans="1:8" x14ac:dyDescent="0.25">
      <c r="A42" s="182" t="s">
        <v>768</v>
      </c>
      <c r="B42" s="188">
        <v>16655.97</v>
      </c>
      <c r="C42" s="185">
        <v>487.94</v>
      </c>
      <c r="D42" s="192">
        <f>+'Dist.de gastos'!O100</f>
      </c>
      <c r="E42" s="185">
        <f>+C42+D42</f>
        <v>487.94</v>
      </c>
      <c r="F42" s="189">
        <f>+B42+E42</f>
        <v>17143.91</v>
      </c>
      <c r="G42" s="190"/>
      <c r="H42" s="191"/>
    </row>
    <row r="43" ht="12.75" customHeight="1" spans="1:8" x14ac:dyDescent="0.25">
      <c r="A43" s="182"/>
      <c r="B43" s="188"/>
      <c r="C43" s="185">
        <v>0</v>
      </c>
      <c r="D43" s="192">
        <f>+'Dist.de gastos'!O101</f>
      </c>
      <c r="E43" s="185">
        <f>+C43+D43</f>
        <v>0</v>
      </c>
      <c r="F43" s="189"/>
      <c r="G43" s="190"/>
      <c r="H43" s="191"/>
    </row>
    <row r="44" ht="12.75" customHeight="1" spans="1:8" x14ac:dyDescent="0.25">
      <c r="A44" s="182" t="s">
        <v>769</v>
      </c>
      <c r="B44" s="188">
        <v>6584.26</v>
      </c>
      <c r="C44" s="185">
        <v>0</v>
      </c>
      <c r="D44" s="192">
        <f>+'Dist.de gastos'!O102</f>
      </c>
      <c r="E44" s="185">
        <f>+C44+D44</f>
        <v>0</v>
      </c>
      <c r="F44" s="189">
        <f>+B44+E44</f>
        <v>6584.26</v>
      </c>
      <c r="G44" s="190"/>
      <c r="H44" s="191"/>
    </row>
    <row r="45" ht="12.75" customHeight="1" spans="1:8" x14ac:dyDescent="0.25">
      <c r="A45" s="182"/>
      <c r="B45" s="188"/>
      <c r="C45" s="185">
        <v>0</v>
      </c>
      <c r="D45" s="192">
        <f>+'Dist.de gastos'!O103</f>
      </c>
      <c r="E45" s="185">
        <f>+C45+D45</f>
        <v>0</v>
      </c>
      <c r="F45" s="189"/>
      <c r="G45" s="190"/>
      <c r="H45" s="191"/>
    </row>
    <row r="46" ht="12.75" customHeight="1" spans="1:8" x14ac:dyDescent="0.25">
      <c r="A46" s="182" t="s">
        <v>770</v>
      </c>
      <c r="B46" s="188">
        <v>5000</v>
      </c>
      <c r="C46" s="185">
        <v>0</v>
      </c>
      <c r="D46" s="192">
        <f>+'Dist.de gastos'!O104</f>
      </c>
      <c r="E46" s="185">
        <f>+C46+D46</f>
        <v>0</v>
      </c>
      <c r="F46" s="189">
        <f>+B46+E46</f>
        <v>5000</v>
      </c>
      <c r="G46" s="190"/>
      <c r="H46" s="191"/>
    </row>
    <row r="47" ht="12.75" customHeight="1" spans="1:8" x14ac:dyDescent="0.25">
      <c r="A47" s="182"/>
      <c r="B47" s="188"/>
      <c r="C47" s="185">
        <v>0</v>
      </c>
      <c r="D47" s="192">
        <f>+'Dist.de gastos'!O105</f>
      </c>
      <c r="E47" s="185">
        <f>+C47+D47</f>
        <v>0</v>
      </c>
      <c r="F47" s="189"/>
      <c r="G47" s="190"/>
      <c r="H47" s="191"/>
    </row>
    <row r="48" ht="12.75" customHeight="1" spans="1:8" x14ac:dyDescent="0.25">
      <c r="A48" s="182" t="s">
        <v>771</v>
      </c>
      <c r="B48" s="188">
        <v>177908.1</v>
      </c>
      <c r="C48" s="185">
        <v>4823.32</v>
      </c>
      <c r="D48" s="192">
        <f>+'Dist.de gastos'!P100</f>
      </c>
      <c r="E48" s="185">
        <f>+C48+D48</f>
        <v>4823.32</v>
      </c>
      <c r="F48" s="189">
        <f>+B48+E48</f>
        <v>182731.42</v>
      </c>
      <c r="G48" s="190"/>
      <c r="H48" s="191"/>
    </row>
    <row r="49" ht="12.75" customHeight="1" spans="1:8" x14ac:dyDescent="0.25">
      <c r="A49" s="182"/>
      <c r="B49" s="188"/>
      <c r="C49" s="185">
        <v>0</v>
      </c>
      <c r="D49" s="192">
        <f>+'Dist.de gastos'!O107</f>
      </c>
      <c r="E49" s="185">
        <f>+C49+D49</f>
        <v>0</v>
      </c>
      <c r="F49" s="189"/>
      <c r="G49" s="190"/>
      <c r="H49" s="191"/>
    </row>
    <row r="50" ht="12.75" customHeight="1" spans="1:8" x14ac:dyDescent="0.25">
      <c r="A50" s="182" t="s">
        <v>772</v>
      </c>
      <c r="B50" s="188">
        <v>29721.57</v>
      </c>
      <c r="C50" s="185">
        <v>0</v>
      </c>
      <c r="D50" s="192">
        <f>+'Dist.de gastos'!O108</f>
      </c>
      <c r="E50" s="185">
        <f>+C50+D50</f>
        <v>0</v>
      </c>
      <c r="F50" s="189">
        <f>+B50+E50</f>
        <v>29721.57</v>
      </c>
      <c r="G50" s="190"/>
      <c r="H50" s="191"/>
    </row>
    <row r="51" ht="12.75" customHeight="1" spans="1:8" x14ac:dyDescent="0.25">
      <c r="A51" s="182"/>
      <c r="B51" s="188"/>
      <c r="C51" s="185">
        <v>0</v>
      </c>
      <c r="D51" s="192">
        <f>+'Dist.de gastos'!O109</f>
      </c>
      <c r="E51" s="185">
        <f>+C51+D51</f>
        <v>0</v>
      </c>
      <c r="F51" s="189"/>
      <c r="G51" s="190"/>
      <c r="H51" s="191"/>
    </row>
    <row r="52" ht="12.75" customHeight="1" spans="1:8" x14ac:dyDescent="0.25">
      <c r="A52" s="182" t="s">
        <v>773</v>
      </c>
      <c r="B52" s="188">
        <v>1768.7</v>
      </c>
      <c r="C52" s="185">
        <v>0</v>
      </c>
      <c r="D52" s="192">
        <f>+'Dist.de gastos'!O110</f>
      </c>
      <c r="E52" s="185">
        <f>+C52+D52</f>
        <v>0</v>
      </c>
      <c r="F52" s="189">
        <f>+B52+E52</f>
        <v>1768.7</v>
      </c>
      <c r="G52" s="190"/>
      <c r="H52" s="191"/>
    </row>
    <row r="53" ht="12.75" customHeight="1" spans="1:8" x14ac:dyDescent="0.25">
      <c r="A53" s="182"/>
      <c r="B53" s="188"/>
      <c r="C53" s="185">
        <v>0</v>
      </c>
      <c r="D53" s="192">
        <f>+'Dist.de gastos'!O111</f>
      </c>
      <c r="E53" s="185">
        <f>+C53+D53</f>
        <v>0</v>
      </c>
      <c r="F53" s="189"/>
      <c r="G53" s="190"/>
      <c r="H53" s="191"/>
    </row>
    <row r="54" ht="12.75" customHeight="1" spans="1:8" x14ac:dyDescent="0.25">
      <c r="A54" s="182" t="s">
        <v>774</v>
      </c>
      <c r="B54" s="188">
        <v>1966.74</v>
      </c>
      <c r="C54" s="185">
        <v>0</v>
      </c>
      <c r="D54" s="192">
        <f>+'Dist.de gastos'!O112</f>
      </c>
      <c r="E54" s="185">
        <f>+C54+D54</f>
        <v>0</v>
      </c>
      <c r="F54" s="189">
        <f>+B54+E54</f>
        <v>1966.74</v>
      </c>
      <c r="G54" s="190"/>
      <c r="H54" s="191"/>
    </row>
    <row r="55" ht="12.75" customHeight="1" spans="1:8" x14ac:dyDescent="0.25">
      <c r="A55" s="182"/>
      <c r="B55" s="188"/>
      <c r="C55" s="185">
        <v>0</v>
      </c>
      <c r="D55" s="192">
        <f>+'Dist.de gastos'!O113</f>
      </c>
      <c r="E55" s="185">
        <f>+C55+D55</f>
        <v>0</v>
      </c>
      <c r="F55" s="189"/>
      <c r="G55" s="190"/>
      <c r="H55" s="191"/>
    </row>
    <row r="56" ht="12.75" customHeight="1" spans="1:8" x14ac:dyDescent="0.25">
      <c r="A56" s="182" t="s">
        <v>775</v>
      </c>
      <c r="B56" s="188">
        <v>2758725.58</v>
      </c>
      <c r="C56" s="185">
        <v>0</v>
      </c>
      <c r="D56" s="192">
        <f>+'Dist.de gastos'!V100</f>
      </c>
      <c r="E56" s="185">
        <f>+C56+D56</f>
        <v>0</v>
      </c>
      <c r="F56" s="189">
        <f>+B56+E56</f>
        <v>2758725.58</v>
      </c>
      <c r="G56" s="190"/>
      <c r="H56" s="191"/>
    </row>
    <row r="57" ht="12.75" customHeight="1" spans="1:8" x14ac:dyDescent="0.25">
      <c r="A57" s="182"/>
      <c r="B57" s="188">
        <v>0</v>
      </c>
      <c r="C57" s="185">
        <v>0</v>
      </c>
      <c r="D57" s="192">
        <f>+'Dist.de gastos'!O115</f>
      </c>
      <c r="E57" s="185">
        <f>+C57+D57</f>
        <v>0</v>
      </c>
      <c r="F57" s="189">
        <f>+B57+E57</f>
        <v>0</v>
      </c>
      <c r="G57" s="190"/>
      <c r="H57" s="191"/>
    </row>
    <row r="58" ht="12.75" customHeight="1" spans="1:8" x14ac:dyDescent="0.25">
      <c r="A58" s="182" t="s">
        <v>776</v>
      </c>
      <c r="B58" s="188">
        <v>3954433.14</v>
      </c>
      <c r="C58" s="185">
        <v>0</v>
      </c>
      <c r="D58" s="192">
        <f>+'Dist.de gastos'!U100</f>
      </c>
      <c r="E58" s="185">
        <f>+C58+D58</f>
        <v>0</v>
      </c>
      <c r="F58" s="189">
        <f>+B58+E58</f>
        <v>3954433.14</v>
      </c>
      <c r="G58" s="190"/>
      <c r="H58" s="191"/>
    </row>
    <row r="59" ht="12.75" customHeight="1" spans="1:8" x14ac:dyDescent="0.25">
      <c r="A59" s="182"/>
      <c r="B59" s="188">
        <v>0</v>
      </c>
      <c r="C59" s="185">
        <v>0</v>
      </c>
      <c r="D59" s="192">
        <f>+'Dist.de gastos'!O117</f>
      </c>
      <c r="E59" s="185">
        <f>+C59+D59</f>
        <v>0</v>
      </c>
      <c r="F59" s="189">
        <f>+B59+E59</f>
        <v>0</v>
      </c>
      <c r="G59" s="190"/>
      <c r="H59" s="191"/>
    </row>
    <row r="60" ht="12.75" customHeight="1" spans="1:8" x14ac:dyDescent="0.25">
      <c r="A60" s="182" t="s">
        <v>777</v>
      </c>
      <c r="B60" s="188">
        <v>362.64</v>
      </c>
      <c r="C60" s="185">
        <v>0</v>
      </c>
      <c r="D60" s="192">
        <f>+'Dist.de gastos'!O118</f>
      </c>
      <c r="E60" s="185">
        <f>+C60+D60</f>
        <v>0</v>
      </c>
      <c r="F60" s="189">
        <f>+B60+E60</f>
        <v>362.64</v>
      </c>
      <c r="G60" s="190"/>
      <c r="H60" s="191"/>
    </row>
    <row r="61" ht="12.75" customHeight="1" spans="1:8" x14ac:dyDescent="0.25">
      <c r="A61" s="182"/>
      <c r="B61" s="188">
        <v>0</v>
      </c>
      <c r="C61" s="185">
        <v>0</v>
      </c>
      <c r="D61" s="192">
        <f>+'Dist.de gastos'!O119</f>
      </c>
      <c r="E61" s="185">
        <f>+C61+D61</f>
        <v>0</v>
      </c>
      <c r="F61" s="189">
        <f>+B61+E61</f>
        <v>0</v>
      </c>
      <c r="G61" s="190"/>
      <c r="H61" s="191"/>
    </row>
    <row r="62" ht="12.75" customHeight="1" spans="1:8" x14ac:dyDescent="0.25">
      <c r="A62" s="182" t="s">
        <v>778</v>
      </c>
      <c r="B62" s="188">
        <v>1010.28</v>
      </c>
      <c r="C62" s="185">
        <v>0</v>
      </c>
      <c r="D62" s="192">
        <f>+'Dist.de gastos'!O120</f>
      </c>
      <c r="E62" s="185">
        <f>+C62+D62</f>
        <v>0</v>
      </c>
      <c r="F62" s="189">
        <f>+B62+E62</f>
        <v>1010.28</v>
      </c>
      <c r="G62" s="190"/>
      <c r="H62" s="191"/>
    </row>
    <row r="63" ht="12.75" customHeight="1" spans="1:8" x14ac:dyDescent="0.25">
      <c r="A63" s="182"/>
      <c r="B63" s="188">
        <v>0</v>
      </c>
      <c r="C63" s="185">
        <v>0</v>
      </c>
      <c r="D63" s="192">
        <f>+'Dist.de gastos'!O121</f>
      </c>
      <c r="E63" s="185">
        <f>+C63+D63</f>
        <v>0</v>
      </c>
      <c r="F63" s="189">
        <f>+B63+E63</f>
        <v>0</v>
      </c>
      <c r="G63" s="190"/>
      <c r="H63" s="191"/>
    </row>
    <row r="64" ht="12.75" customHeight="1" spans="1:8" x14ac:dyDescent="0.25">
      <c r="A64" s="182" t="s">
        <v>779</v>
      </c>
      <c r="B64" s="188">
        <v>10845.66</v>
      </c>
      <c r="C64" s="185">
        <v>0</v>
      </c>
      <c r="D64" s="192">
        <f>+'Dist.de gastos'!O122</f>
      </c>
      <c r="E64" s="185">
        <f>+C64+D64</f>
        <v>0</v>
      </c>
      <c r="F64" s="189">
        <f>+B64+E64</f>
        <v>10845.66</v>
      </c>
      <c r="G64" s="190"/>
      <c r="H64" s="191"/>
    </row>
    <row r="65" ht="12.75" customHeight="1" spans="1:8" x14ac:dyDescent="0.25">
      <c r="A65" s="182"/>
      <c r="B65" s="188">
        <v>0</v>
      </c>
      <c r="C65" s="185">
        <v>0</v>
      </c>
      <c r="D65" s="192">
        <f>+'Dist.de gastos'!O123</f>
      </c>
      <c r="E65" s="185">
        <f>+C65+D65</f>
        <v>0</v>
      </c>
      <c r="F65" s="189">
        <f>+B65+E65</f>
        <v>0</v>
      </c>
      <c r="G65" s="190"/>
      <c r="H65" s="191"/>
    </row>
    <row r="66" ht="12.75" customHeight="1" spans="1:8" x14ac:dyDescent="0.25">
      <c r="A66" s="182" t="s">
        <v>780</v>
      </c>
      <c r="B66" s="188">
        <v>6713.02</v>
      </c>
      <c r="C66" s="185">
        <v>0</v>
      </c>
      <c r="D66" s="192">
        <f>+'Dist.de gastos'!O124</f>
      </c>
      <c r="E66" s="185">
        <f>+C66+D66</f>
        <v>0</v>
      </c>
      <c r="F66" s="189">
        <f>+B66+E66</f>
        <v>6713.02</v>
      </c>
      <c r="G66" s="190"/>
      <c r="H66" s="191"/>
    </row>
    <row r="67" ht="12.75" customHeight="1" spans="1:8" x14ac:dyDescent="0.25">
      <c r="A67" s="182"/>
      <c r="B67" s="188">
        <v>0</v>
      </c>
      <c r="C67" s="185">
        <v>0</v>
      </c>
      <c r="D67" s="192">
        <f>+'Dist.de gastos'!O125</f>
      </c>
      <c r="E67" s="185">
        <f>+C67+D67</f>
        <v>0</v>
      </c>
      <c r="F67" s="189">
        <f>+B67+E67</f>
        <v>0</v>
      </c>
      <c r="G67" s="190"/>
      <c r="H67" s="191"/>
    </row>
    <row r="68" ht="12.75" customHeight="1" spans="1:8" x14ac:dyDescent="0.25">
      <c r="A68" s="182" t="s">
        <v>781</v>
      </c>
      <c r="B68" s="188">
        <v>5691.9</v>
      </c>
      <c r="C68" s="185">
        <v>0</v>
      </c>
      <c r="D68" s="192">
        <f>+'Dist.de gastos'!O126</f>
      </c>
      <c r="E68" s="185">
        <f>+C68+D68</f>
        <v>0</v>
      </c>
      <c r="F68" s="189">
        <f>+B68+E68</f>
        <v>5691.9</v>
      </c>
      <c r="G68" s="190"/>
      <c r="H68" s="191"/>
    </row>
    <row r="69" ht="12.75" customHeight="1" spans="1:8" x14ac:dyDescent="0.25">
      <c r="A69" s="182"/>
      <c r="B69" s="188">
        <v>0</v>
      </c>
      <c r="C69" s="185">
        <v>0</v>
      </c>
      <c r="D69" s="192">
        <f>+'Dist.de gastos'!O127</f>
      </c>
      <c r="E69" s="185">
        <f>+C69+D69</f>
        <v>0</v>
      </c>
      <c r="F69" s="189">
        <f>+B69+E69</f>
        <v>0</v>
      </c>
      <c r="G69" s="190"/>
      <c r="H69" s="191"/>
    </row>
    <row r="70" ht="12.75" customHeight="1" spans="1:8" x14ac:dyDescent="0.25">
      <c r="A70" s="182" t="s">
        <v>782</v>
      </c>
      <c r="B70" s="188">
        <v>29161.16</v>
      </c>
      <c r="C70" s="185">
        <v>0</v>
      </c>
      <c r="D70" s="192">
        <f>+'Dist.de gastos'!O128</f>
      </c>
      <c r="E70" s="185">
        <f>+C70+D70</f>
        <v>0</v>
      </c>
      <c r="F70" s="189">
        <f>+B70+E70</f>
        <v>29161.16</v>
      </c>
      <c r="G70" s="190"/>
      <c r="H70" s="191"/>
    </row>
    <row r="71" ht="12.75" customHeight="1" spans="1:8" x14ac:dyDescent="0.25">
      <c r="A71" s="182"/>
      <c r="B71" s="188"/>
      <c r="C71" s="185"/>
      <c r="D71" s="192">
        <f>+'Dist.de gastos'!O129</f>
      </c>
      <c r="E71" s="185"/>
      <c r="F71" s="189"/>
      <c r="G71" s="190"/>
      <c r="H71" s="191"/>
    </row>
    <row r="72" ht="12.75" customHeight="1" spans="1:8" x14ac:dyDescent="0.25">
      <c r="A72" s="182" t="s">
        <v>783</v>
      </c>
      <c r="B72" s="188">
        <v>989.84</v>
      </c>
      <c r="C72" s="185">
        <v>0</v>
      </c>
      <c r="D72" s="192">
        <f>+'Dist.de gastos'!S100</f>
      </c>
      <c r="E72" s="185">
        <f>+C72+D72</f>
        <v>0</v>
      </c>
      <c r="F72" s="189">
        <f>+B72+E72</f>
        <v>989.84</v>
      </c>
      <c r="G72" s="190"/>
      <c r="H72" s="191"/>
    </row>
    <row r="73" ht="12.75" customHeight="1" spans="1:8" x14ac:dyDescent="0.25">
      <c r="A73" s="182"/>
      <c r="B73" s="188">
        <v>0</v>
      </c>
      <c r="C73" s="185">
        <v>0</v>
      </c>
      <c r="D73" s="185"/>
      <c r="E73" s="185">
        <f>+C73+D73</f>
        <v>0</v>
      </c>
      <c r="F73" s="189">
        <f>+B73+E73</f>
        <v>0</v>
      </c>
      <c r="G73" s="1"/>
      <c r="H73" s="1"/>
    </row>
    <row r="74" ht="12.75" customHeight="1" spans="1:7" x14ac:dyDescent="0.25">
      <c r="A74" s="193"/>
      <c r="B74" s="194">
        <f>SUM(B14:B73)</f>
        <v>45646559.708516106</v>
      </c>
      <c r="C74" s="195">
        <f>SUM(C14:C73)</f>
        <v>1146743.74</v>
      </c>
      <c r="D74" s="195">
        <f>+SUM(D14:D73)</f>
        <v>95792.6</v>
      </c>
      <c r="E74" s="195">
        <f>+SUM(E14:E73)</f>
        <v>1146743.74</v>
      </c>
      <c r="F74" s="196">
        <f>+SUM(F14:F73)</f>
        <v>46793303.44851611</v>
      </c>
      <c r="G74" s="197"/>
    </row>
    <row r="75" ht="13.5" customHeight="1" spans="1:7" x14ac:dyDescent="0.25">
      <c r="A75" s="178"/>
      <c r="B75" s="198"/>
      <c r="C75" s="199"/>
      <c r="D75" s="200"/>
      <c r="E75" s="200"/>
      <c r="F75" s="201"/>
      <c r="G75" s="202"/>
    </row>
    <row r="76" ht="13.5" customHeight="1" spans="1:7" x14ac:dyDescent="0.25">
      <c r="A76" s="1"/>
      <c r="B76" s="190"/>
      <c r="C76" s="190"/>
      <c r="D76" s="190"/>
      <c r="E76" s="190"/>
      <c r="F76" s="190"/>
      <c r="G76" s="197"/>
    </row>
    <row r="77" ht="12.75" customHeight="1" spans="1:6" x14ac:dyDescent="0.25">
      <c r="A77" s="1"/>
      <c r="B77" s="203"/>
      <c r="C77" s="190"/>
      <c r="D77" s="203"/>
      <c r="E77" s="190"/>
      <c r="F77" s="204"/>
    </row>
    <row r="78" ht="12.75" customHeight="1" spans="1:6" x14ac:dyDescent="0.25">
      <c r="A78" s="1"/>
      <c r="B78" s="119"/>
      <c r="C78" s="190"/>
      <c r="D78" s="203"/>
      <c r="E78" s="204"/>
      <c r="F78" s="205"/>
    </row>
    <row r="79" ht="12.75" customHeight="1" spans="1:6" x14ac:dyDescent="0.25">
      <c r="A79" s="1"/>
      <c r="B79" s="205"/>
      <c r="C79" s="197"/>
      <c r="D79" s="206"/>
      <c r="E79" s="204"/>
      <c r="F79" s="191"/>
    </row>
    <row r="80" ht="12.75" customHeight="1" spans="1:6" x14ac:dyDescent="0.25">
      <c r="A80" s="1"/>
      <c r="B80" s="197"/>
      <c r="C80" s="190"/>
      <c r="D80" s="190"/>
      <c r="E80" s="190"/>
      <c r="F80" s="205"/>
    </row>
    <row r="81" ht="12.75" customHeight="1" spans="1:5" x14ac:dyDescent="0.25">
      <c r="A81" s="1"/>
      <c r="B81" s="191"/>
      <c r="C81" s="204"/>
      <c r="D81" s="190"/>
      <c r="E81" s="204"/>
    </row>
    <row r="82" ht="12.75" customHeight="1" spans="1:6" x14ac:dyDescent="0.25">
      <c r="A82" s="1"/>
      <c r="B82" s="1"/>
      <c r="C82" s="204"/>
      <c r="D82" s="190"/>
      <c r="E82" s="190"/>
      <c r="F82" s="191"/>
    </row>
    <row r="83" ht="12.75" customHeight="1" spans="1:5" x14ac:dyDescent="0.25">
      <c r="A83" s="1"/>
      <c r="B83" s="1"/>
      <c r="C83" s="190"/>
      <c r="D83" s="205"/>
      <c r="E83" s="190"/>
    </row>
    <row r="84" ht="12.75" customHeight="1" spans="1:5" x14ac:dyDescent="0.25">
      <c r="A84" s="1"/>
      <c r="B84" s="1"/>
      <c r="C84" s="190"/>
      <c r="D84" s="190"/>
      <c r="E84" s="190"/>
    </row>
    <row r="85" ht="12.75" customHeight="1" spans="1:6" x14ac:dyDescent="0.25">
      <c r="A85" s="1"/>
      <c r="B85" s="1"/>
      <c r="C85" s="190"/>
      <c r="D85" s="190"/>
      <c r="E85" s="204"/>
      <c r="F85" s="191"/>
    </row>
    <row r="86" ht="12.75" customHeight="1" spans="1:5" x14ac:dyDescent="0.25">
      <c r="A86" s="1"/>
      <c r="B86" s="1"/>
      <c r="C86" s="190"/>
      <c r="D86" s="1"/>
      <c r="E86" s="204"/>
    </row>
    <row r="87" spans="1:1" x14ac:dyDescent="0.25">
      <c r="A87" s="1"/>
    </row>
    <row r="88" spans="1:1" x14ac:dyDescent="0.25">
      <c r="A88" s="1"/>
    </row>
    <row r="89" ht="12.75" customHeight="1" spans="1:3" x14ac:dyDescent="0.25">
      <c r="A89" s="1"/>
      <c r="B89" s="1"/>
      <c r="C89" s="191"/>
    </row>
    <row r="90" ht="12.75" customHeight="1" spans="1:3" x14ac:dyDescent="0.25">
      <c r="A90" s="1"/>
      <c r="B90" s="1"/>
      <c r="C90" s="191"/>
    </row>
    <row r="91" ht="12.75" customHeight="1" spans="1:3" x14ac:dyDescent="0.25">
      <c r="A91" s="1"/>
      <c r="B91" s="1"/>
      <c r="C91" s="191"/>
    </row>
    <row r="92" spans="1:1" x14ac:dyDescent="0.25">
      <c r="A92" s="1"/>
    </row>
    <row r="93" spans="1:1" x14ac:dyDescent="0.25">
      <c r="A93" s="1"/>
    </row>
    <row r="94" ht="12.75" customHeight="1" spans="1:6" x14ac:dyDescent="0.25">
      <c r="A94" s="1"/>
      <c r="B94" s="1"/>
      <c r="C94" s="1"/>
      <c r="D94" s="1"/>
      <c r="E94" s="190"/>
      <c r="F94" s="191"/>
    </row>
  </sheetData>
  <mergeCells count="2">
    <mergeCell ref="A1:D2"/>
    <mergeCell ref="C10:E10"/>
  </mergeCells>
  <pageMargins left="1.70972222222222" right="0.740277777777778" top="0.5" bottom="1" header="0.511811023622047" footer="0.511811023622047"/>
  <pageSetup orientation="landscape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89"/>
  <sheetViews>
    <sheetView workbookViewId="0" showGridLines="0" zoomScale="110" zoomScaleNormal="110">
      <selection activeCell="C30" sqref="C30"/>
    </sheetView>
  </sheetViews>
  <sheetFormatPr defaultRowHeight="12.75" outlineLevelRow="0" outlineLevelCol="0" x14ac:dyDescent="0.2" defaultColWidth="6.85546875" customHeight="1"/>
  <cols>
    <col min="1" max="1" width="41.7109375" style="207" customWidth="1"/>
    <col min="2" max="2" width="14.7109375" style="207" customWidth="1"/>
    <col min="3" max="3" width="12.7109375" style="207" customWidth="1"/>
    <col min="4" max="4" width="9" style="207" customWidth="1"/>
    <col min="5" max="5" width="8.5703125" style="207" customWidth="1"/>
    <col min="6" max="6" width="7.85546875" style="207" customWidth="1"/>
    <col min="7" max="16384" width="6.85546875" style="207" customWidth="1"/>
  </cols>
  <sheetData>
    <row r="1" ht="18" customHeight="1" x14ac:dyDescent="0.25"/>
    <row r="2" ht="13.5" customHeight="1" spans="1:2" x14ac:dyDescent="0.25">
      <c r="A2" s="208" t="s">
        <v>784</v>
      </c>
      <c r="B2" s="208"/>
    </row>
    <row r="3" ht="0.75" customHeight="1" spans="1:2" x14ac:dyDescent="0.25">
      <c r="A3" s="208"/>
      <c r="B3" s="208"/>
    </row>
    <row r="4" ht="12.75" customHeight="1" spans="1:2" x14ac:dyDescent="0.25">
      <c r="A4" s="208" t="s">
        <v>785</v>
      </c>
      <c r="B4" s="208"/>
    </row>
    <row r="5" ht="10.5" customHeight="1" x14ac:dyDescent="0.25"/>
    <row r="6" ht="15" customHeight="1" x14ac:dyDescent="0.25"/>
    <row r="7" ht="22.5" customHeight="1" spans="1:6" x14ac:dyDescent="0.25">
      <c r="A7" s="209" t="s">
        <v>786</v>
      </c>
      <c r="B7" s="209"/>
      <c r="C7" s="209"/>
      <c r="D7" s="209"/>
      <c r="E7" s="209"/>
      <c r="F7" s="209"/>
    </row>
    <row r="8" ht="8.25" customHeight="1" x14ac:dyDescent="0.25"/>
    <row r="9" ht="18" customHeight="1" spans="1:2" x14ac:dyDescent="0.25">
      <c r="A9" s="210" t="s">
        <v>787</v>
      </c>
      <c r="B9" s="210"/>
    </row>
    <row r="10" ht="12.75" customHeight="1" spans="1:5" x14ac:dyDescent="0.25">
      <c r="A10" s="210" t="s">
        <v>519</v>
      </c>
      <c r="B10" s="207"/>
      <c r="C10" s="211" t="s">
        <v>521</v>
      </c>
      <c r="D10" s="210" t="s">
        <v>522</v>
      </c>
      <c r="E10" s="210" t="s">
        <v>523</v>
      </c>
    </row>
    <row r="11" ht="6" customHeight="1" x14ac:dyDescent="0.25"/>
    <row r="12" ht="15" customHeight="1" spans="1:2" s="212" customFormat="1" x14ac:dyDescent="0.25">
      <c r="A12" s="213" t="s">
        <v>524</v>
      </c>
      <c r="B12" s="213"/>
    </row>
    <row r="13" ht="12.75" customHeight="1" spans="1:5" x14ac:dyDescent="0.25">
      <c r="A13" s="214" t="s">
        <v>525</v>
      </c>
      <c r="B13" s="207">
        <v>421030000</v>
      </c>
      <c r="C13" s="206">
        <v>11.09</v>
      </c>
      <c r="D13" s="215">
        <v>0</v>
      </c>
      <c r="E13" s="206">
        <v>11.09</v>
      </c>
    </row>
    <row r="14" ht="12.75" customHeight="1" spans="1:5" x14ac:dyDescent="0.25">
      <c r="A14" s="214" t="s">
        <v>527</v>
      </c>
      <c r="B14" s="207">
        <v>421050000</v>
      </c>
      <c r="C14" s="206">
        <v>5659.31</v>
      </c>
      <c r="D14" s="215">
        <v>0</v>
      </c>
      <c r="E14" s="206">
        <v>5659.31</v>
      </c>
    </row>
    <row r="15" ht="12.75" customHeight="1" spans="1:5" x14ac:dyDescent="0.25">
      <c r="A15" s="214" t="s">
        <v>529</v>
      </c>
      <c r="B15" s="207">
        <v>421060000</v>
      </c>
      <c r="C15" s="206">
        <v>1753.43</v>
      </c>
      <c r="D15" s="215">
        <v>0</v>
      </c>
      <c r="E15" s="206">
        <v>1753.43</v>
      </c>
    </row>
    <row r="16" ht="12.75" customHeight="1" spans="1:5" x14ac:dyDescent="0.25">
      <c r="A16" s="214" t="s">
        <v>788</v>
      </c>
      <c r="B16" s="207">
        <v>421140000</v>
      </c>
      <c r="C16" s="206">
        <v>36.29</v>
      </c>
      <c r="D16" s="215">
        <v>0</v>
      </c>
      <c r="E16" s="206">
        <v>36.29</v>
      </c>
    </row>
    <row r="17" ht="12.75" customHeight="1" spans="1:5" x14ac:dyDescent="0.25">
      <c r="A17" s="214" t="s">
        <v>663</v>
      </c>
      <c r="B17" s="207">
        <v>424400000</v>
      </c>
      <c r="C17" s="206">
        <v>8996.37</v>
      </c>
      <c r="D17" s="215">
        <v>0</v>
      </c>
      <c r="E17" s="206">
        <v>8996.37</v>
      </c>
    </row>
    <row r="18" ht="12.75" customHeight="1" spans="1:5" x14ac:dyDescent="0.25">
      <c r="A18" s="214" t="s">
        <v>531</v>
      </c>
      <c r="B18" s="207">
        <v>424500000</v>
      </c>
      <c r="C18" s="206">
        <v>2784.9</v>
      </c>
      <c r="D18" s="215">
        <v>0</v>
      </c>
      <c r="E18" s="206">
        <v>2784.9</v>
      </c>
    </row>
    <row r="19" ht="12.75" customHeight="1" spans="1:5" x14ac:dyDescent="0.25">
      <c r="A19" s="214" t="s">
        <v>789</v>
      </c>
      <c r="B19" s="207">
        <v>425160000</v>
      </c>
      <c r="C19" s="206">
        <v>923.01</v>
      </c>
      <c r="D19" s="215">
        <v>0</v>
      </c>
      <c r="E19" s="206">
        <v>923.01</v>
      </c>
    </row>
    <row r="20" ht="12.75" customHeight="1" spans="1:5" x14ac:dyDescent="0.25">
      <c r="A20" s="214" t="s">
        <v>537</v>
      </c>
      <c r="B20" s="207">
        <v>425180000</v>
      </c>
      <c r="C20" s="206">
        <v>30.09</v>
      </c>
      <c r="D20" s="215">
        <v>0</v>
      </c>
      <c r="E20" s="206">
        <v>30.09</v>
      </c>
    </row>
    <row r="21" ht="12.75" customHeight="1" spans="1:5" s="216" customFormat="1" x14ac:dyDescent="0.25">
      <c r="A21" s="217" t="s">
        <v>541</v>
      </c>
      <c r="B21" s="216">
        <v>425220000</v>
      </c>
      <c r="C21" s="218">
        <f>167.96+815.6</f>
        <v>983.5600000000001</v>
      </c>
      <c r="D21" s="219">
        <v>0</v>
      </c>
      <c r="E21" s="218">
        <f>+C21</f>
        <v>983.5600000000001</v>
      </c>
    </row>
    <row r="22" ht="12.75" customHeight="1" spans="1:5" x14ac:dyDescent="0.25">
      <c r="A22" s="214" t="s">
        <v>543</v>
      </c>
      <c r="B22" s="207">
        <v>425230000</v>
      </c>
      <c r="C22" s="206">
        <v>1148.52</v>
      </c>
      <c r="D22" s="215">
        <v>0</v>
      </c>
      <c r="E22" s="206">
        <v>1148.52</v>
      </c>
    </row>
    <row r="23" ht="12.75" customHeight="1" spans="1:5" x14ac:dyDescent="0.25">
      <c r="A23" s="214" t="s">
        <v>545</v>
      </c>
      <c r="B23" s="207">
        <v>425250000</v>
      </c>
      <c r="C23" s="206">
        <v>4533.87</v>
      </c>
      <c r="D23" s="215">
        <v>0</v>
      </c>
      <c r="E23" s="206">
        <v>4533.87</v>
      </c>
    </row>
    <row r="24" ht="12.75" customHeight="1" spans="1:5" x14ac:dyDescent="0.25">
      <c r="A24" s="214" t="s">
        <v>549</v>
      </c>
      <c r="B24" s="207">
        <v>425310000</v>
      </c>
      <c r="C24" s="206">
        <v>3574.93</v>
      </c>
      <c r="D24" s="215">
        <v>0</v>
      </c>
      <c r="E24" s="206">
        <v>3574.93</v>
      </c>
    </row>
    <row r="25" ht="12.75" customHeight="1" spans="1:5" x14ac:dyDescent="0.25">
      <c r="A25" s="214" t="s">
        <v>553</v>
      </c>
      <c r="B25" s="207">
        <v>426100000</v>
      </c>
      <c r="C25" s="206">
        <v>501.24</v>
      </c>
      <c r="D25" s="215">
        <v>0</v>
      </c>
      <c r="E25" s="206">
        <v>501.24</v>
      </c>
    </row>
    <row r="26" ht="12.75" customHeight="1" spans="1:5" x14ac:dyDescent="0.25">
      <c r="A26" s="214" t="s">
        <v>595</v>
      </c>
      <c r="B26" s="207">
        <v>426120000</v>
      </c>
      <c r="C26" s="206">
        <v>185.46</v>
      </c>
      <c r="D26" s="215">
        <v>0</v>
      </c>
      <c r="E26" s="206">
        <v>185.46</v>
      </c>
    </row>
    <row r="27" ht="12.75" customHeight="1" spans="1:5" x14ac:dyDescent="0.25">
      <c r="A27" s="214" t="s">
        <v>559</v>
      </c>
      <c r="B27" s="207">
        <v>426360000</v>
      </c>
      <c r="C27" s="206">
        <v>4966.14</v>
      </c>
      <c r="D27" s="215">
        <v>0</v>
      </c>
      <c r="E27" s="206">
        <v>4966.14</v>
      </c>
    </row>
    <row r="28" ht="12.75" customHeight="1" spans="1:5" x14ac:dyDescent="0.25">
      <c r="A28" s="214" t="s">
        <v>561</v>
      </c>
      <c r="B28" s="207">
        <v>433030000</v>
      </c>
      <c r="C28" s="206">
        <v>29125.32</v>
      </c>
      <c r="D28" s="215">
        <v>0</v>
      </c>
      <c r="E28" s="206">
        <v>29125.32</v>
      </c>
    </row>
    <row r="29" ht="3" customHeight="1" x14ac:dyDescent="0.25"/>
    <row r="30" ht="12.75" customHeight="1" spans="1:7" x14ac:dyDescent="0.25">
      <c r="A30" s="207"/>
      <c r="B30" s="207"/>
      <c r="C30" s="220">
        <f>SUM(C13:C29)</f>
        <v>65213.530000000006</v>
      </c>
      <c r="D30" s="220">
        <f>SUM(D13:D29)</f>
        <v>0</v>
      </c>
      <c r="E30" s="220">
        <f>SUM(E13:E29)</f>
        <v>65213.530000000006</v>
      </c>
      <c r="F30" s="221">
        <f>+C30-'Sumas y Saldos'!C299</f>
        <v>65213.530000000006</v>
      </c>
      <c r="G30" s="221">
        <f>+D30-'Sumas y Saldos'!D299</f>
      </c>
    </row>
    <row r="31" ht="15" customHeight="1" spans="1:2" s="212" customFormat="1" x14ac:dyDescent="0.25">
      <c r="A31" s="213" t="s">
        <v>662</v>
      </c>
      <c r="B31" s="207" t="s">
        <v>790</v>
      </c>
    </row>
    <row r="32" ht="12.75" customHeight="1" spans="1:5" x14ac:dyDescent="0.25">
      <c r="A32" s="214" t="s">
        <v>525</v>
      </c>
      <c r="B32" s="207">
        <v>421030000</v>
      </c>
      <c r="C32" s="206">
        <v>1760.87</v>
      </c>
      <c r="D32" s="215">
        <v>0</v>
      </c>
      <c r="E32" s="206">
        <v>1760.87</v>
      </c>
    </row>
    <row r="33" ht="12.75" customHeight="1" spans="1:5" x14ac:dyDescent="0.25">
      <c r="A33" s="214" t="s">
        <v>663</v>
      </c>
      <c r="B33" s="207">
        <v>424400000</v>
      </c>
      <c r="C33" s="206">
        <v>2649.97</v>
      </c>
      <c r="D33" s="215">
        <v>0</v>
      </c>
      <c r="E33" s="206">
        <v>2649.97</v>
      </c>
    </row>
    <row r="34" ht="12.75" customHeight="1" spans="1:5" x14ac:dyDescent="0.25">
      <c r="A34" s="214" t="s">
        <v>531</v>
      </c>
      <c r="B34" s="207">
        <v>424500000</v>
      </c>
      <c r="C34" s="206">
        <v>820.32</v>
      </c>
      <c r="D34" s="215">
        <v>0</v>
      </c>
      <c r="E34" s="206">
        <v>820.32</v>
      </c>
    </row>
    <row r="35" ht="12.75" customHeight="1" spans="1:5" x14ac:dyDescent="0.25">
      <c r="A35" s="214" t="s">
        <v>533</v>
      </c>
      <c r="B35" s="207">
        <v>425110000</v>
      </c>
      <c r="C35" s="206">
        <v>71.68</v>
      </c>
      <c r="D35" s="215">
        <v>0</v>
      </c>
      <c r="E35" s="206">
        <v>71.68</v>
      </c>
    </row>
    <row r="36" ht="12.75" customHeight="1" spans="1:5" x14ac:dyDescent="0.25">
      <c r="A36" s="214" t="s">
        <v>573</v>
      </c>
      <c r="B36" s="207">
        <v>425120000</v>
      </c>
      <c r="C36" s="206">
        <v>46.09</v>
      </c>
      <c r="D36" s="215">
        <v>0</v>
      </c>
      <c r="E36" s="206">
        <v>46.09</v>
      </c>
    </row>
    <row r="37" ht="12.75" customHeight="1" spans="1:5" x14ac:dyDescent="0.25">
      <c r="A37" s="214" t="s">
        <v>555</v>
      </c>
      <c r="B37" s="207">
        <v>426110000</v>
      </c>
      <c r="C37" s="206">
        <v>1338.09</v>
      </c>
      <c r="D37" s="215">
        <v>0</v>
      </c>
      <c r="E37" s="206">
        <v>1338.09</v>
      </c>
    </row>
    <row r="38" ht="12.75" customHeight="1" spans="1:5" x14ac:dyDescent="0.25">
      <c r="A38" s="214" t="s">
        <v>595</v>
      </c>
      <c r="B38" s="207">
        <v>426120000</v>
      </c>
      <c r="C38" s="206">
        <v>1553.78</v>
      </c>
      <c r="D38" s="215">
        <v>0</v>
      </c>
      <c r="E38" s="206">
        <v>1553.78</v>
      </c>
    </row>
    <row r="39" ht="12.75" customHeight="1" spans="1:5" x14ac:dyDescent="0.25">
      <c r="A39" s="214" t="s">
        <v>597</v>
      </c>
      <c r="B39" s="207">
        <v>426130000</v>
      </c>
      <c r="C39" s="206">
        <v>367.78</v>
      </c>
      <c r="D39" s="215">
        <v>0</v>
      </c>
      <c r="E39" s="206">
        <v>367.78</v>
      </c>
    </row>
    <row r="40" ht="12.75" customHeight="1" spans="1:5" x14ac:dyDescent="0.25">
      <c r="A40" s="214" t="s">
        <v>601</v>
      </c>
      <c r="B40" s="207">
        <v>426160000</v>
      </c>
      <c r="C40" s="206">
        <v>528.8</v>
      </c>
      <c r="D40" s="215">
        <v>0</v>
      </c>
      <c r="E40" s="206">
        <v>528.8</v>
      </c>
    </row>
    <row r="41" ht="12.75" customHeight="1" spans="1:5" x14ac:dyDescent="0.25">
      <c r="A41" s="214" t="s">
        <v>791</v>
      </c>
      <c r="B41" s="207">
        <v>426180000</v>
      </c>
      <c r="C41" s="206">
        <v>99408.84</v>
      </c>
      <c r="D41" s="215">
        <v>2090.7</v>
      </c>
      <c r="E41" s="206">
        <v>97318.14</v>
      </c>
    </row>
    <row r="42" ht="12.75" customHeight="1" spans="1:5" x14ac:dyDescent="0.25">
      <c r="A42" s="214" t="s">
        <v>636</v>
      </c>
      <c r="B42" s="207">
        <v>426200000</v>
      </c>
      <c r="C42" s="206">
        <v>320.83</v>
      </c>
      <c r="D42" s="215">
        <v>0</v>
      </c>
      <c r="E42" s="206">
        <v>320.83</v>
      </c>
    </row>
    <row r="43" ht="12.75" customHeight="1" spans="1:5" x14ac:dyDescent="0.25">
      <c r="A43" s="214" t="s">
        <v>557</v>
      </c>
      <c r="B43" s="207">
        <v>426240000</v>
      </c>
      <c r="C43" s="206">
        <v>59.59</v>
      </c>
      <c r="D43" s="215">
        <v>0</v>
      </c>
      <c r="E43" s="206">
        <v>59.59</v>
      </c>
    </row>
    <row r="44" ht="12.75" customHeight="1" spans="1:5" x14ac:dyDescent="0.25">
      <c r="A44" s="214" t="s">
        <v>652</v>
      </c>
      <c r="B44" s="207">
        <v>426250000</v>
      </c>
      <c r="C44" s="206">
        <v>1358.47</v>
      </c>
      <c r="D44" s="215">
        <v>0</v>
      </c>
      <c r="E44" s="206">
        <v>1358.47</v>
      </c>
    </row>
    <row r="45" ht="12.75" customHeight="1" spans="1:5" x14ac:dyDescent="0.25">
      <c r="A45" s="214" t="s">
        <v>610</v>
      </c>
      <c r="B45" s="207">
        <v>426260000</v>
      </c>
      <c r="C45" s="206">
        <v>7900.43</v>
      </c>
      <c r="D45" s="215">
        <v>0</v>
      </c>
      <c r="E45" s="206">
        <v>7900.43</v>
      </c>
    </row>
    <row r="46" ht="12.75" customHeight="1" spans="1:5" x14ac:dyDescent="0.25">
      <c r="A46" s="214" t="s">
        <v>792</v>
      </c>
      <c r="B46" s="207">
        <v>426290000</v>
      </c>
      <c r="C46" s="206">
        <v>3458.81</v>
      </c>
      <c r="D46" s="215">
        <v>0</v>
      </c>
      <c r="E46" s="206">
        <v>3458.81</v>
      </c>
    </row>
    <row r="47" ht="12.75" customHeight="1" spans="1:5" x14ac:dyDescent="0.25">
      <c r="A47" s="214" t="s">
        <v>703</v>
      </c>
      <c r="B47" s="207">
        <v>426350000</v>
      </c>
      <c r="C47" s="206">
        <v>478.34</v>
      </c>
      <c r="D47" s="215">
        <v>0</v>
      </c>
      <c r="E47" s="206">
        <v>478.34</v>
      </c>
    </row>
    <row r="48" ht="12.75" customHeight="1" spans="1:5" x14ac:dyDescent="0.25">
      <c r="A48" s="214" t="s">
        <v>638</v>
      </c>
      <c r="B48" s="207">
        <v>426440000</v>
      </c>
      <c r="C48" s="206">
        <v>7854.15</v>
      </c>
      <c r="D48" s="215">
        <v>0</v>
      </c>
      <c r="E48" s="206">
        <v>7854.15</v>
      </c>
    </row>
    <row r="49" ht="12.75" customHeight="1" spans="1:5" x14ac:dyDescent="0.25">
      <c r="A49" s="214" t="s">
        <v>707</v>
      </c>
      <c r="B49" s="207">
        <v>426450000</v>
      </c>
      <c r="C49" s="206">
        <v>7749.65</v>
      </c>
      <c r="D49" s="215">
        <v>0</v>
      </c>
      <c r="E49" s="206">
        <v>7749.65</v>
      </c>
    </row>
    <row r="50" ht="12.75" customHeight="1" spans="1:5" x14ac:dyDescent="0.25">
      <c r="A50" s="214" t="s">
        <v>793</v>
      </c>
      <c r="B50" s="207">
        <v>427110000</v>
      </c>
      <c r="C50" s="206">
        <v>47.47</v>
      </c>
      <c r="D50" s="215">
        <v>0</v>
      </c>
      <c r="E50" s="206">
        <v>47.47</v>
      </c>
    </row>
    <row r="51" ht="12.75" customHeight="1" spans="1:5" x14ac:dyDescent="0.25">
      <c r="A51" s="214" t="s">
        <v>724</v>
      </c>
      <c r="B51" s="207">
        <v>427120000</v>
      </c>
      <c r="C51" s="206">
        <v>445.6</v>
      </c>
      <c r="D51" s="215">
        <v>0</v>
      </c>
      <c r="E51" s="206">
        <v>445.6</v>
      </c>
    </row>
    <row r="52" ht="12.75" customHeight="1" spans="1:5" x14ac:dyDescent="0.25">
      <c r="A52" s="214" t="s">
        <v>794</v>
      </c>
      <c r="B52" s="207">
        <v>427160000</v>
      </c>
      <c r="C52" s="206">
        <v>41.85</v>
      </c>
      <c r="D52" s="215">
        <v>0</v>
      </c>
      <c r="E52" s="206">
        <v>41.85</v>
      </c>
    </row>
    <row r="53" ht="12.75" customHeight="1" spans="1:5" x14ac:dyDescent="0.25">
      <c r="A53" s="214" t="s">
        <v>795</v>
      </c>
      <c r="B53" s="207">
        <v>427170000</v>
      </c>
      <c r="C53" s="206">
        <v>239.62</v>
      </c>
      <c r="D53" s="215">
        <v>0</v>
      </c>
      <c r="E53" s="206">
        <v>239.62</v>
      </c>
    </row>
    <row r="54" ht="12.75" customHeight="1" spans="1:5" x14ac:dyDescent="0.25">
      <c r="A54" s="214" t="s">
        <v>796</v>
      </c>
      <c r="B54" s="207">
        <v>427260000</v>
      </c>
      <c r="C54" s="206">
        <v>35.36</v>
      </c>
      <c r="D54" s="215">
        <v>0</v>
      </c>
      <c r="E54" s="206">
        <v>35.36</v>
      </c>
    </row>
    <row r="55" ht="12.75" customHeight="1" spans="1:5" x14ac:dyDescent="0.25">
      <c r="A55" s="214" t="s">
        <v>797</v>
      </c>
      <c r="B55" s="207">
        <v>428200000</v>
      </c>
      <c r="C55" s="206">
        <v>60084.66</v>
      </c>
      <c r="D55" s="215">
        <v>0</v>
      </c>
      <c r="E55" s="206">
        <v>60084.66</v>
      </c>
    </row>
    <row r="56" ht="3" customHeight="1" x14ac:dyDescent="0.25"/>
    <row r="57" ht="12.75" customHeight="1" spans="1:7" x14ac:dyDescent="0.25">
      <c r="A57" s="207"/>
      <c r="B57" s="207"/>
      <c r="C57" s="220">
        <v>198621.05</v>
      </c>
      <c r="D57" s="222">
        <v>2090.7</v>
      </c>
      <c r="E57" s="222">
        <v>196530.35</v>
      </c>
      <c r="F57" s="221">
        <f>+C57-'Sumas y Saldos'!R299</f>
        <v>198621.05</v>
      </c>
      <c r="G57" s="221">
        <f>+D57-'Sumas y Saldos'!S299</f>
        <v>2090.7</v>
      </c>
    </row>
    <row r="58" ht="15" customHeight="1" spans="1:2" s="212" customFormat="1" x14ac:dyDescent="0.25">
      <c r="A58" s="213" t="s">
        <v>668</v>
      </c>
      <c r="B58" s="207" t="s">
        <v>798</v>
      </c>
    </row>
    <row r="59" ht="12.75" customHeight="1" spans="1:5" x14ac:dyDescent="0.25">
      <c r="A59" s="214" t="s">
        <v>555</v>
      </c>
      <c r="B59" s="207">
        <v>426110000</v>
      </c>
      <c r="C59" s="206">
        <v>4809.15</v>
      </c>
      <c r="D59" s="215">
        <v>0</v>
      </c>
      <c r="E59" s="206">
        <v>4809.15</v>
      </c>
    </row>
    <row r="60" ht="3" customHeight="1" x14ac:dyDescent="0.25"/>
    <row r="61" ht="12.75" customHeight="1" spans="1:7" x14ac:dyDescent="0.25">
      <c r="A61" s="207"/>
      <c r="B61" s="207"/>
      <c r="C61" s="220">
        <v>4809.15</v>
      </c>
      <c r="D61" s="222">
        <v>0</v>
      </c>
      <c r="E61" s="222">
        <v>4809.15</v>
      </c>
      <c r="F61" s="221">
        <f>+C61-'Sumas y Saldos'!U299</f>
        <v>4809.15</v>
      </c>
      <c r="G61" s="221">
        <f>+D61-'Sumas y Saldos'!V299</f>
      </c>
    </row>
    <row r="62" ht="15" customHeight="1" spans="1:2" s="212" customFormat="1" x14ac:dyDescent="0.25">
      <c r="A62" s="213" t="s">
        <v>682</v>
      </c>
      <c r="B62" s="207" t="s">
        <v>799</v>
      </c>
    </row>
    <row r="63" ht="12.75" customHeight="1" spans="1:5" x14ac:dyDescent="0.25">
      <c r="A63" s="214" t="s">
        <v>525</v>
      </c>
      <c r="B63" s="207">
        <v>421030000</v>
      </c>
      <c r="C63" s="206">
        <v>65.45</v>
      </c>
      <c r="D63" s="215">
        <v>0</v>
      </c>
      <c r="E63" s="206">
        <v>65.45</v>
      </c>
    </row>
    <row r="64" ht="12.75" customHeight="1" spans="1:5" x14ac:dyDescent="0.25">
      <c r="A64" s="214" t="s">
        <v>663</v>
      </c>
      <c r="B64" s="207">
        <v>424400000</v>
      </c>
      <c r="C64" s="206">
        <v>17001.69</v>
      </c>
      <c r="D64" s="215">
        <v>0</v>
      </c>
      <c r="E64" s="206">
        <v>17001.69</v>
      </c>
    </row>
    <row r="65" ht="12.75" customHeight="1" spans="1:5" x14ac:dyDescent="0.25">
      <c r="A65" s="214" t="s">
        <v>531</v>
      </c>
      <c r="B65" s="207">
        <v>424500000</v>
      </c>
      <c r="C65" s="206">
        <v>5263</v>
      </c>
      <c r="D65" s="215">
        <v>0</v>
      </c>
      <c r="E65" s="206">
        <v>5263</v>
      </c>
    </row>
    <row r="66" ht="12.75" customHeight="1" spans="1:5" x14ac:dyDescent="0.25">
      <c r="A66" s="214" t="s">
        <v>555</v>
      </c>
      <c r="B66" s="207">
        <v>426110000</v>
      </c>
      <c r="C66" s="206">
        <v>336.05</v>
      </c>
      <c r="D66" s="215">
        <v>0</v>
      </c>
      <c r="E66" s="206">
        <v>336.05</v>
      </c>
    </row>
    <row r="67" ht="12.75" customHeight="1" spans="1:5" x14ac:dyDescent="0.25">
      <c r="A67" s="214" t="s">
        <v>618</v>
      </c>
      <c r="B67" s="207">
        <v>426470000</v>
      </c>
      <c r="C67" s="206">
        <v>115.34</v>
      </c>
      <c r="D67" s="215">
        <v>0</v>
      </c>
      <c r="E67" s="206">
        <v>115.34</v>
      </c>
    </row>
    <row r="68" ht="3" customHeight="1" x14ac:dyDescent="0.25"/>
    <row r="69" ht="12.75" customHeight="1" spans="1:7" x14ac:dyDescent="0.25">
      <c r="A69" s="207"/>
      <c r="B69" s="207"/>
      <c r="C69" s="220">
        <v>22781.53</v>
      </c>
      <c r="D69" s="222">
        <v>0</v>
      </c>
      <c r="E69" s="222">
        <v>22781.53</v>
      </c>
      <c r="F69" s="221">
        <f>+C69-'Sumas y Saldos'!AA299</f>
        <v>22781.53</v>
      </c>
      <c r="G69" s="221">
        <f>+D69-'Sumas y Saldos'!AB299</f>
      </c>
    </row>
    <row r="70" ht="15" customHeight="1" spans="1:2" s="212" customFormat="1" x14ac:dyDescent="0.25">
      <c r="A70" s="213" t="s">
        <v>567</v>
      </c>
      <c r="B70" s="207" t="s">
        <v>800</v>
      </c>
    </row>
    <row r="71" ht="12.75" customHeight="1" spans="1:5" x14ac:dyDescent="0.25">
      <c r="A71" s="214" t="s">
        <v>525</v>
      </c>
      <c r="B71" s="207">
        <v>421030000</v>
      </c>
      <c r="C71" s="206">
        <v>298.23</v>
      </c>
      <c r="D71" s="215">
        <v>0</v>
      </c>
      <c r="E71" s="206">
        <v>298.23</v>
      </c>
    </row>
    <row r="72" ht="12.75" customHeight="1" spans="1:5" x14ac:dyDescent="0.25">
      <c r="A72" s="214" t="s">
        <v>801</v>
      </c>
      <c r="B72" s="207">
        <v>421440000</v>
      </c>
      <c r="C72" s="206">
        <v>2.79</v>
      </c>
      <c r="D72" s="215">
        <v>0</v>
      </c>
      <c r="E72" s="206">
        <v>2.79</v>
      </c>
    </row>
    <row r="73" ht="12.75" customHeight="1" spans="1:5" x14ac:dyDescent="0.25">
      <c r="A73" s="214" t="s">
        <v>663</v>
      </c>
      <c r="B73" s="207">
        <v>424400000</v>
      </c>
      <c r="C73" s="206">
        <v>2129.83</v>
      </c>
      <c r="D73" s="215">
        <v>0</v>
      </c>
      <c r="E73" s="206">
        <v>2129.83</v>
      </c>
    </row>
    <row r="74" ht="12.75" customHeight="1" spans="1:5" x14ac:dyDescent="0.25">
      <c r="A74" s="214" t="s">
        <v>531</v>
      </c>
      <c r="B74" s="207">
        <v>424500000</v>
      </c>
      <c r="C74" s="206">
        <v>659.31</v>
      </c>
      <c r="D74" s="215">
        <v>0</v>
      </c>
      <c r="E74" s="206">
        <v>659.31</v>
      </c>
    </row>
    <row r="75" ht="12.75" customHeight="1" spans="1:5" x14ac:dyDescent="0.25">
      <c r="A75" s="214" t="s">
        <v>533</v>
      </c>
      <c r="B75" s="207">
        <v>425110000</v>
      </c>
      <c r="C75" s="206">
        <v>739.75</v>
      </c>
      <c r="D75" s="215">
        <v>0</v>
      </c>
      <c r="E75" s="206">
        <v>739.75</v>
      </c>
    </row>
    <row r="76" ht="12.75" customHeight="1" spans="1:5" x14ac:dyDescent="0.25">
      <c r="A76" s="214" t="s">
        <v>573</v>
      </c>
      <c r="B76" s="207">
        <v>425120000</v>
      </c>
      <c r="C76" s="206">
        <v>0.93</v>
      </c>
      <c r="D76" s="215">
        <v>0</v>
      </c>
      <c r="E76" s="206">
        <v>0.93</v>
      </c>
    </row>
    <row r="77" ht="12.75" customHeight="1" spans="1:5" x14ac:dyDescent="0.25">
      <c r="A77" s="214" t="s">
        <v>547</v>
      </c>
      <c r="B77" s="207">
        <v>425300000</v>
      </c>
      <c r="C77" s="206">
        <v>11.09</v>
      </c>
      <c r="D77" s="215">
        <v>0</v>
      </c>
      <c r="E77" s="206">
        <v>11.09</v>
      </c>
    </row>
    <row r="78" ht="12.75" customHeight="1" spans="1:5" x14ac:dyDescent="0.25">
      <c r="A78" s="214" t="s">
        <v>583</v>
      </c>
      <c r="B78" s="207">
        <v>425500000</v>
      </c>
      <c r="C78" s="206">
        <v>822.85</v>
      </c>
      <c r="D78" s="215">
        <v>0</v>
      </c>
      <c r="E78" s="206">
        <v>822.85</v>
      </c>
    </row>
    <row r="79" ht="12.75" customHeight="1" spans="1:5" x14ac:dyDescent="0.25">
      <c r="A79" s="214" t="s">
        <v>585</v>
      </c>
      <c r="B79" s="207">
        <v>425600000</v>
      </c>
      <c r="C79" s="206">
        <v>69.26</v>
      </c>
      <c r="D79" s="215">
        <v>0</v>
      </c>
      <c r="E79" s="206">
        <v>69.26</v>
      </c>
    </row>
    <row r="80" ht="12.75" customHeight="1" spans="1:5" x14ac:dyDescent="0.25">
      <c r="A80" s="214" t="s">
        <v>551</v>
      </c>
      <c r="B80" s="207">
        <v>425810000</v>
      </c>
      <c r="C80" s="206">
        <v>91.52</v>
      </c>
      <c r="D80" s="215">
        <v>0</v>
      </c>
      <c r="E80" s="206">
        <v>91.52</v>
      </c>
    </row>
    <row r="81" ht="12.75" customHeight="1" spans="1:5" x14ac:dyDescent="0.25">
      <c r="A81" s="214" t="s">
        <v>802</v>
      </c>
      <c r="B81" s="207">
        <v>425980000</v>
      </c>
      <c r="C81" s="206">
        <v>44.47</v>
      </c>
      <c r="D81" s="215">
        <v>0</v>
      </c>
      <c r="E81" s="206">
        <v>44.47</v>
      </c>
    </row>
    <row r="82" ht="12.75" customHeight="1" spans="1:5" x14ac:dyDescent="0.25">
      <c r="A82" s="214" t="s">
        <v>555</v>
      </c>
      <c r="B82" s="207">
        <v>426110000</v>
      </c>
      <c r="C82" s="206">
        <v>220.79</v>
      </c>
      <c r="D82" s="215">
        <v>0</v>
      </c>
      <c r="E82" s="206">
        <v>220.79</v>
      </c>
    </row>
    <row r="83" ht="12.75" customHeight="1" spans="1:5" x14ac:dyDescent="0.25">
      <c r="A83" s="214" t="s">
        <v>595</v>
      </c>
      <c r="B83" s="207">
        <v>426120000</v>
      </c>
      <c r="C83" s="206">
        <v>3299.04</v>
      </c>
      <c r="D83" s="215">
        <v>154.58</v>
      </c>
      <c r="E83" s="206">
        <v>3144.46</v>
      </c>
    </row>
    <row r="84" ht="12.75" customHeight="1" spans="1:5" x14ac:dyDescent="0.25">
      <c r="A84" s="214" t="s">
        <v>803</v>
      </c>
      <c r="B84" s="207">
        <v>426140000</v>
      </c>
      <c r="C84" s="206">
        <v>924.25</v>
      </c>
      <c r="D84" s="215">
        <v>0</v>
      </c>
      <c r="E84" s="206">
        <v>924.25</v>
      </c>
    </row>
    <row r="85" ht="12.75" customHeight="1" spans="1:5" x14ac:dyDescent="0.25">
      <c r="A85" s="214" t="s">
        <v>601</v>
      </c>
      <c r="B85" s="207">
        <v>426160000</v>
      </c>
      <c r="C85" s="206">
        <v>189.05</v>
      </c>
      <c r="D85" s="215">
        <v>0</v>
      </c>
      <c r="E85" s="206">
        <v>189.05</v>
      </c>
    </row>
    <row r="86" ht="12.75" customHeight="1" spans="1:5" x14ac:dyDescent="0.25">
      <c r="A86" s="214" t="s">
        <v>636</v>
      </c>
      <c r="B86" s="207">
        <v>426200000</v>
      </c>
      <c r="C86" s="206">
        <v>164.91</v>
      </c>
      <c r="D86" s="215">
        <v>0</v>
      </c>
      <c r="E86" s="206">
        <v>164.91</v>
      </c>
    </row>
    <row r="87" ht="12.75" customHeight="1" spans="1:5" x14ac:dyDescent="0.25">
      <c r="A87" s="214" t="s">
        <v>605</v>
      </c>
      <c r="B87" s="207">
        <v>426210000</v>
      </c>
      <c r="C87" s="206">
        <v>1551.49</v>
      </c>
      <c r="D87" s="215">
        <v>0</v>
      </c>
      <c r="E87" s="206">
        <v>1551.49</v>
      </c>
    </row>
    <row r="88" ht="12.75" customHeight="1" spans="1:5" x14ac:dyDescent="0.25">
      <c r="A88" s="214" t="s">
        <v>607</v>
      </c>
      <c r="B88" s="207">
        <v>426220000</v>
      </c>
      <c r="C88" s="206">
        <v>4258.49</v>
      </c>
      <c r="D88" s="215">
        <v>0</v>
      </c>
      <c r="E88" s="206">
        <v>4258.49</v>
      </c>
    </row>
    <row r="89" ht="12.75" customHeight="1" spans="1:5" x14ac:dyDescent="0.25">
      <c r="A89" s="214" t="s">
        <v>557</v>
      </c>
      <c r="B89" s="207">
        <v>426240000</v>
      </c>
      <c r="C89" s="206">
        <v>4299.59</v>
      </c>
      <c r="D89" s="215">
        <v>0</v>
      </c>
      <c r="E89" s="206">
        <v>4299.59</v>
      </c>
    </row>
    <row r="90" ht="12.75" customHeight="1" spans="1:5" x14ac:dyDescent="0.25">
      <c r="A90" s="214" t="s">
        <v>610</v>
      </c>
      <c r="B90" s="207">
        <v>426260000</v>
      </c>
      <c r="C90" s="206">
        <v>655.62</v>
      </c>
      <c r="D90" s="215">
        <v>0</v>
      </c>
      <c r="E90" s="206">
        <v>655.62</v>
      </c>
    </row>
    <row r="91" ht="12.75" customHeight="1" spans="1:5" x14ac:dyDescent="0.25">
      <c r="A91" s="214" t="s">
        <v>612</v>
      </c>
      <c r="B91" s="207">
        <v>426280000</v>
      </c>
      <c r="C91" s="206">
        <v>30714.02</v>
      </c>
      <c r="D91" s="215">
        <v>0</v>
      </c>
      <c r="E91" s="206">
        <v>30714.02</v>
      </c>
    </row>
    <row r="92" ht="12.75" customHeight="1" spans="1:5" x14ac:dyDescent="0.25">
      <c r="A92" s="214" t="s">
        <v>703</v>
      </c>
      <c r="B92" s="207">
        <v>426350000</v>
      </c>
      <c r="C92" s="206">
        <v>454.35</v>
      </c>
      <c r="D92" s="215">
        <v>0</v>
      </c>
      <c r="E92" s="206">
        <v>454.35</v>
      </c>
    </row>
    <row r="93" ht="12.75" customHeight="1" spans="1:5" x14ac:dyDescent="0.25">
      <c r="A93" s="214" t="s">
        <v>638</v>
      </c>
      <c r="B93" s="207">
        <v>426440000</v>
      </c>
      <c r="C93" s="206">
        <v>790.93</v>
      </c>
      <c r="D93" s="215">
        <v>0</v>
      </c>
      <c r="E93" s="206">
        <v>790.93</v>
      </c>
    </row>
    <row r="94" ht="12.75" customHeight="1" spans="1:5" x14ac:dyDescent="0.25">
      <c r="A94" s="214" t="s">
        <v>626</v>
      </c>
      <c r="B94" s="207">
        <v>426630000</v>
      </c>
      <c r="C94" s="206">
        <v>501.28</v>
      </c>
      <c r="D94" s="215">
        <v>0</v>
      </c>
      <c r="E94" s="206">
        <v>501.28</v>
      </c>
    </row>
    <row r="95" ht="3" customHeight="1" x14ac:dyDescent="0.25"/>
    <row r="96" ht="12.75" customHeight="1" spans="1:7" x14ac:dyDescent="0.25">
      <c r="A96" s="207"/>
      <c r="B96" s="207"/>
      <c r="C96" s="220">
        <v>52893.84</v>
      </c>
      <c r="D96" s="222">
        <v>154.58</v>
      </c>
      <c r="E96" s="222">
        <v>52739.26</v>
      </c>
      <c r="F96" s="221">
        <f>+C96-'Sumas y Saldos'!F299</f>
        <v>52893.84</v>
      </c>
      <c r="G96" s="221">
        <f>+D96-'Sumas y Saldos'!G299</f>
        <v>154.58</v>
      </c>
    </row>
    <row r="97" ht="15" customHeight="1" spans="1:2" s="212" customFormat="1" x14ac:dyDescent="0.25">
      <c r="A97" s="213" t="s">
        <v>728</v>
      </c>
      <c r="B97" s="207" t="s">
        <v>804</v>
      </c>
    </row>
    <row r="98" ht="12.75" customHeight="1" spans="1:5" x14ac:dyDescent="0.25">
      <c r="A98" s="214" t="s">
        <v>525</v>
      </c>
      <c r="B98" s="207">
        <v>421030000</v>
      </c>
      <c r="C98" s="206">
        <v>100.42</v>
      </c>
      <c r="D98" s="215">
        <v>0</v>
      </c>
      <c r="E98" s="206">
        <v>100.42</v>
      </c>
    </row>
    <row r="99" ht="12.75" customHeight="1" spans="1:5" x14ac:dyDescent="0.25">
      <c r="A99" s="214" t="s">
        <v>533</v>
      </c>
      <c r="B99" s="207">
        <v>425110000</v>
      </c>
      <c r="C99" s="206">
        <v>45.22</v>
      </c>
      <c r="D99" s="215">
        <v>0</v>
      </c>
      <c r="E99" s="206">
        <v>45.22</v>
      </c>
    </row>
    <row r="100" ht="12.75" customHeight="1" spans="1:5" x14ac:dyDescent="0.25">
      <c r="A100" s="214" t="s">
        <v>555</v>
      </c>
      <c r="B100" s="207">
        <v>426110000</v>
      </c>
      <c r="C100" s="206">
        <v>604.39</v>
      </c>
      <c r="D100" s="215">
        <v>0</v>
      </c>
      <c r="E100" s="206">
        <v>604.39</v>
      </c>
    </row>
    <row r="101" ht="12.75" customHeight="1" spans="1:5" x14ac:dyDescent="0.25">
      <c r="A101" s="214" t="s">
        <v>636</v>
      </c>
      <c r="B101" s="207">
        <v>426200000</v>
      </c>
      <c r="C101" s="206">
        <v>374.67</v>
      </c>
      <c r="D101" s="215">
        <v>0</v>
      </c>
      <c r="E101" s="206">
        <v>374.67</v>
      </c>
    </row>
    <row r="102" ht="12.75" customHeight="1" spans="1:5" x14ac:dyDescent="0.25">
      <c r="A102" s="214" t="s">
        <v>632</v>
      </c>
      <c r="B102" s="207">
        <v>433070000</v>
      </c>
      <c r="C102" s="206">
        <v>130.1</v>
      </c>
      <c r="D102" s="215">
        <v>0</v>
      </c>
      <c r="E102" s="206">
        <v>130.1</v>
      </c>
    </row>
    <row r="103" ht="3" customHeight="1" x14ac:dyDescent="0.25"/>
    <row r="104" ht="12.75" customHeight="1" spans="1:7" x14ac:dyDescent="0.25">
      <c r="A104" s="207"/>
      <c r="B104" s="207"/>
      <c r="C104" s="220">
        <v>1254.8</v>
      </c>
      <c r="D104" s="222">
        <v>0</v>
      </c>
      <c r="E104" s="222">
        <v>1254.8</v>
      </c>
      <c r="F104" s="221">
        <f>+C104-'Sumas y Saldos'!AM299</f>
        <v>1254.8</v>
      </c>
      <c r="G104" s="221">
        <f>+D104-'Sumas y Saldos'!AN299</f>
      </c>
    </row>
    <row r="105" ht="15" customHeight="1" spans="1:2" s="212" customFormat="1" x14ac:dyDescent="0.25">
      <c r="A105" s="213" t="s">
        <v>805</v>
      </c>
      <c r="B105" s="207" t="s">
        <v>806</v>
      </c>
    </row>
    <row r="106" ht="12.75" customHeight="1" spans="1:5" x14ac:dyDescent="0.25">
      <c r="A106" s="214" t="s">
        <v>601</v>
      </c>
      <c r="B106" s="207">
        <v>426160000</v>
      </c>
      <c r="C106" s="206">
        <v>43.81</v>
      </c>
      <c r="D106" s="215">
        <v>0</v>
      </c>
      <c r="E106" s="206">
        <v>43.81</v>
      </c>
    </row>
    <row r="107" ht="12.75" customHeight="1" spans="1:5" x14ac:dyDescent="0.25">
      <c r="A107" s="214" t="s">
        <v>703</v>
      </c>
      <c r="B107" s="207">
        <v>426350000</v>
      </c>
      <c r="C107" s="206">
        <v>130.28</v>
      </c>
      <c r="D107" s="215">
        <v>0</v>
      </c>
      <c r="E107" s="206">
        <v>130.28</v>
      </c>
    </row>
    <row r="108" ht="3" customHeight="1" x14ac:dyDescent="0.25"/>
    <row r="109" ht="12.75" customHeight="1" spans="1:7" x14ac:dyDescent="0.25">
      <c r="A109" s="207"/>
      <c r="B109" s="207"/>
      <c r="C109" s="220">
        <v>174.09</v>
      </c>
      <c r="D109" s="222">
        <v>0</v>
      </c>
      <c r="E109" s="222">
        <v>174.09</v>
      </c>
      <c r="F109" s="221">
        <f>+C109-'Sumas y Saldos'!BN299</f>
        <v>174.09</v>
      </c>
      <c r="G109" s="221">
        <f>+D109-'Sumas y Saldos'!BO299</f>
      </c>
    </row>
    <row r="110" ht="1.5" customHeight="1" x14ac:dyDescent="0.25"/>
    <row r="111" ht="14.25" customHeight="1" spans="1:5" s="212" customFormat="1" x14ac:dyDescent="0.25">
      <c r="A111" s="223" t="s">
        <v>807</v>
      </c>
      <c r="B111" s="207" t="s">
        <v>808</v>
      </c>
      <c r="C111" s="224">
        <v>344932.39</v>
      </c>
      <c r="D111" s="225">
        <v>2245.28</v>
      </c>
      <c r="E111" s="225">
        <v>342687.11</v>
      </c>
    </row>
    <row r="112" ht="146.25" customHeight="1" x14ac:dyDescent="0.25"/>
    <row r="113" ht="15.75" customHeight="1" x14ac:dyDescent="0.25"/>
    <row r="114" ht="13.5" customHeight="1" spans="1:5" x14ac:dyDescent="0.25">
      <c r="A114" s="226">
        <v>45777</v>
      </c>
      <c r="B114" s="207"/>
      <c r="C114" s="207"/>
      <c r="D114" s="207"/>
      <c r="E114" s="208"/>
    </row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</sheetData>
  <pageMargins left="0.7" right="0.7" top="0.75" bottom="0.75" header="0.511811023622047" footer="0.511811023622047"/>
  <pageSetup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AA29"/>
  <sheetViews>
    <sheetView workbookViewId="0" zoomScale="100" zoomScaleNormal="100">
      <pane xSplit="3" ySplit="2" topLeftCell="P4" activePane="bottomRight" state="frozen"/>
      <selection pane="bottomRight" activeCell="P15" sqref="P15"/>
    </sheetView>
  </sheetViews>
  <sheetFormatPr defaultRowHeight="12.75" outlineLevelRow="0" outlineLevelCol="0" x14ac:dyDescent="0.2" defaultColWidth="9.140625" customHeight="1"/>
  <cols>
    <col min="1" max="1" width="11.42578125" style="1" customWidth="1"/>
    <col min="2" max="2" width="4.42578125" style="1" customWidth="1"/>
    <col min="3" max="3" width="40.7109375" style="1" customWidth="1"/>
    <col min="4" max="4" width="18.28515625" style="1" customWidth="1"/>
    <col min="5" max="5" width="21.140625" style="1" customWidth="1"/>
    <col min="6" max="6" width="21.42578125" style="1" customWidth="1"/>
    <col min="7" max="7" width="13.42578125" style="1" customWidth="1"/>
    <col min="8" max="8" width="14.7109375" style="1" customWidth="1"/>
    <col min="9" max="9" width="15.42578125" style="1" customWidth="1"/>
    <col min="10" max="10" width="27.85546875" style="1" customWidth="1"/>
    <col min="11" max="11" width="16.140625" style="1" customWidth="1"/>
    <col min="12" max="13" width="15.85546875" style="1" customWidth="1"/>
    <col min="14" max="14" width="16.140625" style="1" customWidth="1"/>
    <col min="15" max="22" width="16.140625" style="190" customWidth="1"/>
    <col min="23" max="23" width="13.140625" style="190" customWidth="1"/>
  </cols>
  <sheetData>
    <row r="1" ht="12.75" customHeight="1" hidden="1" x14ac:dyDescent="0.25"/>
    <row r="2" ht="18" customHeight="1" spans="1:23" x14ac:dyDescent="0.25">
      <c r="A2" s="1"/>
      <c r="B2" s="1"/>
      <c r="C2" s="227" t="s">
        <v>809</v>
      </c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</row>
    <row r="3" ht="14.25" customHeight="1" spans="1:26" x14ac:dyDescent="0.25">
      <c r="A3" s="1"/>
      <c r="B3" s="1"/>
      <c r="C3" s="228" t="s">
        <v>810</v>
      </c>
      <c r="D3" s="228"/>
      <c r="E3" s="228"/>
      <c r="F3" s="228"/>
      <c r="G3" s="228"/>
      <c r="H3" s="228"/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Z3" s="191"/>
    </row>
    <row r="4" ht="13.5" customHeight="1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90"/>
      <c r="P4" s="190"/>
      <c r="Q4" s="190"/>
      <c r="R4" s="190"/>
      <c r="S4" s="190"/>
      <c r="T4" s="190"/>
      <c r="U4" s="190"/>
      <c r="V4" s="190"/>
      <c r="W4" s="190"/>
      <c r="Z4" s="191"/>
    </row>
    <row r="5" ht="29.25" customHeight="1" spans="1:26" x14ac:dyDescent="0.25">
      <c r="A5" s="1"/>
      <c r="B5" s="1"/>
      <c r="C5" s="229" t="s">
        <v>811</v>
      </c>
      <c r="D5" s="230" t="str">
        <f>+'Gastos Acumulados'!A14</f>
        <v>Oficina General</v>
      </c>
      <c r="E5" s="231" t="str">
        <f>+'Gastos Acumulados'!A16</f>
        <v>Exploración Regional</v>
      </c>
      <c r="F5" s="231" t="str">
        <f>+'Gastos Acumulados'!A30</f>
        <v>Cerro La mina</v>
      </c>
      <c r="G5" s="231" t="str">
        <f>+'Gastos Acumulados'!A32</f>
        <v>Cerro Abanico</v>
      </c>
      <c r="H5" s="231" t="str">
        <f>+'Gastos Acumulados'!A34</f>
        <v>Los Menucos</v>
      </c>
      <c r="I5" s="232" t="str">
        <f>+'Gastos Acumulados'!A40</f>
        <v>Proyecto Marisa I</v>
      </c>
      <c r="J5" s="232" t="str">
        <f>+'Gastos Acumulados'!A42</f>
        <v>Proyecto Lonco- Vaca pelenque</v>
      </c>
      <c r="K5" s="232" t="str">
        <f>+'Gastos Acumulados'!A48</f>
        <v>Gastos Generales</v>
      </c>
      <c r="L5" s="232" t="str">
        <f>+'Gastos Acumulados'!A38</f>
        <v>Centro Esperanza</v>
      </c>
      <c r="M5" s="232" t="str">
        <f>+'Gastos Acumulados'!A52</f>
        <v>Proyecto Cristal</v>
      </c>
      <c r="N5" s="232" t="str">
        <f>+'Gastos Acumulados'!A36</f>
        <v>Cañadon del Moro</v>
      </c>
      <c r="O5" s="233" t="str">
        <f>+'Gastos Acumulados'!A56</f>
        <v>Catamarca</v>
      </c>
      <c r="P5" s="234" t="s">
        <v>776</v>
      </c>
      <c r="Q5" s="235" t="s">
        <v>777</v>
      </c>
      <c r="R5" s="235" t="s">
        <v>778</v>
      </c>
      <c r="S5" s="235" t="s">
        <v>779</v>
      </c>
      <c r="T5" s="235" t="s">
        <v>780</v>
      </c>
      <c r="U5" s="235" t="s">
        <v>812</v>
      </c>
      <c r="V5" s="235" t="s">
        <v>782</v>
      </c>
      <c r="W5" s="236" t="s">
        <v>356</v>
      </c>
      <c r="Z5" s="191"/>
    </row>
    <row r="6" ht="14.25" customHeight="1" spans="1:23" x14ac:dyDescent="0.25">
      <c r="A6" s="1"/>
      <c r="B6" s="1"/>
      <c r="C6" s="229"/>
      <c r="D6" s="237" t="s">
        <v>813</v>
      </c>
      <c r="E6" s="238" t="s">
        <v>813</v>
      </c>
      <c r="F6" s="237" t="s">
        <v>813</v>
      </c>
      <c r="G6" s="239" t="s">
        <v>813</v>
      </c>
      <c r="H6" s="240" t="s">
        <v>813</v>
      </c>
      <c r="I6" s="241" t="s">
        <v>813</v>
      </c>
      <c r="J6" s="241" t="s">
        <v>813</v>
      </c>
      <c r="K6" s="241" t="s">
        <v>813</v>
      </c>
      <c r="L6" s="241" t="s">
        <v>813</v>
      </c>
      <c r="M6" s="241" t="s">
        <v>813</v>
      </c>
      <c r="N6" s="241" t="s">
        <v>813</v>
      </c>
      <c r="O6" s="242" t="s">
        <v>813</v>
      </c>
      <c r="P6" s="242" t="s">
        <v>813</v>
      </c>
      <c r="Q6" s="242"/>
      <c r="R6" s="242"/>
      <c r="S6" s="242"/>
      <c r="T6" s="242"/>
      <c r="U6" s="242"/>
      <c r="V6" s="242"/>
      <c r="W6" s="243" t="s">
        <v>813</v>
      </c>
    </row>
    <row r="7" ht="12.75" customHeight="1" spans="1:25" x14ac:dyDescent="0.25">
      <c r="A7" s="1"/>
      <c r="B7" s="1"/>
      <c r="C7" s="244"/>
      <c r="D7" s="245"/>
      <c r="E7" s="245"/>
      <c r="F7" s="245"/>
      <c r="G7" s="245"/>
      <c r="H7" s="245"/>
      <c r="I7" s="245"/>
      <c r="J7" s="245"/>
      <c r="K7" s="245"/>
      <c r="L7" s="245"/>
      <c r="M7" s="245"/>
      <c r="N7" s="245"/>
      <c r="O7" s="246"/>
      <c r="P7" s="246"/>
      <c r="Q7" s="246"/>
      <c r="R7" s="246"/>
      <c r="S7" s="246"/>
      <c r="T7" s="246"/>
      <c r="U7" s="246"/>
      <c r="V7" s="246"/>
      <c r="W7" s="247"/>
      <c r="Y7" s="191"/>
    </row>
    <row r="8" ht="14.25" customHeight="1" spans="1:25" x14ac:dyDescent="0.25">
      <c r="A8" s="1"/>
      <c r="B8" s="1"/>
      <c r="C8" s="248" t="s">
        <v>814</v>
      </c>
      <c r="D8" s="249">
        <f>SUM('Sumas y Saldos'!E30:E93)+'Sumas y Saldos'!E8+'Sumas y Saldos'!E7+'Sumas y Saldos'!E9</f>
      </c>
      <c r="E8" s="249">
        <f>SUM('Sumas y Saldos'!H30:H100)+'Sumas y Saldos'!H8+'Sumas y Saldos'!H7+'Sumas y Saldos'!H9</f>
      </c>
      <c r="F8" s="249">
        <f>SUM('Sumas y Saldos'!Q30:Q66)+'Sumas y Saldos'!Q8+'Sumas y Saldos'!Q7+'Sumas y Saldos'!Q9</f>
      </c>
      <c r="G8" s="249">
        <f>SUM('Sumas y Saldos'!Z30:Z93)+'Sumas y Saldos'!Z8+'Sumas y Saldos'!Z7+'Sumas y Saldos'!Z9</f>
      </c>
      <c r="H8" s="250">
        <f>SUM('Sumas y Saldos'!W30:W66)+'Sumas y Saldos'!W8+'Sumas y Saldos'!W7+'Sumas y Saldos'!W9</f>
      </c>
      <c r="I8" s="251">
        <f>SUM('Sumas y Saldos'!AF30:AF66)+'Sumas y Saldos'!AF8+'Sumas y Saldos'!AF7+'Sumas y Saldos'!AF9</f>
      </c>
      <c r="J8" s="251">
        <f>SUM('Sumas y Saldos'!AI30:AI93)+'Sumas y Saldos'!AI8+'Sumas y Saldos'!AI7+'Sumas y Saldos'!AI9</f>
      </c>
      <c r="K8" s="250">
        <f>SUM('Sumas y Saldos'!AO30:AO93)+'Sumas y Saldos'!AO8+'Sumas y Saldos'!AO7+'Sumas y Saldos'!AO9</f>
      </c>
      <c r="L8" s="250">
        <f>SUM('Sumas y Saldos'!AC30:AC89)+'Sumas y Saldos'!AC8+'Sumas y Saldos'!AC7+'Sumas y Saldos'!AC9</f>
      </c>
      <c r="M8" s="251">
        <f>SUM('Sumas y Saldos'!AL30:AL66)+'Sumas y Saldos'!AL8+'Sumas y Saldos'!AL7+'Sumas y Saldos'!AL9</f>
      </c>
      <c r="N8" s="250">
        <f>SUM('Sumas y Saldos'!T30:T100)+'Sumas y Saldos'!T8+'Sumas y Saldos'!T7+'Sumas y Saldos'!T9</f>
      </c>
      <c r="O8" s="252">
        <f>SUM('Sumas y Saldos'!BP30:BP108)+'Sumas y Saldos'!BP8</f>
      </c>
      <c r="P8" s="253">
        <f>+SUM('Sumas y Saldos'!BM8:BM8,'Sumas y Saldos'!BM30:BM108)</f>
      </c>
      <c r="Q8" s="253"/>
      <c r="R8" s="253"/>
      <c r="S8" s="253"/>
      <c r="T8" s="253"/>
      <c r="U8" s="253"/>
      <c r="V8" s="253"/>
      <c r="W8" s="254">
        <f>SUM(D8:V8)</f>
        <v>29300.100000000006</v>
      </c>
      <c r="Y8" s="191"/>
    </row>
    <row r="9" ht="14.25" customHeight="1" spans="1:23" x14ac:dyDescent="0.25">
      <c r="A9" s="1"/>
      <c r="B9" s="1"/>
      <c r="C9" s="248" t="s">
        <v>815</v>
      </c>
      <c r="D9" s="249">
        <f>SUM('Sumas y Saldos'!E110:E170)+'Sumas y Saldos'!E16+'Sumas y Saldos'!E18</f>
        <v>2932.82</v>
      </c>
      <c r="E9" s="249">
        <f>SUM('Sumas y Saldos'!H110:H179)+'Sumas y Saldos'!H16+'Sumas y Saldos'!H18</f>
        <v>9292.23</v>
      </c>
      <c r="F9" s="249">
        <f>SUM('Sumas y Saldos'!Q110:Q160)+'Sumas y Saldos'!Q16+'Sumas y Saldos'!Q18</f>
      </c>
      <c r="G9" s="249">
        <f>SUM('Sumas y Saldos'!Z110:Z160)+'Sumas y Saldos'!Z16+'Sumas y Saldos'!Z18</f>
      </c>
      <c r="H9" s="250">
        <f>SUM('Sumas y Saldos'!W110:W211)+'Sumas y Saldos'!W16+'Sumas y Saldos'!W18</f>
      </c>
      <c r="I9" s="251">
        <f>SUM('Sumas y Saldos'!AF110:AF211)+'Sumas y Saldos'!AF16+'Sumas y Saldos'!AF18</f>
      </c>
      <c r="J9" s="250">
        <f>SUM('Sumas y Saldos'!AI110:AI211)+'Sumas y Saldos'!AI16+'Sumas y Saldos'!AI18</f>
      </c>
      <c r="K9" s="250">
        <f>SUM('Sumas y Saldos'!AO110:AO211)+'Sumas y Saldos'!AO16+'Sumas y Saldos'!AO18</f>
        <v>1560.7399999999998</v>
      </c>
      <c r="L9" s="250">
        <f>SUM('Sumas y Saldos'!AC110:AC211)+'Sumas y Saldos'!AC16+'Sumas y Saldos'!AC18</f>
        <v>30291.66</v>
      </c>
      <c r="M9" s="250">
        <f>SUM('Sumas y Saldos'!AL110:AL211)+'Sumas y Saldos'!AL16+'Sumas y Saldos'!AL18</f>
      </c>
      <c r="N9" s="250">
        <f>SUM('Sumas y Saldos'!T110:T211)+'Sumas y Saldos'!T16+'Sumas y Saldos'!T18</f>
        <v>21945.2</v>
      </c>
      <c r="O9" s="252">
        <f>+SUM('Sumas y Saldos'!BP110:BP203)</f>
      </c>
      <c r="P9" s="252">
        <f>'Sumas y Saldos'!BM17+SUM('Sumas y Saldos'!BM110:BM203)</f>
      </c>
      <c r="Q9" s="252"/>
      <c r="R9" s="252"/>
      <c r="S9" s="252"/>
      <c r="T9" s="252"/>
      <c r="U9" s="252"/>
      <c r="V9" s="252"/>
      <c r="W9" s="254">
        <f>SUM(D9:V9)</f>
        <v>66022.65</v>
      </c>
    </row>
    <row r="10" ht="14.25" customHeight="1" spans="1:27" x14ac:dyDescent="0.25">
      <c r="A10" s="1"/>
      <c r="B10" s="1"/>
      <c r="C10" s="248" t="s">
        <v>816</v>
      </c>
      <c r="D10" s="249">
        <f>+'Sumas y Saldos'!E255</f>
      </c>
      <c r="E10" s="249">
        <f>+SUM('Sumas y Saldos'!H255:H256)</f>
      </c>
      <c r="F10" s="249">
        <f>SUM('Sumas y Saldos'!Q255)</f>
      </c>
      <c r="G10" s="249">
        <f>+'Sumas y Saldos'!Z255</f>
      </c>
      <c r="H10" s="250">
        <f>+'Sumas y Saldos'!W255</f>
      </c>
      <c r="I10" s="251">
        <f>+'Sumas y Saldos'!AF255</f>
      </c>
      <c r="J10" s="251">
        <f>+'Sumas y Saldos'!AI255</f>
      </c>
      <c r="K10" s="250">
        <f>+'Sumas y Saldos'!AO255</f>
      </c>
      <c r="L10" s="250">
        <f>SUM('Sumas y Saldos'!AC255:AC257)</f>
      </c>
      <c r="M10" s="251">
        <f>+'Sumas y Saldos'!AL255</f>
      </c>
      <c r="N10" s="251">
        <f>SUM('Sumas y Saldos'!T255:T257)</f>
      </c>
      <c r="O10" s="253"/>
      <c r="P10" s="253">
        <f>+SUM('Sumas y Saldos'!BM255:BM258)</f>
      </c>
      <c r="Q10" s="253"/>
      <c r="R10" s="253"/>
      <c r="S10" s="253"/>
      <c r="T10" s="253"/>
      <c r="U10" s="253"/>
      <c r="V10" s="253"/>
      <c r="W10" s="254">
        <f>SUM(D10:V10)</f>
        <v>0</v>
      </c>
      <c r="Y10" s="197"/>
      <c r="Z10" s="191"/>
      <c r="AA10" s="197"/>
    </row>
    <row r="11" ht="14.25" customHeight="1" spans="1:23" x14ac:dyDescent="0.25">
      <c r="A11" s="1"/>
      <c r="B11" s="1"/>
      <c r="C11" s="248" t="s">
        <v>817</v>
      </c>
      <c r="D11" s="249"/>
      <c r="E11" s="249"/>
      <c r="F11" s="249"/>
      <c r="G11" s="249"/>
      <c r="H11" s="250"/>
      <c r="I11" s="251"/>
      <c r="J11" s="251"/>
      <c r="K11" s="250"/>
      <c r="L11" s="250"/>
      <c r="M11" s="251"/>
      <c r="N11" s="251"/>
      <c r="O11" s="253"/>
      <c r="P11" s="253"/>
      <c r="Q11" s="253"/>
      <c r="R11" s="253"/>
      <c r="S11" s="253"/>
      <c r="T11" s="253"/>
      <c r="U11" s="253"/>
      <c r="V11" s="253"/>
      <c r="W11" s="254">
        <f>SUM(D11:V11)</f>
        <v>0</v>
      </c>
    </row>
    <row r="12" ht="14.25" customHeight="1" spans="1:23" x14ac:dyDescent="0.25">
      <c r="A12" s="1"/>
      <c r="B12" s="1"/>
      <c r="C12" s="248" t="s">
        <v>818</v>
      </c>
      <c r="D12" s="249">
        <f>+'Sumas y Saldos'!E278+'Sumas y Saldos'!E264</f>
      </c>
      <c r="E12" s="255">
        <f>SUM('Sumas y Saldos'!H261:H267)</f>
      </c>
      <c r="F12" s="249"/>
      <c r="G12" s="249">
        <f>+'Sumas y Saldos'!Z264</f>
      </c>
      <c r="H12" s="250">
        <f>+'Sumas y Saldos'!U264</f>
      </c>
      <c r="I12" s="251"/>
      <c r="J12" s="251"/>
      <c r="K12" s="250"/>
      <c r="L12" s="250">
        <f>SUM('Sumas y Saldos'!AC261:AC267)</f>
      </c>
      <c r="M12" s="251"/>
      <c r="N12" s="251">
        <f>+SUM('Sumas y Saldos'!T260:T283)</f>
      </c>
      <c r="O12" s="253"/>
      <c r="P12" s="253"/>
      <c r="Q12" s="253"/>
      <c r="R12" s="253"/>
      <c r="S12" s="253"/>
      <c r="T12" s="253"/>
      <c r="U12" s="253"/>
      <c r="V12" s="253"/>
      <c r="W12" s="254">
        <f>SUM(D12:V12)</f>
        <v>0</v>
      </c>
    </row>
    <row r="13" ht="14.25" customHeight="1" spans="1:23" x14ac:dyDescent="0.25">
      <c r="A13" s="1"/>
      <c r="B13" s="1"/>
      <c r="C13" s="248" t="s">
        <v>819</v>
      </c>
      <c r="D13" s="249"/>
      <c r="E13" s="256">
        <f>+SUM('Sumas y Saldos'!H294:H295)</f>
        <v>469.85</v>
      </c>
      <c r="F13" s="249"/>
      <c r="G13" s="249"/>
      <c r="H13" s="250"/>
      <c r="I13" s="251"/>
      <c r="J13" s="251"/>
      <c r="K13" s="250"/>
      <c r="L13" s="251"/>
      <c r="M13" s="251"/>
      <c r="N13" s="251">
        <f>+'Sumas y Saldos'!R295</f>
      </c>
      <c r="O13" s="253">
        <f>+'Sumas y Saldos'!BN294</f>
      </c>
      <c r="P13" s="253">
        <f>+SUM('Sumas y Saldos'!BM294:BM295)</f>
      </c>
      <c r="Q13" s="253"/>
      <c r="R13" s="253"/>
      <c r="S13" s="253"/>
      <c r="T13" s="253"/>
      <c r="U13" s="253"/>
      <c r="V13" s="253"/>
      <c r="W13" s="254">
        <f>SUM(D13:V13)</f>
        <v>469.85</v>
      </c>
    </row>
    <row r="14" ht="14.25" customHeight="1" spans="1:23" x14ac:dyDescent="0.25">
      <c r="A14" s="1"/>
      <c r="B14" s="1"/>
      <c r="C14" s="248" t="s">
        <v>820</v>
      </c>
      <c r="D14" s="249"/>
      <c r="E14" s="256"/>
      <c r="F14" s="249"/>
      <c r="G14" s="249"/>
      <c r="H14" s="250"/>
      <c r="I14" s="251"/>
      <c r="J14" s="251"/>
      <c r="K14" s="250"/>
      <c r="L14" s="251"/>
      <c r="M14" s="251"/>
      <c r="N14" s="251"/>
      <c r="O14" s="253"/>
      <c r="P14" s="253"/>
      <c r="Q14" s="253"/>
      <c r="R14" s="253"/>
      <c r="S14" s="253"/>
      <c r="T14" s="253"/>
      <c r="U14" s="253"/>
      <c r="V14" s="253"/>
      <c r="W14" s="254">
        <f>SUM(D14:V14)</f>
        <v>0</v>
      </c>
    </row>
    <row r="15" ht="14.25" customHeight="1" spans="1:23" x14ac:dyDescent="0.25">
      <c r="A15" s="1"/>
      <c r="B15" s="1"/>
      <c r="C15" s="248" t="s">
        <v>821</v>
      </c>
      <c r="D15" s="249">
        <f>SUM('Sumas y Saldos'!E212:E234)</f>
      </c>
      <c r="E15" s="249">
        <f>SUM('Sumas y Saldos'!H212:H254)</f>
      </c>
      <c r="F15" s="249">
        <f>SUM('Sumas y Saldos'!Q211:Q221)</f>
      </c>
      <c r="G15" s="249">
        <f>SUM('Sumas y Saldos'!Z211:Z221)</f>
      </c>
      <c r="H15" s="250">
        <f>SUM('Sumas y Saldos'!W212:W239)</f>
      </c>
      <c r="I15" s="251">
        <f>SUM('Sumas y Saldos'!AF212:AF221)</f>
      </c>
      <c r="J15" s="251">
        <f>SUM('Sumas y Saldos'!AI212:AI234)</f>
      </c>
      <c r="K15" s="250">
        <f>SUM('Sumas y Saldos'!AO212:AO234)</f>
      </c>
      <c r="L15" s="250">
        <f>SUM('Sumas y Saldos'!AC212:AC254)</f>
      </c>
      <c r="M15" s="250">
        <f>SUM('Sumas y Saldos'!AL212:AL221)</f>
      </c>
      <c r="N15" s="250">
        <f>SUM('Sumas y Saldos'!T212:T234)+'Sumas y Saldos'!T235+'Sumas y Saldos'!T236</f>
      </c>
      <c r="O15" s="253">
        <f>+SUM('Sumas y Saldos'!BP212:BP254)</f>
      </c>
      <c r="P15" s="257">
        <f>+SUM('Sumas y Saldos'!BM212:BM249)</f>
      </c>
      <c r="Q15" s="257"/>
      <c r="R15" s="257"/>
      <c r="S15" s="257"/>
      <c r="T15" s="257"/>
      <c r="U15" s="257"/>
      <c r="V15" s="257"/>
      <c r="W15" s="254">
        <f>SUM(D15:V15)</f>
        <v>0</v>
      </c>
    </row>
    <row r="16" ht="14.25" customHeight="1" spans="1:23" x14ac:dyDescent="0.25">
      <c r="A16" s="1"/>
      <c r="B16" s="1"/>
      <c r="C16" s="248" t="s">
        <v>822</v>
      </c>
      <c r="D16" s="249"/>
      <c r="E16" s="256"/>
      <c r="F16" s="249"/>
      <c r="G16" s="249">
        <f>+'Sumas y Saldos'!Z23</f>
      </c>
      <c r="H16" s="250">
        <f>+'Sumas y Saldos'!W24</f>
      </c>
      <c r="I16" s="251"/>
      <c r="J16" s="251"/>
      <c r="K16" s="250"/>
      <c r="L16" s="251">
        <f>SUM('Sumas y Saldos'!AC22:AC24)</f>
      </c>
      <c r="M16" s="251"/>
      <c r="N16" s="251">
        <f>SUM('Sumas y Saldos'!T22:T29)</f>
      </c>
      <c r="O16" s="253"/>
      <c r="P16" s="253">
        <f>+SUM('Sumas y Saldos'!BM22:BM29)</f>
      </c>
      <c r="Q16" s="253"/>
      <c r="R16" s="253"/>
      <c r="S16" s="253"/>
      <c r="T16" s="253"/>
      <c r="U16" s="253"/>
      <c r="V16" s="253"/>
      <c r="W16" s="254">
        <f>SUM(D16:V16)</f>
        <v>0</v>
      </c>
    </row>
    <row r="17" ht="14.25" customHeight="1" spans="1:23" x14ac:dyDescent="0.25">
      <c r="A17" s="1"/>
      <c r="B17" s="1"/>
      <c r="C17" s="258"/>
      <c r="D17" s="259"/>
      <c r="E17" s="260"/>
      <c r="F17" s="259"/>
      <c r="G17" s="191"/>
      <c r="H17" s="191"/>
      <c r="I17" s="191"/>
      <c r="J17" s="191"/>
      <c r="K17" s="191"/>
      <c r="L17" s="191"/>
      <c r="M17" s="191"/>
      <c r="N17" s="191"/>
      <c r="O17" s="190"/>
      <c r="P17" s="190"/>
      <c r="Q17" s="190"/>
      <c r="R17" s="190"/>
      <c r="S17" s="190"/>
      <c r="T17" s="190"/>
      <c r="U17" s="190"/>
      <c r="V17" s="190"/>
      <c r="W17" s="254">
        <f>SUM(D17:V17)</f>
        <v>0</v>
      </c>
    </row>
    <row r="18" ht="14.25" customHeight="1" spans="1:23" x14ac:dyDescent="0.25">
      <c r="A18" s="1"/>
      <c r="B18" s="1"/>
      <c r="C18" s="261" t="s">
        <v>324</v>
      </c>
      <c r="D18" s="262"/>
      <c r="E18" s="263">
        <f>+SUM('Sumas y Saldos'!H284:H293)</f>
      </c>
      <c r="F18" s="262"/>
      <c r="G18" s="262"/>
      <c r="H18" s="251"/>
      <c r="I18" s="251"/>
      <c r="J18" s="251">
        <f>+'Sumas y Saldos'!AG285</f>
      </c>
      <c r="K18" s="251"/>
      <c r="L18" s="251"/>
      <c r="M18" s="251"/>
      <c r="N18" s="251"/>
      <c r="O18" s="253"/>
      <c r="P18" s="253"/>
      <c r="Q18" s="253">
        <f>+'Sumas y Saldos'!AR286</f>
      </c>
      <c r="R18" s="253">
        <f>+'Sumas y Saldos'!AS288</f>
      </c>
      <c r="S18" s="253">
        <f>+'Sumas y Saldos'!AX286</f>
      </c>
      <c r="T18" s="253">
        <f>+'Sumas y Saldos'!BA286</f>
      </c>
      <c r="U18" s="253">
        <f>+'Sumas y Saldos'!BD286</f>
      </c>
      <c r="V18" s="253">
        <f>+'Sumas y Saldos'!BG286</f>
      </c>
      <c r="W18" s="254">
        <f>SUM(D18:V18)</f>
        <v>0</v>
      </c>
    </row>
    <row r="19" ht="14.25" customHeight="1" spans="1:23" x14ac:dyDescent="0.25">
      <c r="A19" s="1"/>
      <c r="B19" s="1"/>
      <c r="C19" s="264"/>
      <c r="D19" s="265"/>
      <c r="E19" s="266"/>
      <c r="F19" s="265"/>
      <c r="G19" s="265"/>
      <c r="H19" s="265"/>
      <c r="I19" s="265"/>
      <c r="J19" s="265"/>
      <c r="K19" s="265"/>
      <c r="L19" s="265"/>
      <c r="M19" s="265"/>
      <c r="N19" s="265"/>
      <c r="O19" s="267"/>
      <c r="P19" s="267"/>
      <c r="Q19" s="267"/>
      <c r="R19" s="267"/>
      <c r="S19" s="267"/>
      <c r="T19" s="267"/>
      <c r="U19" s="267"/>
      <c r="V19" s="267"/>
      <c r="W19" s="254">
        <f>SUM(D19:V19)</f>
        <v>0</v>
      </c>
    </row>
    <row r="20" ht="14.25" customHeight="1" spans="1:23" x14ac:dyDescent="0.25">
      <c r="A20" s="1"/>
      <c r="B20" s="1"/>
      <c r="C20" s="261" t="s">
        <v>823</v>
      </c>
      <c r="D20" s="263"/>
      <c r="E20" s="263"/>
      <c r="F20" s="263"/>
      <c r="G20" s="262"/>
      <c r="H20" s="268"/>
      <c r="I20" s="268"/>
      <c r="J20" s="268"/>
      <c r="K20" s="268"/>
      <c r="L20" s="268"/>
      <c r="M20" s="268"/>
      <c r="N20" s="268"/>
      <c r="O20" s="253"/>
      <c r="P20" s="253"/>
      <c r="Q20" s="253"/>
      <c r="R20" s="253"/>
      <c r="S20" s="253"/>
      <c r="T20" s="253"/>
      <c r="U20" s="253"/>
      <c r="V20" s="253"/>
      <c r="W20" s="254">
        <f>SUM(D20:V20)</f>
        <v>0</v>
      </c>
    </row>
    <row r="21" ht="13.5" customHeight="1" spans="1:23" x14ac:dyDescent="0.25">
      <c r="A21" s="1"/>
      <c r="B21" s="1"/>
      <c r="C21" s="258"/>
      <c r="D21" s="1"/>
      <c r="E21" s="1"/>
      <c r="F21" s="1"/>
      <c r="G21" s="191"/>
      <c r="H21" s="1"/>
      <c r="I21" s="1"/>
      <c r="J21" s="1"/>
      <c r="K21" s="1"/>
      <c r="L21" s="1"/>
      <c r="M21" s="1"/>
      <c r="N21" s="1"/>
      <c r="O21" s="190"/>
      <c r="P21" s="190"/>
      <c r="Q21" s="190"/>
      <c r="R21" s="190"/>
      <c r="S21" s="190"/>
      <c r="T21" s="190"/>
      <c r="U21" s="190"/>
      <c r="V21" s="190"/>
      <c r="W21" s="269"/>
    </row>
    <row r="22" ht="15" customHeight="1" spans="1:24" x14ac:dyDescent="0.25">
      <c r="A22" s="1"/>
      <c r="B22" s="1"/>
      <c r="C22" s="270" t="s">
        <v>356</v>
      </c>
      <c r="D22" s="271">
        <f>SUM(D8:D21)</f>
        <v>30055.240000000005</v>
      </c>
      <c r="E22" s="271">
        <f>SUM(E8:E21)</f>
        <v>10615.58</v>
      </c>
      <c r="F22" s="271">
        <f>SUM(F8:F21)</f>
        <v>0</v>
      </c>
      <c r="G22" s="271">
        <f>SUM(G8:G21)</f>
        <v>0</v>
      </c>
      <c r="H22" s="271">
        <f>SUM(H8:H21)</f>
        <v>0</v>
      </c>
      <c r="I22" s="271">
        <f>SUM(I8:I21)</f>
        <v>0</v>
      </c>
      <c r="J22" s="271">
        <f>SUM(J8:J21)</f>
        <v>0</v>
      </c>
      <c r="K22" s="271">
        <f>SUM(K8:K21)</f>
        <v>1663.87</v>
      </c>
      <c r="L22" s="271">
        <f>SUM(L8:L21)</f>
        <v>30291.66</v>
      </c>
      <c r="M22" s="271">
        <f>SUM(M8:M21)</f>
        <v>0</v>
      </c>
      <c r="N22" s="271">
        <f>SUM(N8:N21)</f>
        <v>23166.25</v>
      </c>
      <c r="O22" s="272">
        <f>SUM(O8:O21)</f>
        <v>0</v>
      </c>
      <c r="P22" s="272">
        <f>SUM(P8:P21)</f>
        <v>0</v>
      </c>
      <c r="Q22" s="272">
        <f>SUM(Q8:Q21)</f>
        <v>0</v>
      </c>
      <c r="R22" s="272">
        <f>SUM(R8:R21)</f>
        <v>0</v>
      </c>
      <c r="S22" s="272">
        <f>SUM(S8:S21)</f>
        <v>0</v>
      </c>
      <c r="T22" s="272">
        <f>SUM(T8:T21)</f>
        <v>0</v>
      </c>
      <c r="U22" s="272">
        <f>SUM(U8:U21)</f>
        <v>0</v>
      </c>
      <c r="V22" s="272">
        <f>SUM(V8:V21)</f>
        <v>0</v>
      </c>
      <c r="W22" s="273">
        <f>SUM(D22:V22)</f>
        <v>95792.6</v>
      </c>
      <c r="X22" s="190"/>
    </row>
    <row r="23" ht="12.75" customHeight="1" spans="1:23" x14ac:dyDescent="0.25">
      <c r="A23" s="1"/>
      <c r="B23" s="1"/>
      <c r="C23" s="258"/>
      <c r="D23" s="191"/>
      <c r="E23" s="191"/>
      <c r="F23" s="191"/>
      <c r="G23" s="191"/>
      <c r="H23" s="191"/>
      <c r="I23" s="191"/>
      <c r="J23" s="191"/>
      <c r="K23" s="191"/>
      <c r="L23" s="191"/>
      <c r="M23" s="191"/>
      <c r="N23" s="191"/>
      <c r="O23" s="190"/>
      <c r="P23" s="190"/>
      <c r="Q23" s="190"/>
      <c r="R23" s="190"/>
      <c r="S23" s="190"/>
      <c r="T23" s="190"/>
      <c r="U23" s="190"/>
      <c r="V23" s="190"/>
      <c r="W23" s="269"/>
    </row>
    <row r="24" ht="12.75" customHeight="1" spans="1:23" x14ac:dyDescent="0.25">
      <c r="A24" s="1"/>
      <c r="B24" s="1"/>
      <c r="C24" s="261" t="s">
        <v>824</v>
      </c>
      <c r="D24" s="274"/>
      <c r="E24" s="274"/>
      <c r="F24" s="274"/>
      <c r="G24" s="274"/>
      <c r="H24" s="275"/>
      <c r="I24" s="275"/>
      <c r="J24" s="275"/>
      <c r="K24" s="275"/>
      <c r="L24" s="275"/>
      <c r="M24" s="275"/>
      <c r="N24" s="275"/>
      <c r="O24" s="253"/>
      <c r="P24" s="253"/>
      <c r="Q24" s="253"/>
      <c r="R24" s="253"/>
      <c r="S24" s="253"/>
      <c r="T24" s="253"/>
      <c r="U24" s="253"/>
      <c r="V24" s="253"/>
      <c r="W24" s="276"/>
    </row>
    <row r="25" ht="12.75" customHeight="1" spans="1:23" x14ac:dyDescent="0.25">
      <c r="A25" s="1"/>
      <c r="B25" s="1"/>
      <c r="C25" s="258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90"/>
      <c r="P25" s="190"/>
      <c r="Q25" s="190"/>
      <c r="R25" s="190"/>
      <c r="S25" s="190"/>
      <c r="T25" s="190"/>
      <c r="U25" s="190"/>
      <c r="V25" s="190"/>
      <c r="W25" s="269"/>
    </row>
    <row r="26" ht="13.5" customHeight="1" spans="1:23" x14ac:dyDescent="0.25">
      <c r="A26" s="1"/>
      <c r="B26" s="1"/>
      <c r="C26" s="277" t="s">
        <v>825</v>
      </c>
      <c r="D26" s="278"/>
      <c r="E26" s="278"/>
      <c r="F26" s="278"/>
      <c r="G26" s="278"/>
      <c r="H26" s="279"/>
      <c r="I26" s="279"/>
      <c r="J26" s="279"/>
      <c r="K26" s="279"/>
      <c r="L26" s="279"/>
      <c r="M26" s="279"/>
      <c r="N26" s="279"/>
      <c r="O26" s="280"/>
      <c r="P26" s="280"/>
      <c r="Q26" s="280"/>
      <c r="R26" s="280"/>
      <c r="S26" s="280"/>
      <c r="T26" s="280"/>
      <c r="U26" s="280"/>
      <c r="V26" s="280"/>
      <c r="W26" s="281"/>
    </row>
    <row r="28" ht="12.75" customHeight="1" spans="1:23" x14ac:dyDescent="0.25">
      <c r="A28" s="1"/>
      <c r="B28" s="1"/>
      <c r="C28" s="1"/>
      <c r="D28" s="190">
        <f>+'Dist.de gastos'!F100</f>
      </c>
      <c r="E28" s="190">
        <f>+'Dist.de gastos'!G100</f>
      </c>
      <c r="F28" s="190">
        <f>+'Dist.de gastos'!I100</f>
      </c>
      <c r="G28" s="190">
        <f>+'Dist.de gastos'!J100</f>
      </c>
      <c r="H28" s="190">
        <f>+'Dist.de gastos'!M100</f>
      </c>
      <c r="I28" s="1"/>
      <c r="J28" s="190">
        <f>+'Dist.de gastos'!O100</f>
      </c>
      <c r="K28" s="190">
        <f>+'Dist.de gastos'!P100</f>
      </c>
      <c r="L28" s="190">
        <f>+'Dist.de gastos'!K100</f>
      </c>
      <c r="M28" s="190">
        <f>+'Dist.de gastos'!Q100</f>
      </c>
      <c r="N28" s="190">
        <f>+'Dist.de gastos'!N100</f>
      </c>
      <c r="O28" s="190">
        <f>+'Dist.de gastos'!V100</f>
      </c>
      <c r="P28" s="190">
        <f>+'Dist.de gastos'!U100</f>
      </c>
      <c r="Q28" s="190"/>
      <c r="R28" s="190">
        <f>+'Dist.de gastos'!L100</f>
      </c>
      <c r="S28" s="190"/>
      <c r="T28" s="190"/>
      <c r="U28" s="190"/>
      <c r="V28" s="190"/>
      <c r="W28" s="190">
        <f>+'Gastos Acumulados'!D74</f>
        <v>95792.6</v>
      </c>
    </row>
    <row r="29" ht="12.75" customHeight="1" spans="1:23" x14ac:dyDescent="0.25">
      <c r="A29" s="1"/>
      <c r="B29" s="1"/>
      <c r="C29" s="1"/>
      <c r="D29" s="191">
        <f>+D28-D22</f>
        <v>0</v>
      </c>
      <c r="E29" s="191">
        <f>+E28-E22</f>
        <v>0</v>
      </c>
      <c r="F29" s="191">
        <f>+F28-F22</f>
        <v>0</v>
      </c>
      <c r="G29" s="191">
        <f>+G28-G22</f>
        <v>0</v>
      </c>
      <c r="H29" s="191">
        <f>+H28-H22</f>
        <v>0</v>
      </c>
      <c r="I29" s="1"/>
      <c r="J29" s="191">
        <f>+J28-J22</f>
        <v>0</v>
      </c>
      <c r="K29" s="191">
        <f>+K28-K22</f>
        <v>0</v>
      </c>
      <c r="L29" s="191">
        <f>+L28-L22</f>
        <v>0</v>
      </c>
      <c r="M29" s="191">
        <f>+M28-M22</f>
        <v>0</v>
      </c>
      <c r="N29" s="282">
        <f>+N28-N22</f>
        <v>0</v>
      </c>
      <c r="O29" s="283">
        <f>+O28-O22</f>
        <v>0</v>
      </c>
      <c r="P29" s="283">
        <f>+P28-P22</f>
        <v>0</v>
      </c>
      <c r="Q29" s="283"/>
      <c r="R29" s="283">
        <f>+R22-R28</f>
        <v>0</v>
      </c>
      <c r="S29" s="283"/>
      <c r="T29" s="283"/>
      <c r="U29" s="283"/>
      <c r="V29" s="283"/>
      <c r="W29" s="190">
        <f>+W28-W22</f>
        <v>0</v>
      </c>
    </row>
  </sheetData>
  <mergeCells count="3">
    <mergeCell ref="C2:W2"/>
    <mergeCell ref="C3:W3"/>
    <mergeCell ref="C5:C6"/>
  </mergeCells>
  <pageMargins left="0.7" right="0.7" top="0.75" bottom="0.75" header="0.511811023622047" footer="0.511811023622047"/>
  <pageSetup paperSize="9" orientation="landscape" horizontalDpi="300" verticalDpi="300" scale="100" fitToWidth="1" fitToHeight="0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Sumas y Saldos</vt:lpstr>
      <vt:lpstr>Dist.de gastos</vt:lpstr>
      <vt:lpstr>SyS</vt:lpstr>
      <vt:lpstr>Gastos Acumulados</vt:lpstr>
      <vt:lpstr>Hoja2</vt:lpstr>
      <vt:lpstr>Naturaleza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AGutierr</dc:creator>
  <dc:title/>
  <dc:subject/>
  <dc:description/>
  <dc:language>en-US</dc:language>
  <cp:lastModifiedBy>Paula Orione</cp:lastModifiedBy>
  <cp:lastPrinted>2020-03-03T15:53:35Z</cp:lastPrinted>
  <dcterms:created xsi:type="dcterms:W3CDTF">2004-08-03T18:39:10Z</dcterms:created>
  <dcterms:modified xsi:type="dcterms:W3CDTF">2026-07-02T15:00:05Z</dcterms:modified>
</cp:coreProperties>
</file>