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<sst xmlns="http://schemas.openxmlformats.org/spreadsheetml/2006/main" count="1174" uniqueCount="899">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</sst>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4" xfId="0" applyNumberFormat="1" applyFont="1" applyBorder="1" applyAlignment="1">
      <alignment horizontal="right" vertical="top"/>
    </xf>
    <xf numFmtId="165" fontId="10" fillId="0" borderId="15" xfId="0" applyNumberFormat="1" applyFont="1" applyBorder="1" applyAlignment="1">
      <alignment horizontal="right" vertical="top"/>
    </xf>
    <xf numFmtId="165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0" fontId="10" fillId="0" borderId="0" xfId="0" applyFont="1" applyAlignment="1">
      <alignment horizontal="left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7" t="s">
        <v>592</v>
      </c>
      <c r="B1" s="148" t="s">
        <v>593</v>
      </c>
      <c r="C1" s="149"/>
      <c r="D1" s="147"/>
      <c r="E1" s="150"/>
      <c r="F1" s="147"/>
      <c r="G1" s="147"/>
      <c r="H1" s="147"/>
      <c r="I1" s="147"/>
      <c r="J1" s="147"/>
      <c r="K1" s="147" t="s">
        <v>594</v>
      </c>
      <c r="L1" s="147"/>
      <c r="M1" s="147" t="s">
        <v>595</v>
      </c>
      <c r="N1" s="147"/>
      <c r="O1" s="147"/>
      <c r="P1" s="147" t="s">
        <v>596</v>
      </c>
    </row>
    <row r="2" ht="15" customHeight="1" spans="1:16" x14ac:dyDescent="0.25">
      <c r="A2" s="151" t="s">
        <v>597</v>
      </c>
      <c r="B2" s="152"/>
      <c r="C2" s="153"/>
      <c r="D2" s="151"/>
      <c r="E2" s="154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</row>
    <row r="3" ht="15" customHeight="1" spans="1:16" x14ac:dyDescent="0.25">
      <c r="A3" s="155" t="s">
        <v>598</v>
      </c>
      <c r="B3" s="156" t="s">
        <v>599</v>
      </c>
      <c r="C3" s="157"/>
      <c r="D3" s="158"/>
      <c r="E3" s="159"/>
      <c r="F3" s="158"/>
      <c r="G3" s="158"/>
      <c r="H3" s="158"/>
      <c r="I3" s="158"/>
      <c r="J3" s="158"/>
      <c r="K3" s="158">
        <v>1248.27</v>
      </c>
      <c r="L3" s="158"/>
      <c r="M3" s="158">
        <v>0</v>
      </c>
      <c r="N3" s="158"/>
      <c r="O3" s="158"/>
      <c r="P3" s="158">
        <v>1248.27</v>
      </c>
    </row>
    <row r="4" ht="15" customHeight="1" spans="1:16" x14ac:dyDescent="0.25">
      <c r="A4" s="155" t="s">
        <v>600</v>
      </c>
      <c r="B4" s="156" t="s">
        <v>601</v>
      </c>
      <c r="C4" s="157"/>
      <c r="D4" s="158"/>
      <c r="E4" s="159"/>
      <c r="F4" s="158"/>
      <c r="G4" s="158"/>
      <c r="H4" s="158"/>
      <c r="I4" s="158"/>
      <c r="J4" s="158"/>
      <c r="K4" s="158">
        <v>1911.15</v>
      </c>
      <c r="L4" s="158"/>
      <c r="M4" s="158">
        <v>0</v>
      </c>
      <c r="N4" s="158"/>
      <c r="O4" s="158"/>
      <c r="P4" s="158">
        <v>1911.15</v>
      </c>
    </row>
    <row r="5" ht="15" customHeight="1" spans="1:16" x14ac:dyDescent="0.25">
      <c r="A5" s="155" t="s">
        <v>602</v>
      </c>
      <c r="B5" s="156" t="s">
        <v>603</v>
      </c>
      <c r="C5" s="157"/>
      <c r="D5" s="158"/>
      <c r="E5" s="159"/>
      <c r="F5" s="158"/>
      <c r="G5" s="158"/>
      <c r="H5" s="158"/>
      <c r="I5" s="158"/>
      <c r="J5" s="158"/>
      <c r="K5" s="158">
        <v>554.77</v>
      </c>
      <c r="L5" s="158"/>
      <c r="M5" s="158">
        <v>0</v>
      </c>
      <c r="N5" s="158"/>
      <c r="O5" s="158"/>
      <c r="P5" s="158">
        <v>554.77</v>
      </c>
    </row>
    <row r="6" ht="15" customHeight="1" spans="1:16" x14ac:dyDescent="0.25">
      <c r="A6" s="155" t="s">
        <v>604</v>
      </c>
      <c r="B6" s="156" t="s">
        <v>605</v>
      </c>
      <c r="C6" s="157"/>
      <c r="D6" s="158"/>
      <c r="E6" s="159"/>
      <c r="F6" s="158"/>
      <c r="G6" s="158"/>
      <c r="H6" s="158"/>
      <c r="I6" s="158"/>
      <c r="J6" s="158"/>
      <c r="K6" s="158">
        <v>0</v>
      </c>
      <c r="L6" s="158"/>
      <c r="M6" s="158">
        <v>0</v>
      </c>
      <c r="N6" s="158"/>
      <c r="O6" s="158"/>
      <c r="P6" s="158">
        <v>0</v>
      </c>
    </row>
    <row r="7" ht="15" customHeight="1" spans="1:16" x14ac:dyDescent="0.25">
      <c r="A7" s="155" t="s">
        <v>606</v>
      </c>
      <c r="B7" s="156" t="s">
        <v>607</v>
      </c>
      <c r="C7" s="157"/>
      <c r="D7" s="158"/>
      <c r="E7" s="159"/>
      <c r="F7" s="158"/>
      <c r="G7" s="158"/>
      <c r="H7" s="158"/>
      <c r="I7" s="158"/>
      <c r="J7" s="158"/>
      <c r="K7" s="158">
        <v>0</v>
      </c>
      <c r="L7" s="158"/>
      <c r="M7" s="158">
        <v>0</v>
      </c>
      <c r="N7" s="158"/>
      <c r="O7" s="158"/>
      <c r="P7" s="158">
        <v>0</v>
      </c>
    </row>
    <row r="8" ht="15" customHeight="1" spans="1:16" x14ac:dyDescent="0.25">
      <c r="A8" s="155" t="s">
        <v>608</v>
      </c>
      <c r="B8" s="156" t="s">
        <v>609</v>
      </c>
      <c r="C8" s="157"/>
      <c r="D8" s="158"/>
      <c r="E8" s="158"/>
      <c r="F8" s="158"/>
      <c r="G8" s="158"/>
      <c r="H8" s="158"/>
      <c r="I8" s="158"/>
      <c r="J8" s="158"/>
      <c r="K8" s="158">
        <v>0</v>
      </c>
      <c r="L8" s="158"/>
      <c r="M8" s="158">
        <v>0</v>
      </c>
      <c r="N8" s="158"/>
      <c r="O8" s="158"/>
      <c r="P8" s="158">
        <v>0</v>
      </c>
    </row>
    <row r="9" ht="15" customHeight="1" spans="1:16" x14ac:dyDescent="0.25">
      <c r="A9" s="155" t="s">
        <v>610</v>
      </c>
      <c r="B9" s="156" t="s">
        <v>611</v>
      </c>
      <c r="C9" s="157"/>
      <c r="D9" s="158"/>
      <c r="E9" s="158"/>
      <c r="F9" s="158"/>
      <c r="G9" s="158"/>
      <c r="H9" s="158"/>
      <c r="I9" s="158"/>
      <c r="J9" s="158"/>
      <c r="K9" s="158">
        <v>348.08</v>
      </c>
      <c r="L9" s="158"/>
      <c r="M9" s="158">
        <v>0</v>
      </c>
      <c r="N9" s="158"/>
      <c r="O9" s="158"/>
      <c r="P9" s="158">
        <v>348.08</v>
      </c>
    </row>
    <row r="10" ht="15" customHeight="1" spans="1:16" x14ac:dyDescent="0.25">
      <c r="A10" s="155" t="s">
        <v>612</v>
      </c>
      <c r="B10" s="156" t="s">
        <v>613</v>
      </c>
      <c r="C10" s="157"/>
      <c r="D10" s="158"/>
      <c r="E10" s="159"/>
      <c r="F10" s="158"/>
      <c r="G10" s="158"/>
      <c r="H10" s="158"/>
      <c r="I10" s="158"/>
      <c r="J10" s="158"/>
      <c r="K10" s="158">
        <v>18000</v>
      </c>
      <c r="L10" s="158"/>
      <c r="M10" s="158">
        <v>0</v>
      </c>
      <c r="N10" s="158"/>
      <c r="O10" s="158"/>
      <c r="P10" s="158">
        <v>18000</v>
      </c>
    </row>
    <row r="11" ht="15" customHeight="1" spans="1:16" x14ac:dyDescent="0.25">
      <c r="A11" s="155" t="s">
        <v>614</v>
      </c>
      <c r="B11" s="156" t="s">
        <v>615</v>
      </c>
      <c r="C11" s="157"/>
      <c r="D11" s="158"/>
      <c r="E11" s="159"/>
      <c r="F11" s="158"/>
      <c r="G11" s="158"/>
      <c r="H11" s="158"/>
      <c r="I11" s="158"/>
      <c r="J11" s="158"/>
      <c r="K11" s="158">
        <v>179.24</v>
      </c>
      <c r="L11" s="158"/>
      <c r="M11" s="158">
        <v>0</v>
      </c>
      <c r="N11" s="158"/>
      <c r="O11" s="158"/>
      <c r="P11" s="158">
        <v>179.24</v>
      </c>
    </row>
    <row r="12" ht="15" customHeight="1" spans="1:16" x14ac:dyDescent="0.25">
      <c r="A12" s="155" t="s">
        <v>616</v>
      </c>
      <c r="B12" s="156" t="s">
        <v>617</v>
      </c>
      <c r="C12" s="160"/>
      <c r="D12" s="158"/>
      <c r="E12" s="159"/>
      <c r="F12" s="158"/>
      <c r="G12" s="158"/>
      <c r="H12" s="158"/>
      <c r="I12" s="158"/>
      <c r="J12" s="158"/>
      <c r="K12" s="158">
        <v>5.7700000000000005</v>
      </c>
      <c r="L12" s="158"/>
      <c r="M12" s="158">
        <v>0</v>
      </c>
      <c r="N12" s="158"/>
      <c r="O12" s="158"/>
      <c r="P12" s="158">
        <v>5.7700000000000005</v>
      </c>
    </row>
    <row r="13" ht="15" customHeight="1" spans="1:16" x14ac:dyDescent="0.25">
      <c r="A13" s="155" t="s">
        <v>618</v>
      </c>
      <c r="B13" s="156" t="s">
        <v>619</v>
      </c>
      <c r="C13" s="160"/>
      <c r="D13" s="158"/>
      <c r="E13" s="159"/>
      <c r="F13" s="158"/>
      <c r="G13" s="158"/>
      <c r="H13" s="158"/>
      <c r="I13" s="158"/>
      <c r="J13" s="158"/>
      <c r="K13" s="158">
        <v>3897.38</v>
      </c>
      <c r="L13" s="158"/>
      <c r="M13" s="158">
        <v>0</v>
      </c>
      <c r="N13" s="158"/>
      <c r="O13" s="158"/>
      <c r="P13" s="158">
        <v>3897.38</v>
      </c>
    </row>
    <row r="14" ht="15" customHeight="1" spans="1:16" x14ac:dyDescent="0.25">
      <c r="A14" s="155" t="s">
        <v>620</v>
      </c>
      <c r="B14" s="156" t="s">
        <v>621</v>
      </c>
      <c r="C14" s="160"/>
      <c r="D14" s="158"/>
      <c r="E14" s="159"/>
      <c r="F14" s="158"/>
      <c r="G14" s="158"/>
      <c r="H14" s="158"/>
      <c r="I14" s="158"/>
      <c r="J14" s="158"/>
      <c r="K14" s="158">
        <v>0</v>
      </c>
      <c r="L14" s="158"/>
      <c r="M14" s="158">
        <v>0</v>
      </c>
      <c r="N14" s="158"/>
      <c r="O14" s="158"/>
      <c r="P14" s="158">
        <v>0</v>
      </c>
    </row>
    <row r="15" ht="15" customHeight="1" spans="1:16" x14ac:dyDescent="0.25">
      <c r="A15" s="155" t="s">
        <v>622</v>
      </c>
      <c r="B15" s="156" t="s">
        <v>623</v>
      </c>
      <c r="C15" s="160"/>
      <c r="D15" s="158"/>
      <c r="E15" s="159"/>
      <c r="F15" s="158"/>
      <c r="G15" s="158"/>
      <c r="H15" s="158"/>
      <c r="I15" s="158"/>
      <c r="J15" s="158"/>
      <c r="K15" s="158">
        <v>959.76</v>
      </c>
      <c r="L15" s="158"/>
      <c r="M15" s="158">
        <v>0</v>
      </c>
      <c r="N15" s="158"/>
      <c r="O15" s="158"/>
      <c r="P15" s="158">
        <v>959.76</v>
      </c>
    </row>
    <row r="16" ht="15" customHeight="1" spans="1:16" x14ac:dyDescent="0.25">
      <c r="A16" s="155" t="s">
        <v>624</v>
      </c>
      <c r="B16" s="156" t="s">
        <v>625</v>
      </c>
      <c r="C16" s="160"/>
      <c r="D16" s="158"/>
      <c r="E16" s="159"/>
      <c r="F16" s="158"/>
      <c r="G16" s="158"/>
      <c r="H16" s="158"/>
      <c r="I16" s="158"/>
      <c r="J16" s="158"/>
      <c r="K16" s="158">
        <v>0</v>
      </c>
      <c r="L16" s="158"/>
      <c r="M16" s="158">
        <v>0</v>
      </c>
      <c r="N16" s="158"/>
      <c r="O16" s="158"/>
      <c r="P16" s="158">
        <v>0</v>
      </c>
    </row>
    <row r="17" ht="15" customHeight="1" spans="1:16" x14ac:dyDescent="0.25">
      <c r="A17" s="155" t="s">
        <v>626</v>
      </c>
      <c r="B17" s="156" t="s">
        <v>627</v>
      </c>
      <c r="C17" s="160"/>
      <c r="D17" s="158"/>
      <c r="E17" s="159"/>
      <c r="F17" s="158"/>
      <c r="G17" s="158"/>
      <c r="H17" s="158"/>
      <c r="I17" s="158"/>
      <c r="J17" s="158"/>
      <c r="K17" s="158">
        <v>503.25</v>
      </c>
      <c r="L17" s="158"/>
      <c r="M17" s="158">
        <v>0</v>
      </c>
      <c r="N17" s="158"/>
      <c r="O17" s="158"/>
      <c r="P17" s="158">
        <v>503.25</v>
      </c>
    </row>
    <row r="18" ht="15" customHeight="1" spans="1:16" x14ac:dyDescent="0.25">
      <c r="A18" s="155" t="s">
        <v>628</v>
      </c>
      <c r="B18" s="156" t="s">
        <v>629</v>
      </c>
      <c r="C18" s="160"/>
      <c r="D18" s="158"/>
      <c r="E18" s="159"/>
      <c r="F18" s="158"/>
      <c r="G18" s="158"/>
      <c r="H18" s="158"/>
      <c r="I18" s="158"/>
      <c r="J18" s="158"/>
      <c r="K18" s="158">
        <v>0</v>
      </c>
      <c r="L18" s="158"/>
      <c r="M18" s="158">
        <v>0</v>
      </c>
      <c r="N18" s="158"/>
      <c r="O18" s="158"/>
      <c r="P18" s="158">
        <v>0</v>
      </c>
    </row>
    <row r="19" ht="15" customHeight="1" spans="1:16" x14ac:dyDescent="0.25">
      <c r="A19" s="155" t="s">
        <v>630</v>
      </c>
      <c r="B19" s="156" t="s">
        <v>631</v>
      </c>
      <c r="C19" s="160"/>
      <c r="D19" s="158"/>
      <c r="E19" s="159"/>
      <c r="F19" s="158"/>
      <c r="G19" s="158"/>
      <c r="H19" s="158"/>
      <c r="I19" s="158"/>
      <c r="J19" s="158"/>
      <c r="K19" s="158">
        <v>35.06</v>
      </c>
      <c r="L19" s="158"/>
      <c r="M19" s="158">
        <v>0</v>
      </c>
      <c r="N19" s="158"/>
      <c r="O19" s="158"/>
      <c r="P19" s="158">
        <v>35.06</v>
      </c>
    </row>
    <row r="20" ht="15" customHeight="1" spans="1:16" x14ac:dyDescent="0.25">
      <c r="A20" s="155" t="s">
        <v>632</v>
      </c>
      <c r="B20" s="156" t="s">
        <v>633</v>
      </c>
      <c r="C20" s="160"/>
      <c r="D20" s="158"/>
      <c r="E20" s="159"/>
      <c r="F20" s="158"/>
      <c r="G20" s="158"/>
      <c r="H20" s="158"/>
      <c r="I20" s="158"/>
      <c r="J20" s="158"/>
      <c r="K20" s="158">
        <v>2394.51</v>
      </c>
      <c r="L20" s="158"/>
      <c r="M20" s="158">
        <v>0</v>
      </c>
      <c r="N20" s="158"/>
      <c r="O20" s="158"/>
      <c r="P20" s="158">
        <v>2394.51</v>
      </c>
    </row>
    <row r="21" ht="15" customHeight="1" spans="1:16" x14ac:dyDescent="0.25">
      <c r="A21" s="155" t="s">
        <v>634</v>
      </c>
      <c r="B21" s="156" t="s">
        <v>635</v>
      </c>
      <c r="C21" s="160"/>
      <c r="D21" s="158"/>
      <c r="E21" s="159"/>
      <c r="F21" s="158"/>
      <c r="G21" s="158"/>
      <c r="H21" s="158"/>
      <c r="I21" s="158"/>
      <c r="J21" s="158"/>
      <c r="K21" s="158">
        <v>0</v>
      </c>
      <c r="L21" s="158"/>
      <c r="M21" s="158">
        <v>0</v>
      </c>
      <c r="N21" s="158"/>
      <c r="O21" s="158"/>
      <c r="P21" s="158">
        <v>0</v>
      </c>
    </row>
    <row r="22" ht="15" customHeight="1" spans="1:16" x14ac:dyDescent="0.25">
      <c r="A22" s="161" t="s">
        <v>636</v>
      </c>
      <c r="B22" s="158" t="s">
        <v>637</v>
      </c>
      <c r="C22" s="158"/>
      <c r="D22" s="158"/>
      <c r="E22" s="158"/>
      <c r="F22" s="158"/>
      <c r="G22" s="158"/>
      <c r="H22" s="158"/>
      <c r="I22" s="158"/>
      <c r="J22" s="158"/>
      <c r="K22" s="158">
        <v>18</v>
      </c>
      <c r="L22" s="158"/>
      <c r="M22" s="158">
        <v>0</v>
      </c>
      <c r="N22" s="158"/>
      <c r="O22" s="158"/>
      <c r="P22" s="158">
        <v>18</v>
      </c>
    </row>
    <row r="23" ht="15" customHeight="1" spans="1:16" x14ac:dyDescent="0.25">
      <c r="A23" s="161" t="s">
        <v>638</v>
      </c>
      <c r="B23" s="158" t="s">
        <v>639</v>
      </c>
      <c r="C23" s="158"/>
      <c r="D23" s="158"/>
      <c r="E23" s="158"/>
      <c r="F23" s="158"/>
      <c r="G23" s="158"/>
      <c r="H23" s="158"/>
      <c r="I23" s="158"/>
      <c r="J23" s="158"/>
      <c r="K23" s="158">
        <v>0</v>
      </c>
      <c r="L23" s="158"/>
      <c r="M23" s="158">
        <v>0</v>
      </c>
      <c r="N23" s="158"/>
      <c r="O23" s="158"/>
      <c r="P23" s="158">
        <v>0</v>
      </c>
    </row>
    <row r="24" ht="15" customHeight="1" spans="1:16" x14ac:dyDescent="0.25">
      <c r="A24" s="158"/>
      <c r="B24" s="156"/>
      <c r="C24" s="160"/>
      <c r="D24" s="158"/>
      <c r="E24" s="159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5" customHeight="1" spans="1:16" x14ac:dyDescent="0.25">
      <c r="A25" s="151" t="s">
        <v>640</v>
      </c>
      <c r="B25" s="152"/>
      <c r="C25" s="162"/>
      <c r="D25" s="153"/>
      <c r="E25" s="154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</row>
    <row r="26" ht="15" customHeight="1" spans="1:16" x14ac:dyDescent="0.25">
      <c r="A26" s="155" t="s">
        <v>641</v>
      </c>
      <c r="B26" s="156" t="s">
        <v>642</v>
      </c>
      <c r="C26" s="157"/>
      <c r="D26" s="158"/>
      <c r="E26" s="159"/>
      <c r="F26" s="158"/>
      <c r="G26" s="158"/>
      <c r="H26" s="158"/>
      <c r="I26" s="158"/>
      <c r="J26" s="158"/>
      <c r="K26" s="158">
        <v>4.21</v>
      </c>
      <c r="L26" s="158"/>
      <c r="M26" s="158">
        <v>0</v>
      </c>
      <c r="N26" s="158"/>
      <c r="O26" s="158"/>
      <c r="P26" s="158">
        <v>4.21</v>
      </c>
    </row>
    <row r="27" ht="15" customHeight="1" spans="1:16" x14ac:dyDescent="0.25">
      <c r="A27" s="155" t="s">
        <v>643</v>
      </c>
      <c r="B27" s="156" t="s">
        <v>644</v>
      </c>
      <c r="C27" s="157"/>
      <c r="D27" s="158"/>
      <c r="E27" s="159"/>
      <c r="F27" s="158"/>
      <c r="G27" s="158"/>
      <c r="H27" s="158"/>
      <c r="I27" s="158"/>
      <c r="J27" s="158"/>
      <c r="K27" s="158">
        <v>0</v>
      </c>
      <c r="L27" s="158"/>
      <c r="M27" s="158">
        <v>0</v>
      </c>
      <c r="N27" s="158"/>
      <c r="O27" s="158"/>
      <c r="P27" s="158">
        <v>0</v>
      </c>
    </row>
    <row r="28" ht="15" customHeight="1" spans="1:16" x14ac:dyDescent="0.25">
      <c r="A28" s="155" t="s">
        <v>606</v>
      </c>
      <c r="B28" s="156" t="s">
        <v>645</v>
      </c>
      <c r="C28" s="157"/>
      <c r="D28" s="158"/>
      <c r="E28" s="159"/>
      <c r="F28" s="158"/>
      <c r="G28" s="158"/>
      <c r="H28" s="158"/>
      <c r="I28" s="158"/>
      <c r="J28" s="158"/>
      <c r="K28" s="158">
        <v>38.57</v>
      </c>
      <c r="L28" s="158"/>
      <c r="M28" s="158">
        <v>0</v>
      </c>
      <c r="N28" s="158"/>
      <c r="O28" s="158"/>
      <c r="P28" s="158">
        <v>38.57</v>
      </c>
    </row>
    <row r="29" ht="15" customHeight="1" spans="1:16" x14ac:dyDescent="0.25">
      <c r="A29" s="155" t="s">
        <v>646</v>
      </c>
      <c r="B29" s="156" t="s">
        <v>647</v>
      </c>
      <c r="C29" s="157"/>
      <c r="D29" s="158"/>
      <c r="E29" s="159"/>
      <c r="F29" s="158"/>
      <c r="G29" s="158"/>
      <c r="H29" s="158"/>
      <c r="I29" s="158"/>
      <c r="J29" s="158"/>
      <c r="K29" s="158">
        <v>0</v>
      </c>
      <c r="L29" s="158"/>
      <c r="M29" s="158">
        <v>0</v>
      </c>
      <c r="N29" s="158"/>
      <c r="O29" s="158"/>
      <c r="P29" s="158">
        <v>0</v>
      </c>
    </row>
    <row r="30" ht="15" customHeight="1" spans="1:16" x14ac:dyDescent="0.25">
      <c r="A30" s="155" t="s">
        <v>648</v>
      </c>
      <c r="B30" s="156" t="s">
        <v>649</v>
      </c>
      <c r="C30" s="160"/>
      <c r="D30" s="158"/>
      <c r="E30" s="159"/>
      <c r="F30" s="158"/>
      <c r="G30" s="158"/>
      <c r="H30" s="158"/>
      <c r="I30" s="158"/>
      <c r="J30" s="158"/>
      <c r="K30" s="158">
        <v>0</v>
      </c>
      <c r="L30" s="158"/>
      <c r="M30" s="158">
        <v>0</v>
      </c>
      <c r="N30" s="158"/>
      <c r="O30" s="158"/>
      <c r="P30" s="158">
        <v>0</v>
      </c>
    </row>
    <row r="31" ht="15" customHeight="1" spans="1:16" x14ac:dyDescent="0.25">
      <c r="A31" s="155" t="s">
        <v>610</v>
      </c>
      <c r="B31" s="156" t="s">
        <v>650</v>
      </c>
      <c r="C31" s="157"/>
      <c r="D31" s="158"/>
      <c r="E31" s="159"/>
      <c r="F31" s="158"/>
      <c r="G31" s="158"/>
      <c r="H31" s="158"/>
      <c r="I31" s="158"/>
      <c r="J31" s="158"/>
      <c r="K31" s="158">
        <v>18.19</v>
      </c>
      <c r="L31" s="158"/>
      <c r="M31" s="158">
        <v>0</v>
      </c>
      <c r="N31" s="158"/>
      <c r="O31" s="158"/>
      <c r="P31" s="158">
        <v>18.19</v>
      </c>
    </row>
    <row r="32" ht="15" customHeight="1" spans="1:16" x14ac:dyDescent="0.25">
      <c r="A32" s="155" t="s">
        <v>651</v>
      </c>
      <c r="B32" s="156" t="s">
        <v>652</v>
      </c>
      <c r="C32" s="157"/>
      <c r="D32" s="158"/>
      <c r="E32" s="159"/>
      <c r="F32" s="158"/>
      <c r="G32" s="158"/>
      <c r="H32" s="158"/>
      <c r="I32" s="158"/>
      <c r="J32" s="158"/>
      <c r="K32" s="158">
        <v>0</v>
      </c>
      <c r="L32" s="158"/>
      <c r="M32" s="158">
        <v>0</v>
      </c>
      <c r="N32" s="158"/>
      <c r="O32" s="158"/>
      <c r="P32" s="158">
        <v>0</v>
      </c>
    </row>
    <row r="33" ht="15" customHeight="1" spans="1:16" x14ac:dyDescent="0.25">
      <c r="A33" s="155" t="s">
        <v>620</v>
      </c>
      <c r="B33" s="156" t="s">
        <v>653</v>
      </c>
      <c r="C33" s="157"/>
      <c r="D33" s="158"/>
      <c r="E33" s="159"/>
      <c r="F33" s="158"/>
      <c r="G33" s="158"/>
      <c r="H33" s="158"/>
      <c r="I33" s="158"/>
      <c r="J33" s="158"/>
      <c r="K33" s="158">
        <v>164.05</v>
      </c>
      <c r="L33" s="158"/>
      <c r="M33" s="158">
        <v>0</v>
      </c>
      <c r="N33" s="158"/>
      <c r="O33" s="158"/>
      <c r="P33" s="158">
        <v>164.05</v>
      </c>
    </row>
    <row r="34" ht="15" customHeight="1" spans="1:16" x14ac:dyDescent="0.25">
      <c r="A34" s="155" t="s">
        <v>654</v>
      </c>
      <c r="B34" s="156" t="s">
        <v>655</v>
      </c>
      <c r="C34" s="160"/>
      <c r="D34" s="160"/>
      <c r="E34" s="159"/>
      <c r="F34" s="158"/>
      <c r="G34" s="158"/>
      <c r="H34" s="158"/>
      <c r="I34" s="158"/>
      <c r="J34" s="158"/>
      <c r="K34" s="158">
        <v>0</v>
      </c>
      <c r="L34" s="158"/>
      <c r="M34" s="158">
        <v>0</v>
      </c>
      <c r="N34" s="158"/>
      <c r="O34" s="158"/>
      <c r="P34" s="158">
        <v>0</v>
      </c>
    </row>
    <row r="35" ht="15" customHeight="1" spans="1:16" x14ac:dyDescent="0.25">
      <c r="A35" s="155" t="s">
        <v>656</v>
      </c>
      <c r="B35" s="156" t="s">
        <v>657</v>
      </c>
      <c r="C35" s="160"/>
      <c r="D35" s="160"/>
      <c r="E35" s="159"/>
      <c r="F35" s="158"/>
      <c r="G35" s="158"/>
      <c r="H35" s="158"/>
      <c r="I35" s="158"/>
      <c r="J35" s="158"/>
      <c r="K35" s="158">
        <v>141.81</v>
      </c>
      <c r="L35" s="158"/>
      <c r="M35" s="158">
        <v>0</v>
      </c>
      <c r="N35" s="158"/>
      <c r="O35" s="158"/>
      <c r="P35" s="158">
        <v>141.81</v>
      </c>
    </row>
    <row r="36" ht="15" customHeight="1" spans="1:16" x14ac:dyDescent="0.25">
      <c r="A36" s="155" t="s">
        <v>658</v>
      </c>
      <c r="B36" s="156" t="s">
        <v>659</v>
      </c>
      <c r="C36" s="160"/>
      <c r="D36" s="160"/>
      <c r="E36" s="159"/>
      <c r="F36" s="158"/>
      <c r="G36" s="158"/>
      <c r="H36" s="158"/>
      <c r="I36" s="158"/>
      <c r="J36" s="158"/>
      <c r="K36" s="158">
        <v>0</v>
      </c>
      <c r="L36" s="158"/>
      <c r="M36" s="158">
        <v>0</v>
      </c>
      <c r="N36" s="158"/>
      <c r="O36" s="158"/>
      <c r="P36" s="158">
        <v>0</v>
      </c>
    </row>
    <row r="37" ht="15" customHeight="1" spans="1:16" x14ac:dyDescent="0.25">
      <c r="A37" s="155" t="s">
        <v>660</v>
      </c>
      <c r="B37" s="156" t="s">
        <v>661</v>
      </c>
      <c r="C37" s="157"/>
      <c r="D37" s="160"/>
      <c r="E37" s="159"/>
      <c r="F37" s="158"/>
      <c r="G37" s="158"/>
      <c r="H37" s="158"/>
      <c r="I37" s="158"/>
      <c r="J37" s="158"/>
      <c r="K37" s="158">
        <v>0</v>
      </c>
      <c r="L37" s="158"/>
      <c r="M37" s="158">
        <v>0</v>
      </c>
      <c r="N37" s="158"/>
      <c r="O37" s="158"/>
      <c r="P37" s="158">
        <v>0</v>
      </c>
    </row>
    <row r="38" ht="15" customHeight="1" spans="1:16" x14ac:dyDescent="0.25">
      <c r="A38" s="155" t="s">
        <v>624</v>
      </c>
      <c r="B38" s="156" t="s">
        <v>662</v>
      </c>
      <c r="C38" s="157"/>
      <c r="D38" s="158"/>
      <c r="E38" s="159"/>
      <c r="F38" s="158"/>
      <c r="G38" s="158"/>
      <c r="H38" s="158"/>
      <c r="I38" s="158"/>
      <c r="J38" s="158"/>
      <c r="K38" s="158">
        <v>0</v>
      </c>
      <c r="L38" s="158"/>
      <c r="M38" s="158">
        <v>0</v>
      </c>
      <c r="N38" s="158"/>
      <c r="O38" s="158"/>
      <c r="P38" s="158">
        <v>0</v>
      </c>
    </row>
    <row r="39" ht="15" customHeight="1" spans="1:16" x14ac:dyDescent="0.25">
      <c r="A39" s="155" t="s">
        <v>663</v>
      </c>
      <c r="B39" s="156" t="s">
        <v>664</v>
      </c>
      <c r="C39" s="157"/>
      <c r="D39" s="160"/>
      <c r="E39" s="159"/>
      <c r="F39" s="158"/>
      <c r="G39" s="158"/>
      <c r="H39" s="158"/>
      <c r="I39" s="158"/>
      <c r="J39" s="158"/>
      <c r="K39" s="158">
        <v>0</v>
      </c>
      <c r="L39" s="158"/>
      <c r="M39" s="158">
        <v>0</v>
      </c>
      <c r="N39" s="158"/>
      <c r="O39" s="158"/>
      <c r="P39" s="158">
        <v>0</v>
      </c>
    </row>
    <row r="40" ht="15" customHeight="1" spans="1:16" x14ac:dyDescent="0.25">
      <c r="A40" s="155" t="s">
        <v>665</v>
      </c>
      <c r="B40" s="156" t="s">
        <v>666</v>
      </c>
      <c r="C40" s="157"/>
      <c r="D40" s="158"/>
      <c r="E40" s="159"/>
      <c r="F40" s="158"/>
      <c r="G40" s="158"/>
      <c r="H40" s="158"/>
      <c r="I40" s="158"/>
      <c r="J40" s="158"/>
      <c r="K40" s="158">
        <v>0</v>
      </c>
      <c r="L40" s="158"/>
      <c r="M40" s="158">
        <v>0</v>
      </c>
      <c r="N40" s="158"/>
      <c r="O40" s="158"/>
      <c r="P40" s="158">
        <v>0</v>
      </c>
    </row>
    <row r="41" ht="15" customHeight="1" spans="1:16" x14ac:dyDescent="0.25">
      <c r="A41" s="155" t="s">
        <v>628</v>
      </c>
      <c r="B41" s="156" t="s">
        <v>667</v>
      </c>
      <c r="C41" s="157"/>
      <c r="D41" s="158"/>
      <c r="E41" s="159"/>
      <c r="F41" s="158"/>
      <c r="G41" s="158"/>
      <c r="H41" s="158"/>
      <c r="I41" s="158"/>
      <c r="J41" s="158"/>
      <c r="K41" s="158">
        <v>1033.09</v>
      </c>
      <c r="L41" s="158"/>
      <c r="M41" s="158">
        <v>0</v>
      </c>
      <c r="N41" s="158"/>
      <c r="O41" s="158"/>
      <c r="P41" s="158">
        <v>1033.09</v>
      </c>
    </row>
    <row r="42" ht="15" customHeight="1" spans="1:16" x14ac:dyDescent="0.25">
      <c r="A42" s="155" t="s">
        <v>668</v>
      </c>
      <c r="B42" s="156" t="s">
        <v>669</v>
      </c>
      <c r="C42" s="157"/>
      <c r="D42" s="158"/>
      <c r="E42" s="159"/>
      <c r="F42" s="158"/>
      <c r="G42" s="158"/>
      <c r="H42" s="158"/>
      <c r="I42" s="158"/>
      <c r="J42" s="158"/>
      <c r="K42" s="158">
        <v>55.85</v>
      </c>
      <c r="L42" s="158"/>
      <c r="M42" s="158">
        <v>0</v>
      </c>
      <c r="N42" s="158"/>
      <c r="O42" s="158"/>
      <c r="P42" s="158">
        <v>55.85</v>
      </c>
    </row>
    <row r="43" ht="15" customHeight="1" spans="1:16" x14ac:dyDescent="0.25">
      <c r="A43" s="155" t="s">
        <v>670</v>
      </c>
      <c r="B43" s="156" t="s">
        <v>671</v>
      </c>
      <c r="C43" s="157"/>
      <c r="D43" s="158"/>
      <c r="E43" s="159"/>
      <c r="F43" s="158"/>
      <c r="G43" s="158"/>
      <c r="H43" s="158"/>
      <c r="I43" s="158"/>
      <c r="J43" s="158"/>
      <c r="K43" s="158">
        <v>541.29</v>
      </c>
      <c r="L43" s="158"/>
      <c r="M43" s="158">
        <v>0</v>
      </c>
      <c r="N43" s="158"/>
      <c r="O43" s="158"/>
      <c r="P43" s="158">
        <v>541.29</v>
      </c>
    </row>
    <row r="44" ht="15" customHeight="1" spans="1:16" x14ac:dyDescent="0.25">
      <c r="A44" s="155" t="s">
        <v>672</v>
      </c>
      <c r="B44" s="156" t="s">
        <v>673</v>
      </c>
      <c r="C44" s="157"/>
      <c r="D44" s="160"/>
      <c r="E44" s="159"/>
      <c r="F44" s="158"/>
      <c r="G44" s="158"/>
      <c r="H44" s="158"/>
      <c r="I44" s="158"/>
      <c r="J44" s="158"/>
      <c r="K44" s="158">
        <v>0</v>
      </c>
      <c r="L44" s="158"/>
      <c r="M44" s="158">
        <v>0</v>
      </c>
      <c r="N44" s="158"/>
      <c r="O44" s="158"/>
      <c r="P44" s="158">
        <v>0</v>
      </c>
    </row>
    <row r="45" ht="15" customHeight="1" spans="1:16" x14ac:dyDescent="0.25">
      <c r="A45" s="155" t="s">
        <v>674</v>
      </c>
      <c r="B45" s="156" t="s">
        <v>675</v>
      </c>
      <c r="C45" s="157"/>
      <c r="D45" s="160"/>
      <c r="E45" s="158"/>
      <c r="F45" s="158"/>
      <c r="G45" s="158"/>
      <c r="H45" s="158"/>
      <c r="I45" s="158"/>
      <c r="J45" s="158"/>
      <c r="K45" s="158">
        <v>0</v>
      </c>
      <c r="L45" s="158"/>
      <c r="M45" s="158">
        <v>0</v>
      </c>
      <c r="N45" s="158"/>
      <c r="O45" s="158"/>
      <c r="P45" s="158">
        <v>0</v>
      </c>
    </row>
    <row r="46" ht="15" customHeight="1" spans="1:16" x14ac:dyDescent="0.25">
      <c r="A46" s="155" t="s">
        <v>676</v>
      </c>
      <c r="B46" s="156" t="s">
        <v>677</v>
      </c>
      <c r="C46" s="157"/>
      <c r="D46" s="160"/>
      <c r="E46" s="159"/>
      <c r="F46" s="158"/>
      <c r="G46" s="158"/>
      <c r="H46" s="158"/>
      <c r="I46" s="158"/>
      <c r="J46" s="158"/>
      <c r="K46" s="158">
        <v>0</v>
      </c>
      <c r="L46" s="158"/>
      <c r="M46" s="158">
        <v>0</v>
      </c>
      <c r="N46" s="158"/>
      <c r="O46" s="158"/>
      <c r="P46" s="158">
        <v>0</v>
      </c>
    </row>
    <row r="47" ht="15" customHeight="1" spans="1:16" x14ac:dyDescent="0.25">
      <c r="A47" s="155" t="s">
        <v>678</v>
      </c>
      <c r="B47" s="156" t="s">
        <v>679</v>
      </c>
      <c r="C47" s="157"/>
      <c r="D47" s="160"/>
      <c r="E47" s="159"/>
      <c r="F47" s="158"/>
      <c r="G47" s="158"/>
      <c r="H47" s="158"/>
      <c r="I47" s="158"/>
      <c r="J47" s="158"/>
      <c r="K47" s="158">
        <v>82.33</v>
      </c>
      <c r="L47" s="158"/>
      <c r="M47" s="158">
        <v>0</v>
      </c>
      <c r="N47" s="158"/>
      <c r="O47" s="158"/>
      <c r="P47" s="158">
        <v>82.33</v>
      </c>
    </row>
    <row r="48" ht="15" customHeight="1" spans="1:16" x14ac:dyDescent="0.25">
      <c r="A48" s="155" t="s">
        <v>680</v>
      </c>
      <c r="B48" s="156" t="s">
        <v>681</v>
      </c>
      <c r="C48" s="157"/>
      <c r="D48" s="160"/>
      <c r="E48" s="159"/>
      <c r="F48" s="158"/>
      <c r="G48" s="158"/>
      <c r="H48" s="158"/>
      <c r="I48" s="158"/>
      <c r="J48" s="158"/>
      <c r="K48" s="158">
        <v>2500</v>
      </c>
      <c r="L48" s="158"/>
      <c r="M48" s="158">
        <v>0</v>
      </c>
      <c r="N48" s="158"/>
      <c r="O48" s="158"/>
      <c r="P48" s="158">
        <v>2500</v>
      </c>
    </row>
    <row r="49" ht="15" customHeight="1" spans="1:16" x14ac:dyDescent="0.25">
      <c r="A49" s="155" t="s">
        <v>630</v>
      </c>
      <c r="B49" s="156" t="s">
        <v>682</v>
      </c>
      <c r="C49" s="157"/>
      <c r="D49" s="158"/>
      <c r="E49" s="159"/>
      <c r="F49" s="158"/>
      <c r="G49" s="158"/>
      <c r="H49" s="158"/>
      <c r="I49" s="158"/>
      <c r="J49" s="158"/>
      <c r="K49" s="158">
        <v>49.08</v>
      </c>
      <c r="L49" s="158"/>
      <c r="M49" s="158">
        <v>0</v>
      </c>
      <c r="N49" s="158"/>
      <c r="O49" s="158"/>
      <c r="P49" s="158">
        <v>49.08</v>
      </c>
    </row>
    <row r="50" ht="15" customHeight="1" spans="1:16" x14ac:dyDescent="0.25">
      <c r="A50" s="155" t="s">
        <v>683</v>
      </c>
      <c r="B50" s="156" t="s">
        <v>684</v>
      </c>
      <c r="C50" s="160"/>
      <c r="D50" s="158"/>
      <c r="E50" s="159"/>
      <c r="F50" s="158"/>
      <c r="G50" s="158"/>
      <c r="H50" s="158"/>
      <c r="I50" s="158"/>
      <c r="J50" s="158"/>
      <c r="K50" s="158">
        <v>4779.29</v>
      </c>
      <c r="L50" s="158"/>
      <c r="M50" s="158">
        <v>0</v>
      </c>
      <c r="N50" s="158"/>
      <c r="O50" s="158"/>
      <c r="P50" s="158">
        <v>4779.29</v>
      </c>
    </row>
    <row r="51" ht="15" customHeight="1" spans="1:16" x14ac:dyDescent="0.25">
      <c r="A51" s="155" t="s">
        <v>685</v>
      </c>
      <c r="B51" s="156" t="s">
        <v>686</v>
      </c>
      <c r="C51" s="160"/>
      <c r="D51" s="158"/>
      <c r="E51" s="159"/>
      <c r="F51" s="158"/>
      <c r="G51" s="158"/>
      <c r="H51" s="158"/>
      <c r="I51" s="158"/>
      <c r="J51" s="158"/>
      <c r="K51" s="158">
        <v>0</v>
      </c>
      <c r="L51" s="158"/>
      <c r="M51" s="158">
        <v>0</v>
      </c>
      <c r="N51" s="158"/>
      <c r="O51" s="158"/>
      <c r="P51" s="158">
        <v>0</v>
      </c>
    </row>
    <row r="52" ht="15" customHeight="1" spans="1:16" x14ac:dyDescent="0.25">
      <c r="A52" s="155" t="s">
        <v>687</v>
      </c>
      <c r="B52" s="156" t="s">
        <v>688</v>
      </c>
      <c r="C52" s="160"/>
      <c r="D52" s="158"/>
      <c r="E52" s="159"/>
      <c r="F52" s="158"/>
      <c r="G52" s="158"/>
      <c r="H52" s="158"/>
      <c r="I52" s="158"/>
      <c r="J52" s="158"/>
      <c r="K52" s="158">
        <v>0</v>
      </c>
      <c r="L52" s="158"/>
      <c r="M52" s="158">
        <v>0</v>
      </c>
      <c r="N52" s="158"/>
      <c r="O52" s="158"/>
      <c r="P52" s="158">
        <v>0</v>
      </c>
    </row>
    <row r="53" ht="15" customHeight="1" spans="1:16" x14ac:dyDescent="0.25">
      <c r="A53" s="155" t="s">
        <v>689</v>
      </c>
      <c r="B53" s="156" t="s">
        <v>690</v>
      </c>
      <c r="C53" s="160"/>
      <c r="D53" s="158"/>
      <c r="E53" s="159"/>
      <c r="F53" s="158"/>
      <c r="G53" s="158"/>
      <c r="H53" s="158"/>
      <c r="I53" s="158"/>
      <c r="J53" s="158"/>
      <c r="K53" s="158">
        <v>0</v>
      </c>
      <c r="L53" s="158"/>
      <c r="M53" s="158">
        <v>0</v>
      </c>
      <c r="N53" s="158"/>
      <c r="O53" s="158"/>
      <c r="P53" s="158">
        <v>0</v>
      </c>
    </row>
    <row r="54" ht="15" customHeight="1" spans="1:16" x14ac:dyDescent="0.25">
      <c r="A54" s="155" t="s">
        <v>691</v>
      </c>
      <c r="B54" s="156" t="s">
        <v>692</v>
      </c>
      <c r="C54" s="160"/>
      <c r="D54" s="158"/>
      <c r="E54" s="159"/>
      <c r="F54" s="158"/>
      <c r="G54" s="158"/>
      <c r="H54" s="158"/>
      <c r="I54" s="158"/>
      <c r="J54" s="158"/>
      <c r="K54" s="158">
        <v>0</v>
      </c>
      <c r="L54" s="158"/>
      <c r="M54" s="158">
        <v>0</v>
      </c>
      <c r="N54" s="158"/>
      <c r="O54" s="158"/>
      <c r="P54" s="158">
        <v>0</v>
      </c>
    </row>
    <row r="55" ht="15" customHeight="1" spans="1:16" x14ac:dyDescent="0.25">
      <c r="A55" s="155" t="s">
        <v>693</v>
      </c>
      <c r="B55" s="156" t="s">
        <v>694</v>
      </c>
      <c r="C55" s="160"/>
      <c r="D55" s="158"/>
      <c r="E55" s="159"/>
      <c r="F55" s="158"/>
      <c r="G55" s="158"/>
      <c r="H55" s="158"/>
      <c r="I55" s="158"/>
      <c r="J55" s="158"/>
      <c r="K55" s="158">
        <v>0</v>
      </c>
      <c r="L55" s="158"/>
      <c r="M55" s="158">
        <v>0</v>
      </c>
      <c r="N55" s="158"/>
      <c r="O55" s="158"/>
      <c r="P55" s="158">
        <v>0</v>
      </c>
    </row>
    <row r="56" ht="15" customHeight="1" spans="1:16" x14ac:dyDescent="0.25">
      <c r="A56" s="155" t="s">
        <v>695</v>
      </c>
      <c r="B56" s="156" t="s">
        <v>696</v>
      </c>
      <c r="C56" s="160"/>
      <c r="D56" s="158"/>
      <c r="E56" s="159"/>
      <c r="F56" s="158"/>
      <c r="G56" s="158"/>
      <c r="H56" s="158"/>
      <c r="I56" s="158"/>
      <c r="J56" s="158"/>
      <c r="K56" s="158">
        <v>0</v>
      </c>
      <c r="L56" s="158"/>
      <c r="M56" s="158">
        <v>0</v>
      </c>
      <c r="N56" s="158"/>
      <c r="O56" s="158"/>
      <c r="P56" s="158">
        <v>0</v>
      </c>
    </row>
    <row r="57" ht="15" customHeight="1" spans="1:16" x14ac:dyDescent="0.25">
      <c r="A57" s="155" t="s">
        <v>697</v>
      </c>
      <c r="B57" s="156" t="s">
        <v>698</v>
      </c>
      <c r="C57" s="160"/>
      <c r="D57" s="158"/>
      <c r="E57" s="159"/>
      <c r="F57" s="158"/>
      <c r="G57" s="158"/>
      <c r="H57" s="158"/>
      <c r="I57" s="158"/>
      <c r="J57" s="158"/>
      <c r="K57" s="158">
        <v>0</v>
      </c>
      <c r="L57" s="158"/>
      <c r="M57" s="158">
        <v>0</v>
      </c>
      <c r="N57" s="158"/>
      <c r="O57" s="158"/>
      <c r="P57" s="158">
        <v>0</v>
      </c>
    </row>
    <row r="58" ht="15" customHeight="1" spans="1:16" x14ac:dyDescent="0.25">
      <c r="A58" s="155" t="s">
        <v>699</v>
      </c>
      <c r="B58" s="156" t="s">
        <v>700</v>
      </c>
      <c r="C58" s="160"/>
      <c r="D58" s="158"/>
      <c r="E58" s="159"/>
      <c r="F58" s="158"/>
      <c r="G58" s="158"/>
      <c r="H58" s="158"/>
      <c r="I58" s="158"/>
      <c r="J58" s="158"/>
      <c r="K58" s="158">
        <v>469.85</v>
      </c>
      <c r="L58" s="158"/>
      <c r="M58" s="158">
        <v>0</v>
      </c>
      <c r="N58" s="158"/>
      <c r="O58" s="158"/>
      <c r="P58" s="158">
        <v>469.85</v>
      </c>
    </row>
    <row r="59" ht="15" customHeight="1" spans="1:16" x14ac:dyDescent="0.25">
      <c r="A59" s="155" t="s">
        <v>701</v>
      </c>
      <c r="B59" s="156" t="s">
        <v>702</v>
      </c>
      <c r="C59" s="160"/>
      <c r="D59" s="158"/>
      <c r="E59" s="159"/>
      <c r="F59" s="158"/>
      <c r="G59" s="158"/>
      <c r="H59" s="158"/>
      <c r="I59" s="158"/>
      <c r="J59" s="158"/>
      <c r="K59" s="158">
        <v>0</v>
      </c>
      <c r="L59" s="158"/>
      <c r="M59" s="158">
        <v>0</v>
      </c>
      <c r="N59" s="158"/>
      <c r="O59" s="158"/>
      <c r="P59" s="158">
        <v>0</v>
      </c>
    </row>
    <row r="60" ht="15" customHeight="1" spans="1:16" x14ac:dyDescent="0.25">
      <c r="A60" s="155" t="s">
        <v>703</v>
      </c>
      <c r="B60" s="156" t="s">
        <v>704</v>
      </c>
      <c r="C60" s="160"/>
      <c r="D60" s="158"/>
      <c r="E60" s="159"/>
      <c r="F60" s="158"/>
      <c r="G60" s="158"/>
      <c r="H60" s="158"/>
      <c r="I60" s="158"/>
      <c r="J60" s="158"/>
      <c r="K60" s="158">
        <v>0</v>
      </c>
      <c r="L60" s="158"/>
      <c r="M60" s="158">
        <v>0</v>
      </c>
      <c r="N60" s="158"/>
      <c r="O60" s="158"/>
      <c r="P60" s="158">
        <v>0</v>
      </c>
    </row>
    <row r="61" ht="15" customHeight="1" spans="1:16" x14ac:dyDescent="0.25">
      <c r="A61" s="155" t="s">
        <v>705</v>
      </c>
      <c r="B61" s="156" t="s">
        <v>706</v>
      </c>
      <c r="C61" s="160"/>
      <c r="D61" s="158"/>
      <c r="E61" s="159"/>
      <c r="F61" s="158"/>
      <c r="G61" s="158"/>
      <c r="H61" s="158"/>
      <c r="I61" s="158"/>
      <c r="J61" s="158"/>
      <c r="K61" s="158">
        <v>0</v>
      </c>
      <c r="L61" s="158"/>
      <c r="M61" s="158">
        <v>0</v>
      </c>
      <c r="N61" s="158"/>
      <c r="O61" s="158"/>
      <c r="P61" s="158">
        <v>0</v>
      </c>
    </row>
    <row r="62" ht="15" customHeight="1" spans="1:16" x14ac:dyDescent="0.25">
      <c r="A62" s="155" t="s">
        <v>707</v>
      </c>
      <c r="B62" s="158" t="s">
        <v>708</v>
      </c>
      <c r="C62" s="158"/>
      <c r="D62" s="158"/>
      <c r="E62" s="158"/>
      <c r="F62" s="158"/>
      <c r="G62" s="158"/>
      <c r="H62" s="158"/>
      <c r="I62" s="158"/>
      <c r="J62" s="158"/>
      <c r="K62" s="158">
        <v>0</v>
      </c>
      <c r="L62" s="158"/>
      <c r="M62" s="158">
        <v>0</v>
      </c>
      <c r="N62" s="158"/>
      <c r="O62" s="158"/>
      <c r="P62" s="158">
        <v>0</v>
      </c>
    </row>
    <row r="63" ht="15" customHeight="1" spans="1:16" x14ac:dyDescent="0.25">
      <c r="A63" s="155" t="s">
        <v>709</v>
      </c>
      <c r="B63" s="158" t="s">
        <v>710</v>
      </c>
      <c r="C63" s="158"/>
      <c r="D63" s="158"/>
      <c r="E63" s="158"/>
      <c r="F63" s="158"/>
      <c r="G63" s="158"/>
      <c r="H63" s="158"/>
      <c r="I63" s="158"/>
      <c r="J63" s="158"/>
      <c r="K63" s="158">
        <v>147.22</v>
      </c>
      <c r="L63" s="158"/>
      <c r="M63" s="158">
        <v>0</v>
      </c>
      <c r="N63" s="158"/>
      <c r="O63" s="158"/>
      <c r="P63" s="158">
        <v>147.22</v>
      </c>
    </row>
    <row r="64" ht="15" customHeight="1" spans="1:16" x14ac:dyDescent="0.25">
      <c r="A64" s="155" t="s">
        <v>711</v>
      </c>
      <c r="B64" s="158" t="s">
        <v>712</v>
      </c>
      <c r="C64" s="158"/>
      <c r="D64" s="158"/>
      <c r="E64" s="158"/>
      <c r="F64" s="158"/>
      <c r="G64" s="158"/>
      <c r="H64" s="158"/>
      <c r="I64" s="158"/>
      <c r="J64" s="158"/>
      <c r="K64" s="158">
        <v>0</v>
      </c>
      <c r="L64" s="158"/>
      <c r="M64" s="158">
        <v>0</v>
      </c>
      <c r="N64" s="158"/>
      <c r="O64" s="158"/>
      <c r="P64" s="158">
        <v>0</v>
      </c>
    </row>
    <row r="65" ht="15" customHeight="1" spans="1:16" x14ac:dyDescent="0.25">
      <c r="A65" s="155" t="s">
        <v>713</v>
      </c>
      <c r="B65" s="158" t="s">
        <v>714</v>
      </c>
      <c r="C65" s="158"/>
      <c r="D65" s="158"/>
      <c r="E65" s="158"/>
      <c r="F65" s="158"/>
      <c r="G65" s="158"/>
      <c r="H65" s="158"/>
      <c r="I65" s="158"/>
      <c r="J65" s="158"/>
      <c r="K65" s="158">
        <v>0</v>
      </c>
      <c r="L65" s="158"/>
      <c r="M65" s="158">
        <v>0</v>
      </c>
      <c r="N65" s="158"/>
      <c r="O65" s="158"/>
      <c r="P65" s="158">
        <v>0</v>
      </c>
    </row>
    <row r="66" ht="15" customHeight="1" spans="1:16" x14ac:dyDescent="0.25">
      <c r="A66" s="155" t="s">
        <v>715</v>
      </c>
      <c r="B66" s="158" t="s">
        <v>716</v>
      </c>
      <c r="C66" s="158"/>
      <c r="D66" s="158"/>
      <c r="E66" s="158"/>
      <c r="F66" s="158"/>
      <c r="G66" s="158"/>
      <c r="H66" s="158"/>
      <c r="I66" s="158"/>
      <c r="J66" s="158"/>
      <c r="K66" s="158">
        <v>0</v>
      </c>
      <c r="L66" s="158"/>
      <c r="M66" s="158">
        <v>0</v>
      </c>
      <c r="N66" s="158"/>
      <c r="O66" s="158"/>
      <c r="P66" s="158">
        <v>0</v>
      </c>
    </row>
    <row r="67" ht="15" customHeight="1" spans="1:16" x14ac:dyDescent="0.25">
      <c r="A67" s="161" t="s">
        <v>614</v>
      </c>
      <c r="B67" s="158" t="s">
        <v>717</v>
      </c>
      <c r="C67" s="158"/>
      <c r="D67" s="158"/>
      <c r="E67" s="158"/>
      <c r="F67" s="158"/>
      <c r="G67" s="158"/>
      <c r="H67" s="158"/>
      <c r="I67" s="158"/>
      <c r="J67" s="158"/>
      <c r="K67" s="158">
        <v>0</v>
      </c>
      <c r="L67" s="158"/>
      <c r="M67" s="158">
        <v>0</v>
      </c>
      <c r="N67" s="158"/>
      <c r="O67" s="158"/>
      <c r="P67" s="158">
        <v>0</v>
      </c>
    </row>
    <row r="68" ht="15" customHeight="1" spans="1:16" x14ac:dyDescent="0.25">
      <c r="A68" s="161" t="s">
        <v>616</v>
      </c>
      <c r="B68" s="158" t="s">
        <v>718</v>
      </c>
      <c r="C68" s="158"/>
      <c r="D68" s="158"/>
      <c r="E68" s="158"/>
      <c r="F68" s="158"/>
      <c r="G68" s="158"/>
      <c r="H68" s="158"/>
      <c r="I68" s="158"/>
      <c r="J68" s="158"/>
      <c r="K68" s="158">
        <v>0</v>
      </c>
      <c r="L68" s="158"/>
      <c r="M68" s="158">
        <v>0</v>
      </c>
      <c r="N68" s="158"/>
      <c r="O68" s="158"/>
      <c r="P68" s="158">
        <v>0</v>
      </c>
    </row>
    <row r="69" ht="15" customHeight="1" spans="1:16" x14ac:dyDescent="0.25">
      <c r="A69" s="161" t="s">
        <v>719</v>
      </c>
      <c r="B69" s="158" t="s">
        <v>720</v>
      </c>
      <c r="C69" s="158"/>
      <c r="D69" s="158"/>
      <c r="E69" s="158"/>
      <c r="F69" s="158"/>
      <c r="G69" s="158"/>
      <c r="H69" s="158"/>
      <c r="I69" s="158"/>
      <c r="J69" s="158"/>
      <c r="K69" s="158">
        <v>0</v>
      </c>
      <c r="L69" s="158"/>
      <c r="M69" s="158">
        <v>0</v>
      </c>
      <c r="N69" s="158"/>
      <c r="O69" s="158"/>
      <c r="P69" s="158">
        <v>0</v>
      </c>
    </row>
    <row r="70" ht="15" customHeight="1" spans="1:16" x14ac:dyDescent="0.25">
      <c r="A70" s="161" t="s">
        <v>721</v>
      </c>
      <c r="B70" s="158" t="s">
        <v>722</v>
      </c>
      <c r="C70" s="158"/>
      <c r="D70" s="158"/>
      <c r="E70" s="158"/>
      <c r="F70" s="158"/>
      <c r="G70" s="158"/>
      <c r="H70" s="158"/>
      <c r="I70" s="158"/>
      <c r="J70" s="158"/>
      <c r="K70" s="158">
        <v>0</v>
      </c>
      <c r="L70" s="158"/>
      <c r="M70" s="158">
        <v>0</v>
      </c>
      <c r="N70" s="158"/>
      <c r="O70" s="158"/>
      <c r="P70" s="158">
        <v>0</v>
      </c>
    </row>
    <row r="71" ht="15" customHeight="1" spans="1:16" x14ac:dyDescent="0.25">
      <c r="A71" s="161" t="s">
        <v>723</v>
      </c>
      <c r="B71" s="158" t="s">
        <v>724</v>
      </c>
      <c r="C71" s="158"/>
      <c r="D71" s="158"/>
      <c r="E71" s="158"/>
      <c r="F71" s="158"/>
      <c r="G71" s="158"/>
      <c r="H71" s="158"/>
      <c r="I71" s="158"/>
      <c r="J71" s="158"/>
      <c r="K71" s="158">
        <v>490.88</v>
      </c>
      <c r="L71" s="158"/>
      <c r="M71" s="158">
        <v>0</v>
      </c>
      <c r="N71" s="158"/>
      <c r="O71" s="158"/>
      <c r="P71" s="158">
        <v>490.88</v>
      </c>
    </row>
    <row r="72" ht="15" customHeight="1" spans="1:16" x14ac:dyDescent="0.25">
      <c r="A72" s="161" t="s">
        <v>725</v>
      </c>
      <c r="B72" s="158" t="s">
        <v>726</v>
      </c>
      <c r="C72" s="158"/>
      <c r="D72" s="158"/>
      <c r="E72" s="158"/>
      <c r="F72" s="158"/>
      <c r="G72" s="158"/>
      <c r="H72" s="158"/>
      <c r="I72" s="158"/>
      <c r="J72" s="158"/>
      <c r="K72" s="158">
        <v>72.52</v>
      </c>
      <c r="L72" s="158"/>
      <c r="M72" s="158">
        <v>0</v>
      </c>
      <c r="N72" s="158"/>
      <c r="O72" s="158"/>
      <c r="P72" s="158">
        <v>72.52</v>
      </c>
    </row>
    <row r="73" ht="15" customHeight="1" spans="1:16" x14ac:dyDescent="0.25">
      <c r="A73" s="161" t="s">
        <v>727</v>
      </c>
      <c r="B73" s="158" t="s">
        <v>728</v>
      </c>
      <c r="C73" s="158"/>
      <c r="D73" s="158"/>
      <c r="E73" s="158"/>
      <c r="F73" s="158"/>
      <c r="G73" s="158"/>
      <c r="H73" s="158"/>
      <c r="I73" s="158"/>
      <c r="J73" s="158"/>
      <c r="K73" s="158">
        <v>27.35</v>
      </c>
      <c r="L73" s="158"/>
      <c r="M73" s="158">
        <v>0</v>
      </c>
      <c r="N73" s="158"/>
      <c r="O73" s="158"/>
      <c r="P73" s="158">
        <v>27.35</v>
      </c>
    </row>
    <row r="74" ht="15" customHeight="1" spans="1:16" x14ac:dyDescent="0.25">
      <c r="A74" s="158"/>
      <c r="B74" s="156"/>
      <c r="C74" s="160"/>
      <c r="D74" s="158"/>
      <c r="E74" s="159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 ht="15" customHeight="1" spans="1:16" x14ac:dyDescent="0.25">
      <c r="A75" s="151" t="s">
        <v>729</v>
      </c>
      <c r="B75" s="152"/>
      <c r="C75" s="163"/>
      <c r="D75" s="151"/>
      <c r="E75" s="154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</row>
    <row r="76" ht="15" customHeight="1" spans="1:16" x14ac:dyDescent="0.25">
      <c r="A76" s="155" t="s">
        <v>672</v>
      </c>
      <c r="B76" s="156" t="s">
        <v>730</v>
      </c>
      <c r="C76" s="157"/>
      <c r="D76" s="158"/>
      <c r="E76" s="159"/>
      <c r="F76" s="158"/>
      <c r="G76" s="158"/>
      <c r="H76" s="158"/>
      <c r="I76" s="158"/>
      <c r="J76" s="158"/>
      <c r="K76" s="158">
        <v>0</v>
      </c>
      <c r="L76" s="158"/>
      <c r="M76" s="158">
        <v>0</v>
      </c>
      <c r="N76" s="158"/>
      <c r="O76" s="158"/>
      <c r="P76" s="158">
        <v>0</v>
      </c>
    </row>
    <row r="77" ht="15" customHeight="1" spans="1:16" x14ac:dyDescent="0.25">
      <c r="A77" s="158"/>
      <c r="B77" s="156"/>
      <c r="C77" s="157"/>
      <c r="D77" s="158"/>
      <c r="E77" s="159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 ht="15" customHeight="1" spans="1:16" x14ac:dyDescent="0.25">
      <c r="A78" s="151" t="s">
        <v>731</v>
      </c>
      <c r="B78" s="152"/>
      <c r="C78" s="153"/>
      <c r="D78" s="151"/>
      <c r="E78" s="154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</row>
    <row r="79" ht="15" customHeight="1" spans="1:16" x14ac:dyDescent="0.25">
      <c r="A79" s="155" t="s">
        <v>672</v>
      </c>
      <c r="B79" s="156" t="s">
        <v>732</v>
      </c>
      <c r="C79" s="157"/>
      <c r="D79" s="160"/>
      <c r="E79" s="159"/>
      <c r="F79" s="158"/>
      <c r="G79" s="158"/>
      <c r="H79" s="158"/>
      <c r="I79" s="158"/>
      <c r="J79" s="158"/>
      <c r="K79" s="158">
        <v>0</v>
      </c>
      <c r="L79" s="158"/>
      <c r="M79" s="158">
        <v>0</v>
      </c>
      <c r="N79" s="158"/>
      <c r="O79" s="158"/>
      <c r="P79" s="158">
        <v>0</v>
      </c>
    </row>
    <row r="80" ht="15" customHeight="1" spans="1:16" x14ac:dyDescent="0.25">
      <c r="A80" s="155" t="s">
        <v>733</v>
      </c>
      <c r="B80" s="156" t="s">
        <v>734</v>
      </c>
      <c r="C80" s="157"/>
      <c r="D80" s="160"/>
      <c r="E80" s="159"/>
      <c r="F80" s="158"/>
      <c r="G80" s="158"/>
      <c r="H80" s="158"/>
      <c r="I80" s="158"/>
      <c r="J80" s="158"/>
      <c r="K80" s="158">
        <v>0</v>
      </c>
      <c r="L80" s="158"/>
      <c r="M80" s="158">
        <v>0</v>
      </c>
      <c r="N80" s="158"/>
      <c r="O80" s="158"/>
      <c r="P80" s="158">
        <v>0</v>
      </c>
    </row>
    <row r="81" ht="15" customHeight="1" spans="1:16" x14ac:dyDescent="0.25">
      <c r="A81" s="158"/>
      <c r="B81" s="156"/>
      <c r="C81" s="157"/>
      <c r="D81" s="159"/>
      <c r="E81" s="159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 ht="15" customHeight="1" spans="1:16" x14ac:dyDescent="0.25">
      <c r="A82" s="151" t="s">
        <v>735</v>
      </c>
      <c r="B82" s="152"/>
      <c r="C82" s="153"/>
      <c r="D82" s="163"/>
      <c r="E82" s="154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ht="15" customHeight="1" spans="1:16" x14ac:dyDescent="0.25">
      <c r="A83" s="155" t="s">
        <v>736</v>
      </c>
      <c r="B83" s="156" t="s">
        <v>737</v>
      </c>
      <c r="C83" s="157"/>
      <c r="D83" s="160"/>
      <c r="E83" s="159"/>
      <c r="F83" s="158"/>
      <c r="G83" s="158"/>
      <c r="H83" s="158"/>
      <c r="I83" s="158"/>
      <c r="J83" s="158"/>
      <c r="K83" s="158">
        <v>17015.23</v>
      </c>
      <c r="L83" s="158"/>
      <c r="M83" s="158">
        <v>0</v>
      </c>
      <c r="N83" s="158"/>
      <c r="O83" s="158"/>
      <c r="P83" s="158">
        <v>17015.23</v>
      </c>
    </row>
    <row r="84" ht="15" customHeight="1" spans="1:16" x14ac:dyDescent="0.25">
      <c r="A84" s="155" t="s">
        <v>604</v>
      </c>
      <c r="B84" s="156" t="s">
        <v>738</v>
      </c>
      <c r="C84" s="157"/>
      <c r="D84" s="160"/>
      <c r="E84" s="159"/>
      <c r="F84" s="158"/>
      <c r="G84" s="158"/>
      <c r="H84" s="158"/>
      <c r="I84" s="158"/>
      <c r="J84" s="158"/>
      <c r="K84" s="158">
        <v>4929.97</v>
      </c>
      <c r="L84" s="158"/>
      <c r="M84" s="158">
        <v>0</v>
      </c>
      <c r="N84" s="158"/>
      <c r="O84" s="158"/>
      <c r="P84" s="158">
        <v>4929.97</v>
      </c>
    </row>
    <row r="85" ht="15" customHeight="1" spans="1:16" x14ac:dyDescent="0.25">
      <c r="A85" s="155" t="s">
        <v>648</v>
      </c>
      <c r="B85" s="156" t="s">
        <v>739</v>
      </c>
      <c r="C85" s="157"/>
      <c r="D85" s="160"/>
      <c r="E85" s="159"/>
      <c r="F85" s="158"/>
      <c r="G85" s="158"/>
      <c r="H85" s="158"/>
      <c r="I85" s="158"/>
      <c r="J85" s="158"/>
      <c r="K85" s="158">
        <v>1221.05</v>
      </c>
      <c r="L85" s="158"/>
      <c r="M85" s="158">
        <v>0</v>
      </c>
      <c r="N85" s="158"/>
      <c r="O85" s="158"/>
      <c r="P85" s="158">
        <v>1221.05</v>
      </c>
    </row>
    <row r="86" ht="15" customHeight="1" spans="1:16" x14ac:dyDescent="0.25">
      <c r="A86" s="155" t="s">
        <v>680</v>
      </c>
      <c r="B86" s="156" t="s">
        <v>740</v>
      </c>
      <c r="C86" s="157"/>
      <c r="D86" s="160"/>
      <c r="E86" s="159"/>
      <c r="F86" s="158"/>
      <c r="G86" s="158"/>
      <c r="H86" s="158"/>
      <c r="I86" s="158"/>
      <c r="J86" s="158"/>
      <c r="K86" s="158">
        <v>0</v>
      </c>
      <c r="L86" s="158"/>
      <c r="M86" s="158">
        <v>0</v>
      </c>
      <c r="N86" s="158"/>
      <c r="O86" s="158"/>
      <c r="P86" s="158">
        <v>0</v>
      </c>
    </row>
    <row r="87" ht="15" customHeight="1" spans="1:16" x14ac:dyDescent="0.25">
      <c r="A87" s="158"/>
      <c r="B87" s="156"/>
      <c r="C87" s="157"/>
      <c r="D87" s="160"/>
      <c r="E87" s="159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 ht="15" customHeight="1" spans="1:16" x14ac:dyDescent="0.25">
      <c r="A88" s="151" t="s">
        <v>741</v>
      </c>
      <c r="B88" s="152"/>
      <c r="C88" s="153"/>
      <c r="D88" s="151"/>
      <c r="E88" s="154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ht="15" customHeight="1" spans="1:16" x14ac:dyDescent="0.25">
      <c r="A89" s="155" t="s">
        <v>742</v>
      </c>
      <c r="B89" s="156" t="s">
        <v>743</v>
      </c>
      <c r="C89" s="157"/>
      <c r="D89" s="158"/>
      <c r="E89" s="159"/>
      <c r="F89" s="158"/>
      <c r="G89" s="158"/>
      <c r="H89" s="158"/>
      <c r="I89" s="158"/>
      <c r="J89" s="158"/>
      <c r="K89" s="158">
        <v>0</v>
      </c>
      <c r="L89" s="158"/>
      <c r="M89" s="158">
        <v>0</v>
      </c>
      <c r="N89" s="158"/>
      <c r="O89" s="158"/>
      <c r="P89" s="158">
        <v>0</v>
      </c>
    </row>
    <row r="90" ht="15" customHeight="1" spans="1:16" x14ac:dyDescent="0.25">
      <c r="A90" s="155" t="s">
        <v>606</v>
      </c>
      <c r="B90" s="156" t="s">
        <v>744</v>
      </c>
      <c r="C90" s="160"/>
      <c r="D90" s="160"/>
      <c r="E90" s="159"/>
      <c r="F90" s="158"/>
      <c r="G90" s="158"/>
      <c r="H90" s="158"/>
      <c r="I90" s="158"/>
      <c r="J90" s="158"/>
      <c r="K90" s="158">
        <v>0</v>
      </c>
      <c r="L90" s="158"/>
      <c r="M90" s="158">
        <v>0</v>
      </c>
      <c r="N90" s="158"/>
      <c r="O90" s="158"/>
      <c r="P90" s="158">
        <v>0</v>
      </c>
    </row>
    <row r="91" ht="15" customHeight="1" spans="1:16" x14ac:dyDescent="0.25">
      <c r="A91" s="155" t="s">
        <v>628</v>
      </c>
      <c r="B91" s="156" t="s">
        <v>745</v>
      </c>
      <c r="C91" s="160"/>
      <c r="D91" s="160"/>
      <c r="E91" s="159"/>
      <c r="F91" s="158"/>
      <c r="G91" s="158"/>
      <c r="H91" s="158"/>
      <c r="I91" s="158"/>
      <c r="J91" s="158"/>
      <c r="K91" s="158">
        <v>0</v>
      </c>
      <c r="L91" s="158"/>
      <c r="M91" s="158">
        <v>0</v>
      </c>
      <c r="N91" s="158"/>
      <c r="O91" s="158"/>
      <c r="P91" s="158">
        <v>0</v>
      </c>
    </row>
    <row r="92" ht="15" customHeight="1" spans="1:16" x14ac:dyDescent="0.25">
      <c r="A92" s="155" t="s">
        <v>676</v>
      </c>
      <c r="B92" s="156" t="s">
        <v>746</v>
      </c>
      <c r="C92" s="160"/>
      <c r="D92" s="160"/>
      <c r="E92" s="159"/>
      <c r="F92" s="158"/>
      <c r="G92" s="158"/>
      <c r="H92" s="158"/>
      <c r="I92" s="158"/>
      <c r="J92" s="158"/>
      <c r="K92" s="158">
        <v>0</v>
      </c>
      <c r="L92" s="158"/>
      <c r="M92" s="158">
        <v>0</v>
      </c>
      <c r="N92" s="158"/>
      <c r="O92" s="158"/>
      <c r="P92" s="158">
        <v>0</v>
      </c>
    </row>
    <row r="93" ht="15" customHeight="1" spans="1:16" x14ac:dyDescent="0.25">
      <c r="A93" s="155" t="s">
        <v>709</v>
      </c>
      <c r="B93" s="156" t="s">
        <v>747</v>
      </c>
      <c r="C93" s="160"/>
      <c r="D93" s="160"/>
      <c r="E93" s="159"/>
      <c r="F93" s="158"/>
      <c r="G93" s="158"/>
      <c r="H93" s="158"/>
      <c r="I93" s="158"/>
      <c r="J93" s="158"/>
      <c r="K93" s="158">
        <v>0</v>
      </c>
      <c r="L93" s="158"/>
      <c r="M93" s="158">
        <v>0</v>
      </c>
      <c r="N93" s="158"/>
      <c r="O93" s="158"/>
      <c r="P93" s="158">
        <v>0</v>
      </c>
    </row>
    <row r="94" ht="15" customHeight="1" spans="1:16" x14ac:dyDescent="0.25">
      <c r="A94" s="155" t="s">
        <v>683</v>
      </c>
      <c r="B94" s="156" t="s">
        <v>748</v>
      </c>
      <c r="C94" s="160"/>
      <c r="D94" s="160"/>
      <c r="E94" s="159"/>
      <c r="F94" s="158"/>
      <c r="G94" s="158"/>
      <c r="H94" s="158"/>
      <c r="I94" s="158"/>
      <c r="J94" s="158"/>
      <c r="K94" s="158">
        <v>0</v>
      </c>
      <c r="L94" s="158"/>
      <c r="M94" s="158">
        <v>0</v>
      </c>
      <c r="N94" s="158"/>
      <c r="O94" s="158"/>
      <c r="P94" s="158">
        <v>0</v>
      </c>
    </row>
    <row r="95" ht="15" customHeight="1" spans="1:16" x14ac:dyDescent="0.25">
      <c r="A95" s="155" t="s">
        <v>749</v>
      </c>
      <c r="B95" s="156" t="s">
        <v>750</v>
      </c>
      <c r="C95" s="160"/>
      <c r="D95" s="160"/>
      <c r="E95" s="159"/>
      <c r="F95" s="158"/>
      <c r="G95" s="158"/>
      <c r="H95" s="158"/>
      <c r="I95" s="158"/>
      <c r="J95" s="158"/>
      <c r="K95" s="158">
        <v>0</v>
      </c>
      <c r="L95" s="158"/>
      <c r="M95" s="158">
        <v>0</v>
      </c>
      <c r="N95" s="158"/>
      <c r="O95" s="158"/>
      <c r="P95" s="158">
        <v>0</v>
      </c>
    </row>
    <row r="96" ht="15" customHeight="1" spans="1:16" x14ac:dyDescent="0.25">
      <c r="A96" s="155" t="s">
        <v>751</v>
      </c>
      <c r="B96" s="156" t="s">
        <v>752</v>
      </c>
      <c r="C96" s="160"/>
      <c r="D96" s="160"/>
      <c r="E96" s="159"/>
      <c r="F96" s="158"/>
      <c r="G96" s="158"/>
      <c r="H96" s="158"/>
      <c r="I96" s="158"/>
      <c r="J96" s="158"/>
      <c r="K96" s="158">
        <v>0</v>
      </c>
      <c r="L96" s="158"/>
      <c r="M96" s="158">
        <v>0</v>
      </c>
      <c r="N96" s="158"/>
      <c r="O96" s="158"/>
      <c r="P96" s="158">
        <v>0</v>
      </c>
    </row>
    <row r="97" ht="15" customHeight="1" spans="1:16" x14ac:dyDescent="0.25">
      <c r="A97" s="155" t="s">
        <v>705</v>
      </c>
      <c r="B97" s="156" t="s">
        <v>753</v>
      </c>
      <c r="C97" s="160"/>
      <c r="D97" s="160"/>
      <c r="E97" s="159"/>
      <c r="F97" s="158"/>
      <c r="G97" s="158"/>
      <c r="H97" s="158"/>
      <c r="I97" s="158"/>
      <c r="J97" s="158"/>
      <c r="K97" s="158">
        <v>0</v>
      </c>
      <c r="L97" s="158"/>
      <c r="M97" s="158">
        <v>0</v>
      </c>
      <c r="N97" s="158"/>
      <c r="O97" s="158"/>
      <c r="P97" s="158">
        <v>0</v>
      </c>
    </row>
    <row r="98" ht="15" customHeight="1" spans="1:16" x14ac:dyDescent="0.25">
      <c r="A98" s="155" t="s">
        <v>719</v>
      </c>
      <c r="B98" s="158" t="s">
        <v>754</v>
      </c>
      <c r="C98" s="158"/>
      <c r="D98" s="158"/>
      <c r="E98" s="158"/>
      <c r="F98" s="158"/>
      <c r="G98" s="158"/>
      <c r="H98" s="158"/>
      <c r="I98" s="158"/>
      <c r="J98" s="158"/>
      <c r="K98" s="158">
        <v>0</v>
      </c>
      <c r="L98" s="158"/>
      <c r="M98" s="158">
        <v>0</v>
      </c>
      <c r="N98" s="158"/>
      <c r="O98" s="158"/>
      <c r="P98" s="158">
        <v>0</v>
      </c>
    </row>
    <row r="99" ht="15" customHeight="1" spans="1:16" x14ac:dyDescent="0.25">
      <c r="A99" s="158"/>
      <c r="B99" s="156"/>
      <c r="C99" s="160"/>
      <c r="D99" s="160"/>
      <c r="E99" s="159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 ht="15" customHeight="1" spans="1:16" x14ac:dyDescent="0.25">
      <c r="A100" s="151" t="s">
        <v>755</v>
      </c>
      <c r="B100" s="152"/>
      <c r="C100" s="163"/>
      <c r="D100" s="163"/>
      <c r="E100" s="154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</row>
    <row r="101" ht="15" customHeight="1" spans="1:16" x14ac:dyDescent="0.25">
      <c r="A101" s="155" t="s">
        <v>756</v>
      </c>
      <c r="B101" s="156" t="s">
        <v>757</v>
      </c>
      <c r="C101" s="160"/>
      <c r="D101" s="160"/>
      <c r="E101" s="159"/>
      <c r="F101" s="158"/>
      <c r="G101" s="158"/>
      <c r="H101" s="158"/>
      <c r="I101" s="158"/>
      <c r="J101" s="158"/>
      <c r="K101" s="158">
        <v>0</v>
      </c>
      <c r="L101" s="158"/>
      <c r="M101" s="158">
        <v>0</v>
      </c>
      <c r="N101" s="158"/>
      <c r="O101" s="158"/>
      <c r="P101" s="158">
        <v>0</v>
      </c>
    </row>
    <row r="102" ht="15" customHeight="1" spans="1:16" x14ac:dyDescent="0.25">
      <c r="A102" s="155" t="s">
        <v>736</v>
      </c>
      <c r="B102" s="156" t="s">
        <v>758</v>
      </c>
      <c r="C102" s="160"/>
      <c r="D102" s="160"/>
      <c r="E102" s="159"/>
      <c r="F102" s="158"/>
      <c r="G102" s="158"/>
      <c r="H102" s="158"/>
      <c r="I102" s="158"/>
      <c r="J102" s="158"/>
      <c r="K102" s="158">
        <v>21921.22</v>
      </c>
      <c r="L102" s="158"/>
      <c r="M102" s="158">
        <v>0</v>
      </c>
      <c r="N102" s="158"/>
      <c r="O102" s="158"/>
      <c r="P102" s="158">
        <v>21921.22</v>
      </c>
    </row>
    <row r="103" ht="15" customHeight="1" spans="1:16" x14ac:dyDescent="0.25">
      <c r="A103" s="155" t="s">
        <v>759</v>
      </c>
      <c r="B103" s="156" t="s">
        <v>760</v>
      </c>
      <c r="C103" s="160"/>
      <c r="D103" s="160"/>
      <c r="E103" s="159"/>
      <c r="F103" s="158"/>
      <c r="G103" s="158"/>
      <c r="H103" s="158"/>
      <c r="I103" s="158"/>
      <c r="J103" s="158"/>
      <c r="K103" s="158">
        <v>0</v>
      </c>
      <c r="L103" s="158"/>
      <c r="M103" s="158">
        <v>0</v>
      </c>
      <c r="N103" s="158"/>
      <c r="O103" s="158"/>
      <c r="P103" s="158">
        <v>0</v>
      </c>
    </row>
    <row r="104" ht="15" customHeight="1" spans="1:16" x14ac:dyDescent="0.25">
      <c r="A104" s="155" t="s">
        <v>604</v>
      </c>
      <c r="B104" s="156" t="s">
        <v>761</v>
      </c>
      <c r="C104" s="160"/>
      <c r="D104" s="160"/>
      <c r="E104" s="159"/>
      <c r="F104" s="158"/>
      <c r="G104" s="158"/>
      <c r="H104" s="158"/>
      <c r="I104" s="158"/>
      <c r="J104" s="158"/>
      <c r="K104" s="158">
        <v>6372.12</v>
      </c>
      <c r="L104" s="158"/>
      <c r="M104" s="158">
        <v>0</v>
      </c>
      <c r="N104" s="158"/>
      <c r="O104" s="158"/>
      <c r="P104" s="158">
        <v>6372.12</v>
      </c>
    </row>
    <row r="105" ht="15" customHeight="1" spans="1:16" x14ac:dyDescent="0.25">
      <c r="A105" s="155" t="s">
        <v>606</v>
      </c>
      <c r="B105" s="156" t="s">
        <v>762</v>
      </c>
      <c r="C105" s="160"/>
      <c r="D105" s="160"/>
      <c r="E105" s="159"/>
      <c r="F105" s="158"/>
      <c r="G105" s="158"/>
      <c r="H105" s="158"/>
      <c r="I105" s="158"/>
      <c r="J105" s="158"/>
      <c r="K105" s="158">
        <v>0</v>
      </c>
      <c r="L105" s="158"/>
      <c r="M105" s="158">
        <v>0</v>
      </c>
      <c r="N105" s="158"/>
      <c r="O105" s="158"/>
      <c r="P105" s="158">
        <v>0</v>
      </c>
    </row>
    <row r="106" ht="15" customHeight="1" spans="1:16" x14ac:dyDescent="0.25">
      <c r="A106" s="155" t="s">
        <v>648</v>
      </c>
      <c r="B106" s="156" t="s">
        <v>763</v>
      </c>
      <c r="C106" s="160"/>
      <c r="D106" s="160"/>
      <c r="E106" s="159"/>
      <c r="F106" s="158"/>
      <c r="G106" s="158"/>
      <c r="H106" s="158"/>
      <c r="I106" s="158"/>
      <c r="J106" s="158"/>
      <c r="K106" s="158">
        <v>0</v>
      </c>
      <c r="L106" s="158"/>
      <c r="M106" s="158">
        <v>0</v>
      </c>
      <c r="N106" s="158"/>
      <c r="O106" s="158"/>
      <c r="P106" s="158">
        <v>0</v>
      </c>
    </row>
    <row r="107" ht="15" customHeight="1" spans="1:16" x14ac:dyDescent="0.25">
      <c r="A107" s="155" t="s">
        <v>651</v>
      </c>
      <c r="B107" s="156" t="s">
        <v>764</v>
      </c>
      <c r="C107" s="160"/>
      <c r="D107" s="160"/>
      <c r="E107" s="159"/>
      <c r="F107" s="158"/>
      <c r="G107" s="158"/>
      <c r="H107" s="158"/>
      <c r="I107" s="158"/>
      <c r="J107" s="158"/>
      <c r="K107" s="158">
        <v>0</v>
      </c>
      <c r="L107" s="158"/>
      <c r="M107" s="158">
        <v>0</v>
      </c>
      <c r="N107" s="158"/>
      <c r="O107" s="158"/>
      <c r="P107" s="158">
        <v>0</v>
      </c>
    </row>
    <row r="108" ht="15" customHeight="1" spans="1:16" x14ac:dyDescent="0.25">
      <c r="A108" s="155" t="s">
        <v>663</v>
      </c>
      <c r="B108" s="156" t="s">
        <v>765</v>
      </c>
      <c r="C108" s="160"/>
      <c r="D108" s="160"/>
      <c r="E108" s="159"/>
      <c r="F108" s="158"/>
      <c r="G108" s="158"/>
      <c r="H108" s="158"/>
      <c r="I108" s="158"/>
      <c r="J108" s="158"/>
      <c r="K108" s="158">
        <v>0</v>
      </c>
      <c r="L108" s="158"/>
      <c r="M108" s="158">
        <v>0</v>
      </c>
      <c r="N108" s="158"/>
      <c r="O108" s="158"/>
      <c r="P108" s="158">
        <v>0</v>
      </c>
    </row>
    <row r="109" ht="15" customHeight="1" spans="1:16" x14ac:dyDescent="0.25">
      <c r="A109" s="155" t="s">
        <v>628</v>
      </c>
      <c r="B109" s="156" t="s">
        <v>766</v>
      </c>
      <c r="C109" s="160"/>
      <c r="D109" s="160"/>
      <c r="E109" s="159"/>
      <c r="F109" s="158"/>
      <c r="G109" s="158"/>
      <c r="H109" s="158"/>
      <c r="I109" s="158"/>
      <c r="J109" s="158"/>
      <c r="K109" s="158">
        <v>0</v>
      </c>
      <c r="L109" s="158"/>
      <c r="M109" s="158">
        <v>0</v>
      </c>
      <c r="N109" s="158"/>
      <c r="O109" s="158"/>
      <c r="P109" s="158">
        <v>0</v>
      </c>
    </row>
    <row r="110" ht="15" customHeight="1" spans="1:16" x14ac:dyDescent="0.25">
      <c r="A110" s="155" t="s">
        <v>668</v>
      </c>
      <c r="B110" s="156" t="s">
        <v>767</v>
      </c>
      <c r="C110" s="160"/>
      <c r="D110" s="160"/>
      <c r="E110" s="159"/>
      <c r="F110" s="158"/>
      <c r="G110" s="158"/>
      <c r="H110" s="158"/>
      <c r="I110" s="158"/>
      <c r="J110" s="158"/>
      <c r="K110" s="158">
        <v>0</v>
      </c>
      <c r="L110" s="158"/>
      <c r="M110" s="158">
        <v>0</v>
      </c>
      <c r="N110" s="158"/>
      <c r="O110" s="158"/>
      <c r="P110" s="158">
        <v>0</v>
      </c>
    </row>
    <row r="111" ht="15" customHeight="1" spans="1:16" x14ac:dyDescent="0.25">
      <c r="A111" s="155" t="s">
        <v>670</v>
      </c>
      <c r="B111" s="156" t="s">
        <v>768</v>
      </c>
      <c r="C111" s="160"/>
      <c r="D111" s="158"/>
      <c r="E111" s="159"/>
      <c r="F111" s="158"/>
      <c r="G111" s="158"/>
      <c r="H111" s="158"/>
      <c r="I111" s="158"/>
      <c r="J111" s="158"/>
      <c r="K111" s="158">
        <v>0</v>
      </c>
      <c r="L111" s="158"/>
      <c r="M111" s="158">
        <v>0</v>
      </c>
      <c r="N111" s="158"/>
      <c r="O111" s="158"/>
      <c r="P111" s="158">
        <v>0</v>
      </c>
    </row>
    <row r="112" ht="15" customHeight="1" spans="1:16" x14ac:dyDescent="0.25">
      <c r="A112" s="155" t="s">
        <v>672</v>
      </c>
      <c r="B112" s="156" t="s">
        <v>769</v>
      </c>
      <c r="C112" s="160"/>
      <c r="D112" s="158"/>
      <c r="E112" s="159"/>
      <c r="F112" s="158"/>
      <c r="G112" s="158"/>
      <c r="H112" s="158"/>
      <c r="I112" s="158"/>
      <c r="J112" s="158"/>
      <c r="K112" s="158">
        <v>0</v>
      </c>
      <c r="L112" s="158"/>
      <c r="M112" s="158">
        <v>0</v>
      </c>
      <c r="N112" s="158"/>
      <c r="O112" s="158"/>
      <c r="P112" s="158">
        <v>0</v>
      </c>
    </row>
    <row r="113" ht="15" customHeight="1" spans="1:16" x14ac:dyDescent="0.25">
      <c r="A113" s="155" t="s">
        <v>674</v>
      </c>
      <c r="B113" s="156" t="s">
        <v>770</v>
      </c>
      <c r="C113" s="160"/>
      <c r="D113" s="158"/>
      <c r="E113" s="159"/>
      <c r="F113" s="158"/>
      <c r="G113" s="158"/>
      <c r="H113" s="158"/>
      <c r="I113" s="158"/>
      <c r="J113" s="158"/>
      <c r="K113" s="158">
        <v>0</v>
      </c>
      <c r="L113" s="158"/>
      <c r="M113" s="158">
        <v>0</v>
      </c>
      <c r="N113" s="158"/>
      <c r="O113" s="158"/>
      <c r="P113" s="158">
        <v>0</v>
      </c>
    </row>
    <row r="114" ht="15" customHeight="1" spans="1:16" x14ac:dyDescent="0.25">
      <c r="A114" s="155" t="s">
        <v>709</v>
      </c>
      <c r="B114" s="156" t="s">
        <v>771</v>
      </c>
      <c r="C114" s="160"/>
      <c r="D114" s="158"/>
      <c r="E114" s="159"/>
      <c r="F114" s="158"/>
      <c r="G114" s="158"/>
      <c r="H114" s="158"/>
      <c r="I114" s="158"/>
      <c r="J114" s="158"/>
      <c r="K114" s="158">
        <v>0</v>
      </c>
      <c r="L114" s="158"/>
      <c r="M114" s="158">
        <v>0</v>
      </c>
      <c r="N114" s="158"/>
      <c r="O114" s="158"/>
      <c r="P114" s="158">
        <v>0</v>
      </c>
    </row>
    <row r="115" ht="15" customHeight="1" spans="1:16" x14ac:dyDescent="0.25">
      <c r="A115" s="155" t="s">
        <v>680</v>
      </c>
      <c r="B115" s="156" t="s">
        <v>772</v>
      </c>
      <c r="C115" s="160"/>
      <c r="D115" s="158"/>
      <c r="E115" s="159"/>
      <c r="F115" s="158"/>
      <c r="G115" s="158"/>
      <c r="H115" s="158"/>
      <c r="I115" s="158"/>
      <c r="J115" s="158"/>
      <c r="K115" s="158">
        <v>794.57</v>
      </c>
      <c r="L115" s="158"/>
      <c r="M115" s="158">
        <v>0</v>
      </c>
      <c r="N115" s="158"/>
      <c r="O115" s="158"/>
      <c r="P115" s="158">
        <v>794.57</v>
      </c>
    </row>
    <row r="116" ht="15" customHeight="1" spans="1:16" x14ac:dyDescent="0.25">
      <c r="A116" s="155" t="s">
        <v>725</v>
      </c>
      <c r="B116" s="156" t="s">
        <v>773</v>
      </c>
      <c r="C116" s="157"/>
      <c r="D116" s="160"/>
      <c r="E116" s="159"/>
      <c r="F116" s="158"/>
      <c r="G116" s="158"/>
      <c r="H116" s="158"/>
      <c r="I116" s="158"/>
      <c r="J116" s="158"/>
      <c r="K116" s="158">
        <v>0</v>
      </c>
      <c r="L116" s="158"/>
      <c r="M116" s="158">
        <v>0</v>
      </c>
      <c r="N116" s="158"/>
      <c r="O116" s="158"/>
      <c r="P116" s="158">
        <v>0</v>
      </c>
    </row>
    <row r="117" ht="15" customHeight="1" spans="1:16" x14ac:dyDescent="0.25">
      <c r="A117" s="155" t="s">
        <v>683</v>
      </c>
      <c r="B117" s="156" t="s">
        <v>774</v>
      </c>
      <c r="C117" s="157"/>
      <c r="D117" s="160"/>
      <c r="E117" s="159"/>
      <c r="F117" s="158"/>
      <c r="G117" s="158"/>
      <c r="H117" s="158"/>
      <c r="I117" s="158"/>
      <c r="J117" s="158"/>
      <c r="K117" s="158">
        <v>0</v>
      </c>
      <c r="L117" s="158"/>
      <c r="M117" s="158">
        <v>0</v>
      </c>
      <c r="N117" s="158"/>
      <c r="O117" s="158"/>
      <c r="P117" s="158">
        <v>0</v>
      </c>
    </row>
    <row r="118" ht="15" customHeight="1" spans="1:16" x14ac:dyDescent="0.25">
      <c r="A118" s="155" t="s">
        <v>719</v>
      </c>
      <c r="B118" s="156" t="s">
        <v>775</v>
      </c>
      <c r="C118" s="157"/>
      <c r="D118" s="158"/>
      <c r="E118" s="159"/>
      <c r="F118" s="158"/>
      <c r="G118" s="158"/>
      <c r="H118" s="158"/>
      <c r="I118" s="158"/>
      <c r="J118" s="158"/>
      <c r="K118" s="158">
        <v>0</v>
      </c>
      <c r="L118" s="158"/>
      <c r="M118" s="158">
        <v>0</v>
      </c>
      <c r="N118" s="158"/>
      <c r="O118" s="158"/>
      <c r="P118" s="158">
        <v>0</v>
      </c>
    </row>
    <row r="119" ht="15" customHeight="1" spans="1:16" x14ac:dyDescent="0.25">
      <c r="A119" s="155" t="s">
        <v>776</v>
      </c>
      <c r="B119" s="156" t="s">
        <v>777</v>
      </c>
      <c r="C119" s="160"/>
      <c r="D119" s="160"/>
      <c r="E119" s="159"/>
      <c r="F119" s="158"/>
      <c r="G119" s="158"/>
      <c r="H119" s="158"/>
      <c r="I119" s="158"/>
      <c r="J119" s="158"/>
      <c r="K119" s="158">
        <v>0</v>
      </c>
      <c r="L119" s="158"/>
      <c r="M119" s="158">
        <v>0</v>
      </c>
      <c r="N119" s="158"/>
      <c r="O119" s="158"/>
      <c r="P119" s="158">
        <v>0</v>
      </c>
    </row>
    <row r="120" ht="15" customHeight="1" spans="1:16" x14ac:dyDescent="0.25">
      <c r="A120" s="155" t="s">
        <v>689</v>
      </c>
      <c r="B120" s="156" t="s">
        <v>778</v>
      </c>
      <c r="C120" s="160"/>
      <c r="D120" s="160"/>
      <c r="E120" s="159"/>
      <c r="F120" s="158"/>
      <c r="G120" s="158"/>
      <c r="H120" s="158"/>
      <c r="I120" s="158"/>
      <c r="J120" s="158"/>
      <c r="K120" s="158">
        <v>0</v>
      </c>
      <c r="L120" s="158"/>
      <c r="M120" s="158">
        <v>0</v>
      </c>
      <c r="N120" s="158"/>
      <c r="O120" s="158"/>
      <c r="P120" s="158">
        <v>0</v>
      </c>
    </row>
    <row r="121" ht="15" customHeight="1" spans="1:16" x14ac:dyDescent="0.25">
      <c r="A121" s="155" t="s">
        <v>711</v>
      </c>
      <c r="B121" s="156" t="s">
        <v>779</v>
      </c>
      <c r="C121" s="160"/>
      <c r="D121" s="160"/>
      <c r="E121" s="159"/>
      <c r="F121" s="158"/>
      <c r="G121" s="158"/>
      <c r="H121" s="158"/>
      <c r="I121" s="158"/>
      <c r="J121" s="158"/>
      <c r="K121" s="158">
        <v>0</v>
      </c>
      <c r="L121" s="158"/>
      <c r="M121" s="158">
        <v>0</v>
      </c>
      <c r="N121" s="158"/>
      <c r="O121" s="158"/>
      <c r="P121" s="158">
        <v>0</v>
      </c>
    </row>
    <row r="122" ht="15" customHeight="1" spans="1:16" x14ac:dyDescent="0.25">
      <c r="A122" s="155" t="s">
        <v>780</v>
      </c>
      <c r="B122" s="156" t="s">
        <v>781</v>
      </c>
      <c r="C122" s="160"/>
      <c r="D122" s="160"/>
      <c r="E122" s="159"/>
      <c r="F122" s="158"/>
      <c r="G122" s="158"/>
      <c r="H122" s="158"/>
      <c r="I122" s="158"/>
      <c r="J122" s="158"/>
      <c r="K122" s="158">
        <v>0</v>
      </c>
      <c r="L122" s="158"/>
      <c r="M122" s="158">
        <v>0</v>
      </c>
      <c r="N122" s="158"/>
      <c r="O122" s="158"/>
      <c r="P122" s="158">
        <v>0</v>
      </c>
    </row>
    <row r="123" ht="15" customHeight="1" spans="1:16" x14ac:dyDescent="0.25">
      <c r="A123" s="155" t="s">
        <v>691</v>
      </c>
      <c r="B123" s="156" t="s">
        <v>782</v>
      </c>
      <c r="C123" s="160"/>
      <c r="D123" s="160"/>
      <c r="E123" s="159"/>
      <c r="F123" s="158"/>
      <c r="G123" s="158"/>
      <c r="H123" s="158"/>
      <c r="I123" s="158"/>
      <c r="J123" s="158"/>
      <c r="K123" s="158">
        <v>0</v>
      </c>
      <c r="L123" s="158"/>
      <c r="M123" s="158">
        <v>0</v>
      </c>
      <c r="N123" s="158"/>
      <c r="O123" s="158"/>
      <c r="P123" s="158">
        <v>0</v>
      </c>
    </row>
    <row r="124" ht="15" customHeight="1" spans="1:16" x14ac:dyDescent="0.25">
      <c r="A124" s="155" t="s">
        <v>783</v>
      </c>
      <c r="B124" s="156" t="s">
        <v>784</v>
      </c>
      <c r="C124" s="160"/>
      <c r="D124" s="160"/>
      <c r="E124" s="159"/>
      <c r="F124" s="158"/>
      <c r="G124" s="158"/>
      <c r="H124" s="158"/>
      <c r="I124" s="158"/>
      <c r="J124" s="158"/>
      <c r="K124" s="158">
        <v>0</v>
      </c>
      <c r="L124" s="158"/>
      <c r="M124" s="158">
        <v>0</v>
      </c>
      <c r="N124" s="158"/>
      <c r="O124" s="158"/>
      <c r="P124" s="158">
        <v>0</v>
      </c>
    </row>
    <row r="125" ht="15" customHeight="1" spans="1:16" x14ac:dyDescent="0.25">
      <c r="A125" s="155" t="s">
        <v>721</v>
      </c>
      <c r="B125" s="156" t="s">
        <v>785</v>
      </c>
      <c r="C125" s="160"/>
      <c r="D125" s="160"/>
      <c r="E125" s="159"/>
      <c r="F125" s="158"/>
      <c r="G125" s="158"/>
      <c r="H125" s="158"/>
      <c r="I125" s="158"/>
      <c r="J125" s="158"/>
      <c r="K125" s="158">
        <v>0</v>
      </c>
      <c r="L125" s="158"/>
      <c r="M125" s="158">
        <v>0</v>
      </c>
      <c r="N125" s="158"/>
      <c r="O125" s="158"/>
      <c r="P125" s="158">
        <v>0</v>
      </c>
    </row>
    <row r="126" ht="12.75" customHeight="1" spans="1:16" x14ac:dyDescent="0.25">
      <c r="A126" s="155" t="s">
        <v>786</v>
      </c>
      <c r="B126" s="156" t="s">
        <v>787</v>
      </c>
      <c r="C126" s="157"/>
      <c r="D126" s="160"/>
      <c r="E126" s="159"/>
      <c r="F126" s="158"/>
      <c r="G126" s="158"/>
      <c r="H126" s="158"/>
      <c r="I126" s="158"/>
      <c r="J126" s="158"/>
      <c r="K126" s="158">
        <v>1203.75</v>
      </c>
      <c r="L126" s="158"/>
      <c r="M126" s="158">
        <v>0</v>
      </c>
      <c r="N126" s="158"/>
      <c r="O126" s="158"/>
      <c r="P126" s="158">
        <v>1203.75</v>
      </c>
    </row>
    <row r="127" ht="12.75" customHeight="1" spans="1:16" x14ac:dyDescent="0.25">
      <c r="A127" s="155" t="s">
        <v>788</v>
      </c>
      <c r="B127" s="156" t="s">
        <v>789</v>
      </c>
      <c r="C127" s="157"/>
      <c r="D127" s="160"/>
      <c r="E127" s="159"/>
      <c r="F127" s="158"/>
      <c r="G127" s="158"/>
      <c r="H127" s="158"/>
      <c r="I127" s="158"/>
      <c r="J127" s="158"/>
      <c r="K127" s="158">
        <v>0</v>
      </c>
      <c r="L127" s="158"/>
      <c r="M127" s="158">
        <v>0</v>
      </c>
      <c r="N127" s="158"/>
      <c r="O127" s="158"/>
      <c r="P127" s="158">
        <v>0</v>
      </c>
    </row>
    <row r="128" ht="12.75" customHeight="1" spans="1:16" x14ac:dyDescent="0.25">
      <c r="A128" s="155" t="s">
        <v>705</v>
      </c>
      <c r="B128" s="156" t="s">
        <v>790</v>
      </c>
      <c r="C128" s="157"/>
      <c r="D128" s="158"/>
      <c r="E128" s="159"/>
      <c r="F128" s="158"/>
      <c r="G128" s="158"/>
      <c r="H128" s="158"/>
      <c r="I128" s="158"/>
      <c r="J128" s="158"/>
      <c r="K128" s="158">
        <v>0</v>
      </c>
      <c r="L128" s="158"/>
      <c r="M128" s="158">
        <v>0</v>
      </c>
      <c r="N128" s="158"/>
      <c r="O128" s="158"/>
      <c r="P128" s="158">
        <v>0</v>
      </c>
    </row>
    <row r="129" ht="12.75" customHeight="1" spans="1:16" x14ac:dyDescent="0.25">
      <c r="A129" s="155" t="s">
        <v>791</v>
      </c>
      <c r="B129" s="156" t="s">
        <v>792</v>
      </c>
      <c r="C129" s="157"/>
      <c r="D129" s="158"/>
      <c r="E129" s="159"/>
      <c r="F129" s="158"/>
      <c r="G129" s="158"/>
      <c r="H129" s="158"/>
      <c r="I129" s="158"/>
      <c r="J129" s="158"/>
      <c r="K129" s="158">
        <v>0</v>
      </c>
      <c r="L129" s="158"/>
      <c r="M129" s="158">
        <v>0</v>
      </c>
      <c r="N129" s="158"/>
      <c r="O129" s="158"/>
      <c r="P129" s="158">
        <v>0</v>
      </c>
    </row>
    <row r="130" ht="12.75" customHeight="1" spans="1:16" x14ac:dyDescent="0.25">
      <c r="A130" s="155" t="s">
        <v>676</v>
      </c>
      <c r="B130" s="158" t="s">
        <v>793</v>
      </c>
      <c r="C130" s="158"/>
      <c r="D130" s="158"/>
      <c r="E130" s="158"/>
      <c r="F130" s="158"/>
      <c r="G130" s="158"/>
      <c r="H130" s="158"/>
      <c r="I130" s="158"/>
      <c r="J130" s="158"/>
      <c r="K130" s="158">
        <v>0</v>
      </c>
      <c r="L130" s="158"/>
      <c r="M130" s="158">
        <v>0</v>
      </c>
      <c r="N130" s="158"/>
      <c r="O130" s="158"/>
      <c r="P130" s="158">
        <v>0</v>
      </c>
    </row>
    <row r="131" ht="12.75" customHeight="1" spans="1:16" x14ac:dyDescent="0.25">
      <c r="A131" s="155" t="s">
        <v>695</v>
      </c>
      <c r="B131" s="158" t="s">
        <v>794</v>
      </c>
      <c r="C131" s="158"/>
      <c r="D131" s="158"/>
      <c r="E131" s="158"/>
      <c r="F131" s="158"/>
      <c r="G131" s="158"/>
      <c r="H131" s="158"/>
      <c r="I131" s="158"/>
      <c r="J131" s="158"/>
      <c r="K131" s="158">
        <v>0</v>
      </c>
      <c r="L131" s="158"/>
      <c r="M131" s="158">
        <v>0</v>
      </c>
      <c r="N131" s="158"/>
      <c r="O131" s="158"/>
      <c r="P131" s="158">
        <v>0</v>
      </c>
    </row>
    <row r="132" ht="12.75" customHeight="1" spans="1:16" x14ac:dyDescent="0.25">
      <c r="A132" s="155" t="s">
        <v>795</v>
      </c>
      <c r="B132" s="158" t="s">
        <v>796</v>
      </c>
      <c r="C132" s="158"/>
      <c r="D132" s="158"/>
      <c r="E132" s="158"/>
      <c r="F132" s="158"/>
      <c r="G132" s="158"/>
      <c r="H132" s="158"/>
      <c r="I132" s="158"/>
      <c r="J132" s="158"/>
      <c r="K132" s="158">
        <v>0</v>
      </c>
      <c r="L132" s="158"/>
      <c r="M132" s="158">
        <v>0</v>
      </c>
      <c r="N132" s="158"/>
      <c r="O132" s="158"/>
      <c r="P132" s="158">
        <v>0</v>
      </c>
    </row>
    <row r="133" ht="12.75" customHeight="1" spans="1:16" x14ac:dyDescent="0.25">
      <c r="A133" s="155" t="s">
        <v>797</v>
      </c>
      <c r="B133" s="158" t="s">
        <v>798</v>
      </c>
      <c r="C133" s="158"/>
      <c r="D133" s="158"/>
      <c r="E133" s="158"/>
      <c r="F133" s="158"/>
      <c r="G133" s="158"/>
      <c r="H133" s="158"/>
      <c r="I133" s="158"/>
      <c r="J133" s="158"/>
      <c r="K133" s="158">
        <v>0</v>
      </c>
      <c r="L133" s="158"/>
      <c r="M133" s="158">
        <v>0</v>
      </c>
      <c r="N133" s="158"/>
      <c r="O133" s="158"/>
      <c r="P133" s="158">
        <v>0</v>
      </c>
    </row>
    <row r="134" ht="12.75" customHeight="1" spans="1:16" x14ac:dyDescent="0.25">
      <c r="A134" s="158"/>
      <c r="B134" s="156"/>
      <c r="C134" s="157"/>
      <c r="D134" s="158"/>
      <c r="E134" s="159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 ht="12.75" customHeight="1" spans="1:16" x14ac:dyDescent="0.25">
      <c r="A135" s="151" t="s">
        <v>799</v>
      </c>
      <c r="B135" s="152"/>
      <c r="C135" s="153"/>
      <c r="D135" s="151"/>
      <c r="E135" s="154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</row>
    <row r="136" ht="12.75" customHeight="1" spans="1:16" x14ac:dyDescent="0.25">
      <c r="A136" s="155" t="s">
        <v>733</v>
      </c>
      <c r="B136" s="156" t="s">
        <v>800</v>
      </c>
      <c r="C136" s="157"/>
      <c r="D136" s="158"/>
      <c r="E136" s="159"/>
      <c r="F136" s="158"/>
      <c r="G136" s="158"/>
      <c r="H136" s="158"/>
      <c r="I136" s="158"/>
      <c r="J136" s="158"/>
      <c r="K136" s="158">
        <v>0</v>
      </c>
      <c r="L136" s="158"/>
      <c r="M136" s="158">
        <v>0</v>
      </c>
      <c r="N136" s="158"/>
      <c r="O136" s="158"/>
      <c r="P136" s="158">
        <v>0</v>
      </c>
    </row>
    <row r="137" ht="12.75" customHeight="1" spans="1:16" x14ac:dyDescent="0.25">
      <c r="A137" s="158"/>
      <c r="B137" s="156"/>
      <c r="C137" s="157"/>
      <c r="D137" s="158"/>
      <c r="E137" s="159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 ht="12.75" customHeight="1" spans="1:16" x14ac:dyDescent="0.25">
      <c r="A138" s="151" t="s">
        <v>801</v>
      </c>
      <c r="B138" s="152"/>
      <c r="C138" s="153"/>
      <c r="D138" s="151"/>
      <c r="E138" s="154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</row>
    <row r="139" ht="12.75" customHeight="1" spans="1:16" x14ac:dyDescent="0.25">
      <c r="A139" s="155" t="s">
        <v>628</v>
      </c>
      <c r="B139" s="156" t="s">
        <v>802</v>
      </c>
      <c r="C139" s="157"/>
      <c r="D139" s="158"/>
      <c r="E139" s="159"/>
      <c r="F139" s="158"/>
      <c r="G139" s="158"/>
      <c r="H139" s="158"/>
      <c r="I139" s="158"/>
      <c r="J139" s="158"/>
      <c r="K139" s="158">
        <v>626.13</v>
      </c>
      <c r="L139" s="158"/>
      <c r="M139" s="158">
        <v>0</v>
      </c>
      <c r="N139" s="158"/>
      <c r="O139" s="158"/>
      <c r="P139" s="158">
        <v>626.13</v>
      </c>
    </row>
    <row r="140" ht="12.75" customHeight="1" spans="1:16" x14ac:dyDescent="0.25">
      <c r="A140" s="155" t="s">
        <v>709</v>
      </c>
      <c r="B140" s="156" t="s">
        <v>803</v>
      </c>
      <c r="C140" s="157"/>
      <c r="D140" s="158"/>
      <c r="E140" s="159"/>
      <c r="F140" s="158"/>
      <c r="G140" s="158"/>
      <c r="H140" s="158"/>
      <c r="I140" s="158"/>
      <c r="J140" s="158"/>
      <c r="K140" s="158">
        <v>340.27</v>
      </c>
      <c r="L140" s="158"/>
      <c r="M140" s="158">
        <v>0</v>
      </c>
      <c r="N140" s="158"/>
      <c r="O140" s="158"/>
      <c r="P140" s="158">
        <v>340.27</v>
      </c>
    </row>
    <row r="141" ht="12.75" customHeight="1" spans="1:16" x14ac:dyDescent="0.25">
      <c r="A141" s="155" t="s">
        <v>725</v>
      </c>
      <c r="B141" s="156" t="s">
        <v>804</v>
      </c>
      <c r="C141" s="157"/>
      <c r="D141" s="158"/>
      <c r="E141" s="159"/>
      <c r="F141" s="158"/>
      <c r="G141" s="158"/>
      <c r="H141" s="158"/>
      <c r="I141" s="158"/>
      <c r="J141" s="158"/>
      <c r="K141" s="158">
        <v>63.35</v>
      </c>
      <c r="L141" s="158"/>
      <c r="M141" s="158">
        <v>0</v>
      </c>
      <c r="N141" s="158"/>
      <c r="O141" s="158"/>
      <c r="P141" s="158">
        <v>63.35</v>
      </c>
    </row>
    <row r="142" ht="12.75" customHeight="1" spans="1:16" x14ac:dyDescent="0.25">
      <c r="A142" s="155" t="s">
        <v>683</v>
      </c>
      <c r="B142" s="156" t="s">
        <v>805</v>
      </c>
      <c r="C142" s="157"/>
      <c r="D142" s="158"/>
      <c r="E142" s="159"/>
      <c r="F142" s="158"/>
      <c r="G142" s="158"/>
      <c r="H142" s="158"/>
      <c r="I142" s="158"/>
      <c r="J142" s="158"/>
      <c r="K142" s="158">
        <v>13.32</v>
      </c>
      <c r="L142" s="158"/>
      <c r="M142" s="158">
        <v>0</v>
      </c>
      <c r="N142" s="158"/>
      <c r="O142" s="158"/>
      <c r="P142" s="158">
        <v>13.32</v>
      </c>
    </row>
    <row r="143" ht="12.75" customHeight="1" spans="1:16" x14ac:dyDescent="0.25">
      <c r="A143" s="155" t="s">
        <v>780</v>
      </c>
      <c r="B143" s="158" t="s">
        <v>806</v>
      </c>
      <c r="C143" s="158"/>
      <c r="D143" s="158"/>
      <c r="E143" s="158"/>
      <c r="F143" s="158"/>
      <c r="G143" s="158"/>
      <c r="H143" s="158"/>
      <c r="I143" s="158"/>
      <c r="J143" s="158"/>
      <c r="K143" s="158">
        <v>213.33</v>
      </c>
      <c r="L143" s="158"/>
      <c r="M143" s="158">
        <v>0</v>
      </c>
      <c r="N143" s="158"/>
      <c r="O143" s="158"/>
      <c r="P143" s="158">
        <v>213.33</v>
      </c>
    </row>
    <row r="144" ht="12.75" customHeight="1" spans="1:16" x14ac:dyDescent="0.25">
      <c r="A144" s="155" t="s">
        <v>691</v>
      </c>
      <c r="B144" s="158" t="s">
        <v>807</v>
      </c>
      <c r="C144" s="158"/>
      <c r="D144" s="158"/>
      <c r="E144" s="158"/>
      <c r="F144" s="158"/>
      <c r="G144" s="158"/>
      <c r="H144" s="158"/>
      <c r="I144" s="158"/>
      <c r="J144" s="158"/>
      <c r="K144" s="158">
        <v>136.1</v>
      </c>
      <c r="L144" s="158"/>
      <c r="M144" s="158">
        <v>0</v>
      </c>
      <c r="N144" s="158"/>
      <c r="O144" s="158"/>
      <c r="P144" s="158">
        <v>136.1</v>
      </c>
    </row>
    <row r="145" ht="12.75" customHeight="1" spans="1:16" x14ac:dyDescent="0.25">
      <c r="A145" s="155" t="s">
        <v>808</v>
      </c>
      <c r="B145" s="158" t="s">
        <v>809</v>
      </c>
      <c r="C145" s="158"/>
      <c r="D145" s="158"/>
      <c r="E145" s="158"/>
      <c r="F145" s="158"/>
      <c r="G145" s="158"/>
      <c r="H145" s="158"/>
      <c r="I145" s="158"/>
      <c r="J145" s="158"/>
      <c r="K145" s="158">
        <v>0</v>
      </c>
      <c r="L145" s="158"/>
      <c r="M145" s="158">
        <v>0</v>
      </c>
      <c r="N145" s="158"/>
      <c r="O145" s="158"/>
      <c r="P145" s="158">
        <v>0</v>
      </c>
    </row>
    <row r="146" ht="12.75" customHeight="1" spans="1:16" x14ac:dyDescent="0.25">
      <c r="A146" s="155" t="s">
        <v>751</v>
      </c>
      <c r="B146" s="158" t="s">
        <v>810</v>
      </c>
      <c r="C146" s="158"/>
      <c r="D146" s="158"/>
      <c r="E146" s="158"/>
      <c r="F146" s="158"/>
      <c r="G146" s="158"/>
      <c r="H146" s="158"/>
      <c r="I146" s="158"/>
      <c r="J146" s="158"/>
      <c r="K146" s="158">
        <v>0</v>
      </c>
      <c r="L146" s="158"/>
      <c r="M146" s="158">
        <v>0</v>
      </c>
      <c r="N146" s="158"/>
      <c r="O146" s="158"/>
      <c r="P146" s="158">
        <v>0</v>
      </c>
    </row>
    <row r="147" ht="12.75" customHeight="1" spans="1:16" x14ac:dyDescent="0.25">
      <c r="A147" s="155" t="s">
        <v>705</v>
      </c>
      <c r="B147" s="158" t="s">
        <v>811</v>
      </c>
      <c r="C147" s="158"/>
      <c r="D147" s="158"/>
      <c r="E147" s="158"/>
      <c r="F147" s="158"/>
      <c r="G147" s="158"/>
      <c r="H147" s="158"/>
      <c r="I147" s="158"/>
      <c r="J147" s="158"/>
      <c r="K147" s="158">
        <v>29.77</v>
      </c>
      <c r="L147" s="158"/>
      <c r="M147" s="158">
        <v>0</v>
      </c>
      <c r="N147" s="158"/>
      <c r="O147" s="158"/>
      <c r="P147" s="158">
        <v>29.77</v>
      </c>
    </row>
    <row r="148" ht="12.75" customHeight="1" spans="1:16" x14ac:dyDescent="0.25">
      <c r="A148" s="161" t="s">
        <v>620</v>
      </c>
      <c r="B148" s="158" t="s">
        <v>812</v>
      </c>
      <c r="C148" s="158"/>
      <c r="D148" s="158"/>
      <c r="E148" s="158"/>
      <c r="F148" s="158"/>
      <c r="G148" s="158"/>
      <c r="H148" s="158"/>
      <c r="I148" s="158"/>
      <c r="J148" s="158"/>
      <c r="K148" s="158">
        <v>103.13</v>
      </c>
      <c r="L148" s="158"/>
      <c r="M148" s="158">
        <v>0</v>
      </c>
      <c r="N148" s="158"/>
      <c r="O148" s="158"/>
      <c r="P148" s="158">
        <v>103.13</v>
      </c>
    </row>
    <row r="149" ht="12.75" customHeight="1" spans="1:16" x14ac:dyDescent="0.25">
      <c r="A149" s="161" t="s">
        <v>668</v>
      </c>
      <c r="B149" s="158" t="s">
        <v>813</v>
      </c>
      <c r="C149" s="158"/>
      <c r="D149" s="158"/>
      <c r="E149" s="158"/>
      <c r="F149" s="158"/>
      <c r="G149" s="158"/>
      <c r="H149" s="158"/>
      <c r="I149" s="158"/>
      <c r="J149" s="158"/>
      <c r="K149" s="158">
        <v>39.24</v>
      </c>
      <c r="L149" s="158"/>
      <c r="M149" s="158">
        <v>0</v>
      </c>
      <c r="N149" s="158"/>
      <c r="O149" s="158"/>
      <c r="P149" s="158">
        <v>39.24</v>
      </c>
    </row>
    <row r="150" spans="1:16" x14ac:dyDescent="0.25">
      <c r="A150" s="161" t="s">
        <v>676</v>
      </c>
      <c r="B150" s="158" t="s">
        <v>814</v>
      </c>
      <c r="C150" s="158"/>
      <c r="D150" s="158"/>
      <c r="E150" s="158"/>
      <c r="F150" s="158"/>
      <c r="G150" s="158"/>
      <c r="H150" s="158"/>
      <c r="I150" s="158"/>
      <c r="J150" s="158"/>
      <c r="K150" s="158">
        <v>78.2</v>
      </c>
      <c r="L150" s="158"/>
      <c r="M150" s="158">
        <v>0</v>
      </c>
      <c r="N150" s="158"/>
      <c r="O150" s="158"/>
      <c r="P150" s="158">
        <v>78.2</v>
      </c>
    </row>
    <row r="151" spans="1:16" x14ac:dyDescent="0.25">
      <c r="A151" s="161" t="s">
        <v>815</v>
      </c>
      <c r="B151" s="158" t="s">
        <v>816</v>
      </c>
      <c r="C151" s="158"/>
      <c r="D151" s="158"/>
      <c r="E151" s="158"/>
      <c r="F151" s="158"/>
      <c r="G151" s="158"/>
      <c r="H151" s="158"/>
      <c r="I151" s="158"/>
      <c r="J151" s="158"/>
      <c r="K151" s="158">
        <v>21.03</v>
      </c>
      <c r="L151" s="158"/>
      <c r="M151" s="158">
        <v>0</v>
      </c>
      <c r="N151" s="158"/>
      <c r="O151" s="158"/>
      <c r="P151" s="158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40000000</v>
      </c>
      <c r="B7" s="41" t="s">
        <v>44</v>
      </c>
      <c r="C7" s="34">
        <f>IFERROR(VLOOKUP("1_"&amp;A7,SyS!$B:$P,10,FALSE()),0)</f>
        <v>0</v>
      </c>
      <c r="D7" s="35">
        <f>IFERROR(VLOOKUP("1_"&amp;A7,SyS!$B:$P,12,FALSE()),0)</f>
        <v>0</v>
      </c>
      <c r="E7" s="35">
        <f>+C7-D7</f>
        <v>0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7">
        <f>IFERROR(VLOOKUP("17_"&amp;A7,SyS!$B:$P,10,FALSE()),0)</f>
        <v>0</v>
      </c>
      <c r="AB7" s="38">
        <f>IFERROR(VLOOKUP("17_"&amp;A7,SyS!$B:$P,12,FALSE()),0)</f>
        <v>0</v>
      </c>
      <c r="AC7" s="39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8">
        <f>IFERROR(VLOOKUP("23_"&amp;A7,SyS!$B:$P,12,FALSE()),0)</f>
        <v>0</v>
      </c>
      <c r="AO7" s="39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3">
        <f>IFERROR(VLOOKUP("30_"&amp;A7,SyS!$B:$P,12,FALSE()),0)</f>
        <v>0</v>
      </c>
      <c r="BP7" s="44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1">
        <v>41000000</v>
      </c>
      <c r="B8" s="41" t="s">
        <v>45</v>
      </c>
      <c r="C8" s="34">
        <f>IFERROR(VLOOKUP("1_"&amp;A8,SyS!$B:$P,10,FALSE()),0)</f>
        <v>0</v>
      </c>
      <c r="D8" s="35">
        <f>IFERROR(VLOOKUP("1_"&amp;A8,SyS!$B:$P,12,FALSE()),0)</f>
        <v>0</v>
      </c>
      <c r="E8" s="35">
        <f>+C8-D8</f>
        <v>0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6">
        <f>IFERROR(VLOOKUP("30_"&amp;A8,SyS!$B:$P,10,FALSE()),0)</f>
        <v>0</v>
      </c>
      <c r="BO8" s="40">
        <f>IFERROR(VLOOKUP("30_"&amp;A8,SyS!$B:$P,12,FALSE()),0)</f>
        <v>0</v>
      </c>
      <c r="BP8" s="47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1">
        <v>41100000</v>
      </c>
      <c r="B9" s="41" t="s">
        <v>46</v>
      </c>
      <c r="C9" s="34">
        <f>IFERROR(VLOOKUP("1_"&amp;A9,SyS!$B:$P,10,FALSE()),0)</f>
        <v>0</v>
      </c>
      <c r="D9" s="35">
        <f>IFERROR(VLOOKUP("1_"&amp;A9,SyS!$B:$P,12,FALSE()),0)</f>
        <v>0</v>
      </c>
      <c r="E9" s="35">
        <f>+C9-D9</f>
        <v>0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6">
        <f>IFERROR(VLOOKUP("30_"&amp;A9,SyS!$B:$P,10,FALSE()),0)</f>
        <v>0</v>
      </c>
      <c r="BO9" s="40">
        <f>IFERROR(VLOOKUP("30_"&amp;A9,SyS!$B:$P,12,FALSE()),0)</f>
        <v>0</v>
      </c>
      <c r="BP9" s="47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1">
        <v>41200000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6">
        <f>IFERROR(VLOOKUP("30_"&amp;A10,SyS!$B:$P,10,FALSE()),0)</f>
        <v>0</v>
      </c>
      <c r="BO10" s="40">
        <f>IFERROR(VLOOKUP("30_"&amp;A10,SyS!$B:$P,12,FALSE()),0)</f>
        <v>0</v>
      </c>
      <c r="BP10" s="47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1">
        <v>41230000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6">
        <f>IFERROR(VLOOKUP("30_"&amp;A11,SyS!$B:$P,10,FALSE()),0)</f>
        <v>0</v>
      </c>
      <c r="BO11" s="40">
        <f>IFERROR(VLOOKUP("30_"&amp;A11,SyS!$B:$P,12,FALSE()),0)</f>
        <v>0</v>
      </c>
      <c r="BP11" s="47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1">
        <v>41210000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6">
        <f>IFERROR(VLOOKUP("30_"&amp;A12,SyS!$B:$P,10,FALSE()),0)</f>
        <v>0</v>
      </c>
      <c r="BO12" s="40">
        <f>IFERROR(VLOOKUP("30_"&amp;A12,SyS!$B:$P,12,FALSE()),0)</f>
        <v>0</v>
      </c>
      <c r="BP12" s="47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1">
        <v>42000000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6">
        <f>IFERROR(VLOOKUP("30_"&amp;A13,SyS!$B:$P,10,FALSE()),0)</f>
        <v>0</v>
      </c>
      <c r="BO13" s="40">
        <f>IFERROR(VLOOKUP("30_"&amp;A13,SyS!$B:$P,12,FALSE()),0)</f>
        <v>0</v>
      </c>
      <c r="BP13" s="47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1">
        <v>42100000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0</v>
      </c>
      <c r="AB14" s="35">
        <f>IFERROR(VLOOKUP("17_"&amp;A14,SyS!$B:$P,12,FALSE()),0)</f>
        <v>0</v>
      </c>
      <c r="AC14" s="36">
        <f>+AA14-AB14</f>
        <v>0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6">
        <f>IFERROR(VLOOKUP("30_"&amp;A14,SyS!$B:$P,10,FALSE()),0)</f>
        <v>0</v>
      </c>
      <c r="BO14" s="40">
        <f>IFERROR(VLOOKUP("30_"&amp;A14,SyS!$B:$P,12,FALSE()),0)</f>
        <v>0</v>
      </c>
      <c r="BP14" s="47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1">
        <v>42101000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0</v>
      </c>
      <c r="S15" s="35">
        <f>IFERROR(VLOOKUP("15_"&amp;A15,SyS!$B:$P,12,FALSE()),0)</f>
        <v>0</v>
      </c>
      <c r="T15" s="36">
        <f>+R15-S15</f>
        <v>0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0</v>
      </c>
      <c r="AB15" s="35">
        <f>IFERROR(VLOOKUP("17_"&amp;A15,SyS!$B:$P,12,FALSE()),0)</f>
        <v>0</v>
      </c>
      <c r="AC15" s="36">
        <f>+AA15-AB15</f>
        <v>0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6">
        <f>IFERROR(VLOOKUP("30_"&amp;A15,SyS!$B:$P,10,FALSE()),0)</f>
        <v>0</v>
      </c>
      <c r="BO15" s="40">
        <f>IFERROR(VLOOKUP("30_"&amp;A15,SyS!$B:$P,12,FALSE()),0)</f>
        <v>0</v>
      </c>
      <c r="BP15" s="47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1">
        <v>42102000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6">
        <f>IFERROR(VLOOKUP("30_"&amp;A16,SyS!$B:$P,10,FALSE()),0)</f>
        <v>0</v>
      </c>
      <c r="BO16" s="40">
        <f>IFERROR(VLOOKUP("30_"&amp;A16,SyS!$B:$P,12,FALSE()),0)</f>
        <v>0</v>
      </c>
      <c r="BP16" s="47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1">
        <v>421030000</v>
      </c>
      <c r="B17" s="41" t="s">
        <v>54</v>
      </c>
      <c r="C17" s="34">
        <f>IFERROR(VLOOKUP("1_"&amp;A17,SyS!$B:$P,10,FALSE()),0)</f>
        <v>1248.27</v>
      </c>
      <c r="D17" s="35">
        <f>IFERROR(VLOOKUP("1_"&amp;A17,SyS!$B:$P,12,FALSE()),0)</f>
        <v>0</v>
      </c>
      <c r="E17" s="35">
        <f>+C17-D17</f>
        <v>1248.27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0</v>
      </c>
      <c r="S17" s="35">
        <f>IFERROR(VLOOKUP("15_"&amp;A17,SyS!$B:$P,12,FALSE()),0)</f>
        <v>0</v>
      </c>
      <c r="T17" s="36">
        <f>+R17-S17</f>
        <v>0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0</v>
      </c>
      <c r="AB17" s="35">
        <f>IFERROR(VLOOKUP("17_"&amp;A17,SyS!$B:$P,12,FALSE()),0)</f>
        <v>0</v>
      </c>
      <c r="AC17" s="36">
        <f>+AA17-AB17</f>
        <v>0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6">
        <f>IFERROR(VLOOKUP("30_"&amp;A17,SyS!$B:$P,10,FALSE()),0)</f>
        <v>0</v>
      </c>
      <c r="BO17" s="40">
        <f>IFERROR(VLOOKUP("30_"&amp;A17,SyS!$B:$P,12,FALSE()),0)</f>
        <v>0</v>
      </c>
      <c r="BP17" s="47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1">
        <v>42104000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6">
        <f>IFERROR(VLOOKUP("30_"&amp;A18,SyS!$B:$P,10,FALSE()),0)</f>
        <v>0</v>
      </c>
      <c r="BO18" s="40">
        <f>IFERROR(VLOOKUP("30_"&amp;A18,SyS!$B:$P,12,FALSE()),0)</f>
        <v>0</v>
      </c>
      <c r="BP18" s="47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1">
        <v>421050000</v>
      </c>
      <c r="B19" s="41" t="s">
        <v>56</v>
      </c>
      <c r="C19" s="34">
        <f>IFERROR(VLOOKUP("1_"&amp;A19,SyS!$B:$P,10,FALSE()),0)</f>
        <v>1911.15</v>
      </c>
      <c r="D19" s="35">
        <f>IFERROR(VLOOKUP("1_"&amp;A19,SyS!$B:$P,12,FALSE()),0)</f>
        <v>0</v>
      </c>
      <c r="E19" s="35">
        <f>+C19-D19</f>
        <v>1911.15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6">
        <f>IFERROR(VLOOKUP("30_"&amp;A19,SyS!$B:$P,10,FALSE()),0)</f>
        <v>0</v>
      </c>
      <c r="BO19" s="40">
        <f>IFERROR(VLOOKUP("30_"&amp;A19,SyS!$B:$P,12,FALSE()),0)</f>
        <v>0</v>
      </c>
      <c r="BP19" s="47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1">
        <v>421060000</v>
      </c>
      <c r="B20" s="41" t="s">
        <v>57</v>
      </c>
      <c r="C20" s="34">
        <f>IFERROR(VLOOKUP("1_"&amp;A20,SyS!$B:$P,10,FALSE()),0)</f>
        <v>554.77</v>
      </c>
      <c r="D20" s="35">
        <f>IFERROR(VLOOKUP("1_"&amp;A20,SyS!$B:$P,12,FALSE()),0)</f>
        <v>0</v>
      </c>
      <c r="E20" s="35">
        <f>+C20-D20</f>
        <v>554.77</v>
      </c>
      <c r="F20" s="34">
        <f>IFERROR(VLOOKUP("2_"&amp;A20,SyS!$B:$P,10,FALSE()),0)</f>
        <v>0</v>
      </c>
      <c r="G20" s="35">
        <f>IFERROR(VLOOKUP("2_"&amp;A20,SyS!$B:$P,12,FALSE()),0)</f>
        <v>0</v>
      </c>
      <c r="H20" s="36">
        <f>+F20-G20</f>
        <v>0</v>
      </c>
      <c r="I20" s="35"/>
      <c r="J20" s="35"/>
      <c r="K20" s="35"/>
      <c r="L20" s="35"/>
      <c r="M20" s="35"/>
      <c r="N20" s="35"/>
      <c r="O20" s="34">
        <f>IFERROR(VLOOKUP("14_"&amp;A20,SyS!$B:$P,10,FALSE()),0)</f>
        <v>0</v>
      </c>
      <c r="P20" s="35">
        <f>IFERROR(VLOOKUP("14_"&amp;A20,SyS!$B:$P,12,FALSE()),0)</f>
        <v>0</v>
      </c>
      <c r="Q20" s="36">
        <f>+O20-P20</f>
        <v>0</v>
      </c>
      <c r="R20" s="34">
        <f>IFERROR(VLOOKUP("15_"&amp;A20,SyS!$B:$P,10,FALSE()),0)</f>
        <v>0</v>
      </c>
      <c r="S20" s="35">
        <f>IFERROR(VLOOKUP("15_"&amp;A20,SyS!$B:$P,12,FALSE()),0)</f>
        <v>0</v>
      </c>
      <c r="T20" s="36">
        <f>+R20-S20</f>
        <v>0</v>
      </c>
      <c r="U20" s="34">
        <f>IFERROR(VLOOKUP("16_"&amp;A20,SyS!$B:$P,10,FALSE()),0)</f>
        <v>0</v>
      </c>
      <c r="V20" s="35">
        <f>IFERROR(VLOOKUP("16_"&amp;A20,SyS!$B:$P,12,FALSE()),0)</f>
        <v>0</v>
      </c>
      <c r="W20" s="36">
        <f>+U20-V20</f>
        <v>0</v>
      </c>
      <c r="X20" s="34">
        <f>IFERROR(VLOOKUP("13_"&amp;A20,SyS!$B:$P,10,FALSE()),0)</f>
        <v>0</v>
      </c>
      <c r="Y20" s="35">
        <f>IFERROR(VLOOKUP("13_"&amp;A20,SyS!$B:$P,12,FALSE()),0)</f>
        <v>0</v>
      </c>
      <c r="Z20" s="36">
        <f>+X20-Y20</f>
        <v>0</v>
      </c>
      <c r="AA20" s="34">
        <f>IFERROR(VLOOKUP("17_"&amp;A20,SyS!$B:$P,10,FALSE()),0)</f>
        <v>0</v>
      </c>
      <c r="AB20" s="35">
        <f>IFERROR(VLOOKUP("17_"&amp;A20,SyS!$B:$P,12,FALSE()),0)</f>
        <v>0</v>
      </c>
      <c r="AC20" s="36">
        <f>+AA20-AB20</f>
        <v>0</v>
      </c>
      <c r="AD20" s="35"/>
      <c r="AE20" s="35"/>
      <c r="AF20" s="35"/>
      <c r="AG20" s="35">
        <f>IFERROR(VLOOKUP("19_"&amp;A20,SyS!$B:$P,10,FALSE()),0)</f>
        <v>0</v>
      </c>
      <c r="AH20" s="35">
        <f>IFERROR(VLOOKUP("19_"&amp;A20,SyS!$B:$P,12,FALSE()),0)</f>
        <v>0</v>
      </c>
      <c r="AI20" s="35">
        <f>+AG20-AH20</f>
        <v>0</v>
      </c>
      <c r="AJ20" s="35"/>
      <c r="AK20" s="35"/>
      <c r="AL20" s="35"/>
      <c r="AM20" s="35">
        <f>IFERROR(VLOOKUP("23_"&amp;A20,SyS!$B:$P,10,FALSE()),0)</f>
        <v>0</v>
      </c>
      <c r="AN20" s="35">
        <f>IFERROR(VLOOKUP("23_"&amp;A20,SyS!$B:$P,12,FALSE()),0)</f>
        <v>0</v>
      </c>
      <c r="AO20" s="36">
        <f>+AM20-AN20</f>
        <v>0</v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  <v>0</v>
      </c>
      <c r="BL20" s="40">
        <f>IFERROR(VLOOKUP("29_"&amp;A20,SyS!$B:$P,12,FALSE()),0)</f>
        <v>0</v>
      </c>
      <c r="BM20" s="40">
        <f>+BK20-BL20</f>
        <v>0</v>
      </c>
      <c r="BN20" s="46">
        <f>IFERROR(VLOOKUP("30_"&amp;A20,SyS!$B:$P,10,FALSE()),0)</f>
        <v>0</v>
      </c>
      <c r="BO20" s="40">
        <f>IFERROR(VLOOKUP("30_"&amp;A20,SyS!$B:$P,12,FALSE()),0)</f>
        <v>0</v>
      </c>
      <c r="BP20" s="47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1">
        <v>42107000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5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6">
        <f>IFERROR(VLOOKUP("30_"&amp;A21,SyS!$B:$P,10,FALSE()),0)</f>
        <v>0</v>
      </c>
      <c r="BO21" s="40">
        <f>IFERROR(VLOOKUP("30_"&amp;A21,SyS!$B:$P,12,FALSE()),0)</f>
        <v>0</v>
      </c>
      <c r="BP21" s="47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1">
        <v>42108000</v>
      </c>
      <c r="B22" s="48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5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6">
        <f>IFERROR(VLOOKUP("30_"&amp;A22,SyS!$B:$P,10,FALSE()),0)</f>
        <v>0</v>
      </c>
      <c r="BO22" s="40">
        <f>IFERROR(VLOOKUP("30_"&amp;A22,SyS!$B:$P,12,FALSE()),0)</f>
        <v>0</v>
      </c>
      <c r="BP22" s="47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1">
        <v>42109000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5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6">
        <f>IFERROR(VLOOKUP("30_"&amp;A23,SyS!$B:$P,10,FALSE()),0)</f>
        <v>0</v>
      </c>
      <c r="BO23" s="40">
        <f>IFERROR(VLOOKUP("30_"&amp;A23,SyS!$B:$P,12,FALSE()),0)</f>
        <v>0</v>
      </c>
      <c r="BP23" s="47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1">
        <v>42110000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5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6">
        <f>IFERROR(VLOOKUP("30_"&amp;A24,SyS!$B:$P,10,FALSE()),0)</f>
        <v>0</v>
      </c>
      <c r="BO24" s="40">
        <f>IFERROR(VLOOKUP("30_"&amp;A24,SyS!$B:$P,12,FALSE()),0)</f>
        <v>0</v>
      </c>
      <c r="BP24" s="47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1">
        <v>42111000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5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6">
        <f>IFERROR(VLOOKUP("30_"&amp;A25,SyS!$B:$P,10,FALSE()),0)</f>
        <v>0</v>
      </c>
      <c r="BO25" s="40">
        <f>IFERROR(VLOOKUP("30_"&amp;A25,SyS!$B:$P,12,FALSE()),0)</f>
        <v>0</v>
      </c>
      <c r="BP25" s="47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1">
        <v>42112000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5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6">
        <f>IFERROR(VLOOKUP("30_"&amp;A26,SyS!$B:$P,10,FALSE()),0)</f>
        <v>0</v>
      </c>
      <c r="BO26" s="40">
        <f>IFERROR(VLOOKUP("30_"&amp;A26,SyS!$B:$P,12,FALSE()),0)</f>
        <v>0</v>
      </c>
      <c r="BP26" s="47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1">
        <v>42113000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5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6">
        <f>IFERROR(VLOOKUP("30_"&amp;A27,SyS!$B:$P,10,FALSE()),0)</f>
        <v>0</v>
      </c>
      <c r="BO27" s="40">
        <f>IFERROR(VLOOKUP("30_"&amp;A27,SyS!$B:$P,12,FALSE()),0)</f>
        <v>0</v>
      </c>
      <c r="BP27" s="47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1">
        <v>421170000</v>
      </c>
      <c r="B28" s="41" t="s">
        <v>65</v>
      </c>
      <c r="C28" s="34">
        <f>IFERROR(VLOOKUP("1_"&amp;A28,SyS!$B:$P,10,FALSE()),0)</f>
        <v>0</v>
      </c>
      <c r="D28" s="35">
        <f>IFERROR(VLOOKUP("1_"&amp;A28,SyS!$B:$P,12,FALSE()),0)</f>
        <v>0</v>
      </c>
      <c r="E28" s="35">
        <f>+C28-D28</f>
        <v>0</v>
      </c>
      <c r="F28" s="34">
        <f>IFERROR(VLOOKUP("2_"&amp;A28,SyS!$B:$P,10,FALSE()),0)</f>
        <v>0</v>
      </c>
      <c r="G28" s="35">
        <f>IFERROR(VLOOKUP("2_"&amp;A28,SyS!$B:$P,12,FALSE()),0)</f>
        <v>0</v>
      </c>
      <c r="H28" s="36">
        <f>+F28-G28</f>
        <v>0</v>
      </c>
      <c r="I28" s="35"/>
      <c r="J28" s="35"/>
      <c r="K28" s="35"/>
      <c r="L28" s="35"/>
      <c r="M28" s="35"/>
      <c r="N28" s="35"/>
      <c r="O28" s="34">
        <f>IFERROR(VLOOKUP("14_"&amp;A28,SyS!$B:$P,10,FALSE()),0)</f>
        <v>0</v>
      </c>
      <c r="P28" s="35">
        <f>IFERROR(VLOOKUP("14_"&amp;A28,SyS!$B:$P,12,FALSE()),0)</f>
        <v>0</v>
      </c>
      <c r="Q28" s="36">
        <f>+O28-P28</f>
        <v>0</v>
      </c>
      <c r="R28" s="34">
        <f>IFERROR(VLOOKUP("15_"&amp;A28,SyS!$B:$P,10,FALSE()),0)</f>
        <v>0</v>
      </c>
      <c r="S28" s="35">
        <f>IFERROR(VLOOKUP("15_"&amp;A28,SyS!$B:$P,12,FALSE()),0)</f>
        <v>0</v>
      </c>
      <c r="T28" s="36">
        <f>+R28-S28</f>
        <v>0</v>
      </c>
      <c r="U28" s="34">
        <f>IFERROR(VLOOKUP("16_"&amp;A28,SyS!$B:$P,10,FALSE()),0)</f>
        <v>0</v>
      </c>
      <c r="V28" s="35">
        <f>IFERROR(VLOOKUP("16_"&amp;A28,SyS!$B:$P,12,FALSE()),0)</f>
        <v>0</v>
      </c>
      <c r="W28" s="36">
        <f>+U28-V28</f>
        <v>0</v>
      </c>
      <c r="X28" s="34">
        <f>IFERROR(VLOOKUP("13_"&amp;A28,SyS!$B:$P,10,FALSE()),0)</f>
        <v>0</v>
      </c>
      <c r="Y28" s="35">
        <f>IFERROR(VLOOKUP("13_"&amp;A28,SyS!$B:$P,12,FALSE()),0)</f>
        <v>0</v>
      </c>
      <c r="Z28" s="36">
        <f>+X28-Y28</f>
        <v>0</v>
      </c>
      <c r="AA28" s="34">
        <f>IFERROR(VLOOKUP("17_"&amp;A28,SyS!$B:$P,10,FALSE()),0)</f>
        <v>0</v>
      </c>
      <c r="AB28" s="35">
        <f>IFERROR(VLOOKUP("17_"&amp;A28,SyS!$B:$P,12,FALSE()),0)</f>
        <v>0</v>
      </c>
      <c r="AC28" s="36">
        <f>+AA28-AB28</f>
        <v>0</v>
      </c>
      <c r="AD28" s="35"/>
      <c r="AE28" s="35"/>
      <c r="AF28" s="35"/>
      <c r="AG28" s="35">
        <f>IFERROR(VLOOKUP("19_"&amp;A28,SyS!$B:$P,10,FALSE()),0)</f>
        <v>0</v>
      </c>
      <c r="AH28" s="35">
        <f>IFERROR(VLOOKUP("19_"&amp;A28,SyS!$B:$P,12,FALSE()),0)</f>
        <v>0</v>
      </c>
      <c r="AI28" s="35">
        <f>+AG28-AH28</f>
        <v>0</v>
      </c>
      <c r="AJ28" s="35"/>
      <c r="AK28" s="35"/>
      <c r="AL28" s="35"/>
      <c r="AM28" s="35">
        <f>IFERROR(VLOOKUP("23_"&amp;A28,SyS!$B:$P,10,FALSE()),0)</f>
        <v>0</v>
      </c>
      <c r="AN28" s="35">
        <f>IFERROR(VLOOKUP("23_"&amp;A28,SyS!$B:$P,12,FALSE()),0)</f>
        <v>0</v>
      </c>
      <c r="AO28" s="36">
        <f>+AM28-AN28</f>
        <v>0</v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  <v>0</v>
      </c>
      <c r="BL28" s="40">
        <f>IFERROR(VLOOKUP("29_"&amp;A28,SyS!$B:$P,12,FALSE()),0)</f>
        <v>0</v>
      </c>
      <c r="BM28" s="40">
        <f>+BK28-BL28</f>
        <v>0</v>
      </c>
      <c r="BN28" s="46">
        <f>IFERROR(VLOOKUP("30_"&amp;A28,SyS!$B:$P,10,FALSE()),0)</f>
        <v>0</v>
      </c>
      <c r="BO28" s="40">
        <f>IFERROR(VLOOKUP("30_"&amp;A28,SyS!$B:$P,12,FALSE()),0)</f>
        <v>0</v>
      </c>
      <c r="BP28" s="47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1">
        <v>42200000</v>
      </c>
      <c r="B29" s="41" t="s">
        <v>66</v>
      </c>
      <c r="C29" s="34">
        <f>IFERROR(VLOOKUP("1_"&amp;A29,SyS!$B:$P,10,FALSE()),0)</f>
        <v>0</v>
      </c>
      <c r="D29" s="35">
        <f>IFERROR(VLOOKUP("1_"&amp;A29,SyS!$B:$P,12,FALSE()),0)</f>
        <v>0</v>
      </c>
      <c r="E29" s="35">
        <f>+C29-D29</f>
        <v>0</v>
      </c>
      <c r="F29" s="34">
        <f>IFERROR(VLOOKUP("2_"&amp;A29,SyS!$B:$P,10,FALSE()),0)</f>
        <v>0</v>
      </c>
      <c r="G29" s="35">
        <f>IFERROR(VLOOKUP("2_"&amp;A29,SyS!$B:$P,12,FALSE()),0)</f>
        <v>0</v>
      </c>
      <c r="H29" s="36">
        <f>+F29-G29</f>
        <v>0</v>
      </c>
      <c r="I29" s="35"/>
      <c r="J29" s="35"/>
      <c r="K29" s="35"/>
      <c r="L29" s="35"/>
      <c r="M29" s="35"/>
      <c r="N29" s="35"/>
      <c r="O29" s="34">
        <f>IFERROR(VLOOKUP("14_"&amp;A29,SyS!$B:$P,10,FALSE()),0)</f>
        <v>0</v>
      </c>
      <c r="P29" s="35">
        <f>IFERROR(VLOOKUP("14_"&amp;A29,SyS!$B:$P,12,FALSE()),0)</f>
        <v>0</v>
      </c>
      <c r="Q29" s="36">
        <f>+O29-P29</f>
        <v>0</v>
      </c>
      <c r="R29" s="34">
        <f>IFERROR(VLOOKUP("15_"&amp;A29,SyS!$B:$P,10,FALSE()),0)</f>
        <v>0</v>
      </c>
      <c r="S29" s="35">
        <f>IFERROR(VLOOKUP("15_"&amp;A29,SyS!$B:$P,12,FALSE()),0)</f>
        <v>0</v>
      </c>
      <c r="T29" s="36">
        <f>+R29-S29</f>
        <v>0</v>
      </c>
      <c r="U29" s="34">
        <f>IFERROR(VLOOKUP("16_"&amp;A29,SyS!$B:$P,10,FALSE()),0)</f>
        <v>0</v>
      </c>
      <c r="V29" s="35">
        <f>IFERROR(VLOOKUP("16_"&amp;A29,SyS!$B:$P,12,FALSE()),0)</f>
        <v>0</v>
      </c>
      <c r="W29" s="36">
        <f>+U29-V29</f>
        <v>0</v>
      </c>
      <c r="X29" s="34">
        <f>IFERROR(VLOOKUP("13_"&amp;A29,SyS!$B:$P,10,FALSE()),0)</f>
        <v>0</v>
      </c>
      <c r="Y29" s="35">
        <f>IFERROR(VLOOKUP("13_"&amp;A29,SyS!$B:$P,12,FALSE()),0)</f>
        <v>0</v>
      </c>
      <c r="Z29" s="36">
        <f>+X29-Y29</f>
        <v>0</v>
      </c>
      <c r="AA29" s="34">
        <f>IFERROR(VLOOKUP("17_"&amp;A29,SyS!$B:$P,10,FALSE()),0)</f>
        <v>0</v>
      </c>
      <c r="AB29" s="35">
        <f>IFERROR(VLOOKUP("17_"&amp;A29,SyS!$B:$P,12,FALSE()),0)</f>
        <v>0</v>
      </c>
      <c r="AC29" s="36">
        <f>+AA29-AB29</f>
        <v>0</v>
      </c>
      <c r="AD29" s="35"/>
      <c r="AE29" s="35"/>
      <c r="AF29" s="35"/>
      <c r="AG29" s="35">
        <f>IFERROR(VLOOKUP("19_"&amp;A29,SyS!$B:$P,10,FALSE()),0)</f>
        <v>0</v>
      </c>
      <c r="AH29" s="35">
        <f>IFERROR(VLOOKUP("19_"&amp;A29,SyS!$B:$P,12,FALSE()),0)</f>
        <v>0</v>
      </c>
      <c r="AI29" s="35">
        <f>+AG29-AH29</f>
        <v>0</v>
      </c>
      <c r="AJ29" s="35"/>
      <c r="AK29" s="35"/>
      <c r="AL29" s="35"/>
      <c r="AM29" s="35">
        <f>IFERROR(VLOOKUP("23_"&amp;A29,SyS!$B:$P,10,FALSE()),0)</f>
        <v>0</v>
      </c>
      <c r="AN29" s="35">
        <f>IFERROR(VLOOKUP("23_"&amp;A29,SyS!$B:$P,12,FALSE()),0)</f>
        <v>0</v>
      </c>
      <c r="AO29" s="36">
        <f>+AM29-AN29</f>
        <v>0</v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  <v>0</v>
      </c>
      <c r="BL29" s="40">
        <f>IFERROR(VLOOKUP("29_"&amp;A29,SyS!$B:$P,12,FALSE()),0)</f>
        <v>0</v>
      </c>
      <c r="BM29" s="40">
        <f>+BK29-BL29</f>
        <v>0</v>
      </c>
      <c r="BN29" s="46">
        <f>IFERROR(VLOOKUP("30_"&amp;A29,SyS!$B:$P,10,FALSE()),0)</f>
        <v>0</v>
      </c>
      <c r="BO29" s="40">
        <f>IFERROR(VLOOKUP("30_"&amp;A29,SyS!$B:$P,12,FALSE()),0)</f>
        <v>0</v>
      </c>
      <c r="BP29" s="47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1">
        <v>42201000</v>
      </c>
      <c r="B30" s="41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0</v>
      </c>
      <c r="G30" s="35">
        <f>IFERROR(VLOOKUP("2_"&amp;A30,SyS!$B:$P,12,FALSE()),0)</f>
        <v>0</v>
      </c>
      <c r="H30" s="36">
        <f>+F30-G30</f>
        <v>0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5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6">
        <f>IFERROR(VLOOKUP("30_"&amp;A30,SyS!$B:$P,10,FALSE()),0)</f>
        <v>0</v>
      </c>
      <c r="BO30" s="40">
        <f>IFERROR(VLOOKUP("30_"&amp;A30,SyS!$B:$P,12,FALSE()),0)</f>
        <v>0</v>
      </c>
      <c r="BP30" s="47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1">
        <v>42202000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0</v>
      </c>
      <c r="G31" s="35">
        <f>IFERROR(VLOOKUP("2_"&amp;A31,SyS!$B:$P,12,FALSE()),0)</f>
        <v>0</v>
      </c>
      <c r="H31" s="36">
        <f>+F31-G31</f>
        <v>0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5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6">
        <f>IFERROR(VLOOKUP("30_"&amp;A31,SyS!$B:$P,10,FALSE()),0)</f>
        <v>0</v>
      </c>
      <c r="BO31" s="40">
        <f>IFERROR(VLOOKUP("30_"&amp;A31,SyS!$B:$P,12,FALSE()),0)</f>
        <v>0</v>
      </c>
      <c r="BP31" s="47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1">
        <v>42203000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5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6">
        <f>IFERROR(VLOOKUP("30_"&amp;A32,SyS!$B:$P,10,FALSE()),0)</f>
        <v>0</v>
      </c>
      <c r="BO32" s="40">
        <f>IFERROR(VLOOKUP("30_"&amp;A32,SyS!$B:$P,12,FALSE()),0)</f>
        <v>0</v>
      </c>
      <c r="BP32" s="47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1">
        <v>42204000</v>
      </c>
      <c r="B33" s="41" t="s">
        <v>70</v>
      </c>
      <c r="C33" s="34">
        <f>IFERROR(VLOOKUP("1_"&amp;A33,SyS!$B:$P,10,FALSE()),0)</f>
        <v>0</v>
      </c>
      <c r="D33" s="35">
        <f>IFERROR(VLOOKUP("1_"&amp;A33,SyS!$B:$P,12,FALSE()),0)</f>
        <v>0</v>
      </c>
      <c r="E33" s="35">
        <f>+C33-D33</f>
        <v>0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5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6">
        <f>IFERROR(VLOOKUP("30_"&amp;A33,SyS!$B:$P,10,FALSE()),0)</f>
        <v>0</v>
      </c>
      <c r="BO33" s="40">
        <f>IFERROR(VLOOKUP("30_"&amp;A33,SyS!$B:$P,12,FALSE()),0)</f>
        <v>0</v>
      </c>
      <c r="BP33" s="47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1">
        <v>42207000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0</v>
      </c>
      <c r="G34" s="35">
        <f>IFERROR(VLOOKUP("2_"&amp;A34,SyS!$B:$P,12,FALSE()),0)</f>
        <v>0</v>
      </c>
      <c r="H34" s="36">
        <f>+F34-G34</f>
        <v>0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0</v>
      </c>
      <c r="S34" s="35">
        <f>IFERROR(VLOOKUP("15_"&amp;A34,SyS!$B:$P,12,FALSE()),0)</f>
        <v>0</v>
      </c>
      <c r="T34" s="36">
        <f>+R34-S34</f>
        <v>0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0</v>
      </c>
      <c r="AB34" s="35">
        <f>IFERROR(VLOOKUP("17_"&amp;A34,SyS!$B:$P,12,FALSE()),0)</f>
        <v>0</v>
      </c>
      <c r="AC34" s="36">
        <f>+AA34-AB34</f>
        <v>0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5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6">
        <f>IFERROR(VLOOKUP("30_"&amp;A34,SyS!$B:$P,10,FALSE()),0)</f>
        <v>0</v>
      </c>
      <c r="BO34" s="40">
        <f>IFERROR(VLOOKUP("30_"&amp;A34,SyS!$B:$P,12,FALSE()),0)</f>
        <v>0</v>
      </c>
      <c r="BP34" s="47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1">
        <v>42208000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5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6">
        <f>IFERROR(VLOOKUP("30_"&amp;A35,SyS!$B:$P,10,FALSE()),0)</f>
        <v>0</v>
      </c>
      <c r="BO35" s="40">
        <f>IFERROR(VLOOKUP("30_"&amp;A35,SyS!$B:$P,12,FALSE()),0)</f>
        <v>0</v>
      </c>
      <c r="BP35" s="47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1">
        <v>42209000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5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6">
        <f>IFERROR(VLOOKUP("30_"&amp;A36,SyS!$B:$P,10,FALSE()),0)</f>
        <v>0</v>
      </c>
      <c r="BO36" s="40">
        <f>IFERROR(VLOOKUP("30_"&amp;A36,SyS!$B:$P,12,FALSE()),0)</f>
        <v>0</v>
      </c>
      <c r="BP36" s="47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1">
        <v>42221000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5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6">
        <f>IFERROR(VLOOKUP("30_"&amp;A37,SyS!$B:$P,10,FALSE()),0)</f>
        <v>0</v>
      </c>
      <c r="BO37" s="40">
        <f>IFERROR(VLOOKUP("30_"&amp;A37,SyS!$B:$P,12,FALSE()),0)</f>
        <v>0</v>
      </c>
      <c r="BP37" s="47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1">
        <v>42211000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5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6">
        <f>IFERROR(VLOOKUP("30_"&amp;A38,SyS!$B:$P,10,FALSE()),0)</f>
        <v>0</v>
      </c>
      <c r="BO38" s="40">
        <f>IFERROR(VLOOKUP("30_"&amp;A38,SyS!$B:$P,12,FALSE()),0)</f>
        <v>0</v>
      </c>
      <c r="BP38" s="47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1">
        <v>42213000</v>
      </c>
      <c r="B39" s="41" t="s">
        <v>76</v>
      </c>
      <c r="C39" s="34">
        <f>IFERROR(VLOOKUP("1_"&amp;A39,SyS!$B:$P,10,FALSE()),0)</f>
        <v>0</v>
      </c>
      <c r="D39" s="35">
        <f>IFERROR(VLOOKUP("1_"&amp;A39,SyS!$B:$P,12,FALSE()),0)</f>
        <v>0</v>
      </c>
      <c r="E39" s="35">
        <f>+C39-D39</f>
        <v>0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5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6">
        <f>IFERROR(VLOOKUP("30_"&amp;A39,SyS!$B:$P,10,FALSE()),0)</f>
        <v>0</v>
      </c>
      <c r="BO39" s="40">
        <f>IFERROR(VLOOKUP("30_"&amp;A39,SyS!$B:$P,12,FALSE()),0)</f>
        <v>0</v>
      </c>
      <c r="BP39" s="47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1">
        <v>42114000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5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6">
        <f>IFERROR(VLOOKUP("30_"&amp;A40,SyS!$B:$P,10,FALSE()),0)</f>
        <v>0</v>
      </c>
      <c r="BO40" s="40">
        <f>IFERROR(VLOOKUP("30_"&amp;A40,SyS!$B:$P,12,FALSE()),0)</f>
        <v>0</v>
      </c>
      <c r="BP40" s="47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1">
        <v>42115000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0</v>
      </c>
      <c r="G41" s="35">
        <f>IFERROR(VLOOKUP("2_"&amp;A41,SyS!$B:$P,12,FALSE()),0)</f>
        <v>0</v>
      </c>
      <c r="H41" s="36">
        <f>+F41-G41</f>
        <v>0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5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6">
        <f>IFERROR(VLOOKUP("30_"&amp;A41,SyS!$B:$P,10,FALSE()),0)</f>
        <v>0</v>
      </c>
      <c r="BO41" s="40">
        <f>IFERROR(VLOOKUP("30_"&amp;A41,SyS!$B:$P,12,FALSE()),0)</f>
        <v>0</v>
      </c>
      <c r="BP41" s="47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1">
        <v>42215000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5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6">
        <f>IFERROR(VLOOKUP("30_"&amp;A42,SyS!$B:$P,10,FALSE()),0)</f>
        <v>0</v>
      </c>
      <c r="BO42" s="40">
        <f>IFERROR(VLOOKUP("30_"&amp;A42,SyS!$B:$P,12,FALSE()),0)</f>
        <v>0</v>
      </c>
      <c r="BP42" s="47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1">
        <v>42216000</v>
      </c>
      <c r="B43" s="41" t="s">
        <v>80</v>
      </c>
      <c r="C43" s="34">
        <f>IFERROR(VLOOKUP("1_"&amp;A43,SyS!$B:$P,10,FALSE()),0)</f>
        <v>0</v>
      </c>
      <c r="D43" s="35">
        <f>IFERROR(VLOOKUP("1_"&amp;A43,SyS!$B:$P,12,FALSE()),0)</f>
        <v>0</v>
      </c>
      <c r="E43" s="35">
        <f>+C43-D43</f>
        <v>0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>
        <f>+U43-V43</f>
        <v>0</v>
      </c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5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6">
        <f>IFERROR(VLOOKUP("30_"&amp;A43,SyS!$B:$P,10,FALSE()),0)</f>
        <v>0</v>
      </c>
      <c r="BO43" s="40">
        <f>IFERROR(VLOOKUP("30_"&amp;A43,SyS!$B:$P,12,FALSE()),0)</f>
        <v>0</v>
      </c>
      <c r="BP43" s="47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1">
        <v>42217000</v>
      </c>
      <c r="B44" s="41" t="s">
        <v>81</v>
      </c>
      <c r="C44" s="34">
        <f>IFERROR(VLOOKUP("1_"&amp;A44,SyS!$B:$P,10,FALSE()),0)</f>
        <v>0</v>
      </c>
      <c r="D44" s="35">
        <f>IFERROR(VLOOKUP("1_"&amp;A44,SyS!$B:$P,12,FALSE()),0)</f>
        <v>0</v>
      </c>
      <c r="E44" s="35">
        <f>+C44-D44</f>
        <v>0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5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6">
        <f>IFERROR(VLOOKUP("30_"&amp;A44,SyS!$B:$P,10,FALSE()),0)</f>
        <v>0</v>
      </c>
      <c r="BO44" s="40">
        <f>IFERROR(VLOOKUP("30_"&amp;A44,SyS!$B:$P,12,FALSE()),0)</f>
        <v>0</v>
      </c>
      <c r="BP44" s="47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1">
        <v>42219000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5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6">
        <f>IFERROR(VLOOKUP("30_"&amp;A45,SyS!$B:$P,10,FALSE()),0)</f>
        <v>0</v>
      </c>
      <c r="BO45" s="40">
        <f>IFERROR(VLOOKUP("30_"&amp;A45,SyS!$B:$P,12,FALSE()),0)</f>
        <v>0</v>
      </c>
      <c r="BP45" s="47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1">
        <v>42220000</v>
      </c>
      <c r="B46" s="41" t="s">
        <v>83</v>
      </c>
      <c r="C46" s="34">
        <f>IFERROR(VLOOKUP("1_"&amp;A46,SyS!$B:$P,10,FALSE()),0)</f>
        <v>0</v>
      </c>
      <c r="D46" s="35">
        <f>IFERROR(VLOOKUP("1_"&amp;A46,SyS!$B:$P,12,FALSE()),0)</f>
        <v>0</v>
      </c>
      <c r="E46" s="35">
        <f>+C46-D46</f>
        <v>0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5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6">
        <f>IFERROR(VLOOKUP("30_"&amp;A46,SyS!$B:$P,10,FALSE()),0)</f>
        <v>0</v>
      </c>
      <c r="BO46" s="40">
        <f>IFERROR(VLOOKUP("30_"&amp;A46,SyS!$B:$P,12,FALSE()),0)</f>
        <v>0</v>
      </c>
      <c r="BP46" s="47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1">
        <v>42230000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5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6">
        <f>IFERROR(VLOOKUP("30_"&amp;A47,SyS!$B:$P,10,FALSE()),0)</f>
        <v>0</v>
      </c>
      <c r="BO47" s="40">
        <f>IFERROR(VLOOKUP("30_"&amp;A47,SyS!$B:$P,12,FALSE()),0)</f>
        <v>0</v>
      </c>
      <c r="BP47" s="47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1">
        <v>42218000</v>
      </c>
      <c r="B48" s="41" t="s">
        <v>85</v>
      </c>
      <c r="C48" s="34">
        <f>IFERROR(VLOOKUP("1_"&amp;A48,SyS!$B:$P,10,FALSE()),0)</f>
        <v>0</v>
      </c>
      <c r="D48" s="35">
        <f>IFERROR(VLOOKUP("1_"&amp;A48,SyS!$B:$P,12,FALSE()),0)</f>
        <v>0</v>
      </c>
      <c r="E48" s="35">
        <f>+C48-D48</f>
        <v>0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5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6">
        <f>IFERROR(VLOOKUP("30_"&amp;A48,SyS!$B:$P,10,FALSE()),0)</f>
        <v>0</v>
      </c>
      <c r="BO48" s="40">
        <f>IFERROR(VLOOKUP("30_"&amp;A48,SyS!$B:$P,12,FALSE()),0)</f>
        <v>0</v>
      </c>
      <c r="BP48" s="47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1">
        <v>42222000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0</v>
      </c>
      <c r="G49" s="35">
        <f>IFERROR(VLOOKUP("2_"&amp;A49,SyS!$B:$P,12,FALSE()),0)</f>
        <v>0</v>
      </c>
      <c r="H49" s="36">
        <f>+F49-G49</f>
        <v>0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5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6">
        <f>IFERROR(VLOOKUP("30_"&amp;A49,SyS!$B:$P,10,FALSE()),0)</f>
        <v>0</v>
      </c>
      <c r="BO49" s="40">
        <f>IFERROR(VLOOKUP("30_"&amp;A49,SyS!$B:$P,12,FALSE()),0)</f>
        <v>0</v>
      </c>
      <c r="BP49" s="47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1">
        <v>42300000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5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6">
        <f>IFERROR(VLOOKUP("30_"&amp;A50,SyS!$B:$P,10,FALSE()),0)</f>
        <v>0</v>
      </c>
      <c r="BO50" s="40">
        <f>IFERROR(VLOOKUP("30_"&amp;A50,SyS!$B:$P,12,FALSE()),0)</f>
        <v>0</v>
      </c>
      <c r="BP50" s="47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1">
        <v>42301000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5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6">
        <f>IFERROR(VLOOKUP("30_"&amp;A51,SyS!$B:$P,10,FALSE()),0)</f>
        <v>0</v>
      </c>
      <c r="BO51" s="40">
        <f>IFERROR(VLOOKUP("30_"&amp;A51,SyS!$B:$P,12,FALSE()),0)</f>
        <v>0</v>
      </c>
      <c r="BP51" s="47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1">
        <v>42302000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5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6">
        <f>IFERROR(VLOOKUP("30_"&amp;A52,SyS!$B:$P,10,FALSE()),0)</f>
        <v>0</v>
      </c>
      <c r="BO52" s="40">
        <f>IFERROR(VLOOKUP("30_"&amp;A52,SyS!$B:$P,12,FALSE()),0)</f>
        <v>0</v>
      </c>
      <c r="BP52" s="47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1">
        <v>433100000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5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6">
        <f>IFERROR(VLOOKUP("30_"&amp;A53,SyS!$B:$P,10,FALSE()),0)</f>
        <v>0</v>
      </c>
      <c r="BO53" s="40">
        <f>IFERROR(VLOOKUP("30_"&amp;A53,SyS!$B:$P,12,FALSE()),0)</f>
        <v>0</v>
      </c>
      <c r="BP53" s="47">
        <f>+BN53-BO53</f>
        <v>0</v>
      </c>
      <c r="BQ53" s="45">
        <f>+E53+H53+K53+N53+Q53+T53+W53+Z53+AC53+AF53+AI53+AL53+AO53+AR53+AU53+AX53+BA53+BD53+BG53+BJ53+BM53+BP53</f>
        <v>0</v>
      </c>
    </row>
    <row r="54" ht="11.25" customHeight="1" spans="1:69" x14ac:dyDescent="0.25">
      <c r="A54" s="41">
        <v>42303000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5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6">
        <f>IFERROR(VLOOKUP("30_"&amp;A54,SyS!$B:$P,10,FALSE()),0)</f>
        <v>0</v>
      </c>
      <c r="BO54" s="40">
        <f>IFERROR(VLOOKUP("30_"&amp;A54,SyS!$B:$P,12,FALSE()),0)</f>
        <v>0</v>
      </c>
      <c r="BP54" s="47">
        <f>+BN54-BO54</f>
        <v>0</v>
      </c>
      <c r="BQ54" s="45">
        <f>+E54+H54+K54+N54+Q54+T54+W54+Z54+AC54+AF54+AI54+AL54+AO54+AR54+AU54+AX54+BA54+BD54+BG54+BJ54+BM54+BP54</f>
        <v>0</v>
      </c>
    </row>
    <row r="55" ht="11.25" customHeight="1" spans="1:69" x14ac:dyDescent="0.25">
      <c r="A55" s="41">
        <v>423040000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5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6">
        <f>IFERROR(VLOOKUP("30_"&amp;A55,SyS!$B:$P,10,FALSE()),0)</f>
        <v>0</v>
      </c>
      <c r="BO55" s="40">
        <f>IFERROR(VLOOKUP("30_"&amp;A55,SyS!$B:$P,12,FALSE()),0)</f>
        <v>0</v>
      </c>
      <c r="BP55" s="47">
        <f>+BN55-BO55</f>
        <v>0</v>
      </c>
      <c r="BQ55" s="45">
        <f>+E55+H55+K55+N55+Q55+T55+W55+Z55+AC55+AF55+AI55+AL55+AO55+AR55+AU55+AX55+BA55+BD55+BG55+BJ55+BM55+BP55</f>
        <v>0</v>
      </c>
    </row>
    <row r="56" ht="11.25" customHeight="1" spans="1:69" x14ac:dyDescent="0.25">
      <c r="A56" s="41">
        <v>42305000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0</v>
      </c>
      <c r="G56" s="35">
        <f>IFERROR(VLOOKUP("2_"&amp;A56,SyS!$B:$P,12,FALSE()),0)</f>
        <v>0</v>
      </c>
      <c r="H56" s="36">
        <f>+F56-G56</f>
        <v>0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5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6">
        <f>IFERROR(VLOOKUP("30_"&amp;A56,SyS!$B:$P,10,FALSE()),0)</f>
        <v>0</v>
      </c>
      <c r="BO56" s="40">
        <f>IFERROR(VLOOKUP("30_"&amp;A56,SyS!$B:$P,12,FALSE()),0)</f>
        <v>0</v>
      </c>
      <c r="BP56" s="47">
        <f>+BN56-BO56</f>
        <v>0</v>
      </c>
      <c r="BQ56" s="45">
        <f>+E56+H56+K56+N56+Q56+T56+W56+Z56+AC56+AF56+AI56+AL56+AO56+AR56+AU56+AX56+BA56+BD56+BG56+BJ56+BM56+BP56</f>
        <v>0</v>
      </c>
    </row>
    <row r="57" ht="11.25" customHeight="1" spans="1:69" x14ac:dyDescent="0.25">
      <c r="A57" s="41">
        <v>42307000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5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6">
        <f>IFERROR(VLOOKUP("30_"&amp;A57,SyS!$B:$P,10,FALSE()),0)</f>
        <v>0</v>
      </c>
      <c r="BO57" s="40">
        <f>IFERROR(VLOOKUP("30_"&amp;A57,SyS!$B:$P,12,FALSE()),0)</f>
        <v>0</v>
      </c>
      <c r="BP57" s="47">
        <f>+BN57-BO57</f>
        <v>0</v>
      </c>
      <c r="BQ57" s="45">
        <f>+E57+H57+K57+N57+Q57+T57+W57+Z57+AC57+AF57+AI57+AL57+AO57+AR57+AU57+AX57+BA57+BD57+BG57+BJ57+BM57+BP57</f>
        <v>0</v>
      </c>
    </row>
    <row r="58" ht="11.25" customHeight="1" spans="1:69" x14ac:dyDescent="0.25">
      <c r="A58" s="41">
        <v>42308000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0</v>
      </c>
      <c r="G58" s="35">
        <f>IFERROR(VLOOKUP("2_"&amp;A58,SyS!$B:$P,12,FALSE()),0)</f>
        <v>0</v>
      </c>
      <c r="H58" s="36">
        <f>+F58-G58</f>
        <v>0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5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6">
        <f>IFERROR(VLOOKUP("30_"&amp;A58,SyS!$B:$P,10,FALSE()),0)</f>
        <v>0</v>
      </c>
      <c r="BO58" s="40">
        <f>IFERROR(VLOOKUP("30_"&amp;A58,SyS!$B:$P,12,FALSE()),0)</f>
        <v>0</v>
      </c>
      <c r="BP58" s="47">
        <f>+BN58-BO58</f>
        <v>0</v>
      </c>
      <c r="BQ58" s="45">
        <f>+E58+H58+K58+N58+Q58+T58+W58+Z58+AC58+AF58+AI58+AL58+AO58+AR58+AU58+AX58+BA58+BD58+BG58+BJ58+BM58+BP58</f>
        <v>0</v>
      </c>
    </row>
    <row r="59" ht="11.25" customHeight="1" spans="1:69" x14ac:dyDescent="0.25">
      <c r="A59" s="41">
        <v>42309000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5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6">
        <f>IFERROR(VLOOKUP("30_"&amp;A59,SyS!$B:$P,10,FALSE()),0)</f>
        <v>0</v>
      </c>
      <c r="BO59" s="40">
        <f>IFERROR(VLOOKUP("30_"&amp;A59,SyS!$B:$P,12,FALSE()),0)</f>
        <v>0</v>
      </c>
      <c r="BP59" s="47">
        <f>+BN59-BO59</f>
        <v>0</v>
      </c>
      <c r="BQ59" s="45">
        <f>+E59+H59+K59+N59+Q59+T59+W59+Z59+AC59+AF59+AI59+AL59+AO59+AR59+AU59+AX59+BA59+BD59+BG59+BJ59+BM59+BP59</f>
        <v>0</v>
      </c>
    </row>
    <row r="60" ht="11.25" customHeight="1" spans="1:69" x14ac:dyDescent="0.25">
      <c r="A60" s="41">
        <v>423100000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5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6">
        <f>IFERROR(VLOOKUP("30_"&amp;A60,SyS!$B:$P,10,FALSE()),0)</f>
        <v>0</v>
      </c>
      <c r="BO60" s="40">
        <f>IFERROR(VLOOKUP("30_"&amp;A60,SyS!$B:$P,12,FALSE()),0)</f>
        <v>0</v>
      </c>
      <c r="BP60" s="47">
        <f>+BN60-BO60</f>
        <v>0</v>
      </c>
      <c r="BQ60" s="45">
        <f>+E60+H60+K60+N60+Q60+T60+W60+Z60+AC60+AF60+AI60+AL60+AO60+AR60+AU60+AX60+BA60+BD60+BG60+BJ60+BM60+BP60</f>
        <v>0</v>
      </c>
    </row>
    <row r="61" ht="11.25" customHeight="1" spans="1:69" x14ac:dyDescent="0.25">
      <c r="A61" s="41">
        <v>42311000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5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6">
        <f>IFERROR(VLOOKUP("30_"&amp;A61,SyS!$B:$P,10,FALSE()),0)</f>
        <v>0</v>
      </c>
      <c r="BO61" s="40">
        <f>IFERROR(VLOOKUP("30_"&amp;A61,SyS!$B:$P,12,FALSE()),0)</f>
        <v>0</v>
      </c>
      <c r="BP61" s="47">
        <f>+BN61-BO61</f>
        <v>0</v>
      </c>
      <c r="BQ61" s="45">
        <f>+E61+H61+K61+N61+Q61+T61+W61+Z61+AC61+AF61+AI61+AL61+AO61+AR61+AU61+AX61+BA61+BD61+BG61+BJ61+BM61+BP61</f>
        <v>0</v>
      </c>
    </row>
    <row r="62" ht="11.25" customHeight="1" spans="1:69" x14ac:dyDescent="0.25">
      <c r="A62" s="41">
        <v>42400000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5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6">
        <f>IFERROR(VLOOKUP("30_"&amp;A62,SyS!$B:$P,10,FALSE()),0)</f>
        <v>0</v>
      </c>
      <c r="BO62" s="40">
        <f>IFERROR(VLOOKUP("30_"&amp;A62,SyS!$B:$P,12,FALSE()),0)</f>
        <v>0</v>
      </c>
      <c r="BP62" s="47">
        <f>+BN62-BO62</f>
        <v>0</v>
      </c>
      <c r="BQ62" s="45">
        <f>+E62+H62+K62+N62+Q62+T62+W62+Z62+AC62+AF62+AI62+AL62+AO62+AR62+AU62+AX62+BA62+BD62+BG62+BJ62+BM62+BP62</f>
        <v>0</v>
      </c>
    </row>
    <row r="63" ht="11.25" customHeight="1" spans="1:69" x14ac:dyDescent="0.25">
      <c r="A63" s="41">
        <v>42411000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5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6">
        <f>IFERROR(VLOOKUP("30_"&amp;A63,SyS!$B:$P,10,FALSE()),0)</f>
        <v>0</v>
      </c>
      <c r="BO63" s="40">
        <f>IFERROR(VLOOKUP("30_"&amp;A63,SyS!$B:$P,12,FALSE()),0)</f>
        <v>0</v>
      </c>
      <c r="BP63" s="47">
        <f>+BN63-BO63</f>
        <v>0</v>
      </c>
      <c r="BQ63" s="45">
        <f>+E63+H63+K63+N63+Q63+T63+W63+Z63+AC63+AF63+AI63+AL63+AO63+AR63+AU63+AX63+BA63+BD63+BG63+BJ63+BM63+BP63</f>
        <v>0</v>
      </c>
    </row>
    <row r="64" ht="11.25" customHeight="1" spans="1:69" x14ac:dyDescent="0.25">
      <c r="A64" s="41">
        <v>42412000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5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6">
        <f>IFERROR(VLOOKUP("30_"&amp;A64,SyS!$B:$P,10,FALSE()),0)</f>
        <v>0</v>
      </c>
      <c r="BO64" s="40">
        <f>IFERROR(VLOOKUP("30_"&amp;A64,SyS!$B:$P,12,FALSE()),0)</f>
        <v>0</v>
      </c>
      <c r="BP64" s="47">
        <f>+BN64-BO64</f>
        <v>0</v>
      </c>
      <c r="BQ64" s="45">
        <f>+E64+H64+K64+N64+Q64+T64+W64+Z64+AC64+AF64+AI64+AL64+AO64+AR64+AU64+AX64+BA64+BD64+BG64+BJ64+BM64+BP64</f>
        <v>0</v>
      </c>
    </row>
    <row r="65" ht="11.25" customHeight="1" spans="1:69" x14ac:dyDescent="0.25">
      <c r="A65" s="41">
        <v>42413000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5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6">
        <f>IFERROR(VLOOKUP("30_"&amp;A65,SyS!$B:$P,10,FALSE()),0)</f>
        <v>0</v>
      </c>
      <c r="BO65" s="40">
        <f>IFERROR(VLOOKUP("30_"&amp;A65,SyS!$B:$P,12,FALSE()),0)</f>
        <v>0</v>
      </c>
      <c r="BP65" s="47">
        <f>+BN65-BO65</f>
        <v>0</v>
      </c>
      <c r="BQ65" s="45">
        <f>+E65+H65+K65+N65+Q65+T65+W65+Z65+AC65+AF65+AI65+AL65+AO65+AR65+AU65+AX65+BA65+BD65+BG65+BJ65+BM65+BP65</f>
        <v>0</v>
      </c>
    </row>
    <row r="66" ht="11.25" customHeight="1" spans="1:69" x14ac:dyDescent="0.25">
      <c r="A66" s="41">
        <v>42414000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5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6">
        <f>IFERROR(VLOOKUP("30_"&amp;A66,SyS!$B:$P,10,FALSE()),0)</f>
        <v>0</v>
      </c>
      <c r="BO66" s="40">
        <f>IFERROR(VLOOKUP("30_"&amp;A66,SyS!$B:$P,12,FALSE()),0)</f>
        <v>0</v>
      </c>
      <c r="BP66" s="47">
        <f>+BN66-BO66</f>
        <v>0</v>
      </c>
      <c r="BQ66" s="45">
        <f>+E66+H66+K66+N66+Q66+T66+W66+Z66+AC66+AF66+AI66+AL66+AO66+AR66+AU66+AX66+BA66+BD66+BG66+BJ66+BM66+BP66</f>
        <v>0</v>
      </c>
    </row>
    <row r="67" ht="11.25" customHeight="1" spans="1:69" x14ac:dyDescent="0.25">
      <c r="A67" s="41">
        <v>42415000</v>
      </c>
      <c r="B67" s="41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5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6">
        <f>IFERROR(VLOOKUP("30_"&amp;A67,SyS!$B:$P,10,FALSE()),0)</f>
        <v>0</v>
      </c>
      <c r="BO67" s="40">
        <f>IFERROR(VLOOKUP("30_"&amp;A67,SyS!$B:$P,12,FALSE()),0)</f>
        <v>0</v>
      </c>
      <c r="BP67" s="47">
        <f>+BN67-BO67</f>
        <v>0</v>
      </c>
      <c r="BQ67" s="45">
        <f>+E67+H67+K67+N67+Q67+T67+W67+Z67+AC67+AF67+AI67+AL67+AO67+AR67+AU67+AX67+BA67+BD67+BG67+BJ67+BM67+BP67</f>
        <v>0</v>
      </c>
    </row>
    <row r="68" ht="11.25" customHeight="1" spans="1:69" x14ac:dyDescent="0.25">
      <c r="A68" s="41">
        <v>42416000</v>
      </c>
      <c r="B68" s="41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5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6">
        <f>IFERROR(VLOOKUP("30_"&amp;A68,SyS!$B:$P,10,FALSE()),0)</f>
        <v>0</v>
      </c>
      <c r="BO68" s="40">
        <f>IFERROR(VLOOKUP("30_"&amp;A68,SyS!$B:$P,12,FALSE()),0)</f>
        <v>0</v>
      </c>
      <c r="BP68" s="47">
        <f>+BN68-BO68</f>
        <v>0</v>
      </c>
      <c r="BQ68" s="45">
        <f>+E68+H68+K68+N68+Q68+T68+W68+Z68+AC68+AF68+AI68+AL68+AO68+AR68+AU68+AX68+BA68+BD68+BG68+BJ68+BM68+BP68</f>
        <v>0</v>
      </c>
    </row>
    <row r="69" ht="11.25" customHeight="1" spans="1:69" x14ac:dyDescent="0.25">
      <c r="A69" s="41">
        <v>42417000</v>
      </c>
      <c r="B69" s="41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5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6">
        <f>IFERROR(VLOOKUP("30_"&amp;A69,SyS!$B:$P,10,FALSE()),0)</f>
        <v>0</v>
      </c>
      <c r="BO69" s="40">
        <f>IFERROR(VLOOKUP("30_"&amp;A69,SyS!$B:$P,12,FALSE()),0)</f>
        <v>0</v>
      </c>
      <c r="BP69" s="47">
        <f>+BN69-BO69</f>
        <v>0</v>
      </c>
      <c r="BQ69" s="45">
        <f>+E69+H69+K69+N69+Q69+T69+W69+Z69+AC69+AF69+AI69+AL69+AO69+AR69+AU69+AX69+BA69+BD69+BG69+BJ69+BM69+BP69</f>
        <v>0</v>
      </c>
    </row>
    <row r="70" ht="11.25" customHeight="1" spans="1:69" x14ac:dyDescent="0.25">
      <c r="A70" s="41">
        <v>42418000</v>
      </c>
      <c r="B70" s="41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5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6">
        <f>IFERROR(VLOOKUP("30_"&amp;A70,SyS!$B:$P,10,FALSE()),0)</f>
        <v>0</v>
      </c>
      <c r="BO70" s="40">
        <f>IFERROR(VLOOKUP("30_"&amp;A70,SyS!$B:$P,12,FALSE()),0)</f>
        <v>0</v>
      </c>
      <c r="BP70" s="47">
        <f>+BN70-BO70</f>
        <v>0</v>
      </c>
      <c r="BQ70" s="45">
        <f>+E70+H70+K70+N70+Q70+T70+W70+Z70+AC70+AF70+AI70+AL70+AO70+AR70+AU70+AX70+BA70+BD70+BG70+BJ70+BM70+BP70</f>
        <v>0</v>
      </c>
    </row>
    <row r="71" ht="11.25" customHeight="1" spans="1:69" x14ac:dyDescent="0.25">
      <c r="A71" s="41">
        <v>42419000</v>
      </c>
      <c r="B71" s="41" t="s">
        <v>108</v>
      </c>
      <c r="C71" s="34">
        <f>IFERROR(VLOOKUP("1_"&amp;A71,SyS!$B:$P,10,FALSE()),0)</f>
        <v>0</v>
      </c>
      <c r="D71" s="35">
        <f>IFERROR(VLOOKUP("1_"&amp;A71,SyS!$B:$P,12,FALSE()),0)</f>
        <v>0</v>
      </c>
      <c r="E71" s="35">
        <f>+C71-D71</f>
        <v>0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5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6">
        <f>IFERROR(VLOOKUP("30_"&amp;A71,SyS!$B:$P,10,FALSE()),0)</f>
        <v>0</v>
      </c>
      <c r="BO71" s="40">
        <f>IFERROR(VLOOKUP("30_"&amp;A71,SyS!$B:$P,12,FALSE()),0)</f>
        <v>0</v>
      </c>
      <c r="BP71" s="47">
        <f>+BN71-BO71</f>
        <v>0</v>
      </c>
      <c r="BQ71" s="45">
        <f>+E71+H71+K71+N71+Q71+T71+W71+Z71+AC71+AF71+AI71+AL71+AO71+AR71+AU71+AX71+BA71+BD71+BG71+BJ71+BM71+BP71</f>
        <v>0</v>
      </c>
    </row>
    <row r="72" ht="11.25" customHeight="1" spans="1:69" x14ac:dyDescent="0.25">
      <c r="A72" s="41">
        <v>42420000</v>
      </c>
      <c r="B72" s="41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5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6">
        <f>IFERROR(VLOOKUP("30_"&amp;A72,SyS!$B:$P,10,FALSE()),0)</f>
        <v>0</v>
      </c>
      <c r="BO72" s="40">
        <f>IFERROR(VLOOKUP("30_"&amp;A72,SyS!$B:$P,12,FALSE()),0)</f>
        <v>0</v>
      </c>
      <c r="BP72" s="47">
        <f>+BN72-BO72</f>
        <v>0</v>
      </c>
      <c r="BQ72" s="45">
        <f>+E72+H72+K72+N72+Q72+T72+W72+Z72+AC72+AF72+AI72+AL72+AO72+AR72+AU72+AX72+BA72+BD72+BG72+BJ72+BM72+BP72</f>
        <v>0</v>
      </c>
    </row>
    <row r="73" ht="11.25" customHeight="1" spans="1:69" x14ac:dyDescent="0.25">
      <c r="A73" s="41">
        <v>42421000</v>
      </c>
      <c r="B73" s="41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5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6">
        <f>IFERROR(VLOOKUP("30_"&amp;A73,SyS!$B:$P,10,FALSE()),0)</f>
        <v>0</v>
      </c>
      <c r="BO73" s="40">
        <f>IFERROR(VLOOKUP("30_"&amp;A73,SyS!$B:$P,12,FALSE()),0)</f>
        <v>0</v>
      </c>
      <c r="BP73" s="47">
        <f>+BN73-BO73</f>
        <v>0</v>
      </c>
      <c r="BQ73" s="45">
        <f>+E73+H73+K73+N73+Q73+T73+W73+Z73+AC73+AF73+AI73+AL73+AO73+AR73+AU73+AX73+BA73+BD73+BG73+BJ73+BM73+BP73</f>
        <v>0</v>
      </c>
    </row>
    <row r="74" ht="11.25" customHeight="1" spans="1:69" x14ac:dyDescent="0.25">
      <c r="A74" s="41">
        <v>424220000</v>
      </c>
      <c r="B74" s="41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5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6">
        <f>IFERROR(VLOOKUP("30_"&amp;A74,SyS!$B:$P,10,FALSE()),0)</f>
        <v>0</v>
      </c>
      <c r="BO74" s="40">
        <f>IFERROR(VLOOKUP("30_"&amp;A74,SyS!$B:$P,12,FALSE()),0)</f>
        <v>0</v>
      </c>
      <c r="BP74" s="47">
        <f>+BN74-BO74</f>
        <v>0</v>
      </c>
      <c r="BQ74" s="45">
        <f>+E74+H74+K74+N74+Q74+T74+W74+Z74+AC74+AF74+AI74+AL74+AO74+AR74+AU74+AX74+BA74+BD74+BG74+BJ74+BM74+BP74</f>
        <v>0</v>
      </c>
    </row>
    <row r="75" ht="11.25" customHeight="1" spans="1:69" x14ac:dyDescent="0.25">
      <c r="A75" s="41">
        <v>42423000</v>
      </c>
      <c r="B75" s="41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5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6">
        <f>IFERROR(VLOOKUP("30_"&amp;A75,SyS!$B:$P,10,FALSE()),0)</f>
        <v>0</v>
      </c>
      <c r="BO75" s="40">
        <f>IFERROR(VLOOKUP("30_"&amp;A75,SyS!$B:$P,12,FALSE()),0)</f>
        <v>0</v>
      </c>
      <c r="BP75" s="47">
        <f>+BN75-BO75</f>
        <v>0</v>
      </c>
      <c r="BQ75" s="45">
        <f>+E75+H75+K75+N75+Q75+T75+W75+Z75+AC75+AF75+AI75+AL75+AO75+AR75+AU75+AX75+BA75+BD75+BG75+BJ75+BM75+BP75</f>
        <v>0</v>
      </c>
    </row>
    <row r="76" ht="11.25" customHeight="1" spans="1:69" x14ac:dyDescent="0.25">
      <c r="A76" s="41">
        <v>42424000</v>
      </c>
      <c r="B76" s="41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5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6">
        <f>IFERROR(VLOOKUP("30_"&amp;A76,SyS!$B:$P,10,FALSE()),0)</f>
        <v>0</v>
      </c>
      <c r="BO76" s="40">
        <f>IFERROR(VLOOKUP("30_"&amp;A76,SyS!$B:$P,12,FALSE()),0)</f>
        <v>0</v>
      </c>
      <c r="BP76" s="47">
        <f>+BN76-BO76</f>
        <v>0</v>
      </c>
      <c r="BQ76" s="45">
        <f>+E76+H76+K76+N76+Q76+T76+W76+Z76+AC76+AF76+AI76+AL76+AO76+AR76+AU76+AX76+BA76+BD76+BG76+BJ76+BM76+BP76</f>
        <v>0</v>
      </c>
    </row>
    <row r="77" ht="11.25" customHeight="1" spans="1:69" x14ac:dyDescent="0.25">
      <c r="A77" s="41">
        <v>42425000</v>
      </c>
      <c r="B77" s="41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5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6">
        <f>IFERROR(VLOOKUP("30_"&amp;A77,SyS!$B:$P,10,FALSE()),0)</f>
        <v>0</v>
      </c>
      <c r="BO77" s="40">
        <f>IFERROR(VLOOKUP("30_"&amp;A77,SyS!$B:$P,12,FALSE()),0)</f>
        <v>0</v>
      </c>
      <c r="BP77" s="47">
        <f>+BN77-BO77</f>
        <v>0</v>
      </c>
      <c r="BQ77" s="45">
        <f>+E77+H77+K77+N77+Q77+T77+W77+Z77+AC77+AF77+AI77+AL77+AO77+AR77+AU77+AX77+BA77+BD77+BG77+BJ77+BM77+BP77</f>
        <v>0</v>
      </c>
    </row>
    <row r="78" ht="11.25" customHeight="1" spans="1:69" x14ac:dyDescent="0.25">
      <c r="A78" s="41">
        <v>426160000</v>
      </c>
      <c r="B78" s="41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5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6">
        <f>IFERROR(VLOOKUP("30_"&amp;A78,SyS!$B:$P,10,FALSE()),0)</f>
        <v>0</v>
      </c>
      <c r="BO78" s="40">
        <f>IFERROR(VLOOKUP("30_"&amp;A78,SyS!$B:$P,12,FALSE()),0)</f>
        <v>0</v>
      </c>
      <c r="BP78" s="47">
        <f>+BN78-BO78</f>
        <v>0</v>
      </c>
      <c r="BQ78" s="45">
        <f>+E78+H78+K78+N78+Q78+T78+W78+Z78+AC78+AF78+AI78+AL78+AO78+AR78+AU78+AX78+BA78+BD78+BG78+BJ78+BM78+BP78</f>
        <v>0</v>
      </c>
    </row>
    <row r="79" ht="11.25" customHeight="1" spans="1:69" x14ac:dyDescent="0.25">
      <c r="A79" s="41">
        <v>42426000</v>
      </c>
      <c r="B79" s="41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5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6">
        <f>IFERROR(VLOOKUP("30_"&amp;A79,SyS!$B:$P,10,FALSE()),0)</f>
        <v>0</v>
      </c>
      <c r="BO79" s="40">
        <f>IFERROR(VLOOKUP("30_"&amp;A79,SyS!$B:$P,12,FALSE()),0)</f>
        <v>0</v>
      </c>
      <c r="BP79" s="47">
        <f>+BN79-BO79</f>
        <v>0</v>
      </c>
      <c r="BQ79" s="45">
        <f>+E79+H79+K79+N79+Q79+T79+W79+Z79+AC79+AF79+AI79+AL79+AO79+AR79+AU79+AX79+BA79+BD79+BG79+BJ79+BM79+BP79</f>
        <v>0</v>
      </c>
    </row>
    <row r="80" ht="11.25" customHeight="1" spans="1:69" x14ac:dyDescent="0.25">
      <c r="A80" s="41">
        <v>42427000</v>
      </c>
      <c r="B80" s="41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5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6">
        <f>IFERROR(VLOOKUP("30_"&amp;A80,SyS!$B:$P,10,FALSE()),0)</f>
        <v>0</v>
      </c>
      <c r="BO80" s="40">
        <f>IFERROR(VLOOKUP("30_"&amp;A80,SyS!$B:$P,12,FALSE()),0)</f>
        <v>0</v>
      </c>
      <c r="BP80" s="47">
        <f>+BN80-BO80</f>
        <v>0</v>
      </c>
      <c r="BQ80" s="45">
        <f>+E80+H80+K80+N80+Q80+T80+W80+Z80+AC80+AF80+AI80+AL80+AO80+AR80+AU80+AX80+BA80+BD80+BG80+BJ80+BM80+BP80</f>
        <v>0</v>
      </c>
    </row>
    <row r="81" ht="11.25" customHeight="1" spans="1:69" x14ac:dyDescent="0.25">
      <c r="A81" s="41">
        <v>42428000</v>
      </c>
      <c r="B81" s="41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5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6">
        <f>IFERROR(VLOOKUP("30_"&amp;A81,SyS!$B:$P,10,FALSE()),0)</f>
        <v>0</v>
      </c>
      <c r="BO81" s="40">
        <f>IFERROR(VLOOKUP("30_"&amp;A81,SyS!$B:$P,12,FALSE()),0)</f>
        <v>0</v>
      </c>
      <c r="BP81" s="47">
        <f>+BN81-BO81</f>
        <v>0</v>
      </c>
      <c r="BQ81" s="45">
        <f>+E81+H81+K81+N81+Q81+T81+W81+Z81+AC81+AF81+AI81+AL81+AO81+AR81+AU81+AX81+BA81+BD81+BG81+BJ81+BM81+BP81</f>
        <v>0</v>
      </c>
    </row>
    <row r="82" ht="11.25" customHeight="1" spans="1:69" x14ac:dyDescent="0.25">
      <c r="A82" s="41">
        <v>42429000</v>
      </c>
      <c r="B82" s="41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5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6">
        <f>IFERROR(VLOOKUP("30_"&amp;A82,SyS!$B:$P,10,FALSE()),0)</f>
        <v>0</v>
      </c>
      <c r="BO82" s="40">
        <f>IFERROR(VLOOKUP("30_"&amp;A82,SyS!$B:$P,12,FALSE()),0)</f>
        <v>0</v>
      </c>
      <c r="BP82" s="47">
        <f>+BN82-BO82</f>
        <v>0</v>
      </c>
      <c r="BQ82" s="45">
        <f>+E82+H82+K82+N82+Q82+T82+W82+Z82+AC82+AF82+AI82+AL82+AO82+AR82+AU82+AX82+BA82+BD82+BG82+BJ82+BM82+BP82</f>
        <v>0</v>
      </c>
    </row>
    <row r="83" ht="11.25" customHeight="1" spans="1:69" x14ac:dyDescent="0.25">
      <c r="A83" s="41">
        <v>42430000</v>
      </c>
      <c r="B83" s="41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5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6">
        <f>IFERROR(VLOOKUP("30_"&amp;A83,SyS!$B:$P,10,FALSE()),0)</f>
        <v>0</v>
      </c>
      <c r="BO83" s="40">
        <f>IFERROR(VLOOKUP("30_"&amp;A83,SyS!$B:$P,12,FALSE()),0)</f>
        <v>0</v>
      </c>
      <c r="BP83" s="47">
        <f>+BN83-BO83</f>
        <v>0</v>
      </c>
      <c r="BQ83" s="45">
        <f>+E83+H83+K83+N83+Q83+T83+W83+Z83+AC83+AF83+AI83+AL83+AO83+AR83+AU83+AX83+BA83+BD83+BG83+BJ83+BM83+BP83</f>
        <v>0</v>
      </c>
    </row>
    <row r="84" ht="11.25" customHeight="1" spans="1:69" x14ac:dyDescent="0.25">
      <c r="A84" s="41">
        <v>42431000</v>
      </c>
      <c r="B84" s="41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5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6">
        <f>IFERROR(VLOOKUP("30_"&amp;A84,SyS!$B:$P,10,FALSE()),0)</f>
        <v>0</v>
      </c>
      <c r="BO84" s="40">
        <f>IFERROR(VLOOKUP("30_"&amp;A84,SyS!$B:$P,12,FALSE()),0)</f>
        <v>0</v>
      </c>
      <c r="BP84" s="47">
        <f>+BN84-BO84</f>
        <v>0</v>
      </c>
      <c r="BQ84" s="45">
        <f>+E84+H84+K84+N84+Q84+T84+W84+Z84+AC84+AF84+AI84+AL84+AO84+AR84+AU84+AX84+BA84+BD84+BG84+BJ84+BM84+BP84</f>
        <v>0</v>
      </c>
    </row>
    <row r="85" ht="11.25" customHeight="1" spans="1:69" x14ac:dyDescent="0.25">
      <c r="A85" s="41">
        <v>42432000</v>
      </c>
      <c r="B85" s="41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5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6">
        <f>IFERROR(VLOOKUP("30_"&amp;A85,SyS!$B:$P,10,FALSE()),0)</f>
        <v>0</v>
      </c>
      <c r="BO85" s="40">
        <f>IFERROR(VLOOKUP("30_"&amp;A85,SyS!$B:$P,12,FALSE()),0)</f>
        <v>0</v>
      </c>
      <c r="BP85" s="47">
        <f>+BN85-BO85</f>
        <v>0</v>
      </c>
      <c r="BQ85" s="45">
        <f>+E85+H85+K85+N85+Q85+T85+W85+Z85+AC85+AF85+AI85+AL85+AO85+AR85+AU85+AX85+BA85+BD85+BG85+BJ85+BM85+BP85</f>
        <v>0</v>
      </c>
    </row>
    <row r="86" ht="11.25" customHeight="1" spans="1:69" x14ac:dyDescent="0.25">
      <c r="A86" s="41">
        <v>42433000</v>
      </c>
      <c r="B86" s="41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5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6">
        <f>IFERROR(VLOOKUP("30_"&amp;A86,SyS!$B:$P,10,FALSE()),0)</f>
        <v>0</v>
      </c>
      <c r="BO86" s="40">
        <f>IFERROR(VLOOKUP("30_"&amp;A86,SyS!$B:$P,12,FALSE()),0)</f>
        <v>0</v>
      </c>
      <c r="BP86" s="47">
        <f>+BN86-BO86</f>
        <v>0</v>
      </c>
      <c r="BQ86" s="45">
        <f>+E86+H86+K86+N86+Q86+T86+W86+Z86+AC86+AF86+AI86+AL86+AO86+AR86+AU86+AX86+BA86+BD86+BG86+BJ86+BM86+BP86</f>
        <v>0</v>
      </c>
    </row>
    <row r="87" ht="11.25" customHeight="1" spans="1:69" x14ac:dyDescent="0.25">
      <c r="A87" s="41">
        <v>42434000</v>
      </c>
      <c r="B87" s="41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5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6">
        <f>IFERROR(VLOOKUP("30_"&amp;A87,SyS!$B:$P,10,FALSE()),0)</f>
        <v>0</v>
      </c>
      <c r="BO87" s="40">
        <f>IFERROR(VLOOKUP("30_"&amp;A87,SyS!$B:$P,12,FALSE()),0)</f>
        <v>0</v>
      </c>
      <c r="BP87" s="47">
        <f>+BN87-BO87</f>
        <v>0</v>
      </c>
      <c r="BQ87" s="45">
        <f>+E87+H87+K87+N87+Q87+T87+W87+Z87+AC87+AF87+AI87+AL87+AO87+AR87+AU87+AX87+BA87+BD87+BG87+BJ87+BM87+BP87</f>
        <v>0</v>
      </c>
    </row>
    <row r="88" ht="11.25" customHeight="1" spans="1:69" x14ac:dyDescent="0.25">
      <c r="A88" s="41">
        <v>42435000</v>
      </c>
      <c r="B88" s="41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5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6">
        <f>IFERROR(VLOOKUP("30_"&amp;A88,SyS!$B:$P,10,FALSE()),0)</f>
        <v>0</v>
      </c>
      <c r="BO88" s="40">
        <f>IFERROR(VLOOKUP("30_"&amp;A88,SyS!$B:$P,12,FALSE()),0)</f>
        <v>0</v>
      </c>
      <c r="BP88" s="47">
        <f>+BN88-BO88</f>
        <v>0</v>
      </c>
      <c r="BQ88" s="45">
        <f>+E88+H88+K88+N88+Q88+T88+W88+Z88+AC88+AF88+AI88+AL88+AO88+AR88+AU88+AX88+BA88+BD88+BG88+BJ88+BM88+BP88</f>
        <v>0</v>
      </c>
    </row>
    <row r="89" ht="11.25" customHeight="1" spans="1:69" x14ac:dyDescent="0.25">
      <c r="A89" s="41">
        <v>42436000</v>
      </c>
      <c r="B89" s="41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5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6">
        <f>IFERROR(VLOOKUP("30_"&amp;A89,SyS!$B:$P,10,FALSE()),0)</f>
        <v>0</v>
      </c>
      <c r="BO89" s="40">
        <f>IFERROR(VLOOKUP("30_"&amp;A89,SyS!$B:$P,12,FALSE()),0)</f>
        <v>0</v>
      </c>
      <c r="BP89" s="47">
        <f>+BN89-BO89</f>
        <v>0</v>
      </c>
      <c r="BQ89" s="45">
        <f>+E89+H89+K89+N89+Q89+T89+W89+Z89+AC89+AF89+AI89+AL89+AO89+AR89+AU89+AX89+BA89+BD89+BG89+BJ89+BM89+BP89</f>
        <v>0</v>
      </c>
    </row>
    <row r="90" ht="11.25" customHeight="1" spans="1:69" x14ac:dyDescent="0.25">
      <c r="A90" s="41">
        <v>42437000</v>
      </c>
      <c r="B90" s="41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5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6">
        <f>IFERROR(VLOOKUP("30_"&amp;A90,SyS!$B:$P,10,FALSE()),0)</f>
        <v>0</v>
      </c>
      <c r="BO90" s="40">
        <f>IFERROR(VLOOKUP("30_"&amp;A90,SyS!$B:$P,12,FALSE()),0)</f>
        <v>0</v>
      </c>
      <c r="BP90" s="47">
        <f>+BN90-BO90</f>
        <v>0</v>
      </c>
      <c r="BQ90" s="45">
        <f>+E90+H90+K90+N90+Q90+T90+W90+Z90+AC90+AF90+AI90+AL90+AO90+AR90+AU90+AX90+BA90+BD90+BG90+BJ90+BM90+BP90</f>
        <v>0</v>
      </c>
    </row>
    <row r="91" ht="11.25" customHeight="1" spans="1:69" x14ac:dyDescent="0.25">
      <c r="A91" s="41">
        <v>42438000</v>
      </c>
      <c r="B91" s="41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5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6">
        <f>IFERROR(VLOOKUP("30_"&amp;A91,SyS!$B:$P,10,FALSE()),0)</f>
        <v>0</v>
      </c>
      <c r="BO91" s="40">
        <f>IFERROR(VLOOKUP("30_"&amp;A91,SyS!$B:$P,12,FALSE()),0)</f>
        <v>0</v>
      </c>
      <c r="BP91" s="47">
        <f>+BN91-BO91</f>
        <v>0</v>
      </c>
      <c r="BQ91" s="45">
        <f>+E91+H91+K91+N91+Q91+T91+W91+Z91+AC91+AF91+AI91+AL91+AO91+AR91+AU91+AX91+BA91+BD91+BG91+BJ91+BM91+BP91</f>
        <v>0</v>
      </c>
    </row>
    <row r="92" ht="11.25" customHeight="1" spans="1:69" x14ac:dyDescent="0.25">
      <c r="A92" s="41">
        <v>42439000</v>
      </c>
      <c r="B92" s="41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5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6">
        <f>IFERROR(VLOOKUP("30_"&amp;A92,SyS!$B:$P,10,FALSE()),0)</f>
        <v>0</v>
      </c>
      <c r="BO92" s="40">
        <f>IFERROR(VLOOKUP("30_"&amp;A92,SyS!$B:$P,12,FALSE()),0)</f>
        <v>0</v>
      </c>
      <c r="BP92" s="47">
        <f>+BN92-BO92</f>
        <v>0</v>
      </c>
      <c r="BQ92" s="45">
        <f>+E92+H92+K92+N92+Q92+T92+W92+Z92+AC92+AF92+AI92+AL92+AO92+AR92+AU92+AX92+BA92+BD92+BG92+BJ92+BM92+BP92</f>
        <v>0</v>
      </c>
    </row>
    <row r="93" ht="11.25" customHeight="1" spans="1:69" x14ac:dyDescent="0.25">
      <c r="A93" s="41">
        <v>424400000</v>
      </c>
      <c r="B93" s="41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17015.23</v>
      </c>
      <c r="S93" s="35">
        <f>IFERROR(VLOOKUP("15_"&amp;A93,SyS!$B:$P,12,FALSE()),0)</f>
        <v>0</v>
      </c>
      <c r="T93" s="36">
        <f>+R93-S93</f>
        <v>17015.23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21921.22</v>
      </c>
      <c r="AB93" s="35">
        <f>IFERROR(VLOOKUP("17_"&amp;A93,SyS!$B:$P,12,FALSE()),0)</f>
        <v>0</v>
      </c>
      <c r="AC93" s="36">
        <f>+AA93-AB93</f>
        <v>21921.22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5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6">
        <f>IFERROR(VLOOKUP("30_"&amp;A93,SyS!$B:$P,10,FALSE()),0)</f>
        <v>0</v>
      </c>
      <c r="BO93" s="40">
        <f>IFERROR(VLOOKUP("30_"&amp;A93,SyS!$B:$P,12,FALSE()),0)</f>
        <v>0</v>
      </c>
      <c r="BP93" s="47">
        <f>+BN93-BO93</f>
        <v>0</v>
      </c>
      <c r="BQ93" s="45">
        <f>+E93+H93+K93+N93+Q93+T93+W93+Z93+AC93+AF93+AI93+AL93+AO93+AR93+AU93+AX93+BA93+BD93+BG93+BJ93+BM93+BP93</f>
        <v>38936.45</v>
      </c>
    </row>
    <row r="94" ht="11.25" customHeight="1" spans="1:69" x14ac:dyDescent="0.25">
      <c r="A94" s="41">
        <v>42441000</v>
      </c>
      <c r="B94" s="41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5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6">
        <f>IFERROR(VLOOKUP("30_"&amp;A94,SyS!$B:$P,10,FALSE()),0)</f>
        <v>0</v>
      </c>
      <c r="BO94" s="40">
        <f>IFERROR(VLOOKUP("30_"&amp;A94,SyS!$B:$P,12,FALSE()),0)</f>
        <v>0</v>
      </c>
      <c r="BP94" s="47">
        <f>+BN94-BO94</f>
        <v>0</v>
      </c>
      <c r="BQ94" s="45">
        <f>+E94+H94+K94+N94+Q94+T94+W94+Z94+AC94+AF94+AI94+AL94+AO94+AR94+AU94+AX94+BA94+BD94+BG94+BJ94+BM94+BP94</f>
        <v>0</v>
      </c>
    </row>
    <row r="95" ht="11.25" customHeight="1" spans="1:69" x14ac:dyDescent="0.25">
      <c r="A95" s="41">
        <v>42442000</v>
      </c>
      <c r="B95" s="41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5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6">
        <f>IFERROR(VLOOKUP("30_"&amp;A95,SyS!$B:$P,10,FALSE()),0)</f>
        <v>0</v>
      </c>
      <c r="BO95" s="40">
        <f>IFERROR(VLOOKUP("30_"&amp;A95,SyS!$B:$P,12,FALSE()),0)</f>
        <v>0</v>
      </c>
      <c r="BP95" s="47">
        <f>+BN95-BO95</f>
        <v>0</v>
      </c>
      <c r="BQ95" s="45">
        <f>+E95+H95+K95+N95+Q95+T95+W95+Z95+AC95+AF95+AI95+AL95+AO95+AR95+AU95+AX95+BA95+BD95+BG95+BJ95+BM95+BP95</f>
        <v>0</v>
      </c>
    </row>
    <row r="96" ht="11.25" customHeight="1" spans="1:69" x14ac:dyDescent="0.25">
      <c r="A96" s="41">
        <v>42443000</v>
      </c>
      <c r="B96" s="41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5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6">
        <f>IFERROR(VLOOKUP("30_"&amp;A96,SyS!$B:$P,10,FALSE()),0)</f>
        <v>0</v>
      </c>
      <c r="BO96" s="40">
        <f>IFERROR(VLOOKUP("30_"&amp;A96,SyS!$B:$P,12,FALSE()),0)</f>
        <v>0</v>
      </c>
      <c r="BP96" s="47">
        <f>+BN96-BO96</f>
        <v>0</v>
      </c>
      <c r="BQ96" s="45">
        <f>+E96+H96+K96+N96+Q96+T96+W96+Z96+AC96+AF96+AI96+AL96+AO96+AR96+AU96+AX96+BA96+BD96+BG96+BJ96+BM96+BP96</f>
        <v>0</v>
      </c>
    </row>
    <row r="97" ht="11.25" customHeight="1" spans="1:69" x14ac:dyDescent="0.25">
      <c r="A97" s="41">
        <v>424460000</v>
      </c>
      <c r="B97" s="41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5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6">
        <f>IFERROR(VLOOKUP("30_"&amp;A97,SyS!$B:$P,10,FALSE()),0)</f>
        <v>0</v>
      </c>
      <c r="BO97" s="40">
        <f>IFERROR(VLOOKUP("30_"&amp;A97,SyS!$B:$P,12,FALSE()),0)</f>
        <v>0</v>
      </c>
      <c r="BP97" s="47">
        <f>+BN97-BO97</f>
        <v>0</v>
      </c>
      <c r="BQ97" s="45">
        <f>+E97+H97+K97+N97+Q97+T97+W97+Z97+AC97+AF97+AI97+AL97+AO97+AR97+AU97+AX97+BA97+BD97+BG97+BJ97+BM97+BP97</f>
        <v>0</v>
      </c>
    </row>
    <row r="98" ht="11.25" customHeight="1" spans="1:69" x14ac:dyDescent="0.25">
      <c r="A98" s="41">
        <v>424500000</v>
      </c>
      <c r="B98" s="41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4929.97</v>
      </c>
      <c r="S98" s="35">
        <f>IFERROR(VLOOKUP("15_"&amp;A98,SyS!$B:$P,12,FALSE()),0)</f>
        <v>0</v>
      </c>
      <c r="T98" s="36">
        <f>+R98-S98</f>
        <v>4929.97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6372.12</v>
      </c>
      <c r="AB98" s="35">
        <f>IFERROR(VLOOKUP("17_"&amp;A98,SyS!$B:$P,12,FALSE()),0)</f>
        <v>0</v>
      </c>
      <c r="AC98" s="36">
        <f>+AA98-AB98</f>
        <v>6372.12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5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6">
        <f>IFERROR(VLOOKUP("30_"&amp;A98,SyS!$B:$P,10,FALSE()),0)</f>
        <v>0</v>
      </c>
      <c r="BO98" s="40">
        <f>IFERROR(VLOOKUP("30_"&amp;A98,SyS!$B:$P,12,FALSE()),0)</f>
        <v>0</v>
      </c>
      <c r="BP98" s="47">
        <f>+BN98-BO98</f>
        <v>0</v>
      </c>
      <c r="BQ98" s="45">
        <f>+E98+H98+K98+N98+Q98+T98+W98+Z98+AC98+AF98+AI98+AL98+AO98+AR98+AU98+AX98+BA98+BD98+BG98+BJ98+BM98+BP98</f>
        <v>11302.09</v>
      </c>
    </row>
    <row r="99" ht="11.25" customHeight="1" spans="1:69" x14ac:dyDescent="0.25">
      <c r="A99" s="41">
        <v>42460000</v>
      </c>
      <c r="B99" s="41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5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6">
        <f>IFERROR(VLOOKUP("30_"&amp;A99,SyS!$B:$P,10,FALSE()),0)</f>
        <v>0</v>
      </c>
      <c r="BO99" s="40">
        <f>IFERROR(VLOOKUP("30_"&amp;A99,SyS!$B:$P,12,FALSE()),0)</f>
        <v>0</v>
      </c>
      <c r="BP99" s="47">
        <f>+BN99-BO99</f>
        <v>0</v>
      </c>
      <c r="BQ99" s="45">
        <f>+E99+H99+K99+N99+Q99+T99+W99+Z99+AC99+AF99+AI99+AL99+AO99+AR99+AU99+AX99+BA99+BD99+BG99+BJ99+BM99+BP99</f>
        <v>0</v>
      </c>
    </row>
    <row r="100" ht="11.25" customHeight="1" spans="1:69" x14ac:dyDescent="0.25">
      <c r="A100" s="41">
        <v>42470000</v>
      </c>
      <c r="B100" s="41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5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6">
        <f>IFERROR(VLOOKUP("30_"&amp;A100,SyS!$B:$P,10,FALSE()),0)</f>
        <v>0</v>
      </c>
      <c r="BO100" s="40">
        <f>IFERROR(VLOOKUP("30_"&amp;A100,SyS!$B:$P,12,FALSE()),0)</f>
        <v>0</v>
      </c>
      <c r="BP100" s="47">
        <f>+BN100-BO100</f>
        <v>0</v>
      </c>
      <c r="BQ100" s="45">
        <f>+E100+H100+K100+N100+Q100+T100+W100+Z100+AC100+AF100+AI100+AL100+AO100+AR100+AU100+AX100+BA100+BD100+BG100+BJ100+BM100+BP100</f>
        <v>0</v>
      </c>
    </row>
    <row r="101" ht="11.25" customHeight="1" spans="1:69" x14ac:dyDescent="0.25">
      <c r="A101" s="41">
        <v>42480000</v>
      </c>
      <c r="B101" s="41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5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6">
        <f>IFERROR(VLOOKUP("30_"&amp;A101,SyS!$B:$P,10,FALSE()),0)</f>
        <v>0</v>
      </c>
      <c r="BO101" s="40">
        <f>IFERROR(VLOOKUP("30_"&amp;A101,SyS!$B:$P,12,FALSE()),0)</f>
        <v>0</v>
      </c>
      <c r="BP101" s="47">
        <f>+BN101-BO101</f>
        <v>0</v>
      </c>
      <c r="BQ101" s="45">
        <f>+E101+H101+K101+N101+Q101+T101+W101+Z101+AC101+AF101+AI101+AL101+AO101+AR101+AU101+AX101+BA101+BD101+BG101+BJ101+BM101+BP101</f>
        <v>0</v>
      </c>
    </row>
    <row r="102" ht="11.25" customHeight="1" spans="1:69" x14ac:dyDescent="0.25">
      <c r="A102" s="41">
        <v>42488000</v>
      </c>
      <c r="B102" s="41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5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6">
        <f>IFERROR(VLOOKUP("30_"&amp;A102,SyS!$B:$P,10,FALSE()),0)</f>
        <v>0</v>
      </c>
      <c r="BO102" s="40">
        <f>IFERROR(VLOOKUP("30_"&amp;A102,SyS!$B:$P,12,FALSE()),0)</f>
        <v>0</v>
      </c>
      <c r="BP102" s="47">
        <f>+BN102-BO102</f>
        <v>0</v>
      </c>
      <c r="BQ102" s="45">
        <f>+E102+H102+K102+N102+Q102+T102+W102+Z102+AC102+AF102+AI102+AL102+AO102+AR102+AU102+AX102+BA102+BD102+BG102+BJ102+BM102+BP102</f>
        <v>0</v>
      </c>
    </row>
    <row r="103" ht="11.25" customHeight="1" spans="1:69" x14ac:dyDescent="0.25">
      <c r="A103" s="41">
        <v>42489000</v>
      </c>
      <c r="B103" s="41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5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6">
        <f>IFERROR(VLOOKUP("30_"&amp;A103,SyS!$B:$P,10,FALSE()),0)</f>
        <v>0</v>
      </c>
      <c r="BO103" s="40">
        <f>IFERROR(VLOOKUP("30_"&amp;A103,SyS!$B:$P,12,FALSE()),0)</f>
        <v>0</v>
      </c>
      <c r="BP103" s="47">
        <f>+BN103-BO103</f>
        <v>0</v>
      </c>
      <c r="BQ103" s="45">
        <f>+E103+H103+K103+N103+Q103+T103+W103+Z103+AC103+AF103+AI103+AL103+AO103+AR103+AU103+AX103+BA103+BD103+BG103+BJ103+BM103+BP103</f>
        <v>0</v>
      </c>
    </row>
    <row r="104" ht="11.25" customHeight="1" spans="1:69" x14ac:dyDescent="0.25">
      <c r="A104" s="41">
        <v>42490000</v>
      </c>
      <c r="B104" s="41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5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6">
        <f>IFERROR(VLOOKUP("30_"&amp;A104,SyS!$B:$P,10,FALSE()),0)</f>
        <v>0</v>
      </c>
      <c r="BO104" s="40">
        <f>IFERROR(VLOOKUP("30_"&amp;A104,SyS!$B:$P,12,FALSE()),0)</f>
        <v>0</v>
      </c>
      <c r="BP104" s="47">
        <f>+BN104-BO104</f>
        <v>0</v>
      </c>
      <c r="BQ104" s="45">
        <f>+E104+H104+K104+N104+Q104+T104+W104+Z104+AC104+AF104+AI104+AL104+AO104+AR104+AU104+AX104+BA104+BD104+BG104+BJ104+BM104+BP104</f>
        <v>0</v>
      </c>
    </row>
    <row r="105" ht="11.25" customHeight="1" spans="1:69" x14ac:dyDescent="0.25">
      <c r="A105" s="41">
        <v>42491000</v>
      </c>
      <c r="B105" s="41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5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6">
        <f>IFERROR(VLOOKUP("30_"&amp;A105,SyS!$B:$P,10,FALSE()),0)</f>
        <v>0</v>
      </c>
      <c r="BO105" s="40">
        <f>IFERROR(VLOOKUP("30_"&amp;A105,SyS!$B:$P,12,FALSE()),0)</f>
        <v>0</v>
      </c>
      <c r="BP105" s="47">
        <f>+BN105-BO105</f>
        <v>0</v>
      </c>
      <c r="BQ105" s="45">
        <f>+E105+H105+K105+N105+Q105+T105+W105+Z105+AC105+AF105+AI105+AL105+AO105+AR105+AU105+AX105+BA105+BD105+BG105+BJ105+BM105+BP105</f>
        <v>0</v>
      </c>
    </row>
    <row r="106" ht="11.25" customHeight="1" spans="1:69" x14ac:dyDescent="0.25">
      <c r="A106" s="41">
        <v>42492000</v>
      </c>
      <c r="B106" s="41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5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6">
        <f>IFERROR(VLOOKUP("30_"&amp;A106,SyS!$B:$P,10,FALSE()),0)</f>
        <v>0</v>
      </c>
      <c r="BO106" s="40">
        <f>IFERROR(VLOOKUP("30_"&amp;A106,SyS!$B:$P,12,FALSE()),0)</f>
        <v>0</v>
      </c>
      <c r="BP106" s="47">
        <f>+BN106-BO106</f>
        <v>0</v>
      </c>
      <c r="BQ106" s="45">
        <f>+E106+H106+K106+N106+Q106+T106+W106+Z106+AC106+AF106+AI106+AL106+AO106+AR106+AU106+AX106+BA106+BD106+BG106+BJ106+BM106+BP106</f>
        <v>0</v>
      </c>
    </row>
    <row r="107" ht="11.25" customHeight="1" spans="1:69" x14ac:dyDescent="0.25">
      <c r="A107" s="41">
        <v>42493000</v>
      </c>
      <c r="B107" s="41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5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6">
        <f>IFERROR(VLOOKUP("30_"&amp;A107,SyS!$B:$P,10,FALSE()),0)</f>
        <v>0</v>
      </c>
      <c r="BO107" s="40">
        <f>IFERROR(VLOOKUP("30_"&amp;A107,SyS!$B:$P,12,FALSE()),0)</f>
        <v>0</v>
      </c>
      <c r="BP107" s="47">
        <f>+BN107-BO107</f>
        <v>0</v>
      </c>
      <c r="BQ107" s="45">
        <f>+E107+H107+K107+N107+Q107+T107+W107+Z107+AC107+AF107+AI107+AL107+AO107+AR107+AU107+AX107+BA107+BD107+BG107+BJ107+BM107+BP107</f>
        <v>0</v>
      </c>
    </row>
    <row r="108" ht="11.25" customHeight="1" spans="1:69" x14ac:dyDescent="0.25">
      <c r="A108" s="41">
        <v>42494000</v>
      </c>
      <c r="B108" s="41" t="s">
        <v>145</v>
      </c>
      <c r="C108" s="34">
        <f>IFERROR(VLOOKUP("1_"&amp;A108,SyS!$B:$P,10,FALSE()),0)</f>
        <v>0</v>
      </c>
      <c r="D108" s="35">
        <f>IFERROR(VLOOKUP("1_"&amp;A108,SyS!$B:$P,12,FALSE()),0)</f>
        <v>0</v>
      </c>
      <c r="E108" s="35">
        <f>+C108-D108</f>
        <v>0</v>
      </c>
      <c r="F108" s="34">
        <f>IFERROR(VLOOKUP("2_"&amp;A108,SyS!$B:$P,10,FALSE()),0)</f>
        <v>0</v>
      </c>
      <c r="G108" s="35">
        <f>IFERROR(VLOOKUP("2_"&amp;A108,SyS!$B:$P,12,FALSE()),0)</f>
        <v>0</v>
      </c>
      <c r="H108" s="36">
        <f>+F108-G108</f>
        <v>0</v>
      </c>
      <c r="I108" s="35"/>
      <c r="J108" s="35"/>
      <c r="K108" s="35"/>
      <c r="L108" s="35"/>
      <c r="M108" s="35"/>
      <c r="N108" s="35"/>
      <c r="O108" s="34">
        <f>IFERROR(VLOOKUP("14_"&amp;A108,SyS!$B:$P,10,FALSE()),0)</f>
        <v>0</v>
      </c>
      <c r="P108" s="35">
        <f>IFERROR(VLOOKUP("14_"&amp;A108,SyS!$B:$P,12,FALSE()),0)</f>
        <v>0</v>
      </c>
      <c r="Q108" s="36">
        <f>+O108-P108</f>
        <v>0</v>
      </c>
      <c r="R108" s="34">
        <f>IFERROR(VLOOKUP("15_"&amp;A108,SyS!$B:$P,10,FALSE()),0)</f>
        <v>0</v>
      </c>
      <c r="S108" s="35">
        <f>IFERROR(VLOOKUP("15_"&amp;A108,SyS!$B:$P,12,FALSE()),0)</f>
        <v>0</v>
      </c>
      <c r="T108" s="36">
        <f>+R108-S108</f>
        <v>0</v>
      </c>
      <c r="U108" s="34">
        <f>IFERROR(VLOOKUP("16_"&amp;A108,SyS!$B:$P,10,FALSE()),0)</f>
        <v>0</v>
      </c>
      <c r="V108" s="35">
        <f>IFERROR(VLOOKUP("16_"&amp;A108,SyS!$B:$P,12,FALSE()),0)</f>
        <v>0</v>
      </c>
      <c r="W108" s="36">
        <f>+U108-V108</f>
        <v>0</v>
      </c>
      <c r="X108" s="34">
        <f>IFERROR(VLOOKUP("13_"&amp;A108,SyS!$B:$P,10,FALSE()),0)</f>
        <v>0</v>
      </c>
      <c r="Y108" s="35">
        <f>IFERROR(VLOOKUP("13_"&amp;A108,SyS!$B:$P,12,FALSE()),0)</f>
        <v>0</v>
      </c>
      <c r="Z108" s="36">
        <f>+X108-Y108</f>
        <v>0</v>
      </c>
      <c r="AA108" s="34">
        <f>IFERROR(VLOOKUP("17_"&amp;A108,SyS!$B:$P,10,FALSE()),0)</f>
        <v>0</v>
      </c>
      <c r="AB108" s="35">
        <f>IFERROR(VLOOKUP("17_"&amp;A108,SyS!$B:$P,12,FALSE()),0)</f>
        <v>0</v>
      </c>
      <c r="AC108" s="36">
        <f>+AA108-AB108</f>
        <v>0</v>
      </c>
      <c r="AD108" s="35"/>
      <c r="AE108" s="35"/>
      <c r="AF108" s="35"/>
      <c r="AG108" s="35">
        <f>IFERROR(VLOOKUP("19_"&amp;A108,SyS!$B:$P,10,FALSE()),0)</f>
        <v>0</v>
      </c>
      <c r="AH108" s="35">
        <f>IFERROR(VLOOKUP("19_"&amp;A108,SyS!$B:$P,12,FALSE()),0)</f>
        <v>0</v>
      </c>
      <c r="AI108" s="35">
        <f>+AG108-AH108</f>
        <v>0</v>
      </c>
      <c r="AJ108" s="35"/>
      <c r="AK108" s="35"/>
      <c r="AL108" s="35"/>
      <c r="AM108" s="35">
        <f>IFERROR(VLOOKUP("23_"&amp;A108,SyS!$B:$P,10,FALSE()),0)</f>
        <v>0</v>
      </c>
      <c r="AN108" s="35">
        <f>IFERROR(VLOOKUP("23_"&amp;A108,SyS!$B:$P,12,FALSE()),0)</f>
        <v>0</v>
      </c>
      <c r="AO108" s="36">
        <f>+AM108-AN108</f>
        <v>0</v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  <v>0</v>
      </c>
      <c r="BL108" s="40">
        <f>IFERROR(VLOOKUP("29_"&amp;A108,SyS!$B:$P,12,FALSE()),0)</f>
        <v>0</v>
      </c>
      <c r="BM108" s="40">
        <f>+BK108-BL108</f>
        <v>0</v>
      </c>
      <c r="BN108" s="46">
        <f>IFERROR(VLOOKUP("30_"&amp;A108,SyS!$B:$P,10,FALSE()),0)</f>
        <v>0</v>
      </c>
      <c r="BO108" s="40">
        <f>IFERROR(VLOOKUP("30_"&amp;A108,SyS!$B:$P,12,FALSE()),0)</f>
        <v>0</v>
      </c>
      <c r="BP108" s="47">
        <f>+BN108-BO108</f>
        <v>0</v>
      </c>
      <c r="BQ108" s="45">
        <f>+E108+H108+K108+N108+Q108+T108+W108+Z108+AC108+AF108+AI108+AL108+AO108+AR108+AU108+AX108+BA108+BD108+BG108+BJ108+BM108+BP108</f>
        <v>0</v>
      </c>
    </row>
    <row r="109" ht="11.25" customHeight="1" spans="1:69" x14ac:dyDescent="0.25">
      <c r="A109" s="41">
        <v>42495000</v>
      </c>
      <c r="B109" s="41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0</v>
      </c>
      <c r="G109" s="35">
        <f>IFERROR(VLOOKUP("2_"&amp;A109,SyS!$B:$P,12,FALSE()),0)</f>
        <v>0</v>
      </c>
      <c r="H109" s="36">
        <f>+F109-G109</f>
        <v>0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0</v>
      </c>
      <c r="AB109" s="35">
        <f>IFERROR(VLOOKUP("17_"&amp;A109,SyS!$B:$P,12,FALSE()),0)</f>
        <v>0</v>
      </c>
      <c r="AC109" s="36">
        <f>+AA109-AB109</f>
        <v>0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5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6">
        <f>IFERROR(VLOOKUP("30_"&amp;A109,SyS!$B:$P,10,FALSE()),0)</f>
        <v>0</v>
      </c>
      <c r="BO109" s="40">
        <f>IFERROR(VLOOKUP("30_"&amp;A109,SyS!$B:$P,12,FALSE()),0)</f>
        <v>0</v>
      </c>
      <c r="BP109" s="47">
        <f>+BN109-BO109</f>
        <v>0</v>
      </c>
      <c r="BQ109" s="45">
        <f>+E109+H109+K109+N109+Q109+T109+W109+Z109+AC109+AF109+AI109+AL109+AO109+AR109+AU109+AX109+BA109+BD109+BG109+BJ109+BM109+BP109</f>
        <v>0</v>
      </c>
    </row>
    <row r="110" ht="11.25" customHeight="1" spans="1:69" x14ac:dyDescent="0.25">
      <c r="A110" s="41">
        <v>42496000</v>
      </c>
      <c r="B110" s="41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0</v>
      </c>
      <c r="G110" s="35">
        <f>IFERROR(VLOOKUP("2_"&amp;A110,SyS!$B:$P,12,FALSE()),0)</f>
        <v>0</v>
      </c>
      <c r="H110" s="36">
        <f>+F110-G110</f>
        <v>0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0</v>
      </c>
      <c r="AB110" s="35">
        <f>IFERROR(VLOOKUP("17_"&amp;A110,SyS!$B:$P,12,FALSE()),0)</f>
        <v>0</v>
      </c>
      <c r="AC110" s="36">
        <f>+AA110-AB110</f>
        <v>0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5">
        <f>IFERROR(VLOOKUP("23_"&amp;A110,SyS!$B:$P,10,FALSE()),0)</f>
        <v>0</v>
      </c>
      <c r="AN110" s="35">
        <f>IFERROR(VLOOKUP("23_"&amp;A110,SyS!$B:$P,12,FALSE()),0)</f>
        <v>0</v>
      </c>
      <c r="AO110" s="36">
        <f>+AM110-AN110</f>
        <v>0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6">
        <f>IFERROR(VLOOKUP("30_"&amp;A110,SyS!$B:$P,10,FALSE()),0)</f>
        <v>0</v>
      </c>
      <c r="BO110" s="40">
        <f>IFERROR(VLOOKUP("30_"&amp;A110,SyS!$B:$P,12,FALSE()),0)</f>
        <v>0</v>
      </c>
      <c r="BP110" s="47">
        <f>+BN110-BO110</f>
        <v>0</v>
      </c>
      <c r="BQ110" s="45">
        <f>+E110+H110+K110+N110+Q110+T110+W110+Z110+AC110+AF110+AI110+AL110+AO110+AR110+AU110+AX110+BA110+BD110+BG110+BJ110+BM110+BP110</f>
        <v>0</v>
      </c>
    </row>
    <row r="111" ht="11.25" customHeight="1" spans="1:69" x14ac:dyDescent="0.25">
      <c r="A111" s="41">
        <v>42497000</v>
      </c>
      <c r="B111" s="41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5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6">
        <f>IFERROR(VLOOKUP("30_"&amp;A111,SyS!$B:$P,10,FALSE()),0)</f>
        <v>0</v>
      </c>
      <c r="BO111" s="40">
        <f>IFERROR(VLOOKUP("30_"&amp;A111,SyS!$B:$P,12,FALSE()),0)</f>
        <v>0</v>
      </c>
      <c r="BP111" s="47">
        <f>+BN111-BO111</f>
        <v>0</v>
      </c>
      <c r="BQ111" s="45">
        <f>+E111+H111+K111+N111+Q111+T111+W111+Z111+AC111+AF111+AI111+AL111+AO111+AR111+AU111+AX111+BA111+BD111+BG111+BJ111+BM111+BP111</f>
        <v>0</v>
      </c>
    </row>
    <row r="112" ht="11.25" customHeight="1" spans="1:69" x14ac:dyDescent="0.25">
      <c r="A112" s="41">
        <v>42498000</v>
      </c>
      <c r="B112" s="41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5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6">
        <f>IFERROR(VLOOKUP("30_"&amp;A112,SyS!$B:$P,10,FALSE()),0)</f>
        <v>0</v>
      </c>
      <c r="BO112" s="40">
        <f>IFERROR(VLOOKUP("30_"&amp;A112,SyS!$B:$P,12,FALSE()),0)</f>
        <v>0</v>
      </c>
      <c r="BP112" s="47">
        <f>+BN112-BO112</f>
        <v>0</v>
      </c>
      <c r="BQ112" s="45">
        <f>+E112+H112+K112+N112+Q112+T112+W112+Z112+AC112+AF112+AI112+AL112+AO112+AR112+AU112+AX112+BA112+BD112+BG112+BJ112+BM112+BP112</f>
        <v>0</v>
      </c>
    </row>
    <row r="113" ht="11.25" customHeight="1" spans="1:69" x14ac:dyDescent="0.25">
      <c r="A113" s="41">
        <v>42499000</v>
      </c>
      <c r="B113" s="41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5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6">
        <f>IFERROR(VLOOKUP("30_"&amp;A113,SyS!$B:$P,10,FALSE()),0)</f>
        <v>0</v>
      </c>
      <c r="BO113" s="40">
        <f>IFERROR(VLOOKUP("30_"&amp;A113,SyS!$B:$P,12,FALSE()),0)</f>
        <v>0</v>
      </c>
      <c r="BP113" s="47">
        <f>+BN113-BO113</f>
        <v>0</v>
      </c>
      <c r="BQ113" s="45">
        <f>+E113+H113+K113+N113+Q113+T113+W113+Z113+AC113+AF113+AI113+AL113+AO113+AR113+AU113+AX113+BA113+BD113+BG113+BJ113+BM113+BP113</f>
        <v>0</v>
      </c>
    </row>
    <row r="114" ht="11.25" customHeight="1" spans="1:69" x14ac:dyDescent="0.25">
      <c r="A114" s="41">
        <v>43100000</v>
      </c>
      <c r="B114" s="41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5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6">
        <f>IFERROR(VLOOKUP("30_"&amp;A114,SyS!$B:$P,10,FALSE()),0)</f>
        <v>0</v>
      </c>
      <c r="BO114" s="40">
        <f>IFERROR(VLOOKUP("30_"&amp;A114,SyS!$B:$P,12,FALSE()),0)</f>
        <v>0</v>
      </c>
      <c r="BP114" s="47">
        <f>+BN114-BO114</f>
        <v>0</v>
      </c>
      <c r="BQ114" s="45">
        <f>+E114+H114+K114+N114+Q114+T114+W114+Z114+AC114+AF114+AI114+AL114+AO114+AR114+AU114+AX114+BA114+BD114+BG114+BJ114+BM114+BP114</f>
        <v>0</v>
      </c>
    </row>
    <row r="115" ht="11.25" customHeight="1" spans="1:69" x14ac:dyDescent="0.25">
      <c r="A115" s="41">
        <v>43200000</v>
      </c>
      <c r="B115" s="41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5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6">
        <f>IFERROR(VLOOKUP("30_"&amp;A115,SyS!$B:$P,10,FALSE()),0)</f>
        <v>0</v>
      </c>
      <c r="BO115" s="40">
        <f>IFERROR(VLOOKUP("30_"&amp;A115,SyS!$B:$P,12,FALSE()),0)</f>
        <v>0</v>
      </c>
      <c r="BP115" s="47">
        <f>+BN115-BO115</f>
        <v>0</v>
      </c>
      <c r="BQ115" s="45">
        <f>+E115+H115+K115+N115+Q115+T115+W115+Z115+AC115+AF115+AI115+AL115+AO115+AR115+AU115+AX115+BA115+BD115+BG115+BJ115+BM115+BP115</f>
        <v>0</v>
      </c>
    </row>
    <row r="116" ht="11.25" customHeight="1" spans="1:69" x14ac:dyDescent="0.25">
      <c r="A116" s="41">
        <v>42225000</v>
      </c>
      <c r="B116" s="41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0</v>
      </c>
      <c r="G116" s="35">
        <f>IFERROR(VLOOKUP("2_"&amp;A116,SyS!$B:$P,12,FALSE()),0)</f>
        <v>0</v>
      </c>
      <c r="H116" s="36">
        <f>+F116-G116</f>
        <v>0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0</v>
      </c>
      <c r="AB116" s="35">
        <f>IFERROR(VLOOKUP("17_"&amp;A116,SyS!$B:$P,12,FALSE()),0)</f>
        <v>0</v>
      </c>
      <c r="AC116" s="36">
        <f>+AA116-AB116</f>
        <v>0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5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6">
        <f>IFERROR(VLOOKUP("30_"&amp;A116,SyS!$B:$P,10,FALSE()),0)</f>
        <v>0</v>
      </c>
      <c r="BO116" s="40">
        <f>IFERROR(VLOOKUP("30_"&amp;A116,SyS!$B:$P,12,FALSE()),0)</f>
        <v>0</v>
      </c>
      <c r="BP116" s="47">
        <f>+BN116-BO116</f>
        <v>0</v>
      </c>
      <c r="BQ116" s="45">
        <f>+E116+H116+K116+N116+Q116+T116+W116+Z116+AC116+AF116+AI116+AL116+AO116+AR116+AU116+AX116+BA116+BD116+BG116+BJ116+BM116+BP116</f>
        <v>0</v>
      </c>
    </row>
    <row r="117" ht="11.25" customHeight="1" spans="1:69" x14ac:dyDescent="0.25">
      <c r="A117" s="41">
        <v>43300000</v>
      </c>
      <c r="B117" s="41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0</v>
      </c>
      <c r="G117" s="35">
        <f>IFERROR(VLOOKUP("2_"&amp;A117,SyS!$B:$P,12,FALSE()),0)</f>
        <v>0</v>
      </c>
      <c r="H117" s="36">
        <f>+F117-G117</f>
        <v>0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0</v>
      </c>
      <c r="AB117" s="35">
        <f>IFERROR(VLOOKUP("17_"&amp;A117,SyS!$B:$P,12,FALSE()),0)</f>
        <v>0</v>
      </c>
      <c r="AC117" s="36">
        <f>+AA117-AB117</f>
        <v>0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5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6">
        <f>IFERROR(VLOOKUP("30_"&amp;A117,SyS!$B:$P,10,FALSE()),0)</f>
        <v>0</v>
      </c>
      <c r="BO117" s="40">
        <f>IFERROR(VLOOKUP("30_"&amp;A117,SyS!$B:$P,12,FALSE()),0)</f>
        <v>0</v>
      </c>
      <c r="BP117" s="47">
        <f>+BN117-BO117</f>
        <v>0</v>
      </c>
      <c r="BQ117" s="45">
        <f>+E117+H117+K117+N117+Q117+T117+W117+Z117+AC117+AF117+AI117+AL117+AO117+AR117+AU117+AX117+BA117+BD117+BG117+BJ117+BM117+BP117</f>
        <v>0</v>
      </c>
    </row>
    <row r="118" ht="11.25" customHeight="1" spans="1:69" x14ac:dyDescent="0.25">
      <c r="A118" s="41">
        <v>42445000</v>
      </c>
      <c r="B118" s="41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0</v>
      </c>
      <c r="G118" s="35">
        <f>IFERROR(VLOOKUP("2_"&amp;A118,SyS!$B:$P,12,FALSE()),0)</f>
        <v>0</v>
      </c>
      <c r="H118" s="36">
        <f>+F118-G118</f>
        <v>0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5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6">
        <f>IFERROR(VLOOKUP("30_"&amp;A118,SyS!$B:$P,10,FALSE()),0)</f>
        <v>0</v>
      </c>
      <c r="BO118" s="40">
        <f>IFERROR(VLOOKUP("30_"&amp;A118,SyS!$B:$P,12,FALSE()),0)</f>
        <v>0</v>
      </c>
      <c r="BP118" s="47">
        <f>+BN118-BO118</f>
        <v>0</v>
      </c>
      <c r="BQ118" s="45">
        <f>+E118+H118+K118+N118+Q118+T118+W118+Z118+AC118+AF118+AI118+AL118+AO118+AR118+AU118+AX118+BA118+BD118+BG118+BJ118+BM118+BP118</f>
        <v>0</v>
      </c>
    </row>
    <row r="119" ht="11.25" customHeight="1" spans="1:69" x14ac:dyDescent="0.25">
      <c r="A119" s="41">
        <v>422240000</v>
      </c>
      <c r="B119" s="41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0</v>
      </c>
      <c r="G119" s="35">
        <f>IFERROR(VLOOKUP("2_"&amp;A119,SyS!$B:$P,12,FALSE()),0)</f>
        <v>0</v>
      </c>
      <c r="H119" s="36">
        <f>+F119-G119</f>
        <v>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0</v>
      </c>
      <c r="AB119" s="35">
        <f>IFERROR(VLOOKUP("17_"&amp;A119,SyS!$B:$P,12,FALSE()),0)</f>
        <v>0</v>
      </c>
      <c r="AC119" s="36">
        <f>+AA119-AB119</f>
        <v>0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5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6">
        <f>IFERROR(VLOOKUP("30_"&amp;A119,SyS!$B:$P,10,FALSE()),0)</f>
        <v>0</v>
      </c>
      <c r="BO119" s="40">
        <f>IFERROR(VLOOKUP("30_"&amp;A119,SyS!$B:$P,12,FALSE()),0)</f>
        <v>0</v>
      </c>
      <c r="BP119" s="47">
        <f>+BN119-BO119</f>
        <v>0</v>
      </c>
      <c r="BQ119" s="45">
        <f>+E119+H119+K119+N119+Q119+T119+W119+Z119+AC119+AF119+AI119+AL119+AO119+AR119+AU119+AX119+BA119+BD119+BG119+BJ119+BM119+BP119</f>
        <v>0</v>
      </c>
    </row>
    <row r="120" ht="11.25" customHeight="1" spans="1:69" x14ac:dyDescent="0.25">
      <c r="A120" s="41">
        <v>424820000</v>
      </c>
      <c r="B120" s="41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5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6">
        <f>IFERROR(VLOOKUP("30_"&amp;A120,SyS!$B:$P,10,FALSE()),0)</f>
        <v>0</v>
      </c>
      <c r="BO120" s="40">
        <f>IFERROR(VLOOKUP("30_"&amp;A120,SyS!$B:$P,12,FALSE()),0)</f>
        <v>0</v>
      </c>
      <c r="BP120" s="47">
        <f>+BN120-BO120</f>
        <v>0</v>
      </c>
      <c r="BQ120" s="45">
        <f>+E120+H120+K120+N120+Q120+T120+W120+Z120+AC120+AF120+AI120+AL120+AO120+AR120+AU120+AX120+BA120+BD120+BG120+BJ120+BM120+BP120</f>
        <v>0</v>
      </c>
    </row>
    <row r="121" ht="12" customHeight="1" spans="1:69" x14ac:dyDescent="0.25">
      <c r="A121" s="41">
        <v>432010000</v>
      </c>
      <c r="B121" s="41" t="s">
        <v>151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0</v>
      </c>
      <c r="G121" s="35">
        <f>IFERROR(VLOOKUP("2_"&amp;A121,SyS!$B:$P,12,FALSE()),0)</f>
        <v>0</v>
      </c>
      <c r="H121" s="36">
        <f>+F121-G121</f>
        <v>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0</v>
      </c>
      <c r="AB121" s="35">
        <f>IFERROR(VLOOKUP("17_"&amp;A121,SyS!$B:$P,12,FALSE()),0)</f>
        <v>0</v>
      </c>
      <c r="AC121" s="36">
        <f>+AA121-AB121</f>
        <v>0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5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6">
        <f>IFERROR(VLOOKUP("30_"&amp;A121,SyS!$B:$P,10,FALSE()),0)</f>
        <v>0</v>
      </c>
      <c r="BO121" s="40">
        <f>IFERROR(VLOOKUP("30_"&amp;A121,SyS!$B:$P,12,FALSE()),0)</f>
        <v>0</v>
      </c>
      <c r="BP121" s="47">
        <f>+BN121-BO121</f>
        <v>0</v>
      </c>
      <c r="BQ121" s="45">
        <f>+E121+H121+K121+N121+Q121+T121+W121+Z121+AC121+AF121+AI121+AL121+AO121+AR121+AU121+AX121+BA121+BD121+BG121+BJ121+BM121+BP121</f>
        <v>0</v>
      </c>
    </row>
    <row r="122" ht="11.25" customHeight="1" spans="1:69" x14ac:dyDescent="0.25">
      <c r="A122" s="49"/>
      <c r="B122" s="50" t="s">
        <v>158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/>
      <c r="G122" s="35"/>
      <c r="H122" s="36"/>
      <c r="I122" s="35"/>
      <c r="J122" s="35"/>
      <c r="K122" s="35"/>
      <c r="L122" s="35"/>
      <c r="M122" s="35"/>
      <c r="N122" s="35"/>
      <c r="O122" s="34"/>
      <c r="P122" s="35"/>
      <c r="Q122" s="36"/>
      <c r="R122" s="34"/>
      <c r="S122" s="35"/>
      <c r="T122" s="36"/>
      <c r="U122" s="34"/>
      <c r="V122" s="35"/>
      <c r="W122" s="36"/>
      <c r="X122" s="34"/>
      <c r="Y122" s="35"/>
      <c r="Z122" s="36"/>
      <c r="AA122" s="34"/>
      <c r="AB122" s="35"/>
      <c r="AC122" s="36"/>
      <c r="AD122" s="35"/>
      <c r="AE122" s="35"/>
      <c r="AF122" s="35"/>
      <c r="AG122" s="35"/>
      <c r="AH122" s="35"/>
      <c r="AI122" s="35"/>
      <c r="AJ122" s="35"/>
      <c r="AK122" s="35"/>
      <c r="AL122" s="35"/>
      <c r="AM122" s="34"/>
      <c r="AN122" s="35"/>
      <c r="AO122" s="36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6"/>
      <c r="BO122" s="40"/>
      <c r="BP122" s="47"/>
      <c r="BQ122" s="45"/>
    </row>
    <row r="123" ht="11.25" customHeight="1" spans="1:69" x14ac:dyDescent="0.25">
      <c r="A123" s="41">
        <v>422010000</v>
      </c>
      <c r="B123" s="41" t="s">
        <v>159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0</v>
      </c>
      <c r="AB123" s="35">
        <f>IFERROR(VLOOKUP("17_"&amp;A123,SyS!$B:$P,12,FALSE()),0)</f>
        <v>0</v>
      </c>
      <c r="AC123" s="36">
        <f>+AA123-AB123</f>
        <v>0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6">
        <f>IFERROR(VLOOKUP("30_"&amp;A123,SyS!$B:$P,10,FALSE()),0)</f>
        <v>0</v>
      </c>
      <c r="BO123" s="40">
        <f>IFERROR(VLOOKUP("30_"&amp;A123,SyS!$B:$P,12,FALSE()),0)</f>
        <v>0</v>
      </c>
      <c r="BP123" s="47">
        <f>+BN123-BO123</f>
        <v>0</v>
      </c>
      <c r="BQ123" s="45">
        <f>+E123+H123+K123+N123+Q123+T123+W123+Z123+AC123+AF123+AI123+AL123+AO123+AR123+AU123+AX123+BA123+BD123+BG123+BJ123+BM123+BP123</f>
        <v>0</v>
      </c>
    </row>
    <row r="124" ht="11.25" customHeight="1" spans="1:69" x14ac:dyDescent="0.25">
      <c r="A124" s="41">
        <v>422020000</v>
      </c>
      <c r="B124" s="41" t="s">
        <v>160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0</v>
      </c>
      <c r="G124" s="35">
        <f>IFERROR(VLOOKUP("2_"&amp;A124,SyS!$B:$P,12,FALSE()),0)</f>
        <v>0</v>
      </c>
      <c r="H124" s="36">
        <f>+F124-G124</f>
        <v>0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0</v>
      </c>
      <c r="AB124" s="35">
        <f>IFERROR(VLOOKUP("17_"&amp;A124,SyS!$B:$P,12,FALSE()),0)</f>
        <v>0</v>
      </c>
      <c r="AC124" s="36">
        <f>+AA124-AB124</f>
        <v>0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6">
        <f>IFERROR(VLOOKUP("30_"&amp;A124,SyS!$B:$P,10,FALSE()),0)</f>
        <v>0</v>
      </c>
      <c r="BO124" s="40">
        <f>IFERROR(VLOOKUP("30_"&amp;A124,SyS!$B:$P,12,FALSE()),0)</f>
        <v>0</v>
      </c>
      <c r="BP124" s="47">
        <f>+BN124-BO124</f>
        <v>0</v>
      </c>
      <c r="BQ124" s="45">
        <f>+E124+H124+K124+N124+Q124+T124+W124+Z124+AC124+AF124+AI124+AL124+AO124+AR124+AU124+AX124+BA124+BD124+BG124+BJ124+BM124+BP124</f>
        <v>0</v>
      </c>
    </row>
    <row r="125" ht="11.25" customHeight="1" spans="1:69" x14ac:dyDescent="0.25">
      <c r="A125" s="41">
        <v>422080000</v>
      </c>
      <c r="B125" s="41" t="s">
        <v>161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0</v>
      </c>
      <c r="AB125" s="35">
        <f>IFERROR(VLOOKUP("17_"&amp;A125,SyS!$B:$P,12,FALSE()),0)</f>
        <v>0</v>
      </c>
      <c r="AC125" s="36">
        <f>+AA125-AB125</f>
        <v>0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6">
        <f>IFERROR(VLOOKUP("30_"&amp;A125,SyS!$B:$P,10,FALSE()),0)</f>
        <v>0</v>
      </c>
      <c r="BO125" s="40">
        <f>IFERROR(VLOOKUP("30_"&amp;A125,SyS!$B:$P,12,FALSE()),0)</f>
        <v>0</v>
      </c>
      <c r="BP125" s="47">
        <f>+BN125-BO125</f>
        <v>0</v>
      </c>
      <c r="BQ125" s="45">
        <f>+E125+H125+K125+N125+Q125+T125+W125+Z125+AC125+AF125+AI125+AL125+AO125+AR125+AU125+AX125+BA125+BD125+BG125+BJ125+BM125+BP125</f>
        <v>0</v>
      </c>
    </row>
    <row r="126" ht="11.25" customHeight="1" spans="1:69" x14ac:dyDescent="0.25">
      <c r="A126" s="41">
        <v>422220000</v>
      </c>
      <c r="B126" s="41" t="s">
        <v>162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0</v>
      </c>
      <c r="G126" s="35">
        <f>IFERROR(VLOOKUP("2_"&amp;A126,SyS!$B:$P,12,FALSE()),0)</f>
        <v>0</v>
      </c>
      <c r="H126" s="36">
        <f>+F126-G126</f>
        <v>0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6">
        <f>IFERROR(VLOOKUP("30_"&amp;A126,SyS!$B:$P,10,FALSE()),0)</f>
        <v>0</v>
      </c>
      <c r="BO126" s="40">
        <f>IFERROR(VLOOKUP("30_"&amp;A126,SyS!$B:$P,12,FALSE()),0)</f>
        <v>0</v>
      </c>
      <c r="BP126" s="47">
        <f>+BN126-BO126</f>
        <v>0</v>
      </c>
      <c r="BQ126" s="45">
        <f>+E126+H126+K126+N126+Q126+T126+W126+Z126+AC126+AF126+AI126+AL126+AO126+AR126+AU126+AX126+BA126+BD126+BG126+BJ126+BM126+BP126</f>
        <v>0</v>
      </c>
    </row>
    <row r="127" ht="11.25" customHeight="1" spans="1:69" x14ac:dyDescent="0.25">
      <c r="A127" s="41">
        <v>421470000</v>
      </c>
      <c r="B127" s="41" t="s">
        <v>163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6">
        <f>IFERROR(VLOOKUP("30_"&amp;A127,SyS!$B:$P,10,FALSE()),0)</f>
        <v>0</v>
      </c>
      <c r="BO127" s="40">
        <f>IFERROR(VLOOKUP("30_"&amp;A127,SyS!$B:$P,12,FALSE()),0)</f>
        <v>0</v>
      </c>
      <c r="BP127" s="47">
        <f>+BN127-BO127</f>
        <v>0</v>
      </c>
      <c r="BQ127" s="45">
        <f>+E127+H127+K127+N127+Q127+T127+W127+Z127+AC127+AF127+AI127+AL127+AO127+AR127+AU127+AX127+BA127+BD127+BG127+BJ127+BM127+BP127</f>
        <v>0</v>
      </c>
    </row>
    <row r="128" ht="11.25" customHeight="1" spans="1:69" x14ac:dyDescent="0.25">
      <c r="A128" s="41">
        <v>422090000</v>
      </c>
      <c r="B128" s="41" t="s">
        <v>164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6">
        <f>IFERROR(VLOOKUP("30_"&amp;A128,SyS!$B:$P,10,FALSE()),0)</f>
        <v>0</v>
      </c>
      <c r="BO128" s="40">
        <f>IFERROR(VLOOKUP("30_"&amp;A128,SyS!$B:$P,12,FALSE()),0)</f>
        <v>0</v>
      </c>
      <c r="BP128" s="47">
        <f>+BN128-BO128</f>
        <v>0</v>
      </c>
      <c r="BQ128" s="45">
        <f>+E128+H128+K128+N128+Q128+T128+W128+Z128+AC128+AF128+AI128+AL128+AO128+AR128+AU128+AX128+BA128+BD128+BG128+BJ128+BM128+BP128</f>
        <v>0</v>
      </c>
    </row>
    <row r="129" ht="12" customHeight="1" spans="1:69" x14ac:dyDescent="0.25">
      <c r="A129" s="41">
        <v>422240000</v>
      </c>
      <c r="B129" s="41" t="s">
        <v>165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6">
        <f>IFERROR(VLOOKUP("30_"&amp;A129,SyS!$B:$P,10,FALSE()),0)</f>
        <v>0</v>
      </c>
      <c r="BO129" s="40">
        <f>IFERROR(VLOOKUP("30_"&amp;A129,SyS!$B:$P,12,FALSE()),0)</f>
        <v>0</v>
      </c>
      <c r="BP129" s="47">
        <f>+BN129-BO129</f>
        <v>0</v>
      </c>
      <c r="BQ129" s="45">
        <f>+E129+H129+K129+N129+Q129+T129+W129+Z129+AC129+AF129+AI129+AL129+AO129+AR129+AU129+AX129+BA129+BD129+BG129+BJ129+BM129+BP129</f>
        <v>0</v>
      </c>
    </row>
    <row r="130" ht="11.25" customHeight="1" spans="1:69" x14ac:dyDescent="0.25">
      <c r="A130" s="49"/>
      <c r="B130" s="50" t="s">
        <v>166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/>
      <c r="G130" s="35"/>
      <c r="H130" s="36"/>
      <c r="I130" s="35"/>
      <c r="J130" s="35"/>
      <c r="K130" s="35"/>
      <c r="L130" s="35"/>
      <c r="M130" s="35"/>
      <c r="N130" s="35"/>
      <c r="O130" s="34"/>
      <c r="P130" s="35"/>
      <c r="Q130" s="36"/>
      <c r="R130" s="34"/>
      <c r="S130" s="35"/>
      <c r="T130" s="36"/>
      <c r="U130" s="34"/>
      <c r="V130" s="35"/>
      <c r="W130" s="36"/>
      <c r="X130" s="34"/>
      <c r="Y130" s="35"/>
      <c r="Z130" s="36"/>
      <c r="AA130" s="34"/>
      <c r="AB130" s="35"/>
      <c r="AC130" s="36"/>
      <c r="AD130" s="35"/>
      <c r="AE130" s="35"/>
      <c r="AF130" s="35"/>
      <c r="AG130" s="35"/>
      <c r="AH130" s="35"/>
      <c r="AI130" s="35"/>
      <c r="AJ130" s="35"/>
      <c r="AK130" s="35"/>
      <c r="AL130" s="35"/>
      <c r="AM130" s="34"/>
      <c r="AN130" s="35"/>
      <c r="AO130" s="36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6"/>
      <c r="BO130" s="40"/>
      <c r="BP130" s="47"/>
      <c r="BQ130" s="45"/>
    </row>
    <row r="131" ht="11.25" customHeight="1" spans="1:69" x14ac:dyDescent="0.25">
      <c r="A131" s="9">
        <v>424250000</v>
      </c>
      <c r="B131" s="9"/>
      <c r="C131" s="10">
        <f>IFERROR(VLOOKUP("1_"&amp;A131,SyS!$B:$P,10,FALSE()),0)</f>
        <v>0</v>
      </c>
      <c r="D131" s="10">
        <f>IFERROR(VLOOKUP("1_"&amp;A131,SyS!$B:$P,12,FALSE()),0)</f>
        <v>0</v>
      </c>
      <c r="E131" s="10">
        <f>+C131-D131</f>
        <v>0</v>
      </c>
      <c r="F131" s="10">
        <f>IFERROR(VLOOKUP("2_"&amp;A131,SyS!$B:$P,10,FALSE()),0)</f>
        <v>0</v>
      </c>
      <c r="G131" s="10">
        <f>IFERROR(VLOOKUP("2_"&amp;A131,SyS!$B:$P,12,FALSE()),0)</f>
        <v>0</v>
      </c>
      <c r="H131" s="10">
        <f>+F131-G131</f>
        <v>0</v>
      </c>
      <c r="I131" s="10">
        <f>IFERROR(VLOOKUP("3_"&amp;A131,SyS!$B:$P,10,FALSE()),0)</f>
        <v>0</v>
      </c>
      <c r="J131" s="10">
        <f>IFERROR(VLOOKUP("3_"&amp;A131,SyS!$B:$P,12,FALSE()),0)</f>
        <v>0</v>
      </c>
      <c r="K131" s="10">
        <f>+I131-J131</f>
        <v>0</v>
      </c>
      <c r="L131" s="10">
        <f>IFERROR(VLOOKUP("4_"&amp;A131,SyS!$B:$P,10,FALSE()),0)</f>
        <v>0</v>
      </c>
      <c r="M131" s="10">
        <f>IFERROR(VLOOKUP("4_"&amp;A131,SyS!$B:$P,12,FALSE()),0)</f>
        <v>0</v>
      </c>
      <c r="N131" s="10">
        <f>+L131-M131</f>
        <v>0</v>
      </c>
      <c r="O131" s="10">
        <f>IFERROR(VLOOKUP("14_"&amp;A131,SyS!$B:$P,10,FALSE()),0)</f>
        <v>0</v>
      </c>
      <c r="P131" s="10">
        <f>IFERROR(VLOOKUP("14_"&amp;A131,SyS!$B:$P,12,FALSE()),0)</f>
        <v>0</v>
      </c>
      <c r="Q131" s="10">
        <f>+O131-P131</f>
        <v>0</v>
      </c>
      <c r="R131" s="10">
        <f>IFERROR(VLOOKUP("15_"&amp;A131,SyS!$B:$P,10,FALSE()),0)</f>
        <v>0</v>
      </c>
      <c r="S131" s="10">
        <f>IFERROR(VLOOKUP("15_"&amp;A131,SyS!$B:$P,12,FALSE()),0)</f>
        <v>0</v>
      </c>
      <c r="T131" s="10">
        <f>+R131-S131</f>
        <v>0</v>
      </c>
      <c r="U131" s="10">
        <f>IFERROR(VLOOKUP("16_"&amp;A131,SyS!$B:$P,10,FALSE()),0)</f>
        <v>0</v>
      </c>
      <c r="V131" s="10">
        <f>IFERROR(VLOOKUP("16_"&amp;A131,SyS!$B:$P,12,FALSE()),0)</f>
        <v>0</v>
      </c>
      <c r="W131" s="10">
        <f>+U131-V131</f>
        <v>0</v>
      </c>
      <c r="X131" s="10">
        <f>IFERROR(VLOOKUP("13_"&amp;A131,SyS!$B:$P,10,FALSE()),0)</f>
        <v>0</v>
      </c>
      <c r="Y131" s="10">
        <f>IFERROR(VLOOKUP("13_"&amp;A131,SyS!$B:$P,12,FALSE()),0)</f>
        <v>0</v>
      </c>
      <c r="Z131" s="10">
        <f>+X131-Y131</f>
        <v>0</v>
      </c>
      <c r="AA131" s="10">
        <f>IFERROR(VLOOKUP("17_"&amp;A131,SyS!$B:$P,10,FALSE()),0)</f>
        <v>0</v>
      </c>
      <c r="AB131" s="10">
        <f>IFERROR(VLOOKUP("17_"&amp;A131,SyS!$B:$P,12,FALSE()),0)</f>
        <v>0</v>
      </c>
      <c r="AC131" s="10">
        <f>+AA131-AB131</f>
        <v>0</v>
      </c>
      <c r="AD131" s="10">
        <f>IFERROR(VLOOKUP("18_"&amp;A131,SyS!$B:$P,10,FALSE()),0)</f>
        <v>0</v>
      </c>
      <c r="AE131" s="10">
        <f>IFERROR(VLOOKUP("18_"&amp;A131,SyS!$B:$P,12,FALSE()),0)</f>
        <v>0</v>
      </c>
      <c r="AF131" s="10">
        <f>+AD131-AE131</f>
        <v>0</v>
      </c>
      <c r="AG131" s="10">
        <f>IFERROR(VLOOKUP("19_"&amp;A131,SyS!$B:$P,10,FALSE()),0)</f>
        <v>0</v>
      </c>
      <c r="AH131" s="10">
        <f>IFERROR(VLOOKUP("19_"&amp;A131,SyS!$B:$P,12,FALSE()),0)</f>
        <v>0</v>
      </c>
      <c r="AI131" s="10">
        <f>+AG131-AH131</f>
        <v>0</v>
      </c>
      <c r="AJ131" s="10">
        <f>IFERROR(VLOOKUP("20_"&amp;A131,SyS!$B:$P,10,FALSE()),0)</f>
        <v>0</v>
      </c>
      <c r="AK131" s="10">
        <f>IFERROR(VLOOKUP("20_"&amp;A131,SyS!$B:$P,12,FALSE()),0)</f>
        <v>0</v>
      </c>
      <c r="AL131" s="10">
        <f>+AJ131-AK131</f>
        <v>0</v>
      </c>
      <c r="AM131" s="10">
        <f>IFERROR(VLOOKUP("23_"&amp;A131,SyS!$B:$P,10,FALSE()),0)</f>
        <v>0</v>
      </c>
      <c r="AN131" s="10">
        <f>IFERROR(VLOOKUP("23_"&amp;A131,SyS!$B:$P,12,FALSE()),0)</f>
        <v>0</v>
      </c>
      <c r="AO131" s="10">
        <f>+AM131-AN131</f>
        <v>0</v>
      </c>
      <c r="AP131" s="11">
        <f>IFERROR(VLOOKUP("21_"&amp;A131,SyS!$B:$P,10,FALSE()),0)</f>
        <v>0</v>
      </c>
      <c r="AQ131" s="11">
        <f>IFERROR(VLOOKUP("21_"&amp;A131,SyS!$B:$P,12,FALSE()),0)</f>
        <v>0</v>
      </c>
      <c r="AR131" s="11">
        <f>+AP131-AQ131</f>
        <v>0</v>
      </c>
      <c r="AS131" s="11">
        <f>IFERROR(VLOOKUP("22_"&amp;A131,SyS!$B:$P,10,FALSE()),0)</f>
        <v>0</v>
      </c>
      <c r="AT131" s="11">
        <f>IFERROR(VLOOKUP("22_"&amp;A131,SyS!$B:$P,12,FALSE()),0)</f>
        <v>0</v>
      </c>
      <c r="AU131" s="11">
        <f>+AS131-AT131</f>
        <v>0</v>
      </c>
      <c r="AV131" s="11">
        <f>IFERROR(VLOOKUP("24_"&amp;A131,SyS!$B:$P,10,FALSE()),0)</f>
        <v>0</v>
      </c>
      <c r="AW131" s="11">
        <f>IFERROR(VLOOKUP("24_"&amp;A131,SyS!$B:$P,12,FALSE()),0)</f>
        <v>0</v>
      </c>
      <c r="AX131" s="11">
        <f>+AV131-AW131</f>
        <v>0</v>
      </c>
      <c r="AY131" s="11">
        <f>IFERROR(VLOOKUP("25_"&amp;A131,SyS!$B:$P,10,FALSE()),0)</f>
        <v>0</v>
      </c>
      <c r="AZ131" s="11">
        <f>IFERROR(VLOOKUP("25_"&amp;A131,SyS!$B:$P,12,FALSE()),0)</f>
        <v>0</v>
      </c>
      <c r="BA131" s="11">
        <f>+AY131-AZ131</f>
        <v>0</v>
      </c>
      <c r="BB131" s="11">
        <f>IFERROR(VLOOKUP("26_"&amp;A131,SyS!$B:$P,10,FALSE()),0)</f>
        <v>0</v>
      </c>
      <c r="BC131" s="11">
        <f>IFERROR(VLOOKUP("26_"&amp;A131,SyS!$B:$P,12,FALSE()),0)</f>
        <v>0</v>
      </c>
      <c r="BD131" s="11">
        <f>+BB131-BC131</f>
        <v>0</v>
      </c>
      <c r="BE131" s="11">
        <f>IFERROR(VLOOKUP("27_"&amp;A131,SyS!$B:$P,10,FALSE()),0)</f>
        <v>0</v>
      </c>
      <c r="BF131" s="11">
        <f>IFERROR(VLOOKUP("27_"&amp;A131,SyS!$B:$P,12,FALSE()),0)</f>
        <v>0</v>
      </c>
      <c r="BG131" s="11">
        <f>+BE131-BF131</f>
        <v>0</v>
      </c>
      <c r="BH131" s="11">
        <f>IFERROR(VLOOKUP("28_"&amp;A131,SyS!$B:$P,10,FALSE()),0)</f>
        <v>0</v>
      </c>
      <c r="BI131" s="11">
        <f>IFERROR(VLOOKUP("28_"&amp;A131,SyS!$B:$P,12,FALSE()),0)</f>
        <v>0</v>
      </c>
      <c r="BJ131" s="11">
        <f>+BH131-BI131</f>
        <v>0</v>
      </c>
      <c r="BK131" s="11">
        <f>IFERROR(VLOOKUP("29_"&amp;A131,SyS!$B:$P,10,FALSE()),0)</f>
        <v>0</v>
      </c>
      <c r="BL131" s="11">
        <f>IFERROR(VLOOKUP("29_"&amp;A131,SyS!$B:$P,12,FALSE()),0)</f>
        <v>0</v>
      </c>
      <c r="BM131" s="11">
        <f>+BK131-BL131</f>
        <v>0</v>
      </c>
      <c r="BN131" s="11">
        <f>IFERROR(VLOOKUP("30_"&amp;A131,SyS!$B:$P,10,FALSE()),0)</f>
        <v>0</v>
      </c>
      <c r="BO131" s="11">
        <f>IFERROR(VLOOKUP("30_"&amp;A131,SyS!$B:$P,12,FALSE()),0)</f>
        <v>0</v>
      </c>
      <c r="BP131" s="11">
        <f>+BN131-BO131</f>
        <v>0</v>
      </c>
      <c r="BQ131" s="12">
        <f>+E131+H131+K131+N131+Q131+T131+W131+Z131+AC131+AF131+AI131+AL131+AO131+AR131+AU131+AX131+BA131+BD131+BG131+BJ131+BM131+BP131</f>
        <v>0</v>
      </c>
    </row>
    <row r="132" ht="11.25" customHeight="1" spans="1:69" x14ac:dyDescent="0.25">
      <c r="A132" s="41">
        <v>425110000</v>
      </c>
      <c r="B132" s="48" t="s">
        <v>167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38.57</v>
      </c>
      <c r="G132" s="35">
        <f>IFERROR(VLOOKUP("2_"&amp;A132,SyS!$B:$P,12,FALSE()),0)</f>
        <v>0</v>
      </c>
      <c r="H132" s="36">
        <f>+F132-G132</f>
        <v>38.57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6">
        <f>IFERROR(VLOOKUP("30_"&amp;A132,SyS!$B:$P,10,FALSE()),0)</f>
        <v>0</v>
      </c>
      <c r="BO132" s="40">
        <f>IFERROR(VLOOKUP("30_"&amp;A132,SyS!$B:$P,12,FALSE()),0)</f>
        <v>0</v>
      </c>
      <c r="BP132" s="47">
        <f>+BN132-BO132</f>
        <v>0</v>
      </c>
      <c r="BQ132" s="45">
        <f>+E132+H132+K132+N132+Q132+T132+W132+Z132+AC132+AF132+AI132+AL132+AO132+AR132+AU132+AX132+BA132+BD132+BG132+BJ132+BM132+BP132</f>
        <v>38.57</v>
      </c>
    </row>
    <row r="133" ht="11.25" customHeight="1" spans="1:69" x14ac:dyDescent="0.25">
      <c r="A133" s="41">
        <v>425120000</v>
      </c>
      <c r="B133" s="41" t="s">
        <v>168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6">
        <f>IFERROR(VLOOKUP("30_"&amp;A133,SyS!$B:$P,10,FALSE()),0)</f>
        <v>0</v>
      </c>
      <c r="BO133" s="40">
        <f>IFERROR(VLOOKUP("30_"&amp;A133,SyS!$B:$P,12,FALSE()),0)</f>
        <v>0</v>
      </c>
      <c r="BP133" s="47">
        <f>+BN133-BO133</f>
        <v>0</v>
      </c>
      <c r="BQ133" s="45">
        <f>+E133+H133+K133+N133+Q133+T133+W133+Z133+AC133+AF133+AI133+AL133+AO133+AR133+AU133+AX133+BA133+BD133+BG133+BJ133+BM133+BP133</f>
        <v>0</v>
      </c>
    </row>
    <row r="134" ht="11.25" customHeight="1" spans="1:69" x14ac:dyDescent="0.25">
      <c r="A134" s="41">
        <v>425130000</v>
      </c>
      <c r="B134" s="41" t="s">
        <v>169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6">
        <f>IFERROR(VLOOKUP("30_"&amp;A134,SyS!$B:$P,10,FALSE()),0)</f>
        <v>0</v>
      </c>
      <c r="BO134" s="40">
        <f>IFERROR(VLOOKUP("30_"&amp;A134,SyS!$B:$P,12,FALSE()),0)</f>
        <v>0</v>
      </c>
      <c r="BP134" s="47">
        <f>+BN134-BO134</f>
        <v>0</v>
      </c>
      <c r="BQ134" s="45">
        <f>+E134+H134+K134+N134+Q134+T134+W134+Z134+AC134+AF134+AI134+AL134+AO134+AR134+AU134+AX134+BA134+BD134+BG134+BJ134+BM134+BP134</f>
        <v>0</v>
      </c>
    </row>
    <row r="135" ht="11.25" customHeight="1" spans="1:69" x14ac:dyDescent="0.25">
      <c r="A135" s="41">
        <v>425140000</v>
      </c>
      <c r="B135" s="41" t="s">
        <v>170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6">
        <f>IFERROR(VLOOKUP("30_"&amp;A135,SyS!$B:$P,10,FALSE()),0)</f>
        <v>0</v>
      </c>
      <c r="BO135" s="40">
        <f>IFERROR(VLOOKUP("30_"&amp;A135,SyS!$B:$P,12,FALSE()),0)</f>
        <v>0</v>
      </c>
      <c r="BP135" s="47">
        <f>+BN135-BO135</f>
        <v>0</v>
      </c>
      <c r="BQ135" s="45">
        <f>+E135+H135+K135+N135+Q135+T135+W135+Z135+AC135+AF135+AI135+AL135+AO135+AR135+AU135+AX135+BA135+BD135+BG135+BJ135+BM135+BP135</f>
        <v>0</v>
      </c>
    </row>
    <row r="136" ht="11.25" customHeight="1" spans="1:69" x14ac:dyDescent="0.25">
      <c r="A136" s="41">
        <v>425150000</v>
      </c>
      <c r="B136" s="41" t="s">
        <v>171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0</v>
      </c>
      <c r="G136" s="35">
        <f>IFERROR(VLOOKUP("2_"&amp;A136,SyS!$B:$P,12,FALSE()),0)</f>
        <v>0</v>
      </c>
      <c r="H136" s="36">
        <f>+F136-G136</f>
        <v>0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1221.05</v>
      </c>
      <c r="S136" s="35">
        <f>IFERROR(VLOOKUP("15_"&amp;A136,SyS!$B:$P,12,FALSE()),0)</f>
        <v>0</v>
      </c>
      <c r="T136" s="36">
        <f>+R136-S136</f>
        <v>1221.05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0</v>
      </c>
      <c r="AB136" s="35">
        <f>IFERROR(VLOOKUP("17_"&amp;A136,SyS!$B:$P,12,FALSE()),0)</f>
        <v>0</v>
      </c>
      <c r="AC136" s="36">
        <f>+AA136-AB136</f>
        <v>0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6">
        <f>IFERROR(VLOOKUP("30_"&amp;A136,SyS!$B:$P,10,FALSE()),0)</f>
        <v>0</v>
      </c>
      <c r="BO136" s="40">
        <f>IFERROR(VLOOKUP("30_"&amp;A136,SyS!$B:$P,12,FALSE()),0)</f>
        <v>0</v>
      </c>
      <c r="BP136" s="47">
        <f>+BN136-BO136</f>
        <v>0</v>
      </c>
      <c r="BQ136" s="45">
        <f>+E136+H136+K136+N136+Q136+T136+W136+Z136+AC136+AF136+AI136+AL136+AO136+AR136+AU136+AX136+BA136+BD136+BG136+BJ136+BM136+BP136</f>
        <v>1221.05</v>
      </c>
    </row>
    <row r="137" ht="11.25" customHeight="1" spans="1:69" x14ac:dyDescent="0.25">
      <c r="A137" s="41">
        <v>425160000</v>
      </c>
      <c r="B137" s="41" t="s">
        <v>172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6">
        <f>IFERROR(VLOOKUP("30_"&amp;A137,SyS!$B:$P,10,FALSE()),0)</f>
        <v>0</v>
      </c>
      <c r="BO137" s="40">
        <f>IFERROR(VLOOKUP("30_"&amp;A137,SyS!$B:$P,12,FALSE()),0)</f>
        <v>0</v>
      </c>
      <c r="BP137" s="47">
        <f>+BN137-BO137</f>
        <v>0</v>
      </c>
      <c r="BQ137" s="45">
        <f>+E137+H137+K137+N137+Q137+T137+W137+Z137+AC137+AF137+AI137+AL137+AO137+AR137+AU137+AX137+BA137+BD137+BG137+BJ137+BM137+BP137</f>
        <v>0</v>
      </c>
    </row>
    <row r="138" ht="11.25" customHeight="1" spans="1:69" x14ac:dyDescent="0.25">
      <c r="A138" s="41">
        <v>425170000</v>
      </c>
      <c r="B138" s="41" t="s">
        <v>173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0</v>
      </c>
      <c r="G138" s="35">
        <f>IFERROR(VLOOKUP("2_"&amp;A138,SyS!$B:$P,12,FALSE()),0)</f>
        <v>0</v>
      </c>
      <c r="H138" s="36">
        <f>+F138-G138</f>
        <v>0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0</v>
      </c>
      <c r="AB138" s="35">
        <f>IFERROR(VLOOKUP("17_"&amp;A138,SyS!$B:$P,12,FALSE()),0)</f>
        <v>0</v>
      </c>
      <c r="AC138" s="36">
        <f>+AA138-AB138</f>
        <v>0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6">
        <f>IFERROR(VLOOKUP("30_"&amp;A138,SyS!$B:$P,10,FALSE()),0)</f>
        <v>0</v>
      </c>
      <c r="BO138" s="40">
        <f>IFERROR(VLOOKUP("30_"&amp;A138,SyS!$B:$P,12,FALSE()),0)</f>
        <v>0</v>
      </c>
      <c r="BP138" s="47">
        <f>+BN138-BO138</f>
        <v>0</v>
      </c>
      <c r="BQ138" s="45">
        <f>+E138+H138+K138+N138+Q138+T138+W138+Z138+AC138+AF138+AI138+AL138+AO138+AR138+AU138+AX138+BA138+BD138+BG138+BJ138+BM138+BP138</f>
        <v>0</v>
      </c>
    </row>
    <row r="139" ht="11.25" customHeight="1" spans="1:69" x14ac:dyDescent="0.25">
      <c r="A139" s="41">
        <v>425180000</v>
      </c>
      <c r="B139" s="41" t="s">
        <v>174</v>
      </c>
      <c r="C139" s="34">
        <f>IFERROR(VLOOKUP("1_"&amp;A139,SyS!$B:$P,10,FALSE()),0)</f>
        <v>348.08</v>
      </c>
      <c r="D139" s="35">
        <f>IFERROR(VLOOKUP("1_"&amp;A139,SyS!$B:$P,12,FALSE()),0)</f>
        <v>0</v>
      </c>
      <c r="E139" s="35">
        <f>+C139-D139</f>
        <v>348.08</v>
      </c>
      <c r="F139" s="34">
        <f>IFERROR(VLOOKUP("2_"&amp;A139,SyS!$B:$P,10,FALSE()),0)</f>
        <v>18.19</v>
      </c>
      <c r="G139" s="35">
        <f>IFERROR(VLOOKUP("2_"&amp;A139,SyS!$B:$P,12,FALSE()),0)</f>
        <v>0</v>
      </c>
      <c r="H139" s="36">
        <f>+F139-G139</f>
        <v>18.19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6">
        <f>IFERROR(VLOOKUP("30_"&amp;A139,SyS!$B:$P,10,FALSE()),0)</f>
        <v>0</v>
      </c>
      <c r="BO139" s="40">
        <f>IFERROR(VLOOKUP("30_"&amp;A139,SyS!$B:$P,12,FALSE()),0)</f>
        <v>0</v>
      </c>
      <c r="BP139" s="47">
        <f>+BN139-BO139</f>
        <v>0</v>
      </c>
      <c r="BQ139" s="45">
        <f>+E139+H139+K139+N139+Q139+T139+W139+Z139+AC139+AF139+AI139+AL139+AO139+AR139+AU139+AX139+BA139+BD139+BG139+BJ139+BM139+BP139</f>
        <v>366.27</v>
      </c>
    </row>
    <row r="140" ht="11.25" customHeight="1" spans="1:69" x14ac:dyDescent="0.25">
      <c r="A140" s="41">
        <v>433050000</v>
      </c>
      <c r="B140" s="41" t="s">
        <v>175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6">
        <f>IFERROR(VLOOKUP("30_"&amp;A140,SyS!$B:$P,10,FALSE()),0)</f>
        <v>0</v>
      </c>
      <c r="BO140" s="40">
        <f>IFERROR(VLOOKUP("30_"&amp;A140,SyS!$B:$P,12,FALSE()),0)</f>
        <v>0</v>
      </c>
      <c r="BP140" s="47">
        <f>+BN140-BO140</f>
        <v>0</v>
      </c>
      <c r="BQ140" s="45">
        <f>+E140+H140+K140+N140+Q140+T140+W140+Z140+AC140+AF140+AI140+AL140+AO140+AR140+AU140+AX140+BA140+BD140+BG140+BJ140+BM140+BP140</f>
        <v>0</v>
      </c>
    </row>
    <row r="141" ht="11.25" customHeight="1" spans="1:69" x14ac:dyDescent="0.25">
      <c r="A141" s="41">
        <v>425190000</v>
      </c>
      <c r="B141" s="41" t="s">
        <v>176</v>
      </c>
      <c r="C141" s="34">
        <f>IFERROR(VLOOKUP("1_"&amp;A141,SyS!$B:$P,10,FALSE()),0)</f>
        <v>18000</v>
      </c>
      <c r="D141" s="35">
        <f>IFERROR(VLOOKUP("1_"&amp;A141,SyS!$B:$P,12,FALSE()),0)</f>
        <v>0</v>
      </c>
      <c r="E141" s="35">
        <f>+C141-D141</f>
        <v>18000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6">
        <f>IFERROR(VLOOKUP("30_"&amp;A141,SyS!$B:$P,10,FALSE()),0)</f>
        <v>0</v>
      </c>
      <c r="BO141" s="40">
        <f>IFERROR(VLOOKUP("30_"&amp;A141,SyS!$B:$P,12,FALSE()),0)</f>
        <v>0</v>
      </c>
      <c r="BP141" s="47">
        <f>+BN141-BO141</f>
        <v>0</v>
      </c>
      <c r="BQ141" s="45">
        <f>+E141+H141+K141+N141+Q141+T141+W141+Z141+AC141+AF141+AI141+AL141+AO141+AR141+AU141+AX141+BA141+BD141+BG141+BJ141+BM141+BP141</f>
        <v>18000</v>
      </c>
    </row>
    <row r="142" ht="11.25" customHeight="1" spans="1:69" x14ac:dyDescent="0.25">
      <c r="A142" s="41">
        <v>433030000</v>
      </c>
      <c r="B142" s="41" t="s">
        <v>177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0</v>
      </c>
      <c r="AB142" s="35">
        <f>IFERROR(VLOOKUP("17_"&amp;A142,SyS!$B:$P,12,FALSE()),0)</f>
        <v>0</v>
      </c>
      <c r="AC142" s="36">
        <f>+AA142-AB142</f>
        <v>0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6">
        <f>IFERROR(VLOOKUP("30_"&amp;A142,SyS!$B:$P,10,FALSE()),0)</f>
        <v>0</v>
      </c>
      <c r="BO142" s="40">
        <f>IFERROR(VLOOKUP("30_"&amp;A142,SyS!$B:$P,12,FALSE()),0)</f>
        <v>0</v>
      </c>
      <c r="BP142" s="47">
        <f>+BN142-BO142</f>
        <v>0</v>
      </c>
      <c r="BQ142" s="45">
        <f>+E142+H142+K142+N142+Q142+T142+W142+Z142+AC142+AF142+AI142+AL142+AO142+AR142+AU142+AX142+BA142+BD142+BG142+BJ142+BM142+BP142</f>
        <v>0</v>
      </c>
    </row>
    <row r="143" ht="11.25" customHeight="1" spans="1:69" x14ac:dyDescent="0.25">
      <c r="A143" s="41">
        <v>425200000</v>
      </c>
      <c r="B143" s="41" t="s">
        <v>178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6">
        <f>IFERROR(VLOOKUP("30_"&amp;A143,SyS!$B:$P,10,FALSE()),0)</f>
        <v>0</v>
      </c>
      <c r="BO143" s="40">
        <f>IFERROR(VLOOKUP("30_"&amp;A143,SyS!$B:$P,12,FALSE()),0)</f>
        <v>0</v>
      </c>
      <c r="BP143" s="47">
        <f>+BN143-BO143</f>
        <v>0</v>
      </c>
      <c r="BQ143" s="45">
        <f>+E143+H143+K143+N143+Q143+T143+W143+Z143+AC143+AF143+AI143+AL143+AO143+AR143+AU143+AX143+BA143+BD143+BG143+BJ143+BM143+BP143</f>
        <v>0</v>
      </c>
    </row>
    <row r="144" ht="11.25" customHeight="1" spans="1:69" x14ac:dyDescent="0.25">
      <c r="A144" s="41">
        <v>425210000</v>
      </c>
      <c r="B144" s="41" t="s">
        <v>179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6">
        <f>IFERROR(VLOOKUP("30_"&amp;A144,SyS!$B:$P,10,FALSE()),0)</f>
        <v>0</v>
      </c>
      <c r="BO144" s="40">
        <f>IFERROR(VLOOKUP("30_"&amp;A144,SyS!$B:$P,12,FALSE()),0)</f>
        <v>0</v>
      </c>
      <c r="BP144" s="47">
        <f>+BN144-BO144</f>
        <v>0</v>
      </c>
      <c r="BQ144" s="45">
        <f>+E144+H144+K144+N144+Q144+T144+W144+Z144+AC144+AF144+AI144+AL144+AO144+AR144+AU144+AX144+BA144+BD144+BG144+BJ144+BM144+BP144</f>
        <v>0</v>
      </c>
    </row>
    <row r="145" ht="11.25" customHeight="1" spans="1:69" x14ac:dyDescent="0.25">
      <c r="A145" s="41">
        <v>433110000</v>
      </c>
      <c r="B145" s="41" t="s">
        <v>180</v>
      </c>
      <c r="C145" s="34">
        <f>IFERROR(VLOOKUP("1_"&amp;A145,SyS!$B:$P,10,FALSE()),0)</f>
        <v>18</v>
      </c>
      <c r="D145" s="35">
        <f>IFERROR(VLOOKUP("1_"&amp;A145,SyS!$B:$P,12,FALSE()),0)</f>
        <v>0</v>
      </c>
      <c r="E145" s="35">
        <f>+C145-D145</f>
        <v>18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/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6">
        <f>IFERROR(VLOOKUP("30_"&amp;A145,SyS!$B:$P,10,FALSE()),0)</f>
        <v>0</v>
      </c>
      <c r="BO145" s="40">
        <f>IFERROR(VLOOKUP("30_"&amp;A145,SyS!$B:$P,12,FALSE()),0)</f>
        <v>0</v>
      </c>
      <c r="BP145" s="47">
        <f>+BN145-BO145</f>
        <v>0</v>
      </c>
      <c r="BQ145" s="45">
        <f>+E145+H145+K145+N145+Q145+T145+W145+Z145+AC145+AF145+AI145+AL145+AO145+AR145+AU145+AX145+BA145+BD145+BG145+BJ145+BM145+BP145</f>
        <v>18</v>
      </c>
    </row>
    <row r="146" ht="11.25" customHeight="1" spans="1:69" x14ac:dyDescent="0.25">
      <c r="A146" s="41">
        <v>425220000</v>
      </c>
      <c r="B146" s="41" t="s">
        <v>181</v>
      </c>
      <c r="C146" s="34">
        <f>IFERROR(VLOOKUP("1_"&amp;A146,SyS!$B:$P,10,FALSE()),0)</f>
        <v>179.24</v>
      </c>
      <c r="D146" s="35">
        <f>IFERROR(VLOOKUP("1_"&amp;A146,SyS!$B:$P,12,FALSE()),0)</f>
        <v>0</v>
      </c>
      <c r="E146" s="35">
        <f>+C146-D146</f>
        <v>179.24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6">
        <f>IFERROR(VLOOKUP("30_"&amp;A146,SyS!$B:$P,10,FALSE()),0)</f>
        <v>0</v>
      </c>
      <c r="BO146" s="40">
        <f>IFERROR(VLOOKUP("30_"&amp;A146,SyS!$B:$P,12,FALSE()),0)</f>
        <v>0</v>
      </c>
      <c r="BP146" s="47">
        <f>+BN146-BO146</f>
        <v>0</v>
      </c>
      <c r="BQ146" s="45">
        <f>+E146+H146+K146+N146+Q146+T146+W146+Z146+AC146+AF146+AI146+AL146+AO146+AR146+AU146+AX146+BA146+BD146+BG146+BJ146+BM146+BP146</f>
        <v>179.24</v>
      </c>
    </row>
    <row r="147" ht="11.25" customHeight="1" spans="1:69" x14ac:dyDescent="0.25">
      <c r="A147" s="41">
        <v>423010000</v>
      </c>
      <c r="B147" s="41" t="s">
        <v>88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6">
        <f>IFERROR(VLOOKUP("30_"&amp;A147,SyS!$B:$P,10,FALSE()),0)</f>
        <v>0</v>
      </c>
      <c r="BO147" s="40">
        <f>IFERROR(VLOOKUP("30_"&amp;A147,SyS!$B:$P,12,FALSE()),0)</f>
        <v>0</v>
      </c>
      <c r="BP147" s="47">
        <f>+BN147-BO147</f>
        <v>0</v>
      </c>
      <c r="BQ147" s="45">
        <f>+E147+H147+K147+N147+Q147+T147+W147+Z147+AC147+AF147+AI147+AL147+AO147+AR147+AU147+AX147+BA147+BD147+BG147+BJ147+BM147+BP147</f>
        <v>0</v>
      </c>
    </row>
    <row r="148" ht="11.25" customHeight="1" spans="1:69" x14ac:dyDescent="0.25">
      <c r="A148" s="41">
        <v>425230000</v>
      </c>
      <c r="B148" s="41" t="s">
        <v>182</v>
      </c>
      <c r="C148" s="34">
        <f>IFERROR(VLOOKUP("1_"&amp;A148,SyS!$B:$P,10,FALSE()),0)</f>
        <v>5.7700000000000005</v>
      </c>
      <c r="D148" s="35">
        <f>IFERROR(VLOOKUP("1_"&amp;A148,SyS!$B:$P,12,FALSE()),0)</f>
        <v>0</v>
      </c>
      <c r="E148" s="35">
        <f>+C148-D148</f>
        <v>5.7700000000000005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6">
        <f>IFERROR(VLOOKUP("30_"&amp;A148,SyS!$B:$P,10,FALSE()),0)</f>
        <v>0</v>
      </c>
      <c r="BO148" s="40">
        <f>IFERROR(VLOOKUP("30_"&amp;A148,SyS!$B:$P,12,FALSE()),0)</f>
        <v>0</v>
      </c>
      <c r="BP148" s="47">
        <f>+BN148-BO148</f>
        <v>0</v>
      </c>
      <c r="BQ148" s="45">
        <f>+E148+H148+K148+N148+Q148+T148+W148+Z148+AC148+AF148+AI148+AL148+AO148+AR148+AU148+AX148+BA148+BD148+BG148+BJ148+BM148+BP148</f>
        <v>5.7700000000000005</v>
      </c>
    </row>
    <row r="149" ht="11.25" customHeight="1" spans="1:69" x14ac:dyDescent="0.25">
      <c r="A149" s="41">
        <v>425240000</v>
      </c>
      <c r="B149" s="41" t="s">
        <v>183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0</v>
      </c>
      <c r="G149" s="35">
        <f>IFERROR(VLOOKUP("2_"&amp;A149,SyS!$B:$P,12,FALSE()),0)</f>
        <v>0</v>
      </c>
      <c r="H149" s="36">
        <f>+F149-G149</f>
        <v>0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6">
        <f>IFERROR(VLOOKUP("30_"&amp;A149,SyS!$B:$P,10,FALSE()),0)</f>
        <v>0</v>
      </c>
      <c r="BO149" s="40">
        <f>IFERROR(VLOOKUP("30_"&amp;A149,SyS!$B:$P,12,FALSE()),0)</f>
        <v>0</v>
      </c>
      <c r="BP149" s="47">
        <f>+BN149-BO149</f>
        <v>0</v>
      </c>
      <c r="BQ149" s="45">
        <f>+E149+H149+K149+N149+Q149+T149+W149+Z149+AC149+AF149+AI149+AL149+AO149+AR149+AU149+AX149+BA149+BD149+BG149+BJ149+BM149+BP149</f>
        <v>0</v>
      </c>
    </row>
    <row r="150" ht="11.25" customHeight="1" spans="1:69" x14ac:dyDescent="0.25">
      <c r="A150" s="41">
        <v>425250000</v>
      </c>
      <c r="B150" s="41" t="s">
        <v>184</v>
      </c>
      <c r="C150" s="34">
        <f>IFERROR(VLOOKUP("1_"&amp;A150,SyS!$B:$P,10,FALSE()),0)</f>
        <v>3897.38</v>
      </c>
      <c r="D150" s="35">
        <f>IFERROR(VLOOKUP("1_"&amp;A150,SyS!$B:$P,12,FALSE()),0)</f>
        <v>0</v>
      </c>
      <c r="E150" s="35">
        <f>+C150-D150</f>
        <v>3897.38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6">
        <f>IFERROR(VLOOKUP("30_"&amp;A150,SyS!$B:$P,10,FALSE()),0)</f>
        <v>0</v>
      </c>
      <c r="BO150" s="40">
        <f>IFERROR(VLOOKUP("30_"&amp;A150,SyS!$B:$P,12,FALSE()),0)</f>
        <v>0</v>
      </c>
      <c r="BP150" s="47">
        <f>+BN150-BO150</f>
        <v>0</v>
      </c>
      <c r="BQ150" s="45">
        <f>+E150+H150+K150+N150+Q150+T150+W150+Z150+AC150+AF150+AI150+AL150+AO150+AR150+AU150+AX150+BA150+BD150+BG150+BJ150+BM150+BP150</f>
        <v>3897.38</v>
      </c>
    </row>
    <row r="151" ht="11.25" customHeight="1" spans="1:69" x14ac:dyDescent="0.25">
      <c r="A151" s="41">
        <v>425300000</v>
      </c>
      <c r="B151" s="41" t="s">
        <v>185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164.05</v>
      </c>
      <c r="G151" s="35">
        <f>IFERROR(VLOOKUP("2_"&amp;A151,SyS!$B:$P,12,FALSE()),0)</f>
        <v>0</v>
      </c>
      <c r="H151" s="36">
        <f>+F151-G151</f>
        <v>164.05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103.13</v>
      </c>
      <c r="AN151" s="35">
        <f>IFERROR(VLOOKUP("23_"&amp;A151,SyS!$B:$P,12,FALSE()),0)</f>
        <v>0</v>
      </c>
      <c r="AO151" s="36">
        <f>+AM151-AN151</f>
        <v>103.13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6">
        <f>IFERROR(VLOOKUP("30_"&amp;A151,SyS!$B:$P,10,FALSE()),0)</f>
        <v>0</v>
      </c>
      <c r="BO151" s="40">
        <f>IFERROR(VLOOKUP("30_"&amp;A151,SyS!$B:$P,12,FALSE()),0)</f>
        <v>0</v>
      </c>
      <c r="BP151" s="47">
        <f>+BN151-BO151</f>
        <v>0</v>
      </c>
      <c r="BQ151" s="45">
        <f>+E151+H151+K151+N151+Q151+T151+W151+Z151+AC151+AF151+AI151+AL151+AO151+AR151+AU151+AX151+BA151+BD151+BG151+BJ151+BM151+BP151</f>
        <v>267.18</v>
      </c>
    </row>
    <row r="152" ht="11.25" customHeight="1" spans="1:69" x14ac:dyDescent="0.25">
      <c r="A152" s="41">
        <v>433080000</v>
      </c>
      <c r="B152" s="41" t="s">
        <v>186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6">
        <f>IFERROR(VLOOKUP("30_"&amp;A152,SyS!$B:$P,10,FALSE()),0)</f>
        <v>0</v>
      </c>
      <c r="BO152" s="40">
        <f>IFERROR(VLOOKUP("30_"&amp;A152,SyS!$B:$P,12,FALSE()),0)</f>
        <v>0</v>
      </c>
      <c r="BP152" s="47">
        <f>+BN152-BO152</f>
        <v>0</v>
      </c>
      <c r="BQ152" s="45">
        <f>+E152+H152+K152+N152+Q152+T152+W152+Z152+AC152+AF152+AI152+AL152+AO152+AR152+AU152+AX152+BA152+BD152+BG152+BJ152+BM152+BP152</f>
        <v>0</v>
      </c>
    </row>
    <row r="153" ht="11.25" customHeight="1" spans="1:69" x14ac:dyDescent="0.25">
      <c r="A153" s="41">
        <v>425400000</v>
      </c>
      <c r="B153" s="41" t="s">
        <v>187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6">
        <f>IFERROR(VLOOKUP("30_"&amp;A153,SyS!$B:$P,10,FALSE()),0)</f>
        <v>0</v>
      </c>
      <c r="BO153" s="40">
        <f>IFERROR(VLOOKUP("30_"&amp;A153,SyS!$B:$P,12,FALSE()),0)</f>
        <v>0</v>
      </c>
      <c r="BP153" s="47">
        <f>+BN153-BO153</f>
        <v>0</v>
      </c>
      <c r="BQ153" s="45">
        <f>+E153+H153+K153+N153+Q153+T153+W153+Z153+AC153+AF153+AI153+AL153+AO153+AR153+AU153+AX153+BA153+BD153+BG153+BJ153+BM153+BP153</f>
        <v>0</v>
      </c>
    </row>
    <row r="154" ht="11.25" customHeight="1" spans="1:69" x14ac:dyDescent="0.25">
      <c r="A154" s="41">
        <v>425500000</v>
      </c>
      <c r="B154" s="41" t="s">
        <v>188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141.81</v>
      </c>
      <c r="G154" s="35">
        <f>IFERROR(VLOOKUP("2_"&amp;A154,SyS!$B:$P,12,FALSE()),0)</f>
        <v>0</v>
      </c>
      <c r="H154" s="36">
        <f>+F154-G154</f>
        <v>141.81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6">
        <f>IFERROR(VLOOKUP("30_"&amp;A154,SyS!$B:$P,10,FALSE()),0)</f>
        <v>0</v>
      </c>
      <c r="BO154" s="40">
        <f>IFERROR(VLOOKUP("30_"&amp;A154,SyS!$B:$P,12,FALSE()),0)</f>
        <v>0</v>
      </c>
      <c r="BP154" s="47">
        <f>+BN154-BO154</f>
        <v>0</v>
      </c>
      <c r="BQ154" s="45">
        <f>+E154+H154+K154+N154+Q154+T154+W154+Z154+AC154+AF154+AI154+AL154+AO154+AR154+AU154+AX154+BA154+BD154+BG154+BJ154+BM154+BP154</f>
        <v>141.81</v>
      </c>
    </row>
    <row r="155" ht="11.25" customHeight="1" spans="1:69" x14ac:dyDescent="0.25">
      <c r="A155" s="41">
        <v>425600000</v>
      </c>
      <c r="B155" s="41" t="s">
        <v>189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6">
        <f>IFERROR(VLOOKUP("30_"&amp;A155,SyS!$B:$P,10,FALSE()),0)</f>
        <v>0</v>
      </c>
      <c r="BO155" s="40">
        <f>IFERROR(VLOOKUP("30_"&amp;A155,SyS!$B:$P,12,FALSE()),0)</f>
        <v>0</v>
      </c>
      <c r="BP155" s="47">
        <f>+BN155-BO155</f>
        <v>0</v>
      </c>
      <c r="BQ155" s="45">
        <f>+E155+H155+K155+N155+Q155+T155+W155+Z155+AC155+AF155+AI155+AL155+AO155+AR155+AU155+AX155+BA155+BD155+BG155+BJ155+BM155+BP155</f>
        <v>0</v>
      </c>
    </row>
    <row r="156" ht="11.25" customHeight="1" spans="1:69" x14ac:dyDescent="0.25">
      <c r="A156" s="41">
        <v>425820000</v>
      </c>
      <c r="B156" s="41" t="s">
        <v>190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0</v>
      </c>
      <c r="G156" s="35">
        <f>IFERROR(VLOOKUP("2_"&amp;A156,SyS!$B:$P,12,FALSE()),0)</f>
        <v>0</v>
      </c>
      <c r="H156" s="36">
        <f>+F156-G156</f>
        <v>0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6">
        <f>IFERROR(VLOOKUP("30_"&amp;A156,SyS!$B:$P,10,FALSE()),0)</f>
        <v>0</v>
      </c>
      <c r="BO156" s="40">
        <f>IFERROR(VLOOKUP("30_"&amp;A156,SyS!$B:$P,12,FALSE()),0)</f>
        <v>0</v>
      </c>
      <c r="BP156" s="47">
        <f>+BN156-BO156</f>
        <v>0</v>
      </c>
      <c r="BQ156" s="45">
        <f>+E156+H156+K156+N156+Q156+T156+W156+Z156+AC156+AF156+AI156+AL156+AO156+AR156+AU156+AX156+BA156+BD156+BG156+BJ156+BM156+BP156</f>
        <v>0</v>
      </c>
    </row>
    <row r="157" ht="11.25" customHeight="1" spans="1:69" x14ac:dyDescent="0.25">
      <c r="A157" s="41">
        <v>425840000</v>
      </c>
      <c r="B157" s="41" t="s">
        <v>191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6">
        <f>IFERROR(VLOOKUP("30_"&amp;A157,SyS!$B:$P,10,FALSE()),0)</f>
        <v>0</v>
      </c>
      <c r="BO157" s="40">
        <f>IFERROR(VLOOKUP("30_"&amp;A157,SyS!$B:$P,12,FALSE()),0)</f>
        <v>0</v>
      </c>
      <c r="BP157" s="47">
        <f>+BN157-BO157</f>
        <v>0</v>
      </c>
      <c r="BQ157" s="45">
        <f>+E157+H157+K157+N157+Q157+T157+W157+Z157+AC157+AF157+AI157+AL157+AO157+AR157+AU157+AX157+BA157+BD157+BG157+BJ157+BM157+BP157</f>
        <v>0</v>
      </c>
    </row>
    <row r="158" ht="11.25" customHeight="1" spans="1:69" x14ac:dyDescent="0.25">
      <c r="A158" s="41">
        <v>425700000</v>
      </c>
      <c r="B158" s="41" t="s">
        <v>192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6">
        <f>IFERROR(VLOOKUP("30_"&amp;A158,SyS!$B:$P,10,FALSE()),0)</f>
        <v>0</v>
      </c>
      <c r="BO158" s="40">
        <f>IFERROR(VLOOKUP("30_"&amp;A158,SyS!$B:$P,12,FALSE()),0)</f>
        <v>0</v>
      </c>
      <c r="BP158" s="47">
        <f>+BN158-BO158</f>
        <v>0</v>
      </c>
      <c r="BQ158" s="45">
        <f>+E158+H158+K158+N158+Q158+T158+W158+Z158+AC158+AF158+AI158+AL158+AO158+AR158+AU158+AX158+BA158+BD158+BG158+BJ158+BM158+BP158</f>
        <v>0</v>
      </c>
    </row>
    <row r="159" ht="11.25" customHeight="1" spans="1:69" x14ac:dyDescent="0.25">
      <c r="A159" s="41">
        <v>425800000</v>
      </c>
      <c r="B159" s="41" t="s">
        <v>193</v>
      </c>
      <c r="C159" s="34">
        <f>IFERROR(VLOOKUP("1_"&amp;A159,SyS!$B:$P,10,FALSE()),0)</f>
        <v>0</v>
      </c>
      <c r="D159" s="35">
        <f>IFERROR(VLOOKUP("1_"&amp;A159,SyS!$B:$P,12,FALSE()),0)</f>
        <v>0</v>
      </c>
      <c r="E159" s="35">
        <f>+C159-D159</f>
        <v>0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6">
        <f>IFERROR(VLOOKUP("30_"&amp;A159,SyS!$B:$P,10,FALSE()),0)</f>
        <v>0</v>
      </c>
      <c r="BO159" s="40">
        <f>IFERROR(VLOOKUP("30_"&amp;A159,SyS!$B:$P,12,FALSE()),0)</f>
        <v>0</v>
      </c>
      <c r="BP159" s="47">
        <f>+BN159-BO159</f>
        <v>0</v>
      </c>
      <c r="BQ159" s="45">
        <f>+E159+H159+K159+N159+Q159+T159+W159+Z159+AC159+AF159+AI159+AL159+AO159+AR159+AU159+AX159+BA159+BD159+BG159+BJ159+BM159+BP159</f>
        <v>0</v>
      </c>
    </row>
    <row r="160" ht="11.25" customHeight="1" spans="1:69" x14ac:dyDescent="0.25">
      <c r="A160" s="41">
        <v>425900000</v>
      </c>
      <c r="B160" s="41" t="s">
        <v>194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6">
        <f>IFERROR(VLOOKUP("30_"&amp;A160,SyS!$B:$P,10,FALSE()),0)</f>
        <v>0</v>
      </c>
      <c r="BO160" s="40">
        <f>IFERROR(VLOOKUP("30_"&amp;A160,SyS!$B:$P,12,FALSE()),0)</f>
        <v>0</v>
      </c>
      <c r="BP160" s="47">
        <f>+BN160-BO160</f>
        <v>0</v>
      </c>
      <c r="BQ160" s="45">
        <f>+E160+H160+K160+N160+Q160+T160+W160+Z160+AC160+AF160+AI160+AL160+AO160+AR160+AU160+AX160+BA160+BD160+BG160+BJ160+BM160+BP160</f>
        <v>0</v>
      </c>
    </row>
    <row r="161" ht="11.25" customHeight="1" spans="1:69" x14ac:dyDescent="0.25">
      <c r="A161" s="41">
        <v>425910000</v>
      </c>
      <c r="B161" s="41" t="s">
        <v>195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6">
        <f>IFERROR(VLOOKUP("30_"&amp;A161,SyS!$B:$P,10,FALSE()),0)</f>
        <v>0</v>
      </c>
      <c r="BO161" s="40">
        <f>IFERROR(VLOOKUP("30_"&amp;A161,SyS!$B:$P,12,FALSE()),0)</f>
        <v>0</v>
      </c>
      <c r="BP161" s="47">
        <f>+BN161-BO161</f>
        <v>0</v>
      </c>
      <c r="BQ161" s="45">
        <f>+E161+H161+K161+N161+Q161+T161+W161+Z161+AC161+AF161+AI161+AL161+AO161+AR161+AU161+AX161+BA161+BD161+BG161+BJ161+BM161+BP161</f>
        <v>0</v>
      </c>
    </row>
    <row r="162" ht="11.25" customHeight="1" spans="1:69" x14ac:dyDescent="0.25">
      <c r="A162" s="41">
        <v>425920000</v>
      </c>
      <c r="B162" s="41" t="s">
        <v>196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6">
        <f>IFERROR(VLOOKUP("30_"&amp;A162,SyS!$B:$P,10,FALSE()),0)</f>
        <v>0</v>
      </c>
      <c r="BO162" s="40">
        <f>IFERROR(VLOOKUP("30_"&amp;A162,SyS!$B:$P,12,FALSE()),0)</f>
        <v>0</v>
      </c>
      <c r="BP162" s="47">
        <f>+BN162-BO162</f>
        <v>0</v>
      </c>
      <c r="BQ162" s="45">
        <f>+E162+H162+K162+N162+Q162+T162+W162+Z162+AC162+AF162+AI162+AL162+AO162+AR162+AU162+AX162+BA162+BD162+BG162+BJ162+BM162+BP162</f>
        <v>0</v>
      </c>
    </row>
    <row r="163" ht="11.25" customHeight="1" spans="1:69" x14ac:dyDescent="0.25">
      <c r="A163" s="41">
        <v>425930000</v>
      </c>
      <c r="B163" s="41" t="s">
        <v>197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6">
        <f>IFERROR(VLOOKUP("30_"&amp;A163,SyS!$B:$P,10,FALSE()),0)</f>
        <v>0</v>
      </c>
      <c r="BO163" s="40">
        <f>IFERROR(VLOOKUP("30_"&amp;A163,SyS!$B:$P,12,FALSE()),0)</f>
        <v>0</v>
      </c>
      <c r="BP163" s="47">
        <f>+BN163-BO163</f>
        <v>0</v>
      </c>
      <c r="BQ163" s="45">
        <f>+E163+H163+K163+N163+Q163+T163+W163+Z163+AC163+AF163+AI163+AL163+AO163+AR163+AU163+AX163+BA163+BD163+BG163+BJ163+BM163+BP163</f>
        <v>0</v>
      </c>
    </row>
    <row r="164" ht="11.25" customHeight="1" spans="1:69" x14ac:dyDescent="0.25">
      <c r="A164" s="41">
        <v>425940000</v>
      </c>
      <c r="B164" s="41" t="s">
        <v>198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0</v>
      </c>
      <c r="AB164" s="35">
        <f>IFERROR(VLOOKUP("17_"&amp;A164,SyS!$B:$P,12,FALSE()),0)</f>
        <v>0</v>
      </c>
      <c r="AC164" s="36">
        <f>+AA164-AB164</f>
        <v>0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6">
        <f>IFERROR(VLOOKUP("30_"&amp;A164,SyS!$B:$P,10,FALSE()),0)</f>
        <v>0</v>
      </c>
      <c r="BO164" s="40">
        <f>IFERROR(VLOOKUP("30_"&amp;A164,SyS!$B:$P,12,FALSE()),0)</f>
        <v>0</v>
      </c>
      <c r="BP164" s="47">
        <f>+BN164-BO164</f>
        <v>0</v>
      </c>
      <c r="BQ164" s="45">
        <f>+E164+H164+K164+N164+Q164+T164+W164+Z164+AC164+AF164+AI164+AL164+AO164+AR164+AU164+AX164+BA164+BD164+BG164+BJ164+BM164+BP164</f>
        <v>0</v>
      </c>
    </row>
    <row r="165" ht="11.25" customHeight="1" spans="1:69" x14ac:dyDescent="0.25">
      <c r="A165" s="41">
        <v>425950000</v>
      </c>
      <c r="B165" s="41" t="s">
        <v>199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490.88</v>
      </c>
      <c r="G165" s="35">
        <f>IFERROR(VLOOKUP("2_"&amp;A165,SyS!$B:$P,12,FALSE()),0)</f>
        <v>0</v>
      </c>
      <c r="H165" s="36">
        <f>+F165-G165</f>
        <v>490.88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6">
        <f>IFERROR(VLOOKUP("30_"&amp;A165,SyS!$B:$P,10,FALSE()),0)</f>
        <v>0</v>
      </c>
      <c r="BO165" s="40">
        <f>IFERROR(VLOOKUP("30_"&amp;A165,SyS!$B:$P,12,FALSE()),0)</f>
        <v>0</v>
      </c>
      <c r="BP165" s="47">
        <f>+BN165-BO165</f>
        <v>0</v>
      </c>
      <c r="BQ165" s="45">
        <f>+E165+H165+K165+N165+Q165+T165+W165+Z165+AC165+AF165+AI165+AL165+AO165+AR165+AU165+AX165+BA165+BD165+BG165+BJ165+BM165+BP165</f>
        <v>490.88</v>
      </c>
    </row>
    <row r="166" ht="11.25" customHeight="1" spans="1:69" x14ac:dyDescent="0.25">
      <c r="A166" s="41">
        <v>425970000</v>
      </c>
      <c r="B166" s="41" t="s">
        <v>200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6">
        <f>IFERROR(VLOOKUP("30_"&amp;A166,SyS!$B:$P,10,FALSE()),0)</f>
        <v>0</v>
      </c>
      <c r="BO166" s="40">
        <f>IFERROR(VLOOKUP("30_"&amp;A166,SyS!$B:$P,12,FALSE()),0)</f>
        <v>0</v>
      </c>
      <c r="BP166" s="47">
        <f>+BN166-BO166</f>
        <v>0</v>
      </c>
      <c r="BQ166" s="45">
        <f>+E166+H166+K166+N166+Q166+T166+W166+Z166+AC166+AF166+AI166+AL166+AO166+AR166+AU166+AX166+BA166+BD166+BG166+BJ166+BM166+BP166</f>
        <v>0</v>
      </c>
    </row>
    <row r="167" ht="11.25" customHeight="1" spans="1:69" x14ac:dyDescent="0.25">
      <c r="A167" s="41">
        <v>425990000</v>
      </c>
      <c r="B167" s="41" t="s">
        <v>201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6">
        <f>IFERROR(VLOOKUP("30_"&amp;A167,SyS!$B:$P,10,FALSE()),0)</f>
        <v>0</v>
      </c>
      <c r="BO167" s="40">
        <f>IFERROR(VLOOKUP("30_"&amp;A167,SyS!$B:$P,12,FALSE()),0)</f>
        <v>0</v>
      </c>
      <c r="BP167" s="47">
        <f>+BN167-BO167</f>
        <v>0</v>
      </c>
      <c r="BQ167" s="45">
        <f>+E167+H167+K167+N167+Q167+T167+W167+Z167+AC167+AF167+AI167+AL167+AO167+AR167+AU167+AX167+BA167+BD167+BG167+BJ167+BM167+BP167</f>
        <v>0</v>
      </c>
    </row>
    <row r="168" ht="11.25" customHeight="1" spans="1:69" x14ac:dyDescent="0.25">
      <c r="A168" s="41">
        <v>425810000</v>
      </c>
      <c r="B168" s="41" t="s">
        <v>202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6">
        <f>IFERROR(VLOOKUP("30_"&amp;A168,SyS!$B:$P,10,FALSE()),0)</f>
        <v>0</v>
      </c>
      <c r="BO168" s="40">
        <f>IFERROR(VLOOKUP("30_"&amp;A168,SyS!$B:$P,12,FALSE()),0)</f>
        <v>0</v>
      </c>
      <c r="BP168" s="47">
        <f>+BN168-BO168</f>
        <v>0</v>
      </c>
      <c r="BQ168" s="45">
        <f>+E168+H168+K168+N168+Q168+T168+W168+Z168+AC168+AF168+AI168+AL168+AO168+AR168+AU168+AX168+BA168+BD168+BG168+BJ168+BM168+BP168</f>
        <v>0</v>
      </c>
    </row>
    <row r="169" ht="11.25" customHeight="1" spans="1:69" x14ac:dyDescent="0.25">
      <c r="A169" s="41">
        <v>425260000</v>
      </c>
      <c r="B169" s="9" t="s">
        <v>203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6">
        <f>IFERROR(VLOOKUP("30_"&amp;A169,SyS!$B:$P,10,FALSE()),0)</f>
        <v>0</v>
      </c>
      <c r="BO169" s="40">
        <f>IFERROR(VLOOKUP("30_"&amp;A169,SyS!$B:$P,12,FALSE()),0)</f>
        <v>0</v>
      </c>
      <c r="BP169" s="47">
        <f>+BN169-BO169</f>
        <v>0</v>
      </c>
      <c r="BQ169" s="45">
        <f>+E169+H169+K169+N169+Q169+T169+W169+Z169+AC169+AF169+AI169+AL169+AO169+AR169+AU169+AX169+BA169+BD169+BG169+BJ169+BM169+BP169</f>
        <v>0</v>
      </c>
    </row>
    <row r="170" ht="11.25" customHeight="1" spans="1:69" x14ac:dyDescent="0.25">
      <c r="A170" s="41">
        <v>425270000</v>
      </c>
      <c r="B170" s="9" t="s">
        <v>204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6">
        <f>IFERROR(VLOOKUP("30_"&amp;A170,SyS!$B:$P,10,FALSE()),0)</f>
        <v>0</v>
      </c>
      <c r="BO170" s="40">
        <f>IFERROR(VLOOKUP("30_"&amp;A170,SyS!$B:$P,12,FALSE()),0)</f>
        <v>0</v>
      </c>
      <c r="BP170" s="47">
        <f>+BN170-BO170</f>
        <v>0</v>
      </c>
      <c r="BQ170" s="45">
        <f>+E170+H170+K170+N170+Q170+T170+W170+Z170+AC170+AF170+AI170+AL170+AO170+AR170+AU170+AX170+BA170+BD170+BG170+BJ170+BM170+BP170</f>
        <v>0</v>
      </c>
    </row>
    <row r="171" ht="11.25" customHeight="1" spans="1:69" x14ac:dyDescent="0.25">
      <c r="A171" s="41">
        <v>425280000</v>
      </c>
      <c r="B171" s="9" t="s">
        <v>205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6">
        <f>IFERROR(VLOOKUP("30_"&amp;A171,SyS!$B:$P,10,FALSE()),0)</f>
        <v>0</v>
      </c>
      <c r="BO171" s="40">
        <f>IFERROR(VLOOKUP("30_"&amp;A171,SyS!$B:$P,12,FALSE()),0)</f>
        <v>0</v>
      </c>
      <c r="BP171" s="47">
        <f>+BN171-BO171</f>
        <v>0</v>
      </c>
      <c r="BQ171" s="45">
        <f>+E171+H171+K171+N171+Q171+T171+W171+Z171+AC171+AF171+AI171+AL171+AO171+AR171+AU171+AX171+BA171+BD171+BG171+BJ171+BM171+BP171</f>
        <v>0</v>
      </c>
    </row>
    <row r="172" ht="11.25" customHeight="1" spans="1:69" x14ac:dyDescent="0.25">
      <c r="A172" s="41">
        <v>425290000</v>
      </c>
      <c r="B172" s="9" t="s">
        <v>206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6">
        <f>IFERROR(VLOOKUP("30_"&amp;A172,SyS!$B:$P,10,FALSE()),0)</f>
        <v>0</v>
      </c>
      <c r="BO172" s="40">
        <f>IFERROR(VLOOKUP("30_"&amp;A172,SyS!$B:$P,12,FALSE()),0)</f>
        <v>0</v>
      </c>
      <c r="BP172" s="47">
        <f>+BN172-BO172</f>
        <v>0</v>
      </c>
      <c r="BQ172" s="45">
        <f>+E172+H172+K172+N172+Q172+T172+W172+Z172+AC172+AF172+AI172+AL172+AO172+AR172+AU172+AX172+BA172+BD172+BG172+BJ172+BM172+BP172</f>
        <v>0</v>
      </c>
    </row>
    <row r="173" ht="11.25" customHeight="1" spans="1:69" x14ac:dyDescent="0.25">
      <c r="A173" s="41">
        <v>425310000</v>
      </c>
      <c r="B173" s="9" t="s">
        <v>207</v>
      </c>
      <c r="C173" s="34">
        <f>IFERROR(VLOOKUP("1_"&amp;A173,SyS!$B:$P,10,FALSE()),0)</f>
        <v>959.76</v>
      </c>
      <c r="D173" s="35">
        <f>IFERROR(VLOOKUP("1_"&amp;A173,SyS!$B:$P,12,FALSE()),0)</f>
        <v>0</v>
      </c>
      <c r="E173" s="35">
        <f>+C173-D173</f>
        <v>959.76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6">
        <f>IFERROR(VLOOKUP("30_"&amp;A173,SyS!$B:$P,10,FALSE()),0)</f>
        <v>0</v>
      </c>
      <c r="BO173" s="40">
        <f>IFERROR(VLOOKUP("30_"&amp;A173,SyS!$B:$P,12,FALSE()),0)</f>
        <v>0</v>
      </c>
      <c r="BP173" s="47">
        <f>+BN173-BO173</f>
        <v>0</v>
      </c>
      <c r="BQ173" s="45">
        <f>+E173+H173+K173+N173+Q173+T173+W173+Z173+AC173+AF173+AI173+AL173+AO173+AR173+AU173+AX173+BA173+BD173+BG173+BJ173+BM173+BP173</f>
        <v>959.76</v>
      </c>
    </row>
    <row r="174" ht="11.25" customHeight="1" spans="1:69" x14ac:dyDescent="0.25">
      <c r="A174" s="41">
        <v>425320000</v>
      </c>
      <c r="B174" s="9" t="s">
        <v>208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6">
        <f>IFERROR(VLOOKUP("30_"&amp;A174,SyS!$B:$P,10,FALSE()),0)</f>
        <v>0</v>
      </c>
      <c r="BO174" s="40">
        <f>IFERROR(VLOOKUP("30_"&amp;A174,SyS!$B:$P,12,FALSE()),0)</f>
        <v>0</v>
      </c>
      <c r="BP174" s="47">
        <f>+BN174-BO174</f>
        <v>0</v>
      </c>
      <c r="BQ174" s="45">
        <f>+E174+H174+K174+N174+Q174+T174+W174+Z174+AC174+AF174+AI174+AL174+AO174+AR174+AU174+AX174+BA174+BD174+BG174+BJ174+BM174+BP174</f>
        <v>0</v>
      </c>
    </row>
    <row r="175" ht="11.25" customHeight="1" spans="1:69" x14ac:dyDescent="0.25">
      <c r="A175" s="41">
        <v>425960000</v>
      </c>
      <c r="B175" s="9" t="s">
        <v>209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6">
        <f>IFERROR(VLOOKUP("30_"&amp;A175,SyS!$B:$P,10,FALSE()),0)</f>
        <v>0</v>
      </c>
      <c r="BO175" s="40">
        <f>IFERROR(VLOOKUP("30_"&amp;A175,SyS!$B:$P,12,FALSE()),0)</f>
        <v>0</v>
      </c>
      <c r="BP175" s="47">
        <f>+BN175-BO175</f>
        <v>0</v>
      </c>
      <c r="BQ175" s="45">
        <f>+E175+H175+K175+N175+Q175+T175+W175+Z175+AC175+AF175+AI175+AL175+AO175+AR175+AU175+AX175+BA175+BD175+BG175+BJ175+BM175+BP175</f>
        <v>0</v>
      </c>
    </row>
    <row r="176" ht="11.25" customHeight="1" spans="1:69" x14ac:dyDescent="0.25">
      <c r="A176" s="41">
        <v>425980000</v>
      </c>
      <c r="B176" s="9" t="s">
        <v>210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6">
        <f>IFERROR(VLOOKUP("30_"&amp;A176,SyS!$B:$P,10,FALSE()),0)</f>
        <v>0</v>
      </c>
      <c r="BO176" s="40">
        <f>IFERROR(VLOOKUP("30_"&amp;A176,SyS!$B:$P,12,FALSE()),0)</f>
        <v>0</v>
      </c>
      <c r="BP176" s="47">
        <f>+BN176-BO176</f>
        <v>0</v>
      </c>
      <c r="BQ176" s="45">
        <f>+E176+H176+K176+N176+Q176+T176+W176+Z176+AC176+AF176+AI176+AL176+AO176+AR176+AU176+AX176+BA176+BD176+BG176+BJ176+BM176+BP176</f>
        <v>0</v>
      </c>
    </row>
    <row r="177" ht="11.25" customHeight="1" spans="1:69" x14ac:dyDescent="0.25">
      <c r="A177" s="41">
        <v>425100000</v>
      </c>
      <c r="B177" s="9" t="s">
        <v>211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6">
        <f>IFERROR(VLOOKUP("30_"&amp;A177,SyS!$B:$P,10,FALSE()),0)</f>
        <v>0</v>
      </c>
      <c r="BO177" s="40">
        <f>IFERROR(VLOOKUP("30_"&amp;A177,SyS!$B:$P,12,FALSE()),0)</f>
        <v>0</v>
      </c>
      <c r="BP177" s="47">
        <f>+BN177-BO177</f>
        <v>0</v>
      </c>
      <c r="BQ177" s="45">
        <f>+E177+H177+K177+N177+Q177+T177+W177+Z177+AC177+AF177+AI177+AL177+AO177+AR177+AU177+AX177+BA177+BD177+BG177+BJ177+BM177+BP177</f>
        <v>0</v>
      </c>
    </row>
    <row r="178" ht="11.25" customHeight="1" spans="1:69" x14ac:dyDescent="0.25">
      <c r="A178" s="41">
        <v>425330000</v>
      </c>
      <c r="B178" s="9" t="s">
        <v>212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6">
        <f>IFERROR(VLOOKUP("30_"&amp;A178,SyS!$B:$P,10,FALSE()),0)</f>
        <v>0</v>
      </c>
      <c r="BO178" s="40">
        <f>IFERROR(VLOOKUP("30_"&amp;A178,SyS!$B:$P,12,FALSE()),0)</f>
        <v>0</v>
      </c>
      <c r="BP178" s="47">
        <f>+BN178-BO178</f>
        <v>0</v>
      </c>
      <c r="BQ178" s="45">
        <f>+E178+H178+K178+N178+Q178+T178+W178+Z178+AC178+AF178+AI178+AL178+AO178+AR178+AU178+AX178+BA178+BD178+BG178+BJ178+BM178+BP178</f>
        <v>0</v>
      </c>
    </row>
    <row r="179" ht="11.25" customHeight="1" spans="1:69" x14ac:dyDescent="0.25">
      <c r="A179" s="41">
        <v>421010000</v>
      </c>
      <c r="B179" s="9" t="s">
        <v>213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6">
        <f>IFERROR(VLOOKUP("30_"&amp;A179,SyS!$B:$P,10,FALSE()),0)</f>
        <v>0</v>
      </c>
      <c r="BO179" s="40">
        <f>IFERROR(VLOOKUP("30_"&amp;A179,SyS!$B:$P,12,FALSE()),0)</f>
        <v>0</v>
      </c>
      <c r="BP179" s="47">
        <f>+BN179-BO179</f>
        <v>0</v>
      </c>
      <c r="BQ179" s="45">
        <f>+E179+H179+K179+N179+Q179+T179+W179+Z179+AC179+AF179+AI179+AL179+AO179+AR179+AU179+AX179+BA179+BD179+BG179+BJ179+BM179+BP179</f>
        <v>0</v>
      </c>
    </row>
    <row r="180" ht="11.25" customHeight="1" spans="1:69" x14ac:dyDescent="0.25">
      <c r="A180" s="41">
        <v>421020000</v>
      </c>
      <c r="B180" s="48" t="s">
        <v>214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6">
        <f>IFERROR(VLOOKUP("30_"&amp;A180,SyS!$B:$P,10,FALSE()),0)</f>
        <v>0</v>
      </c>
      <c r="BO180" s="40">
        <f>IFERROR(VLOOKUP("30_"&amp;A180,SyS!$B:$P,12,FALSE()),0)</f>
        <v>0</v>
      </c>
      <c r="BP180" s="47">
        <f>+BN180-BO180</f>
        <v>0</v>
      </c>
      <c r="BQ180" s="45">
        <f>+E180+H180+K180+N180+Q180+T180+W180+Z180+AC180+AF180+AI180+AL180+AO180+AR180+AU180+AX180+BA180+BD180+BG180+BJ180+BM180+BP180</f>
        <v>0</v>
      </c>
    </row>
    <row r="181" ht="11.25" customHeight="1" spans="1:69" x14ac:dyDescent="0.25">
      <c r="A181" s="41">
        <v>421100000</v>
      </c>
      <c r="B181" s="48" t="s">
        <v>215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6">
        <f>IFERROR(VLOOKUP("30_"&amp;A181,SyS!$B:$P,10,FALSE()),0)</f>
        <v>0</v>
      </c>
      <c r="BO181" s="40">
        <f>IFERROR(VLOOKUP("30_"&amp;A181,SyS!$B:$P,12,FALSE()),0)</f>
        <v>0</v>
      </c>
      <c r="BP181" s="47">
        <f>+BN181-BO181</f>
        <v>0</v>
      </c>
      <c r="BQ181" s="45">
        <f>+E181+H181+K181+N181+Q181+T181+W181+Z181+AC181+AF181+AI181+AL181+AO181+AR181+AU181+AX181+BA181+BD181+BG181+BJ181+BM181+BP181</f>
        <v>0</v>
      </c>
    </row>
    <row r="182" ht="11.25" customHeight="1" spans="1:69" x14ac:dyDescent="0.25">
      <c r="A182" s="41">
        <v>421090000</v>
      </c>
      <c r="B182" s="48" t="s">
        <v>216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6">
        <f>IFERROR(VLOOKUP("30_"&amp;A182,SyS!$B:$P,10,FALSE()),0)</f>
        <v>0</v>
      </c>
      <c r="BO182" s="40">
        <f>IFERROR(VLOOKUP("30_"&amp;A182,SyS!$B:$P,12,FALSE()),0)</f>
        <v>0</v>
      </c>
      <c r="BP182" s="47">
        <f>+BN182-BO182</f>
        <v>0</v>
      </c>
      <c r="BQ182" s="45">
        <f>+E182+H182+K182+N182+Q182+T182+W182+Z182+AC182+AF182+AI182+AL182+AO182+AR182+AU182+AX182+BA182+BD182+BG182+BJ182+BM182+BP182</f>
        <v>0</v>
      </c>
    </row>
    <row r="183" ht="11.25" customHeight="1" spans="1:69" x14ac:dyDescent="0.25">
      <c r="A183" s="41">
        <v>421110000</v>
      </c>
      <c r="B183" s="9" t="s">
        <v>217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6">
        <f>IFERROR(VLOOKUP("30_"&amp;A183,SyS!$B:$P,10,FALSE()),0)</f>
        <v>0</v>
      </c>
      <c r="BO183" s="40">
        <f>IFERROR(VLOOKUP("30_"&amp;A183,SyS!$B:$P,12,FALSE()),0)</f>
        <v>0</v>
      </c>
      <c r="BP183" s="47">
        <f>+BN183-BO183</f>
        <v>0</v>
      </c>
      <c r="BQ183" s="45">
        <f>+E183+H183+K183+N183+Q183+T183+W183+Z183+AC183+AF183+AI183+AL183+AO183+AR183+AU183+AX183+BA183+BD183+BG183+BJ183+BM183+BP183</f>
        <v>0</v>
      </c>
    </row>
    <row r="184" ht="11.25" customHeight="1" spans="1:69" x14ac:dyDescent="0.25">
      <c r="A184" s="41">
        <v>421120000</v>
      </c>
      <c r="B184" s="9" t="s">
        <v>218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6">
        <f>IFERROR(VLOOKUP("30_"&amp;A184,SyS!$B:$P,10,FALSE()),0)</f>
        <v>0</v>
      </c>
      <c r="BO184" s="40">
        <f>IFERROR(VLOOKUP("30_"&amp;A184,SyS!$B:$P,12,FALSE()),0)</f>
        <v>0</v>
      </c>
      <c r="BP184" s="47">
        <f>+BN184-BO184</f>
        <v>0</v>
      </c>
      <c r="BQ184" s="45">
        <f>+E184+H184+K184+N184+Q184+T184+W184+Z184+AC184+AF184+AI184+AL184+AO184+AR184+AU184+AX184+BA184+BD184+BG184+BJ184+BM184+BP184</f>
        <v>0</v>
      </c>
    </row>
    <row r="185" ht="11.25" customHeight="1" spans="1:69" x14ac:dyDescent="0.25">
      <c r="A185" s="41">
        <v>421130000</v>
      </c>
      <c r="B185" s="9" t="s">
        <v>219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6">
        <f>IFERROR(VLOOKUP("30_"&amp;A185,SyS!$B:$P,10,FALSE()),0)</f>
        <v>0</v>
      </c>
      <c r="BO185" s="40">
        <f>IFERROR(VLOOKUP("30_"&amp;A185,SyS!$B:$P,12,FALSE()),0)</f>
        <v>0</v>
      </c>
      <c r="BP185" s="47">
        <f>+BN185-BO185</f>
        <v>0</v>
      </c>
      <c r="BQ185" s="45">
        <f>+E185+H185+K185+N185+Q185+T185+W185+Z185+AC185+AF185+AI185+AL185+AO185+AR185+AU185+AX185+BA185+BD185+BG185+BJ185+BM185+BP185</f>
        <v>0</v>
      </c>
    </row>
    <row r="186" ht="11.25" customHeight="1" spans="1:69" x14ac:dyDescent="0.25">
      <c r="A186" s="41">
        <v>421140000</v>
      </c>
      <c r="B186" s="9" t="s">
        <v>220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6">
        <f>IFERROR(VLOOKUP("30_"&amp;A186,SyS!$B:$P,10,FALSE()),0)</f>
        <v>0</v>
      </c>
      <c r="BO186" s="40">
        <f>IFERROR(VLOOKUP("30_"&amp;A186,SyS!$B:$P,12,FALSE()),0)</f>
        <v>0</v>
      </c>
      <c r="BP186" s="47">
        <f>+BN186-BO186</f>
        <v>0</v>
      </c>
      <c r="BQ186" s="45">
        <f>+E186+H186+K186+N186+Q186+T186+W186+Z186+AC186+AF186+AI186+AL186+AO186+AR186+AU186+AX186+BA186+BD186+BG186+BJ186+BM186+BP186</f>
        <v>0</v>
      </c>
    </row>
    <row r="187" ht="11.25" customHeight="1" spans="1:69" x14ac:dyDescent="0.25">
      <c r="A187" s="41">
        <v>421190000</v>
      </c>
      <c r="B187" s="9" t="s">
        <v>221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6">
        <f>IFERROR(VLOOKUP("30_"&amp;A187,SyS!$B:$P,10,FALSE()),0)</f>
        <v>0</v>
      </c>
      <c r="BO187" s="40">
        <f>IFERROR(VLOOKUP("30_"&amp;A187,SyS!$B:$P,12,FALSE()),0)</f>
        <v>0</v>
      </c>
      <c r="BP187" s="47">
        <f>+BN187-BO187</f>
        <v>0</v>
      </c>
      <c r="BQ187" s="45">
        <f>+E187+H187+K187+N187+Q187+T187+W187+Z187+AC187+AF187+AI187+AL187+AO187+AR187+AU187+AX187+BA187+BD187+BG187+BJ187+BM187+BP187</f>
        <v>0</v>
      </c>
    </row>
    <row r="188" ht="11.25" customHeight="1" spans="1:69" x14ac:dyDescent="0.25">
      <c r="A188" s="41">
        <v>421310000</v>
      </c>
      <c r="B188" s="9" t="s">
        <v>222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6">
        <f>IFERROR(VLOOKUP("30_"&amp;A188,SyS!$B:$P,10,FALSE()),0)</f>
        <v>0</v>
      </c>
      <c r="BO188" s="40">
        <f>IFERROR(VLOOKUP("30_"&amp;A188,SyS!$B:$P,12,FALSE()),0)</f>
        <v>0</v>
      </c>
      <c r="BP188" s="47">
        <f>+BN188-BO188</f>
        <v>0</v>
      </c>
      <c r="BQ188" s="45">
        <f>+E188+H188+K188+N188+Q188+T188+W188+Z188+AC188+AF188+AI188+AL188+AO188+AR188+AU188+AX188+BA188+BD188+BG188+BJ188+BM188+BP188</f>
        <v>0</v>
      </c>
    </row>
    <row r="189" ht="11.25" customHeight="1" spans="1:69" x14ac:dyDescent="0.25">
      <c r="A189" s="41">
        <v>421320000</v>
      </c>
      <c r="B189" s="9" t="s">
        <v>223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6">
        <f>IFERROR(VLOOKUP("30_"&amp;A189,SyS!$B:$P,10,FALSE()),0)</f>
        <v>0</v>
      </c>
      <c r="BO189" s="40">
        <f>IFERROR(VLOOKUP("30_"&amp;A189,SyS!$B:$P,12,FALSE()),0)</f>
        <v>0</v>
      </c>
      <c r="BP189" s="47">
        <f>+BN189-BO189</f>
        <v>0</v>
      </c>
      <c r="BQ189" s="45">
        <f>+E189+H189+K189+N189+Q189+T189+W189+Z189+AC189+AF189+AI189+AL189+AO189+AR189+AU189+AX189+BA189+BD189+BG189+BJ189+BM189+BP189</f>
        <v>0</v>
      </c>
    </row>
    <row r="190" ht="11.25" customHeight="1" spans="1:69" x14ac:dyDescent="0.25">
      <c r="A190" s="9">
        <v>421340000</v>
      </c>
      <c r="B190" s="9" t="s">
        <v>224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6">
        <f>IFERROR(VLOOKUP("30_"&amp;A190,SyS!$B:$P,10,FALSE()),0)</f>
        <v>0</v>
      </c>
      <c r="BO190" s="40">
        <f>IFERROR(VLOOKUP("30_"&amp;A190,SyS!$B:$P,12,FALSE()),0)</f>
        <v>0</v>
      </c>
      <c r="BP190" s="47">
        <f>+BN190-BO190</f>
        <v>0</v>
      </c>
      <c r="BQ190" s="45">
        <f>+E190+H190+K190+N190+Q190+T190+W190+Z190+AC190+AF190+AI190+AL190+AO190+AR190+AU190+AX190+BA190+BD190+BG190+BJ190+BM190+BP190</f>
        <v>0</v>
      </c>
    </row>
    <row r="191" ht="11.25" customHeight="1" spans="1:69" x14ac:dyDescent="0.25">
      <c r="A191" s="41">
        <v>421430000</v>
      </c>
      <c r="B191" s="9" t="s">
        <v>225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6">
        <f>IFERROR(VLOOKUP("30_"&amp;A191,SyS!$B:$P,10,FALSE()),0)</f>
        <v>0</v>
      </c>
      <c r="BO191" s="40">
        <f>IFERROR(VLOOKUP("30_"&amp;A191,SyS!$B:$P,12,FALSE()),0)</f>
        <v>0</v>
      </c>
      <c r="BP191" s="47">
        <f>+BN191-BO191</f>
        <v>0</v>
      </c>
      <c r="BQ191" s="45">
        <f>+E191+H191+K191+N191+Q191+T191+W191+Z191+AC191+AF191+AI191+AL191+AO191+AR191+AU191+AX191+BA191+BD191+BG191+BJ191+BM191+BP191</f>
        <v>0</v>
      </c>
    </row>
    <row r="192" ht="11.25" customHeight="1" spans="1:69" x14ac:dyDescent="0.25">
      <c r="A192" s="41">
        <v>421440000</v>
      </c>
      <c r="B192" s="9" t="s">
        <v>226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6">
        <f>IFERROR(VLOOKUP("30_"&amp;A192,SyS!$B:$P,10,FALSE()),0)</f>
        <v>0</v>
      </c>
      <c r="BO192" s="40">
        <f>IFERROR(VLOOKUP("30_"&amp;A192,SyS!$B:$P,12,FALSE()),0)</f>
        <v>0</v>
      </c>
      <c r="BP192" s="47">
        <f>+BN192-BO192</f>
        <v>0</v>
      </c>
      <c r="BQ192" s="45">
        <f>+E192+H192+K192+N192+Q192+T192+W192+Z192+AC192+AF192+AI192+AL192+AO192+AR192+AU192+AX192+BA192+BD192+BG192+BJ192+BM192+BP192</f>
        <v>0</v>
      </c>
    </row>
    <row r="193" ht="11.25" customHeight="1" spans="1:69" x14ac:dyDescent="0.25">
      <c r="A193" s="41">
        <v>425830000</v>
      </c>
      <c r="B193" s="9" t="s">
        <v>227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0</v>
      </c>
      <c r="G193" s="35">
        <f>IFERROR(VLOOKUP("2_"&amp;A193,SyS!$B:$P,12,FALSE()),0)</f>
        <v>0</v>
      </c>
      <c r="H193" s="36">
        <f>+F193-G193</f>
        <v>0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6">
        <f>IFERROR(VLOOKUP("30_"&amp;A193,SyS!$B:$P,10,FALSE()),0)</f>
        <v>0</v>
      </c>
      <c r="BO193" s="40">
        <f>IFERROR(VLOOKUP("30_"&amp;A193,SyS!$B:$P,12,FALSE()),0)</f>
        <v>0</v>
      </c>
      <c r="BP193" s="47">
        <f>+BN193-BO193</f>
        <v>0</v>
      </c>
      <c r="BQ193" s="45">
        <f>+E193+H193+K193+N193+Q193+T193+W193+Z193+AC193+AF193+AI193+AL193+AO193+AR193+AU193+AX193+BA193+BD193+BG193+BJ193+BM193+BP193</f>
        <v>0</v>
      </c>
    </row>
    <row r="194" ht="11.25" customHeight="1" spans="1:69" x14ac:dyDescent="0.25">
      <c r="A194" s="9">
        <v>421460000</v>
      </c>
      <c r="B194" s="9" t="s">
        <v>228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6">
        <f>IFERROR(VLOOKUP("30_"&amp;A194,SyS!$B:$P,10,FALSE()),0)</f>
        <v>0</v>
      </c>
      <c r="BO194" s="40">
        <f>IFERROR(VLOOKUP("30_"&amp;A194,SyS!$B:$P,12,FALSE()),0)</f>
        <v>0</v>
      </c>
      <c r="BP194" s="47">
        <f>+BN194-BO194</f>
        <v>0</v>
      </c>
      <c r="BQ194" s="45">
        <f>+E194+H194+K194+N194+Q194+T194+W194+Z194+AC194+AF194+AI194+AL194+AO194+AR194+AU194+AX194+BA194+BD194+BG194+BJ194+BM194+BP194</f>
        <v>0</v>
      </c>
    </row>
    <row r="195" ht="11.25" customHeight="1" spans="1:69" x14ac:dyDescent="0.25">
      <c r="A195" s="41">
        <v>421480000</v>
      </c>
      <c r="B195" s="9" t="s">
        <v>229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6">
        <f>IFERROR(VLOOKUP("30_"&amp;A195,SyS!$B:$P,10,FALSE()),0)</f>
        <v>0</v>
      </c>
      <c r="BO195" s="40">
        <f>IFERROR(VLOOKUP("30_"&amp;A195,SyS!$B:$P,12,FALSE()),0)</f>
        <v>0</v>
      </c>
      <c r="BP195" s="47">
        <f>+BN195-BO195</f>
        <v>0</v>
      </c>
      <c r="BQ195" s="45">
        <f>+E195+H195+K195+N195+Q195+T195+W195+Z195+AC195+AF195+AI195+AL195+AO195+AR195+AU195+AX195+BA195+BD195+BG195+BJ195+BM195+BP195</f>
        <v>0</v>
      </c>
    </row>
    <row r="196" ht="11.25" customHeight="1" spans="1:69" x14ac:dyDescent="0.25">
      <c r="A196" s="9">
        <v>421500000</v>
      </c>
      <c r="B196" s="9" t="s">
        <v>230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6">
        <f>IFERROR(VLOOKUP("30_"&amp;A196,SyS!$B:$P,10,FALSE()),0)</f>
        <v>0</v>
      </c>
      <c r="BO196" s="40">
        <f>IFERROR(VLOOKUP("30_"&amp;A196,SyS!$B:$P,12,FALSE()),0)</f>
        <v>0</v>
      </c>
      <c r="BP196" s="47">
        <f>+BN196-BO196</f>
        <v>0</v>
      </c>
      <c r="BQ196" s="45">
        <f>+E196+H196+K196+N196+Q196+T196+W196+Z196+AC196+AF196+AI196+AL196+AO196+AR196+AU196+AX196+BA196+BD196+BG196+BJ196+BM196+BP196</f>
        <v>0</v>
      </c>
    </row>
    <row r="197" ht="11.25" customHeight="1" spans="1:69" x14ac:dyDescent="0.25">
      <c r="A197" s="9">
        <v>421510000</v>
      </c>
      <c r="B197" s="9" t="s">
        <v>231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6">
        <f>IFERROR(VLOOKUP("30_"&amp;A197,SyS!$B:$P,10,FALSE()),0)</f>
        <v>0</v>
      </c>
      <c r="BO197" s="40">
        <f>IFERROR(VLOOKUP("30_"&amp;A197,SyS!$B:$P,12,FALSE()),0)</f>
        <v>0</v>
      </c>
      <c r="BP197" s="47">
        <f>+BN197-BO197</f>
        <v>0</v>
      </c>
      <c r="BQ197" s="45">
        <f>+E197+H197+K197+N197+Q197+T197+W197+Z197+AC197+AF197+AI197+AL197+AO197+AR197+AU197+AX197+BA197+BD197+BG197+BJ197+BM197+BP197</f>
        <v>0</v>
      </c>
    </row>
    <row r="198" ht="11.25" customHeight="1" spans="1:69" x14ac:dyDescent="0.25">
      <c r="A198" s="9">
        <v>421520000</v>
      </c>
      <c r="B198" s="9" t="s">
        <v>232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6">
        <f>IFERROR(VLOOKUP("30_"&amp;A198,SyS!$B:$P,10,FALSE()),0)</f>
        <v>0</v>
      </c>
      <c r="BO198" s="40">
        <f>IFERROR(VLOOKUP("30_"&amp;A198,SyS!$B:$P,12,FALSE()),0)</f>
        <v>0</v>
      </c>
      <c r="BP198" s="47">
        <f>+BN198-BO198</f>
        <v>0</v>
      </c>
      <c r="BQ198" s="45">
        <f>+E198+H198+K198+N198+Q198+T198+W198+Z198+AC198+AF198+AI198+AL198+AO198+AR198+AU198+AX198+BA198+BD198+BG198+BJ198+BM198+BP198</f>
        <v>0</v>
      </c>
    </row>
    <row r="199" ht="11.25" customHeight="1" spans="1:69" x14ac:dyDescent="0.25">
      <c r="A199" s="9">
        <v>421530000</v>
      </c>
      <c r="B199" s="9" t="s">
        <v>233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6">
        <f>IFERROR(VLOOKUP("30_"&amp;A199,SyS!$B:$P,10,FALSE()),0)</f>
        <v>0</v>
      </c>
      <c r="BO199" s="40">
        <f>IFERROR(VLOOKUP("30_"&amp;A199,SyS!$B:$P,12,FALSE()),0)</f>
        <v>0</v>
      </c>
      <c r="BP199" s="47">
        <f>+BN199-BO199</f>
        <v>0</v>
      </c>
      <c r="BQ199" s="45">
        <f>+E199+H199+K199+N199+Q199+T199+W199+Z199+AC199+AF199+AI199+AL199+AO199+AR199+AU199+AX199+BA199+BD199+BG199+BJ199+BM199+BP199</f>
        <v>0</v>
      </c>
    </row>
    <row r="200" ht="11.25" customHeight="1" spans="1:69" x14ac:dyDescent="0.25">
      <c r="A200" s="9">
        <v>421900000</v>
      </c>
      <c r="B200" s="9" t="s">
        <v>234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6">
        <f>IFERROR(VLOOKUP("30_"&amp;A200,SyS!$B:$P,10,FALSE()),0)</f>
        <v>0</v>
      </c>
      <c r="BO200" s="40">
        <f>IFERROR(VLOOKUP("30_"&amp;A200,SyS!$B:$P,12,FALSE()),0)</f>
        <v>0</v>
      </c>
      <c r="BP200" s="47">
        <f>+BN200-BO200</f>
        <v>0</v>
      </c>
      <c r="BQ200" s="45">
        <f>+E200+H200+K200+N200+Q200+T200+W200+Z200+AC200+AF200+AI200+AL200+AO200+AR200+AU200+AX200+BA200+BD200+BG200+BJ200+BM200+BP200</f>
        <v>0</v>
      </c>
    </row>
    <row r="201" ht="11.25" customHeight="1" spans="1:69" x14ac:dyDescent="0.25">
      <c r="A201" s="9">
        <v>421560000</v>
      </c>
      <c r="B201" s="9" t="s">
        <v>235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6">
        <f>IFERROR(VLOOKUP("30_"&amp;A201,SyS!$B:$P,10,FALSE()),0)</f>
        <v>0</v>
      </c>
      <c r="BO201" s="40">
        <f>IFERROR(VLOOKUP("30_"&amp;A201,SyS!$B:$P,12,FALSE()),0)</f>
        <v>0</v>
      </c>
      <c r="BP201" s="47">
        <f>+BN201-BO201</f>
        <v>0</v>
      </c>
      <c r="BQ201" s="45">
        <f>+E201+H201+K201+N201+Q201+T201+W201+Z201+AC201+AF201+AI201+AL201+AO201+AR201+AU201+AX201+BA201+BD201+BG201+BJ201+BM201+BP201</f>
        <v>0</v>
      </c>
    </row>
    <row r="202" ht="11.25" customHeight="1" spans="1:69" x14ac:dyDescent="0.25">
      <c r="A202" s="9">
        <v>421990000</v>
      </c>
      <c r="B202" s="9" t="s">
        <v>236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6">
        <f>IFERROR(VLOOKUP("30_"&amp;A202,SyS!$B:$P,10,FALSE()),0)</f>
        <v>0</v>
      </c>
      <c r="BO202" s="40">
        <f>IFERROR(VLOOKUP("30_"&amp;A202,SyS!$B:$P,12,FALSE()),0)</f>
        <v>0</v>
      </c>
      <c r="BP202" s="47">
        <f>+BN202-BO202</f>
        <v>0</v>
      </c>
      <c r="BQ202" s="45">
        <f>+E202+H202+K202+N202+Q202+T202+W202+Z202+AC202+AF202+AI202+AL202+AO202+AR202+AU202+AX202+BA202+BD202+BG202+BJ202+BM202+BP202</f>
        <v>0</v>
      </c>
    </row>
    <row r="203" ht="11.25" customHeight="1" spans="1:69" x14ac:dyDescent="0.25">
      <c r="A203" s="9">
        <v>421610000</v>
      </c>
      <c r="B203" s="9" t="s">
        <v>237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6">
        <f>IFERROR(VLOOKUP("30_"&amp;A203,SyS!$B:$P,10,FALSE()),0)</f>
        <v>0</v>
      </c>
      <c r="BO203" s="40">
        <f>IFERROR(VLOOKUP("30_"&amp;A203,SyS!$B:$P,12,FALSE()),0)</f>
        <v>0</v>
      </c>
      <c r="BP203" s="47">
        <f>+BN203-BO203</f>
        <v>0</v>
      </c>
      <c r="BQ203" s="45">
        <f>+E203+H203+K203+N203+Q203+T203+W203+Z203+AC203+AF203+AI203+AL203+AO203+AR203+AU203+AX203+BA203+BD203+BG203+BJ203+BM203+BP203</f>
        <v>0</v>
      </c>
    </row>
    <row r="204" ht="11.25" customHeight="1" spans="1:69" x14ac:dyDescent="0.25">
      <c r="A204" s="9">
        <v>431070000</v>
      </c>
      <c r="B204" s="9" t="s">
        <v>238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6">
        <f>IFERROR(VLOOKUP("30_"&amp;A204,SyS!$B:$P,10,FALSE()),0)</f>
        <v>0</v>
      </c>
      <c r="BO204" s="40">
        <f>IFERROR(VLOOKUP("30_"&amp;A204,SyS!$B:$P,12,FALSE()),0)</f>
        <v>0</v>
      </c>
      <c r="BP204" s="47">
        <f>+BN204-BO204</f>
        <v>0</v>
      </c>
      <c r="BQ204" s="45">
        <f>+E204+H204+K204+N204+Q204+T204+W204+Z204+AC204+AF204+AI204+AL204+AO204+AR204+AU204+AX204+BA204+BD204+BG204+BJ204+BM204+BP204</f>
        <v>0</v>
      </c>
    </row>
    <row r="205" ht="11.25" customHeight="1" spans="1:69" x14ac:dyDescent="0.25">
      <c r="A205" s="9">
        <v>421710000</v>
      </c>
      <c r="B205" s="9" t="s">
        <v>239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6">
        <f>IFERROR(VLOOKUP("30_"&amp;A205,SyS!$B:$P,10,FALSE()),0)</f>
        <v>0</v>
      </c>
      <c r="BO205" s="40">
        <f>IFERROR(VLOOKUP("30_"&amp;A205,SyS!$B:$P,12,FALSE()),0)</f>
        <v>0</v>
      </c>
      <c r="BP205" s="47">
        <f>+BN205-BO205</f>
        <v>0</v>
      </c>
      <c r="BQ205" s="45">
        <f>+E205+H205+K205+N205+Q205+T205+W205+Z205+AC205+AF205+AI205+AL205+AO205+AR205+AU205+AX205+BA205+BD205+BG205+BJ205+BM205+BP205</f>
        <v>0</v>
      </c>
    </row>
    <row r="206" ht="11.25" customHeight="1" spans="1:69" x14ac:dyDescent="0.25">
      <c r="A206" s="9">
        <v>433060000</v>
      </c>
      <c r="B206" s="9" t="s">
        <v>240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6">
        <f>IFERROR(VLOOKUP("30_"&amp;A206,SyS!$B:$P,10,FALSE()),0)</f>
        <v>0</v>
      </c>
      <c r="BO206" s="40">
        <f>IFERROR(VLOOKUP("30_"&amp;A206,SyS!$B:$P,12,FALSE()),0)</f>
        <v>0</v>
      </c>
      <c r="BP206" s="47">
        <f>+BN206-BO206</f>
        <v>0</v>
      </c>
      <c r="BQ206" s="45">
        <f>+E206+H206+K206+N206+Q206+T206+W206+Z206+AC206+AF206+AI206+AL206+AO206+AR206+AU206+AX206+BA206+BD206+BG206+BJ206+BM206+BP206</f>
        <v>0</v>
      </c>
    </row>
    <row r="207" ht="11.25" customHeight="1" spans="1:69" x14ac:dyDescent="0.25">
      <c r="A207" s="9">
        <v>431110000</v>
      </c>
      <c r="B207" s="9" t="s">
        <v>241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6">
        <f>IFERROR(VLOOKUP("30_"&amp;A207,SyS!$B:$P,10,FALSE()),0)</f>
        <v>0</v>
      </c>
      <c r="BO207" s="40">
        <f>IFERROR(VLOOKUP("30_"&amp;A207,SyS!$B:$P,12,FALSE()),0)</f>
        <v>0</v>
      </c>
      <c r="BP207" s="47">
        <f>+BN207-BO207</f>
        <v>0</v>
      </c>
      <c r="BQ207" s="45">
        <f>+E207+H207+K207+N207+Q207+T207+W207+Z207+AC207+AF207+AI207+AL207+AO207+AR207+AU207+AX207+BA207+BD207+BG207+BJ207+BM207+BP207</f>
        <v>0</v>
      </c>
    </row>
    <row r="208" ht="12" customHeight="1" spans="1:69" x14ac:dyDescent="0.25">
      <c r="A208" s="9">
        <v>431100000</v>
      </c>
      <c r="B208" s="9" t="s">
        <v>242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6">
        <f>IFERROR(VLOOKUP("30_"&amp;A208,SyS!$B:$P,10,FALSE()),0)</f>
        <v>0</v>
      </c>
      <c r="BO208" s="40">
        <f>IFERROR(VLOOKUP("30_"&amp;A208,SyS!$B:$P,12,FALSE()),0)</f>
        <v>0</v>
      </c>
      <c r="BP208" s="47">
        <f>+BN208-BO208</f>
        <v>0</v>
      </c>
      <c r="BQ208" s="45">
        <f>+E208+H208+K208+N208+Q208+T208+W208+Z208+AC208+AF208+AI208+AL208+AO208+AR208+AU208+AX208+BA208+BD208+BG208+BJ208+BM208+BP208</f>
        <v>0</v>
      </c>
    </row>
    <row r="209" ht="11.25" customHeight="1" spans="1:69" x14ac:dyDescent="0.25">
      <c r="A209" s="9">
        <v>421200000</v>
      </c>
      <c r="B209" s="9" t="s">
        <v>243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6">
        <f>IFERROR(VLOOKUP("30_"&amp;A209,SyS!$B:$P,10,FALSE()),0)</f>
        <v>0</v>
      </c>
      <c r="BO209" s="40">
        <f>IFERROR(VLOOKUP("30_"&amp;A209,SyS!$B:$P,12,FALSE()),0)</f>
        <v>0</v>
      </c>
      <c r="BP209" s="47">
        <f>+BN209-BO209</f>
        <v>0</v>
      </c>
      <c r="BQ209" s="45">
        <f>+E209+H209+K209+N209+Q209+T209+W209+Z209+AC209+AF209+AI209+AL209+AO209+AR209+AU209+AX209+BA209+BD209+BG209+BJ209+BM209+BP209</f>
        <v>0</v>
      </c>
    </row>
    <row r="210" ht="11.25" customHeight="1" spans="1:69" x14ac:dyDescent="0.25">
      <c r="A210" s="51"/>
      <c r="B210" s="52" t="s">
        <v>244</v>
      </c>
      <c r="C210" s="34"/>
      <c r="D210" s="35"/>
      <c r="E210" s="35"/>
      <c r="F210" s="34"/>
      <c r="G210" s="35"/>
      <c r="H210" s="36"/>
      <c r="I210" s="35"/>
      <c r="J210" s="35"/>
      <c r="K210" s="35"/>
      <c r="L210" s="35"/>
      <c r="M210" s="35"/>
      <c r="N210" s="35"/>
      <c r="O210" s="34"/>
      <c r="P210" s="35"/>
      <c r="Q210" s="36"/>
      <c r="R210" s="34"/>
      <c r="S210" s="35"/>
      <c r="T210" s="36"/>
      <c r="U210" s="34"/>
      <c r="V210" s="35"/>
      <c r="W210" s="36"/>
      <c r="X210" s="34"/>
      <c r="Y210" s="35"/>
      <c r="Z210" s="36"/>
      <c r="AA210" s="34"/>
      <c r="AB210" s="35"/>
      <c r="AC210" s="36"/>
      <c r="AD210" s="35"/>
      <c r="AE210" s="35"/>
      <c r="AF210" s="35"/>
      <c r="AG210" s="35"/>
      <c r="AH210" s="35"/>
      <c r="AI210" s="35"/>
      <c r="AJ210" s="35"/>
      <c r="AK210" s="35"/>
      <c r="AL210" s="35"/>
      <c r="AM210" s="34"/>
      <c r="AN210" s="35"/>
      <c r="AO210" s="36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6"/>
      <c r="BO210" s="40"/>
      <c r="BP210" s="47"/>
      <c r="BQ210" s="45"/>
    </row>
    <row r="211" ht="11.25" customHeight="1" spans="1:69" x14ac:dyDescent="0.25">
      <c r="A211" s="9">
        <v>426110000</v>
      </c>
      <c r="B211" s="9" t="s">
        <v>245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1033.09</v>
      </c>
      <c r="G211" s="35">
        <f>IFERROR(VLOOKUP("2_"&amp;A211,SyS!$B:$P,12,FALSE()),0)</f>
        <v>0</v>
      </c>
      <c r="H211" s="36">
        <f>+F211-G211</f>
        <v>1033.09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626.13</v>
      </c>
      <c r="AN211" s="35">
        <f>IFERROR(VLOOKUP("23_"&amp;A211,SyS!$B:$P,12,FALSE()),0)</f>
        <v>0</v>
      </c>
      <c r="AO211" s="36">
        <f>+AM211-AN211</f>
        <v>626.13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6">
        <f>IFERROR(VLOOKUP("30_"&amp;A211,SyS!$B:$P,10,FALSE()),0)</f>
        <v>0</v>
      </c>
      <c r="BO211" s="40">
        <f>IFERROR(VLOOKUP("30_"&amp;A211,SyS!$B:$P,12,FALSE()),0)</f>
        <v>0</v>
      </c>
      <c r="BP211" s="47">
        <f>+BN211-BO211</f>
        <v>0</v>
      </c>
      <c r="BQ211" s="45">
        <f>+E211+H211+K211+N211+Q211+T211+W211+Z211+AC211+AF211+AI211+AL211+AO211+AR211+AU211+AX211+BA211+BD211+BG211+BJ211+BM211+BP211</f>
        <v>1659.2199999999998</v>
      </c>
    </row>
    <row r="212" ht="11.25" customHeight="1" spans="1:69" x14ac:dyDescent="0.25">
      <c r="A212" s="9">
        <v>426120000</v>
      </c>
      <c r="B212" s="9" t="s">
        <v>246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55.85</v>
      </c>
      <c r="G212" s="35">
        <f>IFERROR(VLOOKUP("2_"&amp;A212,SyS!$B:$P,12,FALSE()),0)</f>
        <v>0</v>
      </c>
      <c r="H212" s="36">
        <f>+F212-G212</f>
        <v>55.85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39.24</v>
      </c>
      <c r="AN212" s="35">
        <f>IFERROR(VLOOKUP("23_"&amp;A212,SyS!$B:$P,12,FALSE()),0)</f>
        <v>0</v>
      </c>
      <c r="AO212" s="36">
        <f>+AM212-AN212</f>
        <v>39.24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6">
        <f>IFERROR(VLOOKUP("30_"&amp;A212,SyS!$B:$P,10,FALSE()),0)</f>
        <v>0</v>
      </c>
      <c r="BO212" s="40">
        <f>IFERROR(VLOOKUP("30_"&amp;A212,SyS!$B:$P,12,FALSE()),0)</f>
        <v>0</v>
      </c>
      <c r="BP212" s="47">
        <f>+BN212-BO212</f>
        <v>0</v>
      </c>
      <c r="BQ212" s="45">
        <f>+E212+H212+K212+N212+Q212+T212+W212+Z212+AC212+AF212+AI212+AL212+AO212+AR212+AU212+AX212+BA212+BD212+BG212+BJ212+BM212+BP212</f>
        <v>95.09</v>
      </c>
    </row>
    <row r="213" ht="11.25" customHeight="1" spans="1:69" x14ac:dyDescent="0.25">
      <c r="A213" s="9">
        <v>426140000</v>
      </c>
      <c r="B213" s="9" t="s">
        <v>247</v>
      </c>
      <c r="C213" s="34">
        <f>IFERROR(VLOOKUP("1_"&amp;A213,SyS!$B:$P,10,FALSE()),0)</f>
        <v>0</v>
      </c>
      <c r="D213" s="35">
        <f>IFERROR(VLOOKUP("1_"&amp;A213,SyS!$B:$P,12,FALSE()),0)</f>
        <v>0</v>
      </c>
      <c r="E213" s="35">
        <f>+C213-D213</f>
        <v>0</v>
      </c>
      <c r="F213" s="34">
        <f>IFERROR(VLOOKUP("2_"&amp;A213,SyS!$B:$P,10,FALSE()),0)</f>
        <v>0</v>
      </c>
      <c r="G213" s="35">
        <f>IFERROR(VLOOKUP("2_"&amp;A213,SyS!$B:$P,12,FALSE()),0)</f>
        <v>0</v>
      </c>
      <c r="H213" s="36">
        <f>+F213-G213</f>
        <v>0</v>
      </c>
      <c r="I213" s="35"/>
      <c r="J213" s="35"/>
      <c r="K213" s="35"/>
      <c r="L213" s="35"/>
      <c r="M213" s="35"/>
      <c r="N213" s="35"/>
      <c r="O213" s="34">
        <f>IFERROR(VLOOKUP("14_"&amp;A213,SyS!$B:$P,10,FALSE()),0)</f>
        <v>0</v>
      </c>
      <c r="P213" s="35">
        <f>IFERROR(VLOOKUP("14_"&amp;A213,SyS!$B:$P,12,FALSE()),0)</f>
        <v>0</v>
      </c>
      <c r="Q213" s="36">
        <f>+O213-P213</f>
        <v>0</v>
      </c>
      <c r="R213" s="34">
        <f>IFERROR(VLOOKUP("15_"&amp;A213,SyS!$B:$P,10,FALSE()),0)</f>
        <v>0</v>
      </c>
      <c r="S213" s="35">
        <f>IFERROR(VLOOKUP("15_"&amp;A213,SyS!$B:$P,12,FALSE()),0)</f>
        <v>0</v>
      </c>
      <c r="T213" s="36">
        <f>+R213-S213</f>
        <v>0</v>
      </c>
      <c r="U213" s="34">
        <f>IFERROR(VLOOKUP("16_"&amp;A213,SyS!$B:$P,10,FALSE()),0)</f>
        <v>0</v>
      </c>
      <c r="V213" s="35">
        <f>IFERROR(VLOOKUP("16_"&amp;A213,SyS!$B:$P,12,FALSE()),0)</f>
        <v>0</v>
      </c>
      <c r="W213" s="36">
        <f>+U213-V213</f>
        <v>0</v>
      </c>
      <c r="X213" s="34">
        <f>IFERROR(VLOOKUP("13_"&amp;A213,SyS!$B:$P,10,FALSE()),0)</f>
        <v>0</v>
      </c>
      <c r="Y213" s="35">
        <f>IFERROR(VLOOKUP("13_"&amp;A213,SyS!$B:$P,12,FALSE()),0)</f>
        <v>0</v>
      </c>
      <c r="Z213" s="36">
        <f>+X213-Y213</f>
        <v>0</v>
      </c>
      <c r="AA213" s="34">
        <f>IFERROR(VLOOKUP("17_"&amp;A213,SyS!$B:$P,10,FALSE()),0)</f>
        <v>0</v>
      </c>
      <c r="AB213" s="35">
        <f>IFERROR(VLOOKUP("17_"&amp;A213,SyS!$B:$P,12,FALSE()),0)</f>
        <v>0</v>
      </c>
      <c r="AC213" s="36">
        <f>+AA213-AB213</f>
        <v>0</v>
      </c>
      <c r="AD213" s="35"/>
      <c r="AE213" s="35"/>
      <c r="AF213" s="35"/>
      <c r="AG213" s="35">
        <f>IFERROR(VLOOKUP("19_"&amp;A213,SyS!$B:$P,10,FALSE()),0)</f>
        <v>0</v>
      </c>
      <c r="AH213" s="35">
        <f>IFERROR(VLOOKUP("19_"&amp;A213,SyS!$B:$P,12,FALSE()),0)</f>
        <v>0</v>
      </c>
      <c r="AI213" s="35">
        <f>+AG213-AH213</f>
        <v>0</v>
      </c>
      <c r="AJ213" s="35"/>
      <c r="AK213" s="35"/>
      <c r="AL213" s="35"/>
      <c r="AM213" s="34">
        <f>IFERROR(VLOOKUP("23_"&amp;A213,SyS!$B:$P,10,FALSE()),0)</f>
        <v>0</v>
      </c>
      <c r="AN213" s="35">
        <f>IFERROR(VLOOKUP("23_"&amp;A213,SyS!$B:$P,12,FALSE()),0)</f>
        <v>0</v>
      </c>
      <c r="AO213" s="36">
        <f>+AM213-AN213</f>
        <v>0</v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  <v>0</v>
      </c>
      <c r="BL213" s="40">
        <f>IFERROR(VLOOKUP("29_"&amp;A213,SyS!$B:$P,12,FALSE()),0)</f>
        <v>0</v>
      </c>
      <c r="BM213" s="40">
        <f>+BK213-BL213</f>
        <v>0</v>
      </c>
      <c r="BN213" s="46">
        <f>IFERROR(VLOOKUP("30_"&amp;A213,SyS!$B:$P,10,FALSE()),0)</f>
        <v>0</v>
      </c>
      <c r="BO213" s="40">
        <f>IFERROR(VLOOKUP("30_"&amp;A213,SyS!$B:$P,12,FALSE()),0)</f>
        <v>0</v>
      </c>
      <c r="BP213" s="47">
        <f>+BN213-BO213</f>
        <v>0</v>
      </c>
      <c r="BQ213" s="45">
        <f>+E213+H213+K213+N213+Q213+T213+W213+Z213+AC213+AF213+AI213+AL213+AO213+AR213+AU213+AX213+BA213+BD213+BG213+BJ213+BM213+BP213</f>
        <v>0</v>
      </c>
    </row>
    <row r="214" ht="11.25" customHeight="1" spans="1:69" x14ac:dyDescent="0.25">
      <c r="A214" s="9">
        <v>426150000</v>
      </c>
      <c r="B214" s="9" t="s">
        <v>248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6">
        <f>IFERROR(VLOOKUP("30_"&amp;A214,SyS!$B:$P,10,FALSE()),0)</f>
        <v>0</v>
      </c>
      <c r="BO214" s="40">
        <f>IFERROR(VLOOKUP("30_"&amp;A214,SyS!$B:$P,12,FALSE()),0)</f>
        <v>0</v>
      </c>
      <c r="BP214" s="47">
        <f>+BN214-BO214</f>
        <v>0</v>
      </c>
      <c r="BQ214" s="45">
        <f>+E214+H214+K214+N214+Q214+T214+W214+Z214+AC214+AF214+AI214+AL214+AO214+AR214+AU214+AX214+BA214+BD214+BG214+BJ214+BM214+BP214</f>
        <v>0</v>
      </c>
    </row>
    <row r="215" ht="11.25" customHeight="1" spans="1:69" x14ac:dyDescent="0.25">
      <c r="A215" s="9">
        <v>433040000</v>
      </c>
      <c r="B215" s="9" t="s">
        <v>249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6">
        <f>IFERROR(VLOOKUP("30_"&amp;A215,SyS!$B:$P,10,FALSE()),0)</f>
        <v>0</v>
      </c>
      <c r="BO215" s="40">
        <f>IFERROR(VLOOKUP("30_"&amp;A215,SyS!$B:$P,12,FALSE()),0)</f>
        <v>0</v>
      </c>
      <c r="BP215" s="47">
        <f>+BN215-BO215</f>
        <v>0</v>
      </c>
      <c r="BQ215" s="45">
        <f>+E215+H215+K215+N215+Q215+T215+W215+Z215+AC215+AF215+AI215+AL215+AO215+AR215+AU215+AX215+BA215+BD215+BG215+BJ215+BM215+BP215</f>
        <v>0</v>
      </c>
    </row>
    <row r="216" ht="11.25" customHeight="1" spans="1:69" x14ac:dyDescent="0.25">
      <c r="A216" s="9">
        <v>426170000</v>
      </c>
      <c r="B216" s="9" t="s">
        <v>250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6">
        <f>IFERROR(VLOOKUP("30_"&amp;A216,SyS!$B:$P,10,FALSE()),0)</f>
        <v>0</v>
      </c>
      <c r="BO216" s="40">
        <f>IFERROR(VLOOKUP("30_"&amp;A216,SyS!$B:$P,12,FALSE()),0)</f>
        <v>0</v>
      </c>
      <c r="BP216" s="47">
        <f>+BN216-BO216</f>
        <v>0</v>
      </c>
      <c r="BQ216" s="45">
        <f>+E216+H216+K216+N216+Q216+T216+W216+Z216+AC216+AF216+AI216+AL216+AO216+AR216+AU216+AX216+BA216+BD216+BG216+BJ216+BM216+BP216</f>
        <v>0</v>
      </c>
    </row>
    <row r="217" ht="11.25" customHeight="1" spans="1:69" x14ac:dyDescent="0.25">
      <c r="A217" s="9">
        <v>426180000</v>
      </c>
      <c r="B217" s="9" t="s">
        <v>251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6">
        <f>IFERROR(VLOOKUP("30_"&amp;A217,SyS!$B:$P,10,FALSE()),0)</f>
        <v>0</v>
      </c>
      <c r="BO217" s="40">
        <f>IFERROR(VLOOKUP("30_"&amp;A217,SyS!$B:$P,12,FALSE()),0)</f>
        <v>0</v>
      </c>
      <c r="BP217" s="47">
        <f>+BN217-BO217</f>
        <v>0</v>
      </c>
      <c r="BQ217" s="45">
        <f>+E217+H217+K217+N217+Q217+T217+W217+Z217+AC217+AF217+AI217+AL217+AO217+AR217+AU217+AX217+BA217+BD217+BG217+BJ217+BM217+BP217</f>
        <v>0</v>
      </c>
    </row>
    <row r="218" ht="11.25" customHeight="1" spans="1:69" x14ac:dyDescent="0.25">
      <c r="A218" s="9">
        <v>426190000</v>
      </c>
      <c r="B218" s="9" t="s">
        <v>252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78.2</v>
      </c>
      <c r="AN218" s="35">
        <f>IFERROR(VLOOKUP("23_"&amp;A218,SyS!$B:$P,12,FALSE()),0)</f>
        <v>0</v>
      </c>
      <c r="AO218" s="36">
        <f>+AM218-AN218</f>
        <v>78.2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6">
        <f>IFERROR(VLOOKUP("30_"&amp;A218,SyS!$B:$P,10,FALSE()),0)</f>
        <v>0</v>
      </c>
      <c r="BO218" s="40">
        <f>IFERROR(VLOOKUP("30_"&amp;A218,SyS!$B:$P,12,FALSE()),0)</f>
        <v>0</v>
      </c>
      <c r="BP218" s="47">
        <f>+BN218-BO218</f>
        <v>0</v>
      </c>
      <c r="BQ218" s="45">
        <f>+E218+H218+K218+N218+Q218+T218+W218+Z218+AC218+AF218+AI218+AL218+AO218+AR218+AU218+AX218+BA218+BD218+BG218+BJ218+BM218+BP218</f>
        <v>78.2</v>
      </c>
    </row>
    <row r="219" ht="11.25" customHeight="1" spans="1:69" x14ac:dyDescent="0.25">
      <c r="A219" s="9">
        <v>426200000</v>
      </c>
      <c r="B219" s="9" t="s">
        <v>253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147.22</v>
      </c>
      <c r="G219" s="35">
        <f>IFERROR(VLOOKUP("2_"&amp;A219,SyS!$B:$P,12,FALSE()),0)</f>
        <v>0</v>
      </c>
      <c r="H219" s="36">
        <f>+F219-G219</f>
        <v>147.22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340.27</v>
      </c>
      <c r="AN219" s="35">
        <f>IFERROR(VLOOKUP("23_"&amp;A219,SyS!$B:$P,12,FALSE()),0)</f>
        <v>0</v>
      </c>
      <c r="AO219" s="36">
        <f>+AM219-AN219</f>
        <v>340.27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6">
        <f>IFERROR(VLOOKUP("30_"&amp;A219,SyS!$B:$P,10,FALSE()),0)</f>
        <v>0</v>
      </c>
      <c r="BO219" s="40">
        <f>IFERROR(VLOOKUP("30_"&amp;A219,SyS!$B:$P,12,FALSE()),0)</f>
        <v>0</v>
      </c>
      <c r="BP219" s="47">
        <f>+BN219-BO219</f>
        <v>0</v>
      </c>
      <c r="BQ219" s="45">
        <f>+E219+H219+K219+N219+Q219+T219+W219+Z219+AC219+AF219+AI219+AL219+AO219+AR219+AU219+AX219+BA219+BD219+BG219+BJ219+BM219+BP219</f>
        <v>487.49</v>
      </c>
    </row>
    <row r="220" ht="11.25" customHeight="1" spans="1:69" x14ac:dyDescent="0.25">
      <c r="A220" s="9">
        <v>426210000</v>
      </c>
      <c r="B220" s="9" t="s">
        <v>254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82.33</v>
      </c>
      <c r="G220" s="35">
        <f>IFERROR(VLOOKUP("2_"&amp;A220,SyS!$B:$P,12,FALSE()),0)</f>
        <v>0</v>
      </c>
      <c r="H220" s="36">
        <f>+F220-G220</f>
        <v>82.33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6">
        <f>IFERROR(VLOOKUP("30_"&amp;A220,SyS!$B:$P,10,FALSE()),0)</f>
        <v>0</v>
      </c>
      <c r="BO220" s="40">
        <f>IFERROR(VLOOKUP("30_"&amp;A220,SyS!$B:$P,12,FALSE()),0)</f>
        <v>0</v>
      </c>
      <c r="BP220" s="47">
        <f>+BN220-BO220</f>
        <v>0</v>
      </c>
      <c r="BQ220" s="45">
        <f>+E220+H220+K220+N220+Q220+T220+W220+Z220+AC220+AF220+AI220+AL220+AO220+AR220+AU220+AX220+BA220+BD220+BG220+BJ220+BM220+BP220</f>
        <v>82.33</v>
      </c>
    </row>
    <row r="221" ht="11.25" customHeight="1" spans="1:69" x14ac:dyDescent="0.25">
      <c r="A221" s="9">
        <v>426220000</v>
      </c>
      <c r="B221" s="9" t="s">
        <v>255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2500</v>
      </c>
      <c r="G221" s="35">
        <f>IFERROR(VLOOKUP("2_"&amp;A221,SyS!$B:$P,12,FALSE()),0)</f>
        <v>0</v>
      </c>
      <c r="H221" s="36">
        <f>+F221-G221</f>
        <v>2500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794.57</v>
      </c>
      <c r="AB221" s="35">
        <f>IFERROR(VLOOKUP("17_"&amp;A221,SyS!$B:$P,12,FALSE()),0)</f>
        <v>0</v>
      </c>
      <c r="AC221" s="36">
        <f>+AA221-AB221</f>
        <v>794.57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6">
        <f>IFERROR(VLOOKUP("30_"&amp;A221,SyS!$B:$P,10,FALSE()),0)</f>
        <v>0</v>
      </c>
      <c r="BO221" s="40">
        <f>IFERROR(VLOOKUP("30_"&amp;A221,SyS!$B:$P,12,FALSE()),0)</f>
        <v>0</v>
      </c>
      <c r="BP221" s="47">
        <f>+BN221-BO221</f>
        <v>0</v>
      </c>
      <c r="BQ221" s="45">
        <f>+E221+H221+K221+N221+Q221+T221+W221+Z221+AC221+AF221+AI221+AL221+AO221+AR221+AU221+AX221+BA221+BD221+BG221+BJ221+BM221+BP221</f>
        <v>3294.57</v>
      </c>
    </row>
    <row r="222" ht="11.25" customHeight="1" spans="1:69" x14ac:dyDescent="0.25">
      <c r="A222" s="9">
        <v>426230000</v>
      </c>
      <c r="B222" s="9" t="s">
        <v>256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6">
        <f>IFERROR(VLOOKUP("30_"&amp;A222,SyS!$B:$P,10,FALSE()),0)</f>
        <v>0</v>
      </c>
      <c r="BO222" s="40">
        <f>IFERROR(VLOOKUP("30_"&amp;A222,SyS!$B:$P,12,FALSE()),0)</f>
        <v>0</v>
      </c>
      <c r="BP222" s="47">
        <f>+BN222-BO222</f>
        <v>0</v>
      </c>
      <c r="BQ222" s="45">
        <f>+E222+H222+K222+N222+Q222+T222+W222+Z222+AC222+AF222+AI222+AL222+AO222+AR222+AU222+AX222+BA222+BD222+BG222+BJ222+BM222+BP222</f>
        <v>0</v>
      </c>
    </row>
    <row r="223" ht="11.25" customHeight="1" spans="1:69" x14ac:dyDescent="0.25">
      <c r="A223" s="9">
        <v>426130000</v>
      </c>
      <c r="B223" s="9" t="s">
        <v>257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541.29</v>
      </c>
      <c r="G223" s="35">
        <f>IFERROR(VLOOKUP("2_"&amp;A223,SyS!$B:$P,12,FALSE()),0)</f>
        <v>0</v>
      </c>
      <c r="H223" s="36">
        <f>+F223-G223</f>
        <v>541.29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6">
        <f>IFERROR(VLOOKUP("30_"&amp;A223,SyS!$B:$P,10,FALSE()),0)</f>
        <v>0</v>
      </c>
      <c r="BO223" s="40">
        <f>IFERROR(VLOOKUP("30_"&amp;A223,SyS!$B:$P,12,FALSE()),0)</f>
        <v>0</v>
      </c>
      <c r="BP223" s="47">
        <f>+BN223-BO223</f>
        <v>0</v>
      </c>
      <c r="BQ223" s="45">
        <f>+E223+H223+K223+N223+Q223+T223+W223+Z223+AC223+AF223+AI223+AL223+AO223+AR223+AU223+AX223+BA223+BD223+BG223+BJ223+BM223+BP223</f>
        <v>541.29</v>
      </c>
    </row>
    <row r="224" ht="11.25" customHeight="1" spans="1:69" x14ac:dyDescent="0.25">
      <c r="A224" s="9">
        <v>426240000</v>
      </c>
      <c r="B224" s="9" t="s">
        <v>258</v>
      </c>
      <c r="C224" s="34">
        <f>IFERROR(VLOOKUP("1_"&amp;A224,SyS!$B:$P,10,FALSE()),0)</f>
        <v>35.06</v>
      </c>
      <c r="D224" s="35">
        <f>IFERROR(VLOOKUP("1_"&amp;A224,SyS!$B:$P,12,FALSE()),0)</f>
        <v>0</v>
      </c>
      <c r="E224" s="35">
        <f>+C224-D224</f>
        <v>35.06</v>
      </c>
      <c r="F224" s="34">
        <f>IFERROR(VLOOKUP("2_"&amp;A224,SyS!$B:$P,10,FALSE()),0)</f>
        <v>49.08</v>
      </c>
      <c r="G224" s="35">
        <f>IFERROR(VLOOKUP("2_"&amp;A224,SyS!$B:$P,12,FALSE()),0)</f>
        <v>0</v>
      </c>
      <c r="H224" s="36">
        <f>+F224-G224</f>
        <v>49.08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6">
        <f>IFERROR(VLOOKUP("30_"&amp;A224,SyS!$B:$P,10,FALSE()),0)</f>
        <v>0</v>
      </c>
      <c r="BO224" s="40">
        <f>IFERROR(VLOOKUP("30_"&amp;A224,SyS!$B:$P,12,FALSE()),0)</f>
        <v>0</v>
      </c>
      <c r="BP224" s="47">
        <f>+BN224-BO224</f>
        <v>0</v>
      </c>
      <c r="BQ224" s="45">
        <f>+E224+H224+K224+N224+Q224+T224+W224+Z224+AC224+AF224+AI224+AL224+AO224+AR224+AU224+AX224+BA224+BD224+BG224+BJ224+BM224+BP224</f>
        <v>84.14</v>
      </c>
    </row>
    <row r="225" ht="11.25" customHeight="1" spans="1:69" x14ac:dyDescent="0.25">
      <c r="A225" s="9">
        <v>426250000</v>
      </c>
      <c r="B225" s="9" t="s">
        <v>259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72.52</v>
      </c>
      <c r="G225" s="35">
        <f>IFERROR(VLOOKUP("2_"&amp;A225,SyS!$B:$P,12,FALSE()),0)</f>
        <v>0</v>
      </c>
      <c r="H225" s="36">
        <f>+F225-G225</f>
        <v>72.52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63.35</v>
      </c>
      <c r="AN225" s="35">
        <f>IFERROR(VLOOKUP("23_"&amp;A225,SyS!$B:$P,12,FALSE()),0)</f>
        <v>0</v>
      </c>
      <c r="AO225" s="36">
        <f>+AM225-AN225</f>
        <v>63.35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6">
        <f>IFERROR(VLOOKUP("30_"&amp;A225,SyS!$B:$P,10,FALSE()),0)</f>
        <v>0</v>
      </c>
      <c r="BO225" s="40">
        <f>IFERROR(VLOOKUP("30_"&amp;A225,SyS!$B:$P,12,FALSE()),0)</f>
        <v>0</v>
      </c>
      <c r="BP225" s="47">
        <f>+BN225-BO225</f>
        <v>0</v>
      </c>
      <c r="BQ225" s="45">
        <f>+E225+H225+K225+N225+Q225+T225+W225+Z225+AC225+AF225+AI225+AL225+AO225+AR225+AU225+AX225+BA225+BD225+BG225+BJ225+BM225+BP225</f>
        <v>135.87</v>
      </c>
    </row>
    <row r="226" ht="11.25" customHeight="1" spans="1:69" x14ac:dyDescent="0.25">
      <c r="A226" s="9">
        <v>426260000</v>
      </c>
      <c r="B226" s="9" t="s">
        <v>260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4779.29</v>
      </c>
      <c r="G226" s="35">
        <f>IFERROR(VLOOKUP("2_"&amp;A226,SyS!$B:$P,12,FALSE()),0)</f>
        <v>0</v>
      </c>
      <c r="H226" s="36">
        <f>+F226-G226</f>
        <v>4779.29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13.32</v>
      </c>
      <c r="AN226" s="35">
        <f>IFERROR(VLOOKUP("23_"&amp;A226,SyS!$B:$P,12,FALSE()),0)</f>
        <v>0</v>
      </c>
      <c r="AO226" s="36">
        <f>+AM226-AN226</f>
        <v>13.32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6">
        <f>IFERROR(VLOOKUP("30_"&amp;A226,SyS!$B:$P,10,FALSE()),0)</f>
        <v>0</v>
      </c>
      <c r="BO226" s="40">
        <f>IFERROR(VLOOKUP("30_"&amp;A226,SyS!$B:$P,12,FALSE()),0)</f>
        <v>0</v>
      </c>
      <c r="BP226" s="47">
        <f>+BN226-BO226</f>
        <v>0</v>
      </c>
      <c r="BQ226" s="45">
        <f>+E226+H226+K226+N226+Q226+T226+W226+Z226+AC226+AF226+AI226+AL226+AO226+AR226+AU226+AX226+BA226+BD226+BG226+BJ226+BM226+BP226</f>
        <v>4792.61</v>
      </c>
    </row>
    <row r="227" ht="11.25" customHeight="1" spans="1:69" x14ac:dyDescent="0.25">
      <c r="A227" s="9">
        <v>426270000</v>
      </c>
      <c r="B227" s="9" t="s">
        <v>261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6">
        <f>IFERROR(VLOOKUP("30_"&amp;A227,SyS!$B:$P,10,FALSE()),0)</f>
        <v>0</v>
      </c>
      <c r="BO227" s="40">
        <f>IFERROR(VLOOKUP("30_"&amp;A227,SyS!$B:$P,12,FALSE()),0)</f>
        <v>0</v>
      </c>
      <c r="BP227" s="47">
        <f>+BN227-BO227</f>
        <v>0</v>
      </c>
      <c r="BQ227" s="45">
        <f>+E227+H227+K227+N227+Q227+T227+W227+Z227+AC227+AF227+AI227+AL227+AO227+AR227+AU227+AX227+BA227+BD227+BG227+BJ227+BM227+BP227</f>
        <v>0</v>
      </c>
    </row>
    <row r="228" ht="11.25" customHeight="1" spans="1:69" x14ac:dyDescent="0.25">
      <c r="A228" s="9">
        <v>426280000</v>
      </c>
      <c r="B228" s="9" t="s">
        <v>262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6">
        <f>IFERROR(VLOOKUP("30_"&amp;A228,SyS!$B:$P,10,FALSE()),0)</f>
        <v>0</v>
      </c>
      <c r="BO228" s="40">
        <f>IFERROR(VLOOKUP("30_"&amp;A228,SyS!$B:$P,12,FALSE()),0)</f>
        <v>0</v>
      </c>
      <c r="BP228" s="47">
        <f>+BN228-BO228</f>
        <v>0</v>
      </c>
      <c r="BQ228" s="45">
        <f>+E228+H228+K228+N228+Q228+T228+W228+Z228+AC228+AF228+AI228+AL228+AO228+AR228+AU228+AX228+BA228+BD228+BG228+BJ228+BM228+BP228</f>
        <v>0</v>
      </c>
    </row>
    <row r="229" ht="11.25" customHeight="1" spans="1:69" x14ac:dyDescent="0.25">
      <c r="A229" s="9">
        <v>426290000</v>
      </c>
      <c r="B229" s="9" t="s">
        <v>263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6">
        <f>IFERROR(VLOOKUP("30_"&amp;A229,SyS!$B:$P,10,FALSE()),0)</f>
        <v>0</v>
      </c>
      <c r="BO229" s="40">
        <f>IFERROR(VLOOKUP("30_"&amp;A229,SyS!$B:$P,12,FALSE()),0)</f>
        <v>0</v>
      </c>
      <c r="BP229" s="47">
        <f>+BN229-BO229</f>
        <v>0</v>
      </c>
      <c r="BQ229" s="45">
        <f>+E229+H229+K229+N229+Q229+T229+W229+Z229+AC229+AF229+AI229+AL229+AO229+AR229+AU229+AX229+BA229+BD229+BG229+BJ229+BM229+BP229</f>
        <v>0</v>
      </c>
    </row>
    <row r="230" ht="11.25" customHeight="1" spans="1:69" x14ac:dyDescent="0.25">
      <c r="A230" s="9">
        <v>426310000</v>
      </c>
      <c r="B230" s="9" t="s">
        <v>264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6">
        <f>IFERROR(VLOOKUP("30_"&amp;A230,SyS!$B:$P,10,FALSE()),0)</f>
        <v>0</v>
      </c>
      <c r="BO230" s="40">
        <f>IFERROR(VLOOKUP("30_"&amp;A230,SyS!$B:$P,12,FALSE()),0)</f>
        <v>0</v>
      </c>
      <c r="BP230" s="47">
        <f>+BN230-BO230</f>
        <v>0</v>
      </c>
      <c r="BQ230" s="45">
        <f>+E230+H230+K230+N230+Q230+T230+W230+Z230+AC230+AF230+AI230+AL230+AO230+AR230+AU230+AX230+BA230+BD230+BG230+BJ230+BM230+BP230</f>
        <v>0</v>
      </c>
    </row>
    <row r="231" ht="11.25" customHeight="1" spans="1:69" x14ac:dyDescent="0.25">
      <c r="A231" s="9">
        <v>426320000</v>
      </c>
      <c r="B231" s="9" t="s">
        <v>265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6">
        <f>IFERROR(VLOOKUP("30_"&amp;A231,SyS!$B:$P,10,FALSE()),0)</f>
        <v>0</v>
      </c>
      <c r="BO231" s="40">
        <f>IFERROR(VLOOKUP("30_"&amp;A231,SyS!$B:$P,12,FALSE()),0)</f>
        <v>0</v>
      </c>
      <c r="BP231" s="47">
        <f>+BN231-BO231</f>
        <v>0</v>
      </c>
      <c r="BQ231" s="45">
        <f>+E231+H231+K231+N231+Q231+T231+W231+Z231+AC231+AF231+AI231+AL231+AO231+AR231+AU231+AX231+BA231+BD231+BG231+BJ231+BM231+BP231</f>
        <v>0</v>
      </c>
    </row>
    <row r="232" ht="11.25" customHeight="1" spans="1:69" x14ac:dyDescent="0.25">
      <c r="A232" s="9">
        <v>426340000</v>
      </c>
      <c r="B232" s="9" t="s">
        <v>266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27.35</v>
      </c>
      <c r="G232" s="35">
        <f>IFERROR(VLOOKUP("2_"&amp;A232,SyS!$B:$P,12,FALSE()),0)</f>
        <v>0</v>
      </c>
      <c r="H232" s="36">
        <f>+F232-G232</f>
        <v>27.35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6">
        <f>IFERROR(VLOOKUP("30_"&amp;A232,SyS!$B:$P,10,FALSE()),0)</f>
        <v>0</v>
      </c>
      <c r="BO232" s="40">
        <f>IFERROR(VLOOKUP("30_"&amp;A232,SyS!$B:$P,12,FALSE()),0)</f>
        <v>0</v>
      </c>
      <c r="BP232" s="47">
        <f>+BN232-BO232</f>
        <v>0</v>
      </c>
      <c r="BQ232" s="45">
        <f>+E232+H232+K232+N232+Q232+T232+W232+Z232+AC232+AF232+AI232+AL232+AO232+AR232+AU232+AX232+BA232+BD232+BG232+BJ232+BM232+BP232</f>
        <v>27.35</v>
      </c>
    </row>
    <row r="233" ht="11.25" customHeight="1" spans="1:69" x14ac:dyDescent="0.25">
      <c r="A233" s="9">
        <v>426330000</v>
      </c>
      <c r="B233" s="9" t="s">
        <v>267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6">
        <f>IFERROR(VLOOKUP("30_"&amp;A233,SyS!$B:$P,10,FALSE()),0)</f>
        <v>0</v>
      </c>
      <c r="BO233" s="40">
        <f>IFERROR(VLOOKUP("30_"&amp;A233,SyS!$B:$P,12,FALSE()),0)</f>
        <v>0</v>
      </c>
      <c r="BP233" s="47">
        <f>+BN233-BO233</f>
        <v>0</v>
      </c>
      <c r="BQ233" s="45">
        <f>+E233+H233+K233+N233+Q233+T233+W233+Z233+AC233+AF233+AI233+AL233+AO233+AR233+AU233+AX233+BA233+BD233+BG233+BJ233+BM233+BP233</f>
        <v>0</v>
      </c>
    </row>
    <row r="234" ht="11.25" customHeight="1" spans="1:69" x14ac:dyDescent="0.25">
      <c r="A234" s="53">
        <v>426380000</v>
      </c>
      <c r="B234" s="9" t="s">
        <v>268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6">
        <f>IFERROR(VLOOKUP("30_"&amp;A234,SyS!$B:$P,10,FALSE()),0)</f>
        <v>0</v>
      </c>
      <c r="BO234" s="40">
        <f>IFERROR(VLOOKUP("30_"&amp;A234,SyS!$B:$P,12,FALSE()),0)</f>
        <v>0</v>
      </c>
      <c r="BP234" s="47">
        <f>+BN234-BO234</f>
        <v>0</v>
      </c>
      <c r="BQ234" s="45">
        <f>+E234+H234+K234+N234+Q234+T234+W234+Z234+AC234+AF234+AI234+AL234+AO234+AR234+AU234+AX234+BA234+BD234+BG234+BJ234+BM234+BP234</f>
        <v>0</v>
      </c>
    </row>
    <row r="235" ht="11.25" customHeight="1" spans="1:69" x14ac:dyDescent="0.25">
      <c r="A235" s="9">
        <v>426410000</v>
      </c>
      <c r="B235" s="9" t="s">
        <v>269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6">
        <f>IFERROR(VLOOKUP("30_"&amp;A235,SyS!$B:$P,10,FALSE()),0)</f>
        <v>0</v>
      </c>
      <c r="BO235" s="40">
        <f>IFERROR(VLOOKUP("30_"&amp;A235,SyS!$B:$P,12,FALSE()),0)</f>
        <v>0</v>
      </c>
      <c r="BP235" s="47">
        <f>+BN235-BO235</f>
        <v>0</v>
      </c>
      <c r="BQ235" s="45">
        <f>+E235+H235+K235+N235+Q235+T235+W235+Z235+AC235+AF235+AI235+AL235+AO235+AR235+AU235+AX235+BA235+BD235+BG235+BJ235+BM235+BP235</f>
        <v>0</v>
      </c>
    </row>
    <row r="236" ht="11.25" customHeight="1" spans="1:69" x14ac:dyDescent="0.25">
      <c r="A236" s="9">
        <v>426430000</v>
      </c>
      <c r="B236" s="9" t="s">
        <v>270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6">
        <f>IFERROR(VLOOKUP("30_"&amp;A236,SyS!$B:$P,10,FALSE()),0)</f>
        <v>0</v>
      </c>
      <c r="BO236" s="40">
        <f>IFERROR(VLOOKUP("30_"&amp;A236,SyS!$B:$P,12,FALSE()),0)</f>
        <v>0</v>
      </c>
      <c r="BP236" s="47">
        <f>+BN236-BO236</f>
        <v>0</v>
      </c>
      <c r="BQ236" s="45">
        <f>+E236+H236+K236+N236+Q236+T236+W236+Z236+AC236+AF236+AI236+AL236+AO236+AR236+AU236+AX236+BA236+BD236+BG236+BJ236+BM236+BP236</f>
        <v>0</v>
      </c>
    </row>
    <row r="237" ht="11.25" customHeight="1" spans="1:69" x14ac:dyDescent="0.25">
      <c r="A237" s="9">
        <v>426440000</v>
      </c>
      <c r="B237" s="9" t="s">
        <v>271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6">
        <f>IFERROR(VLOOKUP("30_"&amp;A237,SyS!$B:$P,10,FALSE()),0)</f>
        <v>0</v>
      </c>
      <c r="BO237" s="40">
        <f>IFERROR(VLOOKUP("30_"&amp;A237,SyS!$B:$P,12,FALSE()),0)</f>
        <v>0</v>
      </c>
      <c r="BP237" s="47">
        <f>+BN237-BO237</f>
        <v>0</v>
      </c>
      <c r="BQ237" s="45">
        <f>+E237+H237+K237+N237+Q237+T237+W237+Z237+AC237+AF237+AI237+AL237+AO237+AR237+AU237+AX237+BA237+BD237+BG237+BJ237+BM237+BP237</f>
        <v>0</v>
      </c>
    </row>
    <row r="238" ht="11.25" customHeight="1" spans="1:69" x14ac:dyDescent="0.25">
      <c r="A238" s="53">
        <v>426450000</v>
      </c>
      <c r="B238" s="9" t="s">
        <v>272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213.33</v>
      </c>
      <c r="AN238" s="35">
        <f>IFERROR(VLOOKUP("23_"&amp;A238,SyS!$B:$P,12,FALSE()),0)</f>
        <v>0</v>
      </c>
      <c r="AO238" s="36">
        <f>+AM238-AN238</f>
        <v>213.33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6">
        <f>IFERROR(VLOOKUP("30_"&amp;A238,SyS!$B:$P,10,FALSE()),0)</f>
        <v>0</v>
      </c>
      <c r="BO238" s="40">
        <f>IFERROR(VLOOKUP("30_"&amp;A238,SyS!$B:$P,12,FALSE()),0)</f>
        <v>0</v>
      </c>
      <c r="BP238" s="47">
        <f>+BN238-BO238</f>
        <v>0</v>
      </c>
      <c r="BQ238" s="45">
        <f>+E238+H238+K238+N238+Q238+T238+W238+Z238+AC238+AF238+AI238+AL238+AO238+AR238+AU238+AX238+BA238+BD238+BG238+BJ238+BM238+BP238</f>
        <v>213.33</v>
      </c>
    </row>
    <row r="239" ht="11.25" customHeight="1" spans="1:69" x14ac:dyDescent="0.25">
      <c r="A239" s="9">
        <v>426460000</v>
      </c>
      <c r="B239" s="9" t="s">
        <v>273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6">
        <f>IFERROR(VLOOKUP("30_"&amp;A239,SyS!$B:$P,10,FALSE()),0)</f>
        <v>0</v>
      </c>
      <c r="BO239" s="40">
        <f>IFERROR(VLOOKUP("30_"&amp;A239,SyS!$B:$P,12,FALSE()),0)</f>
        <v>0</v>
      </c>
      <c r="BP239" s="47">
        <f>+BN239-BO239</f>
        <v>0</v>
      </c>
      <c r="BQ239" s="45">
        <f>+E239+H239+K239+N239+Q239+T239+W239+Z239+AC239+AF239+AI239+AL239+AO239+AR239+AU239+AX239+BA239+BD239+BG239+BJ239+BM239+BP239</f>
        <v>0</v>
      </c>
    </row>
    <row r="240" ht="11.25" customHeight="1" spans="1:69" x14ac:dyDescent="0.25">
      <c r="A240" s="9">
        <v>426470000</v>
      </c>
      <c r="B240" s="9" t="s">
        <v>274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136.1</v>
      </c>
      <c r="AN240" s="35">
        <f>IFERROR(VLOOKUP("23_"&amp;A240,SyS!$B:$P,12,FALSE()),0)</f>
        <v>0</v>
      </c>
      <c r="AO240" s="36">
        <f>+AM240-AN240</f>
        <v>136.1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6">
        <f>IFERROR(VLOOKUP("30_"&amp;A240,SyS!$B:$P,10,FALSE()),0)</f>
        <v>0</v>
      </c>
      <c r="BO240" s="40">
        <f>IFERROR(VLOOKUP("30_"&amp;A240,SyS!$B:$P,12,FALSE()),0)</f>
        <v>0</v>
      </c>
      <c r="BP240" s="47">
        <f>+BN240-BO240</f>
        <v>0</v>
      </c>
      <c r="BQ240" s="45">
        <f>+E240+H240+K240+N240+Q240+T240+W240+Z240+AC240+AF240+AI240+AL240+AO240+AR240+AU240+AX240+BA240+BD240+BG240+BJ240+BM240+BP240</f>
        <v>136.1</v>
      </c>
    </row>
    <row r="241" ht="11.25" customHeight="1" spans="1:69" x14ac:dyDescent="0.25">
      <c r="A241" s="9">
        <v>426550000</v>
      </c>
      <c r="B241" s="9" t="s">
        <v>275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6">
        <f>IFERROR(VLOOKUP("30_"&amp;A241,SyS!$B:$P,10,FALSE()),0)</f>
        <v>0</v>
      </c>
      <c r="BO241" s="40">
        <f>IFERROR(VLOOKUP("30_"&amp;A241,SyS!$B:$P,12,FALSE()),0)</f>
        <v>0</v>
      </c>
      <c r="BP241" s="47">
        <f>+BN241-BO241</f>
        <v>0</v>
      </c>
      <c r="BQ241" s="45">
        <f>+E241+H241+K241+N241+Q241+T241+W241+Z241+AC241+AF241+AI241+AL241+AO241+AR241+AU241+AX241+BA241+BD241+BG241+BJ241+BM241+BP241</f>
        <v>0</v>
      </c>
    </row>
    <row r="242" ht="11.25" customHeight="1" spans="1:69" x14ac:dyDescent="0.25">
      <c r="A242" s="9">
        <v>426480000</v>
      </c>
      <c r="B242" s="9" t="s">
        <v>276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6">
        <f>IFERROR(VLOOKUP("30_"&amp;A242,SyS!$B:$P,10,FALSE()),0)</f>
        <v>0</v>
      </c>
      <c r="BO242" s="40">
        <f>IFERROR(VLOOKUP("30_"&amp;A242,SyS!$B:$P,12,FALSE()),0)</f>
        <v>0</v>
      </c>
      <c r="BP242" s="47">
        <f>+BN242-BO242</f>
        <v>0</v>
      </c>
      <c r="BQ242" s="45">
        <f>+E242+H242+K242+N242+Q242+T242+W242+Z242+AC242+AF242+AI242+AL242+AO242+AR242+AU242+AX242+BA242+BD242+BG242+BJ242+BM242+BP242</f>
        <v>0</v>
      </c>
    </row>
    <row r="243" ht="11.25" customHeight="1" spans="1:69" x14ac:dyDescent="0.25">
      <c r="A243" s="9">
        <v>426490000</v>
      </c>
      <c r="B243" s="9" t="s">
        <v>277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6">
        <f>IFERROR(VLOOKUP("30_"&amp;A243,SyS!$B:$P,10,FALSE()),0)</f>
        <v>0</v>
      </c>
      <c r="BO243" s="40">
        <f>IFERROR(VLOOKUP("30_"&amp;A243,SyS!$B:$P,12,FALSE()),0)</f>
        <v>0</v>
      </c>
      <c r="BP243" s="47">
        <f>+BN243-BO243</f>
        <v>0</v>
      </c>
      <c r="BQ243" s="45">
        <f>+E243+H243+K243+N243+Q243+T243+W243+Z243+AC243+AF243+AI243+AL243+AO243+AR243+AU243+AX243+BA243+BD243+BG243+BJ243+BM243+BP243</f>
        <v>0</v>
      </c>
    </row>
    <row r="244" ht="11.25" customHeight="1" spans="1:69" x14ac:dyDescent="0.25">
      <c r="A244" s="9">
        <v>426500000</v>
      </c>
      <c r="B244" s="9" t="s">
        <v>278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6">
        <f>IFERROR(VLOOKUP("30_"&amp;A244,SyS!$B:$P,10,FALSE()),0)</f>
        <v>0</v>
      </c>
      <c r="BO244" s="40">
        <f>IFERROR(VLOOKUP("30_"&amp;A244,SyS!$B:$P,12,FALSE()),0)</f>
        <v>0</v>
      </c>
      <c r="BP244" s="47">
        <f>+BN244-BO244</f>
        <v>0</v>
      </c>
      <c r="BQ244" s="45">
        <f>+E244+H244+K244+N244+Q244+T244+W244+Z244+AC244+AF244+AI244+AL244+AO244+AR244+AU244+AX244+BA244+BD244+BG244+BJ244+BM244+BP244</f>
        <v>0</v>
      </c>
    </row>
    <row r="245" ht="11.25" customHeight="1" spans="1:69" x14ac:dyDescent="0.25">
      <c r="A245" s="9">
        <v>426590000</v>
      </c>
      <c r="B245" s="9" t="s">
        <v>279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6">
        <f>IFERROR(VLOOKUP("30_"&amp;A245,SyS!$B:$P,10,FALSE()),0)</f>
        <v>0</v>
      </c>
      <c r="BO245" s="40">
        <f>IFERROR(VLOOKUP("30_"&amp;A245,SyS!$B:$P,12,FALSE()),0)</f>
        <v>0</v>
      </c>
      <c r="BP245" s="47">
        <f>+BN245-BO245</f>
        <v>0</v>
      </c>
      <c r="BQ245" s="45">
        <f>+E245+H245+K245+N245+Q245+T245+W245+Z245+AC245+AF245+AI245+AL245+AO245+AR245+AU245+AX245+BA245+BD245+BG245+BJ245+BM245+BP245</f>
        <v>0</v>
      </c>
    </row>
    <row r="246" ht="11.25" customHeight="1" spans="1:69" x14ac:dyDescent="0.25">
      <c r="A246" s="9">
        <v>426600000</v>
      </c>
      <c r="B246" s="9" t="s">
        <v>280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6">
        <f>IFERROR(VLOOKUP("30_"&amp;A246,SyS!$B:$P,10,FALSE()),0)</f>
        <v>0</v>
      </c>
      <c r="BO246" s="40">
        <f>IFERROR(VLOOKUP("30_"&amp;A246,SyS!$B:$P,12,FALSE()),0)</f>
        <v>0</v>
      </c>
      <c r="BP246" s="47">
        <f>+BN246-BO246</f>
        <v>0</v>
      </c>
      <c r="BQ246" s="45">
        <f>+E246+H246+K246+N246+Q246+T246+W246+Z246+AC246+AF246+AI246+AL246+AO246+AR246+AU246+AX246+BA246+BD246+BG246+BJ246+BM246+BP246</f>
        <v>0</v>
      </c>
    </row>
    <row r="247" ht="11.25" customHeight="1" spans="1:69" x14ac:dyDescent="0.25">
      <c r="A247" s="9">
        <v>426700000</v>
      </c>
      <c r="B247" s="9" t="s">
        <v>281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6">
        <f>IFERROR(VLOOKUP("30_"&amp;A247,SyS!$B:$P,10,FALSE()),0)</f>
        <v>0</v>
      </c>
      <c r="BO247" s="40">
        <f>IFERROR(VLOOKUP("30_"&amp;A247,SyS!$B:$P,12,FALSE()),0)</f>
        <v>0</v>
      </c>
      <c r="BP247" s="47">
        <f>+BN247-BO247</f>
        <v>0</v>
      </c>
      <c r="BQ247" s="45">
        <f>+E247+H247+K247+N247+Q247+T247+W247+Z247+AC247+AF247+AI247+AL247+AO247+AR247+AU247+AX247+BA247+BD247+BG247+BJ247+BM247+BP247</f>
        <v>0</v>
      </c>
    </row>
    <row r="248" ht="11.25" customHeight="1" spans="1:69" x14ac:dyDescent="0.25">
      <c r="A248" s="9">
        <v>426100000</v>
      </c>
      <c r="B248" s="9" t="s">
        <v>282</v>
      </c>
      <c r="C248" s="34">
        <f>IFERROR(VLOOKUP("1_"&amp;A248,SyS!$B:$P,10,FALSE()),0)</f>
        <v>503.25</v>
      </c>
      <c r="D248" s="35">
        <f>IFERROR(VLOOKUP("1_"&amp;A248,SyS!$B:$P,12,FALSE()),0)</f>
        <v>0</v>
      </c>
      <c r="E248" s="35">
        <f>+C248-D248</f>
        <v>503.25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6">
        <f>IFERROR(VLOOKUP("30_"&amp;A248,SyS!$B:$P,10,FALSE()),0)</f>
        <v>0</v>
      </c>
      <c r="BO248" s="40">
        <f>IFERROR(VLOOKUP("30_"&amp;A248,SyS!$B:$P,12,FALSE()),0)</f>
        <v>0</v>
      </c>
      <c r="BP248" s="47">
        <f>+BN248-BO248</f>
        <v>0</v>
      </c>
      <c r="BQ248" s="45">
        <f>+E248+H248+K248+N248+Q248+T248+W248+Z248+AC248+AF248+AI248+AL248+AO248+AR248+AU248+AX248+BA248+BD248+BG248+BJ248+BM248+BP248</f>
        <v>503.25</v>
      </c>
    </row>
    <row r="249" ht="11.25" customHeight="1" spans="1:69" x14ac:dyDescent="0.25">
      <c r="A249" s="9">
        <v>426800000</v>
      </c>
      <c r="B249" s="9" t="s">
        <v>283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6">
        <f>IFERROR(VLOOKUP("30_"&amp;A249,SyS!$B:$P,10,FALSE()),0)</f>
        <v>0</v>
      </c>
      <c r="BO249" s="40">
        <f>IFERROR(VLOOKUP("30_"&amp;A249,SyS!$B:$P,12,FALSE()),0)</f>
        <v>0</v>
      </c>
      <c r="BP249" s="47">
        <f>+BN249-BO249</f>
        <v>0</v>
      </c>
      <c r="BQ249" s="45">
        <f>+E249+H249+K249+N249+Q249+T249+W249+Z249+AC249+AF249+AI249+AL249+AO249+AR249+AU249+AX249+BA249+BD249+BG249+BJ249+BM249+BP249</f>
        <v>0</v>
      </c>
    </row>
    <row r="250" ht="11.25" customHeight="1" spans="1:69" x14ac:dyDescent="0.25">
      <c r="A250" s="9">
        <v>426900000</v>
      </c>
      <c r="B250" s="9" t="s">
        <v>284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6">
        <f>IFERROR(VLOOKUP("30_"&amp;A250,SyS!$B:$P,10,FALSE()),0)</f>
        <v>0</v>
      </c>
      <c r="BO250" s="40">
        <f>IFERROR(VLOOKUP("30_"&amp;A250,SyS!$B:$P,12,FALSE()),0)</f>
        <v>0</v>
      </c>
      <c r="BP250" s="47">
        <f>+BN250-BO250</f>
        <v>0</v>
      </c>
      <c r="BQ250" s="45">
        <f>+E250+H250+K250+N250+Q250+T250+W250+Z250+AC250+AF250+AI250+AL250+AO250+AR250+AU250+AX250+BA250+BD250+BG250+BJ250+BM250+BP250</f>
        <v>0</v>
      </c>
    </row>
    <row r="251" ht="11.25" customHeight="1" spans="1:69" x14ac:dyDescent="0.25">
      <c r="A251" s="9">
        <v>426510000</v>
      </c>
      <c r="B251" s="9" t="s">
        <v>285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6">
        <f>IFERROR(VLOOKUP("30_"&amp;A251,SyS!$B:$P,10,FALSE()),0)</f>
        <v>0</v>
      </c>
      <c r="BO251" s="40">
        <f>IFERROR(VLOOKUP("30_"&amp;A251,SyS!$B:$P,12,FALSE()),0)</f>
        <v>0</v>
      </c>
      <c r="BP251" s="47">
        <f>+BN251-BO251</f>
        <v>0</v>
      </c>
      <c r="BQ251" s="45">
        <f>+E251+H251+K251+N251+Q251+T251+W251+Z251+AC251+AF251+AI251+AL251+AO251+AR251+AU251+AX251+BA251+BD251+BG251+BJ251+BM251+BP251</f>
        <v>0</v>
      </c>
    </row>
    <row r="252" ht="11.25" customHeight="1" spans="1:69" x14ac:dyDescent="0.25">
      <c r="A252" s="9">
        <v>426520000</v>
      </c>
      <c r="B252" s="9" t="s">
        <v>286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21.03</v>
      </c>
      <c r="AN252" s="35">
        <f>IFERROR(VLOOKUP("23_"&amp;A252,SyS!$B:$P,12,FALSE()),0)</f>
        <v>0</v>
      </c>
      <c r="AO252" s="36">
        <f>+AM252-AN252</f>
        <v>21.03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6">
        <f>IFERROR(VLOOKUP("30_"&amp;A252,SyS!$B:$P,10,FALSE()),0)</f>
        <v>0</v>
      </c>
      <c r="BO252" s="40">
        <f>IFERROR(VLOOKUP("30_"&amp;A252,SyS!$B:$P,12,FALSE()),0)</f>
        <v>0</v>
      </c>
      <c r="BP252" s="47">
        <f>+BN252-BO252</f>
        <v>0</v>
      </c>
      <c r="BQ252" s="45">
        <f>+E252+H252+K252+N252+Q252+T252+W252+Z252+AC252+AF252+AI252+AL252+AO252+AR252+AU252+AX252+BA252+BD252+BG252+BJ252+BM252+BP252</f>
        <v>21.03</v>
      </c>
    </row>
    <row r="253" ht="11.25" customHeight="1" spans="1:69" x14ac:dyDescent="0.25">
      <c r="A253" s="9">
        <v>426530000</v>
      </c>
      <c r="B253" s="9" t="s">
        <v>287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6">
        <f>IFERROR(VLOOKUP("30_"&amp;A253,SyS!$B:$P,10,FALSE()),0)</f>
        <v>0</v>
      </c>
      <c r="BO253" s="40">
        <f>IFERROR(VLOOKUP("30_"&amp;A253,SyS!$B:$P,12,FALSE()),0)</f>
        <v>0</v>
      </c>
      <c r="BP253" s="47">
        <f>+BN253-BO253</f>
        <v>0</v>
      </c>
      <c r="BQ253" s="45">
        <f>+E253+H253+K253+N253+Q253+T253+W253+Z253+AC253+AF253+AI253+AL253+AO253+AR253+AU253+AX253+BA253+BD253+BG253+BJ253+BM253+BP253</f>
        <v>0</v>
      </c>
    </row>
    <row r="254" ht="11.25" customHeight="1" spans="1:69" x14ac:dyDescent="0.25">
      <c r="A254" s="9">
        <v>426540000</v>
      </c>
      <c r="B254" s="9" t="s">
        <v>288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6">
        <f>IFERROR(VLOOKUP("30_"&amp;A254,SyS!$B:$P,10,FALSE()),0)</f>
        <v>0</v>
      </c>
      <c r="BO254" s="40">
        <f>IFERROR(VLOOKUP("30_"&amp;A254,SyS!$B:$P,12,FALSE()),0)</f>
        <v>0</v>
      </c>
      <c r="BP254" s="47">
        <f>+BN254-BO254</f>
        <v>0</v>
      </c>
      <c r="BQ254" s="45">
        <f>+E254+H254+K254+N254+Q254+T254+W254+Z254+AC254+AF254+AI254+AL254+AO254+AR254+AU254+AX254+BA254+BD254+BG254+BJ254+BM254+BP254</f>
        <v>0</v>
      </c>
    </row>
    <row r="255" ht="11.25" customHeight="1" spans="1:69" x14ac:dyDescent="0.25">
      <c r="A255" s="9">
        <v>426350000</v>
      </c>
      <c r="B255" s="9" t="s">
        <v>289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6">
        <f>IFERROR(VLOOKUP("30_"&amp;A255,SyS!$B:$P,10,FALSE()),0)</f>
        <v>0</v>
      </c>
      <c r="BO255" s="40">
        <f>IFERROR(VLOOKUP("30_"&amp;A255,SyS!$B:$P,12,FALSE()),0)</f>
        <v>0</v>
      </c>
      <c r="BP255" s="47">
        <f>+BN255-BO255</f>
        <v>0</v>
      </c>
      <c r="BQ255" s="45">
        <f>+E255+H255+K255+N255+Q255+T255+W255+Z255+AC255+AF255+AI255+AL255+AO255+AR255+AU255+AX255+BA255+BD255+BG255+BJ255+BM255+BP255</f>
        <v>0</v>
      </c>
    </row>
    <row r="256" ht="11.25" customHeight="1" spans="1:69" x14ac:dyDescent="0.25">
      <c r="A256" s="9">
        <v>426840000</v>
      </c>
      <c r="B256" s="9" t="s">
        <v>290</v>
      </c>
      <c r="C256" s="34">
        <f>IFERROR(VLOOKUP("1_"&amp;A256,SyS!$B:$P,10,FALSE()),0)</f>
        <v>0</v>
      </c>
      <c r="D256" s="35">
        <f>IFERROR(VLOOKUP("1_"&amp;A256,SyS!$B:$P,12,FALSE()),0)</f>
        <v>0</v>
      </c>
      <c r="E256" s="35">
        <f>+C256-D256</f>
        <v>0</v>
      </c>
      <c r="F256" s="34">
        <f>IFERROR(VLOOKUP("2_"&amp;A256,SyS!$B:$P,10,FALSE()),0)</f>
        <v>0</v>
      </c>
      <c r="G256" s="35">
        <f>IFERROR(VLOOKUP("2_"&amp;A256,SyS!$B:$P,12,FALSE()),0)</f>
        <v>0</v>
      </c>
      <c r="H256" s="36">
        <f>+F256-G256</f>
        <v>0</v>
      </c>
      <c r="I256" s="35"/>
      <c r="J256" s="35"/>
      <c r="K256" s="35"/>
      <c r="L256" s="35"/>
      <c r="M256" s="35"/>
      <c r="N256" s="35"/>
      <c r="O256" s="34">
        <f>IFERROR(VLOOKUP("14_"&amp;A256,SyS!$B:$P,10,FALSE()),0)</f>
        <v>0</v>
      </c>
      <c r="P256" s="35">
        <f>IFERROR(VLOOKUP("14_"&amp;A256,SyS!$B:$P,12,FALSE()),0)</f>
        <v>0</v>
      </c>
      <c r="Q256" s="36">
        <f>+O256-P256</f>
        <v>0</v>
      </c>
      <c r="R256" s="34">
        <f>IFERROR(VLOOKUP("15_"&amp;A256,SyS!$B:$P,10,FALSE()),0)</f>
        <v>0</v>
      </c>
      <c r="S256" s="35">
        <f>IFERROR(VLOOKUP("15_"&amp;A256,SyS!$B:$P,12,FALSE()),0)</f>
        <v>0</v>
      </c>
      <c r="T256" s="36">
        <f>+R256-S256</f>
        <v>0</v>
      </c>
      <c r="U256" s="34">
        <f>IFERROR(VLOOKUP("16_"&amp;A256,SyS!$B:$P,10,FALSE()),0)</f>
        <v>0</v>
      </c>
      <c r="V256" s="35">
        <f>IFERROR(VLOOKUP("16_"&amp;A256,SyS!$B:$P,12,FALSE()),0)</f>
        <v>0</v>
      </c>
      <c r="W256" s="36">
        <f>+U256-V256</f>
        <v>0</v>
      </c>
      <c r="X256" s="34">
        <f>IFERROR(VLOOKUP("13_"&amp;A256,SyS!$B:$P,10,FALSE()),0)</f>
        <v>0</v>
      </c>
      <c r="Y256" s="35">
        <f>IFERROR(VLOOKUP("13_"&amp;A256,SyS!$B:$P,12,FALSE()),0)</f>
        <v>0</v>
      </c>
      <c r="Z256" s="36">
        <f>+X256-Y256</f>
        <v>0</v>
      </c>
      <c r="AA256" s="34">
        <f>IFERROR(VLOOKUP("17_"&amp;A256,SyS!$B:$P,10,FALSE()),0)</f>
        <v>0</v>
      </c>
      <c r="AB256" s="35">
        <f>IFERROR(VLOOKUP("17_"&amp;A256,SyS!$B:$P,12,FALSE()),0)</f>
        <v>0</v>
      </c>
      <c r="AC256" s="36">
        <f>+AA256-AB256</f>
        <v>0</v>
      </c>
      <c r="AD256" s="35"/>
      <c r="AE256" s="35"/>
      <c r="AF256" s="35"/>
      <c r="AG256" s="35">
        <f>IFERROR(VLOOKUP("19_"&amp;A256,SyS!$B:$P,10,FALSE()),0)</f>
        <v>0</v>
      </c>
      <c r="AH256" s="35">
        <f>IFERROR(VLOOKUP("19_"&amp;A256,SyS!$B:$P,12,FALSE()),0)</f>
        <v>0</v>
      </c>
      <c r="AI256" s="35">
        <f>+AG256-AH256</f>
        <v>0</v>
      </c>
      <c r="AJ256" s="35"/>
      <c r="AK256" s="35"/>
      <c r="AL256" s="35"/>
      <c r="AM256" s="34">
        <f>IFERROR(VLOOKUP("23_"&amp;A256,SyS!$B:$P,10,FALSE()),0)</f>
        <v>0</v>
      </c>
      <c r="AN256" s="35">
        <f>IFERROR(VLOOKUP("23_"&amp;A256,SyS!$B:$P,12,FALSE()),0)</f>
        <v>0</v>
      </c>
      <c r="AO256" s="36">
        <f>+AM256-AN256</f>
        <v>0</v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  <v>0</v>
      </c>
      <c r="BL256" s="40">
        <f>IFERROR(VLOOKUP("29_"&amp;A256,SyS!$B:$P,12,FALSE()),0)</f>
        <v>0</v>
      </c>
      <c r="BM256" s="40">
        <f>+BK256-BL256</f>
        <v>0</v>
      </c>
      <c r="BN256" s="46">
        <f>IFERROR(VLOOKUP("30_"&amp;A256,SyS!$B:$P,10,FALSE()),0)</f>
        <v>0</v>
      </c>
      <c r="BO256" s="40">
        <f>IFERROR(VLOOKUP("30_"&amp;A256,SyS!$B:$P,12,FALSE()),0)</f>
        <v>0</v>
      </c>
      <c r="BP256" s="47">
        <f>+BN256-BO256</f>
        <v>0</v>
      </c>
      <c r="BQ256" s="45">
        <f>+E256+H256+K256+N256+Q256+T256+W256+Z256+AC256+AF256+AI256+AL256+AO256+AR256+AU256+AX256+BA256+BD256+BG256+BJ256+BM256+BP256</f>
        <v>0</v>
      </c>
    </row>
    <row r="257" ht="11.25" customHeight="1" spans="1:69" x14ac:dyDescent="0.25">
      <c r="A257" s="9">
        <v>426910000</v>
      </c>
      <c r="B257" s="9" t="s">
        <v>291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6">
        <f>IFERROR(VLOOKUP("30_"&amp;A257,SyS!$B:$P,10,FALSE()),0)</f>
        <v>0</v>
      </c>
      <c r="BO257" s="40">
        <f>IFERROR(VLOOKUP("30_"&amp;A257,SyS!$B:$P,12,FALSE()),0)</f>
        <v>0</v>
      </c>
      <c r="BP257" s="47">
        <f>+BN257-BO257</f>
        <v>0</v>
      </c>
      <c r="BQ257" s="45">
        <f>+E257+H257+K257+N257+Q257+T257+W257+Z257+AC257+AF257+AI257+AL257+AO257+AR257+AU257+AX257+BA257+BD257+BG257+BJ257+BM257+BP257</f>
        <v>0</v>
      </c>
    </row>
    <row r="258" ht="11.25" customHeight="1" spans="1:69" x14ac:dyDescent="0.25">
      <c r="A258" s="9">
        <v>426920000</v>
      </c>
      <c r="B258" s="9" t="s">
        <v>292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6">
        <f>IFERROR(VLOOKUP("30_"&amp;A258,SyS!$B:$P,10,FALSE()),0)</f>
        <v>0</v>
      </c>
      <c r="BO258" s="40">
        <f>IFERROR(VLOOKUP("30_"&amp;A258,SyS!$B:$P,12,FALSE()),0)</f>
        <v>0</v>
      </c>
      <c r="BP258" s="47">
        <f>+BN258-BO258</f>
        <v>0</v>
      </c>
      <c r="BQ258" s="45">
        <f>+E258+H258+K258+N258+Q258+T258+W258+Z258+AC258+AF258+AI258+AL258+AO258+AR258+AU258+AX258+BA258+BD258+BG258+BJ258+BM258+BP258</f>
        <v>0</v>
      </c>
    </row>
    <row r="259" ht="11.25" customHeight="1" spans="1:69" x14ac:dyDescent="0.25">
      <c r="A259" s="9">
        <v>426930000</v>
      </c>
      <c r="B259" s="9" t="s">
        <v>293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6">
        <f>IFERROR(VLOOKUP("30_"&amp;A259,SyS!$B:$P,10,FALSE()),0)</f>
        <v>0</v>
      </c>
      <c r="BO259" s="40">
        <f>IFERROR(VLOOKUP("30_"&amp;A259,SyS!$B:$P,12,FALSE()),0)</f>
        <v>0</v>
      </c>
      <c r="BP259" s="47">
        <f>+BN259-BO259</f>
        <v>0</v>
      </c>
      <c r="BQ259" s="45">
        <f>+E259+H259+K259+N259+Q259+T259+W259+Z259+AC259+AF259+AI259+AL259+AO259+AR259+AU259+AX259+BA259+BD259+BG259+BJ259+BM259+BP259</f>
        <v>0</v>
      </c>
    </row>
    <row r="260" ht="11.25" customHeight="1" spans="1:69" x14ac:dyDescent="0.25">
      <c r="A260" s="9">
        <v>426940000</v>
      </c>
      <c r="B260" s="9" t="s">
        <v>294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6">
        <f>IFERROR(VLOOKUP("30_"&amp;A260,SyS!$B:$P,10,FALSE()),0)</f>
        <v>0</v>
      </c>
      <c r="BO260" s="40">
        <f>IFERROR(VLOOKUP("30_"&amp;A260,SyS!$B:$P,12,FALSE()),0)</f>
        <v>0</v>
      </c>
      <c r="BP260" s="47">
        <f>+BN260-BO260</f>
        <v>0</v>
      </c>
      <c r="BQ260" s="45">
        <f>+E260+H260+K260+N260+Q260+T260+W260+Z260+AC260+AF260+AI260+AL260+AO260+AR260+AU260+AX260+BA260+BD260+BG260+BJ260+BM260+BP260</f>
        <v>0</v>
      </c>
    </row>
    <row r="261" ht="11.25" customHeight="1" spans="1:69" x14ac:dyDescent="0.25">
      <c r="A261" s="9">
        <v>426360000</v>
      </c>
      <c r="B261" s="9" t="s">
        <v>295</v>
      </c>
      <c r="C261" s="34">
        <f>IFERROR(VLOOKUP("1_"&amp;A261,SyS!$B:$P,10,FALSE()),0)</f>
        <v>2394.51</v>
      </c>
      <c r="D261" s="35">
        <f>IFERROR(VLOOKUP("1_"&amp;A261,SyS!$B:$P,12,FALSE()),0)</f>
        <v>0</v>
      </c>
      <c r="E261" s="35">
        <f>+C261-D261</f>
        <v>2394.51</v>
      </c>
      <c r="F261" s="34">
        <f>IFERROR(VLOOKUP("2_"&amp;A261,SyS!$B:$P,10,FALSE()),0)</f>
        <v>0</v>
      </c>
      <c r="G261" s="35">
        <f>IFERROR(VLOOKUP("2_"&amp;A261,SyS!$B:$P,12,FALSE()),0)</f>
        <v>0</v>
      </c>
      <c r="H261" s="36">
        <f>+F261-G261</f>
        <v>0</v>
      </c>
      <c r="I261" s="35"/>
      <c r="J261" s="35"/>
      <c r="K261" s="35"/>
      <c r="L261" s="35"/>
      <c r="M261" s="35"/>
      <c r="N261" s="35"/>
      <c r="O261" s="34">
        <f>IFERROR(VLOOKUP("14_"&amp;A261,SyS!$B:$P,10,FALSE()),0)</f>
        <v>0</v>
      </c>
      <c r="P261" s="35">
        <f>IFERROR(VLOOKUP("14_"&amp;A261,SyS!$B:$P,12,FALSE()),0)</f>
        <v>0</v>
      </c>
      <c r="Q261" s="36">
        <f>+O261-P261</f>
        <v>0</v>
      </c>
      <c r="R261" s="34">
        <f>IFERROR(VLOOKUP("15_"&amp;A261,SyS!$B:$P,10,FALSE()),0)</f>
        <v>0</v>
      </c>
      <c r="S261" s="35">
        <f>IFERROR(VLOOKUP("15_"&amp;A261,SyS!$B:$P,12,FALSE()),0)</f>
        <v>0</v>
      </c>
      <c r="T261" s="36">
        <f>+R261-S261</f>
        <v>0</v>
      </c>
      <c r="U261" s="34">
        <f>IFERROR(VLOOKUP("16_"&amp;A261,SyS!$B:$P,10,FALSE()),0)</f>
        <v>0</v>
      </c>
      <c r="V261" s="35">
        <f>IFERROR(VLOOKUP("16_"&amp;A261,SyS!$B:$P,12,FALSE()),0)</f>
        <v>0</v>
      </c>
      <c r="W261" s="36">
        <f>+U261-V261</f>
        <v>0</v>
      </c>
      <c r="X261" s="34">
        <f>IFERROR(VLOOKUP("13_"&amp;A261,SyS!$B:$P,10,FALSE()),0)</f>
        <v>0</v>
      </c>
      <c r="Y261" s="35">
        <f>IFERROR(VLOOKUP("13_"&amp;A261,SyS!$B:$P,12,FALSE()),0)</f>
        <v>0</v>
      </c>
      <c r="Z261" s="36">
        <f>+X261-Y261</f>
        <v>0</v>
      </c>
      <c r="AA261" s="34">
        <f>IFERROR(VLOOKUP("17_"&amp;A261,SyS!$B:$P,10,FALSE()),0)</f>
        <v>0</v>
      </c>
      <c r="AB261" s="35">
        <f>IFERROR(VLOOKUP("17_"&amp;A261,SyS!$B:$P,12,FALSE()),0)</f>
        <v>0</v>
      </c>
      <c r="AC261" s="36">
        <f>+AA261-AB261</f>
        <v>0</v>
      </c>
      <c r="AD261" s="35"/>
      <c r="AE261" s="35"/>
      <c r="AF261" s="35"/>
      <c r="AG261" s="35">
        <f>IFERROR(VLOOKUP("19_"&amp;A261,SyS!$B:$P,10,FALSE()),0)</f>
        <v>0</v>
      </c>
      <c r="AH261" s="35">
        <f>IFERROR(VLOOKUP("19_"&amp;A261,SyS!$B:$P,12,FALSE()),0)</f>
        <v>0</v>
      </c>
      <c r="AI261" s="35">
        <f>+AG261-AH261</f>
        <v>0</v>
      </c>
      <c r="AJ261" s="35"/>
      <c r="AK261" s="35"/>
      <c r="AL261" s="35"/>
      <c r="AM261" s="34">
        <f>IFERROR(VLOOKUP("23_"&amp;A261,SyS!$B:$P,10,FALSE()),0)</f>
        <v>0</v>
      </c>
      <c r="AN261" s="35">
        <f>IFERROR(VLOOKUP("23_"&amp;A261,SyS!$B:$P,12,FALSE()),0)</f>
        <v>0</v>
      </c>
      <c r="AO261" s="36">
        <f>+AM261-AN261</f>
        <v>0</v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  <v>0</v>
      </c>
      <c r="BL261" s="40">
        <f>IFERROR(VLOOKUP("29_"&amp;A261,SyS!$B:$P,12,FALSE()),0)</f>
        <v>0</v>
      </c>
      <c r="BM261" s="40">
        <f>+BK261-BL261</f>
        <v>0</v>
      </c>
      <c r="BN261" s="46">
        <f>IFERROR(VLOOKUP("30_"&amp;A261,SyS!$B:$P,10,FALSE()),0)</f>
        <v>0</v>
      </c>
      <c r="BO261" s="40">
        <f>IFERROR(VLOOKUP("30_"&amp;A261,SyS!$B:$P,12,FALSE()),0)</f>
        <v>0</v>
      </c>
      <c r="BP261" s="47">
        <f>+BN261-BO261</f>
        <v>0</v>
      </c>
      <c r="BQ261" s="45">
        <f>+E261+H261+K261+N261+Q261+T261+W261+Z261+AC261+AF261+AI261+AL261+AO261+AR261+AU261+AX261+BA261+BD261+BG261+BJ261+BM261+BP261</f>
        <v>2394.51</v>
      </c>
    </row>
    <row r="262" ht="11.25" customHeight="1" spans="1:69" x14ac:dyDescent="0.25">
      <c r="A262" s="9">
        <v>426960000</v>
      </c>
      <c r="B262" s="9" t="s">
        <v>296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6">
        <f>IFERROR(VLOOKUP("30_"&amp;A262,SyS!$B:$P,10,FALSE()),0)</f>
        <v>0</v>
      </c>
      <c r="BO262" s="40">
        <f>IFERROR(VLOOKUP("30_"&amp;A262,SyS!$B:$P,12,FALSE()),0)</f>
        <v>0</v>
      </c>
      <c r="BP262" s="47">
        <f>+BN262-BO262</f>
        <v>0</v>
      </c>
      <c r="BQ262" s="45">
        <f>+E262+H262+K262+N262+Q262+T262+W262+Z262+AC262+AF262+AI262+AL262+AO262+AR262+AU262+AX262+BA262+BD262+BG262+BJ262+BM262+BP262</f>
        <v>0</v>
      </c>
    </row>
    <row r="263" ht="11.25" customHeight="1" spans="1:69" x14ac:dyDescent="0.25">
      <c r="A263" s="9">
        <v>426970000</v>
      </c>
      <c r="B263" s="9" t="s">
        <v>297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6">
        <f>IFERROR(VLOOKUP("30_"&amp;A263,SyS!$B:$P,10,FALSE()),0)</f>
        <v>0</v>
      </c>
      <c r="BO263" s="40">
        <f>IFERROR(VLOOKUP("30_"&amp;A263,SyS!$B:$P,12,FALSE()),0)</f>
        <v>0</v>
      </c>
      <c r="BP263" s="47">
        <f>+BN263-BO263</f>
        <v>0</v>
      </c>
      <c r="BQ263" s="45">
        <f>+E263+H263+K263+N263+Q263+T263+W263+Z263+AC263+AF263+AI263+AL263+AO263+AR263+AU263+AX263+BA263+BD263+BG263+BJ263+BM263+BP263</f>
        <v>0</v>
      </c>
    </row>
    <row r="264" ht="11.25" customHeight="1" spans="1:69" x14ac:dyDescent="0.25">
      <c r="A264" s="9">
        <v>426980000</v>
      </c>
      <c r="B264" s="9" t="s">
        <v>298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6">
        <f>IFERROR(VLOOKUP("30_"&amp;A264,SyS!$B:$P,10,FALSE()),0)</f>
        <v>0</v>
      </c>
      <c r="BO264" s="40">
        <f>IFERROR(VLOOKUP("30_"&amp;A264,SyS!$B:$P,12,FALSE()),0)</f>
        <v>0</v>
      </c>
      <c r="BP264" s="47">
        <f>+BN264-BO264</f>
        <v>0</v>
      </c>
      <c r="BQ264" s="45">
        <f>+E264+H264+K264+N264+Q264+T264+W264+Z264+AC264+AF264+AI264+AL264+AO264+AR264+AU264+AX264+BA264+BD264+BG264+BJ264+BM264+BP264</f>
        <v>0</v>
      </c>
    </row>
    <row r="265" ht="11.25" customHeight="1" spans="1:69" x14ac:dyDescent="0.25">
      <c r="A265" s="9">
        <v>426820000</v>
      </c>
      <c r="B265" s="9" t="s">
        <v>299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6">
        <f>IFERROR(VLOOKUP("30_"&amp;A265,SyS!$B:$P,10,FALSE()),0)</f>
        <v>0</v>
      </c>
      <c r="BO265" s="40">
        <f>IFERROR(VLOOKUP("30_"&amp;A265,SyS!$B:$P,12,FALSE()),0)</f>
        <v>0</v>
      </c>
      <c r="BP265" s="47">
        <f>+BN265-BO265</f>
        <v>0</v>
      </c>
      <c r="BQ265" s="45">
        <f>+E265+H265+K265+N265+Q265+T265+W265+Z265+AC265+AF265+AI265+AL265+AO265+AR265+AU265+AX265+BA265+BD265+BG265+BJ265+BM265+BP265</f>
        <v>0</v>
      </c>
    </row>
    <row r="266" ht="11.25" customHeight="1" spans="1:69" x14ac:dyDescent="0.25">
      <c r="A266" s="9">
        <v>426990000</v>
      </c>
      <c r="B266" s="9" t="s">
        <v>300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1203.75</v>
      </c>
      <c r="AB266" s="35">
        <f>IFERROR(VLOOKUP("17_"&amp;A266,SyS!$B:$P,12,FALSE()),0)</f>
        <v>0</v>
      </c>
      <c r="AC266" s="36">
        <f>+AA266-AB266</f>
        <v>1203.75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6">
        <f>IFERROR(VLOOKUP("30_"&amp;A266,SyS!$B:$P,10,FALSE()),0)</f>
        <v>0</v>
      </c>
      <c r="BO266" s="40">
        <f>IFERROR(VLOOKUP("30_"&amp;A266,SyS!$B:$P,12,FALSE()),0)</f>
        <v>0</v>
      </c>
      <c r="BP266" s="47">
        <f>+BN266-BO266</f>
        <v>0</v>
      </c>
      <c r="BQ266" s="45">
        <f>+E266+H266+K266+N266+Q266+T266+W266+Z266+AC266+AF266+AI266+AL266+AO266+AR266+AU266+AX266+BA266+BD266+BG266+BJ266+BM266+BP266</f>
        <v>1203.75</v>
      </c>
    </row>
    <row r="267" ht="11.25" customHeight="1" spans="1:69" x14ac:dyDescent="0.25">
      <c r="A267" s="9">
        <v>431050000</v>
      </c>
      <c r="B267" s="9" t="s">
        <v>301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6">
        <f>IFERROR(VLOOKUP("30_"&amp;A267,SyS!$B:$P,10,FALSE()),0)</f>
        <v>0</v>
      </c>
      <c r="BO267" s="40">
        <f>IFERROR(VLOOKUP("30_"&amp;A267,SyS!$B:$P,12,FALSE()),0)</f>
        <v>0</v>
      </c>
      <c r="BP267" s="47">
        <f>+BN267-BO267</f>
        <v>0</v>
      </c>
      <c r="BQ267" s="45">
        <f>+E267+H267+K267+N267+Q267+T267+W267+Z267+AC267+AF267+AI267+AL267+AO267+AR267+AU267+AX267+BA267+BD267+BG267+BJ267+BM267+BP267</f>
        <v>0</v>
      </c>
    </row>
    <row r="268" ht="11.25" customHeight="1" spans="1:69" x14ac:dyDescent="0.25">
      <c r="A268" s="9">
        <v>431080000</v>
      </c>
      <c r="B268" s="9" t="s">
        <v>302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6">
        <f>IFERROR(VLOOKUP("30_"&amp;A268,SyS!$B:$P,10,FALSE()),0)</f>
        <v>0</v>
      </c>
      <c r="BO268" s="40">
        <f>IFERROR(VLOOKUP("30_"&amp;A268,SyS!$B:$P,12,FALSE()),0)</f>
        <v>0</v>
      </c>
      <c r="BP268" s="47">
        <f>+BN268-BO268</f>
        <v>0</v>
      </c>
      <c r="BQ268" s="45">
        <f>+E268+H268+K268+N268+Q268+T268+W268+Z268+AC268+AF268+AI268+AL268+AO268+AR268+AU268+AX268+BA268+BD268+BG268+BJ268+BM268+BP268</f>
        <v>0</v>
      </c>
    </row>
    <row r="269" ht="11.25" customHeight="1" spans="1:69" x14ac:dyDescent="0.25">
      <c r="A269" s="53">
        <v>421070000</v>
      </c>
      <c r="B269" s="9" t="s">
        <v>303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4.21</v>
      </c>
      <c r="G269" s="35">
        <f>IFERROR(VLOOKUP("2_"&amp;A269,SyS!$B:$P,12,FALSE()),0)</f>
        <v>0</v>
      </c>
      <c r="H269" s="36">
        <f>+F269-G269</f>
        <v>4.21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6">
        <f>IFERROR(VLOOKUP("30_"&amp;A269,SyS!$B:$P,10,FALSE()),0)</f>
        <v>0</v>
      </c>
      <c r="BO269" s="40">
        <f>IFERROR(VLOOKUP("30_"&amp;A269,SyS!$B:$P,12,FALSE()),0)</f>
        <v>0</v>
      </c>
      <c r="BP269" s="47">
        <f>+BN269-BO269</f>
        <v>0</v>
      </c>
      <c r="BQ269" s="45">
        <f>+E269+H269+K269+N269+Q269+T269+W269+Z269+AC269+AF269+AI269+AL269+AO269+AR269+AU269+AX269+BA269+BD269+BG269+BJ269+BM269+BP269</f>
        <v>4.21</v>
      </c>
    </row>
    <row r="270" ht="11.25" customHeight="1" spans="1:69" x14ac:dyDescent="0.25">
      <c r="A270" s="9">
        <v>421150000</v>
      </c>
      <c r="B270" s="9" t="s">
        <v>304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6">
        <f>IFERROR(VLOOKUP("30_"&amp;A270,SyS!$B:$P,10,FALSE()),0)</f>
        <v>0</v>
      </c>
      <c r="BO270" s="40">
        <f>IFERROR(VLOOKUP("30_"&amp;A270,SyS!$B:$P,12,FALSE()),0)</f>
        <v>0</v>
      </c>
      <c r="BP270" s="47">
        <f>+BN270-BO270</f>
        <v>0</v>
      </c>
      <c r="BQ270" s="45">
        <f>+E270+H270+K270+N270+Q270+T270+W270+Z270+AC270+AF270+AI270+AL270+AO270+AR270+AU270+AX270+BA270+BD270+BG270+BJ270+BM270+BP270</f>
        <v>0</v>
      </c>
    </row>
    <row r="271" ht="11.25" customHeight="1" spans="1:69" x14ac:dyDescent="0.25">
      <c r="A271" s="9">
        <v>421160000</v>
      </c>
      <c r="B271" s="9" t="s">
        <v>305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6">
        <f>IFERROR(VLOOKUP("30_"&amp;A271,SyS!$B:$P,10,FALSE()),0)</f>
        <v>0</v>
      </c>
      <c r="BO271" s="40">
        <f>IFERROR(VLOOKUP("30_"&amp;A271,SyS!$B:$P,12,FALSE()),0)</f>
        <v>0</v>
      </c>
      <c r="BP271" s="47">
        <f>+BN271-BO271</f>
        <v>0</v>
      </c>
      <c r="BQ271" s="45">
        <f>+E271+H271+K271+N271+Q271+T271+W271+Z271+AC271+AF271+AI271+AL271+AO271+AR271+AU271+AX271+BA271+BD271+BG271+BJ271+BM271+BP271</f>
        <v>0</v>
      </c>
    </row>
    <row r="272" ht="11.25" customHeight="1" spans="1:69" x14ac:dyDescent="0.25">
      <c r="A272" s="9">
        <v>421420000</v>
      </c>
      <c r="B272" s="9" t="s">
        <v>306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6">
        <f>IFERROR(VLOOKUP("30_"&amp;A272,SyS!$B:$P,10,FALSE()),0)</f>
        <v>0</v>
      </c>
      <c r="BO272" s="40">
        <f>IFERROR(VLOOKUP("30_"&amp;A272,SyS!$B:$P,12,FALSE()),0)</f>
        <v>0</v>
      </c>
      <c r="BP272" s="47">
        <f>+BN272-BO272</f>
        <v>0</v>
      </c>
      <c r="BQ272" s="45">
        <f>+E272+H272+K272+N272+Q272+T272+W272+Z272+AC272+AF272+AI272+AL272+AO272+AR272+AU272+AX272+BA272+BD272+BG272+BJ272+BM272+BP272</f>
        <v>0</v>
      </c>
    </row>
    <row r="273" ht="11.25" customHeight="1" spans="1:69" x14ac:dyDescent="0.25">
      <c r="A273" s="9">
        <v>421410000</v>
      </c>
      <c r="B273" s="9" t="s">
        <v>307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6">
        <f>IFERROR(VLOOKUP("30_"&amp;A273,SyS!$B:$P,10,FALSE()),0)</f>
        <v>0</v>
      </c>
      <c r="BO273" s="40">
        <f>IFERROR(VLOOKUP("30_"&amp;A273,SyS!$B:$P,12,FALSE()),0)</f>
        <v>0</v>
      </c>
      <c r="BP273" s="47">
        <f>+BN273-BO273</f>
        <v>0</v>
      </c>
      <c r="BQ273" s="45">
        <f>+E273+H273+K273+N273+Q273+T273+W273+Z273+AC273+AF273+AI273+AL273+AO273+AR273+AU273+AX273+BA273+BD273+BG273+BJ273+BM273+BP273</f>
        <v>0</v>
      </c>
    </row>
    <row r="274" ht="11.25" customHeight="1" spans="1:69" x14ac:dyDescent="0.25">
      <c r="A274" s="9">
        <v>421490000</v>
      </c>
      <c r="B274" s="9" t="s">
        <v>308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6">
        <f>IFERROR(VLOOKUP("30_"&amp;A274,SyS!$B:$P,10,FALSE()),0)</f>
        <v>0</v>
      </c>
      <c r="BO274" s="40">
        <f>IFERROR(VLOOKUP("30_"&amp;A274,SyS!$B:$P,12,FALSE()),0)</f>
        <v>0</v>
      </c>
      <c r="BP274" s="47">
        <f>+BN274-BO274</f>
        <v>0</v>
      </c>
      <c r="BQ274" s="45">
        <f>+E274+H274+K274+N274+Q274+T274+W274+Z274+AC274+AF274+AI274+AL274+AO274+AR274+AU274+AX274+BA274+BD274+BG274+BJ274+BM274+BP274</f>
        <v>0</v>
      </c>
    </row>
    <row r="275" ht="11.25" customHeight="1" spans="1:69" x14ac:dyDescent="0.25">
      <c r="A275" s="9">
        <v>421600000</v>
      </c>
      <c r="B275" s="9" t="s">
        <v>309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6">
        <f>IFERROR(VLOOKUP("30_"&amp;A275,SyS!$B:$P,10,FALSE()),0)</f>
        <v>0</v>
      </c>
      <c r="BO275" s="40">
        <f>IFERROR(VLOOKUP("30_"&amp;A275,SyS!$B:$P,12,FALSE()),0)</f>
        <v>0</v>
      </c>
      <c r="BP275" s="47">
        <f>+BN275-BO275</f>
        <v>0</v>
      </c>
      <c r="BQ275" s="45">
        <f>+E275+H275+K275+N275+Q275+T275+W275+Z275+AC275+AF275+AI275+AL275+AO275+AR275+AU275+AX275+BA275+BD275+BG275+BJ275+BM275+BP275</f>
        <v>0</v>
      </c>
    </row>
    <row r="276" ht="11.25" customHeight="1" spans="1:69" x14ac:dyDescent="0.25">
      <c r="A276" s="9">
        <v>421670000</v>
      </c>
      <c r="B276" s="9" t="s">
        <v>310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6">
        <f>IFERROR(VLOOKUP("30_"&amp;A276,SyS!$B:$P,10,FALSE()),0)</f>
        <v>0</v>
      </c>
      <c r="BO276" s="40">
        <f>IFERROR(VLOOKUP("30_"&amp;A276,SyS!$B:$P,12,FALSE()),0)</f>
        <v>0</v>
      </c>
      <c r="BP276" s="47">
        <f>+BN276-BO276</f>
        <v>0</v>
      </c>
      <c r="BQ276" s="45">
        <f>+E276+H276+K276+N276+Q276+T276+W276+Z276+AC276+AF276+AI276+AL276+AO276+AR276+AU276+AX276+BA276+BD276+BG276+BJ276+BM276+BP276</f>
        <v>0</v>
      </c>
    </row>
    <row r="277" ht="11.25" customHeight="1" spans="1:69" x14ac:dyDescent="0.25">
      <c r="A277" s="9">
        <v>421680000</v>
      </c>
      <c r="B277" s="9" t="s">
        <v>311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6">
        <f>IFERROR(VLOOKUP("30_"&amp;A277,SyS!$B:$P,10,FALSE()),0)</f>
        <v>0</v>
      </c>
      <c r="BO277" s="40">
        <f>IFERROR(VLOOKUP("30_"&amp;A277,SyS!$B:$P,12,FALSE()),0)</f>
        <v>0</v>
      </c>
      <c r="BP277" s="47">
        <f>+BN277-BO277</f>
        <v>0</v>
      </c>
      <c r="BQ277" s="45">
        <f>+E277+H277+K277+N277+Q277+T277+W277+Z277+AC277+AF277+AI277+AL277+AO277+AR277+AU277+AX277+BA277+BD277+BG277+BJ277+BM277+BP277</f>
        <v>0</v>
      </c>
    </row>
    <row r="278" ht="11.25" customHeight="1" spans="1:69" x14ac:dyDescent="0.25">
      <c r="A278" s="9">
        <v>421690000</v>
      </c>
      <c r="B278" s="9" t="s">
        <v>312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6">
        <f>IFERROR(VLOOKUP("30_"&amp;A278,SyS!$B:$P,10,FALSE()),0)</f>
        <v>0</v>
      </c>
      <c r="BO278" s="40">
        <f>IFERROR(VLOOKUP("30_"&amp;A278,SyS!$B:$P,12,FALSE()),0)</f>
        <v>0</v>
      </c>
      <c r="BP278" s="47">
        <f>+BN278-BO278</f>
        <v>0</v>
      </c>
      <c r="BQ278" s="45">
        <f>+E278+H278+K278+N278+Q278+T278+W278+Z278+AC278+AF278+AI278+AL278+AO278+AR278+AU278+AX278+BA278+BD278+BG278+BJ278+BM278+BP278</f>
        <v>0</v>
      </c>
    </row>
    <row r="279" ht="11.25" customHeight="1" spans="1:69" x14ac:dyDescent="0.25">
      <c r="A279" s="9">
        <v>421700000</v>
      </c>
      <c r="B279" s="9" t="s">
        <v>313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6">
        <f>IFERROR(VLOOKUP("30_"&amp;A279,SyS!$B:$P,10,FALSE()),0)</f>
        <v>0</v>
      </c>
      <c r="BO279" s="40">
        <f>IFERROR(VLOOKUP("30_"&amp;A279,SyS!$B:$P,12,FALSE()),0)</f>
        <v>0</v>
      </c>
      <c r="BP279" s="47">
        <f>+BN279-BO279</f>
        <v>0</v>
      </c>
      <c r="BQ279" s="45">
        <f>+E279+H279+K279+N279+Q279+T279+W279+Z279+AC279+AF279+AI279+AL279+AO279+AR279+AU279+AX279+BA279+BD279+BG279+BJ279+BM279+BP279</f>
        <v>0</v>
      </c>
    </row>
    <row r="280" ht="11.25" customHeight="1" spans="1:69" x14ac:dyDescent="0.25">
      <c r="A280" s="9">
        <v>421920000</v>
      </c>
      <c r="B280" s="9" t="s">
        <v>314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6">
        <f>IFERROR(VLOOKUP("30_"&amp;A280,SyS!$B:$P,10,FALSE()),0)</f>
        <v>0</v>
      </c>
      <c r="BO280" s="40">
        <f>IFERROR(VLOOKUP("30_"&amp;A280,SyS!$B:$P,12,FALSE()),0)</f>
        <v>0</v>
      </c>
      <c r="BP280" s="47">
        <f>+BN280-BO280</f>
        <v>0</v>
      </c>
      <c r="BQ280" s="45">
        <f>+E280+H280+K280+N280+Q280+T280+W280+Z280+AC280+AF280+AI280+AL280+AO280+AR280+AU280+AX280+BA280+BD280+BG280+BJ280+BM280+BP280</f>
        <v>0</v>
      </c>
    </row>
    <row r="281" ht="11.25" customHeight="1" spans="1:69" x14ac:dyDescent="0.25">
      <c r="A281" s="9">
        <v>421930000</v>
      </c>
      <c r="B281" s="9" t="s">
        <v>315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6">
        <f>IFERROR(VLOOKUP("30_"&amp;A281,SyS!$B:$P,10,FALSE()),0)</f>
        <v>0</v>
      </c>
      <c r="BO281" s="40">
        <f>IFERROR(VLOOKUP("30_"&amp;A281,SyS!$B:$P,12,FALSE()),0)</f>
        <v>0</v>
      </c>
      <c r="BP281" s="47">
        <f>+BN281-BO281</f>
        <v>0</v>
      </c>
      <c r="BQ281" s="45">
        <f>+E281+H281+K281+N281+Q281+T281+W281+Z281+AC281+AF281+AI281+AL281+AO281+AR281+AU281+AX281+BA281+BD281+BG281+BJ281+BM281+BP281</f>
        <v>0</v>
      </c>
    </row>
    <row r="282" ht="11.25" customHeight="1" spans="1:69" x14ac:dyDescent="0.25">
      <c r="A282" s="9">
        <v>421540000</v>
      </c>
      <c r="B282" s="9" t="s">
        <v>316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6">
        <f>IFERROR(VLOOKUP("30_"&amp;A282,SyS!$B:$P,10,FALSE()),0)</f>
        <v>0</v>
      </c>
      <c r="BO282" s="40">
        <f>IFERROR(VLOOKUP("30_"&amp;A282,SyS!$B:$P,12,FALSE()),0)</f>
        <v>0</v>
      </c>
      <c r="BP282" s="47">
        <f>+BN282-BO282</f>
        <v>0</v>
      </c>
      <c r="BQ282" s="45">
        <f>+E282+H282+K282+N282+Q282+T282+W282+Z282+AC282+AF282+AI282+AL282+AO282+AR282+AU282+AX282+BA282+BD282+BG282+BJ282+BM282+BP282</f>
        <v>0</v>
      </c>
    </row>
    <row r="283" ht="11.25" customHeight="1" spans="1:69" x14ac:dyDescent="0.25">
      <c r="A283" s="9">
        <v>426640000</v>
      </c>
      <c r="B283" s="9" t="s">
        <v>317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6">
        <f>IFERROR(VLOOKUP("30_"&amp;A283,SyS!$B:$P,10,FALSE()),0)</f>
        <v>0</v>
      </c>
      <c r="BO283" s="40">
        <f>IFERROR(VLOOKUP("30_"&amp;A283,SyS!$B:$P,12,FALSE()),0)</f>
        <v>0</v>
      </c>
      <c r="BP283" s="47">
        <f>+BN283-BO283</f>
        <v>0</v>
      </c>
      <c r="BQ283" s="45">
        <f>+E283+H283+K283+N283+Q283+T283+W283+Z283+AC283+AF283+AI283+AL283+AO283+AR283+AU283+AX283+BA283+BD283+BG283+BJ283+BM283+BP283</f>
        <v>0</v>
      </c>
    </row>
    <row r="284" ht="11.25" customHeight="1" spans="1:69" x14ac:dyDescent="0.25">
      <c r="A284" s="9">
        <v>426810000</v>
      </c>
      <c r="B284" s="9" t="s">
        <v>318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6">
        <f>IFERROR(VLOOKUP("30_"&amp;A284,SyS!$B:$P,10,FALSE()),0)</f>
        <v>0</v>
      </c>
      <c r="BO284" s="40">
        <f>IFERROR(VLOOKUP("30_"&amp;A284,SyS!$B:$P,12,FALSE()),0)</f>
        <v>0</v>
      </c>
      <c r="BP284" s="47">
        <f>+BN284-BO284</f>
        <v>0</v>
      </c>
      <c r="BQ284" s="45">
        <f>+E284+H284+K284+N284+Q284+T284+W284+Z284+AC284+AF284+AI284+AL284+AO284+AR284+AU284+AX284+BA284+BD284+BG284+BJ284+BM284+BP284</f>
        <v>0</v>
      </c>
    </row>
    <row r="285" ht="11.25" customHeight="1" spans="1:69" x14ac:dyDescent="0.25">
      <c r="A285" s="9">
        <v>426580000</v>
      </c>
      <c r="B285" s="9" t="s">
        <v>319</v>
      </c>
      <c r="C285" s="34">
        <f>IFERROR(VLOOKUP("1_"&amp;A285,SyS!$B:$P,10,FALSE()),0)</f>
        <v>0</v>
      </c>
      <c r="D285" s="35">
        <f>IFERROR(VLOOKUP("1_"&amp;A285,SyS!$B:$P,12,FALSE()),0)</f>
        <v>0</v>
      </c>
      <c r="E285" s="35">
        <f>+C285-D285</f>
        <v>0</v>
      </c>
      <c r="F285" s="34">
        <f>IFERROR(VLOOKUP("2_"&amp;A285,SyS!$B:$P,10,FALSE()),0)</f>
        <v>0</v>
      </c>
      <c r="G285" s="35">
        <f>IFERROR(VLOOKUP("2_"&amp;A285,SyS!$B:$P,12,FALSE()),0)</f>
        <v>0</v>
      </c>
      <c r="H285" s="36">
        <f>+F285-G285</f>
        <v>0</v>
      </c>
      <c r="I285" s="35"/>
      <c r="J285" s="35"/>
      <c r="K285" s="35"/>
      <c r="L285" s="35"/>
      <c r="M285" s="35"/>
      <c r="N285" s="35"/>
      <c r="O285" s="34">
        <f>IFERROR(VLOOKUP("14_"&amp;A285,SyS!$B:$P,10,FALSE()),0)</f>
        <v>0</v>
      </c>
      <c r="P285" s="35">
        <f>IFERROR(VLOOKUP("14_"&amp;A285,SyS!$B:$P,12,FALSE()),0)</f>
        <v>0</v>
      </c>
      <c r="Q285" s="36">
        <f>+O285-P285</f>
        <v>0</v>
      </c>
      <c r="R285" s="34">
        <f>IFERROR(VLOOKUP("15_"&amp;A285,SyS!$B:$P,10,FALSE()),0)</f>
        <v>0</v>
      </c>
      <c r="S285" s="35">
        <f>IFERROR(VLOOKUP("15_"&amp;A285,SyS!$B:$P,12,FALSE()),0)</f>
        <v>0</v>
      </c>
      <c r="T285" s="36">
        <f>+R285-S285</f>
        <v>0</v>
      </c>
      <c r="U285" s="34">
        <f>IFERROR(VLOOKUP("16_"&amp;A285,SyS!$B:$P,10,FALSE()),0)</f>
        <v>0</v>
      </c>
      <c r="V285" s="35">
        <f>IFERROR(VLOOKUP("16_"&amp;A285,SyS!$B:$P,12,FALSE()),0)</f>
        <v>0</v>
      </c>
      <c r="W285" s="36">
        <f>+U285-V285</f>
        <v>0</v>
      </c>
      <c r="X285" s="34">
        <f>IFERROR(VLOOKUP("13_"&amp;A285,SyS!$B:$P,10,FALSE()),0)</f>
        <v>0</v>
      </c>
      <c r="Y285" s="35">
        <f>IFERROR(VLOOKUP("13_"&amp;A285,SyS!$B:$P,12,FALSE()),0)</f>
        <v>0</v>
      </c>
      <c r="Z285" s="36">
        <f>+X285-Y285</f>
        <v>0</v>
      </c>
      <c r="AA285" s="34">
        <f>IFERROR(VLOOKUP("17_"&amp;A285,SyS!$B:$P,10,FALSE()),0)</f>
        <v>0</v>
      </c>
      <c r="AB285" s="35">
        <f>IFERROR(VLOOKUP("17_"&amp;A285,SyS!$B:$P,12,FALSE()),0)</f>
        <v>0</v>
      </c>
      <c r="AC285" s="36">
        <f>+AA285-AB285</f>
        <v>0</v>
      </c>
      <c r="AD285" s="35"/>
      <c r="AE285" s="35"/>
      <c r="AF285" s="35"/>
      <c r="AG285" s="35">
        <f>IFERROR(VLOOKUP("19_"&amp;A285,SyS!$B:$P,10,FALSE()),0)</f>
        <v>0</v>
      </c>
      <c r="AH285" s="35">
        <f>IFERROR(VLOOKUP("19_"&amp;A285,SyS!$B:$P,12,FALSE()),0)</f>
        <v>0</v>
      </c>
      <c r="AI285" s="35">
        <f>+AG285-AH285</f>
        <v>0</v>
      </c>
      <c r="AJ285" s="35"/>
      <c r="AK285" s="35"/>
      <c r="AL285" s="35"/>
      <c r="AM285" s="34">
        <f>IFERROR(VLOOKUP("23_"&amp;A285,SyS!$B:$P,10,FALSE()),0)</f>
        <v>0</v>
      </c>
      <c r="AN285" s="35">
        <f>IFERROR(VLOOKUP("23_"&amp;A285,SyS!$B:$P,12,FALSE()),0)</f>
        <v>0</v>
      </c>
      <c r="AO285" s="36">
        <f>+AM285-AN285</f>
        <v>0</v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  <v>0</v>
      </c>
      <c r="BL285" s="40">
        <f>IFERROR(VLOOKUP("29_"&amp;A285,SyS!$B:$P,12,FALSE()),0)</f>
        <v>0</v>
      </c>
      <c r="BM285" s="40">
        <f>+BK285-BL285</f>
        <v>0</v>
      </c>
      <c r="BN285" s="46">
        <f>IFERROR(VLOOKUP("30_"&amp;A285,SyS!$B:$P,10,FALSE()),0)</f>
        <v>0</v>
      </c>
      <c r="BO285" s="40">
        <f>IFERROR(VLOOKUP("30_"&amp;A285,SyS!$B:$P,12,FALSE()),0)</f>
        <v>0</v>
      </c>
      <c r="BP285" s="47">
        <f>+BN285-BO285</f>
        <v>0</v>
      </c>
      <c r="BQ285" s="45">
        <f>+E285+H285+K285+N285+Q285+T285+W285+Z285+AC285+AF285+AI285+AL285+AO285+AR285+AU285+AX285+BA285+BD285+BG285+BJ285+BM285+BP285</f>
        <v>0</v>
      </c>
    </row>
    <row r="286" ht="11.25" customHeight="1" spans="1:69" x14ac:dyDescent="0.25">
      <c r="A286" s="9">
        <v>421970000</v>
      </c>
      <c r="B286" s="9" t="s">
        <v>320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6">
        <f>IFERROR(VLOOKUP("30_"&amp;A286,SyS!$B:$P,10,FALSE()),0)</f>
        <v>0</v>
      </c>
      <c r="BO286" s="40">
        <f>IFERROR(VLOOKUP("30_"&amp;A286,SyS!$B:$P,12,FALSE()),0)</f>
        <v>0</v>
      </c>
      <c r="BP286" s="47">
        <f>+BN286-BO286</f>
        <v>0</v>
      </c>
      <c r="BQ286" s="45">
        <f>+E286+H286+K286+N286+Q286+T286+W286+Z286+AC286+AF286+AI286+AL286+AO286+AR286+AU286+AX286+BA286+BD286+BG286+BJ286+BM286+BP286</f>
        <v>0</v>
      </c>
    </row>
    <row r="287" ht="11.25" customHeight="1" spans="1:69" x14ac:dyDescent="0.25">
      <c r="A287" s="9">
        <v>431030000</v>
      </c>
      <c r="B287" s="9" t="s">
        <v>321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6">
        <f>IFERROR(VLOOKUP("30_"&amp;A287,SyS!$B:$P,10,FALSE()),0)</f>
        <v>0</v>
      </c>
      <c r="BO287" s="40">
        <f>IFERROR(VLOOKUP("30_"&amp;A287,SyS!$B:$P,12,FALSE()),0)</f>
        <v>0</v>
      </c>
      <c r="BP287" s="47">
        <f>+BN287-BO287</f>
        <v>0</v>
      </c>
      <c r="BQ287" s="45">
        <f>+E287+H287+K287+N287+Q287+T287+W287+Z287+AC287+AF287+AI287+AL287+AO287+AR287+AU287+AX287+BA287+BD287+BG287+BJ287+BM287+BP287</f>
        <v>0</v>
      </c>
    </row>
    <row r="288" ht="11.25" customHeight="1" spans="1:69" x14ac:dyDescent="0.25">
      <c r="A288" s="9">
        <v>421980000</v>
      </c>
      <c r="B288" s="9" t="s">
        <v>322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6">
        <f>IFERROR(VLOOKUP("30_"&amp;A288,SyS!$B:$P,10,FALSE()),0)</f>
        <v>0</v>
      </c>
      <c r="BO288" s="40">
        <f>IFERROR(VLOOKUP("30_"&amp;A288,SyS!$B:$P,12,FALSE()),0)</f>
        <v>0</v>
      </c>
      <c r="BP288" s="47">
        <f>+BN288-BO288</f>
        <v>0</v>
      </c>
      <c r="BQ288" s="45">
        <f>+E288+H288+K288+N288+Q288+T288+W288+Z288+AC288+AF288+AI288+AL288+AO288+AR288+AU288+AX288+BA288+BD288+BG288+BJ288+BM288+BP288</f>
        <v>0</v>
      </c>
    </row>
    <row r="289" ht="11.25" customHeight="1" spans="1:69" x14ac:dyDescent="0.25">
      <c r="A289" s="9">
        <v>426610000</v>
      </c>
      <c r="B289" s="9" t="s">
        <v>323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6">
        <f>IFERROR(VLOOKUP("30_"&amp;A289,SyS!$B:$P,10,FALSE()),0)</f>
        <v>0</v>
      </c>
      <c r="BO289" s="40">
        <f>IFERROR(VLOOKUP("30_"&amp;A289,SyS!$B:$P,12,FALSE()),0)</f>
        <v>0</v>
      </c>
      <c r="BP289" s="47">
        <f>+BN289-BO289</f>
        <v>0</v>
      </c>
      <c r="BQ289" s="45">
        <f>+E289+H289+K289+N289+Q289+T289+W289+Z289+AC289+AF289+AI289+AL289+AO289+AR289+AU289+AX289+BA289+BD289+BG289+BJ289+BM289+BP289</f>
        <v>0</v>
      </c>
    </row>
    <row r="290" ht="11.25" customHeight="1" spans="1:69" x14ac:dyDescent="0.25">
      <c r="A290" s="9">
        <v>426650000</v>
      </c>
      <c r="B290" s="9" t="s">
        <v>324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6">
        <f>IFERROR(VLOOKUP("30_"&amp;A290,SyS!$B:$P,10,FALSE()),0)</f>
        <v>0</v>
      </c>
      <c r="BO290" s="40">
        <f>IFERROR(VLOOKUP("30_"&amp;A290,SyS!$B:$P,12,FALSE()),0)</f>
        <v>0</v>
      </c>
      <c r="BP290" s="47">
        <f>+BN290-BO290</f>
        <v>0</v>
      </c>
      <c r="BQ290" s="45">
        <f>+E290+H290+K290+N290+Q290+T290+W290+Z290+AC290+AF290+AI290+AL290+AO290+AR290+AU290+AX290+BA290+BD290+BG290+BJ290+BM290+BP290</f>
        <v>0</v>
      </c>
    </row>
    <row r="291" ht="11.25" customHeight="1" spans="1:69" x14ac:dyDescent="0.25">
      <c r="A291" s="9">
        <v>426660000</v>
      </c>
      <c r="B291" s="9" t="s">
        <v>325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6">
        <f>IFERROR(VLOOKUP("30_"&amp;A291,SyS!$B:$P,10,FALSE()),0)</f>
        <v>0</v>
      </c>
      <c r="BO291" s="40">
        <f>IFERROR(VLOOKUP("30_"&amp;A291,SyS!$B:$P,12,FALSE()),0)</f>
        <v>0</v>
      </c>
      <c r="BP291" s="47">
        <f>+BN291-BO291</f>
        <v>0</v>
      </c>
      <c r="BQ291" s="45">
        <f>+E291+H291+K291+N291+Q291+T291+W291+Z291+AC291+AF291+AI291+AL291+AO291+AR291+AU291+AX291+BA291+BD291+BG291+BJ291+BM291+BP291</f>
        <v>0</v>
      </c>
    </row>
    <row r="292" ht="11.25" customHeight="1" spans="1:69" x14ac:dyDescent="0.25">
      <c r="A292" s="9">
        <v>421620000</v>
      </c>
      <c r="B292" s="9" t="s">
        <v>326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6">
        <f>IFERROR(VLOOKUP("30_"&amp;A292,SyS!$B:$P,10,FALSE()),0)</f>
        <v>0</v>
      </c>
      <c r="BO292" s="40">
        <f>IFERROR(VLOOKUP("30_"&amp;A292,SyS!$B:$P,12,FALSE()),0)</f>
        <v>0</v>
      </c>
      <c r="BP292" s="47">
        <f>+BN292-BO292</f>
        <v>0</v>
      </c>
      <c r="BQ292" s="45">
        <f>+E292+H292+K292+N292+Q292+T292+W292+Z292+AC292+AF292+AI292+AL292+AO292+AR292+AU292+AX292+BA292+BD292+BG292+BJ292+BM292+BP292</f>
        <v>0</v>
      </c>
    </row>
    <row r="293" ht="11.25" customHeight="1" spans="1:69" x14ac:dyDescent="0.25">
      <c r="A293" s="9">
        <v>421630000</v>
      </c>
      <c r="B293" s="9" t="s">
        <v>327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0</v>
      </c>
      <c r="G293" s="35">
        <f>IFERROR(VLOOKUP("2_"&amp;A293,SyS!$B:$P,12,FALSE()),0)</f>
        <v>0</v>
      </c>
      <c r="H293" s="36">
        <f>+F293-G293</f>
        <v>0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6">
        <f>IFERROR(VLOOKUP("30_"&amp;A293,SyS!$B:$P,10,FALSE()),0)</f>
        <v>0</v>
      </c>
      <c r="BO293" s="40">
        <f>IFERROR(VLOOKUP("30_"&amp;A293,SyS!$B:$P,12,FALSE()),0)</f>
        <v>0</v>
      </c>
      <c r="BP293" s="47">
        <f>+BN293-BO293</f>
        <v>0</v>
      </c>
      <c r="BQ293" s="45">
        <f>+E293+H293+K293+N293+Q293+T293+W293+Z293+AC293+AF293+AI293+AL293+AO293+AR293+AU293+AX293+BA293+BD293+BG293+BJ293+BM293+BP293</f>
        <v>0</v>
      </c>
    </row>
    <row r="294" ht="11.25" customHeight="1" spans="1:69" x14ac:dyDescent="0.25">
      <c r="A294" s="9">
        <v>421640000</v>
      </c>
      <c r="B294" s="9" t="s">
        <v>328</v>
      </c>
      <c r="C294" s="34">
        <f>IFERROR(VLOOKUP("1_"&amp;A294,SyS!$B:$P,10,FALSE()),0)</f>
        <v>0</v>
      </c>
      <c r="D294" s="35">
        <f>IFERROR(VLOOKUP("1_"&amp;A294,SyS!$B:$P,12,FALSE()),0)</f>
        <v>0</v>
      </c>
      <c r="E294" s="35">
        <f>+C294-D294</f>
        <v>0</v>
      </c>
      <c r="F294" s="34">
        <f>IFERROR(VLOOKUP("2_"&amp;A294,SyS!$B:$P,10,FALSE()),0)</f>
        <v>0</v>
      </c>
      <c r="G294" s="35">
        <f>IFERROR(VLOOKUP("2_"&amp;A294,SyS!$B:$P,12,FALSE()),0)</f>
        <v>0</v>
      </c>
      <c r="H294" s="36">
        <f>+F294-G294</f>
        <v>0</v>
      </c>
      <c r="I294" s="35"/>
      <c r="J294" s="35"/>
      <c r="K294" s="35"/>
      <c r="L294" s="35"/>
      <c r="M294" s="35"/>
      <c r="N294" s="35"/>
      <c r="O294" s="34">
        <f>IFERROR(VLOOKUP("14_"&amp;A294,SyS!$B:$P,10,FALSE()),0)</f>
        <v>0</v>
      </c>
      <c r="P294" s="35">
        <f>IFERROR(VLOOKUP("14_"&amp;A294,SyS!$B:$P,12,FALSE()),0)</f>
        <v>0</v>
      </c>
      <c r="Q294" s="36">
        <f>+O294-P294</f>
        <v>0</v>
      </c>
      <c r="R294" s="34">
        <f>IFERROR(VLOOKUP("15_"&amp;A294,SyS!$B:$P,10,FALSE()),0)</f>
        <v>0</v>
      </c>
      <c r="S294" s="35">
        <f>IFERROR(VLOOKUP("15_"&amp;A294,SyS!$B:$P,12,FALSE()),0)</f>
        <v>0</v>
      </c>
      <c r="T294" s="36">
        <f>+R294-S294</f>
        <v>0</v>
      </c>
      <c r="U294" s="34">
        <f>IFERROR(VLOOKUP("16_"&amp;A294,SyS!$B:$P,10,FALSE()),0)</f>
        <v>0</v>
      </c>
      <c r="V294" s="35">
        <f>IFERROR(VLOOKUP("16_"&amp;A294,SyS!$B:$P,12,FALSE()),0)</f>
        <v>0</v>
      </c>
      <c r="W294" s="36">
        <f>+U294-V294</f>
        <v>0</v>
      </c>
      <c r="X294" s="34">
        <f>IFERROR(VLOOKUP("13_"&amp;A294,SyS!$B:$P,10,FALSE()),0)</f>
        <v>0</v>
      </c>
      <c r="Y294" s="35">
        <f>IFERROR(VLOOKUP("13_"&amp;A294,SyS!$B:$P,12,FALSE()),0)</f>
        <v>0</v>
      </c>
      <c r="Z294" s="36">
        <f>+X294-Y294</f>
        <v>0</v>
      </c>
      <c r="AA294" s="34">
        <f>IFERROR(VLOOKUP("17_"&amp;A294,SyS!$B:$P,10,FALSE()),0)</f>
        <v>0</v>
      </c>
      <c r="AB294" s="35">
        <f>IFERROR(VLOOKUP("17_"&amp;A294,SyS!$B:$P,12,FALSE()),0)</f>
        <v>0</v>
      </c>
      <c r="AC294" s="36">
        <f>+AA294-AB294</f>
        <v>0</v>
      </c>
      <c r="AD294" s="35"/>
      <c r="AE294" s="35"/>
      <c r="AF294" s="35"/>
      <c r="AG294" s="35">
        <f>IFERROR(VLOOKUP("19_"&amp;A294,SyS!$B:$P,10,FALSE()),0)</f>
        <v>0</v>
      </c>
      <c r="AH294" s="35">
        <f>IFERROR(VLOOKUP("19_"&amp;A294,SyS!$B:$P,12,FALSE()),0)</f>
        <v>0</v>
      </c>
      <c r="AI294" s="35">
        <f>+AG294-AH294</f>
        <v>0</v>
      </c>
      <c r="AJ294" s="35"/>
      <c r="AK294" s="35"/>
      <c r="AL294" s="35"/>
      <c r="AM294" s="34">
        <f>IFERROR(VLOOKUP("23_"&amp;A294,SyS!$B:$P,10,FALSE()),0)</f>
        <v>0</v>
      </c>
      <c r="AN294" s="35">
        <f>IFERROR(VLOOKUP("23_"&amp;A294,SyS!$B:$P,12,FALSE()),0)</f>
        <v>0</v>
      </c>
      <c r="AO294" s="36">
        <f>+AM294-AN294</f>
        <v>0</v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  <v>0</v>
      </c>
      <c r="BL294" s="40">
        <f>IFERROR(VLOOKUP("29_"&amp;A294,SyS!$B:$P,12,FALSE()),0)</f>
        <v>0</v>
      </c>
      <c r="BM294" s="40">
        <f>+BK294-BL294</f>
        <v>0</v>
      </c>
      <c r="BN294" s="46">
        <f>IFERROR(VLOOKUP("30_"&amp;A294,SyS!$B:$P,10,FALSE()),0)</f>
        <v>0</v>
      </c>
      <c r="BO294" s="40">
        <f>IFERROR(VLOOKUP("30_"&amp;A294,SyS!$B:$P,12,FALSE()),0)</f>
        <v>0</v>
      </c>
      <c r="BP294" s="47">
        <f>+BN294-BO294</f>
        <v>0</v>
      </c>
      <c r="BQ294" s="45">
        <f>+E294+H294+K294+N294+Q294+T294+W294+Z294+AC294+AF294+AI294+AL294+AO294+AR294+AU294+AX294+BA294+BD294+BG294+BJ294+BM294+BP294</f>
        <v>0</v>
      </c>
    </row>
    <row r="295" ht="11.25" customHeight="1" spans="1:69" x14ac:dyDescent="0.25">
      <c r="A295" s="9">
        <v>433070000</v>
      </c>
      <c r="B295" s="9" t="s">
        <v>329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29.77</v>
      </c>
      <c r="AN295" s="35">
        <f>IFERROR(VLOOKUP("23_"&amp;A295,SyS!$B:$P,12,FALSE()),0)</f>
        <v>0</v>
      </c>
      <c r="AO295" s="36">
        <f>+AM295-AN295</f>
        <v>29.77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6">
        <f>IFERROR(VLOOKUP("30_"&amp;A295,SyS!$B:$P,10,FALSE()),0)</f>
        <v>0</v>
      </c>
      <c r="BO295" s="40">
        <f>IFERROR(VLOOKUP("30_"&amp;A295,SyS!$B:$P,12,FALSE()),0)</f>
        <v>0</v>
      </c>
      <c r="BP295" s="47">
        <f>+BN295-BO295</f>
        <v>0</v>
      </c>
      <c r="BQ295" s="45">
        <f>+E295+H295+K295+N295+Q295+T295+W295+Z295+AC295+AF295+AI295+AL295+AO295+AR295+AU295+AX295+BA295+BD295+BG295+BJ295+BM295+BP295</f>
        <v>29.77</v>
      </c>
    </row>
    <row r="296" ht="11.25" customHeight="1" spans="1:69" x14ac:dyDescent="0.25">
      <c r="A296" s="9">
        <v>421650000</v>
      </c>
      <c r="B296" s="9" t="s">
        <v>330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6">
        <f>IFERROR(VLOOKUP("30_"&amp;A296,SyS!$B:$P,10,FALSE()),0)</f>
        <v>0</v>
      </c>
      <c r="BO296" s="40">
        <f>IFERROR(VLOOKUP("30_"&amp;A296,SyS!$B:$P,12,FALSE()),0)</f>
        <v>0</v>
      </c>
      <c r="BP296" s="47">
        <f>+BN296-BO296</f>
        <v>0</v>
      </c>
      <c r="BQ296" s="45">
        <f>+E296+H296+K296+N296+Q296+T296+W296+Z296+AC296+AF296+AI296+AL296+AO296+AR296+AU296+AX296+BA296+BD296+BG296+BJ296+BM296+BP296</f>
        <v>0</v>
      </c>
    </row>
    <row r="297" ht="11.25" customHeight="1" spans="1:69" x14ac:dyDescent="0.25">
      <c r="A297" s="9">
        <v>421660000</v>
      </c>
      <c r="B297" s="9" t="s">
        <v>331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6">
        <f>IFERROR(VLOOKUP("30_"&amp;A297,SyS!$B:$P,10,FALSE()),0)</f>
        <v>0</v>
      </c>
      <c r="BO297" s="40">
        <f>IFERROR(VLOOKUP("30_"&amp;A297,SyS!$B:$P,12,FALSE()),0)</f>
        <v>0</v>
      </c>
      <c r="BP297" s="47">
        <f>+BN297-BO297</f>
        <v>0</v>
      </c>
      <c r="BQ297" s="45">
        <f>+E297+H297+K297+N297+Q297+T297+W297+Z297+AC297+AF297+AI297+AL297+AO297+AR297+AU297+AX297+BA297+BD297+BG297+BJ297+BM297+BP297</f>
        <v>0</v>
      </c>
    </row>
    <row r="298" ht="11.25" customHeight="1" spans="1:69" x14ac:dyDescent="0.25">
      <c r="A298" s="9">
        <v>431060000</v>
      </c>
      <c r="B298" s="9" t="s">
        <v>332</v>
      </c>
      <c r="C298" s="34">
        <f>IFERROR(VLOOKUP("1_"&amp;A298,SyS!$B:$P,10,FALSE()),0)</f>
        <v>0</v>
      </c>
      <c r="D298" s="35">
        <f>IFERROR(VLOOKUP("1_"&amp;A298,SyS!$B:$P,12,FALSE()),0)</f>
        <v>0</v>
      </c>
      <c r="E298" s="35">
        <f>+C298-D298</f>
        <v>0</v>
      </c>
      <c r="F298" s="34">
        <f>IFERROR(VLOOKUP("2_"&amp;A298,SyS!$B:$P,10,FALSE()),0)</f>
        <v>0</v>
      </c>
      <c r="G298" s="35">
        <f>IFERROR(VLOOKUP("2_"&amp;A298,SyS!$B:$P,12,FALSE()),0)</f>
        <v>0</v>
      </c>
      <c r="H298" s="36">
        <f>+F298-G298</f>
        <v>0</v>
      </c>
      <c r="I298" s="35"/>
      <c r="J298" s="35"/>
      <c r="K298" s="35"/>
      <c r="L298" s="35"/>
      <c r="M298" s="35"/>
      <c r="N298" s="35"/>
      <c r="O298" s="34">
        <f>IFERROR(VLOOKUP("14_"&amp;A298,SyS!$B:$P,10,FALSE()),0)</f>
        <v>0</v>
      </c>
      <c r="P298" s="35">
        <f>IFERROR(VLOOKUP("14_"&amp;A298,SyS!$B:$P,12,FALSE()),0)</f>
        <v>0</v>
      </c>
      <c r="Q298" s="36">
        <f>+O298-P298</f>
        <v>0</v>
      </c>
      <c r="R298" s="34">
        <f>IFERROR(VLOOKUP("15_"&amp;A298,SyS!$B:$P,10,FALSE()),0)</f>
        <v>0</v>
      </c>
      <c r="S298" s="35">
        <f>IFERROR(VLOOKUP("15_"&amp;A298,SyS!$B:$P,12,FALSE()),0)</f>
        <v>0</v>
      </c>
      <c r="T298" s="36">
        <f>+R298-S298</f>
        <v>0</v>
      </c>
      <c r="U298" s="34">
        <f>IFERROR(VLOOKUP("16_"&amp;A298,SyS!$B:$P,10,FALSE()),0)</f>
        <v>0</v>
      </c>
      <c r="V298" s="35">
        <f>IFERROR(VLOOKUP("16_"&amp;A298,SyS!$B:$P,12,FALSE()),0)</f>
        <v>0</v>
      </c>
      <c r="W298" s="36">
        <f>+U298-V298</f>
        <v>0</v>
      </c>
      <c r="X298" s="34">
        <f>IFERROR(VLOOKUP("13_"&amp;A298,SyS!$B:$P,10,FALSE()),0)</f>
        <v>0</v>
      </c>
      <c r="Y298" s="35">
        <f>IFERROR(VLOOKUP("13_"&amp;A298,SyS!$B:$P,12,FALSE()),0)</f>
        <v>0</v>
      </c>
      <c r="Z298" s="36">
        <f>+X298-Y298</f>
        <v>0</v>
      </c>
      <c r="AA298" s="34">
        <f>IFERROR(VLOOKUP("17_"&amp;A298,SyS!$B:$P,10,FALSE()),0)</f>
        <v>0</v>
      </c>
      <c r="AB298" s="35">
        <f>IFERROR(VLOOKUP("17_"&amp;A298,SyS!$B:$P,12,FALSE()),0)</f>
        <v>0</v>
      </c>
      <c r="AC298" s="36">
        <f>+AA298-AB298</f>
        <v>0</v>
      </c>
      <c r="AD298" s="35"/>
      <c r="AE298" s="35"/>
      <c r="AF298" s="35"/>
      <c r="AG298" s="35">
        <f>IFERROR(VLOOKUP("19_"&amp;A298,SyS!$B:$P,10,FALSE()),0)</f>
        <v>0</v>
      </c>
      <c r="AH298" s="35">
        <f>IFERROR(VLOOKUP("19_"&amp;A298,SyS!$B:$P,12,FALSE()),0)</f>
        <v>0</v>
      </c>
      <c r="AI298" s="35">
        <f>+AG298-AH298</f>
        <v>0</v>
      </c>
      <c r="AJ298" s="35"/>
      <c r="AK298" s="35"/>
      <c r="AL298" s="35"/>
      <c r="AM298" s="34">
        <f>IFERROR(VLOOKUP("23_"&amp;A298,SyS!$B:$P,10,FALSE()),0)</f>
        <v>0</v>
      </c>
      <c r="AN298" s="35">
        <f>IFERROR(VLOOKUP("23_"&amp;A298,SyS!$B:$P,12,FALSE()),0)</f>
        <v>0</v>
      </c>
      <c r="AO298" s="36">
        <f>+AM298-AN298</f>
        <v>0</v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  <v>0</v>
      </c>
      <c r="BL298" s="40">
        <f>IFERROR(VLOOKUP("29_"&amp;A298,SyS!$B:$P,12,FALSE()),0)</f>
        <v>0</v>
      </c>
      <c r="BM298" s="40">
        <f>+BK298-BL298</f>
        <v>0</v>
      </c>
      <c r="BN298" s="46">
        <f>IFERROR(VLOOKUP("30_"&amp;A298,SyS!$B:$P,10,FALSE()),0)</f>
        <v>0</v>
      </c>
      <c r="BO298" s="40">
        <f>IFERROR(VLOOKUP("30_"&amp;A298,SyS!$B:$P,12,FALSE()),0)</f>
        <v>0</v>
      </c>
      <c r="BP298" s="47">
        <f>+BN298-BO298</f>
        <v>0</v>
      </c>
      <c r="BQ298" s="45">
        <f>+E298+H298+K298+N298+Q298+T298+W298+Z298+AC298+AF298+AI298+AL298+AO298+AR298+AU298+AX298+BA298+BD298+BG298+BJ298+BM298+BP298</f>
        <v>0</v>
      </c>
    </row>
    <row r="299" ht="11.25" customHeight="1" spans="1:69" x14ac:dyDescent="0.25">
      <c r="A299" s="9">
        <v>421810000</v>
      </c>
      <c r="B299" s="9" t="s">
        <v>333</v>
      </c>
      <c r="C299" s="34">
        <f>IFERROR(VLOOKUP("1_"&amp;A299,SyS!$B:$P,10,FALSE()),0)</f>
        <v>0</v>
      </c>
      <c r="D299" s="35">
        <f>IFERROR(VLOOKUP("1_"&amp;A299,SyS!$B:$P,12,FALSE()),0)</f>
        <v>0</v>
      </c>
      <c r="E299" s="35">
        <f>+C299-D299</f>
        <v>0</v>
      </c>
      <c r="F299" s="34">
        <f>IFERROR(VLOOKUP("2_"&amp;A299,SyS!$B:$P,10,FALSE()),0)</f>
        <v>0</v>
      </c>
      <c r="G299" s="35">
        <f>IFERROR(VLOOKUP("2_"&amp;A299,SyS!$B:$P,12,FALSE()),0)</f>
        <v>0</v>
      </c>
      <c r="H299" s="36">
        <f>+F299-G299</f>
        <v>0</v>
      </c>
      <c r="I299" s="35"/>
      <c r="J299" s="35"/>
      <c r="K299" s="35"/>
      <c r="L299" s="35"/>
      <c r="M299" s="35"/>
      <c r="N299" s="35"/>
      <c r="O299" s="34">
        <f>IFERROR(VLOOKUP("14_"&amp;A299,SyS!$B:$P,10,FALSE()),0)</f>
        <v>0</v>
      </c>
      <c r="P299" s="35">
        <f>IFERROR(VLOOKUP("14_"&amp;A299,SyS!$B:$P,12,FALSE()),0)</f>
        <v>0</v>
      </c>
      <c r="Q299" s="36">
        <f>+O299-P299</f>
        <v>0</v>
      </c>
      <c r="R299" s="34">
        <f>IFERROR(VLOOKUP("15_"&amp;A299,SyS!$B:$P,10,FALSE()),0)</f>
        <v>0</v>
      </c>
      <c r="S299" s="35">
        <f>IFERROR(VLOOKUP("15_"&amp;A299,SyS!$B:$P,12,FALSE()),0)</f>
        <v>0</v>
      </c>
      <c r="T299" s="36">
        <f>+R299-S299</f>
        <v>0</v>
      </c>
      <c r="U299" s="34">
        <f>IFERROR(VLOOKUP("16_"&amp;A299,SyS!$B:$P,10,FALSE()),0)</f>
        <v>0</v>
      </c>
      <c r="V299" s="35">
        <f>IFERROR(VLOOKUP("16_"&amp;A299,SyS!$B:$P,12,FALSE()),0)</f>
        <v>0</v>
      </c>
      <c r="W299" s="36">
        <f>+U299-V299</f>
        <v>0</v>
      </c>
      <c r="X299" s="34">
        <f>IFERROR(VLOOKUP("13_"&amp;A299,SyS!$B:$P,10,FALSE()),0)</f>
        <v>0</v>
      </c>
      <c r="Y299" s="35">
        <f>IFERROR(VLOOKUP("13_"&amp;A299,SyS!$B:$P,12,FALSE()),0)</f>
        <v>0</v>
      </c>
      <c r="Z299" s="36">
        <f>+X299-Y299</f>
        <v>0</v>
      </c>
      <c r="AA299" s="34">
        <f>IFERROR(VLOOKUP("17_"&amp;A299,SyS!$B:$P,10,FALSE()),0)</f>
        <v>0</v>
      </c>
      <c r="AB299" s="35">
        <f>IFERROR(VLOOKUP("17_"&amp;A299,SyS!$B:$P,12,FALSE()),0)</f>
        <v>0</v>
      </c>
      <c r="AC299" s="36">
        <f>+AA299-AB299</f>
        <v>0</v>
      </c>
      <c r="AD299" s="35"/>
      <c r="AE299" s="35"/>
      <c r="AF299" s="35"/>
      <c r="AG299" s="35">
        <f>IFERROR(VLOOKUP("19_"&amp;A299,SyS!$B:$P,10,FALSE()),0)</f>
        <v>0</v>
      </c>
      <c r="AH299" s="35">
        <f>IFERROR(VLOOKUP("19_"&amp;A299,SyS!$B:$P,12,FALSE()),0)</f>
        <v>0</v>
      </c>
      <c r="AI299" s="35">
        <f>+AG299-AH299</f>
        <v>0</v>
      </c>
      <c r="AJ299" s="35"/>
      <c r="AK299" s="35"/>
      <c r="AL299" s="35"/>
      <c r="AM299" s="34">
        <f>IFERROR(VLOOKUP("23_"&amp;A299,SyS!$B:$P,10,FALSE()),0)</f>
        <v>0</v>
      </c>
      <c r="AN299" s="35">
        <f>IFERROR(VLOOKUP("23_"&amp;A299,SyS!$B:$P,12,FALSE()),0)</f>
        <v>0</v>
      </c>
      <c r="AO299" s="36">
        <f>+AM299-AN299</f>
        <v>0</v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  <v>0</v>
      </c>
      <c r="BL299" s="40">
        <f>IFERROR(VLOOKUP("29_"&amp;A299,SyS!$B:$P,12,FALSE()),0)</f>
        <v>0</v>
      </c>
      <c r="BM299" s="40">
        <f>+BK299-BL299</f>
        <v>0</v>
      </c>
      <c r="BN299" s="46">
        <f>IFERROR(VLOOKUP("30_"&amp;A299,SyS!$B:$P,10,FALSE()),0)</f>
        <v>0</v>
      </c>
      <c r="BO299" s="40">
        <f>IFERROR(VLOOKUP("30_"&amp;A299,SyS!$B:$P,12,FALSE()),0)</f>
        <v>0</v>
      </c>
      <c r="BP299" s="47">
        <f>+BN299-BO299</f>
        <v>0</v>
      </c>
      <c r="BQ299" s="45">
        <f>+E299+H299+K299+N299+Q299+T299+W299+Z299+AC299+AF299+AI299+AL299+AO299+AR299+AU299+AX299+BA299+BD299+BG299+BJ299+BM299+BP299</f>
        <v>0</v>
      </c>
    </row>
    <row r="300" ht="11.25" customHeight="1" spans="1:69" x14ac:dyDescent="0.25">
      <c r="A300" s="9">
        <v>421820000</v>
      </c>
      <c r="B300" s="9" t="s">
        <v>334</v>
      </c>
      <c r="C300" s="34">
        <f>IFERROR(VLOOKUP("1_"&amp;A300,SyS!$B:$P,10,FALSE()),0)</f>
        <v>0</v>
      </c>
      <c r="D300" s="35">
        <f>IFERROR(VLOOKUP("1_"&amp;A300,SyS!$B:$P,12,FALSE()),0)</f>
        <v>0</v>
      </c>
      <c r="E300" s="35">
        <f>+C300-D300</f>
        <v>0</v>
      </c>
      <c r="F300" s="34">
        <f>IFERROR(VLOOKUP("2_"&amp;A300,SyS!$B:$P,10,FALSE()),0)</f>
        <v>0</v>
      </c>
      <c r="G300" s="35">
        <f>IFERROR(VLOOKUP("2_"&amp;A300,SyS!$B:$P,12,FALSE()),0)</f>
        <v>0</v>
      </c>
      <c r="H300" s="36">
        <f>+F300-G300</f>
        <v>0</v>
      </c>
      <c r="I300" s="35"/>
      <c r="J300" s="35"/>
      <c r="K300" s="35"/>
      <c r="L300" s="35"/>
      <c r="M300" s="35"/>
      <c r="N300" s="35"/>
      <c r="O300" s="34">
        <f>IFERROR(VLOOKUP("14_"&amp;A300,SyS!$B:$P,10,FALSE()),0)</f>
        <v>0</v>
      </c>
      <c r="P300" s="35">
        <f>IFERROR(VLOOKUP("14_"&amp;A300,SyS!$B:$P,12,FALSE()),0)</f>
        <v>0</v>
      </c>
      <c r="Q300" s="36">
        <f>+O300-P300</f>
        <v>0</v>
      </c>
      <c r="R300" s="34">
        <f>IFERROR(VLOOKUP("15_"&amp;A300,SyS!$B:$P,10,FALSE()),0)</f>
        <v>0</v>
      </c>
      <c r="S300" s="35">
        <f>IFERROR(VLOOKUP("15_"&amp;A300,SyS!$B:$P,12,FALSE()),0)</f>
        <v>0</v>
      </c>
      <c r="T300" s="36">
        <f>+R300-S300</f>
        <v>0</v>
      </c>
      <c r="U300" s="34">
        <f>IFERROR(VLOOKUP("16_"&amp;A300,SyS!$B:$P,10,FALSE()),0)</f>
        <v>0</v>
      </c>
      <c r="V300" s="35">
        <f>IFERROR(VLOOKUP("16_"&amp;A300,SyS!$B:$P,12,FALSE()),0)</f>
        <v>0</v>
      </c>
      <c r="W300" s="36">
        <f>+U300-V300</f>
        <v>0</v>
      </c>
      <c r="X300" s="34">
        <f>IFERROR(VLOOKUP("13_"&amp;A300,SyS!$B:$P,10,FALSE()),0)</f>
        <v>0</v>
      </c>
      <c r="Y300" s="35">
        <f>IFERROR(VLOOKUP("13_"&amp;A300,SyS!$B:$P,12,FALSE()),0)</f>
        <v>0</v>
      </c>
      <c r="Z300" s="36">
        <f>+X300-Y300</f>
        <v>0</v>
      </c>
      <c r="AA300" s="34">
        <f>IFERROR(VLOOKUP("17_"&amp;A300,SyS!$B:$P,10,FALSE()),0)</f>
        <v>0</v>
      </c>
      <c r="AB300" s="35">
        <f>IFERROR(VLOOKUP("17_"&amp;A300,SyS!$B:$P,12,FALSE()),0)</f>
        <v>0</v>
      </c>
      <c r="AC300" s="36">
        <f>+AA300-AB300</f>
        <v>0</v>
      </c>
      <c r="AD300" s="35"/>
      <c r="AE300" s="35"/>
      <c r="AF300" s="35"/>
      <c r="AG300" s="35">
        <f>IFERROR(VLOOKUP("19_"&amp;A300,SyS!$B:$P,10,FALSE()),0)</f>
        <v>0</v>
      </c>
      <c r="AH300" s="35">
        <f>IFERROR(VLOOKUP("19_"&amp;A300,SyS!$B:$P,12,FALSE()),0)</f>
        <v>0</v>
      </c>
      <c r="AI300" s="35">
        <f>+AG300-AH300</f>
        <v>0</v>
      </c>
      <c r="AJ300" s="35"/>
      <c r="AK300" s="35"/>
      <c r="AL300" s="35"/>
      <c r="AM300" s="34">
        <f>IFERROR(VLOOKUP("23_"&amp;A300,SyS!$B:$P,10,FALSE()),0)</f>
        <v>0</v>
      </c>
      <c r="AN300" s="35">
        <f>IFERROR(VLOOKUP("23_"&amp;A300,SyS!$B:$P,12,FALSE()),0)</f>
        <v>0</v>
      </c>
      <c r="AO300" s="36">
        <f>+AM300-AN300</f>
        <v>0</v>
      </c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40"/>
      <c r="BE300" s="40"/>
      <c r="BF300" s="40"/>
      <c r="BG300" s="40"/>
      <c r="BH300" s="40"/>
      <c r="BI300" s="40"/>
      <c r="BJ300" s="40"/>
      <c r="BK300" s="40">
        <f>IFERROR(VLOOKUP("29_"&amp;A300,SyS!$B:$P,10,FALSE()),0)</f>
        <v>0</v>
      </c>
      <c r="BL300" s="40">
        <f>IFERROR(VLOOKUP("29_"&amp;A300,SyS!$B:$P,12,FALSE()),0)</f>
        <v>0</v>
      </c>
      <c r="BM300" s="40">
        <f>+BK300-BL300</f>
        <v>0</v>
      </c>
      <c r="BN300" s="46">
        <f>IFERROR(VLOOKUP("30_"&amp;A300,SyS!$B:$P,10,FALSE()),0)</f>
        <v>0</v>
      </c>
      <c r="BO300" s="40">
        <f>IFERROR(VLOOKUP("30_"&amp;A300,SyS!$B:$P,12,FALSE()),0)</f>
        <v>0</v>
      </c>
      <c r="BP300" s="47">
        <f>+BN300-BO300</f>
        <v>0</v>
      </c>
      <c r="BQ300" s="45">
        <f>+E300+H300+K300+N300+Q300+T300+W300+Z300+AC300+AF300+AI300+AL300+AO300+AR300+AU300+AX300+BA300+BD300+BG300+BJ300+BM300+BP300</f>
        <v>0</v>
      </c>
    </row>
    <row r="301" ht="11.25" customHeight="1" spans="1:69" x14ac:dyDescent="0.25">
      <c r="A301" s="9">
        <v>421830000</v>
      </c>
      <c r="B301" s="9" t="s">
        <v>335</v>
      </c>
      <c r="C301" s="34">
        <f>IFERROR(VLOOKUP("1_"&amp;A301,SyS!$B:$P,10,FALSE()),0)</f>
        <v>0</v>
      </c>
      <c r="D301" s="35">
        <f>IFERROR(VLOOKUP("1_"&amp;A301,SyS!$B:$P,12,FALSE()),0)</f>
        <v>0</v>
      </c>
      <c r="E301" s="35">
        <f>+C301-D301</f>
        <v>0</v>
      </c>
      <c r="F301" s="34">
        <f>IFERROR(VLOOKUP("2_"&amp;A301,SyS!$B:$P,10,FALSE()),0)</f>
        <v>0</v>
      </c>
      <c r="G301" s="35">
        <f>IFERROR(VLOOKUP("2_"&amp;A301,SyS!$B:$P,12,FALSE()),0)</f>
        <v>0</v>
      </c>
      <c r="H301" s="36">
        <f>+F301-G301</f>
        <v>0</v>
      </c>
      <c r="I301" s="35"/>
      <c r="J301" s="35"/>
      <c r="K301" s="35"/>
      <c r="L301" s="35"/>
      <c r="M301" s="35"/>
      <c r="N301" s="35"/>
      <c r="O301" s="34">
        <f>IFERROR(VLOOKUP("14_"&amp;A301,SyS!$B:$P,10,FALSE()),0)</f>
        <v>0</v>
      </c>
      <c r="P301" s="35">
        <f>IFERROR(VLOOKUP("14_"&amp;A301,SyS!$B:$P,12,FALSE()),0)</f>
        <v>0</v>
      </c>
      <c r="Q301" s="36">
        <f>+O301-P301</f>
        <v>0</v>
      </c>
      <c r="R301" s="34">
        <f>IFERROR(VLOOKUP("15_"&amp;A301,SyS!$B:$P,10,FALSE()),0)</f>
        <v>0</v>
      </c>
      <c r="S301" s="35">
        <f>IFERROR(VLOOKUP("15_"&amp;A301,SyS!$B:$P,12,FALSE()),0)</f>
        <v>0</v>
      </c>
      <c r="T301" s="36">
        <f>+R301-S301</f>
        <v>0</v>
      </c>
      <c r="U301" s="34">
        <f>IFERROR(VLOOKUP("16_"&amp;A301,SyS!$B:$P,10,FALSE()),0)</f>
        <v>0</v>
      </c>
      <c r="V301" s="35">
        <f>IFERROR(VLOOKUP("16_"&amp;A301,SyS!$B:$P,12,FALSE()),0)</f>
        <v>0</v>
      </c>
      <c r="W301" s="36">
        <f>+U301-V301</f>
        <v>0</v>
      </c>
      <c r="X301" s="34">
        <f>IFERROR(VLOOKUP("13_"&amp;A301,SyS!$B:$P,10,FALSE()),0)</f>
        <v>0</v>
      </c>
      <c r="Y301" s="35">
        <f>IFERROR(VLOOKUP("13_"&amp;A301,SyS!$B:$P,12,FALSE()),0)</f>
        <v>0</v>
      </c>
      <c r="Z301" s="36">
        <f>+X301-Y301</f>
        <v>0</v>
      </c>
      <c r="AA301" s="34">
        <f>IFERROR(VLOOKUP("17_"&amp;A301,SyS!$B:$P,10,FALSE()),0)</f>
        <v>0</v>
      </c>
      <c r="AB301" s="35">
        <f>IFERROR(VLOOKUP("17_"&amp;A301,SyS!$B:$P,12,FALSE()),0)</f>
        <v>0</v>
      </c>
      <c r="AC301" s="36">
        <f>+AA301-AB301</f>
        <v>0</v>
      </c>
      <c r="AD301" s="35"/>
      <c r="AE301" s="35"/>
      <c r="AF301" s="35"/>
      <c r="AG301" s="35">
        <f>IFERROR(VLOOKUP("19_"&amp;A301,SyS!$B:$P,10,FALSE()),0)</f>
        <v>0</v>
      </c>
      <c r="AH301" s="35">
        <f>IFERROR(VLOOKUP("19_"&amp;A301,SyS!$B:$P,12,FALSE()),0)</f>
        <v>0</v>
      </c>
      <c r="AI301" s="35">
        <f>+AG301-AH301</f>
        <v>0</v>
      </c>
      <c r="AJ301" s="35"/>
      <c r="AK301" s="35"/>
      <c r="AL301" s="35"/>
      <c r="AM301" s="34">
        <f>IFERROR(VLOOKUP("23_"&amp;A301,SyS!$B:$P,10,FALSE()),0)</f>
        <v>0</v>
      </c>
      <c r="AN301" s="35">
        <f>IFERROR(VLOOKUP("23_"&amp;A301,SyS!$B:$P,12,FALSE()),0)</f>
        <v>0</v>
      </c>
      <c r="AO301" s="36">
        <f>+AM301-AN301</f>
        <v>0</v>
      </c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  <c r="BC301" s="40"/>
      <c r="BD301" s="40"/>
      <c r="BE301" s="40"/>
      <c r="BF301" s="40"/>
      <c r="BG301" s="40"/>
      <c r="BH301" s="40"/>
      <c r="BI301" s="40"/>
      <c r="BJ301" s="40"/>
      <c r="BK301" s="40">
        <f>IFERROR(VLOOKUP("29_"&amp;A301,SyS!$B:$P,10,FALSE()),0)</f>
        <v>0</v>
      </c>
      <c r="BL301" s="40">
        <f>IFERROR(VLOOKUP("29_"&amp;A301,SyS!$B:$P,12,FALSE()),0)</f>
        <v>0</v>
      </c>
      <c r="BM301" s="40">
        <f>+BK301-BL301</f>
        <v>0</v>
      </c>
      <c r="BN301" s="46">
        <f>IFERROR(VLOOKUP("30_"&amp;A301,SyS!$B:$P,10,FALSE()),0)</f>
        <v>0</v>
      </c>
      <c r="BO301" s="40">
        <f>IFERROR(VLOOKUP("30_"&amp;A301,SyS!$B:$P,12,FALSE()),0)</f>
        <v>0</v>
      </c>
      <c r="BP301" s="47">
        <f>+BN301-BO301</f>
        <v>0</v>
      </c>
      <c r="BQ301" s="45">
        <f>+E301+H301+K301+N301+Q301+T301+W301+Z301+AC301+AF301+AI301+AL301+AO301+AR301+AU301+AX301+BA301+BD301+BG301+BJ301+BM301+BP301</f>
        <v>0</v>
      </c>
    </row>
    <row r="302" ht="11.25" customHeight="1" spans="1:69" x14ac:dyDescent="0.25">
      <c r="A302" s="9">
        <v>421840000</v>
      </c>
      <c r="B302" s="9" t="s">
        <v>336</v>
      </c>
      <c r="C302" s="34">
        <f>IFERROR(VLOOKUP("1_"&amp;A302,SyS!$B:$P,10,FALSE()),0)</f>
        <v>0</v>
      </c>
      <c r="D302" s="35">
        <f>IFERROR(VLOOKUP("1_"&amp;A302,SyS!$B:$P,12,FALSE()),0)</f>
        <v>0</v>
      </c>
      <c r="E302" s="35">
        <f>+C302-D302</f>
        <v>0</v>
      </c>
      <c r="F302" s="34">
        <f>IFERROR(VLOOKUP("2_"&amp;A302,SyS!$B:$P,10,FALSE()),0)</f>
        <v>0</v>
      </c>
      <c r="G302" s="35">
        <f>IFERROR(VLOOKUP("2_"&amp;A302,SyS!$B:$P,12,FALSE()),0)</f>
        <v>0</v>
      </c>
      <c r="H302" s="36">
        <f>+F302-G302</f>
        <v>0</v>
      </c>
      <c r="I302" s="35"/>
      <c r="J302" s="35"/>
      <c r="K302" s="35"/>
      <c r="L302" s="35"/>
      <c r="M302" s="35"/>
      <c r="N302" s="35"/>
      <c r="O302" s="34">
        <f>IFERROR(VLOOKUP("14_"&amp;A302,SyS!$B:$P,10,FALSE()),0)</f>
        <v>0</v>
      </c>
      <c r="P302" s="35">
        <f>IFERROR(VLOOKUP("14_"&amp;A302,SyS!$B:$P,12,FALSE()),0)</f>
        <v>0</v>
      </c>
      <c r="Q302" s="36">
        <f>+O302-P302</f>
        <v>0</v>
      </c>
      <c r="R302" s="34">
        <f>IFERROR(VLOOKUP("15_"&amp;A302,SyS!$B:$P,10,FALSE()),0)</f>
        <v>0</v>
      </c>
      <c r="S302" s="35">
        <f>IFERROR(VLOOKUP("15_"&amp;A302,SyS!$B:$P,12,FALSE()),0)</f>
        <v>0</v>
      </c>
      <c r="T302" s="36">
        <f>+R302-S302</f>
        <v>0</v>
      </c>
      <c r="U302" s="34">
        <f>IFERROR(VLOOKUP("16_"&amp;A302,SyS!$B:$P,10,FALSE()),0)</f>
        <v>0</v>
      </c>
      <c r="V302" s="35">
        <f>IFERROR(VLOOKUP("16_"&amp;A302,SyS!$B:$P,12,FALSE()),0)</f>
        <v>0</v>
      </c>
      <c r="W302" s="36">
        <f>+U302-V302</f>
        <v>0</v>
      </c>
      <c r="X302" s="34">
        <f>IFERROR(VLOOKUP("13_"&amp;A302,SyS!$B:$P,10,FALSE()),0)</f>
        <v>0</v>
      </c>
      <c r="Y302" s="35">
        <f>IFERROR(VLOOKUP("13_"&amp;A302,SyS!$B:$P,12,FALSE()),0)</f>
        <v>0</v>
      </c>
      <c r="Z302" s="36">
        <f>+X302-Y302</f>
        <v>0</v>
      </c>
      <c r="AA302" s="34">
        <f>IFERROR(VLOOKUP("17_"&amp;A302,SyS!$B:$P,10,FALSE()),0)</f>
        <v>0</v>
      </c>
      <c r="AB302" s="35">
        <f>IFERROR(VLOOKUP("17_"&amp;A302,SyS!$B:$P,12,FALSE()),0)</f>
        <v>0</v>
      </c>
      <c r="AC302" s="36">
        <f>+AA302-AB302</f>
        <v>0</v>
      </c>
      <c r="AD302" s="35"/>
      <c r="AE302" s="35"/>
      <c r="AF302" s="35"/>
      <c r="AG302" s="35">
        <f>IFERROR(VLOOKUP("19_"&amp;A302,SyS!$B:$P,10,FALSE()),0)</f>
        <v>0</v>
      </c>
      <c r="AH302" s="35">
        <f>IFERROR(VLOOKUP("19_"&amp;A302,SyS!$B:$P,12,FALSE()),0)</f>
        <v>0</v>
      </c>
      <c r="AI302" s="35">
        <f>+AG302-AH302</f>
        <v>0</v>
      </c>
      <c r="AJ302" s="35"/>
      <c r="AK302" s="35"/>
      <c r="AL302" s="35"/>
      <c r="AM302" s="34">
        <f>IFERROR(VLOOKUP("23_"&amp;A302,SyS!$B:$P,10,FALSE()),0)</f>
        <v>0</v>
      </c>
      <c r="AN302" s="35">
        <f>IFERROR(VLOOKUP("23_"&amp;A302,SyS!$B:$P,12,FALSE()),0)</f>
        <v>0</v>
      </c>
      <c r="AO302" s="36">
        <f>+AM302-AN302</f>
        <v>0</v>
      </c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  <c r="BB302" s="40"/>
      <c r="BC302" s="40"/>
      <c r="BD302" s="40"/>
      <c r="BE302" s="40"/>
      <c r="BF302" s="40"/>
      <c r="BG302" s="40"/>
      <c r="BH302" s="40"/>
      <c r="BI302" s="40"/>
      <c r="BJ302" s="40"/>
      <c r="BK302" s="40">
        <f>IFERROR(VLOOKUP("29_"&amp;A302,SyS!$B:$P,10,FALSE()),0)</f>
        <v>0</v>
      </c>
      <c r="BL302" s="40">
        <f>IFERROR(VLOOKUP("29_"&amp;A302,SyS!$B:$P,12,FALSE()),0)</f>
        <v>0</v>
      </c>
      <c r="BM302" s="40">
        <f>+BK302-BL302</f>
        <v>0</v>
      </c>
      <c r="BN302" s="46">
        <f>IFERROR(VLOOKUP("30_"&amp;A302,SyS!$B:$P,10,FALSE()),0)</f>
        <v>0</v>
      </c>
      <c r="BO302" s="40">
        <f>IFERROR(VLOOKUP("30_"&amp;A302,SyS!$B:$P,12,FALSE()),0)</f>
        <v>0</v>
      </c>
      <c r="BP302" s="47">
        <f>+BN302-BO302</f>
        <v>0</v>
      </c>
      <c r="BQ302" s="45">
        <f>+E302+H302+K302+N302+Q302+T302+W302+Z302+AC302+AF302+AI302+AL302+AO302+AR302+AU302+AX302+BA302+BD302+BG302+BJ302+BM302+BP302</f>
        <v>0</v>
      </c>
    </row>
    <row r="303" ht="11.25" customHeight="1" spans="1:69" x14ac:dyDescent="0.25">
      <c r="A303" s="9">
        <v>421850000</v>
      </c>
      <c r="B303" s="9" t="s">
        <v>337</v>
      </c>
      <c r="C303" s="34">
        <f>IFERROR(VLOOKUP("1_"&amp;A303,SyS!$B:$P,10,FALSE()),0)</f>
        <v>0</v>
      </c>
      <c r="D303" s="35">
        <f>IFERROR(VLOOKUP("1_"&amp;A303,SyS!$B:$P,12,FALSE()),0)</f>
        <v>0</v>
      </c>
      <c r="E303" s="35">
        <f>+C303-D303</f>
        <v>0</v>
      </c>
      <c r="F303" s="34">
        <f>IFERROR(VLOOKUP("2_"&amp;A303,SyS!$B:$P,10,FALSE()),0)</f>
        <v>0</v>
      </c>
      <c r="G303" s="35">
        <f>IFERROR(VLOOKUP("2_"&amp;A303,SyS!$B:$P,12,FALSE()),0)</f>
        <v>0</v>
      </c>
      <c r="H303" s="36">
        <f>+F303-G303</f>
        <v>0</v>
      </c>
      <c r="I303" s="35"/>
      <c r="J303" s="35"/>
      <c r="K303" s="35"/>
      <c r="L303" s="35"/>
      <c r="M303" s="35"/>
      <c r="N303" s="35"/>
      <c r="O303" s="34">
        <f>IFERROR(VLOOKUP("14_"&amp;A303,SyS!$B:$P,10,FALSE()),0)</f>
        <v>0</v>
      </c>
      <c r="P303" s="35">
        <f>IFERROR(VLOOKUP("14_"&amp;A303,SyS!$B:$P,12,FALSE()),0)</f>
        <v>0</v>
      </c>
      <c r="Q303" s="36">
        <f>+O303-P303</f>
        <v>0</v>
      </c>
      <c r="R303" s="34">
        <f>IFERROR(VLOOKUP("15_"&amp;A303,SyS!$B:$P,10,FALSE()),0)</f>
        <v>0</v>
      </c>
      <c r="S303" s="35">
        <f>IFERROR(VLOOKUP("15_"&amp;A303,SyS!$B:$P,12,FALSE()),0)</f>
        <v>0</v>
      </c>
      <c r="T303" s="36">
        <f>+R303-S303</f>
        <v>0</v>
      </c>
      <c r="U303" s="34">
        <f>IFERROR(VLOOKUP("16_"&amp;A303,SyS!$B:$P,10,FALSE()),0)</f>
        <v>0</v>
      </c>
      <c r="V303" s="35">
        <f>IFERROR(VLOOKUP("16_"&amp;A303,SyS!$B:$P,12,FALSE()),0)</f>
        <v>0</v>
      </c>
      <c r="W303" s="36">
        <f>+U303-V303</f>
        <v>0</v>
      </c>
      <c r="X303" s="34">
        <f>IFERROR(VLOOKUP("13_"&amp;A303,SyS!$B:$P,10,FALSE()),0)</f>
        <v>0</v>
      </c>
      <c r="Y303" s="35">
        <f>IFERROR(VLOOKUP("13_"&amp;A303,SyS!$B:$P,12,FALSE()),0)</f>
        <v>0</v>
      </c>
      <c r="Z303" s="36">
        <f>+X303-Y303</f>
        <v>0</v>
      </c>
      <c r="AA303" s="34">
        <f>IFERROR(VLOOKUP("17_"&amp;A303,SyS!$B:$P,10,FALSE()),0)</f>
        <v>0</v>
      </c>
      <c r="AB303" s="35">
        <f>IFERROR(VLOOKUP("17_"&amp;A303,SyS!$B:$P,12,FALSE()),0)</f>
        <v>0</v>
      </c>
      <c r="AC303" s="36">
        <f>+AA303-AB303</f>
        <v>0</v>
      </c>
      <c r="AD303" s="35"/>
      <c r="AE303" s="35"/>
      <c r="AF303" s="35"/>
      <c r="AG303" s="35">
        <f>IFERROR(VLOOKUP("19_"&amp;A303,SyS!$B:$P,10,FALSE()),0)</f>
        <v>0</v>
      </c>
      <c r="AH303" s="35">
        <f>IFERROR(VLOOKUP("19_"&amp;A303,SyS!$B:$P,12,FALSE()),0)</f>
        <v>0</v>
      </c>
      <c r="AI303" s="35">
        <f>+AG303-AH303</f>
        <v>0</v>
      </c>
      <c r="AJ303" s="35"/>
      <c r="AK303" s="35"/>
      <c r="AL303" s="35"/>
      <c r="AM303" s="34">
        <f>IFERROR(VLOOKUP("23_"&amp;A303,SyS!$B:$P,10,FALSE()),0)</f>
        <v>0</v>
      </c>
      <c r="AN303" s="35">
        <f>IFERROR(VLOOKUP("23_"&amp;A303,SyS!$B:$P,12,FALSE()),0)</f>
        <v>0</v>
      </c>
      <c r="AO303" s="36">
        <f>+AM303-AN303</f>
        <v>0</v>
      </c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  <c r="BC303" s="40"/>
      <c r="BD303" s="40"/>
      <c r="BE303" s="40"/>
      <c r="BF303" s="40"/>
      <c r="BG303" s="40"/>
      <c r="BH303" s="40"/>
      <c r="BI303" s="40"/>
      <c r="BJ303" s="40"/>
      <c r="BK303" s="40">
        <f>IFERROR(VLOOKUP("29_"&amp;A303,SyS!$B:$P,10,FALSE()),0)</f>
        <v>0</v>
      </c>
      <c r="BL303" s="40">
        <f>IFERROR(VLOOKUP("29_"&amp;A303,SyS!$B:$P,12,FALSE()),0)</f>
        <v>0</v>
      </c>
      <c r="BM303" s="40">
        <f>+BK303-BL303</f>
        <v>0</v>
      </c>
      <c r="BN303" s="46">
        <f>IFERROR(VLOOKUP("30_"&amp;A303,SyS!$B:$P,10,FALSE()),0)</f>
        <v>0</v>
      </c>
      <c r="BO303" s="40">
        <f>IFERROR(VLOOKUP("30_"&amp;A303,SyS!$B:$P,12,FALSE()),0)</f>
        <v>0</v>
      </c>
      <c r="BP303" s="47">
        <f>+BN303-BO303</f>
        <v>0</v>
      </c>
      <c r="BQ303" s="45">
        <f>+E303+H303+K303+N303+Q303+T303+W303+Z303+AC303+AF303+AI303+AL303+AO303+AR303+AU303+AX303+BA303+BD303+BG303+BJ303+BM303+BP303</f>
        <v>0</v>
      </c>
    </row>
    <row r="304" ht="11.25" customHeight="1" spans="1:69" x14ac:dyDescent="0.25">
      <c r="A304" s="9">
        <v>426370000</v>
      </c>
      <c r="B304" s="9" t="s">
        <v>338</v>
      </c>
      <c r="C304" s="34">
        <f>IFERROR(VLOOKUP("1_"&amp;A304,SyS!$B:$P,10,FALSE()),0)</f>
        <v>0</v>
      </c>
      <c r="D304" s="35">
        <f>IFERROR(VLOOKUP("1_"&amp;A304,SyS!$B:$P,12,FALSE()),0)</f>
        <v>0</v>
      </c>
      <c r="E304" s="35">
        <f>+C304-D304</f>
        <v>0</v>
      </c>
      <c r="F304" s="34">
        <f>IFERROR(VLOOKUP("2_"&amp;A304,SyS!$B:$P,10,FALSE()),0)</f>
        <v>0</v>
      </c>
      <c r="G304" s="35">
        <f>IFERROR(VLOOKUP("2_"&amp;A304,SyS!$B:$P,12,FALSE()),0)</f>
        <v>0</v>
      </c>
      <c r="H304" s="36">
        <f>+F304-G304</f>
        <v>0</v>
      </c>
      <c r="I304" s="35"/>
      <c r="J304" s="35"/>
      <c r="K304" s="35"/>
      <c r="L304" s="35"/>
      <c r="M304" s="35"/>
      <c r="N304" s="35"/>
      <c r="O304" s="34">
        <f>IFERROR(VLOOKUP("14_"&amp;A304,SyS!$B:$P,10,FALSE()),0)</f>
        <v>0</v>
      </c>
      <c r="P304" s="35">
        <f>IFERROR(VLOOKUP("14_"&amp;A304,SyS!$B:$P,12,FALSE()),0)</f>
        <v>0</v>
      </c>
      <c r="Q304" s="36">
        <f>+O304-P304</f>
        <v>0</v>
      </c>
      <c r="R304" s="34">
        <f>IFERROR(VLOOKUP("15_"&amp;A304,SyS!$B:$P,10,FALSE()),0)</f>
        <v>0</v>
      </c>
      <c r="S304" s="35">
        <f>IFERROR(VLOOKUP("15_"&amp;A304,SyS!$B:$P,12,FALSE()),0)</f>
        <v>0</v>
      </c>
      <c r="T304" s="36">
        <f>+R304-S304</f>
        <v>0</v>
      </c>
      <c r="U304" s="34">
        <f>IFERROR(VLOOKUP("16_"&amp;A304,SyS!$B:$P,10,FALSE()),0)</f>
        <v>0</v>
      </c>
      <c r="V304" s="35">
        <f>IFERROR(VLOOKUP("16_"&amp;A304,SyS!$B:$P,12,FALSE()),0)</f>
        <v>0</v>
      </c>
      <c r="W304" s="36">
        <f>+U304-V304</f>
        <v>0</v>
      </c>
      <c r="X304" s="34">
        <f>IFERROR(VLOOKUP("13_"&amp;A304,SyS!$B:$P,10,FALSE()),0)</f>
        <v>0</v>
      </c>
      <c r="Y304" s="35">
        <f>IFERROR(VLOOKUP("13_"&amp;A304,SyS!$B:$P,12,FALSE()),0)</f>
        <v>0</v>
      </c>
      <c r="Z304" s="36">
        <f>+X304-Y304</f>
        <v>0</v>
      </c>
      <c r="AA304" s="34">
        <f>IFERROR(VLOOKUP("17_"&amp;A304,SyS!$B:$P,10,FALSE()),0)</f>
        <v>0</v>
      </c>
      <c r="AB304" s="35">
        <f>IFERROR(VLOOKUP("17_"&amp;A304,SyS!$B:$P,12,FALSE()),0)</f>
        <v>0</v>
      </c>
      <c r="AC304" s="36">
        <f>+AA304-AB304</f>
        <v>0</v>
      </c>
      <c r="AD304" s="35"/>
      <c r="AE304" s="35"/>
      <c r="AF304" s="35"/>
      <c r="AG304" s="35">
        <f>IFERROR(VLOOKUP("19_"&amp;A304,SyS!$B:$P,10,FALSE()),0)</f>
        <v>0</v>
      </c>
      <c r="AH304" s="35">
        <f>IFERROR(VLOOKUP("19_"&amp;A304,SyS!$B:$P,12,FALSE()),0)</f>
        <v>0</v>
      </c>
      <c r="AI304" s="35">
        <f>+AG304-AH304</f>
        <v>0</v>
      </c>
      <c r="AJ304" s="35"/>
      <c r="AK304" s="35"/>
      <c r="AL304" s="35"/>
      <c r="AM304" s="34">
        <f>IFERROR(VLOOKUP("23_"&amp;A304,SyS!$B:$P,10,FALSE()),0)</f>
        <v>0</v>
      </c>
      <c r="AN304" s="35">
        <f>IFERROR(VLOOKUP("23_"&amp;A304,SyS!$B:$P,12,FALSE()),0)</f>
        <v>0</v>
      </c>
      <c r="AO304" s="36">
        <f>+AM304-AN304</f>
        <v>0</v>
      </c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  <c r="BC304" s="40"/>
      <c r="BD304" s="40"/>
      <c r="BE304" s="40"/>
      <c r="BF304" s="40"/>
      <c r="BG304" s="40"/>
      <c r="BH304" s="40"/>
      <c r="BI304" s="40"/>
      <c r="BJ304" s="40"/>
      <c r="BK304" s="40">
        <f>IFERROR(VLOOKUP("29_"&amp;A304,SyS!$B:$P,10,FALSE()),0)</f>
        <v>0</v>
      </c>
      <c r="BL304" s="40">
        <f>IFERROR(VLOOKUP("29_"&amp;A304,SyS!$B:$P,12,FALSE()),0)</f>
        <v>0</v>
      </c>
      <c r="BM304" s="40">
        <f>+BK304-BL304</f>
        <v>0</v>
      </c>
      <c r="BN304" s="46">
        <f>IFERROR(VLOOKUP("30_"&amp;A304,SyS!$B:$P,10,FALSE()),0)</f>
        <v>0</v>
      </c>
      <c r="BO304" s="40">
        <f>IFERROR(VLOOKUP("30_"&amp;A304,SyS!$B:$P,12,FALSE()),0)</f>
        <v>0</v>
      </c>
      <c r="BP304" s="47">
        <f>+BN304-BO304</f>
        <v>0</v>
      </c>
      <c r="BQ304" s="45">
        <f>+E304+H304+K304+N304+Q304+T304+W304+Z304+AC304+AF304+AI304+AL304+AO304+AR304+AU304+AX304+BA304+BD304+BG304+BJ304+BM304+BP304</f>
        <v>0</v>
      </c>
    </row>
    <row r="305" ht="11.25" customHeight="1" spans="1:69" x14ac:dyDescent="0.25">
      <c r="A305" s="9">
        <v>426860000</v>
      </c>
      <c r="B305" s="9" t="s">
        <v>339</v>
      </c>
      <c r="C305" s="34">
        <f>IFERROR(VLOOKUP("1_"&amp;A305,SyS!$B:$P,10,FALSE()),0)</f>
        <v>0</v>
      </c>
      <c r="D305" s="35">
        <f>IFERROR(VLOOKUP("1_"&amp;A305,SyS!$B:$P,12,FALSE()),0)</f>
        <v>0</v>
      </c>
      <c r="E305" s="35">
        <f>+C305-D305</f>
        <v>0</v>
      </c>
      <c r="F305" s="34">
        <f>IFERROR(VLOOKUP("2_"&amp;A305,SyS!$B:$P,10,FALSE()),0)</f>
        <v>0</v>
      </c>
      <c r="G305" s="35">
        <f>IFERROR(VLOOKUP("2_"&amp;A305,SyS!$B:$P,12,FALSE()),0)</f>
        <v>0</v>
      </c>
      <c r="H305" s="36">
        <f>+F305-G305</f>
        <v>0</v>
      </c>
      <c r="I305" s="35"/>
      <c r="J305" s="35"/>
      <c r="K305" s="35"/>
      <c r="L305" s="35"/>
      <c r="M305" s="35"/>
      <c r="N305" s="35"/>
      <c r="O305" s="34">
        <f>IFERROR(VLOOKUP("14_"&amp;A305,SyS!$B:$P,10,FALSE()),0)</f>
        <v>0</v>
      </c>
      <c r="P305" s="35">
        <f>IFERROR(VLOOKUP("14_"&amp;A305,SyS!$B:$P,12,FALSE()),0)</f>
        <v>0</v>
      </c>
      <c r="Q305" s="36">
        <f>+O305-P305</f>
        <v>0</v>
      </c>
      <c r="R305" s="34">
        <f>IFERROR(VLOOKUP("15_"&amp;A305,SyS!$B:$P,10,FALSE()),0)</f>
        <v>0</v>
      </c>
      <c r="S305" s="35">
        <f>IFERROR(VLOOKUP("15_"&amp;A305,SyS!$B:$P,12,FALSE()),0)</f>
        <v>0</v>
      </c>
      <c r="T305" s="36">
        <f>+R305-S305</f>
        <v>0</v>
      </c>
      <c r="U305" s="34">
        <f>IFERROR(VLOOKUP("16_"&amp;A305,SyS!$B:$P,10,FALSE()),0)</f>
        <v>0</v>
      </c>
      <c r="V305" s="35">
        <f>IFERROR(VLOOKUP("16_"&amp;A305,SyS!$B:$P,12,FALSE()),0)</f>
        <v>0</v>
      </c>
      <c r="W305" s="36">
        <f>+U305-V305</f>
        <v>0</v>
      </c>
      <c r="X305" s="34">
        <f>IFERROR(VLOOKUP("13_"&amp;A305,SyS!$B:$P,10,FALSE()),0)</f>
        <v>0</v>
      </c>
      <c r="Y305" s="35">
        <f>IFERROR(VLOOKUP("13_"&amp;A305,SyS!$B:$P,12,FALSE()),0)</f>
        <v>0</v>
      </c>
      <c r="Z305" s="36">
        <f>+X305-Y305</f>
        <v>0</v>
      </c>
      <c r="AA305" s="34">
        <f>IFERROR(VLOOKUP("17_"&amp;A305,SyS!$B:$P,10,FALSE()),0)</f>
        <v>0</v>
      </c>
      <c r="AB305" s="35">
        <f>IFERROR(VLOOKUP("17_"&amp;A305,SyS!$B:$P,12,FALSE()),0)</f>
        <v>0</v>
      </c>
      <c r="AC305" s="36">
        <f>+AA305-AB305</f>
        <v>0</v>
      </c>
      <c r="AD305" s="35"/>
      <c r="AE305" s="35"/>
      <c r="AF305" s="35"/>
      <c r="AG305" s="35">
        <f>IFERROR(VLOOKUP("19_"&amp;A305,SyS!$B:$P,10,FALSE()),0)</f>
        <v>0</v>
      </c>
      <c r="AH305" s="35">
        <f>IFERROR(VLOOKUP("19_"&amp;A305,SyS!$B:$P,12,FALSE()),0)</f>
        <v>0</v>
      </c>
      <c r="AI305" s="35">
        <f>+AG305-AH305</f>
        <v>0</v>
      </c>
      <c r="AJ305" s="35"/>
      <c r="AK305" s="35"/>
      <c r="AL305" s="35"/>
      <c r="AM305" s="34">
        <f>IFERROR(VLOOKUP("23_"&amp;A305,SyS!$B:$P,10,FALSE()),0)</f>
        <v>0</v>
      </c>
      <c r="AN305" s="35">
        <f>IFERROR(VLOOKUP("23_"&amp;A305,SyS!$B:$P,12,FALSE()),0)</f>
        <v>0</v>
      </c>
      <c r="AO305" s="36">
        <f>+AM305-AN305</f>
        <v>0</v>
      </c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  <c r="BC305" s="40"/>
      <c r="BD305" s="40"/>
      <c r="BE305" s="40"/>
      <c r="BF305" s="40"/>
      <c r="BG305" s="40"/>
      <c r="BH305" s="40"/>
      <c r="BI305" s="40"/>
      <c r="BJ305" s="40"/>
      <c r="BK305" s="40">
        <f>IFERROR(VLOOKUP("29_"&amp;A305,SyS!$B:$P,10,FALSE()),0)</f>
        <v>0</v>
      </c>
      <c r="BL305" s="40">
        <f>IFERROR(VLOOKUP("29_"&amp;A305,SyS!$B:$P,12,FALSE()),0)</f>
        <v>0</v>
      </c>
      <c r="BM305" s="40">
        <f>+BK305-BL305</f>
        <v>0</v>
      </c>
      <c r="BN305" s="46">
        <f>IFERROR(VLOOKUP("30_"&amp;A305,SyS!$B:$P,10,FALSE()),0)</f>
        <v>0</v>
      </c>
      <c r="BO305" s="40">
        <f>IFERROR(VLOOKUP("30_"&amp;A305,SyS!$B:$P,12,FALSE()),0)</f>
        <v>0</v>
      </c>
      <c r="BP305" s="47">
        <f>+BN305-BO305</f>
        <v>0</v>
      </c>
      <c r="BQ305" s="45">
        <f>+E305+H305+K305+N305+Q305+T305+W305+Z305+AC305+AF305+AI305+AL305+AO305+AR305+AU305+AX305+BA305+BD305+BG305+BJ305+BM305+BP305</f>
        <v>0</v>
      </c>
    </row>
    <row r="306" ht="11.25" customHeight="1" spans="1:69" x14ac:dyDescent="0.25">
      <c r="A306" s="9">
        <v>426850000</v>
      </c>
      <c r="B306" s="9" t="s">
        <v>340</v>
      </c>
      <c r="C306" s="34">
        <f>IFERROR(VLOOKUP("1_"&amp;A306,SyS!$B:$P,10,FALSE()),0)</f>
        <v>0</v>
      </c>
      <c r="D306" s="35">
        <f>IFERROR(VLOOKUP("1_"&amp;A306,SyS!$B:$P,12,FALSE()),0)</f>
        <v>0</v>
      </c>
      <c r="E306" s="35">
        <f>+C306-D306</f>
        <v>0</v>
      </c>
      <c r="F306" s="34">
        <f>IFERROR(VLOOKUP("2_"&amp;A306,SyS!$B:$P,10,FALSE()),0)</f>
        <v>0</v>
      </c>
      <c r="G306" s="35">
        <f>IFERROR(VLOOKUP("2_"&amp;A306,SyS!$B:$P,12,FALSE()),0)</f>
        <v>0</v>
      </c>
      <c r="H306" s="36">
        <f>+F306-G306</f>
        <v>0</v>
      </c>
      <c r="I306" s="35"/>
      <c r="J306" s="35"/>
      <c r="K306" s="35"/>
      <c r="L306" s="35"/>
      <c r="M306" s="35"/>
      <c r="N306" s="35"/>
      <c r="O306" s="34">
        <f>IFERROR(VLOOKUP("14_"&amp;A306,SyS!$B:$P,10,FALSE()),0)</f>
        <v>0</v>
      </c>
      <c r="P306" s="35">
        <f>IFERROR(VLOOKUP("14_"&amp;A306,SyS!$B:$P,12,FALSE()),0)</f>
        <v>0</v>
      </c>
      <c r="Q306" s="36">
        <f>+O306-P306</f>
        <v>0</v>
      </c>
      <c r="R306" s="34">
        <f>IFERROR(VLOOKUP("15_"&amp;A306,SyS!$B:$P,10,FALSE()),0)</f>
        <v>0</v>
      </c>
      <c r="S306" s="35">
        <f>IFERROR(VLOOKUP("15_"&amp;A306,SyS!$B:$P,12,FALSE()),0)</f>
        <v>0</v>
      </c>
      <c r="T306" s="36">
        <f>+R306-S306</f>
        <v>0</v>
      </c>
      <c r="U306" s="34">
        <f>IFERROR(VLOOKUP("16_"&amp;A306,SyS!$B:$P,10,FALSE()),0)</f>
        <v>0</v>
      </c>
      <c r="V306" s="35">
        <f>IFERROR(VLOOKUP("16_"&amp;A306,SyS!$B:$P,12,FALSE()),0)</f>
        <v>0</v>
      </c>
      <c r="W306" s="36">
        <f>+U306-V306</f>
        <v>0</v>
      </c>
      <c r="X306" s="34">
        <f>IFERROR(VLOOKUP("13_"&amp;A306,SyS!$B:$P,10,FALSE()),0)</f>
        <v>0</v>
      </c>
      <c r="Y306" s="35">
        <f>IFERROR(VLOOKUP("13_"&amp;A306,SyS!$B:$P,12,FALSE()),0)</f>
        <v>0</v>
      </c>
      <c r="Z306" s="36">
        <f>+X306-Y306</f>
        <v>0</v>
      </c>
      <c r="AA306" s="34">
        <f>IFERROR(VLOOKUP("17_"&amp;A306,SyS!$B:$P,10,FALSE()),0)</f>
        <v>0</v>
      </c>
      <c r="AB306" s="35">
        <f>IFERROR(VLOOKUP("17_"&amp;A306,SyS!$B:$P,12,FALSE()),0)</f>
        <v>0</v>
      </c>
      <c r="AC306" s="36">
        <f>+AA306-AB306</f>
        <v>0</v>
      </c>
      <c r="AD306" s="35"/>
      <c r="AE306" s="35"/>
      <c r="AF306" s="35"/>
      <c r="AG306" s="35">
        <f>IFERROR(VLOOKUP("19_"&amp;A306,SyS!$B:$P,10,FALSE()),0)</f>
        <v>0</v>
      </c>
      <c r="AH306" s="35">
        <f>IFERROR(VLOOKUP("19_"&amp;A306,SyS!$B:$P,12,FALSE()),0)</f>
        <v>0</v>
      </c>
      <c r="AI306" s="35">
        <f>+AG306-AH306</f>
        <v>0</v>
      </c>
      <c r="AJ306" s="35"/>
      <c r="AK306" s="35"/>
      <c r="AL306" s="35"/>
      <c r="AM306" s="34">
        <f>IFERROR(VLOOKUP("23_"&amp;A306,SyS!$B:$P,10,FALSE()),0)</f>
        <v>0</v>
      </c>
      <c r="AN306" s="35">
        <f>IFERROR(VLOOKUP("23_"&amp;A306,SyS!$B:$P,12,FALSE()),0)</f>
        <v>0</v>
      </c>
      <c r="AO306" s="36">
        <f>+AM306-AN306</f>
        <v>0</v>
      </c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  <c r="BB306" s="40"/>
      <c r="BC306" s="40"/>
      <c r="BD306" s="40"/>
      <c r="BE306" s="40"/>
      <c r="BF306" s="40"/>
      <c r="BG306" s="40"/>
      <c r="BH306" s="40"/>
      <c r="BI306" s="40"/>
      <c r="BJ306" s="40"/>
      <c r="BK306" s="40">
        <f>IFERROR(VLOOKUP("29_"&amp;A306,SyS!$B:$P,10,FALSE()),0)</f>
        <v>0</v>
      </c>
      <c r="BL306" s="40">
        <f>IFERROR(VLOOKUP("29_"&amp;A306,SyS!$B:$P,12,FALSE()),0)</f>
        <v>0</v>
      </c>
      <c r="BM306" s="40">
        <f>+BK306-BL306</f>
        <v>0</v>
      </c>
      <c r="BN306" s="46">
        <f>IFERROR(VLOOKUP("30_"&amp;A306,SyS!$B:$P,10,FALSE()),0)</f>
        <v>0</v>
      </c>
      <c r="BO306" s="40">
        <f>IFERROR(VLOOKUP("30_"&amp;A306,SyS!$B:$P,12,FALSE()),0)</f>
        <v>0</v>
      </c>
      <c r="BP306" s="47">
        <f>+BN306-BO306</f>
        <v>0</v>
      </c>
      <c r="BQ306" s="45">
        <f>+E306+H306+K306+N306+Q306+T306+W306+Z306+AC306+AF306+AI306+AL306+AO306+AR306+AU306+AX306+BA306+BD306+BG306+BJ306+BM306+BP306</f>
        <v>0</v>
      </c>
    </row>
    <row r="307" ht="11.25" customHeight="1" spans="1:69" x14ac:dyDescent="0.25">
      <c r="A307" s="9">
        <v>426870000</v>
      </c>
      <c r="B307" s="9" t="s">
        <v>341</v>
      </c>
      <c r="C307" s="34">
        <f>IFERROR(VLOOKUP("1_"&amp;A307,SyS!$B:$P,10,FALSE()),0)</f>
        <v>0</v>
      </c>
      <c r="D307" s="35">
        <f>IFERROR(VLOOKUP("1_"&amp;A307,SyS!$B:$P,12,FALSE()),0)</f>
        <v>0</v>
      </c>
      <c r="E307" s="35">
        <f>+C307-D307</f>
        <v>0</v>
      </c>
      <c r="F307" s="34">
        <f>IFERROR(VLOOKUP("2_"&amp;A307,SyS!$B:$P,10,FALSE()),0)</f>
        <v>0</v>
      </c>
      <c r="G307" s="35">
        <f>IFERROR(VLOOKUP("2_"&amp;A307,SyS!$B:$P,12,FALSE()),0)</f>
        <v>0</v>
      </c>
      <c r="H307" s="36">
        <f>+F307-G307</f>
        <v>0</v>
      </c>
      <c r="I307" s="35"/>
      <c r="J307" s="35"/>
      <c r="K307" s="35"/>
      <c r="L307" s="35"/>
      <c r="M307" s="35"/>
      <c r="N307" s="35"/>
      <c r="O307" s="34">
        <f>IFERROR(VLOOKUP("14_"&amp;A307,SyS!$B:$P,10,FALSE()),0)</f>
        <v>0</v>
      </c>
      <c r="P307" s="35">
        <f>IFERROR(VLOOKUP("14_"&amp;A307,SyS!$B:$P,12,FALSE()),0)</f>
        <v>0</v>
      </c>
      <c r="Q307" s="36">
        <f>+O307-P307</f>
        <v>0</v>
      </c>
      <c r="R307" s="34">
        <f>IFERROR(VLOOKUP("15_"&amp;A307,SyS!$B:$P,10,FALSE()),0)</f>
        <v>0</v>
      </c>
      <c r="S307" s="35">
        <f>IFERROR(VLOOKUP("15_"&amp;A307,SyS!$B:$P,12,FALSE()),0)</f>
        <v>0</v>
      </c>
      <c r="T307" s="36">
        <f>+R307-S307</f>
        <v>0</v>
      </c>
      <c r="U307" s="34">
        <f>IFERROR(VLOOKUP("16_"&amp;A307,SyS!$B:$P,10,FALSE()),0)</f>
        <v>0</v>
      </c>
      <c r="V307" s="35">
        <f>IFERROR(VLOOKUP("16_"&amp;A307,SyS!$B:$P,12,FALSE()),0)</f>
        <v>0</v>
      </c>
      <c r="W307" s="36">
        <f>+U307-V307</f>
        <v>0</v>
      </c>
      <c r="X307" s="34">
        <f>IFERROR(VLOOKUP("13_"&amp;A307,SyS!$B:$P,10,FALSE()),0)</f>
        <v>0</v>
      </c>
      <c r="Y307" s="35">
        <f>IFERROR(VLOOKUP("13_"&amp;A307,SyS!$B:$P,12,FALSE()),0)</f>
        <v>0</v>
      </c>
      <c r="Z307" s="36">
        <f>+X307-Y307</f>
        <v>0</v>
      </c>
      <c r="AA307" s="34">
        <f>IFERROR(VLOOKUP("17_"&amp;A307,SyS!$B:$P,10,FALSE()),0)</f>
        <v>0</v>
      </c>
      <c r="AB307" s="35">
        <f>IFERROR(VLOOKUP("17_"&amp;A307,SyS!$B:$P,12,FALSE()),0)</f>
        <v>0</v>
      </c>
      <c r="AC307" s="36">
        <f>+AA307-AB307</f>
        <v>0</v>
      </c>
      <c r="AD307" s="35"/>
      <c r="AE307" s="35"/>
      <c r="AF307" s="35"/>
      <c r="AG307" s="35">
        <f>IFERROR(VLOOKUP("19_"&amp;A307,SyS!$B:$P,10,FALSE()),0)</f>
        <v>0</v>
      </c>
      <c r="AH307" s="35">
        <f>IFERROR(VLOOKUP("19_"&amp;A307,SyS!$B:$P,12,FALSE()),0)</f>
        <v>0</v>
      </c>
      <c r="AI307" s="35">
        <f>+AG307-AH307</f>
        <v>0</v>
      </c>
      <c r="AJ307" s="35"/>
      <c r="AK307" s="35"/>
      <c r="AL307" s="35"/>
      <c r="AM307" s="34">
        <f>IFERROR(VLOOKUP("23_"&amp;A307,SyS!$B:$P,10,FALSE()),0)</f>
        <v>0</v>
      </c>
      <c r="AN307" s="35">
        <f>IFERROR(VLOOKUP("23_"&amp;A307,SyS!$B:$P,12,FALSE()),0)</f>
        <v>0</v>
      </c>
      <c r="AO307" s="36">
        <f>+AM307-AN307</f>
        <v>0</v>
      </c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  <c r="BB307" s="40"/>
      <c r="BC307" s="40"/>
      <c r="BD307" s="40"/>
      <c r="BE307" s="40"/>
      <c r="BF307" s="40"/>
      <c r="BG307" s="40"/>
      <c r="BH307" s="40"/>
      <c r="BI307" s="40"/>
      <c r="BJ307" s="40"/>
      <c r="BK307" s="40">
        <f>IFERROR(VLOOKUP("29_"&amp;A307,SyS!$B:$P,10,FALSE()),0)</f>
        <v>0</v>
      </c>
      <c r="BL307" s="40">
        <f>IFERROR(VLOOKUP("29_"&amp;A307,SyS!$B:$P,12,FALSE()),0)</f>
        <v>0</v>
      </c>
      <c r="BM307" s="40">
        <f>+BK307-BL307</f>
        <v>0</v>
      </c>
      <c r="BN307" s="46">
        <f>IFERROR(VLOOKUP("30_"&amp;A307,SyS!$B:$P,10,FALSE()),0)</f>
        <v>0</v>
      </c>
      <c r="BO307" s="40">
        <f>IFERROR(VLOOKUP("30_"&amp;A307,SyS!$B:$P,12,FALSE()),0)</f>
        <v>0</v>
      </c>
      <c r="BP307" s="47">
        <f>+BN307-BO307</f>
        <v>0</v>
      </c>
      <c r="BQ307" s="45">
        <f>+E307+H307+K307+N307+Q307+T307+W307+Z307+AC307+AF307+AI307+AL307+AO307+AR307+AU307+AX307+BA307+BD307+BG307+BJ307+BM307+BP307</f>
        <v>0</v>
      </c>
    </row>
    <row r="308" ht="11.25" customHeight="1" spans="1:69" x14ac:dyDescent="0.25">
      <c r="A308" s="9">
        <v>412600000</v>
      </c>
      <c r="B308" s="9" t="s">
        <v>342</v>
      </c>
      <c r="C308" s="34">
        <f>IFERROR(VLOOKUP("1_"&amp;A308,SyS!$B:$P,10,FALSE()),0)</f>
        <v>0</v>
      </c>
      <c r="D308" s="35">
        <f>IFERROR(VLOOKUP("1_"&amp;A308,SyS!$B:$P,12,FALSE()),0)</f>
        <v>0</v>
      </c>
      <c r="E308" s="35">
        <f>+C308-D308</f>
        <v>0</v>
      </c>
      <c r="F308" s="34">
        <f>IFERROR(VLOOKUP("2_"&amp;A308,SyS!$B:$P,10,FALSE()),0)</f>
        <v>0</v>
      </c>
      <c r="G308" s="35">
        <f>IFERROR(VLOOKUP("2_"&amp;A308,SyS!$B:$P,12,FALSE()),0)</f>
        <v>0</v>
      </c>
      <c r="H308" s="36">
        <f>+F308-G308</f>
        <v>0</v>
      </c>
      <c r="I308" s="35"/>
      <c r="J308" s="35"/>
      <c r="K308" s="35"/>
      <c r="L308" s="35"/>
      <c r="M308" s="35"/>
      <c r="N308" s="35"/>
      <c r="O308" s="34">
        <f>IFERROR(VLOOKUP("14_"&amp;A308,SyS!$B:$P,10,FALSE()),0)</f>
        <v>0</v>
      </c>
      <c r="P308" s="35">
        <f>IFERROR(VLOOKUP("14_"&amp;A308,SyS!$B:$P,12,FALSE()),0)</f>
        <v>0</v>
      </c>
      <c r="Q308" s="36">
        <f>+O308-P308</f>
        <v>0</v>
      </c>
      <c r="R308" s="34">
        <f>IFERROR(VLOOKUP("15_"&amp;A308,SyS!$B:$P,10,FALSE()),0)</f>
        <v>0</v>
      </c>
      <c r="S308" s="35">
        <f>IFERROR(VLOOKUP("15_"&amp;A308,SyS!$B:$P,12,FALSE()),0)</f>
        <v>0</v>
      </c>
      <c r="T308" s="36">
        <f>+R308-S308</f>
        <v>0</v>
      </c>
      <c r="U308" s="34">
        <f>IFERROR(VLOOKUP("16_"&amp;A308,SyS!$B:$P,10,FALSE()),0)</f>
        <v>0</v>
      </c>
      <c r="V308" s="35">
        <f>IFERROR(VLOOKUP("16_"&amp;A308,SyS!$B:$P,12,FALSE()),0)</f>
        <v>0</v>
      </c>
      <c r="W308" s="36">
        <f>+U308-V308</f>
        <v>0</v>
      </c>
      <c r="X308" s="34">
        <f>IFERROR(VLOOKUP("13_"&amp;A308,SyS!$B:$P,10,FALSE()),0)</f>
        <v>0</v>
      </c>
      <c r="Y308" s="35">
        <f>IFERROR(VLOOKUP("13_"&amp;A308,SyS!$B:$P,12,FALSE()),0)</f>
        <v>0</v>
      </c>
      <c r="Z308" s="36">
        <f>+X308-Y308</f>
        <v>0</v>
      </c>
      <c r="AA308" s="34">
        <f>IFERROR(VLOOKUP("17_"&amp;A308,SyS!$B:$P,10,FALSE()),0)</f>
        <v>0</v>
      </c>
      <c r="AB308" s="35">
        <f>IFERROR(VLOOKUP("17_"&amp;A308,SyS!$B:$P,12,FALSE()),0)</f>
        <v>0</v>
      </c>
      <c r="AC308" s="36">
        <f>+AA308-AB308</f>
        <v>0</v>
      </c>
      <c r="AD308" s="35"/>
      <c r="AE308" s="35"/>
      <c r="AF308" s="35"/>
      <c r="AG308" s="35">
        <f>IFERROR(VLOOKUP("19_"&amp;A308,SyS!$B:$P,10,FALSE()),0)</f>
        <v>0</v>
      </c>
      <c r="AH308" s="35">
        <f>IFERROR(VLOOKUP("19_"&amp;A308,SyS!$B:$P,12,FALSE()),0)</f>
        <v>0</v>
      </c>
      <c r="AI308" s="35">
        <f>+AG308-AH308</f>
        <v>0</v>
      </c>
      <c r="AJ308" s="35"/>
      <c r="AK308" s="35"/>
      <c r="AL308" s="35"/>
      <c r="AM308" s="34">
        <f>IFERROR(VLOOKUP("23_"&amp;A308,SyS!$B:$P,10,FALSE()),0)</f>
        <v>0</v>
      </c>
      <c r="AN308" s="35">
        <f>IFERROR(VLOOKUP("23_"&amp;A308,SyS!$B:$P,12,FALSE()),0)</f>
        <v>0</v>
      </c>
      <c r="AO308" s="36">
        <f>+AM308-AN308</f>
        <v>0</v>
      </c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  <c r="BB308" s="40"/>
      <c r="BC308" s="40"/>
      <c r="BD308" s="40"/>
      <c r="BE308" s="40"/>
      <c r="BF308" s="40"/>
      <c r="BG308" s="40"/>
      <c r="BH308" s="40"/>
      <c r="BI308" s="40"/>
      <c r="BJ308" s="40"/>
      <c r="BK308" s="40">
        <f>IFERROR(VLOOKUP("29_"&amp;A308,SyS!$B:$P,10,FALSE()),0)</f>
        <v>0</v>
      </c>
      <c r="BL308" s="40">
        <f>IFERROR(VLOOKUP("29_"&amp;A308,SyS!$B:$P,12,FALSE()),0)</f>
        <v>0</v>
      </c>
      <c r="BM308" s="40">
        <f>+BK308-BL308</f>
        <v>0</v>
      </c>
      <c r="BN308" s="46">
        <f>IFERROR(VLOOKUP("30_"&amp;A308,SyS!$B:$P,10,FALSE()),0)</f>
        <v>0</v>
      </c>
      <c r="BO308" s="40">
        <f>IFERROR(VLOOKUP("30_"&amp;A308,SyS!$B:$P,12,FALSE()),0)</f>
        <v>0</v>
      </c>
      <c r="BP308" s="47">
        <f>+BN308-BO308</f>
        <v>0</v>
      </c>
      <c r="BQ308" s="45">
        <f>+E308+H308+K308+N308+Q308+T308+W308+Z308+AC308+AF308+AI308+AL308+AO308+AR308+AU308+AX308+BA308+BD308+BG308+BJ308+BM308+BP308</f>
        <v>0</v>
      </c>
    </row>
    <row r="309" ht="11.25" customHeight="1" spans="1:69" x14ac:dyDescent="0.25">
      <c r="A309" s="9">
        <v>426670000</v>
      </c>
      <c r="B309" s="9" t="s">
        <v>343</v>
      </c>
      <c r="C309" s="34">
        <f>IFERROR(VLOOKUP("1_"&amp;A309,SyS!$B:$P,10,FALSE()),0)</f>
        <v>0</v>
      </c>
      <c r="D309" s="35">
        <f>IFERROR(VLOOKUP("1_"&amp;A309,SyS!$B:$P,12,FALSE()),0)</f>
        <v>0</v>
      </c>
      <c r="E309" s="35">
        <f>+C309-D309</f>
        <v>0</v>
      </c>
      <c r="F309" s="34">
        <f>IFERROR(VLOOKUP("2_"&amp;A309,SyS!$B:$P,10,FALSE()),0)</f>
        <v>0</v>
      </c>
      <c r="G309" s="35">
        <f>IFERROR(VLOOKUP("2_"&amp;A309,SyS!$B:$P,12,FALSE()),0)</f>
        <v>0</v>
      </c>
      <c r="H309" s="36">
        <f>+F309-G309</f>
        <v>0</v>
      </c>
      <c r="I309" s="35"/>
      <c r="J309" s="35"/>
      <c r="K309" s="35"/>
      <c r="L309" s="35"/>
      <c r="M309" s="35"/>
      <c r="N309" s="35"/>
      <c r="O309" s="34">
        <f>IFERROR(VLOOKUP("14_"&amp;A309,SyS!$B:$P,10,FALSE()),0)</f>
        <v>0</v>
      </c>
      <c r="P309" s="35">
        <f>IFERROR(VLOOKUP("14_"&amp;A309,SyS!$B:$P,12,FALSE()),0)</f>
        <v>0</v>
      </c>
      <c r="Q309" s="36">
        <f>+O309-P309</f>
        <v>0</v>
      </c>
      <c r="R309" s="34">
        <f>IFERROR(VLOOKUP("15_"&amp;A309,SyS!$B:$P,10,FALSE()),0)</f>
        <v>0</v>
      </c>
      <c r="S309" s="35">
        <f>IFERROR(VLOOKUP("15_"&amp;A309,SyS!$B:$P,12,FALSE()),0)</f>
        <v>0</v>
      </c>
      <c r="T309" s="36">
        <f>+R309-S309</f>
        <v>0</v>
      </c>
      <c r="U309" s="34">
        <f>IFERROR(VLOOKUP("16_"&amp;A309,SyS!$B:$P,10,FALSE()),0)</f>
        <v>0</v>
      </c>
      <c r="V309" s="35">
        <f>IFERROR(VLOOKUP("16_"&amp;A309,SyS!$B:$P,12,FALSE()),0)</f>
        <v>0</v>
      </c>
      <c r="W309" s="36">
        <f>+U309-V309</f>
        <v>0</v>
      </c>
      <c r="X309" s="34">
        <f>IFERROR(VLOOKUP("13_"&amp;A309,SyS!$B:$P,10,FALSE()),0)</f>
        <v>0</v>
      </c>
      <c r="Y309" s="35">
        <f>IFERROR(VLOOKUP("13_"&amp;A309,SyS!$B:$P,12,FALSE()),0)</f>
        <v>0</v>
      </c>
      <c r="Z309" s="36">
        <f>+X309-Y309</f>
        <v>0</v>
      </c>
      <c r="AA309" s="34">
        <f>IFERROR(VLOOKUP("17_"&amp;A309,SyS!$B:$P,10,FALSE()),0)</f>
        <v>0</v>
      </c>
      <c r="AB309" s="35">
        <f>IFERROR(VLOOKUP("17_"&amp;A309,SyS!$B:$P,12,FALSE()),0)</f>
        <v>0</v>
      </c>
      <c r="AC309" s="36">
        <f>+AA309-AB309</f>
        <v>0</v>
      </c>
      <c r="AD309" s="35"/>
      <c r="AE309" s="35"/>
      <c r="AF309" s="35"/>
      <c r="AG309" s="35">
        <f>IFERROR(VLOOKUP("19_"&amp;A309,SyS!$B:$P,10,FALSE()),0)</f>
        <v>0</v>
      </c>
      <c r="AH309" s="35">
        <f>IFERROR(VLOOKUP("19_"&amp;A309,SyS!$B:$P,12,FALSE()),0)</f>
        <v>0</v>
      </c>
      <c r="AI309" s="35">
        <f>+AG309-AH309</f>
        <v>0</v>
      </c>
      <c r="AJ309" s="35"/>
      <c r="AK309" s="35"/>
      <c r="AL309" s="35"/>
      <c r="AM309" s="34">
        <f>IFERROR(VLOOKUP("23_"&amp;A309,SyS!$B:$P,10,FALSE()),0)</f>
        <v>0</v>
      </c>
      <c r="AN309" s="35">
        <f>IFERROR(VLOOKUP("23_"&amp;A309,SyS!$B:$P,12,FALSE()),0)</f>
        <v>0</v>
      </c>
      <c r="AO309" s="36">
        <f>+AM309-AN309</f>
        <v>0</v>
      </c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  <c r="BC309" s="40"/>
      <c r="BD309" s="40"/>
      <c r="BE309" s="40"/>
      <c r="BF309" s="40"/>
      <c r="BG309" s="40"/>
      <c r="BH309" s="40"/>
      <c r="BI309" s="40"/>
      <c r="BJ309" s="40"/>
      <c r="BK309" s="40">
        <f>IFERROR(VLOOKUP("29_"&amp;A309,SyS!$B:$P,10,FALSE()),0)</f>
        <v>0</v>
      </c>
      <c r="BL309" s="40">
        <f>IFERROR(VLOOKUP("29_"&amp;A309,SyS!$B:$P,12,FALSE()),0)</f>
        <v>0</v>
      </c>
      <c r="BM309" s="40">
        <f>+BK309-BL309</f>
        <v>0</v>
      </c>
      <c r="BN309" s="46">
        <f>IFERROR(VLOOKUP("30_"&amp;A309,SyS!$B:$P,10,FALSE()),0)</f>
        <v>0</v>
      </c>
      <c r="BO309" s="40">
        <f>IFERROR(VLOOKUP("30_"&amp;A309,SyS!$B:$P,12,FALSE()),0)</f>
        <v>0</v>
      </c>
      <c r="BP309" s="47">
        <f>+BN309-BO309</f>
        <v>0</v>
      </c>
      <c r="BQ309" s="45">
        <f>+E309+H309+K309+N309+Q309+T309+W309+Z309+AC309+AF309+AI309+AL309+AO309+AR309+AU309+AX309+BA309+BD309+BG309+BJ309+BM309+BP309</f>
        <v>0</v>
      </c>
    </row>
    <row r="310" ht="11.25" customHeight="1" spans="1:69" x14ac:dyDescent="0.25">
      <c r="A310" s="9">
        <v>433010000</v>
      </c>
      <c r="B310" s="9" t="s">
        <v>344</v>
      </c>
      <c r="C310" s="34">
        <f>IFERROR(VLOOKUP("1_"&amp;A310,SyS!$B:$P,10,FALSE()),0)</f>
        <v>0</v>
      </c>
      <c r="D310" s="35">
        <f>IFERROR(VLOOKUP("1_"&amp;A310,SyS!$B:$P,12,FALSE()),0)</f>
        <v>0</v>
      </c>
      <c r="E310" s="35">
        <f>+C310-D310</f>
        <v>0</v>
      </c>
      <c r="F310" s="34">
        <f>IFERROR(VLOOKUP("2_"&amp;A310,SyS!$B:$P,10,FALSE()),0)</f>
        <v>0</v>
      </c>
      <c r="G310" s="35">
        <f>IFERROR(VLOOKUP("2_"&amp;A310,SyS!$B:$P,12,FALSE()),0)</f>
        <v>0</v>
      </c>
      <c r="H310" s="36">
        <f>+F310-G310</f>
        <v>0</v>
      </c>
      <c r="I310" s="35"/>
      <c r="J310" s="35"/>
      <c r="K310" s="35"/>
      <c r="L310" s="35"/>
      <c r="M310" s="35"/>
      <c r="N310" s="35"/>
      <c r="O310" s="34">
        <f>IFERROR(VLOOKUP("14_"&amp;A310,SyS!$B:$P,10,FALSE()),0)</f>
        <v>0</v>
      </c>
      <c r="P310" s="35">
        <f>IFERROR(VLOOKUP("14_"&amp;A310,SyS!$B:$P,12,FALSE()),0)</f>
        <v>0</v>
      </c>
      <c r="Q310" s="36">
        <f>+O310-P310</f>
        <v>0</v>
      </c>
      <c r="R310" s="34">
        <f>IFERROR(VLOOKUP("15_"&amp;A310,SyS!$B:$P,10,FALSE()),0)</f>
        <v>0</v>
      </c>
      <c r="S310" s="35">
        <f>IFERROR(VLOOKUP("15_"&amp;A310,SyS!$B:$P,12,FALSE()),0)</f>
        <v>0</v>
      </c>
      <c r="T310" s="36">
        <f>+R310-S310</f>
        <v>0</v>
      </c>
      <c r="U310" s="34">
        <f>IFERROR(VLOOKUP("16_"&amp;A310,SyS!$B:$P,10,FALSE()),0)</f>
        <v>0</v>
      </c>
      <c r="V310" s="35">
        <f>IFERROR(VLOOKUP("16_"&amp;A310,SyS!$B:$P,12,FALSE()),0)</f>
        <v>0</v>
      </c>
      <c r="W310" s="36">
        <f>+U310-V310</f>
        <v>0</v>
      </c>
      <c r="X310" s="34">
        <f>IFERROR(VLOOKUP("13_"&amp;A310,SyS!$B:$P,10,FALSE()),0)</f>
        <v>0</v>
      </c>
      <c r="Y310" s="35">
        <f>IFERROR(VLOOKUP("13_"&amp;A310,SyS!$B:$P,12,FALSE()),0)</f>
        <v>0</v>
      </c>
      <c r="Z310" s="36">
        <f>+X310-Y310</f>
        <v>0</v>
      </c>
      <c r="AA310" s="34">
        <f>IFERROR(VLOOKUP("17_"&amp;A310,SyS!$B:$P,10,FALSE()),0)</f>
        <v>0</v>
      </c>
      <c r="AB310" s="35">
        <f>IFERROR(VLOOKUP("17_"&amp;A310,SyS!$B:$P,12,FALSE()),0)</f>
        <v>0</v>
      </c>
      <c r="AC310" s="36">
        <f>+AA310-AB310</f>
        <v>0</v>
      </c>
      <c r="AD310" s="35"/>
      <c r="AE310" s="35"/>
      <c r="AF310" s="35"/>
      <c r="AG310" s="35">
        <f>IFERROR(VLOOKUP("19_"&amp;A310,SyS!$B:$P,10,FALSE()),0)</f>
        <v>0</v>
      </c>
      <c r="AH310" s="35">
        <f>IFERROR(VLOOKUP("19_"&amp;A310,SyS!$B:$P,12,FALSE()),0)</f>
        <v>0</v>
      </c>
      <c r="AI310" s="35">
        <f>+AG310-AH310</f>
        <v>0</v>
      </c>
      <c r="AJ310" s="35"/>
      <c r="AK310" s="35"/>
      <c r="AL310" s="35"/>
      <c r="AM310" s="34">
        <f>IFERROR(VLOOKUP("23_"&amp;A310,SyS!$B:$P,10,FALSE()),0)</f>
        <v>0</v>
      </c>
      <c r="AN310" s="35">
        <f>IFERROR(VLOOKUP("23_"&amp;A310,SyS!$B:$P,12,FALSE()),0)</f>
        <v>0</v>
      </c>
      <c r="AO310" s="36">
        <f>+AM310-AN310</f>
        <v>0</v>
      </c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  <c r="BC310" s="40"/>
      <c r="BD310" s="40"/>
      <c r="BE310" s="40"/>
      <c r="BF310" s="40"/>
      <c r="BG310" s="40"/>
      <c r="BH310" s="40"/>
      <c r="BI310" s="40"/>
      <c r="BJ310" s="40"/>
      <c r="BK310" s="40">
        <f>IFERROR(VLOOKUP("29_"&amp;A310,SyS!$B:$P,10,FALSE()),0)</f>
        <v>0</v>
      </c>
      <c r="BL310" s="40">
        <f>IFERROR(VLOOKUP("29_"&amp;A310,SyS!$B:$P,12,FALSE()),0)</f>
        <v>0</v>
      </c>
      <c r="BM310" s="40">
        <f>+BK310-BL310</f>
        <v>0</v>
      </c>
      <c r="BN310" s="46">
        <f>IFERROR(VLOOKUP("30_"&amp;A310,SyS!$B:$P,10,FALSE()),0)</f>
        <v>0</v>
      </c>
      <c r="BO310" s="40">
        <f>IFERROR(VLOOKUP("30_"&amp;A310,SyS!$B:$P,12,FALSE()),0)</f>
        <v>0</v>
      </c>
      <c r="BP310" s="47">
        <f>+BN310-BO310</f>
        <v>0</v>
      </c>
      <c r="BQ310" s="45">
        <f>+E310+H310+K310+N310+Q310+T310+W310+Z310+AC310+AF310+AI310+AL310+AO310+AR310+AU310+AX310+BA310+BD310+BG310+BJ310+BM310+BP310</f>
        <v>0</v>
      </c>
    </row>
    <row r="311" ht="11.25" customHeight="1" spans="1:69" x14ac:dyDescent="0.25">
      <c r="A311" s="9">
        <v>433020000</v>
      </c>
      <c r="B311" s="9" t="s">
        <v>345</v>
      </c>
      <c r="C311" s="34">
        <f>IFERROR(VLOOKUP("1_"&amp;A311,SyS!$B:$P,10,FALSE()),0)</f>
        <v>0</v>
      </c>
      <c r="D311" s="35">
        <f>IFERROR(VLOOKUP("1_"&amp;A311,SyS!$B:$P,12,FALSE()),0)</f>
        <v>0</v>
      </c>
      <c r="E311" s="35">
        <f>+C311-D311</f>
        <v>0</v>
      </c>
      <c r="F311" s="34">
        <f>IFERROR(VLOOKUP("2_"&amp;A311,SyS!$B:$P,10,FALSE()),0)</f>
        <v>0</v>
      </c>
      <c r="G311" s="35">
        <f>IFERROR(VLOOKUP("2_"&amp;A311,SyS!$B:$P,12,FALSE()),0)</f>
        <v>0</v>
      </c>
      <c r="H311" s="36">
        <f>+F311-G311</f>
        <v>0</v>
      </c>
      <c r="I311" s="35"/>
      <c r="J311" s="35"/>
      <c r="K311" s="35"/>
      <c r="L311" s="35"/>
      <c r="M311" s="35"/>
      <c r="N311" s="35"/>
      <c r="O311" s="34">
        <f>IFERROR(VLOOKUP("14_"&amp;A311,SyS!$B:$P,10,FALSE()),0)</f>
        <v>0</v>
      </c>
      <c r="P311" s="35">
        <f>IFERROR(VLOOKUP("14_"&amp;A311,SyS!$B:$P,12,FALSE()),0)</f>
        <v>0</v>
      </c>
      <c r="Q311" s="36">
        <f>+O311-P311</f>
        <v>0</v>
      </c>
      <c r="R311" s="34">
        <f>IFERROR(VLOOKUP("15_"&amp;A311,SyS!$B:$P,10,FALSE()),0)</f>
        <v>0</v>
      </c>
      <c r="S311" s="35">
        <f>IFERROR(VLOOKUP("15_"&amp;A311,SyS!$B:$P,12,FALSE()),0)</f>
        <v>0</v>
      </c>
      <c r="T311" s="36">
        <f>+R311-S311</f>
        <v>0</v>
      </c>
      <c r="U311" s="34">
        <f>IFERROR(VLOOKUP("16_"&amp;A311,SyS!$B:$P,10,FALSE()),0)</f>
        <v>0</v>
      </c>
      <c r="V311" s="35">
        <f>IFERROR(VLOOKUP("16_"&amp;A311,SyS!$B:$P,12,FALSE()),0)</f>
        <v>0</v>
      </c>
      <c r="W311" s="36">
        <f>+U311-V311</f>
        <v>0</v>
      </c>
      <c r="X311" s="34">
        <f>IFERROR(VLOOKUP("13_"&amp;A311,SyS!$B:$P,10,FALSE()),0)</f>
        <v>0</v>
      </c>
      <c r="Y311" s="35">
        <f>IFERROR(VLOOKUP("13_"&amp;A311,SyS!$B:$P,12,FALSE()),0)</f>
        <v>0</v>
      </c>
      <c r="Z311" s="36">
        <f>+X311-Y311</f>
        <v>0</v>
      </c>
      <c r="AA311" s="34">
        <f>IFERROR(VLOOKUP("17_"&amp;A311,SyS!$B:$P,10,FALSE()),0)</f>
        <v>0</v>
      </c>
      <c r="AB311" s="35">
        <f>IFERROR(VLOOKUP("17_"&amp;A311,SyS!$B:$P,12,FALSE()),0)</f>
        <v>0</v>
      </c>
      <c r="AC311" s="36">
        <f>+AA311-AB311</f>
        <v>0</v>
      </c>
      <c r="AD311" s="35"/>
      <c r="AE311" s="35"/>
      <c r="AF311" s="35"/>
      <c r="AG311" s="35">
        <f>IFERROR(VLOOKUP("19_"&amp;A311,SyS!$B:$P,10,FALSE()),0)</f>
        <v>0</v>
      </c>
      <c r="AH311" s="35">
        <f>IFERROR(VLOOKUP("19_"&amp;A311,SyS!$B:$P,12,FALSE()),0)</f>
        <v>0</v>
      </c>
      <c r="AI311" s="35">
        <f>+AG311-AH311</f>
        <v>0</v>
      </c>
      <c r="AJ311" s="35"/>
      <c r="AK311" s="35"/>
      <c r="AL311" s="35"/>
      <c r="AM311" s="34">
        <f>IFERROR(VLOOKUP("23_"&amp;A311,SyS!$B:$P,10,FALSE()),0)</f>
        <v>0</v>
      </c>
      <c r="AN311" s="35">
        <f>IFERROR(VLOOKUP("23_"&amp;A311,SyS!$B:$P,12,FALSE()),0)</f>
        <v>0</v>
      </c>
      <c r="AO311" s="36">
        <f>+AM311-AN311</f>
        <v>0</v>
      </c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  <c r="BB311" s="40"/>
      <c r="BC311" s="40"/>
      <c r="BD311" s="40"/>
      <c r="BE311" s="40"/>
      <c r="BF311" s="40"/>
      <c r="BG311" s="40"/>
      <c r="BH311" s="40"/>
      <c r="BI311" s="40"/>
      <c r="BJ311" s="40"/>
      <c r="BK311" s="40">
        <f>IFERROR(VLOOKUP("29_"&amp;A311,SyS!$B:$P,10,FALSE()),0)</f>
        <v>0</v>
      </c>
      <c r="BL311" s="40">
        <f>IFERROR(VLOOKUP("29_"&amp;A311,SyS!$B:$P,12,FALSE()),0)</f>
        <v>0</v>
      </c>
      <c r="BM311" s="40">
        <f>+BK311-BL311</f>
        <v>0</v>
      </c>
      <c r="BN311" s="46">
        <f>IFERROR(VLOOKUP("30_"&amp;A311,SyS!$B:$P,10,FALSE()),0)</f>
        <v>0</v>
      </c>
      <c r="BO311" s="40">
        <f>IFERROR(VLOOKUP("30_"&amp;A311,SyS!$B:$P,12,FALSE()),0)</f>
        <v>0</v>
      </c>
      <c r="BP311" s="47">
        <f>+BN311-BO311</f>
        <v>0</v>
      </c>
      <c r="BQ311" s="45">
        <f>+E311+H311+K311+N311+Q311+T311+W311+Z311+AC311+AF311+AI311+AL311+AO311+AR311+AU311+AX311+BA311+BD311+BG311+BJ311+BM311+BP311</f>
        <v>0</v>
      </c>
    </row>
    <row r="312" ht="11.25" customHeight="1" spans="1:69" x14ac:dyDescent="0.25">
      <c r="A312" s="53">
        <v>433090000</v>
      </c>
      <c r="B312" s="9" t="s">
        <v>346</v>
      </c>
      <c r="C312" s="34">
        <f>IFERROR(VLOOKUP("1_"&amp;A312,SyS!$B:$P,10,FALSE()),0)</f>
        <v>0</v>
      </c>
      <c r="D312" s="35">
        <f>IFERROR(VLOOKUP("1_"&amp;A312,SyS!$B:$P,12,FALSE()),0)</f>
        <v>0</v>
      </c>
      <c r="E312" s="35">
        <f>+C312-D312</f>
        <v>0</v>
      </c>
      <c r="F312" s="34">
        <f>IFERROR(VLOOKUP("2_"&amp;A312,SyS!$B:$P,10,FALSE()),0)</f>
        <v>0</v>
      </c>
      <c r="G312" s="35">
        <f>IFERROR(VLOOKUP("2_"&amp;A312,SyS!$B:$P,12,FALSE()),0)</f>
        <v>0</v>
      </c>
      <c r="H312" s="36">
        <f>+F312-G312</f>
        <v>0</v>
      </c>
      <c r="I312" s="35"/>
      <c r="J312" s="35"/>
      <c r="K312" s="35"/>
      <c r="L312" s="35"/>
      <c r="M312" s="35"/>
      <c r="N312" s="35"/>
      <c r="O312" s="34">
        <f>IFERROR(VLOOKUP("14_"&amp;A312,SyS!$B:$P,10,FALSE()),0)</f>
        <v>0</v>
      </c>
      <c r="P312" s="35">
        <f>IFERROR(VLOOKUP("14_"&amp;A312,SyS!$B:$P,12,FALSE()),0)</f>
        <v>0</v>
      </c>
      <c r="Q312" s="36">
        <f>+O312-P312</f>
        <v>0</v>
      </c>
      <c r="R312" s="34">
        <f>IFERROR(VLOOKUP("15_"&amp;A312,SyS!$B:$P,10,FALSE()),0)</f>
        <v>0</v>
      </c>
      <c r="S312" s="35">
        <f>IFERROR(VLOOKUP("15_"&amp;A312,SyS!$B:$P,12,FALSE()),0)</f>
        <v>0</v>
      </c>
      <c r="T312" s="36">
        <f>+R312-S312</f>
        <v>0</v>
      </c>
      <c r="U312" s="34">
        <f>IFERROR(VLOOKUP("16_"&amp;A312,SyS!$B:$P,10,FALSE()),0)</f>
        <v>0</v>
      </c>
      <c r="V312" s="35">
        <f>IFERROR(VLOOKUP("16_"&amp;A312,SyS!$B:$P,12,FALSE()),0)</f>
        <v>0</v>
      </c>
      <c r="W312" s="36">
        <f>+U312-V312</f>
        <v>0</v>
      </c>
      <c r="X312" s="34">
        <f>IFERROR(VLOOKUP("13_"&amp;A312,SyS!$B:$P,10,FALSE()),0)</f>
        <v>0</v>
      </c>
      <c r="Y312" s="35">
        <f>IFERROR(VLOOKUP("13_"&amp;A312,SyS!$B:$P,12,FALSE()),0)</f>
        <v>0</v>
      </c>
      <c r="Z312" s="36">
        <f>+X312-Y312</f>
        <v>0</v>
      </c>
      <c r="AA312" s="34">
        <f>IFERROR(VLOOKUP("17_"&amp;A312,SyS!$B:$P,10,FALSE()),0)</f>
        <v>0</v>
      </c>
      <c r="AB312" s="35">
        <f>IFERROR(VLOOKUP("17_"&amp;A312,SyS!$B:$P,12,FALSE()),0)</f>
        <v>0</v>
      </c>
      <c r="AC312" s="36">
        <f>+AA312-AB312</f>
        <v>0</v>
      </c>
      <c r="AD312" s="35"/>
      <c r="AE312" s="35"/>
      <c r="AF312" s="35"/>
      <c r="AG312" s="35">
        <f>IFERROR(VLOOKUP("19_"&amp;A312,SyS!$B:$P,10,FALSE()),0)</f>
        <v>0</v>
      </c>
      <c r="AH312" s="35">
        <f>IFERROR(VLOOKUP("19_"&amp;A312,SyS!$B:$P,12,FALSE()),0)</f>
        <v>0</v>
      </c>
      <c r="AI312" s="35">
        <f>+AG312-AH312</f>
        <v>0</v>
      </c>
      <c r="AJ312" s="35"/>
      <c r="AK312" s="35"/>
      <c r="AL312" s="35"/>
      <c r="AM312" s="34">
        <f>IFERROR(VLOOKUP("23_"&amp;A312,SyS!$B:$P,10,FALSE()),0)</f>
        <v>0</v>
      </c>
      <c r="AN312" s="35">
        <f>IFERROR(VLOOKUP("23_"&amp;A312,SyS!$B:$P,12,FALSE()),0)</f>
        <v>0</v>
      </c>
      <c r="AO312" s="36">
        <f>+AM312-AN312</f>
        <v>0</v>
      </c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  <c r="BC312" s="40"/>
      <c r="BD312" s="40"/>
      <c r="BE312" s="40"/>
      <c r="BF312" s="40"/>
      <c r="BG312" s="40"/>
      <c r="BH312" s="40"/>
      <c r="BI312" s="40"/>
      <c r="BJ312" s="40"/>
      <c r="BK312" s="40">
        <f>IFERROR(VLOOKUP("29_"&amp;A312,SyS!$B:$P,10,FALSE()),0)</f>
        <v>0</v>
      </c>
      <c r="BL312" s="40">
        <f>IFERROR(VLOOKUP("29_"&amp;A312,SyS!$B:$P,12,FALSE()),0)</f>
        <v>0</v>
      </c>
      <c r="BM312" s="40">
        <f>+BK312-BL312</f>
        <v>0</v>
      </c>
      <c r="BN312" s="46">
        <f>IFERROR(VLOOKUP("30_"&amp;A312,SyS!$B:$P,10,FALSE()),0)</f>
        <v>0</v>
      </c>
      <c r="BO312" s="40">
        <f>IFERROR(VLOOKUP("30_"&amp;A312,SyS!$B:$P,12,FALSE()),0)</f>
        <v>0</v>
      </c>
      <c r="BP312" s="47">
        <f>+BN312-BO312</f>
        <v>0</v>
      </c>
      <c r="BQ312" s="45">
        <f>+E312+H312+K312+N312+Q312+T312+W312+Z312+AC312+AF312+AI312+AL312+AO312+AR312+AU312+AX312+BA312+BD312+BG312+BJ312+BM312+BP312</f>
        <v>0</v>
      </c>
    </row>
    <row r="313" ht="12" customHeight="1" spans="1:69" x14ac:dyDescent="0.25">
      <c r="A313" s="9">
        <v>426950000</v>
      </c>
      <c r="B313" s="9" t="s">
        <v>347</v>
      </c>
      <c r="C313" s="34">
        <f>IFERROR(VLOOKUP("1_"&amp;A313,SyS!$B:$P,10,FALSE()),0)</f>
        <v>0</v>
      </c>
      <c r="D313" s="35">
        <f>IFERROR(VLOOKUP("1_"&amp;A313,SyS!$B:$P,12,FALSE()),0)</f>
        <v>0</v>
      </c>
      <c r="E313" s="35">
        <f>+C313-D313</f>
        <v>0</v>
      </c>
      <c r="F313" s="34">
        <f>IFERROR(VLOOKUP("2_"&amp;A313,SyS!$B:$P,10,FALSE()),0)</f>
        <v>0</v>
      </c>
      <c r="G313" s="35">
        <f>IFERROR(VLOOKUP("2_"&amp;A313,SyS!$B:$P,12,FALSE()),0)</f>
        <v>0</v>
      </c>
      <c r="H313" s="36">
        <f>+F313-G313</f>
        <v>0</v>
      </c>
      <c r="I313" s="35"/>
      <c r="J313" s="35"/>
      <c r="K313" s="35"/>
      <c r="L313" s="35"/>
      <c r="M313" s="35"/>
      <c r="N313" s="35"/>
      <c r="O313" s="34">
        <f>IFERROR(VLOOKUP("14_"&amp;A313,SyS!$B:$P,10,FALSE()),0)</f>
        <v>0</v>
      </c>
      <c r="P313" s="35">
        <f>IFERROR(VLOOKUP("14_"&amp;A313,SyS!$B:$P,12,FALSE()),0)</f>
        <v>0</v>
      </c>
      <c r="Q313" s="36">
        <f>+O313-P313</f>
        <v>0</v>
      </c>
      <c r="R313" s="34">
        <f>IFERROR(VLOOKUP("15_"&amp;A313,SyS!$B:$P,10,FALSE()),0)</f>
        <v>0</v>
      </c>
      <c r="S313" s="35">
        <f>IFERROR(VLOOKUP("15_"&amp;A313,SyS!$B:$P,12,FALSE()),0)</f>
        <v>0</v>
      </c>
      <c r="T313" s="36">
        <f>+R313-S313</f>
        <v>0</v>
      </c>
      <c r="U313" s="34">
        <f>IFERROR(VLOOKUP("16_"&amp;A313,SyS!$B:$P,10,FALSE()),0)</f>
        <v>0</v>
      </c>
      <c r="V313" s="35">
        <f>IFERROR(VLOOKUP("16_"&amp;A313,SyS!$B:$P,12,FALSE()),0)</f>
        <v>0</v>
      </c>
      <c r="W313" s="36">
        <f>+U313-V313</f>
        <v>0</v>
      </c>
      <c r="X313" s="34">
        <f>IFERROR(VLOOKUP("13_"&amp;A313,SyS!$B:$P,10,FALSE()),0)</f>
        <v>0</v>
      </c>
      <c r="Y313" s="35">
        <f>IFERROR(VLOOKUP("13_"&amp;A313,SyS!$B:$P,12,FALSE()),0)</f>
        <v>0</v>
      </c>
      <c r="Z313" s="36">
        <f>+X313-Y313</f>
        <v>0</v>
      </c>
      <c r="AA313" s="34">
        <f>IFERROR(VLOOKUP("17_"&amp;A313,SyS!$B:$P,10,FALSE()),0)</f>
        <v>0</v>
      </c>
      <c r="AB313" s="35">
        <f>IFERROR(VLOOKUP("17_"&amp;A313,SyS!$B:$P,12,FALSE()),0)</f>
        <v>0</v>
      </c>
      <c r="AC313" s="36">
        <f>+AA313-AB313</f>
        <v>0</v>
      </c>
      <c r="AD313" s="35"/>
      <c r="AE313" s="35"/>
      <c r="AF313" s="35"/>
      <c r="AG313" s="35">
        <f>IFERROR(VLOOKUP("19_"&amp;A313,SyS!$B:$P,10,FALSE()),0)</f>
        <v>0</v>
      </c>
      <c r="AH313" s="35">
        <f>IFERROR(VLOOKUP("19_"&amp;A313,SyS!$B:$P,12,FALSE()),0)</f>
        <v>0</v>
      </c>
      <c r="AI313" s="35">
        <f>+AG313-AH313</f>
        <v>0</v>
      </c>
      <c r="AJ313" s="35"/>
      <c r="AK313" s="35"/>
      <c r="AL313" s="35"/>
      <c r="AM313" s="34">
        <f>IFERROR(VLOOKUP("23_"&amp;A313,SyS!$B:$P,10,FALSE()),0)</f>
        <v>0</v>
      </c>
      <c r="AN313" s="35">
        <f>IFERROR(VLOOKUP("23_"&amp;A313,SyS!$B:$P,12,FALSE()),0)</f>
        <v>0</v>
      </c>
      <c r="AO313" s="36">
        <f>+AM313-AN313</f>
        <v>0</v>
      </c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  <c r="BB313" s="40"/>
      <c r="BC313" s="40"/>
      <c r="BD313" s="40"/>
      <c r="BE313" s="40"/>
      <c r="BF313" s="40"/>
      <c r="BG313" s="40"/>
      <c r="BH313" s="40"/>
      <c r="BI313" s="40"/>
      <c r="BJ313" s="40"/>
      <c r="BK313" s="40">
        <f>IFERROR(VLOOKUP("29_"&amp;A313,SyS!$B:$P,10,FALSE()),0)</f>
        <v>0</v>
      </c>
      <c r="BL313" s="40">
        <f>IFERROR(VLOOKUP("29_"&amp;A313,SyS!$B:$P,12,FALSE()),0)</f>
        <v>0</v>
      </c>
      <c r="BM313" s="40">
        <f>+BK313-BL313</f>
        <v>0</v>
      </c>
      <c r="BN313" s="46">
        <f>IFERROR(VLOOKUP("30_"&amp;A313,SyS!$B:$P,10,FALSE()),0)</f>
        <v>0</v>
      </c>
      <c r="BO313" s="40">
        <f>IFERROR(VLOOKUP("30_"&amp;A313,SyS!$B:$P,12,FALSE()),0)</f>
        <v>0</v>
      </c>
      <c r="BP313" s="47">
        <f>+BN313-BO313</f>
        <v>0</v>
      </c>
      <c r="BQ313" s="45">
        <f>+E313+H313+K313+N313+Q313+T313+W313+Z313+AC313+AF313+AI313+AL313+AO313+AR313+AU313+AX313+BA313+BD313+BG313+BJ313+BM313+BP313</f>
        <v>0</v>
      </c>
    </row>
    <row r="314" ht="11.25" customHeight="1" spans="1:69" x14ac:dyDescent="0.25">
      <c r="A314" s="9">
        <v>426880000</v>
      </c>
      <c r="B314" s="9" t="s">
        <v>348</v>
      </c>
      <c r="C314" s="34">
        <f>IFERROR(VLOOKUP("1_"&amp;A314,SyS!$B:$P,10,FALSE()),0)</f>
        <v>0</v>
      </c>
      <c r="D314" s="35">
        <f>IFERROR(VLOOKUP("1_"&amp;A314,SyS!$B:$P,12,FALSE()),0)</f>
        <v>0</v>
      </c>
      <c r="E314" s="35">
        <f>+C314-D314</f>
        <v>0</v>
      </c>
      <c r="F314" s="34">
        <f>IFERROR(VLOOKUP("2_"&amp;A314,SyS!$B:$P,10,FALSE()),0)</f>
        <v>0</v>
      </c>
      <c r="G314" s="35">
        <f>IFERROR(VLOOKUP("2_"&amp;A314,SyS!$B:$P,12,FALSE()),0)</f>
        <v>0</v>
      </c>
      <c r="H314" s="36">
        <f>+F314-G314</f>
        <v>0</v>
      </c>
      <c r="I314" s="35"/>
      <c r="J314" s="35"/>
      <c r="K314" s="35"/>
      <c r="L314" s="35"/>
      <c r="M314" s="35"/>
      <c r="N314" s="35"/>
      <c r="O314" s="34">
        <f>IFERROR(VLOOKUP("14_"&amp;A314,SyS!$B:$P,10,FALSE()),0)</f>
        <v>0</v>
      </c>
      <c r="P314" s="35">
        <f>IFERROR(VLOOKUP("14_"&amp;A314,SyS!$B:$P,12,FALSE()),0)</f>
        <v>0</v>
      </c>
      <c r="Q314" s="36">
        <f>+O314-P314</f>
        <v>0</v>
      </c>
      <c r="R314" s="34">
        <f>IFERROR(VLOOKUP("15_"&amp;A314,SyS!$B:$P,10,FALSE()),0)</f>
        <v>0</v>
      </c>
      <c r="S314" s="35">
        <f>IFERROR(VLOOKUP("15_"&amp;A314,SyS!$B:$P,12,FALSE()),0)</f>
        <v>0</v>
      </c>
      <c r="T314" s="36">
        <f>+R314-S314</f>
        <v>0</v>
      </c>
      <c r="U314" s="34">
        <f>IFERROR(VLOOKUP("16_"&amp;A314,SyS!$B:$P,10,FALSE()),0)</f>
        <v>0</v>
      </c>
      <c r="V314" s="35">
        <f>IFERROR(VLOOKUP("16_"&amp;A314,SyS!$B:$P,12,FALSE()),0)</f>
        <v>0</v>
      </c>
      <c r="W314" s="36">
        <f>+U314-V314</f>
        <v>0</v>
      </c>
      <c r="X314" s="34">
        <f>IFERROR(VLOOKUP("13_"&amp;A314,SyS!$B:$P,10,FALSE()),0)</f>
        <v>0</v>
      </c>
      <c r="Y314" s="35">
        <f>IFERROR(VLOOKUP("13_"&amp;A314,SyS!$B:$P,12,FALSE()),0)</f>
        <v>0</v>
      </c>
      <c r="Z314" s="36">
        <f>+X314-Y314</f>
        <v>0</v>
      </c>
      <c r="AA314" s="34">
        <f>IFERROR(VLOOKUP("17_"&amp;A314,SyS!$B:$P,10,FALSE()),0)</f>
        <v>0</v>
      </c>
      <c r="AB314" s="35">
        <f>IFERROR(VLOOKUP("17_"&amp;A314,SyS!$B:$P,12,FALSE()),0)</f>
        <v>0</v>
      </c>
      <c r="AC314" s="36">
        <f>+AA314-AB314</f>
        <v>0</v>
      </c>
      <c r="AD314" s="35"/>
      <c r="AE314" s="35"/>
      <c r="AF314" s="35"/>
      <c r="AG314" s="35">
        <f>IFERROR(VLOOKUP("19_"&amp;A314,SyS!$B:$P,10,FALSE()),0)</f>
        <v>0</v>
      </c>
      <c r="AH314" s="35">
        <f>IFERROR(VLOOKUP("19_"&amp;A314,SyS!$B:$P,12,FALSE()),0)</f>
        <v>0</v>
      </c>
      <c r="AI314" s="35">
        <f>+AG314-AH314</f>
        <v>0</v>
      </c>
      <c r="AJ314" s="35"/>
      <c r="AK314" s="35"/>
      <c r="AL314" s="35"/>
      <c r="AM314" s="34">
        <f>IFERROR(VLOOKUP("23_"&amp;A314,SyS!$B:$P,10,FALSE()),0)</f>
        <v>0</v>
      </c>
      <c r="AN314" s="35">
        <f>IFERROR(VLOOKUP("23_"&amp;A314,SyS!$B:$P,12,FALSE()),0)</f>
        <v>0</v>
      </c>
      <c r="AO314" s="36">
        <f>+AM314-AN314</f>
        <v>0</v>
      </c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  <c r="BB314" s="40"/>
      <c r="BC314" s="40"/>
      <c r="BD314" s="40"/>
      <c r="BE314" s="40"/>
      <c r="BF314" s="40"/>
      <c r="BG314" s="40"/>
      <c r="BH314" s="40"/>
      <c r="BI314" s="40"/>
      <c r="BJ314" s="40"/>
      <c r="BK314" s="40">
        <f>IFERROR(VLOOKUP("29_"&amp;A314,SyS!$B:$P,10,FALSE()),0)</f>
        <v>0</v>
      </c>
      <c r="BL314" s="40">
        <f>IFERROR(VLOOKUP("29_"&amp;A314,SyS!$B:$P,12,FALSE()),0)</f>
        <v>0</v>
      </c>
      <c r="BM314" s="40">
        <f>+BK314-BL314</f>
        <v>0</v>
      </c>
      <c r="BN314" s="46">
        <f>IFERROR(VLOOKUP("30_"&amp;A314,SyS!$B:$P,10,FALSE()),0)</f>
        <v>0</v>
      </c>
      <c r="BO314" s="40">
        <f>IFERROR(VLOOKUP("30_"&amp;A314,SyS!$B:$P,12,FALSE()),0)</f>
        <v>0</v>
      </c>
      <c r="BP314" s="47">
        <f>+BN314-BO314</f>
        <v>0</v>
      </c>
      <c r="BQ314" s="45">
        <f>+E314+H314+K314+N314+Q314+T314+W314+Z314+AC314+AF314+AI314+AL314+AO314+AR314+AU314+AX314+BA314+BD314+BG314+BJ314+BM314+BP314</f>
        <v>0</v>
      </c>
    </row>
    <row r="315" ht="11.25" customHeight="1" spans="1:69" x14ac:dyDescent="0.25">
      <c r="A315" s="51"/>
      <c r="B315" s="52" t="s">
        <v>349</v>
      </c>
      <c r="C315" s="34"/>
      <c r="D315" s="35"/>
      <c r="E315" s="35"/>
      <c r="F315" s="34"/>
      <c r="G315" s="35"/>
      <c r="H315" s="36"/>
      <c r="I315" s="35"/>
      <c r="J315" s="35"/>
      <c r="K315" s="35"/>
      <c r="L315" s="35"/>
      <c r="M315" s="35"/>
      <c r="N315" s="35"/>
      <c r="O315" s="34"/>
      <c r="P315" s="35"/>
      <c r="Q315" s="36"/>
      <c r="R315" s="34"/>
      <c r="S315" s="35"/>
      <c r="T315" s="36"/>
      <c r="U315" s="34"/>
      <c r="V315" s="35"/>
      <c r="W315" s="36"/>
      <c r="X315" s="34"/>
      <c r="Y315" s="35"/>
      <c r="Z315" s="36"/>
      <c r="AA315" s="34"/>
      <c r="AB315" s="35"/>
      <c r="AC315" s="36"/>
      <c r="AD315" s="35"/>
      <c r="AE315" s="35"/>
      <c r="AF315" s="35"/>
      <c r="AG315" s="35">
        <f>IFERROR(VLOOKUP("19_"&amp;A314,SyS!$B:$P,10,FALSE()),0)</f>
        <v>0</v>
      </c>
      <c r="AH315" s="35">
        <f>IFERROR(VLOOKUP("19_"&amp;A314,SyS!$B:$P,12,FALSE()),0)</f>
        <v>0</v>
      </c>
      <c r="AI315" s="35">
        <f>+AG314-AH314</f>
        <v>0</v>
      </c>
      <c r="AJ315" s="35"/>
      <c r="AK315" s="35"/>
      <c r="AL315" s="35"/>
      <c r="AM315" s="34"/>
      <c r="AN315" s="35"/>
      <c r="AO315" s="36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  <c r="BC315" s="40"/>
      <c r="BD315" s="40"/>
      <c r="BE315" s="40"/>
      <c r="BF315" s="40"/>
      <c r="BG315" s="40"/>
      <c r="BH315" s="40"/>
      <c r="BI315" s="40"/>
      <c r="BJ315" s="40"/>
      <c r="BK315" s="40"/>
      <c r="BL315" s="40"/>
      <c r="BM315" s="40"/>
      <c r="BN315" s="46"/>
      <c r="BO315" s="40"/>
      <c r="BP315" s="47"/>
      <c r="BQ315" s="45"/>
    </row>
    <row r="316" ht="11.25" customHeight="1" spans="1:69" x14ac:dyDescent="0.25">
      <c r="A316" s="9">
        <v>427110000</v>
      </c>
      <c r="B316" s="9" t="s">
        <v>350</v>
      </c>
      <c r="C316" s="34">
        <f>IFERROR(VLOOKUP("1_"&amp;A316,SyS!$B:$P,10,FALSE()),0)</f>
        <v>0</v>
      </c>
      <c r="D316" s="35">
        <f>IFERROR(VLOOKUP("1_"&amp;A316,SyS!$B:$P,12,FALSE()),0)</f>
        <v>0</v>
      </c>
      <c r="E316" s="35">
        <f>+C316-D316</f>
        <v>0</v>
      </c>
      <c r="F316" s="34">
        <f>IFERROR(VLOOKUP("2_"&amp;A316,SyS!$B:$P,10,FALSE()),0)</f>
        <v>0</v>
      </c>
      <c r="G316" s="35">
        <f>IFERROR(VLOOKUP("2_"&amp;A316,SyS!$B:$P,12,FALSE()),0)</f>
        <v>0</v>
      </c>
      <c r="H316" s="36">
        <f>+F316-G316</f>
        <v>0</v>
      </c>
      <c r="I316" s="35"/>
      <c r="J316" s="35"/>
      <c r="K316" s="35"/>
      <c r="L316" s="35"/>
      <c r="M316" s="35"/>
      <c r="N316" s="35"/>
      <c r="O316" s="34">
        <f>IFERROR(VLOOKUP("14_"&amp;A316,SyS!$B:$P,10,FALSE()),0)</f>
        <v>0</v>
      </c>
      <c r="P316" s="35">
        <f>IFERROR(VLOOKUP("14_"&amp;A316,SyS!$B:$P,12,FALSE()),0)</f>
        <v>0</v>
      </c>
      <c r="Q316" s="36">
        <f>+O316-P316</f>
        <v>0</v>
      </c>
      <c r="R316" s="34">
        <f>IFERROR(VLOOKUP("15_"&amp;A316,SyS!$B:$P,10,FALSE()),0)</f>
        <v>0</v>
      </c>
      <c r="S316" s="35">
        <f>IFERROR(VLOOKUP("15_"&amp;A316,SyS!$B:$P,12,FALSE()),0)</f>
        <v>0</v>
      </c>
      <c r="T316" s="36">
        <f>+R316-S316</f>
        <v>0</v>
      </c>
      <c r="U316" s="34">
        <f>IFERROR(VLOOKUP("16_"&amp;A316,SyS!$B:$P,10,FALSE()),0)</f>
        <v>0</v>
      </c>
      <c r="V316" s="35">
        <f>IFERROR(VLOOKUP("16_"&amp;A316,SyS!$B:$P,12,FALSE()),0)</f>
        <v>0</v>
      </c>
      <c r="W316" s="36">
        <f>+U316-V316</f>
        <v>0</v>
      </c>
      <c r="X316" s="34">
        <f>IFERROR(VLOOKUP("13_"&amp;A316,SyS!$B:$P,10,FALSE()),0)</f>
        <v>0</v>
      </c>
      <c r="Y316" s="35">
        <f>IFERROR(VLOOKUP("13_"&amp;A316,SyS!$B:$P,12,FALSE()),0)</f>
        <v>0</v>
      </c>
      <c r="Z316" s="36">
        <f>+X316-Y316</f>
        <v>0</v>
      </c>
      <c r="AA316" s="34">
        <f>IFERROR(VLOOKUP("17_"&amp;A316,SyS!$B:$P,10,FALSE()),0)</f>
        <v>0</v>
      </c>
      <c r="AB316" s="35">
        <f>IFERROR(VLOOKUP("17_"&amp;A316,SyS!$B:$P,12,FALSE()),0)</f>
        <v>0</v>
      </c>
      <c r="AC316" s="36">
        <f>+AA316-AB316</f>
        <v>0</v>
      </c>
      <c r="AD316" s="35"/>
      <c r="AE316" s="35"/>
      <c r="AF316" s="35"/>
      <c r="AG316" s="35">
        <f>IFERROR(VLOOKUP("19_"&amp;A316,SyS!$B:$P,10,FALSE()),0)</f>
        <v>0</v>
      </c>
      <c r="AH316" s="35">
        <f>IFERROR(VLOOKUP("19_"&amp;A316,SyS!$B:$P,12,FALSE()),0)</f>
        <v>0</v>
      </c>
      <c r="AI316" s="35">
        <f>+AG316-AH316</f>
        <v>0</v>
      </c>
      <c r="AJ316" s="35"/>
      <c r="AK316" s="35"/>
      <c r="AL316" s="35"/>
      <c r="AM316" s="34">
        <f>IFERROR(VLOOKUP("23_"&amp;A316,SyS!$B:$P,10,FALSE()),0)</f>
        <v>0</v>
      </c>
      <c r="AN316" s="35">
        <f>IFERROR(VLOOKUP("23_"&amp;A316,SyS!$B:$P,12,FALSE()),0)</f>
        <v>0</v>
      </c>
      <c r="AO316" s="36">
        <f>+AM316-AN316</f>
        <v>0</v>
      </c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  <c r="BC316" s="40"/>
      <c r="BD316" s="40"/>
      <c r="BE316" s="40"/>
      <c r="BF316" s="40"/>
      <c r="BG316" s="40"/>
      <c r="BH316" s="40"/>
      <c r="BI316" s="40"/>
      <c r="BJ316" s="40"/>
      <c r="BK316" s="40">
        <f>IFERROR(VLOOKUP("29_"&amp;A316,SyS!$B:$P,10,FALSE()),0)</f>
        <v>0</v>
      </c>
      <c r="BL316" s="40">
        <f>IFERROR(VLOOKUP("29_"&amp;A316,SyS!$B:$P,12,FALSE()),0)</f>
        <v>0</v>
      </c>
      <c r="BM316" s="40">
        <f>+BK316-BL316</f>
        <v>0</v>
      </c>
      <c r="BN316" s="46">
        <f>IFERROR(VLOOKUP("30_"&amp;A316,SyS!$B:$P,10,FALSE()),0)</f>
        <v>0</v>
      </c>
      <c r="BO316" s="40">
        <f>IFERROR(VLOOKUP("30_"&amp;A316,SyS!$B:$P,12,FALSE()),0)</f>
        <v>0</v>
      </c>
      <c r="BP316" s="47">
        <f>+BN316-BO316</f>
        <v>0</v>
      </c>
      <c r="BQ316" s="45">
        <f>+E316+H316+K316+N316+Q316+T316+W316+Z316+AC316+AF316+AI316+AL316+AO316+AR316+AU316+AX316+BA316+BD316+BG316+BJ316+BM316+BP316</f>
        <v>0</v>
      </c>
    </row>
    <row r="317" ht="11.25" customHeight="1" spans="1:69" x14ac:dyDescent="0.25">
      <c r="A317" s="9">
        <v>427120000</v>
      </c>
      <c r="B317" s="9" t="s">
        <v>351</v>
      </c>
      <c r="C317" s="34">
        <f>IFERROR(VLOOKUP("1_"&amp;A317,SyS!$B:$P,10,FALSE()),0)</f>
        <v>0</v>
      </c>
      <c r="D317" s="35">
        <f>IFERROR(VLOOKUP("1_"&amp;A317,SyS!$B:$P,12,FALSE()),0)</f>
        <v>0</v>
      </c>
      <c r="E317" s="35">
        <f>+C317-D317</f>
        <v>0</v>
      </c>
      <c r="F317" s="34">
        <f>IFERROR(VLOOKUP("2_"&amp;A317,SyS!$B:$P,10,FALSE()),0)</f>
        <v>0</v>
      </c>
      <c r="G317" s="35">
        <f>IFERROR(VLOOKUP("2_"&amp;A317,SyS!$B:$P,12,FALSE()),0)</f>
        <v>0</v>
      </c>
      <c r="H317" s="36">
        <f>+F317-G317</f>
        <v>0</v>
      </c>
      <c r="I317" s="35"/>
      <c r="J317" s="35"/>
      <c r="K317" s="35"/>
      <c r="L317" s="35"/>
      <c r="M317" s="35"/>
      <c r="N317" s="35"/>
      <c r="O317" s="34">
        <f>IFERROR(VLOOKUP("14_"&amp;A317,SyS!$B:$P,10,FALSE()),0)</f>
        <v>0</v>
      </c>
      <c r="P317" s="35">
        <f>IFERROR(VLOOKUP("14_"&amp;A317,SyS!$B:$P,12,FALSE()),0)</f>
        <v>0</v>
      </c>
      <c r="Q317" s="36">
        <f>+O317-P317</f>
        <v>0</v>
      </c>
      <c r="R317" s="34">
        <f>IFERROR(VLOOKUP("15_"&amp;A317,SyS!$B:$P,10,FALSE()),0)</f>
        <v>0</v>
      </c>
      <c r="S317" s="35">
        <f>IFERROR(VLOOKUP("15_"&amp;A317,SyS!$B:$P,12,FALSE()),0)</f>
        <v>0</v>
      </c>
      <c r="T317" s="36">
        <f>+R317-S317</f>
        <v>0</v>
      </c>
      <c r="U317" s="34">
        <f>IFERROR(VLOOKUP("16_"&amp;A317,SyS!$B:$P,10,FALSE()),0)</f>
        <v>0</v>
      </c>
      <c r="V317" s="35">
        <f>IFERROR(VLOOKUP("16_"&amp;A317,SyS!$B:$P,12,FALSE()),0)</f>
        <v>0</v>
      </c>
      <c r="W317" s="36">
        <f>+U317-V317</f>
        <v>0</v>
      </c>
      <c r="X317" s="34">
        <f>IFERROR(VLOOKUP("13_"&amp;A317,SyS!$B:$P,10,FALSE()),0)</f>
        <v>0</v>
      </c>
      <c r="Y317" s="35">
        <f>IFERROR(VLOOKUP("13_"&amp;A317,SyS!$B:$P,12,FALSE()),0)</f>
        <v>0</v>
      </c>
      <c r="Z317" s="36">
        <f>+X317-Y317</f>
        <v>0</v>
      </c>
      <c r="AA317" s="34">
        <f>IFERROR(VLOOKUP("17_"&amp;A317,SyS!$B:$P,10,FALSE()),0)</f>
        <v>0</v>
      </c>
      <c r="AB317" s="35">
        <f>IFERROR(VLOOKUP("17_"&amp;A317,SyS!$B:$P,12,FALSE()),0)</f>
        <v>0</v>
      </c>
      <c r="AC317" s="36">
        <f>+AA317-AB317</f>
        <v>0</v>
      </c>
      <c r="AD317" s="35"/>
      <c r="AE317" s="35"/>
      <c r="AF317" s="35"/>
      <c r="AG317" s="35">
        <f>IFERROR(VLOOKUP("19_"&amp;A317,SyS!$B:$P,10,FALSE()),0)</f>
        <v>0</v>
      </c>
      <c r="AH317" s="35">
        <f>IFERROR(VLOOKUP("19_"&amp;A317,SyS!$B:$P,12,FALSE()),0)</f>
        <v>0</v>
      </c>
      <c r="AI317" s="35">
        <f>+AG317-AH317</f>
        <v>0</v>
      </c>
      <c r="AJ317" s="35"/>
      <c r="AK317" s="35"/>
      <c r="AL317" s="35"/>
      <c r="AM317" s="34">
        <f>IFERROR(VLOOKUP("23_"&amp;A317,SyS!$B:$P,10,FALSE()),0)</f>
        <v>0</v>
      </c>
      <c r="AN317" s="35">
        <f>IFERROR(VLOOKUP("23_"&amp;A317,SyS!$B:$P,12,FALSE()),0)</f>
        <v>0</v>
      </c>
      <c r="AO317" s="36">
        <f>+AM317-AN317</f>
        <v>0</v>
      </c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  <c r="BC317" s="40"/>
      <c r="BD317" s="40"/>
      <c r="BE317" s="40"/>
      <c r="BF317" s="40"/>
      <c r="BG317" s="40"/>
      <c r="BH317" s="40"/>
      <c r="BI317" s="40"/>
      <c r="BJ317" s="40"/>
      <c r="BK317" s="40">
        <f>IFERROR(VLOOKUP("29_"&amp;A317,SyS!$B:$P,10,FALSE()),0)</f>
        <v>0</v>
      </c>
      <c r="BL317" s="40">
        <f>IFERROR(VLOOKUP("29_"&amp;A317,SyS!$B:$P,12,FALSE()),0)</f>
        <v>0</v>
      </c>
      <c r="BM317" s="40">
        <f>+BK317-BL317</f>
        <v>0</v>
      </c>
      <c r="BN317" s="46">
        <f>IFERROR(VLOOKUP("30_"&amp;A317,SyS!$B:$P,10,FALSE()),0)</f>
        <v>0</v>
      </c>
      <c r="BO317" s="40">
        <f>IFERROR(VLOOKUP("30_"&amp;A317,SyS!$B:$P,12,FALSE()),0)</f>
        <v>0</v>
      </c>
      <c r="BP317" s="47">
        <f>+BN317-BO317</f>
        <v>0</v>
      </c>
      <c r="BQ317" s="45">
        <f>+E317+H317+K317+N317+Q317+T317+W317+Z317+AC317+AF317+AI317+AL317+AO317+AR317+AU317+AX317+BA317+BD317+BG317+BJ317+BM317+BP317</f>
        <v>0</v>
      </c>
    </row>
    <row r="318" ht="11.25" customHeight="1" spans="1:69" x14ac:dyDescent="0.25">
      <c r="A318" s="9">
        <v>427140000</v>
      </c>
      <c r="B318" s="9" t="s">
        <v>352</v>
      </c>
      <c r="C318" s="34">
        <f>IFERROR(VLOOKUP("1_"&amp;A318,SyS!$B:$P,10,FALSE()),0)</f>
        <v>0</v>
      </c>
      <c r="D318" s="35">
        <f>IFERROR(VLOOKUP("1_"&amp;A318,SyS!$B:$P,12,FALSE()),0)</f>
        <v>0</v>
      </c>
      <c r="E318" s="35">
        <f>+C318-D318</f>
        <v>0</v>
      </c>
      <c r="F318" s="34">
        <f>IFERROR(VLOOKUP("2_"&amp;A318,SyS!$B:$P,10,FALSE()),0)</f>
        <v>0</v>
      </c>
      <c r="G318" s="35">
        <f>IFERROR(VLOOKUP("2_"&amp;A318,SyS!$B:$P,12,FALSE()),0)</f>
        <v>0</v>
      </c>
      <c r="H318" s="36">
        <f>+F318-G318</f>
        <v>0</v>
      </c>
      <c r="I318" s="35"/>
      <c r="J318" s="35"/>
      <c r="K318" s="35"/>
      <c r="L318" s="35"/>
      <c r="M318" s="35"/>
      <c r="N318" s="35"/>
      <c r="O318" s="34">
        <f>IFERROR(VLOOKUP("14_"&amp;A318,SyS!$B:$P,10,FALSE()),0)</f>
        <v>0</v>
      </c>
      <c r="P318" s="35">
        <f>IFERROR(VLOOKUP("14_"&amp;A318,SyS!$B:$P,12,FALSE()),0)</f>
        <v>0</v>
      </c>
      <c r="Q318" s="36">
        <f>+O318-P318</f>
        <v>0</v>
      </c>
      <c r="R318" s="34">
        <f>IFERROR(VLOOKUP("15_"&amp;A318,SyS!$B:$P,10,FALSE()),0)</f>
        <v>0</v>
      </c>
      <c r="S318" s="35">
        <f>IFERROR(VLOOKUP("15_"&amp;A318,SyS!$B:$P,12,FALSE()),0)</f>
        <v>0</v>
      </c>
      <c r="T318" s="36">
        <f>+R318-S318</f>
        <v>0</v>
      </c>
      <c r="U318" s="34">
        <f>IFERROR(VLOOKUP("16_"&amp;A318,SyS!$B:$P,10,FALSE()),0)</f>
        <v>0</v>
      </c>
      <c r="V318" s="35">
        <f>IFERROR(VLOOKUP("16_"&amp;A318,SyS!$B:$P,12,FALSE()),0)</f>
        <v>0</v>
      </c>
      <c r="W318" s="36">
        <f>+U318-V318</f>
        <v>0</v>
      </c>
      <c r="X318" s="34">
        <f>IFERROR(VLOOKUP("13_"&amp;A318,SyS!$B:$P,10,FALSE()),0)</f>
        <v>0</v>
      </c>
      <c r="Y318" s="35">
        <f>IFERROR(VLOOKUP("13_"&amp;A318,SyS!$B:$P,12,FALSE()),0)</f>
        <v>0</v>
      </c>
      <c r="Z318" s="36">
        <f>+X318-Y318</f>
        <v>0</v>
      </c>
      <c r="AA318" s="34">
        <f>IFERROR(VLOOKUP("17_"&amp;A318,SyS!$B:$P,10,FALSE()),0)</f>
        <v>0</v>
      </c>
      <c r="AB318" s="35">
        <f>IFERROR(VLOOKUP("17_"&amp;A318,SyS!$B:$P,12,FALSE()),0)</f>
        <v>0</v>
      </c>
      <c r="AC318" s="36">
        <f>+AA318-AB318</f>
        <v>0</v>
      </c>
      <c r="AD318" s="35"/>
      <c r="AE318" s="35"/>
      <c r="AF318" s="35"/>
      <c r="AG318" s="35">
        <f>IFERROR(VLOOKUP("19_"&amp;A318,SyS!$B:$P,10,FALSE()),0)</f>
        <v>0</v>
      </c>
      <c r="AH318" s="35">
        <f>IFERROR(VLOOKUP("19_"&amp;A318,SyS!$B:$P,12,FALSE()),0)</f>
        <v>0</v>
      </c>
      <c r="AI318" s="35">
        <f>+AG318-AH318</f>
        <v>0</v>
      </c>
      <c r="AJ318" s="35"/>
      <c r="AK318" s="35"/>
      <c r="AL318" s="35"/>
      <c r="AM318" s="34">
        <f>IFERROR(VLOOKUP("23_"&amp;A318,SyS!$B:$P,10,FALSE()),0)</f>
        <v>0</v>
      </c>
      <c r="AN318" s="35">
        <f>IFERROR(VLOOKUP("23_"&amp;A318,SyS!$B:$P,12,FALSE()),0)</f>
        <v>0</v>
      </c>
      <c r="AO318" s="36">
        <f>+AM318-AN318</f>
        <v>0</v>
      </c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  <c r="BC318" s="40"/>
      <c r="BD318" s="40"/>
      <c r="BE318" s="40"/>
      <c r="BF318" s="40"/>
      <c r="BG318" s="40"/>
      <c r="BH318" s="40"/>
      <c r="BI318" s="40"/>
      <c r="BJ318" s="40"/>
      <c r="BK318" s="40">
        <f>IFERROR(VLOOKUP("29_"&amp;A318,SyS!$B:$P,10,FALSE()),0)</f>
        <v>0</v>
      </c>
      <c r="BL318" s="40">
        <f>IFERROR(VLOOKUP("29_"&amp;A318,SyS!$B:$P,12,FALSE()),0)</f>
        <v>0</v>
      </c>
      <c r="BM318" s="40">
        <f>+BK318-BL318</f>
        <v>0</v>
      </c>
      <c r="BN318" s="46">
        <f>IFERROR(VLOOKUP("30_"&amp;A318,SyS!$B:$P,10,FALSE()),0)</f>
        <v>0</v>
      </c>
      <c r="BO318" s="40">
        <f>IFERROR(VLOOKUP("30_"&amp;A318,SyS!$B:$P,12,FALSE()),0)</f>
        <v>0</v>
      </c>
      <c r="BP318" s="47">
        <f>+BN318-BO318</f>
        <v>0</v>
      </c>
      <c r="BQ318" s="45">
        <f>+E318+H318+K318+N318+Q318+T318+W318+Z318+AC318+AF318+AI318+AL318+AO318+AR318+AU318+AX318+BA318+BD318+BG318+BJ318+BM318+BP318</f>
        <v>0</v>
      </c>
    </row>
    <row r="319" ht="11.25" customHeight="1" spans="1:69" x14ac:dyDescent="0.25">
      <c r="A319" s="9">
        <v>427150000</v>
      </c>
      <c r="B319" s="9" t="s">
        <v>353</v>
      </c>
      <c r="C319" s="34">
        <f>IFERROR(VLOOKUP("1_"&amp;A319,SyS!$B:$P,10,FALSE()),0)</f>
        <v>0</v>
      </c>
      <c r="D319" s="35">
        <f>IFERROR(VLOOKUP("1_"&amp;A319,SyS!$B:$P,12,FALSE()),0)</f>
        <v>0</v>
      </c>
      <c r="E319" s="35">
        <f>+C319-D319</f>
        <v>0</v>
      </c>
      <c r="F319" s="34">
        <f>IFERROR(VLOOKUP("2_"&amp;A319,SyS!$B:$P,10,FALSE()),0)</f>
        <v>0</v>
      </c>
      <c r="G319" s="35">
        <f>IFERROR(VLOOKUP("2_"&amp;A319,SyS!$B:$P,12,FALSE()),0)</f>
        <v>0</v>
      </c>
      <c r="H319" s="36">
        <f>+F319-G319</f>
        <v>0</v>
      </c>
      <c r="I319" s="35"/>
      <c r="J319" s="35"/>
      <c r="K319" s="35"/>
      <c r="L319" s="35"/>
      <c r="M319" s="35"/>
      <c r="N319" s="35"/>
      <c r="O319" s="34">
        <f>IFERROR(VLOOKUP("14_"&amp;A319,SyS!$B:$P,10,FALSE()),0)</f>
        <v>0</v>
      </c>
      <c r="P319" s="35">
        <f>IFERROR(VLOOKUP("14_"&amp;A319,SyS!$B:$P,12,FALSE()),0)</f>
        <v>0</v>
      </c>
      <c r="Q319" s="36">
        <f>+O319-P319</f>
        <v>0</v>
      </c>
      <c r="R319" s="34">
        <f>IFERROR(VLOOKUP("15_"&amp;A319,SyS!$B:$P,10,FALSE()),0)</f>
        <v>0</v>
      </c>
      <c r="S319" s="35">
        <f>IFERROR(VLOOKUP("15_"&amp;A319,SyS!$B:$P,12,FALSE()),0)</f>
        <v>0</v>
      </c>
      <c r="T319" s="36">
        <f>+R319-S319</f>
        <v>0</v>
      </c>
      <c r="U319" s="34">
        <f>IFERROR(VLOOKUP("16_"&amp;A319,SyS!$B:$P,10,FALSE()),0)</f>
        <v>0</v>
      </c>
      <c r="V319" s="35">
        <f>IFERROR(VLOOKUP("16_"&amp;A319,SyS!$B:$P,12,FALSE()),0)</f>
        <v>0</v>
      </c>
      <c r="W319" s="36">
        <f>+U319-V319</f>
        <v>0</v>
      </c>
      <c r="X319" s="34">
        <f>IFERROR(VLOOKUP("13_"&amp;A319,SyS!$B:$P,10,FALSE()),0)</f>
        <v>0</v>
      </c>
      <c r="Y319" s="35">
        <f>IFERROR(VLOOKUP("13_"&amp;A319,SyS!$B:$P,12,FALSE()),0)</f>
        <v>0</v>
      </c>
      <c r="Z319" s="36">
        <f>+X319-Y319</f>
        <v>0</v>
      </c>
      <c r="AA319" s="34">
        <f>IFERROR(VLOOKUP("17_"&amp;A319,SyS!$B:$P,10,FALSE()),0)</f>
        <v>0</v>
      </c>
      <c r="AB319" s="35">
        <f>IFERROR(VLOOKUP("17_"&amp;A319,SyS!$B:$P,12,FALSE()),0)</f>
        <v>0</v>
      </c>
      <c r="AC319" s="36">
        <f>+AA319-AB319</f>
        <v>0</v>
      </c>
      <c r="AD319" s="35"/>
      <c r="AE319" s="35"/>
      <c r="AF319" s="35"/>
      <c r="AG319" s="35">
        <f>IFERROR(VLOOKUP("19_"&amp;A319,SyS!$B:$P,10,FALSE()),0)</f>
        <v>0</v>
      </c>
      <c r="AH319" s="35">
        <f>IFERROR(VLOOKUP("19_"&amp;A319,SyS!$B:$P,12,FALSE()),0)</f>
        <v>0</v>
      </c>
      <c r="AI319" s="35">
        <f>+AG319-AH319</f>
        <v>0</v>
      </c>
      <c r="AJ319" s="35"/>
      <c r="AK319" s="35"/>
      <c r="AL319" s="35"/>
      <c r="AM319" s="34">
        <f>IFERROR(VLOOKUP("23_"&amp;A319,SyS!$B:$P,10,FALSE()),0)</f>
        <v>0</v>
      </c>
      <c r="AN319" s="35">
        <f>IFERROR(VLOOKUP("23_"&amp;A319,SyS!$B:$P,12,FALSE()),0)</f>
        <v>0</v>
      </c>
      <c r="AO319" s="36">
        <f>+AM319-AN319</f>
        <v>0</v>
      </c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  <c r="BB319" s="40"/>
      <c r="BC319" s="40"/>
      <c r="BD319" s="40"/>
      <c r="BE319" s="40"/>
      <c r="BF319" s="40"/>
      <c r="BG319" s="40"/>
      <c r="BH319" s="40"/>
      <c r="BI319" s="40"/>
      <c r="BJ319" s="40"/>
      <c r="BK319" s="40">
        <f>IFERROR(VLOOKUP("29_"&amp;A319,SyS!$B:$P,10,FALSE()),0)</f>
        <v>0</v>
      </c>
      <c r="BL319" s="40">
        <f>IFERROR(VLOOKUP("29_"&amp;A319,SyS!$B:$P,12,FALSE()),0)</f>
        <v>0</v>
      </c>
      <c r="BM319" s="40">
        <f>+BK319-BL319</f>
        <v>0</v>
      </c>
      <c r="BN319" s="46">
        <f>IFERROR(VLOOKUP("30_"&amp;A319,SyS!$B:$P,10,FALSE()),0)</f>
        <v>0</v>
      </c>
      <c r="BO319" s="40">
        <f>IFERROR(VLOOKUP("30_"&amp;A319,SyS!$B:$P,12,FALSE()),0)</f>
        <v>0</v>
      </c>
      <c r="BP319" s="47">
        <f>+BN319-BO319</f>
        <v>0</v>
      </c>
      <c r="BQ319" s="45">
        <f>+E319+H319+K319+N319+Q319+T319+W319+Z319+AC319+AF319+AI319+AL319+AO319+AR319+AU319+AX319+BA319+BD319+BG319+BJ319+BM319+BP319</f>
        <v>0</v>
      </c>
    </row>
    <row r="320" ht="11.25" customHeight="1" spans="1:69" x14ac:dyDescent="0.25">
      <c r="A320" s="9">
        <v>427160000</v>
      </c>
      <c r="B320" s="9" t="s">
        <v>354</v>
      </c>
      <c r="C320" s="34">
        <f>IFERROR(VLOOKUP("1_"&amp;A320,SyS!$B:$P,10,FALSE()),0)</f>
        <v>0</v>
      </c>
      <c r="D320" s="35">
        <f>IFERROR(VLOOKUP("1_"&amp;A320,SyS!$B:$P,12,FALSE()),0)</f>
        <v>0</v>
      </c>
      <c r="E320" s="35">
        <f>+C320-D320</f>
        <v>0</v>
      </c>
      <c r="F320" s="34">
        <f>IFERROR(VLOOKUP("2_"&amp;A320,SyS!$B:$P,10,FALSE()),0)</f>
        <v>0</v>
      </c>
      <c r="G320" s="35">
        <f>IFERROR(VLOOKUP("2_"&amp;A320,SyS!$B:$P,12,FALSE()),0)</f>
        <v>0</v>
      </c>
      <c r="H320" s="36">
        <f>+F320-G320</f>
        <v>0</v>
      </c>
      <c r="I320" s="35"/>
      <c r="J320" s="35"/>
      <c r="K320" s="35"/>
      <c r="L320" s="35"/>
      <c r="M320" s="35"/>
      <c r="N320" s="35"/>
      <c r="O320" s="34">
        <f>IFERROR(VLOOKUP("14_"&amp;A320,SyS!$B:$P,10,FALSE()),0)</f>
        <v>0</v>
      </c>
      <c r="P320" s="35">
        <f>IFERROR(VLOOKUP("14_"&amp;A320,SyS!$B:$P,12,FALSE()),0)</f>
        <v>0</v>
      </c>
      <c r="Q320" s="36">
        <f>+O320-P320</f>
        <v>0</v>
      </c>
      <c r="R320" s="34">
        <f>IFERROR(VLOOKUP("15_"&amp;A320,SyS!$B:$P,10,FALSE()),0)</f>
        <v>0</v>
      </c>
      <c r="S320" s="35">
        <f>IFERROR(VLOOKUP("15_"&amp;A320,SyS!$B:$P,12,FALSE()),0)</f>
        <v>0</v>
      </c>
      <c r="T320" s="36">
        <f>+R320-S320</f>
        <v>0</v>
      </c>
      <c r="U320" s="34">
        <f>IFERROR(VLOOKUP("16_"&amp;A320,SyS!$B:$P,10,FALSE()),0)</f>
        <v>0</v>
      </c>
      <c r="V320" s="35">
        <f>IFERROR(VLOOKUP("16_"&amp;A320,SyS!$B:$P,12,FALSE()),0)</f>
        <v>0</v>
      </c>
      <c r="W320" s="36">
        <f>+U320-V320</f>
        <v>0</v>
      </c>
      <c r="X320" s="34">
        <f>IFERROR(VLOOKUP("13_"&amp;A320,SyS!$B:$P,10,FALSE()),0)</f>
        <v>0</v>
      </c>
      <c r="Y320" s="35">
        <f>IFERROR(VLOOKUP("13_"&amp;A320,SyS!$B:$P,12,FALSE()),0)</f>
        <v>0</v>
      </c>
      <c r="Z320" s="36">
        <f>+X320-Y320</f>
        <v>0</v>
      </c>
      <c r="AA320" s="34">
        <f>IFERROR(VLOOKUP("17_"&amp;A320,SyS!$B:$P,10,FALSE()),0)</f>
        <v>0</v>
      </c>
      <c r="AB320" s="35">
        <f>IFERROR(VLOOKUP("17_"&amp;A320,SyS!$B:$P,12,FALSE()),0)</f>
        <v>0</v>
      </c>
      <c r="AC320" s="36">
        <f>+AA320-AB320</f>
        <v>0</v>
      </c>
      <c r="AD320" s="35"/>
      <c r="AE320" s="35"/>
      <c r="AF320" s="35"/>
      <c r="AG320" s="35">
        <f>IFERROR(VLOOKUP("19_"&amp;A320,SyS!$B:$P,10,FALSE()),0)</f>
        <v>0</v>
      </c>
      <c r="AH320" s="35">
        <f>IFERROR(VLOOKUP("19_"&amp;A320,SyS!$B:$P,12,FALSE()),0)</f>
        <v>0</v>
      </c>
      <c r="AI320" s="35">
        <f>+AG320-AH320</f>
        <v>0</v>
      </c>
      <c r="AJ320" s="35"/>
      <c r="AK320" s="35"/>
      <c r="AL320" s="35"/>
      <c r="AM320" s="34">
        <f>IFERROR(VLOOKUP("23_"&amp;A320,SyS!$B:$P,10,FALSE()),0)</f>
        <v>0</v>
      </c>
      <c r="AN320" s="35">
        <f>IFERROR(VLOOKUP("23_"&amp;A320,SyS!$B:$P,12,FALSE()),0)</f>
        <v>0</v>
      </c>
      <c r="AO320" s="36">
        <f>+AM320-AN320</f>
        <v>0</v>
      </c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  <c r="BC320" s="40"/>
      <c r="BD320" s="40"/>
      <c r="BE320" s="40"/>
      <c r="BF320" s="40"/>
      <c r="BG320" s="40"/>
      <c r="BH320" s="40"/>
      <c r="BI320" s="40"/>
      <c r="BJ320" s="40"/>
      <c r="BK320" s="40">
        <f>IFERROR(VLOOKUP("29_"&amp;A320,SyS!$B:$P,10,FALSE()),0)</f>
        <v>0</v>
      </c>
      <c r="BL320" s="40">
        <f>IFERROR(VLOOKUP("29_"&amp;A320,SyS!$B:$P,12,FALSE()),0)</f>
        <v>0</v>
      </c>
      <c r="BM320" s="40">
        <f>+BK320-BL320</f>
        <v>0</v>
      </c>
      <c r="BN320" s="46">
        <f>IFERROR(VLOOKUP("30_"&amp;A320,SyS!$B:$P,10,FALSE()),0)</f>
        <v>0</v>
      </c>
      <c r="BO320" s="40">
        <f>IFERROR(VLOOKUP("30_"&amp;A320,SyS!$B:$P,12,FALSE()),0)</f>
        <v>0</v>
      </c>
      <c r="BP320" s="47">
        <f>+BN320-BO320</f>
        <v>0</v>
      </c>
      <c r="BQ320" s="45">
        <f>+E320+H320+K320+N320+Q320+T320+W320+Z320+AC320+AF320+AI320+AL320+AO320+AR320+AU320+AX320+BA320+BD320+BG320+BJ320+BM320+BP320</f>
        <v>0</v>
      </c>
    </row>
    <row r="321" ht="11.25" customHeight="1" spans="1:69" x14ac:dyDescent="0.25">
      <c r="A321" s="9">
        <v>427170000</v>
      </c>
      <c r="B321" s="9" t="s">
        <v>355</v>
      </c>
      <c r="C321" s="34">
        <f>IFERROR(VLOOKUP("1_"&amp;A321,SyS!$B:$P,10,FALSE()),0)</f>
        <v>0</v>
      </c>
      <c r="D321" s="35">
        <f>IFERROR(VLOOKUP("1_"&amp;A321,SyS!$B:$P,12,FALSE()),0)</f>
        <v>0</v>
      </c>
      <c r="E321" s="35">
        <f>+C321-D321</f>
        <v>0</v>
      </c>
      <c r="F321" s="34">
        <f>IFERROR(VLOOKUP("2_"&amp;A321,SyS!$B:$P,10,FALSE()),0)</f>
        <v>0</v>
      </c>
      <c r="G321" s="35">
        <f>IFERROR(VLOOKUP("2_"&amp;A321,SyS!$B:$P,12,FALSE()),0)</f>
        <v>0</v>
      </c>
      <c r="H321" s="36">
        <f>+F321-G321</f>
        <v>0</v>
      </c>
      <c r="I321" s="35"/>
      <c r="J321" s="35"/>
      <c r="K321" s="35"/>
      <c r="L321" s="35"/>
      <c r="M321" s="35"/>
      <c r="N321" s="35"/>
      <c r="O321" s="34">
        <f>IFERROR(VLOOKUP("14_"&amp;A321,SyS!$B:$P,10,FALSE()),0)</f>
        <v>0</v>
      </c>
      <c r="P321" s="35">
        <f>IFERROR(VLOOKUP("14_"&amp;A321,SyS!$B:$P,12,FALSE()),0)</f>
        <v>0</v>
      </c>
      <c r="Q321" s="36">
        <f>+O321-P321</f>
        <v>0</v>
      </c>
      <c r="R321" s="34">
        <f>IFERROR(VLOOKUP("15_"&amp;A321,SyS!$B:$P,10,FALSE()),0)</f>
        <v>0</v>
      </c>
      <c r="S321" s="35">
        <f>IFERROR(VLOOKUP("15_"&amp;A321,SyS!$B:$P,12,FALSE()),0)</f>
        <v>0</v>
      </c>
      <c r="T321" s="36">
        <f>+R321-S321</f>
        <v>0</v>
      </c>
      <c r="U321" s="34">
        <f>IFERROR(VLOOKUP("16_"&amp;A321,SyS!$B:$P,10,FALSE()),0)</f>
        <v>0</v>
      </c>
      <c r="V321" s="35">
        <f>IFERROR(VLOOKUP("16_"&amp;A321,SyS!$B:$P,12,FALSE()),0)</f>
        <v>0</v>
      </c>
      <c r="W321" s="36">
        <f>+U321-V321</f>
        <v>0</v>
      </c>
      <c r="X321" s="34">
        <f>IFERROR(VLOOKUP("13_"&amp;A321,SyS!$B:$P,10,FALSE()),0)</f>
        <v>0</v>
      </c>
      <c r="Y321" s="35">
        <f>IFERROR(VLOOKUP("13_"&amp;A321,SyS!$B:$P,12,FALSE()),0)</f>
        <v>0</v>
      </c>
      <c r="Z321" s="36">
        <f>+X321-Y321</f>
        <v>0</v>
      </c>
      <c r="AA321" s="34">
        <f>IFERROR(VLOOKUP("17_"&amp;A321,SyS!$B:$P,10,FALSE()),0)</f>
        <v>0</v>
      </c>
      <c r="AB321" s="35">
        <f>IFERROR(VLOOKUP("17_"&amp;A321,SyS!$B:$P,12,FALSE()),0)</f>
        <v>0</v>
      </c>
      <c r="AC321" s="36">
        <f>+AA321-AB321</f>
        <v>0</v>
      </c>
      <c r="AD321" s="35"/>
      <c r="AE321" s="35"/>
      <c r="AF321" s="35"/>
      <c r="AG321" s="35">
        <f>IFERROR(VLOOKUP("19_"&amp;A321,SyS!$B:$P,10,FALSE()),0)</f>
        <v>0</v>
      </c>
      <c r="AH321" s="35">
        <f>IFERROR(VLOOKUP("19_"&amp;A321,SyS!$B:$P,12,FALSE()),0)</f>
        <v>0</v>
      </c>
      <c r="AI321" s="35">
        <f>+AG321-AH321</f>
        <v>0</v>
      </c>
      <c r="AJ321" s="35"/>
      <c r="AK321" s="35"/>
      <c r="AL321" s="35"/>
      <c r="AM321" s="34">
        <f>IFERROR(VLOOKUP("23_"&amp;A321,SyS!$B:$P,10,FALSE()),0)</f>
        <v>0</v>
      </c>
      <c r="AN321" s="35">
        <f>IFERROR(VLOOKUP("23_"&amp;A321,SyS!$B:$P,12,FALSE()),0)</f>
        <v>0</v>
      </c>
      <c r="AO321" s="36">
        <f>+AM321-AN321</f>
        <v>0</v>
      </c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  <c r="BB321" s="40"/>
      <c r="BC321" s="40"/>
      <c r="BD321" s="40"/>
      <c r="BE321" s="40"/>
      <c r="BF321" s="40"/>
      <c r="BG321" s="40"/>
      <c r="BH321" s="40"/>
      <c r="BI321" s="40"/>
      <c r="BJ321" s="40"/>
      <c r="BK321" s="40">
        <f>IFERROR(VLOOKUP("29_"&amp;A321,SyS!$B:$P,10,FALSE()),0)</f>
        <v>0</v>
      </c>
      <c r="BL321" s="40">
        <f>IFERROR(VLOOKUP("29_"&amp;A321,SyS!$B:$P,12,FALSE()),0)</f>
        <v>0</v>
      </c>
      <c r="BM321" s="40">
        <f>+BK321-BL321</f>
        <v>0</v>
      </c>
      <c r="BN321" s="46">
        <f>IFERROR(VLOOKUP("30_"&amp;A321,SyS!$B:$P,10,FALSE()),0)</f>
        <v>0</v>
      </c>
      <c r="BO321" s="40">
        <f>IFERROR(VLOOKUP("30_"&amp;A321,SyS!$B:$P,12,FALSE()),0)</f>
        <v>0</v>
      </c>
      <c r="BP321" s="47">
        <f>+BN321-BO321</f>
        <v>0</v>
      </c>
      <c r="BQ321" s="45">
        <f>+E321+H321+K321+N321+Q321+T321+W321+Z321+AC321+AF321+AI321+AL321+AO321+AR321+AU321+AX321+BA321+BD321+BG321+BJ321+BM321+BP321</f>
        <v>0</v>
      </c>
    </row>
    <row r="322" ht="11.25" customHeight="1" spans="1:69" x14ac:dyDescent="0.25">
      <c r="A322" s="9">
        <v>427180000</v>
      </c>
      <c r="B322" s="9" t="s">
        <v>356</v>
      </c>
      <c r="C322" s="34">
        <f>IFERROR(VLOOKUP("1_"&amp;A322,SyS!$B:$P,10,FALSE()),0)</f>
        <v>0</v>
      </c>
      <c r="D322" s="35">
        <f>IFERROR(VLOOKUP("1_"&amp;A322,SyS!$B:$P,12,FALSE()),0)</f>
        <v>0</v>
      </c>
      <c r="E322" s="35">
        <f>+C322-D322</f>
        <v>0</v>
      </c>
      <c r="F322" s="34">
        <f>IFERROR(VLOOKUP("2_"&amp;A322,SyS!$B:$P,10,FALSE()),0)</f>
        <v>0</v>
      </c>
      <c r="G322" s="35">
        <f>IFERROR(VLOOKUP("2_"&amp;A322,SyS!$B:$P,12,FALSE()),0)</f>
        <v>0</v>
      </c>
      <c r="H322" s="36">
        <f>+F322-G322</f>
        <v>0</v>
      </c>
      <c r="I322" s="35"/>
      <c r="J322" s="35"/>
      <c r="K322" s="35"/>
      <c r="L322" s="35"/>
      <c r="M322" s="35"/>
      <c r="N322" s="35"/>
      <c r="O322" s="34">
        <f>IFERROR(VLOOKUP("14_"&amp;A322,SyS!$B:$P,10,FALSE()),0)</f>
        <v>0</v>
      </c>
      <c r="P322" s="35">
        <f>IFERROR(VLOOKUP("14_"&amp;A322,SyS!$B:$P,12,FALSE()),0)</f>
        <v>0</v>
      </c>
      <c r="Q322" s="36">
        <f>+O322-P322</f>
        <v>0</v>
      </c>
      <c r="R322" s="34">
        <f>IFERROR(VLOOKUP("15_"&amp;A322,SyS!$B:$P,10,FALSE()),0)</f>
        <v>0</v>
      </c>
      <c r="S322" s="35">
        <f>IFERROR(VLOOKUP("15_"&amp;A322,SyS!$B:$P,12,FALSE()),0)</f>
        <v>0</v>
      </c>
      <c r="T322" s="36">
        <f>+R322-S322</f>
        <v>0</v>
      </c>
      <c r="U322" s="34">
        <f>IFERROR(VLOOKUP("16_"&amp;A322,SyS!$B:$P,10,FALSE()),0)</f>
        <v>0</v>
      </c>
      <c r="V322" s="35">
        <f>IFERROR(VLOOKUP("16_"&amp;A322,SyS!$B:$P,12,FALSE()),0)</f>
        <v>0</v>
      </c>
      <c r="W322" s="36">
        <f>+U322-V322</f>
        <v>0</v>
      </c>
      <c r="X322" s="34">
        <f>IFERROR(VLOOKUP("13_"&amp;A322,SyS!$B:$P,10,FALSE()),0)</f>
        <v>0</v>
      </c>
      <c r="Y322" s="35">
        <f>IFERROR(VLOOKUP("13_"&amp;A322,SyS!$B:$P,12,FALSE()),0)</f>
        <v>0</v>
      </c>
      <c r="Z322" s="36">
        <f>+X322-Y322</f>
        <v>0</v>
      </c>
      <c r="AA322" s="34">
        <f>IFERROR(VLOOKUP("17_"&amp;A322,SyS!$B:$P,10,FALSE()),0)</f>
        <v>0</v>
      </c>
      <c r="AB322" s="35">
        <f>IFERROR(VLOOKUP("17_"&amp;A322,SyS!$B:$P,12,FALSE()),0)</f>
        <v>0</v>
      </c>
      <c r="AC322" s="36">
        <f>+AA322-AB322</f>
        <v>0</v>
      </c>
      <c r="AD322" s="35"/>
      <c r="AE322" s="35"/>
      <c r="AF322" s="35"/>
      <c r="AG322" s="35">
        <f>IFERROR(VLOOKUP("19_"&amp;A322,SyS!$B:$P,10,FALSE()),0)</f>
        <v>0</v>
      </c>
      <c r="AH322" s="35">
        <f>IFERROR(VLOOKUP("19_"&amp;A322,SyS!$B:$P,12,FALSE()),0)</f>
        <v>0</v>
      </c>
      <c r="AI322" s="35">
        <f>+AG322-AH322</f>
        <v>0</v>
      </c>
      <c r="AJ322" s="35"/>
      <c r="AK322" s="35"/>
      <c r="AL322" s="35"/>
      <c r="AM322" s="34">
        <f>IFERROR(VLOOKUP("23_"&amp;A322,SyS!$B:$P,10,FALSE()),0)</f>
        <v>0</v>
      </c>
      <c r="AN322" s="35">
        <f>IFERROR(VLOOKUP("23_"&amp;A322,SyS!$B:$P,12,FALSE()),0)</f>
        <v>0</v>
      </c>
      <c r="AO322" s="36">
        <f>+AM322-AN322</f>
        <v>0</v>
      </c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  <c r="BB322" s="40"/>
      <c r="BC322" s="40"/>
      <c r="BD322" s="40"/>
      <c r="BE322" s="40"/>
      <c r="BF322" s="40"/>
      <c r="BG322" s="40"/>
      <c r="BH322" s="40"/>
      <c r="BI322" s="40"/>
      <c r="BJ322" s="40"/>
      <c r="BK322" s="40">
        <f>IFERROR(VLOOKUP("29_"&amp;A322,SyS!$B:$P,10,FALSE()),0)</f>
        <v>0</v>
      </c>
      <c r="BL322" s="40">
        <f>IFERROR(VLOOKUP("29_"&amp;A322,SyS!$B:$P,12,FALSE()),0)</f>
        <v>0</v>
      </c>
      <c r="BM322" s="40">
        <f>+BK322-BL322</f>
        <v>0</v>
      </c>
      <c r="BN322" s="46">
        <f>IFERROR(VLOOKUP("30_"&amp;A322,SyS!$B:$P,10,FALSE()),0)</f>
        <v>0</v>
      </c>
      <c r="BO322" s="40">
        <f>IFERROR(VLOOKUP("30_"&amp;A322,SyS!$B:$P,12,FALSE()),0)</f>
        <v>0</v>
      </c>
      <c r="BP322" s="47">
        <f>+BN322-BO322</f>
        <v>0</v>
      </c>
      <c r="BQ322" s="45">
        <f>+E322+H322+K322+N322+Q322+T322+W322+Z322+AC322+AF322+AI322+AL322+AO322+AR322+AU322+AX322+BA322+BD322+BG322+BJ322+BM322+BP322</f>
        <v>0</v>
      </c>
    </row>
    <row r="323" ht="11.25" customHeight="1" spans="1:69" x14ac:dyDescent="0.25">
      <c r="A323" s="9">
        <v>427210000</v>
      </c>
      <c r="B323" s="9" t="s">
        <v>357</v>
      </c>
      <c r="C323" s="34">
        <f>IFERROR(VLOOKUP("1_"&amp;A323,SyS!$B:$P,10,FALSE()),0)</f>
        <v>0</v>
      </c>
      <c r="D323" s="35">
        <f>IFERROR(VLOOKUP("1_"&amp;A323,SyS!$B:$P,12,FALSE()),0)</f>
        <v>0</v>
      </c>
      <c r="E323" s="35">
        <f>+C323-D323</f>
        <v>0</v>
      </c>
      <c r="F323" s="34">
        <f>IFERROR(VLOOKUP("2_"&amp;A323,SyS!$B:$P,10,FALSE()),0)</f>
        <v>0</v>
      </c>
      <c r="G323" s="35">
        <f>IFERROR(VLOOKUP("2_"&amp;A323,SyS!$B:$P,12,FALSE()),0)</f>
        <v>0</v>
      </c>
      <c r="H323" s="36">
        <f>+F323-G323</f>
        <v>0</v>
      </c>
      <c r="I323" s="35"/>
      <c r="J323" s="35"/>
      <c r="K323" s="35"/>
      <c r="L323" s="35"/>
      <c r="M323" s="35"/>
      <c r="N323" s="35"/>
      <c r="O323" s="34">
        <f>IFERROR(VLOOKUP("14_"&amp;A323,SyS!$B:$P,10,FALSE()),0)</f>
        <v>0</v>
      </c>
      <c r="P323" s="35">
        <f>IFERROR(VLOOKUP("14_"&amp;A323,SyS!$B:$P,12,FALSE()),0)</f>
        <v>0</v>
      </c>
      <c r="Q323" s="36">
        <f>+O323-P323</f>
        <v>0</v>
      </c>
      <c r="R323" s="34">
        <f>IFERROR(VLOOKUP("15_"&amp;A323,SyS!$B:$P,10,FALSE()),0)</f>
        <v>0</v>
      </c>
      <c r="S323" s="35">
        <f>IFERROR(VLOOKUP("15_"&amp;A323,SyS!$B:$P,12,FALSE()),0)</f>
        <v>0</v>
      </c>
      <c r="T323" s="36">
        <f>+R323-S323</f>
        <v>0</v>
      </c>
      <c r="U323" s="34">
        <f>IFERROR(VLOOKUP("16_"&amp;A323,SyS!$B:$P,10,FALSE()),0)</f>
        <v>0</v>
      </c>
      <c r="V323" s="35">
        <f>IFERROR(VLOOKUP("16_"&amp;A323,SyS!$B:$P,12,FALSE()),0)</f>
        <v>0</v>
      </c>
      <c r="W323" s="36">
        <f>+U323-V323</f>
        <v>0</v>
      </c>
      <c r="X323" s="34">
        <f>IFERROR(VLOOKUP("13_"&amp;A323,SyS!$B:$P,10,FALSE()),0)</f>
        <v>0</v>
      </c>
      <c r="Y323" s="35">
        <f>IFERROR(VLOOKUP("13_"&amp;A323,SyS!$B:$P,12,FALSE()),0)</f>
        <v>0</v>
      </c>
      <c r="Z323" s="36">
        <f>+X323-Y323</f>
        <v>0</v>
      </c>
      <c r="AA323" s="34">
        <f>IFERROR(VLOOKUP("17_"&amp;A323,SyS!$B:$P,10,FALSE()),0)</f>
        <v>0</v>
      </c>
      <c r="AB323" s="35">
        <f>IFERROR(VLOOKUP("17_"&amp;A323,SyS!$B:$P,12,FALSE()),0)</f>
        <v>0</v>
      </c>
      <c r="AC323" s="36">
        <f>+AA323-AB323</f>
        <v>0</v>
      </c>
      <c r="AD323" s="35"/>
      <c r="AE323" s="35"/>
      <c r="AF323" s="35"/>
      <c r="AG323" s="35">
        <f>IFERROR(VLOOKUP("19_"&amp;A323,SyS!$B:$P,10,FALSE()),0)</f>
        <v>0</v>
      </c>
      <c r="AH323" s="35">
        <f>IFERROR(VLOOKUP("19_"&amp;A323,SyS!$B:$P,12,FALSE()),0)</f>
        <v>0</v>
      </c>
      <c r="AI323" s="35">
        <f>+AG323-AH323</f>
        <v>0</v>
      </c>
      <c r="AJ323" s="35"/>
      <c r="AK323" s="35"/>
      <c r="AL323" s="35"/>
      <c r="AM323" s="34">
        <f>IFERROR(VLOOKUP("23_"&amp;A323,SyS!$B:$P,10,FALSE()),0)</f>
        <v>0</v>
      </c>
      <c r="AN323" s="35">
        <f>IFERROR(VLOOKUP("23_"&amp;A323,SyS!$B:$P,12,FALSE()),0)</f>
        <v>0</v>
      </c>
      <c r="AO323" s="36">
        <f>+AM323-AN323</f>
        <v>0</v>
      </c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  <c r="BB323" s="40"/>
      <c r="BC323" s="40"/>
      <c r="BD323" s="40"/>
      <c r="BE323" s="40"/>
      <c r="BF323" s="40"/>
      <c r="BG323" s="40"/>
      <c r="BH323" s="40"/>
      <c r="BI323" s="40"/>
      <c r="BJ323" s="40"/>
      <c r="BK323" s="40">
        <f>IFERROR(VLOOKUP("29_"&amp;A323,SyS!$B:$P,10,FALSE()),0)</f>
        <v>0</v>
      </c>
      <c r="BL323" s="40">
        <f>IFERROR(VLOOKUP("29_"&amp;A323,SyS!$B:$P,12,FALSE()),0)</f>
        <v>0</v>
      </c>
      <c r="BM323" s="40">
        <f>+BK323-BL323</f>
        <v>0</v>
      </c>
      <c r="BN323" s="46">
        <f>IFERROR(VLOOKUP("30_"&amp;A323,SyS!$B:$P,10,FALSE()),0)</f>
        <v>0</v>
      </c>
      <c r="BO323" s="40">
        <f>IFERROR(VLOOKUP("30_"&amp;A323,SyS!$B:$P,12,FALSE()),0)</f>
        <v>0</v>
      </c>
      <c r="BP323" s="47">
        <f>+BN323-BO323</f>
        <v>0</v>
      </c>
      <c r="BQ323" s="45">
        <f>+E323+H323+K323+N323+Q323+T323+W323+Z323+AC323+AF323+AI323+AL323+AO323+AR323+AU323+AX323+BA323+BD323+BG323+BJ323+BM323+BP323</f>
        <v>0</v>
      </c>
    </row>
    <row r="324" ht="11.25" customHeight="1" spans="1:69" x14ac:dyDescent="0.25">
      <c r="A324" s="9">
        <v>427220000</v>
      </c>
      <c r="B324" s="9" t="s">
        <v>358</v>
      </c>
      <c r="C324" s="34">
        <f>IFERROR(VLOOKUP("1_"&amp;A324,SyS!$B:$P,10,FALSE()),0)</f>
        <v>0</v>
      </c>
      <c r="D324" s="35">
        <f>IFERROR(VLOOKUP("1_"&amp;A324,SyS!$B:$P,12,FALSE()),0)</f>
        <v>0</v>
      </c>
      <c r="E324" s="35">
        <f>+C324-D324</f>
        <v>0</v>
      </c>
      <c r="F324" s="34">
        <f>IFERROR(VLOOKUP("2_"&amp;A324,SyS!$B:$P,10,FALSE()),0)</f>
        <v>0</v>
      </c>
      <c r="G324" s="35">
        <f>IFERROR(VLOOKUP("2_"&amp;A324,SyS!$B:$P,12,FALSE()),0)</f>
        <v>0</v>
      </c>
      <c r="H324" s="36">
        <f>+F324-G324</f>
        <v>0</v>
      </c>
      <c r="I324" s="35"/>
      <c r="J324" s="35"/>
      <c r="K324" s="35"/>
      <c r="L324" s="35"/>
      <c r="M324" s="35"/>
      <c r="N324" s="35"/>
      <c r="O324" s="34">
        <f>IFERROR(VLOOKUP("14_"&amp;A324,SyS!$B:$P,10,FALSE()),0)</f>
        <v>0</v>
      </c>
      <c r="P324" s="35">
        <f>IFERROR(VLOOKUP("14_"&amp;A324,SyS!$B:$P,12,FALSE()),0)</f>
        <v>0</v>
      </c>
      <c r="Q324" s="36">
        <f>+O324-P324</f>
        <v>0</v>
      </c>
      <c r="R324" s="34">
        <f>IFERROR(VLOOKUP("15_"&amp;A324,SyS!$B:$P,10,FALSE()),0)</f>
        <v>0</v>
      </c>
      <c r="S324" s="35">
        <f>IFERROR(VLOOKUP("15_"&amp;A324,SyS!$B:$P,12,FALSE()),0)</f>
        <v>0</v>
      </c>
      <c r="T324" s="36">
        <f>+R324-S324</f>
        <v>0</v>
      </c>
      <c r="U324" s="34">
        <f>IFERROR(VLOOKUP("16_"&amp;A324,SyS!$B:$P,10,FALSE()),0)</f>
        <v>0</v>
      </c>
      <c r="V324" s="35">
        <f>IFERROR(VLOOKUP("16_"&amp;A324,SyS!$B:$P,12,FALSE()),0)</f>
        <v>0</v>
      </c>
      <c r="W324" s="36">
        <f>+U324-V324</f>
        <v>0</v>
      </c>
      <c r="X324" s="34">
        <f>IFERROR(VLOOKUP("13_"&amp;A324,SyS!$B:$P,10,FALSE()),0)</f>
        <v>0</v>
      </c>
      <c r="Y324" s="35">
        <f>IFERROR(VLOOKUP("13_"&amp;A324,SyS!$B:$P,12,FALSE()),0)</f>
        <v>0</v>
      </c>
      <c r="Z324" s="36">
        <f>+X324-Y324</f>
        <v>0</v>
      </c>
      <c r="AA324" s="34">
        <f>IFERROR(VLOOKUP("17_"&amp;A324,SyS!$B:$P,10,FALSE()),0)</f>
        <v>0</v>
      </c>
      <c r="AB324" s="35">
        <f>IFERROR(VLOOKUP("17_"&amp;A324,SyS!$B:$P,12,FALSE()),0)</f>
        <v>0</v>
      </c>
      <c r="AC324" s="36">
        <f>+AA324-AB324</f>
        <v>0</v>
      </c>
      <c r="AD324" s="35"/>
      <c r="AE324" s="35"/>
      <c r="AF324" s="35"/>
      <c r="AG324" s="35">
        <f>IFERROR(VLOOKUP("19_"&amp;A324,SyS!$B:$P,10,FALSE()),0)</f>
        <v>0</v>
      </c>
      <c r="AH324" s="35">
        <f>IFERROR(VLOOKUP("19_"&amp;A324,SyS!$B:$P,12,FALSE()),0)</f>
        <v>0</v>
      </c>
      <c r="AI324" s="35">
        <f>+AG324-AH324</f>
        <v>0</v>
      </c>
      <c r="AJ324" s="35"/>
      <c r="AK324" s="35"/>
      <c r="AL324" s="35"/>
      <c r="AM324" s="34">
        <f>IFERROR(VLOOKUP("23_"&amp;A324,SyS!$B:$P,10,FALSE()),0)</f>
        <v>0</v>
      </c>
      <c r="AN324" s="35">
        <f>IFERROR(VLOOKUP("23_"&amp;A324,SyS!$B:$P,12,FALSE()),0)</f>
        <v>0</v>
      </c>
      <c r="AO324" s="36">
        <f>+AM324-AN324</f>
        <v>0</v>
      </c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  <c r="BC324" s="40"/>
      <c r="BD324" s="40"/>
      <c r="BE324" s="40"/>
      <c r="BF324" s="40"/>
      <c r="BG324" s="40"/>
      <c r="BH324" s="40"/>
      <c r="BI324" s="40"/>
      <c r="BJ324" s="40"/>
      <c r="BK324" s="40">
        <f>IFERROR(VLOOKUP("29_"&amp;A324,SyS!$B:$P,10,FALSE()),0)</f>
        <v>0</v>
      </c>
      <c r="BL324" s="40">
        <f>IFERROR(VLOOKUP("29_"&amp;A324,SyS!$B:$P,12,FALSE()),0)</f>
        <v>0</v>
      </c>
      <c r="BM324" s="40">
        <f>+BK324-BL324</f>
        <v>0</v>
      </c>
      <c r="BN324" s="46">
        <f>IFERROR(VLOOKUP("30_"&amp;A324,SyS!$B:$P,10,FALSE()),0)</f>
        <v>0</v>
      </c>
      <c r="BO324" s="40">
        <f>IFERROR(VLOOKUP("30_"&amp;A324,SyS!$B:$P,12,FALSE()),0)</f>
        <v>0</v>
      </c>
      <c r="BP324" s="47">
        <f>+BN324-BO324</f>
        <v>0</v>
      </c>
      <c r="BQ324" s="45">
        <f>+E324+H324+K324+N324+Q324+T324+W324+Z324+AC324+AF324+AI324+AL324+AO324+AR324+AU324+AX324+BA324+BD324+BG324+BJ324+BM324+BP324</f>
        <v>0</v>
      </c>
    </row>
    <row r="325" ht="11.25" customHeight="1" spans="1:69" x14ac:dyDescent="0.25">
      <c r="A325" s="9">
        <v>427230000</v>
      </c>
      <c r="B325" s="9" t="s">
        <v>359</v>
      </c>
      <c r="C325" s="34">
        <f>IFERROR(VLOOKUP("1_"&amp;A325,SyS!$B:$P,10,FALSE()),0)</f>
        <v>0</v>
      </c>
      <c r="D325" s="35">
        <f>IFERROR(VLOOKUP("1_"&amp;A325,SyS!$B:$P,12,FALSE()),0)</f>
        <v>0</v>
      </c>
      <c r="E325" s="35">
        <f>+C325-D325</f>
        <v>0</v>
      </c>
      <c r="F325" s="34">
        <f>IFERROR(VLOOKUP("2_"&amp;A325,SyS!$B:$P,10,FALSE()),0)</f>
        <v>0</v>
      </c>
      <c r="G325" s="35">
        <f>IFERROR(VLOOKUP("2_"&amp;A325,SyS!$B:$P,12,FALSE()),0)</f>
        <v>0</v>
      </c>
      <c r="H325" s="36">
        <f>+F325-G325</f>
        <v>0</v>
      </c>
      <c r="I325" s="35"/>
      <c r="J325" s="35"/>
      <c r="K325" s="35"/>
      <c r="L325" s="35"/>
      <c r="M325" s="35"/>
      <c r="N325" s="35"/>
      <c r="O325" s="34">
        <f>IFERROR(VLOOKUP("14_"&amp;A325,SyS!$B:$P,10,FALSE()),0)</f>
        <v>0</v>
      </c>
      <c r="P325" s="35">
        <f>IFERROR(VLOOKUP("14_"&amp;A325,SyS!$B:$P,12,FALSE()),0)</f>
        <v>0</v>
      </c>
      <c r="Q325" s="36">
        <f>+O325-P325</f>
        <v>0</v>
      </c>
      <c r="R325" s="34">
        <f>IFERROR(VLOOKUP("15_"&amp;A325,SyS!$B:$P,10,FALSE()),0)</f>
        <v>0</v>
      </c>
      <c r="S325" s="35">
        <f>IFERROR(VLOOKUP("15_"&amp;A325,SyS!$B:$P,12,FALSE()),0)</f>
        <v>0</v>
      </c>
      <c r="T325" s="36">
        <f>+R325-S325</f>
        <v>0</v>
      </c>
      <c r="U325" s="34">
        <f>IFERROR(VLOOKUP("16_"&amp;A325,SyS!$B:$P,10,FALSE()),0)</f>
        <v>0</v>
      </c>
      <c r="V325" s="35">
        <f>IFERROR(VLOOKUP("16_"&amp;A325,SyS!$B:$P,12,FALSE()),0)</f>
        <v>0</v>
      </c>
      <c r="W325" s="36">
        <f>+U325-V325</f>
        <v>0</v>
      </c>
      <c r="X325" s="34">
        <f>IFERROR(VLOOKUP("13_"&amp;A325,SyS!$B:$P,10,FALSE()),0)</f>
        <v>0</v>
      </c>
      <c r="Y325" s="35">
        <f>IFERROR(VLOOKUP("13_"&amp;A325,SyS!$B:$P,12,FALSE()),0)</f>
        <v>0</v>
      </c>
      <c r="Z325" s="36">
        <f>+X325-Y325</f>
        <v>0</v>
      </c>
      <c r="AA325" s="34">
        <f>IFERROR(VLOOKUP("17_"&amp;A325,SyS!$B:$P,10,FALSE()),0)</f>
        <v>0</v>
      </c>
      <c r="AB325" s="35">
        <f>IFERROR(VLOOKUP("17_"&amp;A325,SyS!$B:$P,12,FALSE()),0)</f>
        <v>0</v>
      </c>
      <c r="AC325" s="36">
        <f>+AA325-AB325</f>
        <v>0</v>
      </c>
      <c r="AD325" s="35"/>
      <c r="AE325" s="35"/>
      <c r="AF325" s="35"/>
      <c r="AG325" s="35">
        <f>IFERROR(VLOOKUP("19_"&amp;A325,SyS!$B:$P,10,FALSE()),0)</f>
        <v>0</v>
      </c>
      <c r="AH325" s="35">
        <f>IFERROR(VLOOKUP("19_"&amp;A325,SyS!$B:$P,12,FALSE()),0)</f>
        <v>0</v>
      </c>
      <c r="AI325" s="35">
        <f>+AG325-AH325</f>
        <v>0</v>
      </c>
      <c r="AJ325" s="35"/>
      <c r="AK325" s="35"/>
      <c r="AL325" s="35"/>
      <c r="AM325" s="34">
        <f>IFERROR(VLOOKUP("23_"&amp;A325,SyS!$B:$P,10,FALSE()),0)</f>
        <v>0</v>
      </c>
      <c r="AN325" s="35">
        <f>IFERROR(VLOOKUP("23_"&amp;A325,SyS!$B:$P,12,FALSE()),0)</f>
        <v>0</v>
      </c>
      <c r="AO325" s="36">
        <f>+AM325-AN325</f>
        <v>0</v>
      </c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  <c r="BC325" s="40"/>
      <c r="BD325" s="40"/>
      <c r="BE325" s="40"/>
      <c r="BF325" s="40"/>
      <c r="BG325" s="40"/>
      <c r="BH325" s="40"/>
      <c r="BI325" s="40"/>
      <c r="BJ325" s="40"/>
      <c r="BK325" s="40">
        <f>IFERROR(VLOOKUP("29_"&amp;A325,SyS!$B:$P,10,FALSE()),0)</f>
        <v>0</v>
      </c>
      <c r="BL325" s="40">
        <f>IFERROR(VLOOKUP("29_"&amp;A325,SyS!$B:$P,12,FALSE()),0)</f>
        <v>0</v>
      </c>
      <c r="BM325" s="40">
        <f>+BK325-BL325</f>
        <v>0</v>
      </c>
      <c r="BN325" s="46">
        <f>IFERROR(VLOOKUP("30_"&amp;A325,SyS!$B:$P,10,FALSE()),0)</f>
        <v>0</v>
      </c>
      <c r="BO325" s="40">
        <f>IFERROR(VLOOKUP("30_"&amp;A325,SyS!$B:$P,12,FALSE()),0)</f>
        <v>0</v>
      </c>
      <c r="BP325" s="47">
        <f>+BN325-BO325</f>
        <v>0</v>
      </c>
      <c r="BQ325" s="45">
        <f>+E325+H325+K325+N325+Q325+T325+W325+Z325+AC325+AF325+AI325+AL325+AO325+AR325+AU325+AX325+BA325+BD325+BG325+BJ325+BM325+BP325</f>
        <v>0</v>
      </c>
    </row>
    <row r="326" ht="11.25" customHeight="1" spans="1:69" x14ac:dyDescent="0.25">
      <c r="A326" s="9">
        <v>427240000</v>
      </c>
      <c r="B326" s="9" t="s">
        <v>360</v>
      </c>
      <c r="C326" s="34">
        <f>IFERROR(VLOOKUP("1_"&amp;A326,SyS!$B:$P,10,FALSE()),0)</f>
        <v>0</v>
      </c>
      <c r="D326" s="35">
        <f>IFERROR(VLOOKUP("1_"&amp;A326,SyS!$B:$P,12,FALSE()),0)</f>
        <v>0</v>
      </c>
      <c r="E326" s="35">
        <f>+C326-D326</f>
        <v>0</v>
      </c>
      <c r="F326" s="34">
        <f>IFERROR(VLOOKUP("2_"&amp;A326,SyS!$B:$P,10,FALSE()),0)</f>
        <v>0</v>
      </c>
      <c r="G326" s="35">
        <f>IFERROR(VLOOKUP("2_"&amp;A326,SyS!$B:$P,12,FALSE()),0)</f>
        <v>0</v>
      </c>
      <c r="H326" s="36">
        <f>+F326-G326</f>
        <v>0</v>
      </c>
      <c r="I326" s="35"/>
      <c r="J326" s="35"/>
      <c r="K326" s="35"/>
      <c r="L326" s="35"/>
      <c r="M326" s="35"/>
      <c r="N326" s="35"/>
      <c r="O326" s="34">
        <f>IFERROR(VLOOKUP("14_"&amp;A326,SyS!$B:$P,10,FALSE()),0)</f>
        <v>0</v>
      </c>
      <c r="P326" s="35">
        <f>IFERROR(VLOOKUP("14_"&amp;A326,SyS!$B:$P,12,FALSE()),0)</f>
        <v>0</v>
      </c>
      <c r="Q326" s="36">
        <f>+O326-P326</f>
        <v>0</v>
      </c>
      <c r="R326" s="34">
        <f>IFERROR(VLOOKUP("15_"&amp;A326,SyS!$B:$P,10,FALSE()),0)</f>
        <v>0</v>
      </c>
      <c r="S326" s="35">
        <f>IFERROR(VLOOKUP("15_"&amp;A326,SyS!$B:$P,12,FALSE()),0)</f>
        <v>0</v>
      </c>
      <c r="T326" s="36">
        <f>+R326-S326</f>
        <v>0</v>
      </c>
      <c r="U326" s="34">
        <f>IFERROR(VLOOKUP("16_"&amp;A326,SyS!$B:$P,10,FALSE()),0)</f>
        <v>0</v>
      </c>
      <c r="V326" s="35">
        <f>IFERROR(VLOOKUP("16_"&amp;A326,SyS!$B:$P,12,FALSE()),0)</f>
        <v>0</v>
      </c>
      <c r="W326" s="36">
        <f>+U326-V326</f>
        <v>0</v>
      </c>
      <c r="X326" s="34">
        <f>IFERROR(VLOOKUP("13_"&amp;A326,SyS!$B:$P,10,FALSE()),0)</f>
        <v>0</v>
      </c>
      <c r="Y326" s="35">
        <f>IFERROR(VLOOKUP("13_"&amp;A326,SyS!$B:$P,12,FALSE()),0)</f>
        <v>0</v>
      </c>
      <c r="Z326" s="36">
        <f>+X326-Y326</f>
        <v>0</v>
      </c>
      <c r="AA326" s="34">
        <f>IFERROR(VLOOKUP("17_"&amp;A326,SyS!$B:$P,10,FALSE()),0)</f>
        <v>0</v>
      </c>
      <c r="AB326" s="35">
        <f>IFERROR(VLOOKUP("17_"&amp;A326,SyS!$B:$P,12,FALSE()),0)</f>
        <v>0</v>
      </c>
      <c r="AC326" s="36">
        <f>+AA326-AB326</f>
        <v>0</v>
      </c>
      <c r="AD326" s="35"/>
      <c r="AE326" s="35"/>
      <c r="AF326" s="35"/>
      <c r="AG326" s="35">
        <f>IFERROR(VLOOKUP("19_"&amp;A326,SyS!$B:$P,10,FALSE()),0)</f>
        <v>0</v>
      </c>
      <c r="AH326" s="35">
        <f>IFERROR(VLOOKUP("19_"&amp;A326,SyS!$B:$P,12,FALSE()),0)</f>
        <v>0</v>
      </c>
      <c r="AI326" s="35">
        <f>+AG326-AH326</f>
        <v>0</v>
      </c>
      <c r="AJ326" s="35"/>
      <c r="AK326" s="35"/>
      <c r="AL326" s="35"/>
      <c r="AM326" s="34">
        <f>IFERROR(VLOOKUP("23_"&amp;A326,SyS!$B:$P,10,FALSE()),0)</f>
        <v>0</v>
      </c>
      <c r="AN326" s="35">
        <f>IFERROR(VLOOKUP("23_"&amp;A326,SyS!$B:$P,12,FALSE()),0)</f>
        <v>0</v>
      </c>
      <c r="AO326" s="36">
        <f>+AM326-AN326</f>
        <v>0</v>
      </c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  <c r="BB326" s="40"/>
      <c r="BC326" s="40"/>
      <c r="BD326" s="40"/>
      <c r="BE326" s="40"/>
      <c r="BF326" s="40"/>
      <c r="BG326" s="40"/>
      <c r="BH326" s="40"/>
      <c r="BI326" s="40"/>
      <c r="BJ326" s="40"/>
      <c r="BK326" s="40">
        <f>IFERROR(VLOOKUP("29_"&amp;A326,SyS!$B:$P,10,FALSE()),0)</f>
        <v>0</v>
      </c>
      <c r="BL326" s="40">
        <f>IFERROR(VLOOKUP("29_"&amp;A326,SyS!$B:$P,12,FALSE()),0)</f>
        <v>0</v>
      </c>
      <c r="BM326" s="40">
        <f>+BK326-BL326</f>
        <v>0</v>
      </c>
      <c r="BN326" s="46">
        <f>IFERROR(VLOOKUP("30_"&amp;A326,SyS!$B:$P,10,FALSE()),0)</f>
        <v>0</v>
      </c>
      <c r="BO326" s="40">
        <f>IFERROR(VLOOKUP("30_"&amp;A326,SyS!$B:$P,12,FALSE()),0)</f>
        <v>0</v>
      </c>
      <c r="BP326" s="47">
        <f>+BN326-BO326</f>
        <v>0</v>
      </c>
      <c r="BQ326" s="45">
        <f>+E326+H326+K326+N326+Q326+T326+W326+Z326+AC326+AF326+AI326+AL326+AO326+AR326+AU326+AX326+BA326+BD326+BG326+BJ326+BM326+BP326</f>
        <v>0</v>
      </c>
    </row>
    <row r="327" ht="11.25" customHeight="1" spans="1:69" x14ac:dyDescent="0.25">
      <c r="A327" s="9">
        <v>427250000</v>
      </c>
      <c r="B327" s="9" t="s">
        <v>361</v>
      </c>
      <c r="C327" s="34">
        <f>IFERROR(VLOOKUP("1_"&amp;A327,SyS!$B:$P,10,FALSE()),0)</f>
        <v>0</v>
      </c>
      <c r="D327" s="35">
        <f>IFERROR(VLOOKUP("1_"&amp;A327,SyS!$B:$P,12,FALSE()),0)</f>
        <v>0</v>
      </c>
      <c r="E327" s="35">
        <f>+C327-D327</f>
        <v>0</v>
      </c>
      <c r="F327" s="34">
        <f>IFERROR(VLOOKUP("2_"&amp;A327,SyS!$B:$P,10,FALSE()),0)</f>
        <v>0</v>
      </c>
      <c r="G327" s="35">
        <f>IFERROR(VLOOKUP("2_"&amp;A327,SyS!$B:$P,12,FALSE()),0)</f>
        <v>0</v>
      </c>
      <c r="H327" s="36">
        <f>+F327-G327</f>
        <v>0</v>
      </c>
      <c r="I327" s="35"/>
      <c r="J327" s="35"/>
      <c r="K327" s="35"/>
      <c r="L327" s="35"/>
      <c r="M327" s="35"/>
      <c r="N327" s="35"/>
      <c r="O327" s="34">
        <f>IFERROR(VLOOKUP("14_"&amp;A327,SyS!$B:$P,10,FALSE()),0)</f>
        <v>0</v>
      </c>
      <c r="P327" s="35">
        <f>IFERROR(VLOOKUP("14_"&amp;A327,SyS!$B:$P,12,FALSE()),0)</f>
        <v>0</v>
      </c>
      <c r="Q327" s="36">
        <f>+O327-P327</f>
        <v>0</v>
      </c>
      <c r="R327" s="34">
        <f>IFERROR(VLOOKUP("15_"&amp;A327,SyS!$B:$P,10,FALSE()),0)</f>
        <v>0</v>
      </c>
      <c r="S327" s="35">
        <f>IFERROR(VLOOKUP("15_"&amp;A327,SyS!$B:$P,12,FALSE()),0)</f>
        <v>0</v>
      </c>
      <c r="T327" s="36">
        <f>+R327-S327</f>
        <v>0</v>
      </c>
      <c r="U327" s="34">
        <f>IFERROR(VLOOKUP("16_"&amp;A327,SyS!$B:$P,10,FALSE()),0)</f>
        <v>0</v>
      </c>
      <c r="V327" s="35">
        <f>IFERROR(VLOOKUP("16_"&amp;A327,SyS!$B:$P,12,FALSE()),0)</f>
        <v>0</v>
      </c>
      <c r="W327" s="36">
        <f>+U327-V327</f>
        <v>0</v>
      </c>
      <c r="X327" s="34">
        <f>IFERROR(VLOOKUP("13_"&amp;A327,SyS!$B:$P,10,FALSE()),0)</f>
        <v>0</v>
      </c>
      <c r="Y327" s="35">
        <f>IFERROR(VLOOKUP("13_"&amp;A327,SyS!$B:$P,12,FALSE()),0)</f>
        <v>0</v>
      </c>
      <c r="Z327" s="36">
        <f>+X327-Y327</f>
        <v>0</v>
      </c>
      <c r="AA327" s="34">
        <f>IFERROR(VLOOKUP("17_"&amp;A327,SyS!$B:$P,10,FALSE()),0)</f>
        <v>0</v>
      </c>
      <c r="AB327" s="35">
        <f>IFERROR(VLOOKUP("17_"&amp;A327,SyS!$B:$P,12,FALSE()),0)</f>
        <v>0</v>
      </c>
      <c r="AC327" s="36">
        <f>+AA327-AB327</f>
        <v>0</v>
      </c>
      <c r="AD327" s="35"/>
      <c r="AE327" s="35"/>
      <c r="AF327" s="35"/>
      <c r="AG327" s="35">
        <f>IFERROR(VLOOKUP("19_"&amp;A327,SyS!$B:$P,10,FALSE()),0)</f>
        <v>0</v>
      </c>
      <c r="AH327" s="35">
        <f>IFERROR(VLOOKUP("19_"&amp;A327,SyS!$B:$P,12,FALSE()),0)</f>
        <v>0</v>
      </c>
      <c r="AI327" s="35">
        <f>+AG327-AH327</f>
        <v>0</v>
      </c>
      <c r="AJ327" s="35"/>
      <c r="AK327" s="35"/>
      <c r="AL327" s="35"/>
      <c r="AM327" s="34">
        <f>IFERROR(VLOOKUP("23_"&amp;A327,SyS!$B:$P,10,FALSE()),0)</f>
        <v>0</v>
      </c>
      <c r="AN327" s="35">
        <f>IFERROR(VLOOKUP("23_"&amp;A327,SyS!$B:$P,12,FALSE()),0)</f>
        <v>0</v>
      </c>
      <c r="AO327" s="36">
        <f>+AM327-AN327</f>
        <v>0</v>
      </c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  <c r="BB327" s="40"/>
      <c r="BC327" s="40"/>
      <c r="BD327" s="40"/>
      <c r="BE327" s="40"/>
      <c r="BF327" s="40"/>
      <c r="BG327" s="40"/>
      <c r="BH327" s="40"/>
      <c r="BI327" s="40"/>
      <c r="BJ327" s="40"/>
      <c r="BK327" s="40">
        <f>IFERROR(VLOOKUP("29_"&amp;A327,SyS!$B:$P,10,FALSE()),0)</f>
        <v>0</v>
      </c>
      <c r="BL327" s="40">
        <f>IFERROR(VLOOKUP("29_"&amp;A327,SyS!$B:$P,12,FALSE()),0)</f>
        <v>0</v>
      </c>
      <c r="BM327" s="40">
        <f>+BK327-BL327</f>
        <v>0</v>
      </c>
      <c r="BN327" s="46">
        <f>IFERROR(VLOOKUP("30_"&amp;A327,SyS!$B:$P,10,FALSE()),0)</f>
        <v>0</v>
      </c>
      <c r="BO327" s="40">
        <f>IFERROR(VLOOKUP("30_"&amp;A327,SyS!$B:$P,12,FALSE()),0)</f>
        <v>0</v>
      </c>
      <c r="BP327" s="47">
        <f>+BN327-BO327</f>
        <v>0</v>
      </c>
      <c r="BQ327" s="45">
        <f>+E327+H327+K327+N327+Q327+T327+W327+Z327+AC327+AF327+AI327+AL327+AO327+AR327+AU327+AX327+BA327+BD327+BG327+BJ327+BM327+BP327</f>
        <v>0</v>
      </c>
    </row>
    <row r="328" ht="11.25" customHeight="1" spans="1:69" x14ac:dyDescent="0.25">
      <c r="A328" s="9">
        <v>427270000</v>
      </c>
      <c r="B328" s="9" t="s">
        <v>362</v>
      </c>
      <c r="C328" s="34">
        <f>IFERROR(VLOOKUP("1_"&amp;A328,SyS!$B:$P,10,FALSE()),0)</f>
        <v>0</v>
      </c>
      <c r="D328" s="35">
        <f>IFERROR(VLOOKUP("1_"&amp;A328,SyS!$B:$P,12,FALSE()),0)</f>
        <v>0</v>
      </c>
      <c r="E328" s="35">
        <f>+C328-D328</f>
        <v>0</v>
      </c>
      <c r="F328" s="34">
        <f>IFERROR(VLOOKUP("2_"&amp;A328,SyS!$B:$P,10,FALSE()),0)</f>
        <v>0</v>
      </c>
      <c r="G328" s="35">
        <f>IFERROR(VLOOKUP("2_"&amp;A328,SyS!$B:$P,12,FALSE()),0)</f>
        <v>0</v>
      </c>
      <c r="H328" s="36">
        <f>+F328-G328</f>
        <v>0</v>
      </c>
      <c r="I328" s="35"/>
      <c r="J328" s="35"/>
      <c r="K328" s="35"/>
      <c r="L328" s="35"/>
      <c r="M328" s="35"/>
      <c r="N328" s="35"/>
      <c r="O328" s="34">
        <f>IFERROR(VLOOKUP("14_"&amp;A328,SyS!$B:$P,10,FALSE()),0)</f>
        <v>0</v>
      </c>
      <c r="P328" s="35">
        <f>IFERROR(VLOOKUP("14_"&amp;A328,SyS!$B:$P,12,FALSE()),0)</f>
        <v>0</v>
      </c>
      <c r="Q328" s="36">
        <f>+O328-P328</f>
        <v>0</v>
      </c>
      <c r="R328" s="34">
        <f>IFERROR(VLOOKUP("15_"&amp;A328,SyS!$B:$P,10,FALSE()),0)</f>
        <v>0</v>
      </c>
      <c r="S328" s="35">
        <f>IFERROR(VLOOKUP("15_"&amp;A328,SyS!$B:$P,12,FALSE()),0)</f>
        <v>0</v>
      </c>
      <c r="T328" s="36">
        <f>+R328-S328</f>
        <v>0</v>
      </c>
      <c r="U328" s="34">
        <f>IFERROR(VLOOKUP("16_"&amp;A328,SyS!$B:$P,10,FALSE()),0)</f>
        <v>0</v>
      </c>
      <c r="V328" s="35">
        <f>IFERROR(VLOOKUP("16_"&amp;A328,SyS!$B:$P,12,FALSE()),0)</f>
        <v>0</v>
      </c>
      <c r="W328" s="36">
        <f>+U328-V328</f>
        <v>0</v>
      </c>
      <c r="X328" s="34">
        <f>IFERROR(VLOOKUP("13_"&amp;A328,SyS!$B:$P,10,FALSE()),0)</f>
        <v>0</v>
      </c>
      <c r="Y328" s="35">
        <f>IFERROR(VLOOKUP("13_"&amp;A328,SyS!$B:$P,12,FALSE()),0)</f>
        <v>0</v>
      </c>
      <c r="Z328" s="36">
        <f>+X328-Y328</f>
        <v>0</v>
      </c>
      <c r="AA328" s="34">
        <f>IFERROR(VLOOKUP("17_"&amp;A328,SyS!$B:$P,10,FALSE()),0)</f>
        <v>0</v>
      </c>
      <c r="AB328" s="35">
        <f>IFERROR(VLOOKUP("17_"&amp;A328,SyS!$B:$P,12,FALSE()),0)</f>
        <v>0</v>
      </c>
      <c r="AC328" s="36">
        <f>+AA328-AB328</f>
        <v>0</v>
      </c>
      <c r="AD328" s="35"/>
      <c r="AE328" s="35"/>
      <c r="AF328" s="35"/>
      <c r="AG328" s="35">
        <f>IFERROR(VLOOKUP("19_"&amp;A328,SyS!$B:$P,10,FALSE()),0)</f>
        <v>0</v>
      </c>
      <c r="AH328" s="35">
        <f>IFERROR(VLOOKUP("19_"&amp;A328,SyS!$B:$P,12,FALSE()),0)</f>
        <v>0</v>
      </c>
      <c r="AI328" s="35">
        <f>+AG328-AH328</f>
        <v>0</v>
      </c>
      <c r="AJ328" s="35"/>
      <c r="AK328" s="35"/>
      <c r="AL328" s="35"/>
      <c r="AM328" s="34">
        <f>IFERROR(VLOOKUP("23_"&amp;A328,SyS!$B:$P,10,FALSE()),0)</f>
        <v>0</v>
      </c>
      <c r="AN328" s="35">
        <f>IFERROR(VLOOKUP("23_"&amp;A328,SyS!$B:$P,12,FALSE()),0)</f>
        <v>0</v>
      </c>
      <c r="AO328" s="36">
        <f>+AM328-AN328</f>
        <v>0</v>
      </c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  <c r="BC328" s="40"/>
      <c r="BD328" s="40"/>
      <c r="BE328" s="40"/>
      <c r="BF328" s="40"/>
      <c r="BG328" s="40"/>
      <c r="BH328" s="40"/>
      <c r="BI328" s="40"/>
      <c r="BJ328" s="40"/>
      <c r="BK328" s="40">
        <f>IFERROR(VLOOKUP("29_"&amp;A328,SyS!$B:$P,10,FALSE()),0)</f>
        <v>0</v>
      </c>
      <c r="BL328" s="40">
        <f>IFERROR(VLOOKUP("29_"&amp;A328,SyS!$B:$P,12,FALSE()),0)</f>
        <v>0</v>
      </c>
      <c r="BM328" s="40">
        <f>+BK328-BL328</f>
        <v>0</v>
      </c>
      <c r="BN328" s="46">
        <f>IFERROR(VLOOKUP("30_"&amp;A328,SyS!$B:$P,10,FALSE()),0)</f>
        <v>0</v>
      </c>
      <c r="BO328" s="40">
        <f>IFERROR(VLOOKUP("30_"&amp;A328,SyS!$B:$P,12,FALSE()),0)</f>
        <v>0</v>
      </c>
      <c r="BP328" s="47">
        <f>+BN328-BO328</f>
        <v>0</v>
      </c>
      <c r="BQ328" s="45">
        <f>+E328+H328+K328+N328+Q328+T328+W328+Z328+AC328+AF328+AI328+AL328+AO328+AR328+AU328+AX328+BA328+BD328+BG328+BJ328+BM328+BP328</f>
        <v>0</v>
      </c>
    </row>
    <row r="329" ht="11.25" customHeight="1" spans="1:69" x14ac:dyDescent="0.25">
      <c r="A329" s="9">
        <v>427260000</v>
      </c>
      <c r="B329" s="9" t="s">
        <v>363</v>
      </c>
      <c r="C329" s="34">
        <f>IFERROR(VLOOKUP("1_"&amp;A329,SyS!$B:$P,10,FALSE()),0)</f>
        <v>0</v>
      </c>
      <c r="D329" s="35">
        <f>IFERROR(VLOOKUP("1_"&amp;A329,SyS!$B:$P,12,FALSE()),0)</f>
        <v>0</v>
      </c>
      <c r="E329" s="35">
        <f>+C329-D329</f>
        <v>0</v>
      </c>
      <c r="F329" s="34">
        <f>IFERROR(VLOOKUP("2_"&amp;A329,SyS!$B:$P,10,FALSE()),0)</f>
        <v>0</v>
      </c>
      <c r="G329" s="35">
        <f>IFERROR(VLOOKUP("2_"&amp;A329,SyS!$B:$P,12,FALSE()),0)</f>
        <v>0</v>
      </c>
      <c r="H329" s="36">
        <f>+F329-G329</f>
        <v>0</v>
      </c>
      <c r="I329" s="35"/>
      <c r="J329" s="35"/>
      <c r="K329" s="35"/>
      <c r="L329" s="35"/>
      <c r="M329" s="35"/>
      <c r="N329" s="35"/>
      <c r="O329" s="34">
        <f>IFERROR(VLOOKUP("14_"&amp;A329,SyS!$B:$P,10,FALSE()),0)</f>
        <v>0</v>
      </c>
      <c r="P329" s="35">
        <f>IFERROR(VLOOKUP("14_"&amp;A329,SyS!$B:$P,12,FALSE()),0)</f>
        <v>0</v>
      </c>
      <c r="Q329" s="36">
        <f>+O329-P329</f>
        <v>0</v>
      </c>
      <c r="R329" s="34">
        <f>IFERROR(VLOOKUP("15_"&amp;A329,SyS!$B:$P,10,FALSE()),0)</f>
        <v>0</v>
      </c>
      <c r="S329" s="35">
        <f>IFERROR(VLOOKUP("15_"&amp;A329,SyS!$B:$P,12,FALSE()),0)</f>
        <v>0</v>
      </c>
      <c r="T329" s="36">
        <f>+R329-S329</f>
        <v>0</v>
      </c>
      <c r="U329" s="34">
        <f>IFERROR(VLOOKUP("16_"&amp;A329,SyS!$B:$P,10,FALSE()),0)</f>
        <v>0</v>
      </c>
      <c r="V329" s="35">
        <f>IFERROR(VLOOKUP("16_"&amp;A329,SyS!$B:$P,12,FALSE()),0)</f>
        <v>0</v>
      </c>
      <c r="W329" s="36">
        <f>+U329-V329</f>
        <v>0</v>
      </c>
      <c r="X329" s="34">
        <f>IFERROR(VLOOKUP("13_"&amp;A329,SyS!$B:$P,10,FALSE()),0)</f>
        <v>0</v>
      </c>
      <c r="Y329" s="35">
        <f>IFERROR(VLOOKUP("13_"&amp;A329,SyS!$B:$P,12,FALSE()),0)</f>
        <v>0</v>
      </c>
      <c r="Z329" s="36">
        <f>+X329-Y329</f>
        <v>0</v>
      </c>
      <c r="AA329" s="34">
        <f>IFERROR(VLOOKUP("17_"&amp;A329,SyS!$B:$P,10,FALSE()),0)</f>
        <v>0</v>
      </c>
      <c r="AB329" s="35">
        <f>IFERROR(VLOOKUP("17_"&amp;A329,SyS!$B:$P,12,FALSE()),0)</f>
        <v>0</v>
      </c>
      <c r="AC329" s="36">
        <f>+AA329-AB329</f>
        <v>0</v>
      </c>
      <c r="AD329" s="35"/>
      <c r="AE329" s="35"/>
      <c r="AF329" s="35"/>
      <c r="AG329" s="35">
        <f>IFERROR(VLOOKUP("19_"&amp;A329,SyS!$B:$P,10,FALSE()),0)</f>
        <v>0</v>
      </c>
      <c r="AH329" s="35">
        <f>IFERROR(VLOOKUP("19_"&amp;A329,SyS!$B:$P,12,FALSE()),0)</f>
        <v>0</v>
      </c>
      <c r="AI329" s="35">
        <f>+AG329-AH329</f>
        <v>0</v>
      </c>
      <c r="AJ329" s="35"/>
      <c r="AK329" s="35"/>
      <c r="AL329" s="35"/>
      <c r="AM329" s="34">
        <f>IFERROR(VLOOKUP("23_"&amp;A329,SyS!$B:$P,10,FALSE()),0)</f>
        <v>0</v>
      </c>
      <c r="AN329" s="35">
        <f>IFERROR(VLOOKUP("23_"&amp;A329,SyS!$B:$P,12,FALSE()),0)</f>
        <v>0</v>
      </c>
      <c r="AO329" s="36">
        <f>+AM329-AN329</f>
        <v>0</v>
      </c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  <c r="BC329" s="40"/>
      <c r="BD329" s="40"/>
      <c r="BE329" s="40"/>
      <c r="BF329" s="40"/>
      <c r="BG329" s="40"/>
      <c r="BH329" s="40"/>
      <c r="BI329" s="40"/>
      <c r="BJ329" s="40"/>
      <c r="BK329" s="40">
        <f>IFERROR(VLOOKUP("29_"&amp;A329,SyS!$B:$P,10,FALSE()),0)</f>
        <v>0</v>
      </c>
      <c r="BL329" s="40">
        <f>IFERROR(VLOOKUP("29_"&amp;A329,SyS!$B:$P,12,FALSE()),0)</f>
        <v>0</v>
      </c>
      <c r="BM329" s="40">
        <f>+BK329-BL329</f>
        <v>0</v>
      </c>
      <c r="BN329" s="46">
        <f>IFERROR(VLOOKUP("30_"&amp;A329,SyS!$B:$P,10,FALSE()),0)</f>
        <v>0</v>
      </c>
      <c r="BO329" s="40">
        <f>IFERROR(VLOOKUP("30_"&amp;A329,SyS!$B:$P,12,FALSE()),0)</f>
        <v>0</v>
      </c>
      <c r="BP329" s="47">
        <f>+BN329-BO329</f>
        <v>0</v>
      </c>
      <c r="BQ329" s="45">
        <f>+E329+H329+K329+N329+Q329+T329+W329+Z329+AC329+AF329+AI329+AL329+AO329+AR329+AU329+AX329+BA329+BD329+BG329+BJ329+BM329+BP329</f>
        <v>0</v>
      </c>
    </row>
    <row r="330" ht="11.25" customHeight="1" spans="1:69" x14ac:dyDescent="0.25">
      <c r="A330" s="9">
        <v>427280000</v>
      </c>
      <c r="B330" s="9" t="s">
        <v>364</v>
      </c>
      <c r="C330" s="34">
        <f>IFERROR(VLOOKUP("1_"&amp;A330,SyS!$B:$P,10,FALSE()),0)</f>
        <v>0</v>
      </c>
      <c r="D330" s="35">
        <f>IFERROR(VLOOKUP("1_"&amp;A330,SyS!$B:$P,12,FALSE()),0)</f>
        <v>0</v>
      </c>
      <c r="E330" s="35">
        <f>+C330-D330</f>
        <v>0</v>
      </c>
      <c r="F330" s="34">
        <f>IFERROR(VLOOKUP("2_"&amp;A330,SyS!$B:$P,10,FALSE()),0)</f>
        <v>0</v>
      </c>
      <c r="G330" s="35">
        <f>IFERROR(VLOOKUP("2_"&amp;A330,SyS!$B:$P,12,FALSE()),0)</f>
        <v>0</v>
      </c>
      <c r="H330" s="36">
        <f>+F330-G330</f>
        <v>0</v>
      </c>
      <c r="I330" s="35"/>
      <c r="J330" s="35"/>
      <c r="K330" s="35"/>
      <c r="L330" s="35"/>
      <c r="M330" s="35"/>
      <c r="N330" s="35"/>
      <c r="O330" s="34">
        <f>IFERROR(VLOOKUP("14_"&amp;A330,SyS!$B:$P,10,FALSE()),0)</f>
        <v>0</v>
      </c>
      <c r="P330" s="35">
        <f>IFERROR(VLOOKUP("14_"&amp;A330,SyS!$B:$P,12,FALSE()),0)</f>
        <v>0</v>
      </c>
      <c r="Q330" s="36">
        <f>+O330-P330</f>
        <v>0</v>
      </c>
      <c r="R330" s="34">
        <f>IFERROR(VLOOKUP("15_"&amp;A330,SyS!$B:$P,10,FALSE()),0)</f>
        <v>0</v>
      </c>
      <c r="S330" s="35">
        <f>IFERROR(VLOOKUP("15_"&amp;A330,SyS!$B:$P,12,FALSE()),0)</f>
        <v>0</v>
      </c>
      <c r="T330" s="36">
        <f>+R330-S330</f>
        <v>0</v>
      </c>
      <c r="U330" s="34">
        <f>IFERROR(VLOOKUP("16_"&amp;A330,SyS!$B:$P,10,FALSE()),0)</f>
        <v>0</v>
      </c>
      <c r="V330" s="35">
        <f>IFERROR(VLOOKUP("16_"&amp;A330,SyS!$B:$P,12,FALSE()),0)</f>
        <v>0</v>
      </c>
      <c r="W330" s="36">
        <f>+U330-V330</f>
        <v>0</v>
      </c>
      <c r="X330" s="34">
        <f>IFERROR(VLOOKUP("13_"&amp;A330,SyS!$B:$P,10,FALSE()),0)</f>
        <v>0</v>
      </c>
      <c r="Y330" s="35">
        <f>IFERROR(VLOOKUP("13_"&amp;A330,SyS!$B:$P,12,FALSE()),0)</f>
        <v>0</v>
      </c>
      <c r="Z330" s="36">
        <f>+X330-Y330</f>
        <v>0</v>
      </c>
      <c r="AA330" s="34">
        <f>IFERROR(VLOOKUP("17_"&amp;A330,SyS!$B:$P,10,FALSE()),0)</f>
        <v>0</v>
      </c>
      <c r="AB330" s="35">
        <f>IFERROR(VLOOKUP("17_"&amp;A330,SyS!$B:$P,12,FALSE()),0)</f>
        <v>0</v>
      </c>
      <c r="AC330" s="36">
        <f>+AA330-AB330</f>
        <v>0</v>
      </c>
      <c r="AD330" s="35"/>
      <c r="AE330" s="35"/>
      <c r="AF330" s="35"/>
      <c r="AG330" s="35">
        <f>IFERROR(VLOOKUP("19_"&amp;A330,SyS!$B:$P,10,FALSE()),0)</f>
        <v>0</v>
      </c>
      <c r="AH330" s="35">
        <f>IFERROR(VLOOKUP("19_"&amp;A330,SyS!$B:$P,12,FALSE()),0)</f>
        <v>0</v>
      </c>
      <c r="AI330" s="35">
        <f>+AG330-AH330</f>
        <v>0</v>
      </c>
      <c r="AJ330" s="35"/>
      <c r="AK330" s="35"/>
      <c r="AL330" s="35"/>
      <c r="AM330" s="34">
        <f>IFERROR(VLOOKUP("23_"&amp;A330,SyS!$B:$P,10,FALSE()),0)</f>
        <v>0</v>
      </c>
      <c r="AN330" s="35">
        <f>IFERROR(VLOOKUP("23_"&amp;A330,SyS!$B:$P,12,FALSE()),0)</f>
        <v>0</v>
      </c>
      <c r="AO330" s="36">
        <f>+AM330-AN330</f>
        <v>0</v>
      </c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  <c r="BC330" s="40"/>
      <c r="BD330" s="40"/>
      <c r="BE330" s="40"/>
      <c r="BF330" s="40"/>
      <c r="BG330" s="40"/>
      <c r="BH330" s="40"/>
      <c r="BI330" s="40"/>
      <c r="BJ330" s="40"/>
      <c r="BK330" s="40">
        <f>IFERROR(VLOOKUP("29_"&amp;A330,SyS!$B:$P,10,FALSE()),0)</f>
        <v>0</v>
      </c>
      <c r="BL330" s="40">
        <f>IFERROR(VLOOKUP("29_"&amp;A330,SyS!$B:$P,12,FALSE()),0)</f>
        <v>0</v>
      </c>
      <c r="BM330" s="40">
        <f>+BK330-BL330</f>
        <v>0</v>
      </c>
      <c r="BN330" s="46">
        <f>IFERROR(VLOOKUP("30_"&amp;A330,SyS!$B:$P,10,FALSE()),0)</f>
        <v>0</v>
      </c>
      <c r="BO330" s="40">
        <f>IFERROR(VLOOKUP("30_"&amp;A330,SyS!$B:$P,12,FALSE()),0)</f>
        <v>0</v>
      </c>
      <c r="BP330" s="47">
        <f>+BN330-BO330</f>
        <v>0</v>
      </c>
      <c r="BQ330" s="45">
        <f>+E330+H330+K330+N330+Q330+T330+W330+Z330+AC330+AF330+AI330+AL330+AO330+AR330+AU330+AX330+BA330+BD330+BG330+BJ330+BM330+BP330</f>
        <v>0</v>
      </c>
    </row>
    <row r="331" ht="11.25" customHeight="1" spans="1:69" x14ac:dyDescent="0.25">
      <c r="A331" s="9">
        <v>421170000</v>
      </c>
      <c r="B331" s="9" t="s">
        <v>365</v>
      </c>
      <c r="C331" s="34">
        <f>IFERROR(VLOOKUP("1_"&amp;A331,SyS!$B:$P,10,FALSE()),0)</f>
        <v>0</v>
      </c>
      <c r="D331" s="35">
        <f>IFERROR(VLOOKUP("1_"&amp;A331,SyS!$B:$P,12,FALSE()),0)</f>
        <v>0</v>
      </c>
      <c r="E331" s="35">
        <f>+C331-D331</f>
        <v>0</v>
      </c>
      <c r="F331" s="34">
        <f>IFERROR(VLOOKUP("2_"&amp;A331,SyS!$B:$P,10,FALSE()),0)</f>
        <v>0</v>
      </c>
      <c r="G331" s="35">
        <f>IFERROR(VLOOKUP("2_"&amp;A331,SyS!$B:$P,12,FALSE()),0)</f>
        <v>0</v>
      </c>
      <c r="H331" s="36">
        <f>+F331-G331</f>
        <v>0</v>
      </c>
      <c r="I331" s="35"/>
      <c r="J331" s="35"/>
      <c r="K331" s="35"/>
      <c r="L331" s="35"/>
      <c r="M331" s="35"/>
      <c r="N331" s="35"/>
      <c r="O331" s="34">
        <f>IFERROR(VLOOKUP("14_"&amp;A331,SyS!$B:$P,10,FALSE()),0)</f>
        <v>0</v>
      </c>
      <c r="P331" s="35">
        <f>IFERROR(VLOOKUP("14_"&amp;A331,SyS!$B:$P,12,FALSE()),0)</f>
        <v>0</v>
      </c>
      <c r="Q331" s="36">
        <f>+O331-P331</f>
        <v>0</v>
      </c>
      <c r="R331" s="34">
        <f>IFERROR(VLOOKUP("15_"&amp;A331,SyS!$B:$P,10,FALSE()),0)</f>
        <v>0</v>
      </c>
      <c r="S331" s="35">
        <f>IFERROR(VLOOKUP("15_"&amp;A331,SyS!$B:$P,12,FALSE()),0)</f>
        <v>0</v>
      </c>
      <c r="T331" s="36">
        <f>+R331-S331</f>
        <v>0</v>
      </c>
      <c r="U331" s="34">
        <f>IFERROR(VLOOKUP("16_"&amp;A331,SyS!$B:$P,10,FALSE()),0)</f>
        <v>0</v>
      </c>
      <c r="V331" s="35">
        <f>IFERROR(VLOOKUP("16_"&amp;A331,SyS!$B:$P,12,FALSE()),0)</f>
        <v>0</v>
      </c>
      <c r="W331" s="36">
        <f>+U331-V331</f>
        <v>0</v>
      </c>
      <c r="X331" s="34">
        <f>IFERROR(VLOOKUP("13_"&amp;A331,SyS!$B:$P,10,FALSE()),0)</f>
        <v>0</v>
      </c>
      <c r="Y331" s="35">
        <f>IFERROR(VLOOKUP("13_"&amp;A331,SyS!$B:$P,12,FALSE()),0)</f>
        <v>0</v>
      </c>
      <c r="Z331" s="36">
        <f>+X331-Y331</f>
        <v>0</v>
      </c>
      <c r="AA331" s="34">
        <f>IFERROR(VLOOKUP("17_"&amp;A331,SyS!$B:$P,10,FALSE()),0)</f>
        <v>0</v>
      </c>
      <c r="AB331" s="35">
        <f>IFERROR(VLOOKUP("17_"&amp;A331,SyS!$B:$P,12,FALSE()),0)</f>
        <v>0</v>
      </c>
      <c r="AC331" s="36">
        <f>+AA331-AB331</f>
        <v>0</v>
      </c>
      <c r="AD331" s="35"/>
      <c r="AE331" s="35"/>
      <c r="AF331" s="35"/>
      <c r="AG331" s="35">
        <f>IFERROR(VLOOKUP("19_"&amp;A331,SyS!$B:$P,10,FALSE()),0)</f>
        <v>0</v>
      </c>
      <c r="AH331" s="35">
        <f>IFERROR(VLOOKUP("19_"&amp;A331,SyS!$B:$P,12,FALSE()),0)</f>
        <v>0</v>
      </c>
      <c r="AI331" s="35">
        <f>+AG331-AH331</f>
        <v>0</v>
      </c>
      <c r="AJ331" s="35"/>
      <c r="AK331" s="35"/>
      <c r="AL331" s="35"/>
      <c r="AM331" s="34">
        <f>IFERROR(VLOOKUP("23_"&amp;A331,SyS!$B:$P,10,FALSE()),0)</f>
        <v>0</v>
      </c>
      <c r="AN331" s="35">
        <f>IFERROR(VLOOKUP("23_"&amp;A331,SyS!$B:$P,12,FALSE()),0)</f>
        <v>0</v>
      </c>
      <c r="AO331" s="36">
        <f>+AM331-AN331</f>
        <v>0</v>
      </c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  <c r="BC331" s="40"/>
      <c r="BD331" s="40"/>
      <c r="BE331" s="40"/>
      <c r="BF331" s="40"/>
      <c r="BG331" s="40"/>
      <c r="BH331" s="40"/>
      <c r="BI331" s="40"/>
      <c r="BJ331" s="40"/>
      <c r="BK331" s="40">
        <f>IFERROR(VLOOKUP("29_"&amp;A331,SyS!$B:$P,10,FALSE()),0)</f>
        <v>0</v>
      </c>
      <c r="BL331" s="40">
        <f>IFERROR(VLOOKUP("29_"&amp;A331,SyS!$B:$P,12,FALSE()),0)</f>
        <v>0</v>
      </c>
      <c r="BM331" s="40">
        <f>+BK331-BL331</f>
        <v>0</v>
      </c>
      <c r="BN331" s="46">
        <f>IFERROR(VLOOKUP("30_"&amp;A331,SyS!$B:$P,10,FALSE()),0)</f>
        <v>0</v>
      </c>
      <c r="BO331" s="40">
        <f>IFERROR(VLOOKUP("30_"&amp;A331,SyS!$B:$P,12,FALSE()),0)</f>
        <v>0</v>
      </c>
      <c r="BP331" s="47">
        <f>+BN331-BO331</f>
        <v>0</v>
      </c>
      <c r="BQ331" s="45">
        <f>+E331+H331+K331+N331+Q331+T331+W331+Z331+AC331+AF331+AI331+AL331+AO331+AR331+AU331+AX331+BA331+BD331+BG331+BJ331+BM331+BP331</f>
        <v>0</v>
      </c>
    </row>
    <row r="332" ht="11.25" customHeight="1" spans="1:69" x14ac:dyDescent="0.25">
      <c r="A332" s="9">
        <v>421180000</v>
      </c>
      <c r="B332" s="9" t="s">
        <v>366</v>
      </c>
      <c r="C332" s="34">
        <f>IFERROR(VLOOKUP("1_"&amp;A332,SyS!$B:$P,10,FALSE()),0)</f>
        <v>0</v>
      </c>
      <c r="D332" s="35">
        <f>IFERROR(VLOOKUP("1_"&amp;A332,SyS!$B:$P,12,FALSE()),0)</f>
        <v>0</v>
      </c>
      <c r="E332" s="35">
        <f>+C332-D332</f>
        <v>0</v>
      </c>
      <c r="F332" s="34">
        <f>IFERROR(VLOOKUP("2_"&amp;A332,SyS!$B:$P,10,FALSE()),0)</f>
        <v>0</v>
      </c>
      <c r="G332" s="35">
        <f>IFERROR(VLOOKUP("2_"&amp;A332,SyS!$B:$P,12,FALSE()),0)</f>
        <v>0</v>
      </c>
      <c r="H332" s="36">
        <f>+F332-G332</f>
        <v>0</v>
      </c>
      <c r="I332" s="35"/>
      <c r="J332" s="35"/>
      <c r="K332" s="35"/>
      <c r="L332" s="35"/>
      <c r="M332" s="35"/>
      <c r="N332" s="35"/>
      <c r="O332" s="34">
        <f>IFERROR(VLOOKUP("14_"&amp;A332,SyS!$B:$P,10,FALSE()),0)</f>
        <v>0</v>
      </c>
      <c r="P332" s="35">
        <f>IFERROR(VLOOKUP("14_"&amp;A332,SyS!$B:$P,12,FALSE()),0)</f>
        <v>0</v>
      </c>
      <c r="Q332" s="36">
        <f>+O332-P332</f>
        <v>0</v>
      </c>
      <c r="R332" s="34">
        <f>IFERROR(VLOOKUP("15_"&amp;A332,SyS!$B:$P,10,FALSE()),0)</f>
        <v>0</v>
      </c>
      <c r="S332" s="35">
        <f>IFERROR(VLOOKUP("15_"&amp;A332,SyS!$B:$P,12,FALSE()),0)</f>
        <v>0</v>
      </c>
      <c r="T332" s="36">
        <f>+R332-S332</f>
        <v>0</v>
      </c>
      <c r="U332" s="34">
        <f>IFERROR(VLOOKUP("16_"&amp;A332,SyS!$B:$P,10,FALSE()),0)</f>
        <v>0</v>
      </c>
      <c r="V332" s="35">
        <f>IFERROR(VLOOKUP("16_"&amp;A332,SyS!$B:$P,12,FALSE()),0)</f>
        <v>0</v>
      </c>
      <c r="W332" s="36">
        <f>+U332-V332</f>
        <v>0</v>
      </c>
      <c r="X332" s="34">
        <f>IFERROR(VLOOKUP("13_"&amp;A332,SyS!$B:$P,10,FALSE()),0)</f>
        <v>0</v>
      </c>
      <c r="Y332" s="35">
        <f>IFERROR(VLOOKUP("13_"&amp;A332,SyS!$B:$P,12,FALSE()),0)</f>
        <v>0</v>
      </c>
      <c r="Z332" s="36">
        <f>+X332-Y332</f>
        <v>0</v>
      </c>
      <c r="AA332" s="34">
        <f>IFERROR(VLOOKUP("17_"&amp;A332,SyS!$B:$P,10,FALSE()),0)</f>
        <v>0</v>
      </c>
      <c r="AB332" s="35">
        <f>IFERROR(VLOOKUP("17_"&amp;A332,SyS!$B:$P,12,FALSE()),0)</f>
        <v>0</v>
      </c>
      <c r="AC332" s="36">
        <f>+AA332-AB332</f>
        <v>0</v>
      </c>
      <c r="AD332" s="35"/>
      <c r="AE332" s="35"/>
      <c r="AF332" s="35"/>
      <c r="AG332" s="35">
        <f>IFERROR(VLOOKUP("19_"&amp;A332,SyS!$B:$P,10,FALSE()),0)</f>
        <v>0</v>
      </c>
      <c r="AH332" s="35">
        <f>IFERROR(VLOOKUP("19_"&amp;A332,SyS!$B:$P,12,FALSE()),0)</f>
        <v>0</v>
      </c>
      <c r="AI332" s="35">
        <f>+AG332-AH332</f>
        <v>0</v>
      </c>
      <c r="AJ332" s="35"/>
      <c r="AK332" s="35"/>
      <c r="AL332" s="35"/>
      <c r="AM332" s="34">
        <f>IFERROR(VLOOKUP("23_"&amp;A332,SyS!$B:$P,10,FALSE()),0)</f>
        <v>0</v>
      </c>
      <c r="AN332" s="35">
        <f>IFERROR(VLOOKUP("23_"&amp;A332,SyS!$B:$P,12,FALSE()),0)</f>
        <v>0</v>
      </c>
      <c r="AO332" s="36">
        <f>+AM332-AN332</f>
        <v>0</v>
      </c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  <c r="BC332" s="40"/>
      <c r="BD332" s="40"/>
      <c r="BE332" s="40"/>
      <c r="BF332" s="40"/>
      <c r="BG332" s="40"/>
      <c r="BH332" s="40"/>
      <c r="BI332" s="40"/>
      <c r="BJ332" s="40"/>
      <c r="BK332" s="40">
        <f>IFERROR(VLOOKUP("29_"&amp;A332,SyS!$B:$P,10,FALSE()),0)</f>
        <v>0</v>
      </c>
      <c r="BL332" s="40">
        <f>IFERROR(VLOOKUP("29_"&amp;A332,SyS!$B:$P,12,FALSE()),0)</f>
        <v>0</v>
      </c>
      <c r="BM332" s="40">
        <f>+BK332-BL332</f>
        <v>0</v>
      </c>
      <c r="BN332" s="46">
        <f>IFERROR(VLOOKUP("30_"&amp;A332,SyS!$B:$P,10,FALSE()),0)</f>
        <v>0</v>
      </c>
      <c r="BO332" s="40">
        <f>IFERROR(VLOOKUP("30_"&amp;A332,SyS!$B:$P,12,FALSE()),0)</f>
        <v>0</v>
      </c>
      <c r="BP332" s="47">
        <f>+BN332-BO332</f>
        <v>0</v>
      </c>
      <c r="BQ332" s="45">
        <f>+E332+H332+K332+N332+Q332+T332+W332+Z332+AC332+AF332+AI332+AL332+AO332+AR332+AU332+AX332+BA332+BD332+BG332+BJ332+BM332+BP332</f>
        <v>0</v>
      </c>
    </row>
    <row r="333" ht="11.25" customHeight="1" spans="1:69" x14ac:dyDescent="0.25">
      <c r="A333" s="9">
        <v>421350000</v>
      </c>
      <c r="B333" s="9" t="s">
        <v>367</v>
      </c>
      <c r="C333" s="34">
        <f>IFERROR(VLOOKUP("1_"&amp;A333,SyS!$B:$P,10,FALSE()),0)</f>
        <v>0</v>
      </c>
      <c r="D333" s="35">
        <f>IFERROR(VLOOKUP("1_"&amp;A333,SyS!$B:$P,12,FALSE()),0)</f>
        <v>0</v>
      </c>
      <c r="E333" s="35">
        <f>+C333-D333</f>
        <v>0</v>
      </c>
      <c r="F333" s="34">
        <f>IFERROR(VLOOKUP("2_"&amp;A333,SyS!$B:$P,10,FALSE()),0)</f>
        <v>0</v>
      </c>
      <c r="G333" s="35">
        <f>IFERROR(VLOOKUP("2_"&amp;A333,SyS!$B:$P,12,FALSE()),0)</f>
        <v>0</v>
      </c>
      <c r="H333" s="36">
        <f>+F333-G333</f>
        <v>0</v>
      </c>
      <c r="I333" s="35"/>
      <c r="J333" s="35"/>
      <c r="K333" s="35"/>
      <c r="L333" s="35"/>
      <c r="M333" s="35"/>
      <c r="N333" s="35"/>
      <c r="O333" s="34">
        <f>IFERROR(VLOOKUP("14_"&amp;A333,SyS!$B:$P,10,FALSE()),0)</f>
        <v>0</v>
      </c>
      <c r="P333" s="35">
        <f>IFERROR(VLOOKUP("14_"&amp;A333,SyS!$B:$P,12,FALSE()),0)</f>
        <v>0</v>
      </c>
      <c r="Q333" s="36">
        <f>+O333-P333</f>
        <v>0</v>
      </c>
      <c r="R333" s="34">
        <f>IFERROR(VLOOKUP("15_"&amp;A333,SyS!$B:$P,10,FALSE()),0)</f>
        <v>0</v>
      </c>
      <c r="S333" s="35">
        <f>IFERROR(VLOOKUP("15_"&amp;A333,SyS!$B:$P,12,FALSE()),0)</f>
        <v>0</v>
      </c>
      <c r="T333" s="36">
        <f>+R333-S333</f>
        <v>0</v>
      </c>
      <c r="U333" s="34">
        <f>IFERROR(VLOOKUP("16_"&amp;A333,SyS!$B:$P,10,FALSE()),0)</f>
        <v>0</v>
      </c>
      <c r="V333" s="35">
        <f>IFERROR(VLOOKUP("16_"&amp;A333,SyS!$B:$P,12,FALSE()),0)</f>
        <v>0</v>
      </c>
      <c r="W333" s="36">
        <f>+U333-V333</f>
        <v>0</v>
      </c>
      <c r="X333" s="34">
        <f>IFERROR(VLOOKUP("13_"&amp;A333,SyS!$B:$P,10,FALSE()),0)</f>
        <v>0</v>
      </c>
      <c r="Y333" s="35">
        <f>IFERROR(VLOOKUP("13_"&amp;A333,SyS!$B:$P,12,FALSE()),0)</f>
        <v>0</v>
      </c>
      <c r="Z333" s="36">
        <f>+X333-Y333</f>
        <v>0</v>
      </c>
      <c r="AA333" s="34">
        <f>IFERROR(VLOOKUP("17_"&amp;A333,SyS!$B:$P,10,FALSE()),0)</f>
        <v>0</v>
      </c>
      <c r="AB333" s="35">
        <f>IFERROR(VLOOKUP("17_"&amp;A333,SyS!$B:$P,12,FALSE()),0)</f>
        <v>0</v>
      </c>
      <c r="AC333" s="36">
        <f>+AA333-AB333</f>
        <v>0</v>
      </c>
      <c r="AD333" s="35"/>
      <c r="AE333" s="35"/>
      <c r="AF333" s="35"/>
      <c r="AG333" s="35">
        <f>IFERROR(VLOOKUP("19_"&amp;A333,SyS!$B:$P,10,FALSE()),0)</f>
        <v>0</v>
      </c>
      <c r="AH333" s="35">
        <f>IFERROR(VLOOKUP("19_"&amp;A333,SyS!$B:$P,12,FALSE()),0)</f>
        <v>0</v>
      </c>
      <c r="AI333" s="35">
        <f>+AG333-AH333</f>
        <v>0</v>
      </c>
      <c r="AJ333" s="35"/>
      <c r="AK333" s="35"/>
      <c r="AL333" s="35"/>
      <c r="AM333" s="34">
        <f>IFERROR(VLOOKUP("23_"&amp;A333,SyS!$B:$P,10,FALSE()),0)</f>
        <v>0</v>
      </c>
      <c r="AN333" s="35">
        <f>IFERROR(VLOOKUP("23_"&amp;A333,SyS!$B:$P,12,FALSE()),0)</f>
        <v>0</v>
      </c>
      <c r="AO333" s="36">
        <f>+AM333-AN333</f>
        <v>0</v>
      </c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  <c r="BC333" s="40"/>
      <c r="BD333" s="40"/>
      <c r="BE333" s="40"/>
      <c r="BF333" s="40"/>
      <c r="BG333" s="40"/>
      <c r="BH333" s="40"/>
      <c r="BI333" s="40"/>
      <c r="BJ333" s="40"/>
      <c r="BK333" s="40">
        <f>IFERROR(VLOOKUP("29_"&amp;A333,SyS!$B:$P,10,FALSE()),0)</f>
        <v>0</v>
      </c>
      <c r="BL333" s="40">
        <f>IFERROR(VLOOKUP("29_"&amp;A333,SyS!$B:$P,12,FALSE()),0)</f>
        <v>0</v>
      </c>
      <c r="BM333" s="40">
        <f>+BK333-BL333</f>
        <v>0</v>
      </c>
      <c r="BN333" s="46">
        <f>IFERROR(VLOOKUP("30_"&amp;A333,SyS!$B:$P,10,FALSE()),0)</f>
        <v>0</v>
      </c>
      <c r="BO333" s="40">
        <f>IFERROR(VLOOKUP("30_"&amp;A333,SyS!$B:$P,12,FALSE()),0)</f>
        <v>0</v>
      </c>
      <c r="BP333" s="47">
        <f>+BN333-BO333</f>
        <v>0</v>
      </c>
      <c r="BQ333" s="45">
        <f>+E333+H333+K333+N333+Q333+T333+W333+Z333+AC333+AF333+AI333+AL333+AO333+AR333+AU333+AX333+BA333+BD333+BG333+BJ333+BM333+BP333</f>
        <v>0</v>
      </c>
    </row>
    <row r="334" ht="11.25" customHeight="1" spans="1:69" x14ac:dyDescent="0.25">
      <c r="A334" s="9">
        <v>421330000</v>
      </c>
      <c r="B334" s="9" t="s">
        <v>368</v>
      </c>
      <c r="C334" s="34">
        <f>IFERROR(VLOOKUP("1_"&amp;A334,SyS!$B:$P,10,FALSE()),0)</f>
        <v>0</v>
      </c>
      <c r="D334" s="35">
        <f>IFERROR(VLOOKUP("1_"&amp;A334,SyS!$B:$P,12,FALSE()),0)</f>
        <v>0</v>
      </c>
      <c r="E334" s="35">
        <f>+C334-D334</f>
        <v>0</v>
      </c>
      <c r="F334" s="34">
        <f>IFERROR(VLOOKUP("2_"&amp;A334,SyS!$B:$P,10,FALSE()),0)</f>
        <v>0</v>
      </c>
      <c r="G334" s="35">
        <f>IFERROR(VLOOKUP("2_"&amp;A334,SyS!$B:$P,12,FALSE()),0)</f>
        <v>0</v>
      </c>
      <c r="H334" s="36">
        <f>+F334-G334</f>
        <v>0</v>
      </c>
      <c r="I334" s="35"/>
      <c r="J334" s="35"/>
      <c r="K334" s="35"/>
      <c r="L334" s="35"/>
      <c r="M334" s="35"/>
      <c r="N334" s="35"/>
      <c r="O334" s="34">
        <f>IFERROR(VLOOKUP("14_"&amp;A334,SyS!$B:$P,10,FALSE()),0)</f>
        <v>0</v>
      </c>
      <c r="P334" s="35">
        <f>IFERROR(VLOOKUP("14_"&amp;A334,SyS!$B:$P,12,FALSE()),0)</f>
        <v>0</v>
      </c>
      <c r="Q334" s="36">
        <f>+O334-P334</f>
        <v>0</v>
      </c>
      <c r="R334" s="34">
        <f>IFERROR(VLOOKUP("15_"&amp;A334,SyS!$B:$P,10,FALSE()),0)</f>
        <v>0</v>
      </c>
      <c r="S334" s="35">
        <f>IFERROR(VLOOKUP("15_"&amp;A334,SyS!$B:$P,12,FALSE()),0)</f>
        <v>0</v>
      </c>
      <c r="T334" s="36">
        <f>+R334-S334</f>
        <v>0</v>
      </c>
      <c r="U334" s="34">
        <f>IFERROR(VLOOKUP("16_"&amp;A334,SyS!$B:$P,10,FALSE()),0)</f>
        <v>0</v>
      </c>
      <c r="V334" s="35">
        <f>IFERROR(VLOOKUP("16_"&amp;A334,SyS!$B:$P,12,FALSE()),0)</f>
        <v>0</v>
      </c>
      <c r="W334" s="36">
        <f>+U334-V334</f>
        <v>0</v>
      </c>
      <c r="X334" s="34">
        <f>IFERROR(VLOOKUP("13_"&amp;A334,SyS!$B:$P,10,FALSE()),0)</f>
        <v>0</v>
      </c>
      <c r="Y334" s="35">
        <f>IFERROR(VLOOKUP("13_"&amp;A334,SyS!$B:$P,12,FALSE()),0)</f>
        <v>0</v>
      </c>
      <c r="Z334" s="36">
        <f>+X334-Y334</f>
        <v>0</v>
      </c>
      <c r="AA334" s="34">
        <f>IFERROR(VLOOKUP("17_"&amp;A334,SyS!$B:$P,10,FALSE()),0)</f>
        <v>0</v>
      </c>
      <c r="AB334" s="35">
        <f>IFERROR(VLOOKUP("17_"&amp;A334,SyS!$B:$P,12,FALSE()),0)</f>
        <v>0</v>
      </c>
      <c r="AC334" s="36">
        <f>+AA334-AB334</f>
        <v>0</v>
      </c>
      <c r="AD334" s="35"/>
      <c r="AE334" s="35"/>
      <c r="AF334" s="35"/>
      <c r="AG334" s="35">
        <f>IFERROR(VLOOKUP("19_"&amp;A334,SyS!$B:$P,10,FALSE()),0)</f>
        <v>0</v>
      </c>
      <c r="AH334" s="35">
        <f>IFERROR(VLOOKUP("19_"&amp;A334,SyS!$B:$P,12,FALSE()),0)</f>
        <v>0</v>
      </c>
      <c r="AI334" s="35">
        <f>+AG334-AH334</f>
        <v>0</v>
      </c>
      <c r="AJ334" s="35"/>
      <c r="AK334" s="35"/>
      <c r="AL334" s="35"/>
      <c r="AM334" s="34">
        <f>IFERROR(VLOOKUP("23_"&amp;A334,SyS!$B:$P,10,FALSE()),0)</f>
        <v>0</v>
      </c>
      <c r="AN334" s="35">
        <f>IFERROR(VLOOKUP("23_"&amp;A334,SyS!$B:$P,12,FALSE()),0)</f>
        <v>0</v>
      </c>
      <c r="AO334" s="36">
        <f>+AM334-AN334</f>
        <v>0</v>
      </c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  <c r="BC334" s="40"/>
      <c r="BD334" s="40"/>
      <c r="BE334" s="40"/>
      <c r="BF334" s="40"/>
      <c r="BG334" s="40"/>
      <c r="BH334" s="40"/>
      <c r="BI334" s="40"/>
      <c r="BJ334" s="40"/>
      <c r="BK334" s="40">
        <f>IFERROR(VLOOKUP("29_"&amp;A334,SyS!$B:$P,10,FALSE()),0)</f>
        <v>0</v>
      </c>
      <c r="BL334" s="40">
        <f>IFERROR(VLOOKUP("29_"&amp;A334,SyS!$B:$P,12,FALSE()),0)</f>
        <v>0</v>
      </c>
      <c r="BM334" s="40">
        <f>+BK334-BL334</f>
        <v>0</v>
      </c>
      <c r="BN334" s="46">
        <f>IFERROR(VLOOKUP("30_"&amp;A334,SyS!$B:$P,10,FALSE()),0)</f>
        <v>0</v>
      </c>
      <c r="BO334" s="40">
        <f>IFERROR(VLOOKUP("30_"&amp;A334,SyS!$B:$P,12,FALSE()),0)</f>
        <v>0</v>
      </c>
      <c r="BP334" s="47">
        <f>+BN334-BO334</f>
        <v>0</v>
      </c>
      <c r="BQ334" s="45">
        <f>+E334+H334+K334+N334+Q334+T334+W334+Z334+AC334+AF334+AI334+AL334+AO334+AR334+AU334+AX334+BA334+BD334+BG334+BJ334+BM334+BP334</f>
        <v>0</v>
      </c>
    </row>
    <row r="335" ht="11.25" customHeight="1" spans="1:69" x14ac:dyDescent="0.25">
      <c r="A335" s="9">
        <v>421360000</v>
      </c>
      <c r="B335" s="9" t="s">
        <v>369</v>
      </c>
      <c r="C335" s="34">
        <f>IFERROR(VLOOKUP("1_"&amp;A335,SyS!$B:$P,10,FALSE()),0)</f>
        <v>0</v>
      </c>
      <c r="D335" s="35">
        <f>IFERROR(VLOOKUP("1_"&amp;A335,SyS!$B:$P,12,FALSE()),0)</f>
        <v>0</v>
      </c>
      <c r="E335" s="35">
        <f>+C335-D335</f>
        <v>0</v>
      </c>
      <c r="F335" s="34">
        <f>IFERROR(VLOOKUP("2_"&amp;A335,SyS!$B:$P,10,FALSE()),0)</f>
        <v>0</v>
      </c>
      <c r="G335" s="35">
        <f>IFERROR(VLOOKUP("2_"&amp;A335,SyS!$B:$P,12,FALSE()),0)</f>
        <v>0</v>
      </c>
      <c r="H335" s="36">
        <f>+F335-G335</f>
        <v>0</v>
      </c>
      <c r="I335" s="35"/>
      <c r="J335" s="35"/>
      <c r="K335" s="35"/>
      <c r="L335" s="35"/>
      <c r="M335" s="35"/>
      <c r="N335" s="35"/>
      <c r="O335" s="34">
        <f>IFERROR(VLOOKUP("14_"&amp;A335,SyS!$B:$P,10,FALSE()),0)</f>
        <v>0</v>
      </c>
      <c r="P335" s="35">
        <f>IFERROR(VLOOKUP("14_"&amp;A335,SyS!$B:$P,12,FALSE()),0)</f>
        <v>0</v>
      </c>
      <c r="Q335" s="36">
        <f>+O335-P335</f>
        <v>0</v>
      </c>
      <c r="R335" s="34">
        <f>IFERROR(VLOOKUP("15_"&amp;A335,SyS!$B:$P,10,FALSE()),0)</f>
        <v>0</v>
      </c>
      <c r="S335" s="35">
        <f>IFERROR(VLOOKUP("15_"&amp;A335,SyS!$B:$P,12,FALSE()),0)</f>
        <v>0</v>
      </c>
      <c r="T335" s="36">
        <f>+R335-S335</f>
        <v>0</v>
      </c>
      <c r="U335" s="34">
        <f>IFERROR(VLOOKUP("16_"&amp;A335,SyS!$B:$P,10,FALSE()),0)</f>
        <v>0</v>
      </c>
      <c r="V335" s="35">
        <f>IFERROR(VLOOKUP("16_"&amp;A335,SyS!$B:$P,12,FALSE()),0)</f>
        <v>0</v>
      </c>
      <c r="W335" s="36">
        <f>+U335-V335</f>
        <v>0</v>
      </c>
      <c r="X335" s="34">
        <f>IFERROR(VLOOKUP("13_"&amp;A335,SyS!$B:$P,10,FALSE()),0)</f>
        <v>0</v>
      </c>
      <c r="Y335" s="35">
        <f>IFERROR(VLOOKUP("13_"&amp;A335,SyS!$B:$P,12,FALSE()),0)</f>
        <v>0</v>
      </c>
      <c r="Z335" s="36">
        <f>+X335-Y335</f>
        <v>0</v>
      </c>
      <c r="AA335" s="34">
        <f>IFERROR(VLOOKUP("17_"&amp;A335,SyS!$B:$P,10,FALSE()),0)</f>
        <v>0</v>
      </c>
      <c r="AB335" s="35">
        <f>IFERROR(VLOOKUP("17_"&amp;A335,SyS!$B:$P,12,FALSE()),0)</f>
        <v>0</v>
      </c>
      <c r="AC335" s="36">
        <f>+AA335-AB335</f>
        <v>0</v>
      </c>
      <c r="AD335" s="35"/>
      <c r="AE335" s="35"/>
      <c r="AF335" s="35"/>
      <c r="AG335" s="35">
        <f>IFERROR(VLOOKUP("19_"&amp;A335,SyS!$B:$P,10,FALSE()),0)</f>
        <v>0</v>
      </c>
      <c r="AH335" s="35">
        <f>IFERROR(VLOOKUP("19_"&amp;A335,SyS!$B:$P,12,FALSE()),0)</f>
        <v>0</v>
      </c>
      <c r="AI335" s="35">
        <f>+AG335-AH335</f>
        <v>0</v>
      </c>
      <c r="AJ335" s="35"/>
      <c r="AK335" s="35"/>
      <c r="AL335" s="35"/>
      <c r="AM335" s="34">
        <f>IFERROR(VLOOKUP("23_"&amp;A335,SyS!$B:$P,10,FALSE()),0)</f>
        <v>0</v>
      </c>
      <c r="AN335" s="35">
        <f>IFERROR(VLOOKUP("23_"&amp;A335,SyS!$B:$P,12,FALSE()),0)</f>
        <v>0</v>
      </c>
      <c r="AO335" s="36">
        <f>+AM335-AN335</f>
        <v>0</v>
      </c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  <c r="BB335" s="40"/>
      <c r="BC335" s="40"/>
      <c r="BD335" s="40"/>
      <c r="BE335" s="40"/>
      <c r="BF335" s="40"/>
      <c r="BG335" s="40"/>
      <c r="BH335" s="40"/>
      <c r="BI335" s="40"/>
      <c r="BJ335" s="40"/>
      <c r="BK335" s="40">
        <f>IFERROR(VLOOKUP("29_"&amp;A335,SyS!$B:$P,10,FALSE()),0)</f>
        <v>0</v>
      </c>
      <c r="BL335" s="40">
        <f>IFERROR(VLOOKUP("29_"&amp;A335,SyS!$B:$P,12,FALSE()),0)</f>
        <v>0</v>
      </c>
      <c r="BM335" s="40">
        <f>+BK335-BL335</f>
        <v>0</v>
      </c>
      <c r="BN335" s="46">
        <f>IFERROR(VLOOKUP("30_"&amp;A335,SyS!$B:$P,10,FALSE()),0)</f>
        <v>0</v>
      </c>
      <c r="BO335" s="40">
        <f>IFERROR(VLOOKUP("30_"&amp;A335,SyS!$B:$P,12,FALSE()),0)</f>
        <v>0</v>
      </c>
      <c r="BP335" s="47">
        <f>+BN335-BO335</f>
        <v>0</v>
      </c>
      <c r="BQ335" s="45">
        <f>+E335+H335+K335+N335+Q335+T335+W335+Z335+AC335+AF335+AI335+AL335+AO335+AR335+AU335+AX335+BA335+BD335+BG335+BJ335+BM335+BP335</f>
        <v>0</v>
      </c>
    </row>
    <row r="336" ht="11.25" customHeight="1" spans="1:69" x14ac:dyDescent="0.25">
      <c r="A336" s="9">
        <v>421370000</v>
      </c>
      <c r="B336" s="9" t="s">
        <v>370</v>
      </c>
      <c r="C336" s="34">
        <f>IFERROR(VLOOKUP("1_"&amp;A336,SyS!$B:$P,10,FALSE()),0)</f>
        <v>0</v>
      </c>
      <c r="D336" s="35">
        <f>IFERROR(VLOOKUP("1_"&amp;A336,SyS!$B:$P,12,FALSE()),0)</f>
        <v>0</v>
      </c>
      <c r="E336" s="35">
        <f>+C336-D336</f>
        <v>0</v>
      </c>
      <c r="F336" s="34">
        <f>IFERROR(VLOOKUP("2_"&amp;A336,SyS!$B:$P,10,FALSE()),0)</f>
        <v>0</v>
      </c>
      <c r="G336" s="35">
        <f>IFERROR(VLOOKUP("2_"&amp;A336,SyS!$B:$P,12,FALSE()),0)</f>
        <v>0</v>
      </c>
      <c r="H336" s="36">
        <f>+F336-G336</f>
        <v>0</v>
      </c>
      <c r="I336" s="35"/>
      <c r="J336" s="35"/>
      <c r="K336" s="35"/>
      <c r="L336" s="35"/>
      <c r="M336" s="35"/>
      <c r="N336" s="35"/>
      <c r="O336" s="34">
        <f>IFERROR(VLOOKUP("14_"&amp;A336,SyS!$B:$P,10,FALSE()),0)</f>
        <v>0</v>
      </c>
      <c r="P336" s="35">
        <f>IFERROR(VLOOKUP("14_"&amp;A336,SyS!$B:$P,12,FALSE()),0)</f>
        <v>0</v>
      </c>
      <c r="Q336" s="36">
        <f>+O336-P336</f>
        <v>0</v>
      </c>
      <c r="R336" s="34">
        <f>IFERROR(VLOOKUP("15_"&amp;A336,SyS!$B:$P,10,FALSE()),0)</f>
        <v>0</v>
      </c>
      <c r="S336" s="35">
        <f>IFERROR(VLOOKUP("15_"&amp;A336,SyS!$B:$P,12,FALSE()),0)</f>
        <v>0</v>
      </c>
      <c r="T336" s="36">
        <f>+R336-S336</f>
        <v>0</v>
      </c>
      <c r="U336" s="34">
        <f>IFERROR(VLOOKUP("16_"&amp;A336,SyS!$B:$P,10,FALSE()),0)</f>
        <v>0</v>
      </c>
      <c r="V336" s="35">
        <f>IFERROR(VLOOKUP("16_"&amp;A336,SyS!$B:$P,12,FALSE()),0)</f>
        <v>0</v>
      </c>
      <c r="W336" s="36">
        <f>+U336-V336</f>
        <v>0</v>
      </c>
      <c r="X336" s="34">
        <f>IFERROR(VLOOKUP("13_"&amp;A336,SyS!$B:$P,10,FALSE()),0)</f>
        <v>0</v>
      </c>
      <c r="Y336" s="35">
        <f>IFERROR(VLOOKUP("13_"&amp;A336,SyS!$B:$P,12,FALSE()),0)</f>
        <v>0</v>
      </c>
      <c r="Z336" s="36">
        <f>+X336-Y336</f>
        <v>0</v>
      </c>
      <c r="AA336" s="34">
        <f>IFERROR(VLOOKUP("17_"&amp;A336,SyS!$B:$P,10,FALSE()),0)</f>
        <v>0</v>
      </c>
      <c r="AB336" s="35">
        <f>IFERROR(VLOOKUP("17_"&amp;A336,SyS!$B:$P,12,FALSE()),0)</f>
        <v>0</v>
      </c>
      <c r="AC336" s="36">
        <f>+AA336-AB336</f>
        <v>0</v>
      </c>
      <c r="AD336" s="35"/>
      <c r="AE336" s="35"/>
      <c r="AF336" s="35"/>
      <c r="AG336" s="35">
        <f>IFERROR(VLOOKUP("19_"&amp;A336,SyS!$B:$P,10,FALSE()),0)</f>
        <v>0</v>
      </c>
      <c r="AH336" s="35">
        <f>IFERROR(VLOOKUP("19_"&amp;A336,SyS!$B:$P,12,FALSE()),0)</f>
        <v>0</v>
      </c>
      <c r="AI336" s="35">
        <f>+AG336-AH336</f>
        <v>0</v>
      </c>
      <c r="AJ336" s="35"/>
      <c r="AK336" s="35"/>
      <c r="AL336" s="35"/>
      <c r="AM336" s="34">
        <f>IFERROR(VLOOKUP("23_"&amp;A336,SyS!$B:$P,10,FALSE()),0)</f>
        <v>0</v>
      </c>
      <c r="AN336" s="35">
        <f>IFERROR(VLOOKUP("23_"&amp;A336,SyS!$B:$P,12,FALSE()),0)</f>
        <v>0</v>
      </c>
      <c r="AO336" s="36">
        <f>+AM336-AN336</f>
        <v>0</v>
      </c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  <c r="BB336" s="40"/>
      <c r="BC336" s="40"/>
      <c r="BD336" s="40"/>
      <c r="BE336" s="40"/>
      <c r="BF336" s="40"/>
      <c r="BG336" s="40"/>
      <c r="BH336" s="40"/>
      <c r="BI336" s="40"/>
      <c r="BJ336" s="40"/>
      <c r="BK336" s="40">
        <f>IFERROR(VLOOKUP("29_"&amp;A336,SyS!$B:$P,10,FALSE()),0)</f>
        <v>0</v>
      </c>
      <c r="BL336" s="40">
        <f>IFERROR(VLOOKUP("29_"&amp;A336,SyS!$B:$P,12,FALSE()),0)</f>
        <v>0</v>
      </c>
      <c r="BM336" s="40">
        <f>+BK336-BL336</f>
        <v>0</v>
      </c>
      <c r="BN336" s="46">
        <f>IFERROR(VLOOKUP("30_"&amp;A336,SyS!$B:$P,10,FALSE()),0)</f>
        <v>0</v>
      </c>
      <c r="BO336" s="40">
        <f>IFERROR(VLOOKUP("30_"&amp;A336,SyS!$B:$P,12,FALSE()),0)</f>
        <v>0</v>
      </c>
      <c r="BP336" s="47">
        <f>+BN336-BO336</f>
        <v>0</v>
      </c>
      <c r="BQ336" s="45">
        <f>+E336+H336+K336+N336+Q336+T336+W336+Z336+AC336+AF336+AI336+AL336+AO336+AR336+AU336+AX336+BA336+BD336+BG336+BJ336+BM336+BP336</f>
        <v>0</v>
      </c>
    </row>
    <row r="337" ht="11.25" customHeight="1" spans="1:69" x14ac:dyDescent="0.25">
      <c r="A337" s="9">
        <v>421380000</v>
      </c>
      <c r="B337" s="9" t="s">
        <v>371</v>
      </c>
      <c r="C337" s="34">
        <f>IFERROR(VLOOKUP("1_"&amp;A337,SyS!$B:$P,10,FALSE()),0)</f>
        <v>0</v>
      </c>
      <c r="D337" s="35">
        <f>IFERROR(VLOOKUP("1_"&amp;A337,SyS!$B:$P,12,FALSE()),0)</f>
        <v>0</v>
      </c>
      <c r="E337" s="35">
        <f>+C337-D337</f>
        <v>0</v>
      </c>
      <c r="F337" s="34">
        <f>IFERROR(VLOOKUP("2_"&amp;A337,SyS!$B:$P,10,FALSE()),0)</f>
        <v>0</v>
      </c>
      <c r="G337" s="35">
        <f>IFERROR(VLOOKUP("2_"&amp;A337,SyS!$B:$P,12,FALSE()),0)</f>
        <v>0</v>
      </c>
      <c r="H337" s="36">
        <f>+F337-G337</f>
        <v>0</v>
      </c>
      <c r="I337" s="35"/>
      <c r="J337" s="35"/>
      <c r="K337" s="35"/>
      <c r="L337" s="35"/>
      <c r="M337" s="35"/>
      <c r="N337" s="35"/>
      <c r="O337" s="34">
        <f>IFERROR(VLOOKUP("14_"&amp;A337,SyS!$B:$P,10,FALSE()),0)</f>
        <v>0</v>
      </c>
      <c r="P337" s="35">
        <f>IFERROR(VLOOKUP("14_"&amp;A337,SyS!$B:$P,12,FALSE()),0)</f>
        <v>0</v>
      </c>
      <c r="Q337" s="36">
        <f>+O337-P337</f>
        <v>0</v>
      </c>
      <c r="R337" s="34">
        <f>IFERROR(VLOOKUP("15_"&amp;A337,SyS!$B:$P,10,FALSE()),0)</f>
        <v>0</v>
      </c>
      <c r="S337" s="35">
        <f>IFERROR(VLOOKUP("15_"&amp;A337,SyS!$B:$P,12,FALSE()),0)</f>
        <v>0</v>
      </c>
      <c r="T337" s="36">
        <f>+R337-S337</f>
        <v>0</v>
      </c>
      <c r="U337" s="34">
        <f>IFERROR(VLOOKUP("16_"&amp;A337,SyS!$B:$P,10,FALSE()),0)</f>
        <v>0</v>
      </c>
      <c r="V337" s="35">
        <f>IFERROR(VLOOKUP("16_"&amp;A337,SyS!$B:$P,12,FALSE()),0)</f>
        <v>0</v>
      </c>
      <c r="W337" s="36">
        <f>+U337-V337</f>
        <v>0</v>
      </c>
      <c r="X337" s="34">
        <f>IFERROR(VLOOKUP("13_"&amp;A337,SyS!$B:$P,10,FALSE()),0)</f>
        <v>0</v>
      </c>
      <c r="Y337" s="35">
        <f>IFERROR(VLOOKUP("13_"&amp;A337,SyS!$B:$P,12,FALSE()),0)</f>
        <v>0</v>
      </c>
      <c r="Z337" s="36">
        <f>+X337-Y337</f>
        <v>0</v>
      </c>
      <c r="AA337" s="34">
        <f>IFERROR(VLOOKUP("17_"&amp;A337,SyS!$B:$P,10,FALSE()),0)</f>
        <v>0</v>
      </c>
      <c r="AB337" s="35">
        <f>IFERROR(VLOOKUP("17_"&amp;A337,SyS!$B:$P,12,FALSE()),0)</f>
        <v>0</v>
      </c>
      <c r="AC337" s="36">
        <f>+AA337-AB337</f>
        <v>0</v>
      </c>
      <c r="AD337" s="35"/>
      <c r="AE337" s="35"/>
      <c r="AF337" s="35"/>
      <c r="AG337" s="35">
        <f>IFERROR(VLOOKUP("19_"&amp;A337,SyS!$B:$P,10,FALSE()),0)</f>
        <v>0</v>
      </c>
      <c r="AH337" s="35">
        <f>IFERROR(VLOOKUP("19_"&amp;A337,SyS!$B:$P,12,FALSE()),0)</f>
        <v>0</v>
      </c>
      <c r="AI337" s="35">
        <f>+AG337-AH337</f>
        <v>0</v>
      </c>
      <c r="AJ337" s="35"/>
      <c r="AK337" s="35"/>
      <c r="AL337" s="35"/>
      <c r="AM337" s="34">
        <f>IFERROR(VLOOKUP("23_"&amp;A337,SyS!$B:$P,10,FALSE()),0)</f>
        <v>0</v>
      </c>
      <c r="AN337" s="35">
        <f>IFERROR(VLOOKUP("23_"&amp;A337,SyS!$B:$P,12,FALSE()),0)</f>
        <v>0</v>
      </c>
      <c r="AO337" s="36">
        <f>+AM337-AN337</f>
        <v>0</v>
      </c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  <c r="BC337" s="40"/>
      <c r="BD337" s="40"/>
      <c r="BE337" s="40"/>
      <c r="BF337" s="40"/>
      <c r="BG337" s="40"/>
      <c r="BH337" s="40"/>
      <c r="BI337" s="40"/>
      <c r="BJ337" s="40"/>
      <c r="BK337" s="40">
        <f>IFERROR(VLOOKUP("29_"&amp;A337,SyS!$B:$P,10,FALSE()),0)</f>
        <v>0</v>
      </c>
      <c r="BL337" s="40">
        <f>IFERROR(VLOOKUP("29_"&amp;A337,SyS!$B:$P,12,FALSE()),0)</f>
        <v>0</v>
      </c>
      <c r="BM337" s="40">
        <f>+BK337-BL337</f>
        <v>0</v>
      </c>
      <c r="BN337" s="46">
        <f>IFERROR(VLOOKUP("30_"&amp;A337,SyS!$B:$P,10,FALSE()),0)</f>
        <v>0</v>
      </c>
      <c r="BO337" s="40">
        <f>IFERROR(VLOOKUP("30_"&amp;A337,SyS!$B:$P,12,FALSE()),0)</f>
        <v>0</v>
      </c>
      <c r="BP337" s="47">
        <f>+BN337-BO337</f>
        <v>0</v>
      </c>
      <c r="BQ337" s="45">
        <f>+E337+H337+K337+N337+Q337+T337+W337+Z337+AC337+AF337+AI337+AL337+AO337+AR337+AU337+AX337+BA337+BD337+BG337+BJ337+BM337+BP337</f>
        <v>0</v>
      </c>
    </row>
    <row r="338" ht="11.25" customHeight="1" spans="1:69" x14ac:dyDescent="0.25">
      <c r="A338" s="9">
        <v>421450000</v>
      </c>
      <c r="B338" s="9" t="s">
        <v>372</v>
      </c>
      <c r="C338" s="34">
        <f>IFERROR(VLOOKUP("1_"&amp;A338,SyS!$B:$P,10,FALSE()),0)</f>
        <v>0</v>
      </c>
      <c r="D338" s="35">
        <f>IFERROR(VLOOKUP("1_"&amp;A338,SyS!$B:$P,12,FALSE()),0)</f>
        <v>0</v>
      </c>
      <c r="E338" s="35">
        <f>+C338-D338</f>
        <v>0</v>
      </c>
      <c r="F338" s="34">
        <f>IFERROR(VLOOKUP("2_"&amp;A338,SyS!$B:$P,10,FALSE()),0)</f>
        <v>0</v>
      </c>
      <c r="G338" s="35">
        <f>IFERROR(VLOOKUP("2_"&amp;A338,SyS!$B:$P,12,FALSE()),0)</f>
        <v>0</v>
      </c>
      <c r="H338" s="36">
        <f>+F338-G338</f>
        <v>0</v>
      </c>
      <c r="I338" s="35"/>
      <c r="J338" s="35"/>
      <c r="K338" s="35"/>
      <c r="L338" s="35"/>
      <c r="M338" s="35"/>
      <c r="N338" s="35"/>
      <c r="O338" s="34">
        <f>IFERROR(VLOOKUP("14_"&amp;A338,SyS!$B:$P,10,FALSE()),0)</f>
        <v>0</v>
      </c>
      <c r="P338" s="35">
        <f>IFERROR(VLOOKUP("14_"&amp;A338,SyS!$B:$P,12,FALSE()),0)</f>
        <v>0</v>
      </c>
      <c r="Q338" s="36">
        <f>+O338-P338</f>
        <v>0</v>
      </c>
      <c r="R338" s="34">
        <f>IFERROR(VLOOKUP("15_"&amp;A338,SyS!$B:$P,10,FALSE()),0)</f>
        <v>0</v>
      </c>
      <c r="S338" s="35">
        <f>IFERROR(VLOOKUP("15_"&amp;A338,SyS!$B:$P,12,FALSE()),0)</f>
        <v>0</v>
      </c>
      <c r="T338" s="36">
        <f>+R338-S338</f>
        <v>0</v>
      </c>
      <c r="U338" s="34">
        <f>IFERROR(VLOOKUP("16_"&amp;A338,SyS!$B:$P,10,FALSE()),0)</f>
        <v>0</v>
      </c>
      <c r="V338" s="35">
        <f>IFERROR(VLOOKUP("16_"&amp;A338,SyS!$B:$P,12,FALSE()),0)</f>
        <v>0</v>
      </c>
      <c r="W338" s="36">
        <f>+U338-V338</f>
        <v>0</v>
      </c>
      <c r="X338" s="34">
        <f>IFERROR(VLOOKUP("13_"&amp;A338,SyS!$B:$P,10,FALSE()),0)</f>
        <v>0</v>
      </c>
      <c r="Y338" s="35">
        <f>IFERROR(VLOOKUP("13_"&amp;A338,SyS!$B:$P,12,FALSE()),0)</f>
        <v>0</v>
      </c>
      <c r="Z338" s="36">
        <f>+X338-Y338</f>
        <v>0</v>
      </c>
      <c r="AA338" s="34">
        <f>IFERROR(VLOOKUP("17_"&amp;A338,SyS!$B:$P,10,FALSE()),0)</f>
        <v>0</v>
      </c>
      <c r="AB338" s="35">
        <f>IFERROR(VLOOKUP("17_"&amp;A338,SyS!$B:$P,12,FALSE()),0)</f>
        <v>0</v>
      </c>
      <c r="AC338" s="36">
        <f>+AA338-AB338</f>
        <v>0</v>
      </c>
      <c r="AD338" s="35"/>
      <c r="AE338" s="35"/>
      <c r="AF338" s="35"/>
      <c r="AG338" s="35">
        <f>IFERROR(VLOOKUP("19_"&amp;A338,SyS!$B:$P,10,FALSE()),0)</f>
        <v>0</v>
      </c>
      <c r="AH338" s="35">
        <f>IFERROR(VLOOKUP("19_"&amp;A338,SyS!$B:$P,12,FALSE()),0)</f>
        <v>0</v>
      </c>
      <c r="AI338" s="35">
        <f>+AG338-AH338</f>
        <v>0</v>
      </c>
      <c r="AJ338" s="35"/>
      <c r="AK338" s="35"/>
      <c r="AL338" s="35"/>
      <c r="AM338" s="34">
        <f>IFERROR(VLOOKUP("23_"&amp;A338,SyS!$B:$P,10,FALSE()),0)</f>
        <v>0</v>
      </c>
      <c r="AN338" s="35">
        <f>IFERROR(VLOOKUP("23_"&amp;A338,SyS!$B:$P,12,FALSE()),0)</f>
        <v>0</v>
      </c>
      <c r="AO338" s="36">
        <f>+AM338-AN338</f>
        <v>0</v>
      </c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  <c r="BC338" s="40"/>
      <c r="BD338" s="40"/>
      <c r="BE338" s="40"/>
      <c r="BF338" s="40"/>
      <c r="BG338" s="40"/>
      <c r="BH338" s="40"/>
      <c r="BI338" s="40"/>
      <c r="BJ338" s="40"/>
      <c r="BK338" s="40">
        <f>IFERROR(VLOOKUP("29_"&amp;A338,SyS!$B:$P,10,FALSE()),0)</f>
        <v>0</v>
      </c>
      <c r="BL338" s="40">
        <f>IFERROR(VLOOKUP("29_"&amp;A338,SyS!$B:$P,12,FALSE()),0)</f>
        <v>0</v>
      </c>
      <c r="BM338" s="40">
        <f>+BK338-BL338</f>
        <v>0</v>
      </c>
      <c r="BN338" s="46">
        <f>IFERROR(VLOOKUP("30_"&amp;A338,SyS!$B:$P,10,FALSE()),0)</f>
        <v>0</v>
      </c>
      <c r="BO338" s="40">
        <f>IFERROR(VLOOKUP("30_"&amp;A338,SyS!$B:$P,12,FALSE()),0)</f>
        <v>0</v>
      </c>
      <c r="BP338" s="47">
        <f>+BN338-BO338</f>
        <v>0</v>
      </c>
      <c r="BQ338" s="45">
        <f>+E338+H338+K338+N338+Q338+T338+W338+Z338+AC338+AF338+AI338+AL338+AO338+AR338+AU338+AX338+BA338+BD338+BG338+BJ338+BM338+BP338</f>
        <v>0</v>
      </c>
    </row>
    <row r="339" ht="11.25" customHeight="1" spans="1:69" x14ac:dyDescent="0.25">
      <c r="A339" s="9">
        <v>427290000</v>
      </c>
      <c r="B339" s="9" t="s">
        <v>373</v>
      </c>
      <c r="C339" s="34">
        <f>IFERROR(VLOOKUP("1_"&amp;A339,SyS!$B:$P,10,FALSE()),0)</f>
        <v>0</v>
      </c>
      <c r="D339" s="35">
        <f>IFERROR(VLOOKUP("1_"&amp;A339,SyS!$B:$P,12,FALSE()),0)</f>
        <v>0</v>
      </c>
      <c r="E339" s="35">
        <f>+C339-D339</f>
        <v>0</v>
      </c>
      <c r="F339" s="34">
        <f>IFERROR(VLOOKUP("2_"&amp;A339,SyS!$B:$P,10,FALSE()),0)</f>
        <v>0</v>
      </c>
      <c r="G339" s="35">
        <f>IFERROR(VLOOKUP("2_"&amp;A339,SyS!$B:$P,12,FALSE()),0)</f>
        <v>0</v>
      </c>
      <c r="H339" s="36">
        <f>+F339-G339</f>
        <v>0</v>
      </c>
      <c r="I339" s="35"/>
      <c r="J339" s="35"/>
      <c r="K339" s="35"/>
      <c r="L339" s="35"/>
      <c r="M339" s="35"/>
      <c r="N339" s="35"/>
      <c r="O339" s="34">
        <f>IFERROR(VLOOKUP("14_"&amp;A339,SyS!$B:$P,10,FALSE()),0)</f>
        <v>0</v>
      </c>
      <c r="P339" s="35">
        <f>IFERROR(VLOOKUP("14_"&amp;A339,SyS!$B:$P,12,FALSE()),0)</f>
        <v>0</v>
      </c>
      <c r="Q339" s="36">
        <f>+O339-P339</f>
        <v>0</v>
      </c>
      <c r="R339" s="34">
        <f>IFERROR(VLOOKUP("15_"&amp;A339,SyS!$B:$P,10,FALSE()),0)</f>
        <v>0</v>
      </c>
      <c r="S339" s="35">
        <f>IFERROR(VLOOKUP("15_"&amp;A339,SyS!$B:$P,12,FALSE()),0)</f>
        <v>0</v>
      </c>
      <c r="T339" s="36">
        <f>+R339-S339</f>
        <v>0</v>
      </c>
      <c r="U339" s="34">
        <f>IFERROR(VLOOKUP("16_"&amp;A339,SyS!$B:$P,10,FALSE()),0)</f>
        <v>0</v>
      </c>
      <c r="V339" s="35">
        <f>IFERROR(VLOOKUP("16_"&amp;A339,SyS!$B:$P,12,FALSE()),0)</f>
        <v>0</v>
      </c>
      <c r="W339" s="36">
        <f>+U339-V339</f>
        <v>0</v>
      </c>
      <c r="X339" s="34">
        <f>IFERROR(VLOOKUP("13_"&amp;A339,SyS!$B:$P,10,FALSE()),0)</f>
        <v>0</v>
      </c>
      <c r="Y339" s="35">
        <f>IFERROR(VLOOKUP("13_"&amp;A339,SyS!$B:$P,12,FALSE()),0)</f>
        <v>0</v>
      </c>
      <c r="Z339" s="36">
        <f>+X339-Y339</f>
        <v>0</v>
      </c>
      <c r="AA339" s="34">
        <f>IFERROR(VLOOKUP("17_"&amp;A339,SyS!$B:$P,10,FALSE()),0)</f>
        <v>0</v>
      </c>
      <c r="AB339" s="35">
        <f>IFERROR(VLOOKUP("17_"&amp;A339,SyS!$B:$P,12,FALSE()),0)</f>
        <v>0</v>
      </c>
      <c r="AC339" s="36">
        <f>+AA339-AB339</f>
        <v>0</v>
      </c>
      <c r="AD339" s="35"/>
      <c r="AE339" s="35"/>
      <c r="AF339" s="35"/>
      <c r="AG339" s="35">
        <f>IFERROR(VLOOKUP("19_"&amp;A339,SyS!$B:$P,10,FALSE()),0)</f>
        <v>0</v>
      </c>
      <c r="AH339" s="35">
        <f>IFERROR(VLOOKUP("19_"&amp;A339,SyS!$B:$P,12,FALSE()),0)</f>
        <v>0</v>
      </c>
      <c r="AI339" s="35">
        <f>+AG339-AH339</f>
        <v>0</v>
      </c>
      <c r="AJ339" s="35"/>
      <c r="AK339" s="35"/>
      <c r="AL339" s="35"/>
      <c r="AM339" s="34">
        <f>IFERROR(VLOOKUP("23_"&amp;A339,SyS!$B:$P,10,FALSE()),0)</f>
        <v>0</v>
      </c>
      <c r="AN339" s="35">
        <f>IFERROR(VLOOKUP("23_"&amp;A339,SyS!$B:$P,12,FALSE()),0)</f>
        <v>0</v>
      </c>
      <c r="AO339" s="36">
        <f>+AM339-AN339</f>
        <v>0</v>
      </c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  <c r="BB339" s="40"/>
      <c r="BC339" s="40"/>
      <c r="BD339" s="40"/>
      <c r="BE339" s="40"/>
      <c r="BF339" s="40"/>
      <c r="BG339" s="40"/>
      <c r="BH339" s="40"/>
      <c r="BI339" s="40"/>
      <c r="BJ339" s="40"/>
      <c r="BK339" s="40">
        <f>IFERROR(VLOOKUP("29_"&amp;A339,SyS!$B:$P,10,FALSE()),0)</f>
        <v>0</v>
      </c>
      <c r="BL339" s="40">
        <f>IFERROR(VLOOKUP("29_"&amp;A339,SyS!$B:$P,12,FALSE()),0)</f>
        <v>0</v>
      </c>
      <c r="BM339" s="40">
        <f>+BK339-BL339</f>
        <v>0</v>
      </c>
      <c r="BN339" s="46">
        <f>IFERROR(VLOOKUP("30_"&amp;A339,SyS!$B:$P,10,FALSE()),0)</f>
        <v>0</v>
      </c>
      <c r="BO339" s="40">
        <f>IFERROR(VLOOKUP("30_"&amp;A339,SyS!$B:$P,12,FALSE()),0)</f>
        <v>0</v>
      </c>
      <c r="BP339" s="47">
        <f>+BN339-BO339</f>
        <v>0</v>
      </c>
      <c r="BQ339" s="45">
        <f>+E339+H339+K339+N339+Q339+T339+W339+Z339+AC339+AF339+AI339+AL339+AO339+AR339+AU339+AX339+BA339+BD339+BG339+BJ339+BM339+BP339</f>
        <v>0</v>
      </c>
    </row>
    <row r="340" ht="11.25" customHeight="1" spans="1:69" x14ac:dyDescent="0.25">
      <c r="A340" s="9">
        <v>427300000</v>
      </c>
      <c r="B340" s="9" t="s">
        <v>374</v>
      </c>
      <c r="C340" s="34">
        <f>IFERROR(VLOOKUP("1_"&amp;A340,SyS!$B:$P,10,FALSE()),0)</f>
        <v>0</v>
      </c>
      <c r="D340" s="35">
        <f>IFERROR(VLOOKUP("1_"&amp;A340,SyS!$B:$P,12,FALSE()),0)</f>
        <v>0</v>
      </c>
      <c r="E340" s="35">
        <f>+C340-D340</f>
        <v>0</v>
      </c>
      <c r="F340" s="34">
        <f>IFERROR(VLOOKUP("2_"&amp;A340,SyS!$B:$P,10,FALSE()),0)</f>
        <v>0</v>
      </c>
      <c r="G340" s="35">
        <f>IFERROR(VLOOKUP("2_"&amp;A340,SyS!$B:$P,12,FALSE()),0)</f>
        <v>0</v>
      </c>
      <c r="H340" s="36">
        <f>+F340-G340</f>
        <v>0</v>
      </c>
      <c r="I340" s="35"/>
      <c r="J340" s="35"/>
      <c r="K340" s="35"/>
      <c r="L340" s="35"/>
      <c r="M340" s="35"/>
      <c r="N340" s="35"/>
      <c r="O340" s="34">
        <f>IFERROR(VLOOKUP("14_"&amp;A340,SyS!$B:$P,10,FALSE()),0)</f>
        <v>0</v>
      </c>
      <c r="P340" s="35">
        <f>IFERROR(VLOOKUP("14_"&amp;A340,SyS!$B:$P,12,FALSE()),0)</f>
        <v>0</v>
      </c>
      <c r="Q340" s="36">
        <f>+O340-P340</f>
        <v>0</v>
      </c>
      <c r="R340" s="34">
        <f>IFERROR(VLOOKUP("15_"&amp;A340,SyS!$B:$P,10,FALSE()),0)</f>
        <v>0</v>
      </c>
      <c r="S340" s="35">
        <f>IFERROR(VLOOKUP("15_"&amp;A340,SyS!$B:$P,12,FALSE()),0)</f>
        <v>0</v>
      </c>
      <c r="T340" s="36">
        <f>+R340-S340</f>
        <v>0</v>
      </c>
      <c r="U340" s="34">
        <f>IFERROR(VLOOKUP("16_"&amp;A340,SyS!$B:$P,10,FALSE()),0)</f>
        <v>0</v>
      </c>
      <c r="V340" s="35">
        <f>IFERROR(VLOOKUP("16_"&amp;A340,SyS!$B:$P,12,FALSE()),0)</f>
        <v>0</v>
      </c>
      <c r="W340" s="36">
        <f>+U340-V340</f>
        <v>0</v>
      </c>
      <c r="X340" s="34">
        <f>IFERROR(VLOOKUP("13_"&amp;A340,SyS!$B:$P,10,FALSE()),0)</f>
        <v>0</v>
      </c>
      <c r="Y340" s="35">
        <f>IFERROR(VLOOKUP("13_"&amp;A340,SyS!$B:$P,12,FALSE()),0)</f>
        <v>0</v>
      </c>
      <c r="Z340" s="36">
        <f>+X340-Y340</f>
        <v>0</v>
      </c>
      <c r="AA340" s="34">
        <f>IFERROR(VLOOKUP("17_"&amp;A340,SyS!$B:$P,10,FALSE()),0)</f>
        <v>0</v>
      </c>
      <c r="AB340" s="35">
        <f>IFERROR(VLOOKUP("17_"&amp;A340,SyS!$B:$P,12,FALSE()),0)</f>
        <v>0</v>
      </c>
      <c r="AC340" s="36">
        <f>+AA340-AB340</f>
        <v>0</v>
      </c>
      <c r="AD340" s="35"/>
      <c r="AE340" s="35"/>
      <c r="AF340" s="35"/>
      <c r="AG340" s="35">
        <f>IFERROR(VLOOKUP("19_"&amp;A340,SyS!$B:$P,10,FALSE()),0)</f>
        <v>0</v>
      </c>
      <c r="AH340" s="35">
        <f>IFERROR(VLOOKUP("19_"&amp;A340,SyS!$B:$P,12,FALSE()),0)</f>
        <v>0</v>
      </c>
      <c r="AI340" s="35">
        <f>+AG340-AH340</f>
        <v>0</v>
      </c>
      <c r="AJ340" s="35"/>
      <c r="AK340" s="35"/>
      <c r="AL340" s="35"/>
      <c r="AM340" s="34">
        <f>IFERROR(VLOOKUP("23_"&amp;A340,SyS!$B:$P,10,FALSE()),0)</f>
        <v>0</v>
      </c>
      <c r="AN340" s="35">
        <f>IFERROR(VLOOKUP("23_"&amp;A340,SyS!$B:$P,12,FALSE()),0)</f>
        <v>0</v>
      </c>
      <c r="AO340" s="36">
        <f>+AM340-AN340</f>
        <v>0</v>
      </c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  <c r="BB340" s="40"/>
      <c r="BC340" s="40"/>
      <c r="BD340" s="40"/>
      <c r="BE340" s="40"/>
      <c r="BF340" s="40"/>
      <c r="BG340" s="40"/>
      <c r="BH340" s="40"/>
      <c r="BI340" s="40"/>
      <c r="BJ340" s="40"/>
      <c r="BK340" s="40">
        <f>IFERROR(VLOOKUP("29_"&amp;A340,SyS!$B:$P,10,FALSE()),0)</f>
        <v>0</v>
      </c>
      <c r="BL340" s="40">
        <f>IFERROR(VLOOKUP("29_"&amp;A340,SyS!$B:$P,12,FALSE()),0)</f>
        <v>0</v>
      </c>
      <c r="BM340" s="40">
        <f>+BK340-BL340</f>
        <v>0</v>
      </c>
      <c r="BN340" s="46">
        <f>IFERROR(VLOOKUP("30_"&amp;A340,SyS!$B:$P,10,FALSE()),0)</f>
        <v>0</v>
      </c>
      <c r="BO340" s="40">
        <f>IFERROR(VLOOKUP("30_"&amp;A340,SyS!$B:$P,12,FALSE()),0)</f>
        <v>0</v>
      </c>
      <c r="BP340" s="47">
        <f>+BN340-BO340</f>
        <v>0</v>
      </c>
      <c r="BQ340" s="45">
        <f>+E340+H340+K340+N340+Q340+T340+W340+Z340+AC340+AF340+AI340+AL340+AO340+AR340+AU340+AX340+BA340+BD340+BG340+BJ340+BM340+BP340</f>
        <v>0</v>
      </c>
    </row>
    <row r="341" ht="11.25" customHeight="1" spans="1:69" x14ac:dyDescent="0.25">
      <c r="A341" s="9">
        <v>427310000</v>
      </c>
      <c r="B341" s="9" t="s">
        <v>375</v>
      </c>
      <c r="C341" s="34">
        <f>IFERROR(VLOOKUP("1_"&amp;A341,SyS!$B:$P,10,FALSE()),0)</f>
        <v>0</v>
      </c>
      <c r="D341" s="35">
        <f>IFERROR(VLOOKUP("1_"&amp;A341,SyS!$B:$P,12,FALSE()),0)</f>
        <v>0</v>
      </c>
      <c r="E341" s="35">
        <f>+C341-D341</f>
        <v>0</v>
      </c>
      <c r="F341" s="34">
        <f>IFERROR(VLOOKUP("2_"&amp;A341,SyS!$B:$P,10,FALSE()),0)</f>
        <v>0</v>
      </c>
      <c r="G341" s="35">
        <f>IFERROR(VLOOKUP("2_"&amp;A341,SyS!$B:$P,12,FALSE()),0)</f>
        <v>0</v>
      </c>
      <c r="H341" s="36">
        <f>+F341-G341</f>
        <v>0</v>
      </c>
      <c r="I341" s="35"/>
      <c r="J341" s="35"/>
      <c r="K341" s="35"/>
      <c r="L341" s="35"/>
      <c r="M341" s="35"/>
      <c r="N341" s="35"/>
      <c r="O341" s="34">
        <f>IFERROR(VLOOKUP("14_"&amp;A341,SyS!$B:$P,10,FALSE()),0)</f>
        <v>0</v>
      </c>
      <c r="P341" s="35">
        <f>IFERROR(VLOOKUP("14_"&amp;A341,SyS!$B:$P,12,FALSE()),0)</f>
        <v>0</v>
      </c>
      <c r="Q341" s="36">
        <f>+O341-P341</f>
        <v>0</v>
      </c>
      <c r="R341" s="34">
        <f>IFERROR(VLOOKUP("15_"&amp;A341,SyS!$B:$P,10,FALSE()),0)</f>
        <v>0</v>
      </c>
      <c r="S341" s="35">
        <f>IFERROR(VLOOKUP("15_"&amp;A341,SyS!$B:$P,12,FALSE()),0)</f>
        <v>0</v>
      </c>
      <c r="T341" s="36">
        <f>+R341-S341</f>
        <v>0</v>
      </c>
      <c r="U341" s="34">
        <f>IFERROR(VLOOKUP("16_"&amp;A341,SyS!$B:$P,10,FALSE()),0)</f>
        <v>0</v>
      </c>
      <c r="V341" s="35">
        <f>IFERROR(VLOOKUP("16_"&amp;A341,SyS!$B:$P,12,FALSE()),0)</f>
        <v>0</v>
      </c>
      <c r="W341" s="36">
        <f>+U341-V341</f>
        <v>0</v>
      </c>
      <c r="X341" s="34">
        <f>IFERROR(VLOOKUP("13_"&amp;A341,SyS!$B:$P,10,FALSE()),0)</f>
        <v>0</v>
      </c>
      <c r="Y341" s="35">
        <f>IFERROR(VLOOKUP("13_"&amp;A341,SyS!$B:$P,12,FALSE()),0)</f>
        <v>0</v>
      </c>
      <c r="Z341" s="36">
        <f>+X341-Y341</f>
        <v>0</v>
      </c>
      <c r="AA341" s="34">
        <f>IFERROR(VLOOKUP("17_"&amp;A341,SyS!$B:$P,10,FALSE()),0)</f>
        <v>0</v>
      </c>
      <c r="AB341" s="35">
        <f>IFERROR(VLOOKUP("17_"&amp;A341,SyS!$B:$P,12,FALSE()),0)</f>
        <v>0</v>
      </c>
      <c r="AC341" s="36">
        <f>+AA341-AB341</f>
        <v>0</v>
      </c>
      <c r="AD341" s="35"/>
      <c r="AE341" s="35"/>
      <c r="AF341" s="35"/>
      <c r="AG341" s="35">
        <f>IFERROR(VLOOKUP("19_"&amp;A341,SyS!$B:$P,10,FALSE()),0)</f>
        <v>0</v>
      </c>
      <c r="AH341" s="35">
        <f>IFERROR(VLOOKUP("19_"&amp;A341,SyS!$B:$P,12,FALSE()),0)</f>
        <v>0</v>
      </c>
      <c r="AI341" s="35">
        <f>+AG341-AH341</f>
        <v>0</v>
      </c>
      <c r="AJ341" s="35"/>
      <c r="AK341" s="35"/>
      <c r="AL341" s="35"/>
      <c r="AM341" s="34">
        <f>IFERROR(VLOOKUP("23_"&amp;A341,SyS!$B:$P,10,FALSE()),0)</f>
        <v>0</v>
      </c>
      <c r="AN341" s="35">
        <f>IFERROR(VLOOKUP("23_"&amp;A341,SyS!$B:$P,12,FALSE()),0)</f>
        <v>0</v>
      </c>
      <c r="AO341" s="36">
        <f>+AM341-AN341</f>
        <v>0</v>
      </c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  <c r="BB341" s="40"/>
      <c r="BC341" s="40"/>
      <c r="BD341" s="40"/>
      <c r="BE341" s="40"/>
      <c r="BF341" s="40"/>
      <c r="BG341" s="40"/>
      <c r="BH341" s="40"/>
      <c r="BI341" s="40"/>
      <c r="BJ341" s="40"/>
      <c r="BK341" s="40">
        <f>IFERROR(VLOOKUP("29_"&amp;A341,SyS!$B:$P,10,FALSE()),0)</f>
        <v>0</v>
      </c>
      <c r="BL341" s="40">
        <f>IFERROR(VLOOKUP("29_"&amp;A341,SyS!$B:$P,12,FALSE()),0)</f>
        <v>0</v>
      </c>
      <c r="BM341" s="40">
        <f>+BK341-BL341</f>
        <v>0</v>
      </c>
      <c r="BN341" s="46">
        <f>IFERROR(VLOOKUP("30_"&amp;A341,SyS!$B:$P,10,FALSE()),0)</f>
        <v>0</v>
      </c>
      <c r="BO341" s="40">
        <f>IFERROR(VLOOKUP("30_"&amp;A341,SyS!$B:$P,12,FALSE()),0)</f>
        <v>0</v>
      </c>
      <c r="BP341" s="47">
        <f>+BN341-BO341</f>
        <v>0</v>
      </c>
      <c r="BQ341" s="45">
        <f>+E341+H341+K341+N341+Q341+T341+W341+Z341+AC341+AF341+AI341+AL341+AO341+AR341+AU341+AX341+BA341+BD341+BG341+BJ341+BM341+BP341</f>
        <v>0</v>
      </c>
    </row>
    <row r="342" ht="11.25" customHeight="1" spans="1:69" x14ac:dyDescent="0.25">
      <c r="A342" s="9">
        <v>421800000</v>
      </c>
      <c r="B342" s="9" t="s">
        <v>376</v>
      </c>
      <c r="C342" s="34">
        <f>IFERROR(VLOOKUP("1_"&amp;A342,SyS!$B:$P,10,FALSE()),0)</f>
        <v>0</v>
      </c>
      <c r="D342" s="35">
        <f>IFERROR(VLOOKUP("1_"&amp;A342,SyS!$B:$P,12,FALSE()),0)</f>
        <v>0</v>
      </c>
      <c r="E342" s="35">
        <f>+C342-D342</f>
        <v>0</v>
      </c>
      <c r="F342" s="34">
        <f>IFERROR(VLOOKUP("2_"&amp;A342,SyS!$B:$P,10,FALSE()),0)</f>
        <v>0</v>
      </c>
      <c r="G342" s="35">
        <f>IFERROR(VLOOKUP("2_"&amp;A342,SyS!$B:$P,12,FALSE()),0)</f>
        <v>0</v>
      </c>
      <c r="H342" s="36">
        <f>+F342-G342</f>
        <v>0</v>
      </c>
      <c r="I342" s="35"/>
      <c r="J342" s="35"/>
      <c r="K342" s="35"/>
      <c r="L342" s="35"/>
      <c r="M342" s="35"/>
      <c r="N342" s="35"/>
      <c r="O342" s="34">
        <f>IFERROR(VLOOKUP("14_"&amp;A342,SyS!$B:$P,10,FALSE()),0)</f>
        <v>0</v>
      </c>
      <c r="P342" s="35">
        <f>IFERROR(VLOOKUP("14_"&amp;A342,SyS!$B:$P,12,FALSE()),0)</f>
        <v>0</v>
      </c>
      <c r="Q342" s="36">
        <f>+O342-P342</f>
        <v>0</v>
      </c>
      <c r="R342" s="34">
        <f>IFERROR(VLOOKUP("15_"&amp;A342,SyS!$B:$P,10,FALSE()),0)</f>
        <v>0</v>
      </c>
      <c r="S342" s="35">
        <f>IFERROR(VLOOKUP("15_"&amp;A342,SyS!$B:$P,12,FALSE()),0)</f>
        <v>0</v>
      </c>
      <c r="T342" s="36">
        <f>+R342-S342</f>
        <v>0</v>
      </c>
      <c r="U342" s="34">
        <f>IFERROR(VLOOKUP("16_"&amp;A342,SyS!$B:$P,10,FALSE()),0)</f>
        <v>0</v>
      </c>
      <c r="V342" s="35">
        <f>IFERROR(VLOOKUP("16_"&amp;A342,SyS!$B:$P,12,FALSE()),0)</f>
        <v>0</v>
      </c>
      <c r="W342" s="36">
        <f>+U342-V342</f>
        <v>0</v>
      </c>
      <c r="X342" s="34">
        <f>IFERROR(VLOOKUP("13_"&amp;A342,SyS!$B:$P,10,FALSE()),0)</f>
        <v>0</v>
      </c>
      <c r="Y342" s="35">
        <f>IFERROR(VLOOKUP("13_"&amp;A342,SyS!$B:$P,12,FALSE()),0)</f>
        <v>0</v>
      </c>
      <c r="Z342" s="36">
        <f>+X342-Y342</f>
        <v>0</v>
      </c>
      <c r="AA342" s="34">
        <f>IFERROR(VLOOKUP("17_"&amp;A342,SyS!$B:$P,10,FALSE()),0)</f>
        <v>0</v>
      </c>
      <c r="AB342" s="35">
        <f>IFERROR(VLOOKUP("17_"&amp;A342,SyS!$B:$P,12,FALSE()),0)</f>
        <v>0</v>
      </c>
      <c r="AC342" s="36">
        <f>+AA342-AB342</f>
        <v>0</v>
      </c>
      <c r="AD342" s="35"/>
      <c r="AE342" s="35"/>
      <c r="AF342" s="35"/>
      <c r="AG342" s="35">
        <f>IFERROR(VLOOKUP("19_"&amp;A342,SyS!$B:$P,10,FALSE()),0)</f>
        <v>0</v>
      </c>
      <c r="AH342" s="35">
        <f>IFERROR(VLOOKUP("19_"&amp;A342,SyS!$B:$P,12,FALSE()),0)</f>
        <v>0</v>
      </c>
      <c r="AI342" s="35">
        <f>+AG342-AH342</f>
        <v>0</v>
      </c>
      <c r="AJ342" s="35"/>
      <c r="AK342" s="35"/>
      <c r="AL342" s="35"/>
      <c r="AM342" s="34">
        <f>IFERROR(VLOOKUP("23_"&amp;A342,SyS!$B:$P,10,FALSE()),0)</f>
        <v>0</v>
      </c>
      <c r="AN342" s="35">
        <f>IFERROR(VLOOKUP("23_"&amp;A342,SyS!$B:$P,12,FALSE()),0)</f>
        <v>0</v>
      </c>
      <c r="AO342" s="36">
        <f>+AM342-AN342</f>
        <v>0</v>
      </c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  <c r="BB342" s="40"/>
      <c r="BC342" s="40"/>
      <c r="BD342" s="40"/>
      <c r="BE342" s="40"/>
      <c r="BF342" s="40"/>
      <c r="BG342" s="40"/>
      <c r="BH342" s="40"/>
      <c r="BI342" s="40"/>
      <c r="BJ342" s="40"/>
      <c r="BK342" s="40">
        <f>IFERROR(VLOOKUP("29_"&amp;A342,SyS!$B:$P,10,FALSE()),0)</f>
        <v>0</v>
      </c>
      <c r="BL342" s="40">
        <f>IFERROR(VLOOKUP("29_"&amp;A342,SyS!$B:$P,12,FALSE()),0)</f>
        <v>0</v>
      </c>
      <c r="BM342" s="40">
        <f>+BK342-BL342</f>
        <v>0</v>
      </c>
      <c r="BN342" s="46">
        <f>IFERROR(VLOOKUP("30_"&amp;A342,SyS!$B:$P,10,FALSE()),0)</f>
        <v>0</v>
      </c>
      <c r="BO342" s="40">
        <f>IFERROR(VLOOKUP("30_"&amp;A342,SyS!$B:$P,12,FALSE()),0)</f>
        <v>0</v>
      </c>
      <c r="BP342" s="47">
        <f>+BN342-BO342</f>
        <v>0</v>
      </c>
      <c r="BQ342" s="45">
        <f>+E342+H342+K342+N342+Q342+T342+W342+Z342+AC342+AF342+AI342+AL342+AO342+AR342+AU342+AX342+BA342+BD342+BG342+BJ342+BM342+BP342</f>
        <v>0</v>
      </c>
    </row>
    <row r="343" ht="11.25" customHeight="1" spans="1:69" x14ac:dyDescent="0.25">
      <c r="A343" s="9">
        <v>421550000</v>
      </c>
      <c r="B343" s="9" t="s">
        <v>377</v>
      </c>
      <c r="C343" s="34">
        <f>IFERROR(VLOOKUP("1_"&amp;A343,SyS!$B:$P,10,FALSE()),0)</f>
        <v>0</v>
      </c>
      <c r="D343" s="35">
        <f>IFERROR(VLOOKUP("1_"&amp;A343,SyS!$B:$P,12,FALSE()),0)</f>
        <v>0</v>
      </c>
      <c r="E343" s="35">
        <f>+C343-D343</f>
        <v>0</v>
      </c>
      <c r="F343" s="34">
        <f>IFERROR(VLOOKUP("2_"&amp;A343,SyS!$B:$P,10,FALSE()),0)</f>
        <v>0</v>
      </c>
      <c r="G343" s="35">
        <f>IFERROR(VLOOKUP("2_"&amp;A343,SyS!$B:$P,12,FALSE()),0)</f>
        <v>0</v>
      </c>
      <c r="H343" s="36">
        <f>+F343-G343</f>
        <v>0</v>
      </c>
      <c r="I343" s="35"/>
      <c r="J343" s="35"/>
      <c r="K343" s="35"/>
      <c r="L343" s="35"/>
      <c r="M343" s="35"/>
      <c r="N343" s="35"/>
      <c r="O343" s="34">
        <f>IFERROR(VLOOKUP("14_"&amp;A343,SyS!$B:$P,10,FALSE()),0)</f>
        <v>0</v>
      </c>
      <c r="P343" s="35">
        <f>IFERROR(VLOOKUP("14_"&amp;A343,SyS!$B:$P,12,FALSE()),0)</f>
        <v>0</v>
      </c>
      <c r="Q343" s="36">
        <f>+O343-P343</f>
        <v>0</v>
      </c>
      <c r="R343" s="34">
        <f>IFERROR(VLOOKUP("15_"&amp;A343,SyS!$B:$P,10,FALSE()),0)</f>
        <v>0</v>
      </c>
      <c r="S343" s="35">
        <f>IFERROR(VLOOKUP("15_"&amp;A343,SyS!$B:$P,12,FALSE()),0)</f>
        <v>0</v>
      </c>
      <c r="T343" s="36">
        <f>+R343-S343</f>
        <v>0</v>
      </c>
      <c r="U343" s="34">
        <f>IFERROR(VLOOKUP("16_"&amp;A343,SyS!$B:$P,10,FALSE()),0)</f>
        <v>0</v>
      </c>
      <c r="V343" s="35">
        <f>IFERROR(VLOOKUP("16_"&amp;A343,SyS!$B:$P,12,FALSE()),0)</f>
        <v>0</v>
      </c>
      <c r="W343" s="36">
        <f>+U343-V343</f>
        <v>0</v>
      </c>
      <c r="X343" s="34">
        <f>IFERROR(VLOOKUP("13_"&amp;A343,SyS!$B:$P,10,FALSE()),0)</f>
        <v>0</v>
      </c>
      <c r="Y343" s="35">
        <f>IFERROR(VLOOKUP("13_"&amp;A343,SyS!$B:$P,12,FALSE()),0)</f>
        <v>0</v>
      </c>
      <c r="Z343" s="36">
        <f>+X343-Y343</f>
        <v>0</v>
      </c>
      <c r="AA343" s="34">
        <f>IFERROR(VLOOKUP("17_"&amp;A343,SyS!$B:$P,10,FALSE()),0)</f>
        <v>0</v>
      </c>
      <c r="AB343" s="35">
        <f>IFERROR(VLOOKUP("17_"&amp;A343,SyS!$B:$P,12,FALSE()),0)</f>
        <v>0</v>
      </c>
      <c r="AC343" s="36">
        <f>+AA343-AB343</f>
        <v>0</v>
      </c>
      <c r="AD343" s="35"/>
      <c r="AE343" s="35"/>
      <c r="AF343" s="35"/>
      <c r="AG343" s="35">
        <f>IFERROR(VLOOKUP("19_"&amp;A343,SyS!$B:$P,10,FALSE()),0)</f>
        <v>0</v>
      </c>
      <c r="AH343" s="35">
        <f>IFERROR(VLOOKUP("19_"&amp;A343,SyS!$B:$P,12,FALSE()),0)</f>
        <v>0</v>
      </c>
      <c r="AI343" s="35">
        <f>+AG343-AH343</f>
        <v>0</v>
      </c>
      <c r="AJ343" s="35"/>
      <c r="AK343" s="35"/>
      <c r="AL343" s="35"/>
      <c r="AM343" s="34">
        <f>IFERROR(VLOOKUP("23_"&amp;A343,SyS!$B:$P,10,FALSE()),0)</f>
        <v>0</v>
      </c>
      <c r="AN343" s="35">
        <f>IFERROR(VLOOKUP("23_"&amp;A343,SyS!$B:$P,12,FALSE()),0)</f>
        <v>0</v>
      </c>
      <c r="AO343" s="36">
        <f>+AM343-AN343</f>
        <v>0</v>
      </c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  <c r="BB343" s="40"/>
      <c r="BC343" s="40"/>
      <c r="BD343" s="40"/>
      <c r="BE343" s="40"/>
      <c r="BF343" s="40"/>
      <c r="BG343" s="40"/>
      <c r="BH343" s="40"/>
      <c r="BI343" s="40"/>
      <c r="BJ343" s="40"/>
      <c r="BK343" s="40">
        <f>IFERROR(VLOOKUP("29_"&amp;A343,SyS!$B:$P,10,FALSE()),0)</f>
        <v>0</v>
      </c>
      <c r="BL343" s="40">
        <f>IFERROR(VLOOKUP("29_"&amp;A343,SyS!$B:$P,12,FALSE()),0)</f>
        <v>0</v>
      </c>
      <c r="BM343" s="40">
        <f>+BK343-BL343</f>
        <v>0</v>
      </c>
      <c r="BN343" s="46">
        <f>IFERROR(VLOOKUP("30_"&amp;A343,SyS!$B:$P,10,FALSE()),0)</f>
        <v>0</v>
      </c>
      <c r="BO343" s="40">
        <f>IFERROR(VLOOKUP("30_"&amp;A343,SyS!$B:$P,12,FALSE()),0)</f>
        <v>0</v>
      </c>
      <c r="BP343" s="47">
        <f>+BN343-BO343</f>
        <v>0</v>
      </c>
      <c r="BQ343" s="45">
        <f>+E343+H343+K343+N343+Q343+T343+W343+Z343+AC343+AF343+AI343+AL343+AO343+AR343+AU343+AX343+BA343+BD343+BG343+BJ343+BM343+BP343</f>
        <v>0</v>
      </c>
    </row>
    <row r="344" ht="11.25" customHeight="1" spans="1:69" x14ac:dyDescent="0.25">
      <c r="A344" s="9">
        <v>421080000</v>
      </c>
      <c r="B344" s="9" t="s">
        <v>59</v>
      </c>
      <c r="C344" s="34">
        <f>IFERROR(VLOOKUP("1_"&amp;A344,SyS!$B:$P,10,FALSE()),0)</f>
        <v>0</v>
      </c>
      <c r="D344" s="35">
        <f>IFERROR(VLOOKUP("1_"&amp;A344,SyS!$B:$P,12,FALSE()),0)</f>
        <v>0</v>
      </c>
      <c r="E344" s="35">
        <f>+C344-D344</f>
        <v>0</v>
      </c>
      <c r="F344" s="34">
        <f>IFERROR(VLOOKUP("2_"&amp;A344,SyS!$B:$P,10,FALSE()),0)</f>
        <v>0</v>
      </c>
      <c r="G344" s="35">
        <f>IFERROR(VLOOKUP("2_"&amp;A344,SyS!$B:$P,12,FALSE()),0)</f>
        <v>0</v>
      </c>
      <c r="H344" s="36">
        <f>+F344-G344</f>
        <v>0</v>
      </c>
      <c r="I344" s="35"/>
      <c r="J344" s="35"/>
      <c r="K344" s="35"/>
      <c r="L344" s="35"/>
      <c r="M344" s="35"/>
      <c r="N344" s="35"/>
      <c r="O344" s="34">
        <f>IFERROR(VLOOKUP("14_"&amp;A344,SyS!$B:$P,10,FALSE()),0)</f>
        <v>0</v>
      </c>
      <c r="P344" s="35">
        <f>IFERROR(VLOOKUP("14_"&amp;A344,SyS!$B:$P,12,FALSE()),0)</f>
        <v>0</v>
      </c>
      <c r="Q344" s="36">
        <f>+O344-P344</f>
        <v>0</v>
      </c>
      <c r="R344" s="34">
        <f>IFERROR(VLOOKUP("15_"&amp;A344,SyS!$B:$P,10,FALSE()),0)</f>
        <v>0</v>
      </c>
      <c r="S344" s="35">
        <f>IFERROR(VLOOKUP("15_"&amp;A344,SyS!$B:$P,12,FALSE()),0)</f>
        <v>0</v>
      </c>
      <c r="T344" s="36">
        <f>+R344-S344</f>
        <v>0</v>
      </c>
      <c r="U344" s="34">
        <f>IFERROR(VLOOKUP("16_"&amp;A344,SyS!$B:$P,10,FALSE()),0)</f>
        <v>0</v>
      </c>
      <c r="V344" s="35">
        <f>IFERROR(VLOOKUP("16_"&amp;A344,SyS!$B:$P,12,FALSE()),0)</f>
        <v>0</v>
      </c>
      <c r="W344" s="36">
        <f>+U344-V344</f>
        <v>0</v>
      </c>
      <c r="X344" s="34">
        <f>IFERROR(VLOOKUP("13_"&amp;A344,SyS!$B:$P,10,FALSE()),0)</f>
        <v>0</v>
      </c>
      <c r="Y344" s="35">
        <f>IFERROR(VLOOKUP("13_"&amp;A344,SyS!$B:$P,12,FALSE()),0)</f>
        <v>0</v>
      </c>
      <c r="Z344" s="36">
        <f>+X344-Y344</f>
        <v>0</v>
      </c>
      <c r="AA344" s="34">
        <f>IFERROR(VLOOKUP("17_"&amp;A344,SyS!$B:$P,10,FALSE()),0)</f>
        <v>0</v>
      </c>
      <c r="AB344" s="35">
        <f>IFERROR(VLOOKUP("17_"&amp;A344,SyS!$B:$P,12,FALSE()),0)</f>
        <v>0</v>
      </c>
      <c r="AC344" s="36">
        <f>+AA344-AB344</f>
        <v>0</v>
      </c>
      <c r="AD344" s="35"/>
      <c r="AE344" s="35"/>
      <c r="AF344" s="35"/>
      <c r="AG344" s="35">
        <f>IFERROR(VLOOKUP("19_"&amp;A344,SyS!$B:$P,10,FALSE()),0)</f>
        <v>0</v>
      </c>
      <c r="AH344" s="35">
        <f>IFERROR(VLOOKUP("19_"&amp;A344,SyS!$B:$P,12,FALSE()),0)</f>
        <v>0</v>
      </c>
      <c r="AI344" s="35">
        <f>+AG344-AH344</f>
        <v>0</v>
      </c>
      <c r="AJ344" s="35"/>
      <c r="AK344" s="35"/>
      <c r="AL344" s="35"/>
      <c r="AM344" s="34">
        <f>IFERROR(VLOOKUP("23_"&amp;A344,SyS!$B:$P,10,FALSE()),0)</f>
        <v>0</v>
      </c>
      <c r="AN344" s="35">
        <f>IFERROR(VLOOKUP("23_"&amp;A344,SyS!$B:$P,12,FALSE()),0)</f>
        <v>0</v>
      </c>
      <c r="AO344" s="36">
        <f>+AM344-AN344</f>
        <v>0</v>
      </c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  <c r="BB344" s="40"/>
      <c r="BC344" s="40"/>
      <c r="BD344" s="40"/>
      <c r="BE344" s="40"/>
      <c r="BF344" s="40"/>
      <c r="BG344" s="40"/>
      <c r="BH344" s="40"/>
      <c r="BI344" s="40"/>
      <c r="BJ344" s="40"/>
      <c r="BK344" s="40">
        <f>IFERROR(VLOOKUP("29_"&amp;A344,SyS!$B:$P,10,FALSE()),0)</f>
        <v>0</v>
      </c>
      <c r="BL344" s="40">
        <f>IFERROR(VLOOKUP("29_"&amp;A344,SyS!$B:$P,12,FALSE()),0)</f>
        <v>0</v>
      </c>
      <c r="BM344" s="40">
        <f>+BK344-BL344</f>
        <v>0</v>
      </c>
      <c r="BN344" s="46">
        <f>IFERROR(VLOOKUP("30_"&amp;A344,SyS!$B:$P,10,FALSE()),0)</f>
        <v>0</v>
      </c>
      <c r="BO344" s="40">
        <f>IFERROR(VLOOKUP("30_"&amp;A344,SyS!$B:$P,12,FALSE()),0)</f>
        <v>0</v>
      </c>
      <c r="BP344" s="47">
        <f>+BN344-BO344</f>
        <v>0</v>
      </c>
      <c r="BQ344" s="45">
        <f>+E344+H344+K344+N344+Q344+T344+W344+Z344+AC344+AF344+AI344+AL344+AO344+AR344+AU344+AX344+BA344+BD344+BG344+BJ344+BM344+BP344</f>
        <v>0</v>
      </c>
    </row>
    <row r="345" ht="11.25" customHeight="1" spans="1:69" x14ac:dyDescent="0.25">
      <c r="A345" s="9">
        <v>427400000</v>
      </c>
      <c r="B345" s="9" t="s">
        <v>378</v>
      </c>
      <c r="C345" s="34">
        <f>IFERROR(VLOOKUP("1_"&amp;A345,SyS!$B:$P,10,FALSE()),0)</f>
        <v>0</v>
      </c>
      <c r="D345" s="35">
        <f>IFERROR(VLOOKUP("1_"&amp;A345,SyS!$B:$P,12,FALSE()),0)</f>
        <v>0</v>
      </c>
      <c r="E345" s="35">
        <f>+C345-D345</f>
        <v>0</v>
      </c>
      <c r="F345" s="34">
        <f>IFERROR(VLOOKUP("2_"&amp;A345,SyS!$B:$P,10,FALSE()),0)</f>
        <v>0</v>
      </c>
      <c r="G345" s="35">
        <f>IFERROR(VLOOKUP("2_"&amp;A345,SyS!$B:$P,12,FALSE()),0)</f>
        <v>0</v>
      </c>
      <c r="H345" s="36">
        <f>+F345-G345</f>
        <v>0</v>
      </c>
      <c r="I345" s="35"/>
      <c r="J345" s="35"/>
      <c r="K345" s="35"/>
      <c r="L345" s="35"/>
      <c r="M345" s="35"/>
      <c r="N345" s="35"/>
      <c r="O345" s="34">
        <f>IFERROR(VLOOKUP("14_"&amp;A345,SyS!$B:$P,10,FALSE()),0)</f>
        <v>0</v>
      </c>
      <c r="P345" s="35">
        <f>IFERROR(VLOOKUP("14_"&amp;A345,SyS!$B:$P,12,FALSE()),0)</f>
        <v>0</v>
      </c>
      <c r="Q345" s="36">
        <f>+O345-P345</f>
        <v>0</v>
      </c>
      <c r="R345" s="34">
        <f>IFERROR(VLOOKUP("15_"&amp;A345,SyS!$B:$P,10,FALSE()),0)</f>
        <v>0</v>
      </c>
      <c r="S345" s="35">
        <f>IFERROR(VLOOKUP("15_"&amp;A345,SyS!$B:$P,12,FALSE()),0)</f>
        <v>0</v>
      </c>
      <c r="T345" s="36">
        <f>+R345-S345</f>
        <v>0</v>
      </c>
      <c r="U345" s="34">
        <f>IFERROR(VLOOKUP("16_"&amp;A345,SyS!$B:$P,10,FALSE()),0)</f>
        <v>0</v>
      </c>
      <c r="V345" s="35">
        <f>IFERROR(VLOOKUP("16_"&amp;A345,SyS!$B:$P,12,FALSE()),0)</f>
        <v>0</v>
      </c>
      <c r="W345" s="36">
        <f>+U345-V345</f>
        <v>0</v>
      </c>
      <c r="X345" s="34">
        <f>IFERROR(VLOOKUP("13_"&amp;A345,SyS!$B:$P,10,FALSE()),0)</f>
        <v>0</v>
      </c>
      <c r="Y345" s="35">
        <f>IFERROR(VLOOKUP("13_"&amp;A345,SyS!$B:$P,12,FALSE()),0)</f>
        <v>0</v>
      </c>
      <c r="Z345" s="36">
        <f>+X345-Y345</f>
        <v>0</v>
      </c>
      <c r="AA345" s="34">
        <f>IFERROR(VLOOKUP("17_"&amp;A345,SyS!$B:$P,10,FALSE()),0)</f>
        <v>0</v>
      </c>
      <c r="AB345" s="35">
        <f>IFERROR(VLOOKUP("17_"&amp;A345,SyS!$B:$P,12,FALSE()),0)</f>
        <v>0</v>
      </c>
      <c r="AC345" s="36">
        <f>+AA345-AB345</f>
        <v>0</v>
      </c>
      <c r="AD345" s="35"/>
      <c r="AE345" s="35"/>
      <c r="AF345" s="35"/>
      <c r="AG345" s="35">
        <f>IFERROR(VLOOKUP("19_"&amp;A345,SyS!$B:$P,10,FALSE()),0)</f>
        <v>0</v>
      </c>
      <c r="AH345" s="35">
        <f>IFERROR(VLOOKUP("19_"&amp;A345,SyS!$B:$P,12,FALSE()),0)</f>
        <v>0</v>
      </c>
      <c r="AI345" s="35">
        <f>+AG345-AH345</f>
        <v>0</v>
      </c>
      <c r="AJ345" s="35"/>
      <c r="AK345" s="35"/>
      <c r="AL345" s="35"/>
      <c r="AM345" s="34">
        <f>IFERROR(VLOOKUP("23_"&amp;A345,SyS!$B:$P,10,FALSE()),0)</f>
        <v>0</v>
      </c>
      <c r="AN345" s="35">
        <f>IFERROR(VLOOKUP("23_"&amp;A345,SyS!$B:$P,12,FALSE()),0)</f>
        <v>0</v>
      </c>
      <c r="AO345" s="36">
        <f>+AM345-AN345</f>
        <v>0</v>
      </c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  <c r="BC345" s="40"/>
      <c r="BD345" s="40"/>
      <c r="BE345" s="40"/>
      <c r="BF345" s="40"/>
      <c r="BG345" s="40"/>
      <c r="BH345" s="40"/>
      <c r="BI345" s="40"/>
      <c r="BJ345" s="40"/>
      <c r="BK345" s="40">
        <f>IFERROR(VLOOKUP("29_"&amp;A345,SyS!$B:$P,10,FALSE()),0)</f>
        <v>0</v>
      </c>
      <c r="BL345" s="40">
        <f>IFERROR(VLOOKUP("29_"&amp;A345,SyS!$B:$P,12,FALSE()),0)</f>
        <v>0</v>
      </c>
      <c r="BM345" s="40">
        <f>+BK345-BL345</f>
        <v>0</v>
      </c>
      <c r="BN345" s="46">
        <f>IFERROR(VLOOKUP("30_"&amp;A345,SyS!$B:$P,10,FALSE()),0)</f>
        <v>0</v>
      </c>
      <c r="BO345" s="40">
        <f>IFERROR(VLOOKUP("30_"&amp;A345,SyS!$B:$P,12,FALSE()),0)</f>
        <v>0</v>
      </c>
      <c r="BP345" s="47">
        <f>+BN345-BO345</f>
        <v>0</v>
      </c>
      <c r="BQ345" s="45">
        <f>+E345+H345+K345+N345+Q345+T345+W345+Z345+AC345+AF345+AI345+AL345+AO345+AR345+AU345+AX345+BA345+BD345+BG345+BJ345+BM345+BP345</f>
        <v>0</v>
      </c>
    </row>
    <row r="346" ht="11.25" customHeight="1" spans="1:69" x14ac:dyDescent="0.25">
      <c r="A346" s="9">
        <v>427500000</v>
      </c>
      <c r="B346" s="9" t="s">
        <v>379</v>
      </c>
      <c r="C346" s="34">
        <f>IFERROR(VLOOKUP("1_"&amp;A346,SyS!$B:$P,10,FALSE()),0)</f>
        <v>0</v>
      </c>
      <c r="D346" s="35">
        <f>IFERROR(VLOOKUP("1_"&amp;A346,SyS!$B:$P,12,FALSE()),0)</f>
        <v>0</v>
      </c>
      <c r="E346" s="35">
        <f>+C346-D346</f>
        <v>0</v>
      </c>
      <c r="F346" s="34">
        <f>IFERROR(VLOOKUP("2_"&amp;A346,SyS!$B:$P,10,FALSE()),0)</f>
        <v>0</v>
      </c>
      <c r="G346" s="35">
        <f>IFERROR(VLOOKUP("2_"&amp;A346,SyS!$B:$P,12,FALSE()),0)</f>
        <v>0</v>
      </c>
      <c r="H346" s="36">
        <f>+F346-G346</f>
        <v>0</v>
      </c>
      <c r="I346" s="35"/>
      <c r="J346" s="35"/>
      <c r="K346" s="35"/>
      <c r="L346" s="35"/>
      <c r="M346" s="35"/>
      <c r="N346" s="35"/>
      <c r="O346" s="34">
        <f>IFERROR(VLOOKUP("14_"&amp;A346,SyS!$B:$P,10,FALSE()),0)</f>
        <v>0</v>
      </c>
      <c r="P346" s="35">
        <f>IFERROR(VLOOKUP("14_"&amp;A346,SyS!$B:$P,12,FALSE()),0)</f>
        <v>0</v>
      </c>
      <c r="Q346" s="36">
        <f>+O346-P346</f>
        <v>0</v>
      </c>
      <c r="R346" s="34">
        <f>IFERROR(VLOOKUP("15_"&amp;A346,SyS!$B:$P,10,FALSE()),0)</f>
        <v>0</v>
      </c>
      <c r="S346" s="35">
        <f>IFERROR(VLOOKUP("15_"&amp;A346,SyS!$B:$P,12,FALSE()),0)</f>
        <v>0</v>
      </c>
      <c r="T346" s="36">
        <f>+R346-S346</f>
        <v>0</v>
      </c>
      <c r="U346" s="34">
        <f>IFERROR(VLOOKUP("16_"&amp;A346,SyS!$B:$P,10,FALSE()),0)</f>
        <v>0</v>
      </c>
      <c r="V346" s="35">
        <f>IFERROR(VLOOKUP("16_"&amp;A346,SyS!$B:$P,12,FALSE()),0)</f>
        <v>0</v>
      </c>
      <c r="W346" s="36">
        <f>+U346-V346</f>
        <v>0</v>
      </c>
      <c r="X346" s="34">
        <f>IFERROR(VLOOKUP("13_"&amp;A346,SyS!$B:$P,10,FALSE()),0)</f>
        <v>0</v>
      </c>
      <c r="Y346" s="35">
        <f>IFERROR(VLOOKUP("13_"&amp;A346,SyS!$B:$P,12,FALSE()),0)</f>
        <v>0</v>
      </c>
      <c r="Z346" s="36">
        <f>+X346-Y346</f>
        <v>0</v>
      </c>
      <c r="AA346" s="34">
        <f>IFERROR(VLOOKUP("17_"&amp;A346,SyS!$B:$P,10,FALSE()),0)</f>
        <v>0</v>
      </c>
      <c r="AB346" s="35">
        <f>IFERROR(VLOOKUP("17_"&amp;A346,SyS!$B:$P,12,FALSE()),0)</f>
        <v>0</v>
      </c>
      <c r="AC346" s="36">
        <f>+AA346-AB346</f>
        <v>0</v>
      </c>
      <c r="AD346" s="35"/>
      <c r="AE346" s="35"/>
      <c r="AF346" s="35"/>
      <c r="AG346" s="35">
        <f>IFERROR(VLOOKUP("19_"&amp;A346,SyS!$B:$P,10,FALSE()),0)</f>
        <v>0</v>
      </c>
      <c r="AH346" s="35">
        <f>IFERROR(VLOOKUP("19_"&amp;A346,SyS!$B:$P,12,FALSE()),0)</f>
        <v>0</v>
      </c>
      <c r="AI346" s="35">
        <f>+AG346-AH346</f>
        <v>0</v>
      </c>
      <c r="AJ346" s="35"/>
      <c r="AK346" s="35"/>
      <c r="AL346" s="35"/>
      <c r="AM346" s="34">
        <f>IFERROR(VLOOKUP("23_"&amp;A346,SyS!$B:$P,10,FALSE()),0)</f>
        <v>0</v>
      </c>
      <c r="AN346" s="35">
        <f>IFERROR(VLOOKUP("23_"&amp;A346,SyS!$B:$P,12,FALSE()),0)</f>
        <v>0</v>
      </c>
      <c r="AO346" s="36">
        <f>+AM346-AN346</f>
        <v>0</v>
      </c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  <c r="BB346" s="40"/>
      <c r="BC346" s="40"/>
      <c r="BD346" s="40"/>
      <c r="BE346" s="40"/>
      <c r="BF346" s="40"/>
      <c r="BG346" s="40"/>
      <c r="BH346" s="40"/>
      <c r="BI346" s="40"/>
      <c r="BJ346" s="40"/>
      <c r="BK346" s="40">
        <f>IFERROR(VLOOKUP("29_"&amp;A346,SyS!$B:$P,10,FALSE()),0)</f>
        <v>0</v>
      </c>
      <c r="BL346" s="40">
        <f>IFERROR(VLOOKUP("29_"&amp;A346,SyS!$B:$P,12,FALSE()),0)</f>
        <v>0</v>
      </c>
      <c r="BM346" s="40">
        <f>+BK346-BL346</f>
        <v>0</v>
      </c>
      <c r="BN346" s="46">
        <f>IFERROR(VLOOKUP("30_"&amp;A346,SyS!$B:$P,10,FALSE()),0)</f>
        <v>0</v>
      </c>
      <c r="BO346" s="40">
        <f>IFERROR(VLOOKUP("30_"&amp;A346,SyS!$B:$P,12,FALSE()),0)</f>
        <v>0</v>
      </c>
      <c r="BP346" s="47">
        <f>+BN346-BO346</f>
        <v>0</v>
      </c>
      <c r="BQ346" s="45">
        <f>+E346+H346+K346+N346+Q346+T346+W346+Z346+AC346+AF346+AI346+AL346+AO346+AR346+AU346+AX346+BA346+BD346+BG346+BJ346+BM346+BP346</f>
        <v>0</v>
      </c>
    </row>
    <row r="347" ht="11.25" customHeight="1" spans="1:69" x14ac:dyDescent="0.25">
      <c r="A347" s="9">
        <v>427700000</v>
      </c>
      <c r="B347" s="9" t="s">
        <v>380</v>
      </c>
      <c r="C347" s="34">
        <f>IFERROR(VLOOKUP("1_"&amp;A347,SyS!$B:$P,10,FALSE()),0)</f>
        <v>0</v>
      </c>
      <c r="D347" s="35">
        <f>IFERROR(VLOOKUP("1_"&amp;A347,SyS!$B:$P,12,FALSE()),0)</f>
        <v>0</v>
      </c>
      <c r="E347" s="35">
        <f>+C347-D347</f>
        <v>0</v>
      </c>
      <c r="F347" s="34">
        <f>IFERROR(VLOOKUP("2_"&amp;A347,SyS!$B:$P,10,FALSE()),0)</f>
        <v>0</v>
      </c>
      <c r="G347" s="35">
        <f>IFERROR(VLOOKUP("2_"&amp;A347,SyS!$B:$P,12,FALSE()),0)</f>
        <v>0</v>
      </c>
      <c r="H347" s="36">
        <f>+F347-G347</f>
        <v>0</v>
      </c>
      <c r="I347" s="35"/>
      <c r="J347" s="35"/>
      <c r="K347" s="35"/>
      <c r="L347" s="35"/>
      <c r="M347" s="35"/>
      <c r="N347" s="35"/>
      <c r="O347" s="34">
        <f>IFERROR(VLOOKUP("14_"&amp;A347,SyS!$B:$P,10,FALSE()),0)</f>
        <v>0</v>
      </c>
      <c r="P347" s="35">
        <f>IFERROR(VLOOKUP("14_"&amp;A347,SyS!$B:$P,12,FALSE()),0)</f>
        <v>0</v>
      </c>
      <c r="Q347" s="36">
        <f>+O347-P347</f>
        <v>0</v>
      </c>
      <c r="R347" s="34">
        <f>IFERROR(VLOOKUP("15_"&amp;A347,SyS!$B:$P,10,FALSE()),0)</f>
        <v>0</v>
      </c>
      <c r="S347" s="35">
        <f>IFERROR(VLOOKUP("15_"&amp;A347,SyS!$B:$P,12,FALSE()),0)</f>
        <v>0</v>
      </c>
      <c r="T347" s="36">
        <f>+R347-S347</f>
        <v>0</v>
      </c>
      <c r="U347" s="34">
        <f>IFERROR(VLOOKUP("16_"&amp;A347,SyS!$B:$P,10,FALSE()),0)</f>
        <v>0</v>
      </c>
      <c r="V347" s="35">
        <f>IFERROR(VLOOKUP("16_"&amp;A347,SyS!$B:$P,12,FALSE()),0)</f>
        <v>0</v>
      </c>
      <c r="W347" s="36">
        <f>+U347-V347</f>
        <v>0</v>
      </c>
      <c r="X347" s="34">
        <f>IFERROR(VLOOKUP("13_"&amp;A347,SyS!$B:$P,10,FALSE()),0)</f>
        <v>0</v>
      </c>
      <c r="Y347" s="35">
        <f>IFERROR(VLOOKUP("13_"&amp;A347,SyS!$B:$P,12,FALSE()),0)</f>
        <v>0</v>
      </c>
      <c r="Z347" s="36">
        <f>+X347-Y347</f>
        <v>0</v>
      </c>
      <c r="AA347" s="34">
        <f>IFERROR(VLOOKUP("17_"&amp;A347,SyS!$B:$P,10,FALSE()),0)</f>
        <v>0</v>
      </c>
      <c r="AB347" s="35">
        <f>IFERROR(VLOOKUP("17_"&amp;A347,SyS!$B:$P,12,FALSE()),0)</f>
        <v>0</v>
      </c>
      <c r="AC347" s="36">
        <f>+AA347-AB347</f>
        <v>0</v>
      </c>
      <c r="AD347" s="35"/>
      <c r="AE347" s="35"/>
      <c r="AF347" s="35"/>
      <c r="AG347" s="35">
        <f>IFERROR(VLOOKUP("19_"&amp;A347,SyS!$B:$P,10,FALSE()),0)</f>
        <v>0</v>
      </c>
      <c r="AH347" s="35">
        <f>IFERROR(VLOOKUP("19_"&amp;A347,SyS!$B:$P,12,FALSE()),0)</f>
        <v>0</v>
      </c>
      <c r="AI347" s="35">
        <f>+AG347-AH347</f>
        <v>0</v>
      </c>
      <c r="AJ347" s="35"/>
      <c r="AK347" s="35"/>
      <c r="AL347" s="35"/>
      <c r="AM347" s="34">
        <f>IFERROR(VLOOKUP("23_"&amp;A347,SyS!$B:$P,10,FALSE()),0)</f>
        <v>0</v>
      </c>
      <c r="AN347" s="35">
        <f>IFERROR(VLOOKUP("23_"&amp;A347,SyS!$B:$P,12,FALSE()),0)</f>
        <v>0</v>
      </c>
      <c r="AO347" s="36">
        <f>+AM347-AN347</f>
        <v>0</v>
      </c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  <c r="BC347" s="40"/>
      <c r="BD347" s="40"/>
      <c r="BE347" s="40"/>
      <c r="BF347" s="40"/>
      <c r="BG347" s="40"/>
      <c r="BH347" s="40"/>
      <c r="BI347" s="40"/>
      <c r="BJ347" s="40"/>
      <c r="BK347" s="40">
        <f>IFERROR(VLOOKUP("29_"&amp;A347,SyS!$B:$P,10,FALSE()),0)</f>
        <v>0</v>
      </c>
      <c r="BL347" s="40">
        <f>IFERROR(VLOOKUP("29_"&amp;A347,SyS!$B:$P,12,FALSE()),0)</f>
        <v>0</v>
      </c>
      <c r="BM347" s="40">
        <f>+BK347-BL347</f>
        <v>0</v>
      </c>
      <c r="BN347" s="46">
        <f>IFERROR(VLOOKUP("30_"&amp;A347,SyS!$B:$P,10,FALSE()),0)</f>
        <v>0</v>
      </c>
      <c r="BO347" s="40">
        <f>IFERROR(VLOOKUP("30_"&amp;A347,SyS!$B:$P,12,FALSE()),0)</f>
        <v>0</v>
      </c>
      <c r="BP347" s="47">
        <f>+BN347-BO347</f>
        <v>0</v>
      </c>
      <c r="BQ347" s="45">
        <f>+E347+H347+K347+N347+Q347+T347+W347+Z347+AC347+AF347+AI347+AL347+AO347+AR347+AU347+AX347+BA347+BD347+BG347+BJ347+BM347+BP347</f>
        <v>0</v>
      </c>
    </row>
    <row r="348" ht="11.25" customHeight="1" spans="1:69" x14ac:dyDescent="0.25">
      <c r="A348" s="9">
        <v>421940000</v>
      </c>
      <c r="B348" s="9" t="s">
        <v>381</v>
      </c>
      <c r="C348" s="34">
        <f>IFERROR(VLOOKUP("1_"&amp;A348,SyS!$B:$P,10,FALSE()),0)</f>
        <v>0</v>
      </c>
      <c r="D348" s="35">
        <f>IFERROR(VLOOKUP("1_"&amp;A348,SyS!$B:$P,12,FALSE()),0)</f>
        <v>0</v>
      </c>
      <c r="E348" s="35">
        <f>+C348-D348</f>
        <v>0</v>
      </c>
      <c r="F348" s="34">
        <f>IFERROR(VLOOKUP("2_"&amp;A348,SyS!$B:$P,10,FALSE()),0)</f>
        <v>0</v>
      </c>
      <c r="G348" s="35">
        <f>IFERROR(VLOOKUP("2_"&amp;A348,SyS!$B:$P,12,FALSE()),0)</f>
        <v>0</v>
      </c>
      <c r="H348" s="36">
        <f>+F348-G348</f>
        <v>0</v>
      </c>
      <c r="I348" s="35"/>
      <c r="J348" s="35"/>
      <c r="K348" s="35"/>
      <c r="L348" s="35"/>
      <c r="M348" s="35"/>
      <c r="N348" s="35"/>
      <c r="O348" s="34">
        <f>IFERROR(VLOOKUP("14_"&amp;A348,SyS!$B:$P,10,FALSE()),0)</f>
        <v>0</v>
      </c>
      <c r="P348" s="35">
        <f>IFERROR(VLOOKUP("14_"&amp;A348,SyS!$B:$P,12,FALSE()),0)</f>
        <v>0</v>
      </c>
      <c r="Q348" s="36">
        <f>+O348-P348</f>
        <v>0</v>
      </c>
      <c r="R348" s="34">
        <f>IFERROR(VLOOKUP("15_"&amp;A348,SyS!$B:$P,10,FALSE()),0)</f>
        <v>0</v>
      </c>
      <c r="S348" s="35">
        <f>IFERROR(VLOOKUP("15_"&amp;A348,SyS!$B:$P,12,FALSE()),0)</f>
        <v>0</v>
      </c>
      <c r="T348" s="36">
        <f>+R348-S348</f>
        <v>0</v>
      </c>
      <c r="U348" s="34">
        <f>IFERROR(VLOOKUP("16_"&amp;A348,SyS!$B:$P,10,FALSE()),0)</f>
        <v>0</v>
      </c>
      <c r="V348" s="35">
        <f>IFERROR(VLOOKUP("16_"&amp;A348,SyS!$B:$P,12,FALSE()),0)</f>
        <v>0</v>
      </c>
      <c r="W348" s="36">
        <f>+U348-V348</f>
        <v>0</v>
      </c>
      <c r="X348" s="34">
        <f>IFERROR(VLOOKUP("13_"&amp;A348,SyS!$B:$P,10,FALSE()),0)</f>
        <v>0</v>
      </c>
      <c r="Y348" s="35">
        <f>IFERROR(VLOOKUP("13_"&amp;A348,SyS!$B:$P,12,FALSE()),0)</f>
        <v>0</v>
      </c>
      <c r="Z348" s="36">
        <f>+X348-Y348</f>
        <v>0</v>
      </c>
      <c r="AA348" s="34">
        <f>IFERROR(VLOOKUP("17_"&amp;A348,SyS!$B:$P,10,FALSE()),0)</f>
        <v>0</v>
      </c>
      <c r="AB348" s="35">
        <f>IFERROR(VLOOKUP("17_"&amp;A348,SyS!$B:$P,12,FALSE()),0)</f>
        <v>0</v>
      </c>
      <c r="AC348" s="36">
        <f>+AA348-AB348</f>
        <v>0</v>
      </c>
      <c r="AD348" s="35"/>
      <c r="AE348" s="35"/>
      <c r="AF348" s="35"/>
      <c r="AG348" s="35">
        <f>IFERROR(VLOOKUP("19_"&amp;A348,SyS!$B:$P,10,FALSE()),0)</f>
        <v>0</v>
      </c>
      <c r="AH348" s="35">
        <f>IFERROR(VLOOKUP("19_"&amp;A348,SyS!$B:$P,12,FALSE()),0)</f>
        <v>0</v>
      </c>
      <c r="AI348" s="35">
        <f>+AG348-AH348</f>
        <v>0</v>
      </c>
      <c r="AJ348" s="35"/>
      <c r="AK348" s="35"/>
      <c r="AL348" s="35"/>
      <c r="AM348" s="34">
        <f>IFERROR(VLOOKUP("23_"&amp;A348,SyS!$B:$P,10,FALSE()),0)</f>
        <v>0</v>
      </c>
      <c r="AN348" s="35">
        <f>IFERROR(VLOOKUP("23_"&amp;A348,SyS!$B:$P,12,FALSE()),0)</f>
        <v>0</v>
      </c>
      <c r="AO348" s="36">
        <f>+AM348-AN348</f>
        <v>0</v>
      </c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0"/>
      <c r="BE348" s="40"/>
      <c r="BF348" s="40"/>
      <c r="BG348" s="40"/>
      <c r="BH348" s="40"/>
      <c r="BI348" s="40"/>
      <c r="BJ348" s="40"/>
      <c r="BK348" s="40">
        <f>IFERROR(VLOOKUP("29_"&amp;A348,SyS!$B:$P,10,FALSE()),0)</f>
        <v>0</v>
      </c>
      <c r="BL348" s="40">
        <f>IFERROR(VLOOKUP("29_"&amp;A348,SyS!$B:$P,12,FALSE()),0)</f>
        <v>0</v>
      </c>
      <c r="BM348" s="40">
        <f>+BK348-BL348</f>
        <v>0</v>
      </c>
      <c r="BN348" s="46">
        <f>IFERROR(VLOOKUP("30_"&amp;A348,SyS!$B:$P,10,FALSE()),0)</f>
        <v>0</v>
      </c>
      <c r="BO348" s="40">
        <f>IFERROR(VLOOKUP("30_"&amp;A348,SyS!$B:$P,12,FALSE()),0)</f>
        <v>0</v>
      </c>
      <c r="BP348" s="47">
        <f>+BN348-BO348</f>
        <v>0</v>
      </c>
      <c r="BQ348" s="45">
        <f>+E348+H348+K348+N348+Q348+T348+W348+Z348+AC348+AF348+AI348+AL348+AO348+AR348+AU348+AX348+BA348+BD348+BG348+BJ348+BM348+BP348</f>
        <v>0</v>
      </c>
    </row>
    <row r="349" ht="11.25" customHeight="1" spans="1:69" x14ac:dyDescent="0.25">
      <c r="A349" s="9">
        <v>421580000</v>
      </c>
      <c r="B349" s="9" t="s">
        <v>382</v>
      </c>
      <c r="C349" s="34">
        <f>IFERROR(VLOOKUP("1_"&amp;A349,SyS!$B:$P,10,FALSE()),0)</f>
        <v>0</v>
      </c>
      <c r="D349" s="35">
        <f>IFERROR(VLOOKUP("1_"&amp;A349,SyS!$B:$P,12,FALSE()),0)</f>
        <v>0</v>
      </c>
      <c r="E349" s="35">
        <f>+C349-D349</f>
        <v>0</v>
      </c>
      <c r="F349" s="34">
        <f>IFERROR(VLOOKUP("2_"&amp;A349,SyS!$B:$P,10,FALSE()),0)</f>
        <v>0</v>
      </c>
      <c r="G349" s="35">
        <f>IFERROR(VLOOKUP("2_"&amp;A349,SyS!$B:$P,12,FALSE()),0)</f>
        <v>0</v>
      </c>
      <c r="H349" s="36">
        <f>+F349-G349</f>
        <v>0</v>
      </c>
      <c r="I349" s="35"/>
      <c r="J349" s="35"/>
      <c r="K349" s="35"/>
      <c r="L349" s="35"/>
      <c r="M349" s="35"/>
      <c r="N349" s="35"/>
      <c r="O349" s="34">
        <f>IFERROR(VLOOKUP("14_"&amp;A349,SyS!$B:$P,10,FALSE()),0)</f>
        <v>0</v>
      </c>
      <c r="P349" s="35">
        <f>IFERROR(VLOOKUP("14_"&amp;A349,SyS!$B:$P,12,FALSE()),0)</f>
        <v>0</v>
      </c>
      <c r="Q349" s="36">
        <f>+O349-P349</f>
        <v>0</v>
      </c>
      <c r="R349" s="34">
        <f>IFERROR(VLOOKUP("15_"&amp;A349,SyS!$B:$P,10,FALSE()),0)</f>
        <v>0</v>
      </c>
      <c r="S349" s="35">
        <f>IFERROR(VLOOKUP("15_"&amp;A349,SyS!$B:$P,12,FALSE()),0)</f>
        <v>0</v>
      </c>
      <c r="T349" s="36">
        <f>+R349-S349</f>
        <v>0</v>
      </c>
      <c r="U349" s="34">
        <f>IFERROR(VLOOKUP("16_"&amp;A349,SyS!$B:$P,10,FALSE()),0)</f>
        <v>0</v>
      </c>
      <c r="V349" s="35">
        <f>IFERROR(VLOOKUP("16_"&amp;A349,SyS!$B:$P,12,FALSE()),0)</f>
        <v>0</v>
      </c>
      <c r="W349" s="36">
        <f>+U349-V349</f>
        <v>0</v>
      </c>
      <c r="X349" s="34">
        <f>IFERROR(VLOOKUP("13_"&amp;A349,SyS!$B:$P,10,FALSE()),0)</f>
        <v>0</v>
      </c>
      <c r="Y349" s="35">
        <f>IFERROR(VLOOKUP("13_"&amp;A349,SyS!$B:$P,12,FALSE()),0)</f>
        <v>0</v>
      </c>
      <c r="Z349" s="36">
        <f>+X349-Y349</f>
        <v>0</v>
      </c>
      <c r="AA349" s="34">
        <f>IFERROR(VLOOKUP("17_"&amp;A349,SyS!$B:$P,10,FALSE()),0)</f>
        <v>0</v>
      </c>
      <c r="AB349" s="35">
        <f>IFERROR(VLOOKUP("17_"&amp;A349,SyS!$B:$P,12,FALSE()),0)</f>
        <v>0</v>
      </c>
      <c r="AC349" s="36">
        <f>+AA349-AB349</f>
        <v>0</v>
      </c>
      <c r="AD349" s="35"/>
      <c r="AE349" s="35"/>
      <c r="AF349" s="35"/>
      <c r="AG349" s="35">
        <f>IFERROR(VLOOKUP("19_"&amp;A349,SyS!$B:$P,10,FALSE()),0)</f>
        <v>0</v>
      </c>
      <c r="AH349" s="35">
        <f>IFERROR(VLOOKUP("19_"&amp;A349,SyS!$B:$P,12,FALSE()),0)</f>
        <v>0</v>
      </c>
      <c r="AI349" s="35">
        <f>+AG349-AH349</f>
        <v>0</v>
      </c>
      <c r="AJ349" s="35"/>
      <c r="AK349" s="35"/>
      <c r="AL349" s="35"/>
      <c r="AM349" s="34">
        <f>IFERROR(VLOOKUP("23_"&amp;A349,SyS!$B:$P,10,FALSE()),0)</f>
        <v>0</v>
      </c>
      <c r="AN349" s="35">
        <f>IFERROR(VLOOKUP("23_"&amp;A349,SyS!$B:$P,12,FALSE()),0)</f>
        <v>0</v>
      </c>
      <c r="AO349" s="36">
        <f>+AM349-AN349</f>
        <v>0</v>
      </c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  <c r="BB349" s="40"/>
      <c r="BC349" s="40"/>
      <c r="BD349" s="40"/>
      <c r="BE349" s="40"/>
      <c r="BF349" s="40"/>
      <c r="BG349" s="40"/>
      <c r="BH349" s="40"/>
      <c r="BI349" s="40"/>
      <c r="BJ349" s="40"/>
      <c r="BK349" s="40">
        <f>IFERROR(VLOOKUP("29_"&amp;A349,SyS!$B:$P,10,FALSE()),0)</f>
        <v>0</v>
      </c>
      <c r="BL349" s="40">
        <f>IFERROR(VLOOKUP("29_"&amp;A349,SyS!$B:$P,12,FALSE()),0)</f>
        <v>0</v>
      </c>
      <c r="BM349" s="40">
        <f>+BK349-BL349</f>
        <v>0</v>
      </c>
      <c r="BN349" s="46">
        <f>IFERROR(VLOOKUP("30_"&amp;A349,SyS!$B:$P,10,FALSE()),0)</f>
        <v>0</v>
      </c>
      <c r="BO349" s="40">
        <f>IFERROR(VLOOKUP("30_"&amp;A349,SyS!$B:$P,12,FALSE()),0)</f>
        <v>0</v>
      </c>
      <c r="BP349" s="47">
        <f>+BN349-BO349</f>
        <v>0</v>
      </c>
      <c r="BQ349" s="45">
        <f>+E349+H349+K349+N349+Q349+T349+W349+Z349+AC349+AF349+AI349+AL349+AO349+AR349+AU349+AX349+BA349+BD349+BG349+BJ349+BM349+BP349</f>
        <v>0</v>
      </c>
    </row>
    <row r="350" ht="11.25" customHeight="1" spans="1:69" x14ac:dyDescent="0.25">
      <c r="A350" s="9">
        <v>421590000</v>
      </c>
      <c r="B350" s="9" t="s">
        <v>383</v>
      </c>
      <c r="C350" s="34">
        <f>IFERROR(VLOOKUP("1_"&amp;A350,SyS!$B:$P,10,FALSE()),0)</f>
        <v>0</v>
      </c>
      <c r="D350" s="35">
        <f>IFERROR(VLOOKUP("1_"&amp;A350,SyS!$B:$P,12,FALSE()),0)</f>
        <v>0</v>
      </c>
      <c r="E350" s="35">
        <f>+C350-D350</f>
        <v>0</v>
      </c>
      <c r="F350" s="34">
        <f>IFERROR(VLOOKUP("2_"&amp;A350,SyS!$B:$P,10,FALSE()),0)</f>
        <v>0</v>
      </c>
      <c r="G350" s="35">
        <f>IFERROR(VLOOKUP("2_"&amp;A350,SyS!$B:$P,12,FALSE()),0)</f>
        <v>0</v>
      </c>
      <c r="H350" s="36">
        <f>+F350-G350</f>
        <v>0</v>
      </c>
      <c r="I350" s="35"/>
      <c r="J350" s="35"/>
      <c r="K350" s="35"/>
      <c r="L350" s="35"/>
      <c r="M350" s="35"/>
      <c r="N350" s="35"/>
      <c r="O350" s="34">
        <f>IFERROR(VLOOKUP("14_"&amp;A350,SyS!$B:$P,10,FALSE()),0)</f>
        <v>0</v>
      </c>
      <c r="P350" s="35">
        <f>IFERROR(VLOOKUP("14_"&amp;A350,SyS!$B:$P,12,FALSE()),0)</f>
        <v>0</v>
      </c>
      <c r="Q350" s="36">
        <f>+O350-P350</f>
        <v>0</v>
      </c>
      <c r="R350" s="34">
        <f>IFERROR(VLOOKUP("15_"&amp;A350,SyS!$B:$P,10,FALSE()),0)</f>
        <v>0</v>
      </c>
      <c r="S350" s="35">
        <f>IFERROR(VLOOKUP("15_"&amp;A350,SyS!$B:$P,12,FALSE()),0)</f>
        <v>0</v>
      </c>
      <c r="T350" s="36">
        <f>+R350-S350</f>
        <v>0</v>
      </c>
      <c r="U350" s="34">
        <f>IFERROR(VLOOKUP("16_"&amp;A350,SyS!$B:$P,10,FALSE()),0)</f>
        <v>0</v>
      </c>
      <c r="V350" s="35">
        <f>IFERROR(VLOOKUP("16_"&amp;A350,SyS!$B:$P,12,FALSE()),0)</f>
        <v>0</v>
      </c>
      <c r="W350" s="36">
        <f>+U350-V350</f>
        <v>0</v>
      </c>
      <c r="X350" s="34">
        <f>IFERROR(VLOOKUP("13_"&amp;A350,SyS!$B:$P,10,FALSE()),0)</f>
        <v>0</v>
      </c>
      <c r="Y350" s="35">
        <f>IFERROR(VLOOKUP("13_"&amp;A350,SyS!$B:$P,12,FALSE()),0)</f>
        <v>0</v>
      </c>
      <c r="Z350" s="36">
        <f>+X350-Y350</f>
        <v>0</v>
      </c>
      <c r="AA350" s="34">
        <f>IFERROR(VLOOKUP("17_"&amp;A350,SyS!$B:$P,10,FALSE()),0)</f>
        <v>0</v>
      </c>
      <c r="AB350" s="35">
        <f>IFERROR(VLOOKUP("17_"&amp;A350,SyS!$B:$P,12,FALSE()),0)</f>
        <v>0</v>
      </c>
      <c r="AC350" s="36">
        <f>+AA350-AB350</f>
        <v>0</v>
      </c>
      <c r="AD350" s="35"/>
      <c r="AE350" s="35"/>
      <c r="AF350" s="35"/>
      <c r="AG350" s="35">
        <f>IFERROR(VLOOKUP("19_"&amp;A350,SyS!$B:$P,10,FALSE()),0)</f>
        <v>0</v>
      </c>
      <c r="AH350" s="35">
        <f>IFERROR(VLOOKUP("19_"&amp;A350,SyS!$B:$P,12,FALSE()),0)</f>
        <v>0</v>
      </c>
      <c r="AI350" s="35">
        <f>+AG350-AH350</f>
        <v>0</v>
      </c>
      <c r="AJ350" s="35"/>
      <c r="AK350" s="35"/>
      <c r="AL350" s="35"/>
      <c r="AM350" s="34">
        <f>IFERROR(VLOOKUP("23_"&amp;A350,SyS!$B:$P,10,FALSE()),0)</f>
        <v>0</v>
      </c>
      <c r="AN350" s="35">
        <f>IFERROR(VLOOKUP("23_"&amp;A350,SyS!$B:$P,12,FALSE()),0)</f>
        <v>0</v>
      </c>
      <c r="AO350" s="36">
        <f>+AM350-AN350</f>
        <v>0</v>
      </c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0"/>
      <c r="BE350" s="40"/>
      <c r="BF350" s="40"/>
      <c r="BG350" s="40"/>
      <c r="BH350" s="40"/>
      <c r="BI350" s="40"/>
      <c r="BJ350" s="40"/>
      <c r="BK350" s="40">
        <f>IFERROR(VLOOKUP("29_"&amp;A350,SyS!$B:$P,10,FALSE()),0)</f>
        <v>0</v>
      </c>
      <c r="BL350" s="40">
        <f>IFERROR(VLOOKUP("29_"&amp;A350,SyS!$B:$P,12,FALSE()),0)</f>
        <v>0</v>
      </c>
      <c r="BM350" s="40">
        <f>+BK350-BL350</f>
        <v>0</v>
      </c>
      <c r="BN350" s="46">
        <f>IFERROR(VLOOKUP("30_"&amp;A350,SyS!$B:$P,10,FALSE()),0)</f>
        <v>0</v>
      </c>
      <c r="BO350" s="40">
        <f>IFERROR(VLOOKUP("30_"&amp;A350,SyS!$B:$P,12,FALSE()),0)</f>
        <v>0</v>
      </c>
      <c r="BP350" s="47">
        <f>+BN350-BO350</f>
        <v>0</v>
      </c>
      <c r="BQ350" s="45">
        <f>+E350+H350+K350+N350+Q350+T350+W350+Z350+AC350+AF350+AI350+AL350+AO350+AR350+AU350+AX350+BA350+BD350+BG350+BJ350+BM350+BP350</f>
        <v>0</v>
      </c>
    </row>
    <row r="351" ht="11.25" customHeight="1" spans="1:69" x14ac:dyDescent="0.25">
      <c r="A351" s="9">
        <v>427800000</v>
      </c>
      <c r="B351" s="9" t="s">
        <v>384</v>
      </c>
      <c r="C351" s="34">
        <f>IFERROR(VLOOKUP("1_"&amp;A351,SyS!$B:$P,10,FALSE()),0)</f>
        <v>0</v>
      </c>
      <c r="D351" s="35">
        <f>IFERROR(VLOOKUP("1_"&amp;A351,SyS!$B:$P,12,FALSE()),0)</f>
        <v>0</v>
      </c>
      <c r="E351" s="35">
        <f>+C351-D351</f>
        <v>0</v>
      </c>
      <c r="F351" s="34">
        <f>IFERROR(VLOOKUP("2_"&amp;A351,SyS!$B:$P,10,FALSE()),0)</f>
        <v>0</v>
      </c>
      <c r="G351" s="35">
        <f>IFERROR(VLOOKUP("2_"&amp;A351,SyS!$B:$P,12,FALSE()),0)</f>
        <v>0</v>
      </c>
      <c r="H351" s="36">
        <f>+F351-G351</f>
        <v>0</v>
      </c>
      <c r="I351" s="35"/>
      <c r="J351" s="35"/>
      <c r="K351" s="35"/>
      <c r="L351" s="35"/>
      <c r="M351" s="35"/>
      <c r="N351" s="35"/>
      <c r="O351" s="34">
        <f>IFERROR(VLOOKUP("14_"&amp;A351,SyS!$B:$P,10,FALSE()),0)</f>
        <v>0</v>
      </c>
      <c r="P351" s="35">
        <f>IFERROR(VLOOKUP("14_"&amp;A351,SyS!$B:$P,12,FALSE()),0)</f>
        <v>0</v>
      </c>
      <c r="Q351" s="36">
        <f>+O351-P351</f>
        <v>0</v>
      </c>
      <c r="R351" s="34">
        <f>IFERROR(VLOOKUP("15_"&amp;A351,SyS!$B:$P,10,FALSE()),0)</f>
        <v>0</v>
      </c>
      <c r="S351" s="35">
        <f>IFERROR(VLOOKUP("15_"&amp;A351,SyS!$B:$P,12,FALSE()),0)</f>
        <v>0</v>
      </c>
      <c r="T351" s="36">
        <f>+R351-S351</f>
        <v>0</v>
      </c>
      <c r="U351" s="34">
        <f>IFERROR(VLOOKUP("16_"&amp;A351,SyS!$B:$P,10,FALSE()),0)</f>
        <v>0</v>
      </c>
      <c r="V351" s="35">
        <f>IFERROR(VLOOKUP("16_"&amp;A351,SyS!$B:$P,12,FALSE()),0)</f>
        <v>0</v>
      </c>
      <c r="W351" s="36">
        <f>+U351-V351</f>
        <v>0</v>
      </c>
      <c r="X351" s="34">
        <f>IFERROR(VLOOKUP("13_"&amp;A351,SyS!$B:$P,10,FALSE()),0)</f>
        <v>0</v>
      </c>
      <c r="Y351" s="35">
        <f>IFERROR(VLOOKUP("13_"&amp;A351,SyS!$B:$P,12,FALSE()),0)</f>
        <v>0</v>
      </c>
      <c r="Z351" s="36">
        <f>+X351-Y351</f>
        <v>0</v>
      </c>
      <c r="AA351" s="34">
        <f>IFERROR(VLOOKUP("17_"&amp;A351,SyS!$B:$P,10,FALSE()),0)</f>
        <v>0</v>
      </c>
      <c r="AB351" s="35">
        <f>IFERROR(VLOOKUP("17_"&amp;A351,SyS!$B:$P,12,FALSE()),0)</f>
        <v>0</v>
      </c>
      <c r="AC351" s="36">
        <f>+AA351-AB351</f>
        <v>0</v>
      </c>
      <c r="AD351" s="35"/>
      <c r="AE351" s="35"/>
      <c r="AF351" s="35"/>
      <c r="AG351" s="35">
        <f>IFERROR(VLOOKUP("19_"&amp;A351,SyS!$B:$P,10,FALSE()),0)</f>
        <v>0</v>
      </c>
      <c r="AH351" s="35">
        <f>IFERROR(VLOOKUP("19_"&amp;A351,SyS!$B:$P,12,FALSE()),0)</f>
        <v>0</v>
      </c>
      <c r="AI351" s="35">
        <f>+AG351-AH351</f>
        <v>0</v>
      </c>
      <c r="AJ351" s="35"/>
      <c r="AK351" s="35"/>
      <c r="AL351" s="35"/>
      <c r="AM351" s="34">
        <f>IFERROR(VLOOKUP("23_"&amp;A351,SyS!$B:$P,10,FALSE()),0)</f>
        <v>0</v>
      </c>
      <c r="AN351" s="35">
        <f>IFERROR(VLOOKUP("23_"&amp;A351,SyS!$B:$P,12,FALSE()),0)</f>
        <v>0</v>
      </c>
      <c r="AO351" s="36">
        <f>+AM351-AN351</f>
        <v>0</v>
      </c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  <c r="BB351" s="40"/>
      <c r="BC351" s="40"/>
      <c r="BD351" s="40"/>
      <c r="BE351" s="40"/>
      <c r="BF351" s="40"/>
      <c r="BG351" s="40"/>
      <c r="BH351" s="40"/>
      <c r="BI351" s="40"/>
      <c r="BJ351" s="40"/>
      <c r="BK351" s="40">
        <f>IFERROR(VLOOKUP("29_"&amp;A351,SyS!$B:$P,10,FALSE()),0)</f>
        <v>0</v>
      </c>
      <c r="BL351" s="40">
        <f>IFERROR(VLOOKUP("29_"&amp;A351,SyS!$B:$P,12,FALSE()),0)</f>
        <v>0</v>
      </c>
      <c r="BM351" s="40">
        <f>+BK351-BL351</f>
        <v>0</v>
      </c>
      <c r="BN351" s="46">
        <f>IFERROR(VLOOKUP("30_"&amp;A351,SyS!$B:$P,10,FALSE()),0)</f>
        <v>0</v>
      </c>
      <c r="BO351" s="40">
        <f>IFERROR(VLOOKUP("30_"&amp;A351,SyS!$B:$P,12,FALSE()),0)</f>
        <v>0</v>
      </c>
      <c r="BP351" s="47">
        <f>+BN351-BO351</f>
        <v>0</v>
      </c>
      <c r="BQ351" s="45">
        <f>+E351+H351+K351+N351+Q351+T351+W351+Z351+AC351+AF351+AI351+AL351+AO351+AR351+AU351+AX351+BA351+BD351+BG351+BJ351+BM351+BP351</f>
        <v>0</v>
      </c>
    </row>
    <row r="352" ht="11.25" customHeight="1" spans="1:69" x14ac:dyDescent="0.25">
      <c r="A352" s="9">
        <v>427900000</v>
      </c>
      <c r="B352" s="9" t="s">
        <v>385</v>
      </c>
      <c r="C352" s="34">
        <f>IFERROR(VLOOKUP("1_"&amp;A352,SyS!$B:$P,10,FALSE()),0)</f>
        <v>0</v>
      </c>
      <c r="D352" s="35">
        <f>IFERROR(VLOOKUP("1_"&amp;A352,SyS!$B:$P,12,FALSE()),0)</f>
        <v>0</v>
      </c>
      <c r="E352" s="35">
        <f>+C352-D352</f>
        <v>0</v>
      </c>
      <c r="F352" s="34">
        <f>IFERROR(VLOOKUP("2_"&amp;A352,SyS!$B:$P,10,FALSE()),0)</f>
        <v>0</v>
      </c>
      <c r="G352" s="35">
        <f>IFERROR(VLOOKUP("2_"&amp;A352,SyS!$B:$P,12,FALSE()),0)</f>
        <v>0</v>
      </c>
      <c r="H352" s="36">
        <f>+F352-G352</f>
        <v>0</v>
      </c>
      <c r="I352" s="35"/>
      <c r="J352" s="35"/>
      <c r="K352" s="35"/>
      <c r="L352" s="35"/>
      <c r="M352" s="35"/>
      <c r="N352" s="35"/>
      <c r="O352" s="34">
        <f>IFERROR(VLOOKUP("14_"&amp;A352,SyS!$B:$P,10,FALSE()),0)</f>
        <v>0</v>
      </c>
      <c r="P352" s="35">
        <f>IFERROR(VLOOKUP("14_"&amp;A352,SyS!$B:$P,12,FALSE()),0)</f>
        <v>0</v>
      </c>
      <c r="Q352" s="36">
        <f>+O352-P352</f>
        <v>0</v>
      </c>
      <c r="R352" s="34">
        <f>IFERROR(VLOOKUP("15_"&amp;A352,SyS!$B:$P,10,FALSE()),0)</f>
        <v>0</v>
      </c>
      <c r="S352" s="35">
        <f>IFERROR(VLOOKUP("15_"&amp;A352,SyS!$B:$P,12,FALSE()),0)</f>
        <v>0</v>
      </c>
      <c r="T352" s="36">
        <f>+R352-S352</f>
        <v>0</v>
      </c>
      <c r="U352" s="34">
        <f>IFERROR(VLOOKUP("16_"&amp;A352,SyS!$B:$P,10,FALSE()),0)</f>
        <v>0</v>
      </c>
      <c r="V352" s="35">
        <f>IFERROR(VLOOKUP("16_"&amp;A352,SyS!$B:$P,12,FALSE()),0)</f>
        <v>0</v>
      </c>
      <c r="W352" s="36">
        <f>+U352-V352</f>
        <v>0</v>
      </c>
      <c r="X352" s="34">
        <f>IFERROR(VLOOKUP("13_"&amp;A352,SyS!$B:$P,10,FALSE()),0)</f>
        <v>0</v>
      </c>
      <c r="Y352" s="35">
        <f>IFERROR(VLOOKUP("13_"&amp;A352,SyS!$B:$P,12,FALSE()),0)</f>
        <v>0</v>
      </c>
      <c r="Z352" s="36">
        <f>+X352-Y352</f>
        <v>0</v>
      </c>
      <c r="AA352" s="34">
        <f>IFERROR(VLOOKUP("17_"&amp;A352,SyS!$B:$P,10,FALSE()),0)</f>
        <v>0</v>
      </c>
      <c r="AB352" s="35">
        <f>IFERROR(VLOOKUP("17_"&amp;A352,SyS!$B:$P,12,FALSE()),0)</f>
        <v>0</v>
      </c>
      <c r="AC352" s="36">
        <f>+AA352-AB352</f>
        <v>0</v>
      </c>
      <c r="AD352" s="35"/>
      <c r="AE352" s="35"/>
      <c r="AF352" s="35"/>
      <c r="AG352" s="35">
        <f>IFERROR(VLOOKUP("19_"&amp;A352,SyS!$B:$P,10,FALSE()),0)</f>
        <v>0</v>
      </c>
      <c r="AH352" s="35">
        <f>IFERROR(VLOOKUP("19_"&amp;A352,SyS!$B:$P,12,FALSE()),0)</f>
        <v>0</v>
      </c>
      <c r="AI352" s="35">
        <f>+AG352-AH352</f>
        <v>0</v>
      </c>
      <c r="AJ352" s="35"/>
      <c r="AK352" s="35"/>
      <c r="AL352" s="35"/>
      <c r="AM352" s="34">
        <f>IFERROR(VLOOKUP("23_"&amp;A352,SyS!$B:$P,10,FALSE()),0)</f>
        <v>0</v>
      </c>
      <c r="AN352" s="35">
        <f>IFERROR(VLOOKUP("23_"&amp;A352,SyS!$B:$P,12,FALSE()),0)</f>
        <v>0</v>
      </c>
      <c r="AO352" s="36">
        <f>+AM352-AN352</f>
        <v>0</v>
      </c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  <c r="BB352" s="40"/>
      <c r="BC352" s="40"/>
      <c r="BD352" s="40"/>
      <c r="BE352" s="40"/>
      <c r="BF352" s="40"/>
      <c r="BG352" s="40"/>
      <c r="BH352" s="40"/>
      <c r="BI352" s="40"/>
      <c r="BJ352" s="40"/>
      <c r="BK352" s="40">
        <f>IFERROR(VLOOKUP("29_"&amp;A352,SyS!$B:$P,10,FALSE()),0)</f>
        <v>0</v>
      </c>
      <c r="BL352" s="40">
        <f>IFERROR(VLOOKUP("29_"&amp;A352,SyS!$B:$P,12,FALSE()),0)</f>
        <v>0</v>
      </c>
      <c r="BM352" s="40">
        <f>+BK352-BL352</f>
        <v>0</v>
      </c>
      <c r="BN352" s="46">
        <f>IFERROR(VLOOKUP("30_"&amp;A352,SyS!$B:$P,10,FALSE()),0)</f>
        <v>0</v>
      </c>
      <c r="BO352" s="40">
        <f>IFERROR(VLOOKUP("30_"&amp;A352,SyS!$B:$P,12,FALSE()),0)</f>
        <v>0</v>
      </c>
      <c r="BP352" s="47">
        <f>+BN352-BO352</f>
        <v>0</v>
      </c>
      <c r="BQ352" s="45">
        <f>+E352+H352+K352+N352+Q352+T352+W352+Z352+AC352+AF352+AI352+AL352+AO352+AR352+AU352+AX352+BA352+BD352+BG352+BJ352+BM352+BP352</f>
        <v>0</v>
      </c>
    </row>
    <row r="353" ht="11.25" customHeight="1" spans="1:69" x14ac:dyDescent="0.25">
      <c r="A353" s="9">
        <v>427510000</v>
      </c>
      <c r="B353" s="9" t="s">
        <v>386</v>
      </c>
      <c r="C353" s="34">
        <f>IFERROR(VLOOKUP("1_"&amp;A353,SyS!$B:$P,10,FALSE()),0)</f>
        <v>0</v>
      </c>
      <c r="D353" s="35">
        <f>IFERROR(VLOOKUP("1_"&amp;A353,SyS!$B:$P,12,FALSE()),0)</f>
        <v>0</v>
      </c>
      <c r="E353" s="35">
        <f>+C353-D353</f>
        <v>0</v>
      </c>
      <c r="F353" s="34">
        <f>IFERROR(VLOOKUP("2_"&amp;A353,SyS!$B:$P,10,FALSE()),0)</f>
        <v>0</v>
      </c>
      <c r="G353" s="35">
        <f>IFERROR(VLOOKUP("2_"&amp;A353,SyS!$B:$P,12,FALSE()),0)</f>
        <v>0</v>
      </c>
      <c r="H353" s="36">
        <f>+F353-G353</f>
        <v>0</v>
      </c>
      <c r="I353" s="35"/>
      <c r="J353" s="35"/>
      <c r="K353" s="35"/>
      <c r="L353" s="35"/>
      <c r="M353" s="35"/>
      <c r="N353" s="35"/>
      <c r="O353" s="34">
        <f>IFERROR(VLOOKUP("14_"&amp;A353,SyS!$B:$P,10,FALSE()),0)</f>
        <v>0</v>
      </c>
      <c r="P353" s="35">
        <f>IFERROR(VLOOKUP("14_"&amp;A353,SyS!$B:$P,12,FALSE()),0)</f>
        <v>0</v>
      </c>
      <c r="Q353" s="36">
        <f>+O353-P353</f>
        <v>0</v>
      </c>
      <c r="R353" s="34">
        <f>IFERROR(VLOOKUP("15_"&amp;A353,SyS!$B:$P,10,FALSE()),0)</f>
        <v>0</v>
      </c>
      <c r="S353" s="35">
        <f>IFERROR(VLOOKUP("15_"&amp;A353,SyS!$B:$P,12,FALSE()),0)</f>
        <v>0</v>
      </c>
      <c r="T353" s="36">
        <f>+R353-S353</f>
        <v>0</v>
      </c>
      <c r="U353" s="34">
        <f>IFERROR(VLOOKUP("16_"&amp;A353,SyS!$B:$P,10,FALSE()),0)</f>
        <v>0</v>
      </c>
      <c r="V353" s="35">
        <f>IFERROR(VLOOKUP("16_"&amp;A353,SyS!$B:$P,12,FALSE()),0)</f>
        <v>0</v>
      </c>
      <c r="W353" s="36">
        <f>+U353-V353</f>
        <v>0</v>
      </c>
      <c r="X353" s="34">
        <f>IFERROR(VLOOKUP("13_"&amp;A353,SyS!$B:$P,10,FALSE()),0)</f>
        <v>0</v>
      </c>
      <c r="Y353" s="35">
        <f>IFERROR(VLOOKUP("13_"&amp;A353,SyS!$B:$P,12,FALSE()),0)</f>
        <v>0</v>
      </c>
      <c r="Z353" s="36">
        <f>+X353-Y353</f>
        <v>0</v>
      </c>
      <c r="AA353" s="34">
        <f>IFERROR(VLOOKUP("17_"&amp;A353,SyS!$B:$P,10,FALSE()),0)</f>
        <v>0</v>
      </c>
      <c r="AB353" s="35">
        <f>IFERROR(VLOOKUP("17_"&amp;A353,SyS!$B:$P,12,FALSE()),0)</f>
        <v>0</v>
      </c>
      <c r="AC353" s="36">
        <f>+AA353-AB353</f>
        <v>0</v>
      </c>
      <c r="AD353" s="35"/>
      <c r="AE353" s="35"/>
      <c r="AF353" s="35"/>
      <c r="AG353" s="35">
        <f>IFERROR(VLOOKUP("19_"&amp;A353,SyS!$B:$P,10,FALSE()),0)</f>
        <v>0</v>
      </c>
      <c r="AH353" s="35">
        <f>IFERROR(VLOOKUP("19_"&amp;A353,SyS!$B:$P,12,FALSE()),0)</f>
        <v>0</v>
      </c>
      <c r="AI353" s="35">
        <f>+AG353-AH353</f>
        <v>0</v>
      </c>
      <c r="AJ353" s="35"/>
      <c r="AK353" s="35"/>
      <c r="AL353" s="35"/>
      <c r="AM353" s="34">
        <f>IFERROR(VLOOKUP("23_"&amp;A353,SyS!$B:$P,10,FALSE()),0)</f>
        <v>0</v>
      </c>
      <c r="AN353" s="35">
        <f>IFERROR(VLOOKUP("23_"&amp;A353,SyS!$B:$P,12,FALSE()),0)</f>
        <v>0</v>
      </c>
      <c r="AO353" s="36">
        <f>+AM353-AN353</f>
        <v>0</v>
      </c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  <c r="BC353" s="40"/>
      <c r="BD353" s="40"/>
      <c r="BE353" s="40"/>
      <c r="BF353" s="40"/>
      <c r="BG353" s="40"/>
      <c r="BH353" s="40"/>
      <c r="BI353" s="40"/>
      <c r="BJ353" s="40"/>
      <c r="BK353" s="40">
        <f>IFERROR(VLOOKUP("29_"&amp;A353,SyS!$B:$P,10,FALSE()),0)</f>
        <v>0</v>
      </c>
      <c r="BL353" s="40">
        <f>IFERROR(VLOOKUP("29_"&amp;A353,SyS!$B:$P,12,FALSE()),0)</f>
        <v>0</v>
      </c>
      <c r="BM353" s="40">
        <f>+BK353-BL353</f>
        <v>0</v>
      </c>
      <c r="BN353" s="46">
        <f>IFERROR(VLOOKUP("30_"&amp;A353,SyS!$B:$P,10,FALSE()),0)</f>
        <v>0</v>
      </c>
      <c r="BO353" s="40">
        <f>IFERROR(VLOOKUP("30_"&amp;A353,SyS!$B:$P,12,FALSE()),0)</f>
        <v>0</v>
      </c>
      <c r="BP353" s="47">
        <f>+BN353-BO353</f>
        <v>0</v>
      </c>
      <c r="BQ353" s="45">
        <f>+E353+H353+K353+N353+Q353+T353+W353+Z353+AC353+AF353+AI353+AL353+AO353+AR353+AU353+AX353+BA353+BD353+BG353+BJ353+BM353+BP353</f>
        <v>0</v>
      </c>
    </row>
    <row r="354" ht="11.25" customHeight="1" spans="1:69" x14ac:dyDescent="0.25">
      <c r="A354" s="9">
        <v>427520000</v>
      </c>
      <c r="B354" s="9" t="s">
        <v>387</v>
      </c>
      <c r="C354" s="34">
        <f>IFERROR(VLOOKUP("1_"&amp;A354,SyS!$B:$P,10,FALSE()),0)</f>
        <v>0</v>
      </c>
      <c r="D354" s="35">
        <f>IFERROR(VLOOKUP("1_"&amp;A354,SyS!$B:$P,12,FALSE()),0)</f>
        <v>0</v>
      </c>
      <c r="E354" s="35">
        <f>+C354-D354</f>
        <v>0</v>
      </c>
      <c r="F354" s="34">
        <f>IFERROR(VLOOKUP("2_"&amp;A354,SyS!$B:$P,10,FALSE()),0)</f>
        <v>0</v>
      </c>
      <c r="G354" s="35">
        <f>IFERROR(VLOOKUP("2_"&amp;A354,SyS!$B:$P,12,FALSE()),0)</f>
        <v>0</v>
      </c>
      <c r="H354" s="36">
        <f>+F354-G354</f>
        <v>0</v>
      </c>
      <c r="I354" s="35"/>
      <c r="J354" s="35"/>
      <c r="K354" s="35"/>
      <c r="L354" s="35"/>
      <c r="M354" s="35"/>
      <c r="N354" s="35"/>
      <c r="O354" s="34">
        <f>IFERROR(VLOOKUP("14_"&amp;A354,SyS!$B:$P,10,FALSE()),0)</f>
        <v>0</v>
      </c>
      <c r="P354" s="35">
        <f>IFERROR(VLOOKUP("14_"&amp;A354,SyS!$B:$P,12,FALSE()),0)</f>
        <v>0</v>
      </c>
      <c r="Q354" s="36">
        <f>+O354-P354</f>
        <v>0</v>
      </c>
      <c r="R354" s="34">
        <f>IFERROR(VLOOKUP("15_"&amp;A354,SyS!$B:$P,10,FALSE()),0)</f>
        <v>0</v>
      </c>
      <c r="S354" s="35">
        <f>IFERROR(VLOOKUP("15_"&amp;A354,SyS!$B:$P,12,FALSE()),0)</f>
        <v>0</v>
      </c>
      <c r="T354" s="36">
        <f>+R354-S354</f>
        <v>0</v>
      </c>
      <c r="U354" s="34">
        <f>IFERROR(VLOOKUP("16_"&amp;A354,SyS!$B:$P,10,FALSE()),0)</f>
        <v>0</v>
      </c>
      <c r="V354" s="35">
        <f>IFERROR(VLOOKUP("16_"&amp;A354,SyS!$B:$P,12,FALSE()),0)</f>
        <v>0</v>
      </c>
      <c r="W354" s="36">
        <f>+U354-V354</f>
        <v>0</v>
      </c>
      <c r="X354" s="34">
        <f>IFERROR(VLOOKUP("13_"&amp;A354,SyS!$B:$P,10,FALSE()),0)</f>
        <v>0</v>
      </c>
      <c r="Y354" s="35">
        <f>IFERROR(VLOOKUP("13_"&amp;A354,SyS!$B:$P,12,FALSE()),0)</f>
        <v>0</v>
      </c>
      <c r="Z354" s="36">
        <f>+X354-Y354</f>
        <v>0</v>
      </c>
      <c r="AA354" s="34">
        <f>IFERROR(VLOOKUP("17_"&amp;A354,SyS!$B:$P,10,FALSE()),0)</f>
        <v>0</v>
      </c>
      <c r="AB354" s="35">
        <f>IFERROR(VLOOKUP("17_"&amp;A354,SyS!$B:$P,12,FALSE()),0)</f>
        <v>0</v>
      </c>
      <c r="AC354" s="36">
        <f>+AA354-AB354</f>
        <v>0</v>
      </c>
      <c r="AD354" s="35"/>
      <c r="AE354" s="35"/>
      <c r="AF354" s="35"/>
      <c r="AG354" s="35">
        <f>IFERROR(VLOOKUP("19_"&amp;A354,SyS!$B:$P,10,FALSE()),0)</f>
        <v>0</v>
      </c>
      <c r="AH354" s="35">
        <f>IFERROR(VLOOKUP("19_"&amp;A354,SyS!$B:$P,12,FALSE()),0)</f>
        <v>0</v>
      </c>
      <c r="AI354" s="35">
        <f>+AG354-AH354</f>
        <v>0</v>
      </c>
      <c r="AJ354" s="35"/>
      <c r="AK354" s="35"/>
      <c r="AL354" s="35"/>
      <c r="AM354" s="34">
        <f>IFERROR(VLOOKUP("23_"&amp;A354,SyS!$B:$P,10,FALSE()),0)</f>
        <v>0</v>
      </c>
      <c r="AN354" s="35">
        <f>IFERROR(VLOOKUP("23_"&amp;A354,SyS!$B:$P,12,FALSE()),0)</f>
        <v>0</v>
      </c>
      <c r="AO354" s="36">
        <f>+AM354-AN354</f>
        <v>0</v>
      </c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  <c r="BC354" s="40"/>
      <c r="BD354" s="40"/>
      <c r="BE354" s="40"/>
      <c r="BF354" s="40"/>
      <c r="BG354" s="40"/>
      <c r="BH354" s="40"/>
      <c r="BI354" s="40"/>
      <c r="BJ354" s="40"/>
      <c r="BK354" s="40">
        <f>IFERROR(VLOOKUP("29_"&amp;A354,SyS!$B:$P,10,FALSE()),0)</f>
        <v>0</v>
      </c>
      <c r="BL354" s="40">
        <f>IFERROR(VLOOKUP("29_"&amp;A354,SyS!$B:$P,12,FALSE()),0)</f>
        <v>0</v>
      </c>
      <c r="BM354" s="40">
        <f>+BK354-BL354</f>
        <v>0</v>
      </c>
      <c r="BN354" s="46">
        <f>IFERROR(VLOOKUP("30_"&amp;A354,SyS!$B:$P,10,FALSE()),0)</f>
        <v>0</v>
      </c>
      <c r="BO354" s="40">
        <f>IFERROR(VLOOKUP("30_"&amp;A354,SyS!$B:$P,12,FALSE()),0)</f>
        <v>0</v>
      </c>
      <c r="BP354" s="47">
        <f>+BN354-BO354</f>
        <v>0</v>
      </c>
      <c r="BQ354" s="45">
        <f>+E354+H354+K354+N354+Q354+T354+W354+Z354+AC354+AF354+AI354+AL354+AO354+AR354+AU354+AX354+BA354+BD354+BG354+BJ354+BM354+BP354</f>
        <v>0</v>
      </c>
    </row>
    <row r="355" ht="11.25" customHeight="1" spans="1:253" x14ac:dyDescent="0.25">
      <c r="A355" s="9">
        <v>427320000</v>
      </c>
      <c r="B355" s="9" t="s">
        <v>388</v>
      </c>
      <c r="C355" s="34">
        <f>IFERROR(VLOOKUP("1_"&amp;A355,SyS!$B:$P,10,FALSE()),0)</f>
        <v>0</v>
      </c>
      <c r="D355" s="35">
        <f>IFERROR(VLOOKUP("1_"&amp;A355,SyS!$B:$P,12,FALSE()),0)</f>
        <v>0</v>
      </c>
      <c r="E355" s="35">
        <f>+C355-D355</f>
        <v>0</v>
      </c>
      <c r="F355" s="34">
        <f>IFERROR(VLOOKUP("2_"&amp;A355,SyS!$B:$P,10,FALSE()),0)</f>
        <v>0</v>
      </c>
      <c r="G355" s="35">
        <f>IFERROR(VLOOKUP("2_"&amp;A355,SyS!$B:$P,12,FALSE()),0)</f>
        <v>0</v>
      </c>
      <c r="H355" s="36">
        <f>+F355-G355</f>
        <v>0</v>
      </c>
      <c r="I355" s="35"/>
      <c r="J355" s="35"/>
      <c r="K355" s="35"/>
      <c r="L355" s="35"/>
      <c r="M355" s="35"/>
      <c r="N355" s="35"/>
      <c r="O355" s="34">
        <f>IFERROR(VLOOKUP("14_"&amp;A355,SyS!$B:$P,10,FALSE()),0)</f>
        <v>0</v>
      </c>
      <c r="P355" s="35">
        <f>IFERROR(VLOOKUP("14_"&amp;A355,SyS!$B:$P,12,FALSE()),0)</f>
        <v>0</v>
      </c>
      <c r="Q355" s="36">
        <f>+O355-P355</f>
        <v>0</v>
      </c>
      <c r="R355" s="34">
        <f>IFERROR(VLOOKUP("15_"&amp;A355,SyS!$B:$P,10,FALSE()),0)</f>
        <v>0</v>
      </c>
      <c r="S355" s="35">
        <f>IFERROR(VLOOKUP("15_"&amp;A355,SyS!$B:$P,12,FALSE()),0)</f>
        <v>0</v>
      </c>
      <c r="T355" s="36">
        <f>+R355-S355</f>
        <v>0</v>
      </c>
      <c r="U355" s="34">
        <f>IFERROR(VLOOKUP("16_"&amp;A355,SyS!$B:$P,10,FALSE()),0)</f>
        <v>0</v>
      </c>
      <c r="V355" s="35">
        <f>IFERROR(VLOOKUP("16_"&amp;A355,SyS!$B:$P,12,FALSE()),0)</f>
        <v>0</v>
      </c>
      <c r="W355" s="36">
        <f>+U355-V355</f>
        <v>0</v>
      </c>
      <c r="X355" s="34">
        <f>IFERROR(VLOOKUP("13_"&amp;A355,SyS!$B:$P,10,FALSE()),0)</f>
        <v>0</v>
      </c>
      <c r="Y355" s="35">
        <f>IFERROR(VLOOKUP("13_"&amp;A355,SyS!$B:$P,12,FALSE()),0)</f>
        <v>0</v>
      </c>
      <c r="Z355" s="36">
        <f>+X355-Y355</f>
        <v>0</v>
      </c>
      <c r="AA355" s="34">
        <f>IFERROR(VLOOKUP("17_"&amp;A355,SyS!$B:$P,10,FALSE()),0)</f>
        <v>0</v>
      </c>
      <c r="AB355" s="35">
        <f>IFERROR(VLOOKUP("17_"&amp;A355,SyS!$B:$P,12,FALSE()),0)</f>
        <v>0</v>
      </c>
      <c r="AC355" s="36">
        <f>+AA355-AB355</f>
        <v>0</v>
      </c>
      <c r="AD355" s="35"/>
      <c r="AE355" s="35"/>
      <c r="AF355" s="35"/>
      <c r="AG355" s="35">
        <f>IFERROR(VLOOKUP("19_"&amp;A355,SyS!$B:$P,10,FALSE()),0)</f>
        <v>0</v>
      </c>
      <c r="AH355" s="35">
        <f>IFERROR(VLOOKUP("19_"&amp;A355,SyS!$B:$P,12,FALSE()),0)</f>
        <v>0</v>
      </c>
      <c r="AI355" s="35">
        <f>+AG355-AH355</f>
        <v>0</v>
      </c>
      <c r="AJ355" s="35"/>
      <c r="AK355" s="35"/>
      <c r="AL355" s="35"/>
      <c r="AM355" s="34">
        <f>IFERROR(VLOOKUP("23_"&amp;A355,SyS!$B:$P,10,FALSE()),0)</f>
        <v>0</v>
      </c>
      <c r="AN355" s="35">
        <f>IFERROR(VLOOKUP("23_"&amp;A355,SyS!$B:$P,12,FALSE()),0)</f>
        <v>0</v>
      </c>
      <c r="AO355" s="36">
        <f>+AM355-AN355</f>
        <v>0</v>
      </c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  <c r="BB355" s="40"/>
      <c r="BC355" s="40"/>
      <c r="BD355" s="40"/>
      <c r="BE355" s="40"/>
      <c r="BF355" s="40"/>
      <c r="BG355" s="40"/>
      <c r="BH355" s="40"/>
      <c r="BI355" s="40"/>
      <c r="BJ355" s="40"/>
      <c r="BK355" s="40">
        <f>IFERROR(VLOOKUP("29_"&amp;A355,SyS!$B:$P,10,FALSE()),0)</f>
        <v>0</v>
      </c>
      <c r="BL355" s="40">
        <f>IFERROR(VLOOKUP("29_"&amp;A355,SyS!$B:$P,12,FALSE()),0)</f>
        <v>0</v>
      </c>
      <c r="BM355" s="40">
        <f>+BK355-BL355</f>
        <v>0</v>
      </c>
      <c r="BN355" s="46">
        <f>IFERROR(VLOOKUP("30_"&amp;A355,SyS!$B:$P,10,FALSE()),0)</f>
        <v>0</v>
      </c>
      <c r="BO355" s="40">
        <f>IFERROR(VLOOKUP("30_"&amp;A355,SyS!$B:$P,12,FALSE()),0)</f>
        <v>0</v>
      </c>
      <c r="BP355" s="47">
        <f>+BN355-BO355</f>
        <v>0</v>
      </c>
      <c r="BQ355" s="45">
        <f>+E355+H355+K355+N355+Q355+T355+W355+Z355+AC355+AF355+AI355+AL355+AO355+AR355+AU355+AX355+BA355+BD355+BG355+BJ355+BM355+BP355</f>
        <v>0</v>
      </c>
      <c r="BR355" s="40"/>
      <c r="BS355" s="40"/>
      <c r="BT355" s="40"/>
      <c r="BU355" s="40"/>
      <c r="BV355" s="40"/>
      <c r="BW355" s="40"/>
      <c r="BX355" s="40"/>
      <c r="BY355" s="40"/>
      <c r="BZ355" s="40"/>
      <c r="CA355" s="40"/>
      <c r="CB355" s="40"/>
      <c r="CC355" s="40"/>
      <c r="CD355" s="40"/>
      <c r="CE355" s="40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  <c r="EF355" s="54"/>
      <c r="EG355" s="54"/>
      <c r="EH355" s="54"/>
      <c r="EI355" s="54"/>
      <c r="EJ355" s="54"/>
      <c r="EK355" s="54"/>
      <c r="EL355" s="54"/>
      <c r="EM355" s="54"/>
      <c r="EN355" s="54"/>
      <c r="EO355" s="54"/>
      <c r="EP355" s="54"/>
      <c r="EQ355" s="54"/>
      <c r="ER355" s="54"/>
      <c r="ES355" s="54"/>
      <c r="ET355" s="54"/>
      <c r="EU355" s="54"/>
      <c r="EV355" s="54"/>
      <c r="EW355" s="54"/>
      <c r="EX355" s="54"/>
      <c r="EY355" s="54"/>
      <c r="EZ355" s="54"/>
      <c r="FA355" s="54"/>
      <c r="FB355" s="54"/>
      <c r="FC355" s="54"/>
      <c r="FD355" s="54"/>
      <c r="FE355" s="54"/>
      <c r="FF355" s="54"/>
      <c r="FG355" s="54"/>
      <c r="FH355" s="54"/>
      <c r="FI355" s="54"/>
      <c r="FJ355" s="54"/>
      <c r="FK355" s="54"/>
      <c r="FL355" s="54"/>
      <c r="FM355" s="54"/>
      <c r="FN355" s="54"/>
      <c r="FO355" s="54"/>
      <c r="FP355" s="54"/>
      <c r="FQ355" s="54"/>
      <c r="FR355" s="54"/>
      <c r="FS355" s="54"/>
      <c r="FT355" s="54"/>
      <c r="FU355" s="54"/>
      <c r="FV355" s="54"/>
      <c r="FW355" s="54"/>
      <c r="FX355" s="54"/>
      <c r="FY355" s="54"/>
      <c r="FZ355" s="54"/>
      <c r="GA355" s="54"/>
      <c r="GB355" s="54"/>
      <c r="GC355" s="54"/>
      <c r="GD355" s="54"/>
      <c r="GE355" s="54"/>
      <c r="GF355" s="54"/>
      <c r="GG355" s="54"/>
      <c r="GH355" s="54"/>
      <c r="GI355" s="54"/>
      <c r="GJ355" s="54"/>
      <c r="GK355" s="54"/>
      <c r="GL355" s="54"/>
      <c r="GM355" s="54"/>
      <c r="GN355" s="54"/>
      <c r="GO355" s="54"/>
      <c r="GP355" s="54"/>
      <c r="GQ355" s="54"/>
      <c r="GR355" s="54"/>
      <c r="GS355" s="54"/>
      <c r="GT355" s="54"/>
      <c r="GU355" s="54"/>
      <c r="GV355" s="54"/>
      <c r="GW355" s="54"/>
      <c r="GX355" s="54"/>
      <c r="GY355" s="54"/>
      <c r="GZ355" s="54"/>
      <c r="HA355" s="54"/>
      <c r="HB355" s="54"/>
      <c r="HC355" s="54"/>
      <c r="HD355" s="54"/>
      <c r="HE355" s="54"/>
      <c r="HF355" s="54"/>
      <c r="HG355" s="54"/>
      <c r="HH355" s="54"/>
      <c r="HI355" s="54"/>
      <c r="HJ355" s="54"/>
      <c r="HK355" s="54"/>
      <c r="HL355" s="54"/>
      <c r="HM355" s="54"/>
      <c r="HN355" s="54"/>
      <c r="HO355" s="54"/>
      <c r="HP355" s="54"/>
      <c r="HQ355" s="54"/>
      <c r="HR355" s="54"/>
      <c r="HS355" s="54"/>
      <c r="HT355" s="54"/>
      <c r="HU355" s="54"/>
      <c r="HV355" s="54"/>
      <c r="HW355" s="54"/>
      <c r="HX355" s="54"/>
      <c r="HY355" s="54"/>
      <c r="HZ355" s="54"/>
      <c r="IA355" s="54"/>
      <c r="IB355" s="54"/>
      <c r="IC355" s="54"/>
      <c r="ID355" s="54"/>
      <c r="IE355" s="54"/>
      <c r="IF355" s="54"/>
      <c r="IG355" s="54"/>
      <c r="IH355" s="54"/>
      <c r="II355" s="54"/>
      <c r="IJ355" s="54"/>
      <c r="IK355" s="54"/>
      <c r="IL355" s="54"/>
      <c r="IM355" s="54"/>
      <c r="IN355" s="54"/>
      <c r="IO355" s="54"/>
      <c r="IP355" s="54"/>
      <c r="IQ355" s="54"/>
      <c r="IR355" s="54"/>
      <c r="IS355" s="54"/>
    </row>
    <row r="356" ht="12" customHeight="1" spans="1:253" x14ac:dyDescent="0.25">
      <c r="A356" s="9">
        <v>427330000</v>
      </c>
      <c r="B356" s="9" t="s">
        <v>389</v>
      </c>
      <c r="C356" s="34">
        <f>IFERROR(VLOOKUP("1_"&amp;A356,SyS!$B:$P,10,FALSE()),0)</f>
        <v>0</v>
      </c>
      <c r="D356" s="35">
        <f>IFERROR(VLOOKUP("1_"&amp;A356,SyS!$B:$P,12,FALSE()),0)</f>
        <v>0</v>
      </c>
      <c r="E356" s="35">
        <f>+C356-D356</f>
        <v>0</v>
      </c>
      <c r="F356" s="34">
        <f>IFERROR(VLOOKUP("2_"&amp;A356,SyS!$B:$P,10,FALSE()),0)</f>
        <v>0</v>
      </c>
      <c r="G356" s="35">
        <f>IFERROR(VLOOKUP("2_"&amp;A356,SyS!$B:$P,12,FALSE()),0)</f>
        <v>0</v>
      </c>
      <c r="H356" s="36">
        <f>+F356-G356</f>
        <v>0</v>
      </c>
      <c r="I356" s="35"/>
      <c r="J356" s="35"/>
      <c r="K356" s="35"/>
      <c r="L356" s="35"/>
      <c r="M356" s="35"/>
      <c r="N356" s="35"/>
      <c r="O356" s="34">
        <f>IFERROR(VLOOKUP("14_"&amp;A356,SyS!$B:$P,10,FALSE()),0)</f>
        <v>0</v>
      </c>
      <c r="P356" s="35">
        <f>IFERROR(VLOOKUP("14_"&amp;A356,SyS!$B:$P,12,FALSE()),0)</f>
        <v>0</v>
      </c>
      <c r="Q356" s="36">
        <f>+O356-P356</f>
        <v>0</v>
      </c>
      <c r="R356" s="34">
        <f>IFERROR(VLOOKUP("15_"&amp;A356,SyS!$B:$P,10,FALSE()),0)</f>
        <v>0</v>
      </c>
      <c r="S356" s="35">
        <f>IFERROR(VLOOKUP("15_"&amp;A356,SyS!$B:$P,12,FALSE()),0)</f>
        <v>0</v>
      </c>
      <c r="T356" s="36">
        <f>+R356-S356</f>
        <v>0</v>
      </c>
      <c r="U356" s="34">
        <f>IFERROR(VLOOKUP("16_"&amp;A356,SyS!$B:$P,10,FALSE()),0)</f>
        <v>0</v>
      </c>
      <c r="V356" s="35">
        <f>IFERROR(VLOOKUP("16_"&amp;A356,SyS!$B:$P,12,FALSE()),0)</f>
        <v>0</v>
      </c>
      <c r="W356" s="36">
        <f>+U356-V356</f>
        <v>0</v>
      </c>
      <c r="X356" s="34">
        <f>IFERROR(VLOOKUP("13_"&amp;A356,SyS!$B:$P,10,FALSE()),0)</f>
        <v>0</v>
      </c>
      <c r="Y356" s="35">
        <f>IFERROR(VLOOKUP("13_"&amp;A356,SyS!$B:$P,12,FALSE()),0)</f>
        <v>0</v>
      </c>
      <c r="Z356" s="36">
        <f>+X356-Y356</f>
        <v>0</v>
      </c>
      <c r="AA356" s="34">
        <f>IFERROR(VLOOKUP("17_"&amp;A356,SyS!$B:$P,10,FALSE()),0)</f>
        <v>0</v>
      </c>
      <c r="AB356" s="35">
        <f>IFERROR(VLOOKUP("17_"&amp;A356,SyS!$B:$P,12,FALSE()),0)</f>
        <v>0</v>
      </c>
      <c r="AC356" s="36">
        <f>+AA356-AB356</f>
        <v>0</v>
      </c>
      <c r="AD356" s="35"/>
      <c r="AE356" s="35"/>
      <c r="AF356" s="35"/>
      <c r="AG356" s="35">
        <f>IFERROR(VLOOKUP("19_"&amp;A356,SyS!$B:$P,10,FALSE()),0)</f>
        <v>0</v>
      </c>
      <c r="AH356" s="35">
        <f>IFERROR(VLOOKUP("19_"&amp;A356,SyS!$B:$P,12,FALSE()),0)</f>
        <v>0</v>
      </c>
      <c r="AI356" s="35">
        <f>+AG356-AH356</f>
        <v>0</v>
      </c>
      <c r="AJ356" s="35"/>
      <c r="AK356" s="35"/>
      <c r="AL356" s="35"/>
      <c r="AM356" s="34">
        <f>IFERROR(VLOOKUP("23_"&amp;A356,SyS!$B:$P,10,FALSE()),0)</f>
        <v>0</v>
      </c>
      <c r="AN356" s="35">
        <f>IFERROR(VLOOKUP("23_"&amp;A356,SyS!$B:$P,12,FALSE()),0)</f>
        <v>0</v>
      </c>
      <c r="AO356" s="36">
        <f>+AM356-AN356</f>
        <v>0</v>
      </c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  <c r="BB356" s="40"/>
      <c r="BC356" s="40"/>
      <c r="BD356" s="40"/>
      <c r="BE356" s="40"/>
      <c r="BF356" s="40"/>
      <c r="BG356" s="40"/>
      <c r="BH356" s="40"/>
      <c r="BI356" s="40"/>
      <c r="BJ356" s="40"/>
      <c r="BK356" s="40">
        <f>IFERROR(VLOOKUP("29_"&amp;A356,SyS!$B:$P,10,FALSE()),0)</f>
        <v>0</v>
      </c>
      <c r="BL356" s="40">
        <f>IFERROR(VLOOKUP("29_"&amp;A356,SyS!$B:$P,12,FALSE()),0)</f>
        <v>0</v>
      </c>
      <c r="BM356" s="40">
        <f>+BK356-BL356</f>
        <v>0</v>
      </c>
      <c r="BN356" s="46">
        <f>IFERROR(VLOOKUP("30_"&amp;A356,SyS!$B:$P,10,FALSE()),0)</f>
        <v>0</v>
      </c>
      <c r="BO356" s="40">
        <f>IFERROR(VLOOKUP("30_"&amp;A356,SyS!$B:$P,12,FALSE()),0)</f>
        <v>0</v>
      </c>
      <c r="BP356" s="47">
        <f>+BN356-BO356</f>
        <v>0</v>
      </c>
      <c r="BQ356" s="45">
        <f>+E356+H356+K356+N356+Q356+T356+W356+Z356+AC356+AF356+AI356+AL356+AO356+AR356+AU356+AX356+BA356+BD356+BG356+BJ356+BM356+BP356</f>
        <v>0</v>
      </c>
      <c r="BR356" s="40"/>
      <c r="BS356" s="40"/>
      <c r="BT356" s="40"/>
      <c r="BU356" s="40"/>
      <c r="BV356" s="40"/>
      <c r="BW356" s="40"/>
      <c r="BX356" s="40"/>
      <c r="BY356" s="40"/>
      <c r="BZ356" s="40"/>
      <c r="CA356" s="40"/>
      <c r="CB356" s="40"/>
      <c r="CC356" s="40"/>
      <c r="CD356" s="40"/>
      <c r="CE356" s="40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  <c r="EF356" s="54"/>
      <c r="EG356" s="54"/>
      <c r="EH356" s="54"/>
      <c r="EI356" s="54"/>
      <c r="EJ356" s="54"/>
      <c r="EK356" s="54"/>
      <c r="EL356" s="54"/>
      <c r="EM356" s="54"/>
      <c r="EN356" s="54"/>
      <c r="EO356" s="54"/>
      <c r="EP356" s="54"/>
      <c r="EQ356" s="54"/>
      <c r="ER356" s="54"/>
      <c r="ES356" s="54"/>
      <c r="ET356" s="54"/>
      <c r="EU356" s="54"/>
      <c r="EV356" s="54"/>
      <c r="EW356" s="54"/>
      <c r="EX356" s="54"/>
      <c r="EY356" s="54"/>
      <c r="EZ356" s="54"/>
      <c r="FA356" s="54"/>
      <c r="FB356" s="54"/>
      <c r="FC356" s="54"/>
      <c r="FD356" s="54"/>
      <c r="FE356" s="54"/>
      <c r="FF356" s="54"/>
      <c r="FG356" s="54"/>
      <c r="FH356" s="54"/>
      <c r="FI356" s="54"/>
      <c r="FJ356" s="54"/>
      <c r="FK356" s="54"/>
      <c r="FL356" s="54"/>
      <c r="FM356" s="54"/>
      <c r="FN356" s="54"/>
      <c r="FO356" s="54"/>
      <c r="FP356" s="54"/>
      <c r="FQ356" s="54"/>
      <c r="FR356" s="54"/>
      <c r="FS356" s="54"/>
      <c r="FT356" s="54"/>
      <c r="FU356" s="54"/>
      <c r="FV356" s="54"/>
      <c r="FW356" s="54"/>
      <c r="FX356" s="54"/>
      <c r="FY356" s="54"/>
      <c r="FZ356" s="54"/>
      <c r="GA356" s="54"/>
      <c r="GB356" s="54"/>
      <c r="GC356" s="54"/>
      <c r="GD356" s="54"/>
      <c r="GE356" s="54"/>
      <c r="GF356" s="54"/>
      <c r="GG356" s="54"/>
      <c r="GH356" s="54"/>
      <c r="GI356" s="54"/>
      <c r="GJ356" s="54"/>
      <c r="GK356" s="54"/>
      <c r="GL356" s="54"/>
      <c r="GM356" s="54"/>
      <c r="GN356" s="54"/>
      <c r="GO356" s="54"/>
      <c r="GP356" s="54"/>
      <c r="GQ356" s="54"/>
      <c r="GR356" s="54"/>
      <c r="GS356" s="54"/>
      <c r="GT356" s="54"/>
      <c r="GU356" s="54"/>
      <c r="GV356" s="54"/>
      <c r="GW356" s="54"/>
      <c r="GX356" s="54"/>
      <c r="GY356" s="54"/>
      <c r="GZ356" s="54"/>
      <c r="HA356" s="54"/>
      <c r="HB356" s="54"/>
      <c r="HC356" s="54"/>
      <c r="HD356" s="54"/>
      <c r="HE356" s="54"/>
      <c r="HF356" s="54"/>
      <c r="HG356" s="54"/>
      <c r="HH356" s="54"/>
      <c r="HI356" s="54"/>
      <c r="HJ356" s="54"/>
      <c r="HK356" s="54"/>
      <c r="HL356" s="54"/>
      <c r="HM356" s="54"/>
      <c r="HN356" s="54"/>
      <c r="HO356" s="54"/>
      <c r="HP356" s="54"/>
      <c r="HQ356" s="54"/>
      <c r="HR356" s="54"/>
      <c r="HS356" s="54"/>
      <c r="HT356" s="54"/>
      <c r="HU356" s="54"/>
      <c r="HV356" s="54"/>
      <c r="HW356" s="54"/>
      <c r="HX356" s="54"/>
      <c r="HY356" s="54"/>
      <c r="HZ356" s="54"/>
      <c r="IA356" s="54"/>
      <c r="IB356" s="54"/>
      <c r="IC356" s="54"/>
      <c r="ID356" s="54"/>
      <c r="IE356" s="54"/>
      <c r="IF356" s="54"/>
      <c r="IG356" s="54"/>
      <c r="IH356" s="54"/>
      <c r="II356" s="54"/>
      <c r="IJ356" s="54"/>
      <c r="IK356" s="54"/>
      <c r="IL356" s="54"/>
      <c r="IM356" s="54"/>
      <c r="IN356" s="54"/>
      <c r="IO356" s="54"/>
      <c r="IP356" s="54"/>
      <c r="IQ356" s="54"/>
      <c r="IR356" s="54"/>
      <c r="IS356" s="54"/>
    </row>
    <row r="357" ht="11.25" customHeight="1" spans="1:253" x14ac:dyDescent="0.25">
      <c r="A357" s="9">
        <v>427190000</v>
      </c>
      <c r="B357" s="9" t="s">
        <v>390</v>
      </c>
      <c r="C357" s="34">
        <f>IFERROR(VLOOKUP("1_"&amp;A357,SyS!$B:$P,10,FALSE()),0)</f>
        <v>0</v>
      </c>
      <c r="D357" s="35">
        <f>IFERROR(VLOOKUP("1_"&amp;A357,SyS!$B:$P,12,FALSE()),0)</f>
        <v>0</v>
      </c>
      <c r="E357" s="35">
        <f>+C357-D357</f>
        <v>0</v>
      </c>
      <c r="F357" s="34">
        <f>IFERROR(VLOOKUP("2_"&amp;A357,SyS!$B:$P,10,FALSE()),0)</f>
        <v>0</v>
      </c>
      <c r="G357" s="35">
        <f>IFERROR(VLOOKUP("2_"&amp;A357,SyS!$B:$P,12,FALSE()),0)</f>
        <v>0</v>
      </c>
      <c r="H357" s="36">
        <f>+F357-G357</f>
        <v>0</v>
      </c>
      <c r="I357" s="35"/>
      <c r="J357" s="35"/>
      <c r="K357" s="35"/>
      <c r="L357" s="35"/>
      <c r="M357" s="35"/>
      <c r="N357" s="35"/>
      <c r="O357" s="34">
        <f>IFERROR(VLOOKUP("14_"&amp;A357,SyS!$B:$P,10,FALSE()),0)</f>
        <v>0</v>
      </c>
      <c r="P357" s="35">
        <f>IFERROR(VLOOKUP("14_"&amp;A357,SyS!$B:$P,12,FALSE()),0)</f>
        <v>0</v>
      </c>
      <c r="Q357" s="36">
        <f>+O357-P357</f>
        <v>0</v>
      </c>
      <c r="R357" s="34">
        <f>IFERROR(VLOOKUP("15_"&amp;A357,SyS!$B:$P,10,FALSE()),0)</f>
        <v>0</v>
      </c>
      <c r="S357" s="35">
        <f>IFERROR(VLOOKUP("15_"&amp;A357,SyS!$B:$P,12,FALSE()),0)</f>
        <v>0</v>
      </c>
      <c r="T357" s="36">
        <f>+R357-S357</f>
        <v>0</v>
      </c>
      <c r="U357" s="34">
        <f>IFERROR(VLOOKUP("16_"&amp;A357,SyS!$B:$P,10,FALSE()),0)</f>
        <v>0</v>
      </c>
      <c r="V357" s="35">
        <f>IFERROR(VLOOKUP("16_"&amp;A357,SyS!$B:$P,12,FALSE()),0)</f>
        <v>0</v>
      </c>
      <c r="W357" s="36">
        <f>+U357-V357</f>
        <v>0</v>
      </c>
      <c r="X357" s="34">
        <f>IFERROR(VLOOKUP("13_"&amp;A357,SyS!$B:$P,10,FALSE()),0)</f>
        <v>0</v>
      </c>
      <c r="Y357" s="35">
        <f>IFERROR(VLOOKUP("13_"&amp;A357,SyS!$B:$P,12,FALSE()),0)</f>
        <v>0</v>
      </c>
      <c r="Z357" s="36">
        <f>+X357-Y357</f>
        <v>0</v>
      </c>
      <c r="AA357" s="34">
        <f>IFERROR(VLOOKUP("17_"&amp;A357,SyS!$B:$P,10,FALSE()),0)</f>
        <v>0</v>
      </c>
      <c r="AB357" s="35">
        <f>IFERROR(VLOOKUP("17_"&amp;A357,SyS!$B:$P,12,FALSE()),0)</f>
        <v>0</v>
      </c>
      <c r="AC357" s="36">
        <f>+AA357-AB357</f>
        <v>0</v>
      </c>
      <c r="AD357" s="35"/>
      <c r="AE357" s="35"/>
      <c r="AF357" s="35"/>
      <c r="AG357" s="35">
        <f>IFERROR(VLOOKUP("19_"&amp;A357,SyS!$B:$P,10,FALSE()),0)</f>
        <v>0</v>
      </c>
      <c r="AH357" s="35">
        <f>IFERROR(VLOOKUP("19_"&amp;A357,SyS!$B:$P,12,FALSE()),0)</f>
        <v>0</v>
      </c>
      <c r="AI357" s="35">
        <f>+AG357-AH357</f>
        <v>0</v>
      </c>
      <c r="AJ357" s="35"/>
      <c r="AK357" s="35"/>
      <c r="AL357" s="35"/>
      <c r="AM357" s="34">
        <f>IFERROR(VLOOKUP("23_"&amp;A357,SyS!$B:$P,10,FALSE()),0)</f>
        <v>0</v>
      </c>
      <c r="AN357" s="35">
        <f>IFERROR(VLOOKUP("23_"&amp;A357,SyS!$B:$P,12,FALSE()),0)</f>
        <v>0</v>
      </c>
      <c r="AO357" s="36">
        <f>+AM357-AN357</f>
        <v>0</v>
      </c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  <c r="BC357" s="40"/>
      <c r="BD357" s="40"/>
      <c r="BE357" s="40"/>
      <c r="BF357" s="40"/>
      <c r="BG357" s="40"/>
      <c r="BH357" s="40"/>
      <c r="BI357" s="40"/>
      <c r="BJ357" s="40"/>
      <c r="BK357" s="40">
        <f>IFERROR(VLOOKUP("29_"&amp;A357,SyS!$B:$P,10,FALSE()),0)</f>
        <v>0</v>
      </c>
      <c r="BL357" s="40">
        <f>IFERROR(VLOOKUP("29_"&amp;A357,SyS!$B:$P,12,FALSE()),0)</f>
        <v>0</v>
      </c>
      <c r="BM357" s="40">
        <f>+BK357-BL357</f>
        <v>0</v>
      </c>
      <c r="BN357" s="46">
        <f>IFERROR(VLOOKUP("30_"&amp;A357,SyS!$B:$P,10,FALSE()),0)</f>
        <v>0</v>
      </c>
      <c r="BO357" s="40">
        <f>IFERROR(VLOOKUP("30_"&amp;A357,SyS!$B:$P,12,FALSE()),0)</f>
        <v>0</v>
      </c>
      <c r="BP357" s="47">
        <f>+BN357-BO357</f>
        <v>0</v>
      </c>
      <c r="BQ357" s="45">
        <f>+E357+H357+K357+N357+Q357+T357+W357+Z357+AC357+AF357+AI357+AL357+AO357+AR357+AU357+AX357+BA357+BD357+BG357+BJ357+BM357+BP357</f>
        <v>0</v>
      </c>
      <c r="BR357" s="40"/>
      <c r="BS357" s="40"/>
      <c r="BT357" s="40"/>
      <c r="BU357" s="40"/>
      <c r="BV357" s="40"/>
      <c r="BW357" s="40"/>
      <c r="BX357" s="40"/>
      <c r="BY357" s="40"/>
      <c r="BZ357" s="40"/>
      <c r="CA357" s="40"/>
      <c r="CB357" s="40"/>
      <c r="CC357" s="40"/>
      <c r="CD357" s="40"/>
      <c r="CE357" s="40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/>
      <c r="FE357" s="54"/>
      <c r="FF357" s="54"/>
      <c r="FG357" s="54"/>
      <c r="FH357" s="54"/>
      <c r="FI357" s="54"/>
      <c r="FJ357" s="54"/>
      <c r="FK357" s="54"/>
      <c r="FL357" s="54"/>
      <c r="FM357" s="54"/>
      <c r="FN357" s="54"/>
      <c r="FO357" s="54"/>
      <c r="FP357" s="54"/>
      <c r="FQ357" s="54"/>
      <c r="FR357" s="54"/>
      <c r="FS357" s="54"/>
      <c r="FT357" s="54"/>
      <c r="FU357" s="54"/>
      <c r="FV357" s="54"/>
      <c r="FW357" s="54"/>
      <c r="FX357" s="54"/>
      <c r="FY357" s="54"/>
      <c r="FZ357" s="54"/>
      <c r="GA357" s="54"/>
      <c r="GB357" s="54"/>
      <c r="GC357" s="54"/>
      <c r="GD357" s="54"/>
      <c r="GE357" s="54"/>
      <c r="GF357" s="54"/>
      <c r="GG357" s="54"/>
      <c r="GH357" s="54"/>
      <c r="GI357" s="54"/>
      <c r="GJ357" s="54"/>
      <c r="GK357" s="54"/>
      <c r="GL357" s="54"/>
      <c r="GM357" s="54"/>
      <c r="GN357" s="54"/>
      <c r="GO357" s="54"/>
      <c r="GP357" s="54"/>
      <c r="GQ357" s="54"/>
      <c r="GR357" s="54"/>
      <c r="GS357" s="54"/>
      <c r="GT357" s="54"/>
      <c r="GU357" s="54"/>
      <c r="GV357" s="54"/>
      <c r="GW357" s="54"/>
      <c r="GX357" s="54"/>
      <c r="GY357" s="54"/>
      <c r="GZ357" s="54"/>
      <c r="HA357" s="54"/>
      <c r="HB357" s="54"/>
      <c r="HC357" s="54"/>
      <c r="HD357" s="54"/>
      <c r="HE357" s="54"/>
      <c r="HF357" s="54"/>
      <c r="HG357" s="54"/>
      <c r="HH357" s="54"/>
      <c r="HI357" s="54"/>
      <c r="HJ357" s="54"/>
      <c r="HK357" s="54"/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/>
      <c r="ID357" s="54"/>
      <c r="IE357" s="54"/>
      <c r="IF357" s="54"/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</row>
    <row r="358" ht="11.25" customHeight="1" spans="1:69" x14ac:dyDescent="0.25">
      <c r="A358" s="51"/>
      <c r="B358" s="52" t="s">
        <v>391</v>
      </c>
      <c r="C358" s="34">
        <f>IFERROR(VLOOKUP("1_"&amp;A357,SyS!$B:$P,10,FALSE()),0)</f>
        <v>0</v>
      </c>
      <c r="D358" s="35">
        <f>IFERROR(VLOOKUP("1_"&amp;A357,SyS!$B:$P,12,FALSE()),0)</f>
        <v>0</v>
      </c>
      <c r="E358" s="35">
        <f>+C357-D357</f>
        <v>0</v>
      </c>
      <c r="F358" s="34"/>
      <c r="G358" s="35"/>
      <c r="H358" s="36"/>
      <c r="I358" s="35"/>
      <c r="J358" s="35"/>
      <c r="K358" s="35"/>
      <c r="L358" s="35"/>
      <c r="M358" s="35"/>
      <c r="N358" s="35"/>
      <c r="O358" s="34"/>
      <c r="P358" s="35"/>
      <c r="Q358" s="36"/>
      <c r="R358" s="34"/>
      <c r="S358" s="35"/>
      <c r="T358" s="36"/>
      <c r="U358" s="34"/>
      <c r="V358" s="35"/>
      <c r="W358" s="36"/>
      <c r="X358" s="34"/>
      <c r="Y358" s="35"/>
      <c r="Z358" s="36"/>
      <c r="AA358" s="34"/>
      <c r="AB358" s="35"/>
      <c r="AC358" s="36"/>
      <c r="AD358" s="35"/>
      <c r="AE358" s="35"/>
      <c r="AF358" s="35"/>
      <c r="AG358" s="35"/>
      <c r="AH358" s="35"/>
      <c r="AI358" s="35"/>
      <c r="AJ358" s="35"/>
      <c r="AK358" s="35"/>
      <c r="AL358" s="35"/>
      <c r="AM358" s="34"/>
      <c r="AN358" s="35"/>
      <c r="AO358" s="36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  <c r="BC358" s="40"/>
      <c r="BD358" s="40"/>
      <c r="BE358" s="40"/>
      <c r="BF358" s="40"/>
      <c r="BG358" s="40"/>
      <c r="BH358" s="40"/>
      <c r="BI358" s="40"/>
      <c r="BJ358" s="40"/>
      <c r="BK358" s="40"/>
      <c r="BL358" s="40"/>
      <c r="BM358" s="40"/>
      <c r="BN358" s="46"/>
      <c r="BO358" s="40"/>
      <c r="BP358" s="47"/>
      <c r="BQ358" s="45"/>
    </row>
    <row r="359" ht="11.25" customHeight="1" spans="1:69" x14ac:dyDescent="0.25">
      <c r="A359" s="9">
        <v>428100000</v>
      </c>
      <c r="B359" s="9" t="s">
        <v>392</v>
      </c>
      <c r="C359" s="34">
        <f>IFERROR(VLOOKUP("1_"&amp;A359,SyS!$B:$P,10,FALSE()),0)</f>
        <v>0</v>
      </c>
      <c r="D359" s="35">
        <f>IFERROR(VLOOKUP("1_"&amp;A359,SyS!$B:$P,12,FALSE()),0)</f>
        <v>0</v>
      </c>
      <c r="E359" s="35">
        <f>+C359-D359</f>
        <v>0</v>
      </c>
      <c r="F359" s="34">
        <f>IFERROR(VLOOKUP("2_"&amp;A359,SyS!$B:$P,10,FALSE()),0)</f>
        <v>0</v>
      </c>
      <c r="G359" s="35">
        <f>IFERROR(VLOOKUP("2_"&amp;A359,SyS!$B:$P,12,FALSE()),0)</f>
        <v>0</v>
      </c>
      <c r="H359" s="36">
        <f>+F359-G359</f>
        <v>0</v>
      </c>
      <c r="I359" s="35"/>
      <c r="J359" s="35"/>
      <c r="K359" s="35"/>
      <c r="L359" s="35"/>
      <c r="M359" s="35"/>
      <c r="N359" s="35"/>
      <c r="O359" s="34">
        <f>IFERROR(VLOOKUP("14_"&amp;A359,SyS!$B:$P,10,FALSE()),0)</f>
        <v>0</v>
      </c>
      <c r="P359" s="35">
        <f>IFERROR(VLOOKUP("14_"&amp;A359,SyS!$B:$P,12,FALSE()),0)</f>
        <v>0</v>
      </c>
      <c r="Q359" s="36">
        <f>+O359-P359</f>
        <v>0</v>
      </c>
      <c r="R359" s="34">
        <f>IFERROR(VLOOKUP("15_"&amp;A359,SyS!$B:$P,10,FALSE()),0)</f>
        <v>0</v>
      </c>
      <c r="S359" s="35">
        <f>IFERROR(VLOOKUP("15_"&amp;A359,SyS!$B:$P,12,FALSE()),0)</f>
        <v>0</v>
      </c>
      <c r="T359" s="36">
        <f>+R359-S359</f>
        <v>0</v>
      </c>
      <c r="U359" s="34">
        <f>IFERROR(VLOOKUP("16_"&amp;A359,SyS!$B:$P,10,FALSE()),0)</f>
        <v>0</v>
      </c>
      <c r="V359" s="35">
        <f>IFERROR(VLOOKUP("16_"&amp;A359,SyS!$B:$P,12,FALSE()),0)</f>
        <v>0</v>
      </c>
      <c r="W359" s="36">
        <f>+U359-V359</f>
        <v>0</v>
      </c>
      <c r="X359" s="34">
        <f>IFERROR(VLOOKUP("13_"&amp;A359,SyS!$B:$P,10,FALSE()),0)</f>
        <v>0</v>
      </c>
      <c r="Y359" s="35">
        <f>IFERROR(VLOOKUP("13_"&amp;A359,SyS!$B:$P,12,FALSE()),0)</f>
        <v>0</v>
      </c>
      <c r="Z359" s="36">
        <f>+X359-Y359</f>
        <v>0</v>
      </c>
      <c r="AA359" s="34">
        <f>IFERROR(VLOOKUP("17_"&amp;A359,SyS!$B:$P,10,FALSE()),0)</f>
        <v>0</v>
      </c>
      <c r="AB359" s="35">
        <f>IFERROR(VLOOKUP("17_"&amp;A359,SyS!$B:$P,12,FALSE()),0)</f>
        <v>0</v>
      </c>
      <c r="AC359" s="36">
        <f>+AA359-AB359</f>
        <v>0</v>
      </c>
      <c r="AD359" s="35"/>
      <c r="AE359" s="35"/>
      <c r="AF359" s="35"/>
      <c r="AG359" s="35">
        <f>IFERROR(VLOOKUP("19_"&amp;A359,SyS!$B:$P,10,FALSE()),0)</f>
        <v>0</v>
      </c>
      <c r="AH359" s="35">
        <f>IFERROR(VLOOKUP("19_"&amp;A359,SyS!$B:$P,12,FALSE()),0)</f>
        <v>0</v>
      </c>
      <c r="AI359" s="35">
        <f>+AG359-AH359</f>
        <v>0</v>
      </c>
      <c r="AJ359" s="35"/>
      <c r="AK359" s="35"/>
      <c r="AL359" s="35"/>
      <c r="AM359" s="34">
        <f>IFERROR(VLOOKUP("23_"&amp;A359,SyS!$B:$P,10,FALSE()),0)</f>
        <v>0</v>
      </c>
      <c r="AN359" s="35">
        <f>IFERROR(VLOOKUP("23_"&amp;A359,SyS!$B:$P,12,FALSE()),0)</f>
        <v>0</v>
      </c>
      <c r="AO359" s="36">
        <f>+AM359-AN359</f>
        <v>0</v>
      </c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  <c r="BB359" s="40"/>
      <c r="BC359" s="40"/>
      <c r="BD359" s="40"/>
      <c r="BE359" s="40"/>
      <c r="BF359" s="40"/>
      <c r="BG359" s="40"/>
      <c r="BH359" s="40"/>
      <c r="BI359" s="40"/>
      <c r="BJ359" s="40"/>
      <c r="BK359" s="40">
        <f>IFERROR(VLOOKUP("29_"&amp;A359,SyS!$B:$P,10,FALSE()),0)</f>
        <v>0</v>
      </c>
      <c r="BL359" s="40">
        <f>IFERROR(VLOOKUP("29_"&amp;A359,SyS!$B:$P,12,FALSE()),0)</f>
        <v>0</v>
      </c>
      <c r="BM359" s="40">
        <f>+BK359-BL359</f>
        <v>0</v>
      </c>
      <c r="BN359" s="46">
        <f>IFERROR(VLOOKUP("30_"&amp;A359,SyS!$B:$P,10,FALSE()),0)</f>
        <v>0</v>
      </c>
      <c r="BO359" s="40">
        <f>IFERROR(VLOOKUP("30_"&amp;A359,SyS!$B:$P,12,FALSE()),0)</f>
        <v>0</v>
      </c>
      <c r="BP359" s="47">
        <f>+BN359-BO359</f>
        <v>0</v>
      </c>
      <c r="BQ359" s="45">
        <f>+E359+H359+K359+N359+Q359+T359+W359+Z359+AC359+AF359+AI359+AL359+AO359+AR359+AU359+AX359+BA359+BD359+BG359+BJ359+BM359+BP359</f>
        <v>0</v>
      </c>
    </row>
    <row r="360" ht="11.25" customHeight="1" spans="1:69" x14ac:dyDescent="0.25">
      <c r="A360" s="9">
        <v>428300000</v>
      </c>
      <c r="B360" s="9" t="s">
        <v>393</v>
      </c>
      <c r="C360" s="34">
        <f>IFERROR(VLOOKUP("1_"&amp;A360,SyS!$B:$P,10,FALSE()),0)</f>
        <v>0</v>
      </c>
      <c r="D360" s="35">
        <f>IFERROR(VLOOKUP("1_"&amp;A360,SyS!$B:$P,12,FALSE()),0)</f>
        <v>0</v>
      </c>
      <c r="E360" s="35">
        <f>+C360-D360</f>
        <v>0</v>
      </c>
      <c r="F360" s="34">
        <f>IFERROR(VLOOKUP("2_"&amp;A360,SyS!$B:$P,10,FALSE()),0)</f>
        <v>0</v>
      </c>
      <c r="G360" s="35">
        <f>IFERROR(VLOOKUP("2_"&amp;A360,SyS!$B:$P,12,FALSE()),0)</f>
        <v>0</v>
      </c>
      <c r="H360" s="36">
        <f>+F360-G360</f>
        <v>0</v>
      </c>
      <c r="I360" s="35"/>
      <c r="J360" s="35"/>
      <c r="K360" s="35"/>
      <c r="L360" s="35"/>
      <c r="M360" s="35"/>
      <c r="N360" s="35"/>
      <c r="O360" s="34">
        <f>IFERROR(VLOOKUP("14_"&amp;A360,SyS!$B:$P,10,FALSE()),0)</f>
        <v>0</v>
      </c>
      <c r="P360" s="35">
        <f>IFERROR(VLOOKUP("14_"&amp;A360,SyS!$B:$P,12,FALSE()),0)</f>
        <v>0</v>
      </c>
      <c r="Q360" s="36">
        <f>+O360-P360</f>
        <v>0</v>
      </c>
      <c r="R360" s="34">
        <f>IFERROR(VLOOKUP("15_"&amp;A360,SyS!$B:$P,10,FALSE()),0)</f>
        <v>0</v>
      </c>
      <c r="S360" s="35">
        <f>IFERROR(VLOOKUP("15_"&amp;A360,SyS!$B:$P,12,FALSE()),0)</f>
        <v>0</v>
      </c>
      <c r="T360" s="36">
        <f>+R360-S360</f>
        <v>0</v>
      </c>
      <c r="U360" s="34">
        <f>IFERROR(VLOOKUP("16_"&amp;A360,SyS!$B:$P,10,FALSE()),0)</f>
        <v>0</v>
      </c>
      <c r="V360" s="35">
        <f>IFERROR(VLOOKUP("16_"&amp;A360,SyS!$B:$P,12,FALSE()),0)</f>
        <v>0</v>
      </c>
      <c r="W360" s="36">
        <f>+U360-V360</f>
        <v>0</v>
      </c>
      <c r="X360" s="34">
        <f>IFERROR(VLOOKUP("13_"&amp;A360,SyS!$B:$P,10,FALSE()),0)</f>
        <v>0</v>
      </c>
      <c r="Y360" s="35">
        <f>IFERROR(VLOOKUP("13_"&amp;A360,SyS!$B:$P,12,FALSE()),0)</f>
        <v>0</v>
      </c>
      <c r="Z360" s="36">
        <f>+X360-Y360</f>
        <v>0</v>
      </c>
      <c r="AA360" s="34">
        <f>IFERROR(VLOOKUP("17_"&amp;A360,SyS!$B:$P,10,FALSE()),0)</f>
        <v>0</v>
      </c>
      <c r="AB360" s="35">
        <f>IFERROR(VLOOKUP("17_"&amp;A360,SyS!$B:$P,12,FALSE()),0)</f>
        <v>0</v>
      </c>
      <c r="AC360" s="36">
        <f>+AA360-AB360</f>
        <v>0</v>
      </c>
      <c r="AD360" s="35"/>
      <c r="AE360" s="35"/>
      <c r="AF360" s="35"/>
      <c r="AG360" s="35">
        <f>IFERROR(VLOOKUP("19_"&amp;A360,SyS!$B:$P,10,FALSE()),0)</f>
        <v>0</v>
      </c>
      <c r="AH360" s="35">
        <f>IFERROR(VLOOKUP("19_"&amp;A360,SyS!$B:$P,12,FALSE()),0)</f>
        <v>0</v>
      </c>
      <c r="AI360" s="35">
        <f>+AG360-AH360</f>
        <v>0</v>
      </c>
      <c r="AJ360" s="35"/>
      <c r="AK360" s="35"/>
      <c r="AL360" s="35"/>
      <c r="AM360" s="34">
        <f>IFERROR(VLOOKUP("23_"&amp;A360,SyS!$B:$P,10,FALSE()),0)</f>
        <v>0</v>
      </c>
      <c r="AN360" s="35">
        <f>IFERROR(VLOOKUP("23_"&amp;A360,SyS!$B:$P,12,FALSE()),0)</f>
        <v>0</v>
      </c>
      <c r="AO360" s="36">
        <f>+AM360-AN360</f>
        <v>0</v>
      </c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  <c r="BC360" s="40"/>
      <c r="BD360" s="40"/>
      <c r="BE360" s="40"/>
      <c r="BF360" s="40"/>
      <c r="BG360" s="40"/>
      <c r="BH360" s="40"/>
      <c r="BI360" s="40"/>
      <c r="BJ360" s="40"/>
      <c r="BK360" s="40">
        <f>IFERROR(VLOOKUP("29_"&amp;A360,SyS!$B:$P,10,FALSE()),0)</f>
        <v>0</v>
      </c>
      <c r="BL360" s="40">
        <f>IFERROR(VLOOKUP("29_"&amp;A360,SyS!$B:$P,12,FALSE()),0)</f>
        <v>0</v>
      </c>
      <c r="BM360" s="40">
        <f>+BK360-BL360</f>
        <v>0</v>
      </c>
      <c r="BN360" s="46">
        <f>IFERROR(VLOOKUP("30_"&amp;A360,SyS!$B:$P,10,FALSE()),0)</f>
        <v>0</v>
      </c>
      <c r="BO360" s="40">
        <f>IFERROR(VLOOKUP("30_"&amp;A360,SyS!$B:$P,12,FALSE()),0)</f>
        <v>0</v>
      </c>
      <c r="BP360" s="47">
        <f>+BN360-BO360</f>
        <v>0</v>
      </c>
      <c r="BQ360" s="45">
        <f>+E360+H360+K360+N360+Q360+T360+W360+Z360+AC360+AF360+AI360+AL360+AO360+AR360+AU360+AX360+BA360+BD360+BG360+BJ360+BM360+BP360</f>
        <v>0</v>
      </c>
    </row>
    <row r="361" ht="12" customHeight="1" spans="1:69" x14ac:dyDescent="0.25">
      <c r="A361" s="9">
        <v>428200000</v>
      </c>
      <c r="B361" s="9" t="s">
        <v>394</v>
      </c>
      <c r="C361" s="34">
        <f>IFERROR(VLOOKUP("1_"&amp;A361,SyS!$B:$P,10,FALSE()),0)</f>
        <v>0</v>
      </c>
      <c r="D361" s="35">
        <f>IFERROR(VLOOKUP("1_"&amp;A361,SyS!$B:$P,12,FALSE()),0)</f>
        <v>0</v>
      </c>
      <c r="E361" s="35">
        <f>+C361-D361</f>
        <v>0</v>
      </c>
      <c r="F361" s="34">
        <f>IFERROR(VLOOKUP("2_"&amp;A361,SyS!$B:$P,10,FALSE()),0)</f>
        <v>0</v>
      </c>
      <c r="G361" s="35">
        <f>IFERROR(VLOOKUP("2_"&amp;A361,SyS!$B:$P,12,FALSE()),0)</f>
        <v>0</v>
      </c>
      <c r="H361" s="36">
        <f>+F361-G361</f>
        <v>0</v>
      </c>
      <c r="I361" s="35"/>
      <c r="J361" s="35"/>
      <c r="K361" s="35"/>
      <c r="L361" s="35"/>
      <c r="M361" s="35"/>
      <c r="N361" s="35"/>
      <c r="O361" s="34">
        <f>IFERROR(VLOOKUP("14_"&amp;A361,SyS!$B:$P,10,FALSE()),0)</f>
        <v>0</v>
      </c>
      <c r="P361" s="35">
        <f>IFERROR(VLOOKUP("14_"&amp;A361,SyS!$B:$P,12,FALSE()),0)</f>
        <v>0</v>
      </c>
      <c r="Q361" s="36">
        <f>+O361-P361</f>
        <v>0</v>
      </c>
      <c r="R361" s="34">
        <f>IFERROR(VLOOKUP("15_"&amp;A361,SyS!$B:$P,10,FALSE()),0)</f>
        <v>0</v>
      </c>
      <c r="S361" s="35">
        <f>IFERROR(VLOOKUP("15_"&amp;A361,SyS!$B:$P,12,FALSE()),0)</f>
        <v>0</v>
      </c>
      <c r="T361" s="36">
        <f>+R361-S361</f>
        <v>0</v>
      </c>
      <c r="U361" s="34">
        <f>IFERROR(VLOOKUP("16_"&amp;A361,SyS!$B:$P,10,FALSE()),0)</f>
        <v>0</v>
      </c>
      <c r="V361" s="35">
        <f>IFERROR(VLOOKUP("16_"&amp;A361,SyS!$B:$P,12,FALSE()),0)</f>
        <v>0</v>
      </c>
      <c r="W361" s="36">
        <f>+U361-V361</f>
        <v>0</v>
      </c>
      <c r="X361" s="34">
        <f>IFERROR(VLOOKUP("13_"&amp;A361,SyS!$B:$P,10,FALSE()),0)</f>
        <v>0</v>
      </c>
      <c r="Y361" s="35">
        <f>IFERROR(VLOOKUP("13_"&amp;A361,SyS!$B:$P,12,FALSE()),0)</f>
        <v>0</v>
      </c>
      <c r="Z361" s="36">
        <f>+X361-Y361</f>
        <v>0</v>
      </c>
      <c r="AA361" s="34">
        <f>IFERROR(VLOOKUP("17_"&amp;A361,SyS!$B:$P,10,FALSE()),0)</f>
        <v>0</v>
      </c>
      <c r="AB361" s="35">
        <f>IFERROR(VLOOKUP("17_"&amp;A361,SyS!$B:$P,12,FALSE()),0)</f>
        <v>0</v>
      </c>
      <c r="AC361" s="36">
        <f>+AA361-AB361</f>
        <v>0</v>
      </c>
      <c r="AD361" s="35"/>
      <c r="AE361" s="35"/>
      <c r="AF361" s="35"/>
      <c r="AG361" s="35">
        <f>IFERROR(VLOOKUP("19_"&amp;A361,SyS!$B:$P,10,FALSE()),0)</f>
        <v>0</v>
      </c>
      <c r="AH361" s="35">
        <f>IFERROR(VLOOKUP("19_"&amp;A361,SyS!$B:$P,12,FALSE()),0)</f>
        <v>0</v>
      </c>
      <c r="AI361" s="35">
        <f>+AG361-AH361</f>
        <v>0</v>
      </c>
      <c r="AJ361" s="35"/>
      <c r="AK361" s="35"/>
      <c r="AL361" s="35"/>
      <c r="AM361" s="34">
        <f>IFERROR(VLOOKUP("23_"&amp;A361,SyS!$B:$P,10,FALSE()),0)</f>
        <v>0</v>
      </c>
      <c r="AN361" s="35">
        <f>IFERROR(VLOOKUP("23_"&amp;A361,SyS!$B:$P,12,FALSE()),0)</f>
        <v>0</v>
      </c>
      <c r="AO361" s="36">
        <f>+AM361-AN361</f>
        <v>0</v>
      </c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  <c r="BB361" s="40"/>
      <c r="BC361" s="40"/>
      <c r="BD361" s="40"/>
      <c r="BE361" s="40"/>
      <c r="BF361" s="40"/>
      <c r="BG361" s="40"/>
      <c r="BH361" s="40"/>
      <c r="BI361" s="40"/>
      <c r="BJ361" s="40"/>
      <c r="BK361" s="40">
        <f>IFERROR(VLOOKUP("29_"&amp;A361,SyS!$B:$P,10,FALSE()),0)</f>
        <v>0</v>
      </c>
      <c r="BL361" s="40">
        <f>IFERROR(VLOOKUP("29_"&amp;A361,SyS!$B:$P,12,FALSE()),0)</f>
        <v>0</v>
      </c>
      <c r="BM361" s="40">
        <f>+BK361-BL361</f>
        <v>0</v>
      </c>
      <c r="BN361" s="46">
        <f>IFERROR(VLOOKUP("30_"&amp;A361,SyS!$B:$P,10,FALSE()),0)</f>
        <v>0</v>
      </c>
      <c r="BO361" s="40">
        <f>IFERROR(VLOOKUP("30_"&amp;A361,SyS!$B:$P,12,FALSE()),0)</f>
        <v>0</v>
      </c>
      <c r="BP361" s="47">
        <f>+BN361-BO361</f>
        <v>0</v>
      </c>
      <c r="BQ361" s="45">
        <f>+E361+H361+K361+N361+Q361+T361+W361+Z361+AC361+AF361+AI361+AL361+AO361+AR361+AU361+AX361+BA361+BD361+BG361+BJ361+BM361+BP361</f>
        <v>0</v>
      </c>
    </row>
    <row r="362" ht="11.25" customHeight="1" spans="1:69" x14ac:dyDescent="0.25">
      <c r="A362" s="9">
        <v>421950000</v>
      </c>
      <c r="B362" s="9" t="s">
        <v>395</v>
      </c>
      <c r="C362" s="34">
        <f>IFERROR(VLOOKUP("1_"&amp;A362,SyS!$B:$P,10,FALSE()),0)</f>
        <v>0</v>
      </c>
      <c r="D362" s="35">
        <f>IFERROR(VLOOKUP("1_"&amp;A362,SyS!$B:$P,12,FALSE()),0)</f>
        <v>0</v>
      </c>
      <c r="E362" s="35">
        <f>+C362-D362</f>
        <v>0</v>
      </c>
      <c r="F362" s="34">
        <f>IFERROR(VLOOKUP("2_"&amp;A362,SyS!$B:$P,10,FALSE()),0)</f>
        <v>0</v>
      </c>
      <c r="G362" s="35">
        <f>IFERROR(VLOOKUP("2_"&amp;A362,SyS!$B:$P,12,FALSE()),0)</f>
        <v>0</v>
      </c>
      <c r="H362" s="36">
        <f>+F362-G362</f>
        <v>0</v>
      </c>
      <c r="I362" s="35"/>
      <c r="J362" s="35"/>
      <c r="K362" s="35"/>
      <c r="L362" s="35"/>
      <c r="M362" s="35"/>
      <c r="N362" s="35"/>
      <c r="O362" s="34">
        <f>IFERROR(VLOOKUP("14_"&amp;A362,SyS!$B:$P,10,FALSE()),0)</f>
        <v>0</v>
      </c>
      <c r="P362" s="35">
        <f>IFERROR(VLOOKUP("14_"&amp;A362,SyS!$B:$P,12,FALSE()),0)</f>
        <v>0</v>
      </c>
      <c r="Q362" s="36">
        <f>+O362-P362</f>
        <v>0</v>
      </c>
      <c r="R362" s="34">
        <f>IFERROR(VLOOKUP("15_"&amp;A362,SyS!$B:$P,10,FALSE()),0)</f>
        <v>0</v>
      </c>
      <c r="S362" s="35">
        <f>IFERROR(VLOOKUP("15_"&amp;A362,SyS!$B:$P,12,FALSE()),0)</f>
        <v>0</v>
      </c>
      <c r="T362" s="36">
        <f>+R362-S362</f>
        <v>0</v>
      </c>
      <c r="U362" s="34">
        <f>IFERROR(VLOOKUP("16_"&amp;A362,SyS!$B:$P,10,FALSE()),0)</f>
        <v>0</v>
      </c>
      <c r="V362" s="35">
        <f>IFERROR(VLOOKUP("16_"&amp;A362,SyS!$B:$P,12,FALSE()),0)</f>
        <v>0</v>
      </c>
      <c r="W362" s="36">
        <f>+U362-V362</f>
        <v>0</v>
      </c>
      <c r="X362" s="34">
        <f>IFERROR(VLOOKUP("13_"&amp;A362,SyS!$B:$P,10,FALSE()),0)</f>
        <v>0</v>
      </c>
      <c r="Y362" s="35">
        <f>IFERROR(VLOOKUP("13_"&amp;A362,SyS!$B:$P,12,FALSE()),0)</f>
        <v>0</v>
      </c>
      <c r="Z362" s="36">
        <f>+X362-Y362</f>
        <v>0</v>
      </c>
      <c r="AA362" s="34">
        <f>IFERROR(VLOOKUP("17_"&amp;A362,SyS!$B:$P,10,FALSE()),0)</f>
        <v>0</v>
      </c>
      <c r="AB362" s="35">
        <f>IFERROR(VLOOKUP("17_"&amp;A362,SyS!$B:$P,12,FALSE()),0)</f>
        <v>0</v>
      </c>
      <c r="AC362" s="36">
        <f>+AA362-AB362</f>
        <v>0</v>
      </c>
      <c r="AD362" s="35"/>
      <c r="AE362" s="35"/>
      <c r="AF362" s="35"/>
      <c r="AG362" s="35">
        <f>IFERROR(VLOOKUP("19_"&amp;A362,SyS!$B:$P,10,FALSE()),0)</f>
        <v>0</v>
      </c>
      <c r="AH362" s="35">
        <f>IFERROR(VLOOKUP("19_"&amp;A362,SyS!$B:$P,12,FALSE()),0)</f>
        <v>0</v>
      </c>
      <c r="AI362" s="35">
        <f>+AG362-AH362</f>
        <v>0</v>
      </c>
      <c r="AJ362" s="35"/>
      <c r="AK362" s="35"/>
      <c r="AL362" s="35"/>
      <c r="AM362" s="34">
        <f>IFERROR(VLOOKUP("23_"&amp;A362,SyS!$B:$P,10,FALSE()),0)</f>
        <v>0</v>
      </c>
      <c r="AN362" s="35">
        <f>IFERROR(VLOOKUP("23_"&amp;A362,SyS!$B:$P,12,FALSE()),0)</f>
        <v>0</v>
      </c>
      <c r="AO362" s="36">
        <f>+AM362-AN362</f>
        <v>0</v>
      </c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  <c r="BB362" s="40"/>
      <c r="BC362" s="40"/>
      <c r="BD362" s="40"/>
      <c r="BE362" s="40"/>
      <c r="BF362" s="40"/>
      <c r="BG362" s="40"/>
      <c r="BH362" s="40"/>
      <c r="BI362" s="40"/>
      <c r="BJ362" s="40"/>
      <c r="BK362" s="40">
        <f>IFERROR(VLOOKUP("29_"&amp;A362,SyS!$B:$P,10,FALSE()),0)</f>
        <v>0</v>
      </c>
      <c r="BL362" s="40">
        <f>IFERROR(VLOOKUP("29_"&amp;A362,SyS!$B:$P,12,FALSE()),0)</f>
        <v>0</v>
      </c>
      <c r="BM362" s="40">
        <f>+BK362-BL362</f>
        <v>0</v>
      </c>
      <c r="BN362" s="46">
        <f>IFERROR(VLOOKUP("30_"&amp;A362,SyS!$B:$P,10,FALSE()),0)</f>
        <v>0</v>
      </c>
      <c r="BO362" s="40">
        <f>IFERROR(VLOOKUP("30_"&amp;A362,SyS!$B:$P,12,FALSE()),0)</f>
        <v>0</v>
      </c>
      <c r="BP362" s="47">
        <f>+BN362-BO362</f>
        <v>0</v>
      </c>
      <c r="BQ362" s="45">
        <f>+E362+H362+K362+N362+Q362+T362+W362+Z362+AC362+AF362+AI362+AL362+AO362+AR362+AU362+AX362+BA362+BD362+BG362+BJ362+BM362+BP362</f>
        <v>0</v>
      </c>
    </row>
    <row r="363" ht="11.25" customHeight="1" spans="1:69" x14ac:dyDescent="0.25">
      <c r="A363" s="51"/>
      <c r="B363" s="52" t="s">
        <v>396</v>
      </c>
      <c r="C363" s="34">
        <f>IFERROR(VLOOKUP("1_"&amp;A362,SyS!$B:$P,10,FALSE()),0)</f>
        <v>0</v>
      </c>
      <c r="D363" s="35">
        <f>IFERROR(VLOOKUP("1_"&amp;A362,SyS!$B:$P,12,FALSE()),0)</f>
        <v>0</v>
      </c>
      <c r="E363" s="35">
        <f>+C362-D362</f>
        <v>0</v>
      </c>
      <c r="F363" s="34"/>
      <c r="G363" s="35"/>
      <c r="H363" s="36"/>
      <c r="I363" s="35"/>
      <c r="J363" s="35"/>
      <c r="K363" s="35"/>
      <c r="L363" s="35"/>
      <c r="M363" s="35"/>
      <c r="N363" s="35"/>
      <c r="O363" s="34"/>
      <c r="P363" s="35"/>
      <c r="Q363" s="36"/>
      <c r="R363" s="34"/>
      <c r="S363" s="35"/>
      <c r="T363" s="36"/>
      <c r="U363" s="34"/>
      <c r="V363" s="35"/>
      <c r="W363" s="36"/>
      <c r="X363" s="34"/>
      <c r="Y363" s="35"/>
      <c r="Z363" s="36"/>
      <c r="AA363" s="34"/>
      <c r="AB363" s="35"/>
      <c r="AC363" s="36"/>
      <c r="AD363" s="35"/>
      <c r="AE363" s="35"/>
      <c r="AF363" s="35"/>
      <c r="AG363" s="35"/>
      <c r="AH363" s="35"/>
      <c r="AI363" s="35"/>
      <c r="AJ363" s="35"/>
      <c r="AK363" s="35"/>
      <c r="AL363" s="35"/>
      <c r="AM363" s="34"/>
      <c r="AN363" s="35"/>
      <c r="AO363" s="36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  <c r="BB363" s="40"/>
      <c r="BC363" s="40"/>
      <c r="BD363" s="40"/>
      <c r="BE363" s="40"/>
      <c r="BF363" s="40"/>
      <c r="BG363" s="40"/>
      <c r="BH363" s="40"/>
      <c r="BI363" s="40"/>
      <c r="BJ363" s="40"/>
      <c r="BK363" s="40"/>
      <c r="BL363" s="40"/>
      <c r="BM363" s="40"/>
      <c r="BN363" s="46"/>
      <c r="BO363" s="40"/>
      <c r="BP363" s="47"/>
      <c r="BQ363" s="45"/>
    </row>
    <row r="364" ht="11.25" customHeight="1" spans="1:69" x14ac:dyDescent="0.25">
      <c r="A364" s="9">
        <v>429100000</v>
      </c>
      <c r="B364" s="9" t="s">
        <v>397</v>
      </c>
      <c r="C364" s="34">
        <f>IFERROR(VLOOKUP("1_"&amp;A364,SyS!$B:$P,10,FALSE()),0)</f>
        <v>0</v>
      </c>
      <c r="D364" s="35">
        <f>IFERROR(VLOOKUP("1_"&amp;A364,SyS!$B:$P,12,FALSE()),0)</f>
        <v>0</v>
      </c>
      <c r="E364" s="35">
        <f>+C364-D364</f>
        <v>0</v>
      </c>
      <c r="F364" s="34">
        <f>IFERROR(VLOOKUP("2_"&amp;A364,SyS!$B:$P,10,FALSE()),0)</f>
        <v>0</v>
      </c>
      <c r="G364" s="35">
        <f>IFERROR(VLOOKUP("2_"&amp;A364,SyS!$B:$P,12,FALSE()),0)</f>
        <v>0</v>
      </c>
      <c r="H364" s="36">
        <f>+F364-G364</f>
        <v>0</v>
      </c>
      <c r="I364" s="35"/>
      <c r="J364" s="35"/>
      <c r="K364" s="35"/>
      <c r="L364" s="35"/>
      <c r="M364" s="35"/>
      <c r="N364" s="35"/>
      <c r="O364" s="34">
        <f>IFERROR(VLOOKUP("14_"&amp;A364,SyS!$B:$P,10,FALSE()),0)</f>
        <v>0</v>
      </c>
      <c r="P364" s="35">
        <f>IFERROR(VLOOKUP("14_"&amp;A364,SyS!$B:$P,12,FALSE()),0)</f>
        <v>0</v>
      </c>
      <c r="Q364" s="36">
        <f>+O364-P364</f>
        <v>0</v>
      </c>
      <c r="R364" s="34">
        <f>IFERROR(VLOOKUP("15_"&amp;A364,SyS!$B:$P,10,FALSE()),0)</f>
        <v>0</v>
      </c>
      <c r="S364" s="35">
        <f>IFERROR(VLOOKUP("15_"&amp;A364,SyS!$B:$P,12,FALSE()),0)</f>
        <v>0</v>
      </c>
      <c r="T364" s="36">
        <f>+R364-S364</f>
        <v>0</v>
      </c>
      <c r="U364" s="34">
        <f>IFERROR(VLOOKUP("16_"&amp;A364,SyS!$B:$P,10,FALSE()),0)</f>
        <v>0</v>
      </c>
      <c r="V364" s="35">
        <f>IFERROR(VLOOKUP("16_"&amp;A364,SyS!$B:$P,12,FALSE()),0)</f>
        <v>0</v>
      </c>
      <c r="W364" s="36">
        <f>+U364-V364</f>
        <v>0</v>
      </c>
      <c r="X364" s="34">
        <f>IFERROR(VLOOKUP("13_"&amp;A364,SyS!$B:$P,10,FALSE()),0)</f>
        <v>0</v>
      </c>
      <c r="Y364" s="35">
        <f>IFERROR(VLOOKUP("13_"&amp;A364,SyS!$B:$P,12,FALSE()),0)</f>
        <v>0</v>
      </c>
      <c r="Z364" s="36">
        <f>+X364-Y364</f>
        <v>0</v>
      </c>
      <c r="AA364" s="34">
        <f>IFERROR(VLOOKUP("17_"&amp;A364,SyS!$B:$P,10,FALSE()),0)</f>
        <v>0</v>
      </c>
      <c r="AB364" s="35">
        <f>IFERROR(VLOOKUP("17_"&amp;A364,SyS!$B:$P,12,FALSE()),0)</f>
        <v>0</v>
      </c>
      <c r="AC364" s="36">
        <f>+AA364-AB364</f>
        <v>0</v>
      </c>
      <c r="AD364" s="35"/>
      <c r="AE364" s="35"/>
      <c r="AF364" s="35"/>
      <c r="AG364" s="35">
        <f>IFERROR(VLOOKUP("19_"&amp;A364,SyS!$B:$P,10,FALSE()),0)</f>
        <v>0</v>
      </c>
      <c r="AH364" s="35">
        <f>IFERROR(VLOOKUP("19_"&amp;A364,SyS!$B:$P,12,FALSE()),0)</f>
        <v>0</v>
      </c>
      <c r="AI364" s="35">
        <f>+AG364-AH364</f>
        <v>0</v>
      </c>
      <c r="AJ364" s="35"/>
      <c r="AK364" s="35"/>
      <c r="AL364" s="35"/>
      <c r="AM364" s="34">
        <f>IFERROR(VLOOKUP("23_"&amp;A364,SyS!$B:$P,10,FALSE()),0)</f>
        <v>0</v>
      </c>
      <c r="AN364" s="35">
        <f>IFERROR(VLOOKUP("23_"&amp;A364,SyS!$B:$P,12,FALSE()),0)</f>
        <v>0</v>
      </c>
      <c r="AO364" s="36">
        <f>+AM364-AN364</f>
        <v>0</v>
      </c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  <c r="BB364" s="40"/>
      <c r="BC364" s="40"/>
      <c r="BD364" s="40"/>
      <c r="BE364" s="40"/>
      <c r="BF364" s="40"/>
      <c r="BG364" s="40"/>
      <c r="BH364" s="40"/>
      <c r="BI364" s="40"/>
      <c r="BJ364" s="40"/>
      <c r="BK364" s="40">
        <f>IFERROR(VLOOKUP("29_"&amp;A364,SyS!$B:$P,10,FALSE()),0)</f>
        <v>0</v>
      </c>
      <c r="BL364" s="40">
        <f>IFERROR(VLOOKUP("29_"&amp;A364,SyS!$B:$P,12,FALSE()),0)</f>
        <v>0</v>
      </c>
      <c r="BM364" s="40">
        <f>+BK364-BL364</f>
        <v>0</v>
      </c>
      <c r="BN364" s="46">
        <f>IFERROR(VLOOKUP("30_"&amp;A364,SyS!$B:$P,10,FALSE()),0)</f>
        <v>0</v>
      </c>
      <c r="BO364" s="40">
        <f>IFERROR(VLOOKUP("30_"&amp;A364,SyS!$B:$P,12,FALSE()),0)</f>
        <v>0</v>
      </c>
      <c r="BP364" s="47">
        <f>+BN364-BO364</f>
        <v>0</v>
      </c>
      <c r="BQ364" s="45">
        <f>+E364+H364+K364+N364+Q364+T364+W364+Z364+AC364+AF364+AI364+AL364+AO364+AR364+AU364+AX364+BA364+BD364+BG364+BJ364+BM364+BP364</f>
        <v>0</v>
      </c>
    </row>
    <row r="365" ht="11.25" customHeight="1" spans="1:69" x14ac:dyDescent="0.25">
      <c r="A365" s="9">
        <v>429200000</v>
      </c>
      <c r="B365" s="9" t="s">
        <v>398</v>
      </c>
      <c r="C365" s="34">
        <f>IFERROR(VLOOKUP("1_"&amp;A365,SyS!$B:$P,10,FALSE()),0)</f>
        <v>0</v>
      </c>
      <c r="D365" s="35">
        <f>IFERROR(VLOOKUP("1_"&amp;A365,SyS!$B:$P,12,FALSE()),0)</f>
        <v>0</v>
      </c>
      <c r="E365" s="35">
        <f>+C365-D365</f>
        <v>0</v>
      </c>
      <c r="F365" s="34">
        <f>IFERROR(VLOOKUP("2_"&amp;A365,SyS!$B:$P,10,FALSE()),0)</f>
        <v>0</v>
      </c>
      <c r="G365" s="35">
        <f>IFERROR(VLOOKUP("2_"&amp;A365,SyS!$B:$P,12,FALSE()),0)</f>
        <v>0</v>
      </c>
      <c r="H365" s="36">
        <f>+F365-G365</f>
        <v>0</v>
      </c>
      <c r="I365" s="35"/>
      <c r="J365" s="35"/>
      <c r="K365" s="35"/>
      <c r="L365" s="35"/>
      <c r="M365" s="35"/>
      <c r="N365" s="35"/>
      <c r="O365" s="34">
        <f>IFERROR(VLOOKUP("14_"&amp;A365,SyS!$B:$P,10,FALSE()),0)</f>
        <v>0</v>
      </c>
      <c r="P365" s="35">
        <f>IFERROR(VLOOKUP("14_"&amp;A365,SyS!$B:$P,12,FALSE()),0)</f>
        <v>0</v>
      </c>
      <c r="Q365" s="36">
        <f>+O365-P365</f>
        <v>0</v>
      </c>
      <c r="R365" s="34">
        <f>IFERROR(VLOOKUP("15_"&amp;A365,SyS!$B:$P,10,FALSE()),0)</f>
        <v>0</v>
      </c>
      <c r="S365" s="35">
        <f>IFERROR(VLOOKUP("15_"&amp;A365,SyS!$B:$P,12,FALSE()),0)</f>
        <v>0</v>
      </c>
      <c r="T365" s="36">
        <f>+R365-S365</f>
        <v>0</v>
      </c>
      <c r="U365" s="34">
        <f>IFERROR(VLOOKUP("16_"&amp;A365,SyS!$B:$P,10,FALSE()),0)</f>
        <v>0</v>
      </c>
      <c r="V365" s="35">
        <f>IFERROR(VLOOKUP("16_"&amp;A365,SyS!$B:$P,12,FALSE()),0)</f>
        <v>0</v>
      </c>
      <c r="W365" s="36">
        <f>+U365-V365</f>
        <v>0</v>
      </c>
      <c r="X365" s="34">
        <f>IFERROR(VLOOKUP("13_"&amp;A365,SyS!$B:$P,10,FALSE()),0)</f>
        <v>0</v>
      </c>
      <c r="Y365" s="35">
        <f>IFERROR(VLOOKUP("13_"&amp;A365,SyS!$B:$P,12,FALSE()),0)</f>
        <v>0</v>
      </c>
      <c r="Z365" s="36">
        <f>+X365-Y365</f>
        <v>0</v>
      </c>
      <c r="AA365" s="34">
        <f>IFERROR(VLOOKUP("17_"&amp;A365,SyS!$B:$P,10,FALSE()),0)</f>
        <v>0</v>
      </c>
      <c r="AB365" s="35">
        <f>IFERROR(VLOOKUP("17_"&amp;A365,SyS!$B:$P,12,FALSE()),0)</f>
        <v>0</v>
      </c>
      <c r="AC365" s="36">
        <f>+AA365-AB365</f>
        <v>0</v>
      </c>
      <c r="AD365" s="35"/>
      <c r="AE365" s="35"/>
      <c r="AF365" s="35"/>
      <c r="AG365" s="35">
        <f>IFERROR(VLOOKUP("19_"&amp;A365,SyS!$B:$P,10,FALSE()),0)</f>
        <v>0</v>
      </c>
      <c r="AH365" s="35">
        <f>IFERROR(VLOOKUP("19_"&amp;A365,SyS!$B:$P,12,FALSE()),0)</f>
        <v>0</v>
      </c>
      <c r="AI365" s="35">
        <f>+AG365-AH365</f>
        <v>0</v>
      </c>
      <c r="AJ365" s="35"/>
      <c r="AK365" s="35"/>
      <c r="AL365" s="35"/>
      <c r="AM365" s="34">
        <f>IFERROR(VLOOKUP("23_"&amp;A365,SyS!$B:$P,10,FALSE()),0)</f>
        <v>0</v>
      </c>
      <c r="AN365" s="35">
        <f>IFERROR(VLOOKUP("23_"&amp;A365,SyS!$B:$P,12,FALSE()),0)</f>
        <v>0</v>
      </c>
      <c r="AO365" s="36">
        <f>+AM365-AN365</f>
        <v>0</v>
      </c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  <c r="BC365" s="40"/>
      <c r="BD365" s="40"/>
      <c r="BE365" s="40"/>
      <c r="BF365" s="40"/>
      <c r="BG365" s="40"/>
      <c r="BH365" s="40"/>
      <c r="BI365" s="40"/>
      <c r="BJ365" s="40"/>
      <c r="BK365" s="40">
        <f>IFERROR(VLOOKUP("29_"&amp;A365,SyS!$B:$P,10,FALSE()),0)</f>
        <v>0</v>
      </c>
      <c r="BL365" s="40">
        <f>IFERROR(VLOOKUP("29_"&amp;A365,SyS!$B:$P,12,FALSE()),0)</f>
        <v>0</v>
      </c>
      <c r="BM365" s="40">
        <f>+BK365-BL365</f>
        <v>0</v>
      </c>
      <c r="BN365" s="46">
        <f>IFERROR(VLOOKUP("30_"&amp;A365,SyS!$B:$P,10,FALSE()),0)</f>
        <v>0</v>
      </c>
      <c r="BO365" s="40">
        <f>IFERROR(VLOOKUP("30_"&amp;A365,SyS!$B:$P,12,FALSE()),0)</f>
        <v>0</v>
      </c>
      <c r="BP365" s="47">
        <f>+BN365-BO365</f>
        <v>0</v>
      </c>
      <c r="BQ365" s="45">
        <f>+E365+H365+K365+N365+Q365+T365+W365+Z365+AC365+AF365+AI365+AL365+AO365+AR365+AU365+AX365+BA365+BD365+BG365+BJ365+BM365+BP365</f>
        <v>0</v>
      </c>
    </row>
    <row r="366" ht="11.25" customHeight="1" spans="1:69" x14ac:dyDescent="0.25">
      <c r="A366" s="9">
        <v>429300000</v>
      </c>
      <c r="B366" s="9" t="s">
        <v>399</v>
      </c>
      <c r="C366" s="34">
        <f>IFERROR(VLOOKUP("1_"&amp;A366,SyS!$B:$P,10,FALSE()),0)</f>
        <v>0</v>
      </c>
      <c r="D366" s="35">
        <f>IFERROR(VLOOKUP("1_"&amp;A366,SyS!$B:$P,12,FALSE()),0)</f>
        <v>0</v>
      </c>
      <c r="E366" s="35">
        <f>+C366-D366</f>
        <v>0</v>
      </c>
      <c r="F366" s="34">
        <f>IFERROR(VLOOKUP("2_"&amp;A366,SyS!$B:$P,10,FALSE()),0)</f>
        <v>0</v>
      </c>
      <c r="G366" s="35">
        <f>IFERROR(VLOOKUP("2_"&amp;A366,SyS!$B:$P,12,FALSE()),0)</f>
        <v>0</v>
      </c>
      <c r="H366" s="36">
        <f>+F366-G366</f>
        <v>0</v>
      </c>
      <c r="I366" s="35"/>
      <c r="J366" s="35"/>
      <c r="K366" s="35"/>
      <c r="L366" s="35"/>
      <c r="M366" s="35"/>
      <c r="N366" s="35"/>
      <c r="O366" s="34">
        <f>IFERROR(VLOOKUP("14_"&amp;A366,SyS!$B:$P,10,FALSE()),0)</f>
        <v>0</v>
      </c>
      <c r="P366" s="35">
        <f>IFERROR(VLOOKUP("14_"&amp;A366,SyS!$B:$P,12,FALSE()),0)</f>
        <v>0</v>
      </c>
      <c r="Q366" s="36">
        <f>+O366-P366</f>
        <v>0</v>
      </c>
      <c r="R366" s="34">
        <f>IFERROR(VLOOKUP("15_"&amp;A366,SyS!$B:$P,10,FALSE()),0)</f>
        <v>0</v>
      </c>
      <c r="S366" s="35">
        <f>IFERROR(VLOOKUP("15_"&amp;A366,SyS!$B:$P,12,FALSE()),0)</f>
        <v>0</v>
      </c>
      <c r="T366" s="36">
        <f>+R366-S366</f>
        <v>0</v>
      </c>
      <c r="U366" s="34">
        <f>IFERROR(VLOOKUP("16_"&amp;A366,SyS!$B:$P,10,FALSE()),0)</f>
        <v>0</v>
      </c>
      <c r="V366" s="35">
        <f>IFERROR(VLOOKUP("16_"&amp;A366,SyS!$B:$P,12,FALSE()),0)</f>
        <v>0</v>
      </c>
      <c r="W366" s="36">
        <f>+U366-V366</f>
        <v>0</v>
      </c>
      <c r="X366" s="34">
        <f>IFERROR(VLOOKUP("13_"&amp;A366,SyS!$B:$P,10,FALSE()),0)</f>
        <v>0</v>
      </c>
      <c r="Y366" s="35">
        <f>IFERROR(VLOOKUP("13_"&amp;A366,SyS!$B:$P,12,FALSE()),0)</f>
        <v>0</v>
      </c>
      <c r="Z366" s="36">
        <f>+X366-Y366</f>
        <v>0</v>
      </c>
      <c r="AA366" s="34">
        <f>IFERROR(VLOOKUP("17_"&amp;A366,SyS!$B:$P,10,FALSE()),0)</f>
        <v>0</v>
      </c>
      <c r="AB366" s="35">
        <f>IFERROR(VLOOKUP("17_"&amp;A366,SyS!$B:$P,12,FALSE()),0)</f>
        <v>0</v>
      </c>
      <c r="AC366" s="36">
        <f>+AA366-AB366</f>
        <v>0</v>
      </c>
      <c r="AD366" s="35"/>
      <c r="AE366" s="35"/>
      <c r="AF366" s="35"/>
      <c r="AG366" s="35">
        <f>IFERROR(VLOOKUP("19_"&amp;A366,SyS!$B:$P,10,FALSE()),0)</f>
        <v>0</v>
      </c>
      <c r="AH366" s="35">
        <f>IFERROR(VLOOKUP("19_"&amp;A366,SyS!$B:$P,12,FALSE()),0)</f>
        <v>0</v>
      </c>
      <c r="AI366" s="35">
        <f>+AG366-AH366</f>
        <v>0</v>
      </c>
      <c r="AJ366" s="35"/>
      <c r="AK366" s="35"/>
      <c r="AL366" s="35"/>
      <c r="AM366" s="34">
        <f>IFERROR(VLOOKUP("23_"&amp;A366,SyS!$B:$P,10,FALSE()),0)</f>
        <v>0</v>
      </c>
      <c r="AN366" s="35">
        <f>IFERROR(VLOOKUP("23_"&amp;A366,SyS!$B:$P,12,FALSE()),0)</f>
        <v>0</v>
      </c>
      <c r="AO366" s="36">
        <f>+AM366-AN366</f>
        <v>0</v>
      </c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  <c r="BC366" s="40"/>
      <c r="BD366" s="40"/>
      <c r="BE366" s="40"/>
      <c r="BF366" s="40"/>
      <c r="BG366" s="40"/>
      <c r="BH366" s="40"/>
      <c r="BI366" s="40"/>
      <c r="BJ366" s="40"/>
      <c r="BK366" s="40">
        <f>IFERROR(VLOOKUP("29_"&amp;A366,SyS!$B:$P,10,FALSE()),0)</f>
        <v>0</v>
      </c>
      <c r="BL366" s="40">
        <f>IFERROR(VLOOKUP("29_"&amp;A366,SyS!$B:$P,12,FALSE()),0)</f>
        <v>0</v>
      </c>
      <c r="BM366" s="40">
        <f>+BK366-BL366</f>
        <v>0</v>
      </c>
      <c r="BN366" s="46">
        <f>IFERROR(VLOOKUP("30_"&amp;A366,SyS!$B:$P,10,FALSE()),0)</f>
        <v>0</v>
      </c>
      <c r="BO366" s="40">
        <f>IFERROR(VLOOKUP("30_"&amp;A366,SyS!$B:$P,12,FALSE()),0)</f>
        <v>0</v>
      </c>
      <c r="BP366" s="47">
        <f>+BN366-BO366</f>
        <v>0</v>
      </c>
      <c r="BQ366" s="45">
        <f>+E366+H366+K366+N366+Q366+T366+W366+Z366+AC366+AF366+AI366+AL366+AO366+AR366+AU366+AX366+BA366+BD366+BG366+BJ366+BM366+BP366</f>
        <v>0</v>
      </c>
    </row>
    <row r="367" ht="11.25" customHeight="1" spans="1:69" x14ac:dyDescent="0.25">
      <c r="A367" s="9">
        <v>429400000</v>
      </c>
      <c r="B367" s="9" t="s">
        <v>400</v>
      </c>
      <c r="C367" s="34">
        <f>IFERROR(VLOOKUP("1_"&amp;A367,SyS!$B:$P,10,FALSE()),0)</f>
        <v>0</v>
      </c>
      <c r="D367" s="35">
        <f>IFERROR(VLOOKUP("1_"&amp;A367,SyS!$B:$P,12,FALSE()),0)</f>
        <v>0</v>
      </c>
      <c r="E367" s="35">
        <f>+C367-D367</f>
        <v>0</v>
      </c>
      <c r="F367" s="34">
        <f>IFERROR(VLOOKUP("2_"&amp;A367,SyS!$B:$P,10,FALSE()),0)</f>
        <v>0</v>
      </c>
      <c r="G367" s="35">
        <f>IFERROR(VLOOKUP("2_"&amp;A367,SyS!$B:$P,12,FALSE()),0)</f>
        <v>0</v>
      </c>
      <c r="H367" s="36">
        <f>+F367-G367</f>
        <v>0</v>
      </c>
      <c r="I367" s="35"/>
      <c r="J367" s="35"/>
      <c r="K367" s="35"/>
      <c r="L367" s="35"/>
      <c r="M367" s="35"/>
      <c r="N367" s="35"/>
      <c r="O367" s="34">
        <f>IFERROR(VLOOKUP("14_"&amp;A367,SyS!$B:$P,10,FALSE()),0)</f>
        <v>0</v>
      </c>
      <c r="P367" s="35">
        <f>IFERROR(VLOOKUP("14_"&amp;A367,SyS!$B:$P,12,FALSE()),0)</f>
        <v>0</v>
      </c>
      <c r="Q367" s="36">
        <f>+O367-P367</f>
        <v>0</v>
      </c>
      <c r="R367" s="34">
        <f>IFERROR(VLOOKUP("15_"&amp;A367,SyS!$B:$P,10,FALSE()),0)</f>
        <v>0</v>
      </c>
      <c r="S367" s="35">
        <f>IFERROR(VLOOKUP("15_"&amp;A367,SyS!$B:$P,12,FALSE()),0)</f>
        <v>0</v>
      </c>
      <c r="T367" s="36">
        <f>+R367-S367</f>
        <v>0</v>
      </c>
      <c r="U367" s="34">
        <f>IFERROR(VLOOKUP("16_"&amp;A367,SyS!$B:$P,10,FALSE()),0)</f>
        <v>0</v>
      </c>
      <c r="V367" s="35">
        <f>IFERROR(VLOOKUP("16_"&amp;A367,SyS!$B:$P,12,FALSE()),0)</f>
        <v>0</v>
      </c>
      <c r="W367" s="36">
        <f>+U367-V367</f>
        <v>0</v>
      </c>
      <c r="X367" s="34">
        <f>IFERROR(VLOOKUP("13_"&amp;A367,SyS!$B:$P,10,FALSE()),0)</f>
        <v>0</v>
      </c>
      <c r="Y367" s="35">
        <f>IFERROR(VLOOKUP("13_"&amp;A367,SyS!$B:$P,12,FALSE()),0)</f>
        <v>0</v>
      </c>
      <c r="Z367" s="36">
        <f>+X367-Y367</f>
        <v>0</v>
      </c>
      <c r="AA367" s="34">
        <f>IFERROR(VLOOKUP("17_"&amp;A367,SyS!$B:$P,10,FALSE()),0)</f>
        <v>0</v>
      </c>
      <c r="AB367" s="35">
        <f>IFERROR(VLOOKUP("17_"&amp;A367,SyS!$B:$P,12,FALSE()),0)</f>
        <v>0</v>
      </c>
      <c r="AC367" s="36">
        <f>+AA367-AB367</f>
        <v>0</v>
      </c>
      <c r="AD367" s="35"/>
      <c r="AE367" s="35"/>
      <c r="AF367" s="35"/>
      <c r="AG367" s="35">
        <f>IFERROR(VLOOKUP("19_"&amp;A367,SyS!$B:$P,10,FALSE()),0)</f>
        <v>0</v>
      </c>
      <c r="AH367" s="35">
        <f>IFERROR(VLOOKUP("19_"&amp;A367,SyS!$B:$P,12,FALSE()),0)</f>
        <v>0</v>
      </c>
      <c r="AI367" s="35">
        <f>+AG367-AH367</f>
        <v>0</v>
      </c>
      <c r="AJ367" s="35"/>
      <c r="AK367" s="35"/>
      <c r="AL367" s="35"/>
      <c r="AM367" s="34">
        <f>IFERROR(VLOOKUP("23_"&amp;A367,SyS!$B:$P,10,FALSE()),0)</f>
        <v>0</v>
      </c>
      <c r="AN367" s="35">
        <f>IFERROR(VLOOKUP("23_"&amp;A367,SyS!$B:$P,12,FALSE()),0)</f>
        <v>0</v>
      </c>
      <c r="AO367" s="36">
        <f>+AM367-AN367</f>
        <v>0</v>
      </c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  <c r="BC367" s="40"/>
      <c r="BD367" s="40"/>
      <c r="BE367" s="40"/>
      <c r="BF367" s="40"/>
      <c r="BG367" s="40"/>
      <c r="BH367" s="40"/>
      <c r="BI367" s="40"/>
      <c r="BJ367" s="40"/>
      <c r="BK367" s="40">
        <f>IFERROR(VLOOKUP("29_"&amp;A367,SyS!$B:$P,10,FALSE()),0)</f>
        <v>0</v>
      </c>
      <c r="BL367" s="40">
        <f>IFERROR(VLOOKUP("29_"&amp;A367,SyS!$B:$P,12,FALSE()),0)</f>
        <v>0</v>
      </c>
      <c r="BM367" s="40">
        <f>+BK367-BL367</f>
        <v>0</v>
      </c>
      <c r="BN367" s="46">
        <f>IFERROR(VLOOKUP("30_"&amp;A367,SyS!$B:$P,10,FALSE()),0)</f>
        <v>0</v>
      </c>
      <c r="BO367" s="40">
        <f>IFERROR(VLOOKUP("30_"&amp;A367,SyS!$B:$P,12,FALSE()),0)</f>
        <v>0</v>
      </c>
      <c r="BP367" s="47">
        <f>+BN367-BO367</f>
        <v>0</v>
      </c>
      <c r="BQ367" s="45">
        <f>+E367+H367+K367+N367+Q367+T367+W367+Z367+AC367+AF367+AI367+AL367+AO367+AR367+AU367+AX367+BA367+BD367+BG367+BJ367+BM367+BP367</f>
        <v>0</v>
      </c>
    </row>
    <row r="368" ht="11.25" customHeight="1" spans="1:69" x14ac:dyDescent="0.25">
      <c r="A368" s="9">
        <v>429500000</v>
      </c>
      <c r="B368" s="9" t="s">
        <v>401</v>
      </c>
      <c r="C368" s="34">
        <f>IFERROR(VLOOKUP("1_"&amp;A368,SyS!$B:$P,10,FALSE()),0)</f>
        <v>0</v>
      </c>
      <c r="D368" s="35">
        <f>IFERROR(VLOOKUP("1_"&amp;A368,SyS!$B:$P,12,FALSE()),0)</f>
        <v>0</v>
      </c>
      <c r="E368" s="35">
        <f>+C368-D368</f>
        <v>0</v>
      </c>
      <c r="F368" s="34">
        <f>IFERROR(VLOOKUP("2_"&amp;A368,SyS!$B:$P,10,FALSE()),0)</f>
        <v>0</v>
      </c>
      <c r="G368" s="35">
        <f>IFERROR(VLOOKUP("2_"&amp;A368,SyS!$B:$P,12,FALSE()),0)</f>
        <v>0</v>
      </c>
      <c r="H368" s="36">
        <f>+F368-G368</f>
        <v>0</v>
      </c>
      <c r="I368" s="35"/>
      <c r="J368" s="35"/>
      <c r="K368" s="35"/>
      <c r="L368" s="35"/>
      <c r="M368" s="35"/>
      <c r="N368" s="35"/>
      <c r="O368" s="34">
        <f>IFERROR(VLOOKUP("14_"&amp;A368,SyS!$B:$P,10,FALSE()),0)</f>
        <v>0</v>
      </c>
      <c r="P368" s="35">
        <f>IFERROR(VLOOKUP("14_"&amp;A368,SyS!$B:$P,12,FALSE()),0)</f>
        <v>0</v>
      </c>
      <c r="Q368" s="36">
        <f>+O368-P368</f>
        <v>0</v>
      </c>
      <c r="R368" s="34">
        <f>IFERROR(VLOOKUP("15_"&amp;A368,SyS!$B:$P,10,FALSE()),0)</f>
        <v>0</v>
      </c>
      <c r="S368" s="35">
        <f>IFERROR(VLOOKUP("15_"&amp;A368,SyS!$B:$P,12,FALSE()),0)</f>
        <v>0</v>
      </c>
      <c r="T368" s="36">
        <f>+R368-S368</f>
        <v>0</v>
      </c>
      <c r="U368" s="34">
        <f>IFERROR(VLOOKUP("16_"&amp;A368,SyS!$B:$P,10,FALSE()),0)</f>
        <v>0</v>
      </c>
      <c r="V368" s="35">
        <f>IFERROR(VLOOKUP("16_"&amp;A368,SyS!$B:$P,12,FALSE()),0)</f>
        <v>0</v>
      </c>
      <c r="W368" s="36">
        <f>+U368-V368</f>
        <v>0</v>
      </c>
      <c r="X368" s="34">
        <f>IFERROR(VLOOKUP("13_"&amp;A368,SyS!$B:$P,10,FALSE()),0)</f>
        <v>0</v>
      </c>
      <c r="Y368" s="35">
        <f>IFERROR(VLOOKUP("13_"&amp;A368,SyS!$B:$P,12,FALSE()),0)</f>
        <v>0</v>
      </c>
      <c r="Z368" s="36">
        <f>+X368-Y368</f>
        <v>0</v>
      </c>
      <c r="AA368" s="34">
        <f>IFERROR(VLOOKUP("17_"&amp;A368,SyS!$B:$P,10,FALSE()),0)</f>
        <v>0</v>
      </c>
      <c r="AB368" s="35">
        <f>IFERROR(VLOOKUP("17_"&amp;A368,SyS!$B:$P,12,FALSE()),0)</f>
        <v>0</v>
      </c>
      <c r="AC368" s="36">
        <f>+AA368-AB368</f>
        <v>0</v>
      </c>
      <c r="AD368" s="35"/>
      <c r="AE368" s="35"/>
      <c r="AF368" s="35"/>
      <c r="AG368" s="35">
        <f>IFERROR(VLOOKUP("19_"&amp;A368,SyS!$B:$P,10,FALSE()),0)</f>
        <v>0</v>
      </c>
      <c r="AH368" s="35">
        <f>IFERROR(VLOOKUP("19_"&amp;A368,SyS!$B:$P,12,FALSE()),0)</f>
        <v>0</v>
      </c>
      <c r="AI368" s="35">
        <f>+AG368-AH368</f>
        <v>0</v>
      </c>
      <c r="AJ368" s="35"/>
      <c r="AK368" s="35"/>
      <c r="AL368" s="35"/>
      <c r="AM368" s="34">
        <f>IFERROR(VLOOKUP("23_"&amp;A368,SyS!$B:$P,10,FALSE()),0)</f>
        <v>0</v>
      </c>
      <c r="AN368" s="35">
        <f>IFERROR(VLOOKUP("23_"&amp;A368,SyS!$B:$P,12,FALSE()),0)</f>
        <v>0</v>
      </c>
      <c r="AO368" s="36">
        <f>+AM368-AN368</f>
        <v>0</v>
      </c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  <c r="BC368" s="40"/>
      <c r="BD368" s="40"/>
      <c r="BE368" s="40"/>
      <c r="BF368" s="40"/>
      <c r="BG368" s="40"/>
      <c r="BH368" s="40"/>
      <c r="BI368" s="40"/>
      <c r="BJ368" s="40"/>
      <c r="BK368" s="40">
        <f>IFERROR(VLOOKUP("29_"&amp;A368,SyS!$B:$P,10,FALSE()),0)</f>
        <v>0</v>
      </c>
      <c r="BL368" s="40">
        <f>IFERROR(VLOOKUP("29_"&amp;A368,SyS!$B:$P,12,FALSE()),0)</f>
        <v>0</v>
      </c>
      <c r="BM368" s="40">
        <f>+BK368-BL368</f>
        <v>0</v>
      </c>
      <c r="BN368" s="46">
        <f>IFERROR(VLOOKUP("30_"&amp;A368,SyS!$B:$P,10,FALSE()),0)</f>
        <v>0</v>
      </c>
      <c r="BO368" s="40">
        <f>IFERROR(VLOOKUP("30_"&amp;A368,SyS!$B:$P,12,FALSE()),0)</f>
        <v>0</v>
      </c>
      <c r="BP368" s="47">
        <f>+BN368-BO368</f>
        <v>0</v>
      </c>
      <c r="BQ368" s="45">
        <f>+E368+H368+K368+N368+Q368+T368+W368+Z368+AC368+AF368+AI368+AL368+AO368+AR368+AU368+AX368+BA368+BD368+BG368+BJ368+BM368+BP368</f>
        <v>0</v>
      </c>
    </row>
    <row r="369" ht="11.25" customHeight="1" spans="1:69" x14ac:dyDescent="0.25">
      <c r="A369" s="9">
        <v>429800000</v>
      </c>
      <c r="B369" s="9" t="s">
        <v>402</v>
      </c>
      <c r="C369" s="34">
        <f>IFERROR(VLOOKUP("1_"&amp;A369,SyS!$B:$P,10,FALSE()),0)</f>
        <v>0</v>
      </c>
      <c r="D369" s="35">
        <f>IFERROR(VLOOKUP("1_"&amp;A369,SyS!$B:$P,12,FALSE()),0)</f>
        <v>0</v>
      </c>
      <c r="E369" s="35">
        <f>+C369-D369</f>
        <v>0</v>
      </c>
      <c r="F369" s="34">
        <f>IFERROR(VLOOKUP("2_"&amp;A369,SyS!$B:$P,10,FALSE()),0)</f>
        <v>0</v>
      </c>
      <c r="G369" s="35">
        <f>IFERROR(VLOOKUP("2_"&amp;A369,SyS!$B:$P,12,FALSE()),0)</f>
        <v>0</v>
      </c>
      <c r="H369" s="36">
        <f>+F369-G369</f>
        <v>0</v>
      </c>
      <c r="I369" s="35"/>
      <c r="J369" s="35"/>
      <c r="K369" s="35"/>
      <c r="L369" s="35"/>
      <c r="M369" s="35"/>
      <c r="N369" s="35"/>
      <c r="O369" s="34">
        <f>IFERROR(VLOOKUP("14_"&amp;A369,SyS!$B:$P,10,FALSE()),0)</f>
        <v>0</v>
      </c>
      <c r="P369" s="35">
        <f>IFERROR(VLOOKUP("14_"&amp;A369,SyS!$B:$P,12,FALSE()),0)</f>
        <v>0</v>
      </c>
      <c r="Q369" s="36">
        <f>+O369-P369</f>
        <v>0</v>
      </c>
      <c r="R369" s="34">
        <f>IFERROR(VLOOKUP("15_"&amp;A369,SyS!$B:$P,10,FALSE()),0)</f>
        <v>0</v>
      </c>
      <c r="S369" s="35">
        <f>IFERROR(VLOOKUP("15_"&amp;A369,SyS!$B:$P,12,FALSE()),0)</f>
        <v>0</v>
      </c>
      <c r="T369" s="36">
        <f>+R369-S369</f>
        <v>0</v>
      </c>
      <c r="U369" s="34">
        <f>IFERROR(VLOOKUP("16_"&amp;A369,SyS!$B:$P,10,FALSE()),0)</f>
        <v>0</v>
      </c>
      <c r="V369" s="35">
        <f>IFERROR(VLOOKUP("16_"&amp;A369,SyS!$B:$P,12,FALSE()),0)</f>
        <v>0</v>
      </c>
      <c r="W369" s="36">
        <f>+U369-V369</f>
        <v>0</v>
      </c>
      <c r="X369" s="34">
        <f>IFERROR(VLOOKUP("13_"&amp;A369,SyS!$B:$P,10,FALSE()),0)</f>
        <v>0</v>
      </c>
      <c r="Y369" s="35">
        <f>IFERROR(VLOOKUP("13_"&amp;A369,SyS!$B:$P,12,FALSE()),0)</f>
        <v>0</v>
      </c>
      <c r="Z369" s="36">
        <f>+X369-Y369</f>
        <v>0</v>
      </c>
      <c r="AA369" s="34">
        <f>IFERROR(VLOOKUP("17_"&amp;A369,SyS!$B:$P,10,FALSE()),0)</f>
        <v>0</v>
      </c>
      <c r="AB369" s="35">
        <f>IFERROR(VLOOKUP("17_"&amp;A369,SyS!$B:$P,12,FALSE()),0)</f>
        <v>0</v>
      </c>
      <c r="AC369" s="36">
        <f>+AA369-AB369</f>
        <v>0</v>
      </c>
      <c r="AD369" s="35"/>
      <c r="AE369" s="35"/>
      <c r="AF369" s="35"/>
      <c r="AG369" s="35">
        <f>IFERROR(VLOOKUP("19_"&amp;A369,SyS!$B:$P,10,FALSE()),0)</f>
        <v>0</v>
      </c>
      <c r="AH369" s="35">
        <f>IFERROR(VLOOKUP("19_"&amp;A369,SyS!$B:$P,12,FALSE()),0)</f>
        <v>0</v>
      </c>
      <c r="AI369" s="35">
        <f>+AG369-AH369</f>
        <v>0</v>
      </c>
      <c r="AJ369" s="35"/>
      <c r="AK369" s="35"/>
      <c r="AL369" s="35"/>
      <c r="AM369" s="34">
        <f>IFERROR(VLOOKUP("23_"&amp;A369,SyS!$B:$P,10,FALSE()),0)</f>
        <v>0</v>
      </c>
      <c r="AN369" s="35">
        <f>IFERROR(VLOOKUP("23_"&amp;A369,SyS!$B:$P,12,FALSE()),0)</f>
        <v>0</v>
      </c>
      <c r="AO369" s="36">
        <f>+AM369-AN369</f>
        <v>0</v>
      </c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  <c r="BC369" s="40"/>
      <c r="BD369" s="40"/>
      <c r="BE369" s="40"/>
      <c r="BF369" s="40"/>
      <c r="BG369" s="40"/>
      <c r="BH369" s="40"/>
      <c r="BI369" s="40"/>
      <c r="BJ369" s="40"/>
      <c r="BK369" s="40">
        <f>IFERROR(VLOOKUP("29_"&amp;A369,SyS!$B:$P,10,FALSE()),0)</f>
        <v>0</v>
      </c>
      <c r="BL369" s="40">
        <f>IFERROR(VLOOKUP("29_"&amp;A369,SyS!$B:$P,12,FALSE()),0)</f>
        <v>0</v>
      </c>
      <c r="BM369" s="40">
        <f>+BK369-BL369</f>
        <v>0</v>
      </c>
      <c r="BN369" s="46">
        <f>IFERROR(VLOOKUP("30_"&amp;A369,SyS!$B:$P,10,FALSE()),0)</f>
        <v>0</v>
      </c>
      <c r="BO369" s="40">
        <f>IFERROR(VLOOKUP("30_"&amp;A369,SyS!$B:$P,12,FALSE()),0)</f>
        <v>0</v>
      </c>
      <c r="BP369" s="47">
        <f>+BN369-BO369</f>
        <v>0</v>
      </c>
      <c r="BQ369" s="45">
        <f>+E369+H369+K369+N369+Q369+T369+W369+Z369+AC369+AF369+AI369+AL369+AO369+AR369+AU369+AX369+BA369+BD369+BG369+BJ369+BM369+BP369</f>
        <v>0</v>
      </c>
    </row>
    <row r="370" ht="11.25" customHeight="1" spans="1:69" x14ac:dyDescent="0.25">
      <c r="A370" s="9">
        <v>429700000</v>
      </c>
      <c r="B370" s="9" t="s">
        <v>403</v>
      </c>
      <c r="C370" s="34">
        <f>IFERROR(VLOOKUP("1_"&amp;A370,SyS!$B:$P,10,FALSE()),0)</f>
        <v>0</v>
      </c>
      <c r="D370" s="35">
        <f>IFERROR(VLOOKUP("1_"&amp;A370,SyS!$B:$P,12,FALSE()),0)</f>
        <v>0</v>
      </c>
      <c r="E370" s="35">
        <f>+C370-D370</f>
        <v>0</v>
      </c>
      <c r="F370" s="34">
        <f>IFERROR(VLOOKUP("2_"&amp;A370,SyS!$B:$P,10,FALSE()),0)</f>
        <v>0</v>
      </c>
      <c r="G370" s="35">
        <f>IFERROR(VLOOKUP("2_"&amp;A370,SyS!$B:$P,12,FALSE()),0)</f>
        <v>0</v>
      </c>
      <c r="H370" s="36">
        <f>+F370-G370</f>
        <v>0</v>
      </c>
      <c r="I370" s="35"/>
      <c r="J370" s="35"/>
      <c r="K370" s="35"/>
      <c r="L370" s="35"/>
      <c r="M370" s="35"/>
      <c r="N370" s="35"/>
      <c r="O370" s="34">
        <f>IFERROR(VLOOKUP("14_"&amp;A370,SyS!$B:$P,10,FALSE()),0)</f>
        <v>0</v>
      </c>
      <c r="P370" s="35">
        <f>IFERROR(VLOOKUP("14_"&amp;A370,SyS!$B:$P,12,FALSE()),0)</f>
        <v>0</v>
      </c>
      <c r="Q370" s="36">
        <f>+O370-P370</f>
        <v>0</v>
      </c>
      <c r="R370" s="34">
        <f>IFERROR(VLOOKUP("15_"&amp;A370,SyS!$B:$P,10,FALSE()),0)</f>
        <v>0</v>
      </c>
      <c r="S370" s="35">
        <f>IFERROR(VLOOKUP("15_"&amp;A370,SyS!$B:$P,12,FALSE()),0)</f>
        <v>0</v>
      </c>
      <c r="T370" s="36">
        <f>+R370-S370</f>
        <v>0</v>
      </c>
      <c r="U370" s="34">
        <f>IFERROR(VLOOKUP("16_"&amp;A370,SyS!$B:$P,10,FALSE()),0)</f>
        <v>0</v>
      </c>
      <c r="V370" s="35">
        <f>IFERROR(VLOOKUP("16_"&amp;A370,SyS!$B:$P,12,FALSE()),0)</f>
        <v>0</v>
      </c>
      <c r="W370" s="36">
        <f>+U370-V370</f>
        <v>0</v>
      </c>
      <c r="X370" s="34">
        <f>IFERROR(VLOOKUP("13_"&amp;A370,SyS!$B:$P,10,FALSE()),0)</f>
        <v>0</v>
      </c>
      <c r="Y370" s="35">
        <f>IFERROR(VLOOKUP("13_"&amp;A370,SyS!$B:$P,12,FALSE()),0)</f>
        <v>0</v>
      </c>
      <c r="Z370" s="36">
        <f>+X370-Y370</f>
        <v>0</v>
      </c>
      <c r="AA370" s="34">
        <f>IFERROR(VLOOKUP("17_"&amp;A370,SyS!$B:$P,10,FALSE()),0)</f>
        <v>0</v>
      </c>
      <c r="AB370" s="35">
        <f>IFERROR(VLOOKUP("17_"&amp;A370,SyS!$B:$P,12,FALSE()),0)</f>
        <v>0</v>
      </c>
      <c r="AC370" s="36">
        <f>+AA370-AB370</f>
        <v>0</v>
      </c>
      <c r="AD370" s="35"/>
      <c r="AE370" s="35"/>
      <c r="AF370" s="35"/>
      <c r="AG370" s="35">
        <f>IFERROR(VLOOKUP("19_"&amp;A370,SyS!$B:$P,10,FALSE()),0)</f>
        <v>0</v>
      </c>
      <c r="AH370" s="35">
        <f>IFERROR(VLOOKUP("19_"&amp;A370,SyS!$B:$P,12,FALSE()),0)</f>
        <v>0</v>
      </c>
      <c r="AI370" s="35">
        <f>+AG370-AH370</f>
        <v>0</v>
      </c>
      <c r="AJ370" s="35"/>
      <c r="AK370" s="35"/>
      <c r="AL370" s="35"/>
      <c r="AM370" s="34">
        <f>IFERROR(VLOOKUP("23_"&amp;A370,SyS!$B:$P,10,FALSE()),0)</f>
        <v>0</v>
      </c>
      <c r="AN370" s="35">
        <f>IFERROR(VLOOKUP("23_"&amp;A370,SyS!$B:$P,12,FALSE()),0)</f>
        <v>0</v>
      </c>
      <c r="AO370" s="36">
        <f>+AM370-AN370</f>
        <v>0</v>
      </c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  <c r="BC370" s="40"/>
      <c r="BD370" s="40"/>
      <c r="BE370" s="40"/>
      <c r="BF370" s="40"/>
      <c r="BG370" s="40"/>
      <c r="BH370" s="40"/>
      <c r="BI370" s="40"/>
      <c r="BJ370" s="40"/>
      <c r="BK370" s="40">
        <f>IFERROR(VLOOKUP("29_"&amp;A370,SyS!$B:$P,10,FALSE()),0)</f>
        <v>0</v>
      </c>
      <c r="BL370" s="40">
        <f>IFERROR(VLOOKUP("29_"&amp;A370,SyS!$B:$P,12,FALSE()),0)</f>
        <v>0</v>
      </c>
      <c r="BM370" s="40">
        <f>+BK370-BL370</f>
        <v>0</v>
      </c>
      <c r="BN370" s="46">
        <f>IFERROR(VLOOKUP("30_"&amp;A370,SyS!$B:$P,10,FALSE()),0)</f>
        <v>0</v>
      </c>
      <c r="BO370" s="40">
        <f>IFERROR(VLOOKUP("30_"&amp;A370,SyS!$B:$P,12,FALSE()),0)</f>
        <v>0</v>
      </c>
      <c r="BP370" s="47">
        <f>+BN370-BO370</f>
        <v>0</v>
      </c>
      <c r="BQ370" s="45">
        <f>+E370+H370+K370+N370+Q370+T370+W370+Z370+AC370+AF370+AI370+AL370+AO370+AR370+AU370+AX370+BA370+BD370+BG370+BJ370+BM370+BP370</f>
        <v>0</v>
      </c>
    </row>
    <row r="371" ht="11.25" customHeight="1" spans="1:69" x14ac:dyDescent="0.25">
      <c r="A371" s="9">
        <v>429900000</v>
      </c>
      <c r="B371" s="9" t="s">
        <v>404</v>
      </c>
      <c r="C371" s="34">
        <f>IFERROR(VLOOKUP("1_"&amp;A371,SyS!$B:$P,10,FALSE()),0)</f>
        <v>0</v>
      </c>
      <c r="D371" s="35">
        <f>IFERROR(VLOOKUP("1_"&amp;A371,SyS!$B:$P,12,FALSE()),0)</f>
        <v>0</v>
      </c>
      <c r="E371" s="35">
        <f>+C371-D371</f>
        <v>0</v>
      </c>
      <c r="F371" s="34">
        <f>IFERROR(VLOOKUP("2_"&amp;A371,SyS!$B:$P,10,FALSE()),0)</f>
        <v>0</v>
      </c>
      <c r="G371" s="35">
        <f>IFERROR(VLOOKUP("2_"&amp;A371,SyS!$B:$P,12,FALSE()),0)</f>
        <v>0</v>
      </c>
      <c r="H371" s="36">
        <f>+F371-G371</f>
        <v>0</v>
      </c>
      <c r="I371" s="35"/>
      <c r="J371" s="35"/>
      <c r="K371" s="35"/>
      <c r="L371" s="35"/>
      <c r="M371" s="35"/>
      <c r="N371" s="35"/>
      <c r="O371" s="34">
        <f>IFERROR(VLOOKUP("14_"&amp;A371,SyS!$B:$P,10,FALSE()),0)</f>
        <v>0</v>
      </c>
      <c r="P371" s="35">
        <f>IFERROR(VLOOKUP("14_"&amp;A371,SyS!$B:$P,12,FALSE()),0)</f>
        <v>0</v>
      </c>
      <c r="Q371" s="36">
        <f>+O371-P371</f>
        <v>0</v>
      </c>
      <c r="R371" s="34">
        <f>IFERROR(VLOOKUP("15_"&amp;A371,SyS!$B:$P,10,FALSE()),0)</f>
        <v>0</v>
      </c>
      <c r="S371" s="35">
        <f>IFERROR(VLOOKUP("15_"&amp;A371,SyS!$B:$P,12,FALSE()),0)</f>
        <v>0</v>
      </c>
      <c r="T371" s="36">
        <f>+R371-S371</f>
        <v>0</v>
      </c>
      <c r="U371" s="34">
        <f>IFERROR(VLOOKUP("16_"&amp;A371,SyS!$B:$P,10,FALSE()),0)</f>
        <v>0</v>
      </c>
      <c r="V371" s="35">
        <f>IFERROR(VLOOKUP("16_"&amp;A371,SyS!$B:$P,12,FALSE()),0)</f>
        <v>0</v>
      </c>
      <c r="W371" s="36">
        <f>+U371-V371</f>
        <v>0</v>
      </c>
      <c r="X371" s="34">
        <f>IFERROR(VLOOKUP("13_"&amp;A371,SyS!$B:$P,10,FALSE()),0)</f>
        <v>0</v>
      </c>
      <c r="Y371" s="35">
        <f>IFERROR(VLOOKUP("13_"&amp;A371,SyS!$B:$P,12,FALSE()),0)</f>
        <v>0</v>
      </c>
      <c r="Z371" s="36">
        <f>+X371-Y371</f>
        <v>0</v>
      </c>
      <c r="AA371" s="34">
        <f>IFERROR(VLOOKUP("17_"&amp;A371,SyS!$B:$P,10,FALSE()),0)</f>
        <v>0</v>
      </c>
      <c r="AB371" s="35">
        <f>IFERROR(VLOOKUP("17_"&amp;A371,SyS!$B:$P,12,FALSE()),0)</f>
        <v>0</v>
      </c>
      <c r="AC371" s="36">
        <f>+AA371-AB371</f>
        <v>0</v>
      </c>
      <c r="AD371" s="35"/>
      <c r="AE371" s="35"/>
      <c r="AF371" s="35"/>
      <c r="AG371" s="35">
        <f>IFERROR(VLOOKUP("19_"&amp;A371,SyS!$B:$P,10,FALSE()),0)</f>
        <v>0</v>
      </c>
      <c r="AH371" s="35">
        <f>IFERROR(VLOOKUP("19_"&amp;A371,SyS!$B:$P,12,FALSE()),0)</f>
        <v>0</v>
      </c>
      <c r="AI371" s="35">
        <f>+AG371-AH371</f>
        <v>0</v>
      </c>
      <c r="AJ371" s="35"/>
      <c r="AK371" s="35"/>
      <c r="AL371" s="35"/>
      <c r="AM371" s="34">
        <f>IFERROR(VLOOKUP("23_"&amp;A371,SyS!$B:$P,10,FALSE()),0)</f>
        <v>0</v>
      </c>
      <c r="AN371" s="35">
        <f>IFERROR(VLOOKUP("23_"&amp;A371,SyS!$B:$P,12,FALSE()),0)</f>
        <v>0</v>
      </c>
      <c r="AO371" s="36">
        <f>+AM371-AN371</f>
        <v>0</v>
      </c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  <c r="BC371" s="40"/>
      <c r="BD371" s="40"/>
      <c r="BE371" s="40"/>
      <c r="BF371" s="40"/>
      <c r="BG371" s="40"/>
      <c r="BH371" s="40"/>
      <c r="BI371" s="40"/>
      <c r="BJ371" s="40"/>
      <c r="BK371" s="40">
        <f>IFERROR(VLOOKUP("29_"&amp;A371,SyS!$B:$P,10,FALSE()),0)</f>
        <v>0</v>
      </c>
      <c r="BL371" s="40">
        <f>IFERROR(VLOOKUP("29_"&amp;A371,SyS!$B:$P,12,FALSE()),0)</f>
        <v>0</v>
      </c>
      <c r="BM371" s="40">
        <f>+BK371-BL371</f>
        <v>0</v>
      </c>
      <c r="BN371" s="46">
        <f>IFERROR(VLOOKUP("30_"&amp;A371,SyS!$B:$P,10,FALSE()),0)</f>
        <v>0</v>
      </c>
      <c r="BO371" s="40">
        <f>IFERROR(VLOOKUP("30_"&amp;A371,SyS!$B:$P,12,FALSE()),0)</f>
        <v>0</v>
      </c>
      <c r="BP371" s="47">
        <f>+BN371-BO371</f>
        <v>0</v>
      </c>
      <c r="BQ371" s="45">
        <f>+E371+H371+K371+N371+Q371+T371+W371+Z371+AC371+AF371+AI371+AL371+AO371+AR371+AU371+AX371+BA371+BD371+BG371+BJ371+BM371+BP371</f>
        <v>0</v>
      </c>
    </row>
    <row r="372" ht="11.25" customHeight="1" spans="1:69" x14ac:dyDescent="0.25">
      <c r="A372" s="9">
        <v>429910000</v>
      </c>
      <c r="B372" s="9" t="s">
        <v>405</v>
      </c>
      <c r="C372" s="34">
        <f>IFERROR(VLOOKUP("1_"&amp;A372,SyS!$B:$P,10,FALSE()),0)</f>
        <v>0</v>
      </c>
      <c r="D372" s="35">
        <f>IFERROR(VLOOKUP("1_"&amp;A372,SyS!$B:$P,12,FALSE()),0)</f>
        <v>0</v>
      </c>
      <c r="E372" s="35">
        <f>+C372-D372</f>
        <v>0</v>
      </c>
      <c r="F372" s="34">
        <f>IFERROR(VLOOKUP("2_"&amp;A372,SyS!$B:$P,10,FALSE()),0)</f>
        <v>0</v>
      </c>
      <c r="G372" s="35">
        <f>IFERROR(VLOOKUP("2_"&amp;A372,SyS!$B:$P,12,FALSE()),0)</f>
        <v>0</v>
      </c>
      <c r="H372" s="36">
        <f>+F372-G372</f>
        <v>0</v>
      </c>
      <c r="I372" s="35"/>
      <c r="J372" s="35"/>
      <c r="K372" s="35"/>
      <c r="L372" s="35"/>
      <c r="M372" s="35"/>
      <c r="N372" s="35"/>
      <c r="O372" s="34">
        <f>IFERROR(VLOOKUP("14_"&amp;A372,SyS!$B:$P,10,FALSE()),0)</f>
        <v>0</v>
      </c>
      <c r="P372" s="35">
        <f>IFERROR(VLOOKUP("14_"&amp;A372,SyS!$B:$P,12,FALSE()),0)</f>
        <v>0</v>
      </c>
      <c r="Q372" s="36">
        <f>+O372-P372</f>
        <v>0</v>
      </c>
      <c r="R372" s="34">
        <f>IFERROR(VLOOKUP("15_"&amp;A372,SyS!$B:$P,10,FALSE()),0)</f>
        <v>0</v>
      </c>
      <c r="S372" s="35">
        <f>IFERROR(VLOOKUP("15_"&amp;A372,SyS!$B:$P,12,FALSE()),0)</f>
        <v>0</v>
      </c>
      <c r="T372" s="36">
        <f>+R372-S372</f>
        <v>0</v>
      </c>
      <c r="U372" s="34">
        <f>IFERROR(VLOOKUP("16_"&amp;A372,SyS!$B:$P,10,FALSE()),0)</f>
        <v>0</v>
      </c>
      <c r="V372" s="35">
        <f>IFERROR(VLOOKUP("16_"&amp;A372,SyS!$B:$P,12,FALSE()),0)</f>
        <v>0</v>
      </c>
      <c r="W372" s="36">
        <f>+U372-V372</f>
        <v>0</v>
      </c>
      <c r="X372" s="34">
        <f>IFERROR(VLOOKUP("13_"&amp;A372,SyS!$B:$P,10,FALSE()),0)</f>
        <v>0</v>
      </c>
      <c r="Y372" s="35">
        <f>IFERROR(VLOOKUP("13_"&amp;A372,SyS!$B:$P,12,FALSE()),0)</f>
        <v>0</v>
      </c>
      <c r="Z372" s="36">
        <f>+X372-Y372</f>
        <v>0</v>
      </c>
      <c r="AA372" s="34">
        <f>IFERROR(VLOOKUP("17_"&amp;A372,SyS!$B:$P,10,FALSE()),0)</f>
        <v>0</v>
      </c>
      <c r="AB372" s="35">
        <f>IFERROR(VLOOKUP("17_"&amp;A372,SyS!$B:$P,12,FALSE()),0)</f>
        <v>0</v>
      </c>
      <c r="AC372" s="36">
        <f>+AA372-AB372</f>
        <v>0</v>
      </c>
      <c r="AD372" s="35"/>
      <c r="AE372" s="35"/>
      <c r="AF372" s="35"/>
      <c r="AG372" s="35">
        <f>IFERROR(VLOOKUP("19_"&amp;A372,SyS!$B:$P,10,FALSE()),0)</f>
        <v>0</v>
      </c>
      <c r="AH372" s="35">
        <f>IFERROR(VLOOKUP("19_"&amp;A372,SyS!$B:$P,12,FALSE()),0)</f>
        <v>0</v>
      </c>
      <c r="AI372" s="35">
        <f>+AG372-AH372</f>
        <v>0</v>
      </c>
      <c r="AJ372" s="35"/>
      <c r="AK372" s="35"/>
      <c r="AL372" s="35"/>
      <c r="AM372" s="34">
        <f>IFERROR(VLOOKUP("23_"&amp;A372,SyS!$B:$P,10,FALSE()),0)</f>
        <v>0</v>
      </c>
      <c r="AN372" s="35">
        <f>IFERROR(VLOOKUP("23_"&amp;A372,SyS!$B:$P,12,FALSE()),0)</f>
        <v>0</v>
      </c>
      <c r="AO372" s="36">
        <f>+AM372-AN372</f>
        <v>0</v>
      </c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  <c r="BB372" s="40"/>
      <c r="BC372" s="40"/>
      <c r="BD372" s="40"/>
      <c r="BE372" s="40"/>
      <c r="BF372" s="40"/>
      <c r="BG372" s="40"/>
      <c r="BH372" s="40"/>
      <c r="BI372" s="40"/>
      <c r="BJ372" s="40"/>
      <c r="BK372" s="40">
        <f>IFERROR(VLOOKUP("29_"&amp;A372,SyS!$B:$P,10,FALSE()),0)</f>
        <v>0</v>
      </c>
      <c r="BL372" s="40">
        <f>IFERROR(VLOOKUP("29_"&amp;A372,SyS!$B:$P,12,FALSE()),0)</f>
        <v>0</v>
      </c>
      <c r="BM372" s="40">
        <f>+BK372-BL372</f>
        <v>0</v>
      </c>
      <c r="BN372" s="46">
        <f>IFERROR(VLOOKUP("30_"&amp;A372,SyS!$B:$P,10,FALSE()),0)</f>
        <v>0</v>
      </c>
      <c r="BO372" s="40">
        <f>IFERROR(VLOOKUP("30_"&amp;A372,SyS!$B:$P,12,FALSE()),0)</f>
        <v>0</v>
      </c>
      <c r="BP372" s="47">
        <f>+BN372-BO372</f>
        <v>0</v>
      </c>
      <c r="BQ372" s="45">
        <f>+E372+H372+K372+N372+Q372+T372+W372+Z372+AC372+AF372+AI372+AL372+AO372+AR372+AU372+AX372+BA372+BD372+BG372+BJ372+BM372+BP372</f>
        <v>0</v>
      </c>
    </row>
    <row r="373" ht="11.25" customHeight="1" spans="1:69" x14ac:dyDescent="0.25">
      <c r="A373" s="9">
        <v>429920000</v>
      </c>
      <c r="B373" s="9" t="s">
        <v>406</v>
      </c>
      <c r="C373" s="34">
        <f>IFERROR(VLOOKUP("1_"&amp;A373,SyS!$B:$P,10,FALSE()),0)</f>
        <v>0</v>
      </c>
      <c r="D373" s="35">
        <f>IFERROR(VLOOKUP("1_"&amp;A373,SyS!$B:$P,12,FALSE()),0)</f>
        <v>0</v>
      </c>
      <c r="E373" s="35">
        <f>+C373-D373</f>
        <v>0</v>
      </c>
      <c r="F373" s="34">
        <f>IFERROR(VLOOKUP("2_"&amp;A373,SyS!$B:$P,10,FALSE()),0)</f>
        <v>0</v>
      </c>
      <c r="G373" s="35">
        <f>IFERROR(VLOOKUP("2_"&amp;A373,SyS!$B:$P,12,FALSE()),0)</f>
        <v>0</v>
      </c>
      <c r="H373" s="36">
        <f>+F373-G373</f>
        <v>0</v>
      </c>
      <c r="I373" s="35"/>
      <c r="J373" s="35"/>
      <c r="K373" s="35"/>
      <c r="L373" s="35"/>
      <c r="M373" s="35"/>
      <c r="N373" s="35"/>
      <c r="O373" s="34">
        <f>IFERROR(VLOOKUP("14_"&amp;A373,SyS!$B:$P,10,FALSE()),0)</f>
        <v>0</v>
      </c>
      <c r="P373" s="35">
        <f>IFERROR(VLOOKUP("14_"&amp;A373,SyS!$B:$P,12,FALSE()),0)</f>
        <v>0</v>
      </c>
      <c r="Q373" s="36">
        <f>+O373-P373</f>
        <v>0</v>
      </c>
      <c r="R373" s="34">
        <f>IFERROR(VLOOKUP("15_"&amp;A373,SyS!$B:$P,10,FALSE()),0)</f>
        <v>0</v>
      </c>
      <c r="S373" s="35">
        <f>IFERROR(VLOOKUP("15_"&amp;A373,SyS!$B:$P,12,FALSE()),0)</f>
        <v>0</v>
      </c>
      <c r="T373" s="36">
        <f>+R373-S373</f>
        <v>0</v>
      </c>
      <c r="U373" s="34">
        <f>IFERROR(VLOOKUP("16_"&amp;A373,SyS!$B:$P,10,FALSE()),0)</f>
        <v>0</v>
      </c>
      <c r="V373" s="35">
        <f>IFERROR(VLOOKUP("16_"&amp;A373,SyS!$B:$P,12,FALSE()),0)</f>
        <v>0</v>
      </c>
      <c r="W373" s="36">
        <f>+U373-V373</f>
        <v>0</v>
      </c>
      <c r="X373" s="34">
        <f>IFERROR(VLOOKUP("13_"&amp;A373,SyS!$B:$P,10,FALSE()),0)</f>
        <v>0</v>
      </c>
      <c r="Y373" s="35">
        <f>IFERROR(VLOOKUP("13_"&amp;A373,SyS!$B:$P,12,FALSE()),0)</f>
        <v>0</v>
      </c>
      <c r="Z373" s="36">
        <f>+X373-Y373</f>
        <v>0</v>
      </c>
      <c r="AA373" s="34">
        <f>IFERROR(VLOOKUP("17_"&amp;A373,SyS!$B:$P,10,FALSE()),0)</f>
        <v>0</v>
      </c>
      <c r="AB373" s="35">
        <f>IFERROR(VLOOKUP("17_"&amp;A373,SyS!$B:$P,12,FALSE()),0)</f>
        <v>0</v>
      </c>
      <c r="AC373" s="36">
        <f>+AA373-AB373</f>
        <v>0</v>
      </c>
      <c r="AD373" s="35"/>
      <c r="AE373" s="35"/>
      <c r="AF373" s="35"/>
      <c r="AG373" s="35">
        <f>IFERROR(VLOOKUP("19_"&amp;A373,SyS!$B:$P,10,FALSE()),0)</f>
        <v>0</v>
      </c>
      <c r="AH373" s="35">
        <f>IFERROR(VLOOKUP("19_"&amp;A373,SyS!$B:$P,12,FALSE()),0)</f>
        <v>0</v>
      </c>
      <c r="AI373" s="35">
        <f>+AG373-AH373</f>
        <v>0</v>
      </c>
      <c r="AJ373" s="35"/>
      <c r="AK373" s="35"/>
      <c r="AL373" s="35"/>
      <c r="AM373" s="34">
        <f>IFERROR(VLOOKUP("23_"&amp;A373,SyS!$B:$P,10,FALSE()),0)</f>
        <v>0</v>
      </c>
      <c r="AN373" s="35">
        <f>IFERROR(VLOOKUP("23_"&amp;A373,SyS!$B:$P,12,FALSE()),0)</f>
        <v>0</v>
      </c>
      <c r="AO373" s="36">
        <f>+AM373-AN373</f>
        <v>0</v>
      </c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  <c r="BB373" s="40"/>
      <c r="BC373" s="40"/>
      <c r="BD373" s="40"/>
      <c r="BE373" s="40"/>
      <c r="BF373" s="40"/>
      <c r="BG373" s="40"/>
      <c r="BH373" s="40"/>
      <c r="BI373" s="40"/>
      <c r="BJ373" s="40"/>
      <c r="BK373" s="40">
        <f>IFERROR(VLOOKUP("29_"&amp;A373,SyS!$B:$P,10,FALSE()),0)</f>
        <v>0</v>
      </c>
      <c r="BL373" s="40">
        <f>IFERROR(VLOOKUP("29_"&amp;A373,SyS!$B:$P,12,FALSE()),0)</f>
        <v>0</v>
      </c>
      <c r="BM373" s="40">
        <f>+BK373-BL373</f>
        <v>0</v>
      </c>
      <c r="BN373" s="46">
        <f>IFERROR(VLOOKUP("30_"&amp;A373,SyS!$B:$P,10,FALSE()),0)</f>
        <v>0</v>
      </c>
      <c r="BO373" s="40">
        <f>IFERROR(VLOOKUP("30_"&amp;A373,SyS!$B:$P,12,FALSE()),0)</f>
        <v>0</v>
      </c>
      <c r="BP373" s="47">
        <f>+BN373-BO373</f>
        <v>0</v>
      </c>
      <c r="BQ373" s="45">
        <f>+E373+H373+K373+N373+Q373+T373+W373+Z373+AC373+AF373+AI373+AL373+AO373+AR373+AU373+AX373+BA373+BD373+BG373+BJ373+BM373+BP373</f>
        <v>0</v>
      </c>
    </row>
    <row r="374" ht="11.25" customHeight="1" spans="1:69" x14ac:dyDescent="0.25">
      <c r="A374" s="9">
        <v>429210000</v>
      </c>
      <c r="B374" s="9" t="s">
        <v>407</v>
      </c>
      <c r="C374" s="34">
        <f>IFERROR(VLOOKUP("1_"&amp;A374,SyS!$B:$P,10,FALSE()),0)</f>
        <v>0</v>
      </c>
      <c r="D374" s="35">
        <f>IFERROR(VLOOKUP("1_"&amp;A374,SyS!$B:$P,12,FALSE()),0)</f>
        <v>0</v>
      </c>
      <c r="E374" s="35">
        <f>+C374-D374</f>
        <v>0</v>
      </c>
      <c r="F374" s="34">
        <f>IFERROR(VLOOKUP("2_"&amp;A374,SyS!$B:$P,10,FALSE()),0)</f>
        <v>0</v>
      </c>
      <c r="G374" s="35">
        <f>IFERROR(VLOOKUP("2_"&amp;A374,SyS!$B:$P,12,FALSE()),0)</f>
        <v>0</v>
      </c>
      <c r="H374" s="36">
        <f>+F374-G374</f>
        <v>0</v>
      </c>
      <c r="I374" s="35"/>
      <c r="J374" s="35"/>
      <c r="K374" s="35"/>
      <c r="L374" s="35"/>
      <c r="M374" s="35"/>
      <c r="N374" s="35"/>
      <c r="O374" s="34">
        <f>IFERROR(VLOOKUP("14_"&amp;A374,SyS!$B:$P,10,FALSE()),0)</f>
        <v>0</v>
      </c>
      <c r="P374" s="35">
        <f>IFERROR(VLOOKUP("14_"&amp;A374,SyS!$B:$P,12,FALSE()),0)</f>
        <v>0</v>
      </c>
      <c r="Q374" s="36">
        <f>+O374-P374</f>
        <v>0</v>
      </c>
      <c r="R374" s="34">
        <f>IFERROR(VLOOKUP("15_"&amp;A374,SyS!$B:$P,10,FALSE()),0)</f>
        <v>0</v>
      </c>
      <c r="S374" s="35">
        <f>IFERROR(VLOOKUP("15_"&amp;A374,SyS!$B:$P,12,FALSE()),0)</f>
        <v>0</v>
      </c>
      <c r="T374" s="36">
        <f>+R374-S374</f>
        <v>0</v>
      </c>
      <c r="U374" s="34">
        <f>IFERROR(VLOOKUP("16_"&amp;A374,SyS!$B:$P,10,FALSE()),0)</f>
        <v>0</v>
      </c>
      <c r="V374" s="35">
        <f>IFERROR(VLOOKUP("16_"&amp;A374,SyS!$B:$P,12,FALSE()),0)</f>
        <v>0</v>
      </c>
      <c r="W374" s="36">
        <f>+U374-V374</f>
        <v>0</v>
      </c>
      <c r="X374" s="34">
        <f>IFERROR(VLOOKUP("13_"&amp;A374,SyS!$B:$P,10,FALSE()),0)</f>
        <v>0</v>
      </c>
      <c r="Y374" s="35">
        <f>IFERROR(VLOOKUP("13_"&amp;A374,SyS!$B:$P,12,FALSE()),0)</f>
        <v>0</v>
      </c>
      <c r="Z374" s="36">
        <f>+X374-Y374</f>
        <v>0</v>
      </c>
      <c r="AA374" s="34">
        <f>IFERROR(VLOOKUP("17_"&amp;A374,SyS!$B:$P,10,FALSE()),0)</f>
        <v>0</v>
      </c>
      <c r="AB374" s="35">
        <f>IFERROR(VLOOKUP("17_"&amp;A374,SyS!$B:$P,12,FALSE()),0)</f>
        <v>0</v>
      </c>
      <c r="AC374" s="36">
        <f>+AA374-AB374</f>
        <v>0</v>
      </c>
      <c r="AD374" s="35"/>
      <c r="AE374" s="35"/>
      <c r="AF374" s="35"/>
      <c r="AG374" s="35">
        <f>IFERROR(VLOOKUP("19_"&amp;A374,SyS!$B:$P,10,FALSE()),0)</f>
        <v>0</v>
      </c>
      <c r="AH374" s="35">
        <f>IFERROR(VLOOKUP("19_"&amp;A374,SyS!$B:$P,12,FALSE()),0)</f>
        <v>0</v>
      </c>
      <c r="AI374" s="35">
        <f>+AG374-AH374</f>
        <v>0</v>
      </c>
      <c r="AJ374" s="35"/>
      <c r="AK374" s="35"/>
      <c r="AL374" s="35"/>
      <c r="AM374" s="34">
        <f>IFERROR(VLOOKUP("23_"&amp;A374,SyS!$B:$P,10,FALSE()),0)</f>
        <v>0</v>
      </c>
      <c r="AN374" s="35">
        <f>IFERROR(VLOOKUP("23_"&amp;A374,SyS!$B:$P,12,FALSE()),0)</f>
        <v>0</v>
      </c>
      <c r="AO374" s="36">
        <f>+AM374-AN374</f>
        <v>0</v>
      </c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  <c r="BB374" s="40"/>
      <c r="BC374" s="40"/>
      <c r="BD374" s="40"/>
      <c r="BE374" s="40"/>
      <c r="BF374" s="40"/>
      <c r="BG374" s="40"/>
      <c r="BH374" s="40"/>
      <c r="BI374" s="40"/>
      <c r="BJ374" s="40"/>
      <c r="BK374" s="40">
        <f>IFERROR(VLOOKUP("29_"&amp;A374,SyS!$B:$P,10,FALSE()),0)</f>
        <v>0</v>
      </c>
      <c r="BL374" s="40">
        <f>IFERROR(VLOOKUP("29_"&amp;A374,SyS!$B:$P,12,FALSE()),0)</f>
        <v>0</v>
      </c>
      <c r="BM374" s="40">
        <f>+BK374-BL374</f>
        <v>0</v>
      </c>
      <c r="BN374" s="46">
        <f>IFERROR(VLOOKUP("30_"&amp;A374,SyS!$B:$P,10,FALSE()),0)</f>
        <v>0</v>
      </c>
      <c r="BO374" s="40">
        <f>IFERROR(VLOOKUP("30_"&amp;A374,SyS!$B:$P,12,FALSE()),0)</f>
        <v>0</v>
      </c>
      <c r="BP374" s="47">
        <f>+BN374-BO374</f>
        <v>0</v>
      </c>
      <c r="BQ374" s="45">
        <f>+E374+H374+K374+N374+Q374+T374+W374+Z374+AC374+AF374+AI374+AL374+AO374+AR374+AU374+AX374+BA374+BD374+BG374+BJ374+BM374+BP374</f>
        <v>0</v>
      </c>
    </row>
    <row r="375" ht="11.25" customHeight="1" spans="1:69" x14ac:dyDescent="0.25">
      <c r="A375" s="9">
        <v>429220000</v>
      </c>
      <c r="B375" s="9" t="s">
        <v>408</v>
      </c>
      <c r="C375" s="34">
        <f>IFERROR(VLOOKUP("1_"&amp;A375,SyS!$B:$P,10,FALSE()),0)</f>
        <v>0</v>
      </c>
      <c r="D375" s="35">
        <f>IFERROR(VLOOKUP("1_"&amp;A375,SyS!$B:$P,12,FALSE()),0)</f>
        <v>0</v>
      </c>
      <c r="E375" s="35">
        <f>+C375-D375</f>
        <v>0</v>
      </c>
      <c r="F375" s="34">
        <f>IFERROR(VLOOKUP("2_"&amp;A375,SyS!$B:$P,10,FALSE()),0)</f>
        <v>0</v>
      </c>
      <c r="G375" s="35">
        <f>IFERROR(VLOOKUP("2_"&amp;A375,SyS!$B:$P,12,FALSE()),0)</f>
        <v>0</v>
      </c>
      <c r="H375" s="36">
        <f>+F375-G375</f>
        <v>0</v>
      </c>
      <c r="I375" s="35"/>
      <c r="J375" s="35"/>
      <c r="K375" s="35"/>
      <c r="L375" s="35"/>
      <c r="M375" s="35"/>
      <c r="N375" s="35"/>
      <c r="O375" s="34">
        <f>IFERROR(VLOOKUP("14_"&amp;A375,SyS!$B:$P,10,FALSE()),0)</f>
        <v>0</v>
      </c>
      <c r="P375" s="35">
        <f>IFERROR(VLOOKUP("14_"&amp;A375,SyS!$B:$P,12,FALSE()),0)</f>
        <v>0</v>
      </c>
      <c r="Q375" s="36">
        <f>+O375-P375</f>
        <v>0</v>
      </c>
      <c r="R375" s="34">
        <f>IFERROR(VLOOKUP("15_"&amp;A375,SyS!$B:$P,10,FALSE()),0)</f>
        <v>0</v>
      </c>
      <c r="S375" s="35">
        <f>IFERROR(VLOOKUP("15_"&amp;A375,SyS!$B:$P,12,FALSE()),0)</f>
        <v>0</v>
      </c>
      <c r="T375" s="36">
        <f>+R375-S375</f>
        <v>0</v>
      </c>
      <c r="U375" s="34">
        <f>IFERROR(VLOOKUP("16_"&amp;A375,SyS!$B:$P,10,FALSE()),0)</f>
        <v>0</v>
      </c>
      <c r="V375" s="35">
        <f>IFERROR(VLOOKUP("16_"&amp;A375,SyS!$B:$P,12,FALSE()),0)</f>
        <v>0</v>
      </c>
      <c r="W375" s="36">
        <f>+U375-V375</f>
        <v>0</v>
      </c>
      <c r="X375" s="34">
        <f>IFERROR(VLOOKUP("13_"&amp;A375,SyS!$B:$P,10,FALSE()),0)</f>
        <v>0</v>
      </c>
      <c r="Y375" s="35">
        <f>IFERROR(VLOOKUP("13_"&amp;A375,SyS!$B:$P,12,FALSE()),0)</f>
        <v>0</v>
      </c>
      <c r="Z375" s="36">
        <f>+X375-Y375</f>
        <v>0</v>
      </c>
      <c r="AA375" s="34">
        <f>IFERROR(VLOOKUP("17_"&amp;A375,SyS!$B:$P,10,FALSE()),0)</f>
        <v>0</v>
      </c>
      <c r="AB375" s="35">
        <f>IFERROR(VLOOKUP("17_"&amp;A375,SyS!$B:$P,12,FALSE()),0)</f>
        <v>0</v>
      </c>
      <c r="AC375" s="36">
        <f>+AA375-AB375</f>
        <v>0</v>
      </c>
      <c r="AD375" s="35"/>
      <c r="AE375" s="35"/>
      <c r="AF375" s="35"/>
      <c r="AG375" s="35">
        <f>IFERROR(VLOOKUP("19_"&amp;A375,SyS!$B:$P,10,FALSE()),0)</f>
        <v>0</v>
      </c>
      <c r="AH375" s="35">
        <f>IFERROR(VLOOKUP("19_"&amp;A375,SyS!$B:$P,12,FALSE()),0)</f>
        <v>0</v>
      </c>
      <c r="AI375" s="35">
        <f>+AG375-AH375</f>
        <v>0</v>
      </c>
      <c r="AJ375" s="35"/>
      <c r="AK375" s="35"/>
      <c r="AL375" s="35"/>
      <c r="AM375" s="34">
        <f>IFERROR(VLOOKUP("23_"&amp;A375,SyS!$B:$P,10,FALSE()),0)</f>
        <v>0</v>
      </c>
      <c r="AN375" s="35">
        <f>IFERROR(VLOOKUP("23_"&amp;A375,SyS!$B:$P,12,FALSE()),0)</f>
        <v>0</v>
      </c>
      <c r="AO375" s="36">
        <f>+AM375-AN375</f>
        <v>0</v>
      </c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  <c r="BB375" s="40"/>
      <c r="BC375" s="40"/>
      <c r="BD375" s="40"/>
      <c r="BE375" s="40"/>
      <c r="BF375" s="40"/>
      <c r="BG375" s="40"/>
      <c r="BH375" s="40"/>
      <c r="BI375" s="40"/>
      <c r="BJ375" s="40"/>
      <c r="BK375" s="40">
        <f>IFERROR(VLOOKUP("29_"&amp;A375,SyS!$B:$P,10,FALSE()),0)</f>
        <v>0</v>
      </c>
      <c r="BL375" s="40">
        <f>IFERROR(VLOOKUP("29_"&amp;A375,SyS!$B:$P,12,FALSE()),0)</f>
        <v>0</v>
      </c>
      <c r="BM375" s="40">
        <f>+BK375-BL375</f>
        <v>0</v>
      </c>
      <c r="BN375" s="46">
        <f>IFERROR(VLOOKUP("30_"&amp;A375,SyS!$B:$P,10,FALSE()),0)</f>
        <v>0</v>
      </c>
      <c r="BO375" s="40">
        <f>IFERROR(VLOOKUP("30_"&amp;A375,SyS!$B:$P,12,FALSE()),0)</f>
        <v>0</v>
      </c>
      <c r="BP375" s="47">
        <f>+BN375-BO375</f>
        <v>0</v>
      </c>
      <c r="BQ375" s="45">
        <f>+E375+H375+K375+N375+Q375+T375+W375+Z375+AC375+AF375+AI375+AL375+AO375+AR375+AU375+AX375+BA375+BD375+BG375+BJ375+BM375+BP375</f>
        <v>0</v>
      </c>
    </row>
    <row r="376" ht="11.25" customHeight="1" spans="1:69" x14ac:dyDescent="0.25">
      <c r="A376" s="9">
        <v>429110000</v>
      </c>
      <c r="B376" s="9" t="s">
        <v>409</v>
      </c>
      <c r="C376" s="34">
        <f>IFERROR(VLOOKUP("1_"&amp;A376,SyS!$B:$P,10,FALSE()),0)</f>
        <v>0</v>
      </c>
      <c r="D376" s="35">
        <f>IFERROR(VLOOKUP("1_"&amp;A376,SyS!$B:$P,12,FALSE()),0)</f>
        <v>0</v>
      </c>
      <c r="E376" s="35">
        <f>+C376-D376</f>
        <v>0</v>
      </c>
      <c r="F376" s="34">
        <f>IFERROR(VLOOKUP("2_"&amp;A376,SyS!$B:$P,10,FALSE()),0)</f>
        <v>0</v>
      </c>
      <c r="G376" s="35">
        <f>IFERROR(VLOOKUP("2_"&amp;A376,SyS!$B:$P,12,FALSE()),0)</f>
        <v>0</v>
      </c>
      <c r="H376" s="36">
        <f>+F376-G376</f>
        <v>0</v>
      </c>
      <c r="I376" s="35"/>
      <c r="J376" s="35"/>
      <c r="K376" s="35"/>
      <c r="L376" s="35"/>
      <c r="M376" s="35"/>
      <c r="N376" s="35"/>
      <c r="O376" s="34">
        <f>IFERROR(VLOOKUP("14_"&amp;A376,SyS!$B:$P,10,FALSE()),0)</f>
        <v>0</v>
      </c>
      <c r="P376" s="35">
        <f>IFERROR(VLOOKUP("14_"&amp;A376,SyS!$B:$P,12,FALSE()),0)</f>
        <v>0</v>
      </c>
      <c r="Q376" s="36">
        <f>+O376-P376</f>
        <v>0</v>
      </c>
      <c r="R376" s="34">
        <f>IFERROR(VLOOKUP("15_"&amp;A376,SyS!$B:$P,10,FALSE()),0)</f>
        <v>0</v>
      </c>
      <c r="S376" s="35">
        <f>IFERROR(VLOOKUP("15_"&amp;A376,SyS!$B:$P,12,FALSE()),0)</f>
        <v>0</v>
      </c>
      <c r="T376" s="36">
        <f>+R376-S376</f>
        <v>0</v>
      </c>
      <c r="U376" s="34">
        <f>IFERROR(VLOOKUP("16_"&amp;A376,SyS!$B:$P,10,FALSE()),0)</f>
        <v>0</v>
      </c>
      <c r="V376" s="35">
        <f>IFERROR(VLOOKUP("16_"&amp;A376,SyS!$B:$P,12,FALSE()),0)</f>
        <v>0</v>
      </c>
      <c r="W376" s="36">
        <f>+U376-V376</f>
        <v>0</v>
      </c>
      <c r="X376" s="34">
        <f>IFERROR(VLOOKUP("13_"&amp;A376,SyS!$B:$P,10,FALSE()),0)</f>
        <v>0</v>
      </c>
      <c r="Y376" s="35">
        <f>IFERROR(VLOOKUP("13_"&amp;A376,SyS!$B:$P,12,FALSE()),0)</f>
        <v>0</v>
      </c>
      <c r="Z376" s="36">
        <f>+X376-Y376</f>
        <v>0</v>
      </c>
      <c r="AA376" s="34">
        <f>IFERROR(VLOOKUP("17_"&amp;A376,SyS!$B:$P,10,FALSE()),0)</f>
        <v>0</v>
      </c>
      <c r="AB376" s="35">
        <f>IFERROR(VLOOKUP("17_"&amp;A376,SyS!$B:$P,12,FALSE()),0)</f>
        <v>0</v>
      </c>
      <c r="AC376" s="36">
        <f>+AA376-AB376</f>
        <v>0</v>
      </c>
      <c r="AD376" s="35"/>
      <c r="AE376" s="35"/>
      <c r="AF376" s="35"/>
      <c r="AG376" s="35">
        <f>IFERROR(VLOOKUP("19_"&amp;A376,SyS!$B:$P,10,FALSE()),0)</f>
        <v>0</v>
      </c>
      <c r="AH376" s="35">
        <f>IFERROR(VLOOKUP("19_"&amp;A376,SyS!$B:$P,12,FALSE()),0)</f>
        <v>0</v>
      </c>
      <c r="AI376" s="35">
        <f>+AG376-AH376</f>
        <v>0</v>
      </c>
      <c r="AJ376" s="35"/>
      <c r="AK376" s="35"/>
      <c r="AL376" s="35"/>
      <c r="AM376" s="34">
        <f>IFERROR(VLOOKUP("23_"&amp;A376,SyS!$B:$P,10,FALSE()),0)</f>
        <v>0</v>
      </c>
      <c r="AN376" s="35">
        <f>IFERROR(VLOOKUP("23_"&amp;A376,SyS!$B:$P,12,FALSE()),0)</f>
        <v>0</v>
      </c>
      <c r="AO376" s="36">
        <f>+AM376-AN376</f>
        <v>0</v>
      </c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  <c r="BB376" s="40"/>
      <c r="BC376" s="40"/>
      <c r="BD376" s="40"/>
      <c r="BE376" s="40"/>
      <c r="BF376" s="40"/>
      <c r="BG376" s="40"/>
      <c r="BH376" s="40"/>
      <c r="BI376" s="40"/>
      <c r="BJ376" s="40"/>
      <c r="BK376" s="40">
        <f>IFERROR(VLOOKUP("29_"&amp;A376,SyS!$B:$P,10,FALSE()),0)</f>
        <v>0</v>
      </c>
      <c r="BL376" s="40">
        <f>IFERROR(VLOOKUP("29_"&amp;A376,SyS!$B:$P,12,FALSE()),0)</f>
        <v>0</v>
      </c>
      <c r="BM376" s="40">
        <f>+BK376-BL376</f>
        <v>0</v>
      </c>
      <c r="BN376" s="46">
        <f>IFERROR(VLOOKUP("30_"&amp;A376,SyS!$B:$P,10,FALSE()),0)</f>
        <v>0</v>
      </c>
      <c r="BO376" s="40">
        <f>IFERROR(VLOOKUP("30_"&amp;A376,SyS!$B:$P,12,FALSE()),0)</f>
        <v>0</v>
      </c>
      <c r="BP376" s="47">
        <f>+BN376-BO376</f>
        <v>0</v>
      </c>
      <c r="BQ376" s="45">
        <f>+E376+H376+K376+N376+Q376+T376+W376+Z376+AC376+AF376+AI376+AL376+AO376+AR376+AU376+AX376+BA376+BD376+BG376+BJ376+BM376+BP376</f>
        <v>0</v>
      </c>
    </row>
    <row r="377" ht="11.25" customHeight="1" spans="1:69" x14ac:dyDescent="0.25">
      <c r="A377" s="9">
        <v>429240000</v>
      </c>
      <c r="B377" s="9" t="s">
        <v>410</v>
      </c>
      <c r="C377" s="34">
        <f>IFERROR(VLOOKUP("1_"&amp;A377,SyS!$B:$P,10,FALSE()),0)</f>
        <v>0</v>
      </c>
      <c r="D377" s="35">
        <f>IFERROR(VLOOKUP("1_"&amp;A377,SyS!$B:$P,12,FALSE()),0)</f>
        <v>0</v>
      </c>
      <c r="E377" s="35">
        <f>+C377-D377</f>
        <v>0</v>
      </c>
      <c r="F377" s="34">
        <f>IFERROR(VLOOKUP("2_"&amp;A377,SyS!$B:$P,10,FALSE()),0)</f>
        <v>0</v>
      </c>
      <c r="G377" s="35">
        <f>IFERROR(VLOOKUP("2_"&amp;A377,SyS!$B:$P,12,FALSE()),0)</f>
        <v>0</v>
      </c>
      <c r="H377" s="36">
        <f>+F377-G377</f>
        <v>0</v>
      </c>
      <c r="I377" s="35"/>
      <c r="J377" s="35"/>
      <c r="K377" s="35"/>
      <c r="L377" s="35"/>
      <c r="M377" s="35"/>
      <c r="N377" s="35"/>
      <c r="O377" s="34">
        <f>IFERROR(VLOOKUP("14_"&amp;A377,SyS!$B:$P,10,FALSE()),0)</f>
        <v>0</v>
      </c>
      <c r="P377" s="35">
        <f>IFERROR(VLOOKUP("14_"&amp;A377,SyS!$B:$P,12,FALSE()),0)</f>
        <v>0</v>
      </c>
      <c r="Q377" s="36">
        <f>+O377-P377</f>
        <v>0</v>
      </c>
      <c r="R377" s="34">
        <f>IFERROR(VLOOKUP("15_"&amp;A377,SyS!$B:$P,10,FALSE()),0)</f>
        <v>0</v>
      </c>
      <c r="S377" s="35">
        <f>IFERROR(VLOOKUP("15_"&amp;A377,SyS!$B:$P,12,FALSE()),0)</f>
        <v>0</v>
      </c>
      <c r="T377" s="36">
        <f>+R377-S377</f>
        <v>0</v>
      </c>
      <c r="U377" s="34">
        <f>IFERROR(VLOOKUP("16_"&amp;A377,SyS!$B:$P,10,FALSE()),0)</f>
        <v>0</v>
      </c>
      <c r="V377" s="35">
        <f>IFERROR(VLOOKUP("16_"&amp;A377,SyS!$B:$P,12,FALSE()),0)</f>
        <v>0</v>
      </c>
      <c r="W377" s="36">
        <f>+U377-V377</f>
        <v>0</v>
      </c>
      <c r="X377" s="34">
        <f>IFERROR(VLOOKUP("13_"&amp;A377,SyS!$B:$P,10,FALSE()),0)</f>
        <v>0</v>
      </c>
      <c r="Y377" s="35">
        <f>IFERROR(VLOOKUP("13_"&amp;A377,SyS!$B:$P,12,FALSE()),0)</f>
        <v>0</v>
      </c>
      <c r="Z377" s="36">
        <f>+X377-Y377</f>
        <v>0</v>
      </c>
      <c r="AA377" s="34">
        <f>IFERROR(VLOOKUP("17_"&amp;A377,SyS!$B:$P,10,FALSE()),0)</f>
        <v>0</v>
      </c>
      <c r="AB377" s="35">
        <f>IFERROR(VLOOKUP("17_"&amp;A377,SyS!$B:$P,12,FALSE()),0)</f>
        <v>0</v>
      </c>
      <c r="AC377" s="36">
        <f>+AA377-AB377</f>
        <v>0</v>
      </c>
      <c r="AD377" s="35"/>
      <c r="AE377" s="35"/>
      <c r="AF377" s="35"/>
      <c r="AG377" s="35">
        <f>IFERROR(VLOOKUP("19_"&amp;A377,SyS!$B:$P,10,FALSE()),0)</f>
        <v>0</v>
      </c>
      <c r="AH377" s="35">
        <f>IFERROR(VLOOKUP("19_"&amp;A377,SyS!$B:$P,12,FALSE()),0)</f>
        <v>0</v>
      </c>
      <c r="AI377" s="35">
        <f>+AG377-AH377</f>
        <v>0</v>
      </c>
      <c r="AJ377" s="35"/>
      <c r="AK377" s="35"/>
      <c r="AL377" s="35"/>
      <c r="AM377" s="34">
        <f>IFERROR(VLOOKUP("23_"&amp;A377,SyS!$B:$P,10,FALSE()),0)</f>
        <v>0</v>
      </c>
      <c r="AN377" s="35">
        <f>IFERROR(VLOOKUP("23_"&amp;A377,SyS!$B:$P,12,FALSE()),0)</f>
        <v>0</v>
      </c>
      <c r="AO377" s="36">
        <f>+AM377-AN377</f>
        <v>0</v>
      </c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  <c r="BB377" s="40"/>
      <c r="BC377" s="40"/>
      <c r="BD377" s="40"/>
      <c r="BE377" s="40"/>
      <c r="BF377" s="40"/>
      <c r="BG377" s="40"/>
      <c r="BH377" s="40"/>
      <c r="BI377" s="40"/>
      <c r="BJ377" s="40"/>
      <c r="BK377" s="40">
        <f>IFERROR(VLOOKUP("29_"&amp;A377,SyS!$B:$P,10,FALSE()),0)</f>
        <v>0</v>
      </c>
      <c r="BL377" s="40">
        <f>IFERROR(VLOOKUP("29_"&amp;A377,SyS!$B:$P,12,FALSE()),0)</f>
        <v>0</v>
      </c>
      <c r="BM377" s="40">
        <f>+BK377-BL377</f>
        <v>0</v>
      </c>
      <c r="BN377" s="46">
        <f>IFERROR(VLOOKUP("30_"&amp;A377,SyS!$B:$P,10,FALSE()),0)</f>
        <v>0</v>
      </c>
      <c r="BO377" s="40">
        <f>IFERROR(VLOOKUP("30_"&amp;A377,SyS!$B:$P,12,FALSE()),0)</f>
        <v>0</v>
      </c>
      <c r="BP377" s="47">
        <f>+BN377-BO377</f>
        <v>0</v>
      </c>
      <c r="BQ377" s="45">
        <f>+E377+H377+K377+N377+Q377+T377+W377+Z377+AC377+AF377+AI377+AL377+AO377+AR377+AU377+AX377+BA377+BD377+BG377+BJ377+BM377+BP377</f>
        <v>0</v>
      </c>
    </row>
    <row r="378" ht="11.25" customHeight="1" spans="1:69" x14ac:dyDescent="0.25">
      <c r="A378" s="9">
        <v>429250000</v>
      </c>
      <c r="B378" s="9" t="s">
        <v>411</v>
      </c>
      <c r="C378" s="34">
        <f>IFERROR(VLOOKUP("1_"&amp;A378,SyS!$B:$P,10,FALSE()),0)</f>
        <v>0</v>
      </c>
      <c r="D378" s="35">
        <f>IFERROR(VLOOKUP("1_"&amp;A378,SyS!$B:$P,12,FALSE()),0)</f>
        <v>0</v>
      </c>
      <c r="E378" s="35">
        <f>+C378-D378</f>
        <v>0</v>
      </c>
      <c r="F378" s="34">
        <f>IFERROR(VLOOKUP("2_"&amp;A378,SyS!$B:$P,10,FALSE()),0)</f>
        <v>0</v>
      </c>
      <c r="G378" s="35">
        <f>IFERROR(VLOOKUP("2_"&amp;A378,SyS!$B:$P,12,FALSE()),0)</f>
        <v>0</v>
      </c>
      <c r="H378" s="36">
        <f>+F378-G378</f>
        <v>0</v>
      </c>
      <c r="I378" s="35"/>
      <c r="J378" s="35"/>
      <c r="K378" s="35"/>
      <c r="L378" s="35"/>
      <c r="M378" s="35"/>
      <c r="N378" s="35"/>
      <c r="O378" s="34">
        <f>IFERROR(VLOOKUP("14_"&amp;A378,SyS!$B:$P,10,FALSE()),0)</f>
        <v>0</v>
      </c>
      <c r="P378" s="35">
        <f>IFERROR(VLOOKUP("14_"&amp;A378,SyS!$B:$P,12,FALSE()),0)</f>
        <v>0</v>
      </c>
      <c r="Q378" s="36">
        <f>+O378-P378</f>
        <v>0</v>
      </c>
      <c r="R378" s="34">
        <f>IFERROR(VLOOKUP("15_"&amp;A378,SyS!$B:$P,10,FALSE()),0)</f>
        <v>0</v>
      </c>
      <c r="S378" s="35">
        <f>IFERROR(VLOOKUP("15_"&amp;A378,SyS!$B:$P,12,FALSE()),0)</f>
        <v>0</v>
      </c>
      <c r="T378" s="36">
        <f>+R378-S378</f>
        <v>0</v>
      </c>
      <c r="U378" s="34">
        <f>IFERROR(VLOOKUP("16_"&amp;A378,SyS!$B:$P,10,FALSE()),0)</f>
        <v>0</v>
      </c>
      <c r="V378" s="35">
        <f>IFERROR(VLOOKUP("16_"&amp;A378,SyS!$B:$P,12,FALSE()),0)</f>
        <v>0</v>
      </c>
      <c r="W378" s="36">
        <f>+U378-V378</f>
        <v>0</v>
      </c>
      <c r="X378" s="34">
        <f>IFERROR(VLOOKUP("13_"&amp;A378,SyS!$B:$P,10,FALSE()),0)</f>
        <v>0</v>
      </c>
      <c r="Y378" s="35">
        <f>IFERROR(VLOOKUP("13_"&amp;A378,SyS!$B:$P,12,FALSE()),0)</f>
        <v>0</v>
      </c>
      <c r="Z378" s="36">
        <f>+X378-Y378</f>
        <v>0</v>
      </c>
      <c r="AA378" s="34">
        <f>IFERROR(VLOOKUP("17_"&amp;A378,SyS!$B:$P,10,FALSE()),0)</f>
        <v>0</v>
      </c>
      <c r="AB378" s="35">
        <f>IFERROR(VLOOKUP("17_"&amp;A378,SyS!$B:$P,12,FALSE()),0)</f>
        <v>0</v>
      </c>
      <c r="AC378" s="36">
        <f>+AA378-AB378</f>
        <v>0</v>
      </c>
      <c r="AD378" s="35"/>
      <c r="AE378" s="35"/>
      <c r="AF378" s="35"/>
      <c r="AG378" s="35">
        <f>IFERROR(VLOOKUP("19_"&amp;A378,SyS!$B:$P,10,FALSE()),0)</f>
        <v>0</v>
      </c>
      <c r="AH378" s="35">
        <f>IFERROR(VLOOKUP("19_"&amp;A378,SyS!$B:$P,12,FALSE()),0)</f>
        <v>0</v>
      </c>
      <c r="AI378" s="35">
        <f>+AG378-AH378</f>
        <v>0</v>
      </c>
      <c r="AJ378" s="35"/>
      <c r="AK378" s="35"/>
      <c r="AL378" s="35"/>
      <c r="AM378" s="34">
        <f>IFERROR(VLOOKUP("23_"&amp;A378,SyS!$B:$P,10,FALSE()),0)</f>
        <v>0</v>
      </c>
      <c r="AN378" s="35">
        <f>IFERROR(VLOOKUP("23_"&amp;A378,SyS!$B:$P,12,FALSE()),0)</f>
        <v>0</v>
      </c>
      <c r="AO378" s="36">
        <f>+AM378-AN378</f>
        <v>0</v>
      </c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  <c r="BB378" s="40"/>
      <c r="BC378" s="40"/>
      <c r="BD378" s="40"/>
      <c r="BE378" s="40"/>
      <c r="BF378" s="40"/>
      <c r="BG378" s="40"/>
      <c r="BH378" s="40"/>
      <c r="BI378" s="40"/>
      <c r="BJ378" s="40"/>
      <c r="BK378" s="40">
        <f>IFERROR(VLOOKUP("29_"&amp;A378,SyS!$B:$P,10,FALSE()),0)</f>
        <v>0</v>
      </c>
      <c r="BL378" s="40">
        <f>IFERROR(VLOOKUP("29_"&amp;A378,SyS!$B:$P,12,FALSE()),0)</f>
        <v>0</v>
      </c>
      <c r="BM378" s="40">
        <f>+BK378-BL378</f>
        <v>0</v>
      </c>
      <c r="BN378" s="46">
        <f>IFERROR(VLOOKUP("30_"&amp;A378,SyS!$B:$P,10,FALSE()),0)</f>
        <v>0</v>
      </c>
      <c r="BO378" s="40">
        <f>IFERROR(VLOOKUP("30_"&amp;A378,SyS!$B:$P,12,FALSE()),0)</f>
        <v>0</v>
      </c>
      <c r="BP378" s="47">
        <f>+BN378-BO378</f>
        <v>0</v>
      </c>
      <c r="BQ378" s="45">
        <f>+E378+H378+K378+N378+Q378+T378+W378+Z378+AC378+AF378+AI378+AL378+AO378+AR378+AU378+AX378+BA378+BD378+BG378+BJ378+BM378+BP378</f>
        <v>0</v>
      </c>
    </row>
    <row r="379" ht="11.25" customHeight="1" spans="1:69" x14ac:dyDescent="0.25">
      <c r="A379" s="9">
        <v>429260000</v>
      </c>
      <c r="B379" s="9" t="s">
        <v>412</v>
      </c>
      <c r="C379" s="34">
        <f>IFERROR(VLOOKUP("1_"&amp;A379,SyS!$B:$P,10,FALSE()),0)</f>
        <v>0</v>
      </c>
      <c r="D379" s="35">
        <f>IFERROR(VLOOKUP("1_"&amp;A379,SyS!$B:$P,12,FALSE()),0)</f>
        <v>0</v>
      </c>
      <c r="E379" s="35">
        <f>+C379-D379</f>
        <v>0</v>
      </c>
      <c r="F379" s="34">
        <f>IFERROR(VLOOKUP("2_"&amp;A379,SyS!$B:$P,10,FALSE()),0)</f>
        <v>0</v>
      </c>
      <c r="G379" s="35">
        <f>IFERROR(VLOOKUP("2_"&amp;A379,SyS!$B:$P,12,FALSE()),0)</f>
        <v>0</v>
      </c>
      <c r="H379" s="36">
        <f>+F379-G379</f>
        <v>0</v>
      </c>
      <c r="I379" s="35"/>
      <c r="J379" s="35"/>
      <c r="K379" s="35"/>
      <c r="L379" s="35"/>
      <c r="M379" s="35"/>
      <c r="N379" s="35"/>
      <c r="O379" s="34">
        <f>IFERROR(VLOOKUP("14_"&amp;A379,SyS!$B:$P,10,FALSE()),0)</f>
        <v>0</v>
      </c>
      <c r="P379" s="35">
        <f>IFERROR(VLOOKUP("14_"&amp;A379,SyS!$B:$P,12,FALSE()),0)</f>
        <v>0</v>
      </c>
      <c r="Q379" s="36">
        <f>+O379-P379</f>
        <v>0</v>
      </c>
      <c r="R379" s="34">
        <f>IFERROR(VLOOKUP("15_"&amp;A379,SyS!$B:$P,10,FALSE()),0)</f>
        <v>0</v>
      </c>
      <c r="S379" s="35">
        <f>IFERROR(VLOOKUP("15_"&amp;A379,SyS!$B:$P,12,FALSE()),0)</f>
        <v>0</v>
      </c>
      <c r="T379" s="36">
        <f>+R379-S379</f>
        <v>0</v>
      </c>
      <c r="U379" s="34">
        <f>IFERROR(VLOOKUP("16_"&amp;A379,SyS!$B:$P,10,FALSE()),0)</f>
        <v>0</v>
      </c>
      <c r="V379" s="35">
        <f>IFERROR(VLOOKUP("16_"&amp;A379,SyS!$B:$P,12,FALSE()),0)</f>
        <v>0</v>
      </c>
      <c r="W379" s="36">
        <f>+U379-V379</f>
        <v>0</v>
      </c>
      <c r="X379" s="34">
        <f>IFERROR(VLOOKUP("13_"&amp;A379,SyS!$B:$P,10,FALSE()),0)</f>
        <v>0</v>
      </c>
      <c r="Y379" s="35">
        <f>IFERROR(VLOOKUP("13_"&amp;A379,SyS!$B:$P,12,FALSE()),0)</f>
        <v>0</v>
      </c>
      <c r="Z379" s="36">
        <f>+X379-Y379</f>
        <v>0</v>
      </c>
      <c r="AA379" s="34">
        <f>IFERROR(VLOOKUP("17_"&amp;A379,SyS!$B:$P,10,FALSE()),0)</f>
        <v>0</v>
      </c>
      <c r="AB379" s="35">
        <f>IFERROR(VLOOKUP("17_"&amp;A379,SyS!$B:$P,12,FALSE()),0)</f>
        <v>0</v>
      </c>
      <c r="AC379" s="36">
        <f>+AA379-AB379</f>
        <v>0</v>
      </c>
      <c r="AD379" s="35"/>
      <c r="AE379" s="35"/>
      <c r="AF379" s="35"/>
      <c r="AG379" s="35">
        <f>IFERROR(VLOOKUP("19_"&amp;A379,SyS!$B:$P,10,FALSE()),0)</f>
        <v>0</v>
      </c>
      <c r="AH379" s="35">
        <f>IFERROR(VLOOKUP("19_"&amp;A379,SyS!$B:$P,12,FALSE()),0)</f>
        <v>0</v>
      </c>
      <c r="AI379" s="35">
        <f>+AG379-AH379</f>
        <v>0</v>
      </c>
      <c r="AJ379" s="35"/>
      <c r="AK379" s="35"/>
      <c r="AL379" s="35"/>
      <c r="AM379" s="34">
        <f>IFERROR(VLOOKUP("23_"&amp;A379,SyS!$B:$P,10,FALSE()),0)</f>
        <v>0</v>
      </c>
      <c r="AN379" s="35">
        <f>IFERROR(VLOOKUP("23_"&amp;A379,SyS!$B:$P,12,FALSE()),0)</f>
        <v>0</v>
      </c>
      <c r="AO379" s="36">
        <f>+AM379-AN379</f>
        <v>0</v>
      </c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  <c r="BC379" s="40"/>
      <c r="BD379" s="40"/>
      <c r="BE379" s="40"/>
      <c r="BF379" s="40"/>
      <c r="BG379" s="40"/>
      <c r="BH379" s="40"/>
      <c r="BI379" s="40"/>
      <c r="BJ379" s="40"/>
      <c r="BK379" s="40">
        <f>IFERROR(VLOOKUP("29_"&amp;A379,SyS!$B:$P,10,FALSE()),0)</f>
        <v>0</v>
      </c>
      <c r="BL379" s="40">
        <f>IFERROR(VLOOKUP("29_"&amp;A379,SyS!$B:$P,12,FALSE()),0)</f>
        <v>0</v>
      </c>
      <c r="BM379" s="40">
        <f>+BK379-BL379</f>
        <v>0</v>
      </c>
      <c r="BN379" s="46">
        <f>IFERROR(VLOOKUP("30_"&amp;A379,SyS!$B:$P,10,FALSE()),0)</f>
        <v>0</v>
      </c>
      <c r="BO379" s="40">
        <f>IFERROR(VLOOKUP("30_"&amp;A379,SyS!$B:$P,12,FALSE()),0)</f>
        <v>0</v>
      </c>
      <c r="BP379" s="47">
        <f>+BN379-BO379</f>
        <v>0</v>
      </c>
      <c r="BQ379" s="45">
        <f>+E379+H379+K379+N379+Q379+T379+W379+Z379+AC379+AF379+AI379+AL379+AO379+AR379+AU379+AX379+BA379+BD379+BG379+BJ379+BM379+BP379</f>
        <v>0</v>
      </c>
    </row>
    <row r="380" ht="11.25" customHeight="1" spans="1:69" x14ac:dyDescent="0.25">
      <c r="A380" s="9">
        <v>429270000</v>
      </c>
      <c r="B380" s="9" t="s">
        <v>413</v>
      </c>
      <c r="C380" s="34">
        <f>IFERROR(VLOOKUP("1_"&amp;A380,SyS!$B:$P,10,FALSE()),0)</f>
        <v>0</v>
      </c>
      <c r="D380" s="35">
        <f>IFERROR(VLOOKUP("1_"&amp;A380,SyS!$B:$P,12,FALSE()),0)</f>
        <v>0</v>
      </c>
      <c r="E380" s="35">
        <f>+C380-D380</f>
        <v>0</v>
      </c>
      <c r="F380" s="34">
        <f>IFERROR(VLOOKUP("2_"&amp;A380,SyS!$B:$P,10,FALSE()),0)</f>
        <v>0</v>
      </c>
      <c r="G380" s="35">
        <f>IFERROR(VLOOKUP("2_"&amp;A380,SyS!$B:$P,12,FALSE()),0)</f>
        <v>0</v>
      </c>
      <c r="H380" s="36">
        <f>+F380-G380</f>
        <v>0</v>
      </c>
      <c r="I380" s="35"/>
      <c r="J380" s="35"/>
      <c r="K380" s="35"/>
      <c r="L380" s="35"/>
      <c r="M380" s="35"/>
      <c r="N380" s="35"/>
      <c r="O380" s="34">
        <f>IFERROR(VLOOKUP("14_"&amp;A380,SyS!$B:$P,10,FALSE()),0)</f>
        <v>0</v>
      </c>
      <c r="P380" s="35">
        <f>IFERROR(VLOOKUP("14_"&amp;A380,SyS!$B:$P,12,FALSE()),0)</f>
        <v>0</v>
      </c>
      <c r="Q380" s="36">
        <f>+O380-P380</f>
        <v>0</v>
      </c>
      <c r="R380" s="34">
        <f>IFERROR(VLOOKUP("15_"&amp;A380,SyS!$B:$P,10,FALSE()),0)</f>
        <v>0</v>
      </c>
      <c r="S380" s="35">
        <f>IFERROR(VLOOKUP("15_"&amp;A380,SyS!$B:$P,12,FALSE()),0)</f>
        <v>0</v>
      </c>
      <c r="T380" s="36">
        <f>+R380-S380</f>
        <v>0</v>
      </c>
      <c r="U380" s="34">
        <f>IFERROR(VLOOKUP("16_"&amp;A380,SyS!$B:$P,10,FALSE()),0)</f>
        <v>0</v>
      </c>
      <c r="V380" s="35">
        <f>IFERROR(VLOOKUP("16_"&amp;A380,SyS!$B:$P,12,FALSE()),0)</f>
        <v>0</v>
      </c>
      <c r="W380" s="36">
        <f>+U380-V380</f>
        <v>0</v>
      </c>
      <c r="X380" s="34">
        <f>IFERROR(VLOOKUP("13_"&amp;A380,SyS!$B:$P,10,FALSE()),0)</f>
        <v>0</v>
      </c>
      <c r="Y380" s="35">
        <f>IFERROR(VLOOKUP("13_"&amp;A380,SyS!$B:$P,12,FALSE()),0)</f>
        <v>0</v>
      </c>
      <c r="Z380" s="36">
        <f>+X380-Y380</f>
        <v>0</v>
      </c>
      <c r="AA380" s="34">
        <f>IFERROR(VLOOKUP("17_"&amp;A380,SyS!$B:$P,10,FALSE()),0)</f>
        <v>0</v>
      </c>
      <c r="AB380" s="35">
        <f>IFERROR(VLOOKUP("17_"&amp;A380,SyS!$B:$P,12,FALSE()),0)</f>
        <v>0</v>
      </c>
      <c r="AC380" s="36">
        <f>+AA380-AB380</f>
        <v>0</v>
      </c>
      <c r="AD380" s="35"/>
      <c r="AE380" s="35"/>
      <c r="AF380" s="35"/>
      <c r="AG380" s="35">
        <f>IFERROR(VLOOKUP("19_"&amp;A380,SyS!$B:$P,10,FALSE()),0)</f>
        <v>0</v>
      </c>
      <c r="AH380" s="35">
        <f>IFERROR(VLOOKUP("19_"&amp;A380,SyS!$B:$P,12,FALSE()),0)</f>
        <v>0</v>
      </c>
      <c r="AI380" s="35">
        <f>+AG380-AH380</f>
        <v>0</v>
      </c>
      <c r="AJ380" s="35"/>
      <c r="AK380" s="35"/>
      <c r="AL380" s="35"/>
      <c r="AM380" s="34">
        <f>IFERROR(VLOOKUP("23_"&amp;A380,SyS!$B:$P,10,FALSE()),0)</f>
        <v>0</v>
      </c>
      <c r="AN380" s="35">
        <f>IFERROR(VLOOKUP("23_"&amp;A380,SyS!$B:$P,12,FALSE()),0)</f>
        <v>0</v>
      </c>
      <c r="AO380" s="36">
        <f>+AM380-AN380</f>
        <v>0</v>
      </c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  <c r="BB380" s="40"/>
      <c r="BC380" s="40"/>
      <c r="BD380" s="40"/>
      <c r="BE380" s="40"/>
      <c r="BF380" s="40"/>
      <c r="BG380" s="40"/>
      <c r="BH380" s="40"/>
      <c r="BI380" s="40"/>
      <c r="BJ380" s="40"/>
      <c r="BK380" s="40">
        <f>IFERROR(VLOOKUP("29_"&amp;A380,SyS!$B:$P,10,FALSE()),0)</f>
        <v>0</v>
      </c>
      <c r="BL380" s="40">
        <f>IFERROR(VLOOKUP("29_"&amp;A380,SyS!$B:$P,12,FALSE()),0)</f>
        <v>0</v>
      </c>
      <c r="BM380" s="40">
        <f>+BK380-BL380</f>
        <v>0</v>
      </c>
      <c r="BN380" s="46">
        <f>IFERROR(VLOOKUP("30_"&amp;A380,SyS!$B:$P,10,FALSE()),0)</f>
        <v>0</v>
      </c>
      <c r="BO380" s="40">
        <f>IFERROR(VLOOKUP("30_"&amp;A380,SyS!$B:$P,12,FALSE()),0)</f>
        <v>0</v>
      </c>
      <c r="BP380" s="47">
        <f>+BN380-BO380</f>
        <v>0</v>
      </c>
      <c r="BQ380" s="45">
        <f>+E380+H380+K380+N380+Q380+T380+W380+Z380+AC380+AF380+AI380+AL380+AO380+AR380+AU380+AX380+BA380+BD380+BG380+BJ380+BM380+BP380</f>
        <v>0</v>
      </c>
    </row>
    <row r="381" ht="11.25" customHeight="1" spans="1:69" x14ac:dyDescent="0.25">
      <c r="A381" s="9">
        <v>429280000</v>
      </c>
      <c r="B381" s="9" t="s">
        <v>414</v>
      </c>
      <c r="C381" s="34">
        <f>IFERROR(VLOOKUP("1_"&amp;A381,SyS!$B:$P,10,FALSE()),0)</f>
        <v>0</v>
      </c>
      <c r="D381" s="35">
        <f>IFERROR(VLOOKUP("1_"&amp;A381,SyS!$B:$P,12,FALSE()),0)</f>
        <v>0</v>
      </c>
      <c r="E381" s="35">
        <f>+C381-D381</f>
        <v>0</v>
      </c>
      <c r="F381" s="34">
        <f>IFERROR(VLOOKUP("2_"&amp;A381,SyS!$B:$P,10,FALSE()),0)</f>
        <v>0</v>
      </c>
      <c r="G381" s="35">
        <f>IFERROR(VLOOKUP("2_"&amp;A381,SyS!$B:$P,12,FALSE()),0)</f>
        <v>0</v>
      </c>
      <c r="H381" s="36">
        <f>+F381-G381</f>
        <v>0</v>
      </c>
      <c r="I381" s="35"/>
      <c r="J381" s="35"/>
      <c r="K381" s="35"/>
      <c r="L381" s="35"/>
      <c r="M381" s="35"/>
      <c r="N381" s="35"/>
      <c r="O381" s="34">
        <f>IFERROR(VLOOKUP("14_"&amp;A381,SyS!$B:$P,10,FALSE()),0)</f>
        <v>0</v>
      </c>
      <c r="P381" s="35">
        <f>IFERROR(VLOOKUP("14_"&amp;A381,SyS!$B:$P,12,FALSE()),0)</f>
        <v>0</v>
      </c>
      <c r="Q381" s="36">
        <f>+O381-P381</f>
        <v>0</v>
      </c>
      <c r="R381" s="34">
        <f>IFERROR(VLOOKUP("15_"&amp;A381,SyS!$B:$P,10,FALSE()),0)</f>
        <v>0</v>
      </c>
      <c r="S381" s="35">
        <f>IFERROR(VLOOKUP("15_"&amp;A381,SyS!$B:$P,12,FALSE()),0)</f>
        <v>0</v>
      </c>
      <c r="T381" s="36">
        <f>+R381-S381</f>
        <v>0</v>
      </c>
      <c r="U381" s="34">
        <f>IFERROR(VLOOKUP("16_"&amp;A381,SyS!$B:$P,10,FALSE()),0)</f>
        <v>0</v>
      </c>
      <c r="V381" s="35">
        <f>IFERROR(VLOOKUP("16_"&amp;A381,SyS!$B:$P,12,FALSE()),0)</f>
        <v>0</v>
      </c>
      <c r="W381" s="36">
        <f>+U381-V381</f>
        <v>0</v>
      </c>
      <c r="X381" s="34">
        <f>IFERROR(VLOOKUP("13_"&amp;A381,SyS!$B:$P,10,FALSE()),0)</f>
        <v>0</v>
      </c>
      <c r="Y381" s="35">
        <f>IFERROR(VLOOKUP("13_"&amp;A381,SyS!$B:$P,12,FALSE()),0)</f>
        <v>0</v>
      </c>
      <c r="Z381" s="36">
        <f>+X381-Y381</f>
        <v>0</v>
      </c>
      <c r="AA381" s="34">
        <f>IFERROR(VLOOKUP("17_"&amp;A381,SyS!$B:$P,10,FALSE()),0)</f>
        <v>0</v>
      </c>
      <c r="AB381" s="35">
        <f>IFERROR(VLOOKUP("17_"&amp;A381,SyS!$B:$P,12,FALSE()),0)</f>
        <v>0</v>
      </c>
      <c r="AC381" s="36">
        <f>+AA381-AB381</f>
        <v>0</v>
      </c>
      <c r="AD381" s="35"/>
      <c r="AE381" s="35"/>
      <c r="AF381" s="35"/>
      <c r="AG381" s="35">
        <f>IFERROR(VLOOKUP("19_"&amp;A381,SyS!$B:$P,10,FALSE()),0)</f>
        <v>0</v>
      </c>
      <c r="AH381" s="35">
        <f>IFERROR(VLOOKUP("19_"&amp;A381,SyS!$B:$P,12,FALSE()),0)</f>
        <v>0</v>
      </c>
      <c r="AI381" s="35">
        <f>+AG381-AH381</f>
        <v>0</v>
      </c>
      <c r="AJ381" s="35"/>
      <c r="AK381" s="35"/>
      <c r="AL381" s="35"/>
      <c r="AM381" s="34">
        <f>IFERROR(VLOOKUP("23_"&amp;A381,SyS!$B:$P,10,FALSE()),0)</f>
        <v>0</v>
      </c>
      <c r="AN381" s="35">
        <f>IFERROR(VLOOKUP("23_"&amp;A381,SyS!$B:$P,12,FALSE()),0)</f>
        <v>0</v>
      </c>
      <c r="AO381" s="36">
        <f>+AM381-AN381</f>
        <v>0</v>
      </c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  <c r="BB381" s="40"/>
      <c r="BC381" s="40"/>
      <c r="BD381" s="40"/>
      <c r="BE381" s="40"/>
      <c r="BF381" s="40"/>
      <c r="BG381" s="40"/>
      <c r="BH381" s="40"/>
      <c r="BI381" s="40"/>
      <c r="BJ381" s="40"/>
      <c r="BK381" s="40">
        <f>IFERROR(VLOOKUP("29_"&amp;A381,SyS!$B:$P,10,FALSE()),0)</f>
        <v>0</v>
      </c>
      <c r="BL381" s="40">
        <f>IFERROR(VLOOKUP("29_"&amp;A381,SyS!$B:$P,12,FALSE()),0)</f>
        <v>0</v>
      </c>
      <c r="BM381" s="40">
        <f>+BK381-BL381</f>
        <v>0</v>
      </c>
      <c r="BN381" s="46">
        <f>IFERROR(VLOOKUP("30_"&amp;A381,SyS!$B:$P,10,FALSE()),0)</f>
        <v>0</v>
      </c>
      <c r="BO381" s="40">
        <f>IFERROR(VLOOKUP("30_"&amp;A381,SyS!$B:$P,12,FALSE()),0)</f>
        <v>0</v>
      </c>
      <c r="BP381" s="47">
        <f>+BN381-BO381</f>
        <v>0</v>
      </c>
      <c r="BQ381" s="45">
        <f>+E381+H381+K381+N381+Q381+T381+W381+Z381+AC381+AF381+AI381+AL381+AO381+AR381+AU381+AX381+BA381+BD381+BG381+BJ381+BM381+BP381</f>
        <v>0</v>
      </c>
    </row>
    <row r="382" ht="11.25" customHeight="1" spans="1:69" x14ac:dyDescent="0.25">
      <c r="A382" s="9">
        <v>429310000</v>
      </c>
      <c r="B382" s="9" t="s">
        <v>415</v>
      </c>
      <c r="C382" s="34">
        <f>IFERROR(VLOOKUP("1_"&amp;A382,SyS!$B:$P,10,FALSE()),0)</f>
        <v>0</v>
      </c>
      <c r="D382" s="35">
        <f>IFERROR(VLOOKUP("1_"&amp;A382,SyS!$B:$P,12,FALSE()),0)</f>
        <v>0</v>
      </c>
      <c r="E382" s="35">
        <f>+C382-D382</f>
        <v>0</v>
      </c>
      <c r="F382" s="34">
        <f>IFERROR(VLOOKUP("2_"&amp;A382,SyS!$B:$P,10,FALSE()),0)</f>
        <v>0</v>
      </c>
      <c r="G382" s="35">
        <f>IFERROR(VLOOKUP("2_"&amp;A382,SyS!$B:$P,12,FALSE()),0)</f>
        <v>0</v>
      </c>
      <c r="H382" s="36">
        <f>+F382-G382</f>
        <v>0</v>
      </c>
      <c r="I382" s="35"/>
      <c r="J382" s="35"/>
      <c r="K382" s="35"/>
      <c r="L382" s="35"/>
      <c r="M382" s="35"/>
      <c r="N382" s="35"/>
      <c r="O382" s="34">
        <f>IFERROR(VLOOKUP("14_"&amp;A382,SyS!$B:$P,10,FALSE()),0)</f>
        <v>0</v>
      </c>
      <c r="P382" s="35">
        <f>IFERROR(VLOOKUP("14_"&amp;A382,SyS!$B:$P,12,FALSE()),0)</f>
        <v>0</v>
      </c>
      <c r="Q382" s="36">
        <f>+O382-P382</f>
        <v>0</v>
      </c>
      <c r="R382" s="34">
        <f>IFERROR(VLOOKUP("15_"&amp;A382,SyS!$B:$P,10,FALSE()),0)</f>
        <v>0</v>
      </c>
      <c r="S382" s="35">
        <f>IFERROR(VLOOKUP("15_"&amp;A382,SyS!$B:$P,12,FALSE()),0)</f>
        <v>0</v>
      </c>
      <c r="T382" s="36">
        <f>+R382-S382</f>
        <v>0</v>
      </c>
      <c r="U382" s="34">
        <f>IFERROR(VLOOKUP("16_"&amp;A382,SyS!$B:$P,10,FALSE()),0)</f>
        <v>0</v>
      </c>
      <c r="V382" s="35">
        <f>IFERROR(VLOOKUP("16_"&amp;A382,SyS!$B:$P,12,FALSE()),0)</f>
        <v>0</v>
      </c>
      <c r="W382" s="36">
        <f>+U382-V382</f>
        <v>0</v>
      </c>
      <c r="X382" s="34">
        <f>IFERROR(VLOOKUP("13_"&amp;A382,SyS!$B:$P,10,FALSE()),0)</f>
        <v>0</v>
      </c>
      <c r="Y382" s="35">
        <f>IFERROR(VLOOKUP("13_"&amp;A382,SyS!$B:$P,12,FALSE()),0)</f>
        <v>0</v>
      </c>
      <c r="Z382" s="36">
        <f>+X382-Y382</f>
        <v>0</v>
      </c>
      <c r="AA382" s="34">
        <f>IFERROR(VLOOKUP("17_"&amp;A382,SyS!$B:$P,10,FALSE()),0)</f>
        <v>0</v>
      </c>
      <c r="AB382" s="35">
        <f>IFERROR(VLOOKUP("17_"&amp;A382,SyS!$B:$P,12,FALSE()),0)</f>
        <v>0</v>
      </c>
      <c r="AC382" s="36">
        <f>+AA382-AB382</f>
        <v>0</v>
      </c>
      <c r="AD382" s="35"/>
      <c r="AE382" s="35"/>
      <c r="AF382" s="35"/>
      <c r="AG382" s="35">
        <f>IFERROR(VLOOKUP("19_"&amp;A382,SyS!$B:$P,10,FALSE()),0)</f>
        <v>0</v>
      </c>
      <c r="AH382" s="35">
        <f>IFERROR(VLOOKUP("19_"&amp;A382,SyS!$B:$P,12,FALSE()),0)</f>
        <v>0</v>
      </c>
      <c r="AI382" s="35">
        <f>+AG382-AH382</f>
        <v>0</v>
      </c>
      <c r="AJ382" s="35"/>
      <c r="AK382" s="35"/>
      <c r="AL382" s="35"/>
      <c r="AM382" s="34">
        <f>IFERROR(VLOOKUP("23_"&amp;A382,SyS!$B:$P,10,FALSE()),0)</f>
        <v>0</v>
      </c>
      <c r="AN382" s="35">
        <f>IFERROR(VLOOKUP("23_"&amp;A382,SyS!$B:$P,12,FALSE()),0)</f>
        <v>0</v>
      </c>
      <c r="AO382" s="36">
        <f>+AM382-AN382</f>
        <v>0</v>
      </c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  <c r="BB382" s="40"/>
      <c r="BC382" s="40"/>
      <c r="BD382" s="40"/>
      <c r="BE382" s="40"/>
      <c r="BF382" s="40"/>
      <c r="BG382" s="40"/>
      <c r="BH382" s="40"/>
      <c r="BI382" s="40"/>
      <c r="BJ382" s="40"/>
      <c r="BK382" s="40">
        <f>IFERROR(VLOOKUP("29_"&amp;A382,SyS!$B:$P,10,FALSE()),0)</f>
        <v>0</v>
      </c>
      <c r="BL382" s="40">
        <f>IFERROR(VLOOKUP("29_"&amp;A382,SyS!$B:$P,12,FALSE()),0)</f>
        <v>0</v>
      </c>
      <c r="BM382" s="40">
        <f>+BK382-BL382</f>
        <v>0</v>
      </c>
      <c r="BN382" s="46">
        <f>IFERROR(VLOOKUP("30_"&amp;A382,SyS!$B:$P,10,FALSE()),0)</f>
        <v>0</v>
      </c>
      <c r="BO382" s="40">
        <f>IFERROR(VLOOKUP("30_"&amp;A382,SyS!$B:$P,12,FALSE()),0)</f>
        <v>0</v>
      </c>
      <c r="BP382" s="47">
        <f>+BN382-BO382</f>
        <v>0</v>
      </c>
      <c r="BQ382" s="45">
        <f>+E382+H382+K382+N382+Q382+T382+W382+Z382+AC382+AF382+AI382+AL382+AO382+AR382+AU382+AX382+BA382+BD382+BG382+BJ382+BM382+BP382</f>
        <v>0</v>
      </c>
    </row>
    <row r="383" ht="11.25" customHeight="1" spans="1:69" x14ac:dyDescent="0.25">
      <c r="A383" s="9">
        <v>429930000</v>
      </c>
      <c r="B383" s="9" t="s">
        <v>416</v>
      </c>
      <c r="C383" s="34">
        <f>IFERROR(VLOOKUP("1_"&amp;A383,SyS!$B:$P,10,FALSE()),0)</f>
        <v>0</v>
      </c>
      <c r="D383" s="35">
        <f>IFERROR(VLOOKUP("1_"&amp;A383,SyS!$B:$P,12,FALSE()),0)</f>
        <v>0</v>
      </c>
      <c r="E383" s="35">
        <f>+C383-D383</f>
        <v>0</v>
      </c>
      <c r="F383" s="34">
        <f>IFERROR(VLOOKUP("2_"&amp;A383,SyS!$B:$P,10,FALSE()),0)</f>
        <v>0</v>
      </c>
      <c r="G383" s="35">
        <f>IFERROR(VLOOKUP("2_"&amp;A383,SyS!$B:$P,12,FALSE()),0)</f>
        <v>0</v>
      </c>
      <c r="H383" s="36">
        <f>+F383-G383</f>
        <v>0</v>
      </c>
      <c r="I383" s="35"/>
      <c r="J383" s="35"/>
      <c r="K383" s="35"/>
      <c r="L383" s="35"/>
      <c r="M383" s="35"/>
      <c r="N383" s="35"/>
      <c r="O383" s="34">
        <f>IFERROR(VLOOKUP("14_"&amp;A383,SyS!$B:$P,10,FALSE()),0)</f>
        <v>0</v>
      </c>
      <c r="P383" s="35">
        <f>IFERROR(VLOOKUP("14_"&amp;A383,SyS!$B:$P,12,FALSE()),0)</f>
        <v>0</v>
      </c>
      <c r="Q383" s="36">
        <f>+O383-P383</f>
        <v>0</v>
      </c>
      <c r="R383" s="34">
        <f>IFERROR(VLOOKUP("15_"&amp;A383,SyS!$B:$P,10,FALSE()),0)</f>
        <v>0</v>
      </c>
      <c r="S383" s="35">
        <f>IFERROR(VLOOKUP("15_"&amp;A383,SyS!$B:$P,12,FALSE()),0)</f>
        <v>0</v>
      </c>
      <c r="T383" s="36">
        <f>+R383-S383</f>
        <v>0</v>
      </c>
      <c r="U383" s="34">
        <f>IFERROR(VLOOKUP("16_"&amp;A383,SyS!$B:$P,10,FALSE()),0)</f>
        <v>0</v>
      </c>
      <c r="V383" s="35">
        <f>IFERROR(VLOOKUP("16_"&amp;A383,SyS!$B:$P,12,FALSE()),0)</f>
        <v>0</v>
      </c>
      <c r="W383" s="36">
        <f>+U383-V383</f>
        <v>0</v>
      </c>
      <c r="X383" s="34">
        <f>IFERROR(VLOOKUP("13_"&amp;A383,SyS!$B:$P,10,FALSE()),0)</f>
        <v>0</v>
      </c>
      <c r="Y383" s="35">
        <f>IFERROR(VLOOKUP("13_"&amp;A383,SyS!$B:$P,12,FALSE()),0)</f>
        <v>0</v>
      </c>
      <c r="Z383" s="36">
        <f>+X383-Y383</f>
        <v>0</v>
      </c>
      <c r="AA383" s="34">
        <f>IFERROR(VLOOKUP("17_"&amp;A383,SyS!$B:$P,10,FALSE()),0)</f>
        <v>0</v>
      </c>
      <c r="AB383" s="35">
        <f>IFERROR(VLOOKUP("17_"&amp;A383,SyS!$B:$P,12,FALSE()),0)</f>
        <v>0</v>
      </c>
      <c r="AC383" s="36">
        <f>+AA383-AB383</f>
        <v>0</v>
      </c>
      <c r="AD383" s="35"/>
      <c r="AE383" s="35"/>
      <c r="AF383" s="35"/>
      <c r="AG383" s="35">
        <f>IFERROR(VLOOKUP("19_"&amp;A383,SyS!$B:$P,10,FALSE()),0)</f>
        <v>0</v>
      </c>
      <c r="AH383" s="35">
        <f>IFERROR(VLOOKUP("19_"&amp;A383,SyS!$B:$P,12,FALSE()),0)</f>
        <v>0</v>
      </c>
      <c r="AI383" s="35">
        <f>+AG383-AH383</f>
        <v>0</v>
      </c>
      <c r="AJ383" s="35"/>
      <c r="AK383" s="35"/>
      <c r="AL383" s="35"/>
      <c r="AM383" s="34">
        <f>IFERROR(VLOOKUP("23_"&amp;A383,SyS!$B:$P,10,FALSE()),0)</f>
        <v>0</v>
      </c>
      <c r="AN383" s="35">
        <f>IFERROR(VLOOKUP("23_"&amp;A383,SyS!$B:$P,12,FALSE()),0)</f>
        <v>0</v>
      </c>
      <c r="AO383" s="36">
        <f>+AM383-AN383</f>
        <v>0</v>
      </c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  <c r="BB383" s="40"/>
      <c r="BC383" s="40"/>
      <c r="BD383" s="40"/>
      <c r="BE383" s="40"/>
      <c r="BF383" s="40"/>
      <c r="BG383" s="40"/>
      <c r="BH383" s="40"/>
      <c r="BI383" s="40"/>
      <c r="BJ383" s="40"/>
      <c r="BK383" s="40">
        <f>IFERROR(VLOOKUP("29_"&amp;A383,SyS!$B:$P,10,FALSE()),0)</f>
        <v>0</v>
      </c>
      <c r="BL383" s="40">
        <f>IFERROR(VLOOKUP("29_"&amp;A383,SyS!$B:$P,12,FALSE()),0)</f>
        <v>0</v>
      </c>
      <c r="BM383" s="40">
        <f>+BK383-BL383</f>
        <v>0</v>
      </c>
      <c r="BN383" s="46">
        <f>IFERROR(VLOOKUP("30_"&amp;A383,SyS!$B:$P,10,FALSE()),0)</f>
        <v>0</v>
      </c>
      <c r="BO383" s="40">
        <f>IFERROR(VLOOKUP("30_"&amp;A383,SyS!$B:$P,12,FALSE()),0)</f>
        <v>0</v>
      </c>
      <c r="BP383" s="47">
        <f>+BN383-BO383</f>
        <v>0</v>
      </c>
      <c r="BQ383" s="45">
        <f>+E383+H383+K383+N383+Q383+T383+W383+Z383+AC383+AF383+AI383+AL383+AO383+AR383+AU383+AX383+BA383+BD383+BG383+BJ383+BM383+BP383</f>
        <v>0</v>
      </c>
    </row>
    <row r="384" ht="11.25" customHeight="1" spans="1:69" x14ac:dyDescent="0.25">
      <c r="A384" s="9">
        <v>429940000</v>
      </c>
      <c r="B384" s="9" t="s">
        <v>417</v>
      </c>
      <c r="C384" s="34">
        <f>IFERROR(VLOOKUP("1_"&amp;A384,SyS!$B:$P,10,FALSE()),0)</f>
        <v>0</v>
      </c>
      <c r="D384" s="35">
        <f>IFERROR(VLOOKUP("1_"&amp;A384,SyS!$B:$P,12,FALSE()),0)</f>
        <v>0</v>
      </c>
      <c r="E384" s="35">
        <f>+C384-D384</f>
        <v>0</v>
      </c>
      <c r="F384" s="34">
        <f>IFERROR(VLOOKUP("2_"&amp;A384,SyS!$B:$P,10,FALSE()),0)</f>
        <v>0</v>
      </c>
      <c r="G384" s="35">
        <f>IFERROR(VLOOKUP("2_"&amp;A384,SyS!$B:$P,12,FALSE()),0)</f>
        <v>0</v>
      </c>
      <c r="H384" s="36">
        <f>+F384-G384</f>
        <v>0</v>
      </c>
      <c r="I384" s="35"/>
      <c r="J384" s="35"/>
      <c r="K384" s="35"/>
      <c r="L384" s="35"/>
      <c r="M384" s="35"/>
      <c r="N384" s="35"/>
      <c r="O384" s="34">
        <f>IFERROR(VLOOKUP("14_"&amp;A384,SyS!$B:$P,10,FALSE()),0)</f>
        <v>0</v>
      </c>
      <c r="P384" s="35">
        <f>IFERROR(VLOOKUP("14_"&amp;A384,SyS!$B:$P,12,FALSE()),0)</f>
        <v>0</v>
      </c>
      <c r="Q384" s="36">
        <f>+O384-P384</f>
        <v>0</v>
      </c>
      <c r="R384" s="34">
        <f>IFERROR(VLOOKUP("15_"&amp;A384,SyS!$B:$P,10,FALSE()),0)</f>
        <v>0</v>
      </c>
      <c r="S384" s="35">
        <f>IFERROR(VLOOKUP("15_"&amp;A384,SyS!$B:$P,12,FALSE()),0)</f>
        <v>0</v>
      </c>
      <c r="T384" s="36">
        <f>+R384-S384</f>
        <v>0</v>
      </c>
      <c r="U384" s="34">
        <f>IFERROR(VLOOKUP("16_"&amp;A384,SyS!$B:$P,10,FALSE()),0)</f>
        <v>0</v>
      </c>
      <c r="V384" s="35">
        <f>IFERROR(VLOOKUP("16_"&amp;A384,SyS!$B:$P,12,FALSE()),0)</f>
        <v>0</v>
      </c>
      <c r="W384" s="36">
        <f>+U384-V384</f>
        <v>0</v>
      </c>
      <c r="X384" s="34">
        <f>IFERROR(VLOOKUP("13_"&amp;A384,SyS!$B:$P,10,FALSE()),0)</f>
        <v>0</v>
      </c>
      <c r="Y384" s="35">
        <f>IFERROR(VLOOKUP("13_"&amp;A384,SyS!$B:$P,12,FALSE()),0)</f>
        <v>0</v>
      </c>
      <c r="Z384" s="36">
        <f>+X384-Y384</f>
        <v>0</v>
      </c>
      <c r="AA384" s="34">
        <f>IFERROR(VLOOKUP("17_"&amp;A384,SyS!$B:$P,10,FALSE()),0)</f>
        <v>0</v>
      </c>
      <c r="AB384" s="35">
        <f>IFERROR(VLOOKUP("17_"&amp;A384,SyS!$B:$P,12,FALSE()),0)</f>
        <v>0</v>
      </c>
      <c r="AC384" s="36">
        <f>+AA384-AB384</f>
        <v>0</v>
      </c>
      <c r="AD384" s="35"/>
      <c r="AE384" s="35"/>
      <c r="AF384" s="35"/>
      <c r="AG384" s="35">
        <f>IFERROR(VLOOKUP("19_"&amp;A384,SyS!$B:$P,10,FALSE()),0)</f>
        <v>0</v>
      </c>
      <c r="AH384" s="35">
        <f>IFERROR(VLOOKUP("19_"&amp;A384,SyS!$B:$P,12,FALSE()),0)</f>
        <v>0</v>
      </c>
      <c r="AI384" s="35">
        <f>+AG384-AH384</f>
        <v>0</v>
      </c>
      <c r="AJ384" s="35"/>
      <c r="AK384" s="35"/>
      <c r="AL384" s="35"/>
      <c r="AM384" s="34">
        <f>IFERROR(VLOOKUP("23_"&amp;A384,SyS!$B:$P,10,FALSE()),0)</f>
        <v>0</v>
      </c>
      <c r="AN384" s="35">
        <f>IFERROR(VLOOKUP("23_"&amp;A384,SyS!$B:$P,12,FALSE()),0)</f>
        <v>0</v>
      </c>
      <c r="AO384" s="36">
        <f>+AM384-AN384</f>
        <v>0</v>
      </c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  <c r="BC384" s="40"/>
      <c r="BD384" s="40"/>
      <c r="BE384" s="40"/>
      <c r="BF384" s="40"/>
      <c r="BG384" s="40"/>
      <c r="BH384" s="40"/>
      <c r="BI384" s="40"/>
      <c r="BJ384" s="40"/>
      <c r="BK384" s="40">
        <f>IFERROR(VLOOKUP("29_"&amp;A384,SyS!$B:$P,10,FALSE()),0)</f>
        <v>0</v>
      </c>
      <c r="BL384" s="40">
        <f>IFERROR(VLOOKUP("29_"&amp;A384,SyS!$B:$P,12,FALSE()),0)</f>
        <v>0</v>
      </c>
      <c r="BM384" s="40">
        <f>+BK384-BL384</f>
        <v>0</v>
      </c>
      <c r="BN384" s="46">
        <f>IFERROR(VLOOKUP("30_"&amp;A384,SyS!$B:$P,10,FALSE()),0)</f>
        <v>0</v>
      </c>
      <c r="BO384" s="40">
        <f>IFERROR(VLOOKUP("30_"&amp;A384,SyS!$B:$P,12,FALSE()),0)</f>
        <v>0</v>
      </c>
      <c r="BP384" s="47">
        <f>+BN384-BO384</f>
        <v>0</v>
      </c>
      <c r="BQ384" s="45">
        <f>+E384+H384+K384+N384+Q384+T384+W384+Z384+AC384+AF384+AI384+AL384+AO384+AR384+AU384+AX384+BA384+BD384+BG384+BJ384+BM384+BP384</f>
        <v>0</v>
      </c>
    </row>
    <row r="385" ht="12" customHeight="1" spans="1:69" x14ac:dyDescent="0.25">
      <c r="A385" s="9">
        <v>429950000</v>
      </c>
      <c r="B385" s="9" t="s">
        <v>418</v>
      </c>
      <c r="C385" s="34">
        <f>IFERROR(VLOOKUP("1_"&amp;A385,SyS!$B:$P,10,FALSE()),0)</f>
        <v>0</v>
      </c>
      <c r="D385" s="35">
        <f>IFERROR(VLOOKUP("1_"&amp;A385,SyS!$B:$P,12,FALSE()),0)</f>
        <v>0</v>
      </c>
      <c r="E385" s="35">
        <f>+C385-D385</f>
        <v>0</v>
      </c>
      <c r="F385" s="34">
        <f>IFERROR(VLOOKUP("2_"&amp;A385,SyS!$B:$P,10,FALSE()),0)</f>
        <v>0</v>
      </c>
      <c r="G385" s="35">
        <f>IFERROR(VLOOKUP("2_"&amp;A385,SyS!$B:$P,12,FALSE()),0)</f>
        <v>0</v>
      </c>
      <c r="H385" s="36">
        <f>+F385-G385</f>
        <v>0</v>
      </c>
      <c r="I385" s="35"/>
      <c r="J385" s="35"/>
      <c r="K385" s="35"/>
      <c r="L385" s="35"/>
      <c r="M385" s="35"/>
      <c r="N385" s="35"/>
      <c r="O385" s="34">
        <f>IFERROR(VLOOKUP("14_"&amp;A385,SyS!$B:$P,10,FALSE()),0)</f>
        <v>0</v>
      </c>
      <c r="P385" s="35">
        <f>IFERROR(VLOOKUP("14_"&amp;A385,SyS!$B:$P,12,FALSE()),0)</f>
        <v>0</v>
      </c>
      <c r="Q385" s="36">
        <f>+O385-P385</f>
        <v>0</v>
      </c>
      <c r="R385" s="34">
        <f>IFERROR(VLOOKUP("15_"&amp;A385,SyS!$B:$P,10,FALSE()),0)</f>
        <v>0</v>
      </c>
      <c r="S385" s="35">
        <f>IFERROR(VLOOKUP("15_"&amp;A385,SyS!$B:$P,12,FALSE()),0)</f>
        <v>0</v>
      </c>
      <c r="T385" s="36">
        <f>+R385-S385</f>
        <v>0</v>
      </c>
      <c r="U385" s="34">
        <f>IFERROR(VLOOKUP("16_"&amp;A385,SyS!$B:$P,10,FALSE()),0)</f>
        <v>0</v>
      </c>
      <c r="V385" s="35">
        <f>IFERROR(VLOOKUP("16_"&amp;A385,SyS!$B:$P,12,FALSE()),0)</f>
        <v>0</v>
      </c>
      <c r="W385" s="36">
        <f>+U385-V385</f>
        <v>0</v>
      </c>
      <c r="X385" s="34">
        <f>IFERROR(VLOOKUP("13_"&amp;A385,SyS!$B:$P,10,FALSE()),0)</f>
        <v>0</v>
      </c>
      <c r="Y385" s="35">
        <f>IFERROR(VLOOKUP("13_"&amp;A385,SyS!$B:$P,12,FALSE()),0)</f>
        <v>0</v>
      </c>
      <c r="Z385" s="36">
        <f>+X385-Y385</f>
        <v>0</v>
      </c>
      <c r="AA385" s="34">
        <f>IFERROR(VLOOKUP("17_"&amp;A385,SyS!$B:$P,10,FALSE()),0)</f>
        <v>0</v>
      </c>
      <c r="AB385" s="35">
        <f>IFERROR(VLOOKUP("17_"&amp;A385,SyS!$B:$P,12,FALSE()),0)</f>
        <v>0</v>
      </c>
      <c r="AC385" s="36">
        <f>+AA385-AB385</f>
        <v>0</v>
      </c>
      <c r="AD385" s="35"/>
      <c r="AE385" s="35"/>
      <c r="AF385" s="35"/>
      <c r="AG385" s="35">
        <f>IFERROR(VLOOKUP("19_"&amp;A385,SyS!$B:$P,10,FALSE()),0)</f>
        <v>0</v>
      </c>
      <c r="AH385" s="35">
        <f>IFERROR(VLOOKUP("19_"&amp;A385,SyS!$B:$P,12,FALSE()),0)</f>
        <v>0</v>
      </c>
      <c r="AI385" s="35">
        <f>+AG385-AH385</f>
        <v>0</v>
      </c>
      <c r="AJ385" s="35"/>
      <c r="AK385" s="35"/>
      <c r="AL385" s="35"/>
      <c r="AM385" s="34">
        <f>IFERROR(VLOOKUP("23_"&amp;A385,SyS!$B:$P,10,FALSE()),0)</f>
        <v>0</v>
      </c>
      <c r="AN385" s="35">
        <f>IFERROR(VLOOKUP("23_"&amp;A385,SyS!$B:$P,12,FALSE()),0)</f>
        <v>0</v>
      </c>
      <c r="AO385" s="36">
        <f>+AM385-AN385</f>
        <v>0</v>
      </c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  <c r="BB385" s="40"/>
      <c r="BC385" s="40"/>
      <c r="BD385" s="40"/>
      <c r="BE385" s="40"/>
      <c r="BF385" s="40"/>
      <c r="BG385" s="40"/>
      <c r="BH385" s="40"/>
      <c r="BI385" s="40"/>
      <c r="BJ385" s="40"/>
      <c r="BK385" s="40">
        <f>IFERROR(VLOOKUP("29_"&amp;A385,SyS!$B:$P,10,FALSE()),0)</f>
        <v>0</v>
      </c>
      <c r="BL385" s="40">
        <f>IFERROR(VLOOKUP("29_"&amp;A385,SyS!$B:$P,12,FALSE()),0)</f>
        <v>0</v>
      </c>
      <c r="BM385" s="40">
        <f>+BK385-BL385</f>
        <v>0</v>
      </c>
      <c r="BN385" s="46">
        <f>IFERROR(VLOOKUP("30_"&amp;A385,SyS!$B:$P,10,FALSE()),0)</f>
        <v>0</v>
      </c>
      <c r="BO385" s="40">
        <f>IFERROR(VLOOKUP("30_"&amp;A385,SyS!$B:$P,12,FALSE()),0)</f>
        <v>0</v>
      </c>
      <c r="BP385" s="47">
        <f>+BN385-BO385</f>
        <v>0</v>
      </c>
      <c r="BQ385" s="45">
        <f>+E385+H385+K385+N385+Q385+T385+W385+Z385+AC385+AF385+AI385+AL385+AO385+AR385+AU385+AX385+BA385+BD385+BG385+BJ385+BM385+BP385</f>
        <v>0</v>
      </c>
    </row>
    <row r="386" ht="11.25" customHeight="1" spans="1:69" x14ac:dyDescent="0.25">
      <c r="A386" s="9">
        <v>429960000</v>
      </c>
      <c r="B386" s="9" t="s">
        <v>419</v>
      </c>
      <c r="C386" s="34">
        <f>IFERROR(VLOOKUP("1_"&amp;A386,SyS!$B:$P,10,FALSE()),0)</f>
        <v>0</v>
      </c>
      <c r="D386" s="35">
        <f>IFERROR(VLOOKUP("1_"&amp;A386,SyS!$B:$P,12,FALSE()),0)</f>
        <v>0</v>
      </c>
      <c r="E386" s="35">
        <f>+C386-D386</f>
        <v>0</v>
      </c>
      <c r="F386" s="34">
        <f>IFERROR(VLOOKUP("2_"&amp;A386,SyS!$B:$P,10,FALSE()),0)</f>
        <v>0</v>
      </c>
      <c r="G386" s="35">
        <f>IFERROR(VLOOKUP("2_"&amp;A386,SyS!$B:$P,12,FALSE()),0)</f>
        <v>0</v>
      </c>
      <c r="H386" s="36">
        <f>+F386-G386</f>
        <v>0</v>
      </c>
      <c r="I386" s="35"/>
      <c r="J386" s="35"/>
      <c r="K386" s="35"/>
      <c r="L386" s="35"/>
      <c r="M386" s="35"/>
      <c r="N386" s="35"/>
      <c r="O386" s="34">
        <f>IFERROR(VLOOKUP("14_"&amp;A386,SyS!$B:$P,10,FALSE()),0)</f>
        <v>0</v>
      </c>
      <c r="P386" s="35">
        <f>IFERROR(VLOOKUP("14_"&amp;A386,SyS!$B:$P,12,FALSE()),0)</f>
        <v>0</v>
      </c>
      <c r="Q386" s="36">
        <f>+O386-P386</f>
        <v>0</v>
      </c>
      <c r="R386" s="34">
        <f>IFERROR(VLOOKUP("15_"&amp;A386,SyS!$B:$P,10,FALSE()),0)</f>
        <v>0</v>
      </c>
      <c r="S386" s="35">
        <f>IFERROR(VLOOKUP("15_"&amp;A386,SyS!$B:$P,12,FALSE()),0)</f>
        <v>0</v>
      </c>
      <c r="T386" s="36">
        <f>+R386-S386</f>
        <v>0</v>
      </c>
      <c r="U386" s="34">
        <f>IFERROR(VLOOKUP("16_"&amp;A386,SyS!$B:$P,10,FALSE()),0)</f>
        <v>0</v>
      </c>
      <c r="V386" s="35">
        <f>IFERROR(VLOOKUP("16_"&amp;A386,SyS!$B:$P,12,FALSE()),0)</f>
        <v>0</v>
      </c>
      <c r="W386" s="36">
        <f>+U386-V386</f>
        <v>0</v>
      </c>
      <c r="X386" s="34">
        <f>IFERROR(VLOOKUP("13_"&amp;A386,SyS!$B:$P,10,FALSE()),0)</f>
        <v>0</v>
      </c>
      <c r="Y386" s="35">
        <f>IFERROR(VLOOKUP("13_"&amp;A386,SyS!$B:$P,12,FALSE()),0)</f>
        <v>0</v>
      </c>
      <c r="Z386" s="36">
        <f>+X386-Y386</f>
        <v>0</v>
      </c>
      <c r="AA386" s="34">
        <f>IFERROR(VLOOKUP("17_"&amp;A386,SyS!$B:$P,10,FALSE()),0)</f>
        <v>0</v>
      </c>
      <c r="AB386" s="35">
        <f>IFERROR(VLOOKUP("17_"&amp;A386,SyS!$B:$P,12,FALSE()),0)</f>
        <v>0</v>
      </c>
      <c r="AC386" s="36">
        <f>+AA386-AB386</f>
        <v>0</v>
      </c>
      <c r="AD386" s="35"/>
      <c r="AE386" s="35"/>
      <c r="AF386" s="35"/>
      <c r="AG386" s="35">
        <f>IFERROR(VLOOKUP("19_"&amp;A386,SyS!$B:$P,10,FALSE()),0)</f>
        <v>0</v>
      </c>
      <c r="AH386" s="35">
        <f>IFERROR(VLOOKUP("19_"&amp;A386,SyS!$B:$P,12,FALSE()),0)</f>
        <v>0</v>
      </c>
      <c r="AI386" s="35">
        <f>+AG386-AH386</f>
        <v>0</v>
      </c>
      <c r="AJ386" s="35"/>
      <c r="AK386" s="35"/>
      <c r="AL386" s="35"/>
      <c r="AM386" s="34">
        <f>IFERROR(VLOOKUP("23_"&amp;A386,SyS!$B:$P,10,FALSE()),0)</f>
        <v>0</v>
      </c>
      <c r="AN386" s="35">
        <f>IFERROR(VLOOKUP("23_"&amp;A386,SyS!$B:$P,12,FALSE()),0)</f>
        <v>0</v>
      </c>
      <c r="AO386" s="36">
        <f>+AM386-AN386</f>
        <v>0</v>
      </c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  <c r="BB386" s="40"/>
      <c r="BC386" s="40"/>
      <c r="BD386" s="40"/>
      <c r="BE386" s="40"/>
      <c r="BF386" s="40"/>
      <c r="BG386" s="40"/>
      <c r="BH386" s="40"/>
      <c r="BI386" s="40"/>
      <c r="BJ386" s="40"/>
      <c r="BK386" s="40">
        <f>IFERROR(VLOOKUP("29_"&amp;A386,SyS!$B:$P,10,FALSE()),0)</f>
        <v>0</v>
      </c>
      <c r="BL386" s="40">
        <f>IFERROR(VLOOKUP("29_"&amp;A386,SyS!$B:$P,12,FALSE()),0)</f>
        <v>0</v>
      </c>
      <c r="BM386" s="40">
        <f>+BK386-BL386</f>
        <v>0</v>
      </c>
      <c r="BN386" s="46">
        <f>IFERROR(VLOOKUP("30_"&amp;A386,SyS!$B:$P,10,FALSE()),0)</f>
        <v>0</v>
      </c>
      <c r="BO386" s="40">
        <f>IFERROR(VLOOKUP("30_"&amp;A386,SyS!$B:$P,12,FALSE()),0)</f>
        <v>0</v>
      </c>
      <c r="BP386" s="47">
        <f>+BN386-BO386</f>
        <v>0</v>
      </c>
      <c r="BQ386" s="45">
        <f>+E386+H386+K386+N386+Q386+T386+W386+Z386+AC386+AF386+AI386+AL386+AO386+AR386+AU386+AX386+BA386+BD386+BG386+BJ386+BM386+BP386</f>
        <v>0</v>
      </c>
    </row>
    <row r="387" ht="11.25" customHeight="1" spans="1:69" x14ac:dyDescent="0.25">
      <c r="A387" s="51"/>
      <c r="B387" s="52" t="s">
        <v>420</v>
      </c>
      <c r="C387" s="34">
        <f>IFERROR(VLOOKUP("1_"&amp;A386,SyS!$B:$P,10,FALSE()),0)</f>
        <v>0</v>
      </c>
      <c r="D387" s="35">
        <f>IFERROR(VLOOKUP("1_"&amp;A386,SyS!$B:$P,12,FALSE()),0)</f>
        <v>0</v>
      </c>
      <c r="E387" s="35">
        <f>+C386-D386</f>
        <v>0</v>
      </c>
      <c r="F387" s="34"/>
      <c r="G387" s="35"/>
      <c r="H387" s="36"/>
      <c r="I387" s="35"/>
      <c r="J387" s="35"/>
      <c r="K387" s="35"/>
      <c r="L387" s="35"/>
      <c r="M387" s="35"/>
      <c r="N387" s="35"/>
      <c r="O387" s="34"/>
      <c r="P387" s="35"/>
      <c r="Q387" s="36"/>
      <c r="R387" s="34"/>
      <c r="S387" s="35"/>
      <c r="T387" s="36"/>
      <c r="U387" s="34"/>
      <c r="V387" s="35"/>
      <c r="W387" s="36"/>
      <c r="X387" s="34"/>
      <c r="Y387" s="35"/>
      <c r="Z387" s="36"/>
      <c r="AA387" s="34"/>
      <c r="AB387" s="35"/>
      <c r="AC387" s="36"/>
      <c r="AD387" s="35"/>
      <c r="AE387" s="35"/>
      <c r="AF387" s="35"/>
      <c r="AG387" s="35"/>
      <c r="AH387" s="35"/>
      <c r="AI387" s="35"/>
      <c r="AJ387" s="35"/>
      <c r="AK387" s="35"/>
      <c r="AL387" s="35"/>
      <c r="AM387" s="34"/>
      <c r="AN387" s="35"/>
      <c r="AO387" s="36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  <c r="BB387" s="40"/>
      <c r="BC387" s="40"/>
      <c r="BD387" s="40"/>
      <c r="BE387" s="40"/>
      <c r="BF387" s="40"/>
      <c r="BG387" s="40"/>
      <c r="BH387" s="40"/>
      <c r="BI387" s="40"/>
      <c r="BJ387" s="40"/>
      <c r="BK387" s="40"/>
      <c r="BL387" s="40"/>
      <c r="BM387" s="40"/>
      <c r="BN387" s="46"/>
      <c r="BO387" s="40"/>
      <c r="BP387" s="47"/>
      <c r="BQ387" s="45"/>
    </row>
    <row r="388" ht="11.25" customHeight="1" spans="1:69" x14ac:dyDescent="0.25">
      <c r="A388" s="9">
        <v>426560000</v>
      </c>
      <c r="B388" s="9" t="s">
        <v>421</v>
      </c>
      <c r="C388" s="34">
        <f>IFERROR(VLOOKUP("1_"&amp;A388,SyS!$B:$P,10,FALSE()),0)</f>
        <v>0</v>
      </c>
      <c r="D388" s="35">
        <f>IFERROR(VLOOKUP("1_"&amp;A388,SyS!$B:$P,12,FALSE()),0)</f>
        <v>0</v>
      </c>
      <c r="E388" s="35">
        <f>+C388-D388</f>
        <v>0</v>
      </c>
      <c r="F388" s="34">
        <f>IFERROR(VLOOKUP("2_"&amp;A388,SyS!$B:$P,10,FALSE()),0)</f>
        <v>0</v>
      </c>
      <c r="G388" s="35">
        <f>IFERROR(VLOOKUP("2_"&amp;A388,SyS!$B:$P,12,FALSE()),0)</f>
        <v>0</v>
      </c>
      <c r="H388" s="36">
        <f>+F388-G388</f>
        <v>0</v>
      </c>
      <c r="I388" s="35"/>
      <c r="J388" s="35"/>
      <c r="K388" s="35"/>
      <c r="L388" s="35"/>
      <c r="M388" s="35"/>
      <c r="N388" s="35"/>
      <c r="O388" s="34">
        <f>IFERROR(VLOOKUP("14_"&amp;A388,SyS!$B:$P,10,FALSE()),0)</f>
        <v>0</v>
      </c>
      <c r="P388" s="35">
        <f>IFERROR(VLOOKUP("14_"&amp;A388,SyS!$B:$P,12,FALSE()),0)</f>
        <v>0</v>
      </c>
      <c r="Q388" s="36">
        <f>+O388-P388</f>
        <v>0</v>
      </c>
      <c r="R388" s="34">
        <f>IFERROR(VLOOKUP("15_"&amp;A388,SyS!$B:$P,10,FALSE()),0)</f>
        <v>0</v>
      </c>
      <c r="S388" s="35">
        <f>IFERROR(VLOOKUP("15_"&amp;A388,SyS!$B:$P,12,FALSE()),0)</f>
        <v>0</v>
      </c>
      <c r="T388" s="36">
        <f>+R388-S388</f>
        <v>0</v>
      </c>
      <c r="U388" s="34">
        <f>IFERROR(VLOOKUP("16_"&amp;A388,SyS!$B:$P,10,FALSE()),0)</f>
        <v>0</v>
      </c>
      <c r="V388" s="35">
        <f>IFERROR(VLOOKUP("16_"&amp;A388,SyS!$B:$P,12,FALSE()),0)</f>
        <v>0</v>
      </c>
      <c r="W388" s="36">
        <f>+U388-V388</f>
        <v>0</v>
      </c>
      <c r="X388" s="34">
        <f>IFERROR(VLOOKUP("13_"&amp;A388,SyS!$B:$P,10,FALSE()),0)</f>
        <v>0</v>
      </c>
      <c r="Y388" s="35">
        <f>IFERROR(VLOOKUP("13_"&amp;A388,SyS!$B:$P,12,FALSE()),0)</f>
        <v>0</v>
      </c>
      <c r="Z388" s="36">
        <f>+X388-Y388</f>
        <v>0</v>
      </c>
      <c r="AA388" s="34">
        <f>IFERROR(VLOOKUP("17_"&amp;A388,SyS!$B:$P,10,FALSE()),0)</f>
        <v>0</v>
      </c>
      <c r="AB388" s="35">
        <f>IFERROR(VLOOKUP("17_"&amp;A388,SyS!$B:$P,12,FALSE()),0)</f>
        <v>0</v>
      </c>
      <c r="AC388" s="36">
        <f>+AA388-AB388</f>
        <v>0</v>
      </c>
      <c r="AD388" s="35"/>
      <c r="AE388" s="35"/>
      <c r="AF388" s="35"/>
      <c r="AG388" s="35">
        <f>IFERROR(VLOOKUP("19_"&amp;A388,SyS!$B:$P,10,FALSE()),0)</f>
        <v>0</v>
      </c>
      <c r="AH388" s="35">
        <f>IFERROR(VLOOKUP("19_"&amp;A388,SyS!$B:$P,12,FALSE()),0)</f>
        <v>0</v>
      </c>
      <c r="AI388" s="35">
        <f>+AG388-AH388</f>
        <v>0</v>
      </c>
      <c r="AJ388" s="35"/>
      <c r="AK388" s="35"/>
      <c r="AL388" s="35"/>
      <c r="AM388" s="34">
        <f>IFERROR(VLOOKUP("23_"&amp;A388,SyS!$B:$P,10,FALSE()),0)</f>
        <v>0</v>
      </c>
      <c r="AN388" s="35">
        <f>IFERROR(VLOOKUP("23_"&amp;A388,SyS!$B:$P,12,FALSE()),0)</f>
        <v>0</v>
      </c>
      <c r="AO388" s="36">
        <f>+AM388-AN388</f>
        <v>0</v>
      </c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  <c r="BB388" s="40"/>
      <c r="BC388" s="40"/>
      <c r="BD388" s="40"/>
      <c r="BE388" s="40"/>
      <c r="BF388" s="40"/>
      <c r="BG388" s="40"/>
      <c r="BH388" s="40"/>
      <c r="BI388" s="40"/>
      <c r="BJ388" s="40"/>
      <c r="BK388" s="40">
        <f>IFERROR(VLOOKUP("29_"&amp;A388,SyS!$B:$P,10,FALSE()),0)</f>
        <v>0</v>
      </c>
      <c r="BL388" s="40">
        <f>IFERROR(VLOOKUP("29_"&amp;A388,SyS!$B:$P,12,FALSE()),0)</f>
        <v>0</v>
      </c>
      <c r="BM388" s="40">
        <f>+BK388-BL388</f>
        <v>0</v>
      </c>
      <c r="BN388" s="46">
        <f>IFERROR(VLOOKUP("30_"&amp;A388,SyS!$B:$P,10,FALSE()),0)</f>
        <v>0</v>
      </c>
      <c r="BO388" s="40">
        <f>IFERROR(VLOOKUP("30_"&amp;A388,SyS!$B:$P,12,FALSE()),0)</f>
        <v>0</v>
      </c>
      <c r="BP388" s="47">
        <f>+BN388-BO388</f>
        <v>0</v>
      </c>
      <c r="BQ388" s="45">
        <f>+E388+H388+K388+N388+Q388+T388+W388+Z388+AC388+AF388+AI388+AL388+AO388+AR388+AU388+AX388+BA388+BD388+BG388+BJ388+BM388+BP388</f>
        <v>0</v>
      </c>
    </row>
    <row r="389" ht="11.25" customHeight="1" spans="1:69" x14ac:dyDescent="0.25">
      <c r="A389" s="9">
        <v>426570000</v>
      </c>
      <c r="B389" s="9" t="s">
        <v>422</v>
      </c>
      <c r="C389" s="34">
        <f>IFERROR(VLOOKUP("1_"&amp;A389,SyS!$B:$P,10,FALSE()),0)</f>
        <v>0</v>
      </c>
      <c r="D389" s="35">
        <f>IFERROR(VLOOKUP("1_"&amp;A389,SyS!$B:$P,12,FALSE()),0)</f>
        <v>0</v>
      </c>
      <c r="E389" s="35">
        <f>+C389-D389</f>
        <v>0</v>
      </c>
      <c r="F389" s="34">
        <f>IFERROR(VLOOKUP("2_"&amp;A389,SyS!$B:$P,10,FALSE()),0)</f>
        <v>0</v>
      </c>
      <c r="G389" s="35">
        <f>IFERROR(VLOOKUP("2_"&amp;A389,SyS!$B:$P,12,FALSE()),0)</f>
        <v>0</v>
      </c>
      <c r="H389" s="36">
        <f>+F389-G389</f>
        <v>0</v>
      </c>
      <c r="I389" s="35"/>
      <c r="J389" s="35"/>
      <c r="K389" s="35"/>
      <c r="L389" s="35"/>
      <c r="M389" s="35"/>
      <c r="N389" s="35"/>
      <c r="O389" s="34">
        <f>IFERROR(VLOOKUP("14_"&amp;A389,SyS!$B:$P,10,FALSE()),0)</f>
        <v>0</v>
      </c>
      <c r="P389" s="35">
        <f>IFERROR(VLOOKUP("14_"&amp;A389,SyS!$B:$P,12,FALSE()),0)</f>
        <v>0</v>
      </c>
      <c r="Q389" s="36">
        <f>+O389-P389</f>
        <v>0</v>
      </c>
      <c r="R389" s="34">
        <f>IFERROR(VLOOKUP("15_"&amp;A389,SyS!$B:$P,10,FALSE()),0)</f>
        <v>0</v>
      </c>
      <c r="S389" s="35">
        <f>IFERROR(VLOOKUP("15_"&amp;A389,SyS!$B:$P,12,FALSE()),0)</f>
        <v>0</v>
      </c>
      <c r="T389" s="36">
        <f>+R389-S389</f>
        <v>0</v>
      </c>
      <c r="U389" s="34">
        <f>IFERROR(VLOOKUP("16_"&amp;A389,SyS!$B:$P,10,FALSE()),0)</f>
        <v>0</v>
      </c>
      <c r="V389" s="35">
        <f>IFERROR(VLOOKUP("16_"&amp;A389,SyS!$B:$P,12,FALSE()),0)</f>
        <v>0</v>
      </c>
      <c r="W389" s="36">
        <f>+U389-V389</f>
        <v>0</v>
      </c>
      <c r="X389" s="34">
        <f>IFERROR(VLOOKUP("13_"&amp;A389,SyS!$B:$P,10,FALSE()),0)</f>
        <v>0</v>
      </c>
      <c r="Y389" s="35">
        <f>IFERROR(VLOOKUP("13_"&amp;A389,SyS!$B:$P,12,FALSE()),0)</f>
        <v>0</v>
      </c>
      <c r="Z389" s="36">
        <f>+X389-Y389</f>
        <v>0</v>
      </c>
      <c r="AA389" s="34">
        <f>IFERROR(VLOOKUP("17_"&amp;A389,SyS!$B:$P,10,FALSE()),0)</f>
        <v>0</v>
      </c>
      <c r="AB389" s="35">
        <f>IFERROR(VLOOKUP("17_"&amp;A389,SyS!$B:$P,12,FALSE()),0)</f>
        <v>0</v>
      </c>
      <c r="AC389" s="36">
        <f>+AA389-AB389</f>
        <v>0</v>
      </c>
      <c r="AD389" s="35"/>
      <c r="AE389" s="35"/>
      <c r="AF389" s="35"/>
      <c r="AG389" s="35">
        <f>IFERROR(VLOOKUP("19_"&amp;A389,SyS!$B:$P,10,FALSE()),0)</f>
        <v>0</v>
      </c>
      <c r="AH389" s="35">
        <f>IFERROR(VLOOKUP("19_"&amp;A389,SyS!$B:$P,12,FALSE()),0)</f>
        <v>0</v>
      </c>
      <c r="AI389" s="35">
        <f>+AG389-AH389</f>
        <v>0</v>
      </c>
      <c r="AJ389" s="35"/>
      <c r="AK389" s="35"/>
      <c r="AL389" s="35"/>
      <c r="AM389" s="34">
        <f>IFERROR(VLOOKUP("23_"&amp;A389,SyS!$B:$P,10,FALSE()),0)</f>
        <v>0</v>
      </c>
      <c r="AN389" s="35">
        <f>IFERROR(VLOOKUP("23_"&amp;A389,SyS!$B:$P,12,FALSE()),0)</f>
        <v>0</v>
      </c>
      <c r="AO389" s="36">
        <f>+AM389-AN389</f>
        <v>0</v>
      </c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  <c r="BC389" s="40"/>
      <c r="BD389" s="40"/>
      <c r="BE389" s="40"/>
      <c r="BF389" s="40"/>
      <c r="BG389" s="40"/>
      <c r="BH389" s="40"/>
      <c r="BI389" s="40"/>
      <c r="BJ389" s="40"/>
      <c r="BK389" s="40">
        <f>IFERROR(VLOOKUP("29_"&amp;A389,SyS!$B:$P,10,FALSE()),0)</f>
        <v>0</v>
      </c>
      <c r="BL389" s="40">
        <f>IFERROR(VLOOKUP("29_"&amp;A389,SyS!$B:$P,12,FALSE()),0)</f>
        <v>0</v>
      </c>
      <c r="BM389" s="40">
        <f>+BK389-BL389</f>
        <v>0</v>
      </c>
      <c r="BN389" s="46">
        <f>IFERROR(VLOOKUP("30_"&amp;A389,SyS!$B:$P,10,FALSE()),0)</f>
        <v>0</v>
      </c>
      <c r="BO389" s="40">
        <f>IFERROR(VLOOKUP("30_"&amp;A389,SyS!$B:$P,12,FALSE()),0)</f>
        <v>0</v>
      </c>
      <c r="BP389" s="47">
        <f>+BN389-BO389</f>
        <v>0</v>
      </c>
      <c r="BQ389" s="45">
        <f>+E389+H389+K389+N389+Q389+T389+W389+Z389+AC389+AF389+AI389+AL389+AO389+AR389+AU389+AX389+BA389+BD389+BG389+BJ389+BM389+BP389</f>
        <v>0</v>
      </c>
    </row>
    <row r="390" ht="11.25" customHeight="1" spans="1:69" x14ac:dyDescent="0.25">
      <c r="A390" s="9">
        <v>421570000</v>
      </c>
      <c r="B390" s="9" t="s">
        <v>423</v>
      </c>
      <c r="C390" s="34">
        <f>IFERROR(VLOOKUP("1_"&amp;A390,SyS!$B:$P,10,FALSE()),0)</f>
        <v>0</v>
      </c>
      <c r="D390" s="35">
        <f>IFERROR(VLOOKUP("1_"&amp;A390,SyS!$B:$P,12,FALSE()),0)</f>
        <v>0</v>
      </c>
      <c r="E390" s="35">
        <f>+C390-D390</f>
        <v>0</v>
      </c>
      <c r="F390" s="34">
        <f>IFERROR(VLOOKUP("2_"&amp;A390,SyS!$B:$P,10,FALSE()),0)</f>
        <v>0</v>
      </c>
      <c r="G390" s="35">
        <f>IFERROR(VLOOKUP("2_"&amp;A390,SyS!$B:$P,12,FALSE()),0)</f>
        <v>0</v>
      </c>
      <c r="H390" s="36">
        <f>+F390-G390</f>
        <v>0</v>
      </c>
      <c r="I390" s="35"/>
      <c r="J390" s="35"/>
      <c r="K390" s="35"/>
      <c r="L390" s="35"/>
      <c r="M390" s="35"/>
      <c r="N390" s="35"/>
      <c r="O390" s="34">
        <f>IFERROR(VLOOKUP("14_"&amp;A390,SyS!$B:$P,10,FALSE()),0)</f>
        <v>0</v>
      </c>
      <c r="P390" s="35">
        <f>IFERROR(VLOOKUP("14_"&amp;A390,SyS!$B:$P,12,FALSE()),0)</f>
        <v>0</v>
      </c>
      <c r="Q390" s="36">
        <f>+O390-P390</f>
        <v>0</v>
      </c>
      <c r="R390" s="34">
        <f>IFERROR(VLOOKUP("15_"&amp;A390,SyS!$B:$P,10,FALSE()),0)</f>
        <v>0</v>
      </c>
      <c r="S390" s="35">
        <f>IFERROR(VLOOKUP("15_"&amp;A390,SyS!$B:$P,12,FALSE()),0)</f>
        <v>0</v>
      </c>
      <c r="T390" s="36">
        <f>+R390-S390</f>
        <v>0</v>
      </c>
      <c r="U390" s="34">
        <f>IFERROR(VLOOKUP("16_"&amp;A390,SyS!$B:$P,10,FALSE()),0)</f>
        <v>0</v>
      </c>
      <c r="V390" s="35">
        <f>IFERROR(VLOOKUP("16_"&amp;A390,SyS!$B:$P,12,FALSE()),0)</f>
        <v>0</v>
      </c>
      <c r="W390" s="36">
        <f>+U390-V390</f>
        <v>0</v>
      </c>
      <c r="X390" s="34">
        <f>IFERROR(VLOOKUP("13_"&amp;A390,SyS!$B:$P,10,FALSE()),0)</f>
        <v>0</v>
      </c>
      <c r="Y390" s="35">
        <f>IFERROR(VLOOKUP("13_"&amp;A390,SyS!$B:$P,12,FALSE()),0)</f>
        <v>0</v>
      </c>
      <c r="Z390" s="36">
        <f>+X390-Y390</f>
        <v>0</v>
      </c>
      <c r="AA390" s="34">
        <f>IFERROR(VLOOKUP("17_"&amp;A390,SyS!$B:$P,10,FALSE()),0)</f>
        <v>0</v>
      </c>
      <c r="AB390" s="35">
        <f>IFERROR(VLOOKUP("17_"&amp;A390,SyS!$B:$P,12,FALSE()),0)</f>
        <v>0</v>
      </c>
      <c r="AC390" s="36">
        <f>+AA390-AB390</f>
        <v>0</v>
      </c>
      <c r="AD390" s="35"/>
      <c r="AE390" s="35"/>
      <c r="AF390" s="35"/>
      <c r="AG390" s="35">
        <f>IFERROR(VLOOKUP("19_"&amp;A390,SyS!$B:$P,10,FALSE()),0)</f>
        <v>0</v>
      </c>
      <c r="AH390" s="35">
        <f>IFERROR(VLOOKUP("19_"&amp;A390,SyS!$B:$P,12,FALSE()),0)</f>
        <v>0</v>
      </c>
      <c r="AI390" s="35">
        <f>+AG390-AH390</f>
        <v>0</v>
      </c>
      <c r="AJ390" s="35"/>
      <c r="AK390" s="35"/>
      <c r="AL390" s="35"/>
      <c r="AM390" s="34">
        <f>IFERROR(VLOOKUP("23_"&amp;A390,SyS!$B:$P,10,FALSE()),0)</f>
        <v>0</v>
      </c>
      <c r="AN390" s="35">
        <f>IFERROR(VLOOKUP("23_"&amp;A390,SyS!$B:$P,12,FALSE()),0)</f>
        <v>0</v>
      </c>
      <c r="AO390" s="36">
        <f>+AM390-AN390</f>
        <v>0</v>
      </c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  <c r="BC390" s="40"/>
      <c r="BD390" s="40"/>
      <c r="BE390" s="40"/>
      <c r="BF390" s="40"/>
      <c r="BG390" s="40"/>
      <c r="BH390" s="40"/>
      <c r="BI390" s="40"/>
      <c r="BJ390" s="40"/>
      <c r="BK390" s="40">
        <f>IFERROR(VLOOKUP("29_"&amp;A390,SyS!$B:$P,10,FALSE()),0)</f>
        <v>0</v>
      </c>
      <c r="BL390" s="40">
        <f>IFERROR(VLOOKUP("29_"&amp;A390,SyS!$B:$P,12,FALSE()),0)</f>
        <v>0</v>
      </c>
      <c r="BM390" s="40">
        <f>+BK390-BL390</f>
        <v>0</v>
      </c>
      <c r="BN390" s="46">
        <f>IFERROR(VLOOKUP("30_"&amp;A390,SyS!$B:$P,10,FALSE()),0)</f>
        <v>0</v>
      </c>
      <c r="BO390" s="40">
        <f>IFERROR(VLOOKUP("30_"&amp;A390,SyS!$B:$P,12,FALSE()),0)</f>
        <v>0</v>
      </c>
      <c r="BP390" s="47">
        <f>+BN390-BO390</f>
        <v>0</v>
      </c>
      <c r="BQ390" s="45">
        <f>+E390+H390+K390+N390+Q390+T390+W390+Z390+AC390+AF390+AI390+AL390+AO390+AR390+AU390+AX390+BA390+BD390+BG390+BJ390+BM390+BP390</f>
        <v>0</v>
      </c>
    </row>
    <row r="391" ht="11.25" customHeight="1" spans="1:69" x14ac:dyDescent="0.25">
      <c r="A391" s="9">
        <v>421210000</v>
      </c>
      <c r="B391" s="9" t="s">
        <v>424</v>
      </c>
      <c r="C391" s="34">
        <f>IFERROR(VLOOKUP("1_"&amp;A391,SyS!$B:$P,10,FALSE()),0)</f>
        <v>0</v>
      </c>
      <c r="D391" s="35">
        <f>IFERROR(VLOOKUP("1_"&amp;A391,SyS!$B:$P,12,FALSE()),0)</f>
        <v>0</v>
      </c>
      <c r="E391" s="35">
        <f>+C391-D391</f>
        <v>0</v>
      </c>
      <c r="F391" s="34">
        <f>IFERROR(VLOOKUP("2_"&amp;A391,SyS!$B:$P,10,FALSE()),0)</f>
        <v>0</v>
      </c>
      <c r="G391" s="35">
        <f>IFERROR(VLOOKUP("2_"&amp;A391,SyS!$B:$P,12,FALSE()),0)</f>
        <v>0</v>
      </c>
      <c r="H391" s="36">
        <f>+F391-G391</f>
        <v>0</v>
      </c>
      <c r="I391" s="35"/>
      <c r="J391" s="35"/>
      <c r="K391" s="35"/>
      <c r="L391" s="35"/>
      <c r="M391" s="35"/>
      <c r="N391" s="35"/>
      <c r="O391" s="34">
        <f>IFERROR(VLOOKUP("14_"&amp;A391,SyS!$B:$P,10,FALSE()),0)</f>
        <v>0</v>
      </c>
      <c r="P391" s="35">
        <f>IFERROR(VLOOKUP("14_"&amp;A391,SyS!$B:$P,12,FALSE()),0)</f>
        <v>0</v>
      </c>
      <c r="Q391" s="36">
        <f>+O391-P391</f>
        <v>0</v>
      </c>
      <c r="R391" s="34">
        <f>IFERROR(VLOOKUP("15_"&amp;A391,SyS!$B:$P,10,FALSE()),0)</f>
        <v>0</v>
      </c>
      <c r="S391" s="35">
        <f>IFERROR(VLOOKUP("15_"&amp;A391,SyS!$B:$P,12,FALSE()),0)</f>
        <v>0</v>
      </c>
      <c r="T391" s="36">
        <f>+R391-S391</f>
        <v>0</v>
      </c>
      <c r="U391" s="34">
        <f>IFERROR(VLOOKUP("16_"&amp;A391,SyS!$B:$P,10,FALSE()),0)</f>
        <v>0</v>
      </c>
      <c r="V391" s="35">
        <f>IFERROR(VLOOKUP("16_"&amp;A391,SyS!$B:$P,12,FALSE()),0)</f>
        <v>0</v>
      </c>
      <c r="W391" s="36">
        <f>+U391-V391</f>
        <v>0</v>
      </c>
      <c r="X391" s="34">
        <f>IFERROR(VLOOKUP("13_"&amp;A391,SyS!$B:$P,10,FALSE()),0)</f>
        <v>0</v>
      </c>
      <c r="Y391" s="35">
        <f>IFERROR(VLOOKUP("13_"&amp;A391,SyS!$B:$P,12,FALSE()),0)</f>
        <v>0</v>
      </c>
      <c r="Z391" s="36">
        <f>+X391-Y391</f>
        <v>0</v>
      </c>
      <c r="AA391" s="34">
        <f>IFERROR(VLOOKUP("17_"&amp;A391,SyS!$B:$P,10,FALSE()),0)</f>
        <v>0</v>
      </c>
      <c r="AB391" s="35">
        <f>IFERROR(VLOOKUP("17_"&amp;A391,SyS!$B:$P,12,FALSE()),0)</f>
        <v>0</v>
      </c>
      <c r="AC391" s="36">
        <f>+AA391-AB391</f>
        <v>0</v>
      </c>
      <c r="AD391" s="35"/>
      <c r="AE391" s="35"/>
      <c r="AF391" s="35"/>
      <c r="AG391" s="35">
        <f>IFERROR(VLOOKUP("19_"&amp;A391,SyS!$B:$P,10,FALSE()),0)</f>
        <v>0</v>
      </c>
      <c r="AH391" s="35">
        <f>IFERROR(VLOOKUP("19_"&amp;A391,SyS!$B:$P,12,FALSE()),0)</f>
        <v>0</v>
      </c>
      <c r="AI391" s="35">
        <f>+AG391-AH391</f>
        <v>0</v>
      </c>
      <c r="AJ391" s="35"/>
      <c r="AK391" s="35"/>
      <c r="AL391" s="35"/>
      <c r="AM391" s="34">
        <f>IFERROR(VLOOKUP("23_"&amp;A391,SyS!$B:$P,10,FALSE()),0)</f>
        <v>0</v>
      </c>
      <c r="AN391" s="35">
        <f>IFERROR(VLOOKUP("23_"&amp;A391,SyS!$B:$P,12,FALSE()),0)</f>
        <v>0</v>
      </c>
      <c r="AO391" s="36">
        <f>+AM391-AN391</f>
        <v>0</v>
      </c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  <c r="BB391" s="40"/>
      <c r="BC391" s="40"/>
      <c r="BD391" s="40"/>
      <c r="BE391" s="40"/>
      <c r="BF391" s="40"/>
      <c r="BG391" s="40"/>
      <c r="BH391" s="40"/>
      <c r="BI391" s="40"/>
      <c r="BJ391" s="40"/>
      <c r="BK391" s="40">
        <f>IFERROR(VLOOKUP("29_"&amp;A391,SyS!$B:$P,10,FALSE()),0)</f>
        <v>0</v>
      </c>
      <c r="BL391" s="40">
        <f>IFERROR(VLOOKUP("29_"&amp;A391,SyS!$B:$P,12,FALSE()),0)</f>
        <v>0</v>
      </c>
      <c r="BM391" s="40">
        <f>+BK391-BL391</f>
        <v>0</v>
      </c>
      <c r="BN391" s="46">
        <f>IFERROR(VLOOKUP("30_"&amp;A391,SyS!$B:$P,10,FALSE()),0)</f>
        <v>0</v>
      </c>
      <c r="BO391" s="40">
        <f>IFERROR(VLOOKUP("30_"&amp;A391,SyS!$B:$P,12,FALSE()),0)</f>
        <v>0</v>
      </c>
      <c r="BP391" s="47">
        <f>+BN391-BO391</f>
        <v>0</v>
      </c>
      <c r="BQ391" s="45">
        <f>+E391+H391+K391+N391+Q391+T391+W391+Z391+AC391+AF391+AI391+AL391+AO391+AR391+AU391+AX391+BA391+BD391+BG391+BJ391+BM391+BP391</f>
        <v>0</v>
      </c>
    </row>
    <row r="392" ht="11.25" customHeight="1" spans="1:69" x14ac:dyDescent="0.25">
      <c r="A392" s="9">
        <v>431040000</v>
      </c>
      <c r="B392" s="9" t="s">
        <v>425</v>
      </c>
      <c r="C392" s="34">
        <f>IFERROR(VLOOKUP("1_"&amp;A392,SyS!$B:$P,10,FALSE()),0)</f>
        <v>0</v>
      </c>
      <c r="D392" s="35">
        <f>IFERROR(VLOOKUP("1_"&amp;A392,SyS!$B:$P,12,FALSE()),0)</f>
        <v>0</v>
      </c>
      <c r="E392" s="35">
        <f>+C392-D392</f>
        <v>0</v>
      </c>
      <c r="F392" s="34">
        <f>IFERROR(VLOOKUP("2_"&amp;A392,SyS!$B:$P,10,FALSE()),0)</f>
        <v>0</v>
      </c>
      <c r="G392" s="35">
        <f>IFERROR(VLOOKUP("2_"&amp;A392,SyS!$B:$P,12,FALSE()),0)</f>
        <v>0</v>
      </c>
      <c r="H392" s="36">
        <f>+F392-G392</f>
        <v>0</v>
      </c>
      <c r="I392" s="35"/>
      <c r="J392" s="35"/>
      <c r="K392" s="35"/>
      <c r="L392" s="35"/>
      <c r="M392" s="35"/>
      <c r="N392" s="35"/>
      <c r="O392" s="34">
        <f>IFERROR(VLOOKUP("14_"&amp;A392,SyS!$B:$P,10,FALSE()),0)</f>
        <v>0</v>
      </c>
      <c r="P392" s="35">
        <f>IFERROR(VLOOKUP("14_"&amp;A392,SyS!$B:$P,12,FALSE()),0)</f>
        <v>0</v>
      </c>
      <c r="Q392" s="36">
        <f>+O392-P392</f>
        <v>0</v>
      </c>
      <c r="R392" s="34">
        <f>IFERROR(VLOOKUP("15_"&amp;A392,SyS!$B:$P,10,FALSE()),0)</f>
        <v>0</v>
      </c>
      <c r="S392" s="35">
        <f>IFERROR(VLOOKUP("15_"&amp;A392,SyS!$B:$P,12,FALSE()),0)</f>
        <v>0</v>
      </c>
      <c r="T392" s="36">
        <f>+R392-S392</f>
        <v>0</v>
      </c>
      <c r="U392" s="34">
        <f>IFERROR(VLOOKUP("16_"&amp;A392,SyS!$B:$P,10,FALSE()),0)</f>
        <v>0</v>
      </c>
      <c r="V392" s="35">
        <f>IFERROR(VLOOKUP("16_"&amp;A392,SyS!$B:$P,12,FALSE()),0)</f>
        <v>0</v>
      </c>
      <c r="W392" s="36">
        <f>+U392-V392</f>
        <v>0</v>
      </c>
      <c r="X392" s="34">
        <f>IFERROR(VLOOKUP("13_"&amp;A392,SyS!$B:$P,10,FALSE()),0)</f>
        <v>0</v>
      </c>
      <c r="Y392" s="35">
        <f>IFERROR(VLOOKUP("13_"&amp;A392,SyS!$B:$P,12,FALSE()),0)</f>
        <v>0</v>
      </c>
      <c r="Z392" s="36">
        <f>+X392-Y392</f>
        <v>0</v>
      </c>
      <c r="AA392" s="34">
        <f>IFERROR(VLOOKUP("17_"&amp;A392,SyS!$B:$P,10,FALSE()),0)</f>
        <v>0</v>
      </c>
      <c r="AB392" s="35">
        <f>IFERROR(VLOOKUP("17_"&amp;A392,SyS!$B:$P,12,FALSE()),0)</f>
        <v>0</v>
      </c>
      <c r="AC392" s="36">
        <f>+AA392-AB392</f>
        <v>0</v>
      </c>
      <c r="AD392" s="35"/>
      <c r="AE392" s="35"/>
      <c r="AF392" s="35"/>
      <c r="AG392" s="35">
        <f>IFERROR(VLOOKUP("19_"&amp;A392,SyS!$B:$P,10,FALSE()),0)</f>
        <v>0</v>
      </c>
      <c r="AH392" s="35">
        <f>IFERROR(VLOOKUP("19_"&amp;A392,SyS!$B:$P,12,FALSE()),0)</f>
        <v>0</v>
      </c>
      <c r="AI392" s="35">
        <f>+AG392-AH392</f>
        <v>0</v>
      </c>
      <c r="AJ392" s="35"/>
      <c r="AK392" s="35"/>
      <c r="AL392" s="35"/>
      <c r="AM392" s="34">
        <f>IFERROR(VLOOKUP("23_"&amp;A392,SyS!$B:$P,10,FALSE()),0)</f>
        <v>0</v>
      </c>
      <c r="AN392" s="35">
        <f>IFERROR(VLOOKUP("23_"&amp;A392,SyS!$B:$P,12,FALSE()),0)</f>
        <v>0</v>
      </c>
      <c r="AO392" s="36">
        <f>+AM392-AN392</f>
        <v>0</v>
      </c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  <c r="BB392" s="40"/>
      <c r="BC392" s="40"/>
      <c r="BD392" s="40"/>
      <c r="BE392" s="40"/>
      <c r="BF392" s="40"/>
      <c r="BG392" s="40"/>
      <c r="BH392" s="40"/>
      <c r="BI392" s="40"/>
      <c r="BJ392" s="40"/>
      <c r="BK392" s="40">
        <f>IFERROR(VLOOKUP("29_"&amp;A392,SyS!$B:$P,10,FALSE()),0)</f>
        <v>0</v>
      </c>
      <c r="BL392" s="40">
        <f>IFERROR(VLOOKUP("29_"&amp;A392,SyS!$B:$P,12,FALSE()),0)</f>
        <v>0</v>
      </c>
      <c r="BM392" s="40">
        <f>+BK392-BL392</f>
        <v>0</v>
      </c>
      <c r="BN392" s="46">
        <f>IFERROR(VLOOKUP("30_"&amp;A392,SyS!$B:$P,10,FALSE()),0)</f>
        <v>0</v>
      </c>
      <c r="BO392" s="40">
        <f>IFERROR(VLOOKUP("30_"&amp;A392,SyS!$B:$P,12,FALSE()),0)</f>
        <v>0</v>
      </c>
      <c r="BP392" s="47">
        <f>+BN392-BO392</f>
        <v>0</v>
      </c>
      <c r="BQ392" s="45">
        <f>+E392+H392+K392+N392+Q392+T392+W392+Z392+AC392+AF392+AI392+AL392+AO392+AR392+AU392+AX392+BA392+BD392+BG392+BJ392+BM392+BP392</f>
        <v>0</v>
      </c>
    </row>
    <row r="393" ht="11.25" customHeight="1" spans="1:69" x14ac:dyDescent="0.25">
      <c r="A393" s="9">
        <v>426620000</v>
      </c>
      <c r="B393" s="9" t="s">
        <v>426</v>
      </c>
      <c r="C393" s="34">
        <f>IFERROR(VLOOKUP("1_"&amp;A393,SyS!$B:$P,10,FALSE()),0)</f>
        <v>0</v>
      </c>
      <c r="D393" s="35">
        <f>IFERROR(VLOOKUP("1_"&amp;A393,SyS!$B:$P,12,FALSE()),0)</f>
        <v>0</v>
      </c>
      <c r="E393" s="35">
        <f>+C393-D393</f>
        <v>0</v>
      </c>
      <c r="F393" s="34">
        <f>IFERROR(VLOOKUP("2_"&amp;A393,SyS!$B:$P,10,FALSE()),0)</f>
        <v>0</v>
      </c>
      <c r="G393" s="35">
        <f>IFERROR(VLOOKUP("2_"&amp;A393,SyS!$B:$P,12,FALSE()),0)</f>
        <v>0</v>
      </c>
      <c r="H393" s="36">
        <f>+F393-G393</f>
        <v>0</v>
      </c>
      <c r="I393" s="35"/>
      <c r="J393" s="35"/>
      <c r="K393" s="35"/>
      <c r="L393" s="35"/>
      <c r="M393" s="35"/>
      <c r="N393" s="35"/>
      <c r="O393" s="34">
        <f>IFERROR(VLOOKUP("14_"&amp;A393,SyS!$B:$P,10,FALSE()),0)</f>
        <v>0</v>
      </c>
      <c r="P393" s="35">
        <f>IFERROR(VLOOKUP("14_"&amp;A393,SyS!$B:$P,12,FALSE()),0)</f>
        <v>0</v>
      </c>
      <c r="Q393" s="36">
        <f>+O393-P393</f>
        <v>0</v>
      </c>
      <c r="R393" s="34">
        <f>IFERROR(VLOOKUP("15_"&amp;A393,SyS!$B:$P,10,FALSE()),0)</f>
        <v>0</v>
      </c>
      <c r="S393" s="35">
        <f>IFERROR(VLOOKUP("15_"&amp;A393,SyS!$B:$P,12,FALSE()),0)</f>
        <v>0</v>
      </c>
      <c r="T393" s="36">
        <f>+R393-S393</f>
        <v>0</v>
      </c>
      <c r="U393" s="34">
        <f>IFERROR(VLOOKUP("16_"&amp;A393,SyS!$B:$P,10,FALSE()),0)</f>
        <v>0</v>
      </c>
      <c r="V393" s="35">
        <f>IFERROR(VLOOKUP("16_"&amp;A393,SyS!$B:$P,12,FALSE()),0)</f>
        <v>0</v>
      </c>
      <c r="W393" s="36">
        <f>+U393-V393</f>
        <v>0</v>
      </c>
      <c r="X393" s="34">
        <f>IFERROR(VLOOKUP("13_"&amp;A393,SyS!$B:$P,10,FALSE()),0)</f>
        <v>0</v>
      </c>
      <c r="Y393" s="35">
        <f>IFERROR(VLOOKUP("13_"&amp;A393,SyS!$B:$P,12,FALSE()),0)</f>
        <v>0</v>
      </c>
      <c r="Z393" s="36">
        <f>+X393-Y393</f>
        <v>0</v>
      </c>
      <c r="AA393" s="34">
        <f>IFERROR(VLOOKUP("17_"&amp;A393,SyS!$B:$P,10,FALSE()),0)</f>
        <v>0</v>
      </c>
      <c r="AB393" s="35">
        <f>IFERROR(VLOOKUP("17_"&amp;A393,SyS!$B:$P,12,FALSE()),0)</f>
        <v>0</v>
      </c>
      <c r="AC393" s="36">
        <f>+AA393-AB393</f>
        <v>0</v>
      </c>
      <c r="AD393" s="35"/>
      <c r="AE393" s="35"/>
      <c r="AF393" s="35"/>
      <c r="AG393" s="35">
        <f>IFERROR(VLOOKUP("19_"&amp;A393,SyS!$B:$P,10,FALSE()),0)</f>
        <v>0</v>
      </c>
      <c r="AH393" s="35">
        <f>IFERROR(VLOOKUP("19_"&amp;A393,SyS!$B:$P,12,FALSE()),0)</f>
        <v>0</v>
      </c>
      <c r="AI393" s="35">
        <f>+AG393-AH393</f>
        <v>0</v>
      </c>
      <c r="AJ393" s="35"/>
      <c r="AK393" s="35"/>
      <c r="AL393" s="35"/>
      <c r="AM393" s="34">
        <f>IFERROR(VLOOKUP("23_"&amp;A393,SyS!$B:$P,10,FALSE()),0)</f>
        <v>0</v>
      </c>
      <c r="AN393" s="35">
        <f>IFERROR(VLOOKUP("23_"&amp;A393,SyS!$B:$P,12,FALSE()),0)</f>
        <v>0</v>
      </c>
      <c r="AO393" s="36">
        <f>+AM393-AN393</f>
        <v>0</v>
      </c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  <c r="BB393" s="40"/>
      <c r="BC393" s="40"/>
      <c r="BD393" s="40"/>
      <c r="BE393" s="40"/>
      <c r="BF393" s="40"/>
      <c r="BG393" s="40"/>
      <c r="BH393" s="40"/>
      <c r="BI393" s="40"/>
      <c r="BJ393" s="40"/>
      <c r="BK393" s="40">
        <f>IFERROR(VLOOKUP("29_"&amp;A393,SyS!$B:$P,10,FALSE()),0)</f>
        <v>0</v>
      </c>
      <c r="BL393" s="40">
        <f>IFERROR(VLOOKUP("29_"&amp;A393,SyS!$B:$P,12,FALSE()),0)</f>
        <v>0</v>
      </c>
      <c r="BM393" s="40">
        <f>+BK393-BL393</f>
        <v>0</v>
      </c>
      <c r="BN393" s="46">
        <f>IFERROR(VLOOKUP("30_"&amp;A393,SyS!$B:$P,10,FALSE()),0)</f>
        <v>0</v>
      </c>
      <c r="BO393" s="40">
        <f>IFERROR(VLOOKUP("30_"&amp;A393,SyS!$B:$P,12,FALSE()),0)</f>
        <v>0</v>
      </c>
      <c r="BP393" s="47">
        <f>+BN393-BO393</f>
        <v>0</v>
      </c>
      <c r="BQ393" s="45">
        <f>+E393+H393+K393+N393+Q393+T393+W393+Z393+AC393+AF393+AI393+AL393+AO393+AR393+AU393+AX393+BA393+BD393+BG393+BJ393+BM393+BP393</f>
        <v>0</v>
      </c>
    </row>
    <row r="394" ht="12" customHeight="1" spans="1:69" x14ac:dyDescent="0.25">
      <c r="A394" s="9">
        <v>431090000</v>
      </c>
      <c r="B394" s="9" t="s">
        <v>427</v>
      </c>
      <c r="C394" s="34">
        <f>IFERROR(VLOOKUP("1_"&amp;A394,SyS!$B:$P,10,FALSE()),0)</f>
        <v>0</v>
      </c>
      <c r="D394" s="35">
        <f>IFERROR(VLOOKUP("1_"&amp;A394,SyS!$B:$P,12,FALSE()),0)</f>
        <v>0</v>
      </c>
      <c r="E394" s="35">
        <f>+C394-D394</f>
        <v>0</v>
      </c>
      <c r="F394" s="34">
        <f>IFERROR(VLOOKUP("2_"&amp;A394,SyS!$B:$P,10,FALSE()),0)</f>
        <v>0</v>
      </c>
      <c r="G394" s="35">
        <f>IFERROR(VLOOKUP("2_"&amp;A394,SyS!$B:$P,12,FALSE()),0)</f>
        <v>0</v>
      </c>
      <c r="H394" s="36">
        <f>+F394-G394</f>
        <v>0</v>
      </c>
      <c r="I394" s="35"/>
      <c r="J394" s="35"/>
      <c r="K394" s="35"/>
      <c r="L394" s="35"/>
      <c r="M394" s="35"/>
      <c r="N394" s="35"/>
      <c r="O394" s="34">
        <f>IFERROR(VLOOKUP("14_"&amp;A394,SyS!$B:$P,10,FALSE()),0)</f>
        <v>0</v>
      </c>
      <c r="P394" s="35">
        <f>IFERROR(VLOOKUP("14_"&amp;A394,SyS!$B:$P,12,FALSE()),0)</f>
        <v>0</v>
      </c>
      <c r="Q394" s="36">
        <f>+O394-P394</f>
        <v>0</v>
      </c>
      <c r="R394" s="34">
        <f>IFERROR(VLOOKUP("15_"&amp;A394,SyS!$B:$P,10,FALSE()),0)</f>
        <v>0</v>
      </c>
      <c r="S394" s="35">
        <f>IFERROR(VLOOKUP("15_"&amp;A394,SyS!$B:$P,12,FALSE()),0)</f>
        <v>0</v>
      </c>
      <c r="T394" s="36">
        <f>+R394-S394</f>
        <v>0</v>
      </c>
      <c r="U394" s="34">
        <f>IFERROR(VLOOKUP("16_"&amp;A394,SyS!$B:$P,10,FALSE()),0)</f>
        <v>0</v>
      </c>
      <c r="V394" s="35">
        <f>IFERROR(VLOOKUP("16_"&amp;A394,SyS!$B:$P,12,FALSE()),0)</f>
        <v>0</v>
      </c>
      <c r="W394" s="36">
        <f>+U394-V394</f>
        <v>0</v>
      </c>
      <c r="X394" s="34">
        <f>IFERROR(VLOOKUP("13_"&amp;A394,SyS!$B:$P,10,FALSE()),0)</f>
        <v>0</v>
      </c>
      <c r="Y394" s="35">
        <f>IFERROR(VLOOKUP("13_"&amp;A394,SyS!$B:$P,12,FALSE()),0)</f>
        <v>0</v>
      </c>
      <c r="Z394" s="36">
        <f>+X394-Y394</f>
        <v>0</v>
      </c>
      <c r="AA394" s="34">
        <f>IFERROR(VLOOKUP("17_"&amp;A394,SyS!$B:$P,10,FALSE()),0)</f>
        <v>0</v>
      </c>
      <c r="AB394" s="35">
        <f>IFERROR(VLOOKUP("17_"&amp;A394,SyS!$B:$P,12,FALSE()),0)</f>
        <v>0</v>
      </c>
      <c r="AC394" s="36">
        <f>+AA394-AB394</f>
        <v>0</v>
      </c>
      <c r="AD394" s="35"/>
      <c r="AE394" s="35"/>
      <c r="AF394" s="35"/>
      <c r="AG394" s="35">
        <f>IFERROR(VLOOKUP("19_"&amp;A394,SyS!$B:$P,10,FALSE()),0)</f>
        <v>0</v>
      </c>
      <c r="AH394" s="35">
        <f>IFERROR(VLOOKUP("19_"&amp;A394,SyS!$B:$P,12,FALSE()),0)</f>
        <v>0</v>
      </c>
      <c r="AI394" s="35">
        <f>+AG394-AH394</f>
        <v>0</v>
      </c>
      <c r="AJ394" s="35"/>
      <c r="AK394" s="35"/>
      <c r="AL394" s="35"/>
      <c r="AM394" s="34">
        <f>IFERROR(VLOOKUP("23_"&amp;A394,SyS!$B:$P,10,FALSE()),0)</f>
        <v>0</v>
      </c>
      <c r="AN394" s="35">
        <f>IFERROR(VLOOKUP("23_"&amp;A394,SyS!$B:$P,12,FALSE()),0)</f>
        <v>0</v>
      </c>
      <c r="AO394" s="36">
        <f>+AM394-AN394</f>
        <v>0</v>
      </c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  <c r="BB394" s="40"/>
      <c r="BC394" s="40"/>
      <c r="BD394" s="40"/>
      <c r="BE394" s="40"/>
      <c r="BF394" s="40"/>
      <c r="BG394" s="40"/>
      <c r="BH394" s="40"/>
      <c r="BI394" s="40"/>
      <c r="BJ394" s="40"/>
      <c r="BK394" s="40">
        <f>IFERROR(VLOOKUP("29_"&amp;A394,SyS!$B:$P,10,FALSE()),0)</f>
        <v>0</v>
      </c>
      <c r="BL394" s="40">
        <f>IFERROR(VLOOKUP("29_"&amp;A394,SyS!$B:$P,12,FALSE()),0)</f>
        <v>0</v>
      </c>
      <c r="BM394" s="40">
        <f>+BK394-BL394</f>
        <v>0</v>
      </c>
      <c r="BN394" s="46">
        <f>IFERROR(VLOOKUP("30_"&amp;A394,SyS!$B:$P,10,FALSE()),0)</f>
        <v>0</v>
      </c>
      <c r="BO394" s="40">
        <f>IFERROR(VLOOKUP("30_"&amp;A394,SyS!$B:$P,12,FALSE()),0)</f>
        <v>0</v>
      </c>
      <c r="BP394" s="47">
        <f>+BN394-BO394</f>
        <v>0</v>
      </c>
      <c r="BQ394" s="45">
        <f>+E394+H394+K394+N394+Q394+T394+W394+Z394+AC394+AF394+AI394+AL394+AO394+AR394+AU394+AX394+BA394+BD394+BG394+BJ394+BM394+BP394</f>
        <v>0</v>
      </c>
    </row>
    <row r="395" ht="11.25" customHeight="1" spans="1:69" x14ac:dyDescent="0.25">
      <c r="A395" s="9">
        <v>426630000</v>
      </c>
      <c r="B395" s="9" t="s">
        <v>428</v>
      </c>
      <c r="C395" s="34">
        <f>IFERROR(VLOOKUP("1_"&amp;A395,SyS!$B:$P,10,FALSE()),0)</f>
        <v>0</v>
      </c>
      <c r="D395" s="35">
        <f>IFERROR(VLOOKUP("1_"&amp;A395,SyS!$B:$P,12,FALSE()),0)</f>
        <v>0</v>
      </c>
      <c r="E395" s="35">
        <f>+C395-D395</f>
        <v>0</v>
      </c>
      <c r="F395" s="34">
        <f>IFERROR(VLOOKUP("2_"&amp;A395,SyS!$B:$P,10,FALSE()),0)</f>
        <v>469.85</v>
      </c>
      <c r="G395" s="35">
        <f>IFERROR(VLOOKUP("2_"&amp;A395,SyS!$B:$P,12,FALSE()),0)</f>
        <v>0</v>
      </c>
      <c r="H395" s="36">
        <f>+F395-G395</f>
        <v>469.85</v>
      </c>
      <c r="I395" s="35"/>
      <c r="J395" s="35"/>
      <c r="K395" s="35"/>
      <c r="L395" s="35"/>
      <c r="M395" s="35"/>
      <c r="N395" s="35"/>
      <c r="O395" s="34">
        <f>IFERROR(VLOOKUP("14_"&amp;A395,SyS!$B:$P,10,FALSE()),0)</f>
        <v>0</v>
      </c>
      <c r="P395" s="35">
        <f>IFERROR(VLOOKUP("14_"&amp;A395,SyS!$B:$P,12,FALSE()),0)</f>
        <v>0</v>
      </c>
      <c r="Q395" s="36">
        <f>+O395-P395</f>
        <v>0</v>
      </c>
      <c r="R395" s="34">
        <f>IFERROR(VLOOKUP("15_"&amp;A395,SyS!$B:$P,10,FALSE()),0)</f>
        <v>0</v>
      </c>
      <c r="S395" s="35">
        <f>IFERROR(VLOOKUP("15_"&amp;A395,SyS!$B:$P,12,FALSE()),0)</f>
        <v>0</v>
      </c>
      <c r="T395" s="36">
        <f>+R395-S395</f>
        <v>0</v>
      </c>
      <c r="U395" s="34">
        <f>IFERROR(VLOOKUP("16_"&amp;A395,SyS!$B:$P,10,FALSE()),0)</f>
        <v>0</v>
      </c>
      <c r="V395" s="35">
        <f>IFERROR(VLOOKUP("16_"&amp;A395,SyS!$B:$P,12,FALSE()),0)</f>
        <v>0</v>
      </c>
      <c r="W395" s="36">
        <f>+U395-V395</f>
        <v>0</v>
      </c>
      <c r="X395" s="34">
        <f>IFERROR(VLOOKUP("13_"&amp;A395,SyS!$B:$P,10,FALSE()),0)</f>
        <v>0</v>
      </c>
      <c r="Y395" s="35">
        <f>IFERROR(VLOOKUP("13_"&amp;A395,SyS!$B:$P,12,FALSE()),0)</f>
        <v>0</v>
      </c>
      <c r="Z395" s="36">
        <f>+X395-Y395</f>
        <v>0</v>
      </c>
      <c r="AA395" s="34">
        <f>IFERROR(VLOOKUP("17_"&amp;A395,SyS!$B:$P,10,FALSE()),0)</f>
        <v>0</v>
      </c>
      <c r="AB395" s="35">
        <f>IFERROR(VLOOKUP("17_"&amp;A395,SyS!$B:$P,12,FALSE()),0)</f>
        <v>0</v>
      </c>
      <c r="AC395" s="36">
        <f>+AA395-AB395</f>
        <v>0</v>
      </c>
      <c r="AD395" s="35"/>
      <c r="AE395" s="35"/>
      <c r="AF395" s="35"/>
      <c r="AG395" s="35">
        <f>IFERROR(VLOOKUP("19_"&amp;A395,SyS!$B:$P,10,FALSE()),0)</f>
        <v>0</v>
      </c>
      <c r="AH395" s="35">
        <f>IFERROR(VLOOKUP("19_"&amp;A395,SyS!$B:$P,12,FALSE()),0)</f>
        <v>0</v>
      </c>
      <c r="AI395" s="35">
        <f>+AG395-AH395</f>
        <v>0</v>
      </c>
      <c r="AJ395" s="35"/>
      <c r="AK395" s="35"/>
      <c r="AL395" s="35"/>
      <c r="AM395" s="34">
        <f>IFERROR(VLOOKUP("23_"&amp;A395,SyS!$B:$P,10,FALSE()),0)</f>
        <v>0</v>
      </c>
      <c r="AN395" s="35">
        <f>IFERROR(VLOOKUP("23_"&amp;A395,SyS!$B:$P,12,FALSE()),0)</f>
        <v>0</v>
      </c>
      <c r="AO395" s="36">
        <f>+AM395-AN395</f>
        <v>0</v>
      </c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  <c r="BB395" s="40"/>
      <c r="BC395" s="40"/>
      <c r="BD395" s="40"/>
      <c r="BE395" s="40"/>
      <c r="BF395" s="40"/>
      <c r="BG395" s="40"/>
      <c r="BH395" s="40"/>
      <c r="BI395" s="40"/>
      <c r="BJ395" s="40"/>
      <c r="BK395" s="40">
        <f>IFERROR(VLOOKUP("29_"&amp;A395,SyS!$B:$P,10,FALSE()),0)</f>
        <v>0</v>
      </c>
      <c r="BL395" s="40">
        <f>IFERROR(VLOOKUP("29_"&amp;A395,SyS!$B:$P,12,FALSE()),0)</f>
        <v>0</v>
      </c>
      <c r="BM395" s="40">
        <f>+BK395-BL395</f>
        <v>0</v>
      </c>
      <c r="BN395" s="46">
        <f>IFERROR(VLOOKUP("30_"&amp;A395,SyS!$B:$P,10,FALSE()),0)</f>
        <v>0</v>
      </c>
      <c r="BO395" s="40">
        <f>IFERROR(VLOOKUP("30_"&amp;A395,SyS!$B:$P,12,FALSE()),0)</f>
        <v>0</v>
      </c>
      <c r="BP395" s="47">
        <f>+BN395-BO395</f>
        <v>0</v>
      </c>
      <c r="BQ395" s="45">
        <f>+E395+H395+K395+N395+Q395+T395+W395+Z395+AC395+AF395+AI395+AL395+AO395+AR395+AU395+AX395+BA395+BD395+BG395+BJ395+BM395+BP395</f>
        <v>469.85</v>
      </c>
    </row>
    <row r="396" ht="11.25" customHeight="1" spans="1:69" x14ac:dyDescent="0.25">
      <c r="A396" s="51"/>
      <c r="B396" s="52" t="s">
        <v>429</v>
      </c>
      <c r="C396" s="34">
        <f>IFERROR(VLOOKUP("1_"&amp;A395,SyS!$B:$P,10,FALSE()),0)</f>
        <v>0</v>
      </c>
      <c r="D396" s="35">
        <f>IFERROR(VLOOKUP("1_"&amp;A395,SyS!$B:$P,12,FALSE()),0)</f>
        <v>0</v>
      </c>
      <c r="E396" s="35">
        <f>+C395-D395</f>
        <v>0</v>
      </c>
      <c r="F396" s="34"/>
      <c r="G396" s="35"/>
      <c r="H396" s="36"/>
      <c r="I396" s="35"/>
      <c r="J396" s="35"/>
      <c r="K396" s="35"/>
      <c r="L396" s="35"/>
      <c r="M396" s="35"/>
      <c r="N396" s="35"/>
      <c r="O396" s="34"/>
      <c r="P396" s="35"/>
      <c r="Q396" s="36"/>
      <c r="R396" s="34"/>
      <c r="S396" s="35"/>
      <c r="T396" s="36"/>
      <c r="U396" s="34"/>
      <c r="V396" s="35"/>
      <c r="W396" s="36"/>
      <c r="X396" s="34"/>
      <c r="Y396" s="35"/>
      <c r="Z396" s="36"/>
      <c r="AA396" s="34"/>
      <c r="AB396" s="35"/>
      <c r="AC396" s="36"/>
      <c r="AD396" s="35"/>
      <c r="AE396" s="35"/>
      <c r="AF396" s="35"/>
      <c r="AG396" s="35"/>
      <c r="AH396" s="35"/>
      <c r="AI396" s="35"/>
      <c r="AJ396" s="35"/>
      <c r="AK396" s="35"/>
      <c r="AL396" s="35"/>
      <c r="AM396" s="34"/>
      <c r="AN396" s="35"/>
      <c r="AO396" s="36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  <c r="BB396" s="40"/>
      <c r="BC396" s="40"/>
      <c r="BD396" s="40"/>
      <c r="BE396" s="40"/>
      <c r="BF396" s="40"/>
      <c r="BG396" s="40"/>
      <c r="BH396" s="40"/>
      <c r="BI396" s="40"/>
      <c r="BJ396" s="40"/>
      <c r="BK396" s="40"/>
      <c r="BL396" s="40"/>
      <c r="BM396" s="40"/>
      <c r="BN396" s="46"/>
      <c r="BO396" s="40"/>
      <c r="BP396" s="47"/>
      <c r="BQ396" s="45"/>
    </row>
    <row r="397" ht="11.25" customHeight="1" spans="1:69" x14ac:dyDescent="0.25">
      <c r="A397" s="9">
        <v>431020000</v>
      </c>
      <c r="B397" s="9" t="s">
        <v>430</v>
      </c>
      <c r="C397" s="34">
        <f>IFERROR(VLOOKUP("1_"&amp;A397,SyS!$B:$P,10,FALSE()),0)</f>
        <v>0</v>
      </c>
      <c r="D397" s="35">
        <f>IFERROR(VLOOKUP("1_"&amp;A397,SyS!$B:$P,12,FALSE()),0)</f>
        <v>0</v>
      </c>
      <c r="E397" s="35">
        <f>+C397-D397</f>
        <v>0</v>
      </c>
      <c r="F397" s="34">
        <f>IFERROR(VLOOKUP("2_"&amp;A397,SyS!$B:$P,10,FALSE()),0)</f>
        <v>0</v>
      </c>
      <c r="G397" s="35">
        <f>IFERROR(VLOOKUP("2_"&amp;A397,SyS!$B:$P,12,FALSE()),0)</f>
        <v>0</v>
      </c>
      <c r="H397" s="36">
        <f>+F397-G397</f>
        <v>0</v>
      </c>
      <c r="I397" s="35"/>
      <c r="J397" s="35"/>
      <c r="K397" s="35"/>
      <c r="L397" s="35"/>
      <c r="M397" s="35"/>
      <c r="N397" s="35"/>
      <c r="O397" s="34">
        <f>IFERROR(VLOOKUP("14_"&amp;A397,SyS!$B:$P,10,FALSE()),0)</f>
        <v>0</v>
      </c>
      <c r="P397" s="35">
        <f>IFERROR(VLOOKUP("14_"&amp;A397,SyS!$B:$P,12,FALSE()),0)</f>
        <v>0</v>
      </c>
      <c r="Q397" s="36">
        <f>+O397-P397</f>
        <v>0</v>
      </c>
      <c r="R397" s="34">
        <f>IFERROR(VLOOKUP("15_"&amp;A397,SyS!$B:$P,10,FALSE()),0)</f>
        <v>0</v>
      </c>
      <c r="S397" s="35">
        <f>IFERROR(VLOOKUP("15_"&amp;A397,SyS!$B:$P,12,FALSE()),0)</f>
        <v>0</v>
      </c>
      <c r="T397" s="36">
        <f>+R397-S397</f>
        <v>0</v>
      </c>
      <c r="U397" s="34">
        <f>IFERROR(VLOOKUP("16_"&amp;A397,SyS!$B:$P,10,FALSE()),0)</f>
        <v>0</v>
      </c>
      <c r="V397" s="35">
        <f>IFERROR(VLOOKUP("16_"&amp;A397,SyS!$B:$P,12,FALSE()),0)</f>
        <v>0</v>
      </c>
      <c r="W397" s="36">
        <f>+U397-V397</f>
        <v>0</v>
      </c>
      <c r="X397" s="34">
        <f>IFERROR(VLOOKUP("13_"&amp;A397,SyS!$B:$P,10,FALSE()),0)</f>
        <v>0</v>
      </c>
      <c r="Y397" s="35">
        <f>IFERROR(VLOOKUP("13_"&amp;A397,SyS!$B:$P,12,FALSE()),0)</f>
        <v>0</v>
      </c>
      <c r="Z397" s="36">
        <f>+X397-Y397</f>
        <v>0</v>
      </c>
      <c r="AA397" s="34">
        <f>IFERROR(VLOOKUP("17_"&amp;A397,SyS!$B:$P,10,FALSE()),0)</f>
        <v>0</v>
      </c>
      <c r="AB397" s="35">
        <f>IFERROR(VLOOKUP("17_"&amp;A397,SyS!$B:$P,12,FALSE()),0)</f>
        <v>0</v>
      </c>
      <c r="AC397" s="36">
        <f>+AA397-AB397</f>
        <v>0</v>
      </c>
      <c r="AD397" s="35"/>
      <c r="AE397" s="35"/>
      <c r="AF397" s="35"/>
      <c r="AG397" s="35">
        <f>IFERROR(VLOOKUP("19_"&amp;A397,SyS!$B:$P,10,FALSE()),0)</f>
        <v>0</v>
      </c>
      <c r="AH397" s="35">
        <f>IFERROR(VLOOKUP("19_"&amp;A397,SyS!$B:$P,12,FALSE()),0)</f>
        <v>0</v>
      </c>
      <c r="AI397" s="35">
        <f>+AG397-AH397</f>
        <v>0</v>
      </c>
      <c r="AJ397" s="35"/>
      <c r="AK397" s="35"/>
      <c r="AL397" s="35"/>
      <c r="AM397" s="34">
        <f>IFERROR(VLOOKUP("23_"&amp;A397,SyS!$B:$P,10,FALSE()),0)</f>
        <v>0</v>
      </c>
      <c r="AN397" s="35">
        <f>IFERROR(VLOOKUP("23_"&amp;A397,SyS!$B:$P,12,FALSE()),0)</f>
        <v>0</v>
      </c>
      <c r="AO397" s="36">
        <f>+AM397-AN397</f>
        <v>0</v>
      </c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  <c r="BB397" s="40"/>
      <c r="BC397" s="40"/>
      <c r="BD397" s="40"/>
      <c r="BE397" s="40"/>
      <c r="BF397" s="40"/>
      <c r="BG397" s="40"/>
      <c r="BH397" s="40"/>
      <c r="BI397" s="40"/>
      <c r="BJ397" s="40"/>
      <c r="BK397" s="40">
        <f>IFERROR(VLOOKUP("29_"&amp;A397,SyS!$B:$P,10,FALSE()),0)</f>
        <v>0</v>
      </c>
      <c r="BL397" s="40">
        <f>IFERROR(VLOOKUP("29_"&amp;A397,SyS!$B:$P,12,FALSE()),0)</f>
        <v>0</v>
      </c>
      <c r="BM397" s="40">
        <f>+BK397-BL397</f>
        <v>0</v>
      </c>
      <c r="BN397" s="46">
        <f>IFERROR(VLOOKUP("30_"&amp;A397,SyS!$B:$P,10,FALSE()),0)</f>
        <v>0</v>
      </c>
      <c r="BO397" s="40">
        <f>IFERROR(VLOOKUP("30_"&amp;A397,SyS!$B:$P,12,FALSE()),0)</f>
        <v>0</v>
      </c>
      <c r="BP397" s="47">
        <f>+BN397-BO397</f>
        <v>0</v>
      </c>
      <c r="BQ397" s="45">
        <f>+E397+H397+K397+N397+Q397+T397+W397+Z397+AC397+AF397+AI397+AL397+AO397+AR397+AU397+AX397+BA397+BD397+BG397+BJ397+BM397+BP397</f>
        <v>0</v>
      </c>
    </row>
    <row r="398" ht="11.25" customHeight="1" spans="1:69" x14ac:dyDescent="0.25">
      <c r="A398" s="9">
        <v>431010000</v>
      </c>
      <c r="B398" s="9" t="s">
        <v>431</v>
      </c>
      <c r="C398" s="34">
        <f>IFERROR(VLOOKUP("1_"&amp;A398,SyS!$B:$P,10,FALSE()),0)</f>
        <v>0</v>
      </c>
      <c r="D398" s="35">
        <f>IFERROR(VLOOKUP("1_"&amp;A398,SyS!$B:$P,12,FALSE()),0)</f>
        <v>0</v>
      </c>
      <c r="E398" s="35">
        <f>+C398-D398</f>
        <v>0</v>
      </c>
      <c r="F398" s="34">
        <f>IFERROR(VLOOKUP("2_"&amp;A398,SyS!$B:$P,10,FALSE()),0)</f>
        <v>0</v>
      </c>
      <c r="G398" s="35">
        <f>IFERROR(VLOOKUP("2_"&amp;A398,SyS!$B:$P,12,FALSE()),0)</f>
        <v>0</v>
      </c>
      <c r="H398" s="36">
        <f>+F398-G398</f>
        <v>0</v>
      </c>
      <c r="I398" s="35"/>
      <c r="J398" s="35"/>
      <c r="K398" s="35"/>
      <c r="L398" s="35"/>
      <c r="M398" s="35"/>
      <c r="N398" s="35"/>
      <c r="O398" s="34">
        <f>IFERROR(VLOOKUP("14_"&amp;A398,SyS!$B:$P,10,FALSE()),0)</f>
        <v>0</v>
      </c>
      <c r="P398" s="35">
        <f>IFERROR(VLOOKUP("14_"&amp;A398,SyS!$B:$P,12,FALSE()),0)</f>
        <v>0</v>
      </c>
      <c r="Q398" s="36">
        <f>+O398-P398</f>
        <v>0</v>
      </c>
      <c r="R398" s="34">
        <f>IFERROR(VLOOKUP("15_"&amp;A398,SyS!$B:$P,10,FALSE()),0)</f>
        <v>0</v>
      </c>
      <c r="S398" s="35">
        <f>IFERROR(VLOOKUP("15_"&amp;A398,SyS!$B:$P,12,FALSE()),0)</f>
        <v>0</v>
      </c>
      <c r="T398" s="36">
        <f>+R398-S398</f>
        <v>0</v>
      </c>
      <c r="U398" s="34">
        <f>IFERROR(VLOOKUP("16_"&amp;A398,SyS!$B:$P,10,FALSE()),0)</f>
        <v>0</v>
      </c>
      <c r="V398" s="35">
        <f>IFERROR(VLOOKUP("16_"&amp;A398,SyS!$B:$P,12,FALSE()),0)</f>
        <v>0</v>
      </c>
      <c r="W398" s="36">
        <f>+U398-V398</f>
        <v>0</v>
      </c>
      <c r="X398" s="34">
        <f>IFERROR(VLOOKUP("13_"&amp;A398,SyS!$B:$P,10,FALSE()),0)</f>
        <v>0</v>
      </c>
      <c r="Y398" s="35">
        <f>IFERROR(VLOOKUP("13_"&amp;A398,SyS!$B:$P,12,FALSE()),0)</f>
        <v>0</v>
      </c>
      <c r="Z398" s="36">
        <f>+X398-Y398</f>
        <v>0</v>
      </c>
      <c r="AA398" s="34">
        <f>IFERROR(VLOOKUP("17_"&amp;A398,SyS!$B:$P,10,FALSE()),0)</f>
        <v>0</v>
      </c>
      <c r="AB398" s="35">
        <f>IFERROR(VLOOKUP("17_"&amp;A398,SyS!$B:$P,12,FALSE()),0)</f>
        <v>0</v>
      </c>
      <c r="AC398" s="36">
        <f>+AA398-AB398</f>
        <v>0</v>
      </c>
      <c r="AD398" s="35"/>
      <c r="AE398" s="35"/>
      <c r="AF398" s="35"/>
      <c r="AG398" s="35">
        <f>IFERROR(VLOOKUP("19_"&amp;A398,SyS!$B:$P,10,FALSE()),0)</f>
        <v>0</v>
      </c>
      <c r="AH398" s="35">
        <f>IFERROR(VLOOKUP("19_"&amp;A398,SyS!$B:$P,12,FALSE()),0)</f>
        <v>0</v>
      </c>
      <c r="AI398" s="35">
        <f>+AG398-AH398</f>
        <v>0</v>
      </c>
      <c r="AJ398" s="35"/>
      <c r="AK398" s="35"/>
      <c r="AL398" s="35"/>
      <c r="AM398" s="34">
        <f>IFERROR(VLOOKUP("23_"&amp;A398,SyS!$B:$P,10,FALSE()),0)</f>
        <v>0</v>
      </c>
      <c r="AN398" s="35">
        <f>IFERROR(VLOOKUP("23_"&amp;A398,SyS!$B:$P,12,FALSE()),0)</f>
        <v>0</v>
      </c>
      <c r="AO398" s="36">
        <f>+AM398-AN398</f>
        <v>0</v>
      </c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  <c r="BB398" s="40"/>
      <c r="BC398" s="40"/>
      <c r="BD398" s="40"/>
      <c r="BE398" s="40"/>
      <c r="BF398" s="40"/>
      <c r="BG398" s="40"/>
      <c r="BH398" s="40"/>
      <c r="BI398" s="40"/>
      <c r="BJ398" s="40"/>
      <c r="BK398" s="40">
        <f>IFERROR(VLOOKUP("29_"&amp;A398,SyS!$B:$P,10,FALSE()),0)</f>
        <v>0</v>
      </c>
      <c r="BL398" s="40">
        <f>IFERROR(VLOOKUP("29_"&amp;A398,SyS!$B:$P,12,FALSE()),0)</f>
        <v>0</v>
      </c>
      <c r="BM398" s="40">
        <f>+BK398-BL398</f>
        <v>0</v>
      </c>
      <c r="BN398" s="46">
        <f>IFERROR(VLOOKUP("30_"&amp;A398,SyS!$B:$P,10,FALSE()),0)</f>
        <v>0</v>
      </c>
      <c r="BO398" s="40">
        <f>IFERROR(VLOOKUP("30_"&amp;A398,SyS!$B:$P,12,FALSE()),0)</f>
        <v>0</v>
      </c>
      <c r="BP398" s="47">
        <f>+BN398-BO398</f>
        <v>0</v>
      </c>
      <c r="BQ398" s="45">
        <f>+E398+H398+K398+N398+Q398+T398+W398+Z398+AC398+AF398+AI398+AL398+AO398+AR398+AU398+AX398+BA398+BD398+BG398+BJ398+BM398+BP398</f>
        <v>0</v>
      </c>
    </row>
    <row r="399" ht="12" customHeight="1" spans="1:69" s="11" customFormat="1" x14ac:dyDescent="0.25">
      <c r="A399" s="9">
        <v>431120000</v>
      </c>
      <c r="B399" s="9" t="s">
        <v>432</v>
      </c>
      <c r="C399" s="34">
        <f>IFERROR(VLOOKUP("1_"&amp;A399,SyS!$B:$P,10,FALSE()),0)</f>
        <v>0</v>
      </c>
      <c r="D399" s="35">
        <f>IFERROR(VLOOKUP("1_"&amp;A399,SyS!$B:$P,12,FALSE()),0)</f>
        <v>0</v>
      </c>
      <c r="E399" s="35">
        <f>+C399-D399</f>
        <v>0</v>
      </c>
      <c r="F399" s="34">
        <f>IFERROR(VLOOKUP("2_"&amp;A399,SyS!$B:$P,10,FALSE()),0)</f>
        <v>0</v>
      </c>
      <c r="G399" s="35">
        <f>IFERROR(VLOOKUP("2_"&amp;A399,SyS!$B:$P,12,FALSE()),0)</f>
        <v>0</v>
      </c>
      <c r="H399" s="36">
        <f>+F399-G399</f>
        <v>0</v>
      </c>
      <c r="I399" s="35"/>
      <c r="J399" s="35"/>
      <c r="K399" s="35"/>
      <c r="L399" s="35"/>
      <c r="M399" s="35"/>
      <c r="N399" s="35"/>
      <c r="O399" s="34">
        <f>IFERROR(VLOOKUP("14_"&amp;A399,SyS!$B:$P,10,FALSE()),0)</f>
        <v>0</v>
      </c>
      <c r="P399" s="35">
        <f>IFERROR(VLOOKUP("14_"&amp;A399,SyS!$B:$P,12,FALSE()),0)</f>
        <v>0</v>
      </c>
      <c r="Q399" s="36">
        <f>+O399-P399</f>
        <v>0</v>
      </c>
      <c r="R399" s="34">
        <f>IFERROR(VLOOKUP("15_"&amp;A399,SyS!$B:$P,10,FALSE()),0)</f>
        <v>0</v>
      </c>
      <c r="S399" s="35">
        <f>IFERROR(VLOOKUP("15_"&amp;A399,SyS!$B:$P,12,FALSE()),0)</f>
        <v>0</v>
      </c>
      <c r="T399" s="36">
        <f>+R399-S399</f>
        <v>0</v>
      </c>
      <c r="U399" s="34">
        <f>IFERROR(VLOOKUP("16_"&amp;A399,SyS!$B:$P,10,FALSE()),0)</f>
        <v>0</v>
      </c>
      <c r="V399" s="35">
        <f>IFERROR(VLOOKUP("16_"&amp;A399,SyS!$B:$P,12,FALSE()),0)</f>
        <v>0</v>
      </c>
      <c r="W399" s="36">
        <f>+U399-V399</f>
        <v>0</v>
      </c>
      <c r="X399" s="34">
        <f>IFERROR(VLOOKUP("13_"&amp;A399,SyS!$B:$P,10,FALSE()),0)</f>
        <v>0</v>
      </c>
      <c r="Y399" s="35">
        <f>IFERROR(VLOOKUP("13_"&amp;A399,SyS!$B:$P,12,FALSE()),0)</f>
        <v>0</v>
      </c>
      <c r="Z399" s="36">
        <f>+X399-Y399</f>
        <v>0</v>
      </c>
      <c r="AA399" s="34">
        <f>IFERROR(VLOOKUP("17_"&amp;A399,SyS!$B:$P,10,FALSE()),0)</f>
        <v>0</v>
      </c>
      <c r="AB399" s="35">
        <f>IFERROR(VLOOKUP("17_"&amp;A399,SyS!$B:$P,12,FALSE()),0)</f>
        <v>0</v>
      </c>
      <c r="AC399" s="36">
        <f>+AA399-AB399</f>
        <v>0</v>
      </c>
      <c r="AD399" s="35"/>
      <c r="AE399" s="35"/>
      <c r="AF399" s="35"/>
      <c r="AG399" s="35">
        <f>IFERROR(VLOOKUP("19_"&amp;A399,SyS!$B:$P,10,FALSE()),0)</f>
        <v>0</v>
      </c>
      <c r="AH399" s="35">
        <f>IFERROR(VLOOKUP("19_"&amp;A399,SyS!$B:$P,12,FALSE()),0)</f>
        <v>0</v>
      </c>
      <c r="AI399" s="35">
        <f>+AG399-AH399</f>
        <v>0</v>
      </c>
      <c r="AJ399" s="35"/>
      <c r="AK399" s="35"/>
      <c r="AL399" s="35"/>
      <c r="AM399" s="34">
        <f>IFERROR(VLOOKUP("23_"&amp;A399,SyS!$B:$P,10,FALSE()),0)</f>
        <v>0</v>
      </c>
      <c r="AN399" s="35">
        <f>IFERROR(VLOOKUP("23_"&amp;A399,SyS!$B:$P,12,FALSE()),0)</f>
        <v>0</v>
      </c>
      <c r="AO399" s="36">
        <f>+AM399-AN399</f>
        <v>0</v>
      </c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  <c r="BB399" s="40"/>
      <c r="BC399" s="40"/>
      <c r="BD399" s="40"/>
      <c r="BE399" s="40"/>
      <c r="BF399" s="40"/>
      <c r="BG399" s="40"/>
      <c r="BH399" s="40"/>
      <c r="BI399" s="40"/>
      <c r="BJ399" s="40"/>
      <c r="BK399" s="40">
        <f>IFERROR(VLOOKUP("29_"&amp;A399,SyS!$B:$P,10,FALSE()),0)</f>
        <v>0</v>
      </c>
      <c r="BL399" s="40">
        <f>IFERROR(VLOOKUP("29_"&amp;A399,SyS!$B:$P,12,FALSE()),0)</f>
        <v>0</v>
      </c>
      <c r="BM399" s="40">
        <f>+BK399-BL399</f>
        <v>0</v>
      </c>
      <c r="BN399" s="46">
        <f>IFERROR(VLOOKUP("30_"&amp;A399,SyS!$B:$P,10,FALSE()),0)</f>
        <v>0</v>
      </c>
      <c r="BO399" s="40">
        <f>IFERROR(VLOOKUP("30_"&amp;A399,SyS!$B:$P,12,FALSE()),0)</f>
        <v>0</v>
      </c>
      <c r="BP399" s="47">
        <f>+BN399-BO399</f>
        <v>0</v>
      </c>
      <c r="BQ399" s="45">
        <f>+E399+H399+K399+N399+Q399+T399+W399+Z399+AC399+AF399+AI399+AL399+AO399+AR399+AU399+AX399+BA399+BD399+BG399+BJ399+BM399+BP399</f>
        <v>0</v>
      </c>
    </row>
    <row r="400" ht="12" customHeight="1" spans="1:69" x14ac:dyDescent="0.25">
      <c r="A400" s="41"/>
      <c r="B400" s="41"/>
      <c r="C400" s="34"/>
      <c r="D400" s="35"/>
      <c r="E400" s="35"/>
      <c r="F400" s="34"/>
      <c r="G400" s="35"/>
      <c r="H400" s="36"/>
      <c r="I400" s="35"/>
      <c r="J400" s="35"/>
      <c r="K400" s="35"/>
      <c r="L400" s="35"/>
      <c r="M400" s="35"/>
      <c r="N400" s="35"/>
      <c r="O400" s="34"/>
      <c r="P400" s="35"/>
      <c r="Q400" s="36"/>
      <c r="R400" s="34"/>
      <c r="S400" s="35"/>
      <c r="T400" s="36"/>
      <c r="U400" s="34"/>
      <c r="V400" s="35"/>
      <c r="W400" s="36"/>
      <c r="X400" s="34"/>
      <c r="Y400" s="35"/>
      <c r="Z400" s="36"/>
      <c r="AA400" s="34"/>
      <c r="AB400" s="35"/>
      <c r="AC400" s="36"/>
      <c r="AD400" s="35"/>
      <c r="AE400" s="35"/>
      <c r="AF400" s="35"/>
      <c r="AG400" s="35"/>
      <c r="AH400" s="35"/>
      <c r="AI400" s="35"/>
      <c r="AJ400" s="35"/>
      <c r="AK400" s="35"/>
      <c r="AL400" s="35"/>
      <c r="AM400" s="34"/>
      <c r="AN400" s="35"/>
      <c r="AO400" s="36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  <c r="BB400" s="40"/>
      <c r="BC400" s="40"/>
      <c r="BD400" s="55"/>
      <c r="BE400" s="40"/>
      <c r="BF400" s="40"/>
      <c r="BG400" s="40"/>
      <c r="BH400" s="40"/>
      <c r="BI400" s="40"/>
      <c r="BJ400" s="40"/>
      <c r="BK400" s="40"/>
      <c r="BL400" s="40"/>
      <c r="BM400" s="40"/>
      <c r="BN400" s="46"/>
      <c r="BO400" s="40"/>
      <c r="BP400" s="47"/>
      <c r="BQ400" s="45"/>
    </row>
    <row r="401" ht="12" customHeight="1" spans="1:69" s="56" customFormat="1" x14ac:dyDescent="0.25">
      <c r="A401" s="57"/>
      <c r="B401" s="23" t="s">
        <v>38</v>
      </c>
      <c r="C401" s="58">
        <f>SUM(C7:C399)</f>
        <v>30055.240000000005</v>
      </c>
      <c r="D401" s="58">
        <f>SUM(D7:D399)</f>
        <v>0</v>
      </c>
      <c r="E401" s="58">
        <f>SUM(E7:E399)</f>
        <v>30055.240000000005</v>
      </c>
      <c r="F401" s="58">
        <f>SUM(F7:F399)</f>
        <v>10615.58</v>
      </c>
      <c r="G401" s="58">
        <f>SUM(G7:G399)</f>
        <v>0</v>
      </c>
      <c r="H401" s="58">
        <f>SUM(H7:H399)</f>
        <v>10615.58</v>
      </c>
      <c r="I401" s="58">
        <f>SUM(I7:I399)</f>
        <v>0</v>
      </c>
      <c r="J401" s="58">
        <f>SUM(J7:J399)</f>
        <v>0</v>
      </c>
      <c r="K401" s="58">
        <f>SUM(K7:K399)</f>
        <v>0</v>
      </c>
      <c r="L401" s="58">
        <f>SUM(L7:L399)</f>
        <v>0</v>
      </c>
      <c r="M401" s="58">
        <f>SUM(M7:M399)</f>
        <v>0</v>
      </c>
      <c r="N401" s="58">
        <f>SUM(N7:N399)</f>
        <v>0</v>
      </c>
      <c r="O401" s="58">
        <f>SUM(O7:O399)</f>
        <v>0</v>
      </c>
      <c r="P401" s="58">
        <f>SUM(P7:P399)</f>
        <v>0</v>
      </c>
      <c r="Q401" s="58">
        <f>SUM(Q7:Q399)</f>
        <v>0</v>
      </c>
      <c r="R401" s="58">
        <f>SUM(R7:R399)</f>
        <v>23166.25</v>
      </c>
      <c r="S401" s="58">
        <f>SUM(S7:S399)</f>
        <v>0</v>
      </c>
      <c r="T401" s="58">
        <f>SUM(T7:T399)</f>
        <v>23166.25</v>
      </c>
      <c r="U401" s="58">
        <f>SUM(U7:U399)</f>
        <v>0</v>
      </c>
      <c r="V401" s="58">
        <f>SUM(V7:V399)</f>
        <v>0</v>
      </c>
      <c r="W401" s="58">
        <f>SUM(W7:W399)</f>
        <v>0</v>
      </c>
      <c r="X401" s="58">
        <f>SUM(X7:X399)</f>
        <v>0</v>
      </c>
      <c r="Y401" s="58">
        <f>SUM(Y7:Y399)</f>
        <v>0</v>
      </c>
      <c r="Z401" s="58">
        <f>SUM(Z7:Z399)</f>
        <v>0</v>
      </c>
      <c r="AA401" s="58">
        <f>SUM(AA7:AA399)</f>
        <v>30291.66</v>
      </c>
      <c r="AB401" s="58">
        <f>SUM(AB7:AB399)</f>
        <v>0</v>
      </c>
      <c r="AC401" s="58">
        <f>SUM(AC7:AC399)</f>
        <v>30291.66</v>
      </c>
      <c r="AD401" s="58">
        <f>SUM(AD7:AD399)</f>
        <v>0</v>
      </c>
      <c r="AE401" s="58">
        <f>SUM(AE7:AE399)</f>
        <v>0</v>
      </c>
      <c r="AF401" s="58">
        <f>SUM(AF7:AF399)</f>
        <v>0</v>
      </c>
      <c r="AG401" s="58">
        <f>SUM(AG7:AG399)</f>
        <v>0</v>
      </c>
      <c r="AH401" s="58">
        <f>SUM(AH7:AH399)</f>
        <v>0</v>
      </c>
      <c r="AI401" s="58">
        <f>SUM(AI7:AI399)</f>
        <v>0</v>
      </c>
      <c r="AJ401" s="58">
        <f>SUM(AJ7:AJ399)</f>
        <v>0</v>
      </c>
      <c r="AK401" s="58">
        <f>SUM(AK7:AK399)</f>
        <v>0</v>
      </c>
      <c r="AL401" s="58">
        <f>SUM(AL7:AL399)</f>
        <v>0</v>
      </c>
      <c r="AM401" s="58">
        <f>SUM(AM7:AM399)</f>
        <v>1663.8699999999997</v>
      </c>
      <c r="AN401" s="58">
        <f>SUM(AN7:AN399)</f>
        <v>0</v>
      </c>
      <c r="AO401" s="58">
        <f>SUM(AO7:AO399)</f>
        <v>1663.8699999999997</v>
      </c>
      <c r="AP401" s="59">
        <f>SUM(AP7:AP399)</f>
        <v>0</v>
      </c>
      <c r="AQ401" s="59">
        <f>SUM(AQ7:AQ399)</f>
        <v>0</v>
      </c>
      <c r="AR401" s="59">
        <f>SUM(AR7:AR399)</f>
        <v>0</v>
      </c>
      <c r="AS401" s="59">
        <f>SUM(AS7:AS399)</f>
        <v>0</v>
      </c>
      <c r="AT401" s="59">
        <f>SUM(AT7:AT399)</f>
        <v>0</v>
      </c>
      <c r="AU401" s="59">
        <f>SUM(AU7:AU399)</f>
        <v>0</v>
      </c>
      <c r="AV401" s="59">
        <f>SUM(AV7:AV399)</f>
        <v>0</v>
      </c>
      <c r="AW401" s="59">
        <f>SUM(AW7:AW399)</f>
        <v>0</v>
      </c>
      <c r="AX401" s="59">
        <f>SUM(AX7:AX399)</f>
        <v>0</v>
      </c>
      <c r="AY401" s="59">
        <f>SUM(AY7:AY399)</f>
        <v>0</v>
      </c>
      <c r="AZ401" s="59">
        <f>SUM(AZ7:AZ399)</f>
        <v>0</v>
      </c>
      <c r="BA401" s="59">
        <f>SUM(BA7:BA399)</f>
        <v>0</v>
      </c>
      <c r="BB401" s="59">
        <f>SUM(BB7:BB399)</f>
        <v>0</v>
      </c>
      <c r="BC401" s="59">
        <f>SUM(BC7:BC399)</f>
        <v>0</v>
      </c>
      <c r="BD401" s="59">
        <f>SUM(BD7:BD399)</f>
        <v>0</v>
      </c>
      <c r="BE401" s="59">
        <f>SUM(BE7:BE399)</f>
        <v>0</v>
      </c>
      <c r="BF401" s="59">
        <f>SUM(BF7:BF399)</f>
        <v>0</v>
      </c>
      <c r="BG401" s="59">
        <f>SUM(BG7:BG399)</f>
        <v>0</v>
      </c>
      <c r="BH401" s="59">
        <f>SUM(BH7:BH399)</f>
        <v>0</v>
      </c>
      <c r="BI401" s="59">
        <f>SUM(BI7:BI399)</f>
        <v>0</v>
      </c>
      <c r="BJ401" s="59">
        <f>SUM(BJ7:BJ399)</f>
        <v>0</v>
      </c>
      <c r="BK401" s="59">
        <f>SUM(BK7:BK399)</f>
        <v>0</v>
      </c>
      <c r="BL401" s="59">
        <f>SUM(BL7:BL399)</f>
        <v>0</v>
      </c>
      <c r="BM401" s="59">
        <f>SUM(BM7:BM399)</f>
        <v>0</v>
      </c>
      <c r="BN401" s="59">
        <f>SUM(BN7:BN399)</f>
        <v>0</v>
      </c>
      <c r="BO401" s="59">
        <f>SUM(BO7:BO399)</f>
        <v>0</v>
      </c>
      <c r="BP401" s="59">
        <f>SUM(BP7:BP399)</f>
        <v>0</v>
      </c>
      <c r="BQ401" s="59">
        <f>SUM(BQ7:BQ399)</f>
        <v>95792.60000000002</v>
      </c>
    </row>
    <row r="402" ht="12" customHeight="1" spans="1:5" x14ac:dyDescent="0.25">
      <c r="A402" s="57"/>
      <c r="B402" s="9"/>
      <c r="C402" s="60"/>
      <c r="D402" s="10"/>
      <c r="E402" s="61"/>
    </row>
    <row r="403" ht="11.25" customHeight="1" spans="1:83" x14ac:dyDescent="0.25">
      <c r="A403" s="9"/>
      <c r="B403" s="9"/>
      <c r="C403" s="10"/>
      <c r="D403" s="10"/>
      <c r="E403" s="10"/>
      <c r="F403" s="6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62"/>
      <c r="BL403" s="11"/>
      <c r="BM403" s="11"/>
      <c r="BN403" s="11"/>
      <c r="BO403" s="11"/>
      <c r="BP403" s="11" t="s">
        <v>433</v>
      </c>
      <c r="BQ403" s="63"/>
      <c r="BR403" s="64"/>
      <c r="BS403" s="64"/>
      <c r="BT403" s="64"/>
      <c r="BU403" s="64"/>
      <c r="BV403" s="64"/>
      <c r="BW403" s="64"/>
      <c r="BX403" s="64"/>
      <c r="BY403" s="64"/>
      <c r="BZ403" s="64"/>
      <c r="CA403" s="64"/>
      <c r="CB403" s="64"/>
      <c r="CC403" s="64"/>
      <c r="CD403" s="64"/>
      <c r="CE403" s="64"/>
    </row>
    <row r="404" ht="11.25" customHeight="1" spans="1:67" x14ac:dyDescent="0.25">
      <c r="A404" s="23"/>
      <c r="B404" s="23"/>
      <c r="C404" s="10"/>
      <c r="D404" s="10"/>
      <c r="E404" s="10"/>
      <c r="F404" s="10"/>
      <c r="G404" s="10"/>
      <c r="H404" s="10"/>
      <c r="I404" s="65"/>
      <c r="J404" s="65"/>
      <c r="K404" s="65"/>
      <c r="L404" s="66"/>
      <c r="M404" s="66"/>
      <c r="N404" s="66"/>
      <c r="O404" s="65"/>
      <c r="P404" s="65"/>
      <c r="Q404" s="10"/>
      <c r="R404" s="10"/>
      <c r="S404" s="10"/>
      <c r="T404" s="10"/>
      <c r="U404" s="10"/>
      <c r="V404" s="10"/>
      <c r="W404" s="67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68"/>
    </row>
    <row r="405" ht="11.25" customHeight="1" spans="1:68" x14ac:dyDescent="0.25">
      <c r="A405" s="9"/>
      <c r="B405" s="9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 t="s">
        <v>434</v>
      </c>
    </row>
    <row r="406" ht="12" customHeight="1" spans="1:2" x14ac:dyDescent="0.25">
      <c r="A406" s="9"/>
      <c r="B406" s="9"/>
    </row>
    <row r="407" ht="11.25" customHeight="1" spans="1:69" x14ac:dyDescent="0.25">
      <c r="A407" s="9"/>
      <c r="B407" s="9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45"/>
    </row>
    <row r="408" ht="12" customHeight="1" spans="1:7" x14ac:dyDescent="0.25">
      <c r="A408" s="9"/>
      <c r="B408" s="9"/>
      <c r="C408" s="10"/>
      <c r="D408" s="10"/>
      <c r="E408" s="10"/>
      <c r="F408" s="10"/>
      <c r="G408" s="65"/>
    </row>
    <row r="409" ht="12" customHeight="1" spans="1:2" x14ac:dyDescent="0.25">
      <c r="A409" s="9"/>
      <c r="B409" s="9"/>
    </row>
    <row r="410" ht="11.25" customHeight="1" spans="1:6" x14ac:dyDescent="0.25">
      <c r="A410" s="9"/>
      <c r="B410" s="9"/>
      <c r="C410" s="10"/>
      <c r="D410" s="65"/>
      <c r="E410" s="65"/>
      <c r="F410" s="65"/>
    </row>
    <row r="411" ht="11.25" customHeight="1" spans="1:3" x14ac:dyDescent="0.25">
      <c r="A411" s="9"/>
      <c r="B411" s="9"/>
      <c r="C411" s="65"/>
    </row>
    <row r="412" ht="11.25" customHeight="1" spans="1:3" x14ac:dyDescent="0.25">
      <c r="A412" s="9"/>
      <c r="B412" s="9"/>
      <c r="C412" s="69"/>
    </row>
    <row r="413" ht="11.25" customHeight="1" spans="1:3" x14ac:dyDescent="0.25">
      <c r="A413" s="9"/>
      <c r="B413" s="9"/>
      <c r="C413" s="69"/>
    </row>
    <row r="414" spans="1:2" x14ac:dyDescent="0.25">
      <c r="A414" s="9"/>
      <c r="B414" s="9"/>
    </row>
    <row r="415" ht="12" customHeight="1" spans="1:2" x14ac:dyDescent="0.25">
      <c r="A415" s="9"/>
      <c r="B415" s="9"/>
    </row>
    <row r="416" ht="12" customHeight="1" spans="1:2" x14ac:dyDescent="0.25">
      <c r="A416" s="9"/>
      <c r="B416" s="9"/>
    </row>
    <row r="417" ht="11.25" customHeight="1" spans="1:6" x14ac:dyDescent="0.25">
      <c r="A417" s="9"/>
      <c r="B417" s="9"/>
      <c r="C417" s="10"/>
      <c r="D417" s="65"/>
      <c r="E417" s="65"/>
      <c r="F417" s="65"/>
    </row>
    <row r="418" ht="11.25" customHeight="1" spans="1:3" x14ac:dyDescent="0.25">
      <c r="A418" s="9"/>
      <c r="B418" s="9"/>
      <c r="C418" s="65"/>
    </row>
    <row r="419" ht="11.25" customHeight="1" spans="1:2" x14ac:dyDescent="0.25">
      <c r="A419" s="9"/>
      <c r="B419" s="9"/>
    </row>
    <row r="420" ht="11.25" customHeight="1" spans="1:2" x14ac:dyDescent="0.25">
      <c r="A420" s="9"/>
      <c r="B420" s="9"/>
    </row>
    <row r="421" ht="11.25" customHeight="1" spans="1:5" x14ac:dyDescent="0.25">
      <c r="A421" s="9"/>
      <c r="B421" s="9"/>
      <c r="C421" s="10"/>
      <c r="D421" s="10"/>
      <c r="E421" s="61"/>
    </row>
    <row r="422" ht="11.25" customHeight="1" spans="1:2" x14ac:dyDescent="0.25">
      <c r="A422" s="9"/>
      <c r="B422" s="9"/>
    </row>
    <row r="423" ht="11.25" customHeight="1" spans="1:68" x14ac:dyDescent="0.25">
      <c r="A423" s="9"/>
      <c r="B423" s="9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70"/>
      <c r="AQ423" s="70"/>
      <c r="AR423" s="70"/>
      <c r="AS423" s="70"/>
      <c r="AT423" s="70"/>
      <c r="AU423" s="70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70"/>
      <c r="BJ423" s="70"/>
      <c r="BK423" s="70"/>
      <c r="BL423" s="70"/>
      <c r="BM423" s="70"/>
      <c r="BN423" s="70"/>
      <c r="BO423" s="70"/>
      <c r="BP423" s="70"/>
    </row>
    <row r="424" ht="11.25" customHeight="1" spans="1:2" x14ac:dyDescent="0.25">
      <c r="A424" s="9"/>
      <c r="B424" s="9"/>
    </row>
    <row r="425" ht="11.25" customHeight="1" spans="1:2" x14ac:dyDescent="0.25">
      <c r="A425" s="9"/>
      <c r="B425" s="9"/>
    </row>
    <row r="426" ht="11.25" customHeight="1" spans="1:68" x14ac:dyDescent="0.25">
      <c r="A426" s="9"/>
      <c r="B426" s="9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70"/>
      <c r="AQ426" s="70"/>
      <c r="AR426" s="70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70"/>
      <c r="BD426" s="70"/>
      <c r="BE426" s="70"/>
      <c r="BF426" s="70"/>
      <c r="BG426" s="70"/>
      <c r="BH426" s="70"/>
      <c r="BI426" s="70"/>
      <c r="BJ426" s="70"/>
      <c r="BK426" s="70"/>
      <c r="BL426" s="70"/>
      <c r="BM426" s="70"/>
      <c r="BN426" s="70"/>
      <c r="BO426" s="70"/>
      <c r="BP426" s="70"/>
    </row>
    <row r="427" ht="11.25" customHeight="1" spans="1:68" x14ac:dyDescent="0.25">
      <c r="A427" s="9"/>
      <c r="B427" s="9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70"/>
      <c r="AQ427" s="70"/>
      <c r="AR427" s="70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70"/>
      <c r="BD427" s="70"/>
      <c r="BE427" s="70"/>
      <c r="BF427" s="70"/>
      <c r="BG427" s="70"/>
      <c r="BH427" s="70"/>
      <c r="BI427" s="70"/>
      <c r="BJ427" s="70"/>
      <c r="BK427" s="70"/>
      <c r="BL427" s="70"/>
      <c r="BM427" s="70"/>
      <c r="BN427" s="70"/>
      <c r="BO427" s="70"/>
      <c r="BP427" s="70"/>
    </row>
    <row r="428" ht="11.25" customHeight="1" spans="1:68" x14ac:dyDescent="0.25">
      <c r="A428" s="9"/>
      <c r="B428" s="9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70"/>
      <c r="AQ428" s="70"/>
      <c r="AR428" s="70"/>
      <c r="AS428" s="70"/>
      <c r="AT428" s="70"/>
      <c r="AU428" s="70"/>
      <c r="AV428" s="70"/>
      <c r="AW428" s="70"/>
      <c r="AX428" s="70"/>
      <c r="AY428" s="70"/>
      <c r="AZ428" s="70"/>
      <c r="BA428" s="70"/>
      <c r="BB428" s="70"/>
      <c r="BC428" s="70"/>
      <c r="BD428" s="70"/>
      <c r="BE428" s="70"/>
      <c r="BF428" s="70"/>
      <c r="BG428" s="70"/>
      <c r="BH428" s="70"/>
      <c r="BI428" s="70"/>
      <c r="BJ428" s="70"/>
      <c r="BK428" s="70"/>
      <c r="BL428" s="70"/>
      <c r="BM428" s="70"/>
      <c r="BN428" s="70"/>
      <c r="BO428" s="70"/>
      <c r="BP428" s="70"/>
    </row>
    <row r="429" ht="12" customHeight="1" spans="1:5" x14ac:dyDescent="0.25">
      <c r="A429" s="9"/>
      <c r="B429" s="9"/>
      <c r="C429" s="10"/>
      <c r="D429" s="10"/>
      <c r="E429" s="71"/>
    </row>
    <row r="430" ht="12" customHeight="1" spans="1:2" x14ac:dyDescent="0.25">
      <c r="A430" s="9"/>
      <c r="B430" s="9"/>
    </row>
    <row r="431" ht="12" customHeight="1" spans="1:2" x14ac:dyDescent="0.25">
      <c r="A431" s="72"/>
      <c r="B431" s="72"/>
    </row>
    <row r="432" ht="11.25" customHeight="1" spans="1:2" x14ac:dyDescent="0.25">
      <c r="A432" s="9"/>
      <c r="B432" s="23"/>
    </row>
    <row r="433" ht="11.25" customHeight="1" spans="1:2" x14ac:dyDescent="0.25">
      <c r="A433" s="73"/>
      <c r="B433" s="73"/>
    </row>
    <row r="434" ht="11.25" customHeight="1" spans="1:2" x14ac:dyDescent="0.25">
      <c r="A434" s="9"/>
      <c r="B434" s="9"/>
    </row>
    <row r="435" ht="11.25" customHeight="1" spans="1:2" x14ac:dyDescent="0.25">
      <c r="A435" s="9"/>
      <c r="B435" s="9"/>
    </row>
    <row r="436" ht="11.25" customHeight="1" spans="1:8" x14ac:dyDescent="0.25">
      <c r="A436" s="9"/>
      <c r="B436" s="9"/>
      <c r="C436" s="10"/>
      <c r="D436" s="10"/>
      <c r="E436" s="10"/>
      <c r="F436" s="61"/>
      <c r="G436" s="10"/>
      <c r="H436" s="61"/>
    </row>
    <row r="437" ht="11.25" customHeight="1" spans="1:8" x14ac:dyDescent="0.25">
      <c r="A437" s="9"/>
      <c r="B437" s="9"/>
      <c r="C437" s="10"/>
      <c r="D437" s="10"/>
      <c r="E437" s="10"/>
      <c r="F437" s="61"/>
      <c r="G437" s="10"/>
      <c r="H437" s="61"/>
    </row>
    <row r="438" ht="11.25" customHeight="1" spans="1:8" x14ac:dyDescent="0.25">
      <c r="A438" s="9"/>
      <c r="B438" s="9"/>
      <c r="C438" s="10"/>
      <c r="D438" s="10"/>
      <c r="E438" s="10"/>
      <c r="F438" s="61"/>
      <c r="G438" s="10"/>
      <c r="H438" s="61"/>
    </row>
    <row r="439" ht="11.25" customHeight="1" spans="1:8" x14ac:dyDescent="0.25">
      <c r="A439" s="9"/>
      <c r="B439" s="9"/>
      <c r="C439" s="10"/>
      <c r="D439" s="10"/>
      <c r="E439" s="10"/>
      <c r="F439" s="61"/>
      <c r="G439" s="10"/>
      <c r="H439" s="61"/>
    </row>
    <row r="440" ht="11.25" customHeight="1" spans="1:8" x14ac:dyDescent="0.25">
      <c r="A440" s="9"/>
      <c r="B440" s="9"/>
      <c r="C440" s="10"/>
      <c r="D440" s="10"/>
      <c r="E440" s="10"/>
      <c r="F440" s="61"/>
      <c r="G440" s="10"/>
      <c r="H440" s="61"/>
    </row>
    <row r="441" ht="11.25" customHeight="1" spans="1:8" x14ac:dyDescent="0.25">
      <c r="A441" s="9"/>
      <c r="B441" s="9"/>
      <c r="C441" s="10"/>
      <c r="D441" s="10"/>
      <c r="E441" s="10"/>
      <c r="F441" s="61"/>
      <c r="G441" s="10"/>
      <c r="H441" s="61"/>
    </row>
    <row r="442" ht="11.25" customHeight="1" spans="1:2" x14ac:dyDescent="0.25">
      <c r="A442" s="9"/>
      <c r="B442" s="9"/>
    </row>
    <row r="443" ht="11.25" customHeight="1" spans="1:2" x14ac:dyDescent="0.25">
      <c r="A443" s="9"/>
      <c r="B443" s="74"/>
    </row>
    <row r="444" ht="11.25" customHeight="1" spans="1:2" x14ac:dyDescent="0.25">
      <c r="A444" s="9"/>
      <c r="B444" s="9"/>
    </row>
    <row r="445" ht="11.25" customHeight="1" spans="1:2" x14ac:dyDescent="0.25">
      <c r="A445" s="9"/>
      <c r="B445" s="74"/>
    </row>
    <row r="446" ht="11.25" customHeight="1" spans="1:2" x14ac:dyDescent="0.25">
      <c r="A446" s="9"/>
      <c r="B446" s="74"/>
    </row>
    <row r="447" ht="11.25" customHeight="1" spans="1:2" x14ac:dyDescent="0.25">
      <c r="A447" s="9"/>
      <c r="B447" s="74"/>
    </row>
    <row r="448" ht="11.25" customHeight="1" spans="1:2" x14ac:dyDescent="0.25">
      <c r="A448" s="9"/>
      <c r="B448" s="9"/>
    </row>
    <row r="449" ht="11.25" customHeight="1" spans="1:2" x14ac:dyDescent="0.25">
      <c r="A449" s="9"/>
      <c r="B449" s="74"/>
    </row>
    <row r="450" spans="1:2" x14ac:dyDescent="0.25">
      <c r="A450" s="9"/>
      <c r="B450" s="9"/>
    </row>
    <row r="451" spans="1:2" x14ac:dyDescent="0.25">
      <c r="A451" s="9"/>
      <c r="B451" s="9"/>
    </row>
    <row r="452" spans="1:2" x14ac:dyDescent="0.25">
      <c r="A452" s="9"/>
      <c r="B452" s="9"/>
    </row>
    <row r="453" spans="1:2" x14ac:dyDescent="0.25">
      <c r="A453" s="9"/>
      <c r="B453" s="9"/>
    </row>
    <row r="454" ht="11.25" customHeight="1" spans="1:2" x14ac:dyDescent="0.25">
      <c r="A454" s="9"/>
      <c r="B454" s="9"/>
    </row>
    <row r="455" ht="11.25" customHeight="1" spans="1:2" x14ac:dyDescent="0.25">
      <c r="A455" s="9"/>
      <c r="B455" s="9"/>
    </row>
    <row r="456" ht="11.25" customHeight="1" spans="1:7" x14ac:dyDescent="0.25">
      <c r="A456" s="9"/>
      <c r="B456" s="9"/>
      <c r="C456" s="10"/>
      <c r="D456" s="10"/>
      <c r="E456" s="10"/>
      <c r="F456" s="10"/>
      <c r="G456" s="75"/>
    </row>
    <row r="457" spans="1:2" x14ac:dyDescent="0.25">
      <c r="A457" s="9"/>
      <c r="B457" s="9"/>
    </row>
    <row r="458" spans="1:2" x14ac:dyDescent="0.25">
      <c r="A458" s="9"/>
      <c r="B458" s="9"/>
    </row>
    <row r="459" spans="1:2" x14ac:dyDescent="0.25">
      <c r="A459" s="9"/>
      <c r="B459" s="9"/>
    </row>
    <row r="460" spans="1:2" x14ac:dyDescent="0.25">
      <c r="A460" s="9"/>
      <c r="B460" s="9"/>
    </row>
    <row r="461" spans="1:2" x14ac:dyDescent="0.25">
      <c r="A461" s="9"/>
      <c r="B461" s="9"/>
    </row>
    <row r="462" spans="1:2" x14ac:dyDescent="0.25">
      <c r="A462" s="9"/>
      <c r="B462" s="9"/>
    </row>
    <row r="463" spans="1:2" x14ac:dyDescent="0.25">
      <c r="A463" s="9"/>
      <c r="B463" s="9"/>
    </row>
    <row r="464" spans="1:2" x14ac:dyDescent="0.25">
      <c r="A464" s="9"/>
      <c r="B464" s="9"/>
    </row>
    <row r="465" spans="1:2" x14ac:dyDescent="0.25">
      <c r="A465" s="9"/>
      <c r="B465" s="9"/>
    </row>
    <row r="466" spans="1:2" x14ac:dyDescent="0.25">
      <c r="A466" s="9"/>
      <c r="B466" s="9"/>
    </row>
    <row r="467" spans="1:2" x14ac:dyDescent="0.25">
      <c r="A467" s="9"/>
      <c r="B467" s="9"/>
    </row>
    <row r="468" spans="1:2" x14ac:dyDescent="0.25">
      <c r="A468" s="9"/>
      <c r="B468" s="9"/>
    </row>
    <row r="469" spans="1:2" x14ac:dyDescent="0.25">
      <c r="A469" s="9"/>
      <c r="B469" s="9"/>
    </row>
    <row r="470" spans="1:2" x14ac:dyDescent="0.25">
      <c r="A470" s="9"/>
      <c r="B470" s="9"/>
    </row>
    <row r="471" spans="1:2" x14ac:dyDescent="0.25">
      <c r="A471" s="9"/>
      <c r="B471" s="9"/>
    </row>
    <row r="472" spans="1:2" x14ac:dyDescent="0.25">
      <c r="A472" s="9"/>
      <c r="B472" s="9"/>
    </row>
    <row r="473" spans="1:2" x14ac:dyDescent="0.25">
      <c r="A473" s="9"/>
      <c r="B473" s="9"/>
    </row>
    <row r="474" spans="1:2" x14ac:dyDescent="0.25">
      <c r="A474" s="9"/>
      <c r="B474" s="9"/>
    </row>
    <row r="475" spans="1:2" x14ac:dyDescent="0.25">
      <c r="A475" s="9"/>
      <c r="B475" s="9"/>
    </row>
    <row r="476" spans="1:2" x14ac:dyDescent="0.25">
      <c r="A476" s="9"/>
      <c r="B476" s="9"/>
    </row>
    <row r="477" spans="1:2" x14ac:dyDescent="0.25">
      <c r="A477" s="9"/>
      <c r="B477" s="9"/>
    </row>
    <row r="478" spans="1:2" x14ac:dyDescent="0.25">
      <c r="A478" s="9"/>
      <c r="B478" s="9"/>
    </row>
    <row r="479" spans="1:2" x14ac:dyDescent="0.25">
      <c r="A479" s="9"/>
      <c r="B479" s="9"/>
    </row>
    <row r="480" spans="1:2" x14ac:dyDescent="0.25">
      <c r="A480" s="9"/>
      <c r="B480" s="9"/>
    </row>
    <row r="481" spans="1:2" x14ac:dyDescent="0.25">
      <c r="A481" s="9"/>
      <c r="B481" s="9"/>
    </row>
    <row r="482" spans="1:2" x14ac:dyDescent="0.25">
      <c r="A482" s="9"/>
      <c r="B482" s="9"/>
    </row>
    <row r="483" spans="1:2" x14ac:dyDescent="0.25">
      <c r="A483" s="9"/>
      <c r="B483" s="9"/>
    </row>
    <row r="484" spans="1:2" x14ac:dyDescent="0.25">
      <c r="A484" s="9"/>
      <c r="B484" s="9"/>
    </row>
    <row r="485" spans="1:2" x14ac:dyDescent="0.25">
      <c r="A485" s="9"/>
      <c r="B485" s="9"/>
    </row>
    <row r="486" ht="11.25" customHeight="1" spans="1:2" x14ac:dyDescent="0.25">
      <c r="A486" s="9"/>
      <c r="B486" s="9"/>
    </row>
    <row r="487" ht="11.25" customHeight="1" spans="1:2" x14ac:dyDescent="0.25">
      <c r="A487" s="9"/>
      <c r="B487" s="9"/>
    </row>
    <row r="488" ht="11.25" customHeight="1" spans="1:4" x14ac:dyDescent="0.25">
      <c r="A488" s="9"/>
      <c r="B488" s="9"/>
      <c r="C488" s="10"/>
      <c r="D488" s="61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6" customWidth="1"/>
    <col min="2" max="2" width="12.85546875" style="76" customWidth="1"/>
    <col min="3" max="3" width="59.28515625" style="76" customWidth="1"/>
    <col min="4" max="4" width="23" style="77" customWidth="1"/>
    <col min="5" max="5" width="14.42578125" style="77" customWidth="1"/>
    <col min="6" max="6" width="14.5703125" style="77" customWidth="1"/>
    <col min="7" max="7" width="16" style="77" customWidth="1"/>
    <col min="8" max="8" width="16.28515625" style="77" hidden="1" customWidth="1"/>
    <col min="9" max="9" width="12.5703125" style="77" hidden="1" customWidth="1"/>
    <col min="10" max="10" width="13.7109375" style="77" hidden="1" customWidth="1"/>
    <col min="11" max="11" width="13.7109375" style="77" customWidth="1"/>
    <col min="12" max="12" width="14.7109375" style="77" hidden="1" customWidth="1"/>
    <col min="13" max="13" width="10" style="77" hidden="1" customWidth="1"/>
    <col min="14" max="14" width="16" style="77" customWidth="1"/>
    <col min="15" max="15" width="15.5703125" style="77" hidden="1" customWidth="1"/>
    <col min="16" max="16" width="17" style="77" customWidth="1"/>
    <col min="17" max="17" width="11.140625" style="77" hidden="1" customWidth="1"/>
    <col min="18" max="18" width="13.5703125" style="77" hidden="1" customWidth="1"/>
    <col min="19" max="19" width="14.5703125" style="77" hidden="1" customWidth="1"/>
    <col min="20" max="20" width="19.140625" style="77" hidden="1" customWidth="1"/>
    <col min="21" max="21" width="11.7109375" style="77" hidden="1" customWidth="1"/>
    <col min="22" max="22" width="12.42578125" style="77" hidden="1" customWidth="1"/>
    <col min="23" max="23" width="16.140625" style="77" hidden="1" customWidth="1"/>
    <col min="24" max="24" width="17" style="77" hidden="1" customWidth="1"/>
    <col min="25" max="25" width="15" style="77" hidden="1" customWidth="1"/>
    <col min="26" max="26" width="17.5703125" style="77" hidden="1" customWidth="1"/>
    <col min="27" max="27" width="13.85546875" style="77" hidden="1" customWidth="1"/>
    <col min="28" max="28" width="11.42578125" style="77" hidden="1" customWidth="1"/>
    <col min="29" max="29" width="11.5703125" style="77" customWidth="1"/>
    <col min="30" max="30" width="10.5703125" style="77" customWidth="1"/>
    <col min="31" max="31" width="12" style="77" customWidth="1"/>
    <col min="32" max="32" width="13" style="77" customWidth="1"/>
    <col min="33" max="33" width="13.85546875" style="77" customWidth="1"/>
    <col min="34" max="34" width="11.28515625" style="77" customWidth="1"/>
    <col min="35" max="35" width="13.85546875" style="77" customWidth="1"/>
    <col min="36" max="16384" width="9.140625" style="76" customWidth="1"/>
  </cols>
  <sheetData>
    <row r="1" ht="12.75" customHeight="1" spans="1:35" x14ac:dyDescent="0.25">
      <c r="A1" s="76"/>
      <c r="B1" s="76"/>
      <c r="C1" s="78" t="s">
        <v>435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</row>
    <row r="2" ht="12.75" customHeight="1" spans="1:35" x14ac:dyDescent="0.25">
      <c r="A2" s="76"/>
      <c r="B2" s="76"/>
      <c r="C2" s="80" t="s">
        <v>436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</row>
    <row r="3" ht="12.75" customHeight="1" spans="1:35" x14ac:dyDescent="0.25">
      <c r="A3" s="76"/>
      <c r="B3" s="76"/>
      <c r="C3" s="81" t="s">
        <v>437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</row>
    <row r="4" ht="12.75" customHeight="1" spans="1:35" x14ac:dyDescent="0.25">
      <c r="A4" s="76"/>
      <c r="B4" s="76"/>
      <c r="C4" s="82"/>
      <c r="D4" s="79"/>
      <c r="E4" s="79"/>
      <c r="F4" s="79" t="s">
        <v>438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</row>
    <row r="5" ht="12.75" customHeight="1" spans="1:35" x14ac:dyDescent="0.25">
      <c r="A5" s="83"/>
      <c r="B5" s="83"/>
      <c r="C5" s="84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</row>
    <row r="6" ht="12.75" customHeight="1" spans="1:35" x14ac:dyDescent="0.25">
      <c r="A6" s="76"/>
      <c r="B6" s="76"/>
      <c r="C6" s="86" t="s">
        <v>439</v>
      </c>
      <c r="D6" s="87" t="s">
        <v>440</v>
      </c>
      <c r="E6" s="88"/>
      <c r="F6" s="89" t="s">
        <v>441</v>
      </c>
      <c r="G6" s="89" t="s">
        <v>442</v>
      </c>
      <c r="H6" s="89" t="s">
        <v>443</v>
      </c>
      <c r="I6" s="89" t="s">
        <v>444</v>
      </c>
      <c r="J6" s="89" t="s">
        <v>444</v>
      </c>
      <c r="K6" s="89" t="s">
        <v>445</v>
      </c>
      <c r="L6" s="89" t="s">
        <v>446</v>
      </c>
      <c r="M6" s="89" t="s">
        <v>446</v>
      </c>
      <c r="N6" s="89" t="s">
        <v>447</v>
      </c>
      <c r="O6" s="89" t="s">
        <v>448</v>
      </c>
      <c r="P6" s="89" t="s">
        <v>449</v>
      </c>
      <c r="Q6" s="89" t="s">
        <v>450</v>
      </c>
      <c r="R6" s="89" t="s">
        <v>450</v>
      </c>
      <c r="S6" s="89" t="s">
        <v>450</v>
      </c>
      <c r="T6" s="89" t="s">
        <v>450</v>
      </c>
      <c r="U6" s="90" t="s">
        <v>36</v>
      </c>
      <c r="V6" s="90" t="s">
        <v>451</v>
      </c>
      <c r="W6" s="91" t="s">
        <v>452</v>
      </c>
      <c r="X6" s="91" t="s">
        <v>452</v>
      </c>
      <c r="Y6" s="91" t="s">
        <v>452</v>
      </c>
      <c r="Z6" s="91" t="s">
        <v>452</v>
      </c>
      <c r="AA6" s="91" t="s">
        <v>453</v>
      </c>
      <c r="AB6" s="91" t="s">
        <v>452</v>
      </c>
      <c r="AC6" s="91" t="s">
        <v>452</v>
      </c>
      <c r="AD6" s="91" t="s">
        <v>452</v>
      </c>
      <c r="AE6" s="91" t="s">
        <v>452</v>
      </c>
      <c r="AF6" s="91" t="s">
        <v>452</v>
      </c>
      <c r="AG6" s="91" t="s">
        <v>452</v>
      </c>
      <c r="AH6" s="91" t="s">
        <v>452</v>
      </c>
      <c r="AI6" s="92" t="s">
        <v>452</v>
      </c>
    </row>
    <row r="7" ht="12.75" customHeight="1" spans="1:35" x14ac:dyDescent="0.25">
      <c r="A7" s="83" t="s">
        <v>454</v>
      </c>
      <c r="B7" s="83" t="s">
        <v>455</v>
      </c>
      <c r="C7" s="93"/>
      <c r="D7" s="94" t="s">
        <v>456</v>
      </c>
      <c r="E7" s="95" t="s">
        <v>457</v>
      </c>
      <c r="F7" s="94" t="s">
        <v>458</v>
      </c>
      <c r="G7" s="94" t="s">
        <v>459</v>
      </c>
      <c r="H7" s="94" t="s">
        <v>460</v>
      </c>
      <c r="I7" s="94" t="s">
        <v>461</v>
      </c>
      <c r="J7" s="94" t="s">
        <v>462</v>
      </c>
      <c r="K7" s="94" t="s">
        <v>463</v>
      </c>
      <c r="L7" s="94" t="s">
        <v>464</v>
      </c>
      <c r="M7" s="94" t="s">
        <v>465</v>
      </c>
      <c r="N7" s="94" t="s">
        <v>466</v>
      </c>
      <c r="O7" s="94" t="s">
        <v>467</v>
      </c>
      <c r="P7" s="94" t="s">
        <v>468</v>
      </c>
      <c r="Q7" s="94" t="s">
        <v>31</v>
      </c>
      <c r="R7" s="94" t="s">
        <v>34</v>
      </c>
      <c r="S7" s="94" t="s">
        <v>35</v>
      </c>
      <c r="T7" s="94" t="s">
        <v>469</v>
      </c>
      <c r="U7" s="90"/>
      <c r="V7" s="90"/>
      <c r="W7" s="96" t="s">
        <v>470</v>
      </c>
      <c r="X7" s="96" t="s">
        <v>471</v>
      </c>
      <c r="Y7" s="96" t="s">
        <v>472</v>
      </c>
      <c r="Z7" s="96" t="s">
        <v>473</v>
      </c>
      <c r="AA7" s="96" t="s">
        <v>474</v>
      </c>
      <c r="AB7" s="96" t="s">
        <v>475</v>
      </c>
      <c r="AC7" s="96" t="s">
        <v>476</v>
      </c>
      <c r="AD7" s="96" t="s">
        <v>477</v>
      </c>
      <c r="AE7" s="96" t="s">
        <v>478</v>
      </c>
      <c r="AF7" s="96" t="s">
        <v>479</v>
      </c>
      <c r="AG7" s="96" t="s">
        <v>480</v>
      </c>
      <c r="AH7" s="96" t="s">
        <v>481</v>
      </c>
      <c r="AI7" s="97" t="s">
        <v>482</v>
      </c>
    </row>
    <row r="8" ht="12.75" customHeight="1" spans="1:37" x14ac:dyDescent="0.25">
      <c r="A8" s="76" t="s">
        <v>483</v>
      </c>
      <c r="B8" s="76">
        <v>9600000062</v>
      </c>
      <c r="C8" s="98" t="s">
        <v>484</v>
      </c>
      <c r="D8" s="99">
        <f>SUM(F8:V8)+E8</f>
        <v>0</v>
      </c>
      <c r="E8" s="100">
        <f>+'Sumas y Saldos'!D38+'Sumas y Saldos'!D255+'Sumas y Saldos'!D327+'Sumas y Saldos'!D309+'Sumas y Saldos'!G38+'Sumas y Saldos'!G255+'Sumas y Saldos'!G327+'Sumas y Saldos'!G309+'Sumas y Saldos'!J38+'Sumas y Saldos'!J255+'Sumas y Saldos'!J327+'Sumas y Saldos'!J309+'Sumas y Saldos'!P38+'Sumas y Saldos'!P255+'Sumas y Saldos'!P327+'Sumas y Saldos'!P309+'Sumas y Saldos'!Y38+'Sumas y Saldos'!Y255+'Sumas y Saldos'!Y327+'Sumas y Saldos'!Y309+'Sumas y Saldos'!AB38+'Sumas y Saldos'!AB255+'Sumas y Saldos'!AB327+'Sumas y Saldos'!AB309+'Sumas y Saldos'!AE38+'Sumas y Saldos'!AE255+'Sumas y Saldos'!AE327+'Sumas y Saldos'!AE309+'Sumas y Saldos'!V38+'Sumas y Saldos'!V255+'Sumas y Saldos'!V327+'Sumas y Saldos'!V309+'Sumas y Saldos'!S38+'Sumas y Saldos'!S255+'Sumas y Saldos'!S327+'Sumas y Saldos'!S309+'Sumas y Saldos'!AH38+'Sumas y Saldos'!AH255+'Sumas y Saldos'!AH327+'Sumas y Saldos'!AH309+'Sumas y Saldos'!AN38+'Sumas y Saldos'!AN255+'Sumas y Saldos'!AN327+'Sumas y Saldos'!AN309+'Sumas y Saldos'!AK38+'Sumas y Saldos'!AK255+'Sumas y Saldos'!AK327+'Sumas y Saldos'!AK309+'Sumas y Saldos'!BC255+'Sumas y Saldos'!BL327+'Sumas y Saldos'!BO327</f>
      </c>
      <c r="F8" s="101">
        <f>'Sumas y Saldos'!E38+'Sumas y Saldos'!E255+'Sumas y Saldos'!E327+'Sumas y Saldos'!E309</f>
      </c>
      <c r="G8" s="101">
        <f>'Sumas y Saldos'!H38+'Sumas y Saldos'!H255+'Sumas y Saldos'!H327+'Sumas y Saldos'!H309</f>
      </c>
      <c r="H8" s="101">
        <f>'Sumas y Saldos'!K38+'Sumas y Saldos'!K255+'Sumas y Saldos'!K327+'Sumas y Saldos'!K309</f>
      </c>
      <c r="I8" s="101">
        <f>'Sumas y Saldos'!Q38+'Sumas y Saldos'!Q255+'Sumas y Saldos'!Q327+'Sumas y Saldos'!Q309</f>
      </c>
      <c r="J8" s="101">
        <f>'Sumas y Saldos'!Z38+'Sumas y Saldos'!Z255+'Sumas y Saldos'!Z327+'Sumas y Saldos'!Z309</f>
      </c>
      <c r="K8" s="101">
        <f>'Sumas y Saldos'!AC38+'Sumas y Saldos'!AC255+'Sumas y Saldos'!AC327+'Sumas y Saldos'!AC309</f>
      </c>
      <c r="L8" s="102">
        <f>'Sumas y Saldos'!AF38+'Sumas y Saldos'!AF255+'Sumas y Saldos'!AF327+'Sumas y Saldos'!AF309</f>
      </c>
      <c r="M8" s="101">
        <f>'Sumas y Saldos'!W38+'Sumas y Saldos'!W255+'Sumas y Saldos'!W327+'Sumas y Saldos'!W309</f>
      </c>
      <c r="N8" s="101">
        <f>'Sumas y Saldos'!T38+'Sumas y Saldos'!T255+'Sumas y Saldos'!T327+'Sumas y Saldos'!T309</f>
      </c>
      <c r="O8" s="103">
        <f>'Sumas y Saldos'!AI38+'Sumas y Saldos'!AI255+'Sumas y Saldos'!AI327+'Sumas y Saldos'!AI309</f>
      </c>
      <c r="P8" s="101">
        <f>'Sumas y Saldos'!AO38+'Sumas y Saldos'!AO255+'Sumas y Saldos'!AO327+'Sumas y Saldos'!AO309</f>
      </c>
      <c r="Q8" s="101">
        <f>'Sumas y Saldos'!AL38+'Sumas y Saldos'!AL255+'Sumas y Saldos'!AL327+'Sumas y Saldos'!AL309</f>
      </c>
      <c r="R8" s="101"/>
      <c r="S8" s="101"/>
      <c r="T8" s="101">
        <f>+'Sumas y Saldos'!BD255</f>
      </c>
      <c r="U8" s="101">
        <f>+'Sumas y Saldos'!BM327</f>
      </c>
      <c r="V8" s="101">
        <f>+'Sumas y Saldos'!BP327</f>
      </c>
      <c r="W8" s="101"/>
      <c r="X8" s="101"/>
      <c r="Y8" s="101"/>
      <c r="Z8" s="101"/>
      <c r="AA8" s="101"/>
      <c r="AB8" s="101"/>
      <c r="AC8" s="101">
        <v>0</v>
      </c>
      <c r="AD8" s="101">
        <v>243.71</v>
      </c>
      <c r="AE8" s="101">
        <v>234.18</v>
      </c>
      <c r="AF8" s="101">
        <v>240.92</v>
      </c>
      <c r="AG8" s="101">
        <v>242</v>
      </c>
      <c r="AH8" s="101">
        <v>499.18</v>
      </c>
      <c r="AI8" s="104">
        <f>SUM(W8:AH8)</f>
        <v>1459.99</v>
      </c>
      <c r="AJ8" s="76"/>
      <c r="AK8" s="105"/>
    </row>
    <row r="9" ht="12.75" customHeight="1" spans="1:37" x14ac:dyDescent="0.25">
      <c r="A9" s="76" t="s">
        <v>485</v>
      </c>
      <c r="B9" s="76">
        <v>9600000062</v>
      </c>
      <c r="C9" s="98" t="s">
        <v>486</v>
      </c>
      <c r="D9" s="99">
        <f>SUM(F9:V9)+E9</f>
        <v>487.49</v>
      </c>
      <c r="E9" s="99">
        <f>'Sumas y Saldos'!AN220+'Sumas y Saldos'!D153+'Sumas y Saldos'!P153+'Sumas y Saldos'!S153+'Sumas y Saldos'!Y153-'Sumas y Saldos'!D172+'Sumas y Saldos'!D36+'Sumas y Saldos'!D220+'Sumas y Saldos'!D246+'Sumas y Saldos'!D184+'Sumas y Saldos'!D197+'Sumas y Saldos'!D336+'Sumas y Saldos'!G36+'Sumas y Saldos'!G220+'Sumas y Saldos'!G153+'Sumas y Saldos'!G246+'Sumas y Saldos'!G172+'Sumas y Saldos'!G184+'Sumas y Saldos'!G197+'Sumas y Saldos'!G336+'Sumas y Saldos'!J36+'Sumas y Saldos'!J220+'Sumas y Saldos'!J153+'Sumas y Saldos'!J246+'Sumas y Saldos'!J172+'Sumas y Saldos'!J184+'Sumas y Saldos'!J197+'Sumas y Saldos'!J336+'Sumas y Saldos'!P36+'Sumas y Saldos'!P220+'Sumas y Saldos'!P246+'Sumas y Saldos'!P172+'Sumas y Saldos'!P184+'Sumas y Saldos'!P197+'Sumas y Saldos'!P336+'Sumas y Saldos'!Y36+'Sumas y Saldos'!Y220+'Sumas y Saldos'!Y246+'Sumas y Saldos'!Y172+'Sumas y Saldos'!Y184+'Sumas y Saldos'!Y197+'Sumas y Saldos'!Y336+'Sumas y Saldos'!AB36+'Sumas y Saldos'!AB220+'Sumas y Saldos'!AB153+'Sumas y Saldos'!AB246+'Sumas y Saldos'!AB172+'Sumas y Saldos'!AB184+'Sumas y Saldos'!AB197+'Sumas y Saldos'!AB336+'Sumas y Saldos'!AE36+'Sumas y Saldos'!AE220+'Sumas y Saldos'!AE153+'Sumas y Saldos'!AE246+'Sumas y Saldos'!AE172+'Sumas y Saldos'!AE184+'Sumas y Saldos'!AE197+'Sumas y Saldos'!AE336+'Sumas y Saldos'!V36+'Sumas y Saldos'!V220+'Sumas y Saldos'!V153+'Sumas y Saldos'!V246+'Sumas y Saldos'!V172+'Sumas y Saldos'!V184+'Sumas y Saldos'!V197+'Sumas y Saldos'!V336+'Sumas y Saldos'!S36+'Sumas y Saldos'!S220+'Sumas y Saldos'!S246+'Sumas y Saldos'!S172+'Sumas y Saldos'!S184+'Sumas y Saldos'!S197+'Sumas y Saldos'!S336+'Sumas y Saldos'!AH36+'Sumas y Saldos'!AH220+'Sumas y Saldos'!AH153+'Sumas y Saldos'!AH246+'Sumas y Saldos'!AH172+'Sumas y Saldos'!AH184+'Sumas y Saldos'!AH197+'Sumas y Saldos'!AH336+'Sumas y Saldos'!AN36+'Sumas y Saldos'!AN153+'Sumas y Saldos'!AN246+'Sumas y Saldos'!AN172+'Sumas y Saldos'!AN184+'Sumas y Saldos'!AN197+'Sumas y Saldos'!AN336+'Sumas y Saldos'!AK36+'Sumas y Saldos'!AK220+'Sumas y Saldos'!AK153+'Sumas y Saldos'!AK246+'Sumas y Saldos'!AK172+'Sumas y Saldos'!AK184+'Sumas y Saldos'!AK197+'Sumas y Saldos'!AK336+'Sumas y Saldos'!BC220+'Sumas y Saldos'!BC246+'Sumas y Saldos'!BL220+'Sumas y Saldos'!BL184+'Sumas y Saldos'!BL336+'Sumas y Saldos'!BO153+'Sumas y Saldos'!BO184+'Sumas y Saldos'!BO197</f>
      </c>
      <c r="F9" s="101">
        <f>'Sumas y Saldos'!E36+'Sumas y Saldos'!E220+'Sumas y Saldos'!E153+'Sumas y Saldos'!E246+'Sumas y Saldos'!E172+'Sumas y Saldos'!E184+'Sumas y Saldos'!E197+'Sumas y Saldos'!E336</f>
      </c>
      <c r="G9" s="101">
        <f>'Sumas y Saldos'!H36+'Sumas y Saldos'!H220+'Sumas y Saldos'!H153+'Sumas y Saldos'!H246+'Sumas y Saldos'!H172+'Sumas y Saldos'!H184+'Sumas y Saldos'!H197+'Sumas y Saldos'!H336</f>
      </c>
      <c r="H9" s="101">
        <f>'Sumas y Saldos'!K36+'Sumas y Saldos'!K220+'Sumas y Saldos'!K153+'Sumas y Saldos'!K246+'Sumas y Saldos'!K172+'Sumas y Saldos'!K184+'Sumas y Saldos'!K197+'Sumas y Saldos'!K336</f>
      </c>
      <c r="I9" s="101">
        <f>'Sumas y Saldos'!Q36+'Sumas y Saldos'!Q220+'Sumas y Saldos'!Q153+'Sumas y Saldos'!Q246+'Sumas y Saldos'!Q172+'Sumas y Saldos'!Q184+'Sumas y Saldos'!Q197+'Sumas y Saldos'!Q336</f>
      </c>
      <c r="J9" s="101">
        <f>'Sumas y Saldos'!Z36+'Sumas y Saldos'!Z220+'Sumas y Saldos'!Z153+'Sumas y Saldos'!Z246+'Sumas y Saldos'!Z172+'Sumas y Saldos'!Z184+'Sumas y Saldos'!Z197+'Sumas y Saldos'!Z336</f>
      </c>
      <c r="K9" s="101">
        <f>'Sumas y Saldos'!AC36+'Sumas y Saldos'!AC220+'Sumas y Saldos'!AC153+'Sumas y Saldos'!AC246+'Sumas y Saldos'!AC172+'Sumas y Saldos'!AC184+'Sumas y Saldos'!AC197+'Sumas y Saldos'!AC336</f>
      </c>
      <c r="L9" s="101">
        <f>'Sumas y Saldos'!AF36+'Sumas y Saldos'!AF220+'Sumas y Saldos'!AF153+'Sumas y Saldos'!AF246+'Sumas y Saldos'!AF172+'Sumas y Saldos'!AF184+'Sumas y Saldos'!AF197+'Sumas y Saldos'!AF336</f>
      </c>
      <c r="M9" s="101">
        <f>'Sumas y Saldos'!W36+'Sumas y Saldos'!W220+'Sumas y Saldos'!W153+'Sumas y Saldos'!W246+'Sumas y Saldos'!W172+'Sumas y Saldos'!W184+'Sumas y Saldos'!W197+'Sumas y Saldos'!W336</f>
      </c>
      <c r="N9" s="101">
        <f>'Sumas y Saldos'!T36+'Sumas y Saldos'!T220+'Sumas y Saldos'!T153+'Sumas y Saldos'!T246+'Sumas y Saldos'!T172+'Sumas y Saldos'!T184+'Sumas y Saldos'!T197+'Sumas y Saldos'!T336</f>
      </c>
      <c r="O9" s="101">
        <f>'Sumas y Saldos'!AI36+'Sumas y Saldos'!AI220+'Sumas y Saldos'!AI153+'Sumas y Saldos'!AI246+'Sumas y Saldos'!AI172+'Sumas y Saldos'!AI184+'Sumas y Saldos'!AI197+'Sumas y Saldos'!AI336</f>
      </c>
      <c r="P9" s="101">
        <f>'Sumas y Saldos'!AO36+'Sumas y Saldos'!AO220+'Sumas y Saldos'!AO153+'Sumas y Saldos'!AO246+'Sumas y Saldos'!AO172+'Sumas y Saldos'!AO184+'Sumas y Saldos'!AO197+'Sumas y Saldos'!AO336</f>
      </c>
      <c r="Q9" s="101">
        <f>'Sumas y Saldos'!AL36+'Sumas y Saldos'!AL220+'Sumas y Saldos'!AL153+'Sumas y Saldos'!AL246+'Sumas y Saldos'!AL172+'Sumas y Saldos'!AL184+'Sumas y Saldos'!AL197+'Sumas y Saldos'!AL336</f>
      </c>
      <c r="R9" s="101"/>
      <c r="S9" s="101"/>
      <c r="T9" s="101">
        <f>+'Sumas y Saldos'!BD220+'Sumas y Saldos'!BD246</f>
      </c>
      <c r="U9" s="101">
        <f>'Sumas y Saldos'!BM220+'Sumas y Saldos'!BM184+'Sumas y Saldos'!BM336</f>
      </c>
      <c r="V9" s="101">
        <f>'Sumas y Saldos'!BP153+'Sumas y Saldos'!BP184+'Sumas y Saldos'!BP197</f>
      </c>
      <c r="W9" s="101"/>
      <c r="X9" s="101"/>
      <c r="Y9" s="101"/>
      <c r="Z9" s="101"/>
      <c r="AA9" s="101"/>
      <c r="AB9" s="101"/>
      <c r="AC9" s="101">
        <v>487.49</v>
      </c>
      <c r="AD9" s="101">
        <v>1767.88</v>
      </c>
      <c r="AE9" s="101">
        <v>5044.24</v>
      </c>
      <c r="AF9" s="101">
        <v>286.33</v>
      </c>
      <c r="AG9" s="101">
        <v>24.29</v>
      </c>
      <c r="AH9" s="101">
        <v>1249.18</v>
      </c>
      <c r="AI9" s="104">
        <f>SUM(W9:AH9)</f>
        <v>8859.41</v>
      </c>
      <c r="AJ9" s="76"/>
      <c r="AK9" s="105"/>
    </row>
    <row r="10" ht="12.75" customHeight="1" spans="1:37" x14ac:dyDescent="0.25">
      <c r="A10" s="76" t="s">
        <v>487</v>
      </c>
      <c r="B10" s="76">
        <v>9600000062</v>
      </c>
      <c r="C10" s="98" t="s">
        <v>488</v>
      </c>
      <c r="D10" s="99">
        <f>SUM(F10:V10)+E10</f>
        <v>366.27</v>
      </c>
      <c r="E10" s="99">
        <f>+'Sumas y Saldos'!D77+'Sumas y Saldos'!D78+'Sumas y Saldos'!D139+'Sumas y Saldos'!D312+'Sumas y Saldos'!D276+'Sumas y Saldos'!D199+'Sumas y Saldos'!D215+'Sumas y Saldos'!D328+'Sumas y Saldos'!D347+'Sumas y Saldos'!D206+'Sumas y Saldos'!D140+'Sumas y Saldos'!D183+'Sumas y Saldos'!D367+'Sumas y Saldos'!G77+'Sumas y Saldos'!G78+'Sumas y Saldos'!G139+'Sumas y Saldos'!G312+'Sumas y Saldos'!G276+'Sumas y Saldos'!G199+'Sumas y Saldos'!G215+'Sumas y Saldos'!G328+'Sumas y Saldos'!G347+'Sumas y Saldos'!G206+'Sumas y Saldos'!G140+'Sumas y Saldos'!G183+'Sumas y Saldos'!G367+'Sumas y Saldos'!J77+'Sumas y Saldos'!J78+'Sumas y Saldos'!J139+'Sumas y Saldos'!J312+'Sumas y Saldos'!J276+'Sumas y Saldos'!J199+'Sumas y Saldos'!J215+'Sumas y Saldos'!J328+'Sumas y Saldos'!J347+'Sumas y Saldos'!J206+'Sumas y Saldos'!J140+'Sumas y Saldos'!J183+'Sumas y Saldos'!J367+'Sumas y Saldos'!P77+'Sumas y Saldos'!P78+'Sumas y Saldos'!P139+'Sumas y Saldos'!P312+'Sumas y Saldos'!P276+'Sumas y Saldos'!P199+'Sumas y Saldos'!P215+'Sumas y Saldos'!P328+'Sumas y Saldos'!P347+'Sumas y Saldos'!P206+'Sumas y Saldos'!P140+'Sumas y Saldos'!P183+'Sumas y Saldos'!P367+'Sumas y Saldos'!Y77+'Sumas y Saldos'!Y78+'Sumas y Saldos'!Y139+'Sumas y Saldos'!Y312+'Sumas y Saldos'!Y276+'Sumas y Saldos'!Y199+'Sumas y Saldos'!Y215+'Sumas y Saldos'!Y328+'Sumas y Saldos'!Y347+'Sumas y Saldos'!Y206+'Sumas y Saldos'!Y140+'Sumas y Saldos'!Y183+'Sumas y Saldos'!Y367+'Sumas y Saldos'!AB77+'Sumas y Saldos'!AB78+'Sumas y Saldos'!AB139+'Sumas y Saldos'!AB312+'Sumas y Saldos'!AB276+'Sumas y Saldos'!AB199+'Sumas y Saldos'!AB215+'Sumas y Saldos'!AB328+'Sumas y Saldos'!AB347+'Sumas y Saldos'!AB206+'Sumas y Saldos'!AB140+'Sumas y Saldos'!AB183+'Sumas y Saldos'!AB367+'Sumas y Saldos'!AE77+'Sumas y Saldos'!AE78+'Sumas y Saldos'!AE139+'Sumas y Saldos'!AE312+'Sumas y Saldos'!AE276+'Sumas y Saldos'!AE199+'Sumas y Saldos'!AE215+'Sumas y Saldos'!AE328+'Sumas y Saldos'!AE347+'Sumas y Saldos'!AE206+'Sumas y Saldos'!AE140+'Sumas y Saldos'!AE183+'Sumas y Saldos'!AE367+'Sumas y Saldos'!V77+'Sumas y Saldos'!V78+'Sumas y Saldos'!V139+'Sumas y Saldos'!V312+'Sumas y Saldos'!V276+'Sumas y Saldos'!V199+'Sumas y Saldos'!V215+'Sumas y Saldos'!V328+'Sumas y Saldos'!V347+'Sumas y Saldos'!V206+'Sumas y Saldos'!V140+'Sumas y Saldos'!V183+'Sumas y Saldos'!V367+'Sumas y Saldos'!S77+'Sumas y Saldos'!S78+'Sumas y Saldos'!S139+'Sumas y Saldos'!S312+'Sumas y Saldos'!S276+'Sumas y Saldos'!S199+'Sumas y Saldos'!S215+'Sumas y Saldos'!S328+'Sumas y Saldos'!S347+'Sumas y Saldos'!S206+'Sumas y Saldos'!S140+'Sumas y Saldos'!S183+'Sumas y Saldos'!S367+'Sumas y Saldos'!AH77+'Sumas y Saldos'!AH78+'Sumas y Saldos'!AH139+'Sumas y Saldos'!AH312+'Sumas y Saldos'!AH276+'Sumas y Saldos'!AH199+'Sumas y Saldos'!AH215+'Sumas y Saldos'!AH328+'Sumas y Saldos'!AH347+'Sumas y Saldos'!AH206+'Sumas y Saldos'!AH140+'Sumas y Saldos'!AH183+'Sumas y Saldos'!AH367+'Sumas y Saldos'!AN77+'Sumas y Saldos'!AN78+'Sumas y Saldos'!AN139+'Sumas y Saldos'!AN312+'Sumas y Saldos'!AN276+'Sumas y Saldos'!AN199+'Sumas y Saldos'!AN215+'Sumas y Saldos'!AN328+'Sumas y Saldos'!AN347+'Sumas y Saldos'!AN206+'Sumas y Saldos'!AN140+'Sumas y Saldos'!AN183+'Sumas y Saldos'!AN367+'Sumas y Saldos'!AK77+'Sumas y Saldos'!AK78+'Sumas y Saldos'!AK139+'Sumas y Saldos'!AK312+'Sumas y Saldos'!AK276+'Sumas y Saldos'!AK199+'Sumas y Saldos'!AK215+'Sumas y Saldos'!AK328+'Sumas y Saldos'!AK347+'Sumas y Saldos'!AK206+'Sumas y Saldos'!AK140+'Sumas y Saldos'!AK183+'Sumas y Saldos'!AK367+'Sumas y Saldos'!BC312+'Sumas y Saldos'!BC276+'Sumas y Saldos'!BL276+'Sumas y Saldos'!BL139+'Sumas y Saldos'!BL328+'Sumas y Saldos'!BL347+'Sumas y Saldos'!BL206+'Sumas y Saldos'!BO77+'Sumas y Saldos'!BO312+'Sumas y Saldos'!BO139+'Sumas y Saldos'!BO199+'Sumas y Saldos'!BO215+'Sumas y Saldos'!BO328+'Sumas y Saldos'!BO347+'Sumas y Saldos'!BO206+'Sumas y Saldos'!BO183</f>
      </c>
      <c r="F10" s="101">
        <f>'Sumas y Saldos'!E77+'Sumas y Saldos'!E78+'Sumas y Saldos'!E139+'Sumas y Saldos'!E312+'Sumas y Saldos'!E276+'Sumas y Saldos'!E199+'Sumas y Saldos'!E215+'Sumas y Saldos'!E328+'Sumas y Saldos'!E347+'Sumas y Saldos'!E206+'Sumas y Saldos'!E140+'Sumas y Saldos'!E183+'Sumas y Saldos'!E367</f>
      </c>
      <c r="G10" s="101">
        <f>'Sumas y Saldos'!H77+'Sumas y Saldos'!H78+'Sumas y Saldos'!H139+'Sumas y Saldos'!H312+'Sumas y Saldos'!H276+'Sumas y Saldos'!H199+'Sumas y Saldos'!H215+'Sumas y Saldos'!H328+'Sumas y Saldos'!H347+'Sumas y Saldos'!H206+'Sumas y Saldos'!H140+'Sumas y Saldos'!H183+'Sumas y Saldos'!H367</f>
      </c>
      <c r="H10" s="101">
        <f>'Sumas y Saldos'!K77+'Sumas y Saldos'!K78+'Sumas y Saldos'!K139+'Sumas y Saldos'!K312+'Sumas y Saldos'!K276+'Sumas y Saldos'!K199+'Sumas y Saldos'!K215+'Sumas y Saldos'!K328+'Sumas y Saldos'!K347+'Sumas y Saldos'!K206+'Sumas y Saldos'!K140+'Sumas y Saldos'!K183+'Sumas y Saldos'!K367</f>
      </c>
      <c r="I10" s="101">
        <f>'Sumas y Saldos'!Q77+'Sumas y Saldos'!Q78+'Sumas y Saldos'!Q139+'Sumas y Saldos'!Q312+'Sumas y Saldos'!Q276+'Sumas y Saldos'!Q199+'Sumas y Saldos'!Q215+'Sumas y Saldos'!Q328+'Sumas y Saldos'!Q347+'Sumas y Saldos'!Q206+'Sumas y Saldos'!Q140+'Sumas y Saldos'!Q183+'Sumas y Saldos'!Q367</f>
      </c>
      <c r="J10" s="101">
        <f>'Sumas y Saldos'!Z77+'Sumas y Saldos'!Z78+'Sumas y Saldos'!Z139+'Sumas y Saldos'!Z312+'Sumas y Saldos'!Z276+'Sumas y Saldos'!Z199+'Sumas y Saldos'!Z215+'Sumas y Saldos'!Z328+'Sumas y Saldos'!Z347+'Sumas y Saldos'!Z206+'Sumas y Saldos'!Z140+'Sumas y Saldos'!Z183+'Sumas y Saldos'!Z367</f>
      </c>
      <c r="K10" s="101">
        <f>'Sumas y Saldos'!AC77+'Sumas y Saldos'!AC78+'Sumas y Saldos'!AC139+'Sumas y Saldos'!AC312+'Sumas y Saldos'!AC276+'Sumas y Saldos'!AC199+'Sumas y Saldos'!AC215+'Sumas y Saldos'!AC328+'Sumas y Saldos'!AC347+'Sumas y Saldos'!AC206+'Sumas y Saldos'!AC140+'Sumas y Saldos'!AC183+'Sumas y Saldos'!AC367</f>
      </c>
      <c r="L10" s="101">
        <f>'Sumas y Saldos'!AF77+'Sumas y Saldos'!AF78+'Sumas y Saldos'!AF139+'Sumas y Saldos'!AF312+'Sumas y Saldos'!AF276+'Sumas y Saldos'!AF199+'Sumas y Saldos'!AF215+'Sumas y Saldos'!AF328+'Sumas y Saldos'!AF347+'Sumas y Saldos'!AF206+'Sumas y Saldos'!AF140+'Sumas y Saldos'!AF183+'Sumas y Saldos'!AF367</f>
      </c>
      <c r="M10" s="101">
        <f>'Sumas y Saldos'!W77+'Sumas y Saldos'!W78+'Sumas y Saldos'!W139+'Sumas y Saldos'!W312+'Sumas y Saldos'!W276+'Sumas y Saldos'!W199+'Sumas y Saldos'!W215+'Sumas y Saldos'!W328+'Sumas y Saldos'!W347+'Sumas y Saldos'!W206+'Sumas y Saldos'!W140+'Sumas y Saldos'!W183+'Sumas y Saldos'!W367</f>
      </c>
      <c r="N10" s="101">
        <f>'Sumas y Saldos'!T77+'Sumas y Saldos'!T78+'Sumas y Saldos'!T139+'Sumas y Saldos'!T312+'Sumas y Saldos'!T276+'Sumas y Saldos'!T199+'Sumas y Saldos'!T215+'Sumas y Saldos'!T328+'Sumas y Saldos'!T347+'Sumas y Saldos'!T206+'Sumas y Saldos'!T140+'Sumas y Saldos'!T183+'Sumas y Saldos'!T367</f>
      </c>
      <c r="O10" s="101">
        <f>'Sumas y Saldos'!AI77+'Sumas y Saldos'!AI78+'Sumas y Saldos'!AI139+'Sumas y Saldos'!AI312+'Sumas y Saldos'!AI276+'Sumas y Saldos'!AI199+'Sumas y Saldos'!AI215+'Sumas y Saldos'!AI328+'Sumas y Saldos'!AI347+'Sumas y Saldos'!AI206+'Sumas y Saldos'!AI140+'Sumas y Saldos'!AI183+'Sumas y Saldos'!AI367</f>
      </c>
      <c r="P10" s="101">
        <f>'Sumas y Saldos'!AO77+'Sumas y Saldos'!AO78+'Sumas y Saldos'!AO139+'Sumas y Saldos'!AO312+'Sumas y Saldos'!AO276+'Sumas y Saldos'!AO199+'Sumas y Saldos'!AO215+'Sumas y Saldos'!AO328+'Sumas y Saldos'!AO347+'Sumas y Saldos'!AO206+'Sumas y Saldos'!AO140+'Sumas y Saldos'!AO183+'Sumas y Saldos'!AO367</f>
      </c>
      <c r="Q10" s="101">
        <f>'Sumas y Saldos'!AL77+'Sumas y Saldos'!AL78+'Sumas y Saldos'!AL139+'Sumas y Saldos'!AL312+'Sumas y Saldos'!AL276+'Sumas y Saldos'!AL199+'Sumas y Saldos'!AL215+'Sumas y Saldos'!AL328+'Sumas y Saldos'!AL347+'Sumas y Saldos'!AL206+'Sumas y Saldos'!AL140+'Sumas y Saldos'!AL183+'Sumas y Saldos'!AL367</f>
      </c>
      <c r="R10" s="101"/>
      <c r="S10" s="101"/>
      <c r="T10" s="101">
        <f>+'Sumas y Saldos'!BD312+'Sumas y Saldos'!BD276</f>
      </c>
      <c r="U10" s="101">
        <f>'Sumas y Saldos'!BM276+'Sumas y Saldos'!BM139+'Sumas y Saldos'!BM328+'Sumas y Saldos'!BM347+'Sumas y Saldos'!BM206</f>
      </c>
      <c r="V10" s="101">
        <f>'Sumas y Saldos'!BP77+'Sumas y Saldos'!BP312+'Sumas y Saldos'!BP139+'Sumas y Saldos'!BP199+'Sumas y Saldos'!BP215+'Sumas y Saldos'!BP328+'Sumas y Saldos'!BP347+'Sumas y Saldos'!BP206+'Sumas y Saldos'!BP183</f>
      </c>
      <c r="W10" s="101"/>
      <c r="X10" s="101"/>
      <c r="Y10" s="101"/>
      <c r="Z10" s="101"/>
      <c r="AA10" s="101"/>
      <c r="AB10" s="101"/>
      <c r="AC10" s="101">
        <v>366.27</v>
      </c>
      <c r="AD10" s="101">
        <v>359.96</v>
      </c>
      <c r="AE10" s="101">
        <v>0</v>
      </c>
      <c r="AF10" s="101">
        <v>2805.03</v>
      </c>
      <c r="AG10" s="101">
        <v>1468.51</v>
      </c>
      <c r="AH10" s="101">
        <v>546.58</v>
      </c>
      <c r="AI10" s="104">
        <f>SUM(W10:AH10)</f>
        <v>5546.35</v>
      </c>
      <c r="AJ10" s="76"/>
      <c r="AK10" s="105"/>
    </row>
    <row r="11" ht="12.75" customHeight="1" spans="1:37" x14ac:dyDescent="0.25">
      <c r="A11" s="76" t="s">
        <v>489</v>
      </c>
      <c r="B11" s="76">
        <v>9600000062</v>
      </c>
      <c r="C11" s="98" t="s">
        <v>490</v>
      </c>
      <c r="D11" s="99">
        <f>SUM(F11:V11)+E11</f>
        <v>0</v>
      </c>
      <c r="E11" s="99">
        <f>+'Sumas y Saldos'!D62+'Sumas y Saldos'!D67+'Sumas y Saldos'!D296+'Sumas y Saldos'!D254+'Sumas y Saldos'!D333+'Sumas y Saldos'!G62+'Sumas y Saldos'!G67+'Sumas y Saldos'!G296+'Sumas y Saldos'!G254+'Sumas y Saldos'!G333+'Sumas y Saldos'!J62+'Sumas y Saldos'!J67+'Sumas y Saldos'!J296+'Sumas y Saldos'!J254+'Sumas y Saldos'!J333+'Sumas y Saldos'!P62+'Sumas y Saldos'!P67+'Sumas y Saldos'!P296+'Sumas y Saldos'!P254+'Sumas y Saldos'!P333+'Sumas y Saldos'!Y62+'Sumas y Saldos'!Y67+'Sumas y Saldos'!Y296+'Sumas y Saldos'!Y254+'Sumas y Saldos'!Y333+'Sumas y Saldos'!AB62+'Sumas y Saldos'!AB67+'Sumas y Saldos'!AB296+'Sumas y Saldos'!AB254+'Sumas y Saldos'!AB333+'Sumas y Saldos'!AE62+'Sumas y Saldos'!AE67+'Sumas y Saldos'!AE296+'Sumas y Saldos'!AE254+'Sumas y Saldos'!AE333+'Sumas y Saldos'!V62+'Sumas y Saldos'!V67+'Sumas y Saldos'!V296+'Sumas y Saldos'!V254+'Sumas y Saldos'!V333+'Sumas y Saldos'!S62+'Sumas y Saldos'!S67+'Sumas y Saldos'!S296+'Sumas y Saldos'!S254+'Sumas y Saldos'!S333+'Sumas y Saldos'!AH62+'Sumas y Saldos'!AH67+'Sumas y Saldos'!AH296+'Sumas y Saldos'!AH254+'Sumas y Saldos'!AH333+'Sumas y Saldos'!AN62+'Sumas y Saldos'!AN67+'Sumas y Saldos'!AN296+'Sumas y Saldos'!AN254+'Sumas y Saldos'!AN333+'Sumas y Saldos'!AK62+'Sumas y Saldos'!AK67+'Sumas y Saldos'!AK296+'Sumas y Saldos'!AK254+'Sumas y Saldos'!AK333+'Sumas y Saldos'!BC296+'Sumas y Saldos'!BC254+'Sumas y Saldos'!BL296+'Sumas y Saldos'!BL333+'Sumas y Saldos'!BO296+'Sumas y Saldos'!BO333</f>
      </c>
      <c r="F11" s="101">
        <f>'Sumas y Saldos'!E62+'Sumas y Saldos'!E67+'Sumas y Saldos'!E296+'Sumas y Saldos'!E254+'Sumas y Saldos'!E333</f>
      </c>
      <c r="G11" s="101">
        <f>'Sumas y Saldos'!H62+'Sumas y Saldos'!H67+'Sumas y Saldos'!H296+'Sumas y Saldos'!H254+'Sumas y Saldos'!H333</f>
      </c>
      <c r="H11" s="101">
        <f>'Sumas y Saldos'!K62+'Sumas y Saldos'!K67+'Sumas y Saldos'!K296+'Sumas y Saldos'!K254+'Sumas y Saldos'!K333</f>
      </c>
      <c r="I11" s="101">
        <f>'Sumas y Saldos'!Q62+'Sumas y Saldos'!Q67+'Sumas y Saldos'!Q296+'Sumas y Saldos'!Q254+'Sumas y Saldos'!Q333</f>
      </c>
      <c r="J11" s="101">
        <f>'Sumas y Saldos'!Z62+'Sumas y Saldos'!Z67+'Sumas y Saldos'!Z296+'Sumas y Saldos'!Z254+'Sumas y Saldos'!Z333</f>
      </c>
      <c r="K11" s="101">
        <f>'Sumas y Saldos'!AC62+'Sumas y Saldos'!AC67+'Sumas y Saldos'!AC296+'Sumas y Saldos'!AC254+'Sumas y Saldos'!AC333</f>
      </c>
      <c r="L11" s="101">
        <f>'Sumas y Saldos'!AF62+'Sumas y Saldos'!AF67+'Sumas y Saldos'!AF296+'Sumas y Saldos'!AF254+'Sumas y Saldos'!AF333</f>
      </c>
      <c r="M11" s="101">
        <f>'Sumas y Saldos'!W62+'Sumas y Saldos'!W67+'Sumas y Saldos'!W296+'Sumas y Saldos'!W254+'Sumas y Saldos'!W333</f>
      </c>
      <c r="N11" s="101">
        <f>'Sumas y Saldos'!T62+'Sumas y Saldos'!T67+'Sumas y Saldos'!T296+'Sumas y Saldos'!T254+'Sumas y Saldos'!T333</f>
      </c>
      <c r="O11" s="101">
        <f>'Sumas y Saldos'!AI62+'Sumas y Saldos'!AI67+'Sumas y Saldos'!AI296+'Sumas y Saldos'!AI254+'Sumas y Saldos'!AI333</f>
      </c>
      <c r="P11" s="101">
        <f>'Sumas y Saldos'!AO62+'Sumas y Saldos'!AO67+'Sumas y Saldos'!AO296+'Sumas y Saldos'!AO254+'Sumas y Saldos'!AO333</f>
      </c>
      <c r="Q11" s="101">
        <f>'Sumas y Saldos'!AL62+'Sumas y Saldos'!AL67+'Sumas y Saldos'!AL296+'Sumas y Saldos'!AL254+'Sumas y Saldos'!AL333</f>
      </c>
      <c r="R11" s="101"/>
      <c r="S11" s="101"/>
      <c r="T11" s="101">
        <f>'Sumas y Saldos'!BD296+'Sumas y Saldos'!BD254</f>
      </c>
      <c r="U11" s="101">
        <f>+'Sumas y Saldos'!BM296+'Sumas y Saldos'!BM333</f>
      </c>
      <c r="V11" s="101">
        <f>+'Sumas y Saldos'!BP296+'Sumas y Saldos'!BP333</f>
      </c>
      <c r="W11" s="101"/>
      <c r="X11" s="101"/>
      <c r="Y11" s="101"/>
      <c r="Z11" s="101"/>
      <c r="AA11" s="101"/>
      <c r="AB11" s="101"/>
      <c r="AC11" s="101">
        <v>0</v>
      </c>
      <c r="AD11" s="101">
        <v>0</v>
      </c>
      <c r="AE11" s="101">
        <v>0</v>
      </c>
      <c r="AF11" s="101">
        <v>2234.96</v>
      </c>
      <c r="AG11" s="101">
        <v>0</v>
      </c>
      <c r="AH11" s="101">
        <v>0</v>
      </c>
      <c r="AI11" s="104">
        <f>SUM(W11:AH11)</f>
        <v>2234.96</v>
      </c>
      <c r="AJ11" s="76"/>
      <c r="AK11" s="105"/>
    </row>
    <row r="12" ht="12.75" customHeight="1" spans="1:37" x14ac:dyDescent="0.25">
      <c r="A12" s="76" t="s">
        <v>491</v>
      </c>
      <c r="B12" s="76">
        <v>9600000062</v>
      </c>
      <c r="C12" s="98" t="s">
        <v>492</v>
      </c>
      <c r="D12" s="99">
        <f>SUM(F12:V12)+E12</f>
        <v>225.95</v>
      </c>
      <c r="E12" s="99">
        <f>+'Sumas y Saldos'!D85+'Sumas y Saldos'!D104+'Sumas y Saldos'!D303+'Sumas y Saldos'!D225+'Sumas y Saldos'!D155+'Sumas y Saldos'!D202+'Sumas y Saldos'!G85+'Sumas y Saldos'!G104+'Sumas y Saldos'!G303+'Sumas y Saldos'!G225+'Sumas y Saldos'!G155+'Sumas y Saldos'!G202+'Sumas y Saldos'!J85+'Sumas y Saldos'!J104+'Sumas y Saldos'!J303+'Sumas y Saldos'!J225+'Sumas y Saldos'!J155+'Sumas y Saldos'!J202+'Sumas y Saldos'!P85+'Sumas y Saldos'!P104+'Sumas y Saldos'!P303+'Sumas y Saldos'!P225+'Sumas y Saldos'!P155+'Sumas y Saldos'!P202+'Sumas y Saldos'!Y85+'Sumas y Saldos'!Y104+'Sumas y Saldos'!Y303+'Sumas y Saldos'!Y225+'Sumas y Saldos'!Y155+'Sumas y Saldos'!Y202+'Sumas y Saldos'!AB85+'Sumas y Saldos'!AB104+'Sumas y Saldos'!AB303+'Sumas y Saldos'!AB225+'Sumas y Saldos'!AB155+'Sumas y Saldos'!AB202+'Sumas y Saldos'!AE85+'Sumas y Saldos'!AE104+'Sumas y Saldos'!AE303+'Sumas y Saldos'!AE225+'Sumas y Saldos'!AE155+'Sumas y Saldos'!AE202+'Sumas y Saldos'!V85+'Sumas y Saldos'!V104+'Sumas y Saldos'!V303+'Sumas y Saldos'!V225+'Sumas y Saldos'!V155+'Sumas y Saldos'!V202+'Sumas y Saldos'!S85+'Sumas y Saldos'!S104+'Sumas y Saldos'!S303+'Sumas y Saldos'!S225+'Sumas y Saldos'!S155+'Sumas y Saldos'!S202+'Sumas y Saldos'!AH85+'Sumas y Saldos'!AH104+'Sumas y Saldos'!AH303+'Sumas y Saldos'!AH225+'Sumas y Saldos'!AH155+'Sumas y Saldos'!AH202+'Sumas y Saldos'!AN85+'Sumas y Saldos'!AN104+'Sumas y Saldos'!AN303+'Sumas y Saldos'!AN225+'Sumas y Saldos'!AN155+'Sumas y Saldos'!AN202+'Sumas y Saldos'!AK85+'Sumas y Saldos'!AK104+'Sumas y Saldos'!AK303+'Sumas y Saldos'!AK225+'Sumas y Saldos'!AK155+'Sumas y Saldos'!AK202+'Sumas y Saldos'!BC303+'Sumas y Saldos'!BC225+'Sumas y Saldos'!BL303+'Sumas y Saldos'!BL225+'Sumas y Saldos'!BO225+'Sumas y Saldos'!BO202</f>
      </c>
      <c r="F12" s="101">
        <f>'Sumas y Saldos'!E85+'Sumas y Saldos'!E104+'Sumas y Saldos'!E303+'Sumas y Saldos'!E225+'Sumas y Saldos'!E155+'Sumas y Saldos'!E202</f>
      </c>
      <c r="G12" s="101">
        <f>'Sumas y Saldos'!H85+'Sumas y Saldos'!H104+'Sumas y Saldos'!H303+'Sumas y Saldos'!H225+'Sumas y Saldos'!H155+'Sumas y Saldos'!H202</f>
      </c>
      <c r="H12" s="101">
        <f>'Sumas y Saldos'!K85+'Sumas y Saldos'!K104+'Sumas y Saldos'!K303+'Sumas y Saldos'!K225+'Sumas y Saldos'!K155+'Sumas y Saldos'!K202</f>
      </c>
      <c r="I12" s="101">
        <f>'Sumas y Saldos'!Q85+'Sumas y Saldos'!Q104+'Sumas y Saldos'!Q303+'Sumas y Saldos'!Q225+'Sumas y Saldos'!Q155+'Sumas y Saldos'!Q202</f>
      </c>
      <c r="J12" s="101">
        <f>'Sumas y Saldos'!Z85+'Sumas y Saldos'!Z104+'Sumas y Saldos'!Z303+'Sumas y Saldos'!Z225+'Sumas y Saldos'!Z155+'Sumas y Saldos'!Z202</f>
      </c>
      <c r="K12" s="101">
        <f>'Sumas y Saldos'!AC85+'Sumas y Saldos'!AC104+'Sumas y Saldos'!AC303+'Sumas y Saldos'!AC225+'Sumas y Saldos'!AC155+'Sumas y Saldos'!AC202</f>
      </c>
      <c r="L12" s="101">
        <f>'Sumas y Saldos'!AF85+'Sumas y Saldos'!AF104+'Sumas y Saldos'!AF303+'Sumas y Saldos'!AF225+'Sumas y Saldos'!AF155+'Sumas y Saldos'!AF202</f>
      </c>
      <c r="M12" s="101">
        <f>'Sumas y Saldos'!W85+'Sumas y Saldos'!W104+'Sumas y Saldos'!W303+'Sumas y Saldos'!W225+'Sumas y Saldos'!W155+'Sumas y Saldos'!W202</f>
      </c>
      <c r="N12" s="101">
        <f>'Sumas y Saldos'!T85+'Sumas y Saldos'!T104+'Sumas y Saldos'!T303+'Sumas y Saldos'!T225+'Sumas y Saldos'!T155+'Sumas y Saldos'!T202</f>
      </c>
      <c r="O12" s="101">
        <f>'Sumas y Saldos'!AI85+'Sumas y Saldos'!AI104+'Sumas y Saldos'!AI303+'Sumas y Saldos'!AI225+'Sumas y Saldos'!AI155+'Sumas y Saldos'!AI202</f>
      </c>
      <c r="P12" s="101">
        <f>'Sumas y Saldos'!AO85+'Sumas y Saldos'!AO104+'Sumas y Saldos'!AO303+'Sumas y Saldos'!AO225+'Sumas y Saldos'!AO155+'Sumas y Saldos'!AO202</f>
      </c>
      <c r="Q12" s="101">
        <f>'Sumas y Saldos'!AL85+'Sumas y Saldos'!AL104+'Sumas y Saldos'!AL303+'Sumas y Saldos'!AL225+'Sumas y Saldos'!AL155+'Sumas y Saldos'!AL202</f>
      </c>
      <c r="R12" s="101"/>
      <c r="S12" s="101"/>
      <c r="T12" s="101">
        <f>'Sumas y Saldos'!BD303+'Sumas y Saldos'!BD225</f>
      </c>
      <c r="U12" s="101">
        <f>+'Sumas y Saldos'!BM303+'Sumas y Saldos'!BM225</f>
      </c>
      <c r="V12" s="101">
        <f>'Sumas y Saldos'!BP225+'Sumas y Saldos'!BP202</f>
      </c>
      <c r="W12" s="101"/>
      <c r="X12" s="101"/>
      <c r="Y12" s="101"/>
      <c r="Z12" s="101"/>
      <c r="AA12" s="101"/>
      <c r="AB12" s="101"/>
      <c r="AC12" s="101">
        <v>225.95</v>
      </c>
      <c r="AD12" s="101">
        <v>0</v>
      </c>
      <c r="AE12" s="101">
        <v>42.89</v>
      </c>
      <c r="AF12" s="101">
        <v>171.92</v>
      </c>
      <c r="AG12" s="101">
        <v>0</v>
      </c>
      <c r="AH12" s="101">
        <v>9907.11</v>
      </c>
      <c r="AI12" s="104">
        <f>SUM(W12:AH12)</f>
        <v>10347.87</v>
      </c>
      <c r="AJ12" s="76"/>
      <c r="AK12" s="105"/>
    </row>
    <row r="13" ht="12.75" customHeight="1" spans="1:37" x14ac:dyDescent="0.25">
      <c r="A13" s="76" t="s">
        <v>493</v>
      </c>
      <c r="B13" s="76">
        <v>9600000062</v>
      </c>
      <c r="C13" s="98" t="s">
        <v>494</v>
      </c>
      <c r="D13" s="99">
        <f>SUM(F13:V13)+E13</f>
        <v>0</v>
      </c>
      <c r="E13" s="99">
        <f>+'Sumas y Saldos'!D164+'Sumas y Saldos'!D191+'Sumas y Saldos'!G164+'Sumas y Saldos'!G191+'Sumas y Saldos'!J164+'Sumas y Saldos'!J191+'Sumas y Saldos'!P164+'Sumas y Saldos'!P191+'Sumas y Saldos'!Y164+'Sumas y Saldos'!Y191+'Sumas y Saldos'!AB164+'Sumas y Saldos'!AB191+'Sumas y Saldos'!AE164+'Sumas y Saldos'!AE191+'Sumas y Saldos'!V164+'Sumas y Saldos'!V191+'Sumas y Saldos'!S164+'Sumas y Saldos'!S191+'Sumas y Saldos'!AH164+'Sumas y Saldos'!AH191+'Sumas y Saldos'!AN164+'Sumas y Saldos'!AN191+'Sumas y Saldos'!AK164+'Sumas y Saldos'!AK191+'Sumas y Saldos'!BC191+'Sumas y Saldos'!BL191+'Sumas y Saldos'!BO164+'Sumas y Saldos'!BO191</f>
      </c>
      <c r="F13" s="101">
        <f>+'Sumas y Saldos'!E164+'Sumas y Saldos'!E191</f>
      </c>
      <c r="G13" s="101">
        <f>+'Sumas y Saldos'!H164+'Sumas y Saldos'!H191</f>
      </c>
      <c r="H13" s="101">
        <f>+'Sumas y Saldos'!K164+'Sumas y Saldos'!K191</f>
      </c>
      <c r="I13" s="101">
        <f>+'Sumas y Saldos'!Q164+'Sumas y Saldos'!Q191</f>
      </c>
      <c r="J13" s="101">
        <f>+'Sumas y Saldos'!Z164+'Sumas y Saldos'!Z191</f>
      </c>
      <c r="K13" s="101">
        <f>+'Sumas y Saldos'!AC164+'Sumas y Saldos'!AC191</f>
      </c>
      <c r="L13" s="101">
        <f>+'Sumas y Saldos'!AF164+'Sumas y Saldos'!AF191</f>
      </c>
      <c r="M13" s="101">
        <f>+'Sumas y Saldos'!W164+'Sumas y Saldos'!W191</f>
      </c>
      <c r="N13" s="101">
        <f>+'Sumas y Saldos'!T164+'Sumas y Saldos'!T191</f>
      </c>
      <c r="O13" s="101">
        <f>+'Sumas y Saldos'!AI164+'Sumas y Saldos'!AI191</f>
      </c>
      <c r="P13" s="101">
        <f>+'Sumas y Saldos'!AO164+'Sumas y Saldos'!AO191</f>
      </c>
      <c r="Q13" s="101">
        <f>+'Sumas y Saldos'!AL164+'Sumas y Saldos'!AL191</f>
      </c>
      <c r="R13" s="101"/>
      <c r="S13" s="101"/>
      <c r="T13" s="101">
        <f>+'Sumas y Saldos'!BD191</f>
      </c>
      <c r="U13" s="101">
        <f>+'Sumas y Saldos'!BM191</f>
      </c>
      <c r="V13" s="101">
        <f>+'Sumas y Saldos'!BP164+'Sumas y Saldos'!BP191</f>
      </c>
      <c r="W13" s="101"/>
      <c r="X13" s="101"/>
      <c r="Y13" s="101"/>
      <c r="Z13" s="101"/>
      <c r="AA13" s="101"/>
      <c r="AB13" s="101"/>
      <c r="AC13" s="101">
        <v>0</v>
      </c>
      <c r="AD13" s="101">
        <v>0</v>
      </c>
      <c r="AE13" s="101">
        <v>0</v>
      </c>
      <c r="AF13" s="101">
        <v>0</v>
      </c>
      <c r="AG13" s="101">
        <v>0</v>
      </c>
      <c r="AH13" s="101">
        <v>0</v>
      </c>
      <c r="AI13" s="104">
        <f>SUM(W13:AH13)</f>
        <v>0</v>
      </c>
      <c r="AJ13" s="76"/>
      <c r="AK13" s="105"/>
    </row>
    <row r="14" ht="12.75" customHeight="1" spans="1:37" x14ac:dyDescent="0.25">
      <c r="A14" s="76" t="s">
        <v>495</v>
      </c>
      <c r="B14" s="76">
        <v>9600000062</v>
      </c>
      <c r="C14" s="98" t="s">
        <v>496</v>
      </c>
      <c r="D14" s="99">
        <f>SUM(F14:V14)+E14</f>
        <v>0</v>
      </c>
      <c r="E14" s="99">
        <f>+'Sumas y Saldos'!D39+'Sumas y Saldos'!G39+'Sumas y Saldos'!J39+'Sumas y Saldos'!P39+'Sumas y Saldos'!Y39+'Sumas y Saldos'!AB39+'Sumas y Saldos'!AE39+'Sumas y Saldos'!V39+'Sumas y Saldos'!S39+'Sumas y Saldos'!AH39+'Sumas y Saldos'!AN39+'Sumas y Saldos'!AK39</f>
      </c>
      <c r="F14" s="101">
        <f>+'Sumas y Saldos'!E39</f>
        <v>0</v>
      </c>
      <c r="G14" s="101">
        <f>+'Sumas y Saldos'!H39</f>
        <v>0</v>
      </c>
      <c r="H14" s="101">
        <f>+'Sumas y Saldos'!K39</f>
        <v>0</v>
      </c>
      <c r="I14" s="101">
        <f>+'Sumas y Saldos'!Q39</f>
        <v>0</v>
      </c>
      <c r="J14" s="101">
        <f>+'Sumas y Saldos'!Z39</f>
        <v>0</v>
      </c>
      <c r="K14" s="101">
        <f>+'Sumas y Saldos'!AC39</f>
        <v>0</v>
      </c>
      <c r="L14" s="101">
        <f>+'Sumas y Saldos'!AF39</f>
        <v>0</v>
      </c>
      <c r="M14" s="101">
        <f>+'Sumas y Saldos'!W39</f>
        <v>0</v>
      </c>
      <c r="N14" s="101">
        <f>+'Sumas y Saldos'!T39</f>
        <v>0</v>
      </c>
      <c r="O14" s="101">
        <f>+'Sumas y Saldos'!AI39</f>
        <v>0</v>
      </c>
      <c r="P14" s="101">
        <f>+'Sumas y Saldos'!AO39</f>
        <v>0</v>
      </c>
      <c r="Q14" s="101">
        <f>+'Sumas y Saldos'!AL39</f>
        <v>0</v>
      </c>
      <c r="R14" s="101"/>
      <c r="S14" s="101"/>
      <c r="T14" s="101">
        <v>0</v>
      </c>
      <c r="U14" s="101"/>
      <c r="V14" s="101">
        <v>0</v>
      </c>
      <c r="W14" s="101"/>
      <c r="X14" s="101"/>
      <c r="Y14" s="101"/>
      <c r="Z14" s="101"/>
      <c r="AA14" s="101"/>
      <c r="AB14" s="101"/>
      <c r="AC14" s="101">
        <v>0</v>
      </c>
      <c r="AD14" s="101">
        <v>0</v>
      </c>
      <c r="AE14" s="101">
        <v>0</v>
      </c>
      <c r="AF14" s="101">
        <v>0</v>
      </c>
      <c r="AG14" s="101">
        <v>0</v>
      </c>
      <c r="AH14" s="101">
        <v>0</v>
      </c>
      <c r="AI14" s="104">
        <f>SUM(W14:AH14)</f>
        <v>0</v>
      </c>
      <c r="AJ14" s="76"/>
      <c r="AK14" s="105"/>
    </row>
    <row r="15" ht="12.75" customHeight="1" spans="1:37" x14ac:dyDescent="0.25">
      <c r="A15" s="76" t="s">
        <v>497</v>
      </c>
      <c r="B15" s="76">
        <v>9600000062</v>
      </c>
      <c r="C15" s="98" t="s">
        <v>498</v>
      </c>
      <c r="D15" s="99">
        <f>SUM(F15:V15)+E15</f>
        <v>21.03</v>
      </c>
      <c r="E15" s="99">
        <f>+'Sumas y Saldos'!D81+'Sumas y Saldos'!D253+'Sumas y Saldos'!D301+'Sumas y Saldos'!D144+'Sumas y Saldos'!G81+'Sumas y Saldos'!G253+'Sumas y Saldos'!G301+'Sumas y Saldos'!G144+'Sumas y Saldos'!J81+'Sumas y Saldos'!J253+'Sumas y Saldos'!J301+'Sumas y Saldos'!J144+'Sumas y Saldos'!P81+'Sumas y Saldos'!P253+'Sumas y Saldos'!P301+'Sumas y Saldos'!P144+'Sumas y Saldos'!Y81+'Sumas y Saldos'!Y253+'Sumas y Saldos'!Y301+'Sumas y Saldos'!Y144+'Sumas y Saldos'!AB81+'Sumas y Saldos'!AB253+'Sumas y Saldos'!AB301+'Sumas y Saldos'!AB144+'Sumas y Saldos'!AE81+'Sumas y Saldos'!AE253+'Sumas y Saldos'!AE301+'Sumas y Saldos'!AE144+'Sumas y Saldos'!V81+'Sumas y Saldos'!V253+'Sumas y Saldos'!V301+'Sumas y Saldos'!V144+'Sumas y Saldos'!S81+'Sumas y Saldos'!S253+'Sumas y Saldos'!S301+'Sumas y Saldos'!S144+'Sumas y Saldos'!AH81+'Sumas y Saldos'!AH253+'Sumas y Saldos'!AH301+'Sumas y Saldos'!AH144+'Sumas y Saldos'!AN81+'Sumas y Saldos'!AN253+'Sumas y Saldos'!AN301+'Sumas y Saldos'!AN144+'Sumas y Saldos'!AK81+'Sumas y Saldos'!AK253+'Sumas y Saldos'!AK301+'Sumas y Saldos'!AK144+'Sumas y Saldos'!BC253+'Sumas y Saldos'!BC301+'Sumas y Saldos'!BL253+'Sumas y Saldos'!BO253+'Sumas y Saldos'!BO144</f>
      </c>
      <c r="F15" s="101">
        <f>'Sumas y Saldos'!E81+'Sumas y Saldos'!E253+'Sumas y Saldos'!E301+'Sumas y Saldos'!E144</f>
      </c>
      <c r="G15" s="101">
        <f>'Sumas y Saldos'!H81+'Sumas y Saldos'!H253+'Sumas y Saldos'!H301+'Sumas y Saldos'!H144</f>
      </c>
      <c r="H15" s="101">
        <f>'Sumas y Saldos'!K81+'Sumas y Saldos'!K253+'Sumas y Saldos'!K301+'Sumas y Saldos'!K144</f>
      </c>
      <c r="I15" s="101">
        <f>'Sumas y Saldos'!Q81+'Sumas y Saldos'!Q253+'Sumas y Saldos'!Q301+'Sumas y Saldos'!Q144</f>
      </c>
      <c r="J15" s="101">
        <f>'Sumas y Saldos'!Z81+'Sumas y Saldos'!Z253+'Sumas y Saldos'!Z301+'Sumas y Saldos'!Z144</f>
      </c>
      <c r="K15" s="101">
        <f>'Sumas y Saldos'!AC81+'Sumas y Saldos'!AC253+'Sumas y Saldos'!AC301+'Sumas y Saldos'!AC144</f>
      </c>
      <c r="L15" s="101">
        <f>'Sumas y Saldos'!AF81+'Sumas y Saldos'!AF253+'Sumas y Saldos'!AF301+'Sumas y Saldos'!AF144</f>
      </c>
      <c r="M15" s="101">
        <f>'Sumas y Saldos'!W81+'Sumas y Saldos'!W253+'Sumas y Saldos'!W301+'Sumas y Saldos'!W144</f>
      </c>
      <c r="N15" s="101">
        <f>'Sumas y Saldos'!T81+'Sumas y Saldos'!T253+'Sumas y Saldos'!T301+'Sumas y Saldos'!T144</f>
      </c>
      <c r="O15" s="101">
        <f>'Sumas y Saldos'!AI81+'Sumas y Saldos'!AI253+'Sumas y Saldos'!AI301+'Sumas y Saldos'!AI144</f>
      </c>
      <c r="P15" s="101">
        <f>'Sumas y Saldos'!AO81+'Sumas y Saldos'!AO253+'Sumas y Saldos'!AO301+'Sumas y Saldos'!AO144</f>
      </c>
      <c r="Q15" s="101">
        <f>'Sumas y Saldos'!AL81+'Sumas y Saldos'!AL253+'Sumas y Saldos'!AL301+'Sumas y Saldos'!AL144</f>
      </c>
      <c r="R15" s="101"/>
      <c r="S15" s="101"/>
      <c r="T15" s="101">
        <f>'Sumas y Saldos'!BD253+'Sumas y Saldos'!BD301</f>
      </c>
      <c r="U15" s="101">
        <f>'Sumas y Saldos'!BM253</f>
      </c>
      <c r="V15" s="101">
        <f>+'Sumas y Saldos'!BP253+'Sumas y Saldos'!BP144</f>
      </c>
      <c r="W15" s="101"/>
      <c r="X15" s="101"/>
      <c r="Y15" s="101"/>
      <c r="Z15" s="101"/>
      <c r="AA15" s="101"/>
      <c r="AB15" s="101"/>
      <c r="AC15" s="101">
        <v>21.03</v>
      </c>
      <c r="AD15" s="101">
        <v>0</v>
      </c>
      <c r="AE15" s="101">
        <v>0</v>
      </c>
      <c r="AF15" s="101">
        <v>0</v>
      </c>
      <c r="AG15" s="101">
        <v>0</v>
      </c>
      <c r="AH15" s="101">
        <v>0</v>
      </c>
      <c r="AI15" s="104">
        <f>SUM(W15:AH15)</f>
        <v>21.03</v>
      </c>
      <c r="AJ15" s="76"/>
      <c r="AK15" s="105"/>
    </row>
    <row r="16" ht="12.75" customHeight="1" spans="1:37" x14ac:dyDescent="0.25">
      <c r="A16" s="76"/>
      <c r="B16" s="76"/>
      <c r="C16" s="98" t="s">
        <v>139</v>
      </c>
      <c r="D16" s="99">
        <f>SUM(F16:V16)+E16</f>
        <v>0</v>
      </c>
      <c r="E16" s="99">
        <f>+'Sumas y Saldos'!D102+'Sumas y Saldos'!G102+'Sumas y Saldos'!J102+'Sumas y Saldos'!P102+'Sumas y Saldos'!Y102+'Sumas y Saldos'!AB102+'Sumas y Saldos'!AE102+'Sumas y Saldos'!V102+'Sumas y Saldos'!S102+'Sumas y Saldos'!AH102+'Sumas y Saldos'!AN102+'Sumas y Saldos'!AK102</f>
      </c>
      <c r="F16" s="101">
        <f>+'Sumas y Saldos'!E102</f>
        <v>0</v>
      </c>
      <c r="G16" s="101">
        <f>+'Sumas y Saldos'!H102</f>
        <v>0</v>
      </c>
      <c r="H16" s="101">
        <f>+'Sumas y Saldos'!K102</f>
        <v>0</v>
      </c>
      <c r="I16" s="101">
        <f>+'Sumas y Saldos'!Q102</f>
        <v>0</v>
      </c>
      <c r="J16" s="101">
        <f>+'Sumas y Saldos'!Z102</f>
        <v>0</v>
      </c>
      <c r="K16" s="101">
        <f>+'Sumas y Saldos'!AC102</f>
        <v>0</v>
      </c>
      <c r="L16" s="101">
        <f>+'Sumas y Saldos'!AF102</f>
        <v>0</v>
      </c>
      <c r="M16" s="101">
        <f>+'Sumas y Saldos'!W102</f>
        <v>0</v>
      </c>
      <c r="N16" s="101">
        <f>+'Sumas y Saldos'!T102</f>
        <v>0</v>
      </c>
      <c r="O16" s="101">
        <f>+'Sumas y Saldos'!AI102</f>
        <v>0</v>
      </c>
      <c r="P16" s="101">
        <f>+'Sumas y Saldos'!AO102</f>
        <v>0</v>
      </c>
      <c r="Q16" s="101">
        <f>+'Sumas y Saldos'!AL102</f>
        <v>0</v>
      </c>
      <c r="R16" s="101"/>
      <c r="S16" s="101"/>
      <c r="T16" s="101">
        <v>0</v>
      </c>
      <c r="U16" s="101"/>
      <c r="V16" s="101"/>
      <c r="W16" s="101"/>
      <c r="X16" s="101"/>
      <c r="Y16" s="101"/>
      <c r="Z16" s="101"/>
      <c r="AA16" s="101"/>
      <c r="AB16" s="101"/>
      <c r="AC16" s="101">
        <v>0</v>
      </c>
      <c r="AD16" s="101">
        <v>0</v>
      </c>
      <c r="AE16" s="101">
        <v>0</v>
      </c>
      <c r="AF16" s="101">
        <v>0</v>
      </c>
      <c r="AG16" s="101">
        <v>0</v>
      </c>
      <c r="AH16" s="101">
        <v>0</v>
      </c>
      <c r="AI16" s="104">
        <f>SUM(W16:AH16)</f>
        <v>0</v>
      </c>
      <c r="AJ16" s="76"/>
      <c r="AK16" s="105"/>
    </row>
    <row r="17" ht="12.75" customHeight="1" spans="1:37" x14ac:dyDescent="0.25">
      <c r="A17" s="76" t="s">
        <v>499</v>
      </c>
      <c r="B17" s="76">
        <v>9600000062</v>
      </c>
      <c r="C17" s="98" t="s">
        <v>136</v>
      </c>
      <c r="D17" s="99">
        <f>SUM(F17:V17)+E17</f>
        <v>0</v>
      </c>
      <c r="E17" s="99">
        <f>+'Sumas y Saldos'!D99+'Sumas y Saldos'!D363+'Sumas y Saldos'!D396+'Sumas y Saldos'!D240+'Sumas y Saldos'!D280+'Sumas y Saldos'!D340+'Sumas y Saldos'!D162+'Sumas y Saldos'!D194+'Sumas y Saldos'!D337+'Sumas y Saldos'!D364+'Sumas y Saldos'!D397+'Sumas y Saldos'!G99+'Sumas y Saldos'!G363+'Sumas y Saldos'!G396+'Sumas y Saldos'!G240+'Sumas y Saldos'!G280+'Sumas y Saldos'!G340+'Sumas y Saldos'!G162+'Sumas y Saldos'!G194+'Sumas y Saldos'!G337+'Sumas y Saldos'!G364+'Sumas y Saldos'!G397+'Sumas y Saldos'!J99+'Sumas y Saldos'!J363+'Sumas y Saldos'!J396+'Sumas y Saldos'!J240+'Sumas y Saldos'!J280+'Sumas y Saldos'!J340+'Sumas y Saldos'!J162+'Sumas y Saldos'!J194+'Sumas y Saldos'!J337+'Sumas y Saldos'!J364+'Sumas y Saldos'!J397+'Sumas y Saldos'!P99+'Sumas y Saldos'!P363+'Sumas y Saldos'!P396+'Sumas y Saldos'!P240+'Sumas y Saldos'!P280+'Sumas y Saldos'!P340+'Sumas y Saldos'!P162+'Sumas y Saldos'!P194+'Sumas y Saldos'!P337+'Sumas y Saldos'!P364+'Sumas y Saldos'!P397+'Sumas y Saldos'!Y99+'Sumas y Saldos'!Y363+'Sumas y Saldos'!Y396+'Sumas y Saldos'!Y240+'Sumas y Saldos'!Y280+'Sumas y Saldos'!Y340+'Sumas y Saldos'!Y162+'Sumas y Saldos'!Y194+'Sumas y Saldos'!Y337+'Sumas y Saldos'!Y364+'Sumas y Saldos'!Y397+'Sumas y Saldos'!AB99+'Sumas y Saldos'!AB363+'Sumas y Saldos'!AB396+'Sumas y Saldos'!AB240+'Sumas y Saldos'!AB280+'Sumas y Saldos'!AB340+'Sumas y Saldos'!AB162+'Sumas y Saldos'!AB194+'Sumas y Saldos'!AB337+'Sumas y Saldos'!AB364+'Sumas y Saldos'!AB397+'Sumas y Saldos'!AE99+'Sumas y Saldos'!AE363+'Sumas y Saldos'!AE396+'Sumas y Saldos'!AE240+'Sumas y Saldos'!AE280+'Sumas y Saldos'!AE340+'Sumas y Saldos'!AE162+'Sumas y Saldos'!AE194+'Sumas y Saldos'!AE337+'Sumas y Saldos'!AE364+'Sumas y Saldos'!AE397+'Sumas y Saldos'!V99+'Sumas y Saldos'!V363+'Sumas y Saldos'!V396+'Sumas y Saldos'!V240+'Sumas y Saldos'!V280+'Sumas y Saldos'!V340+'Sumas y Saldos'!V162+'Sumas y Saldos'!V194+'Sumas y Saldos'!V337+'Sumas y Saldos'!V364+'Sumas y Saldos'!V397+'Sumas y Saldos'!S99+'Sumas y Saldos'!S363+'Sumas y Saldos'!S396+'Sumas y Saldos'!S240+'Sumas y Saldos'!S280+'Sumas y Saldos'!S340+'Sumas y Saldos'!S162+'Sumas y Saldos'!S194+'Sumas y Saldos'!S337+'Sumas y Saldos'!S364+'Sumas y Saldos'!S397+'Sumas y Saldos'!AH99+'Sumas y Saldos'!AH363+'Sumas y Saldos'!AH396+'Sumas y Saldos'!AH240+'Sumas y Saldos'!AH280+'Sumas y Saldos'!AH340+'Sumas y Saldos'!AH162+'Sumas y Saldos'!AH194+'Sumas y Saldos'!AH337+'Sumas y Saldos'!AH364+'Sumas y Saldos'!AH397+'Sumas y Saldos'!AN99+'Sumas y Saldos'!AN363+'Sumas y Saldos'!AN396+'Sumas y Saldos'!AN240+'Sumas y Saldos'!AN280+'Sumas y Saldos'!AN340+'Sumas y Saldos'!AN162+'Sumas y Saldos'!AN194+'Sumas y Saldos'!AN337+'Sumas y Saldos'!AN364+'Sumas y Saldos'!AN397+'Sumas y Saldos'!AK99+'Sumas y Saldos'!AK363+'Sumas y Saldos'!AK396+'Sumas y Saldos'!AK240+'Sumas y Saldos'!AK280+'Sumas y Saldos'!AK340+'Sumas y Saldos'!AK162+'Sumas y Saldos'!AK194+'Sumas y Saldos'!AK337+'Sumas y Saldos'!AK364+'Sumas y Saldos'!AK397+'Sumas y Saldos'!BC240+'Sumas y Saldos'!BC280+'Sumas y Saldos'!BL240+'Sumas y Saldos'!BL340+'Sumas y Saldos'!BO194</f>
      </c>
      <c r="F17" s="101">
        <f>'Sumas y Saldos'!E99+'Sumas y Saldos'!E363+'Sumas y Saldos'!E396+'Sumas y Saldos'!E240+'Sumas y Saldos'!E280+'Sumas y Saldos'!E340+'Sumas y Saldos'!E162+'Sumas y Saldos'!E194+'Sumas y Saldos'!E337+'Sumas y Saldos'!E364+'Sumas y Saldos'!E397</f>
      </c>
      <c r="G17" s="101">
        <f>'Sumas y Saldos'!H99+'Sumas y Saldos'!H363+'Sumas y Saldos'!H396+'Sumas y Saldos'!H240+'Sumas y Saldos'!H280+'Sumas y Saldos'!H340+'Sumas y Saldos'!H162+'Sumas y Saldos'!H194+'Sumas y Saldos'!H337+'Sumas y Saldos'!H364+'Sumas y Saldos'!H397</f>
      </c>
      <c r="H17" s="101">
        <f>'Sumas y Saldos'!K99+'Sumas y Saldos'!K363+'Sumas y Saldos'!K396+'Sumas y Saldos'!K240+'Sumas y Saldos'!K280+'Sumas y Saldos'!K340+'Sumas y Saldos'!K162+'Sumas y Saldos'!K194+'Sumas y Saldos'!K337+'Sumas y Saldos'!K364+'Sumas y Saldos'!K397</f>
      </c>
      <c r="I17" s="101">
        <f>'Sumas y Saldos'!Q99+'Sumas y Saldos'!Q363+'Sumas y Saldos'!Q396+'Sumas y Saldos'!Q240+'Sumas y Saldos'!Q280+'Sumas y Saldos'!Q340+'Sumas y Saldos'!Q162+'Sumas y Saldos'!Q194+'Sumas y Saldos'!Q337+'Sumas y Saldos'!Q364+'Sumas y Saldos'!Q397</f>
      </c>
      <c r="J17" s="101">
        <f>'Sumas y Saldos'!Z99+'Sumas y Saldos'!Z363+'Sumas y Saldos'!Z396+'Sumas y Saldos'!Z240+'Sumas y Saldos'!Z280+'Sumas y Saldos'!Z340+'Sumas y Saldos'!Z162+'Sumas y Saldos'!Z194+'Sumas y Saldos'!Z337+'Sumas y Saldos'!Z364+'Sumas y Saldos'!Z397</f>
      </c>
      <c r="K17" s="101">
        <f>'Sumas y Saldos'!AC99+'Sumas y Saldos'!AC363+'Sumas y Saldos'!AC396+'Sumas y Saldos'!AC240+'Sumas y Saldos'!AC280+'Sumas y Saldos'!AC340+'Sumas y Saldos'!AC162+'Sumas y Saldos'!AC194+'Sumas y Saldos'!AC337+'Sumas y Saldos'!AC364+'Sumas y Saldos'!AC397</f>
      </c>
      <c r="L17" s="101">
        <f>'Sumas y Saldos'!AF99+'Sumas y Saldos'!AF363+'Sumas y Saldos'!AF396+'Sumas y Saldos'!AF240+'Sumas y Saldos'!AF280+'Sumas y Saldos'!AF340+'Sumas y Saldos'!AF162+'Sumas y Saldos'!AF194+'Sumas y Saldos'!AF337+'Sumas y Saldos'!AF364+'Sumas y Saldos'!AF397</f>
      </c>
      <c r="M17" s="101">
        <f>'Sumas y Saldos'!W99+'Sumas y Saldos'!W363+'Sumas y Saldos'!W396+'Sumas y Saldos'!W240+'Sumas y Saldos'!W280+'Sumas y Saldos'!W340+'Sumas y Saldos'!W162+'Sumas y Saldos'!W194+'Sumas y Saldos'!W337+'Sumas y Saldos'!W364+'Sumas y Saldos'!W397</f>
      </c>
      <c r="N17" s="101">
        <f>'Sumas y Saldos'!T99+'Sumas y Saldos'!T363+'Sumas y Saldos'!T396+'Sumas y Saldos'!T240+'Sumas y Saldos'!T280+'Sumas y Saldos'!T340+'Sumas y Saldos'!T162+'Sumas y Saldos'!T194+'Sumas y Saldos'!T337+'Sumas y Saldos'!T364+'Sumas y Saldos'!T397</f>
      </c>
      <c r="O17" s="101">
        <f>'Sumas y Saldos'!AI99+'Sumas y Saldos'!AI363+'Sumas y Saldos'!AI396+'Sumas y Saldos'!AI240+'Sumas y Saldos'!AI280+'Sumas y Saldos'!AI340+'Sumas y Saldos'!AI162+'Sumas y Saldos'!AI194+'Sumas y Saldos'!AI337+'Sumas y Saldos'!AI364+'Sumas y Saldos'!AI397</f>
      </c>
      <c r="P17" s="101">
        <f>'Sumas y Saldos'!AO99+'Sumas y Saldos'!AO363+'Sumas y Saldos'!AO396+'Sumas y Saldos'!AO240+'Sumas y Saldos'!AO280+'Sumas y Saldos'!AO340+'Sumas y Saldos'!AO162+'Sumas y Saldos'!AO194+'Sumas y Saldos'!AO337+'Sumas y Saldos'!AO364+'Sumas y Saldos'!AO397</f>
      </c>
      <c r="Q17" s="101">
        <f>'Sumas y Saldos'!AL99+'Sumas y Saldos'!AL363+'Sumas y Saldos'!AL396+'Sumas y Saldos'!AL240+'Sumas y Saldos'!AL280+'Sumas y Saldos'!AL340+'Sumas y Saldos'!AL162+'Sumas y Saldos'!AL194+'Sumas y Saldos'!AL337+'Sumas y Saldos'!AL364+'Sumas y Saldos'!AL397</f>
      </c>
      <c r="R17" s="101">
        <v>0</v>
      </c>
      <c r="S17" s="101"/>
      <c r="T17" s="101">
        <f>'Sumas y Saldos'!BD240+'Sumas y Saldos'!BD280</f>
      </c>
      <c r="U17" s="101">
        <f>'Sumas y Saldos'!BM240+'Sumas y Saldos'!BM340</f>
      </c>
      <c r="V17" s="101">
        <f>'Sumas y Saldos'!BP194</f>
      </c>
      <c r="W17" s="101"/>
      <c r="X17" s="101"/>
      <c r="Y17" s="101"/>
      <c r="Z17" s="101"/>
      <c r="AA17" s="101"/>
      <c r="AB17" s="101"/>
      <c r="AC17" s="101">
        <v>0</v>
      </c>
      <c r="AD17" s="101">
        <v>21.79</v>
      </c>
      <c r="AE17" s="101">
        <v>270.41</v>
      </c>
      <c r="AF17" s="101">
        <v>96.91</v>
      </c>
      <c r="AG17" s="101">
        <v>22.16</v>
      </c>
      <c r="AH17" s="101">
        <v>0</v>
      </c>
      <c r="AI17" s="104">
        <f>SUM(W17:AH17)</f>
        <v>411.27000000000004</v>
      </c>
      <c r="AJ17" s="76"/>
      <c r="AK17" s="105"/>
    </row>
    <row r="18" ht="12.75" customHeight="1" spans="1:37" x14ac:dyDescent="0.25">
      <c r="A18" s="76" t="s">
        <v>500</v>
      </c>
      <c r="B18" s="76">
        <v>9600000062</v>
      </c>
      <c r="C18" s="98" t="s">
        <v>116</v>
      </c>
      <c r="D18" s="99">
        <f>SUM(F18:V18)+E18</f>
        <v>78.2</v>
      </c>
      <c r="E18" s="99">
        <f>+'Sumas y Saldos'!D23+'Sumas y Saldos'!D79+'Sumas y Saldos'!D273+'Sumas y Saldos'!D219+'Sumas y Saldos'!D321+'Sumas y Saldos'!D143+'Sumas y Saldos'!D203+'Sumas y Saldos'!D354+'Sumas y Saldos'!D369+'Sumas y Saldos'!G23+'Sumas y Saldos'!G79+'Sumas y Saldos'!G273+'Sumas y Saldos'!G219+'Sumas y Saldos'!G321+'Sumas y Saldos'!G143+'Sumas y Saldos'!G203+'Sumas y Saldos'!G354+'Sumas y Saldos'!G369+'Sumas y Saldos'!J23+'Sumas y Saldos'!J79+'Sumas y Saldos'!J273+'Sumas y Saldos'!J219+'Sumas y Saldos'!J321+'Sumas y Saldos'!J143+'Sumas y Saldos'!J203+'Sumas y Saldos'!J354+'Sumas y Saldos'!J369+'Sumas y Saldos'!P23+'Sumas y Saldos'!P79+'Sumas y Saldos'!P273+'Sumas y Saldos'!P219+'Sumas y Saldos'!P321+'Sumas y Saldos'!P143+'Sumas y Saldos'!P203+'Sumas y Saldos'!P354+'Sumas y Saldos'!P369+'Sumas y Saldos'!Y23+'Sumas y Saldos'!Y79+'Sumas y Saldos'!Y273+'Sumas y Saldos'!Y219+'Sumas y Saldos'!Y321+'Sumas y Saldos'!Y143+'Sumas y Saldos'!Y203+'Sumas y Saldos'!Y354+'Sumas y Saldos'!Y369+'Sumas y Saldos'!AB23+'Sumas y Saldos'!AB79+'Sumas y Saldos'!AB273+'Sumas y Saldos'!AB219+'Sumas y Saldos'!AB321+'Sumas y Saldos'!AB143+'Sumas y Saldos'!AB203+'Sumas y Saldos'!AB354+'Sumas y Saldos'!AB369+'Sumas y Saldos'!AE23+'Sumas y Saldos'!AE79+'Sumas y Saldos'!AE273+'Sumas y Saldos'!AE219+'Sumas y Saldos'!AE321+'Sumas y Saldos'!AE143+'Sumas y Saldos'!AE203+'Sumas y Saldos'!AE354+'Sumas y Saldos'!AE369+'Sumas y Saldos'!V23+'Sumas y Saldos'!V79+'Sumas y Saldos'!V273+'Sumas y Saldos'!V219+'Sumas y Saldos'!V321+'Sumas y Saldos'!V143+'Sumas y Saldos'!V203+'Sumas y Saldos'!V354+'Sumas y Saldos'!V369+'Sumas y Saldos'!S23+'Sumas y Saldos'!S79+'Sumas y Saldos'!S273+'Sumas y Saldos'!S219+'Sumas y Saldos'!S321+'Sumas y Saldos'!S143+'Sumas y Saldos'!S203+'Sumas y Saldos'!S354+'Sumas y Saldos'!S369+'Sumas y Saldos'!AH23+'Sumas y Saldos'!AH79+'Sumas y Saldos'!AH273+'Sumas y Saldos'!AH219+'Sumas y Saldos'!AH321+'Sumas y Saldos'!AH143+'Sumas y Saldos'!AH203+'Sumas y Saldos'!AH354+'Sumas y Saldos'!AH369+'Sumas y Saldos'!AN23+'Sumas y Saldos'!AN79+'Sumas y Saldos'!AN273+'Sumas y Saldos'!AN219+'Sumas y Saldos'!AN321+'Sumas y Saldos'!AN143+'Sumas y Saldos'!AN203+'Sumas y Saldos'!AN354+'Sumas y Saldos'!AN369+'Sumas y Saldos'!AK23+'Sumas y Saldos'!AK79+'Sumas y Saldos'!AK273+'Sumas y Saldos'!AK219+'Sumas y Saldos'!AK321+'Sumas y Saldos'!AK143+'Sumas y Saldos'!AK203+'Sumas y Saldos'!AK354+'Sumas y Saldos'!AK369+'Sumas y Saldos'!BC273+'Sumas y Saldos'!BC219+'Sumas y Saldos'!BL273+'Sumas y Saldos'!BL321+'Sumas y Saldos'!BO273+'Sumas y Saldos'!BO321+'Sumas y Saldos'!BO203</f>
      </c>
      <c r="F18" s="101">
        <f>'Sumas y Saldos'!E23+'Sumas y Saldos'!E79+'Sumas y Saldos'!E273+'Sumas y Saldos'!E219+'Sumas y Saldos'!E321+'Sumas y Saldos'!E143+'Sumas y Saldos'!E203+'Sumas y Saldos'!E354+'Sumas y Saldos'!E369</f>
      </c>
      <c r="G18" s="101">
        <f>'Sumas y Saldos'!H23+'Sumas y Saldos'!H79+'Sumas y Saldos'!H273+'Sumas y Saldos'!H219+'Sumas y Saldos'!H321+'Sumas y Saldos'!H143+'Sumas y Saldos'!H203+'Sumas y Saldos'!H354+'Sumas y Saldos'!H369</f>
      </c>
      <c r="H18" s="101">
        <f>'Sumas y Saldos'!K23+'Sumas y Saldos'!K79+'Sumas y Saldos'!K273+'Sumas y Saldos'!K219+'Sumas y Saldos'!K321+'Sumas y Saldos'!K143+'Sumas y Saldos'!K203+'Sumas y Saldos'!K354+'Sumas y Saldos'!K369</f>
      </c>
      <c r="I18" s="101">
        <f>'Sumas y Saldos'!Q23+'Sumas y Saldos'!Q79+'Sumas y Saldos'!Q273+'Sumas y Saldos'!Q219+'Sumas y Saldos'!Q321+'Sumas y Saldos'!Q143+'Sumas y Saldos'!Q203+'Sumas y Saldos'!Q354+'Sumas y Saldos'!Q369</f>
      </c>
      <c r="J18" s="101">
        <f>'Sumas y Saldos'!Z23+'Sumas y Saldos'!Z79+'Sumas y Saldos'!Z273+'Sumas y Saldos'!Z219+'Sumas y Saldos'!Z321+'Sumas y Saldos'!Z143+'Sumas y Saldos'!Z203+'Sumas y Saldos'!Z354+'Sumas y Saldos'!Z369</f>
      </c>
      <c r="K18" s="101">
        <f>'Sumas y Saldos'!AC23+'Sumas y Saldos'!AC79+'Sumas y Saldos'!AC273+'Sumas y Saldos'!AC219+'Sumas y Saldos'!AC321+'Sumas y Saldos'!AC143+'Sumas y Saldos'!AC203+'Sumas y Saldos'!AC354+'Sumas y Saldos'!AC369</f>
      </c>
      <c r="L18" s="101">
        <f>'Sumas y Saldos'!AF23+'Sumas y Saldos'!AF79+'Sumas y Saldos'!AF273+'Sumas y Saldos'!AF219+'Sumas y Saldos'!AF321+'Sumas y Saldos'!AF143+'Sumas y Saldos'!AF203+'Sumas y Saldos'!AF354+'Sumas y Saldos'!AF369</f>
      </c>
      <c r="M18" s="101">
        <f>'Sumas y Saldos'!W23+'Sumas y Saldos'!W79+'Sumas y Saldos'!W273+'Sumas y Saldos'!W219+'Sumas y Saldos'!W321+'Sumas y Saldos'!W143+'Sumas y Saldos'!W203+'Sumas y Saldos'!W354+'Sumas y Saldos'!W369</f>
      </c>
      <c r="N18" s="101">
        <f>'Sumas y Saldos'!T23+'Sumas y Saldos'!T79+'Sumas y Saldos'!T273+'Sumas y Saldos'!T219+'Sumas y Saldos'!T321+'Sumas y Saldos'!T143+'Sumas y Saldos'!T203+'Sumas y Saldos'!T354+'Sumas y Saldos'!T369</f>
      </c>
      <c r="O18" s="101">
        <f>'Sumas y Saldos'!AI23+'Sumas y Saldos'!AI79+'Sumas y Saldos'!AI273+'Sumas y Saldos'!AI219+'Sumas y Saldos'!AI321+'Sumas y Saldos'!AI143+'Sumas y Saldos'!AI203+'Sumas y Saldos'!AI354+'Sumas y Saldos'!AI369</f>
      </c>
      <c r="P18" s="101">
        <f>'Sumas y Saldos'!AO23+'Sumas y Saldos'!AO79+'Sumas y Saldos'!AO273+'Sumas y Saldos'!AO219+'Sumas y Saldos'!AO321+'Sumas y Saldos'!AO143+'Sumas y Saldos'!AO203+'Sumas y Saldos'!AO354+'Sumas y Saldos'!AO369</f>
      </c>
      <c r="Q18" s="101">
        <f>'Sumas y Saldos'!AL23+'Sumas y Saldos'!AL79+'Sumas y Saldos'!AL273+'Sumas y Saldos'!AL219+'Sumas y Saldos'!AL321+'Sumas y Saldos'!AL143+'Sumas y Saldos'!AL203+'Sumas y Saldos'!AL354+'Sumas y Saldos'!AL369</f>
      </c>
      <c r="R18" s="101">
        <v>0</v>
      </c>
      <c r="S18" s="101">
        <v>0</v>
      </c>
      <c r="T18" s="101">
        <f>'Sumas y Saldos'!BD273+'Sumas y Saldos'!BD219</f>
      </c>
      <c r="U18" s="101">
        <f>'Sumas y Saldos'!BM273+'Sumas y Saldos'!BM321</f>
      </c>
      <c r="V18" s="101">
        <f>'Sumas y Saldos'!BP273+'Sumas y Saldos'!BP321+'Sumas y Saldos'!BP203</f>
      </c>
      <c r="W18" s="101"/>
      <c r="X18" s="101"/>
      <c r="Y18" s="101"/>
      <c r="Z18" s="101"/>
      <c r="AA18" s="101"/>
      <c r="AB18" s="101"/>
      <c r="AC18" s="101">
        <v>78.2</v>
      </c>
      <c r="AD18" s="101">
        <v>871.4100000000001</v>
      </c>
      <c r="AE18" s="101">
        <v>925.46</v>
      </c>
      <c r="AF18" s="101">
        <v>798.34</v>
      </c>
      <c r="AG18" s="101">
        <v>1059.48</v>
      </c>
      <c r="AH18" s="101">
        <v>1908.93</v>
      </c>
      <c r="AI18" s="104">
        <f>SUM(W18:AH18)</f>
        <v>5641.820000000001</v>
      </c>
      <c r="AJ18" s="76"/>
      <c r="AK18" s="105"/>
    </row>
    <row r="19" ht="12.75" customHeight="1" spans="1:37" x14ac:dyDescent="0.25">
      <c r="A19" s="76" t="s">
        <v>501</v>
      </c>
      <c r="B19" s="76">
        <v>9600000062</v>
      </c>
      <c r="C19" s="98" t="s">
        <v>502</v>
      </c>
      <c r="D19" s="99">
        <f>SUM(F19:V19)+E19</f>
      </c>
      <c r="E19" s="99">
        <f>+'Sumas y Saldos'!D65+'Sumas y Saldos'!D300+'Sumas y Saldos'!D245+'Sumas y Saldos'!D319+'Sumas y Saldos'!G65+'Sumas y Saldos'!G300+'Sumas y Saldos'!G245+'Sumas y Saldos'!G319+'Sumas y Saldos'!J65+'Sumas y Saldos'!J300+'Sumas y Saldos'!J245+'Sumas y Saldos'!J319+'Sumas y Saldos'!P65+'Sumas y Saldos'!P300+'Sumas y Saldos'!P245+'Sumas y Saldos'!P319+'Sumas y Saldos'!Y65+'Sumas y Saldos'!Y300+'Sumas y Saldos'!Y245+'Sumas y Saldos'!Y319+'Sumas y Saldos'!AB65+'Sumas y Saldos'!AB300+'Sumas y Saldos'!AB245+'Sumas y Saldos'!AB319+'Sumas y Saldos'!AE65+'Sumas y Saldos'!AE300+'Sumas y Saldos'!AE245+'Sumas y Saldos'!AE319+'Sumas y Saldos'!V65+'Sumas y Saldos'!V300+'Sumas y Saldos'!V245+'Sumas y Saldos'!V319+'Sumas y Saldos'!S65+'Sumas y Saldos'!S300+'Sumas y Saldos'!S245+'Sumas y Saldos'!S319+'Sumas y Saldos'!AH65+'Sumas y Saldos'!AH300+'Sumas y Saldos'!AH245+'Sumas y Saldos'!AH319+'Sumas y Saldos'!AN65+'Sumas y Saldos'!AN300+'Sumas y Saldos'!AN245+'Sumas y Saldos'!AN319+'Sumas y Saldos'!AK65+'Sumas y Saldos'!AK300+'Sumas y Saldos'!AK245+'Sumas y Saldos'!AK319+'Sumas y Saldos'!BC300+'Sumas y Saldos'!BC245+'Sumas y Saldos'!BL300</f>
      </c>
      <c r="F19" s="101">
        <f>'Sumas y Saldos'!E65+'Sumas y Saldos'!E300+'Sumas y Saldos'!E245+'Sumas y Saldos'!E319</f>
      </c>
      <c r="G19" s="101">
        <f>'Sumas y Saldos'!H65+'Sumas y Saldos'!H300+'Sumas y Saldos'!H245+'Sumas y Saldos'!H319</f>
      </c>
      <c r="H19" s="101">
        <f>'Sumas y Saldos'!K65+'Sumas y Saldos'!K300+'Sumas y Saldos'!K245+'Sumas y Saldos'!K319</f>
      </c>
      <c r="I19" s="101">
        <f>'Sumas y Saldos'!Q65+'Sumas y Saldos'!Q300+'Sumas y Saldos'!Q245+'Sumas y Saldos'!Q319</f>
      </c>
      <c r="J19" s="101">
        <f>'Sumas y Saldos'!Z65+'Sumas y Saldos'!Z300+'Sumas y Saldos'!Z245+'Sumas y Saldos'!Z319</f>
      </c>
      <c r="K19" s="101">
        <f>'Sumas y Saldos'!AC65+'Sumas y Saldos'!AC300+'Sumas y Saldos'!AC245+'Sumas y Saldos'!AC319</f>
      </c>
      <c r="L19" s="101">
        <f>'Sumas y Saldos'!AF65+'Sumas y Saldos'!AF300+'Sumas y Saldos'!AF245+'Sumas y Saldos'!AF319</f>
      </c>
      <c r="M19" s="101">
        <f>'Sumas y Saldos'!W65+'Sumas y Saldos'!W300+'Sumas y Saldos'!W245+'Sumas y Saldos'!W319</f>
      </c>
      <c r="N19" s="101">
        <f>'Sumas y Saldos'!T65+'Sumas y Saldos'!T300+'Sumas y Saldos'!T245+'Sumas y Saldos'!T319</f>
      </c>
      <c r="O19" s="101">
        <f>'Sumas y Saldos'!AI65+'Sumas y Saldos'!AI300+'Sumas y Saldos'!AI245+'Sumas y Saldos'!AI319</f>
      </c>
      <c r="P19" s="101">
        <f>'Sumas y Saldos'!AO65+'Sumas y Saldos'!AO300+'Sumas y Saldos'!AO245+'Sumas y Saldos'!AO319</f>
      </c>
      <c r="Q19" s="101">
        <f>'Sumas y Saldos'!AL65+'Sumas y Saldos'!AL300+'Sumas y Saldos'!AL245+'Sumas y Saldos'!AL319</f>
      </c>
      <c r="R19" s="101"/>
      <c r="S19" s="101"/>
      <c r="T19" s="101">
        <f>'Sumas y Saldos'!BD300+'Sumas y Saldos'!BD245</f>
      </c>
      <c r="U19" s="101">
        <f>+'Sumas y Saldos'!BM300</f>
      </c>
      <c r="V19" s="101"/>
      <c r="W19" s="101"/>
      <c r="X19" s="101"/>
      <c r="Y19" s="101"/>
      <c r="Z19" s="101"/>
      <c r="AA19" s="101"/>
      <c r="AB19" s="101"/>
      <c r="AC19" s="101">
        <v>0</v>
      </c>
      <c r="AD19" s="101">
        <v>0</v>
      </c>
      <c r="AE19" s="101">
        <v>0</v>
      </c>
      <c r="AF19" s="101">
        <v>0</v>
      </c>
      <c r="AG19" s="101">
        <v>0</v>
      </c>
      <c r="AH19" s="101">
        <v>130.73</v>
      </c>
      <c r="AI19" s="104">
        <f>SUM(W19:AH19)</f>
        <v>130.73</v>
      </c>
      <c r="AJ19" s="76"/>
      <c r="AK19" s="105"/>
    </row>
    <row r="20" ht="12.75" customHeight="1" spans="1:37" x14ac:dyDescent="0.25">
      <c r="A20" s="76" t="s">
        <v>503</v>
      </c>
      <c r="B20" s="76">
        <v>9600000062</v>
      </c>
      <c r="C20" s="98" t="s">
        <v>504</v>
      </c>
      <c r="D20" s="99">
        <f>SUM(F20:V20)+E20</f>
        <v>10178.220000000001</v>
      </c>
      <c r="E20" s="99">
        <f>'Sumas y Saldos'!S227+'Sumas y Saldos'!S218+'Sumas y Saldos'!D35+'Sumas y Saldos'!D40+'Sumas y Saldos'!D90+'Sumas y Saldos'!D105+'Sumas y Saldos'!D151+'Sumas y Saldos'!D358+'Sumas y Saldos'!D227+'Sumas y Saldos'!D281+'Sumas y Saldos'!D152+'Sumas y Saldos'!D186+'Sumas y Saldos'!D275+'Sumas y Saldos'!D330+'Sumas y Saldos'!D346+'Sumas y Saldos'!D218+'Sumas y Saldos'!D335+'Sumas y Saldos'!G35+'Sumas y Saldos'!G40+'Sumas y Saldos'!G90+'Sumas y Saldos'!G105+'Sumas y Saldos'!G151+'Sumas y Saldos'!G358+'Sumas y Saldos'!G227+'Sumas y Saldos'!G281+'Sumas y Saldos'!G152+'Sumas y Saldos'!G186+'Sumas y Saldos'!G275+'Sumas y Saldos'!G330+'Sumas y Saldos'!G346+'Sumas y Saldos'!G218+'Sumas y Saldos'!G335+'Sumas y Saldos'!J35+'Sumas y Saldos'!J40+'Sumas y Saldos'!J90+'Sumas y Saldos'!J105+'Sumas y Saldos'!J151+'Sumas y Saldos'!J358+'Sumas y Saldos'!J227+'Sumas y Saldos'!J281+'Sumas y Saldos'!J152+'Sumas y Saldos'!J186+'Sumas y Saldos'!J275+'Sumas y Saldos'!J330+'Sumas y Saldos'!J346+'Sumas y Saldos'!J218+'Sumas y Saldos'!J335+'Sumas y Saldos'!P35+'Sumas y Saldos'!P40+'Sumas y Saldos'!P90+'Sumas y Saldos'!P105+'Sumas y Saldos'!P151+'Sumas y Saldos'!P358+'Sumas y Saldos'!P227+'Sumas y Saldos'!P281+'Sumas y Saldos'!P152+'Sumas y Saldos'!P186+'Sumas y Saldos'!P275+'Sumas y Saldos'!P330+'Sumas y Saldos'!P346+'Sumas y Saldos'!P218+'Sumas y Saldos'!P335+'Sumas y Saldos'!Y35+'Sumas y Saldos'!Y40+'Sumas y Saldos'!Y90+'Sumas y Saldos'!Y105+'Sumas y Saldos'!Y151+'Sumas y Saldos'!Y358+'Sumas y Saldos'!Y227+'Sumas y Saldos'!Y281+'Sumas y Saldos'!Y152+'Sumas y Saldos'!Y186+'Sumas y Saldos'!Y275+'Sumas y Saldos'!Y330+'Sumas y Saldos'!Y346+'Sumas y Saldos'!Y218+'Sumas y Saldos'!Y335+'Sumas y Saldos'!AB35+'Sumas y Saldos'!AB40+'Sumas y Saldos'!AB90+'Sumas y Saldos'!AB105+'Sumas y Saldos'!AB151+'Sumas y Saldos'!AB358+'Sumas y Saldos'!AB227+'Sumas y Saldos'!AB281+'Sumas y Saldos'!AB152+'Sumas y Saldos'!AB186+'Sumas y Saldos'!AB275+'Sumas y Saldos'!AB330+'Sumas y Saldos'!AB346+'Sumas y Saldos'!AB218+'Sumas y Saldos'!AB335+'Sumas y Saldos'!AE35+'Sumas y Saldos'!AE40+'Sumas y Saldos'!AE90+'Sumas y Saldos'!AE105+'Sumas y Saldos'!AE151+'Sumas y Saldos'!AE358+'Sumas y Saldos'!AE227+'Sumas y Saldos'!AE281+'Sumas y Saldos'!AE152+'Sumas y Saldos'!AE186+'Sumas y Saldos'!AE275+'Sumas y Saldos'!AE330+'Sumas y Saldos'!AE346+'Sumas y Saldos'!AE218+'Sumas y Saldos'!AE335+'Sumas y Saldos'!V35+'Sumas y Saldos'!V40+'Sumas y Saldos'!V90+'Sumas y Saldos'!V105+'Sumas y Saldos'!V151+'Sumas y Saldos'!V358+'Sumas y Saldos'!V227+'Sumas y Saldos'!V281+'Sumas y Saldos'!V152+'Sumas y Saldos'!V186+'Sumas y Saldos'!V275+'Sumas y Saldos'!V330+'Sumas y Saldos'!V346+'Sumas y Saldos'!V218+'Sumas y Saldos'!V335+'Sumas y Saldos'!S35+'Sumas y Saldos'!S40+'Sumas y Saldos'!S90+'Sumas y Saldos'!S105+'Sumas y Saldos'!S151+'Sumas y Saldos'!S358+'Sumas y Saldos'!S281+'Sumas y Saldos'!S152+'Sumas y Saldos'!S186+'Sumas y Saldos'!S275+'Sumas y Saldos'!S330+'Sumas y Saldos'!S346+'Sumas y Saldos'!S335+'Sumas y Saldos'!AH35+'Sumas y Saldos'!AH40+'Sumas y Saldos'!AH90+'Sumas y Saldos'!AH105+'Sumas y Saldos'!AH151+'Sumas y Saldos'!AH358+'Sumas y Saldos'!AH227+'Sumas y Saldos'!AH281+'Sumas y Saldos'!AH152+'Sumas y Saldos'!AH186+'Sumas y Saldos'!AH275+'Sumas y Saldos'!AH330+'Sumas y Saldos'!AH346+'Sumas y Saldos'!AH218+'Sumas y Saldos'!AH335+'Sumas y Saldos'!AN35+'Sumas y Saldos'!AN40+'Sumas y Saldos'!AN90+'Sumas y Saldos'!AN105+'Sumas y Saldos'!AN151+'Sumas y Saldos'!AN358+'Sumas y Saldos'!AN227+'Sumas y Saldos'!AN281+'Sumas y Saldos'!AN152+'Sumas y Saldos'!AN186+'Sumas y Saldos'!AN275+'Sumas y Saldos'!AN330+'Sumas y Saldos'!AN346+'Sumas y Saldos'!AN218+'Sumas y Saldos'!AN335+'Sumas y Saldos'!AK35+'Sumas y Saldos'!AK40+'Sumas y Saldos'!AK90+'Sumas y Saldos'!AK105+'Sumas y Saldos'!AK151+'Sumas y Saldos'!AK358+'Sumas y Saldos'!AK227+'Sumas y Saldos'!AK281+'Sumas y Saldos'!AK152+'Sumas y Saldos'!AK186+'Sumas y Saldos'!AK275+'Sumas y Saldos'!AK330+'Sumas y Saldos'!AK346+'Sumas y Saldos'!AK218+'Sumas y Saldos'!AK335+'Sumas y Saldos'!BF227+'Sumas y Saldos'!BF281+'Sumas y Saldos'!BF275+'Sumas y Saldos'!BI227+'Sumas y Saldos'!BI281+'Sumas y Saldos'!BC227+'Sumas y Saldos'!BC281+'Sumas y Saldos'!BC275+'Sumas y Saldos'!BL227+'Sumas y Saldos'!BL281+'Sumas y Saldos'!BL186+'Sumas y Saldos'!BL275+'Sumas y Saldos'!BL330+'Sumas y Saldos'!BL346+'Sumas y Saldos'!BL218+'Sumas y Saldos'!BO227+'Sumas y Saldos'!BO281+'Sumas y Saldos'!BO151+'Sumas y Saldos'!BO152+'Sumas y Saldos'!BO186+'Sumas y Saldos'!BO330+'Sumas y Saldos'!BO346+'Sumas y Saldos'!BO218</f>
      </c>
      <c r="F20" s="101">
        <f>'Sumas y Saldos'!E35+'Sumas y Saldos'!E40+'Sumas y Saldos'!E90+'Sumas y Saldos'!E105+'Sumas y Saldos'!E151+'Sumas y Saldos'!E358+'Sumas y Saldos'!E227+'Sumas y Saldos'!E281+'Sumas y Saldos'!E152+'Sumas y Saldos'!E186+'Sumas y Saldos'!E275+'Sumas y Saldos'!E330+'Sumas y Saldos'!E346+'Sumas y Saldos'!E218+'Sumas y Saldos'!E335</f>
      </c>
      <c r="G20" s="101">
        <f>'Sumas y Saldos'!H35+'Sumas y Saldos'!H40+'Sumas y Saldos'!H90+'Sumas y Saldos'!H105+'Sumas y Saldos'!H151+'Sumas y Saldos'!H358+'Sumas y Saldos'!H227+'Sumas y Saldos'!H281+'Sumas y Saldos'!H152+'Sumas y Saldos'!H186+'Sumas y Saldos'!H275+'Sumas y Saldos'!H330+'Sumas y Saldos'!H346+'Sumas y Saldos'!H218+'Sumas y Saldos'!H335</f>
      </c>
      <c r="H20" s="101">
        <f>'Sumas y Saldos'!K35+'Sumas y Saldos'!K40+'Sumas y Saldos'!K90+'Sumas y Saldos'!K105+'Sumas y Saldos'!K151+'Sumas y Saldos'!K358+'Sumas y Saldos'!K227+'Sumas y Saldos'!K281+'Sumas y Saldos'!K152+'Sumas y Saldos'!K186+'Sumas y Saldos'!K275+'Sumas y Saldos'!K330+'Sumas y Saldos'!K346+'Sumas y Saldos'!K218+'Sumas y Saldos'!K335</f>
      </c>
      <c r="I20" s="101">
        <f>'Sumas y Saldos'!Q35+'Sumas y Saldos'!Q40+'Sumas y Saldos'!Q90+'Sumas y Saldos'!Q105+'Sumas y Saldos'!Q151+'Sumas y Saldos'!Q358+'Sumas y Saldos'!Q227+'Sumas y Saldos'!Q281+'Sumas y Saldos'!Q152+'Sumas y Saldos'!Q186+'Sumas y Saldos'!Q275+'Sumas y Saldos'!Q330+'Sumas y Saldos'!Q346+'Sumas y Saldos'!Q218+'Sumas y Saldos'!Q335</f>
      </c>
      <c r="J20" s="101">
        <f>'Sumas y Saldos'!Z35+'Sumas y Saldos'!Z40+'Sumas y Saldos'!Z90+'Sumas y Saldos'!Z105+'Sumas y Saldos'!Z151+'Sumas y Saldos'!Z358+'Sumas y Saldos'!Z227+'Sumas y Saldos'!Z281+'Sumas y Saldos'!Z152+'Sumas y Saldos'!Z186+'Sumas y Saldos'!Z275+'Sumas y Saldos'!Z330+'Sumas y Saldos'!Z346+'Sumas y Saldos'!Z218+'Sumas y Saldos'!Z335</f>
      </c>
      <c r="K20" s="101">
        <f>'Sumas y Saldos'!AC35+'Sumas y Saldos'!AC40+'Sumas y Saldos'!AC90+'Sumas y Saldos'!AC105+'Sumas y Saldos'!AC151+'Sumas y Saldos'!AC358+'Sumas y Saldos'!AC227+'Sumas y Saldos'!AC281+'Sumas y Saldos'!AC152+'Sumas y Saldos'!AC186+'Sumas y Saldos'!AC275+'Sumas y Saldos'!AC330+'Sumas y Saldos'!AC346+'Sumas y Saldos'!AC218+'Sumas y Saldos'!AC335</f>
      </c>
      <c r="L20" s="101">
        <f>'Sumas y Saldos'!AF35+'Sumas y Saldos'!AF40+'Sumas y Saldos'!AF90+'Sumas y Saldos'!AF105+'Sumas y Saldos'!AF151+'Sumas y Saldos'!AF358+'Sumas y Saldos'!AF227+'Sumas y Saldos'!AF281+'Sumas y Saldos'!AF152+'Sumas y Saldos'!AF186+'Sumas y Saldos'!AF275+'Sumas y Saldos'!AF330+'Sumas y Saldos'!AF346+'Sumas y Saldos'!AF218+'Sumas y Saldos'!AF335</f>
      </c>
      <c r="M20" s="101">
        <f>'Sumas y Saldos'!W35+'Sumas y Saldos'!W40+'Sumas y Saldos'!W90+'Sumas y Saldos'!W105+'Sumas y Saldos'!W151+'Sumas y Saldos'!W358+'Sumas y Saldos'!W227+'Sumas y Saldos'!W281+'Sumas y Saldos'!W152+'Sumas y Saldos'!W186+'Sumas y Saldos'!W275+'Sumas y Saldos'!W330+'Sumas y Saldos'!W346+'Sumas y Saldos'!W218+'Sumas y Saldos'!W335</f>
      </c>
      <c r="N20" s="101">
        <f>'Sumas y Saldos'!T35+'Sumas y Saldos'!T40+'Sumas y Saldos'!T90+'Sumas y Saldos'!T105+'Sumas y Saldos'!T151+'Sumas y Saldos'!T358+'Sumas y Saldos'!T227+'Sumas y Saldos'!T281+'Sumas y Saldos'!T152+'Sumas y Saldos'!T186+'Sumas y Saldos'!T275+'Sumas y Saldos'!T330+'Sumas y Saldos'!T346+'Sumas y Saldos'!T218+'Sumas y Saldos'!T335</f>
      </c>
      <c r="O20" s="101">
        <f>'Sumas y Saldos'!AI35+'Sumas y Saldos'!AI40+'Sumas y Saldos'!AI90+'Sumas y Saldos'!AI105+'Sumas y Saldos'!AI151+'Sumas y Saldos'!AI358+'Sumas y Saldos'!AI227+'Sumas y Saldos'!AI281+'Sumas y Saldos'!AI152+'Sumas y Saldos'!AI186+'Sumas y Saldos'!AI275+'Sumas y Saldos'!AI330+'Sumas y Saldos'!AI346+'Sumas y Saldos'!AI218+'Sumas y Saldos'!AI335</f>
      </c>
      <c r="P20" s="101">
        <f>'Sumas y Saldos'!AO35+'Sumas y Saldos'!AO40+'Sumas y Saldos'!AO90+'Sumas y Saldos'!AO105+'Sumas y Saldos'!AO151+'Sumas y Saldos'!AO358+'Sumas y Saldos'!AO227+'Sumas y Saldos'!AO281+'Sumas y Saldos'!AO152+'Sumas y Saldos'!AO186+'Sumas y Saldos'!AO275+'Sumas y Saldos'!AO330+'Sumas y Saldos'!AO346+'Sumas y Saldos'!AO218+'Sumas y Saldos'!AO335</f>
      </c>
      <c r="Q20" s="101">
        <f>'Sumas y Saldos'!AL35+'Sumas y Saldos'!AL40+'Sumas y Saldos'!AL90+'Sumas y Saldos'!AL105+'Sumas y Saldos'!AL151+'Sumas y Saldos'!AL358+'Sumas y Saldos'!AL227+'Sumas y Saldos'!AL281+'Sumas y Saldos'!AL152+'Sumas y Saldos'!AL186+'Sumas y Saldos'!AL275+'Sumas y Saldos'!AL330+'Sumas y Saldos'!AL346+'Sumas y Saldos'!AL218+'Sumas y Saldos'!AL335</f>
      </c>
      <c r="R20" s="101">
        <f>+'Sumas y Saldos'!BE227+'Sumas y Saldos'!BE281+'Sumas y Saldos'!BE275</f>
      </c>
      <c r="S20" s="101">
        <f>+'Sumas y Saldos'!BF227+'Sumas y Saldos'!BF281</f>
      </c>
      <c r="T20" s="101">
        <f>'Sumas y Saldos'!BD227+'Sumas y Saldos'!BD281+'Sumas y Saldos'!BD275</f>
      </c>
      <c r="U20" s="101">
        <f>'Sumas y Saldos'!BM227+'Sumas y Saldos'!BM281+'Sumas y Saldos'!BM186+'Sumas y Saldos'!BM275+'Sumas y Saldos'!BM330+'Sumas y Saldos'!BM346+'Sumas y Saldos'!BM218</f>
      </c>
      <c r="V20" s="101">
        <f>'Sumas y Saldos'!BN227+'Sumas y Saldos'!BP281+'Sumas y Saldos'!BP151+'Sumas y Saldos'!BP152+'Sumas y Saldos'!BP186+'Sumas y Saldos'!BP330+'Sumas y Saldos'!BP346+'Sumas y Saldos'!BP218</f>
      </c>
      <c r="W20" s="101"/>
      <c r="X20" s="101"/>
      <c r="Y20" s="101"/>
      <c r="Z20" s="101"/>
      <c r="AA20" s="101"/>
      <c r="AB20" s="101"/>
      <c r="AC20" s="101">
        <v>10178.220000000001</v>
      </c>
      <c r="AD20" s="101">
        <v>1955.8000000000002</v>
      </c>
      <c r="AE20" s="101">
        <v>959.86</v>
      </c>
      <c r="AF20" s="101">
        <v>5943.76</v>
      </c>
      <c r="AG20" s="101">
        <v>64.57</v>
      </c>
      <c r="AH20" s="101">
        <v>618.82</v>
      </c>
      <c r="AI20" s="104">
        <f>SUM(W20:AH20)</f>
        <v>19721.03</v>
      </c>
      <c r="AJ20" s="76"/>
      <c r="AK20" s="105"/>
    </row>
    <row r="21" ht="12.75" customHeight="1" spans="1:37" x14ac:dyDescent="0.25">
      <c r="A21" s="76"/>
      <c r="B21" s="76"/>
      <c r="C21" s="98" t="s">
        <v>63</v>
      </c>
      <c r="D21" s="99">
        <f>SUM(F21:V21)+E21</f>
        <v>490.88</v>
      </c>
      <c r="E21" s="99">
        <f>+'Sumas y Saldos'!D26+'Sumas y Saldos'!D284+'Sumas y Saldos'!D223+'Sumas y Saldos'!D190+'Sumas y Saldos'!D318+'Sumas y Saldos'!D166+'Sumas y Saldos'!G26+'Sumas y Saldos'!G284+'Sumas y Saldos'!G223+'Sumas y Saldos'!G190+'Sumas y Saldos'!G318+'Sumas y Saldos'!G166+'Sumas y Saldos'!J26+'Sumas y Saldos'!J284+'Sumas y Saldos'!J223+'Sumas y Saldos'!J190+'Sumas y Saldos'!J318+'Sumas y Saldos'!J166+'Sumas y Saldos'!P26+'Sumas y Saldos'!P284+'Sumas y Saldos'!P223+'Sumas y Saldos'!P190+'Sumas y Saldos'!P318+'Sumas y Saldos'!P166+'Sumas y Saldos'!Y26+'Sumas y Saldos'!Y284+'Sumas y Saldos'!Y223+'Sumas y Saldos'!Y190+'Sumas y Saldos'!Y318+'Sumas y Saldos'!Y166+'Sumas y Saldos'!AB26+'Sumas y Saldos'!AB284+'Sumas y Saldos'!AB223+'Sumas y Saldos'!AB190+'Sumas y Saldos'!AB318+'Sumas y Saldos'!AB166+'Sumas y Saldos'!AE26+'Sumas y Saldos'!AE284+'Sumas y Saldos'!AE223+'Sumas y Saldos'!AE190+'Sumas y Saldos'!AE318+'Sumas y Saldos'!AE166+'Sumas y Saldos'!V26+'Sumas y Saldos'!V284+'Sumas y Saldos'!V223+'Sumas y Saldos'!V190+'Sumas y Saldos'!V318+'Sumas y Saldos'!V166+'Sumas y Saldos'!S26+'Sumas y Saldos'!S284+'Sumas y Saldos'!S223+'Sumas y Saldos'!S190+'Sumas y Saldos'!S318+'Sumas y Saldos'!S166+'Sumas y Saldos'!AH26+'Sumas y Saldos'!AH284+'Sumas y Saldos'!AH223+'Sumas y Saldos'!AH190+'Sumas y Saldos'!AH318+'Sumas y Saldos'!AH166+'Sumas y Saldos'!AN26+'Sumas y Saldos'!AN284+'Sumas y Saldos'!AN223+'Sumas y Saldos'!AN190+'Sumas y Saldos'!AN318+'Sumas y Saldos'!AN166+'Sumas y Saldos'!AK26+'Sumas y Saldos'!AK284+'Sumas y Saldos'!AK223+'Sumas y Saldos'!AK190+'Sumas y Saldos'!AK318+'Sumas y Saldos'!AK166+'Sumas y Saldos'!BC284+'Sumas y Saldos'!BC223+'Sumas y Saldos'!BL284+'Sumas y Saldos'!BL223+'Sumas y Saldos'!BL318+'Sumas y Saldos'!BO284+'Sumas y Saldos'!BO223+'Sumas y Saldos'!BO190+'Sumas y Saldos'!BO318</f>
      </c>
      <c r="F21" s="101">
        <f>'Sumas y Saldos'!E26+'Sumas y Saldos'!E284+'Sumas y Saldos'!E223+'Sumas y Saldos'!E190+'Sumas y Saldos'!E318+'Sumas y Saldos'!E166</f>
      </c>
      <c r="G21" s="101">
        <f>'Sumas y Saldos'!H26+'Sumas y Saldos'!H284+'Sumas y Saldos'!H223+'Sumas y Saldos'!H190+'Sumas y Saldos'!H318+'Sumas y Saldos'!H166</f>
      </c>
      <c r="H21" s="101">
        <f>'Sumas y Saldos'!K26+'Sumas y Saldos'!K284+'Sumas y Saldos'!K223+'Sumas y Saldos'!K190+'Sumas y Saldos'!K318+'Sumas y Saldos'!K166</f>
      </c>
      <c r="I21" s="101">
        <f>'Sumas y Saldos'!Q26+'Sumas y Saldos'!Q284+'Sumas y Saldos'!Q223+'Sumas y Saldos'!Q190+'Sumas y Saldos'!Q318+'Sumas y Saldos'!Q166</f>
      </c>
      <c r="J21" s="101">
        <f>'Sumas y Saldos'!Z26+'Sumas y Saldos'!Z284+'Sumas y Saldos'!Z223+'Sumas y Saldos'!Z190+'Sumas y Saldos'!Z318+'Sumas y Saldos'!Z166</f>
      </c>
      <c r="K21" s="101">
        <f>'Sumas y Saldos'!AC26+'Sumas y Saldos'!AC284+'Sumas y Saldos'!AC223+'Sumas y Saldos'!AC190+'Sumas y Saldos'!AC318+'Sumas y Saldos'!AC166</f>
      </c>
      <c r="L21" s="101">
        <f>'Sumas y Saldos'!AF26+'Sumas y Saldos'!AF284+'Sumas y Saldos'!AF223+'Sumas y Saldos'!AF190+'Sumas y Saldos'!AF318+'Sumas y Saldos'!AF166</f>
      </c>
      <c r="M21" s="101">
        <f>'Sumas y Saldos'!W26+'Sumas y Saldos'!W284+'Sumas y Saldos'!W223+'Sumas y Saldos'!W190+'Sumas y Saldos'!W318+'Sumas y Saldos'!W166</f>
      </c>
      <c r="N21" s="101">
        <f>'Sumas y Saldos'!T26+'Sumas y Saldos'!T284+'Sumas y Saldos'!T223+'Sumas y Saldos'!T190+'Sumas y Saldos'!T318+'Sumas y Saldos'!T166</f>
      </c>
      <c r="O21" s="101">
        <f>'Sumas y Saldos'!AI26+'Sumas y Saldos'!AI284+'Sumas y Saldos'!AI223+'Sumas y Saldos'!AI190+'Sumas y Saldos'!AI318+'Sumas y Saldos'!AI166</f>
      </c>
      <c r="P21" s="101">
        <f>'Sumas y Saldos'!AO26+'Sumas y Saldos'!AO284+'Sumas y Saldos'!AO223+'Sumas y Saldos'!AO190+'Sumas y Saldos'!AO318+'Sumas y Saldos'!AO166</f>
      </c>
      <c r="Q21" s="101">
        <f>'Sumas y Saldos'!AL26+'Sumas y Saldos'!AL284+'Sumas y Saldos'!AL223+'Sumas y Saldos'!AL190+'Sumas y Saldos'!AL318+'Sumas y Saldos'!AL166</f>
      </c>
      <c r="R21" s="101">
        <v>0</v>
      </c>
      <c r="S21" s="101">
        <v>0</v>
      </c>
      <c r="T21" s="101">
        <f>'Sumas y Saldos'!BD284+'Sumas y Saldos'!BD223</f>
      </c>
      <c r="U21" s="101">
        <f>'Sumas y Saldos'!BM284+'Sumas y Saldos'!BM223+'Sumas y Saldos'!BM318</f>
      </c>
      <c r="V21" s="101">
        <f>'Sumas y Saldos'!BN284+'Sumas y Saldos'!BP223+'Sumas y Saldos'!BP190+'Sumas y Saldos'!BP318</f>
      </c>
      <c r="W21" s="101"/>
      <c r="X21" s="101"/>
      <c r="Y21" s="101"/>
      <c r="Z21" s="101"/>
      <c r="AA21" s="101"/>
      <c r="AB21" s="101"/>
      <c r="AC21" s="101">
        <v>490.88</v>
      </c>
      <c r="AD21" s="101">
        <v>608.97</v>
      </c>
      <c r="AE21" s="101">
        <v>401.72</v>
      </c>
      <c r="AF21" s="101">
        <v>739.17</v>
      </c>
      <c r="AG21" s="101">
        <v>0</v>
      </c>
      <c r="AH21" s="101">
        <v>0</v>
      </c>
      <c r="AI21" s="104">
        <f>SUM(W21:AH21)</f>
        <v>2240.74</v>
      </c>
      <c r="AJ21" s="76"/>
      <c r="AK21" s="105"/>
    </row>
    <row r="22" ht="12.75" customHeight="1" spans="1:37" x14ac:dyDescent="0.25">
      <c r="A22" s="76"/>
      <c r="B22" s="76"/>
      <c r="C22" s="98" t="s">
        <v>505</v>
      </c>
      <c r="D22" s="99">
        <f>SUM(F22:V22)+E22</f>
      </c>
      <c r="E22" s="99">
        <f>'Sumas y Saldos'!S260+'Sumas y Saldos'!D27+'Sumas y Saldos'!D156+'Sumas y Saldos'!D260+'Sumas y Saldos'!D389+'Sumas y Saldos'!G27+'Sumas y Saldos'!G156+'Sumas y Saldos'!G260+'Sumas y Saldos'!G389+'Sumas y Saldos'!J27+'Sumas y Saldos'!J156+'Sumas y Saldos'!J260+'Sumas y Saldos'!J389+'Sumas y Saldos'!P27+'Sumas y Saldos'!P156+'Sumas y Saldos'!P260+'Sumas y Saldos'!P389+'Sumas y Saldos'!Y27+'Sumas y Saldos'!Y156+'Sumas y Saldos'!Y260+'Sumas y Saldos'!Y389+'Sumas y Saldos'!AB27+'Sumas y Saldos'!AB156+'Sumas y Saldos'!AB260+'Sumas y Saldos'!AB389+'Sumas y Saldos'!AE27+'Sumas y Saldos'!AE156+'Sumas y Saldos'!AE260+'Sumas y Saldos'!AE389+'Sumas y Saldos'!V27+'Sumas y Saldos'!V156+'Sumas y Saldos'!V260+'Sumas y Saldos'!V389+'Sumas y Saldos'!S27+'Sumas y Saldos'!S156+'Sumas y Saldos'!S389+'Sumas y Saldos'!AH27+'Sumas y Saldos'!AH156+'Sumas y Saldos'!AH260+'Sumas y Saldos'!AH389+'Sumas y Saldos'!AN27+'Sumas y Saldos'!AN156+'Sumas y Saldos'!AN260+'Sumas y Saldos'!AN389+'Sumas y Saldos'!AK27+'Sumas y Saldos'!AK156+'Sumas y Saldos'!AK260+'Sumas y Saldos'!AK389+'Sumas y Saldos'!BC260+'Sumas y Saldos'!BO156</f>
      </c>
      <c r="F22" s="101">
        <f>'Sumas y Saldos'!E27+'Sumas y Saldos'!E156+'Sumas y Saldos'!E260+'Sumas y Saldos'!E389</f>
      </c>
      <c r="G22" s="101">
        <f>'Sumas y Saldos'!H27+'Sumas y Saldos'!H156+'Sumas y Saldos'!H260+'Sumas y Saldos'!H389</f>
      </c>
      <c r="H22" s="101">
        <f>'Sumas y Saldos'!K27+'Sumas y Saldos'!K156+'Sumas y Saldos'!K260+'Sumas y Saldos'!K389</f>
      </c>
      <c r="I22" s="101">
        <f>'Sumas y Saldos'!Q27+'Sumas y Saldos'!Q156+'Sumas y Saldos'!Q260+'Sumas y Saldos'!Q389</f>
      </c>
      <c r="J22" s="101">
        <f>'Sumas y Saldos'!Z27+'Sumas y Saldos'!Z156+'Sumas y Saldos'!Z260+'Sumas y Saldos'!Z389</f>
      </c>
      <c r="K22" s="101">
        <f>'Sumas y Saldos'!AC27+'Sumas y Saldos'!AC156+'Sumas y Saldos'!AC260+'Sumas y Saldos'!AC389</f>
      </c>
      <c r="L22" s="101">
        <f>'Sumas y Saldos'!AF27+'Sumas y Saldos'!AF156+'Sumas y Saldos'!AF260+'Sumas y Saldos'!AF389</f>
      </c>
      <c r="M22" s="101">
        <f>'Sumas y Saldos'!W27+'Sumas y Saldos'!W156+'Sumas y Saldos'!W260+'Sumas y Saldos'!W389</f>
      </c>
      <c r="N22" s="101">
        <f>'Sumas y Saldos'!T27+'Sumas y Saldos'!T156+'Sumas y Saldos'!T260+'Sumas y Saldos'!T389</f>
      </c>
      <c r="O22" s="101">
        <f>'Sumas y Saldos'!AI27+'Sumas y Saldos'!AI156+'Sumas y Saldos'!AI260+'Sumas y Saldos'!AI389</f>
      </c>
      <c r="P22" s="101">
        <f>'Sumas y Saldos'!AO27+'Sumas y Saldos'!AO156+'Sumas y Saldos'!AO260+'Sumas y Saldos'!AO389</f>
      </c>
      <c r="Q22" s="101">
        <f>'Sumas y Saldos'!AL27+'Sumas y Saldos'!AL156+'Sumas y Saldos'!AL260+'Sumas y Saldos'!AL389</f>
      </c>
      <c r="R22" s="101"/>
      <c r="S22" s="101"/>
      <c r="T22" s="101">
        <f>+'Sumas y Saldos'!BD260</f>
      </c>
      <c r="U22" s="101"/>
      <c r="V22" s="101">
        <f>+'Sumas y Saldos'!BP156</f>
      </c>
      <c r="W22" s="101"/>
      <c r="X22" s="101"/>
      <c r="Y22" s="101"/>
      <c r="Z22" s="101"/>
      <c r="AA22" s="101"/>
      <c r="AB22" s="101"/>
      <c r="AC22" s="101">
        <v>0</v>
      </c>
      <c r="AD22" s="101">
        <v>0</v>
      </c>
      <c r="AE22" s="101">
        <v>0</v>
      </c>
      <c r="AF22" s="101">
        <v>0</v>
      </c>
      <c r="AG22" s="101">
        <v>0</v>
      </c>
      <c r="AH22" s="101">
        <v>0</v>
      </c>
      <c r="AI22" s="104">
        <f>SUM(W22:AH22)</f>
      </c>
      <c r="AJ22" s="76"/>
      <c r="AK22" s="105"/>
    </row>
    <row r="23" ht="12.75" customHeight="1" spans="1:37" x14ac:dyDescent="0.25">
      <c r="A23" s="76" t="s">
        <v>506</v>
      </c>
      <c r="B23" s="76">
        <v>9600000062</v>
      </c>
      <c r="C23" s="98" t="s">
        <v>145</v>
      </c>
      <c r="D23" s="99">
        <f>SUM(F23:V23)+E23</f>
        <v>541.29</v>
      </c>
      <c r="E23" s="99">
        <f>+'Sumas y Saldos'!D108+'Sumas y Saldos'!D294+'Sumas y Saldos'!D295+'Sumas y Saldos'!D224+'Sumas y Saldos'!D167+'Sumas y Saldos'!D329+'Sumas y Saldos'!D196+'Sumas y Saldos'!D351+'Sumas y Saldos'!D382+'Sumas y Saldos'!G108+'Sumas y Saldos'!G294+'Sumas y Saldos'!G295+'Sumas y Saldos'!G224+'Sumas y Saldos'!G167+'Sumas y Saldos'!G329+'Sumas y Saldos'!G196+'Sumas y Saldos'!G351+'Sumas y Saldos'!G382+'Sumas y Saldos'!J108+'Sumas y Saldos'!J294+'Sumas y Saldos'!J295+'Sumas y Saldos'!J224+'Sumas y Saldos'!J167+'Sumas y Saldos'!J329+'Sumas y Saldos'!J196+'Sumas y Saldos'!J351+'Sumas y Saldos'!J382+'Sumas y Saldos'!P108+'Sumas y Saldos'!P294+'Sumas y Saldos'!P295+'Sumas y Saldos'!P224+'Sumas y Saldos'!P167+'Sumas y Saldos'!P329+'Sumas y Saldos'!P196+'Sumas y Saldos'!P351+'Sumas y Saldos'!P382+'Sumas y Saldos'!Y108+'Sumas y Saldos'!Y294+'Sumas y Saldos'!Y295+'Sumas y Saldos'!Y224+'Sumas y Saldos'!Y167+'Sumas y Saldos'!Y329+'Sumas y Saldos'!Y196+'Sumas y Saldos'!Y351+'Sumas y Saldos'!Y382+'Sumas y Saldos'!AB108+'Sumas y Saldos'!AB294+'Sumas y Saldos'!AB295+'Sumas y Saldos'!AB224+'Sumas y Saldos'!AB167+'Sumas y Saldos'!AB329+'Sumas y Saldos'!AB196+'Sumas y Saldos'!AB351+'Sumas y Saldos'!AB382+'Sumas y Saldos'!AE108+'Sumas y Saldos'!AE294+'Sumas y Saldos'!AE295+'Sumas y Saldos'!AE224+'Sumas y Saldos'!AE167+'Sumas y Saldos'!AE329+'Sumas y Saldos'!AE196+'Sumas y Saldos'!AE351+'Sumas y Saldos'!AE382+'Sumas y Saldos'!V108+'Sumas y Saldos'!V294+'Sumas y Saldos'!V295+'Sumas y Saldos'!V224+'Sumas y Saldos'!V167+'Sumas y Saldos'!V329+'Sumas y Saldos'!V196+'Sumas y Saldos'!V351+'Sumas y Saldos'!V382+'Sumas y Saldos'!S108+'Sumas y Saldos'!S294+'Sumas y Saldos'!S295+'Sumas y Saldos'!S224+'Sumas y Saldos'!S167+'Sumas y Saldos'!S329+'Sumas y Saldos'!S196+'Sumas y Saldos'!S351+'Sumas y Saldos'!S382+'Sumas y Saldos'!AH108+'Sumas y Saldos'!AH294+'Sumas y Saldos'!AH295+'Sumas y Saldos'!AH224+'Sumas y Saldos'!AH167+'Sumas y Saldos'!AH329+'Sumas y Saldos'!AH196+'Sumas y Saldos'!AH351+'Sumas y Saldos'!AH382+'Sumas y Saldos'!AN108+'Sumas y Saldos'!AN294+'Sumas y Saldos'!AN295+'Sumas y Saldos'!AN224+'Sumas y Saldos'!AN167+'Sumas y Saldos'!AN329+'Sumas y Saldos'!AN196+'Sumas y Saldos'!AN351+'Sumas y Saldos'!AN382+'Sumas y Saldos'!AK108+'Sumas y Saldos'!AK294+'Sumas y Saldos'!AK295+'Sumas y Saldos'!AK224+'Sumas y Saldos'!AK167+'Sumas y Saldos'!AK329+'Sumas y Saldos'!AK196+'Sumas y Saldos'!AK351+'Sumas y Saldos'!AK382+'Sumas y Saldos'!BC295+'Sumas y Saldos'!BC294+'Sumas y Saldos'!BC224+'Sumas y Saldos'!BL295+'Sumas y Saldos'!BL294+'Sumas y Saldos'!BL329+'Sumas y Saldos'!BO295+'Sumas y Saldos'!BO167+'Sumas y Saldos'!BO196</f>
      </c>
      <c r="F23" s="101">
        <f>'Sumas y Saldos'!E108+'Sumas y Saldos'!E294+'Sumas y Saldos'!E295+'Sumas y Saldos'!E224+'Sumas y Saldos'!E167+'Sumas y Saldos'!E329+'Sumas y Saldos'!E196+'Sumas y Saldos'!E351+'Sumas y Saldos'!E382</f>
      </c>
      <c r="G23" s="101">
        <f>'Sumas y Saldos'!H108+'Sumas y Saldos'!H294+'Sumas y Saldos'!H295+'Sumas y Saldos'!H224+'Sumas y Saldos'!H167+'Sumas y Saldos'!H329+'Sumas y Saldos'!H196+'Sumas y Saldos'!H351+'Sumas y Saldos'!H382</f>
      </c>
      <c r="H23" s="101">
        <f>'Sumas y Saldos'!K108+'Sumas y Saldos'!K294+'Sumas y Saldos'!K295+'Sumas y Saldos'!K224+'Sumas y Saldos'!K167+'Sumas y Saldos'!K329+'Sumas y Saldos'!K196+'Sumas y Saldos'!K351+'Sumas y Saldos'!K382</f>
      </c>
      <c r="I23" s="101">
        <f>'Sumas y Saldos'!Q108+'Sumas y Saldos'!Q294+'Sumas y Saldos'!Q295+'Sumas y Saldos'!Q224+'Sumas y Saldos'!Q167+'Sumas y Saldos'!Q329+'Sumas y Saldos'!Q196+'Sumas y Saldos'!Q351+'Sumas y Saldos'!Q382</f>
      </c>
      <c r="J23" s="101">
        <f>'Sumas y Saldos'!Z108+'Sumas y Saldos'!Z294+'Sumas y Saldos'!Z295+'Sumas y Saldos'!Z224+'Sumas y Saldos'!Z167+'Sumas y Saldos'!Z329+'Sumas y Saldos'!Z196+'Sumas y Saldos'!Z351+'Sumas y Saldos'!Z382</f>
      </c>
      <c r="K23" s="101">
        <f>'Sumas y Saldos'!AC108+'Sumas y Saldos'!AC294+'Sumas y Saldos'!AC295+'Sumas y Saldos'!AC224+'Sumas y Saldos'!AC167+'Sumas y Saldos'!AC329+'Sumas y Saldos'!AC196+'Sumas y Saldos'!AC351+'Sumas y Saldos'!AC382</f>
      </c>
      <c r="L23" s="101">
        <f>'Sumas y Saldos'!AF108+'Sumas y Saldos'!AF294+'Sumas y Saldos'!AF295+'Sumas y Saldos'!AF224+'Sumas y Saldos'!AF167+'Sumas y Saldos'!AF329+'Sumas y Saldos'!AF196+'Sumas y Saldos'!AF351+'Sumas y Saldos'!AF382</f>
      </c>
      <c r="M23" s="101">
        <f>'Sumas y Saldos'!W108+'Sumas y Saldos'!W294+'Sumas y Saldos'!W295+'Sumas y Saldos'!W224+'Sumas y Saldos'!W167+'Sumas y Saldos'!W329+'Sumas y Saldos'!W196+'Sumas y Saldos'!W351+'Sumas y Saldos'!W382</f>
      </c>
      <c r="N23" s="101">
        <f>'Sumas y Saldos'!T108+'Sumas y Saldos'!T294+'Sumas y Saldos'!T295+'Sumas y Saldos'!T224+'Sumas y Saldos'!T167+'Sumas y Saldos'!T329+'Sumas y Saldos'!T196+'Sumas y Saldos'!T351+'Sumas y Saldos'!T382</f>
      </c>
      <c r="O23" s="101">
        <f>'Sumas y Saldos'!AI108+'Sumas y Saldos'!AI294+'Sumas y Saldos'!AI295+'Sumas y Saldos'!AI224+'Sumas y Saldos'!AI167+'Sumas y Saldos'!AI329+'Sumas y Saldos'!AI196+'Sumas y Saldos'!AI351+'Sumas y Saldos'!AI382</f>
      </c>
      <c r="P23" s="101">
        <f>'Sumas y Saldos'!AO108+'Sumas y Saldos'!AO294+'Sumas y Saldos'!AO295+'Sumas y Saldos'!AO224+'Sumas y Saldos'!AO167+'Sumas y Saldos'!AO329+'Sumas y Saldos'!AO196+'Sumas y Saldos'!AO351+'Sumas y Saldos'!AO382</f>
      </c>
      <c r="Q23" s="101">
        <f>'Sumas y Saldos'!AL108+'Sumas y Saldos'!AL294+'Sumas y Saldos'!AL295+'Sumas y Saldos'!AL224+'Sumas y Saldos'!AL167+'Sumas y Saldos'!AL329+'Sumas y Saldos'!AL196+'Sumas y Saldos'!AL351+'Sumas y Saldos'!AL382</f>
      </c>
      <c r="R23" s="101">
        <v>0</v>
      </c>
      <c r="S23" s="101">
        <v>0</v>
      </c>
      <c r="T23" s="101">
        <f>'Sumas y Saldos'!BD295+'Sumas y Saldos'!BD294+'Sumas y Saldos'!BD224</f>
      </c>
      <c r="U23" s="101">
        <f>'Sumas y Saldos'!BM295+'Sumas y Saldos'!BK294+'Sumas y Saldos'!BM329</f>
      </c>
      <c r="V23" s="101">
        <f>'Sumas y Saldos'!BP295+'Sumas y Saldos'!BP167+'Sumas y Saldos'!BP196</f>
      </c>
      <c r="W23" s="101"/>
      <c r="X23" s="101"/>
      <c r="Y23" s="101"/>
      <c r="Z23" s="101"/>
      <c r="AA23" s="101"/>
      <c r="AB23" s="101"/>
      <c r="AC23" s="101">
        <v>541.29</v>
      </c>
      <c r="AD23" s="101">
        <v>5085.540000000001</v>
      </c>
      <c r="AE23" s="101">
        <v>2631.84</v>
      </c>
      <c r="AF23" s="101">
        <v>382.87</v>
      </c>
      <c r="AG23" s="101">
        <v>2488.36</v>
      </c>
      <c r="AH23" s="101">
        <v>289.18</v>
      </c>
      <c r="AI23" s="104">
        <f>SUM(W23:AH23)</f>
        <v>11419.080000000004</v>
      </c>
      <c r="AJ23" s="76"/>
      <c r="AK23" s="105"/>
    </row>
    <row r="24" ht="12.75" customHeight="1" spans="1:37" x14ac:dyDescent="0.25">
      <c r="A24" s="76" t="s">
        <v>507</v>
      </c>
      <c r="B24" s="76">
        <v>9600000062</v>
      </c>
      <c r="C24" s="98" t="s">
        <v>508</v>
      </c>
      <c r="D24" s="99">
        <f>SUM(F24:V24)+E24</f>
      </c>
      <c r="E24" s="99">
        <f>'Sumas y Saldos'!S214+'Sumas y Saldos'!D154+'Sumas y Saldos'!D307+'Sumas y Saldos'!D214+'Sumas y Saldos'!D180+'Sumas y Saldos'!G307+'Sumas y Saldos'!G214+'Sumas y Saldos'!G154+'Sumas y Saldos'!G180+'Sumas y Saldos'!J307+'Sumas y Saldos'!J214+'Sumas y Saldos'!J154+'Sumas y Saldos'!J180+'Sumas y Saldos'!P307+'Sumas y Saldos'!P214+'Sumas y Saldos'!P154+'Sumas y Saldos'!P180+'Sumas y Saldos'!Y307+'Sumas y Saldos'!Y214+'Sumas y Saldos'!Y154+'Sumas y Saldos'!Y180+'Sumas y Saldos'!AB307+'Sumas y Saldos'!AB214+'Sumas y Saldos'!AB154+'Sumas y Saldos'!AB180+'Sumas y Saldos'!AE307+'Sumas y Saldos'!AE214+'Sumas y Saldos'!AE154+'Sumas y Saldos'!AE180+'Sumas y Saldos'!V307+'Sumas y Saldos'!V214+'Sumas y Saldos'!V154+'Sumas y Saldos'!V180+'Sumas y Saldos'!S307+'Sumas y Saldos'!S154+'Sumas y Saldos'!S180+'Sumas y Saldos'!AH307+'Sumas y Saldos'!AH214+'Sumas y Saldos'!AH154+'Sumas y Saldos'!AH180+'Sumas y Saldos'!AN307+'Sumas y Saldos'!AN214+'Sumas y Saldos'!AN154+'Sumas y Saldos'!AN180+'Sumas y Saldos'!AK307+'Sumas y Saldos'!AK214+'Sumas y Saldos'!AK154+'Sumas y Saldos'!AK180+'Sumas y Saldos'!BL307+'Sumas y Saldos'!BO307+'Sumas y Saldos'!BO180</f>
      </c>
      <c r="F24" s="101">
        <f>'Sumas y Saldos'!E307+'Sumas y Saldos'!E214+'Sumas y Saldos'!E154+'Sumas y Saldos'!E180</f>
      </c>
      <c r="G24" s="101">
        <f>'Sumas y Saldos'!H307+'Sumas y Saldos'!H214+'Sumas y Saldos'!H154+'Sumas y Saldos'!H180</f>
      </c>
      <c r="H24" s="101">
        <f>'Sumas y Saldos'!K307+'Sumas y Saldos'!K214+'Sumas y Saldos'!K154+'Sumas y Saldos'!K180</f>
      </c>
      <c r="I24" s="101">
        <f>'Sumas y Saldos'!Q307+'Sumas y Saldos'!Q214+'Sumas y Saldos'!Q154+'Sumas y Saldos'!Q180</f>
      </c>
      <c r="J24" s="101">
        <f>'Sumas y Saldos'!Z307+'Sumas y Saldos'!Z214+'Sumas y Saldos'!Z154+'Sumas y Saldos'!Z180</f>
      </c>
      <c r="K24" s="101">
        <f>'Sumas y Saldos'!AC307+'Sumas y Saldos'!AC214+'Sumas y Saldos'!AC154+'Sumas y Saldos'!AC180</f>
      </c>
      <c r="L24" s="101">
        <f>'Sumas y Saldos'!AF307+'Sumas y Saldos'!AF214+'Sumas y Saldos'!AF154+'Sumas y Saldos'!AF180</f>
      </c>
      <c r="M24" s="101">
        <f>'Sumas y Saldos'!W307+'Sumas y Saldos'!W214+'Sumas y Saldos'!W154+'Sumas y Saldos'!W180</f>
      </c>
      <c r="N24" s="101">
        <f>'Sumas y Saldos'!T307+'Sumas y Saldos'!T214+'Sumas y Saldos'!T154+'Sumas y Saldos'!T180</f>
      </c>
      <c r="O24" s="101">
        <f>'Sumas y Saldos'!AI307+'Sumas y Saldos'!AI214+'Sumas y Saldos'!AI154+'Sumas y Saldos'!AI180</f>
      </c>
      <c r="P24" s="101">
        <f>'Sumas y Saldos'!AO307+'Sumas y Saldos'!AO214+'Sumas y Saldos'!AO154+'Sumas y Saldos'!AO180</f>
      </c>
      <c r="Q24" s="101">
        <f>'Sumas y Saldos'!AL307+'Sumas y Saldos'!AL214+'Sumas y Saldos'!AL154+'Sumas y Saldos'!AL180</f>
      </c>
      <c r="R24" s="101"/>
      <c r="S24" s="101"/>
      <c r="T24" s="101">
        <v>0</v>
      </c>
      <c r="U24" s="101">
        <f>'Sumas y Saldos'!BK307</f>
      </c>
      <c r="V24" s="101">
        <f>+'Sumas y Saldos'!BP307+'Sumas y Saldos'!BP180</f>
      </c>
      <c r="W24" s="101"/>
      <c r="X24" s="101"/>
      <c r="Y24" s="101"/>
      <c r="Z24" s="101"/>
      <c r="AA24" s="101"/>
      <c r="AB24" s="101"/>
      <c r="AC24" s="101">
        <v>0</v>
      </c>
      <c r="AD24" s="101">
        <v>0</v>
      </c>
      <c r="AE24" s="101">
        <v>254.32</v>
      </c>
      <c r="AF24" s="101">
        <v>10959.78</v>
      </c>
      <c r="AG24" s="101">
        <v>46.91</v>
      </c>
      <c r="AH24" s="101">
        <v>368.07</v>
      </c>
      <c r="AI24" s="104">
        <f>SUM(W24:AH24)</f>
        <v>11629.08</v>
      </c>
      <c r="AJ24" s="76"/>
      <c r="AK24" s="105"/>
    </row>
    <row r="25" ht="12.75" customHeight="1" spans="1:37" x14ac:dyDescent="0.25">
      <c r="A25" s="76" t="s">
        <v>509</v>
      </c>
      <c r="B25" s="76">
        <v>9600000062</v>
      </c>
      <c r="C25" s="98" t="s">
        <v>510</v>
      </c>
      <c r="D25" s="99">
        <f>SUM(F25:V25)+E25</f>
        <v>1697.79</v>
      </c>
      <c r="E25" s="99">
        <f>+'Sumas y Saldos'!BL269+'Sumas y Saldos'!D316+'Sumas y Saldos'!D72+'Sumas y Saldos'!D315+'Sumas y Saldos'!D269+'Sumas y Saldos'!D289+'Sumas y Saldos'!D212+'Sumas y Saldos'!D133+'Sumas y Saldos'!D192+'Sumas y Saldos'!D372+'Sumas y Saldos'!G72+'Sumas y Saldos'!G315+'Sumas y Saldos'!G269+'Sumas y Saldos'!G289+'Sumas y Saldos'!G316+'Sumas y Saldos'!G212+'Sumas y Saldos'!G133+'Sumas y Saldos'!G192+'Sumas y Saldos'!G372+'Sumas y Saldos'!J72+'Sumas y Saldos'!J315+'Sumas y Saldos'!J269+'Sumas y Saldos'!J289+'Sumas y Saldos'!J316+'Sumas y Saldos'!J212+'Sumas y Saldos'!J133+'Sumas y Saldos'!J192+'Sumas y Saldos'!J372+'Sumas y Saldos'!P72+'Sumas y Saldos'!P315+'Sumas y Saldos'!P269+'Sumas y Saldos'!P289+'Sumas y Saldos'!P316+'Sumas y Saldos'!P212+'Sumas y Saldos'!P133+'Sumas y Saldos'!P192+'Sumas y Saldos'!P372+'Sumas y Saldos'!Y72+'Sumas y Saldos'!Y315+'Sumas y Saldos'!Y269+'Sumas y Saldos'!Y289+'Sumas y Saldos'!Y316+'Sumas y Saldos'!Y212+'Sumas y Saldos'!Y133+'Sumas y Saldos'!Y192+'Sumas y Saldos'!Y372+'Sumas y Saldos'!AB72+'Sumas y Saldos'!AB315+'Sumas y Saldos'!AB269+'Sumas y Saldos'!AB289+'Sumas y Saldos'!AB316+'Sumas y Saldos'!AB212+'Sumas y Saldos'!AB133+'Sumas y Saldos'!AB192+'Sumas y Saldos'!AB372+'Sumas y Saldos'!AE72+'Sumas y Saldos'!AE315+'Sumas y Saldos'!AE269+'Sumas y Saldos'!AE289+'Sumas y Saldos'!AE316+'Sumas y Saldos'!AE212+'Sumas y Saldos'!AE133+'Sumas y Saldos'!AE192+'Sumas y Saldos'!AE372+'Sumas y Saldos'!V72+'Sumas y Saldos'!V315+'Sumas y Saldos'!V269+'Sumas y Saldos'!V289+'Sumas y Saldos'!V316+'Sumas y Saldos'!V212+'Sumas y Saldos'!V133+'Sumas y Saldos'!V192+'Sumas y Saldos'!V372+'Sumas y Saldos'!S72+'Sumas y Saldos'!S315+'Sumas y Saldos'!S269+'Sumas y Saldos'!S289+'Sumas y Saldos'!S316+'Sumas y Saldos'!S212+'Sumas y Saldos'!S133+'Sumas y Saldos'!S192+'Sumas y Saldos'!S372+'Sumas y Saldos'!AH72+'Sumas y Saldos'!AH315+'Sumas y Saldos'!AH269+'Sumas y Saldos'!AH289+'Sumas y Saldos'!AH316+'Sumas y Saldos'!AH212+'Sumas y Saldos'!AH133+'Sumas y Saldos'!AH192+'Sumas y Saldos'!AH372+'Sumas y Saldos'!AN72+'Sumas y Saldos'!AN315+'Sumas y Saldos'!AN269+'Sumas y Saldos'!AN289+'Sumas y Saldos'!AN316+'Sumas y Saldos'!AN212+'Sumas y Saldos'!AN133+'Sumas y Saldos'!AN192+'Sumas y Saldos'!AN372+'Sumas y Saldos'!AK72+'Sumas y Saldos'!AK315+'Sumas y Saldos'!AK269+'Sumas y Saldos'!AK289+'Sumas y Saldos'!AK316+'Sumas y Saldos'!AK212+'Sumas y Saldos'!AK133+'Sumas y Saldos'!AK192+'Sumas y Saldos'!AK372+'Sumas y Saldos'!BF269+'Sumas y Saldos'!BI269+'Sumas y Saldos'!BC269+'Sumas y Saldos'!BC289+'Sumas y Saldos'!BC316+'Sumas y Saldos'!BL289+'Sumas y Saldos'!BL316+'Sumas y Saldos'!BL332+'Sumas y Saldos'!BO131+'Sumas y Saldos'!BO269+'Sumas y Saldos'!BO316+'Sumas y Saldos'!BO332</f>
      </c>
      <c r="F25" s="101">
        <f>'Sumas y Saldos'!E72+'Sumas y Saldos'!E315+'Sumas y Saldos'!E269+'Sumas y Saldos'!E289+'Sumas y Saldos'!E316+'Sumas y Saldos'!E212+'Sumas y Saldos'!E133+'Sumas y Saldos'!E192+'Sumas y Saldos'!E372</f>
      </c>
      <c r="G25" s="101">
        <f>'Sumas y Saldos'!H72+'Sumas y Saldos'!H315+'Sumas y Saldos'!H269+'Sumas y Saldos'!H289+'Sumas y Saldos'!H316+'Sumas y Saldos'!H212+'Sumas y Saldos'!H133+'Sumas y Saldos'!H192+'Sumas y Saldos'!H372</f>
      </c>
      <c r="H25" s="101">
        <f>'Sumas y Saldos'!K72+'Sumas y Saldos'!K315+'Sumas y Saldos'!K269+'Sumas y Saldos'!K289+'Sumas y Saldos'!K316+'Sumas y Saldos'!K212+'Sumas y Saldos'!K133+'Sumas y Saldos'!K192+'Sumas y Saldos'!K372</f>
      </c>
      <c r="I25" s="101">
        <f>'Sumas y Saldos'!Q72+'Sumas y Saldos'!Q315+'Sumas y Saldos'!Q269+'Sumas y Saldos'!Q289+'Sumas y Saldos'!Q316+'Sumas y Saldos'!Q212+'Sumas y Saldos'!Q133+'Sumas y Saldos'!Q192+'Sumas y Saldos'!Q372</f>
      </c>
      <c r="J25" s="101">
        <f>'Sumas y Saldos'!Z72+'Sumas y Saldos'!Z315+'Sumas y Saldos'!Z269+'Sumas y Saldos'!Z289+'Sumas y Saldos'!Z316+'Sumas y Saldos'!Z212+'Sumas y Saldos'!Z133+'Sumas y Saldos'!Z192+'Sumas y Saldos'!Z372</f>
      </c>
      <c r="K25" s="101">
        <f>'Sumas y Saldos'!AC72+'Sumas y Saldos'!AC315+'Sumas y Saldos'!AC269+'Sumas y Saldos'!AC289+'Sumas y Saldos'!AC316+'Sumas y Saldos'!AC212+'Sumas y Saldos'!AC133+'Sumas y Saldos'!AC192+'Sumas y Saldos'!AC372</f>
      </c>
      <c r="L25" s="101">
        <f>'Sumas y Saldos'!AF72+'Sumas y Saldos'!AF315+'Sumas y Saldos'!AF269+'Sumas y Saldos'!AF289+'Sumas y Saldos'!AF316+'Sumas y Saldos'!AF212+'Sumas y Saldos'!AF133+'Sumas y Saldos'!AF192+'Sumas y Saldos'!AF372</f>
      </c>
      <c r="M25" s="101">
        <f>'Sumas y Saldos'!W72+'Sumas y Saldos'!W315+'Sumas y Saldos'!W269+'Sumas y Saldos'!W289+'Sumas y Saldos'!W316+'Sumas y Saldos'!W212+'Sumas y Saldos'!W133+'Sumas y Saldos'!W192+'Sumas y Saldos'!W372</f>
      </c>
      <c r="N25" s="101">
        <f>'Sumas y Saldos'!T72+'Sumas y Saldos'!T315+'Sumas y Saldos'!T269+'Sumas y Saldos'!T289+'Sumas y Saldos'!T316+'Sumas y Saldos'!T212+'Sumas y Saldos'!T133+'Sumas y Saldos'!T192+'Sumas y Saldos'!T372</f>
      </c>
      <c r="O25" s="101">
        <f>'Sumas y Saldos'!AI72+'Sumas y Saldos'!AI315+'Sumas y Saldos'!AI269+'Sumas y Saldos'!AI289+'Sumas y Saldos'!AI316+'Sumas y Saldos'!AI212+'Sumas y Saldos'!AI133+'Sumas y Saldos'!AI192+'Sumas y Saldos'!AI372</f>
      </c>
      <c r="P25" s="101">
        <f>'Sumas y Saldos'!AO72+'Sumas y Saldos'!AO315+'Sumas y Saldos'!AO269+'Sumas y Saldos'!AO289+'Sumas y Saldos'!AO316+'Sumas y Saldos'!AO212+'Sumas y Saldos'!AO133+'Sumas y Saldos'!AO192+'Sumas y Saldos'!AO372</f>
      </c>
      <c r="Q25" s="101">
        <f>'Sumas y Saldos'!AL72+'Sumas y Saldos'!AL315+'Sumas y Saldos'!AL269+'Sumas y Saldos'!AL289+'Sumas y Saldos'!AL316+'Sumas y Saldos'!AL212+'Sumas y Saldos'!AL133+'Sumas y Saldos'!AL192+'Sumas y Saldos'!AL372</f>
      </c>
      <c r="R25" s="101">
        <f>'Sumas y Saldos'!BE269</f>
      </c>
      <c r="S25" s="101">
        <f>'Sumas y Saldos'!BF269</f>
      </c>
      <c r="T25" s="101">
        <f>'Sumas y Saldos'!BD269+'Sumas y Saldos'!BD289+'Sumas y Saldos'!BD316</f>
      </c>
      <c r="U25" s="101">
        <f>'Sumas y Saldos'!BM269+'Sumas y Saldos'!BM289+'Sumas y Saldos'!BM316+'Sumas y Saldos'!BM332</f>
      </c>
      <c r="V25" s="101">
        <f>'Sumas y Saldos'!BP131+'Sumas y Saldos'!BP269+'Sumas y Saldos'!BP316+'Sumas y Saldos'!BP332</f>
      </c>
      <c r="W25" s="101"/>
      <c r="X25" s="101"/>
      <c r="Y25" s="101"/>
      <c r="Z25" s="101"/>
      <c r="AA25" s="101"/>
      <c r="AB25" s="101"/>
      <c r="AC25" s="101">
        <v>1697.79</v>
      </c>
      <c r="AD25" s="101">
        <v>6632.79</v>
      </c>
      <c r="AE25" s="101">
        <v>7087.03</v>
      </c>
      <c r="AF25" s="101">
        <v>12663.87</v>
      </c>
      <c r="AG25" s="101">
        <v>11490.93</v>
      </c>
      <c r="AH25" s="101">
        <v>24053.61</v>
      </c>
      <c r="AI25" s="104">
        <f>SUM(W25:AH25)</f>
        <v>63626.020000000004</v>
      </c>
      <c r="AJ25" s="76"/>
      <c r="AK25" s="105"/>
    </row>
    <row r="26" ht="12.75" customHeight="1" spans="1:37" x14ac:dyDescent="0.25">
      <c r="A26" s="76" t="s">
        <v>511</v>
      </c>
      <c r="B26" s="76">
        <v>9600000062</v>
      </c>
      <c r="C26" s="98" t="s">
        <v>113</v>
      </c>
      <c r="D26" s="99">
        <f>SUM(F26:V26)+E26</f>
        <v>213.33</v>
      </c>
      <c r="E26" s="99">
        <f>+'Sumas y Saldos'!D76+'Sumas y Saldos'!D277+'Sumas y Saldos'!D239+'Sumas y Saldos'!D385+'Sumas y Saldos'!G76+'Sumas y Saldos'!G277+'Sumas y Saldos'!G239+'Sumas y Saldos'!G385+'Sumas y Saldos'!J76+'Sumas y Saldos'!J277+'Sumas y Saldos'!J239+'Sumas y Saldos'!J385+'Sumas y Saldos'!P76+'Sumas y Saldos'!P277+'Sumas y Saldos'!P239+'Sumas y Saldos'!P385+'Sumas y Saldos'!Y76+'Sumas y Saldos'!Y277+'Sumas y Saldos'!Y239+'Sumas y Saldos'!Y385+'Sumas y Saldos'!AB76+'Sumas y Saldos'!AB277+'Sumas y Saldos'!AB239+'Sumas y Saldos'!AB385+'Sumas y Saldos'!AE76+'Sumas y Saldos'!AE277+'Sumas y Saldos'!AE239+'Sumas y Saldos'!AE385+'Sumas y Saldos'!V76+'Sumas y Saldos'!V277+'Sumas y Saldos'!V239+'Sumas y Saldos'!V385+'Sumas y Saldos'!S76+'Sumas y Saldos'!S277+'Sumas y Saldos'!S239+'Sumas y Saldos'!S385+'Sumas y Saldos'!AH76+'Sumas y Saldos'!AH277+'Sumas y Saldos'!AH239+'Sumas y Saldos'!AH385+'Sumas y Saldos'!AN76+'Sumas y Saldos'!AN277+'Sumas y Saldos'!AN239+'Sumas y Saldos'!AN385+'Sumas y Saldos'!AK76+'Sumas y Saldos'!AK277+'Sumas y Saldos'!AK239+'Sumas y Saldos'!AK385+'Sumas y Saldos'!BF277+'Sumas y Saldos'!BC277+'Sumas y Saldos'!BC239+'Sumas y Saldos'!BL277</f>
      </c>
      <c r="F26" s="101">
        <f>'Sumas y Saldos'!E76+'Sumas y Saldos'!E277+'Sumas y Saldos'!E239+'Sumas y Saldos'!E385</f>
      </c>
      <c r="G26" s="101">
        <f>'Sumas y Saldos'!H76+'Sumas y Saldos'!H277+'Sumas y Saldos'!H239+'Sumas y Saldos'!H385</f>
      </c>
      <c r="H26" s="101">
        <f>'Sumas y Saldos'!K76+'Sumas y Saldos'!K277+'Sumas y Saldos'!K239+'Sumas y Saldos'!K385</f>
      </c>
      <c r="I26" s="101">
        <f>'Sumas y Saldos'!Q76+'Sumas y Saldos'!Q277+'Sumas y Saldos'!Q239+'Sumas y Saldos'!Q385</f>
      </c>
      <c r="J26" s="101">
        <f>'Sumas y Saldos'!Z76+'Sumas y Saldos'!Z277+'Sumas y Saldos'!Z239+'Sumas y Saldos'!Z385</f>
      </c>
      <c r="K26" s="101">
        <f>'Sumas y Saldos'!AC76+'Sumas y Saldos'!AC277+'Sumas y Saldos'!AC239+'Sumas y Saldos'!AC385</f>
      </c>
      <c r="L26" s="101">
        <f>'Sumas y Saldos'!AF76+'Sumas y Saldos'!AF277+'Sumas y Saldos'!AF239+'Sumas y Saldos'!AF385</f>
      </c>
      <c r="M26" s="101">
        <f>'Sumas y Saldos'!W76+'Sumas y Saldos'!W277+'Sumas y Saldos'!W239+'Sumas y Saldos'!W385</f>
      </c>
      <c r="N26" s="101">
        <f>'Sumas y Saldos'!T76+'Sumas y Saldos'!T277+'Sumas y Saldos'!T239+'Sumas y Saldos'!T385</f>
      </c>
      <c r="O26" s="101">
        <f>'Sumas y Saldos'!AI76+'Sumas y Saldos'!AI277+'Sumas y Saldos'!AI239+'Sumas y Saldos'!AI385</f>
      </c>
      <c r="P26" s="101">
        <f>'Sumas y Saldos'!AO76+'Sumas y Saldos'!AO277+'Sumas y Saldos'!AO239+'Sumas y Saldos'!AO385</f>
      </c>
      <c r="Q26" s="101">
        <f>'Sumas y Saldos'!AL76+'Sumas y Saldos'!AL277+'Sumas y Saldos'!AL239+'Sumas y Saldos'!AL385</f>
      </c>
      <c r="R26" s="101">
        <f>+'Sumas y Saldos'!BE277</f>
      </c>
      <c r="S26" s="101"/>
      <c r="T26" s="101">
        <f>'Sumas y Saldos'!BD277+'Sumas y Saldos'!BD239</f>
      </c>
      <c r="U26" s="101">
        <f>+'Sumas y Saldos'!BM277</f>
      </c>
      <c r="V26" s="101"/>
      <c r="W26" s="101"/>
      <c r="X26" s="101"/>
      <c r="Y26" s="101"/>
      <c r="Z26" s="101"/>
      <c r="AA26" s="101"/>
      <c r="AB26" s="101"/>
      <c r="AC26" s="101">
        <v>213.33</v>
      </c>
      <c r="AD26" s="101">
        <v>0</v>
      </c>
      <c r="AE26" s="101">
        <v>0</v>
      </c>
      <c r="AF26" s="101">
        <v>0</v>
      </c>
      <c r="AG26" s="101">
        <v>0</v>
      </c>
      <c r="AH26" s="101">
        <v>0</v>
      </c>
      <c r="AI26" s="104">
        <f>SUM(W26:AH26)</f>
        <v>213.33</v>
      </c>
      <c r="AJ26" s="76"/>
      <c r="AK26" s="105"/>
    </row>
    <row r="27" ht="12.75" customHeight="1" spans="1:37" x14ac:dyDescent="0.25">
      <c r="A27" s="76" t="s">
        <v>512</v>
      </c>
      <c r="B27" s="76">
        <v>9600000062</v>
      </c>
      <c r="C27" s="98" t="s">
        <v>513</v>
      </c>
      <c r="D27" s="99">
        <f>SUM(F27:V27)+E27</f>
      </c>
      <c r="E27" s="99">
        <f>+'Sumas y Saldos'!AN266+'Sumas y Saldos'!D101+'Sumas y Saldos'!D234+'Sumas y Saldos'!D266+'Sumas y Saldos'!D137+'Sumas y Saldos'!G101+'Sumas y Saldos'!G234+'Sumas y Saldos'!G266+'Sumas y Saldos'!G137+'Sumas y Saldos'!J101+'Sumas y Saldos'!J234+'Sumas y Saldos'!J266+'Sumas y Saldos'!J137+'Sumas y Saldos'!P101+'Sumas y Saldos'!P234+'Sumas y Saldos'!P266+'Sumas y Saldos'!P137+'Sumas y Saldos'!Y101+'Sumas y Saldos'!Y234+'Sumas y Saldos'!Y266+'Sumas y Saldos'!Y137+'Sumas y Saldos'!AB101+'Sumas y Saldos'!AB234+'Sumas y Saldos'!AB266+'Sumas y Saldos'!AB137+'Sumas y Saldos'!AE101+'Sumas y Saldos'!AE234+'Sumas y Saldos'!AE266+'Sumas y Saldos'!AE137+'Sumas y Saldos'!V101+'Sumas y Saldos'!V234+'Sumas y Saldos'!V266+'Sumas y Saldos'!V137+'Sumas y Saldos'!S101+'Sumas y Saldos'!S234+'Sumas y Saldos'!S266+'Sumas y Saldos'!S137+'Sumas y Saldos'!AH101+'Sumas y Saldos'!AH234+'Sumas y Saldos'!AH266+'Sumas y Saldos'!AH137+'Sumas y Saldos'!AN101+'Sumas y Saldos'!AN234+'Sumas y Saldos'!AN137+'Sumas y Saldos'!AK101+'Sumas y Saldos'!AK234+'Sumas y Saldos'!AK266+'Sumas y Saldos'!AK137+'Sumas y Saldos'!BC234+'Sumas y Saldos'!BC266+'Sumas y Saldos'!BO234+'Sumas y Saldos'!BO137</f>
      </c>
      <c r="F27" s="101">
        <f>+'Sumas y Saldos'!E101+'Sumas y Saldos'!E234+'Sumas y Saldos'!E266+'Sumas y Saldos'!E137</f>
      </c>
      <c r="G27" s="101">
        <f>+'Sumas y Saldos'!H101+'Sumas y Saldos'!H234+'Sumas y Saldos'!H266+'Sumas y Saldos'!H137</f>
      </c>
      <c r="H27" s="101">
        <f>+'Sumas y Saldos'!K101+'Sumas y Saldos'!K234+'Sumas y Saldos'!K266+'Sumas y Saldos'!K137</f>
      </c>
      <c r="I27" s="101">
        <f>+'Sumas y Saldos'!Q101+'Sumas y Saldos'!Q234+'Sumas y Saldos'!Q266+'Sumas y Saldos'!Q137</f>
      </c>
      <c r="J27" s="101">
        <f>+'Sumas y Saldos'!Z101+'Sumas y Saldos'!Z234+'Sumas y Saldos'!Z266+'Sumas y Saldos'!Z137</f>
      </c>
      <c r="K27" s="101">
        <f>+'Sumas y Saldos'!AC101+'Sumas y Saldos'!AC234+'Sumas y Saldos'!AC266+'Sumas y Saldos'!AC137</f>
      </c>
      <c r="L27" s="101">
        <f>+'Sumas y Saldos'!AF101+'Sumas y Saldos'!AF234+'Sumas y Saldos'!AF266+'Sumas y Saldos'!AF137</f>
      </c>
      <c r="M27" s="101">
        <f>+'Sumas y Saldos'!W101+'Sumas y Saldos'!W234+'Sumas y Saldos'!W266+'Sumas y Saldos'!W137</f>
      </c>
      <c r="N27" s="101">
        <f>+'Sumas y Saldos'!T101+'Sumas y Saldos'!T234+'Sumas y Saldos'!T266+'Sumas y Saldos'!T137</f>
      </c>
      <c r="O27" s="101">
        <f>+'Sumas y Saldos'!AI101+'Sumas y Saldos'!AI234+'Sumas y Saldos'!AI266+'Sumas y Saldos'!AI137</f>
      </c>
      <c r="P27" s="101">
        <f>+'Sumas y Saldos'!AO101+'Sumas y Saldos'!AO234+'Sumas y Saldos'!AO266+'Sumas y Saldos'!AO137</f>
      </c>
      <c r="Q27" s="101">
        <f>+'Sumas y Saldos'!AL101+'Sumas y Saldos'!AL234+'Sumas y Saldos'!AL266+'Sumas y Saldos'!AL137</f>
      </c>
      <c r="R27" s="101"/>
      <c r="S27" s="101"/>
      <c r="T27" s="101">
        <f>'Sumas y Saldos'!BD234+'Sumas y Saldos'!BD266</f>
      </c>
      <c r="U27" s="101"/>
      <c r="V27" s="101">
        <f>+'Sumas y Saldos'!BP234+'Sumas y Saldos'!BP137</f>
      </c>
      <c r="W27" s="101"/>
      <c r="X27" s="101"/>
      <c r="Y27" s="101"/>
      <c r="Z27" s="101"/>
      <c r="AA27" s="101"/>
      <c r="AB27" s="101"/>
      <c r="AC27" s="101">
        <v>0</v>
      </c>
      <c r="AD27" s="101">
        <v>0</v>
      </c>
      <c r="AE27" s="101">
        <v>0</v>
      </c>
      <c r="AF27" s="101">
        <v>0</v>
      </c>
      <c r="AG27" s="101">
        <v>0</v>
      </c>
      <c r="AH27" s="101">
        <v>0</v>
      </c>
      <c r="AI27" s="104">
        <f>SUM(W27:AH27)</f>
      </c>
      <c r="AJ27" s="76"/>
      <c r="AK27" s="105"/>
    </row>
    <row r="28" ht="12.75" customHeight="1" spans="1:37" x14ac:dyDescent="0.25">
      <c r="A28" s="76" t="s">
        <v>514</v>
      </c>
      <c r="B28" s="76">
        <v>9600000062</v>
      </c>
      <c r="C28" s="98" t="s">
        <v>515</v>
      </c>
      <c r="D28" s="99">
        <f>SUM(F28:V28)+E28</f>
      </c>
      <c r="E28" s="99">
        <f>-M28+'Sumas y Saldos'!AN259+'Sumas y Saldos'!D34+'Sumas y Saldos'!D181+'Sumas y Saldos'!D282+'Sumas y Saldos'!D288+'Sumas y Saldos'!D291+'Sumas y Saldos'!D259+'Sumas y Saldos'!D165+'Sumas y Saldos'!D182+'Sumas y Saldos'!D379+'Sumas y Saldos'!G34+'Sumas y Saldos'!G181+'Sumas y Saldos'!G282+'Sumas y Saldos'!G288+'Sumas y Saldos'!G291+'Sumas y Saldos'!G259+'Sumas y Saldos'!G165+'Sumas y Saldos'!G182+'Sumas y Saldos'!G379+'Sumas y Saldos'!J34+'Sumas y Saldos'!J181+'Sumas y Saldos'!J282+'Sumas y Saldos'!J288+'Sumas y Saldos'!J291+'Sumas y Saldos'!J259+'Sumas y Saldos'!J165+'Sumas y Saldos'!J182+'Sumas y Saldos'!J379+'Sumas y Saldos'!P34+'Sumas y Saldos'!P181+'Sumas y Saldos'!P282+'Sumas y Saldos'!P288+'Sumas y Saldos'!P291+'Sumas y Saldos'!P259+'Sumas y Saldos'!P165+'Sumas y Saldos'!P182+'Sumas y Saldos'!P379+'Sumas y Saldos'!Y34+'Sumas y Saldos'!Y181+'Sumas y Saldos'!Y282+'Sumas y Saldos'!Y288+'Sumas y Saldos'!Y291+'Sumas y Saldos'!Y259+'Sumas y Saldos'!Y165+'Sumas y Saldos'!Y182+'Sumas y Saldos'!Y379+'Sumas y Saldos'!AB34+'Sumas y Saldos'!AB181+'Sumas y Saldos'!AB282+'Sumas y Saldos'!AB288+'Sumas y Saldos'!AB291+'Sumas y Saldos'!AB259+'Sumas y Saldos'!AB165+'Sumas y Saldos'!AB182+'Sumas y Saldos'!AB379+'Sumas y Saldos'!AE34+'Sumas y Saldos'!AE181+'Sumas y Saldos'!AE282+'Sumas y Saldos'!AE288+'Sumas y Saldos'!AE291+'Sumas y Saldos'!AE259+'Sumas y Saldos'!AE165+'Sumas y Saldos'!AE182+'Sumas y Saldos'!AE379+'Sumas y Saldos'!V34+'Sumas y Saldos'!V181+'Sumas y Saldos'!V282+'Sumas y Saldos'!V288+'Sumas y Saldos'!V291+'Sumas y Saldos'!V259+'Sumas y Saldos'!V165+'Sumas y Saldos'!V182+'Sumas y Saldos'!V379+'Sumas y Saldos'!S34+'Sumas y Saldos'!S181+'Sumas y Saldos'!S282+'Sumas y Saldos'!S288+'Sumas y Saldos'!S291+'Sumas y Saldos'!S259+'Sumas y Saldos'!S165+'Sumas y Saldos'!S182+'Sumas y Saldos'!S379+'Sumas y Saldos'!AH34+'Sumas y Saldos'!AH181+'Sumas y Saldos'!AH282+'Sumas y Saldos'!AH288+'Sumas y Saldos'!AH291+'Sumas y Saldos'!AH259+'Sumas y Saldos'!AH165+'Sumas y Saldos'!AH182+'Sumas y Saldos'!AH379+'Sumas y Saldos'!AN34+'Sumas y Saldos'!AN181+'Sumas y Saldos'!AN282+'Sumas y Saldos'!AN288+'Sumas y Saldos'!AN291+'Sumas y Saldos'!AN165+'Sumas y Saldos'!AN182+'Sumas y Saldos'!AN379+'Sumas y Saldos'!AK34+'Sumas y Saldos'!AK181+'Sumas y Saldos'!AK282+'Sumas y Saldos'!AK288+'Sumas y Saldos'!AK291+'Sumas y Saldos'!AK259+'Sumas y Saldos'!AK165+'Sumas y Saldos'!AK182+'Sumas y Saldos'!AK379+'Sumas y Saldos'!BF291+'Sumas y Saldos'!BI291+'Sumas y Saldos'!BC282+'Sumas y Saldos'!BC288+'Sumas y Saldos'!BC291+'Sumas y Saldos'!BC259+'Sumas y Saldos'!BL288+'Sumas y Saldos'!BL282+'Sumas y Saldos'!BL291+'Sumas y Saldos'!BL182+'Sumas y Saldos'!BO291+'Sumas y Saldos'!BO181+'Sumas y Saldos'!BO165+'Sumas y Saldos'!BO182</f>
      </c>
      <c r="F28" s="101">
        <f>'Sumas y Saldos'!E34+'Sumas y Saldos'!E181+'Sumas y Saldos'!E282+'Sumas y Saldos'!E288+'Sumas y Saldos'!E291+'Sumas y Saldos'!E259+'Sumas y Saldos'!E165+'Sumas y Saldos'!E182+'Sumas y Saldos'!E379</f>
      </c>
      <c r="G28" s="101">
        <f>'Sumas y Saldos'!H34+'Sumas y Saldos'!H181+'Sumas y Saldos'!H282+'Sumas y Saldos'!H288+'Sumas y Saldos'!H291+'Sumas y Saldos'!H259+'Sumas y Saldos'!H165+'Sumas y Saldos'!H182+'Sumas y Saldos'!H379</f>
      </c>
      <c r="H28" s="101">
        <f>'Sumas y Saldos'!K34+'Sumas y Saldos'!K181+'Sumas y Saldos'!K282+'Sumas y Saldos'!K288+'Sumas y Saldos'!K291+'Sumas y Saldos'!K259+'Sumas y Saldos'!K165+'Sumas y Saldos'!K182+'Sumas y Saldos'!K379</f>
      </c>
      <c r="I28" s="101">
        <f>'Sumas y Saldos'!Q34+'Sumas y Saldos'!Q181+'Sumas y Saldos'!Q282+'Sumas y Saldos'!Q288+'Sumas y Saldos'!Q291+'Sumas y Saldos'!Q259+'Sumas y Saldos'!Q165+'Sumas y Saldos'!Q182+'Sumas y Saldos'!Q379</f>
      </c>
      <c r="J28" s="101">
        <f>'Sumas y Saldos'!Z34+'Sumas y Saldos'!Z181+'Sumas y Saldos'!Z282+'Sumas y Saldos'!Z288+'Sumas y Saldos'!Z291+'Sumas y Saldos'!Z259+'Sumas y Saldos'!Z165+'Sumas y Saldos'!Z182+'Sumas y Saldos'!Z379</f>
      </c>
      <c r="K28" s="101">
        <f>'Sumas y Saldos'!AC34+'Sumas y Saldos'!AC181+'Sumas y Saldos'!AC282+'Sumas y Saldos'!AC288+'Sumas y Saldos'!AC291+'Sumas y Saldos'!AC259+'Sumas y Saldos'!AC165+'Sumas y Saldos'!AC182+'Sumas y Saldos'!AC379</f>
      </c>
      <c r="L28" s="101">
        <f>'Sumas y Saldos'!AF34+'Sumas y Saldos'!AF181+'Sumas y Saldos'!AF282+'Sumas y Saldos'!AF288+'Sumas y Saldos'!AF291+'Sumas y Saldos'!AF259+'Sumas y Saldos'!AF165+'Sumas y Saldos'!AF182+'Sumas y Saldos'!AF379</f>
      </c>
      <c r="M28" s="101">
        <f>'Sumas y Saldos'!W34+'Sumas y Saldos'!W181+'Sumas y Saldos'!W282+'Sumas y Saldos'!W288+'Sumas y Saldos'!W291+'Sumas y Saldos'!W259+'Sumas y Saldos'!W165+'Sumas y Saldos'!W182+'Sumas y Saldos'!W379</f>
      </c>
      <c r="N28" s="101">
        <f>'Sumas y Saldos'!T34+'Sumas y Saldos'!T181+'Sumas y Saldos'!T282+'Sumas y Saldos'!T288+'Sumas y Saldos'!T291+'Sumas y Saldos'!T259+'Sumas y Saldos'!T165+'Sumas y Saldos'!T182+'Sumas y Saldos'!T379</f>
      </c>
      <c r="O28" s="101">
        <f>'Sumas y Saldos'!AI34+'Sumas y Saldos'!AI181+'Sumas y Saldos'!AI282+'Sumas y Saldos'!AI288+'Sumas y Saldos'!AI291+'Sumas y Saldos'!AI259+'Sumas y Saldos'!AI165+'Sumas y Saldos'!AI182+'Sumas y Saldos'!AI379</f>
      </c>
      <c r="P28" s="101">
        <f>'Sumas y Saldos'!AO34+'Sumas y Saldos'!AO181+'Sumas y Saldos'!AO282+'Sumas y Saldos'!AO288+'Sumas y Saldos'!AO291+'Sumas y Saldos'!AO259+'Sumas y Saldos'!AO165+'Sumas y Saldos'!AO182+'Sumas y Saldos'!AO379</f>
      </c>
      <c r="Q28" s="101">
        <f>'Sumas y Saldos'!AL34+'Sumas y Saldos'!AL181+'Sumas y Saldos'!AL282+'Sumas y Saldos'!AL288+'Sumas y Saldos'!AL291+'Sumas y Saldos'!AL259+'Sumas y Saldos'!AL165+'Sumas y Saldos'!AL182+'Sumas y Saldos'!AL379</f>
      </c>
      <c r="R28" s="101">
        <f>+'Sumas y Saldos'!BE291</f>
      </c>
      <c r="S28" s="101">
        <f>+'Sumas y Saldos'!BF291</f>
      </c>
      <c r="T28" s="101">
        <f>+'Sumas y Saldos'!BD282+'Sumas y Saldos'!BD288+'Sumas y Saldos'!BD291+'Sumas y Saldos'!BD259</f>
      </c>
      <c r="U28" s="101">
        <f>'Sumas y Saldos'!BM288+'Sumas y Saldos'!BM282+'Sumas y Saldos'!BM291+'Sumas y Saldos'!BM182</f>
      </c>
      <c r="V28" s="101">
        <f>'Sumas y Saldos'!BP291+'Sumas y Saldos'!BP181+'Sumas y Saldos'!BP165+'Sumas y Saldos'!BP182</f>
      </c>
      <c r="W28" s="101"/>
      <c r="X28" s="101"/>
      <c r="Y28" s="101"/>
      <c r="Z28" s="101"/>
      <c r="AA28" s="101"/>
      <c r="AB28" s="101"/>
      <c r="AC28" s="101">
        <v>0</v>
      </c>
      <c r="AD28" s="101">
        <v>0</v>
      </c>
      <c r="AE28" s="101">
        <v>0</v>
      </c>
      <c r="AF28" s="101">
        <v>0</v>
      </c>
      <c r="AG28" s="101">
        <v>156.87</v>
      </c>
      <c r="AH28" s="101">
        <v>0</v>
      </c>
      <c r="AI28" s="104">
        <f>SUM(W28:AH28)</f>
        <v>156.87</v>
      </c>
      <c r="AJ28" s="76"/>
      <c r="AK28" s="105"/>
    </row>
    <row r="29" ht="12.75" customHeight="1" spans="1:37" x14ac:dyDescent="0.25">
      <c r="A29" s="76"/>
      <c r="B29" s="76"/>
      <c r="C29" s="98" t="s">
        <v>133</v>
      </c>
      <c r="D29" s="99">
        <f>SUM(F29:V29)+E29</f>
      </c>
      <c r="E29" s="99">
        <f>+'Sumas y Saldos'!D96+'Sumas y Saldos'!D125+'Sumas y Saldos'!D238+'Sumas y Saldos'!D305+'Sumas y Saldos'!D322+'Sumas y Saldos'!D185+'Sumas y Saldos'!D375+'Sumas y Saldos'!G96+'Sumas y Saldos'!G125+'Sumas y Saldos'!G238+'Sumas y Saldos'!G305+'Sumas y Saldos'!G322+'Sumas y Saldos'!G185+'Sumas y Saldos'!G375+'Sumas y Saldos'!J96+'Sumas y Saldos'!J125+'Sumas y Saldos'!J238+'Sumas y Saldos'!J305+'Sumas y Saldos'!J322+'Sumas y Saldos'!J185+'Sumas y Saldos'!J375+'Sumas y Saldos'!P96+'Sumas y Saldos'!P125+'Sumas y Saldos'!P238+'Sumas y Saldos'!P305+'Sumas y Saldos'!P322+'Sumas y Saldos'!P185+'Sumas y Saldos'!P375+'Sumas y Saldos'!Y96+'Sumas y Saldos'!Y125+'Sumas y Saldos'!Y238+'Sumas y Saldos'!Y305+'Sumas y Saldos'!Y322+'Sumas y Saldos'!Y185+'Sumas y Saldos'!Y375+'Sumas y Saldos'!AB96+'Sumas y Saldos'!AB125+'Sumas y Saldos'!AB238+'Sumas y Saldos'!AB305+'Sumas y Saldos'!AB322+'Sumas y Saldos'!AB185+'Sumas y Saldos'!AB375+'Sumas y Saldos'!AE96+'Sumas y Saldos'!AE125+'Sumas y Saldos'!AE238+'Sumas y Saldos'!AE305+'Sumas y Saldos'!AE322+'Sumas y Saldos'!AE185+'Sumas y Saldos'!AE375+'Sumas y Saldos'!V96+'Sumas y Saldos'!V125+'Sumas y Saldos'!V238+'Sumas y Saldos'!V305+'Sumas y Saldos'!V322+'Sumas y Saldos'!V185+'Sumas y Saldos'!V375+'Sumas y Saldos'!S96+'Sumas y Saldos'!S125+'Sumas y Saldos'!S238+'Sumas y Saldos'!S305+'Sumas y Saldos'!S322+'Sumas y Saldos'!S185+'Sumas y Saldos'!S375+'Sumas y Saldos'!AH96+'Sumas y Saldos'!AH125+'Sumas y Saldos'!AH238+'Sumas y Saldos'!AH305+'Sumas y Saldos'!AH322+'Sumas y Saldos'!AH185+'Sumas y Saldos'!AH375+'Sumas y Saldos'!AN96+'Sumas y Saldos'!AN125+'Sumas y Saldos'!AN238+'Sumas y Saldos'!AN305+'Sumas y Saldos'!AN322+'Sumas y Saldos'!AN185+'Sumas y Saldos'!AN375+'Sumas y Saldos'!AK96+'Sumas y Saldos'!AK125+'Sumas y Saldos'!AK238+'Sumas y Saldos'!AK305+'Sumas y Saldos'!AK322+'Sumas y Saldos'!AK185+'Sumas y Saldos'!AK375+'Sumas y Saldos'!BC238+'Sumas y Saldos'!BC305+'Sumas y Saldos'!BL238+'Sumas y Saldos'!BL322+'Sumas y Saldos'!BL185+'Sumas y Saldos'!BO185</f>
      </c>
      <c r="F29" s="101">
        <f>'Sumas y Saldos'!E96+'Sumas y Saldos'!E125+'Sumas y Saldos'!E238+'Sumas y Saldos'!E305+'Sumas y Saldos'!E322+'Sumas y Saldos'!E185+'Sumas y Saldos'!E375</f>
      </c>
      <c r="G29" s="101">
        <f>'Sumas y Saldos'!H96+'Sumas y Saldos'!H125+'Sumas y Saldos'!H238+'Sumas y Saldos'!H305+'Sumas y Saldos'!H322+'Sumas y Saldos'!H185+'Sumas y Saldos'!H375</f>
      </c>
      <c r="H29" s="101">
        <f>'Sumas y Saldos'!K96+'Sumas y Saldos'!K125+'Sumas y Saldos'!K238+'Sumas y Saldos'!K305+'Sumas y Saldos'!K322+'Sumas y Saldos'!K185+'Sumas y Saldos'!K375</f>
      </c>
      <c r="I29" s="101">
        <f>'Sumas y Saldos'!Q96+'Sumas y Saldos'!Q125+'Sumas y Saldos'!Q238+'Sumas y Saldos'!Q305+'Sumas y Saldos'!Q322+'Sumas y Saldos'!Q185+'Sumas y Saldos'!Q375</f>
      </c>
      <c r="J29" s="101">
        <f>'Sumas y Saldos'!Z96+'Sumas y Saldos'!Z125+'Sumas y Saldos'!Z238+'Sumas y Saldos'!Z305+'Sumas y Saldos'!Z322+'Sumas y Saldos'!Z185+'Sumas y Saldos'!Z375</f>
      </c>
      <c r="K29" s="101">
        <f>'Sumas y Saldos'!AC96+'Sumas y Saldos'!AC125+'Sumas y Saldos'!AC238+'Sumas y Saldos'!AC305+'Sumas y Saldos'!AC322+'Sumas y Saldos'!AC185+'Sumas y Saldos'!AC375</f>
      </c>
      <c r="L29" s="101">
        <f>'Sumas y Saldos'!AF96+'Sumas y Saldos'!AF125+'Sumas y Saldos'!AF238+'Sumas y Saldos'!AF305+'Sumas y Saldos'!AF322+'Sumas y Saldos'!AF185+'Sumas y Saldos'!AF375</f>
      </c>
      <c r="M29" s="101">
        <f>'Sumas y Saldos'!W96+'Sumas y Saldos'!W125+'Sumas y Saldos'!W238+'Sumas y Saldos'!W305+'Sumas y Saldos'!W322+'Sumas y Saldos'!W185+'Sumas y Saldos'!W375</f>
      </c>
      <c r="N29" s="101">
        <f>'Sumas y Saldos'!T96+'Sumas y Saldos'!T125+'Sumas y Saldos'!T238+'Sumas y Saldos'!T305+'Sumas y Saldos'!T322+'Sumas y Saldos'!T185+'Sumas y Saldos'!T375</f>
      </c>
      <c r="O29" s="101">
        <f>'Sumas y Saldos'!AI96+'Sumas y Saldos'!AI125+'Sumas y Saldos'!AI238+'Sumas y Saldos'!AI305+'Sumas y Saldos'!AI322+'Sumas y Saldos'!AI185+'Sumas y Saldos'!AI375</f>
      </c>
      <c r="P29" s="101">
        <f>'Sumas y Saldos'!AO96+'Sumas y Saldos'!AO125+'Sumas y Saldos'!AO238+'Sumas y Saldos'!AO305+'Sumas y Saldos'!AO322+'Sumas y Saldos'!AO185+'Sumas y Saldos'!AO375</f>
      </c>
      <c r="Q29" s="101">
        <f>'Sumas y Saldos'!AL96+'Sumas y Saldos'!AL125+'Sumas y Saldos'!AL238+'Sumas y Saldos'!AL305+'Sumas y Saldos'!AL322+'Sumas y Saldos'!AL185+'Sumas y Saldos'!AL375</f>
      </c>
      <c r="R29" s="101">
        <v>0</v>
      </c>
      <c r="S29" s="101">
        <v>0</v>
      </c>
      <c r="T29" s="101">
        <f>+'Sumas y Saldos'!BD238+'Sumas y Saldos'!BD305</f>
      </c>
      <c r="U29" s="101">
        <f>'Sumas y Saldos'!BM238+'Sumas y Saldos'!BM322+'Sumas y Saldos'!BM185</f>
      </c>
      <c r="V29" s="101">
        <f>+'Sumas y Saldos'!BP185</f>
      </c>
      <c r="W29" s="101"/>
      <c r="X29" s="101"/>
      <c r="Y29" s="101"/>
      <c r="Z29" s="101"/>
      <c r="AA29" s="101"/>
      <c r="AB29" s="101"/>
      <c r="AC29" s="101">
        <v>0</v>
      </c>
      <c r="AD29" s="101">
        <v>1.07</v>
      </c>
      <c r="AE29" s="101">
        <v>123.25</v>
      </c>
      <c r="AF29" s="101">
        <v>0</v>
      </c>
      <c r="AG29" s="101">
        <v>1.43</v>
      </c>
      <c r="AH29" s="101">
        <v>6.94</v>
      </c>
      <c r="AI29" s="104">
        <f>SUM(W29:AH29)</f>
        <v>132.69</v>
      </c>
      <c r="AJ29" s="76"/>
      <c r="AK29" s="105"/>
    </row>
    <row r="30" ht="12.75" customHeight="1" spans="1:37" x14ac:dyDescent="0.25">
      <c r="A30" s="76"/>
      <c r="B30" s="76"/>
      <c r="C30" s="98" t="s">
        <v>131</v>
      </c>
      <c r="D30" s="99">
        <f>SUM(F30:V30)+E30</f>
      </c>
      <c r="E30" s="99">
        <f>+'Sumas y Saldos'!D94+'Sumas y Saldos'!D302+'Sumas y Saldos'!D342+'Sumas y Saldos'!G94+'Sumas y Saldos'!G302+'Sumas y Saldos'!G342+'Sumas y Saldos'!J94+'Sumas y Saldos'!J302+'Sumas y Saldos'!J342+'Sumas y Saldos'!P94+'Sumas y Saldos'!P302+'Sumas y Saldos'!P342+'Sumas y Saldos'!Y94+'Sumas y Saldos'!Y302+'Sumas y Saldos'!Y342+'Sumas y Saldos'!AB94+'Sumas y Saldos'!AB302+'Sumas y Saldos'!AB342+'Sumas y Saldos'!AE94+'Sumas y Saldos'!AE302+'Sumas y Saldos'!AE342+'Sumas y Saldos'!V94+'Sumas y Saldos'!V302+'Sumas y Saldos'!V342+'Sumas y Saldos'!S94+'Sumas y Saldos'!S302+'Sumas y Saldos'!S342+'Sumas y Saldos'!AH94+'Sumas y Saldos'!AH302+'Sumas y Saldos'!AH342+'Sumas y Saldos'!AN94+'Sumas y Saldos'!AN302+'Sumas y Saldos'!AN342+'Sumas y Saldos'!AK94+'Sumas y Saldos'!AK302+'Sumas y Saldos'!AK342+'Sumas y Saldos'!BF302+'Sumas y Saldos'!BI302+'Sumas y Saldos'!BC302+'Sumas y Saldos'!BL302+'Sumas y Saldos'!BL342+'Sumas y Saldos'!BO302+'Sumas y Saldos'!BO342</f>
      </c>
      <c r="F30" s="101">
        <f>'Sumas y Saldos'!E94+'Sumas y Saldos'!E302+'Sumas y Saldos'!E342</f>
      </c>
      <c r="G30" s="101">
        <f>'Sumas y Saldos'!H94+'Sumas y Saldos'!H302+'Sumas y Saldos'!H342</f>
      </c>
      <c r="H30" s="101">
        <f>'Sumas y Saldos'!K94+'Sumas y Saldos'!K302+'Sumas y Saldos'!K342</f>
      </c>
      <c r="I30" s="101">
        <f>'Sumas y Saldos'!Q94+'Sumas y Saldos'!Q302+'Sumas y Saldos'!Q342</f>
      </c>
      <c r="J30" s="101">
        <f>'Sumas y Saldos'!Z94+'Sumas y Saldos'!Z302+'Sumas y Saldos'!Z342</f>
      </c>
      <c r="K30" s="101">
        <f>'Sumas y Saldos'!AC94+'Sumas y Saldos'!AC302+'Sumas y Saldos'!AC342</f>
      </c>
      <c r="L30" s="101">
        <f>'Sumas y Saldos'!AF94+'Sumas y Saldos'!AF302+'Sumas y Saldos'!AF342</f>
      </c>
      <c r="M30" s="101">
        <f>'Sumas y Saldos'!W94+'Sumas y Saldos'!W302+'Sumas y Saldos'!W342</f>
      </c>
      <c r="N30" s="101">
        <f>'Sumas y Saldos'!T94+'Sumas y Saldos'!T302+'Sumas y Saldos'!T342</f>
      </c>
      <c r="O30" s="101">
        <f>'Sumas y Saldos'!AI94+'Sumas y Saldos'!AI302+'Sumas y Saldos'!AI342</f>
      </c>
      <c r="P30" s="101">
        <f>'Sumas y Saldos'!AO94+'Sumas y Saldos'!AO302+'Sumas y Saldos'!AO342</f>
      </c>
      <c r="Q30" s="101">
        <f>'Sumas y Saldos'!AL94+'Sumas y Saldos'!AL302+'Sumas y Saldos'!AL342</f>
      </c>
      <c r="R30" s="101">
        <f>+'Sumas y Saldos'!BE302</f>
      </c>
      <c r="S30" s="101">
        <f>+'Sumas y Saldos'!BF302</f>
      </c>
      <c r="T30" s="101">
        <f>'Sumas y Saldos'!BD302</f>
      </c>
      <c r="U30" s="101">
        <f>'Sumas y Saldos'!BM302+'Sumas y Saldos'!BM342</f>
      </c>
      <c r="V30" s="101">
        <f>+'Sumas y Saldos'!BP302+'Sumas y Saldos'!BN342</f>
      </c>
      <c r="W30" s="101"/>
      <c r="X30" s="101"/>
      <c r="Y30" s="101"/>
      <c r="Z30" s="101"/>
      <c r="AA30" s="101"/>
      <c r="AB30" s="101"/>
      <c r="AC30" s="101">
        <v>0</v>
      </c>
      <c r="AD30" s="101">
        <v>0</v>
      </c>
      <c r="AE30" s="101">
        <v>0</v>
      </c>
      <c r="AF30" s="101">
        <v>0</v>
      </c>
      <c r="AG30" s="101">
        <v>0</v>
      </c>
      <c r="AH30" s="101">
        <v>0</v>
      </c>
      <c r="AI30" s="104">
        <f>SUM(W30:AH30)</f>
      </c>
      <c r="AJ30" s="76"/>
      <c r="AK30" s="105"/>
    </row>
    <row r="31" ht="12.75" customHeight="1" spans="1:37" x14ac:dyDescent="0.25">
      <c r="A31" s="76"/>
      <c r="B31" s="76"/>
      <c r="C31" s="98" t="s">
        <v>132</v>
      </c>
      <c r="D31" s="99">
        <f>SUM(F31:V31)+E31</f>
      </c>
      <c r="E31" s="99">
        <f>+'Sumas y Saldos'!D95+'Sumas y Saldos'!G95+'Sumas y Saldos'!J95+'Sumas y Saldos'!P95+'Sumas y Saldos'!Y95+'Sumas y Saldos'!AB95+'Sumas y Saldos'!AE95+'Sumas y Saldos'!V95+'Sumas y Saldos'!S95+'Sumas y Saldos'!AH95+'Sumas y Saldos'!AN95+'Sumas y Saldos'!AK95</f>
      </c>
      <c r="F31" s="101">
        <f>'Sumas y Saldos'!E95</f>
      </c>
      <c r="G31" s="101">
        <f>'Sumas y Saldos'!H95</f>
      </c>
      <c r="H31" s="101">
        <f>'Sumas y Saldos'!K95</f>
      </c>
      <c r="I31" s="101">
        <f>'Sumas y Saldos'!Q95</f>
      </c>
      <c r="J31" s="101">
        <f>'Sumas y Saldos'!Z95</f>
      </c>
      <c r="K31" s="101">
        <f>'Sumas y Saldos'!AC95</f>
      </c>
      <c r="L31" s="101">
        <f>'Sumas y Saldos'!AF95</f>
      </c>
      <c r="M31" s="101">
        <f>'Sumas y Saldos'!W95</f>
      </c>
      <c r="N31" s="101">
        <f>'Sumas y Saldos'!T95</f>
      </c>
      <c r="O31" s="101">
        <f>'Sumas y Saldos'!AI95</f>
      </c>
      <c r="P31" s="101">
        <f>'Sumas y Saldos'!AO95</f>
      </c>
      <c r="Q31" s="101">
        <f>'Sumas y Saldos'!AL95</f>
      </c>
      <c r="R31" s="101"/>
      <c r="S31" s="101"/>
      <c r="T31" s="101">
        <v>0</v>
      </c>
      <c r="U31" s="101"/>
      <c r="V31" s="101"/>
      <c r="W31" s="101"/>
      <c r="X31" s="101"/>
      <c r="Y31" s="101"/>
      <c r="Z31" s="101"/>
      <c r="AA31" s="101"/>
      <c r="AB31" s="101"/>
      <c r="AC31" s="101">
        <v>0</v>
      </c>
      <c r="AD31" s="101">
        <v>0</v>
      </c>
      <c r="AE31" s="101">
        <v>0</v>
      </c>
      <c r="AF31" s="101">
        <v>0</v>
      </c>
      <c r="AG31" s="101">
        <v>0</v>
      </c>
      <c r="AH31" s="101">
        <v>0</v>
      </c>
      <c r="AI31" s="104">
        <f>SUM(W31:AH31)</f>
      </c>
      <c r="AJ31" s="76"/>
      <c r="AK31" s="105"/>
    </row>
    <row r="32" ht="12.75" customHeight="1" spans="1:37" x14ac:dyDescent="0.25">
      <c r="A32" s="76" t="s">
        <v>516</v>
      </c>
      <c r="B32" s="76">
        <v>9600000062</v>
      </c>
      <c r="C32" s="98" t="s">
        <v>128</v>
      </c>
      <c r="D32" s="99">
        <f>SUM(F32:V32)+E32</f>
      </c>
      <c r="E32" s="99">
        <f>+'Sumas y Saldos'!D91+'Sumas y Saldos'!D279+'Sumas y Saldos'!D257+'Sumas y Saldos'!D204+'Sumas y Saldos'!D380+'Sumas y Saldos'!G91+'Sumas y Saldos'!G279+'Sumas y Saldos'!G257+'Sumas y Saldos'!G204+'Sumas y Saldos'!G380+'Sumas y Saldos'!J91+'Sumas y Saldos'!J279+'Sumas y Saldos'!J257+'Sumas y Saldos'!J204+'Sumas y Saldos'!J380+'Sumas y Saldos'!P91+'Sumas y Saldos'!P279+'Sumas y Saldos'!P257+'Sumas y Saldos'!P204+'Sumas y Saldos'!P380+'Sumas y Saldos'!Y91+'Sumas y Saldos'!Y279+'Sumas y Saldos'!Y257+'Sumas y Saldos'!Y204+'Sumas y Saldos'!Y380+'Sumas y Saldos'!AB91+'Sumas y Saldos'!AB279+'Sumas y Saldos'!AB257+'Sumas y Saldos'!AB204+'Sumas y Saldos'!AB380+'Sumas y Saldos'!AE91+'Sumas y Saldos'!AE279+'Sumas y Saldos'!AE257+'Sumas y Saldos'!AE204+'Sumas y Saldos'!AE380+'Sumas y Saldos'!V91+'Sumas y Saldos'!V279+'Sumas y Saldos'!V257+'Sumas y Saldos'!V204+'Sumas y Saldos'!V380+'Sumas y Saldos'!S91+'Sumas y Saldos'!S279+'Sumas y Saldos'!S257+'Sumas y Saldos'!S204+'Sumas y Saldos'!S380+'Sumas y Saldos'!AH91+'Sumas y Saldos'!AH279+'Sumas y Saldos'!AH257+'Sumas y Saldos'!AH204+'Sumas y Saldos'!AH380+'Sumas y Saldos'!AN91+'Sumas y Saldos'!AN279+'Sumas y Saldos'!AN257+'Sumas y Saldos'!AN204+'Sumas y Saldos'!AN380+'Sumas y Saldos'!AK91+'Sumas y Saldos'!AK279+'Sumas y Saldos'!AK257+'Sumas y Saldos'!AK204+'Sumas y Saldos'!AK380+'Sumas y Saldos'!BC279+'Sumas y Saldos'!BC257+'Sumas y Saldos'!BL279+'Sumas y Saldos'!BL257+'Sumas y Saldos'!BL204+'Sumas y Saldos'!BO257+'Sumas y Saldos'!BO204</f>
      </c>
      <c r="F32" s="101">
        <f>'Sumas y Saldos'!E91+'Sumas y Saldos'!E279+'Sumas y Saldos'!E257+'Sumas y Saldos'!E204+'Sumas y Saldos'!E380</f>
      </c>
      <c r="G32" s="101">
        <f>'Sumas y Saldos'!H91+'Sumas y Saldos'!H279+'Sumas y Saldos'!H257+'Sumas y Saldos'!H204+'Sumas y Saldos'!H380</f>
      </c>
      <c r="H32" s="101">
        <f>'Sumas y Saldos'!K91+'Sumas y Saldos'!K279+'Sumas y Saldos'!K257+'Sumas y Saldos'!K204+'Sumas y Saldos'!K380</f>
      </c>
      <c r="I32" s="101">
        <f>'Sumas y Saldos'!Q91+'Sumas y Saldos'!Q279+'Sumas y Saldos'!Q257+'Sumas y Saldos'!Q204+'Sumas y Saldos'!Q380</f>
      </c>
      <c r="J32" s="101">
        <f>'Sumas y Saldos'!Z91+'Sumas y Saldos'!Z279+'Sumas y Saldos'!Z257+'Sumas y Saldos'!Z204+'Sumas y Saldos'!Z380</f>
      </c>
      <c r="K32" s="101">
        <f>'Sumas y Saldos'!AC91+'Sumas y Saldos'!AC279+'Sumas y Saldos'!AC257+'Sumas y Saldos'!AC204+'Sumas y Saldos'!AC380</f>
      </c>
      <c r="L32" s="101">
        <f>'Sumas y Saldos'!AF91+'Sumas y Saldos'!AF279+'Sumas y Saldos'!AF257+'Sumas y Saldos'!AF204+'Sumas y Saldos'!AF380</f>
      </c>
      <c r="M32" s="101">
        <f>'Sumas y Saldos'!W91+'Sumas y Saldos'!W279+'Sumas y Saldos'!W257+'Sumas y Saldos'!W204+'Sumas y Saldos'!W380</f>
      </c>
      <c r="N32" s="101">
        <f>'Sumas y Saldos'!T91+'Sumas y Saldos'!T279+'Sumas y Saldos'!T257+'Sumas y Saldos'!T204+'Sumas y Saldos'!T380</f>
      </c>
      <c r="O32" s="101">
        <f>'Sumas y Saldos'!AI91+'Sumas y Saldos'!AI279+'Sumas y Saldos'!AI257+'Sumas y Saldos'!AI204+'Sumas y Saldos'!AI380</f>
      </c>
      <c r="P32" s="101">
        <f>'Sumas y Saldos'!AO91+'Sumas y Saldos'!AO279+'Sumas y Saldos'!AO257+'Sumas y Saldos'!AO204+'Sumas y Saldos'!AO380</f>
      </c>
      <c r="Q32" s="101">
        <f>'Sumas y Saldos'!AL91+'Sumas y Saldos'!AL279+'Sumas y Saldos'!AL257+'Sumas y Saldos'!AL204+'Sumas y Saldos'!AL380</f>
      </c>
      <c r="R32" s="101"/>
      <c r="S32" s="101"/>
      <c r="T32" s="101">
        <f>'Sumas y Saldos'!BD279+'Sumas y Saldos'!BD257</f>
      </c>
      <c r="U32" s="101">
        <f>+'Sumas y Saldos'!BM279+'Sumas y Saldos'!BM257+'Sumas y Saldos'!BM204</f>
      </c>
      <c r="V32" s="101">
        <f>'Sumas y Saldos'!BP257+'Sumas y Saldos'!BP204</f>
      </c>
      <c r="W32" s="101"/>
      <c r="X32" s="101"/>
      <c r="Y32" s="101"/>
      <c r="Z32" s="101"/>
      <c r="AA32" s="101"/>
      <c r="AB32" s="101"/>
      <c r="AC32" s="101">
        <v>0</v>
      </c>
      <c r="AD32" s="101">
        <v>0</v>
      </c>
      <c r="AE32" s="101">
        <v>0</v>
      </c>
      <c r="AF32" s="101">
        <v>4064.29</v>
      </c>
      <c r="AG32" s="101">
        <v>0</v>
      </c>
      <c r="AH32" s="101">
        <v>0</v>
      </c>
      <c r="AI32" s="104">
        <f>SUM(W32:AH32)</f>
        <v>4064.29</v>
      </c>
      <c r="AJ32" s="76"/>
      <c r="AK32" s="105"/>
    </row>
    <row r="33" ht="12.75" customHeight="1" spans="1:37" x14ac:dyDescent="0.25">
      <c r="A33" s="76" t="s">
        <v>517</v>
      </c>
      <c r="B33" s="76">
        <v>9600000062</v>
      </c>
      <c r="C33" s="98" t="s">
        <v>518</v>
      </c>
      <c r="D33" s="99">
        <f>SUM(F33:V33)+E33</f>
      </c>
      <c r="E33" s="99"/>
      <c r="F33" s="101">
        <v>0</v>
      </c>
      <c r="G33" s="101">
        <v>0</v>
      </c>
      <c r="H33" s="101">
        <v>0</v>
      </c>
      <c r="I33" s="101">
        <v>0</v>
      </c>
      <c r="J33" s="101">
        <v>0</v>
      </c>
      <c r="K33" s="101">
        <v>0</v>
      </c>
      <c r="L33" s="101">
        <v>0</v>
      </c>
      <c r="M33" s="101">
        <v>0</v>
      </c>
      <c r="N33" s="101">
        <v>0</v>
      </c>
      <c r="O33" s="101">
        <v>0</v>
      </c>
      <c r="P33" s="101">
        <v>0</v>
      </c>
      <c r="Q33" s="101">
        <v>0</v>
      </c>
      <c r="R33" s="101"/>
      <c r="S33" s="101"/>
      <c r="T33" s="101">
        <v>0</v>
      </c>
      <c r="U33" s="101"/>
      <c r="V33" s="101"/>
      <c r="W33" s="101"/>
      <c r="X33" s="101"/>
      <c r="Y33" s="101"/>
      <c r="Z33" s="101"/>
      <c r="AA33" s="101"/>
      <c r="AB33" s="101"/>
      <c r="AC33" s="101">
        <v>0</v>
      </c>
      <c r="AD33" s="101">
        <v>0</v>
      </c>
      <c r="AE33" s="101">
        <v>0</v>
      </c>
      <c r="AF33" s="101">
        <v>0</v>
      </c>
      <c r="AG33" s="101">
        <v>0</v>
      </c>
      <c r="AH33" s="101">
        <v>0</v>
      </c>
      <c r="AI33" s="104">
        <f>SUM(W33:AH33)</f>
      </c>
      <c r="AJ33" s="76"/>
      <c r="AK33" s="105"/>
    </row>
    <row r="34" ht="12.75" customHeight="1" spans="1:37" x14ac:dyDescent="0.25">
      <c r="A34" s="76" t="s">
        <v>519</v>
      </c>
      <c r="B34" s="76">
        <v>9600000062</v>
      </c>
      <c r="C34" s="98" t="s">
        <v>520</v>
      </c>
      <c r="D34" s="99">
        <f>SUM(F34:V34)+E34</f>
        <v>1911.15</v>
      </c>
      <c r="E34" s="99">
        <f>'Sumas y Saldos'!D19+'Sumas y Saldos'!D29+'Sumas y Saldos'!G19+'Sumas y Saldos'!G29+'Sumas y Saldos'!J19+'Sumas y Saldos'!J29+'Sumas y Saldos'!P19+'Sumas y Saldos'!P29+'Sumas y Saldos'!Y19+'Sumas y Saldos'!Y29+'Sumas y Saldos'!AB19+'Sumas y Saldos'!AB29+'Sumas y Saldos'!AE19+'Sumas y Saldos'!AE29+'Sumas y Saldos'!V19+'Sumas y Saldos'!V29+'Sumas y Saldos'!S19+'Sumas y Saldos'!S29+'Sumas y Saldos'!AH19+'Sumas y Saldos'!AH29+'Sumas y Saldos'!AN19+'Sumas y Saldos'!AN29+'Sumas y Saldos'!AK19+'Sumas y Saldos'!AK29+'Sumas y Saldos'!BL18+'Sumas y Saldos'!BL19+'Sumas y Saldos'!BO18</f>
      </c>
      <c r="F34" s="101">
        <f>+'Sumas y Saldos'!E19+'Sumas y Saldos'!E29</f>
        <v>1911.15</v>
      </c>
      <c r="G34" s="101">
        <f>+'Sumas y Saldos'!H19+'Sumas y Saldos'!H29</f>
      </c>
      <c r="H34" s="101">
        <f>+'Sumas y Saldos'!K19+'Sumas y Saldos'!K29</f>
      </c>
      <c r="I34" s="101">
        <f>+'Sumas y Saldos'!Q19+'Sumas y Saldos'!Q29</f>
      </c>
      <c r="J34" s="101">
        <f>+'Sumas y Saldos'!Z19+'Sumas y Saldos'!Z29</f>
      </c>
      <c r="K34" s="101">
        <f>+'Sumas y Saldos'!AC19+'Sumas y Saldos'!AC29</f>
      </c>
      <c r="L34" s="101">
        <f>+'Sumas y Saldos'!AF19+'Sumas y Saldos'!AF29</f>
      </c>
      <c r="M34" s="101">
        <f>+'Sumas y Saldos'!W19+'Sumas y Saldos'!W29</f>
      </c>
      <c r="N34" s="101">
        <f>+'Sumas y Saldos'!T19+'Sumas y Saldos'!T29</f>
      </c>
      <c r="O34" s="101">
        <f>+'Sumas y Saldos'!AI19+'Sumas y Saldos'!AI29</f>
      </c>
      <c r="P34" s="101">
        <f>+'Sumas y Saldos'!AO19+'Sumas y Saldos'!AO29</f>
      </c>
      <c r="Q34" s="101">
        <f>+'Sumas y Saldos'!AL19+'Sumas y Saldos'!AL29</f>
      </c>
      <c r="R34" s="101"/>
      <c r="S34" s="101"/>
      <c r="T34" s="101">
        <v>0</v>
      </c>
      <c r="U34" s="101">
        <f>+'Sumas y Saldos'!BM18+'Sumas y Saldos'!BM19</f>
      </c>
      <c r="V34" s="101">
        <f>+'Sumas y Saldos'!BN18</f>
      </c>
      <c r="W34" s="101"/>
      <c r="X34" s="101"/>
      <c r="Y34" s="101"/>
      <c r="Z34" s="101"/>
      <c r="AA34" s="101"/>
      <c r="AB34" s="101"/>
      <c r="AC34" s="101">
        <v>1911.15</v>
      </c>
      <c r="AD34" s="101">
        <v>8810.54</v>
      </c>
      <c r="AE34" s="101">
        <v>2564.8</v>
      </c>
      <c r="AF34" s="101">
        <v>2227.69</v>
      </c>
      <c r="AG34" s="101">
        <v>85936.77</v>
      </c>
      <c r="AH34" s="101">
        <v>5025.14</v>
      </c>
      <c r="AI34" s="104">
        <f>SUM(W34:AH34)</f>
        <v>106476.09000000001</v>
      </c>
      <c r="AJ34" s="76"/>
      <c r="AK34" s="105"/>
    </row>
    <row r="35" ht="12.75" customHeight="1" spans="1:37" x14ac:dyDescent="0.25">
      <c r="A35" s="76" t="s">
        <v>521</v>
      </c>
      <c r="B35" s="76">
        <v>9600000062</v>
      </c>
      <c r="C35" s="98" t="s">
        <v>522</v>
      </c>
      <c r="D35" s="99">
        <f>SUM(F35:V35)+E35</f>
        <v>38936.45</v>
      </c>
      <c r="E35" s="99">
        <f>+'Sumas y Saldos'!D93+'Sumas y Saldos'!G93+'Sumas y Saldos'!J93+'Sumas y Saldos'!P93+'Sumas y Saldos'!Y93+'Sumas y Saldos'!AB93+'Sumas y Saldos'!AE93+'Sumas y Saldos'!V93+'Sumas y Saldos'!S93+'Sumas y Saldos'!AH93+'Sumas y Saldos'!AN93+'Sumas y Saldos'!AK93+'Sumas y Saldos'!BF92+'Sumas y Saldos'!BI92+'Sumas y Saldos'!BL92+'Sumas y Saldos'!BO92</f>
      </c>
      <c r="F35" s="101">
        <f>+'Sumas y Saldos'!E93</f>
      </c>
      <c r="G35" s="101">
        <f>+'Sumas y Saldos'!H93</f>
      </c>
      <c r="H35" s="101">
        <f>+'Sumas y Saldos'!K93</f>
      </c>
      <c r="I35" s="101">
        <f>+'Sumas y Saldos'!Q93</f>
      </c>
      <c r="J35" s="101">
        <f>+'Sumas y Saldos'!Z93</f>
      </c>
      <c r="K35" s="101">
        <f>+'Sumas y Saldos'!AC93</f>
        <v>21921.22</v>
      </c>
      <c r="L35" s="101">
        <f>+'Sumas y Saldos'!AF93</f>
      </c>
      <c r="M35" s="101">
        <f>+'Sumas y Saldos'!W93</f>
      </c>
      <c r="N35" s="101">
        <f>+'Sumas y Saldos'!T93</f>
        <v>17015.23</v>
      </c>
      <c r="O35" s="101">
        <f>+'Sumas y Saldos'!AI93</f>
      </c>
      <c r="P35" s="101">
        <f>+'Sumas y Saldos'!AO93</f>
      </c>
      <c r="Q35" s="101">
        <f>+'Sumas y Saldos'!AL93</f>
      </c>
      <c r="R35" s="101">
        <f>+'Sumas y Saldos'!BG92</f>
      </c>
      <c r="S35" s="101">
        <f>+'Sumas y Saldos'!BH92</f>
      </c>
      <c r="T35" s="101">
        <v>0</v>
      </c>
      <c r="U35" s="101">
        <f>+'Sumas y Saldos'!BM92</f>
      </c>
      <c r="V35" s="101">
        <f>+'Sumas y Saldos'!BP92</f>
      </c>
      <c r="W35" s="101"/>
      <c r="X35" s="101"/>
      <c r="Y35" s="101"/>
      <c r="Z35" s="101"/>
      <c r="AA35" s="101"/>
      <c r="AB35" s="101"/>
      <c r="AC35" s="101">
        <v>38936.45</v>
      </c>
      <c r="AD35" s="101">
        <v>18147.13</v>
      </c>
      <c r="AE35" s="101">
        <v>24218.79</v>
      </c>
      <c r="AF35" s="101">
        <v>24830.04</v>
      </c>
      <c r="AG35" s="101">
        <v>57217.44</v>
      </c>
      <c r="AH35" s="101">
        <v>31490.86</v>
      </c>
      <c r="AI35" s="104">
        <f>SUM(W35:AH35)</f>
        <v>194840.71000000002</v>
      </c>
      <c r="AJ35" s="76"/>
      <c r="AK35" s="105"/>
    </row>
    <row r="36" ht="12.75" customHeight="1" spans="1:37" x14ac:dyDescent="0.25">
      <c r="A36" s="76" t="s">
        <v>523</v>
      </c>
      <c r="B36" s="76">
        <v>9600000062</v>
      </c>
      <c r="C36" s="98" t="s">
        <v>524</v>
      </c>
      <c r="D36" s="99">
        <f>SUM(F36:V36)+E36</f>
        <v>554.77</v>
      </c>
      <c r="E36" s="99">
        <f>+'Sumas y Saldos'!D20+'Sumas y Saldos'!D64+'Sumas y Saldos'!G20+'Sumas y Saldos'!G64+'Sumas y Saldos'!J20+'Sumas y Saldos'!J64+'Sumas y Saldos'!P20+'Sumas y Saldos'!P64+'Sumas y Saldos'!Y20+'Sumas y Saldos'!Y64+'Sumas y Saldos'!AB20+'Sumas y Saldos'!AB64+'Sumas y Saldos'!AE20+'Sumas y Saldos'!AE64+'Sumas y Saldos'!V20+'Sumas y Saldos'!V64+'Sumas y Saldos'!S20+'Sumas y Saldos'!S64+'Sumas y Saldos'!AH20+'Sumas y Saldos'!AH64+'Sumas y Saldos'!AN20+'Sumas y Saldos'!AN64+'Sumas y Saldos'!AK20+'Sumas y Saldos'!AK64</f>
      </c>
      <c r="F36" s="101">
        <f>+'Sumas y Saldos'!E20+'Sumas y Saldos'!E64</f>
        <v>554.77</v>
      </c>
      <c r="G36" s="101">
        <f>+'Sumas y Saldos'!H20+'Sumas y Saldos'!H64</f>
      </c>
      <c r="H36" s="101">
        <f>+'Sumas y Saldos'!K20+'Sumas y Saldos'!K64</f>
      </c>
      <c r="I36" s="101">
        <f>+'Sumas y Saldos'!Q20+'Sumas y Saldos'!Q64</f>
      </c>
      <c r="J36" s="101">
        <f>+'Sumas y Saldos'!Z20+'Sumas y Saldos'!Z64</f>
      </c>
      <c r="K36" s="101">
        <f>+'Sumas y Saldos'!AC20+'Sumas y Saldos'!AC64</f>
      </c>
      <c r="L36" s="101">
        <f>+'Sumas y Saldos'!AF20+'Sumas y Saldos'!AF64</f>
      </c>
      <c r="M36" s="101">
        <f>+'Sumas y Saldos'!W20+'Sumas y Saldos'!W64</f>
      </c>
      <c r="N36" s="101">
        <f>+'Sumas y Saldos'!T20+'Sumas y Saldos'!T64</f>
      </c>
      <c r="O36" s="101">
        <f>+'Sumas y Saldos'!AI20+'Sumas y Saldos'!AI64</f>
      </c>
      <c r="P36" s="101">
        <f>+'Sumas y Saldos'!AO20+'Sumas y Saldos'!AO64</f>
      </c>
      <c r="Q36" s="101">
        <f>+'Sumas y Saldos'!AL20+'Sumas y Saldos'!AL64</f>
      </c>
      <c r="R36" s="101">
        <v>0</v>
      </c>
      <c r="S36" s="101"/>
      <c r="T36" s="101">
        <v>0</v>
      </c>
      <c r="U36" s="101">
        <v>0</v>
      </c>
      <c r="V36" s="101"/>
      <c r="W36" s="101"/>
      <c r="X36" s="101"/>
      <c r="Y36" s="101"/>
      <c r="Z36" s="101"/>
      <c r="AA36" s="101"/>
      <c r="AB36" s="101"/>
      <c r="AC36" s="101">
        <v>554.77</v>
      </c>
      <c r="AD36" s="101">
        <v>2558.21</v>
      </c>
      <c r="AE36" s="101">
        <v>744.67</v>
      </c>
      <c r="AF36" s="101">
        <v>754.36</v>
      </c>
      <c r="AG36" s="101">
        <v>3929.41</v>
      </c>
      <c r="AH36" s="101">
        <v>1459.51</v>
      </c>
      <c r="AI36" s="104">
        <f>SUM(W36:AH36)</f>
        <v>10000.93</v>
      </c>
      <c r="AJ36" s="76"/>
      <c r="AK36" s="105"/>
    </row>
    <row r="37" ht="12.75" customHeight="1" spans="1:37" x14ac:dyDescent="0.25">
      <c r="A37" s="76" t="s">
        <v>525</v>
      </c>
      <c r="B37" s="76">
        <v>9600000062</v>
      </c>
      <c r="C37" s="98" t="s">
        <v>135</v>
      </c>
      <c r="D37" s="99">
        <f>SUM(F37:V37)+E37</f>
        <v>11302.09</v>
      </c>
      <c r="E37" s="99">
        <f>+'Sumas y Saldos'!D98+'Sumas y Saldos'!G98+'Sumas y Saldos'!J98+'Sumas y Saldos'!P98+'Sumas y Saldos'!Y98+'Sumas y Saldos'!AB98+'Sumas y Saldos'!AE98+'Sumas y Saldos'!V98+'Sumas y Saldos'!S98+'Sumas y Saldos'!AH98+'Sumas y Saldos'!AN98+'Sumas y Saldos'!AK98</f>
      </c>
      <c r="F37" s="101">
        <f>'Sumas y Saldos'!E98</f>
      </c>
      <c r="G37" s="101">
        <f>'Sumas y Saldos'!H98</f>
      </c>
      <c r="H37" s="101">
        <f>'Sumas y Saldos'!K98</f>
      </c>
      <c r="I37" s="101">
        <f>'Sumas y Saldos'!Q98</f>
      </c>
      <c r="J37" s="101">
        <f>'Sumas y Saldos'!Z98</f>
      </c>
      <c r="K37" s="101">
        <f>'Sumas y Saldos'!AC98</f>
      </c>
      <c r="L37" s="101">
        <f>'Sumas y Saldos'!AF98</f>
      </c>
      <c r="M37" s="101">
        <f>'Sumas y Saldos'!W98</f>
      </c>
      <c r="N37" s="101">
        <f>'Sumas y Saldos'!T98</f>
      </c>
      <c r="O37" s="101">
        <f>'Sumas y Saldos'!AI98</f>
      </c>
      <c r="P37" s="101">
        <f>'Sumas y Saldos'!AO98</f>
      </c>
      <c r="Q37" s="101">
        <f>'Sumas y Saldos'!AL98</f>
      </c>
      <c r="R37" s="101"/>
      <c r="S37" s="101"/>
      <c r="T37" s="101">
        <v>0</v>
      </c>
      <c r="U37" s="101">
        <v>0</v>
      </c>
      <c r="V37" s="101">
        <v>0</v>
      </c>
      <c r="W37" s="101"/>
      <c r="X37" s="101"/>
      <c r="Y37" s="101"/>
      <c r="Z37" s="101"/>
      <c r="AA37" s="101"/>
      <c r="AB37" s="101"/>
      <c r="AC37" s="101">
        <v>11302.09</v>
      </c>
      <c r="AD37" s="101">
        <v>5300</v>
      </c>
      <c r="AE37" s="101">
        <v>7031.860000000001</v>
      </c>
      <c r="AF37" s="101">
        <v>7209.37</v>
      </c>
      <c r="AG37" s="101">
        <v>7509.87</v>
      </c>
      <c r="AH37" s="101">
        <v>-1635.7</v>
      </c>
      <c r="AI37" s="104">
        <f>SUM(W37:AH37)</f>
        <v>36717.490000000005</v>
      </c>
      <c r="AJ37" s="76"/>
      <c r="AK37" s="105"/>
    </row>
    <row r="38" ht="12.75" customHeight="1" spans="1:37" x14ac:dyDescent="0.25">
      <c r="A38" s="76" t="s">
        <v>526</v>
      </c>
      <c r="B38" s="76">
        <v>9600000062</v>
      </c>
      <c r="C38" s="98" t="s">
        <v>150</v>
      </c>
      <c r="D38" s="99">
        <f>SUM(F38:V38)+E38</f>
        <v>5.7700000000000005</v>
      </c>
      <c r="E38" s="99">
        <f>'Sumas y Saldos'!G149+'Sumas y Saldos'!D113+'Sumas y Saldos'!D248+'Sumas y Saldos'!D149+'Sumas y Saldos'!D370+'Sumas y Saldos'!G113+'Sumas y Saldos'!G248+'Sumas y Saldos'!G370+'Sumas y Saldos'!J113+'Sumas y Saldos'!J248+'Sumas y Saldos'!J149+'Sumas y Saldos'!J370+'Sumas y Saldos'!P113+'Sumas y Saldos'!P248+'Sumas y Saldos'!P149+'Sumas y Saldos'!P370+'Sumas y Saldos'!Y113+'Sumas y Saldos'!Y248+'Sumas y Saldos'!Y149+'Sumas y Saldos'!Y370+'Sumas y Saldos'!AB113+'Sumas y Saldos'!AB248+'Sumas y Saldos'!AB149+'Sumas y Saldos'!AB370+'Sumas y Saldos'!AE113+'Sumas y Saldos'!AE248+'Sumas y Saldos'!AE149+'Sumas y Saldos'!AE370+'Sumas y Saldos'!V113+'Sumas y Saldos'!V248+'Sumas y Saldos'!V149+'Sumas y Saldos'!V370+'Sumas y Saldos'!S113+'Sumas y Saldos'!S248+'Sumas y Saldos'!S149+'Sumas y Saldos'!S370+'Sumas y Saldos'!AH113+'Sumas y Saldos'!AH248+'Sumas y Saldos'!AH149+'Sumas y Saldos'!AH370+'Sumas y Saldos'!AN113+'Sumas y Saldos'!AN248+'Sumas y Saldos'!AN149+'Sumas y Saldos'!AN370+'Sumas y Saldos'!AK113+'Sumas y Saldos'!AK248+'Sumas y Saldos'!AK149+'Sumas y Saldos'!AK370+'Sumas y Saldos'!BC248+'Sumas y Saldos'!BO149</f>
      </c>
      <c r="F38" s="101">
        <f>'Sumas y Saldos'!E113+'Sumas y Saldos'!E248+'Sumas y Saldos'!E149+'Sumas y Saldos'!E370</f>
      </c>
      <c r="G38" s="101">
        <f>'Sumas y Saldos'!H113+'Sumas y Saldos'!H248+'Sumas y Saldos'!H149+'Sumas y Saldos'!H370</f>
      </c>
      <c r="H38" s="101">
        <f>'Sumas y Saldos'!K113+'Sumas y Saldos'!K248+'Sumas y Saldos'!K149+'Sumas y Saldos'!K370</f>
      </c>
      <c r="I38" s="101">
        <f>'Sumas y Saldos'!Q113+'Sumas y Saldos'!Q248+'Sumas y Saldos'!Q149+'Sumas y Saldos'!Q370</f>
      </c>
      <c r="J38" s="101">
        <f>'Sumas y Saldos'!Z113+'Sumas y Saldos'!Z248+'Sumas y Saldos'!Z149+'Sumas y Saldos'!Z370</f>
      </c>
      <c r="K38" s="101">
        <f>'Sumas y Saldos'!AC113+'Sumas y Saldos'!AC248+'Sumas y Saldos'!AC149+'Sumas y Saldos'!AC370</f>
      </c>
      <c r="L38" s="101">
        <f>'Sumas y Saldos'!AF113+'Sumas y Saldos'!AF248+'Sumas y Saldos'!AF149+'Sumas y Saldos'!AF370</f>
      </c>
      <c r="M38" s="101">
        <f>'Sumas y Saldos'!W113+'Sumas y Saldos'!W248+'Sumas y Saldos'!W149+'Sumas y Saldos'!W370</f>
      </c>
      <c r="N38" s="101">
        <f>'Sumas y Saldos'!T113+'Sumas y Saldos'!T248+'Sumas y Saldos'!T149+'Sumas y Saldos'!T370</f>
      </c>
      <c r="O38" s="101">
        <f>'Sumas y Saldos'!AI113+'Sumas y Saldos'!AI248+'Sumas y Saldos'!AI149+'Sumas y Saldos'!AI370</f>
      </c>
      <c r="P38" s="101">
        <f>'Sumas y Saldos'!AO113+'Sumas y Saldos'!AO248+'Sumas y Saldos'!AO149+'Sumas y Saldos'!AO370</f>
      </c>
      <c r="Q38" s="101">
        <f>'Sumas y Saldos'!AL113+'Sumas y Saldos'!AL248+'Sumas y Saldos'!AL149+'Sumas y Saldos'!AL370</f>
      </c>
      <c r="R38" s="101"/>
      <c r="S38" s="101"/>
      <c r="T38" s="101">
        <f>'Sumas y Saldos'!BD248</f>
      </c>
      <c r="U38" s="101"/>
      <c r="V38" s="101">
        <f>+'Sumas y Saldos'!BP149</f>
      </c>
      <c r="W38" s="101"/>
      <c r="X38" s="101"/>
      <c r="Y38" s="101"/>
      <c r="Z38" s="101"/>
      <c r="AA38" s="101"/>
      <c r="AB38" s="101"/>
      <c r="AC38" s="101">
        <v>5.7700000000000005</v>
      </c>
      <c r="AD38" s="101">
        <v>559.21</v>
      </c>
      <c r="AE38" s="101">
        <v>494.77000000000004</v>
      </c>
      <c r="AF38" s="101">
        <v>429.26</v>
      </c>
      <c r="AG38" s="101">
        <v>429.26</v>
      </c>
      <c r="AH38" s="101">
        <v>429.26</v>
      </c>
      <c r="AI38" s="104">
        <f>SUM(W38:AH38)</f>
        <v>2347.5299999999997</v>
      </c>
      <c r="AJ38" s="76"/>
      <c r="AK38" s="105"/>
    </row>
    <row r="39" ht="12.75" customHeight="1" spans="1:37" x14ac:dyDescent="0.25">
      <c r="A39" s="76" t="s">
        <v>527</v>
      </c>
      <c r="B39" s="76">
        <v>9600000062</v>
      </c>
      <c r="C39" s="98" t="s">
        <v>528</v>
      </c>
      <c r="D39" s="99">
        <f>SUM(F39:V39)+E39</f>
      </c>
      <c r="E39" s="99">
        <f>+'Sumas y Saldos'!D160+'Sumas y Saldos'!P160+'Sumas y Saldos'!S160+'Sumas y Saldos'!Y160+'Sumas y Saldos'!D128+'Sumas y Saldos'!D272+'Sumas y Saldos'!D228+'Sumas y Saldos'!D326+'Sumas y Saldos'!D187+'Sumas y Saldos'!D365+'Sumas y Saldos'!G272+'Sumas y Saldos'!G228+'Sumas y Saldos'!G326+'Sumas y Saldos'!G160+'Sumas y Saldos'!G128+'Sumas y Saldos'!G187+'Sumas y Saldos'!G365+'Sumas y Saldos'!J272+'Sumas y Saldos'!J228+'Sumas y Saldos'!J326+'Sumas y Saldos'!J160+'Sumas y Saldos'!J128+'Sumas y Saldos'!J187+'Sumas y Saldos'!J365+'Sumas y Saldos'!P272+'Sumas y Saldos'!P228+'Sumas y Saldos'!P326+'Sumas y Saldos'!P128+'Sumas y Saldos'!P187+'Sumas y Saldos'!P365+'Sumas y Saldos'!Y272+'Sumas y Saldos'!Y228+'Sumas y Saldos'!Y326+'Sumas y Saldos'!Y128+'Sumas y Saldos'!Y187+'Sumas y Saldos'!Y365+'Sumas y Saldos'!AB272+'Sumas y Saldos'!AB228+'Sumas y Saldos'!AB326+'Sumas y Saldos'!AB160+'Sumas y Saldos'!AB128+'Sumas y Saldos'!AB187+'Sumas y Saldos'!AB365+'Sumas y Saldos'!AE272+'Sumas y Saldos'!AE228+'Sumas y Saldos'!AE326+'Sumas y Saldos'!AE160+'Sumas y Saldos'!AE128+'Sumas y Saldos'!AE187+'Sumas y Saldos'!AE365+'Sumas y Saldos'!V272+'Sumas y Saldos'!V228+'Sumas y Saldos'!V326+'Sumas y Saldos'!V160+'Sumas y Saldos'!V128+'Sumas y Saldos'!V187+'Sumas y Saldos'!V365+'Sumas y Saldos'!S272+'Sumas y Saldos'!S228+'Sumas y Saldos'!S326+'Sumas y Saldos'!S128+'Sumas y Saldos'!S187+'Sumas y Saldos'!S365+'Sumas y Saldos'!AH272+'Sumas y Saldos'!AH228+'Sumas y Saldos'!AH326+'Sumas y Saldos'!AH160+'Sumas y Saldos'!AH128+'Sumas y Saldos'!AH187+'Sumas y Saldos'!AH365+'Sumas y Saldos'!AN272+'Sumas y Saldos'!AN228+'Sumas y Saldos'!AN326+'Sumas y Saldos'!AN160+'Sumas y Saldos'!AN128+'Sumas y Saldos'!AN187+'Sumas y Saldos'!AN365+'Sumas y Saldos'!AK272+'Sumas y Saldos'!AK228+'Sumas y Saldos'!AK326+'Sumas y Saldos'!AK160+'Sumas y Saldos'!AK128+'Sumas y Saldos'!AK187+'Sumas y Saldos'!AK365+'Sumas y Saldos'!BC272+'Sumas y Saldos'!BC228+'Sumas y Saldos'!BL272+'Sumas y Saldos'!BL187+'Sumas y Saldos'!BL338+'Sumas y Saldos'!BO272+'Sumas y Saldos'!BO228+'Sumas y Saldos'!BO326+'Sumas y Saldos'!BO187</f>
      </c>
      <c r="F39" s="101">
        <f>+'Sumas y Saldos'!E272+'Sumas y Saldos'!E228+'Sumas y Saldos'!E326+'Sumas y Saldos'!E160+'Sumas y Saldos'!E128+'Sumas y Saldos'!E187+'Sumas y Saldos'!E365</f>
      </c>
      <c r="G39" s="101">
        <f>+'Sumas y Saldos'!H272+'Sumas y Saldos'!H228+'Sumas y Saldos'!H326+'Sumas y Saldos'!H160+'Sumas y Saldos'!H128+'Sumas y Saldos'!H187+'Sumas y Saldos'!H365</f>
      </c>
      <c r="H39" s="101">
        <f>+'Sumas y Saldos'!K272+'Sumas y Saldos'!K228+'Sumas y Saldos'!K326+'Sumas y Saldos'!K160+'Sumas y Saldos'!K128+'Sumas y Saldos'!K187+'Sumas y Saldos'!K365</f>
      </c>
      <c r="I39" s="101">
        <f>+'Sumas y Saldos'!Q272+'Sumas y Saldos'!Q228+'Sumas y Saldos'!Q326+'Sumas y Saldos'!Q160+'Sumas y Saldos'!Q128+'Sumas y Saldos'!Q187+'Sumas y Saldos'!Q365</f>
      </c>
      <c r="J39" s="101">
        <f>+'Sumas y Saldos'!Z272+'Sumas y Saldos'!Z228+'Sumas y Saldos'!Z326+'Sumas y Saldos'!Z160+'Sumas y Saldos'!Z128+'Sumas y Saldos'!Z187+'Sumas y Saldos'!Z365</f>
      </c>
      <c r="K39" s="101">
        <f>+'Sumas y Saldos'!AC272+'Sumas y Saldos'!AC228+'Sumas y Saldos'!AC326+'Sumas y Saldos'!AC160+'Sumas y Saldos'!AC128+'Sumas y Saldos'!AC187+'Sumas y Saldos'!AC365</f>
      </c>
      <c r="L39" s="101">
        <f>+'Sumas y Saldos'!AF272+'Sumas y Saldos'!AF228+'Sumas y Saldos'!AF326+'Sumas y Saldos'!AF160+'Sumas y Saldos'!AF128+'Sumas y Saldos'!AF187+'Sumas y Saldos'!AF365</f>
      </c>
      <c r="M39" s="101">
        <f>+'Sumas y Saldos'!W272+'Sumas y Saldos'!W228+'Sumas y Saldos'!W326+'Sumas y Saldos'!W160+'Sumas y Saldos'!W128+'Sumas y Saldos'!W187+'Sumas y Saldos'!W365</f>
      </c>
      <c r="N39" s="101">
        <f>+'Sumas y Saldos'!T272+'Sumas y Saldos'!T228+'Sumas y Saldos'!T326+'Sumas y Saldos'!T160+'Sumas y Saldos'!T128+'Sumas y Saldos'!T187+'Sumas y Saldos'!T365</f>
      </c>
      <c r="O39" s="101">
        <f>+'Sumas y Saldos'!AI272+'Sumas y Saldos'!AI228+'Sumas y Saldos'!AI326+'Sumas y Saldos'!AI160+'Sumas y Saldos'!AI128+'Sumas y Saldos'!AI187+'Sumas y Saldos'!AI365</f>
      </c>
      <c r="P39" s="101">
        <f>+'Sumas y Saldos'!AO272+'Sumas y Saldos'!AO228+'Sumas y Saldos'!AO326+'Sumas y Saldos'!AO160+'Sumas y Saldos'!AO128+'Sumas y Saldos'!AO187+'Sumas y Saldos'!AO365</f>
      </c>
      <c r="Q39" s="101">
        <f>+'Sumas y Saldos'!AL272+'Sumas y Saldos'!AL228+'Sumas y Saldos'!AL326+'Sumas y Saldos'!AL160+'Sumas y Saldos'!AL128+'Sumas y Saldos'!AL187+'Sumas y Saldos'!AL365</f>
      </c>
      <c r="R39" s="101">
        <v>0</v>
      </c>
      <c r="S39" s="101">
        <v>0</v>
      </c>
      <c r="T39" s="101">
        <f>'Sumas y Saldos'!BD272+'Sumas y Saldos'!BD228</f>
      </c>
      <c r="U39" s="101">
        <f>'Sumas y Saldos'!BM272+'Sumas y Saldos'!BM187+'Sumas y Saldos'!BM338</f>
      </c>
      <c r="V39" s="101">
        <f>'Sumas y Saldos'!BP272+'Sumas y Saldos'!BP228+'Sumas y Saldos'!BP326+'Sumas y Saldos'!BP187</f>
      </c>
      <c r="W39" s="101"/>
      <c r="X39" s="101"/>
      <c r="Y39" s="101"/>
      <c r="Z39" s="101"/>
      <c r="AA39" s="101"/>
      <c r="AB39" s="101"/>
      <c r="AC39" s="101">
        <v>0</v>
      </c>
      <c r="AD39" s="101">
        <v>0</v>
      </c>
      <c r="AE39" s="101">
        <v>0</v>
      </c>
      <c r="AF39" s="101">
        <v>0</v>
      </c>
      <c r="AG39" s="101">
        <v>0</v>
      </c>
      <c r="AH39" s="101">
        <v>0</v>
      </c>
      <c r="AI39" s="104">
        <f>SUM(W39:AH39)</f>
      </c>
      <c r="AJ39" s="76"/>
      <c r="AK39" s="105"/>
    </row>
    <row r="40" ht="12.75" customHeight="1" spans="1:37" x14ac:dyDescent="0.25">
      <c r="A40" s="76" t="s">
        <v>529</v>
      </c>
      <c r="B40" s="76">
        <v>9600000062</v>
      </c>
      <c r="C40" s="98" t="s">
        <v>530</v>
      </c>
      <c r="D40" s="99">
        <f>SUM(F40:V40)+E40</f>
        <v>18469.85</v>
      </c>
      <c r="E40" s="99">
        <f>+'Sumas y Saldos'!D141+'Sumas y Saldos'!D286+'Sumas y Saldos'!D350+'Sumas y Saldos'!D237+'Sumas y Saldos'!D142+'Sumas y Saldos'!D129+'Sumas y Saldos'!D188+'Sumas y Saldos'!G141+'Sumas y Saldos'!G395+'Sumas y Saldos'!G286+'Sumas y Saldos'!G350+'Sumas y Saldos'!G237+'Sumas y Saldos'!G142+'Sumas y Saldos'!G129+'Sumas y Saldos'!G188+'Sumas y Saldos'!J141+'Sumas y Saldos'!J286+'Sumas y Saldos'!J350+'Sumas y Saldos'!J237+'Sumas y Saldos'!J142+'Sumas y Saldos'!J129+'Sumas y Saldos'!J188+'Sumas y Saldos'!P141+'Sumas y Saldos'!P286+'Sumas y Saldos'!P350+'Sumas y Saldos'!P237+'Sumas y Saldos'!P142+'Sumas y Saldos'!P129+'Sumas y Saldos'!P188+'Sumas y Saldos'!Y141+'Sumas y Saldos'!Y286+'Sumas y Saldos'!Y350+'Sumas y Saldos'!Y237+'Sumas y Saldos'!Y142+'Sumas y Saldos'!Y129+'Sumas y Saldos'!Y188+'Sumas y Saldos'!AB141+'Sumas y Saldos'!AB286+'Sumas y Saldos'!AB350+'Sumas y Saldos'!AB237+'Sumas y Saldos'!AB142+'Sumas y Saldos'!AB129+'Sumas y Saldos'!AB188+'Sumas y Saldos'!AE141+'Sumas y Saldos'!AE286+'Sumas y Saldos'!AE350+'Sumas y Saldos'!AE237+'Sumas y Saldos'!AE142+'Sumas y Saldos'!AE129+'Sumas y Saldos'!AE188+'Sumas y Saldos'!V141+'Sumas y Saldos'!V286+'Sumas y Saldos'!V350+'Sumas y Saldos'!V237+'Sumas y Saldos'!V142+'Sumas y Saldos'!V129+'Sumas y Saldos'!V188+'Sumas y Saldos'!S141+'Sumas y Saldos'!S286+'Sumas y Saldos'!S350+'Sumas y Saldos'!S237+'Sumas y Saldos'!S142+'Sumas y Saldos'!S129+'Sumas y Saldos'!S188+'Sumas y Saldos'!AH141+'Sumas y Saldos'!AH286+'Sumas y Saldos'!AH350+'Sumas y Saldos'!AH237+'Sumas y Saldos'!AH142+'Sumas y Saldos'!AH129+'Sumas y Saldos'!AH188+'Sumas y Saldos'!AN141+'Sumas y Saldos'!AN286+'Sumas y Saldos'!AN350+'Sumas y Saldos'!AN237+'Sumas y Saldos'!AN142+'Sumas y Saldos'!AN129+'Sumas y Saldos'!AN188+'Sumas y Saldos'!AK141+'Sumas y Saldos'!AK286+'Sumas y Saldos'!AK350+'Sumas y Saldos'!AK237+'Sumas y Saldos'!AK142+'Sumas y Saldos'!AK129+'Sumas y Saldos'!AK188+'Sumas y Saldos'!BF286+'Sumas y Saldos'!BI286+'Sumas y Saldos'!BC286+'Sumas y Saldos'!BL286+'Sumas y Saldos'!BL395+'Sumas y Saldos'!BL350+'Sumas y Saldos'!BL345+'Sumas y Saldos'!BO286+'Sumas y Saldos'!BO141+'Sumas y Saldos'!BO350+'Sumas y Saldos'!BO188</f>
      </c>
      <c r="F40" s="101">
        <f>'Sumas y Saldos'!E141+'Sumas y Saldos'!E286+'Sumas y Saldos'!E350+'Sumas y Saldos'!E237+'Sumas y Saldos'!E142+'Sumas y Saldos'!E129+'Sumas y Saldos'!E188</f>
      </c>
      <c r="G40" s="101">
        <f>'Sumas y Saldos'!H141+'Sumas y Saldos'!F395+'Sumas y Saldos'!H286+'Sumas y Saldos'!H350+'Sumas y Saldos'!H237+'Sumas y Saldos'!H142+'Sumas y Saldos'!H129+'Sumas y Saldos'!H188</f>
      </c>
      <c r="H40" s="101">
        <f>'Sumas y Saldos'!K141+'Sumas y Saldos'!K286+'Sumas y Saldos'!K350+'Sumas y Saldos'!K237+'Sumas y Saldos'!K142+'Sumas y Saldos'!K129+'Sumas y Saldos'!K188</f>
      </c>
      <c r="I40" s="101">
        <f>'Sumas y Saldos'!Q141+'Sumas y Saldos'!Q286+'Sumas y Saldos'!Q350+'Sumas y Saldos'!Q237+'Sumas y Saldos'!Q142+'Sumas y Saldos'!Q129+'Sumas y Saldos'!Q188</f>
      </c>
      <c r="J40" s="101">
        <f>'Sumas y Saldos'!Z141+'Sumas y Saldos'!Z286+'Sumas y Saldos'!Z350+'Sumas y Saldos'!Z237+'Sumas y Saldos'!Z142+'Sumas y Saldos'!Z129+'Sumas y Saldos'!Z188</f>
      </c>
      <c r="K40" s="101">
        <f>'Sumas y Saldos'!AC141+'Sumas y Saldos'!AC286+'Sumas y Saldos'!AC350+'Sumas y Saldos'!AC237+'Sumas y Saldos'!AC142+'Sumas y Saldos'!AC129+'Sumas y Saldos'!AC188</f>
      </c>
      <c r="L40" s="101">
        <f>'Sumas y Saldos'!AF141+'Sumas y Saldos'!AF286+'Sumas y Saldos'!AF350+'Sumas y Saldos'!AF237+'Sumas y Saldos'!AF142+'Sumas y Saldos'!AF129+'Sumas y Saldos'!AF188</f>
      </c>
      <c r="M40" s="101">
        <f>'Sumas y Saldos'!W141+'Sumas y Saldos'!W286+'Sumas y Saldos'!W350+'Sumas y Saldos'!W237+'Sumas y Saldos'!W142+'Sumas y Saldos'!W129+'Sumas y Saldos'!W188</f>
      </c>
      <c r="N40" s="101">
        <f>'Sumas y Saldos'!T141+'Sumas y Saldos'!T286+'Sumas y Saldos'!T350+'Sumas y Saldos'!T237+'Sumas y Saldos'!T142+'Sumas y Saldos'!T129+'Sumas y Saldos'!T188</f>
      </c>
      <c r="O40" s="101">
        <f>'Sumas y Saldos'!AI141+'Sumas y Saldos'!AI286+'Sumas y Saldos'!AI350+'Sumas y Saldos'!AI237+'Sumas y Saldos'!AI142+'Sumas y Saldos'!AI129+'Sumas y Saldos'!AI188</f>
      </c>
      <c r="P40" s="101">
        <f>'Sumas y Saldos'!AO141+'Sumas y Saldos'!AO286+'Sumas y Saldos'!AO350+'Sumas y Saldos'!AO237+'Sumas y Saldos'!AO142+'Sumas y Saldos'!AO129+'Sumas y Saldos'!AO188</f>
      </c>
      <c r="Q40" s="101">
        <f>'Sumas y Saldos'!AL141+'Sumas y Saldos'!AL286+'Sumas y Saldos'!AL350+'Sumas y Saldos'!AL237+'Sumas y Saldos'!AL142+'Sumas y Saldos'!AL129+'Sumas y Saldos'!AL188</f>
      </c>
      <c r="R40" s="101">
        <f>+'Sumas y Saldos'!BE286</f>
      </c>
      <c r="S40" s="101">
        <f>+'Sumas y Saldos'!BF286</f>
      </c>
      <c r="T40" s="101">
        <f>+'Sumas y Saldos'!BD286</f>
      </c>
      <c r="U40" s="101">
        <f>'Sumas y Saldos'!BM286+'Sumas y Saldos'!BM395+'Sumas y Saldos'!BM350+'Sumas y Saldos'!BM345</f>
      </c>
      <c r="V40" s="101">
        <f>'Sumas y Saldos'!BP286+'Sumas y Saldos'!BP141+'Sumas y Saldos'!BP350+'Sumas y Saldos'!BP188</f>
      </c>
      <c r="W40" s="101"/>
      <c r="X40" s="101"/>
      <c r="Y40" s="101"/>
      <c r="Z40" s="101"/>
      <c r="AA40" s="101"/>
      <c r="AB40" s="101"/>
      <c r="AC40" s="101">
        <v>18469.85</v>
      </c>
      <c r="AD40" s="101">
        <v>6481.67</v>
      </c>
      <c r="AE40" s="101">
        <v>13523.85</v>
      </c>
      <c r="AF40" s="101">
        <v>16367.66</v>
      </c>
      <c r="AG40" s="101">
        <v>38159.61</v>
      </c>
      <c r="AH40" s="101">
        <v>26653.13</v>
      </c>
      <c r="AI40" s="104">
        <f>SUM(W40:AH40)</f>
        <v>119655.77</v>
      </c>
      <c r="AJ40" s="76"/>
      <c r="AK40" s="105"/>
    </row>
    <row r="41" ht="12.75" customHeight="1" spans="1:37" x14ac:dyDescent="0.25">
      <c r="A41" s="76" t="s">
        <v>531</v>
      </c>
      <c r="B41" s="76">
        <v>9600000062</v>
      </c>
      <c r="C41" s="98" t="s">
        <v>532</v>
      </c>
      <c r="D41" s="99">
        <f>SUM(F41:V41)+E41</f>
      </c>
      <c r="E41" s="99"/>
      <c r="F41" s="101">
        <v>0</v>
      </c>
      <c r="G41" s="101">
        <v>0</v>
      </c>
      <c r="H41" s="101">
        <v>0</v>
      </c>
      <c r="I41" s="101">
        <v>0</v>
      </c>
      <c r="J41" s="101">
        <v>0</v>
      </c>
      <c r="K41" s="101">
        <v>0</v>
      </c>
      <c r="L41" s="101">
        <v>0</v>
      </c>
      <c r="M41" s="101">
        <v>0</v>
      </c>
      <c r="N41" s="101">
        <v>0</v>
      </c>
      <c r="O41" s="101">
        <v>0</v>
      </c>
      <c r="P41" s="101">
        <v>0</v>
      </c>
      <c r="Q41" s="101">
        <v>0</v>
      </c>
      <c r="R41" s="101"/>
      <c r="S41" s="101"/>
      <c r="T41" s="101">
        <v>0</v>
      </c>
      <c r="U41" s="101"/>
      <c r="V41" s="101"/>
      <c r="W41" s="101"/>
      <c r="X41" s="101"/>
      <c r="Y41" s="101"/>
      <c r="Z41" s="101"/>
      <c r="AA41" s="101"/>
      <c r="AB41" s="101"/>
      <c r="AC41" s="101">
        <v>0</v>
      </c>
      <c r="AD41" s="101">
        <v>0</v>
      </c>
      <c r="AE41" s="101">
        <v>0</v>
      </c>
      <c r="AF41" s="101">
        <v>0</v>
      </c>
      <c r="AG41" s="101">
        <v>0</v>
      </c>
      <c r="AH41" s="101">
        <v>0</v>
      </c>
      <c r="AI41" s="104">
        <f>SUM(W41:AH41)</f>
      </c>
      <c r="AJ41" s="76"/>
      <c r="AK41" s="105"/>
    </row>
    <row r="42" ht="12.75" customHeight="1" spans="1:37" x14ac:dyDescent="0.25">
      <c r="A42" s="76" t="s">
        <v>533</v>
      </c>
      <c r="B42" s="76">
        <v>9600000062</v>
      </c>
      <c r="C42" s="98" t="s">
        <v>534</v>
      </c>
      <c r="D42" s="99">
        <f>SUM(F42:V42)+E42</f>
        <v>333.34000000000003</v>
      </c>
      <c r="E42" s="99">
        <f>+'Sumas y Saldos'!D148+'Sumas y Saldos'!D51+'Sumas y Saldos'!D145+'Sumas y Saldos'!D146+'Sumas y Saldos'!D241+'Sumas y Saldos'!D53+'Sumas y Saldos'!D147+'Sumas y Saldos'!D320+'Sumas y Saldos'!G51+'Sumas y Saldos'!G145+'Sumas y Saldos'!G146+'Sumas y Saldos'!G241+'Sumas y Saldos'!G148+'Sumas y Saldos'!G53+'Sumas y Saldos'!G147+'Sumas y Saldos'!G320+'Sumas y Saldos'!J51+'Sumas y Saldos'!J145+'Sumas y Saldos'!J146+'Sumas y Saldos'!J241+'Sumas y Saldos'!J148+'Sumas y Saldos'!J53+'Sumas y Saldos'!J147+'Sumas y Saldos'!J320+'Sumas y Saldos'!P51+'Sumas y Saldos'!P145+'Sumas y Saldos'!P146+'Sumas y Saldos'!P241+'Sumas y Saldos'!P148+'Sumas y Saldos'!P53+'Sumas y Saldos'!P147+'Sumas y Saldos'!P320+'Sumas y Saldos'!Y51+'Sumas y Saldos'!Y145+'Sumas y Saldos'!Y146+'Sumas y Saldos'!Y241+'Sumas y Saldos'!Y148+'Sumas y Saldos'!Y53+'Sumas y Saldos'!Y147+'Sumas y Saldos'!Y320+'Sumas y Saldos'!AB51+'Sumas y Saldos'!AB145+'Sumas y Saldos'!AB146+'Sumas y Saldos'!AB241+'Sumas y Saldos'!AB148+'Sumas y Saldos'!AB53+'Sumas y Saldos'!AB147+'Sumas y Saldos'!AB320+'Sumas y Saldos'!AE51+'Sumas y Saldos'!AE145+'Sumas y Saldos'!AE146+'Sumas y Saldos'!AE241+'Sumas y Saldos'!AE148+'Sumas y Saldos'!AE53+'Sumas y Saldos'!AE147+'Sumas y Saldos'!AE320+'Sumas y Saldos'!V51+'Sumas y Saldos'!V145+'Sumas y Saldos'!V146+'Sumas y Saldos'!V241+'Sumas y Saldos'!V148+'Sumas y Saldos'!V53+'Sumas y Saldos'!V147+'Sumas y Saldos'!V320+'Sumas y Saldos'!S51+'Sumas y Saldos'!S145+'Sumas y Saldos'!S146+'Sumas y Saldos'!S241+'Sumas y Saldos'!S148+'Sumas y Saldos'!S53+'Sumas y Saldos'!S147+'Sumas y Saldos'!S320+'Sumas y Saldos'!AH51+'Sumas y Saldos'!AH145+'Sumas y Saldos'!AH146+'Sumas y Saldos'!AH241+'Sumas y Saldos'!AH148+'Sumas y Saldos'!AH53+'Sumas y Saldos'!AH147+'Sumas y Saldos'!AH320+'Sumas y Saldos'!AN51+'Sumas y Saldos'!AN145+'Sumas y Saldos'!AN146+'Sumas y Saldos'!AN241+'Sumas y Saldos'!AN148+'Sumas y Saldos'!AN53+'Sumas y Saldos'!AN147+'Sumas y Saldos'!AN320+'Sumas y Saldos'!AK51+'Sumas y Saldos'!AK145+'Sumas y Saldos'!AK146+'Sumas y Saldos'!AK241+'Sumas y Saldos'!AK148+'Sumas y Saldos'!AK53+'Sumas y Saldos'!AK147+'Sumas y Saldos'!AK320+'Sumas y Saldos'!BC241+'Sumas y Saldos'!BL241+'Sumas y Saldos'!BL357+'Sumas y Saldos'!BO357</f>
      </c>
      <c r="F42" s="101">
        <f>'Sumas y Saldos'!E51+'Sumas y Saldos'!E145+'Sumas y Saldos'!E146+'Sumas y Saldos'!E241+'Sumas y Saldos'!E148+'Sumas y Saldos'!E53+'Sumas y Saldos'!E147+'Sumas y Saldos'!E320</f>
      </c>
      <c r="G42" s="101">
        <f>'Sumas y Saldos'!H51+'Sumas y Saldos'!H145+'Sumas y Saldos'!H146+'Sumas y Saldos'!H241+'Sumas y Saldos'!H148+'Sumas y Saldos'!H53+'Sumas y Saldos'!H147+'Sumas y Saldos'!H320</f>
      </c>
      <c r="H42" s="101">
        <f>'Sumas y Saldos'!K51+'Sumas y Saldos'!K145+'Sumas y Saldos'!K146+'Sumas y Saldos'!K241+'Sumas y Saldos'!K148+'Sumas y Saldos'!K53+'Sumas y Saldos'!K147+'Sumas y Saldos'!K320</f>
      </c>
      <c r="I42" s="101">
        <f>'Sumas y Saldos'!Q51+'Sumas y Saldos'!Q145+'Sumas y Saldos'!Q146+'Sumas y Saldos'!Q241+'Sumas y Saldos'!Q148+'Sumas y Saldos'!Q53+'Sumas y Saldos'!Q147+'Sumas y Saldos'!Q320</f>
      </c>
      <c r="J42" s="101">
        <f>'Sumas y Saldos'!Z51+'Sumas y Saldos'!Z145+'Sumas y Saldos'!Z146+'Sumas y Saldos'!Z241+'Sumas y Saldos'!Z148+'Sumas y Saldos'!Z53+'Sumas y Saldos'!Z147+'Sumas y Saldos'!Z320</f>
      </c>
      <c r="K42" s="101">
        <f>'Sumas y Saldos'!AC51+'Sumas y Saldos'!AC145+'Sumas y Saldos'!AC146+'Sumas y Saldos'!AC241+'Sumas y Saldos'!AC148+'Sumas y Saldos'!AC53+'Sumas y Saldos'!AC147+'Sumas y Saldos'!AC320</f>
      </c>
      <c r="L42" s="101">
        <f>'Sumas y Saldos'!AF51+'Sumas y Saldos'!AF145+'Sumas y Saldos'!AF146+'Sumas y Saldos'!AF241+'Sumas y Saldos'!AF148+'Sumas y Saldos'!AF53+'Sumas y Saldos'!AF147+'Sumas y Saldos'!AF320</f>
      </c>
      <c r="M42" s="101">
        <f>'Sumas y Saldos'!W51+'Sumas y Saldos'!W145+'Sumas y Saldos'!W146+'Sumas y Saldos'!W241+'Sumas y Saldos'!W148+'Sumas y Saldos'!W53+'Sumas y Saldos'!W147+'Sumas y Saldos'!W320</f>
      </c>
      <c r="N42" s="101">
        <f>'Sumas y Saldos'!T51+'Sumas y Saldos'!T145+'Sumas y Saldos'!T146+'Sumas y Saldos'!T241+'Sumas y Saldos'!T148+'Sumas y Saldos'!T53+'Sumas y Saldos'!T147+'Sumas y Saldos'!T320</f>
      </c>
      <c r="O42" s="101">
        <f>'Sumas y Saldos'!AI51+'Sumas y Saldos'!AI145+'Sumas y Saldos'!AI146+'Sumas y Saldos'!AI241+'Sumas y Saldos'!AI148+'Sumas y Saldos'!AI53+'Sumas y Saldos'!AI147+'Sumas y Saldos'!AI320</f>
      </c>
      <c r="P42" s="101">
        <f>'Sumas y Saldos'!AO51+'Sumas y Saldos'!AO145+'Sumas y Saldos'!AO146+'Sumas y Saldos'!AO241+'Sumas y Saldos'!AO148+'Sumas y Saldos'!AO53+'Sumas y Saldos'!AO147+'Sumas y Saldos'!AO320</f>
      </c>
      <c r="Q42" s="101">
        <f>'Sumas y Saldos'!AL51+'Sumas y Saldos'!AL145+'Sumas y Saldos'!AL146+'Sumas y Saldos'!AL241+'Sumas y Saldos'!AL148+'Sumas y Saldos'!AL53+'Sumas y Saldos'!AL147+'Sumas y Saldos'!AL320</f>
      </c>
      <c r="R42" s="101"/>
      <c r="S42" s="101"/>
      <c r="T42" s="101">
        <f>'Sumas y Saldos'!BD241</f>
      </c>
      <c r="U42" s="101">
        <f>'Sumas y Saldos'!BM241+'Sumas y Saldos'!BM357</f>
      </c>
      <c r="V42" s="101">
        <f>+'Sumas y Saldos'!BP357</f>
      </c>
      <c r="W42" s="101"/>
      <c r="X42" s="101"/>
      <c r="Y42" s="101"/>
      <c r="Z42" s="101"/>
      <c r="AA42" s="101"/>
      <c r="AB42" s="101"/>
      <c r="AC42" s="101">
        <v>333.34000000000003</v>
      </c>
      <c r="AD42" s="101">
        <v>194.08</v>
      </c>
      <c r="AE42" s="101">
        <v>687.46</v>
      </c>
      <c r="AF42" s="101">
        <v>850.28</v>
      </c>
      <c r="AG42" s="101">
        <v>1628.9</v>
      </c>
      <c r="AH42" s="101">
        <v>18476.3</v>
      </c>
      <c r="AI42" s="104">
        <f>SUM(W42:AH42)</f>
        <v>22170.36</v>
      </c>
      <c r="AJ42" s="76"/>
      <c r="AK42" s="105"/>
    </row>
    <row r="43" ht="12.75" customHeight="1" spans="1:37" x14ac:dyDescent="0.25">
      <c r="A43" s="76" t="s">
        <v>535</v>
      </c>
      <c r="B43" s="76">
        <v>9600000062</v>
      </c>
      <c r="C43" s="98" t="s">
        <v>536</v>
      </c>
      <c r="D43" s="99">
        <f>SUM(F43:V43)+E43</f>
      </c>
      <c r="E43" s="99">
        <f>+'Sumas y Saldos'!D22+'Sumas y Saldos'!D103+'Sumas y Saldos'!D343+'Sumas y Saldos'!D285+'Sumas y Saldos'!D344+'Sumas y Saldos'!G22+'Sumas y Saldos'!G103+'Sumas y Saldos'!G343+'Sumas y Saldos'!G285+'Sumas y Saldos'!G344+'Sumas y Saldos'!J22+'Sumas y Saldos'!J103+'Sumas y Saldos'!J343+'Sumas y Saldos'!J285+'Sumas y Saldos'!J344+'Sumas y Saldos'!P22+'Sumas y Saldos'!P103+'Sumas y Saldos'!P343+'Sumas y Saldos'!P285+'Sumas y Saldos'!P344+'Sumas y Saldos'!Y22+'Sumas y Saldos'!Y103+'Sumas y Saldos'!Y343+'Sumas y Saldos'!Y285+'Sumas y Saldos'!Y344+'Sumas y Saldos'!AB22+'Sumas y Saldos'!AB103+'Sumas y Saldos'!AB343+'Sumas y Saldos'!AB285+'Sumas y Saldos'!AB344+'Sumas y Saldos'!AE22+'Sumas y Saldos'!AE103+'Sumas y Saldos'!AE343+'Sumas y Saldos'!AE285+'Sumas y Saldos'!AE344+'Sumas y Saldos'!V22+'Sumas y Saldos'!V103+'Sumas y Saldos'!V343+'Sumas y Saldos'!V285+'Sumas y Saldos'!V344+'Sumas y Saldos'!S22+'Sumas y Saldos'!S103+'Sumas y Saldos'!S343+'Sumas y Saldos'!S285+'Sumas y Saldos'!S344+'Sumas y Saldos'!AH22+'Sumas y Saldos'!AH103+'Sumas y Saldos'!AH343+'Sumas y Saldos'!AH285+'Sumas y Saldos'!AH344+'Sumas y Saldos'!AN22+'Sumas y Saldos'!AN103+'Sumas y Saldos'!AN343+'Sumas y Saldos'!AN285+'Sumas y Saldos'!AN344+'Sumas y Saldos'!AK22+'Sumas y Saldos'!AK103+'Sumas y Saldos'!AK343+'Sumas y Saldos'!AK285+'Sumas y Saldos'!AK344+'Sumas y Saldos'!BC285+'Sumas y Saldos'!BL285+'Sumas y Saldos'!BL343+'Sumas y Saldos'!BO344</f>
      </c>
      <c r="F43" s="101">
        <f>'Sumas y Saldos'!E22+'Sumas y Saldos'!E103+'Sumas y Saldos'!E343+'Sumas y Saldos'!E285+'Sumas y Saldos'!E344</f>
      </c>
      <c r="G43" s="101">
        <f>'Sumas y Saldos'!H22+'Sumas y Saldos'!H103+'Sumas y Saldos'!H343+'Sumas y Saldos'!H285+'Sumas y Saldos'!H344</f>
      </c>
      <c r="H43" s="101">
        <f>'Sumas y Saldos'!K22+'Sumas y Saldos'!K103+'Sumas y Saldos'!K343+'Sumas y Saldos'!K285+'Sumas y Saldos'!K344</f>
      </c>
      <c r="I43" s="101">
        <f>'Sumas y Saldos'!Q22+'Sumas y Saldos'!Q103+'Sumas y Saldos'!Q343+'Sumas y Saldos'!Q285+'Sumas y Saldos'!Q344</f>
      </c>
      <c r="J43" s="101">
        <f>'Sumas y Saldos'!Z22+'Sumas y Saldos'!Z103+'Sumas y Saldos'!Z343+'Sumas y Saldos'!Z285+'Sumas y Saldos'!Z344</f>
      </c>
      <c r="K43" s="101">
        <f>'Sumas y Saldos'!AC22+'Sumas y Saldos'!AC103+'Sumas y Saldos'!AC343+'Sumas y Saldos'!AC285+'Sumas y Saldos'!AC344</f>
      </c>
      <c r="L43" s="101">
        <f>'Sumas y Saldos'!AF22+'Sumas y Saldos'!AF103+'Sumas y Saldos'!AF343+'Sumas y Saldos'!AF285+'Sumas y Saldos'!AF344</f>
      </c>
      <c r="M43" s="101">
        <f>'Sumas y Saldos'!W22+'Sumas y Saldos'!W103+'Sumas y Saldos'!W343+'Sumas y Saldos'!W285+'Sumas y Saldos'!W344</f>
      </c>
      <c r="N43" s="101">
        <f>'Sumas y Saldos'!T22+'Sumas y Saldos'!T103+'Sumas y Saldos'!T343+'Sumas y Saldos'!T285+'Sumas y Saldos'!T344</f>
      </c>
      <c r="O43" s="101">
        <f>'Sumas y Saldos'!AI22+'Sumas y Saldos'!AI103+'Sumas y Saldos'!AI343+'Sumas y Saldos'!AI285+'Sumas y Saldos'!AI344</f>
      </c>
      <c r="P43" s="101">
        <f>'Sumas y Saldos'!AO22+'Sumas y Saldos'!AO103+'Sumas y Saldos'!AO343+'Sumas y Saldos'!AO285+'Sumas y Saldos'!AO344</f>
      </c>
      <c r="Q43" s="101">
        <f>'Sumas y Saldos'!AL22+'Sumas y Saldos'!AL103+'Sumas y Saldos'!AL343+'Sumas y Saldos'!AL285+'Sumas y Saldos'!AL344</f>
      </c>
      <c r="R43" s="101"/>
      <c r="S43" s="101"/>
      <c r="T43" s="101">
        <f>'Sumas y Saldos'!BD285</f>
      </c>
      <c r="U43" s="101">
        <f>'Sumas y Saldos'!BK285+'Sumas y Saldos'!BM343</f>
      </c>
      <c r="V43" s="101">
        <f>+'Sumas y Saldos'!BN344</f>
      </c>
      <c r="W43" s="101"/>
      <c r="X43" s="101"/>
      <c r="Y43" s="101"/>
      <c r="Z43" s="101"/>
      <c r="AA43" s="101"/>
      <c r="AB43" s="101"/>
      <c r="AC43" s="101">
        <v>0</v>
      </c>
      <c r="AD43" s="101">
        <v>0</v>
      </c>
      <c r="AE43" s="101">
        <v>6047.35</v>
      </c>
      <c r="AF43" s="101">
        <v>0</v>
      </c>
      <c r="AG43" s="101">
        <v>7.74</v>
      </c>
      <c r="AH43" s="101">
        <v>0</v>
      </c>
      <c r="AI43" s="104">
        <f>SUM(W43:AH43)</f>
        <v>6055.09</v>
      </c>
      <c r="AJ43" s="76"/>
      <c r="AK43" s="105"/>
    </row>
    <row r="44" ht="12.75" customHeight="1" spans="1:37" x14ac:dyDescent="0.25">
      <c r="A44" s="76" t="s">
        <v>537</v>
      </c>
      <c r="B44" s="106">
        <v>6792020061</v>
      </c>
      <c r="C44" s="98" t="s">
        <v>538</v>
      </c>
      <c r="D44" s="99">
        <f>SUM(F44:V44)+E44</f>
      </c>
      <c r="E44" s="99">
        <f>+'Sumas y Saldos'!D42+'Sumas y Saldos'!G42+'Sumas y Saldos'!J42+'Sumas y Saldos'!P42+'Sumas y Saldos'!Y42+'Sumas y Saldos'!AB42+'Sumas y Saldos'!AE42+'Sumas y Saldos'!V42+'Sumas y Saldos'!S42+'Sumas y Saldos'!AH42+'Sumas y Saldos'!AN42+'Sumas y Saldos'!AK42</f>
      </c>
      <c r="F44" s="101">
        <f>+'Sumas y Saldos'!E42</f>
      </c>
      <c r="G44" s="101">
        <f>+'Sumas y Saldos'!H42</f>
      </c>
      <c r="H44" s="101">
        <f>+'Sumas y Saldos'!K42</f>
      </c>
      <c r="I44" s="101">
        <f>+'Sumas y Saldos'!Q42</f>
      </c>
      <c r="J44" s="101">
        <f>+'Sumas y Saldos'!Z42</f>
      </c>
      <c r="K44" s="101">
        <f>+'Sumas y Saldos'!AC42</f>
      </c>
      <c r="L44" s="101">
        <f>+'Sumas y Saldos'!AF42</f>
      </c>
      <c r="M44" s="101">
        <f>+'Sumas y Saldos'!W42</f>
      </c>
      <c r="N44" s="101">
        <f>+'Sumas y Saldos'!T42</f>
      </c>
      <c r="O44" s="101">
        <f>+'Sumas y Saldos'!AI42</f>
      </c>
      <c r="P44" s="101">
        <f>+'Sumas y Saldos'!AO42</f>
      </c>
      <c r="Q44" s="101">
        <f>+'Sumas y Saldos'!AL42</f>
      </c>
      <c r="R44" s="101"/>
      <c r="S44" s="101"/>
      <c r="T44" s="101">
        <v>0</v>
      </c>
      <c r="U44" s="101"/>
      <c r="V44" s="101"/>
      <c r="W44" s="101"/>
      <c r="X44" s="101"/>
      <c r="Y44" s="101"/>
      <c r="Z44" s="101"/>
      <c r="AA44" s="101"/>
      <c r="AB44" s="101"/>
      <c r="AC44" s="101">
        <v>0</v>
      </c>
      <c r="AD44" s="101">
        <v>0</v>
      </c>
      <c r="AE44" s="101">
        <v>0</v>
      </c>
      <c r="AF44" s="101">
        <v>0</v>
      </c>
      <c r="AG44" s="101">
        <v>0</v>
      </c>
      <c r="AH44" s="101">
        <v>0</v>
      </c>
      <c r="AI44" s="104">
        <f>SUM(W44:AH44)</f>
      </c>
      <c r="AJ44" s="76"/>
      <c r="AK44" s="105"/>
    </row>
    <row r="45" ht="12.75" customHeight="1" spans="1:37" x14ac:dyDescent="0.25">
      <c r="A45" s="76" t="s">
        <v>539</v>
      </c>
      <c r="B45" s="106">
        <v>6792020061</v>
      </c>
      <c r="C45" s="98" t="s">
        <v>540</v>
      </c>
      <c r="D45" s="99">
        <f>SUM(F45:V45)+E45</f>
      </c>
      <c r="E45" s="99">
        <f>+'Sumas y Saldos'!D54+'Sumas y Saldos'!D52+'Sumas y Saldos'!D55+'Sumas y Saldos'!D56+'Sumas y Saldos'!D59+'Sumas y Saldos'!D109+'Sumas y Saldos'!D258+'Sumas y Saldos'!D135+'Sumas y Saldos'!D176+'Sumas y Saldos'!D207+'Sumas y Saldos'!D310+'Sumas y Saldos'!G52+'Sumas y Saldos'!G54+'Sumas y Saldos'!G55+'Sumas y Saldos'!G56+'Sumas y Saldos'!G59+'Sumas y Saldos'!G109+'Sumas y Saldos'!G258+'Sumas y Saldos'!G135+'Sumas y Saldos'!G176+'Sumas y Saldos'!G207+'Sumas y Saldos'!G310+'Sumas y Saldos'!J52+'Sumas y Saldos'!J54+'Sumas y Saldos'!J55+'Sumas y Saldos'!J56+'Sumas y Saldos'!J59+'Sumas y Saldos'!J109+'Sumas y Saldos'!J258+'Sumas y Saldos'!J135+'Sumas y Saldos'!J176+'Sumas y Saldos'!J207+'Sumas y Saldos'!J310+'Sumas y Saldos'!P52+'Sumas y Saldos'!P54+'Sumas y Saldos'!P55+'Sumas y Saldos'!P56+'Sumas y Saldos'!P59+'Sumas y Saldos'!P109+'Sumas y Saldos'!P258+'Sumas y Saldos'!P135+'Sumas y Saldos'!P176+'Sumas y Saldos'!P207+'Sumas y Saldos'!P310+'Sumas y Saldos'!Y52+'Sumas y Saldos'!Y54+'Sumas y Saldos'!Y55+'Sumas y Saldos'!Y56+'Sumas y Saldos'!Y59+'Sumas y Saldos'!Y109+'Sumas y Saldos'!Y258+'Sumas y Saldos'!Y135+'Sumas y Saldos'!Y176+'Sumas y Saldos'!Y207+'Sumas y Saldos'!Y310+'Sumas y Saldos'!AB52+'Sumas y Saldos'!AB54+'Sumas y Saldos'!AB55+'Sumas y Saldos'!AB56+'Sumas y Saldos'!AB59+'Sumas y Saldos'!AB109+'Sumas y Saldos'!AB258+'Sumas y Saldos'!AB135+'Sumas y Saldos'!AB176+'Sumas y Saldos'!AB207+'Sumas y Saldos'!AB310+'Sumas y Saldos'!AE52+'Sumas y Saldos'!AE54+'Sumas y Saldos'!AE55+'Sumas y Saldos'!AE56+'Sumas y Saldos'!AE59+'Sumas y Saldos'!AE109+'Sumas y Saldos'!AE258+'Sumas y Saldos'!AE135+'Sumas y Saldos'!AE176+'Sumas y Saldos'!AE207+'Sumas y Saldos'!AE310+'Sumas y Saldos'!V52+'Sumas y Saldos'!V54+'Sumas y Saldos'!V55+'Sumas y Saldos'!V56+'Sumas y Saldos'!V59+'Sumas y Saldos'!V109+'Sumas y Saldos'!V258+'Sumas y Saldos'!V135+'Sumas y Saldos'!V176+'Sumas y Saldos'!V207+'Sumas y Saldos'!V310+'Sumas y Saldos'!S52+'Sumas y Saldos'!S54+'Sumas y Saldos'!S55+'Sumas y Saldos'!S56+'Sumas y Saldos'!S59+'Sumas y Saldos'!S109+'Sumas y Saldos'!S258+'Sumas y Saldos'!S135+'Sumas y Saldos'!S176+'Sumas y Saldos'!S207+'Sumas y Saldos'!S310+'Sumas y Saldos'!AH52+'Sumas y Saldos'!AH54+'Sumas y Saldos'!AH55+'Sumas y Saldos'!AH56+'Sumas y Saldos'!AH59+'Sumas y Saldos'!AH109+'Sumas y Saldos'!AH258+'Sumas y Saldos'!AH135+'Sumas y Saldos'!AH176+'Sumas y Saldos'!AH207+'Sumas y Saldos'!AH310+'Sumas y Saldos'!AN52+'Sumas y Saldos'!AN54+'Sumas y Saldos'!AN55+'Sumas y Saldos'!AN56+'Sumas y Saldos'!AN59+'Sumas y Saldos'!AN109+'Sumas y Saldos'!AN258+'Sumas y Saldos'!AN135+'Sumas y Saldos'!AN176+'Sumas y Saldos'!AN207+'Sumas y Saldos'!AN310+'Sumas y Saldos'!AK52+'Sumas y Saldos'!AK54+'Sumas y Saldos'!AK55+'Sumas y Saldos'!AK56+'Sumas y Saldos'!AK59+'Sumas y Saldos'!AK109+'Sumas y Saldos'!AK258+'Sumas y Saldos'!AK135+'Sumas y Saldos'!AK176+'Sumas y Saldos'!AK207+'Sumas y Saldos'!AK310+'Sumas y Saldos'!BC258</f>
      </c>
      <c r="F45" s="101">
        <f>'Sumas y Saldos'!E52+'Sumas y Saldos'!E54+'Sumas y Saldos'!E55+'Sumas y Saldos'!E56+'Sumas y Saldos'!E59+'Sumas y Saldos'!E109+'Sumas y Saldos'!E258+'Sumas y Saldos'!E135+'Sumas y Saldos'!E176+'Sumas y Saldos'!E207+'Sumas y Saldos'!E310</f>
      </c>
      <c r="G45" s="101">
        <f>'Sumas y Saldos'!H52+'Sumas y Saldos'!H54+'Sumas y Saldos'!H55+'Sumas y Saldos'!H56+'Sumas y Saldos'!H59+'Sumas y Saldos'!H109+'Sumas y Saldos'!H258+'Sumas y Saldos'!H135+'Sumas y Saldos'!H176+'Sumas y Saldos'!H207+'Sumas y Saldos'!H310</f>
      </c>
      <c r="H45" s="101">
        <f>'Sumas y Saldos'!K52+'Sumas y Saldos'!K54+'Sumas y Saldos'!K55+'Sumas y Saldos'!K56+'Sumas y Saldos'!K59+'Sumas y Saldos'!K109+'Sumas y Saldos'!K258+'Sumas y Saldos'!K135+'Sumas y Saldos'!K176+'Sumas y Saldos'!K207+'Sumas y Saldos'!K310</f>
      </c>
      <c r="I45" s="101">
        <f>'Sumas y Saldos'!Q52+'Sumas y Saldos'!Q54+'Sumas y Saldos'!Q55+'Sumas y Saldos'!Q56+'Sumas y Saldos'!Q59+'Sumas y Saldos'!Q109+'Sumas y Saldos'!Q258+'Sumas y Saldos'!Q135+'Sumas y Saldos'!Q176+'Sumas y Saldos'!Q207+'Sumas y Saldos'!Q310</f>
      </c>
      <c r="J45" s="101">
        <f>'Sumas y Saldos'!Z52+'Sumas y Saldos'!Z54+'Sumas y Saldos'!Z55+'Sumas y Saldos'!Z56+'Sumas y Saldos'!Z59+'Sumas y Saldos'!Z109+'Sumas y Saldos'!Z258+'Sumas y Saldos'!Z135+'Sumas y Saldos'!Z176+'Sumas y Saldos'!Z207+'Sumas y Saldos'!Z310</f>
      </c>
      <c r="K45" s="101">
        <f>'Sumas y Saldos'!AC52+'Sumas y Saldos'!AC54+'Sumas y Saldos'!AC55+'Sumas y Saldos'!AC56+'Sumas y Saldos'!AC59+'Sumas y Saldos'!AC109+'Sumas y Saldos'!AC258+'Sumas y Saldos'!AC135+'Sumas y Saldos'!AC176+'Sumas y Saldos'!AC207+'Sumas y Saldos'!AC310</f>
      </c>
      <c r="L45" s="101">
        <f>'Sumas y Saldos'!AF52+'Sumas y Saldos'!AF54+'Sumas y Saldos'!AF55+'Sumas y Saldos'!AF56+'Sumas y Saldos'!AF59+'Sumas y Saldos'!AF109+'Sumas y Saldos'!AF258+'Sumas y Saldos'!AF135+'Sumas y Saldos'!AF176+'Sumas y Saldos'!AF207+'Sumas y Saldos'!AF310</f>
      </c>
      <c r="M45" s="101">
        <f>'Sumas y Saldos'!W52+'Sumas y Saldos'!W54+'Sumas y Saldos'!W55+'Sumas y Saldos'!W56+'Sumas y Saldos'!W59+'Sumas y Saldos'!W109+'Sumas y Saldos'!W258+'Sumas y Saldos'!W135+'Sumas y Saldos'!W176+'Sumas y Saldos'!W207+'Sumas y Saldos'!W310</f>
      </c>
      <c r="N45" s="101">
        <f>'Sumas y Saldos'!T52+'Sumas y Saldos'!T54+'Sumas y Saldos'!T55+'Sumas y Saldos'!T56+'Sumas y Saldos'!T59+'Sumas y Saldos'!T109+'Sumas y Saldos'!T258+'Sumas y Saldos'!T135+'Sumas y Saldos'!T176+'Sumas y Saldos'!T207+'Sumas y Saldos'!T310</f>
      </c>
      <c r="O45" s="101">
        <f>'Sumas y Saldos'!AI52+'Sumas y Saldos'!AI54+'Sumas y Saldos'!AI55+'Sumas y Saldos'!AI56+'Sumas y Saldos'!AI59+'Sumas y Saldos'!AI109+'Sumas y Saldos'!AI258+'Sumas y Saldos'!AI135+'Sumas y Saldos'!AI176+'Sumas y Saldos'!AI207+'Sumas y Saldos'!AI310</f>
      </c>
      <c r="P45" s="101">
        <f>'Sumas y Saldos'!AO52+'Sumas y Saldos'!AO54+'Sumas y Saldos'!AO55+'Sumas y Saldos'!AO56+'Sumas y Saldos'!AO59+'Sumas y Saldos'!AO109+'Sumas y Saldos'!AO258+'Sumas y Saldos'!AO135+'Sumas y Saldos'!AO176+'Sumas y Saldos'!AO207+'Sumas y Saldos'!AO310</f>
      </c>
      <c r="Q45" s="101">
        <f>'Sumas y Saldos'!AL52+'Sumas y Saldos'!AL54+'Sumas y Saldos'!AL55+'Sumas y Saldos'!AL56+'Sumas y Saldos'!AL59+'Sumas y Saldos'!AL109+'Sumas y Saldos'!AL258+'Sumas y Saldos'!AL135+'Sumas y Saldos'!AL176+'Sumas y Saldos'!AL207+'Sumas y Saldos'!AL310</f>
      </c>
      <c r="R45" s="101"/>
      <c r="S45" s="101"/>
      <c r="T45" s="101">
        <f>+'Sumas y Saldos'!BD258</f>
      </c>
      <c r="U45" s="101">
        <v>0</v>
      </c>
      <c r="V45" s="101">
        <v>0</v>
      </c>
      <c r="W45" s="101"/>
      <c r="X45" s="101"/>
      <c r="Y45" s="101"/>
      <c r="Z45" s="101"/>
      <c r="AA45" s="101"/>
      <c r="AB45" s="101"/>
      <c r="AC45" s="101">
        <v>0</v>
      </c>
      <c r="AD45" s="101">
        <v>0</v>
      </c>
      <c r="AE45" s="101">
        <v>0</v>
      </c>
      <c r="AF45" s="101">
        <v>0</v>
      </c>
      <c r="AG45" s="101">
        <v>0</v>
      </c>
      <c r="AH45" s="101">
        <v>0</v>
      </c>
      <c r="AI45" s="104">
        <f>SUM(W45:AH45)</f>
      </c>
      <c r="AJ45" s="76"/>
      <c r="AK45" s="105"/>
    </row>
    <row r="46" ht="12.75" customHeight="1" spans="1:37" x14ac:dyDescent="0.25">
      <c r="A46" s="76" t="s">
        <v>541</v>
      </c>
      <c r="B46" s="107">
        <v>6814200060</v>
      </c>
      <c r="C46" s="98" t="s">
        <v>542</v>
      </c>
      <c r="D46" s="99">
        <f>SUM(F46:V46)+E46</f>
      </c>
      <c r="E46" s="99">
        <f>+'Sumas y Saldos'!D32+'Sumas y Saldos'!D150+'Sumas y Saldos'!G32+'Sumas y Saldos'!G150+'Sumas y Saldos'!J32+'Sumas y Saldos'!J150+'Sumas y Saldos'!P32+'Sumas y Saldos'!P150+'Sumas y Saldos'!Y32+'Sumas y Saldos'!Y150+'Sumas y Saldos'!AB32+'Sumas y Saldos'!AB150+'Sumas y Saldos'!AE32+'Sumas y Saldos'!AE150+'Sumas y Saldos'!V32+'Sumas y Saldos'!V150+'Sumas y Saldos'!S32+'Sumas y Saldos'!S150+'Sumas y Saldos'!AH32+'Sumas y Saldos'!AH150+'Sumas y Saldos'!AN32+'Sumas y Saldos'!AN150+'Sumas y Saldos'!AK32+'Sumas y Saldos'!AK150</f>
      </c>
      <c r="F46" s="101">
        <f>'Sumas y Saldos'!E32+'Sumas y Saldos'!E150</f>
      </c>
      <c r="G46" s="101">
        <f>'Sumas y Saldos'!H32+'Sumas y Saldos'!H150</f>
      </c>
      <c r="H46" s="101">
        <f>'Sumas y Saldos'!K32+'Sumas y Saldos'!K150</f>
      </c>
      <c r="I46" s="101">
        <f>'Sumas y Saldos'!Q32+'Sumas y Saldos'!Q150</f>
      </c>
      <c r="J46" s="101">
        <f>'Sumas y Saldos'!Z32+'Sumas y Saldos'!Z150</f>
      </c>
      <c r="K46" s="101">
        <f>'Sumas y Saldos'!AC32+'Sumas y Saldos'!AC150</f>
      </c>
      <c r="L46" s="101">
        <f>'Sumas y Saldos'!AF32+'Sumas y Saldos'!AF150</f>
      </c>
      <c r="M46" s="101">
        <f>'Sumas y Saldos'!W32+'Sumas y Saldos'!W150</f>
      </c>
      <c r="N46" s="101">
        <f>'Sumas y Saldos'!T32+'Sumas y Saldos'!T150</f>
      </c>
      <c r="O46" s="101">
        <f>'Sumas y Saldos'!AI32+'Sumas y Saldos'!AI150</f>
      </c>
      <c r="P46" s="101">
        <f>'Sumas y Saldos'!AO32+'Sumas y Saldos'!AO150</f>
      </c>
      <c r="Q46" s="101">
        <f>'Sumas y Saldos'!AL32+'Sumas y Saldos'!AL150</f>
      </c>
      <c r="R46" s="101"/>
      <c r="S46" s="101"/>
      <c r="T46" s="101">
        <v>0</v>
      </c>
      <c r="U46" s="101"/>
      <c r="V46" s="101"/>
      <c r="W46" s="101"/>
      <c r="X46" s="101"/>
      <c r="Y46" s="101"/>
      <c r="Z46" s="101"/>
      <c r="AA46" s="101"/>
      <c r="AB46" s="101"/>
      <c r="AC46" s="101">
        <v>0</v>
      </c>
      <c r="AD46" s="101">
        <v>3918.01</v>
      </c>
      <c r="AE46" s="101">
        <v>3631.57</v>
      </c>
      <c r="AF46" s="101">
        <v>311.38</v>
      </c>
      <c r="AG46" s="101">
        <v>309.41</v>
      </c>
      <c r="AH46" s="101">
        <v>311.12</v>
      </c>
      <c r="AI46" s="104">
        <f>SUM(W46:AH46)</f>
        <v>8481.49</v>
      </c>
      <c r="AJ46" s="76"/>
      <c r="AK46" s="105"/>
    </row>
    <row r="47" ht="12.75" customHeight="1" spans="1:37" x14ac:dyDescent="0.25">
      <c r="A47" s="76"/>
      <c r="B47" s="107"/>
      <c r="C47" s="98" t="s">
        <v>543</v>
      </c>
      <c r="D47" s="99">
        <f>SUM(F47:V47)+E47</f>
      </c>
      <c r="E47" s="99">
        <f>+'Sumas y Saldos'!D43+'Sumas y Saldos'!G43+'Sumas y Saldos'!J43+'Sumas y Saldos'!P43+'Sumas y Saldos'!Y43+'Sumas y Saldos'!AB43+'Sumas y Saldos'!AE43+'Sumas y Saldos'!V43+'Sumas y Saldos'!S43+'Sumas y Saldos'!AH43+'Sumas y Saldos'!AN43+'Sumas y Saldos'!AK43</f>
      </c>
      <c r="F47" s="101">
        <f>+'Sumas y Saldos'!E43</f>
      </c>
      <c r="G47" s="101">
        <f>+'Sumas y Saldos'!H43</f>
      </c>
      <c r="H47" s="101">
        <f>+'Sumas y Saldos'!K43</f>
      </c>
      <c r="I47" s="101">
        <f>+'Sumas y Saldos'!Q43</f>
      </c>
      <c r="J47" s="101">
        <f>+'Sumas y Saldos'!Z43</f>
      </c>
      <c r="K47" s="101">
        <f>+'Sumas y Saldos'!AC43</f>
      </c>
      <c r="L47" s="101">
        <f>+'Sumas y Saldos'!AF43</f>
      </c>
      <c r="M47" s="101">
        <f>+'Sumas y Saldos'!W43</f>
      </c>
      <c r="N47" s="101">
        <f>+'Sumas y Saldos'!T43</f>
      </c>
      <c r="O47" s="101">
        <f>+'Sumas y Saldos'!AI43</f>
      </c>
      <c r="P47" s="101">
        <f>+'Sumas y Saldos'!AO43</f>
      </c>
      <c r="Q47" s="101">
        <f>+'Sumas y Saldos'!AL43</f>
      </c>
      <c r="R47" s="101"/>
      <c r="S47" s="101"/>
      <c r="T47" s="101">
        <v>0</v>
      </c>
      <c r="U47" s="101"/>
      <c r="V47" s="101"/>
      <c r="W47" s="101"/>
      <c r="X47" s="101"/>
      <c r="Y47" s="101"/>
      <c r="Z47" s="101"/>
      <c r="AA47" s="101"/>
      <c r="AB47" s="101"/>
      <c r="AC47" s="101">
        <v>0</v>
      </c>
      <c r="AD47" s="101">
        <v>0</v>
      </c>
      <c r="AE47" s="101">
        <v>0</v>
      </c>
      <c r="AF47" s="101">
        <v>0</v>
      </c>
      <c r="AG47" s="101">
        <v>0</v>
      </c>
      <c r="AH47" s="101">
        <v>0</v>
      </c>
      <c r="AI47" s="104">
        <f>SUM(W47:AH47)</f>
      </c>
      <c r="AJ47" s="76"/>
      <c r="AK47" s="105"/>
    </row>
    <row r="48" ht="12.75" customHeight="1" spans="1:37" x14ac:dyDescent="0.25">
      <c r="A48" s="76"/>
      <c r="B48" s="107"/>
      <c r="C48" s="98" t="s">
        <v>544</v>
      </c>
      <c r="D48" s="99">
        <f>SUM(F48:V48)+E48</f>
      </c>
      <c r="E48" s="99">
        <f>+'Sumas y Saldos'!D41+'Sumas y Saldos'!G41+'Sumas y Saldos'!J41+'Sumas y Saldos'!P41+'Sumas y Saldos'!Y41+'Sumas y Saldos'!AB41+'Sumas y Saldos'!AE41+'Sumas y Saldos'!V41+'Sumas y Saldos'!S41+'Sumas y Saldos'!AH41+'Sumas y Saldos'!AN41+'Sumas y Saldos'!AK41</f>
      </c>
      <c r="F48" s="101">
        <f>+'Sumas y Saldos'!E41</f>
      </c>
      <c r="G48" s="101">
        <f>+'Sumas y Saldos'!H41</f>
      </c>
      <c r="H48" s="101">
        <f>+'Sumas y Saldos'!K41</f>
      </c>
      <c r="I48" s="101">
        <f>+'Sumas y Saldos'!Q41</f>
      </c>
      <c r="J48" s="101">
        <f>+'Sumas y Saldos'!Z41</f>
      </c>
      <c r="K48" s="101">
        <f>+'Sumas y Saldos'!AC41</f>
      </c>
      <c r="L48" s="101">
        <f>+'Sumas y Saldos'!AF41</f>
      </c>
      <c r="M48" s="101">
        <f>+'Sumas y Saldos'!W41</f>
      </c>
      <c r="N48" s="101">
        <f>+'Sumas y Saldos'!T41</f>
      </c>
      <c r="O48" s="101">
        <f>+'Sumas y Saldos'!AI41</f>
      </c>
      <c r="P48" s="101">
        <f>+'Sumas y Saldos'!AO41</f>
      </c>
      <c r="Q48" s="101">
        <f>+'Sumas y Saldos'!AL41</f>
      </c>
      <c r="R48" s="101"/>
      <c r="S48" s="101"/>
      <c r="T48" s="101">
        <v>0</v>
      </c>
      <c r="U48" s="101"/>
      <c r="V48" s="101"/>
      <c r="W48" s="101"/>
      <c r="X48" s="101"/>
      <c r="Y48" s="101"/>
      <c r="Z48" s="101"/>
      <c r="AA48" s="101"/>
      <c r="AB48" s="101"/>
      <c r="AC48" s="101">
        <v>0</v>
      </c>
      <c r="AD48" s="101">
        <v>0</v>
      </c>
      <c r="AE48" s="101">
        <v>0</v>
      </c>
      <c r="AF48" s="101">
        <v>0</v>
      </c>
      <c r="AG48" s="101">
        <v>0</v>
      </c>
      <c r="AH48" s="101">
        <v>0</v>
      </c>
      <c r="AI48" s="104">
        <f>SUM(W48:AH48)</f>
      </c>
      <c r="AJ48" s="76"/>
      <c r="AK48" s="105"/>
    </row>
    <row r="49" ht="12.75" customHeight="1" spans="1:37" x14ac:dyDescent="0.25">
      <c r="A49" s="76"/>
      <c r="B49" s="107"/>
      <c r="C49" s="98" t="s">
        <v>545</v>
      </c>
      <c r="D49" s="99">
        <f>SUM(F49:V49)+E49</f>
      </c>
      <c r="E49" s="99">
        <f>+'Sumas y Saldos'!D45+'Sumas y Saldos'!D306+'Sumas y Saldos'!D264+'Sumas y Saldos'!D352+'Sumas y Saldos'!G45+'Sumas y Saldos'!G306+'Sumas y Saldos'!G264+'Sumas y Saldos'!G352+'Sumas y Saldos'!J45+'Sumas y Saldos'!J306+'Sumas y Saldos'!J264+'Sumas y Saldos'!J352+'Sumas y Saldos'!P45+'Sumas y Saldos'!P306+'Sumas y Saldos'!P264+'Sumas y Saldos'!P352+'Sumas y Saldos'!Y45+'Sumas y Saldos'!Y306+'Sumas y Saldos'!Y264+'Sumas y Saldos'!Y352+'Sumas y Saldos'!AB45+'Sumas y Saldos'!AB306+'Sumas y Saldos'!AB264+'Sumas y Saldos'!AB352+'Sumas y Saldos'!AE45+'Sumas y Saldos'!AE306+'Sumas y Saldos'!AE264+'Sumas y Saldos'!AE352+'Sumas y Saldos'!V45+'Sumas y Saldos'!V306+'Sumas y Saldos'!V264+'Sumas y Saldos'!V352+'Sumas y Saldos'!S45+'Sumas y Saldos'!S306+'Sumas y Saldos'!S264+'Sumas y Saldos'!S352+'Sumas y Saldos'!AH45+'Sumas y Saldos'!AH306+'Sumas y Saldos'!AH264+'Sumas y Saldos'!AH352+'Sumas y Saldos'!AN45+'Sumas y Saldos'!AN306+'Sumas y Saldos'!AN264+'Sumas y Saldos'!AN352+'Sumas y Saldos'!AK45+'Sumas y Saldos'!AK306+'Sumas y Saldos'!AK264+'Sumas y Saldos'!AK352+'Sumas y Saldos'!BC306+'Sumas y Saldos'!BC264+'Sumas y Saldos'!BL306+'Sumas y Saldos'!BO352</f>
      </c>
      <c r="F49" s="101">
        <f>'Sumas y Saldos'!E45+'Sumas y Saldos'!E306+'Sumas y Saldos'!E264+'Sumas y Saldos'!E352</f>
      </c>
      <c r="G49" s="101">
        <f>'Sumas y Saldos'!H45+'Sumas y Saldos'!H306+'Sumas y Saldos'!H264+'Sumas y Saldos'!H352</f>
      </c>
      <c r="H49" s="101">
        <f>'Sumas y Saldos'!K45+'Sumas y Saldos'!K306+'Sumas y Saldos'!K264+'Sumas y Saldos'!K352</f>
      </c>
      <c r="I49" s="101">
        <f>'Sumas y Saldos'!Q45+'Sumas y Saldos'!Q306+'Sumas y Saldos'!Q264+'Sumas y Saldos'!Q352</f>
      </c>
      <c r="J49" s="101">
        <f>'Sumas y Saldos'!Z45+'Sumas y Saldos'!Z306+'Sumas y Saldos'!Z264+'Sumas y Saldos'!Z352</f>
      </c>
      <c r="K49" s="101">
        <f>'Sumas y Saldos'!AC45+'Sumas y Saldos'!AC306+'Sumas y Saldos'!AC264+'Sumas y Saldos'!AC352</f>
      </c>
      <c r="L49" s="101">
        <f>'Sumas y Saldos'!AF45+'Sumas y Saldos'!AF306+'Sumas y Saldos'!AF264+'Sumas y Saldos'!AF352</f>
      </c>
      <c r="M49" s="101">
        <f>'Sumas y Saldos'!W45+'Sumas y Saldos'!W306+'Sumas y Saldos'!W264+'Sumas y Saldos'!W352</f>
      </c>
      <c r="N49" s="101">
        <f>'Sumas y Saldos'!T45+'Sumas y Saldos'!T306+'Sumas y Saldos'!T264+'Sumas y Saldos'!T352</f>
      </c>
      <c r="O49" s="101">
        <f>'Sumas y Saldos'!AI45+'Sumas y Saldos'!AI306+'Sumas y Saldos'!AI264+'Sumas y Saldos'!AI352</f>
      </c>
      <c r="P49" s="101">
        <f>'Sumas y Saldos'!AO45+'Sumas y Saldos'!AO306+'Sumas y Saldos'!AO264+'Sumas y Saldos'!AO352</f>
      </c>
      <c r="Q49" s="101">
        <f>'Sumas y Saldos'!AL45+'Sumas y Saldos'!AL306+'Sumas y Saldos'!AL264+'Sumas y Saldos'!AL352</f>
      </c>
      <c r="R49" s="101"/>
      <c r="S49" s="101"/>
      <c r="T49" s="101">
        <f>+'Sumas y Saldos'!BD306+'Sumas y Saldos'!BD264</f>
      </c>
      <c r="U49" s="101">
        <f>'Sumas y Saldos'!BM306</f>
      </c>
      <c r="V49" s="101">
        <f>+'Sumas y Saldos'!BP352</f>
      </c>
      <c r="W49" s="101"/>
      <c r="X49" s="101"/>
      <c r="Y49" s="101"/>
      <c r="Z49" s="101"/>
      <c r="AA49" s="101"/>
      <c r="AB49" s="101"/>
      <c r="AC49" s="101">
        <v>0</v>
      </c>
      <c r="AD49" s="101">
        <v>0</v>
      </c>
      <c r="AE49" s="101">
        <v>0</v>
      </c>
      <c r="AF49" s="101">
        <v>0</v>
      </c>
      <c r="AG49" s="101">
        <v>0</v>
      </c>
      <c r="AH49" s="101">
        <v>0</v>
      </c>
      <c r="AI49" s="104">
        <f>SUM(W49:AH49)</f>
      </c>
      <c r="AJ49" s="76"/>
      <c r="AK49" s="105"/>
    </row>
    <row r="50" ht="12.75" customHeight="1" spans="1:37" x14ac:dyDescent="0.25">
      <c r="A50" s="76" t="s">
        <v>546</v>
      </c>
      <c r="B50" s="76">
        <v>9600000062</v>
      </c>
      <c r="C50" s="98" t="s">
        <v>110</v>
      </c>
      <c r="D50" s="99">
        <f>SUM(F50:V50)+E50</f>
        <v>135.87</v>
      </c>
      <c r="E50" s="99">
        <f>+'Sumas y Saldos'!D73+'Sumas y Saldos'!D271+'Sumas y Saldos'!D226+'Sumas y Saldos'!D325+'Sumas y Saldos'!D331+'Sumas y Saldos'!D158+'Sumas y Saldos'!D198+'Sumas y Saldos'!D373+'Sumas y Saldos'!G73+'Sumas y Saldos'!G271+'Sumas y Saldos'!G226+'Sumas y Saldos'!G325+'Sumas y Saldos'!G331+'Sumas y Saldos'!G158+'Sumas y Saldos'!G198+'Sumas y Saldos'!G373+'Sumas y Saldos'!J73+'Sumas y Saldos'!J271+'Sumas y Saldos'!J226+'Sumas y Saldos'!J325+'Sumas y Saldos'!J331+'Sumas y Saldos'!J158+'Sumas y Saldos'!J198+'Sumas y Saldos'!J373+'Sumas y Saldos'!P73+'Sumas y Saldos'!P271+'Sumas y Saldos'!P226+'Sumas y Saldos'!P325+'Sumas y Saldos'!P331+'Sumas y Saldos'!P158+'Sumas y Saldos'!P198+'Sumas y Saldos'!P373+'Sumas y Saldos'!Y73+'Sumas y Saldos'!Y271+'Sumas y Saldos'!Y226+'Sumas y Saldos'!Y325+'Sumas y Saldos'!Y331+'Sumas y Saldos'!Y158+'Sumas y Saldos'!Y198+'Sumas y Saldos'!Y373+'Sumas y Saldos'!AB73+'Sumas y Saldos'!AB271+'Sumas y Saldos'!AB226+'Sumas y Saldos'!AB325+'Sumas y Saldos'!AB331+'Sumas y Saldos'!AB158+'Sumas y Saldos'!AB198+'Sumas y Saldos'!AB373+'Sumas y Saldos'!AE73+'Sumas y Saldos'!AE271+'Sumas y Saldos'!AE226+'Sumas y Saldos'!AE325+'Sumas y Saldos'!AE331+'Sumas y Saldos'!AE158+'Sumas y Saldos'!AE198+'Sumas y Saldos'!AE373+'Sumas y Saldos'!V73+'Sumas y Saldos'!V271+'Sumas y Saldos'!V226+'Sumas y Saldos'!V325+'Sumas y Saldos'!V331+'Sumas y Saldos'!V158+'Sumas y Saldos'!V198+'Sumas y Saldos'!V373+'Sumas y Saldos'!S73+'Sumas y Saldos'!S271+'Sumas y Saldos'!S226+'Sumas y Saldos'!S325+'Sumas y Saldos'!S331+'Sumas y Saldos'!S158+'Sumas y Saldos'!S198+'Sumas y Saldos'!S373+'Sumas y Saldos'!AH73+'Sumas y Saldos'!AH271+'Sumas y Saldos'!AH226+'Sumas y Saldos'!AH325+'Sumas y Saldos'!AH331+'Sumas y Saldos'!AH158+'Sumas y Saldos'!AH198+'Sumas y Saldos'!AH373+'Sumas y Saldos'!AN73+'Sumas y Saldos'!AN271+'Sumas y Saldos'!AN226+'Sumas y Saldos'!AN325+'Sumas y Saldos'!AN331+'Sumas y Saldos'!AN158+'Sumas y Saldos'!AN198+'Sumas y Saldos'!AN373+'Sumas y Saldos'!AK73+'Sumas y Saldos'!AK271+'Sumas y Saldos'!AK226+'Sumas y Saldos'!AK325+'Sumas y Saldos'!AK331+'Sumas y Saldos'!AK158+'Sumas y Saldos'!AK198+'Sumas y Saldos'!AK373+'Sumas y Saldos'!BC271+'Sumas y Saldos'!BC226+'Sumas y Saldos'!BL271+'Sumas y Saldos'!BL226+'Sumas y Saldos'!BL325+'Sumas y Saldos'!BL331+'Sumas y Saldos'!BL198+'Sumas y Saldos'!BO271+'Sumas y Saldos'!BO226+'Sumas y Saldos'!BO325+'Sumas y Saldos'!BO331+'Sumas y Saldos'!BO198</f>
      </c>
      <c r="F50" s="101">
        <f>'Sumas y Saldos'!E73+'Sumas y Saldos'!E271+'Sumas y Saldos'!E226+'Sumas y Saldos'!E325+'Sumas y Saldos'!E331+'Sumas y Saldos'!E158+'Sumas y Saldos'!E198+'Sumas y Saldos'!E373</f>
      </c>
      <c r="G50" s="101">
        <f>'Sumas y Saldos'!H73+'Sumas y Saldos'!H271+'Sumas y Saldos'!H226+'Sumas y Saldos'!H325+'Sumas y Saldos'!H331+'Sumas y Saldos'!H158+'Sumas y Saldos'!H198+'Sumas y Saldos'!H373</f>
      </c>
      <c r="H50" s="101">
        <f>'Sumas y Saldos'!K73+'Sumas y Saldos'!K271+'Sumas y Saldos'!K226+'Sumas y Saldos'!K325+'Sumas y Saldos'!K331+'Sumas y Saldos'!K158+'Sumas y Saldos'!K198+'Sumas y Saldos'!K373</f>
      </c>
      <c r="I50" s="101">
        <f>'Sumas y Saldos'!Q73+'Sumas y Saldos'!Q271+'Sumas y Saldos'!Q226+'Sumas y Saldos'!Q325+'Sumas y Saldos'!Q331+'Sumas y Saldos'!Q158+'Sumas y Saldos'!Q198+'Sumas y Saldos'!Q373</f>
      </c>
      <c r="J50" s="101">
        <f>'Sumas y Saldos'!Z73+'Sumas y Saldos'!Z271+'Sumas y Saldos'!Z226+'Sumas y Saldos'!Z325+'Sumas y Saldos'!Z331+'Sumas y Saldos'!Z158+'Sumas y Saldos'!Z198+'Sumas y Saldos'!Z373</f>
      </c>
      <c r="K50" s="101">
        <f>'Sumas y Saldos'!AC73+'Sumas y Saldos'!AC271+'Sumas y Saldos'!AC226+'Sumas y Saldos'!AC325+'Sumas y Saldos'!AC331+'Sumas y Saldos'!AC158+'Sumas y Saldos'!AC198+'Sumas y Saldos'!AC373</f>
      </c>
      <c r="L50" s="101">
        <f>'Sumas y Saldos'!AF73+'Sumas y Saldos'!AF271+'Sumas y Saldos'!AF226+'Sumas y Saldos'!AF325+'Sumas y Saldos'!AF331+'Sumas y Saldos'!AF158+'Sumas y Saldos'!AF198+'Sumas y Saldos'!AF373</f>
      </c>
      <c r="M50" s="101">
        <f>'Sumas y Saldos'!W73+'Sumas y Saldos'!W271+'Sumas y Saldos'!W226+'Sumas y Saldos'!W325+'Sumas y Saldos'!W331+'Sumas y Saldos'!W158+'Sumas y Saldos'!W198+'Sumas y Saldos'!W373</f>
      </c>
      <c r="N50" s="101">
        <f>'Sumas y Saldos'!T73+'Sumas y Saldos'!T271+'Sumas y Saldos'!T226+'Sumas y Saldos'!T325+'Sumas y Saldos'!T331+'Sumas y Saldos'!T158+'Sumas y Saldos'!T198+'Sumas y Saldos'!T373</f>
      </c>
      <c r="O50" s="101">
        <f>'Sumas y Saldos'!AI73+'Sumas y Saldos'!AI271+'Sumas y Saldos'!AI226+'Sumas y Saldos'!AI325+'Sumas y Saldos'!AI331+'Sumas y Saldos'!AI158+'Sumas y Saldos'!AI198+'Sumas y Saldos'!AI373</f>
      </c>
      <c r="P50" s="101">
        <f>'Sumas y Saldos'!AO73+'Sumas y Saldos'!AO271+'Sumas y Saldos'!AO226+'Sumas y Saldos'!AO325+'Sumas y Saldos'!AO331+'Sumas y Saldos'!AO158+'Sumas y Saldos'!AO198+'Sumas y Saldos'!AO373</f>
      </c>
      <c r="Q50" s="101">
        <f>'Sumas y Saldos'!AL73+'Sumas y Saldos'!AL271+'Sumas y Saldos'!AL226+'Sumas y Saldos'!AL325+'Sumas y Saldos'!AL331+'Sumas y Saldos'!AL158+'Sumas y Saldos'!AL198+'Sumas y Saldos'!AL373</f>
      </c>
      <c r="R50" s="101">
        <v>0</v>
      </c>
      <c r="S50" s="101">
        <v>0</v>
      </c>
      <c r="T50" s="101">
        <f>'Sumas y Saldos'!BD271+'Sumas y Saldos'!BD226</f>
      </c>
      <c r="U50" s="101">
        <f>'Sumas y Saldos'!BM271+'Sumas y Saldos'!BM226+'Sumas y Saldos'!BM325+'Sumas y Saldos'!BM331+'Sumas y Saldos'!BM198</f>
      </c>
      <c r="V50" s="101">
        <f>'Sumas y Saldos'!BP271+'Sumas y Saldos'!BP226+'Sumas y Saldos'!BP325+'Sumas y Saldos'!BP331+'Sumas y Saldos'!BP198</f>
      </c>
      <c r="W50" s="101"/>
      <c r="X50" s="101"/>
      <c r="Y50" s="101"/>
      <c r="Z50" s="101"/>
      <c r="AA50" s="101"/>
      <c r="AB50" s="101"/>
      <c r="AC50" s="101">
        <v>135.87</v>
      </c>
      <c r="AD50" s="101">
        <v>4596.95</v>
      </c>
      <c r="AE50" s="101">
        <v>6798.38</v>
      </c>
      <c r="AF50" s="101">
        <v>10001.9</v>
      </c>
      <c r="AG50" s="101">
        <v>5573.98</v>
      </c>
      <c r="AH50" s="101">
        <v>4945.92</v>
      </c>
      <c r="AI50" s="104">
        <f>SUM(W50:AH50)</f>
        <v>32053</v>
      </c>
      <c r="AJ50" s="76"/>
      <c r="AK50" s="105"/>
    </row>
    <row r="51" ht="12.75" customHeight="1" spans="1:37" x14ac:dyDescent="0.25">
      <c r="A51" s="76" t="s">
        <v>547</v>
      </c>
      <c r="B51" s="76">
        <v>9600000062</v>
      </c>
      <c r="C51" s="98" t="s">
        <v>548</v>
      </c>
      <c r="D51" s="99">
        <f>SUM(F51:V51)+E51</f>
        <v>4.21</v>
      </c>
      <c r="E51" s="99">
        <f>+'Sumas y Saldos'!D131+'Sumas y Saldos'!D210+'Sumas y Saldos'!D317+'Sumas y Saldos'!D270+'Sumas y Saldos'!D179+'Sumas y Saldos'!D334+'Sumas y Saldos'!D211+'Sumas y Saldos'!D132+'Sumas y Saldos'!D74+'Sumas y Saldos'!D368+'Sumas y Saldos'!G131+'Sumas y Saldos'!G210+'Sumas y Saldos'!G317+'Sumas y Saldos'!G270+'Sumas y Saldos'!G179+'Sumas y Saldos'!G334+'Sumas y Saldos'!G211+'Sumas y Saldos'!G132+'Sumas y Saldos'!G74+'Sumas y Saldos'!G368+'Sumas y Saldos'!J131+'Sumas y Saldos'!J210+'Sumas y Saldos'!J317+'Sumas y Saldos'!J270+'Sumas y Saldos'!J179+'Sumas y Saldos'!J334+'Sumas y Saldos'!J211+'Sumas y Saldos'!J132+'Sumas y Saldos'!J74+'Sumas y Saldos'!J368+'Sumas y Saldos'!P131+'Sumas y Saldos'!P210+'Sumas y Saldos'!P317+'Sumas y Saldos'!P270+'Sumas y Saldos'!P179+'Sumas y Saldos'!P334+'Sumas y Saldos'!P211+'Sumas y Saldos'!P132+'Sumas y Saldos'!P74+'Sumas y Saldos'!P368+'Sumas y Saldos'!Y131+'Sumas y Saldos'!Y210+'Sumas y Saldos'!Y317+'Sumas y Saldos'!Y270+'Sumas y Saldos'!Y179+'Sumas y Saldos'!Y334+'Sumas y Saldos'!Y211+'Sumas y Saldos'!Y132+'Sumas y Saldos'!Y74+'Sumas y Saldos'!Y368+'Sumas y Saldos'!AB131+'Sumas y Saldos'!AB210+'Sumas y Saldos'!AB317+'Sumas y Saldos'!AB270+'Sumas y Saldos'!AB179+'Sumas y Saldos'!AB334+'Sumas y Saldos'!AB211+'Sumas y Saldos'!AB132+'Sumas y Saldos'!AB74+'Sumas y Saldos'!AB368+'Sumas y Saldos'!AE131+'Sumas y Saldos'!AE210+'Sumas y Saldos'!AE317+'Sumas y Saldos'!AE270+'Sumas y Saldos'!AE179+'Sumas y Saldos'!AE334+'Sumas y Saldos'!AE211+'Sumas y Saldos'!AE132+'Sumas y Saldos'!AE74+'Sumas y Saldos'!AE368+'Sumas y Saldos'!V131+'Sumas y Saldos'!V210+'Sumas y Saldos'!V317+'Sumas y Saldos'!V270+'Sumas y Saldos'!V179+'Sumas y Saldos'!V334+'Sumas y Saldos'!V211+'Sumas y Saldos'!V132+'Sumas y Saldos'!V74+'Sumas y Saldos'!V368+'Sumas y Saldos'!S131+'Sumas y Saldos'!S210+'Sumas y Saldos'!S317+'Sumas y Saldos'!S270+'Sumas y Saldos'!S179+'Sumas y Saldos'!S334+'Sumas y Saldos'!S211+'Sumas y Saldos'!S132+'Sumas y Saldos'!S74+'Sumas y Saldos'!S368+'Sumas y Saldos'!AH131+'Sumas y Saldos'!AH210+'Sumas y Saldos'!AH317+'Sumas y Saldos'!AH270+'Sumas y Saldos'!AH179+'Sumas y Saldos'!AH334+'Sumas y Saldos'!AH211+'Sumas y Saldos'!AH132+'Sumas y Saldos'!AH74+'Sumas y Saldos'!AH368+'Sumas y Saldos'!AN131+'Sumas y Saldos'!AN210+'Sumas y Saldos'!AN317+'Sumas y Saldos'!AN270+'Sumas y Saldos'!AN179+'Sumas y Saldos'!AN334+'Sumas y Saldos'!AN211+'Sumas y Saldos'!AN132+'Sumas y Saldos'!AN74+'Sumas y Saldos'!AN368+'Sumas y Saldos'!AK131+'Sumas y Saldos'!AK210+'Sumas y Saldos'!AK317+'Sumas y Saldos'!AK270+'Sumas y Saldos'!AK179+'Sumas y Saldos'!AK334+'Sumas y Saldos'!AK211+'Sumas y Saldos'!AK132+'Sumas y Saldos'!AK74+'Sumas y Saldos'!AK368+'Sumas y Saldos'!BF270+'Sumas y Saldos'!BI210+'Sumas y Saldos'!BI270+'Sumas y Saldos'!BC317+'Sumas y Saldos'!BC270+'Sumas y Saldos'!BL210+'Sumas y Saldos'!BL317+'Sumas y Saldos'!BL270+'Sumas y Saldos'!BL179+'Sumas y Saldos'!BL334+'Sumas y Saldos'!BL211+'Sumas y Saldos'!BO130+'Sumas y Saldos'!BO210+'Sumas y Saldos'!BO317+'Sumas y Saldos'!BO270+'Sumas y Saldos'!BO179+'Sumas y Saldos'!BO334+'Sumas y Saldos'!BO211</f>
      </c>
      <c r="F51" s="101">
        <f>'Sumas y Saldos'!E131+'Sumas y Saldos'!E210+'Sumas y Saldos'!E317+'Sumas y Saldos'!E270+'Sumas y Saldos'!E179+'Sumas y Saldos'!E334+'Sumas y Saldos'!E211+'Sumas y Saldos'!E132+'Sumas y Saldos'!E74+'Sumas y Saldos'!E368</f>
      </c>
      <c r="G51" s="101">
        <f>'Sumas y Saldos'!H131+'Sumas y Saldos'!H210+'Sumas y Saldos'!H317+'Sumas y Saldos'!H270+'Sumas y Saldos'!H179+'Sumas y Saldos'!H334+'Sumas y Saldos'!H211+'Sumas y Saldos'!H132+'Sumas y Saldos'!H74+'Sumas y Saldos'!H368</f>
      </c>
      <c r="H51" s="101">
        <f>'Sumas y Saldos'!K131+'Sumas y Saldos'!K210+'Sumas y Saldos'!K317+'Sumas y Saldos'!K270+'Sumas y Saldos'!K179+'Sumas y Saldos'!K334+'Sumas y Saldos'!K211+'Sumas y Saldos'!K132+'Sumas y Saldos'!K74+'Sumas y Saldos'!K368</f>
      </c>
      <c r="I51" s="101">
        <f>'Sumas y Saldos'!Q131+'Sumas y Saldos'!Q210+'Sumas y Saldos'!Q317+'Sumas y Saldos'!Q270+'Sumas y Saldos'!Q179+'Sumas y Saldos'!Q334+'Sumas y Saldos'!Q211+'Sumas y Saldos'!Q132+'Sumas y Saldos'!Q74+'Sumas y Saldos'!Q368</f>
      </c>
      <c r="J51" s="101">
        <f>'Sumas y Saldos'!Z131+'Sumas y Saldos'!Z210+'Sumas y Saldos'!Z317+'Sumas y Saldos'!Z270+'Sumas y Saldos'!Z179+'Sumas y Saldos'!Z334+'Sumas y Saldos'!Z211+'Sumas y Saldos'!Z132+'Sumas y Saldos'!Z74+'Sumas y Saldos'!Z368</f>
      </c>
      <c r="K51" s="101">
        <f>'Sumas y Saldos'!AC131+'Sumas y Saldos'!AC210+'Sumas y Saldos'!AC317+'Sumas y Saldos'!AC270+'Sumas y Saldos'!AC179+'Sumas y Saldos'!AC334+'Sumas y Saldos'!AC211+'Sumas y Saldos'!AC132+'Sumas y Saldos'!AC74+'Sumas y Saldos'!AC368</f>
      </c>
      <c r="L51" s="101">
        <f>'Sumas y Saldos'!AF131+'Sumas y Saldos'!AF210+'Sumas y Saldos'!AF317+'Sumas y Saldos'!AF270+'Sumas y Saldos'!AF179+'Sumas y Saldos'!AF334+'Sumas y Saldos'!AF211+'Sumas y Saldos'!AF132+'Sumas y Saldos'!AF74+'Sumas y Saldos'!AF368</f>
      </c>
      <c r="M51" s="101">
        <f>'Sumas y Saldos'!W131+'Sumas y Saldos'!W210+'Sumas y Saldos'!W317+'Sumas y Saldos'!W270+'Sumas y Saldos'!W179+'Sumas y Saldos'!W334+'Sumas y Saldos'!W211+'Sumas y Saldos'!W132+'Sumas y Saldos'!W74+'Sumas y Saldos'!W368</f>
      </c>
      <c r="N51" s="101">
        <f>'Sumas y Saldos'!T131+'Sumas y Saldos'!T210+'Sumas y Saldos'!T317+'Sumas y Saldos'!T270+'Sumas y Saldos'!T179+'Sumas y Saldos'!T334+'Sumas y Saldos'!T211+'Sumas y Saldos'!T132+'Sumas y Saldos'!T74+'Sumas y Saldos'!T368</f>
      </c>
      <c r="O51" s="101">
        <f>'Sumas y Saldos'!AI131+'Sumas y Saldos'!AI210+'Sumas y Saldos'!AI317+'Sumas y Saldos'!AI270+'Sumas y Saldos'!AI179+'Sumas y Saldos'!AI334+'Sumas y Saldos'!AI211+'Sumas y Saldos'!AI132+'Sumas y Saldos'!AI74+'Sumas y Saldos'!AI368</f>
      </c>
      <c r="P51" s="101">
        <f>'Sumas y Saldos'!AO131+'Sumas y Saldos'!AO210+'Sumas y Saldos'!AO317+'Sumas y Saldos'!AO270+'Sumas y Saldos'!AO179+'Sumas y Saldos'!AO334+'Sumas y Saldos'!AO211+'Sumas y Saldos'!AO132+'Sumas y Saldos'!AO74+'Sumas y Saldos'!AO368</f>
      </c>
      <c r="Q51" s="101">
        <f>'Sumas y Saldos'!AL131+'Sumas y Saldos'!AL210+'Sumas y Saldos'!AL317+'Sumas y Saldos'!AL270+'Sumas y Saldos'!AL179+'Sumas y Saldos'!AL334+'Sumas y Saldos'!AL211+'Sumas y Saldos'!AL132+'Sumas y Saldos'!AL74+'Sumas y Saldos'!AL368</f>
      </c>
      <c r="R51" s="101">
        <f>+'Sumas y Saldos'!BE270</f>
      </c>
      <c r="S51" s="101">
        <f>'Sumas y Saldos'!BJ210+'Sumas y Saldos'!BF270</f>
      </c>
      <c r="T51" s="101">
        <f>+'Sumas y Saldos'!BD317+'Sumas y Saldos'!BD270</f>
      </c>
      <c r="U51" s="101">
        <f>'Sumas y Saldos'!BM210+'Sumas y Saldos'!BM317+'Sumas y Saldos'!BM270+'Sumas y Saldos'!BM179+'Sumas y Saldos'!BM334+'Sumas y Saldos'!BM211</f>
      </c>
      <c r="V51" s="101">
        <f>'Sumas y Saldos'!BP130+'Sumas y Saldos'!BP210+'Sumas y Saldos'!BP317+'Sumas y Saldos'!BP270+'Sumas y Saldos'!BP179+'Sumas y Saldos'!BP334+'Sumas y Saldos'!BP211</f>
      </c>
      <c r="W51" s="101"/>
      <c r="X51" s="101"/>
      <c r="Y51" s="101"/>
      <c r="Z51" s="101"/>
      <c r="AA51" s="101"/>
      <c r="AB51" s="101"/>
      <c r="AC51" s="101">
        <v>4.21</v>
      </c>
      <c r="AD51" s="101">
        <v>2578.0499999999997</v>
      </c>
      <c r="AE51" s="101">
        <v>3623.96</v>
      </c>
      <c r="AF51" s="101">
        <v>5318.37</v>
      </c>
      <c r="AG51" s="101">
        <v>1737.01</v>
      </c>
      <c r="AH51" s="101">
        <v>4440.43</v>
      </c>
      <c r="AI51" s="104">
        <f>SUM(W51:AH51)</f>
        <v>17702.03</v>
      </c>
      <c r="AJ51" s="76"/>
      <c r="AK51" s="105"/>
    </row>
    <row r="52" ht="12.75" customHeight="1" spans="1:37" x14ac:dyDescent="0.25">
      <c r="A52" s="76" t="s">
        <v>549</v>
      </c>
      <c r="B52" s="76">
        <v>9600000062</v>
      </c>
      <c r="C52" s="98" t="s">
        <v>550</v>
      </c>
      <c r="D52" s="99">
        <f>SUM(F52:V52)+E52</f>
        <v>2452.02</v>
      </c>
      <c r="E52" s="99">
        <f>+'Sumas y Saldos'!G60+'Sumas y Saldos'!BL235+'Sumas y Saldos'!D17+'Sumas y Saldos'!D30+'Sumas y Saldos'!D33+'Sumas y Saldos'!D58+'Sumas y Saldos'!D60+'Sumas y Saldos'!D61+'Sumas y Saldos'!D75+'Sumas y Saldos'!D89+'Sumas y Saldos'!D106+'Sumas y Saldos'!D169+'Sumas y Saldos'!D267+'Sumas y Saldos'!D355+'Sumas y Saldos'!D235+'Sumas y Saldos'!D268+'Sumas y Saldos'!D299+'Sumas y Saldos'!D247+'Sumas y Saldos'!D356+'Sumas y Saldos'!D170+'Sumas y Saldos'!D178+'Sumas y Saldos'!D208+'Sumas y Saldos'!G17+'Sumas y Saldos'!G30+'Sumas y Saldos'!G33+'Sumas y Saldos'!G58+'Sumas y Saldos'!G61+'Sumas y Saldos'!G75+'Sumas y Saldos'!G89+'Sumas y Saldos'!G106+'Sumas y Saldos'!G169+'Sumas y Saldos'!G267+'Sumas y Saldos'!G355+'Sumas y Saldos'!G235+'Sumas y Saldos'!G268+'Sumas y Saldos'!G299+'Sumas y Saldos'!G247+'Sumas y Saldos'!G356+'Sumas y Saldos'!G170+'Sumas y Saldos'!G178+'Sumas y Saldos'!G208+'Sumas y Saldos'!J17+'Sumas y Saldos'!J30+'Sumas y Saldos'!J33+'Sumas y Saldos'!J58+'Sumas y Saldos'!J60+'Sumas y Saldos'!J61+'Sumas y Saldos'!J75+'Sumas y Saldos'!J89+'Sumas y Saldos'!J106+'Sumas y Saldos'!J169+'Sumas y Saldos'!J267+'Sumas y Saldos'!J355+'Sumas y Saldos'!J235+'Sumas y Saldos'!J268+'Sumas y Saldos'!J299+'Sumas y Saldos'!J247+'Sumas y Saldos'!J356+'Sumas y Saldos'!J170+'Sumas y Saldos'!J178+'Sumas y Saldos'!J208+'Sumas y Saldos'!P17+'Sumas y Saldos'!P30+'Sumas y Saldos'!P33+'Sumas y Saldos'!P58+'Sumas y Saldos'!P60+'Sumas y Saldos'!P61+'Sumas y Saldos'!P75+'Sumas y Saldos'!P89+'Sumas y Saldos'!P106+'Sumas y Saldos'!P169+'Sumas y Saldos'!P267+'Sumas y Saldos'!P355+'Sumas y Saldos'!P235+'Sumas y Saldos'!P268+'Sumas y Saldos'!P299+'Sumas y Saldos'!P247+'Sumas y Saldos'!P356+'Sumas y Saldos'!P170+'Sumas y Saldos'!P178+'Sumas y Saldos'!P208+'Sumas y Saldos'!Y17+'Sumas y Saldos'!Y30+'Sumas y Saldos'!Y33+'Sumas y Saldos'!Y58+'Sumas y Saldos'!Y60+'Sumas y Saldos'!Y61+'Sumas y Saldos'!Y75+'Sumas y Saldos'!Y89+'Sumas y Saldos'!Y106+'Sumas y Saldos'!Y169+'Sumas y Saldos'!Y267+'Sumas y Saldos'!Y355+'Sumas y Saldos'!Y235+'Sumas y Saldos'!Y268+'Sumas y Saldos'!Y299+'Sumas y Saldos'!Y247+'Sumas y Saldos'!Y356+'Sumas y Saldos'!Y170+'Sumas y Saldos'!Y178+'Sumas y Saldos'!Y208+'Sumas y Saldos'!AB17+'Sumas y Saldos'!AB30+'Sumas y Saldos'!AB33+'Sumas y Saldos'!AB58+'Sumas y Saldos'!AB60+'Sumas y Saldos'!AB61+'Sumas y Saldos'!AB75+'Sumas y Saldos'!AB89+'Sumas y Saldos'!AB106+'Sumas y Saldos'!AB169+'Sumas y Saldos'!AB267+'Sumas y Saldos'!AB355+'Sumas y Saldos'!AB235+'Sumas y Saldos'!AB268+'Sumas y Saldos'!AB299+'Sumas y Saldos'!AB247+'Sumas y Saldos'!AB356+'Sumas y Saldos'!AB170+'Sumas y Saldos'!AB178+'Sumas y Saldos'!AB208+'Sumas y Saldos'!AE17+'Sumas y Saldos'!AE30+'Sumas y Saldos'!AE33+'Sumas y Saldos'!AE58+'Sumas y Saldos'!AE60+'Sumas y Saldos'!AE61+'Sumas y Saldos'!AE75+'Sumas y Saldos'!AE89+'Sumas y Saldos'!AE106+'Sumas y Saldos'!AE169+'Sumas y Saldos'!AE267+'Sumas y Saldos'!AE355+'Sumas y Saldos'!AE235+'Sumas y Saldos'!AE268+'Sumas y Saldos'!AE299+'Sumas y Saldos'!AE247+'Sumas y Saldos'!AE356+'Sumas y Saldos'!AE170+'Sumas y Saldos'!AE178+'Sumas y Saldos'!AE208+'Sumas y Saldos'!V17+'Sumas y Saldos'!V30+'Sumas y Saldos'!V33+'Sumas y Saldos'!V58+'Sumas y Saldos'!V60+'Sumas y Saldos'!V61+'Sumas y Saldos'!V75+'Sumas y Saldos'!V89+'Sumas y Saldos'!V106+'Sumas y Saldos'!V169+'Sumas y Saldos'!V267+'Sumas y Saldos'!V355+'Sumas y Saldos'!V235+'Sumas y Saldos'!V268+'Sumas y Saldos'!V299+'Sumas y Saldos'!V247+'Sumas y Saldos'!V356+'Sumas y Saldos'!V170+'Sumas y Saldos'!V178+'Sumas y Saldos'!V208+'Sumas y Saldos'!S17+'Sumas y Saldos'!S30+'Sumas y Saldos'!S33+'Sumas y Saldos'!S58+'Sumas y Saldos'!S60+'Sumas y Saldos'!S61+'Sumas y Saldos'!S75+'Sumas y Saldos'!S89+'Sumas y Saldos'!S106+'Sumas y Saldos'!S169+'Sumas y Saldos'!S267+'Sumas y Saldos'!S355+'Sumas y Saldos'!S235+'Sumas y Saldos'!S268+'Sumas y Saldos'!S299+'Sumas y Saldos'!S247+'Sumas y Saldos'!S356+'Sumas y Saldos'!S170+'Sumas y Saldos'!S178+'Sumas y Saldos'!S208+'Sumas y Saldos'!AH17+'Sumas y Saldos'!AH30+'Sumas y Saldos'!AH33+'Sumas y Saldos'!AH58+'Sumas y Saldos'!AH60+'Sumas y Saldos'!AH61+'Sumas y Saldos'!AH75+'Sumas y Saldos'!AH89+'Sumas y Saldos'!AH106+'Sumas y Saldos'!AH169+'Sumas y Saldos'!AH267+'Sumas y Saldos'!AH355+'Sumas y Saldos'!AH235+'Sumas y Saldos'!AH268+'Sumas y Saldos'!AH299+'Sumas y Saldos'!AH247+'Sumas y Saldos'!AH356+'Sumas y Saldos'!AH170+'Sumas y Saldos'!AH178+'Sumas y Saldos'!AH208+'Sumas y Saldos'!AN17+'Sumas y Saldos'!AN30+'Sumas y Saldos'!AN33+'Sumas y Saldos'!AN58+'Sumas y Saldos'!AN60+'Sumas y Saldos'!AN61+'Sumas y Saldos'!AN75+'Sumas y Saldos'!AN89+'Sumas y Saldos'!AN106+'Sumas y Saldos'!AN169+'Sumas y Saldos'!AN267+'Sumas y Saldos'!AN355+'Sumas y Saldos'!AN235+'Sumas y Saldos'!AN268+'Sumas y Saldos'!AN299+'Sumas y Saldos'!AN247+'Sumas y Saldos'!AN356+'Sumas y Saldos'!AN170+'Sumas y Saldos'!AN178+'Sumas y Saldos'!AN208+'Sumas y Saldos'!AK17+'Sumas y Saldos'!AK30+'Sumas y Saldos'!AK33+'Sumas y Saldos'!AK58+'Sumas y Saldos'!AK60+'Sumas y Saldos'!AK61+'Sumas y Saldos'!AK75+'Sumas y Saldos'!AK89+'Sumas y Saldos'!AK106+'Sumas y Saldos'!AK169+'Sumas y Saldos'!AK267+'Sumas y Saldos'!AK355+'Sumas y Saldos'!AK235+'Sumas y Saldos'!AK268+'Sumas y Saldos'!AK299+'Sumas y Saldos'!AK247+'Sumas y Saldos'!AK356+'Sumas y Saldos'!AK170+'Sumas y Saldos'!AK178+'Sumas y Saldos'!AK208+'Sumas y Saldos'!BF267+'Sumas y Saldos'!BF268+'Sumas y Saldos'!BI267+'Sumas y Saldos'!BI268+'Sumas y Saldos'!BC235+'Sumas y Saldos'!BC267+'Sumas y Saldos'!BC268+'Sumas y Saldos'!BC299+'Sumas y Saldos'!BC247+'Sumas y Saldos'!BL267+'Sumas y Saldos'!BL268+'Sumas y Saldos'!BL299+'Sumas y Saldos'!BL356+'Sumas y Saldos'!BL178+'Sumas y Saldos'!BL208+'Sumas y Saldos'!BO235+'Sumas y Saldos'!BO267+'Sumas y Saldos'!BO268+'Sumas y Saldos'!BO178+'Sumas y Saldos'!BO208</f>
      </c>
      <c r="F52" s="101">
        <f>'Sumas y Saldos'!E17+'Sumas y Saldos'!E30+'Sumas y Saldos'!E33+'Sumas y Saldos'!E58+'Sumas y Saldos'!E60+'Sumas y Saldos'!E61+'Sumas y Saldos'!E75+'Sumas y Saldos'!E89+'Sumas y Saldos'!E106+'Sumas y Saldos'!E169+'Sumas y Saldos'!E267+'Sumas y Saldos'!E355+'Sumas y Saldos'!E235+'Sumas y Saldos'!E268+'Sumas y Saldos'!E299+'Sumas y Saldos'!E247+'Sumas y Saldos'!E356+'Sumas y Saldos'!E170+'Sumas y Saldos'!E178+'Sumas y Saldos'!E208</f>
      </c>
      <c r="G52" s="101">
        <f>'Sumas y Saldos'!H17+'Sumas y Saldos'!H30+'Sumas y Saldos'!H33+'Sumas y Saldos'!H58+'Sumas y Saldos'!H60+'Sumas y Saldos'!H61+'Sumas y Saldos'!H75+'Sumas y Saldos'!H89+'Sumas y Saldos'!H106+'Sumas y Saldos'!H169+'Sumas y Saldos'!H267+'Sumas y Saldos'!H355+'Sumas y Saldos'!H235+'Sumas y Saldos'!H268+'Sumas y Saldos'!H299+'Sumas y Saldos'!H247+'Sumas y Saldos'!H356+'Sumas y Saldos'!H170+'Sumas y Saldos'!H178+'Sumas y Saldos'!H208</f>
      </c>
      <c r="H52" s="101">
        <f>'Sumas y Saldos'!K17+'Sumas y Saldos'!K30+'Sumas y Saldos'!K33+'Sumas y Saldos'!K58+'Sumas y Saldos'!K60+'Sumas y Saldos'!K61+'Sumas y Saldos'!K75+'Sumas y Saldos'!K89+'Sumas y Saldos'!K106+'Sumas y Saldos'!K169+'Sumas y Saldos'!K267+'Sumas y Saldos'!K355+'Sumas y Saldos'!K235+'Sumas y Saldos'!K268+'Sumas y Saldos'!K299+'Sumas y Saldos'!K247+'Sumas y Saldos'!K356+'Sumas y Saldos'!K170+'Sumas y Saldos'!K178+'Sumas y Saldos'!K208</f>
      </c>
      <c r="I52" s="101">
        <f>'Sumas y Saldos'!Q17+'Sumas y Saldos'!Q30+'Sumas y Saldos'!Q33+'Sumas y Saldos'!Q58+'Sumas y Saldos'!Q60+'Sumas y Saldos'!Q61+'Sumas y Saldos'!Q75+'Sumas y Saldos'!Q89+'Sumas y Saldos'!Q106+'Sumas y Saldos'!Q169+'Sumas y Saldos'!Q267+'Sumas y Saldos'!Q355+'Sumas y Saldos'!Q235+'Sumas y Saldos'!Q268+'Sumas y Saldos'!Q299+'Sumas y Saldos'!Q247+'Sumas y Saldos'!Q356+'Sumas y Saldos'!Q170+'Sumas y Saldos'!Q178+'Sumas y Saldos'!Q208</f>
      </c>
      <c r="J52" s="101">
        <f>'Sumas y Saldos'!Z17+'Sumas y Saldos'!Z30+'Sumas y Saldos'!Z33+'Sumas y Saldos'!Z58+'Sumas y Saldos'!Z60+'Sumas y Saldos'!Z61+'Sumas y Saldos'!Z75+'Sumas y Saldos'!Z89+'Sumas y Saldos'!Z106+'Sumas y Saldos'!Z169+'Sumas y Saldos'!Z267+'Sumas y Saldos'!Z355+'Sumas y Saldos'!Z235+'Sumas y Saldos'!Z268+'Sumas y Saldos'!Z299+'Sumas y Saldos'!Z247+'Sumas y Saldos'!Z356+'Sumas y Saldos'!Z170+'Sumas y Saldos'!Z178+'Sumas y Saldos'!Z208</f>
      </c>
      <c r="K52" s="101">
        <f>'Sumas y Saldos'!AC17+'Sumas y Saldos'!AC30+'Sumas y Saldos'!AC33+'Sumas y Saldos'!AC58+'Sumas y Saldos'!AC60+'Sumas y Saldos'!AC61+'Sumas y Saldos'!AC75+'Sumas y Saldos'!AC89+'Sumas y Saldos'!AC106+'Sumas y Saldos'!AC169+'Sumas y Saldos'!AC267+'Sumas y Saldos'!AC355+'Sumas y Saldos'!AC235+'Sumas y Saldos'!AC268+'Sumas y Saldos'!AC299+'Sumas y Saldos'!AC247+'Sumas y Saldos'!AC356+'Sumas y Saldos'!AC170+'Sumas y Saldos'!AC178+'Sumas y Saldos'!AC208</f>
      </c>
      <c r="L52" s="101">
        <f>'Sumas y Saldos'!AF17+'Sumas y Saldos'!AF30+'Sumas y Saldos'!AF33+'Sumas y Saldos'!AF58+'Sumas y Saldos'!AF60+'Sumas y Saldos'!AF61+'Sumas y Saldos'!AF75+'Sumas y Saldos'!AF89+'Sumas y Saldos'!AF106+'Sumas y Saldos'!AF169+'Sumas y Saldos'!AF267+'Sumas y Saldos'!AF355+'Sumas y Saldos'!AF235+'Sumas y Saldos'!AF268+'Sumas y Saldos'!AF299+'Sumas y Saldos'!AF247+'Sumas y Saldos'!AF356+'Sumas y Saldos'!AF170+'Sumas y Saldos'!AF178+'Sumas y Saldos'!AF208</f>
      </c>
      <c r="M52" s="101">
        <f>'Sumas y Saldos'!W17+'Sumas y Saldos'!W30+'Sumas y Saldos'!W33+'Sumas y Saldos'!W58+'Sumas y Saldos'!W60+'Sumas y Saldos'!W61+'Sumas y Saldos'!W75+'Sumas y Saldos'!W89+'Sumas y Saldos'!W106+'Sumas y Saldos'!W169+'Sumas y Saldos'!W267+'Sumas y Saldos'!W355+'Sumas y Saldos'!W235+'Sumas y Saldos'!W268+'Sumas y Saldos'!W299+'Sumas y Saldos'!W247+'Sumas y Saldos'!W356+'Sumas y Saldos'!W170+'Sumas y Saldos'!W178+'Sumas y Saldos'!W208</f>
      </c>
      <c r="N52" s="101">
        <f>'Sumas y Saldos'!T17+'Sumas y Saldos'!T30+'Sumas y Saldos'!T33+'Sumas y Saldos'!T58+'Sumas y Saldos'!T60+'Sumas y Saldos'!T61+'Sumas y Saldos'!T75+'Sumas y Saldos'!T89+'Sumas y Saldos'!T106+'Sumas y Saldos'!T169+'Sumas y Saldos'!T267+'Sumas y Saldos'!T355+'Sumas y Saldos'!T235+'Sumas y Saldos'!T268+'Sumas y Saldos'!T299+'Sumas y Saldos'!T247+'Sumas y Saldos'!T356+'Sumas y Saldos'!T170+'Sumas y Saldos'!T178+'Sumas y Saldos'!T208</f>
      </c>
      <c r="O52" s="101">
        <f>'Sumas y Saldos'!AI17+'Sumas y Saldos'!AI30+'Sumas y Saldos'!AI33+'Sumas y Saldos'!AI58+'Sumas y Saldos'!AI60+'Sumas y Saldos'!AI61+'Sumas y Saldos'!AI75+'Sumas y Saldos'!AI89+'Sumas y Saldos'!AI106+'Sumas y Saldos'!AI169+'Sumas y Saldos'!AI267+'Sumas y Saldos'!AI355+'Sumas y Saldos'!AI235+'Sumas y Saldos'!AI268+'Sumas y Saldos'!AI299+'Sumas y Saldos'!AI247+'Sumas y Saldos'!AI356+'Sumas y Saldos'!AI170+'Sumas y Saldos'!AI178+'Sumas y Saldos'!AI208</f>
      </c>
      <c r="P52" s="101">
        <f>'Sumas y Saldos'!AO17+'Sumas y Saldos'!AO30+'Sumas y Saldos'!AO33+'Sumas y Saldos'!AO58+'Sumas y Saldos'!AO60+'Sumas y Saldos'!AO61+'Sumas y Saldos'!AO75+'Sumas y Saldos'!AO89+'Sumas y Saldos'!AO106+'Sumas y Saldos'!AO169+'Sumas y Saldos'!AO267+'Sumas y Saldos'!AO355+'Sumas y Saldos'!AO235+'Sumas y Saldos'!AO268+'Sumas y Saldos'!AO299+'Sumas y Saldos'!AO247+'Sumas y Saldos'!AO356+'Sumas y Saldos'!AO170+'Sumas y Saldos'!AO178+'Sumas y Saldos'!AO208</f>
      </c>
      <c r="Q52" s="101">
        <f>'Sumas y Saldos'!AL17+'Sumas y Saldos'!AL30+'Sumas y Saldos'!AL33+'Sumas y Saldos'!AL58+'Sumas y Saldos'!AL60+'Sumas y Saldos'!AL61+'Sumas y Saldos'!AL75+'Sumas y Saldos'!AL89+'Sumas y Saldos'!AL106+'Sumas y Saldos'!AL169+'Sumas y Saldos'!AL267+'Sumas y Saldos'!AL355+'Sumas y Saldos'!AL235+'Sumas y Saldos'!AL268+'Sumas y Saldos'!AL299+'Sumas y Saldos'!AL247+'Sumas y Saldos'!AL356+'Sumas y Saldos'!AL170+'Sumas y Saldos'!AL178+'Sumas y Saldos'!AL208</f>
      </c>
      <c r="R52" s="101">
        <f>+'Sumas y Saldos'!BE267+'Sumas y Saldos'!BE268</f>
      </c>
      <c r="S52" s="101">
        <f>+'Sumas y Saldos'!BF267+'Sumas y Saldos'!BF268</f>
      </c>
      <c r="T52" s="101">
        <f>'Sumas y Saldos'!BD235+'Sumas y Saldos'!BD267+'Sumas y Saldos'!BD268+'Sumas y Saldos'!BD299+'Sumas y Saldos'!BD247</f>
      </c>
      <c r="U52" s="101">
        <f>'Sumas y Saldos'!BM235+'Sumas y Saldos'!BM267+'Sumas y Saldos'!BM268+'Sumas y Saldos'!BM299+'Sumas y Saldos'!BM356+'Sumas y Saldos'!BM178+'Sumas y Saldos'!BM208</f>
      </c>
      <c r="V52" s="101">
        <f>'Sumas y Saldos'!BP235+'Sumas y Saldos'!BP267+'Sumas y Saldos'!BP268+'Sumas y Saldos'!BP178+'Sumas y Saldos'!BP208</f>
      </c>
      <c r="W52" s="101"/>
      <c r="X52" s="101"/>
      <c r="Y52" s="101"/>
      <c r="Z52" s="101"/>
      <c r="AA52" s="101"/>
      <c r="AB52" s="101"/>
      <c r="AC52" s="101">
        <v>2452.02</v>
      </c>
      <c r="AD52" s="101">
        <v>1669.43</v>
      </c>
      <c r="AE52" s="101">
        <v>1706.13</v>
      </c>
      <c r="AF52" s="101">
        <v>1950.95</v>
      </c>
      <c r="AG52" s="101">
        <v>868.73</v>
      </c>
      <c r="AH52" s="101">
        <v>1202.84</v>
      </c>
      <c r="AI52" s="104">
        <f>SUM(W52:AH52)</f>
        <v>9850.1</v>
      </c>
      <c r="AJ52" s="76"/>
      <c r="AK52" s="105"/>
    </row>
    <row r="53" ht="12.75" customHeight="1" spans="1:37" x14ac:dyDescent="0.25">
      <c r="A53" s="76" t="s">
        <v>551</v>
      </c>
      <c r="B53" s="76">
        <v>9600000062</v>
      </c>
      <c r="C53" s="98" t="s">
        <v>120</v>
      </c>
      <c r="D53" s="99">
        <f>SUM(F53:V53)+E53</f>
        <v>177.42000000000002</v>
      </c>
      <c r="E53" s="99">
        <f>'Sumas y Saldos'!D110+'Sumas y Saldos'!D83+'Sumas y Saldos'!D111+'Sumas y Saldos'!D221+'Sumas y Saldos'!D274+'Sumas y Saldos'!D136+'Sumas y Saldos'!D348+'Sumas y Saldos'!D189+'Sumas y Saldos'!G83+'Sumas y Saldos'!G110+'Sumas y Saldos'!G111+'Sumas y Saldos'!G221+'Sumas y Saldos'!G274+'Sumas y Saldos'!G136+'Sumas y Saldos'!G348+'Sumas y Saldos'!G189+'Sumas y Saldos'!J83+'Sumas y Saldos'!J110+'Sumas y Saldos'!J111+'Sumas y Saldos'!J221+'Sumas y Saldos'!J274+'Sumas y Saldos'!J136+'Sumas y Saldos'!J348+'Sumas y Saldos'!J189+'Sumas y Saldos'!P83+'Sumas y Saldos'!P110+'Sumas y Saldos'!P111+'Sumas y Saldos'!P221+'Sumas y Saldos'!P274+'Sumas y Saldos'!P136+'Sumas y Saldos'!P348+'Sumas y Saldos'!P189+'Sumas y Saldos'!Y83+'Sumas y Saldos'!Y110+'Sumas y Saldos'!Y111+'Sumas y Saldos'!Y221+'Sumas y Saldos'!Y274+'Sumas y Saldos'!Y136+'Sumas y Saldos'!Y348+'Sumas y Saldos'!Y189+'Sumas y Saldos'!AB83+'Sumas y Saldos'!AB110+'Sumas y Saldos'!AB111+'Sumas y Saldos'!AB221+'Sumas y Saldos'!AB274+'Sumas y Saldos'!AB136+'Sumas y Saldos'!AB348+'Sumas y Saldos'!AB189+'Sumas y Saldos'!AE83+'Sumas y Saldos'!AE110+'Sumas y Saldos'!AE111+'Sumas y Saldos'!AE221+'Sumas y Saldos'!AE274+'Sumas y Saldos'!AE136+'Sumas y Saldos'!AE348+'Sumas y Saldos'!AE189+'Sumas y Saldos'!V83+'Sumas y Saldos'!V110+'Sumas y Saldos'!V111+'Sumas y Saldos'!V221+'Sumas y Saldos'!V274+'Sumas y Saldos'!V136+'Sumas y Saldos'!V348+'Sumas y Saldos'!V189+'Sumas y Saldos'!S83+'Sumas y Saldos'!S110+'Sumas y Saldos'!S111+'Sumas y Saldos'!S221+'Sumas y Saldos'!S274+'Sumas y Saldos'!S136+'Sumas y Saldos'!S348+'Sumas y Saldos'!S189+'Sumas y Saldos'!AH83+'Sumas y Saldos'!AH110+'Sumas y Saldos'!AH111+'Sumas y Saldos'!AH221+'Sumas y Saldos'!AH274+'Sumas y Saldos'!AH136+'Sumas y Saldos'!AH348+'Sumas y Saldos'!AH189+'Sumas y Saldos'!AN83+'Sumas y Saldos'!AN110+'Sumas y Saldos'!AN111+'Sumas y Saldos'!AN221+'Sumas y Saldos'!AN274+'Sumas y Saldos'!AN136+'Sumas y Saldos'!AN348+'Sumas y Saldos'!AN189+'Sumas y Saldos'!AK83+'Sumas y Saldos'!AK110+'Sumas y Saldos'!AK111+'Sumas y Saldos'!AK221+'Sumas y Saldos'!AK274+'Sumas y Saldos'!AK136+'Sumas y Saldos'!AK348+'Sumas y Saldos'!AK189+'Sumas y Saldos'!BC221+'Sumas y Saldos'!BC274+'Sumas y Saldos'!BL274+'Sumas y Saldos'!BL348+'Sumas y Saldos'!BL189+'Sumas y Saldos'!BO221+'Sumas y Saldos'!BO136+'Sumas y Saldos'!BO189</f>
      </c>
      <c r="F53" s="101">
        <f>'Sumas y Saldos'!E83+'Sumas y Saldos'!E110+'Sumas y Saldos'!E111+'Sumas y Saldos'!E221+'Sumas y Saldos'!E274+'Sumas y Saldos'!E136+'Sumas y Saldos'!E348+'Sumas y Saldos'!E189</f>
      </c>
      <c r="G53" s="101">
        <f>'Sumas y Saldos'!H83+'Sumas y Saldos'!H110+'Sumas y Saldos'!H111+'Sumas y Saldos'!H221+'Sumas y Saldos'!H274+'Sumas y Saldos'!H136+'Sumas y Saldos'!H348+'Sumas y Saldos'!H189</f>
      </c>
      <c r="H53" s="101">
        <f>'Sumas y Saldos'!K83+'Sumas y Saldos'!K110+'Sumas y Saldos'!K111+'Sumas y Saldos'!K221+'Sumas y Saldos'!K274+'Sumas y Saldos'!K136+'Sumas y Saldos'!K348+'Sumas y Saldos'!K189</f>
      </c>
      <c r="I53" s="101">
        <f>'Sumas y Saldos'!Q83+'Sumas y Saldos'!Q110+'Sumas y Saldos'!Q111+'Sumas y Saldos'!Q221+'Sumas y Saldos'!Q274+'Sumas y Saldos'!Q136+'Sumas y Saldos'!Q348+'Sumas y Saldos'!Q189</f>
      </c>
      <c r="J53" s="101">
        <f>'Sumas y Saldos'!Z83+'Sumas y Saldos'!Z110+'Sumas y Saldos'!Z111+'Sumas y Saldos'!Z221+'Sumas y Saldos'!Z274+'Sumas y Saldos'!Z136+'Sumas y Saldos'!Z348+'Sumas y Saldos'!Z189</f>
      </c>
      <c r="K53" s="101">
        <f>'Sumas y Saldos'!AC83+'Sumas y Saldos'!AC110+'Sumas y Saldos'!AC111+'Sumas y Saldos'!AC221+'Sumas y Saldos'!AC274+'Sumas y Saldos'!AC136+'Sumas y Saldos'!AC348+'Sumas y Saldos'!AC189</f>
      </c>
      <c r="L53" s="101">
        <f>'Sumas y Saldos'!AF83+'Sumas y Saldos'!AF110+'Sumas y Saldos'!AF111+'Sumas y Saldos'!AF221+'Sumas y Saldos'!AF274+'Sumas y Saldos'!AF136+'Sumas y Saldos'!AF348+'Sumas y Saldos'!AF189</f>
      </c>
      <c r="M53" s="101">
        <f>'Sumas y Saldos'!W83+'Sumas y Saldos'!W110+'Sumas y Saldos'!W111+'Sumas y Saldos'!W221+'Sumas y Saldos'!W274+'Sumas y Saldos'!W136+'Sumas y Saldos'!W348+'Sumas y Saldos'!W189</f>
      </c>
      <c r="N53" s="101">
        <f>'Sumas y Saldos'!T83+'Sumas y Saldos'!T110+'Sumas y Saldos'!T111+'Sumas y Saldos'!T221+'Sumas y Saldos'!T274+'Sumas y Saldos'!T136+'Sumas y Saldos'!T348+'Sumas y Saldos'!T189</f>
      </c>
      <c r="O53" s="101">
        <f>'Sumas y Saldos'!AI83+'Sumas y Saldos'!AI110+'Sumas y Saldos'!AI111+'Sumas y Saldos'!AI221+'Sumas y Saldos'!AI274+'Sumas y Saldos'!AI136+'Sumas y Saldos'!AI348+'Sumas y Saldos'!AI189</f>
      </c>
      <c r="P53" s="101">
        <f>'Sumas y Saldos'!AO83+'Sumas y Saldos'!AO110+'Sumas y Saldos'!AO111+'Sumas y Saldos'!AO221+'Sumas y Saldos'!AO274+'Sumas y Saldos'!AO136+'Sumas y Saldos'!AO348+'Sumas y Saldos'!AO189</f>
      </c>
      <c r="Q53" s="101">
        <f>'Sumas y Saldos'!AL83+'Sumas y Saldos'!AL110+'Sumas y Saldos'!AL111+'Sumas y Saldos'!AL221+'Sumas y Saldos'!AL274+'Sumas y Saldos'!AL136+'Sumas y Saldos'!AL348+'Sumas y Saldos'!AL189</f>
      </c>
      <c r="R53" s="101"/>
      <c r="S53" s="101"/>
      <c r="T53" s="101">
        <f>'Sumas y Saldos'!BD221+'Sumas y Saldos'!BD274</f>
      </c>
      <c r="U53" s="101">
        <f>'Sumas y Saldos'!BM274+'Sumas y Saldos'!BM348+'Sumas y Saldos'!BK189</f>
      </c>
      <c r="V53" s="101">
        <f>'Sumas y Saldos'!BP221+'Sumas y Saldos'!BP136+'Sumas y Saldos'!BP189</f>
      </c>
      <c r="W53" s="101"/>
      <c r="X53" s="101"/>
      <c r="Y53" s="101"/>
      <c r="Z53" s="101"/>
      <c r="AA53" s="101"/>
      <c r="AB53" s="101"/>
      <c r="AC53" s="101">
        <v>177.42000000000002</v>
      </c>
      <c r="AD53" s="101">
        <v>8121.4</v>
      </c>
      <c r="AE53" s="101">
        <v>3096.15</v>
      </c>
      <c r="AF53" s="101">
        <v>10263.28</v>
      </c>
      <c r="AG53" s="101">
        <v>8351.09</v>
      </c>
      <c r="AH53" s="101">
        <v>145855.42</v>
      </c>
      <c r="AI53" s="104">
        <f>SUM(W53:AH53)</f>
        <v>175864.76</v>
      </c>
      <c r="AJ53" s="76"/>
      <c r="AK53" s="105"/>
    </row>
    <row r="54" ht="12.75" customHeight="1" spans="1:37" x14ac:dyDescent="0.25">
      <c r="A54" s="76"/>
      <c r="B54" s="76"/>
      <c r="C54" s="98" t="s">
        <v>552</v>
      </c>
      <c r="D54" s="99">
        <f>SUM(F54:V54)+E54</f>
      </c>
      <c r="E54" s="99">
        <f>'Sumas y Saldos'!AN230+'Sumas y Saldos'!S371+'Sumas y Saldos'!D47+'Sumas y Saldos'!D256+'Sumas y Saldos'!D134+'Sumas y Saldos'!D230+'Sumas y Saldos'!D201+'Sumas y Saldos'!D213+'Sumas y Saldos'!D216+'Sumas y Saldos'!D324+'Sumas y Saldos'!D371+'Sumas y Saldos'!G47+'Sumas y Saldos'!G256+'Sumas y Saldos'!G134+'Sumas y Saldos'!G230+'Sumas y Saldos'!G201+'Sumas y Saldos'!G213+'Sumas y Saldos'!G216+'Sumas y Saldos'!G324+'Sumas y Saldos'!G371+'Sumas y Saldos'!J47+'Sumas y Saldos'!J256+'Sumas y Saldos'!J134+'Sumas y Saldos'!J230+'Sumas y Saldos'!J201+'Sumas y Saldos'!J213+'Sumas y Saldos'!J216+'Sumas y Saldos'!J324+'Sumas y Saldos'!J371+'Sumas y Saldos'!P47+'Sumas y Saldos'!P256+'Sumas y Saldos'!P134+'Sumas y Saldos'!P230+'Sumas y Saldos'!P201+'Sumas y Saldos'!P213+'Sumas y Saldos'!P216+'Sumas y Saldos'!P324+'Sumas y Saldos'!P371+'Sumas y Saldos'!Y47+'Sumas y Saldos'!Y256+'Sumas y Saldos'!Y134+'Sumas y Saldos'!Y230+'Sumas y Saldos'!Y201+'Sumas y Saldos'!Y213+'Sumas y Saldos'!Y216+'Sumas y Saldos'!Y324+'Sumas y Saldos'!Y371+'Sumas y Saldos'!AB47+'Sumas y Saldos'!AB256+'Sumas y Saldos'!AB134+'Sumas y Saldos'!AB230+'Sumas y Saldos'!AB201+'Sumas y Saldos'!AB213+'Sumas y Saldos'!AB216+'Sumas y Saldos'!AB324+'Sumas y Saldos'!AB371+'Sumas y Saldos'!AE47+'Sumas y Saldos'!AE256+'Sumas y Saldos'!AE134+'Sumas y Saldos'!AE230+'Sumas y Saldos'!AE201+'Sumas y Saldos'!AE213+'Sumas y Saldos'!AE216+'Sumas y Saldos'!AE324+'Sumas y Saldos'!AE371+'Sumas y Saldos'!V47+'Sumas y Saldos'!V256+'Sumas y Saldos'!V134+'Sumas y Saldos'!V230+'Sumas y Saldos'!V201+'Sumas y Saldos'!V213+'Sumas y Saldos'!V216+'Sumas y Saldos'!V324+'Sumas y Saldos'!V371+'Sumas y Saldos'!S47+'Sumas y Saldos'!S256+'Sumas y Saldos'!S134+'Sumas y Saldos'!S230+'Sumas y Saldos'!S201+'Sumas y Saldos'!S213+'Sumas y Saldos'!S216+'Sumas y Saldos'!S324+'Sumas y Saldos'!AH47+'Sumas y Saldos'!AH256+'Sumas y Saldos'!AH134+'Sumas y Saldos'!AH230+'Sumas y Saldos'!AH201+'Sumas y Saldos'!AH213+'Sumas y Saldos'!AH216+'Sumas y Saldos'!AH324+'Sumas y Saldos'!AH371+'Sumas y Saldos'!AN47+'Sumas y Saldos'!AN256+'Sumas y Saldos'!AN134+'Sumas y Saldos'!AN201+'Sumas y Saldos'!AN213+'Sumas y Saldos'!AN216+'Sumas y Saldos'!AN324+'Sumas y Saldos'!AN371+'Sumas y Saldos'!AK47+'Sumas y Saldos'!AK256+'Sumas y Saldos'!AK134+'Sumas y Saldos'!AK230+'Sumas y Saldos'!AK201+'Sumas y Saldos'!AK213+'Sumas y Saldos'!AK216+'Sumas y Saldos'!AK324+'Sumas y Saldos'!AK371+'Sumas y Saldos'!BC256+'Sumas y Saldos'!BC230+'Sumas y Saldos'!BL256+'Sumas y Saldos'!BL213+'Sumas y Saldos'!BL216+'Sumas y Saldos'!BO256+'Sumas y Saldos'!BO134+'Sumas y Saldos'!BO201</f>
      </c>
      <c r="F54" s="101">
        <f>'Sumas y Saldos'!E47+'Sumas y Saldos'!E256+'Sumas y Saldos'!E134+'Sumas y Saldos'!E230+'Sumas y Saldos'!E201+'Sumas y Saldos'!E213+'Sumas y Saldos'!E216+'Sumas y Saldos'!E324+'Sumas y Saldos'!E371</f>
      </c>
      <c r="G54" s="101">
        <f>'Sumas y Saldos'!H47+'Sumas y Saldos'!H256+'Sumas y Saldos'!H134+'Sumas y Saldos'!H230+'Sumas y Saldos'!H201+'Sumas y Saldos'!H213+'Sumas y Saldos'!H216+'Sumas y Saldos'!H324+'Sumas y Saldos'!H371</f>
      </c>
      <c r="H54" s="101">
        <f>'Sumas y Saldos'!K47+'Sumas y Saldos'!K256+'Sumas y Saldos'!K134+'Sumas y Saldos'!K230+'Sumas y Saldos'!K201+'Sumas y Saldos'!K213+'Sumas y Saldos'!K216+'Sumas y Saldos'!K324+'Sumas y Saldos'!K371</f>
      </c>
      <c r="I54" s="101">
        <f>'Sumas y Saldos'!Q47+'Sumas y Saldos'!Q256+'Sumas y Saldos'!Q134+'Sumas y Saldos'!Q230+'Sumas y Saldos'!Q201+'Sumas y Saldos'!Q213+'Sumas y Saldos'!Q216+'Sumas y Saldos'!Q324+'Sumas y Saldos'!Q371</f>
      </c>
      <c r="J54" s="101">
        <f>'Sumas y Saldos'!Z47+'Sumas y Saldos'!Z256+'Sumas y Saldos'!Z134+'Sumas y Saldos'!Z230+'Sumas y Saldos'!Z201+'Sumas y Saldos'!Z213+'Sumas y Saldos'!Z216+'Sumas y Saldos'!Z324+'Sumas y Saldos'!Z371</f>
      </c>
      <c r="K54" s="101">
        <f>'Sumas y Saldos'!AC47+'Sumas y Saldos'!AC256+'Sumas y Saldos'!AC134+'Sumas y Saldos'!AC230+'Sumas y Saldos'!AC201+'Sumas y Saldos'!AC213+'Sumas y Saldos'!AC216+'Sumas y Saldos'!AC324+'Sumas y Saldos'!AC371</f>
      </c>
      <c r="L54" s="101">
        <f>'Sumas y Saldos'!AF47+'Sumas y Saldos'!AF256+'Sumas y Saldos'!AF134+'Sumas y Saldos'!AF230+'Sumas y Saldos'!AF201+'Sumas y Saldos'!AF213+'Sumas y Saldos'!AF216+'Sumas y Saldos'!AF324+'Sumas y Saldos'!AF371</f>
      </c>
      <c r="M54" s="101">
        <f>'Sumas y Saldos'!W47+'Sumas y Saldos'!W256+'Sumas y Saldos'!W134+'Sumas y Saldos'!W230+'Sumas y Saldos'!W201+'Sumas y Saldos'!W213+'Sumas y Saldos'!W216+'Sumas y Saldos'!W324+'Sumas y Saldos'!W371</f>
      </c>
      <c r="N54" s="101">
        <f>'Sumas y Saldos'!T47+'Sumas y Saldos'!T256+'Sumas y Saldos'!T134+'Sumas y Saldos'!T230+'Sumas y Saldos'!T201+'Sumas y Saldos'!T213+'Sumas y Saldos'!T216+'Sumas y Saldos'!T324+'Sumas y Saldos'!T371</f>
      </c>
      <c r="O54" s="101">
        <f>'Sumas y Saldos'!AI47+'Sumas y Saldos'!AI256+'Sumas y Saldos'!AI134+'Sumas y Saldos'!AI230+'Sumas y Saldos'!AI201+'Sumas y Saldos'!AI213+'Sumas y Saldos'!AI216+'Sumas y Saldos'!AI324+'Sumas y Saldos'!AI371</f>
      </c>
      <c r="P54" s="101">
        <f>'Sumas y Saldos'!AO47+'Sumas y Saldos'!AO256+'Sumas y Saldos'!AO134+'Sumas y Saldos'!AO230+'Sumas y Saldos'!AO201+'Sumas y Saldos'!AO213+'Sumas y Saldos'!AO216+'Sumas y Saldos'!AO324+'Sumas y Saldos'!AO371</f>
      </c>
      <c r="Q54" s="101">
        <f>'Sumas y Saldos'!AL47+'Sumas y Saldos'!AL256+'Sumas y Saldos'!AL134+'Sumas y Saldos'!AL230+'Sumas y Saldos'!AL201+'Sumas y Saldos'!AL213+'Sumas y Saldos'!AL216+'Sumas y Saldos'!AL324+'Sumas y Saldos'!AL371</f>
      </c>
      <c r="R54" s="101"/>
      <c r="S54" s="101"/>
      <c r="T54" s="101">
        <f>+'Sumas y Saldos'!BD256+'Sumas y Saldos'!BD230</f>
      </c>
      <c r="U54" s="101">
        <f>+'Sumas y Saldos'!BM256+'Sumas y Saldos'!BM213+'Sumas y Saldos'!BM216</f>
      </c>
      <c r="V54" s="101">
        <f>+'Sumas y Saldos'!BP256+'Sumas y Saldos'!BP134+'Sumas y Saldos'!BN201</f>
      </c>
      <c r="W54" s="101"/>
      <c r="X54" s="101"/>
      <c r="Y54" s="101"/>
      <c r="Z54" s="101"/>
      <c r="AA54" s="101"/>
      <c r="AB54" s="101"/>
      <c r="AC54" s="101">
        <v>0</v>
      </c>
      <c r="AD54" s="101">
        <v>0</v>
      </c>
      <c r="AE54" s="101">
        <v>1059.1</v>
      </c>
      <c r="AF54" s="101">
        <v>0</v>
      </c>
      <c r="AG54" s="101">
        <v>0</v>
      </c>
      <c r="AH54" s="101">
        <v>0</v>
      </c>
      <c r="AI54" s="104">
        <f>SUM(W54:AH54)</f>
      </c>
      <c r="AJ54" s="76"/>
      <c r="AK54" s="105"/>
    </row>
    <row r="55" ht="12.75" customHeight="1" spans="1:37" x14ac:dyDescent="0.25">
      <c r="A55" s="76" t="s">
        <v>553</v>
      </c>
      <c r="B55" s="76">
        <v>9600000062</v>
      </c>
      <c r="C55" s="98" t="s">
        <v>554</v>
      </c>
      <c r="D55" s="99">
        <f>SUM(F55:V55)+E55</f>
      </c>
      <c r="E55" s="99">
        <f>+'Sumas y Saldos'!D82+'Sumas y Saldos'!G82+'Sumas y Saldos'!J82+'Sumas y Saldos'!P82+'Sumas y Saldos'!Y82+'Sumas y Saldos'!AB82+'Sumas y Saldos'!AE82+'Sumas y Saldos'!V82+'Sumas y Saldos'!S82+'Sumas y Saldos'!AH82+'Sumas y Saldos'!AN82+'Sumas y Saldos'!AK82</f>
      </c>
      <c r="F55" s="101">
        <f>+'Sumas y Saldos'!E82</f>
      </c>
      <c r="G55" s="101">
        <f>+'Sumas y Saldos'!H82</f>
      </c>
      <c r="H55" s="101">
        <f>+'Sumas y Saldos'!K82</f>
      </c>
      <c r="I55" s="101">
        <f>+'Sumas y Saldos'!Q82</f>
      </c>
      <c r="J55" s="101">
        <f>+'Sumas y Saldos'!Z82</f>
      </c>
      <c r="K55" s="101">
        <f>+'Sumas y Saldos'!AC82</f>
      </c>
      <c r="L55" s="101">
        <f>+'Sumas y Saldos'!AF82</f>
      </c>
      <c r="M55" s="101">
        <f>+'Sumas y Saldos'!W82</f>
      </c>
      <c r="N55" s="101">
        <f>+'Sumas y Saldos'!T82</f>
      </c>
      <c r="O55" s="101">
        <f>+'Sumas y Saldos'!AI82</f>
      </c>
      <c r="P55" s="101">
        <f>+'Sumas y Saldos'!AO82</f>
      </c>
      <c r="Q55" s="101">
        <f>+'Sumas y Saldos'!AL82</f>
      </c>
      <c r="R55" s="101"/>
      <c r="S55" s="101"/>
      <c r="T55" s="101">
        <v>0</v>
      </c>
      <c r="U55" s="101"/>
      <c r="V55" s="101"/>
      <c r="W55" s="101"/>
      <c r="X55" s="101"/>
      <c r="Y55" s="101"/>
      <c r="Z55" s="101"/>
      <c r="AA55" s="101"/>
      <c r="AB55" s="101"/>
      <c r="AC55" s="101">
        <v>0</v>
      </c>
      <c r="AD55" s="101">
        <v>0</v>
      </c>
      <c r="AE55" s="101">
        <v>0</v>
      </c>
      <c r="AF55" s="101">
        <v>0</v>
      </c>
      <c r="AG55" s="101">
        <v>0</v>
      </c>
      <c r="AH55" s="101">
        <v>0</v>
      </c>
      <c r="AI55" s="104">
        <f>SUM(W55:AH55)</f>
      </c>
      <c r="AJ55" s="76"/>
      <c r="AK55" s="105"/>
    </row>
    <row r="56" ht="12.75" customHeight="1" spans="1:37" x14ac:dyDescent="0.25">
      <c r="A56" s="76" t="s">
        <v>555</v>
      </c>
      <c r="B56" s="76">
        <v>9600000062</v>
      </c>
      <c r="C56" s="98" t="s">
        <v>556</v>
      </c>
      <c r="D56" s="99">
        <f>SUM(F56:V56)+E56</f>
        <v>2394.51</v>
      </c>
      <c r="E56" s="99">
        <f>+'Sumas y Saldos'!D84+'Sumas y Saldos'!D360+'Sumas y Saldos'!D398+'Sumas y Saldos'!D298+'Sumas y Saldos'!D262+'Sumas y Saldos'!D126+'Sumas y Saldos'!D384+'Sumas y Saldos'!D127+'Sumas y Saldos'!D359+'Sumas y Saldos'!D361+'Sumas y Saldos'!D381+'Sumas y Saldos'!G84+'Sumas y Saldos'!G360+'Sumas y Saldos'!G398+'Sumas y Saldos'!G298+'Sumas y Saldos'!G262+'Sumas y Saldos'!G126+'Sumas y Saldos'!G384+'Sumas y Saldos'!G127+'Sumas y Saldos'!G359+'Sumas y Saldos'!G361+'Sumas y Saldos'!G381+'Sumas y Saldos'!J84+'Sumas y Saldos'!J360+'Sumas y Saldos'!J398+'Sumas y Saldos'!J298+'Sumas y Saldos'!J262+'Sumas y Saldos'!J126+'Sumas y Saldos'!J384+'Sumas y Saldos'!J127+'Sumas y Saldos'!J359+'Sumas y Saldos'!J361+'Sumas y Saldos'!J381+'Sumas y Saldos'!P84+'Sumas y Saldos'!P360+'Sumas y Saldos'!P398+'Sumas y Saldos'!P298+'Sumas y Saldos'!P262+'Sumas y Saldos'!P126+'Sumas y Saldos'!P384+'Sumas y Saldos'!P127+'Sumas y Saldos'!P359+'Sumas y Saldos'!P361+'Sumas y Saldos'!P381+'Sumas y Saldos'!Y84+'Sumas y Saldos'!Y360+'Sumas y Saldos'!Y398+'Sumas y Saldos'!Y298+'Sumas y Saldos'!Y262+'Sumas y Saldos'!Y126+'Sumas y Saldos'!Y384+'Sumas y Saldos'!Y127+'Sumas y Saldos'!Y359+'Sumas y Saldos'!Y361+'Sumas y Saldos'!Y381+'Sumas y Saldos'!AB84+'Sumas y Saldos'!AB360+'Sumas y Saldos'!AB398+'Sumas y Saldos'!AB298+'Sumas y Saldos'!AB262+'Sumas y Saldos'!AB126+'Sumas y Saldos'!AB384+'Sumas y Saldos'!AB127+'Sumas y Saldos'!AB359+'Sumas y Saldos'!AB361+'Sumas y Saldos'!AB381+'Sumas y Saldos'!AE84+'Sumas y Saldos'!AE360+'Sumas y Saldos'!AE398+'Sumas y Saldos'!AE298+'Sumas y Saldos'!AE262+'Sumas y Saldos'!AE126+'Sumas y Saldos'!AE384+'Sumas y Saldos'!AE127+'Sumas y Saldos'!AE359+'Sumas y Saldos'!AE361+'Sumas y Saldos'!AE381+'Sumas y Saldos'!V84+'Sumas y Saldos'!V360+'Sumas y Saldos'!V398+'Sumas y Saldos'!V298+'Sumas y Saldos'!V262+'Sumas y Saldos'!V126+'Sumas y Saldos'!V384+'Sumas y Saldos'!V127+'Sumas y Saldos'!V359+'Sumas y Saldos'!V361+'Sumas y Saldos'!V381+'Sumas y Saldos'!S84+'Sumas y Saldos'!S360+'Sumas y Saldos'!S398+'Sumas y Saldos'!S298+'Sumas y Saldos'!S262+'Sumas y Saldos'!S126+'Sumas y Saldos'!S384+'Sumas y Saldos'!S127+'Sumas y Saldos'!S359+'Sumas y Saldos'!S361+'Sumas y Saldos'!S381+'Sumas y Saldos'!AH84+'Sumas y Saldos'!AH360+'Sumas y Saldos'!AH398+'Sumas y Saldos'!AH298+'Sumas y Saldos'!AH262+'Sumas y Saldos'!AH126+'Sumas y Saldos'!AH384+'Sumas y Saldos'!AH127+'Sumas y Saldos'!AH359+'Sumas y Saldos'!AH361+'Sumas y Saldos'!AH381+'Sumas y Saldos'!AN84+'Sumas y Saldos'!AN360+'Sumas y Saldos'!AN398+'Sumas y Saldos'!AN298+'Sumas y Saldos'!AN262+'Sumas y Saldos'!AN126+'Sumas y Saldos'!AN384+'Sumas y Saldos'!AN127+'Sumas y Saldos'!AN359+'Sumas y Saldos'!AN361+'Sumas y Saldos'!AN381+'Sumas y Saldos'!AK84+'Sumas y Saldos'!AK360+'Sumas y Saldos'!AK398+'Sumas y Saldos'!AK298+'Sumas y Saldos'!AK262+'Sumas y Saldos'!AK126+'Sumas y Saldos'!AK384+'Sumas y Saldos'!AK127+'Sumas y Saldos'!AK359+'Sumas y Saldos'!AK361+'Sumas y Saldos'!AK381+'Sumas y Saldos'!BC298+'Sumas y Saldos'!BC262+'Sumas y Saldos'!BL298+'Sumas y Saldos'!BL126</f>
      </c>
      <c r="F56" s="101">
        <f>'Sumas y Saldos'!E84+'Sumas y Saldos'!E360+'Sumas y Saldos'!E398+'Sumas y Saldos'!E298+'Sumas y Saldos'!E262+'Sumas y Saldos'!E126+'Sumas y Saldos'!E384+'Sumas y Saldos'!E127+'Sumas y Saldos'!E359+'Sumas y Saldos'!E361+'Sumas y Saldos'!E381</f>
      </c>
      <c r="G56" s="101">
        <f>'Sumas y Saldos'!H84+'Sumas y Saldos'!H360+'Sumas y Saldos'!H398+'Sumas y Saldos'!H298+'Sumas y Saldos'!H262+'Sumas y Saldos'!H126+'Sumas y Saldos'!H384+'Sumas y Saldos'!H127+'Sumas y Saldos'!H359+'Sumas y Saldos'!H361+'Sumas y Saldos'!H381</f>
      </c>
      <c r="H56" s="101">
        <f>'Sumas y Saldos'!K84+'Sumas y Saldos'!K360+'Sumas y Saldos'!K398+'Sumas y Saldos'!K298+'Sumas y Saldos'!K262+'Sumas y Saldos'!K126+'Sumas y Saldos'!K384+'Sumas y Saldos'!K127+'Sumas y Saldos'!K359+'Sumas y Saldos'!K361+'Sumas y Saldos'!K381</f>
      </c>
      <c r="I56" s="101">
        <f>'Sumas y Saldos'!Q84+'Sumas y Saldos'!Q360+'Sumas y Saldos'!Q398+'Sumas y Saldos'!Q298+'Sumas y Saldos'!Q262+'Sumas y Saldos'!Q126+'Sumas y Saldos'!Q384+'Sumas y Saldos'!Q127+'Sumas y Saldos'!Q359+'Sumas y Saldos'!Q361+'Sumas y Saldos'!Q381</f>
      </c>
      <c r="J56" s="101">
        <f>'Sumas y Saldos'!Z84+'Sumas y Saldos'!Z360+'Sumas y Saldos'!Z398+'Sumas y Saldos'!Z298+'Sumas y Saldos'!Z262+'Sumas y Saldos'!Z126+'Sumas y Saldos'!Z384+'Sumas y Saldos'!Z127+'Sumas y Saldos'!Z359+'Sumas y Saldos'!Z361+'Sumas y Saldos'!Z381</f>
      </c>
      <c r="K56" s="101">
        <f>'Sumas y Saldos'!AC84+'Sumas y Saldos'!AC360+'Sumas y Saldos'!AC398+'Sumas y Saldos'!AC298+'Sumas y Saldos'!AC262+'Sumas y Saldos'!AC126+'Sumas y Saldos'!AC384+'Sumas y Saldos'!AC127+'Sumas y Saldos'!AC359+'Sumas y Saldos'!AC361+'Sumas y Saldos'!AC381</f>
      </c>
      <c r="L56" s="101">
        <f>'Sumas y Saldos'!AF84+'Sumas y Saldos'!AF360+'Sumas y Saldos'!AF398+'Sumas y Saldos'!AF298+'Sumas y Saldos'!AF262+'Sumas y Saldos'!AF126+'Sumas y Saldos'!AF384+'Sumas y Saldos'!AF127+'Sumas y Saldos'!AF359+'Sumas y Saldos'!AF361+'Sumas y Saldos'!AF381</f>
      </c>
      <c r="M56" s="101">
        <f>'Sumas y Saldos'!W84+'Sumas y Saldos'!W360+'Sumas y Saldos'!W398+'Sumas y Saldos'!W298+'Sumas y Saldos'!W262+'Sumas y Saldos'!W126+'Sumas y Saldos'!W384+'Sumas y Saldos'!W127+'Sumas y Saldos'!W359+'Sumas y Saldos'!W361+'Sumas y Saldos'!W381</f>
      </c>
      <c r="N56" s="101">
        <f>'Sumas y Saldos'!T84+'Sumas y Saldos'!T360+'Sumas y Saldos'!T398+'Sumas y Saldos'!T298+'Sumas y Saldos'!T262+'Sumas y Saldos'!T126+'Sumas y Saldos'!T384+'Sumas y Saldos'!T127+'Sumas y Saldos'!T359+'Sumas y Saldos'!T361+'Sumas y Saldos'!T381</f>
      </c>
      <c r="O56" s="101">
        <f>'Sumas y Saldos'!AI84+'Sumas y Saldos'!AI360+'Sumas y Saldos'!AI398+'Sumas y Saldos'!AI298+'Sumas y Saldos'!AI262+'Sumas y Saldos'!AI126+'Sumas y Saldos'!AI384+'Sumas y Saldos'!AI127+'Sumas y Saldos'!AI359+'Sumas y Saldos'!AI361+'Sumas y Saldos'!AI381</f>
      </c>
      <c r="P56" s="101">
        <f>'Sumas y Saldos'!AO84+'Sumas y Saldos'!AO360+'Sumas y Saldos'!AO398+'Sumas y Saldos'!AO298+'Sumas y Saldos'!AO262+'Sumas y Saldos'!AO126+'Sumas y Saldos'!AO384+'Sumas y Saldos'!AO127+'Sumas y Saldos'!AO359+'Sumas y Saldos'!AO361+'Sumas y Saldos'!AO381</f>
      </c>
      <c r="Q56" s="101">
        <f>'Sumas y Saldos'!AL84+'Sumas y Saldos'!AL360+'Sumas y Saldos'!AL398+'Sumas y Saldos'!AL298+'Sumas y Saldos'!AL262+'Sumas y Saldos'!AL126+'Sumas y Saldos'!AL384+'Sumas y Saldos'!AL127+'Sumas y Saldos'!AL359+'Sumas y Saldos'!AL361+'Sumas y Saldos'!AL381</f>
      </c>
      <c r="R56" s="101"/>
      <c r="S56" s="101"/>
      <c r="T56" s="101">
        <f>+'Sumas y Saldos'!BD298+'Sumas y Saldos'!BD262</f>
      </c>
      <c r="U56" s="101">
        <f>'Sumas y Saldos'!BM298+'Sumas y Saldos'!BM126</f>
      </c>
      <c r="V56" s="101">
        <v>0</v>
      </c>
      <c r="W56" s="101"/>
      <c r="X56" s="101"/>
      <c r="Y56" s="101"/>
      <c r="Z56" s="101"/>
      <c r="AA56" s="101"/>
      <c r="AB56" s="101"/>
      <c r="AC56" s="101">
        <v>2394.51</v>
      </c>
      <c r="AD56" s="101">
        <v>818.52</v>
      </c>
      <c r="AE56" s="101">
        <v>0</v>
      </c>
      <c r="AF56" s="101">
        <v>0</v>
      </c>
      <c r="AG56" s="101">
        <v>0</v>
      </c>
      <c r="AH56" s="101">
        <v>0</v>
      </c>
      <c r="AI56" s="104">
        <f>SUM(W56:AH56)</f>
        <v>3213.03</v>
      </c>
      <c r="AJ56" s="76"/>
      <c r="AK56" s="105"/>
    </row>
    <row r="57" ht="12.75" customHeight="1" spans="1:37" x14ac:dyDescent="0.25">
      <c r="A57" s="76" t="s">
        <v>557</v>
      </c>
      <c r="B57" s="76">
        <v>9600000062</v>
      </c>
      <c r="C57" s="98" t="s">
        <v>558</v>
      </c>
      <c r="D57" s="99">
        <f>SUM(F57:V57)+E57</f>
      </c>
      <c r="E57" s="99">
        <f>+'Sumas y Saldos'!D24+'Sumas y Saldos'!G24+'Sumas y Saldos'!J24+'Sumas y Saldos'!P24+'Sumas y Saldos'!Y24+'Sumas y Saldos'!AB24+'Sumas y Saldos'!AE24+'Sumas y Saldos'!V24+'Sumas y Saldos'!S24+'Sumas y Saldos'!AH24+'Sumas y Saldos'!AN24+'Sumas y Saldos'!AK24</f>
      </c>
      <c r="F57" s="101">
        <f>+'Sumas y Saldos'!E24</f>
      </c>
      <c r="G57" s="101">
        <f>+'Sumas y Saldos'!H24</f>
      </c>
      <c r="H57" s="101">
        <f>+'Sumas y Saldos'!K24</f>
      </c>
      <c r="I57" s="101">
        <f>+'Sumas y Saldos'!Q24</f>
      </c>
      <c r="J57" s="101">
        <f>+'Sumas y Saldos'!Z24</f>
      </c>
      <c r="K57" s="101">
        <f>+'Sumas y Saldos'!AC24</f>
      </c>
      <c r="L57" s="101">
        <f>+'Sumas y Saldos'!AF24</f>
      </c>
      <c r="M57" s="101">
        <f>+'Sumas y Saldos'!W24</f>
      </c>
      <c r="N57" s="101">
        <f>+'Sumas y Saldos'!T24</f>
      </c>
      <c r="O57" s="101">
        <f>+'Sumas y Saldos'!AI24</f>
      </c>
      <c r="P57" s="101">
        <f>+'Sumas y Saldos'!AO24</f>
      </c>
      <c r="Q57" s="101">
        <f>+'Sumas y Saldos'!AL24</f>
      </c>
      <c r="R57" s="101"/>
      <c r="S57" s="101"/>
      <c r="T57" s="101">
        <v>0</v>
      </c>
      <c r="U57" s="101"/>
      <c r="V57" s="101"/>
      <c r="W57" s="101"/>
      <c r="X57" s="101"/>
      <c r="Y57" s="101"/>
      <c r="Z57" s="101"/>
      <c r="AA57" s="101"/>
      <c r="AB57" s="101"/>
      <c r="AC57" s="101">
        <v>0</v>
      </c>
      <c r="AD57" s="101">
        <v>0</v>
      </c>
      <c r="AE57" s="101">
        <v>0</v>
      </c>
      <c r="AF57" s="101">
        <v>0</v>
      </c>
      <c r="AG57" s="101">
        <v>0</v>
      </c>
      <c r="AH57" s="101">
        <v>0</v>
      </c>
      <c r="AI57" s="104">
        <f>SUM(W57:AH57)</f>
      </c>
      <c r="AJ57" s="76"/>
      <c r="AK57" s="105"/>
    </row>
    <row r="58" ht="12.75" customHeight="1" spans="1:37" x14ac:dyDescent="0.25">
      <c r="A58" s="76" t="s">
        <v>559</v>
      </c>
      <c r="B58" s="76">
        <v>9600000062</v>
      </c>
      <c r="C58" s="98" t="s">
        <v>560</v>
      </c>
      <c r="D58" s="99">
        <f>SUM(F58:V58)+E58</f>
        <v>27.35</v>
      </c>
      <c r="E58" s="99">
        <f>-'Sumas y Saldos'!AF79+'Sumas y Saldos'!D80+'Sumas y Saldos'!D287+'Sumas y Saldos'!D297+'Sumas y Saldos'!D233+'Sumas y Saldos'!D242+'Sumas y Saldos'!G80+'Sumas y Saldos'!G287+'Sumas y Saldos'!G297+'Sumas y Saldos'!G233+'Sumas y Saldos'!G242+'Sumas y Saldos'!J80+'Sumas y Saldos'!J287+'Sumas y Saldos'!J297+'Sumas y Saldos'!J233+'Sumas y Saldos'!J242+'Sumas y Saldos'!P80+'Sumas y Saldos'!P287+'Sumas y Saldos'!P297+'Sumas y Saldos'!P233+'Sumas y Saldos'!P242+'Sumas y Saldos'!Y80+'Sumas y Saldos'!Y287+'Sumas y Saldos'!Y297+'Sumas y Saldos'!Y233+'Sumas y Saldos'!Y242+'Sumas y Saldos'!AB80+'Sumas y Saldos'!AB287+'Sumas y Saldos'!AB297+'Sumas y Saldos'!AB233+'Sumas y Saldos'!AB242+'Sumas y Saldos'!AE80+'Sumas y Saldos'!AE287+'Sumas y Saldos'!AE297+'Sumas y Saldos'!AE233+'Sumas y Saldos'!AE242+'Sumas y Saldos'!V80+'Sumas y Saldos'!V287+'Sumas y Saldos'!V297+'Sumas y Saldos'!V233+'Sumas y Saldos'!V242+'Sumas y Saldos'!S80+'Sumas y Saldos'!S287+'Sumas y Saldos'!S297+'Sumas y Saldos'!S233+'Sumas y Saldos'!S242+'Sumas y Saldos'!AH80+'Sumas y Saldos'!AH287+'Sumas y Saldos'!AH297+'Sumas y Saldos'!AH233+'Sumas y Saldos'!AH242+'Sumas y Saldos'!AN80+'Sumas y Saldos'!AN287+'Sumas y Saldos'!AN297+'Sumas y Saldos'!AN233+'Sumas y Saldos'!AN242+'Sumas y Saldos'!AK80+'Sumas y Saldos'!AK287+'Sumas y Saldos'!AK297+'Sumas y Saldos'!AK233+'Sumas y Saldos'!AK242+'Sumas y Saldos'!BC287+'Sumas y Saldos'!BC297+'Sumas y Saldos'!BC233+'Sumas y Saldos'!BC242+'Sumas y Saldos'!BL287+'Sumas y Saldos'!BL297+'Sumas y Saldos'!BO70</f>
      </c>
      <c r="F58" s="101">
        <f>'Sumas y Saldos'!E80+'Sumas y Saldos'!E287+'Sumas y Saldos'!E297+'Sumas y Saldos'!E233+'Sumas y Saldos'!E242</f>
      </c>
      <c r="G58" s="101">
        <f>'Sumas y Saldos'!H80+'Sumas y Saldos'!H287+'Sumas y Saldos'!H297+'Sumas y Saldos'!H233+'Sumas y Saldos'!H242</f>
      </c>
      <c r="H58" s="101">
        <f>'Sumas y Saldos'!K80+'Sumas y Saldos'!K287+'Sumas y Saldos'!K297+'Sumas y Saldos'!K233+'Sumas y Saldos'!K242</f>
      </c>
      <c r="I58" s="101">
        <f>'Sumas y Saldos'!Q80+'Sumas y Saldos'!Q287+'Sumas y Saldos'!Q297+'Sumas y Saldos'!Q233+'Sumas y Saldos'!Q242</f>
      </c>
      <c r="J58" s="101">
        <f>'Sumas y Saldos'!Z80+'Sumas y Saldos'!Z287+'Sumas y Saldos'!Z297+'Sumas y Saldos'!Z233+'Sumas y Saldos'!Z242</f>
      </c>
      <c r="K58" s="101">
        <f>'Sumas y Saldos'!AC80+'Sumas y Saldos'!AC287+'Sumas y Saldos'!AC297+'Sumas y Saldos'!AC233+'Sumas y Saldos'!AC242</f>
      </c>
      <c r="L58" s="101">
        <f>'Sumas y Saldos'!AF80+'Sumas y Saldos'!AF287+'Sumas y Saldos'!AF297+'Sumas y Saldos'!AF233+'Sumas y Saldos'!AF242</f>
      </c>
      <c r="M58" s="101">
        <f>'Sumas y Saldos'!W80+'Sumas y Saldos'!W287+'Sumas y Saldos'!W297+'Sumas y Saldos'!W233+'Sumas y Saldos'!W242</f>
      </c>
      <c r="N58" s="101">
        <f>'Sumas y Saldos'!T80+'Sumas y Saldos'!T287+'Sumas y Saldos'!T297+'Sumas y Saldos'!T233+'Sumas y Saldos'!T242</f>
      </c>
      <c r="O58" s="101">
        <f>'Sumas y Saldos'!AI80+'Sumas y Saldos'!AI287+'Sumas y Saldos'!AI297+'Sumas y Saldos'!AI233+'Sumas y Saldos'!AI242</f>
      </c>
      <c r="P58" s="101">
        <f>'Sumas y Saldos'!AO80+'Sumas y Saldos'!AO287+'Sumas y Saldos'!AO297+'Sumas y Saldos'!AO233+'Sumas y Saldos'!AO242</f>
      </c>
      <c r="Q58" s="101">
        <f>'Sumas y Saldos'!AL80+'Sumas y Saldos'!AL287+'Sumas y Saldos'!AL297+'Sumas y Saldos'!AL233+'Sumas y Saldos'!AL242</f>
      </c>
      <c r="R58" s="101"/>
      <c r="S58" s="101"/>
      <c r="T58" s="101">
        <f>+'Sumas y Saldos'!BD287+'Sumas y Saldos'!BD297+'Sumas y Saldos'!BD233+'Sumas y Saldos'!BD242</f>
      </c>
      <c r="U58" s="101">
        <f>+'Sumas y Saldos'!BM287+'Sumas y Saldos'!BM297</f>
      </c>
      <c r="V58" s="101">
        <f>'Sumas y Saldos'!BP70</f>
      </c>
      <c r="W58" s="101"/>
      <c r="X58" s="101"/>
      <c r="Y58" s="101"/>
      <c r="Z58" s="101"/>
      <c r="AA58" s="101"/>
      <c r="AB58" s="101"/>
      <c r="AC58" s="101">
        <v>27.35</v>
      </c>
      <c r="AD58" s="101">
        <v>0</v>
      </c>
      <c r="AE58" s="101">
        <v>0</v>
      </c>
      <c r="AF58" s="101">
        <v>0</v>
      </c>
      <c r="AG58" s="101">
        <v>0</v>
      </c>
      <c r="AH58" s="101">
        <v>0</v>
      </c>
      <c r="AI58" s="104">
        <f>SUM(W58:AH58)</f>
        <v>27.35</v>
      </c>
      <c r="AJ58" s="76"/>
      <c r="AK58" s="105"/>
    </row>
    <row r="59" ht="12.75" customHeight="1" spans="1:37" x14ac:dyDescent="0.25">
      <c r="A59" s="76" t="s">
        <v>561</v>
      </c>
      <c r="B59" s="76">
        <v>9600000062</v>
      </c>
      <c r="C59" s="98" t="s">
        <v>562</v>
      </c>
      <c r="D59" s="99">
        <f>SUM(F59:V59)+E59</f>
      </c>
      <c r="E59" s="99"/>
      <c r="F59" s="101">
        <v>0</v>
      </c>
      <c r="G59" s="101">
        <v>0</v>
      </c>
      <c r="H59" s="101">
        <v>0</v>
      </c>
      <c r="I59" s="101">
        <v>0</v>
      </c>
      <c r="J59" s="101">
        <v>0</v>
      </c>
      <c r="K59" s="101">
        <v>0</v>
      </c>
      <c r="L59" s="101">
        <v>0</v>
      </c>
      <c r="M59" s="101">
        <v>0</v>
      </c>
      <c r="N59" s="101">
        <v>0</v>
      </c>
      <c r="O59" s="101">
        <v>0</v>
      </c>
      <c r="P59" s="101">
        <v>0</v>
      </c>
      <c r="Q59" s="101">
        <v>0</v>
      </c>
      <c r="R59" s="101"/>
      <c r="S59" s="101"/>
      <c r="T59" s="101">
        <v>0</v>
      </c>
      <c r="U59" s="101"/>
      <c r="V59" s="101"/>
      <c r="W59" s="101"/>
      <c r="X59" s="101"/>
      <c r="Y59" s="101"/>
      <c r="Z59" s="101"/>
      <c r="AA59" s="101"/>
      <c r="AB59" s="101"/>
      <c r="AC59" s="101">
        <v>0</v>
      </c>
      <c r="AD59" s="101">
        <v>0</v>
      </c>
      <c r="AE59" s="101">
        <v>0</v>
      </c>
      <c r="AF59" s="101">
        <v>0</v>
      </c>
      <c r="AG59" s="101">
        <v>0</v>
      </c>
      <c r="AH59" s="101">
        <v>0</v>
      </c>
      <c r="AI59" s="104">
        <f>SUM(W59:AH59)</f>
      </c>
      <c r="AJ59" s="76"/>
      <c r="AK59" s="105"/>
    </row>
    <row r="60" ht="12.75" customHeight="1" spans="1:37" x14ac:dyDescent="0.25">
      <c r="A60" s="76" t="s">
        <v>563</v>
      </c>
      <c r="B60" s="76">
        <v>9600000062</v>
      </c>
      <c r="C60" s="98" t="s">
        <v>564</v>
      </c>
      <c r="D60" s="99">
        <f>SUM(F60:V60)+E60</f>
      </c>
      <c r="E60" s="99"/>
      <c r="F60" s="101">
        <v>0</v>
      </c>
      <c r="G60" s="101">
        <v>0</v>
      </c>
      <c r="H60" s="101">
        <v>0</v>
      </c>
      <c r="I60" s="101">
        <v>0</v>
      </c>
      <c r="J60" s="101">
        <v>0</v>
      </c>
      <c r="K60" s="101">
        <v>0</v>
      </c>
      <c r="L60" s="101">
        <v>0</v>
      </c>
      <c r="M60" s="101">
        <v>0</v>
      </c>
      <c r="N60" s="101">
        <v>0</v>
      </c>
      <c r="O60" s="101">
        <v>0</v>
      </c>
      <c r="P60" s="101">
        <v>0</v>
      </c>
      <c r="Q60" s="101">
        <v>0</v>
      </c>
      <c r="R60" s="101"/>
      <c r="S60" s="101"/>
      <c r="T60" s="101">
        <v>0</v>
      </c>
      <c r="U60" s="101"/>
      <c r="V60" s="101"/>
      <c r="W60" s="101"/>
      <c r="X60" s="101"/>
      <c r="Y60" s="101"/>
      <c r="Z60" s="101"/>
      <c r="AA60" s="101"/>
      <c r="AB60" s="101"/>
      <c r="AC60" s="101">
        <v>0</v>
      </c>
      <c r="AD60" s="101">
        <v>0</v>
      </c>
      <c r="AE60" s="101">
        <v>0</v>
      </c>
      <c r="AF60" s="101">
        <v>0</v>
      </c>
      <c r="AG60" s="101">
        <v>0</v>
      </c>
      <c r="AH60" s="101">
        <v>0</v>
      </c>
      <c r="AI60" s="104">
        <f>SUM(W60:AH60)</f>
      </c>
      <c r="AJ60" s="76"/>
      <c r="AK60" s="105"/>
    </row>
    <row r="61" ht="12.75" customHeight="1" spans="1:37" x14ac:dyDescent="0.25">
      <c r="A61" s="76"/>
      <c r="B61" s="76"/>
      <c r="C61" s="98" t="s">
        <v>143</v>
      </c>
      <c r="D61" s="99">
        <f>SUM(F61:V61)+E61</f>
      </c>
      <c r="E61" s="99">
        <f>+'Sumas y Saldos'!D168+'Sumas y Saldos'!D205+'Sumas y Saldos'!G168+'Sumas y Saldos'!G205+'Sumas y Saldos'!J168+'Sumas y Saldos'!J205+'Sumas y Saldos'!P168+'Sumas y Saldos'!P205+'Sumas y Saldos'!Y168+'Sumas y Saldos'!Y205+'Sumas y Saldos'!AB168+'Sumas y Saldos'!AB205+'Sumas y Saldos'!AE168+'Sumas y Saldos'!AE205+'Sumas y Saldos'!V168+'Sumas y Saldos'!V205+'Sumas y Saldos'!S168+'Sumas y Saldos'!S205+'Sumas y Saldos'!AH168+'Sumas y Saldos'!AH205+'Sumas y Saldos'!AN168+'Sumas y Saldos'!AN205+'Sumas y Saldos'!AK168+'Sumas y Saldos'!AK205+'Sumas y Saldos'!BC314+'Sumas y Saldos'!BL314+'Sumas y Saldos'!BO168+'Sumas y Saldos'!BO314</f>
      </c>
      <c r="F61" s="101">
        <f>+'Sumas y Saldos'!E168+'Sumas y Saldos'!E205</f>
      </c>
      <c r="G61" s="101">
        <f>+'Sumas y Saldos'!H168+'Sumas y Saldos'!H205</f>
      </c>
      <c r="H61" s="101">
        <f>+'Sumas y Saldos'!K168+'Sumas y Saldos'!K205</f>
      </c>
      <c r="I61" s="101">
        <f>+'Sumas y Saldos'!Q168+'Sumas y Saldos'!Q205</f>
      </c>
      <c r="J61" s="101">
        <f>+'Sumas y Saldos'!Z168+'Sumas y Saldos'!Z205</f>
      </c>
      <c r="K61" s="101">
        <f>+'Sumas y Saldos'!AC168+'Sumas y Saldos'!AC205</f>
      </c>
      <c r="L61" s="101">
        <f>+'Sumas y Saldos'!AF168+'Sumas y Saldos'!AF205</f>
      </c>
      <c r="M61" s="101">
        <f>+'Sumas y Saldos'!W168+'Sumas y Saldos'!W205</f>
      </c>
      <c r="N61" s="101">
        <f>+'Sumas y Saldos'!T168+'Sumas y Saldos'!T205</f>
      </c>
      <c r="O61" s="101">
        <f>+'Sumas y Saldos'!AI168+'Sumas y Saldos'!AI205</f>
      </c>
      <c r="P61" s="101">
        <f>+'Sumas y Saldos'!AO168+'Sumas y Saldos'!AO205</f>
      </c>
      <c r="Q61" s="101">
        <f>+'Sumas y Saldos'!AL168+'Sumas y Saldos'!AL205</f>
      </c>
      <c r="R61" s="101"/>
      <c r="S61" s="101"/>
      <c r="T61" s="101">
        <f>+'Sumas y Saldos'!BD314</f>
      </c>
      <c r="U61" s="101">
        <f>'Sumas y Saldos'!BM314</f>
      </c>
      <c r="V61" s="101">
        <f>'Sumas y Saldos'!BP168+'Sumas y Saldos'!BP314</f>
      </c>
      <c r="W61" s="101"/>
      <c r="X61" s="101"/>
      <c r="Y61" s="101"/>
      <c r="Z61" s="101"/>
      <c r="AA61" s="101"/>
      <c r="AB61" s="101"/>
      <c r="AC61" s="101">
        <v>0</v>
      </c>
      <c r="AD61" s="101">
        <v>0</v>
      </c>
      <c r="AE61" s="101">
        <v>0</v>
      </c>
      <c r="AF61" s="101">
        <v>175.46</v>
      </c>
      <c r="AG61" s="101">
        <v>1505.98</v>
      </c>
      <c r="AH61" s="101">
        <v>787.32</v>
      </c>
      <c r="AI61" s="104">
        <f>SUM(W61:AH61)</f>
        <v>2468.76</v>
      </c>
      <c r="AJ61" s="76"/>
      <c r="AK61" s="105"/>
    </row>
    <row r="62" ht="12.75" customHeight="1" spans="1:37" x14ac:dyDescent="0.25">
      <c r="A62" s="76" t="s">
        <v>565</v>
      </c>
      <c r="B62" s="76">
        <v>9600000062</v>
      </c>
      <c r="C62" s="98" t="s">
        <v>566</v>
      </c>
      <c r="D62" s="99">
        <f>SUM(F62:V62)+E62</f>
      </c>
      <c r="E62" s="99"/>
      <c r="F62" s="101">
        <v>0</v>
      </c>
      <c r="G62" s="101">
        <v>0</v>
      </c>
      <c r="H62" s="101">
        <v>0</v>
      </c>
      <c r="I62" s="101">
        <v>0</v>
      </c>
      <c r="J62" s="101">
        <v>0</v>
      </c>
      <c r="K62" s="101">
        <v>0</v>
      </c>
      <c r="L62" s="101">
        <v>0</v>
      </c>
      <c r="M62" s="101">
        <v>0</v>
      </c>
      <c r="N62" s="101">
        <v>0</v>
      </c>
      <c r="O62" s="101">
        <v>0</v>
      </c>
      <c r="P62" s="101">
        <v>0</v>
      </c>
      <c r="Q62" s="101">
        <v>0</v>
      </c>
      <c r="R62" s="101"/>
      <c r="S62" s="101"/>
      <c r="T62" s="101">
        <v>0</v>
      </c>
      <c r="U62" s="101"/>
      <c r="V62" s="101"/>
      <c r="W62" s="101"/>
      <c r="X62" s="101"/>
      <c r="Y62" s="101"/>
      <c r="Z62" s="101"/>
      <c r="AA62" s="101"/>
      <c r="AB62" s="101"/>
      <c r="AC62" s="101">
        <v>0</v>
      </c>
      <c r="AD62" s="101">
        <v>0</v>
      </c>
      <c r="AE62" s="101">
        <v>0</v>
      </c>
      <c r="AF62" s="101">
        <v>0</v>
      </c>
      <c r="AG62" s="101">
        <v>0</v>
      </c>
      <c r="AH62" s="101">
        <v>0</v>
      </c>
      <c r="AI62" s="104">
        <f>SUM(W62:AH62)</f>
      </c>
      <c r="AJ62" s="76"/>
      <c r="AK62" s="105"/>
    </row>
    <row r="63" ht="12.75" customHeight="1" spans="1:37" x14ac:dyDescent="0.25">
      <c r="A63" s="76" t="s">
        <v>567</v>
      </c>
      <c r="B63" s="76">
        <v>9600000062</v>
      </c>
      <c r="C63" s="98" t="s">
        <v>129</v>
      </c>
      <c r="D63" s="99">
        <f>SUM(F63:V63)+E63</f>
      </c>
      <c r="E63" s="99">
        <f>'Sumas y Saldos'!D92+'Sumas y Saldos'!D278+'Sumas y Saldos'!D339+'Sumas y Saldos'!D217+'Sumas y Saldos'!D374+'Sumas y Saldos'!D393+'Sumas y Saldos'!G92+'Sumas y Saldos'!G278+'Sumas y Saldos'!G339+'Sumas y Saldos'!G217+'Sumas y Saldos'!G374+'Sumas y Saldos'!G393+'Sumas y Saldos'!J92+'Sumas y Saldos'!J278+'Sumas y Saldos'!J339+'Sumas y Saldos'!J217+'Sumas y Saldos'!J374+'Sumas y Saldos'!J393+'Sumas y Saldos'!P92+'Sumas y Saldos'!P278+'Sumas y Saldos'!P339+'Sumas y Saldos'!P217+'Sumas y Saldos'!P374+'Sumas y Saldos'!P393+'Sumas y Saldos'!Y92+'Sumas y Saldos'!Y278+'Sumas y Saldos'!Y339+'Sumas y Saldos'!Y217+'Sumas y Saldos'!Y374+'Sumas y Saldos'!Y393+'Sumas y Saldos'!AB92+'Sumas y Saldos'!AB278+'Sumas y Saldos'!AB339+'Sumas y Saldos'!AB217+'Sumas y Saldos'!AB374+'Sumas y Saldos'!AB393+'Sumas y Saldos'!AE92+'Sumas y Saldos'!AE278+'Sumas y Saldos'!AE339+'Sumas y Saldos'!AE217+'Sumas y Saldos'!AE374+'Sumas y Saldos'!AE393+'Sumas y Saldos'!V92+'Sumas y Saldos'!V278+'Sumas y Saldos'!V339+'Sumas y Saldos'!V217+'Sumas y Saldos'!V374+'Sumas y Saldos'!V393+'Sumas y Saldos'!S92+'Sumas y Saldos'!S278+'Sumas y Saldos'!S339+'Sumas y Saldos'!S217+'Sumas y Saldos'!S374+'Sumas y Saldos'!S393+'Sumas y Saldos'!AH92+'Sumas y Saldos'!AH278+'Sumas y Saldos'!AH339+'Sumas y Saldos'!AH217+'Sumas y Saldos'!AH374+'Sumas y Saldos'!AH393+'Sumas y Saldos'!AN92+'Sumas y Saldos'!AN278+'Sumas y Saldos'!AN339+'Sumas y Saldos'!AN217+'Sumas y Saldos'!AN374+'Sumas y Saldos'!AN393+'Sumas y Saldos'!AK92+'Sumas y Saldos'!AK278+'Sumas y Saldos'!AK339+'Sumas y Saldos'!AK217+'Sumas y Saldos'!AK374+'Sumas y Saldos'!AK393+'Sumas y Saldos'!BC278+'Sumas y Saldos'!BL278+'Sumas y Saldos'!BL339+'Sumas y Saldos'!BO278+'Sumas y Saldos'!BO217</f>
      </c>
      <c r="F63" s="101">
        <f>'Sumas y Saldos'!E92+'Sumas y Saldos'!E278+'Sumas y Saldos'!E339+'Sumas y Saldos'!E217+'Sumas y Saldos'!E374+'Sumas y Saldos'!E393</f>
      </c>
      <c r="G63" s="101">
        <f>'Sumas y Saldos'!H92+'Sumas y Saldos'!H278+'Sumas y Saldos'!H339+'Sumas y Saldos'!H217+'Sumas y Saldos'!H374+'Sumas y Saldos'!H393</f>
      </c>
      <c r="H63" s="101">
        <f>'Sumas y Saldos'!K92+'Sumas y Saldos'!K278+'Sumas y Saldos'!K339+'Sumas y Saldos'!K217+'Sumas y Saldos'!K374+'Sumas y Saldos'!K393</f>
      </c>
      <c r="I63" s="101">
        <f>'Sumas y Saldos'!Q92+'Sumas y Saldos'!Q278+'Sumas y Saldos'!Q339+'Sumas y Saldos'!Q217+'Sumas y Saldos'!Q374+'Sumas y Saldos'!Q393</f>
      </c>
      <c r="J63" s="101">
        <f>'Sumas y Saldos'!Z92+'Sumas y Saldos'!Z278+'Sumas y Saldos'!Z339+'Sumas y Saldos'!Z217+'Sumas y Saldos'!Z374+'Sumas y Saldos'!Z393</f>
      </c>
      <c r="K63" s="101">
        <f>'Sumas y Saldos'!AC92+'Sumas y Saldos'!AC278+'Sumas y Saldos'!AC339+'Sumas y Saldos'!AC217+'Sumas y Saldos'!AC374+'Sumas y Saldos'!AC393</f>
      </c>
      <c r="L63" s="101">
        <f>'Sumas y Saldos'!AF92+'Sumas y Saldos'!AF278+'Sumas y Saldos'!AF339+'Sumas y Saldos'!AF217+'Sumas y Saldos'!AF374+'Sumas y Saldos'!AF393</f>
      </c>
      <c r="M63" s="101">
        <f>'Sumas y Saldos'!W92+'Sumas y Saldos'!W278+'Sumas y Saldos'!W339+'Sumas y Saldos'!W217+'Sumas y Saldos'!W374+'Sumas y Saldos'!W393</f>
      </c>
      <c r="N63" s="101">
        <f>'Sumas y Saldos'!T92+'Sumas y Saldos'!T278+'Sumas y Saldos'!T339+'Sumas y Saldos'!T217+'Sumas y Saldos'!T374+'Sumas y Saldos'!T393</f>
      </c>
      <c r="O63" s="101">
        <f>'Sumas y Saldos'!AI92+'Sumas y Saldos'!AI278+'Sumas y Saldos'!AI339+'Sumas y Saldos'!AI217+'Sumas y Saldos'!AI374+'Sumas y Saldos'!AI393</f>
      </c>
      <c r="P63" s="101">
        <f>'Sumas y Saldos'!AO92+'Sumas y Saldos'!AO278+'Sumas y Saldos'!AO339+'Sumas y Saldos'!AO217+'Sumas y Saldos'!AO374+'Sumas y Saldos'!AO393</f>
      </c>
      <c r="Q63" s="101">
        <f>'Sumas y Saldos'!AL92+'Sumas y Saldos'!AL278+'Sumas y Saldos'!AL339+'Sumas y Saldos'!AL217+'Sumas y Saldos'!AL374+'Sumas y Saldos'!AL393</f>
      </c>
      <c r="R63" s="101">
        <v>0</v>
      </c>
      <c r="S63" s="101"/>
      <c r="T63" s="101">
        <f>'Sumas y Saldos'!BD278</f>
      </c>
      <c r="U63" s="101">
        <f>'Sumas y Saldos'!BM278+'Sumas y Saldos'!BM339</f>
      </c>
      <c r="V63" s="101">
        <f>+'Sumas y Saldos'!BP278+'Sumas y Saldos'!BP217</f>
      </c>
      <c r="W63" s="101"/>
      <c r="X63" s="101"/>
      <c r="Y63" s="101"/>
      <c r="Z63" s="101"/>
      <c r="AA63" s="101"/>
      <c r="AB63" s="101"/>
      <c r="AC63" s="101">
        <v>0</v>
      </c>
      <c r="AD63" s="101">
        <v>0</v>
      </c>
      <c r="AE63" s="101">
        <v>43.4</v>
      </c>
      <c r="AF63" s="101">
        <v>0</v>
      </c>
      <c r="AG63" s="101">
        <v>0</v>
      </c>
      <c r="AH63" s="101">
        <v>0</v>
      </c>
      <c r="AI63" s="104">
        <f>SUM(W63:AH63)</f>
        <v>43.4</v>
      </c>
      <c r="AJ63" s="76"/>
      <c r="AK63" s="105"/>
    </row>
    <row r="64" ht="12.75" customHeight="1" spans="1:37" x14ac:dyDescent="0.25">
      <c r="A64" s="76"/>
      <c r="B64" s="76"/>
      <c r="C64" s="98" t="s">
        <v>103</v>
      </c>
      <c r="D64" s="99">
        <f>SUM(F64:V64)+E64</f>
      </c>
      <c r="E64" s="99">
        <f>+'Sumas y Saldos'!D66+'Sumas y Saldos'!D231+'Sumas y Saldos'!D391+'Sumas y Saldos'!D195+'Sumas y Saldos'!G66+'Sumas y Saldos'!G231+'Sumas y Saldos'!G391+'Sumas y Saldos'!G195+'Sumas y Saldos'!J66+'Sumas y Saldos'!J231+'Sumas y Saldos'!J391+'Sumas y Saldos'!J195+'Sumas y Saldos'!P66+'Sumas y Saldos'!P231+'Sumas y Saldos'!P391+'Sumas y Saldos'!P195+'Sumas y Saldos'!Y66+'Sumas y Saldos'!Y231+'Sumas y Saldos'!Y391+'Sumas y Saldos'!Y195+'Sumas y Saldos'!AB66+'Sumas y Saldos'!AB231+'Sumas y Saldos'!AB391+'Sumas y Saldos'!AB195+'Sumas y Saldos'!AE66+'Sumas y Saldos'!AE231+'Sumas y Saldos'!AE391+'Sumas y Saldos'!AE195+'Sumas y Saldos'!V66+'Sumas y Saldos'!V231+'Sumas y Saldos'!V391+'Sumas y Saldos'!V195+'Sumas y Saldos'!S66+'Sumas y Saldos'!S231+'Sumas y Saldos'!S391+'Sumas y Saldos'!S195+'Sumas y Saldos'!AH66+'Sumas y Saldos'!AH231+'Sumas y Saldos'!AH391+'Sumas y Saldos'!AH195+'Sumas y Saldos'!AN66+'Sumas y Saldos'!AN231+'Sumas y Saldos'!AN391+'Sumas y Saldos'!AN195+'Sumas y Saldos'!AK66+'Sumas y Saldos'!AK231+'Sumas y Saldos'!AK391+'Sumas y Saldos'!AK195+'Sumas y Saldos'!BC231+'Sumas y Saldos'!BL195+'Sumas y Saldos'!BO195</f>
      </c>
      <c r="F64" s="101">
        <f>'Sumas y Saldos'!E66+'Sumas y Saldos'!E231+'Sumas y Saldos'!E391+'Sumas y Saldos'!E195</f>
      </c>
      <c r="G64" s="101">
        <f>'Sumas y Saldos'!H66+'Sumas y Saldos'!H231+'Sumas y Saldos'!H391+'Sumas y Saldos'!H195</f>
      </c>
      <c r="H64" s="101">
        <f>'Sumas y Saldos'!K66+'Sumas y Saldos'!K231+'Sumas y Saldos'!K391+'Sumas y Saldos'!K195</f>
      </c>
      <c r="I64" s="101">
        <f>'Sumas y Saldos'!Q66+'Sumas y Saldos'!Q231+'Sumas y Saldos'!Q391+'Sumas y Saldos'!Q195</f>
      </c>
      <c r="J64" s="101">
        <f>'Sumas y Saldos'!Z66+'Sumas y Saldos'!Z231+'Sumas y Saldos'!Z391+'Sumas y Saldos'!Z195</f>
      </c>
      <c r="K64" s="101">
        <f>'Sumas y Saldos'!AC66+'Sumas y Saldos'!AC231+'Sumas y Saldos'!AC391+'Sumas y Saldos'!AC195</f>
      </c>
      <c r="L64" s="101">
        <f>'Sumas y Saldos'!AF66+'Sumas y Saldos'!AF231+'Sumas y Saldos'!AF391+'Sumas y Saldos'!AF195</f>
      </c>
      <c r="M64" s="101">
        <f>'Sumas y Saldos'!W66+'Sumas y Saldos'!W231+'Sumas y Saldos'!W391+'Sumas y Saldos'!W195</f>
      </c>
      <c r="N64" s="101">
        <f>'Sumas y Saldos'!T66+'Sumas y Saldos'!T231+'Sumas y Saldos'!T391+'Sumas y Saldos'!T195</f>
      </c>
      <c r="O64" s="101">
        <f>'Sumas y Saldos'!AI66+'Sumas y Saldos'!AI231+'Sumas y Saldos'!AI391+'Sumas y Saldos'!AI195</f>
      </c>
      <c r="P64" s="101">
        <f>'Sumas y Saldos'!AO66+'Sumas y Saldos'!AO231+'Sumas y Saldos'!AO391+'Sumas y Saldos'!AO195</f>
      </c>
      <c r="Q64" s="101">
        <f>'Sumas y Saldos'!AL66+'Sumas y Saldos'!AL231+'Sumas y Saldos'!AL391+'Sumas y Saldos'!AL195</f>
      </c>
      <c r="R64" s="101"/>
      <c r="S64" s="101"/>
      <c r="T64" s="101">
        <f>+'Sumas y Saldos'!BD231</f>
      </c>
      <c r="U64" s="101">
        <f>+'Sumas y Saldos'!BM195</f>
      </c>
      <c r="V64" s="101">
        <f>+'Sumas y Saldos'!BP195</f>
      </c>
      <c r="W64" s="101"/>
      <c r="X64" s="101"/>
      <c r="Y64" s="101"/>
      <c r="Z64" s="101"/>
      <c r="AA64" s="101"/>
      <c r="AB64" s="101"/>
      <c r="AC64" s="101">
        <v>0</v>
      </c>
      <c r="AD64" s="101">
        <v>0</v>
      </c>
      <c r="AE64" s="101">
        <v>0</v>
      </c>
      <c r="AF64" s="101">
        <v>0</v>
      </c>
      <c r="AG64" s="101">
        <v>34732.29</v>
      </c>
      <c r="AH64" s="101">
        <v>0</v>
      </c>
      <c r="AI64" s="104">
        <f>SUM(W64:AH64)</f>
        <v>34732.29</v>
      </c>
      <c r="AJ64" s="76"/>
      <c r="AK64" s="105"/>
    </row>
    <row r="65" ht="12.75" customHeight="1" spans="1:37" x14ac:dyDescent="0.25">
      <c r="A65" s="76"/>
      <c r="B65" s="76"/>
      <c r="C65" s="98" t="s">
        <v>568</v>
      </c>
      <c r="D65" s="99">
        <f>SUM(F65:V65)+E65</f>
      </c>
      <c r="E65" s="99">
        <f>+'Sumas y Saldos'!D57+'Sumas y Saldos'!D86+'Sumas y Saldos'!G57+'Sumas y Saldos'!G86+'Sumas y Saldos'!J57+'Sumas y Saldos'!J86+'Sumas y Saldos'!P57+'Sumas y Saldos'!P86+'Sumas y Saldos'!Y57+'Sumas y Saldos'!Y86+'Sumas y Saldos'!AB57+'Sumas y Saldos'!AB86+'Sumas y Saldos'!AE57+'Sumas y Saldos'!AE86+'Sumas y Saldos'!V57+'Sumas y Saldos'!V86+'Sumas y Saldos'!S57+'Sumas y Saldos'!S86+'Sumas y Saldos'!AH57+'Sumas y Saldos'!AH86+'Sumas y Saldos'!AN57+'Sumas y Saldos'!AN86+'Sumas y Saldos'!AK57+'Sumas y Saldos'!AK86</f>
      </c>
      <c r="F65" s="101">
        <f>+'Sumas y Saldos'!E57+'Sumas y Saldos'!E86</f>
      </c>
      <c r="G65" s="101">
        <f>+'Sumas y Saldos'!H57+'Sumas y Saldos'!H86</f>
      </c>
      <c r="H65" s="101">
        <f>+'Sumas y Saldos'!K57+'Sumas y Saldos'!K86</f>
      </c>
      <c r="I65" s="101">
        <f>+'Sumas y Saldos'!Q57+'Sumas y Saldos'!Q86</f>
      </c>
      <c r="J65" s="101">
        <f>+'Sumas y Saldos'!Z57+'Sumas y Saldos'!Z86</f>
      </c>
      <c r="K65" s="101">
        <f>+'Sumas y Saldos'!AC57+'Sumas y Saldos'!AC86</f>
      </c>
      <c r="L65" s="101">
        <f>+'Sumas y Saldos'!AF57+'Sumas y Saldos'!AF86</f>
      </c>
      <c r="M65" s="101">
        <f>+'Sumas y Saldos'!W57+'Sumas y Saldos'!W86</f>
      </c>
      <c r="N65" s="101">
        <f>+'Sumas y Saldos'!T57+'Sumas y Saldos'!T86</f>
      </c>
      <c r="O65" s="101">
        <f>+'Sumas y Saldos'!AI57+'Sumas y Saldos'!AI86</f>
      </c>
      <c r="P65" s="101">
        <f>+'Sumas y Saldos'!AO57+'Sumas y Saldos'!AO86</f>
      </c>
      <c r="Q65" s="101">
        <f>+'Sumas y Saldos'!AL57+'Sumas y Saldos'!AL86</f>
      </c>
      <c r="R65" s="101"/>
      <c r="S65" s="101"/>
      <c r="T65" s="101">
        <v>0</v>
      </c>
      <c r="U65" s="101"/>
      <c r="V65" s="101"/>
      <c r="W65" s="101"/>
      <c r="X65" s="101"/>
      <c r="Y65" s="101"/>
      <c r="Z65" s="101"/>
      <c r="AA65" s="101"/>
      <c r="AB65" s="101"/>
      <c r="AC65" s="101">
        <v>0</v>
      </c>
      <c r="AD65" s="101">
        <v>0</v>
      </c>
      <c r="AE65" s="101">
        <v>0</v>
      </c>
      <c r="AF65" s="101">
        <v>0</v>
      </c>
      <c r="AG65" s="101">
        <v>0</v>
      </c>
      <c r="AH65" s="101">
        <v>0</v>
      </c>
      <c r="AI65" s="104">
        <f>SUM(W65:AH65)</f>
      </c>
      <c r="AJ65" s="76"/>
      <c r="AK65" s="105"/>
    </row>
    <row r="66" ht="12.75" customHeight="1" spans="1:37" x14ac:dyDescent="0.25">
      <c r="A66" s="76"/>
      <c r="B66" s="76"/>
      <c r="C66" s="98" t="s">
        <v>569</v>
      </c>
      <c r="D66" s="99">
        <f>SUM(F66:V66)+E66</f>
      </c>
      <c r="E66" s="99">
        <f>+'Sumas y Saldos'!D25+'Sumas y Saldos'!D252+'Sumas y Saldos'!G25+'Sumas y Saldos'!G252+'Sumas y Saldos'!J25+'Sumas y Saldos'!J252+'Sumas y Saldos'!P25+'Sumas y Saldos'!P252+'Sumas y Saldos'!Y25+'Sumas y Saldos'!Y252+'Sumas y Saldos'!AB25+'Sumas y Saldos'!AB252+'Sumas y Saldos'!AE25+'Sumas y Saldos'!AE252+'Sumas y Saldos'!V25+'Sumas y Saldos'!V252+'Sumas y Saldos'!S25+'Sumas y Saldos'!S252+'Sumas y Saldos'!AH25+'Sumas y Saldos'!AH252+'Sumas y Saldos'!AN25+'Sumas y Saldos'!AN252+'Sumas y Saldos'!AK25+'Sumas y Saldos'!AK252+'Sumas y Saldos'!BC252+'Sumas y Saldos'!BO252</f>
      </c>
      <c r="F66" s="101">
        <f>'Sumas y Saldos'!E25+'Sumas y Saldos'!E252</f>
      </c>
      <c r="G66" s="101">
        <f>'Sumas y Saldos'!H25+'Sumas y Saldos'!H252</f>
      </c>
      <c r="H66" s="101">
        <f>'Sumas y Saldos'!K25+'Sumas y Saldos'!K252</f>
      </c>
      <c r="I66" s="101">
        <f>'Sumas y Saldos'!Q25+'Sumas y Saldos'!Q252</f>
      </c>
      <c r="J66" s="101">
        <f>'Sumas y Saldos'!Z25+'Sumas y Saldos'!Z252</f>
      </c>
      <c r="K66" s="101">
        <f>'Sumas y Saldos'!AC25+'Sumas y Saldos'!AC252</f>
      </c>
      <c r="L66" s="101">
        <f>'Sumas y Saldos'!AF25+'Sumas y Saldos'!AF252</f>
      </c>
      <c r="M66" s="101">
        <f>'Sumas y Saldos'!W25+'Sumas y Saldos'!W252</f>
      </c>
      <c r="N66" s="101">
        <f>'Sumas y Saldos'!T25+'Sumas y Saldos'!T252</f>
      </c>
      <c r="O66" s="101">
        <f>'Sumas y Saldos'!AI25+'Sumas y Saldos'!AI252</f>
      </c>
      <c r="P66" s="101">
        <f>'Sumas y Saldos'!AO25+'Sumas y Saldos'!AO252</f>
      </c>
      <c r="Q66" s="101">
        <f>'Sumas y Saldos'!AL25+'Sumas y Saldos'!AL252</f>
      </c>
      <c r="R66" s="101"/>
      <c r="S66" s="101"/>
      <c r="T66" s="101">
        <f>'Sumas y Saldos'!BD252</f>
      </c>
      <c r="U66" s="101"/>
      <c r="V66" s="101">
        <f>+'Sumas y Saldos'!BP252</f>
      </c>
      <c r="W66" s="101"/>
      <c r="X66" s="101"/>
      <c r="Y66" s="101"/>
      <c r="Z66" s="101"/>
      <c r="AA66" s="101"/>
      <c r="AB66" s="101"/>
      <c r="AC66" s="101">
        <v>0</v>
      </c>
      <c r="AD66" s="101">
        <v>0</v>
      </c>
      <c r="AE66" s="101">
        <v>0</v>
      </c>
      <c r="AF66" s="101">
        <v>0</v>
      </c>
      <c r="AG66" s="101">
        <v>0</v>
      </c>
      <c r="AH66" s="101">
        <v>0</v>
      </c>
      <c r="AI66" s="104">
        <f>SUM(W66:AH66)</f>
      </c>
      <c r="AJ66" s="76"/>
      <c r="AK66" s="105"/>
    </row>
    <row r="67" ht="12.75" customHeight="1" spans="1:37" x14ac:dyDescent="0.25">
      <c r="A67" s="76"/>
      <c r="B67" s="76"/>
      <c r="C67" s="98" t="s">
        <v>570</v>
      </c>
      <c r="D67" s="99">
        <f>SUM(F67:V67)+E67</f>
      </c>
      <c r="E67" s="99">
        <f>-F67+'Sumas y Saldos'!D31+'Sumas y Saldos'!G31+'Sumas y Saldos'!J31+'Sumas y Saldos'!P31+'Sumas y Saldos'!Y31+'Sumas y Saldos'!AB31+'Sumas y Saldos'!AE31+'Sumas y Saldos'!V31+'Sumas y Saldos'!S31+'Sumas y Saldos'!AH31+'Sumas y Saldos'!AN31+'Sumas y Saldos'!AK31</f>
      </c>
      <c r="F67" s="101">
        <f>+'Sumas y Saldos'!E31</f>
      </c>
      <c r="G67" s="101">
        <f>+'Sumas y Saldos'!H31</f>
      </c>
      <c r="H67" s="101">
        <f>+'Sumas y Saldos'!K31</f>
      </c>
      <c r="I67" s="101">
        <f>+'Sumas y Saldos'!Q31</f>
      </c>
      <c r="J67" s="101">
        <f>+'Sumas y Saldos'!Z31</f>
      </c>
      <c r="K67" s="101">
        <f>+'Sumas y Saldos'!AC31</f>
      </c>
      <c r="L67" s="101">
        <f>+'Sumas y Saldos'!AF31</f>
      </c>
      <c r="M67" s="101">
        <f>+'Sumas y Saldos'!W31</f>
      </c>
      <c r="N67" s="101">
        <f>+'Sumas y Saldos'!T31</f>
      </c>
      <c r="O67" s="101">
        <f>+'Sumas y Saldos'!AI31</f>
      </c>
      <c r="P67" s="101">
        <f>+'Sumas y Saldos'!AO31</f>
      </c>
      <c r="Q67" s="101">
        <f>+'Sumas y Saldos'!AL31</f>
      </c>
      <c r="R67" s="101"/>
      <c r="S67" s="101"/>
      <c r="T67" s="101">
        <v>0</v>
      </c>
      <c r="U67" s="101"/>
      <c r="V67" s="101"/>
      <c r="W67" s="101"/>
      <c r="X67" s="101"/>
      <c r="Y67" s="101"/>
      <c r="Z67" s="101"/>
      <c r="AA67" s="101"/>
      <c r="AB67" s="101"/>
      <c r="AC67" s="101">
        <v>0</v>
      </c>
      <c r="AD67" s="101">
        <v>0</v>
      </c>
      <c r="AE67" s="101">
        <v>0</v>
      </c>
      <c r="AF67" s="101">
        <v>0</v>
      </c>
      <c r="AG67" s="101">
        <v>0</v>
      </c>
      <c r="AH67" s="101">
        <v>0</v>
      </c>
      <c r="AI67" s="104">
        <f>SUM(W67:AH67)</f>
      </c>
      <c r="AJ67" s="76"/>
      <c r="AK67" s="105"/>
    </row>
    <row r="68" ht="12.75" customHeight="1" spans="1:37" x14ac:dyDescent="0.25">
      <c r="A68" s="76"/>
      <c r="B68" s="76"/>
      <c r="C68" s="98" t="s">
        <v>571</v>
      </c>
      <c r="D68" s="99">
        <f>SUM(F68:V68)+E68</f>
      </c>
      <c r="E68" s="99">
        <v>0</v>
      </c>
      <c r="F68" s="101">
        <v>0</v>
      </c>
      <c r="G68" s="101">
        <v>0</v>
      </c>
      <c r="H68" s="101">
        <v>0</v>
      </c>
      <c r="I68" s="101">
        <v>0</v>
      </c>
      <c r="J68" s="101">
        <v>0</v>
      </c>
      <c r="K68" s="101">
        <v>0</v>
      </c>
      <c r="L68" s="101">
        <v>0</v>
      </c>
      <c r="M68" s="101">
        <v>0</v>
      </c>
      <c r="N68" s="101">
        <v>0</v>
      </c>
      <c r="O68" s="101">
        <v>0</v>
      </c>
      <c r="P68" s="101">
        <v>0</v>
      </c>
      <c r="Q68" s="101">
        <v>0</v>
      </c>
      <c r="R68" s="101"/>
      <c r="S68" s="101"/>
      <c r="T68" s="101">
        <v>0</v>
      </c>
      <c r="U68" s="101"/>
      <c r="V68" s="101"/>
      <c r="W68" s="101"/>
      <c r="X68" s="101"/>
      <c r="Y68" s="101"/>
      <c r="Z68" s="101"/>
      <c r="AA68" s="101"/>
      <c r="AB68" s="101"/>
      <c r="AC68" s="101">
        <v>0</v>
      </c>
      <c r="AD68" s="101">
        <v>0</v>
      </c>
      <c r="AE68" s="101">
        <v>0</v>
      </c>
      <c r="AF68" s="101">
        <v>0</v>
      </c>
      <c r="AG68" s="101">
        <v>0</v>
      </c>
      <c r="AH68" s="101">
        <v>0</v>
      </c>
      <c r="AI68" s="104">
        <f>SUM(W68:AH68)</f>
      </c>
      <c r="AJ68" s="76"/>
      <c r="AK68" s="105"/>
    </row>
    <row r="69" ht="12.75" customHeight="1" spans="1:37" x14ac:dyDescent="0.25">
      <c r="A69" s="76"/>
      <c r="B69" s="76"/>
      <c r="C69" s="98" t="s">
        <v>572</v>
      </c>
      <c r="D69" s="99">
        <f>SUM(F69:V69)+E69</f>
      </c>
      <c r="E69" s="99">
        <f>+'Sumas y Saldos'!D48+'Sumas y Saldos'!G48+'Sumas y Saldos'!J48+'Sumas y Saldos'!P48+'Sumas y Saldos'!Y48+'Sumas y Saldos'!AB48+'Sumas y Saldos'!AE48+'Sumas y Saldos'!V48+'Sumas y Saldos'!S48+'Sumas y Saldos'!AH48+'Sumas y Saldos'!AN48+'Sumas y Saldos'!AK48</f>
      </c>
      <c r="F69" s="101">
        <f>+'Sumas y Saldos'!E48</f>
      </c>
      <c r="G69" s="101">
        <f>+'Sumas y Saldos'!H48</f>
      </c>
      <c r="H69" s="101">
        <f>+'Sumas y Saldos'!K48</f>
      </c>
      <c r="I69" s="101">
        <f>+'Sumas y Saldos'!Q48</f>
      </c>
      <c r="J69" s="101">
        <f>+'Sumas y Saldos'!Z48</f>
      </c>
      <c r="K69" s="101">
        <f>+'Sumas y Saldos'!AC48</f>
      </c>
      <c r="L69" s="101">
        <f>+'Sumas y Saldos'!AF48</f>
      </c>
      <c r="M69" s="101">
        <f>+'Sumas y Saldos'!W48</f>
      </c>
      <c r="N69" s="101">
        <f>+'Sumas y Saldos'!T48</f>
      </c>
      <c r="O69" s="101">
        <f>+'Sumas y Saldos'!AI48</f>
      </c>
      <c r="P69" s="101">
        <f>+'Sumas y Saldos'!AO48</f>
      </c>
      <c r="Q69" s="101">
        <f>+'Sumas y Saldos'!AL48</f>
      </c>
      <c r="R69" s="101"/>
      <c r="S69" s="101"/>
      <c r="T69" s="101">
        <v>0</v>
      </c>
      <c r="U69" s="101"/>
      <c r="V69" s="101"/>
      <c r="W69" s="101"/>
      <c r="X69" s="101"/>
      <c r="Y69" s="101"/>
      <c r="Z69" s="101"/>
      <c r="AA69" s="101"/>
      <c r="AB69" s="101"/>
      <c r="AC69" s="101">
        <v>0</v>
      </c>
      <c r="AD69" s="101">
        <v>0</v>
      </c>
      <c r="AE69" s="101">
        <v>0</v>
      </c>
      <c r="AF69" s="101">
        <v>0</v>
      </c>
      <c r="AG69" s="101">
        <v>0</v>
      </c>
      <c r="AH69" s="101">
        <v>0</v>
      </c>
      <c r="AI69" s="104">
        <f>SUM(W69:AH69)</f>
      </c>
      <c r="AJ69" s="76"/>
      <c r="AK69" s="105"/>
    </row>
    <row r="70" ht="12.75" customHeight="1" spans="1:37" x14ac:dyDescent="0.25">
      <c r="A70" s="76"/>
      <c r="B70" s="76"/>
      <c r="C70" s="98" t="s">
        <v>573</v>
      </c>
      <c r="D70" s="99">
        <f>SUM(F70:V70)+E70</f>
      </c>
      <c r="E70" s="99">
        <f>+'Sumas y Saldos'!D63+'Sumas y Saldos'!G63+'Sumas y Saldos'!J63+'Sumas y Saldos'!P63+'Sumas y Saldos'!Y63+'Sumas y Saldos'!AB63+'Sumas y Saldos'!AE63+'Sumas y Saldos'!V63+'Sumas y Saldos'!S63+'Sumas y Saldos'!AH63+'Sumas y Saldos'!AN63+'Sumas y Saldos'!AK63</f>
      </c>
      <c r="F70" s="101">
        <f>+'Sumas y Saldos'!E63</f>
      </c>
      <c r="G70" s="101">
        <f>+'Sumas y Saldos'!H63</f>
      </c>
      <c r="H70" s="101">
        <f>+'Sumas y Saldos'!K63</f>
      </c>
      <c r="I70" s="101">
        <f>+'Sumas y Saldos'!Q63</f>
      </c>
      <c r="J70" s="101">
        <f>+'Sumas y Saldos'!Z63</f>
      </c>
      <c r="K70" s="101">
        <f>+'Sumas y Saldos'!AC63</f>
      </c>
      <c r="L70" s="101">
        <f>+'Sumas y Saldos'!AF63</f>
      </c>
      <c r="M70" s="101">
        <f>+'Sumas y Saldos'!W63</f>
      </c>
      <c r="N70" s="101">
        <f>+'Sumas y Saldos'!T63</f>
      </c>
      <c r="O70" s="101">
        <f>+'Sumas y Saldos'!AI63</f>
      </c>
      <c r="P70" s="101">
        <f>+'Sumas y Saldos'!AO63</f>
      </c>
      <c r="Q70" s="101">
        <f>+'Sumas y Saldos'!AL63</f>
      </c>
      <c r="R70" s="101"/>
      <c r="S70" s="101"/>
      <c r="T70" s="101">
        <v>0</v>
      </c>
      <c r="U70" s="101"/>
      <c r="V70" s="101"/>
      <c r="W70" s="101"/>
      <c r="X70" s="101"/>
      <c r="Y70" s="101"/>
      <c r="Z70" s="101"/>
      <c r="AA70" s="101"/>
      <c r="AB70" s="101"/>
      <c r="AC70" s="101">
        <v>0</v>
      </c>
      <c r="AD70" s="101">
        <v>0</v>
      </c>
      <c r="AE70" s="101">
        <v>0</v>
      </c>
      <c r="AF70" s="101">
        <v>0</v>
      </c>
      <c r="AG70" s="101">
        <v>0</v>
      </c>
      <c r="AH70" s="101">
        <v>0</v>
      </c>
      <c r="AI70" s="104">
        <f>SUM(W70:AH70)</f>
      </c>
      <c r="AJ70" s="76"/>
      <c r="AK70" s="105"/>
    </row>
    <row r="71" ht="12.75" customHeight="1" spans="1:37" x14ac:dyDescent="0.25">
      <c r="A71" s="76"/>
      <c r="B71" s="76"/>
      <c r="C71" s="98" t="s">
        <v>83</v>
      </c>
      <c r="D71" s="99">
        <f>SUM(F71:V71)+E71</f>
      </c>
      <c r="E71" s="99">
        <f>+'Sumas y Saldos'!D46+'Sumas y Saldos'!D251+'Sumas y Saldos'!G46+'Sumas y Saldos'!G251+'Sumas y Saldos'!J46+'Sumas y Saldos'!J251+'Sumas y Saldos'!P46+'Sumas y Saldos'!P251+'Sumas y Saldos'!Y46+'Sumas y Saldos'!Y251+'Sumas y Saldos'!AB46+'Sumas y Saldos'!AB251+'Sumas y Saldos'!AE46+'Sumas y Saldos'!AE251+'Sumas y Saldos'!V46+'Sumas y Saldos'!V251+'Sumas y Saldos'!S46+'Sumas y Saldos'!S251+'Sumas y Saldos'!AH46+'Sumas y Saldos'!AH251+'Sumas y Saldos'!AN46+'Sumas y Saldos'!AN251+'Sumas y Saldos'!AK46+'Sumas y Saldos'!AK251+'Sumas y Saldos'!BC251</f>
      </c>
      <c r="F71" s="101">
        <f>'Sumas y Saldos'!E46+'Sumas y Saldos'!E251</f>
      </c>
      <c r="G71" s="101">
        <f>'Sumas y Saldos'!H46+'Sumas y Saldos'!H251</f>
      </c>
      <c r="H71" s="101">
        <f>'Sumas y Saldos'!K46+'Sumas y Saldos'!K251</f>
      </c>
      <c r="I71" s="101">
        <f>'Sumas y Saldos'!Q46+'Sumas y Saldos'!Q251</f>
      </c>
      <c r="J71" s="101">
        <f>'Sumas y Saldos'!Z46+'Sumas y Saldos'!Z251</f>
      </c>
      <c r="K71" s="101">
        <f>'Sumas y Saldos'!AC46+'Sumas y Saldos'!AC251</f>
      </c>
      <c r="L71" s="101">
        <f>'Sumas y Saldos'!AF46+'Sumas y Saldos'!AF251</f>
      </c>
      <c r="M71" s="101">
        <f>'Sumas y Saldos'!W46+'Sumas y Saldos'!W251</f>
      </c>
      <c r="N71" s="101">
        <f>'Sumas y Saldos'!T46+'Sumas y Saldos'!T251</f>
      </c>
      <c r="O71" s="101">
        <f>'Sumas y Saldos'!AI46+'Sumas y Saldos'!AI251</f>
      </c>
      <c r="P71" s="101">
        <f>'Sumas y Saldos'!AO46+'Sumas y Saldos'!AO251</f>
      </c>
      <c r="Q71" s="101">
        <f>'Sumas y Saldos'!AL46+'Sumas y Saldos'!AL251</f>
      </c>
      <c r="R71" s="101"/>
      <c r="S71" s="101"/>
      <c r="T71" s="101">
        <f>+'Sumas y Saldos'!BD251</f>
      </c>
      <c r="U71" s="101"/>
      <c r="V71" s="101">
        <v>0</v>
      </c>
      <c r="W71" s="101"/>
      <c r="X71" s="101"/>
      <c r="Y71" s="101"/>
      <c r="Z71" s="101"/>
      <c r="AA71" s="101"/>
      <c r="AB71" s="101"/>
      <c r="AC71" s="101">
        <v>0</v>
      </c>
      <c r="AD71" s="101">
        <v>20.08</v>
      </c>
      <c r="AE71" s="101">
        <v>0</v>
      </c>
      <c r="AF71" s="101">
        <v>0</v>
      </c>
      <c r="AG71" s="101">
        <v>20.34</v>
      </c>
      <c r="AH71" s="101">
        <v>31.22</v>
      </c>
      <c r="AI71" s="104">
        <f>SUM(W71:AH71)</f>
        <v>71.64</v>
      </c>
      <c r="AJ71" s="76"/>
      <c r="AK71" s="105"/>
    </row>
    <row r="72" ht="12.75" customHeight="1" spans="1:37" x14ac:dyDescent="0.25">
      <c r="A72" s="76" t="s">
        <v>574</v>
      </c>
      <c r="B72" s="76">
        <v>9600000062</v>
      </c>
      <c r="C72" s="98" t="s">
        <v>575</v>
      </c>
      <c r="D72" s="99">
        <f>SUM(F72:V72)+E72</f>
      </c>
      <c r="E72" s="99">
        <f>+'Sumas y Saldos'!D161+'Sumas y Saldos'!D44+'Sumas y Saldos'!D387+'Sumas y Saldos'!D171+'Sumas y Saldos'!D388+'Sumas y Saldos'!D390+'Sumas y Saldos'!G44+'Sumas y Saldos'!G387+'Sumas y Saldos'!G161+'Sumas y Saldos'!G171+'Sumas y Saldos'!G388+'Sumas y Saldos'!G390+'Sumas y Saldos'!J44+'Sumas y Saldos'!J387+'Sumas y Saldos'!J161+'Sumas y Saldos'!J171+'Sumas y Saldos'!J388+'Sumas y Saldos'!J390+'Sumas y Saldos'!P44+'Sumas y Saldos'!P387+'Sumas y Saldos'!P161+'Sumas y Saldos'!P171+'Sumas y Saldos'!P388+'Sumas y Saldos'!P390+'Sumas y Saldos'!Y44+'Sumas y Saldos'!Y387+'Sumas y Saldos'!Y161+'Sumas y Saldos'!Y171+'Sumas y Saldos'!Y388+'Sumas y Saldos'!Y390+'Sumas y Saldos'!AB44+'Sumas y Saldos'!AB387+'Sumas y Saldos'!AB161+'Sumas y Saldos'!AB171+'Sumas y Saldos'!AB388+'Sumas y Saldos'!AB390+'Sumas y Saldos'!AE44+'Sumas y Saldos'!AE387+'Sumas y Saldos'!AE161+'Sumas y Saldos'!AE171+'Sumas y Saldos'!AE388+'Sumas y Saldos'!AE390+'Sumas y Saldos'!V44+'Sumas y Saldos'!V387+'Sumas y Saldos'!V161+'Sumas y Saldos'!V171+'Sumas y Saldos'!V388+'Sumas y Saldos'!V390+'Sumas y Saldos'!S44+'Sumas y Saldos'!S387+'Sumas y Saldos'!S161+'Sumas y Saldos'!S171+'Sumas y Saldos'!S388+'Sumas y Saldos'!S390+'Sumas y Saldos'!AH44+'Sumas y Saldos'!AH387+'Sumas y Saldos'!AH161+'Sumas y Saldos'!AH171+'Sumas y Saldos'!AH388+'Sumas y Saldos'!AH390+'Sumas y Saldos'!AN44+'Sumas y Saldos'!AN387+'Sumas y Saldos'!AN161+'Sumas y Saldos'!AN171+'Sumas y Saldos'!AN388+'Sumas y Saldos'!AN390+'Sumas y Saldos'!AK44+'Sumas y Saldos'!AK387+'Sumas y Saldos'!AK161+'Sumas y Saldos'!AK171+'Sumas y Saldos'!AK388+'Sumas y Saldos'!AK390+'Sumas y Saldos'!BO161</f>
      </c>
      <c r="F72" s="101">
        <f>'Sumas y Saldos'!E44+'Sumas y Saldos'!E387+'Sumas y Saldos'!E161+'Sumas y Saldos'!E171+'Sumas y Saldos'!E388+'Sumas y Saldos'!E390</f>
      </c>
      <c r="G72" s="101">
        <f>'Sumas y Saldos'!H44+'Sumas y Saldos'!H387+'Sumas y Saldos'!H161+'Sumas y Saldos'!H171+'Sumas y Saldos'!H388+'Sumas y Saldos'!H390</f>
      </c>
      <c r="H72" s="101">
        <f>'Sumas y Saldos'!K44+'Sumas y Saldos'!K387+'Sumas y Saldos'!K161+'Sumas y Saldos'!K171+'Sumas y Saldos'!K388+'Sumas y Saldos'!K390</f>
      </c>
      <c r="I72" s="101">
        <f>'Sumas y Saldos'!Q44+'Sumas y Saldos'!Q387+'Sumas y Saldos'!Q161+'Sumas y Saldos'!Q171+'Sumas y Saldos'!Q388+'Sumas y Saldos'!Q390</f>
      </c>
      <c r="J72" s="101">
        <f>'Sumas y Saldos'!Z44+'Sumas y Saldos'!Z387+'Sumas y Saldos'!Z161+'Sumas y Saldos'!Z171+'Sumas y Saldos'!Z388+'Sumas y Saldos'!Z390</f>
      </c>
      <c r="K72" s="101">
        <f>'Sumas y Saldos'!AC44+'Sumas y Saldos'!AC387+'Sumas y Saldos'!AC161+'Sumas y Saldos'!AC171+'Sumas y Saldos'!AC388+'Sumas y Saldos'!AC390</f>
      </c>
      <c r="L72" s="101">
        <f>'Sumas y Saldos'!AF44+'Sumas y Saldos'!AF387+'Sumas y Saldos'!AF161+'Sumas y Saldos'!AF171+'Sumas y Saldos'!AF388+'Sumas y Saldos'!AF390</f>
      </c>
      <c r="M72" s="101">
        <f>'Sumas y Saldos'!W44+'Sumas y Saldos'!W387+'Sumas y Saldos'!W161+'Sumas y Saldos'!W171+'Sumas y Saldos'!W388+'Sumas y Saldos'!W390</f>
      </c>
      <c r="N72" s="101">
        <f>'Sumas y Saldos'!T44+'Sumas y Saldos'!T387+'Sumas y Saldos'!T161+'Sumas y Saldos'!T171+'Sumas y Saldos'!T388+'Sumas y Saldos'!T390</f>
      </c>
      <c r="O72" s="101">
        <f>'Sumas y Saldos'!AI44+'Sumas y Saldos'!AI387+'Sumas y Saldos'!AI161+'Sumas y Saldos'!AI171+'Sumas y Saldos'!AI388+'Sumas y Saldos'!AI390</f>
      </c>
      <c r="P72" s="101">
        <f>'Sumas y Saldos'!AO44+'Sumas y Saldos'!AO387+'Sumas y Saldos'!AO161+'Sumas y Saldos'!AO171+'Sumas y Saldos'!AO388+'Sumas y Saldos'!AO390</f>
      </c>
      <c r="Q72" s="101">
        <f>'Sumas y Saldos'!AL44+'Sumas y Saldos'!AL387+'Sumas y Saldos'!AL161+'Sumas y Saldos'!AL171+'Sumas y Saldos'!AL388+'Sumas y Saldos'!AL390</f>
      </c>
      <c r="R72" s="101"/>
      <c r="S72" s="101"/>
      <c r="T72" s="101">
        <v>0</v>
      </c>
      <c r="U72" s="101"/>
      <c r="V72" s="101">
        <f>+'Sumas y Saldos'!BP161</f>
      </c>
      <c r="W72" s="101"/>
      <c r="X72" s="101"/>
      <c r="Y72" s="101"/>
      <c r="Z72" s="101"/>
      <c r="AA72" s="101"/>
      <c r="AB72" s="101"/>
      <c r="AC72" s="101">
        <v>0</v>
      </c>
      <c r="AD72" s="101">
        <v>0</v>
      </c>
      <c r="AE72" s="101">
        <v>0</v>
      </c>
      <c r="AF72" s="101">
        <v>0</v>
      </c>
      <c r="AG72" s="101">
        <v>0</v>
      </c>
      <c r="AH72" s="101">
        <v>0</v>
      </c>
      <c r="AI72" s="104">
        <f>SUM(W72:AH72)</f>
      </c>
      <c r="AJ72" s="76"/>
      <c r="AK72" s="105"/>
    </row>
    <row r="73" ht="12.75" customHeight="1" spans="1:37" x14ac:dyDescent="0.25">
      <c r="A73" s="76"/>
      <c r="B73" s="76"/>
      <c r="C73" s="98" t="s">
        <v>105</v>
      </c>
      <c r="D73" s="99">
        <f>SUM(F73:V73)+E73</f>
      </c>
      <c r="E73" s="99">
        <f>+'Sumas y Saldos'!D68+'Sumas y Saldos'!G68+'Sumas y Saldos'!J68+'Sumas y Saldos'!P68+'Sumas y Saldos'!Y68+'Sumas y Saldos'!AB68+'Sumas y Saldos'!AE68+'Sumas y Saldos'!V68+'Sumas y Saldos'!S68+'Sumas y Saldos'!AH68+'Sumas y Saldos'!AN68+'Sumas y Saldos'!AK68</f>
      </c>
      <c r="F73" s="101">
        <f>'Sumas y Saldos'!E68</f>
      </c>
      <c r="G73" s="101">
        <f>'Sumas y Saldos'!H68</f>
      </c>
      <c r="H73" s="101">
        <f>'Sumas y Saldos'!K68</f>
      </c>
      <c r="I73" s="101">
        <f>'Sumas y Saldos'!Q68</f>
      </c>
      <c r="J73" s="101">
        <f>'Sumas y Saldos'!Z68</f>
      </c>
      <c r="K73" s="101">
        <f>'Sumas y Saldos'!AC68</f>
      </c>
      <c r="L73" s="101">
        <f>'Sumas y Saldos'!AF68</f>
      </c>
      <c r="M73" s="101">
        <f>'Sumas y Saldos'!W68</f>
      </c>
      <c r="N73" s="101">
        <f>'Sumas y Saldos'!T68</f>
      </c>
      <c r="O73" s="101">
        <f>'Sumas y Saldos'!AI68</f>
      </c>
      <c r="P73" s="101">
        <f>'Sumas y Saldos'!AO68</f>
      </c>
      <c r="Q73" s="101">
        <f>'Sumas y Saldos'!AL68</f>
      </c>
      <c r="R73" s="101"/>
      <c r="S73" s="101"/>
      <c r="T73" s="101">
        <v>0</v>
      </c>
      <c r="U73" s="101"/>
      <c r="V73" s="101"/>
      <c r="W73" s="101"/>
      <c r="X73" s="101"/>
      <c r="Y73" s="101"/>
      <c r="Z73" s="101"/>
      <c r="AA73" s="101"/>
      <c r="AB73" s="101"/>
      <c r="AC73" s="101">
        <v>0</v>
      </c>
      <c r="AD73" s="101">
        <v>0</v>
      </c>
      <c r="AE73" s="101">
        <v>0</v>
      </c>
      <c r="AF73" s="101">
        <v>0</v>
      </c>
      <c r="AG73" s="101">
        <v>0</v>
      </c>
      <c r="AH73" s="101">
        <v>0</v>
      </c>
      <c r="AI73" s="104">
        <f>SUM(W73:AH73)</f>
      </c>
      <c r="AJ73" s="76"/>
      <c r="AK73" s="105"/>
    </row>
    <row r="74" ht="12.75" customHeight="1" spans="1:37" x14ac:dyDescent="0.25">
      <c r="A74" s="76"/>
      <c r="B74" s="76"/>
      <c r="C74" s="98" t="s">
        <v>576</v>
      </c>
      <c r="D74" s="99">
        <f>SUM(F74:V74)+E74</f>
      </c>
      <c r="E74" s="99">
        <f>+'Sumas y Saldos'!D87+'Sumas y Saldos'!G87+'Sumas y Saldos'!J87+'Sumas y Saldos'!P87+'Sumas y Saldos'!Y87+'Sumas y Saldos'!AB87+'Sumas y Saldos'!AE87+'Sumas y Saldos'!V87+'Sumas y Saldos'!S87+'Sumas y Saldos'!AH87+'Sumas y Saldos'!AN87+'Sumas y Saldos'!AK87</f>
      </c>
      <c r="F74" s="101">
        <f>+'Sumas y Saldos'!E87</f>
      </c>
      <c r="G74" s="101">
        <f>+'Sumas y Saldos'!H87</f>
      </c>
      <c r="H74" s="101">
        <f>+'Sumas y Saldos'!K87</f>
      </c>
      <c r="I74" s="101">
        <f>+'Sumas y Saldos'!Q87</f>
      </c>
      <c r="J74" s="101">
        <f>+'Sumas y Saldos'!Z87</f>
      </c>
      <c r="K74" s="101">
        <f>+'Sumas y Saldos'!AC87</f>
      </c>
      <c r="L74" s="101">
        <f>+'Sumas y Saldos'!AF87</f>
      </c>
      <c r="M74" s="101">
        <f>+'Sumas y Saldos'!W87</f>
      </c>
      <c r="N74" s="101">
        <f>+'Sumas y Saldos'!T87</f>
      </c>
      <c r="O74" s="101">
        <f>+'Sumas y Saldos'!AI87</f>
      </c>
      <c r="P74" s="101">
        <f>+'Sumas y Saldos'!AO87</f>
      </c>
      <c r="Q74" s="101">
        <f>+'Sumas y Saldos'!AL87</f>
      </c>
      <c r="R74" s="101"/>
      <c r="S74" s="101"/>
      <c r="T74" s="101">
        <v>0</v>
      </c>
      <c r="U74" s="101"/>
      <c r="V74" s="101"/>
      <c r="W74" s="101"/>
      <c r="X74" s="101"/>
      <c r="Y74" s="101"/>
      <c r="Z74" s="101"/>
      <c r="AA74" s="101"/>
      <c r="AB74" s="101"/>
      <c r="AC74" s="101">
        <v>0</v>
      </c>
      <c r="AD74" s="101">
        <v>0</v>
      </c>
      <c r="AE74" s="101">
        <v>0</v>
      </c>
      <c r="AF74" s="101">
        <v>0</v>
      </c>
      <c r="AG74" s="101">
        <v>0</v>
      </c>
      <c r="AH74" s="101">
        <v>0</v>
      </c>
      <c r="AI74" s="104">
        <f>SUM(W74:AH74)</f>
      </c>
      <c r="AJ74" s="76"/>
      <c r="AK74" s="105"/>
    </row>
    <row r="75" ht="12.75" customHeight="1" spans="1:37" x14ac:dyDescent="0.25">
      <c r="A75" s="76"/>
      <c r="B75" s="76"/>
      <c r="C75" s="98" t="s">
        <v>74</v>
      </c>
      <c r="D75" s="99">
        <f>SUM(F75:V75)+E75</f>
      </c>
      <c r="E75" s="99">
        <f>+'Sumas y Saldos'!D37+'Sumas y Saldos'!G37+'Sumas y Saldos'!J37+'Sumas y Saldos'!P37+'Sumas y Saldos'!Y37+'Sumas y Saldos'!AB37+'Sumas y Saldos'!AE37+'Sumas y Saldos'!V37+'Sumas y Saldos'!S37+'Sumas y Saldos'!AH37+'Sumas y Saldos'!AN37+'Sumas y Saldos'!AK37</f>
      </c>
      <c r="F75" s="101">
        <f>+'Sumas y Saldos'!E37</f>
      </c>
      <c r="G75" s="101">
        <f>+'Sumas y Saldos'!H37</f>
      </c>
      <c r="H75" s="101">
        <f>+'Sumas y Saldos'!K37</f>
      </c>
      <c r="I75" s="101">
        <f>+'Sumas y Saldos'!Q37</f>
      </c>
      <c r="J75" s="101">
        <f>+'Sumas y Saldos'!Z37</f>
      </c>
      <c r="K75" s="101">
        <f>+'Sumas y Saldos'!AC37</f>
      </c>
      <c r="L75" s="101">
        <f>+'Sumas y Saldos'!AF37</f>
      </c>
      <c r="M75" s="101">
        <f>+'Sumas y Saldos'!W37</f>
      </c>
      <c r="N75" s="101">
        <f>+'Sumas y Saldos'!T37</f>
      </c>
      <c r="O75" s="101">
        <f>+'Sumas y Saldos'!AI37</f>
      </c>
      <c r="P75" s="101">
        <f>+'Sumas y Saldos'!AO37</f>
      </c>
      <c r="Q75" s="101">
        <f>+'Sumas y Saldos'!AL37</f>
      </c>
      <c r="R75" s="101"/>
      <c r="S75" s="101"/>
      <c r="T75" s="101">
        <v>0</v>
      </c>
      <c r="U75" s="101"/>
      <c r="V75" s="101"/>
      <c r="W75" s="101"/>
      <c r="X75" s="101"/>
      <c r="Y75" s="101"/>
      <c r="Z75" s="101"/>
      <c r="AA75" s="101"/>
      <c r="AB75" s="101"/>
      <c r="AC75" s="101">
        <v>0</v>
      </c>
      <c r="AD75" s="101">
        <v>0</v>
      </c>
      <c r="AE75" s="101">
        <v>0</v>
      </c>
      <c r="AF75" s="101">
        <v>0</v>
      </c>
      <c r="AG75" s="101">
        <v>0</v>
      </c>
      <c r="AH75" s="101">
        <v>0</v>
      </c>
      <c r="AI75" s="104">
        <f>SUM(W75:AH75)</f>
      </c>
      <c r="AJ75" s="76"/>
      <c r="AK75" s="105"/>
    </row>
    <row r="76" ht="12.75" customHeight="1" spans="1:37" x14ac:dyDescent="0.25">
      <c r="A76" s="76"/>
      <c r="B76" s="76"/>
      <c r="C76" s="98" t="s">
        <v>149</v>
      </c>
      <c r="D76" s="99">
        <f>SUM(F76:V76)+E76</f>
      </c>
      <c r="E76" s="99">
        <f>+'Sumas y Saldos'!AN163+'Sumas y Saldos'!D112+'Sumas y Saldos'!D265+'Sumas y Saldos'!D163+'Sumas y Saldos'!G112+'Sumas y Saldos'!G265+'Sumas y Saldos'!G163+'Sumas y Saldos'!J112+'Sumas y Saldos'!J265+'Sumas y Saldos'!J163+'Sumas y Saldos'!P112+'Sumas y Saldos'!P265+'Sumas y Saldos'!P163+'Sumas y Saldos'!Y112+'Sumas y Saldos'!Y265+'Sumas y Saldos'!Y163+'Sumas y Saldos'!AB112+'Sumas y Saldos'!AB265+'Sumas y Saldos'!AB163+'Sumas y Saldos'!AE112+'Sumas y Saldos'!AE265+'Sumas y Saldos'!AE163+'Sumas y Saldos'!V112+'Sumas y Saldos'!V265+'Sumas y Saldos'!V163+'Sumas y Saldos'!S112+'Sumas y Saldos'!S265+'Sumas y Saldos'!S163+'Sumas y Saldos'!AH112+'Sumas y Saldos'!AH265+'Sumas y Saldos'!AH163+'Sumas y Saldos'!AN112+'Sumas y Saldos'!AN265+'Sumas y Saldos'!AK112+'Sumas y Saldos'!AK265+'Sumas y Saldos'!AK163+'Sumas y Saldos'!BC265+'Sumas y Saldos'!BL265+'Sumas y Saldos'!BL163+'Sumas y Saldos'!BO265</f>
      </c>
      <c r="F76" s="101">
        <f>'Sumas y Saldos'!E112+'Sumas y Saldos'!E265+'Sumas y Saldos'!E163</f>
      </c>
      <c r="G76" s="101">
        <f>'Sumas y Saldos'!H112+'Sumas y Saldos'!H265+'Sumas y Saldos'!H163</f>
      </c>
      <c r="H76" s="101">
        <f>'Sumas y Saldos'!K112+'Sumas y Saldos'!K265+'Sumas y Saldos'!K163</f>
      </c>
      <c r="I76" s="101">
        <f>'Sumas y Saldos'!Q112+'Sumas y Saldos'!Q265+'Sumas y Saldos'!Q163</f>
      </c>
      <c r="J76" s="101">
        <f>'Sumas y Saldos'!Z112+'Sumas y Saldos'!Z265+'Sumas y Saldos'!Z163</f>
      </c>
      <c r="K76" s="101">
        <f>'Sumas y Saldos'!AC112+'Sumas y Saldos'!AC265+'Sumas y Saldos'!AC163</f>
      </c>
      <c r="L76" s="101">
        <f>'Sumas y Saldos'!AF112+'Sumas y Saldos'!AF265+'Sumas y Saldos'!AF163</f>
      </c>
      <c r="M76" s="101">
        <f>'Sumas y Saldos'!W112+'Sumas y Saldos'!W265+'Sumas y Saldos'!W163</f>
      </c>
      <c r="N76" s="101">
        <f>'Sumas y Saldos'!T112+'Sumas y Saldos'!T265+'Sumas y Saldos'!T163</f>
      </c>
      <c r="O76" s="101">
        <f>'Sumas y Saldos'!AI112+'Sumas y Saldos'!AI265+'Sumas y Saldos'!AI163</f>
      </c>
      <c r="P76" s="101">
        <f>'Sumas y Saldos'!AO112+'Sumas y Saldos'!AO265+'Sumas y Saldos'!AO163</f>
      </c>
      <c r="Q76" s="101">
        <f>'Sumas y Saldos'!AL112+'Sumas y Saldos'!AL265+'Sumas y Saldos'!AL163</f>
      </c>
      <c r="R76" s="101"/>
      <c r="S76" s="101"/>
      <c r="T76" s="101">
        <f>'Sumas y Saldos'!BD265</f>
      </c>
      <c r="U76" s="101">
        <f>+'Sumas y Saldos'!BM265+'Sumas y Saldos'!BM163</f>
      </c>
      <c r="V76" s="101">
        <f>+'Sumas y Saldos'!BP265</f>
      </c>
      <c r="W76" s="101"/>
      <c r="X76" s="101"/>
      <c r="Y76" s="101"/>
      <c r="Z76" s="101"/>
      <c r="AA76" s="101"/>
      <c r="AB76" s="101"/>
      <c r="AC76" s="101">
        <v>0</v>
      </c>
      <c r="AD76" s="101">
        <v>0</v>
      </c>
      <c r="AE76" s="101">
        <v>0</v>
      </c>
      <c r="AF76" s="101">
        <v>0</v>
      </c>
      <c r="AG76" s="101">
        <v>0</v>
      </c>
      <c r="AH76" s="101">
        <v>0</v>
      </c>
      <c r="AI76" s="104">
        <f>SUM(W76:AH76)</f>
      </c>
      <c r="AJ76" s="76"/>
      <c r="AK76" s="105"/>
    </row>
    <row r="77" ht="12.75" customHeight="1" spans="1:37" x14ac:dyDescent="0.25">
      <c r="A77" s="76"/>
      <c r="B77" s="76"/>
      <c r="C77" s="98" t="s">
        <v>152</v>
      </c>
      <c r="D77" s="99">
        <f>SUM(F77:V77)+E77</f>
      </c>
      <c r="E77" s="99">
        <f>+'Sumas y Saldos'!D115+'Sumas y Saldos'!G115+'Sumas y Saldos'!J115+'Sumas y Saldos'!P115+'Sumas y Saldos'!Y115+'Sumas y Saldos'!AB115+'Sumas y Saldos'!AE115+'Sumas y Saldos'!V115+'Sumas y Saldos'!S115+'Sumas y Saldos'!AH115+'Sumas y Saldos'!AN115+'Sumas y Saldos'!AK115</f>
      </c>
      <c r="F77" s="101">
        <f>+'Sumas y Saldos'!E115</f>
      </c>
      <c r="G77" s="101">
        <f>+'Sumas y Saldos'!H115</f>
      </c>
      <c r="H77" s="101">
        <f>+'Sumas y Saldos'!K115</f>
      </c>
      <c r="I77" s="101">
        <f>+'Sumas y Saldos'!Q115</f>
      </c>
      <c r="J77" s="101">
        <f>+'Sumas y Saldos'!Z115</f>
      </c>
      <c r="K77" s="101">
        <f>+'Sumas y Saldos'!AC115</f>
      </c>
      <c r="L77" s="101">
        <f>+'Sumas y Saldos'!AF115</f>
      </c>
      <c r="M77" s="101">
        <f>+'Sumas y Saldos'!W115</f>
      </c>
      <c r="N77" s="101">
        <f>+'Sumas y Saldos'!T115</f>
      </c>
      <c r="O77" s="101">
        <f>+'Sumas y Saldos'!AI115</f>
      </c>
      <c r="P77" s="101">
        <f>+'Sumas y Saldos'!AO115</f>
      </c>
      <c r="Q77" s="101">
        <f>+'Sumas y Saldos'!AL115</f>
      </c>
      <c r="R77" s="101"/>
      <c r="S77" s="101"/>
      <c r="T77" s="101">
        <v>0</v>
      </c>
      <c r="U77" s="101"/>
      <c r="V77" s="101"/>
      <c r="W77" s="101"/>
      <c r="X77" s="101"/>
      <c r="Y77" s="101"/>
      <c r="Z77" s="101"/>
      <c r="AA77" s="101"/>
      <c r="AB77" s="101"/>
      <c r="AC77" s="101">
        <v>0</v>
      </c>
      <c r="AD77" s="101">
        <v>0</v>
      </c>
      <c r="AE77" s="101">
        <v>0</v>
      </c>
      <c r="AF77" s="101">
        <v>0</v>
      </c>
      <c r="AG77" s="101">
        <v>0</v>
      </c>
      <c r="AH77" s="101">
        <v>0</v>
      </c>
      <c r="AI77" s="104">
        <f>SUM(W77:AH77)</f>
      </c>
      <c r="AJ77" s="76"/>
      <c r="AK77" s="105"/>
    </row>
    <row r="78" ht="12.75" customHeight="1" spans="1:37" x14ac:dyDescent="0.25">
      <c r="A78" s="76"/>
      <c r="B78" s="76"/>
      <c r="C78" s="98" t="s">
        <v>106</v>
      </c>
      <c r="D78" s="99">
        <f>SUM(F78:V78)+E78</f>
      </c>
      <c r="E78" s="99">
        <f>+'Sumas y Saldos'!D69+'Sumas y Saldos'!G69+'Sumas y Saldos'!J69+'Sumas y Saldos'!P69+'Sumas y Saldos'!Y69+'Sumas y Saldos'!AB69+'Sumas y Saldos'!AE69+'Sumas y Saldos'!V69+'Sumas y Saldos'!S69+'Sumas y Saldos'!AH69+'Sumas y Saldos'!AN69+'Sumas y Saldos'!AK69</f>
      </c>
      <c r="F78" s="101">
        <f>+'Sumas y Saldos'!E69</f>
      </c>
      <c r="G78" s="101">
        <f>+'Sumas y Saldos'!H69</f>
      </c>
      <c r="H78" s="101">
        <f>+'Sumas y Saldos'!K69</f>
      </c>
      <c r="I78" s="101">
        <f>+'Sumas y Saldos'!Q69</f>
      </c>
      <c r="J78" s="101">
        <f>+'Sumas y Saldos'!Z69</f>
      </c>
      <c r="K78" s="101">
        <f>+'Sumas y Saldos'!AC69</f>
      </c>
      <c r="L78" s="101">
        <f>+'Sumas y Saldos'!AF69</f>
      </c>
      <c r="M78" s="101">
        <f>+'Sumas y Saldos'!W69</f>
      </c>
      <c r="N78" s="101">
        <f>+'Sumas y Saldos'!T69</f>
      </c>
      <c r="O78" s="101">
        <f>+'Sumas y Saldos'!AI69</f>
      </c>
      <c r="P78" s="101">
        <f>+'Sumas y Saldos'!AO69</f>
      </c>
      <c r="Q78" s="101">
        <f>+'Sumas y Saldos'!AL69</f>
      </c>
      <c r="R78" s="101"/>
      <c r="S78" s="101"/>
      <c r="T78" s="101">
        <v>0</v>
      </c>
      <c r="U78" s="101"/>
      <c r="V78" s="101"/>
      <c r="W78" s="101"/>
      <c r="X78" s="101"/>
      <c r="Y78" s="101"/>
      <c r="Z78" s="101"/>
      <c r="AA78" s="101"/>
      <c r="AB78" s="101"/>
      <c r="AC78" s="101">
        <v>0</v>
      </c>
      <c r="AD78" s="101">
        <v>0</v>
      </c>
      <c r="AE78" s="101">
        <v>0</v>
      </c>
      <c r="AF78" s="101">
        <v>0</v>
      </c>
      <c r="AG78" s="101">
        <v>0</v>
      </c>
      <c r="AH78" s="101">
        <v>0</v>
      </c>
      <c r="AI78" s="104">
        <f>SUM(W78:AH78)</f>
      </c>
      <c r="AJ78" s="76"/>
      <c r="AK78" s="105"/>
    </row>
    <row r="79" ht="12.75" customHeight="1" spans="1:37" x14ac:dyDescent="0.25">
      <c r="A79" s="76"/>
      <c r="B79" s="76"/>
      <c r="C79" s="98" t="s">
        <v>154</v>
      </c>
      <c r="D79" s="99">
        <f>SUM(F79:V79)+E79</f>
      </c>
      <c r="E79" s="99">
        <f>-F79+'Sumas y Saldos'!D117+'Sumas y Saldos'!G117+'Sumas y Saldos'!J117+'Sumas y Saldos'!P117+'Sumas y Saldos'!Y117+'Sumas y Saldos'!AB117+'Sumas y Saldos'!AE117+'Sumas y Saldos'!V117+'Sumas y Saldos'!S117+'Sumas y Saldos'!AH117+'Sumas y Saldos'!AN117+'Sumas y Saldos'!AK117</f>
      </c>
      <c r="F79" s="101">
        <f>+'Sumas y Saldos'!E117</f>
      </c>
      <c r="G79" s="101">
        <f>+'Sumas y Saldos'!H117</f>
      </c>
      <c r="H79" s="101">
        <f>+'Sumas y Saldos'!K117</f>
      </c>
      <c r="I79" s="101">
        <f>+'Sumas y Saldos'!Q117</f>
      </c>
      <c r="J79" s="101">
        <f>+'Sumas y Saldos'!Z117</f>
      </c>
      <c r="K79" s="101">
        <f>+'Sumas y Saldos'!AC117</f>
      </c>
      <c r="L79" s="101">
        <f>+'Sumas y Saldos'!AF117</f>
      </c>
      <c r="M79" s="101">
        <f>+'Sumas y Saldos'!W117</f>
      </c>
      <c r="N79" s="101">
        <f>+'Sumas y Saldos'!T117</f>
      </c>
      <c r="O79" s="101">
        <f>+'Sumas y Saldos'!AI117</f>
      </c>
      <c r="P79" s="101">
        <f>+'Sumas y Saldos'!AO117</f>
      </c>
      <c r="Q79" s="101">
        <f>+'Sumas y Saldos'!AL117</f>
      </c>
      <c r="R79" s="101"/>
      <c r="S79" s="101"/>
      <c r="T79" s="101">
        <v>0</v>
      </c>
      <c r="U79" s="101"/>
      <c r="V79" s="101"/>
      <c r="W79" s="101"/>
      <c r="X79" s="101"/>
      <c r="Y79" s="101"/>
      <c r="Z79" s="101"/>
      <c r="AA79" s="101"/>
      <c r="AB79" s="101"/>
      <c r="AC79" s="101">
        <v>0</v>
      </c>
      <c r="AD79" s="101">
        <v>0</v>
      </c>
      <c r="AE79" s="101">
        <v>0</v>
      </c>
      <c r="AF79" s="101">
        <v>0</v>
      </c>
      <c r="AG79" s="101">
        <v>0</v>
      </c>
      <c r="AH79" s="101">
        <v>0</v>
      </c>
      <c r="AI79" s="104">
        <f>SUM(W79:AH79)</f>
      </c>
      <c r="AJ79" s="76"/>
      <c r="AK79" s="105"/>
    </row>
    <row r="80" ht="12.75" customHeight="1" spans="1:37" x14ac:dyDescent="0.25">
      <c r="A80" s="76"/>
      <c r="B80" s="76"/>
      <c r="C80" s="98" t="s">
        <v>577</v>
      </c>
      <c r="D80" s="99">
        <f>SUM(F80:V80)+E80</f>
      </c>
      <c r="E80" s="99">
        <f>+'Sumas y Saldos'!D116+'Sumas y Saldos'!G116+'Sumas y Saldos'!J116+'Sumas y Saldos'!P116+'Sumas y Saldos'!Y116+'Sumas y Saldos'!AB116+'Sumas y Saldos'!AE116+'Sumas y Saldos'!V116+'Sumas y Saldos'!S116+'Sumas y Saldos'!AH116+'Sumas y Saldos'!AN116+'Sumas y Saldos'!AK116</f>
      </c>
      <c r="F80" s="101">
        <f>+'Sumas y Saldos'!E116</f>
      </c>
      <c r="G80" s="101">
        <f>+'Sumas y Saldos'!H116</f>
      </c>
      <c r="H80" s="101">
        <f>+'Sumas y Saldos'!K116</f>
      </c>
      <c r="I80" s="101">
        <f>+'Sumas y Saldos'!Q116</f>
      </c>
      <c r="J80" s="101">
        <f>+'Sumas y Saldos'!Z116</f>
      </c>
      <c r="K80" s="101">
        <f>+'Sumas y Saldos'!AC116</f>
      </c>
      <c r="L80" s="101">
        <f>+'Sumas y Saldos'!AF116</f>
      </c>
      <c r="M80" s="101">
        <f>+'Sumas y Saldos'!W116</f>
      </c>
      <c r="N80" s="101">
        <f>+'Sumas y Saldos'!T116</f>
      </c>
      <c r="O80" s="101">
        <f>+'Sumas y Saldos'!AI116</f>
      </c>
      <c r="P80" s="101">
        <f>+'Sumas y Saldos'!AO116</f>
      </c>
      <c r="Q80" s="101">
        <f>+'Sumas y Saldos'!AL116</f>
      </c>
      <c r="R80" s="101"/>
      <c r="S80" s="101"/>
      <c r="T80" s="101">
        <v>0</v>
      </c>
      <c r="U80" s="101"/>
      <c r="V80" s="101"/>
      <c r="W80" s="101"/>
      <c r="X80" s="101"/>
      <c r="Y80" s="101"/>
      <c r="Z80" s="101"/>
      <c r="AA80" s="101"/>
      <c r="AB80" s="101"/>
      <c r="AC80" s="101">
        <v>0</v>
      </c>
      <c r="AD80" s="101">
        <v>0</v>
      </c>
      <c r="AE80" s="101">
        <v>0</v>
      </c>
      <c r="AF80" s="101">
        <v>0</v>
      </c>
      <c r="AG80" s="101">
        <v>0</v>
      </c>
      <c r="AH80" s="101">
        <v>0</v>
      </c>
      <c r="AI80" s="104">
        <f>SUM(W80:AH80)</f>
      </c>
      <c r="AJ80" s="76"/>
      <c r="AK80" s="105"/>
    </row>
    <row r="81" ht="12.75" customHeight="1" spans="1:37" x14ac:dyDescent="0.25">
      <c r="A81" s="76"/>
      <c r="B81" s="76"/>
      <c r="C81" s="98" t="s">
        <v>578</v>
      </c>
      <c r="D81" s="99">
        <f>SUM(F81:V81)+E81</f>
        <v>29.77</v>
      </c>
      <c r="E81" s="99">
        <f>+'Sumas y Saldos'!D70+'Sumas y Saldos'!D313+'Sumas y Saldos'!D292+'Sumas y Saldos'!G70+'Sumas y Saldos'!G313+'Sumas y Saldos'!G292+'Sumas y Saldos'!J70+'Sumas y Saldos'!J313+'Sumas y Saldos'!J292+'Sumas y Saldos'!P70+'Sumas y Saldos'!P313+'Sumas y Saldos'!P292+'Sumas y Saldos'!Y70+'Sumas y Saldos'!Y313+'Sumas y Saldos'!Y292+'Sumas y Saldos'!AB70+'Sumas y Saldos'!AB313+'Sumas y Saldos'!AB292+'Sumas y Saldos'!AE70+'Sumas y Saldos'!AE313+'Sumas y Saldos'!AE292+'Sumas y Saldos'!V70+'Sumas y Saldos'!V313+'Sumas y Saldos'!V292+'Sumas y Saldos'!S70+'Sumas y Saldos'!S313+'Sumas y Saldos'!S292+'Sumas y Saldos'!AH70+'Sumas y Saldos'!AH313+'Sumas y Saldos'!AH292+'Sumas y Saldos'!AN70+'Sumas y Saldos'!AN313+'Sumas y Saldos'!AN292+'Sumas y Saldos'!AK70+'Sumas y Saldos'!AK313+'Sumas y Saldos'!AK292+'Sumas y Saldos'!BC313+'Sumas y Saldos'!BL313+'Sumas y Saldos'!BO313+'Sumas y Saldos'!BO292</f>
      </c>
      <c r="F81" s="101">
        <f>'Sumas y Saldos'!E70+'Sumas y Saldos'!E313+'Sumas y Saldos'!E292</f>
      </c>
      <c r="G81" s="101">
        <f>'Sumas y Saldos'!H70+'Sumas y Saldos'!H313+'Sumas y Saldos'!H292</f>
      </c>
      <c r="H81" s="101">
        <f>'Sumas y Saldos'!K70+'Sumas y Saldos'!K313+'Sumas y Saldos'!K292</f>
      </c>
      <c r="I81" s="101">
        <f>'Sumas y Saldos'!Q70+'Sumas y Saldos'!Q313+'Sumas y Saldos'!Q292</f>
      </c>
      <c r="J81" s="101">
        <f>'Sumas y Saldos'!Z70+'Sumas y Saldos'!Z313+'Sumas y Saldos'!Z292</f>
      </c>
      <c r="K81" s="101">
        <f>'Sumas y Saldos'!AC70+'Sumas y Saldos'!AC313+'Sumas y Saldos'!AC292</f>
      </c>
      <c r="L81" s="101">
        <f>'Sumas y Saldos'!AF70+'Sumas y Saldos'!AF313+'Sumas y Saldos'!AF292</f>
      </c>
      <c r="M81" s="101">
        <f>'Sumas y Saldos'!W70+'Sumas y Saldos'!W313+'Sumas y Saldos'!W292</f>
      </c>
      <c r="N81" s="101">
        <f>'Sumas y Saldos'!T70+'Sumas y Saldos'!T313+'Sumas y Saldos'!T292</f>
      </c>
      <c r="O81" s="101">
        <f>'Sumas y Saldos'!AI70+'Sumas y Saldos'!AI313+'Sumas y Saldos'!AI292</f>
      </c>
      <c r="P81" s="101">
        <f>'Sumas y Saldos'!AO70+'Sumas y Saldos'!AO313+'Sumas y Saldos'!AO292</f>
      </c>
      <c r="Q81" s="101">
        <f>'Sumas y Saldos'!AL70+'Sumas y Saldos'!AL313+'Sumas y Saldos'!AL292</f>
      </c>
      <c r="R81" s="101"/>
      <c r="S81" s="101"/>
      <c r="T81" s="101">
        <f>'Sumas y Saldos'!BD313</f>
      </c>
      <c r="U81" s="101">
        <f>'Sumas y Saldos'!BM313</f>
      </c>
      <c r="V81" s="101">
        <f>+'Sumas y Saldos'!BP313+'Sumas y Saldos'!BP292</f>
      </c>
      <c r="W81" s="101"/>
      <c r="X81" s="101"/>
      <c r="Y81" s="101"/>
      <c r="Z81" s="101"/>
      <c r="AA81" s="101"/>
      <c r="AB81" s="101"/>
      <c r="AC81" s="101">
        <v>29.77</v>
      </c>
      <c r="AD81" s="101">
        <v>0</v>
      </c>
      <c r="AE81" s="101">
        <v>13.290000000000001</v>
      </c>
      <c r="AF81" s="101">
        <v>0</v>
      </c>
      <c r="AG81" s="101">
        <v>0</v>
      </c>
      <c r="AH81" s="101">
        <v>0</v>
      </c>
      <c r="AI81" s="104">
        <f>SUM(W81:AH81)</f>
        <v>43.06</v>
      </c>
      <c r="AJ81" s="76"/>
      <c r="AK81" s="105"/>
    </row>
    <row r="82" ht="12.75" customHeight="1" spans="1:37" x14ac:dyDescent="0.25">
      <c r="A82" s="76"/>
      <c r="B82" s="76"/>
      <c r="C82" s="98" t="s">
        <v>156</v>
      </c>
      <c r="D82" s="99">
        <f>SUM(F82:V82)+E82</f>
      </c>
      <c r="E82" s="99"/>
      <c r="F82" s="101">
        <v>0</v>
      </c>
      <c r="G82" s="101">
        <v>0</v>
      </c>
      <c r="H82" s="101">
        <v>0</v>
      </c>
      <c r="I82" s="101">
        <v>0</v>
      </c>
      <c r="J82" s="101">
        <v>0</v>
      </c>
      <c r="K82" s="101">
        <v>0</v>
      </c>
      <c r="L82" s="101">
        <v>0</v>
      </c>
      <c r="M82" s="101">
        <v>0</v>
      </c>
      <c r="N82" s="101">
        <v>0</v>
      </c>
      <c r="O82" s="101">
        <v>0</v>
      </c>
      <c r="P82" s="101">
        <v>0</v>
      </c>
      <c r="Q82" s="101">
        <v>0</v>
      </c>
      <c r="R82" s="101"/>
      <c r="S82" s="101"/>
      <c r="T82" s="101">
        <v>0</v>
      </c>
      <c r="U82" s="101"/>
      <c r="V82" s="101"/>
      <c r="W82" s="101"/>
      <c r="X82" s="101"/>
      <c r="Y82" s="101"/>
      <c r="Z82" s="101"/>
      <c r="AA82" s="101"/>
      <c r="AB82" s="101"/>
      <c r="AC82" s="101">
        <v>0</v>
      </c>
      <c r="AD82" s="101">
        <v>0</v>
      </c>
      <c r="AE82" s="101">
        <v>0</v>
      </c>
      <c r="AF82" s="101">
        <v>0</v>
      </c>
      <c r="AG82" s="101">
        <v>0</v>
      </c>
      <c r="AH82" s="101">
        <v>0</v>
      </c>
      <c r="AI82" s="104">
        <f>SUM(W82:AH82)</f>
      </c>
      <c r="AJ82" s="76"/>
      <c r="AK82" s="105"/>
    </row>
    <row r="83" ht="12.75" customHeight="1" spans="1:37" x14ac:dyDescent="0.25">
      <c r="A83" s="76"/>
      <c r="B83" s="76"/>
      <c r="C83" s="98" t="s">
        <v>134</v>
      </c>
      <c r="D83" s="99">
        <f>SUM(F83:V83)+E83</f>
      </c>
      <c r="E83" s="99">
        <f>'Sumas y Saldos'!D97+'Sumas y Saldos'!G97+'Sumas y Saldos'!AB97+'Sumas y Saldos'!P97+'Sumas y Saldos'!S97+'Sumas y Saldos'!Y97+'Sumas y Saldos'!D366+'Sumas y Saldos'!G366+'Sumas y Saldos'!J97+'Sumas y Saldos'!J366+'Sumas y Saldos'!P366+'Sumas y Saldos'!Y366+'Sumas y Saldos'!AB366+'Sumas y Saldos'!AE97+'Sumas y Saldos'!AE366+'Sumas y Saldos'!V97+'Sumas y Saldos'!V366+'Sumas y Saldos'!S366+'Sumas y Saldos'!AH97+'Sumas y Saldos'!AH366+'Sumas y Saldos'!AN97+'Sumas y Saldos'!AN366+'Sumas y Saldos'!AK97+'Sumas y Saldos'!AK366+'Sumas y Saldos'!BF97+'Sumas y Saldos'!BL97+'Sumas y Saldos'!BO97</f>
      </c>
      <c r="F83" s="101">
        <f>'Sumas y Saldos'!E97+'Sumas y Saldos'!E366</f>
      </c>
      <c r="G83" s="101">
        <f>'Sumas y Saldos'!H97+'Sumas y Saldos'!H366</f>
      </c>
      <c r="H83" s="101">
        <f>'Sumas y Saldos'!K97+'Sumas y Saldos'!K366</f>
      </c>
      <c r="I83" s="101">
        <f>'Sumas y Saldos'!Q97+'Sumas y Saldos'!Q366</f>
      </c>
      <c r="J83" s="101">
        <f>'Sumas y Saldos'!Z97+'Sumas y Saldos'!Z366</f>
      </c>
      <c r="K83" s="101">
        <f>'Sumas y Saldos'!AC97+'Sumas y Saldos'!AC366</f>
      </c>
      <c r="L83" s="101">
        <f>'Sumas y Saldos'!AF97+'Sumas y Saldos'!AF366</f>
      </c>
      <c r="M83" s="101">
        <f>'Sumas y Saldos'!W97+'Sumas y Saldos'!W366</f>
      </c>
      <c r="N83" s="101">
        <f>'Sumas y Saldos'!T97+'Sumas y Saldos'!T366</f>
      </c>
      <c r="O83" s="101">
        <f>'Sumas y Saldos'!AI97+'Sumas y Saldos'!AI366</f>
      </c>
      <c r="P83" s="101">
        <f>'Sumas y Saldos'!AO97+'Sumas y Saldos'!AO366</f>
      </c>
      <c r="Q83" s="101">
        <f>'Sumas y Saldos'!AL97+'Sumas y Saldos'!AL366</f>
      </c>
      <c r="R83" s="101">
        <f>+'Sumas y Saldos'!BG97</f>
      </c>
      <c r="S83" s="101"/>
      <c r="T83" s="101">
        <v>0</v>
      </c>
      <c r="U83" s="101">
        <f>+'Sumas y Saldos'!BM97</f>
      </c>
      <c r="V83" s="101">
        <f>+'Sumas y Saldos'!BP97</f>
      </c>
      <c r="W83" s="101"/>
      <c r="X83" s="101"/>
      <c r="Y83" s="101"/>
      <c r="Z83" s="101"/>
      <c r="AA83" s="101"/>
      <c r="AB83" s="101"/>
      <c r="AC83" s="101">
        <v>0</v>
      </c>
      <c r="AD83" s="101">
        <v>0</v>
      </c>
      <c r="AE83" s="101">
        <v>0</v>
      </c>
      <c r="AF83" s="101">
        <v>9812.85</v>
      </c>
      <c r="AG83" s="101">
        <v>0</v>
      </c>
      <c r="AH83" s="101">
        <v>0</v>
      </c>
      <c r="AI83" s="104">
        <f>SUM(W83:AH83)</f>
        <v>9812.85</v>
      </c>
      <c r="AJ83" s="76"/>
      <c r="AK83" s="105"/>
    </row>
    <row r="84" ht="12.75" customHeight="1" spans="1:37" x14ac:dyDescent="0.25">
      <c r="A84" s="76"/>
      <c r="B84" s="76"/>
      <c r="C84" s="98" t="s">
        <v>579</v>
      </c>
      <c r="D84" s="99">
        <f>SUM(F84:V84)+E84</f>
      </c>
      <c r="E84" s="99">
        <f>+'Sumas y Saldos'!D107+'Sumas y Saldos'!D283+'Sumas y Saldos'!D341+'Sumas y Saldos'!G107+'Sumas y Saldos'!G283+'Sumas y Saldos'!G341+'Sumas y Saldos'!J107+'Sumas y Saldos'!J283+'Sumas y Saldos'!J341+'Sumas y Saldos'!P107+'Sumas y Saldos'!P283+'Sumas y Saldos'!P341+'Sumas y Saldos'!Y107+'Sumas y Saldos'!Y283+'Sumas y Saldos'!Y341+'Sumas y Saldos'!AB107+'Sumas y Saldos'!AB283+'Sumas y Saldos'!AB341+'Sumas y Saldos'!AE107+'Sumas y Saldos'!AE283+'Sumas y Saldos'!AE341+'Sumas y Saldos'!V107+'Sumas y Saldos'!V283+'Sumas y Saldos'!V341+'Sumas y Saldos'!S107+'Sumas y Saldos'!S283+'Sumas y Saldos'!S341+'Sumas y Saldos'!AH107+'Sumas y Saldos'!AH283+'Sumas y Saldos'!AH341+'Sumas y Saldos'!AN107+'Sumas y Saldos'!AN283+'Sumas y Saldos'!AN341+'Sumas y Saldos'!AK107+'Sumas y Saldos'!AK283+'Sumas y Saldos'!AK341+'Sumas y Saldos'!BC283+'Sumas y Saldos'!BL283+'Sumas y Saldos'!BO283</f>
      </c>
      <c r="F84" s="101">
        <f>'Sumas y Saldos'!E107+'Sumas y Saldos'!E283+'Sumas y Saldos'!E341</f>
      </c>
      <c r="G84" s="101">
        <f>'Sumas y Saldos'!H107+'Sumas y Saldos'!H283+'Sumas y Saldos'!H341</f>
      </c>
      <c r="H84" s="101">
        <f>'Sumas y Saldos'!K107+'Sumas y Saldos'!K283+'Sumas y Saldos'!K341</f>
      </c>
      <c r="I84" s="101">
        <f>'Sumas y Saldos'!Q107+'Sumas y Saldos'!Q283+'Sumas y Saldos'!Q341</f>
      </c>
      <c r="J84" s="101">
        <f>'Sumas y Saldos'!Z107+'Sumas y Saldos'!Z283+'Sumas y Saldos'!Z341</f>
      </c>
      <c r="K84" s="101">
        <f>'Sumas y Saldos'!AC107+'Sumas y Saldos'!AC283+'Sumas y Saldos'!AC341</f>
      </c>
      <c r="L84" s="101">
        <f>'Sumas y Saldos'!AF107+'Sumas y Saldos'!AF283+'Sumas y Saldos'!AF341</f>
      </c>
      <c r="M84" s="101">
        <f>'Sumas y Saldos'!W107+'Sumas y Saldos'!W283+'Sumas y Saldos'!W341</f>
      </c>
      <c r="N84" s="101">
        <f>'Sumas y Saldos'!T107+'Sumas y Saldos'!T283+'Sumas y Saldos'!T341</f>
      </c>
      <c r="O84" s="101">
        <f>'Sumas y Saldos'!AI107+'Sumas y Saldos'!AI283+'Sumas y Saldos'!AI341</f>
      </c>
      <c r="P84" s="101">
        <f>'Sumas y Saldos'!AO107+'Sumas y Saldos'!AO283+'Sumas y Saldos'!AO341</f>
      </c>
      <c r="Q84" s="101">
        <f>'Sumas y Saldos'!AL107+'Sumas y Saldos'!AL283+'Sumas y Saldos'!AL341</f>
      </c>
      <c r="R84" s="101"/>
      <c r="S84" s="101"/>
      <c r="T84" s="101">
        <f>'Sumas y Saldos'!BD283</f>
      </c>
      <c r="U84" s="101">
        <f>+'Sumas y Saldos'!BM283</f>
      </c>
      <c r="V84" s="101">
        <f>+'Sumas y Saldos'!BN283</f>
      </c>
      <c r="W84" s="101"/>
      <c r="X84" s="101"/>
      <c r="Y84" s="101"/>
      <c r="Z84" s="101"/>
      <c r="AA84" s="101"/>
      <c r="AB84" s="101"/>
      <c r="AC84" s="101">
        <v>0</v>
      </c>
      <c r="AD84" s="101">
        <v>0</v>
      </c>
      <c r="AE84" s="101">
        <v>0</v>
      </c>
      <c r="AF84" s="101">
        <v>0</v>
      </c>
      <c r="AG84" s="101">
        <v>0</v>
      </c>
      <c r="AH84" s="101">
        <v>165115.85</v>
      </c>
      <c r="AI84" s="104">
        <f>SUM(W84:AH84)</f>
        <v>165115.85</v>
      </c>
      <c r="AJ84" s="76"/>
      <c r="AK84" s="105"/>
    </row>
    <row r="85" ht="12.75" customHeight="1" spans="1:37" x14ac:dyDescent="0.25">
      <c r="A85" s="76"/>
      <c r="B85" s="76"/>
      <c r="C85" s="98" t="s">
        <v>580</v>
      </c>
      <c r="D85" s="99">
        <f>SUM(F85:V85)+E85</f>
      </c>
      <c r="E85" s="99">
        <f>-G85-'Sumas y Saldos'!T308+'Sumas y Saldos'!D308+'Sumas y Saldos'!G308+'Sumas y Saldos'!J308+'Sumas y Saldos'!P308+'Sumas y Saldos'!Y308+'Sumas y Saldos'!AB308+'Sumas y Saldos'!AE308+'Sumas y Saldos'!V308+'Sumas y Saldos'!S308+'Sumas y Saldos'!AH308+'Sumas y Saldos'!AN308+'Sumas y Saldos'!AK308</f>
      </c>
      <c r="F85" s="101">
        <f>+'Sumas y Saldos'!E308</f>
      </c>
      <c r="G85" s="101">
        <f>+'Sumas y Saldos'!H308</f>
      </c>
      <c r="H85" s="101">
        <f>+'Sumas y Saldos'!K308</f>
      </c>
      <c r="I85" s="101">
        <f>+'Sumas y Saldos'!Q308</f>
      </c>
      <c r="J85" s="101">
        <f>+'Sumas y Saldos'!Z308</f>
      </c>
      <c r="K85" s="101">
        <f>+'Sumas y Saldos'!AC308</f>
      </c>
      <c r="L85" s="101">
        <f>+'Sumas y Saldos'!AF308</f>
      </c>
      <c r="M85" s="101">
        <f>+'Sumas y Saldos'!W308</f>
      </c>
      <c r="N85" s="101">
        <f>+'Sumas y Saldos'!T308</f>
      </c>
      <c r="O85" s="101">
        <f>+'Sumas y Saldos'!AI308</f>
      </c>
      <c r="P85" s="101">
        <f>+'Sumas y Saldos'!AO308</f>
      </c>
      <c r="Q85" s="101">
        <f>+'Sumas y Saldos'!AL308</f>
      </c>
      <c r="R85" s="101"/>
      <c r="S85" s="101"/>
      <c r="T85" s="101">
        <v>0</v>
      </c>
      <c r="U85" s="101"/>
      <c r="V85" s="101"/>
      <c r="W85" s="101"/>
      <c r="X85" s="101"/>
      <c r="Y85" s="101"/>
      <c r="Z85" s="101"/>
      <c r="AA85" s="101"/>
      <c r="AB85" s="101"/>
      <c r="AC85" s="101">
        <v>0</v>
      </c>
      <c r="AD85" s="101">
        <v>0</v>
      </c>
      <c r="AE85" s="101">
        <v>0</v>
      </c>
      <c r="AF85" s="101">
        <v>0</v>
      </c>
      <c r="AG85" s="101">
        <v>0</v>
      </c>
      <c r="AH85" s="101">
        <v>0</v>
      </c>
      <c r="AI85" s="104">
        <f>SUM(W85:AH85)</f>
      </c>
      <c r="AJ85" s="76"/>
      <c r="AK85" s="105"/>
    </row>
    <row r="86" ht="12.75" customHeight="1" spans="1:37" x14ac:dyDescent="0.25">
      <c r="A86" s="76"/>
      <c r="B86" s="76"/>
      <c r="C86" s="98" t="s">
        <v>157</v>
      </c>
      <c r="D86" s="99">
        <f>SUM(F86:V86)+E86</f>
      </c>
      <c r="E86" s="99">
        <f>+'Sumas y Saldos'!D120+'Sumas y Saldos'!D124+'Sumas y Saldos'!D193+'Sumas y Saldos'!D243+'Sumas y Saldos'!D376+'Sumas y Saldos'!G124+'Sumas y Saldos'!G120+'Sumas y Saldos'!G193+'Sumas y Saldos'!G243+'Sumas y Saldos'!G376+'Sumas y Saldos'!J124+'Sumas y Saldos'!J120+'Sumas y Saldos'!J193+'Sumas y Saldos'!J243+'Sumas y Saldos'!J376+'Sumas y Saldos'!P124+'Sumas y Saldos'!P120+'Sumas y Saldos'!P193+'Sumas y Saldos'!P243+'Sumas y Saldos'!P376+'Sumas y Saldos'!Y124+'Sumas y Saldos'!Y120+'Sumas y Saldos'!Y193+'Sumas y Saldos'!Y243+'Sumas y Saldos'!Y376+'Sumas y Saldos'!AB124+'Sumas y Saldos'!AB120+'Sumas y Saldos'!AB193+'Sumas y Saldos'!AB243+'Sumas y Saldos'!AB376+'Sumas y Saldos'!AE124+'Sumas y Saldos'!AE120+'Sumas y Saldos'!AE193+'Sumas y Saldos'!AE243+'Sumas y Saldos'!AE376+'Sumas y Saldos'!V124+'Sumas y Saldos'!V120+'Sumas y Saldos'!V193+'Sumas y Saldos'!V243+'Sumas y Saldos'!V376+'Sumas y Saldos'!S124+'Sumas y Saldos'!S120+'Sumas y Saldos'!S193+'Sumas y Saldos'!S243+'Sumas y Saldos'!S376+'Sumas y Saldos'!AH124+'Sumas y Saldos'!AH120+'Sumas y Saldos'!AH193+'Sumas y Saldos'!AH243+'Sumas y Saldos'!AH376+'Sumas y Saldos'!AN124+'Sumas y Saldos'!AN120+'Sumas y Saldos'!AN193+'Sumas y Saldos'!AN243+'Sumas y Saldos'!AN376+'Sumas y Saldos'!AK124+'Sumas y Saldos'!AK120+'Sumas y Saldos'!AK193+'Sumas y Saldos'!AK243+'Sumas y Saldos'!AK376+'Sumas y Saldos'!BC243+'Sumas y Saldos'!BL124+'Sumas y Saldos'!BL120+'Sumas y Saldos'!BO193</f>
      </c>
      <c r="F86" s="101">
        <f>+'Sumas y Saldos'!E124+'Sumas y Saldos'!E120+'Sumas y Saldos'!E193+'Sumas y Saldos'!E243+'Sumas y Saldos'!E376</f>
      </c>
      <c r="G86" s="101">
        <f>+'Sumas y Saldos'!H124+'Sumas y Saldos'!H120+'Sumas y Saldos'!H193+'Sumas y Saldos'!H243+'Sumas y Saldos'!H376</f>
      </c>
      <c r="H86" s="101">
        <f>+'Sumas y Saldos'!K124+'Sumas y Saldos'!K120+'Sumas y Saldos'!K193+'Sumas y Saldos'!K243+'Sumas y Saldos'!K376</f>
      </c>
      <c r="I86" s="101">
        <f>+'Sumas y Saldos'!Q124+'Sumas y Saldos'!Q120+'Sumas y Saldos'!Q193+'Sumas y Saldos'!Q243+'Sumas y Saldos'!Q376</f>
      </c>
      <c r="J86" s="101">
        <f>+'Sumas y Saldos'!Z124+'Sumas y Saldos'!Z120+'Sumas y Saldos'!Z193+'Sumas y Saldos'!Z243+'Sumas y Saldos'!Z376</f>
      </c>
      <c r="K86" s="101">
        <f>+'Sumas y Saldos'!AC124+'Sumas y Saldos'!AC120+'Sumas y Saldos'!AC193+'Sumas y Saldos'!AC243+'Sumas y Saldos'!AC376</f>
      </c>
      <c r="L86" s="101">
        <f>+'Sumas y Saldos'!AF124+'Sumas y Saldos'!AF120+'Sumas y Saldos'!AF193+'Sumas y Saldos'!AF243+'Sumas y Saldos'!AF376</f>
      </c>
      <c r="M86" s="101">
        <f>+'Sumas y Saldos'!W124+'Sumas y Saldos'!W120+'Sumas y Saldos'!W193+'Sumas y Saldos'!W243+'Sumas y Saldos'!W376</f>
      </c>
      <c r="N86" s="101">
        <f>+'Sumas y Saldos'!T124+'Sumas y Saldos'!T120+'Sumas y Saldos'!T193+'Sumas y Saldos'!T243+'Sumas y Saldos'!T376</f>
      </c>
      <c r="O86" s="101">
        <f>+'Sumas y Saldos'!AI124+'Sumas y Saldos'!AI120+'Sumas y Saldos'!AI193+'Sumas y Saldos'!AI243+'Sumas y Saldos'!AI376</f>
      </c>
      <c r="P86" s="101">
        <f>+'Sumas y Saldos'!AO124+'Sumas y Saldos'!AO120+'Sumas y Saldos'!AO193+'Sumas y Saldos'!AO243+'Sumas y Saldos'!AO376</f>
      </c>
      <c r="Q86" s="101">
        <f>+'Sumas y Saldos'!AL124+'Sumas y Saldos'!AL120+'Sumas y Saldos'!AL193+'Sumas y Saldos'!AL243+'Sumas y Saldos'!AL376</f>
      </c>
      <c r="R86" s="101"/>
      <c r="S86" s="101"/>
      <c r="T86" s="101">
        <f>+'Sumas y Saldos'!BD243</f>
      </c>
      <c r="U86" s="101">
        <f>+'Sumas y Saldos'!BM124+'Sumas y Saldos'!BM120</f>
      </c>
      <c r="V86" s="101">
        <f>+'Sumas y Saldos'!BP193</f>
      </c>
      <c r="W86" s="101"/>
      <c r="X86" s="101"/>
      <c r="Y86" s="101"/>
      <c r="Z86" s="101"/>
      <c r="AA86" s="101"/>
      <c r="AB86" s="101"/>
      <c r="AC86" s="101">
        <v>0</v>
      </c>
      <c r="AD86" s="101">
        <v>0</v>
      </c>
      <c r="AE86" s="101">
        <v>0</v>
      </c>
      <c r="AF86" s="101">
        <v>0</v>
      </c>
      <c r="AG86" s="101">
        <v>0</v>
      </c>
      <c r="AH86" s="101">
        <v>69.84</v>
      </c>
      <c r="AI86" s="104">
        <f>SUM(W86:AH86)</f>
        <v>69.84</v>
      </c>
      <c r="AJ86" s="76"/>
      <c r="AK86" s="105"/>
    </row>
    <row r="87" ht="12.75" customHeight="1" spans="1:37" x14ac:dyDescent="0.25">
      <c r="A87" s="76"/>
      <c r="B87" s="76"/>
      <c r="C87" s="98" t="s">
        <v>581</v>
      </c>
      <c r="D87" s="99">
        <f>SUM(F87:V87)+E87</f>
      </c>
      <c r="E87" s="99">
        <f>+'Sumas y Saldos'!D250+'Sumas y Saldos'!G250+'Sumas y Saldos'!J250+'Sumas y Saldos'!P250+'Sumas y Saldos'!Y250+'Sumas y Saldos'!AB250+'Sumas y Saldos'!AE250+'Sumas y Saldos'!V250+'Sumas y Saldos'!S250+'Sumas y Saldos'!AH250+'Sumas y Saldos'!AN250+'Sumas y Saldos'!AK250+'Sumas y Saldos'!BC250</f>
      </c>
      <c r="F87" s="101">
        <f>+'Sumas y Saldos'!E250</f>
      </c>
      <c r="G87" s="101">
        <f>+'Sumas y Saldos'!H250</f>
      </c>
      <c r="H87" s="101">
        <f>+'Sumas y Saldos'!K250</f>
      </c>
      <c r="I87" s="101">
        <f>+'Sumas y Saldos'!Q250</f>
      </c>
      <c r="J87" s="101">
        <f>+'Sumas y Saldos'!Z250</f>
      </c>
      <c r="K87" s="101">
        <f>+'Sumas y Saldos'!AC250</f>
      </c>
      <c r="L87" s="101">
        <f>+'Sumas y Saldos'!AF250</f>
      </c>
      <c r="M87" s="101">
        <f>+'Sumas y Saldos'!W250</f>
      </c>
      <c r="N87" s="101">
        <f>+'Sumas y Saldos'!T250</f>
      </c>
      <c r="O87" s="101">
        <f>+'Sumas y Saldos'!AI250</f>
      </c>
      <c r="P87" s="101">
        <f>+'Sumas y Saldos'!AO250</f>
      </c>
      <c r="Q87" s="101">
        <f>+'Sumas y Saldos'!AL250</f>
      </c>
      <c r="R87" s="101"/>
      <c r="S87" s="101"/>
      <c r="T87" s="101">
        <f>+'Sumas y Saldos'!BD250</f>
      </c>
      <c r="U87" s="101">
        <v>0</v>
      </c>
      <c r="V87" s="101"/>
      <c r="W87" s="101"/>
      <c r="X87" s="101"/>
      <c r="Y87" s="101"/>
      <c r="Z87" s="101"/>
      <c r="AA87" s="101"/>
      <c r="AB87" s="101"/>
      <c r="AC87" s="101">
        <v>0</v>
      </c>
      <c r="AD87" s="101">
        <v>0</v>
      </c>
      <c r="AE87" s="101">
        <v>0</v>
      </c>
      <c r="AF87" s="101">
        <v>0</v>
      </c>
      <c r="AG87" s="101">
        <v>0</v>
      </c>
      <c r="AH87" s="101">
        <v>0</v>
      </c>
      <c r="AI87" s="104">
        <f>SUM(W87:AH87)</f>
      </c>
      <c r="AJ87" s="76"/>
      <c r="AK87" s="105"/>
    </row>
    <row r="88" ht="12.75" customHeight="1" spans="1:37" x14ac:dyDescent="0.25">
      <c r="A88" s="76"/>
      <c r="B88" s="76"/>
      <c r="C88" s="98" t="s">
        <v>582</v>
      </c>
      <c r="D88" s="99">
        <f>SUM(F88:V88)+E88</f>
      </c>
      <c r="E88" s="99">
        <f>-'Sumas y Saldos'!G157+'Sumas y Saldos'!D88+'Sumas y Saldos'!D118+'Sumas y Saldos'!D349+'Sumas y Saldos'!D157+'Sumas y Saldos'!G88+'Sumas y Saldos'!G118+'Sumas y Saldos'!G349+'Sumas y Saldos'!J88+'Sumas y Saldos'!J118+'Sumas y Saldos'!J349+'Sumas y Saldos'!J157+'Sumas y Saldos'!P88+'Sumas y Saldos'!P118+'Sumas y Saldos'!P349+'Sumas y Saldos'!P157+'Sumas y Saldos'!Y88+'Sumas y Saldos'!Y118+'Sumas y Saldos'!Y349+'Sumas y Saldos'!Y157+'Sumas y Saldos'!AB88+'Sumas y Saldos'!AB118+'Sumas y Saldos'!AB349+'Sumas y Saldos'!AB157+'Sumas y Saldos'!AE88+'Sumas y Saldos'!AE118+'Sumas y Saldos'!AE349+'Sumas y Saldos'!AE157+'Sumas y Saldos'!V88+'Sumas y Saldos'!V118+'Sumas y Saldos'!V349+'Sumas y Saldos'!V157+'Sumas y Saldos'!S88+'Sumas y Saldos'!S118+'Sumas y Saldos'!S349+'Sumas y Saldos'!S157+'Sumas y Saldos'!AH88+'Sumas y Saldos'!AH118+'Sumas y Saldos'!AH349+'Sumas y Saldos'!AH157+'Sumas y Saldos'!AN88+'Sumas y Saldos'!AN118+'Sumas y Saldos'!AN349+'Sumas y Saldos'!AN157+'Sumas y Saldos'!AK88+'Sumas y Saldos'!AK118+'Sumas y Saldos'!AK349+'Sumas y Saldos'!AK157+'Sumas y Saldos'!BL349+'Sumas y Saldos'!BO157</f>
      </c>
      <c r="F88" s="101">
        <f>'Sumas y Saldos'!E88+'Sumas y Saldos'!E118+'Sumas y Saldos'!E349+'Sumas y Saldos'!E157</f>
      </c>
      <c r="G88" s="101">
        <f>'Sumas y Saldos'!H88+'Sumas y Saldos'!H118+'Sumas y Saldos'!H349+'Sumas y Saldos'!H157</f>
      </c>
      <c r="H88" s="101">
        <f>'Sumas y Saldos'!K88+'Sumas y Saldos'!K118+'Sumas y Saldos'!K349+'Sumas y Saldos'!K157</f>
      </c>
      <c r="I88" s="101">
        <f>'Sumas y Saldos'!Q88+'Sumas y Saldos'!Q118+'Sumas y Saldos'!Q349+'Sumas y Saldos'!Q157</f>
      </c>
      <c r="J88" s="101">
        <f>'Sumas y Saldos'!Z88+'Sumas y Saldos'!Z118+'Sumas y Saldos'!Z349+'Sumas y Saldos'!Z157</f>
      </c>
      <c r="K88" s="101">
        <f>'Sumas y Saldos'!AC88+'Sumas y Saldos'!AC118+'Sumas y Saldos'!AC349+'Sumas y Saldos'!AC157</f>
      </c>
      <c r="L88" s="101">
        <f>'Sumas y Saldos'!AF88+'Sumas y Saldos'!AF118+'Sumas y Saldos'!AF349+'Sumas y Saldos'!AF157</f>
      </c>
      <c r="M88" s="101">
        <f>'Sumas y Saldos'!W88+'Sumas y Saldos'!W118+'Sumas y Saldos'!W349+'Sumas y Saldos'!W157</f>
      </c>
      <c r="N88" s="101">
        <f>'Sumas y Saldos'!T88+'Sumas y Saldos'!T118+'Sumas y Saldos'!T349+'Sumas y Saldos'!T157</f>
      </c>
      <c r="O88" s="101">
        <f>'Sumas y Saldos'!AI88+'Sumas y Saldos'!AI118+'Sumas y Saldos'!AI349+'Sumas y Saldos'!AI157</f>
      </c>
      <c r="P88" s="101">
        <f>'Sumas y Saldos'!AO88+'Sumas y Saldos'!AO118+'Sumas y Saldos'!AO349+'Sumas y Saldos'!AO157</f>
      </c>
      <c r="Q88" s="101">
        <f>'Sumas y Saldos'!AL88+'Sumas y Saldos'!AL118+'Sumas y Saldos'!AL349+'Sumas y Saldos'!AL157</f>
      </c>
      <c r="R88" s="101"/>
      <c r="S88" s="101"/>
      <c r="T88" s="101">
        <v>0</v>
      </c>
      <c r="U88" s="101">
        <f>'Sumas y Saldos'!BM349</f>
      </c>
      <c r="V88" s="101">
        <f>+'Sumas y Saldos'!BP157</f>
      </c>
      <c r="W88" s="101"/>
      <c r="X88" s="101"/>
      <c r="Y88" s="101"/>
      <c r="Z88" s="101"/>
      <c r="AA88" s="101"/>
      <c r="AB88" s="101"/>
      <c r="AC88" s="101">
        <v>0</v>
      </c>
      <c r="AD88" s="101">
        <v>0</v>
      </c>
      <c r="AE88" s="101">
        <v>0</v>
      </c>
      <c r="AF88" s="101">
        <v>4965.52</v>
      </c>
      <c r="AG88" s="101">
        <v>0</v>
      </c>
      <c r="AH88" s="101">
        <v>0</v>
      </c>
      <c r="AI88" s="104">
        <f>SUM(W88:AH88)</f>
        <v>4965.52</v>
      </c>
      <c r="AJ88" s="76"/>
      <c r="AK88" s="105"/>
    </row>
    <row r="89" ht="12.75" customHeight="1" spans="1:37" x14ac:dyDescent="0.25">
      <c r="A89" s="76"/>
      <c r="B89" s="76"/>
      <c r="C89" s="98" t="s">
        <v>159</v>
      </c>
      <c r="D89" s="99">
        <f>SUM(F89:V89)+E89</f>
      </c>
      <c r="E89" s="99">
        <f>+'Sumas y Saldos'!D123+'Sumas y Saldos'!D177+'Sumas y Saldos'!D244+'Sumas y Saldos'!D383+'Sumas y Saldos'!D394+'Sumas y Saldos'!G123+'Sumas y Saldos'!G177+'Sumas y Saldos'!G244+'Sumas y Saldos'!G383+'Sumas y Saldos'!G394+'Sumas y Saldos'!J123+'Sumas y Saldos'!J177+'Sumas y Saldos'!J244+'Sumas y Saldos'!J383+'Sumas y Saldos'!J394+'Sumas y Saldos'!P123+'Sumas y Saldos'!P177+'Sumas y Saldos'!P244+'Sumas y Saldos'!P383+'Sumas y Saldos'!P394+'Sumas y Saldos'!Y123+'Sumas y Saldos'!Y177+'Sumas y Saldos'!Y244+'Sumas y Saldos'!Y383+'Sumas y Saldos'!Y394+'Sumas y Saldos'!AB123+'Sumas y Saldos'!AB177+'Sumas y Saldos'!AB244+'Sumas y Saldos'!AB383+'Sumas y Saldos'!AB394+'Sumas y Saldos'!AE123+'Sumas y Saldos'!AE177+'Sumas y Saldos'!AE244+'Sumas y Saldos'!AE383+'Sumas y Saldos'!AE394+'Sumas y Saldos'!V123+'Sumas y Saldos'!V177+'Sumas y Saldos'!V244+'Sumas y Saldos'!V383+'Sumas y Saldos'!V394+'Sumas y Saldos'!S123+'Sumas y Saldos'!S177+'Sumas y Saldos'!S244+'Sumas y Saldos'!S383+'Sumas y Saldos'!S394+'Sumas y Saldos'!AH123+'Sumas y Saldos'!AH177+'Sumas y Saldos'!AH244+'Sumas y Saldos'!AH383+'Sumas y Saldos'!AH394+'Sumas y Saldos'!AN123+'Sumas y Saldos'!AN177+'Sumas y Saldos'!AN244+'Sumas y Saldos'!AN383+'Sumas y Saldos'!AN394+'Sumas y Saldos'!AK123+'Sumas y Saldos'!AK177+'Sumas y Saldos'!AK244+'Sumas y Saldos'!AK383+'Sumas y Saldos'!AK394+'Sumas y Saldos'!BC244+'Sumas y Saldos'!BO394</f>
      </c>
      <c r="F89" s="101">
        <f>+'Sumas y Saldos'!E123+'Sumas y Saldos'!E177+'Sumas y Saldos'!E244+'Sumas y Saldos'!E383+'Sumas y Saldos'!E394</f>
      </c>
      <c r="G89" s="101">
        <f>+'Sumas y Saldos'!H123+'Sumas y Saldos'!H177+'Sumas y Saldos'!H244+'Sumas y Saldos'!H383+'Sumas y Saldos'!H394</f>
      </c>
      <c r="H89" s="101">
        <f>+'Sumas y Saldos'!K123+'Sumas y Saldos'!K177+'Sumas y Saldos'!K244+'Sumas y Saldos'!K383+'Sumas y Saldos'!K394</f>
      </c>
      <c r="I89" s="101">
        <f>+'Sumas y Saldos'!Q123+'Sumas y Saldos'!Q177+'Sumas y Saldos'!Q244+'Sumas y Saldos'!Q383+'Sumas y Saldos'!Q394</f>
      </c>
      <c r="J89" s="101">
        <f>+'Sumas y Saldos'!Z123+'Sumas y Saldos'!Z177+'Sumas y Saldos'!Z244+'Sumas y Saldos'!Z383+'Sumas y Saldos'!Z394</f>
      </c>
      <c r="K89" s="101">
        <f>+'Sumas y Saldos'!AC123+'Sumas y Saldos'!AC177+'Sumas y Saldos'!AC244+'Sumas y Saldos'!AC383+'Sumas y Saldos'!AC394</f>
      </c>
      <c r="L89" s="101">
        <f>+'Sumas y Saldos'!AF123+'Sumas y Saldos'!AF177+'Sumas y Saldos'!AF244+'Sumas y Saldos'!AF383+'Sumas y Saldos'!AF394</f>
      </c>
      <c r="M89" s="101">
        <f>+'Sumas y Saldos'!W123+'Sumas y Saldos'!W177+'Sumas y Saldos'!W244+'Sumas y Saldos'!W383+'Sumas y Saldos'!W394</f>
      </c>
      <c r="N89" s="101">
        <f>+'Sumas y Saldos'!T123+'Sumas y Saldos'!T177+'Sumas y Saldos'!T244+'Sumas y Saldos'!T383+'Sumas y Saldos'!T394</f>
      </c>
      <c r="O89" s="101">
        <f>+'Sumas y Saldos'!AI123+'Sumas y Saldos'!AI177+'Sumas y Saldos'!AI244+'Sumas y Saldos'!AI383+'Sumas y Saldos'!AI394</f>
      </c>
      <c r="P89" s="101">
        <f>+'Sumas y Saldos'!AO123+'Sumas y Saldos'!AO177+'Sumas y Saldos'!AO244+'Sumas y Saldos'!AO383+'Sumas y Saldos'!AO394</f>
      </c>
      <c r="Q89" s="101">
        <f>+'Sumas y Saldos'!AL123+'Sumas y Saldos'!AL177+'Sumas y Saldos'!AL244+'Sumas y Saldos'!AL383+'Sumas y Saldos'!AL394</f>
      </c>
      <c r="R89" s="101"/>
      <c r="S89" s="101"/>
      <c r="T89" s="101">
        <f>+'Sumas y Saldos'!BD244</f>
      </c>
      <c r="U89" s="101"/>
      <c r="V89" s="101">
        <f>+'Sumas y Saldos'!BN394</f>
      </c>
      <c r="W89" s="101"/>
      <c r="X89" s="101"/>
      <c r="Y89" s="101"/>
      <c r="Z89" s="101"/>
      <c r="AA89" s="101"/>
      <c r="AB89" s="101"/>
      <c r="AC89" s="101">
        <v>0</v>
      </c>
      <c r="AD89" s="101">
        <v>0</v>
      </c>
      <c r="AE89" s="101">
        <v>0</v>
      </c>
      <c r="AF89" s="101">
        <v>0</v>
      </c>
      <c r="AG89" s="101">
        <v>0</v>
      </c>
      <c r="AH89" s="101">
        <v>0</v>
      </c>
      <c r="AI89" s="104">
        <f>SUM(W89:AH89)</f>
      </c>
      <c r="AJ89" s="76"/>
      <c r="AK89" s="105"/>
    </row>
    <row r="90" ht="12.75" customHeight="1" spans="1:37" x14ac:dyDescent="0.25">
      <c r="A90" s="76"/>
      <c r="B90" s="76"/>
      <c r="C90" s="98" t="s">
        <v>263</v>
      </c>
      <c r="D90" s="99">
        <f>SUM(F90:V90)+E90</f>
      </c>
      <c r="E90" s="99">
        <f>+'Sumas y Saldos'!D229+'Sumas y Saldos'!D323+'Sumas y Saldos'!G229+'Sumas y Saldos'!G323+'Sumas y Saldos'!J229+'Sumas y Saldos'!J323+'Sumas y Saldos'!P229+'Sumas y Saldos'!P323+'Sumas y Saldos'!Y229+'Sumas y Saldos'!Y323+'Sumas y Saldos'!AB229+'Sumas y Saldos'!AB323+'Sumas y Saldos'!AE229+'Sumas y Saldos'!AE323+'Sumas y Saldos'!V229+'Sumas y Saldos'!V323+'Sumas y Saldos'!S229+'Sumas y Saldos'!S323+'Sumas y Saldos'!AH229+'Sumas y Saldos'!AH323+'Sumas y Saldos'!AN229+'Sumas y Saldos'!AN323+'Sumas y Saldos'!AK229+'Sumas y Saldos'!AK323+'Sumas y Saldos'!BC229+'Sumas y Saldos'!BO229</f>
      </c>
      <c r="F90" s="101">
        <f>'Sumas y Saldos'!E229+'Sumas y Saldos'!E323</f>
      </c>
      <c r="G90" s="101">
        <f>'Sumas y Saldos'!H229+'Sumas y Saldos'!H323</f>
      </c>
      <c r="H90" s="101">
        <f>'Sumas y Saldos'!K229+'Sumas y Saldos'!K323</f>
      </c>
      <c r="I90" s="101">
        <f>'Sumas y Saldos'!Q229+'Sumas y Saldos'!Q323</f>
      </c>
      <c r="J90" s="101">
        <f>'Sumas y Saldos'!Z229+'Sumas y Saldos'!Z323</f>
      </c>
      <c r="K90" s="101">
        <f>'Sumas y Saldos'!AC229+'Sumas y Saldos'!AC323</f>
      </c>
      <c r="L90" s="101">
        <f>'Sumas y Saldos'!AF229+'Sumas y Saldos'!AF323</f>
      </c>
      <c r="M90" s="101">
        <f>'Sumas y Saldos'!W229+'Sumas y Saldos'!W323</f>
      </c>
      <c r="N90" s="101">
        <f>'Sumas y Saldos'!T229+'Sumas y Saldos'!T323</f>
      </c>
      <c r="O90" s="101">
        <f>'Sumas y Saldos'!AI229+'Sumas y Saldos'!AI323</f>
      </c>
      <c r="P90" s="101">
        <f>'Sumas y Saldos'!AO229+'Sumas y Saldos'!AO323</f>
      </c>
      <c r="Q90" s="101">
        <f>'Sumas y Saldos'!AL229+'Sumas y Saldos'!AL323</f>
      </c>
      <c r="R90" s="101"/>
      <c r="S90" s="101"/>
      <c r="T90" s="101">
        <f>'Sumas y Saldos'!BD229</f>
      </c>
      <c r="U90" s="101"/>
      <c r="V90" s="101">
        <f>'Sumas y Saldos'!BP229</f>
      </c>
      <c r="W90" s="101"/>
      <c r="X90" s="101"/>
      <c r="Y90" s="101"/>
      <c r="Z90" s="101"/>
      <c r="AA90" s="101"/>
      <c r="AB90" s="101"/>
      <c r="AC90" s="101">
        <v>0</v>
      </c>
      <c r="AD90" s="101">
        <v>0</v>
      </c>
      <c r="AE90" s="101">
        <v>1243.07</v>
      </c>
      <c r="AF90" s="101">
        <v>0</v>
      </c>
      <c r="AG90" s="101">
        <v>0</v>
      </c>
      <c r="AH90" s="101">
        <v>0</v>
      </c>
      <c r="AI90" s="104">
        <f>SUM(W90:AH90)</f>
        <v>1243.07</v>
      </c>
      <c r="AJ90" s="76"/>
      <c r="AK90" s="105"/>
    </row>
    <row r="91" ht="12.75" customHeight="1" spans="1:37" x14ac:dyDescent="0.25">
      <c r="A91" s="76"/>
      <c r="B91" s="76"/>
      <c r="C91" s="98" t="s">
        <v>270</v>
      </c>
      <c r="D91" s="99">
        <f>SUM(F91:V91)+E91</f>
      </c>
      <c r="E91" s="99">
        <f>+'Sumas y Saldos'!D236+'Sumas y Saldos'!G236+'Sumas y Saldos'!J236+'Sumas y Saldos'!P236+'Sumas y Saldos'!Y236+'Sumas y Saldos'!AB236+'Sumas y Saldos'!AE236+'Sumas y Saldos'!V236+'Sumas y Saldos'!S236+'Sumas y Saldos'!AH236+'Sumas y Saldos'!AN236+'Sumas y Saldos'!AK236+'Sumas y Saldos'!BF236+'Sumas y Saldos'!BC236+'Sumas y Saldos'!BL236+'Sumas y Saldos'!BO236</f>
      </c>
      <c r="F91" s="101">
        <f>'Sumas y Saldos'!E236</f>
      </c>
      <c r="G91" s="101">
        <f>'Sumas y Saldos'!H236</f>
      </c>
      <c r="H91" s="101">
        <f>'Sumas y Saldos'!K236</f>
      </c>
      <c r="I91" s="108">
        <f>'Sumas y Saldos'!Q236</f>
      </c>
      <c r="J91" s="101">
        <f>'Sumas y Saldos'!Z236</f>
      </c>
      <c r="K91" s="101">
        <f>'Sumas y Saldos'!AC236</f>
      </c>
      <c r="L91" s="101">
        <f>'Sumas y Saldos'!AF236</f>
      </c>
      <c r="M91" s="101">
        <f>'Sumas y Saldos'!W236</f>
      </c>
      <c r="N91" s="101">
        <f>'Sumas y Saldos'!T236</f>
      </c>
      <c r="O91" s="101">
        <f>'Sumas y Saldos'!AI236</f>
      </c>
      <c r="P91" s="101">
        <f>'Sumas y Saldos'!AO236</f>
      </c>
      <c r="Q91" s="101">
        <f>'Sumas y Saldos'!AL236</f>
      </c>
      <c r="R91" s="101">
        <f>+'Sumas y Saldos'!BE236</f>
      </c>
      <c r="S91" s="101"/>
      <c r="T91" s="101">
        <f>'Sumas y Saldos'!BD236</f>
      </c>
      <c r="U91" s="101">
        <f>+'Sumas y Saldos'!BM236</f>
      </c>
      <c r="V91" s="101">
        <f>+'Sumas y Saldos'!BP236</f>
      </c>
      <c r="W91" s="101"/>
      <c r="X91" s="101"/>
      <c r="Y91" s="101"/>
      <c r="Z91" s="101"/>
      <c r="AA91" s="101"/>
      <c r="AB91" s="101"/>
      <c r="AC91" s="101">
        <v>0</v>
      </c>
      <c r="AD91" s="101">
        <v>0</v>
      </c>
      <c r="AE91" s="101">
        <v>1626.32</v>
      </c>
      <c r="AF91" s="101">
        <v>0</v>
      </c>
      <c r="AG91" s="101">
        <v>1299.04</v>
      </c>
      <c r="AH91" s="101">
        <v>0</v>
      </c>
      <c r="AI91" s="104">
        <f>SUM(W91:AH91)</f>
        <v>2925.3599999999997</v>
      </c>
      <c r="AJ91" s="76"/>
      <c r="AK91" s="105"/>
    </row>
    <row r="92" ht="12.75" customHeight="1" spans="1:37" x14ac:dyDescent="0.25">
      <c r="A92" s="76"/>
      <c r="B92" s="76"/>
      <c r="C92" s="98" t="s">
        <v>283</v>
      </c>
      <c r="D92" s="99">
        <f>SUM(F92:V92)+E92</f>
        <v>503.25</v>
      </c>
      <c r="E92" s="99">
        <f>+'Sumas y Saldos'!D249+'Sumas y Saldos'!D378+'Sumas y Saldos'!G249+'Sumas y Saldos'!G378+'Sumas y Saldos'!J249+'Sumas y Saldos'!J378+'Sumas y Saldos'!P249+'Sumas y Saldos'!P378+'Sumas y Saldos'!Y249+'Sumas y Saldos'!Y378+'Sumas y Saldos'!AB249+'Sumas y Saldos'!AB378+'Sumas y Saldos'!AE249+'Sumas y Saldos'!AE378+'Sumas y Saldos'!V249+'Sumas y Saldos'!V378+'Sumas y Saldos'!S249+'Sumas y Saldos'!S378+'Sumas y Saldos'!AH249+'Sumas y Saldos'!AH378+'Sumas y Saldos'!AN249+'Sumas y Saldos'!AN378+'Sumas y Saldos'!AK249+'Sumas y Saldos'!AK378+'Sumas y Saldos'!BC249+'Sumas y Saldos'!BL396+'Sumas y Saldos'!BO249</f>
      </c>
      <c r="F92" s="101">
        <f>'Sumas y Saldos'!E249+'Sumas y Saldos'!E378</f>
      </c>
      <c r="G92" s="101">
        <f>'Sumas y Saldos'!H249+'Sumas y Saldos'!H378</f>
      </c>
      <c r="H92" s="101">
        <f>'Sumas y Saldos'!K249+'Sumas y Saldos'!K378</f>
      </c>
      <c r="I92" s="108">
        <f>'Sumas y Saldos'!Q249+'Sumas y Saldos'!Q378</f>
      </c>
      <c r="J92" s="101">
        <f>'Sumas y Saldos'!Z249+'Sumas y Saldos'!Z378</f>
      </c>
      <c r="K92" s="101">
        <f>'Sumas y Saldos'!AC249+'Sumas y Saldos'!AC378</f>
      </c>
      <c r="L92" s="101">
        <f>'Sumas y Saldos'!AF249+'Sumas y Saldos'!AF378</f>
      </c>
      <c r="M92" s="101">
        <f>'Sumas y Saldos'!W249+'Sumas y Saldos'!W378</f>
      </c>
      <c r="N92" s="101">
        <f>'Sumas y Saldos'!T249+'Sumas y Saldos'!T378</f>
      </c>
      <c r="O92" s="109">
        <f>'Sumas y Saldos'!AI249+'Sumas y Saldos'!AI378</f>
      </c>
      <c r="P92" s="110">
        <f>'Sumas y Saldos'!AO249+'Sumas y Saldos'!AO378</f>
      </c>
      <c r="Q92" s="101">
        <f>'Sumas y Saldos'!AL249+'Sumas y Saldos'!AL378</f>
      </c>
      <c r="R92" s="101"/>
      <c r="S92" s="101"/>
      <c r="T92" s="101">
        <f>'Sumas y Saldos'!BD249</f>
      </c>
      <c r="U92" s="101">
        <f>'Sumas y Saldos'!BK396</f>
      </c>
      <c r="V92" s="101">
        <f>+'Sumas y Saldos'!BP249</f>
      </c>
      <c r="W92" s="101"/>
      <c r="X92" s="101"/>
      <c r="Y92" s="101"/>
      <c r="Z92" s="101"/>
      <c r="AA92" s="101"/>
      <c r="AB92" s="101"/>
      <c r="AC92" s="101">
        <v>503.25</v>
      </c>
      <c r="AD92" s="101">
        <v>0</v>
      </c>
      <c r="AE92" s="101">
        <v>163.4</v>
      </c>
      <c r="AF92" s="101">
        <v>487.94</v>
      </c>
      <c r="AG92" s="101">
        <v>0</v>
      </c>
      <c r="AH92" s="101">
        <v>0</v>
      </c>
      <c r="AI92" s="104">
        <f>SUM(W92:AH92)</f>
        <v>1154.59</v>
      </c>
      <c r="AJ92" s="76"/>
      <c r="AK92" s="105"/>
    </row>
    <row r="93" ht="12.75" customHeight="1" spans="1:37" x14ac:dyDescent="0.25">
      <c r="A93" s="76"/>
      <c r="B93" s="76"/>
      <c r="C93" s="98" t="s">
        <v>583</v>
      </c>
      <c r="D93" s="99">
        <f>SUM(F93:V93)+E93</f>
      </c>
      <c r="E93" s="99">
        <f>+'Sumas y Saldos'!D261+'Sumas y Saldos'!D173+'Sumas y Saldos'!G261+'Sumas y Saldos'!G173+'Sumas y Saldos'!J261+'Sumas y Saldos'!J173+'Sumas y Saldos'!P261+'Sumas y Saldos'!P173+'Sumas y Saldos'!Y261+'Sumas y Saldos'!Y173+'Sumas y Saldos'!AB261+'Sumas y Saldos'!AB173+'Sumas y Saldos'!AE261+'Sumas y Saldos'!AE173+'Sumas y Saldos'!V261+'Sumas y Saldos'!V173+'Sumas y Saldos'!S261+'Sumas y Saldos'!S173+'Sumas y Saldos'!AH261+'Sumas y Saldos'!AH173+'Sumas y Saldos'!AN261+'Sumas y Saldos'!AN173+'Sumas y Saldos'!AK261+'Sumas y Saldos'!AK173+'Sumas y Saldos'!BC261+'Sumas y Saldos'!BL261+'Sumas y Saldos'!BO173</f>
      </c>
      <c r="F93" s="101">
        <f>'Sumas y Saldos'!E261+'Sumas y Saldos'!E173</f>
      </c>
      <c r="G93" s="101">
        <f>'Sumas y Saldos'!H261+'Sumas y Saldos'!H173</f>
      </c>
      <c r="H93" s="101">
        <f>'Sumas y Saldos'!K261+'Sumas y Saldos'!K173</f>
      </c>
      <c r="I93" s="108">
        <f>'Sumas y Saldos'!Q261+'Sumas y Saldos'!Q173</f>
      </c>
      <c r="J93" s="101">
        <f>'Sumas y Saldos'!Z261+'Sumas y Saldos'!Z173</f>
      </c>
      <c r="K93" s="101">
        <f>'Sumas y Saldos'!AC261+'Sumas y Saldos'!AC173</f>
      </c>
      <c r="L93" s="101">
        <f>'Sumas y Saldos'!AF261+'Sumas y Saldos'!AF173</f>
      </c>
      <c r="M93" s="101">
        <f>'Sumas y Saldos'!W261+'Sumas y Saldos'!W173</f>
      </c>
      <c r="N93" s="101">
        <f>'Sumas y Saldos'!T261+'Sumas y Saldos'!T173</f>
      </c>
      <c r="O93" s="109">
        <f>'Sumas y Saldos'!AI261+'Sumas y Saldos'!AI173</f>
      </c>
      <c r="P93" s="110">
        <f>'Sumas y Saldos'!AO261+'Sumas y Saldos'!AO173</f>
      </c>
      <c r="Q93" s="109">
        <f>'Sumas y Saldos'!AL261+'Sumas y Saldos'!AL173</f>
      </c>
      <c r="R93" s="102"/>
      <c r="S93" s="102"/>
      <c r="T93" s="101">
        <f>'Sumas y Saldos'!BD261</f>
      </c>
      <c r="U93" s="102">
        <f>+'Sumas y Saldos'!BM261</f>
      </c>
      <c r="V93" s="101">
        <f>+'Sumas y Saldos'!BP173</f>
      </c>
      <c r="W93" s="101"/>
      <c r="X93" s="101"/>
      <c r="Y93" s="101"/>
      <c r="Z93" s="101"/>
      <c r="AA93" s="101"/>
      <c r="AB93" s="101"/>
      <c r="AC93" s="101">
        <v>0</v>
      </c>
      <c r="AD93" s="101">
        <v>2144.09</v>
      </c>
      <c r="AE93" s="101">
        <v>2148.96</v>
      </c>
      <c r="AF93" s="101">
        <v>-1002.87</v>
      </c>
      <c r="AG93" s="101">
        <v>-12621.6</v>
      </c>
      <c r="AH93" s="101">
        <v>2919.19</v>
      </c>
      <c r="AI93" s="104">
        <f>SUM(W93:AH93)</f>
        <v>-6412.23</v>
      </c>
      <c r="AJ93" s="76"/>
      <c r="AK93" s="105"/>
    </row>
    <row r="94" ht="12.75" customHeight="1" spans="1:37" x14ac:dyDescent="0.25">
      <c r="A94" s="76"/>
      <c r="B94" s="76"/>
      <c r="C94" s="98" t="s">
        <v>584</v>
      </c>
      <c r="D94" s="99">
        <f>SUM(F94:V94)+E94</f>
        <v>3294.57</v>
      </c>
      <c r="E94" s="99">
        <f>+'Sumas y Saldos'!D49+'Sumas y Saldos'!D263+'Sumas y Saldos'!D293+'Sumas y Saldos'!D222+'Sumas y Saldos'!D353+'Sumas y Saldos'!D138+'Sumas y Saldos'!D159+'Sumas y Saldos'!D175+'Sumas y Saldos'!D200+'Sumas y Saldos'!D377+'Sumas y Saldos'!G49+'Sumas y Saldos'!G263+'Sumas y Saldos'!G293+'Sumas y Saldos'!G222+'Sumas y Saldos'!G353+'Sumas y Saldos'!G138+'Sumas y Saldos'!G159+'Sumas y Saldos'!G175+'Sumas y Saldos'!G200+'Sumas y Saldos'!G377+'Sumas y Saldos'!J49+'Sumas y Saldos'!J263+'Sumas y Saldos'!J293+'Sumas y Saldos'!J222+'Sumas y Saldos'!J353+'Sumas y Saldos'!J138+'Sumas y Saldos'!J159+'Sumas y Saldos'!J175+'Sumas y Saldos'!J200+'Sumas y Saldos'!J377+'Sumas y Saldos'!P49+'Sumas y Saldos'!P263+'Sumas y Saldos'!P293+'Sumas y Saldos'!P222+'Sumas y Saldos'!P353+'Sumas y Saldos'!P138+'Sumas y Saldos'!P159+'Sumas y Saldos'!P175+'Sumas y Saldos'!P200+'Sumas y Saldos'!P377+'Sumas y Saldos'!Y49+'Sumas y Saldos'!Y263+'Sumas y Saldos'!Y293+'Sumas y Saldos'!Y222+'Sumas y Saldos'!Y353+'Sumas y Saldos'!Y138+'Sumas y Saldos'!Y159+'Sumas y Saldos'!Y175+'Sumas y Saldos'!Y200+'Sumas y Saldos'!Y377+'Sumas y Saldos'!AB49+'Sumas y Saldos'!AB263+'Sumas y Saldos'!AB293+'Sumas y Saldos'!AB222+'Sumas y Saldos'!AB353+'Sumas y Saldos'!AB138+'Sumas y Saldos'!AB159+'Sumas y Saldos'!AB175+'Sumas y Saldos'!AB200+'Sumas y Saldos'!AB377+'Sumas y Saldos'!AE49+'Sumas y Saldos'!AE263+'Sumas y Saldos'!AE293+'Sumas y Saldos'!AE222+'Sumas y Saldos'!AE353+'Sumas y Saldos'!AE138+'Sumas y Saldos'!AE159+'Sumas y Saldos'!AE175+'Sumas y Saldos'!AE200+'Sumas y Saldos'!AE377+'Sumas y Saldos'!V49+'Sumas y Saldos'!V263+'Sumas y Saldos'!V293+'Sumas y Saldos'!V222+'Sumas y Saldos'!V353+'Sumas y Saldos'!V138+'Sumas y Saldos'!V159+'Sumas y Saldos'!V175+'Sumas y Saldos'!V200+'Sumas y Saldos'!V377+'Sumas y Saldos'!S49+'Sumas y Saldos'!S263+'Sumas y Saldos'!S293+'Sumas y Saldos'!S222+'Sumas y Saldos'!S353+'Sumas y Saldos'!S138+'Sumas y Saldos'!S159+'Sumas y Saldos'!S175+'Sumas y Saldos'!S200+'Sumas y Saldos'!S377+'Sumas y Saldos'!AH49+'Sumas y Saldos'!AH263+'Sumas y Saldos'!AH293+'Sumas y Saldos'!AH222+'Sumas y Saldos'!AH353+'Sumas y Saldos'!AH138+'Sumas y Saldos'!AH159+'Sumas y Saldos'!AH175+'Sumas y Saldos'!AH200+'Sumas y Saldos'!AH377+'Sumas y Saldos'!AN49+'Sumas y Saldos'!AN263+'Sumas y Saldos'!AN293+'Sumas y Saldos'!AN222+'Sumas y Saldos'!AN353+'Sumas y Saldos'!AN138+'Sumas y Saldos'!AN159+'Sumas y Saldos'!AN175+'Sumas y Saldos'!AN200+'Sumas y Saldos'!AN377+'Sumas y Saldos'!AK49+'Sumas y Saldos'!AK263+'Sumas y Saldos'!AK293+'Sumas y Saldos'!AK222+'Sumas y Saldos'!AK353+'Sumas y Saldos'!AK138+'Sumas y Saldos'!AK159+'Sumas y Saldos'!AK175+'Sumas y Saldos'!AK200+'Sumas y Saldos'!AK377+'Sumas y Saldos'!BC263+'Sumas y Saldos'!BC293+'Sumas y Saldos'!BC222+'Sumas y Saldos'!BL358+'Sumas y Saldos'!BL293+'Sumas y Saldos'!BL222+'Sumas y Saldos'!BO358+'Sumas y Saldos'!BO263+'Sumas y Saldos'!BO222+'Sumas y Saldos'!BO353+'Sumas y Saldos'!BO200</f>
      </c>
      <c r="F94" s="101">
        <f>'Sumas y Saldos'!E49+'Sumas y Saldos'!E263+'Sumas y Saldos'!E293+'Sumas y Saldos'!E222+'Sumas y Saldos'!E353+'Sumas y Saldos'!E138+'Sumas y Saldos'!E159+'Sumas y Saldos'!E175+'Sumas y Saldos'!E200+'Sumas y Saldos'!E377</f>
      </c>
      <c r="G94" s="101">
        <f>'Sumas y Saldos'!H49+'Sumas y Saldos'!H263+'Sumas y Saldos'!H293+'Sumas y Saldos'!H222+'Sumas y Saldos'!H353+'Sumas y Saldos'!H138+'Sumas y Saldos'!H159+'Sumas y Saldos'!H175+'Sumas y Saldos'!H200+'Sumas y Saldos'!H377</f>
      </c>
      <c r="H94" s="101">
        <f>'Sumas y Saldos'!K49+'Sumas y Saldos'!K263+'Sumas y Saldos'!K293+'Sumas y Saldos'!K222+'Sumas y Saldos'!K353+'Sumas y Saldos'!K138+'Sumas y Saldos'!K159+'Sumas y Saldos'!K175+'Sumas y Saldos'!K200+'Sumas y Saldos'!K377</f>
      </c>
      <c r="I94" s="108">
        <f>'Sumas y Saldos'!Q49+'Sumas y Saldos'!Q263+'Sumas y Saldos'!Q293+'Sumas y Saldos'!Q222+'Sumas y Saldos'!Q353+'Sumas y Saldos'!Q138+'Sumas y Saldos'!Q159+'Sumas y Saldos'!Q175+'Sumas y Saldos'!Q200+'Sumas y Saldos'!Q377</f>
      </c>
      <c r="J94" s="101">
        <f>'Sumas y Saldos'!Z49+'Sumas y Saldos'!Z263+'Sumas y Saldos'!Z293+'Sumas y Saldos'!Z222+'Sumas y Saldos'!Z353+'Sumas y Saldos'!Z138+'Sumas y Saldos'!Z159+'Sumas y Saldos'!Z175+'Sumas y Saldos'!Z200+'Sumas y Saldos'!Z377</f>
      </c>
      <c r="K94" s="101">
        <f>'Sumas y Saldos'!AC49+'Sumas y Saldos'!AC263+'Sumas y Saldos'!AC293+'Sumas y Saldos'!AC222+'Sumas y Saldos'!AC353+'Sumas y Saldos'!AC138+'Sumas y Saldos'!AC159+'Sumas y Saldos'!AC175+'Sumas y Saldos'!AC200+'Sumas y Saldos'!AC377</f>
      </c>
      <c r="L94" s="101">
        <f>'Sumas y Saldos'!AF49+'Sumas y Saldos'!AF263+'Sumas y Saldos'!AF293+'Sumas y Saldos'!AF222+'Sumas y Saldos'!AF353+'Sumas y Saldos'!AF138+'Sumas y Saldos'!AF159+'Sumas y Saldos'!AF175+'Sumas y Saldos'!AF200+'Sumas y Saldos'!AF377</f>
      </c>
      <c r="M94" s="101">
        <f>'Sumas y Saldos'!W49+'Sumas y Saldos'!W263+'Sumas y Saldos'!W293+'Sumas y Saldos'!W222+'Sumas y Saldos'!W353+'Sumas y Saldos'!W138+'Sumas y Saldos'!W159+'Sumas y Saldos'!W175+'Sumas y Saldos'!W200+'Sumas y Saldos'!W377</f>
      </c>
      <c r="N94" s="101">
        <f>'Sumas y Saldos'!T49+'Sumas y Saldos'!T263+'Sumas y Saldos'!T293+'Sumas y Saldos'!T222+'Sumas y Saldos'!T353+'Sumas y Saldos'!T138+'Sumas y Saldos'!T159+'Sumas y Saldos'!T175+'Sumas y Saldos'!T200+'Sumas y Saldos'!T377</f>
      </c>
      <c r="O94" s="109">
        <f>'Sumas y Saldos'!AI49+'Sumas y Saldos'!AI263+'Sumas y Saldos'!AI293+'Sumas y Saldos'!AI222+'Sumas y Saldos'!AI353+'Sumas y Saldos'!AI138+'Sumas y Saldos'!AI159+'Sumas y Saldos'!AI175+'Sumas y Saldos'!AI200+'Sumas y Saldos'!AI377</f>
      </c>
      <c r="P94" s="102">
        <f>'Sumas y Saldos'!AO49+'Sumas y Saldos'!AO263+'Sumas y Saldos'!AO293+'Sumas y Saldos'!AO222+'Sumas y Saldos'!AO353+'Sumas y Saldos'!AO138+'Sumas y Saldos'!AO159+'Sumas y Saldos'!AO175+'Sumas y Saldos'!AO200+'Sumas y Saldos'!AO377</f>
      </c>
      <c r="Q94" s="102">
        <f>'Sumas y Saldos'!AL49+'Sumas y Saldos'!AL263+'Sumas y Saldos'!AL293+'Sumas y Saldos'!AL222+'Sumas y Saldos'!AL353+'Sumas y Saldos'!AL138+'Sumas y Saldos'!AL159+'Sumas y Saldos'!AL175+'Sumas y Saldos'!AL200+'Sumas y Saldos'!AL377</f>
      </c>
      <c r="R94" s="102"/>
      <c r="S94" s="102"/>
      <c r="T94" s="101">
        <f>'Sumas y Saldos'!BD263+'Sumas y Saldos'!BD293+'Sumas y Saldos'!BD222</f>
      </c>
      <c r="U94" s="102">
        <f>'Sumas y Saldos'!BM358+'Sumas y Saldos'!BM293+'Sumas y Saldos'!BM222</f>
      </c>
      <c r="V94" s="101">
        <f>'Sumas y Saldos'!BP358+'Sumas y Saldos'!BN263+'Sumas y Saldos'!BP222+'Sumas y Saldos'!BP353+'Sumas y Saldos'!BP200</f>
      </c>
      <c r="W94" s="101"/>
      <c r="X94" s="101"/>
      <c r="Y94" s="101"/>
      <c r="Z94" s="101"/>
      <c r="AA94" s="101"/>
      <c r="AB94" s="101"/>
      <c r="AC94" s="101">
        <v>3294.57</v>
      </c>
      <c r="AD94" s="101">
        <v>0</v>
      </c>
      <c r="AE94" s="101">
        <v>558.3599999999999</v>
      </c>
      <c r="AF94" s="101">
        <v>0</v>
      </c>
      <c r="AG94" s="101">
        <v>0</v>
      </c>
      <c r="AH94" s="101">
        <v>66.36</v>
      </c>
      <c r="AI94" s="104">
        <f>SUM(W94:AH94)</f>
        <v>3919.2900000000004</v>
      </c>
      <c r="AJ94" s="76"/>
      <c r="AK94" s="105"/>
    </row>
    <row r="95" ht="12.75" customHeight="1" spans="1:37" x14ac:dyDescent="0.25">
      <c r="A95" s="76"/>
      <c r="B95" s="76"/>
      <c r="C95" s="98" t="s">
        <v>585</v>
      </c>
      <c r="D95" s="99">
        <f>SUM(F95:V95)+E95</f>
        <v>959.76</v>
      </c>
      <c r="E95" s="99">
        <f>+'Sumas y Saldos'!D232+'Sumas y Saldos'!D174+'Sumas y Saldos'!G232+'Sumas y Saldos'!G174+'Sumas y Saldos'!J232+'Sumas y Saldos'!J174+'Sumas y Saldos'!P232+'Sumas y Saldos'!P174+'Sumas y Saldos'!Y232+'Sumas y Saldos'!Y174+'Sumas y Saldos'!AB232+'Sumas y Saldos'!AB174+'Sumas y Saldos'!AE232+'Sumas y Saldos'!AE174+'Sumas y Saldos'!V232+'Sumas y Saldos'!V174+'Sumas y Saldos'!S232+'Sumas y Saldos'!S174+'Sumas y Saldos'!AH232+'Sumas y Saldos'!AH174+'Sumas y Saldos'!AN232+'Sumas y Saldos'!AN174+'Sumas y Saldos'!AK232+'Sumas y Saldos'!AK174+'Sumas y Saldos'!BC232</f>
      </c>
      <c r="F95" s="101">
        <f>'Sumas y Saldos'!E232+'Sumas y Saldos'!E174</f>
      </c>
      <c r="G95" s="101">
        <f>'Sumas y Saldos'!H232+'Sumas y Saldos'!H174</f>
      </c>
      <c r="H95" s="101">
        <f>'Sumas y Saldos'!K232+'Sumas y Saldos'!K174</f>
      </c>
      <c r="I95" s="108">
        <f>'Sumas y Saldos'!Q232+'Sumas y Saldos'!Q174</f>
      </c>
      <c r="J95" s="101">
        <f>'Sumas y Saldos'!Z232+'Sumas y Saldos'!Z174</f>
      </c>
      <c r="K95" s="101">
        <f>'Sumas y Saldos'!AC232+'Sumas y Saldos'!AC174</f>
      </c>
      <c r="L95" s="101">
        <f>'Sumas y Saldos'!AF232+'Sumas y Saldos'!AF174</f>
      </c>
      <c r="M95" s="101">
        <f>'Sumas y Saldos'!W232+'Sumas y Saldos'!W174</f>
      </c>
      <c r="N95" s="101">
        <f>'Sumas y Saldos'!T232+'Sumas y Saldos'!T174</f>
      </c>
      <c r="O95" s="109">
        <f>'Sumas y Saldos'!AI232+'Sumas y Saldos'!AI174</f>
      </c>
      <c r="P95" s="110">
        <f>'Sumas y Saldos'!AO232+'Sumas y Saldos'!AO174</f>
      </c>
      <c r="Q95" s="102">
        <f>'Sumas y Saldos'!AL232+'Sumas y Saldos'!AL174</f>
      </c>
      <c r="R95" s="102"/>
      <c r="S95" s="102"/>
      <c r="T95" s="101">
        <f>+'Sumas y Saldos'!BD232</f>
      </c>
      <c r="U95" s="110"/>
      <c r="V95" s="101">
        <v>0</v>
      </c>
      <c r="W95" s="101"/>
      <c r="X95" s="101"/>
      <c r="Y95" s="101"/>
      <c r="Z95" s="101"/>
      <c r="AA95" s="101"/>
      <c r="AB95" s="101"/>
      <c r="AC95" s="101">
        <v>959.76</v>
      </c>
      <c r="AD95" s="101">
        <v>0</v>
      </c>
      <c r="AE95" s="101">
        <v>0</v>
      </c>
      <c r="AF95" s="101">
        <v>0</v>
      </c>
      <c r="AG95" s="101">
        <v>0</v>
      </c>
      <c r="AH95" s="101">
        <v>0</v>
      </c>
      <c r="AI95" s="104">
        <f>SUM(W95:AH95)</f>
        <v>959.76</v>
      </c>
      <c r="AJ95" s="76"/>
      <c r="AK95" s="105"/>
    </row>
    <row r="96" ht="12.75" customHeight="1" spans="1:37" x14ac:dyDescent="0.25">
      <c r="A96" s="76"/>
      <c r="B96" s="76"/>
      <c r="C96" s="98" t="s">
        <v>586</v>
      </c>
      <c r="D96" s="99">
        <f>SUM(F96:V96)+E96</f>
      </c>
      <c r="E96" s="99">
        <f>+'Sumas y Saldos'!D71+'Sumas y Saldos'!D290+'Sumas y Saldos'!D311+'Sumas y Saldos'!G71+'Sumas y Saldos'!G290+'Sumas y Saldos'!G311+'Sumas y Saldos'!J71+'Sumas y Saldos'!J290+'Sumas y Saldos'!J311+'Sumas y Saldos'!P71+'Sumas y Saldos'!P290+'Sumas y Saldos'!P311+'Sumas y Saldos'!Y71+'Sumas y Saldos'!Y290+'Sumas y Saldos'!Y311+'Sumas y Saldos'!AB71+'Sumas y Saldos'!AB290+'Sumas y Saldos'!AB311+'Sumas y Saldos'!AE71+'Sumas y Saldos'!AE290+'Sumas y Saldos'!AE311+'Sumas y Saldos'!V71+'Sumas y Saldos'!V290+'Sumas y Saldos'!V311+'Sumas y Saldos'!S71+'Sumas y Saldos'!S290+'Sumas y Saldos'!S311+'Sumas y Saldos'!AH71+'Sumas y Saldos'!AH290+'Sumas y Saldos'!AH311+'Sumas y Saldos'!AN71+'Sumas y Saldos'!AN290+'Sumas y Saldos'!AN311+'Sumas y Saldos'!AK71+'Sumas y Saldos'!AK290+'Sumas y Saldos'!AK311+'Sumas y Saldos'!BC315+'Sumas y Saldos'!BC290+'Sumas y Saldos'!BC311+'Sumas y Saldos'!BL79+'Sumas y Saldos'!BL290+'Sumas y Saldos'!BO290</f>
      </c>
      <c r="F96" s="108">
        <f>'Sumas y Saldos'!E71+'Sumas y Saldos'!E290+'Sumas y Saldos'!E311</f>
      </c>
      <c r="G96" s="101">
        <f>'Sumas y Saldos'!H71+'Sumas y Saldos'!H290+'Sumas y Saldos'!H311</f>
      </c>
      <c r="H96" s="108">
        <f>'Sumas y Saldos'!K71+'Sumas y Saldos'!K290+'Sumas y Saldos'!K311</f>
      </c>
      <c r="I96" s="108">
        <f>'Sumas y Saldos'!Q71+'Sumas y Saldos'!Q290+'Sumas y Saldos'!Q311</f>
      </c>
      <c r="J96" s="101">
        <f>'Sumas y Saldos'!Z71+'Sumas y Saldos'!Z290+'Sumas y Saldos'!Z311</f>
      </c>
      <c r="K96" s="101">
        <f>'Sumas y Saldos'!AC71+'Sumas y Saldos'!AC290+'Sumas y Saldos'!AC311</f>
      </c>
      <c r="L96" s="101">
        <f>'Sumas y Saldos'!AF71+'Sumas y Saldos'!AF290+'Sumas y Saldos'!AF311</f>
      </c>
      <c r="M96" s="101">
        <f>'Sumas y Saldos'!W71+'Sumas y Saldos'!W290+'Sumas y Saldos'!W311</f>
      </c>
      <c r="N96" s="101">
        <f>'Sumas y Saldos'!T71+'Sumas y Saldos'!T290+'Sumas y Saldos'!T311</f>
      </c>
      <c r="O96" s="109">
        <f>'Sumas y Saldos'!AI71+'Sumas y Saldos'!AI290+'Sumas y Saldos'!AI311</f>
      </c>
      <c r="P96" s="110">
        <f>'Sumas y Saldos'!AO71+'Sumas y Saldos'!AO290+'Sumas y Saldos'!AO311</f>
      </c>
      <c r="Q96" s="102">
        <f>'Sumas y Saldos'!AL71+'Sumas y Saldos'!AL290+'Sumas y Saldos'!AL311</f>
      </c>
      <c r="R96" s="102"/>
      <c r="S96" s="102"/>
      <c r="T96" s="101">
        <f>+'Sumas y Saldos'!BD315+'Sumas y Saldos'!BD290+'Sumas y Saldos'!BD311</f>
      </c>
      <c r="U96" s="102">
        <f>'Sumas y Saldos'!BK79+'Sumas y Saldos'!BM290</f>
      </c>
      <c r="V96" s="101">
        <f>+'Sumas y Saldos'!BP290</f>
      </c>
      <c r="W96" s="101"/>
      <c r="X96" s="101"/>
      <c r="Y96" s="101"/>
      <c r="Z96" s="101"/>
      <c r="AA96" s="101"/>
      <c r="AB96" s="101"/>
      <c r="AC96" s="101">
        <v>0</v>
      </c>
      <c r="AD96" s="101">
        <v>0</v>
      </c>
      <c r="AE96" s="101">
        <v>0</v>
      </c>
      <c r="AF96" s="101">
        <v>2183.66</v>
      </c>
      <c r="AG96" s="101">
        <v>26575.86</v>
      </c>
      <c r="AH96" s="101">
        <v>2505.39</v>
      </c>
      <c r="AI96" s="104">
        <f>SUM(W96:AH96)</f>
        <v>31264.91</v>
      </c>
      <c r="AJ96" s="76"/>
      <c r="AK96" s="105"/>
    </row>
    <row r="97" ht="12.75" customHeight="1" spans="1:47" x14ac:dyDescent="0.25">
      <c r="A97" s="76"/>
      <c r="B97" s="76"/>
      <c r="C97" s="98" t="s">
        <v>587</v>
      </c>
      <c r="D97" s="99">
        <f>SUM(F97:V97)+E97</f>
      </c>
      <c r="E97" s="99">
        <f>+'Sumas y Saldos'!D304+'Sumas y Saldos'!G304+'Sumas y Saldos'!J304+'Sumas y Saldos'!P304+'Sumas y Saldos'!Y304+'Sumas y Saldos'!AB304+'Sumas y Saldos'!AE304+'Sumas y Saldos'!V304+'Sumas y Saldos'!S304+'Sumas y Saldos'!AH304+'Sumas y Saldos'!AN304+'Sumas y Saldos'!AK304+'Sumas y Saldos'!BC304+'Sumas y Saldos'!BL304+'Sumas y Saldos'!BO304</f>
      </c>
      <c r="F97" s="108">
        <f>+'Sumas y Saldos'!E304</f>
      </c>
      <c r="G97" s="108">
        <f>+'Sumas y Saldos'!H304</f>
      </c>
      <c r="H97" s="108">
        <f>+'Sumas y Saldos'!K304</f>
      </c>
      <c r="I97" s="108">
        <f>+'Sumas y Saldos'!Q304</f>
      </c>
      <c r="J97" s="108">
        <f>+'Sumas y Saldos'!Z304</f>
      </c>
      <c r="K97" s="108">
        <f>+'Sumas y Saldos'!AC304</f>
      </c>
      <c r="L97" s="101">
        <f>+'Sumas y Saldos'!AF304</f>
      </c>
      <c r="M97" s="108">
        <f>+'Sumas y Saldos'!W304</f>
      </c>
      <c r="N97" s="108">
        <f>+'Sumas y Saldos'!T304</f>
      </c>
      <c r="O97" s="109">
        <f>+'Sumas y Saldos'!AI304</f>
      </c>
      <c r="P97" s="110">
        <f>+'Sumas y Saldos'!AO304</f>
      </c>
      <c r="Q97" s="102">
        <f>+'Sumas y Saldos'!AL304</f>
      </c>
      <c r="R97" s="102"/>
      <c r="S97" s="102"/>
      <c r="T97" s="101">
        <f>'Sumas y Saldos'!BD304</f>
      </c>
      <c r="U97" s="102">
        <f>+'Sumas y Saldos'!BM304</f>
      </c>
      <c r="V97" s="101">
        <f>+'Sumas y Saldos'!BP304</f>
      </c>
      <c r="W97" s="101"/>
      <c r="X97" s="101"/>
      <c r="Y97" s="101"/>
      <c r="Z97" s="101"/>
      <c r="AA97" s="101"/>
      <c r="AB97" s="101"/>
      <c r="AC97" s="101">
        <v>0</v>
      </c>
      <c r="AD97" s="101">
        <v>0</v>
      </c>
      <c r="AE97" s="101">
        <v>0</v>
      </c>
      <c r="AF97" s="101">
        <v>0</v>
      </c>
      <c r="AG97" s="101">
        <v>0</v>
      </c>
      <c r="AH97" s="101">
        <v>0</v>
      </c>
      <c r="AI97" s="104">
        <f>SUM(W97:AH97)</f>
      </c>
      <c r="AJ97" s="76"/>
      <c r="AK97" s="105"/>
      <c r="AL97" s="76"/>
      <c r="AM97" s="76"/>
      <c r="AN97" s="76"/>
      <c r="AO97" s="76"/>
      <c r="AP97" s="76"/>
      <c r="AQ97" s="76"/>
      <c r="AR97" s="76"/>
      <c r="AS97" s="76"/>
      <c r="AT97" s="76"/>
      <c r="AU97" s="76"/>
    </row>
    <row r="98" ht="12.75" customHeight="1" spans="1:37" x14ac:dyDescent="0.25">
      <c r="A98" s="76"/>
      <c r="B98" s="76"/>
      <c r="C98" s="111" t="s">
        <v>151</v>
      </c>
      <c r="D98" s="99">
        <f>SUM(F98:V98)+E98</f>
      </c>
      <c r="E98" s="112">
        <f>+'Sumas y Saldos'!D121+'Sumas y Saldos'!D114+'Sumas y Saldos'!G114+'Sumas y Saldos'!G121+'Sumas y Saldos'!J114+'Sumas y Saldos'!J121+'Sumas y Saldos'!P114+'Sumas y Saldos'!P121+'Sumas y Saldos'!Y114+'Sumas y Saldos'!Y121+'Sumas y Saldos'!AB114+'Sumas y Saldos'!AB121+'Sumas y Saldos'!AE114+'Sumas y Saldos'!AE121+'Sumas y Saldos'!V114+'Sumas y Saldos'!V121+'Sumas y Saldos'!S114+'Sumas y Saldos'!S121+'Sumas y Saldos'!AH114+'Sumas y Saldos'!AH121+'Sumas y Saldos'!AN114+'Sumas y Saldos'!AN121+'Sumas y Saldos'!AK114+'Sumas y Saldos'!AK121</f>
      </c>
      <c r="F98" s="113">
        <f>+'Sumas y Saldos'!E114+'Sumas y Saldos'!E121</f>
      </c>
      <c r="G98" s="113">
        <f>+'Sumas y Saldos'!H114+'Sumas y Saldos'!H121</f>
      </c>
      <c r="H98" s="113">
        <f>+'Sumas y Saldos'!K114+'Sumas y Saldos'!K121</f>
      </c>
      <c r="I98" s="113">
        <f>+'Sumas y Saldos'!Q114+'Sumas y Saldos'!Q121</f>
      </c>
      <c r="J98" s="113">
        <f>+'Sumas y Saldos'!Z114+'Sumas y Saldos'!Z121</f>
      </c>
      <c r="K98" s="113">
        <f>+'Sumas y Saldos'!AC114+'Sumas y Saldos'!AC121</f>
      </c>
      <c r="L98" s="113">
        <f>+'Sumas y Saldos'!AF114+'Sumas y Saldos'!AF121</f>
      </c>
      <c r="M98" s="113">
        <f>+'Sumas y Saldos'!W114+'Sumas y Saldos'!W121</f>
      </c>
      <c r="N98" s="113">
        <f>+'Sumas y Saldos'!T114+'Sumas y Saldos'!T121</f>
      </c>
      <c r="O98" s="113">
        <f>+'Sumas y Saldos'!AI114+'Sumas y Saldos'!AI121</f>
      </c>
      <c r="P98" s="113">
        <f>+'Sumas y Saldos'!AO114+'Sumas y Saldos'!AO121</f>
      </c>
      <c r="Q98" s="113">
        <f>+'Sumas y Saldos'!AL114+'Sumas y Saldos'!AL121</f>
      </c>
      <c r="R98" s="113"/>
      <c r="S98" s="113"/>
      <c r="T98" s="114">
        <v>0</v>
      </c>
      <c r="U98" s="113">
        <v>0</v>
      </c>
      <c r="V98" s="113"/>
      <c r="W98" s="101"/>
      <c r="X98" s="101"/>
      <c r="Y98" s="113"/>
      <c r="Z98" s="114"/>
      <c r="AA98" s="114"/>
      <c r="AB98" s="114"/>
      <c r="AC98" s="101">
        <v>0</v>
      </c>
      <c r="AD98" s="113">
        <v>0</v>
      </c>
      <c r="AE98" s="101">
        <v>0</v>
      </c>
      <c r="AF98" s="113">
        <v>0</v>
      </c>
      <c r="AG98" s="114">
        <v>0</v>
      </c>
      <c r="AH98" s="113">
        <v>0</v>
      </c>
      <c r="AI98" s="115">
        <f>SUM(W98:AH98)</f>
      </c>
      <c r="AJ98" s="76"/>
      <c r="AK98" s="105"/>
    </row>
    <row r="99" ht="12.75" customHeight="1" spans="1:35" x14ac:dyDescent="0.25">
      <c r="A99" s="76"/>
      <c r="B99" s="76"/>
      <c r="C99" s="116"/>
      <c r="D99" s="117"/>
      <c r="E99" s="77"/>
      <c r="F99" s="118"/>
      <c r="G99" s="118"/>
      <c r="H99" s="118"/>
      <c r="I99" s="118"/>
      <c r="J99" s="118"/>
      <c r="K99" s="118"/>
      <c r="L99" s="119"/>
      <c r="M99" s="118"/>
      <c r="N99" s="118"/>
      <c r="O99" s="118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  <c r="AD99" s="120"/>
      <c r="AE99" s="121"/>
      <c r="AF99" s="120"/>
      <c r="AG99" s="120"/>
      <c r="AH99" s="120"/>
      <c r="AI99" s="118"/>
    </row>
    <row r="100" ht="12.75" customHeight="1" spans="1:47" s="122" customFormat="1" x14ac:dyDescent="0.25">
      <c r="A100" s="122"/>
      <c r="B100" s="122"/>
      <c r="C100" s="123" t="s">
        <v>588</v>
      </c>
      <c r="D100" s="124">
        <f>SUM(D8:D98)</f>
      </c>
      <c r="E100" s="125">
        <f>+SUM(E8:E98)</f>
      </c>
      <c r="F100" s="126">
        <f>+SUM(F8:F98)</f>
      </c>
      <c r="G100" s="126">
        <f>+SUM(G8:G98)</f>
      </c>
      <c r="H100" s="126">
        <f>+SUM(H8:H97)</f>
      </c>
      <c r="I100" s="126">
        <f>+SUM(I8:I98)</f>
      </c>
      <c r="J100" s="126">
        <f>+SUM(J8:J97)</f>
      </c>
      <c r="K100" s="126">
        <f>+SUM(K8:K98)</f>
      </c>
      <c r="L100" s="87">
        <f>+SUM(L8:L97)</f>
      </c>
      <c r="M100" s="126">
        <f>+SUM(M8:M97)</f>
      </c>
      <c r="N100" s="126">
        <f>+SUM(N8:N98)</f>
      </c>
      <c r="O100" s="126">
        <f>+SUM(O8:O97)</f>
      </c>
      <c r="P100" s="127">
        <f>+SUM(P8:P97)</f>
      </c>
      <c r="Q100" s="127">
        <f>+SUM(Q8:Q97)</f>
      </c>
      <c r="R100" s="127">
        <f>+SUM(R8:R98)</f>
      </c>
      <c r="S100" s="127">
        <f>+SUM(S8:S98)</f>
      </c>
      <c r="T100" s="127">
        <f>+SUM(T8:T98)</f>
      </c>
      <c r="U100" s="127">
        <f>+SUM(U8:U98)</f>
      </c>
      <c r="V100" s="127">
        <f>+SUM(V8:V97)</f>
      </c>
      <c r="W100" s="127">
        <f>SUM(W8:W97)</f>
      </c>
      <c r="X100" s="127">
        <f>SUM(X8:X97)</f>
      </c>
      <c r="Y100" s="127">
        <f>SUM(Y8:Y99)</f>
      </c>
      <c r="Z100" s="127">
        <f>SUM(Z8:Z97)</f>
      </c>
      <c r="AA100" s="127">
        <f>SUM(AA8:AA97)</f>
      </c>
      <c r="AB100" s="127">
        <f>+SUM(AB8:AB97)</f>
      </c>
      <c r="AC100" s="127">
        <f>+SUM(AC8:AC97)</f>
      </c>
      <c r="AD100" s="127">
        <f>SUM(AD8:AD97)</f>
      </c>
      <c r="AE100" s="127">
        <f>SUBTOTAL(9,AE8:AE98)</f>
      </c>
      <c r="AF100" s="127">
        <f>SUM(AF8:AF98)</f>
      </c>
      <c r="AG100" s="127">
        <f>SUM(AG8:AG98)</f>
      </c>
      <c r="AH100" s="127">
        <f>SUM(AH8:AH98)</f>
      </c>
      <c r="AI100" s="126">
        <f>SUM(AI8:AI98)</f>
      </c>
      <c r="AJ100" s="122"/>
      <c r="AK100" s="122"/>
      <c r="AL100" s="122"/>
      <c r="AM100" s="122"/>
      <c r="AN100" s="122"/>
      <c r="AO100" s="122"/>
      <c r="AP100" s="122"/>
      <c r="AQ100" s="122"/>
      <c r="AR100" s="122"/>
      <c r="AS100" s="122"/>
      <c r="AT100" s="122"/>
      <c r="AU100" s="122"/>
    </row>
    <row r="101" ht="13.5" customHeight="1" spans="1:35" x14ac:dyDescent="0.25">
      <c r="A101" s="76"/>
      <c r="B101" s="76"/>
      <c r="C101" s="128"/>
      <c r="D101" s="129"/>
      <c r="E101" s="130">
        <f>+D100-E100</f>
      </c>
      <c r="F101" s="131"/>
      <c r="G101" s="131"/>
      <c r="H101" s="131"/>
      <c r="I101" s="132"/>
      <c r="J101" s="132"/>
      <c r="K101" s="132"/>
      <c r="L101" s="132"/>
      <c r="M101" s="132"/>
      <c r="N101" s="132"/>
      <c r="O101" s="132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2"/>
    </row>
    <row r="102" ht="13.5" customHeight="1" spans="1:35" s="134" customFormat="1" x14ac:dyDescent="0.25">
      <c r="A102" s="134"/>
      <c r="B102" s="134"/>
      <c r="C102" s="134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</row>
    <row r="103" ht="12.75" customHeight="1" spans="1:35" s="136" customFormat="1" x14ac:dyDescent="0.25">
      <c r="A103" s="136"/>
      <c r="B103" s="136"/>
      <c r="C103" s="137"/>
      <c r="D103" s="138"/>
      <c r="E103" s="138"/>
      <c r="F103" s="138">
        <f>+'Sumas y Saldos'!E399</f>
      </c>
      <c r="G103" s="138">
        <f>+'Sumas y Saldos'!H399</f>
      </c>
      <c r="H103" s="138"/>
      <c r="I103" s="138"/>
      <c r="J103" s="138"/>
      <c r="K103" s="138">
        <f>+'Sumas y Saldos'!AC399</f>
      </c>
      <c r="L103" s="138"/>
      <c r="M103" s="138">
        <f>+'Sumas y Saldos'!W399</f>
      </c>
      <c r="N103" s="138">
        <f>+'Sumas y Saldos'!T399</f>
      </c>
      <c r="O103" s="138"/>
      <c r="P103" s="138">
        <f>+'Sumas y Saldos'!AO399</f>
      </c>
      <c r="Q103" s="138"/>
      <c r="R103" s="138"/>
      <c r="S103" s="138"/>
      <c r="T103" s="138"/>
      <c r="U103" s="138"/>
      <c r="V103" s="138">
        <f>+'Sumas y Saldos'!BP399</f>
      </c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>
        <f>+AI100-'Gastos Acumulados'!E74</f>
      </c>
    </row>
    <row r="104" ht="12.75" customHeight="1" spans="1:35" s="136" customFormat="1" x14ac:dyDescent="0.25">
      <c r="A104" s="136"/>
      <c r="B104" s="136"/>
      <c r="C104" s="137"/>
      <c r="D104" s="138" t="s">
        <v>589</v>
      </c>
      <c r="E104" s="138">
        <f>+E103-E101</f>
      </c>
      <c r="F104" s="138">
        <f>+F103-F100</f>
      </c>
      <c r="G104" s="138">
        <f>+G103-G100</f>
      </c>
      <c r="H104" s="138">
        <f>+H103-H100</f>
      </c>
      <c r="I104" s="138">
        <f>+I103-I100</f>
      </c>
      <c r="J104" s="138">
        <f>+J103-J100</f>
      </c>
      <c r="K104" s="138">
        <f>+K103-K100</f>
      </c>
      <c r="L104" s="138">
        <f>+L103-L100</f>
      </c>
      <c r="M104" s="138">
        <f>+M103-M100</f>
      </c>
      <c r="N104" s="138">
        <f>+N103-N100</f>
      </c>
      <c r="O104" s="138">
        <f>+O103-O100</f>
      </c>
      <c r="P104" s="138">
        <f>+P103-P100</f>
      </c>
      <c r="Q104" s="138"/>
      <c r="R104" s="138"/>
      <c r="S104" s="138"/>
      <c r="T104" s="138"/>
      <c r="U104" s="138"/>
      <c r="V104" s="138">
        <f>+V103-V100</f>
      </c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</row>
    <row r="105" ht="12.75" customHeight="1" spans="1:35" s="136" customFormat="1" x14ac:dyDescent="0.25">
      <c r="A105" s="136"/>
      <c r="B105" s="136"/>
      <c r="C105" s="136"/>
      <c r="D105" s="138"/>
      <c r="E105" s="138"/>
      <c r="F105" s="138">
        <f>+F100-F103</f>
      </c>
      <c r="G105" s="138">
        <f>+G100-G103</f>
      </c>
      <c r="H105" s="138"/>
      <c r="I105" s="138"/>
      <c r="J105" s="138"/>
      <c r="K105" s="138">
        <f>+K100-K103</f>
      </c>
      <c r="L105" s="138">
        <f>+L100-L103</f>
      </c>
      <c r="M105" s="138">
        <f>+M100-M103</f>
      </c>
      <c r="N105" s="138">
        <f>+N100-N103</f>
      </c>
      <c r="O105" s="138">
        <f>+O100-O103</f>
      </c>
      <c r="P105" s="138">
        <f>+P100-P103</f>
      </c>
      <c r="Q105" s="138">
        <f>+Q100-Q103</f>
      </c>
      <c r="R105" s="138">
        <f>+R100-R103</f>
      </c>
      <c r="S105" s="138">
        <f>+S100-S103</f>
      </c>
      <c r="T105" s="138">
        <f>+T100-T103</f>
      </c>
      <c r="U105" s="138">
        <f>+U100-U103</f>
      </c>
      <c r="V105" s="138">
        <f>+V100-V103</f>
      </c>
      <c r="W105" s="138">
        <f>+W100-W103</f>
      </c>
      <c r="X105" s="138">
        <f>+X100-X103</f>
      </c>
      <c r="Y105" s="138">
        <f>+Y100-Y103</f>
      </c>
      <c r="Z105" s="138">
        <f>+Z100-Z103</f>
      </c>
      <c r="AA105" s="138">
        <f>+AA100-AA103</f>
      </c>
      <c r="AB105" s="138">
        <f>+AB100-AB103</f>
      </c>
      <c r="AC105" s="138">
        <f>+AC100-AC103</f>
      </c>
      <c r="AD105" s="138">
        <f>+AD100-AD103</f>
      </c>
      <c r="AE105" s="138">
        <f>+AE100-AE103</f>
      </c>
      <c r="AF105" s="138">
        <f>+AF100-AF103</f>
      </c>
      <c r="AG105" s="138">
        <f>+AG100-AG103</f>
      </c>
      <c r="AH105" s="138">
        <f>+AH100-AH103</f>
      </c>
      <c r="AI105" s="138">
        <f>+AI100-AI103</f>
      </c>
    </row>
    <row r="106" ht="12.75" customHeight="1" spans="1:35" s="136" customFormat="1" x14ac:dyDescent="0.25">
      <c r="A106" s="136"/>
      <c r="B106" s="136"/>
      <c r="C106" s="139"/>
      <c r="D106" s="140" t="s">
        <v>590</v>
      </c>
      <c r="E106" s="138">
        <f>+'Sumas y Saldos'!C401</f>
        <v>30055.240000000005</v>
      </c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41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</row>
    <row r="107" ht="12.75" customHeight="1" spans="1:35" s="136" customFormat="1" x14ac:dyDescent="0.25">
      <c r="A107" s="136"/>
      <c r="B107" s="136"/>
      <c r="C107" s="136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41"/>
      <c r="Q107" s="138"/>
      <c r="R107" s="138"/>
      <c r="S107" s="138"/>
      <c r="T107" s="138"/>
      <c r="U107" s="141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</row>
    <row r="108" ht="13.5" customHeight="1" spans="1:47" s="136" customFormat="1" x14ac:dyDescent="0.25">
      <c r="A108" s="136"/>
      <c r="B108" s="136"/>
      <c r="C108" s="136"/>
      <c r="D108" s="142" t="s">
        <v>591</v>
      </c>
      <c r="E108" s="138">
        <f>+E104+E106</f>
      </c>
      <c r="F108" s="138"/>
      <c r="G108" s="138"/>
      <c r="H108" s="138"/>
      <c r="I108" s="140"/>
      <c r="J108" s="138"/>
      <c r="K108" s="143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6"/>
      <c r="AK108" s="136"/>
      <c r="AL108" s="136"/>
      <c r="AM108" s="136"/>
      <c r="AN108" s="144"/>
      <c r="AO108" s="136"/>
      <c r="AP108" s="136"/>
      <c r="AQ108" s="136"/>
      <c r="AR108" s="136"/>
      <c r="AS108" s="136"/>
      <c r="AT108" s="136"/>
      <c r="AU108" s="144"/>
    </row>
    <row r="109" ht="12.75" customHeight="1" spans="1:35" s="136" customFormat="1" x14ac:dyDescent="0.25">
      <c r="A109" s="136"/>
      <c r="B109" s="136"/>
      <c r="C109" s="136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</row>
    <row r="110" ht="12.75" customHeight="1" spans="1:35" s="136" customFormat="1" x14ac:dyDescent="0.25">
      <c r="A110" s="136"/>
      <c r="B110" s="136"/>
      <c r="C110" s="136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ht="12.75" customHeight="1" spans="1:35" s="136" customFormat="1" x14ac:dyDescent="0.25">
      <c r="A111" s="136"/>
      <c r="B111" s="136"/>
      <c r="C111" s="136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ht="12.75" customHeight="1" spans="1:4" x14ac:dyDescent="0.25">
      <c r="A112" s="76"/>
      <c r="B112" s="76"/>
      <c r="C112" s="145"/>
      <c r="D112" s="77"/>
    </row>
    <row r="113" spans="1:4" x14ac:dyDescent="0.25">
      <c r="A113" s="76"/>
      <c r="B113" s="76"/>
      <c r="C113" s="76"/>
      <c r="D113" s="77"/>
    </row>
    <row r="114" ht="12.75" customHeight="1" spans="1:5" x14ac:dyDescent="0.25">
      <c r="A114" s="76"/>
      <c r="B114" s="76"/>
      <c r="C114" s="76"/>
      <c r="D114" s="77"/>
      <c r="E114" s="146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4" t="s">
        <v>435</v>
      </c>
      <c r="B1" s="164"/>
      <c r="C1" s="164"/>
      <c r="D1" s="164"/>
      <c r="E1" s="165"/>
      <c r="F1" s="165"/>
      <c r="G1" s="1"/>
      <c r="H1" s="1"/>
    </row>
    <row r="2" ht="12.75" customHeight="1" spans="1:8" x14ac:dyDescent="0.25">
      <c r="A2" s="164"/>
      <c r="B2" s="164"/>
      <c r="C2" s="164"/>
      <c r="D2" s="164"/>
      <c r="E2" s="165"/>
      <c r="F2" s="165"/>
      <c r="G2" s="1"/>
      <c r="H2" s="1"/>
    </row>
    <row r="3" ht="13.5" customHeight="1" spans="1:8" x14ac:dyDescent="0.25">
      <c r="A3" s="166" t="s">
        <v>817</v>
      </c>
      <c r="B3" s="165"/>
      <c r="C3" s="165"/>
      <c r="D3" s="165"/>
      <c r="E3" s="165"/>
      <c r="F3" s="165"/>
      <c r="G3" s="1"/>
      <c r="H3" s="1"/>
    </row>
    <row r="4" ht="13.5" customHeight="1" spans="1:8" x14ac:dyDescent="0.25">
      <c r="A4" s="167" t="s">
        <v>437</v>
      </c>
      <c r="B4" s="165"/>
      <c r="C4" s="165"/>
      <c r="D4" s="165"/>
      <c r="E4" s="165"/>
      <c r="F4" s="165"/>
      <c r="G4" s="1"/>
      <c r="H4" s="1"/>
    </row>
    <row r="5" ht="12.75" customHeight="1" spans="1:8" x14ac:dyDescent="0.25">
      <c r="A5" s="168"/>
      <c r="B5" s="165"/>
      <c r="C5" s="165"/>
      <c r="D5" s="165"/>
      <c r="E5" s="165"/>
      <c r="F5" s="165"/>
      <c r="G5" s="1"/>
      <c r="H5" s="1"/>
    </row>
    <row r="6" ht="12.75" customHeight="1" spans="1:8" x14ac:dyDescent="0.25">
      <c r="A6" s="165"/>
      <c r="B6" s="165"/>
      <c r="C6" s="165"/>
      <c r="D6" s="165"/>
      <c r="E6" s="165"/>
      <c r="F6" s="165"/>
      <c r="G6" s="1"/>
      <c r="H6" s="1"/>
    </row>
    <row r="7" ht="12.75" customHeight="1" spans="1:8" x14ac:dyDescent="0.25">
      <c r="A7" s="169" t="s">
        <v>818</v>
      </c>
      <c r="B7" s="168"/>
      <c r="C7" s="165"/>
      <c r="D7" s="165"/>
      <c r="E7" s="165"/>
      <c r="F7" s="165"/>
      <c r="G7" s="1"/>
      <c r="H7" s="1"/>
    </row>
    <row r="8" ht="12.75" customHeight="1" spans="1:8" x14ac:dyDescent="0.25">
      <c r="A8" s="168"/>
      <c r="B8" s="165"/>
      <c r="C8" s="165"/>
      <c r="D8" s="165"/>
      <c r="E8" s="165"/>
      <c r="F8" s="165"/>
      <c r="G8" s="1"/>
      <c r="H8" s="1"/>
    </row>
    <row r="9" ht="12.75" customHeight="1" spans="1:8" x14ac:dyDescent="0.25">
      <c r="A9" s="170"/>
      <c r="B9" s="168"/>
      <c r="C9" s="165"/>
      <c r="D9" s="165"/>
      <c r="E9" s="165"/>
      <c r="F9" s="170"/>
      <c r="G9" s="1"/>
      <c r="H9" s="1"/>
    </row>
    <row r="10" ht="12.75" customHeight="1" spans="1:8" x14ac:dyDescent="0.25">
      <c r="A10" s="171"/>
      <c r="B10" s="172" t="s">
        <v>819</v>
      </c>
      <c r="C10" s="173" t="s">
        <v>820</v>
      </c>
      <c r="D10" s="173"/>
      <c r="E10" s="173"/>
      <c r="F10" s="174" t="s">
        <v>821</v>
      </c>
      <c r="G10" s="1"/>
      <c r="H10" s="1"/>
    </row>
    <row r="11" ht="12.75" customHeight="1" spans="1:8" x14ac:dyDescent="0.25">
      <c r="A11" s="175" t="s">
        <v>450</v>
      </c>
      <c r="B11" s="176" t="s">
        <v>822</v>
      </c>
      <c r="C11" s="177" t="s">
        <v>823</v>
      </c>
      <c r="D11" s="178" t="s">
        <v>475</v>
      </c>
      <c r="E11" s="179" t="s">
        <v>452</v>
      </c>
      <c r="F11" s="180" t="s">
        <v>824</v>
      </c>
      <c r="G11" s="1"/>
      <c r="H11" s="1"/>
    </row>
    <row r="12" ht="12.75" customHeight="1" spans="1:8" x14ac:dyDescent="0.25">
      <c r="A12" s="181"/>
      <c r="B12" s="182" t="s">
        <v>825</v>
      </c>
      <c r="C12" s="177"/>
      <c r="D12" s="183"/>
      <c r="E12" s="183"/>
      <c r="F12" s="184" t="s">
        <v>826</v>
      </c>
      <c r="G12" s="1"/>
      <c r="H12" s="1"/>
    </row>
    <row r="13" ht="12.75" customHeight="1" spans="1:8" x14ac:dyDescent="0.25">
      <c r="A13" s="185"/>
      <c r="B13" s="186"/>
      <c r="C13" s="187"/>
      <c r="D13" s="188"/>
      <c r="E13" s="189"/>
      <c r="F13" s="190"/>
      <c r="G13" s="1"/>
      <c r="H13" s="1"/>
    </row>
    <row r="14" ht="12.75" customHeight="1" spans="1:8" x14ac:dyDescent="0.25">
      <c r="A14" s="185" t="s">
        <v>827</v>
      </c>
      <c r="B14" s="191">
        <v>10655170.5685161</v>
      </c>
      <c r="C14" s="188">
        <v>221950.07</v>
      </c>
      <c r="D14" s="188">
        <f>+'Dist.de gastos'!F100</f>
      </c>
      <c r="E14" s="188">
        <f>+C14+D14</f>
        <v>221950.07</v>
      </c>
      <c r="F14" s="192">
        <f>+B14+E14</f>
        <v>10877120.6385161</v>
      </c>
      <c r="G14" s="193"/>
      <c r="H14" s="194"/>
    </row>
    <row r="15" ht="12.75" customHeight="1" spans="1:8" x14ac:dyDescent="0.25">
      <c r="A15" s="185"/>
      <c r="B15" s="191"/>
      <c r="C15" s="188">
        <v>0</v>
      </c>
      <c r="D15" s="188">
        <f>+'Dist.de gastos'!F101</f>
      </c>
      <c r="E15" s="188">
        <f>+C15+D15</f>
        <v>0</v>
      </c>
      <c r="F15" s="192"/>
      <c r="G15" s="193"/>
      <c r="H15" s="194"/>
    </row>
    <row r="16" ht="12.75" customHeight="1" spans="1:8" x14ac:dyDescent="0.25">
      <c r="A16" s="185" t="s">
        <v>828</v>
      </c>
      <c r="B16" s="191">
        <v>7616043.07</v>
      </c>
      <c r="C16" s="188">
        <v>293725.66</v>
      </c>
      <c r="D16" s="188">
        <f>+'Dist.de gastos'!G100</f>
      </c>
      <c r="E16" s="188">
        <f>+C16+D16</f>
        <v>293725.66000000003</v>
      </c>
      <c r="F16" s="192">
        <f>+B16+E16</f>
        <v>7909768.73</v>
      </c>
      <c r="G16" s="193"/>
      <c r="H16" s="194"/>
    </row>
    <row r="17" ht="12.75" customHeight="1" spans="1:8" x14ac:dyDescent="0.25">
      <c r="A17" s="185"/>
      <c r="B17" s="191"/>
      <c r="C17" s="188">
        <v>0</v>
      </c>
      <c r="D17" s="188"/>
      <c r="E17" s="188">
        <f>+C17+D17</f>
        <v>0</v>
      </c>
      <c r="F17" s="192"/>
      <c r="G17" s="193"/>
      <c r="H17" s="194"/>
    </row>
    <row r="18" ht="12.75" customHeight="1" spans="1:8" x14ac:dyDescent="0.25">
      <c r="A18" s="185" t="s">
        <v>829</v>
      </c>
      <c r="B18" s="191">
        <v>539339.15</v>
      </c>
      <c r="C18" s="188">
        <v>0</v>
      </c>
      <c r="D18" s="188">
        <v>0</v>
      </c>
      <c r="E18" s="188">
        <f>+C18+D18</f>
        <v>0</v>
      </c>
      <c r="F18" s="192">
        <f>+B18+E18</f>
        <v>539339.15</v>
      </c>
      <c r="G18" s="193"/>
      <c r="H18" s="194"/>
    </row>
    <row r="19" ht="12.75" customHeight="1" spans="1:8" x14ac:dyDescent="0.25">
      <c r="A19" s="185"/>
      <c r="B19" s="191"/>
      <c r="C19" s="188">
        <v>0</v>
      </c>
      <c r="D19" s="188"/>
      <c r="E19" s="188">
        <f>+C19+D19</f>
        <v>0</v>
      </c>
      <c r="F19" s="192"/>
      <c r="G19" s="193"/>
      <c r="H19" s="194"/>
    </row>
    <row r="20" ht="12.75" customHeight="1" spans="1:8" x14ac:dyDescent="0.25">
      <c r="A20" s="185" t="s">
        <v>830</v>
      </c>
      <c r="B20" s="191">
        <v>104295.02</v>
      </c>
      <c r="C20" s="188">
        <v>0</v>
      </c>
      <c r="D20" s="188">
        <v>0</v>
      </c>
      <c r="E20" s="188">
        <f>+C20+D20</f>
        <v>0</v>
      </c>
      <c r="F20" s="192">
        <f>+B20+E20</f>
        <v>104295.02</v>
      </c>
      <c r="G20" s="193"/>
      <c r="H20" s="194"/>
    </row>
    <row r="21" ht="12.75" customHeight="1" spans="1:8" x14ac:dyDescent="0.25">
      <c r="A21" s="185"/>
      <c r="B21" s="191"/>
      <c r="C21" s="188">
        <v>0</v>
      </c>
      <c r="D21" s="188"/>
      <c r="E21" s="188">
        <f>+C21+D21</f>
        <v>0</v>
      </c>
      <c r="F21" s="192"/>
      <c r="G21" s="193"/>
      <c r="H21" s="194"/>
    </row>
    <row r="22" ht="12.75" customHeight="1" spans="1:8" x14ac:dyDescent="0.25">
      <c r="A22" s="185" t="s">
        <v>831</v>
      </c>
      <c r="B22" s="191">
        <v>1342066.81</v>
      </c>
      <c r="C22" s="188">
        <v>0</v>
      </c>
      <c r="D22" s="188">
        <v>0</v>
      </c>
      <c r="E22" s="188">
        <f>+C22+D22</f>
        <v>0</v>
      </c>
      <c r="F22" s="192">
        <f>+B22+E22</f>
        <v>1342066.81</v>
      </c>
      <c r="G22" s="193"/>
      <c r="H22" s="194"/>
    </row>
    <row r="23" ht="12.75" customHeight="1" spans="1:8" x14ac:dyDescent="0.25">
      <c r="A23" s="185"/>
      <c r="B23" s="191"/>
      <c r="C23" s="188">
        <v>0</v>
      </c>
      <c r="D23" s="188"/>
      <c r="E23" s="188">
        <f>+C23+D23</f>
        <v>0</v>
      </c>
      <c r="F23" s="192"/>
      <c r="G23" s="193"/>
      <c r="H23" s="194"/>
    </row>
    <row r="24" ht="12.75" customHeight="1" spans="1:8" x14ac:dyDescent="0.25">
      <c r="A24" s="185" t="s">
        <v>832</v>
      </c>
      <c r="B24" s="191">
        <v>2514895.5</v>
      </c>
      <c r="C24" s="188">
        <v>0</v>
      </c>
      <c r="D24" s="188">
        <v>0</v>
      </c>
      <c r="E24" s="188">
        <f>+C24+D24</f>
        <v>0</v>
      </c>
      <c r="F24" s="192">
        <f>+B24+E24</f>
        <v>2514895.5</v>
      </c>
      <c r="G24" s="193"/>
      <c r="H24" s="194"/>
    </row>
    <row r="25" ht="12.75" customHeight="1" spans="1:8" x14ac:dyDescent="0.25">
      <c r="A25" s="185"/>
      <c r="B25" s="191"/>
      <c r="C25" s="188">
        <v>0</v>
      </c>
      <c r="D25" s="188"/>
      <c r="E25" s="188">
        <f>+C25+D25</f>
        <v>0</v>
      </c>
      <c r="F25" s="192"/>
      <c r="G25" s="193"/>
      <c r="H25" s="194"/>
    </row>
    <row r="26" ht="12.75" customHeight="1" spans="1:8" x14ac:dyDescent="0.25">
      <c r="A26" s="185" t="s">
        <v>833</v>
      </c>
      <c r="B26" s="191">
        <v>247500.23</v>
      </c>
      <c r="C26" s="188">
        <v>0</v>
      </c>
      <c r="D26" s="188">
        <v>0</v>
      </c>
      <c r="E26" s="188">
        <f>+C26+D26</f>
        <v>0</v>
      </c>
      <c r="F26" s="192">
        <f>+B26+E26</f>
        <v>247500.23</v>
      </c>
      <c r="G26" s="193"/>
      <c r="H26" s="194"/>
    </row>
    <row r="27" ht="12.75" customHeight="1" spans="1:8" x14ac:dyDescent="0.25">
      <c r="A27" s="185"/>
      <c r="B27" s="191"/>
      <c r="C27" s="188">
        <v>0</v>
      </c>
      <c r="D27" s="188"/>
      <c r="E27" s="188">
        <f>+C27+D27</f>
        <v>0</v>
      </c>
      <c r="F27" s="192"/>
      <c r="G27" s="193"/>
      <c r="H27" s="194"/>
    </row>
    <row r="28" ht="12.75" customHeight="1" spans="1:8" x14ac:dyDescent="0.25">
      <c r="A28" s="185" t="s">
        <v>834</v>
      </c>
      <c r="B28" s="191">
        <v>1113083.26</v>
      </c>
      <c r="C28" s="188">
        <v>0</v>
      </c>
      <c r="D28" s="188">
        <v>0</v>
      </c>
      <c r="E28" s="188">
        <f>+C28+D28</f>
        <v>0</v>
      </c>
      <c r="F28" s="192">
        <f>+B28+E28</f>
        <v>1113083.26</v>
      </c>
      <c r="G28" s="193"/>
      <c r="H28" s="194"/>
    </row>
    <row r="29" ht="12.75" customHeight="1" spans="1:8" x14ac:dyDescent="0.25">
      <c r="A29" s="185"/>
      <c r="B29" s="191"/>
      <c r="C29" s="188">
        <v>0</v>
      </c>
      <c r="D29" s="188"/>
      <c r="E29" s="188">
        <f>+C29+D29</f>
        <v>0</v>
      </c>
      <c r="F29" s="192"/>
      <c r="G29" s="193"/>
      <c r="H29" s="194"/>
    </row>
    <row r="30" ht="12.75" customHeight="1" spans="1:8" x14ac:dyDescent="0.25">
      <c r="A30" s="185" t="s">
        <v>835</v>
      </c>
      <c r="B30" s="191">
        <v>462831.19</v>
      </c>
      <c r="C30" s="188">
        <v>2171.47</v>
      </c>
      <c r="D30" s="188">
        <f>+'Dist.de gastos'!I100</f>
      </c>
      <c r="E30" s="188">
        <f>+C30+D30</f>
        <v>2171.47</v>
      </c>
      <c r="F30" s="192">
        <f>+B30+E30</f>
        <v>465002.66</v>
      </c>
      <c r="G30" s="193"/>
      <c r="H30" s="194"/>
    </row>
    <row r="31" ht="12.75" customHeight="1" spans="1:8" x14ac:dyDescent="0.25">
      <c r="A31" s="185"/>
      <c r="B31" s="191"/>
      <c r="C31" s="188">
        <v>0</v>
      </c>
      <c r="D31" s="188"/>
      <c r="E31" s="188">
        <f>+C31+D31</f>
        <v>0</v>
      </c>
      <c r="F31" s="192"/>
      <c r="G31" s="193"/>
      <c r="H31" s="194"/>
    </row>
    <row r="32" ht="12.75" customHeight="1" spans="1:8" x14ac:dyDescent="0.25">
      <c r="A32" s="185" t="s">
        <v>836</v>
      </c>
      <c r="B32" s="191">
        <v>964922.37</v>
      </c>
      <c r="C32" s="188">
        <v>2008.07</v>
      </c>
      <c r="D32" s="188">
        <f>+'Dist.de gastos'!J100</f>
      </c>
      <c r="E32" s="188">
        <f>+C32+D32</f>
        <v>2008.07</v>
      </c>
      <c r="F32" s="192">
        <f>+B32+E32</f>
        <v>966930.44</v>
      </c>
      <c r="G32" s="193"/>
      <c r="H32" s="194"/>
    </row>
    <row r="33" ht="12.75" customHeight="1" spans="1:8" x14ac:dyDescent="0.25">
      <c r="A33" s="185"/>
      <c r="B33" s="191"/>
      <c r="C33" s="188">
        <v>0</v>
      </c>
      <c r="D33" s="188"/>
      <c r="E33" s="188">
        <f>+C33+D33</f>
        <v>0</v>
      </c>
      <c r="F33" s="192"/>
      <c r="G33" s="193"/>
      <c r="H33" s="194"/>
    </row>
    <row r="34" ht="12.75" customHeight="1" spans="1:8" x14ac:dyDescent="0.25">
      <c r="A34" s="185" t="s">
        <v>837</v>
      </c>
      <c r="B34" s="191">
        <v>847852.08</v>
      </c>
      <c r="C34" s="188">
        <v>2614.37</v>
      </c>
      <c r="D34" s="188">
        <f>+'Dist.de gastos'!M100</f>
      </c>
      <c r="E34" s="188">
        <f>+C34+D34</f>
        <v>2614.37</v>
      </c>
      <c r="F34" s="192">
        <f>+B34+E34</f>
        <v>850466.45</v>
      </c>
      <c r="G34" s="193"/>
      <c r="H34" s="194"/>
    </row>
    <row r="35" ht="12.75" customHeight="1" spans="1:8" x14ac:dyDescent="0.25">
      <c r="A35" s="185"/>
      <c r="B35" s="191"/>
      <c r="C35" s="188">
        <v>0</v>
      </c>
      <c r="D35" s="188"/>
      <c r="E35" s="188">
        <f>+C35+D35</f>
        <v>0</v>
      </c>
      <c r="F35" s="192"/>
      <c r="G35" s="193"/>
      <c r="H35" s="194"/>
    </row>
    <row r="36" ht="12.75" customHeight="1" spans="1:8" x14ac:dyDescent="0.25">
      <c r="A36" s="185" t="s">
        <v>838</v>
      </c>
      <c r="B36" s="191">
        <v>9494209.2</v>
      </c>
      <c r="C36" s="188">
        <v>65848.73</v>
      </c>
      <c r="D36" s="188">
        <f>+'Dist.de gastos'!N100</f>
      </c>
      <c r="E36" s="188">
        <f>+C36+D36</f>
        <v>65848.73</v>
      </c>
      <c r="F36" s="192">
        <f>+B36+E36</f>
        <v>9560057.93</v>
      </c>
      <c r="G36" s="193"/>
      <c r="H36" s="194"/>
    </row>
    <row r="37" ht="12.75" customHeight="1" spans="1:8" x14ac:dyDescent="0.25">
      <c r="A37" s="185"/>
      <c r="B37" s="191"/>
      <c r="C37" s="188">
        <v>0</v>
      </c>
      <c r="D37" s="188"/>
      <c r="E37" s="188">
        <f>+C37+D37</f>
        <v>0</v>
      </c>
      <c r="F37" s="192"/>
      <c r="G37" s="193"/>
      <c r="H37" s="194"/>
    </row>
    <row r="38" ht="12.75" customHeight="1" spans="1:8" x14ac:dyDescent="0.25">
      <c r="A38" s="185" t="s">
        <v>839</v>
      </c>
      <c r="B38" s="191">
        <v>2577915.86</v>
      </c>
      <c r="C38" s="188">
        <v>553114.11</v>
      </c>
      <c r="D38" s="188">
        <f>+'Dist.de gastos'!K100</f>
      </c>
      <c r="E38" s="188">
        <f>+C38+D38</f>
        <v>553114.11</v>
      </c>
      <c r="F38" s="192">
        <f>+B38+E38</f>
        <v>3131029.9699999997</v>
      </c>
      <c r="G38" s="193"/>
      <c r="H38" s="194"/>
    </row>
    <row r="39" ht="12.75" customHeight="1" spans="1:8" x14ac:dyDescent="0.25">
      <c r="A39" s="185"/>
      <c r="B39" s="191"/>
      <c r="C39" s="188">
        <v>0</v>
      </c>
      <c r="D39" s="188"/>
      <c r="E39" s="188">
        <f>+C39+D39</f>
        <v>0</v>
      </c>
      <c r="F39" s="192"/>
      <c r="G39" s="193"/>
      <c r="H39" s="194"/>
    </row>
    <row r="40" ht="12.75" customHeight="1" spans="1:8" x14ac:dyDescent="0.25">
      <c r="A40" s="185" t="s">
        <v>840</v>
      </c>
      <c r="B40" s="191">
        <v>158896.84</v>
      </c>
      <c r="C40" s="188">
        <v>0</v>
      </c>
      <c r="D40" s="195">
        <f>+'Dist.de gastos'!O98</f>
      </c>
      <c r="E40" s="188">
        <f>+C40+D40</f>
        <v>0</v>
      </c>
      <c r="F40" s="192">
        <f>+B40+E40</f>
        <v>158896.84</v>
      </c>
      <c r="G40" s="193"/>
      <c r="H40" s="194"/>
    </row>
    <row r="41" ht="12.75" customHeight="1" spans="1:8" x14ac:dyDescent="0.25">
      <c r="A41" s="185"/>
      <c r="B41" s="191"/>
      <c r="C41" s="188">
        <v>0</v>
      </c>
      <c r="D41" s="195">
        <f>+'Dist.de gastos'!O99</f>
      </c>
      <c r="E41" s="188">
        <f>+C41+D41</f>
        <v>0</v>
      </c>
      <c r="F41" s="192"/>
      <c r="G41" s="193"/>
      <c r="H41" s="194"/>
    </row>
    <row r="42" ht="12.75" customHeight="1" spans="1:8" x14ac:dyDescent="0.25">
      <c r="A42" s="185" t="s">
        <v>841</v>
      </c>
      <c r="B42" s="191">
        <v>16655.97</v>
      </c>
      <c r="C42" s="188">
        <v>487.94</v>
      </c>
      <c r="D42" s="195">
        <f>+'Dist.de gastos'!O100</f>
      </c>
      <c r="E42" s="188">
        <f>+C42+D42</f>
        <v>487.94</v>
      </c>
      <c r="F42" s="192">
        <f>+B42+E42</f>
        <v>17143.91</v>
      </c>
      <c r="G42" s="193"/>
      <c r="H42" s="194"/>
    </row>
    <row r="43" ht="12.75" customHeight="1" spans="1:8" x14ac:dyDescent="0.25">
      <c r="A43" s="185"/>
      <c r="B43" s="191"/>
      <c r="C43" s="188">
        <v>0</v>
      </c>
      <c r="D43" s="195">
        <f>+'Dist.de gastos'!O101</f>
      </c>
      <c r="E43" s="188">
        <f>+C43+D43</f>
        <v>0</v>
      </c>
      <c r="F43" s="192"/>
      <c r="G43" s="193"/>
      <c r="H43" s="194"/>
    </row>
    <row r="44" ht="12.75" customHeight="1" spans="1:8" x14ac:dyDescent="0.25">
      <c r="A44" s="185" t="s">
        <v>842</v>
      </c>
      <c r="B44" s="191">
        <v>6584.26</v>
      </c>
      <c r="C44" s="188">
        <v>0</v>
      </c>
      <c r="D44" s="195">
        <f>+'Dist.de gastos'!O102</f>
      </c>
      <c r="E44" s="188">
        <f>+C44+D44</f>
        <v>0</v>
      </c>
      <c r="F44" s="192">
        <f>+B44+E44</f>
        <v>6584.26</v>
      </c>
      <c r="G44" s="193"/>
      <c r="H44" s="194"/>
    </row>
    <row r="45" ht="12.75" customHeight="1" spans="1:8" x14ac:dyDescent="0.25">
      <c r="A45" s="185"/>
      <c r="B45" s="191"/>
      <c r="C45" s="188">
        <v>0</v>
      </c>
      <c r="D45" s="195">
        <f>+'Dist.de gastos'!O103</f>
      </c>
      <c r="E45" s="188">
        <f>+C45+D45</f>
        <v>0</v>
      </c>
      <c r="F45" s="192"/>
      <c r="G45" s="193"/>
      <c r="H45" s="194"/>
    </row>
    <row r="46" ht="12.75" customHeight="1" spans="1:8" x14ac:dyDescent="0.25">
      <c r="A46" s="185" t="s">
        <v>843</v>
      </c>
      <c r="B46" s="191">
        <v>5000</v>
      </c>
      <c r="C46" s="188">
        <v>0</v>
      </c>
      <c r="D46" s="195">
        <f>+'Dist.de gastos'!O104</f>
      </c>
      <c r="E46" s="188">
        <f>+C46+D46</f>
        <v>0</v>
      </c>
      <c r="F46" s="192">
        <f>+B46+E46</f>
        <v>5000</v>
      </c>
      <c r="G46" s="193"/>
      <c r="H46" s="194"/>
    </row>
    <row r="47" ht="12.75" customHeight="1" spans="1:8" x14ac:dyDescent="0.25">
      <c r="A47" s="185"/>
      <c r="B47" s="191"/>
      <c r="C47" s="188">
        <v>0</v>
      </c>
      <c r="D47" s="195">
        <f>+'Dist.de gastos'!O105</f>
      </c>
      <c r="E47" s="188">
        <f>+C47+D47</f>
        <v>0</v>
      </c>
      <c r="F47" s="192"/>
      <c r="G47" s="193"/>
      <c r="H47" s="194"/>
    </row>
    <row r="48" ht="12.75" customHeight="1" spans="1:8" x14ac:dyDescent="0.25">
      <c r="A48" s="185" t="s">
        <v>844</v>
      </c>
      <c r="B48" s="191">
        <v>177908.1</v>
      </c>
      <c r="C48" s="188">
        <v>4823.32</v>
      </c>
      <c r="D48" s="195">
        <f>+'Dist.de gastos'!P100</f>
      </c>
      <c r="E48" s="188">
        <f>+C48+D48</f>
        <v>4823.32</v>
      </c>
      <c r="F48" s="192">
        <f>+B48+E48</f>
        <v>182731.42</v>
      </c>
      <c r="G48" s="193"/>
      <c r="H48" s="194"/>
    </row>
    <row r="49" ht="12.75" customHeight="1" spans="1:8" x14ac:dyDescent="0.25">
      <c r="A49" s="185"/>
      <c r="B49" s="191"/>
      <c r="C49" s="188">
        <v>0</v>
      </c>
      <c r="D49" s="195">
        <f>+'Dist.de gastos'!O107</f>
      </c>
      <c r="E49" s="188">
        <f>+C49+D49</f>
        <v>0</v>
      </c>
      <c r="F49" s="192"/>
      <c r="G49" s="193"/>
      <c r="H49" s="194"/>
    </row>
    <row r="50" ht="12.75" customHeight="1" spans="1:8" x14ac:dyDescent="0.25">
      <c r="A50" s="185" t="s">
        <v>845</v>
      </c>
      <c r="B50" s="191">
        <v>29721.57</v>
      </c>
      <c r="C50" s="188">
        <v>0</v>
      </c>
      <c r="D50" s="195">
        <f>+'Dist.de gastos'!O108</f>
      </c>
      <c r="E50" s="188">
        <f>+C50+D50</f>
        <v>0</v>
      </c>
      <c r="F50" s="192">
        <f>+B50+E50</f>
        <v>29721.57</v>
      </c>
      <c r="G50" s="193"/>
      <c r="H50" s="194"/>
    </row>
    <row r="51" ht="12.75" customHeight="1" spans="1:8" x14ac:dyDescent="0.25">
      <c r="A51" s="185"/>
      <c r="B51" s="191"/>
      <c r="C51" s="188">
        <v>0</v>
      </c>
      <c r="D51" s="195">
        <f>+'Dist.de gastos'!O109</f>
      </c>
      <c r="E51" s="188">
        <f>+C51+D51</f>
        <v>0</v>
      </c>
      <c r="F51" s="192"/>
      <c r="G51" s="193"/>
      <c r="H51" s="194"/>
    </row>
    <row r="52" ht="12.75" customHeight="1" spans="1:8" x14ac:dyDescent="0.25">
      <c r="A52" s="185" t="s">
        <v>846</v>
      </c>
      <c r="B52" s="191">
        <v>1768.7</v>
      </c>
      <c r="C52" s="188">
        <v>0</v>
      </c>
      <c r="D52" s="195">
        <f>+'Dist.de gastos'!O110</f>
      </c>
      <c r="E52" s="188">
        <f>+C52+D52</f>
        <v>0</v>
      </c>
      <c r="F52" s="192">
        <f>+B52+E52</f>
        <v>1768.7</v>
      </c>
      <c r="G52" s="193"/>
      <c r="H52" s="194"/>
    </row>
    <row r="53" ht="12.75" customHeight="1" spans="1:8" x14ac:dyDescent="0.25">
      <c r="A53" s="185"/>
      <c r="B53" s="191"/>
      <c r="C53" s="188">
        <v>0</v>
      </c>
      <c r="D53" s="195">
        <f>+'Dist.de gastos'!O111</f>
      </c>
      <c r="E53" s="188">
        <f>+C53+D53</f>
        <v>0</v>
      </c>
      <c r="F53" s="192"/>
      <c r="G53" s="193"/>
      <c r="H53" s="194"/>
    </row>
    <row r="54" ht="12.75" customHeight="1" spans="1:8" x14ac:dyDescent="0.25">
      <c r="A54" s="185" t="s">
        <v>847</v>
      </c>
      <c r="B54" s="191">
        <v>1966.74</v>
      </c>
      <c r="C54" s="188">
        <v>0</v>
      </c>
      <c r="D54" s="195">
        <f>+'Dist.de gastos'!O112</f>
      </c>
      <c r="E54" s="188">
        <f>+C54+D54</f>
        <v>0</v>
      </c>
      <c r="F54" s="192">
        <f>+B54+E54</f>
        <v>1966.74</v>
      </c>
      <c r="G54" s="193"/>
      <c r="H54" s="194"/>
    </row>
    <row r="55" ht="12.75" customHeight="1" spans="1:8" x14ac:dyDescent="0.25">
      <c r="A55" s="185"/>
      <c r="B55" s="191"/>
      <c r="C55" s="188">
        <v>0</v>
      </c>
      <c r="D55" s="195">
        <f>+'Dist.de gastos'!O113</f>
      </c>
      <c r="E55" s="188">
        <f>+C55+D55</f>
        <v>0</v>
      </c>
      <c r="F55" s="192"/>
      <c r="G55" s="193"/>
      <c r="H55" s="194"/>
    </row>
    <row r="56" ht="12.75" customHeight="1" spans="1:8" x14ac:dyDescent="0.25">
      <c r="A56" s="185" t="s">
        <v>848</v>
      </c>
      <c r="B56" s="191">
        <v>2758725.58</v>
      </c>
      <c r="C56" s="188">
        <v>0</v>
      </c>
      <c r="D56" s="195">
        <f>+'Dist.de gastos'!V100</f>
      </c>
      <c r="E56" s="188">
        <f>+C56+D56</f>
        <v>0</v>
      </c>
      <c r="F56" s="192">
        <f>+B56+E56</f>
        <v>2758725.58</v>
      </c>
      <c r="G56" s="193"/>
      <c r="H56" s="194"/>
    </row>
    <row r="57" ht="12.75" customHeight="1" spans="1:8" x14ac:dyDescent="0.25">
      <c r="A57" s="185"/>
      <c r="B57" s="191">
        <v>0</v>
      </c>
      <c r="C57" s="188">
        <v>0</v>
      </c>
      <c r="D57" s="195">
        <f>+'Dist.de gastos'!O115</f>
      </c>
      <c r="E57" s="188">
        <f>+C57+D57</f>
        <v>0</v>
      </c>
      <c r="F57" s="192">
        <f>+B57+E57</f>
        <v>0</v>
      </c>
      <c r="G57" s="193"/>
      <c r="H57" s="194"/>
    </row>
    <row r="58" ht="12.75" customHeight="1" spans="1:8" x14ac:dyDescent="0.25">
      <c r="A58" s="185" t="s">
        <v>849</v>
      </c>
      <c r="B58" s="191">
        <v>3954433.14</v>
      </c>
      <c r="C58" s="188">
        <v>0</v>
      </c>
      <c r="D58" s="195">
        <f>+'Dist.de gastos'!U100</f>
      </c>
      <c r="E58" s="188">
        <f>+C58+D58</f>
        <v>0</v>
      </c>
      <c r="F58" s="192">
        <f>+B58+E58</f>
        <v>3954433.14</v>
      </c>
      <c r="G58" s="193"/>
      <c r="H58" s="194"/>
    </row>
    <row r="59" ht="12.75" customHeight="1" spans="1:8" x14ac:dyDescent="0.25">
      <c r="A59" s="185"/>
      <c r="B59" s="191">
        <v>0</v>
      </c>
      <c r="C59" s="188">
        <v>0</v>
      </c>
      <c r="D59" s="195">
        <f>+'Dist.de gastos'!O117</f>
      </c>
      <c r="E59" s="188">
        <f>+C59+D59</f>
        <v>0</v>
      </c>
      <c r="F59" s="192">
        <f>+B59+E59</f>
        <v>0</v>
      </c>
      <c r="G59" s="193"/>
      <c r="H59" s="194"/>
    </row>
    <row r="60" ht="12.75" customHeight="1" spans="1:8" x14ac:dyDescent="0.25">
      <c r="A60" s="185" t="s">
        <v>850</v>
      </c>
      <c r="B60" s="191">
        <v>362.64</v>
      </c>
      <c r="C60" s="188">
        <v>0</v>
      </c>
      <c r="D60" s="195">
        <f>+'Dist.de gastos'!O118</f>
      </c>
      <c r="E60" s="188">
        <f>+C60+D60</f>
        <v>0</v>
      </c>
      <c r="F60" s="192">
        <f>+B60+E60</f>
        <v>362.64</v>
      </c>
      <c r="G60" s="193"/>
      <c r="H60" s="194"/>
    </row>
    <row r="61" ht="12.75" customHeight="1" spans="1:8" x14ac:dyDescent="0.25">
      <c r="A61" s="185"/>
      <c r="B61" s="191">
        <v>0</v>
      </c>
      <c r="C61" s="188">
        <v>0</v>
      </c>
      <c r="D61" s="195">
        <f>+'Dist.de gastos'!O119</f>
      </c>
      <c r="E61" s="188">
        <f>+C61+D61</f>
        <v>0</v>
      </c>
      <c r="F61" s="192">
        <f>+B61+E61</f>
        <v>0</v>
      </c>
      <c r="G61" s="193"/>
      <c r="H61" s="194"/>
    </row>
    <row r="62" ht="12.75" customHeight="1" spans="1:8" x14ac:dyDescent="0.25">
      <c r="A62" s="185" t="s">
        <v>851</v>
      </c>
      <c r="B62" s="191">
        <v>1010.28</v>
      </c>
      <c r="C62" s="188">
        <v>0</v>
      </c>
      <c r="D62" s="195">
        <f>+'Dist.de gastos'!O120</f>
      </c>
      <c r="E62" s="188">
        <f>+C62+D62</f>
        <v>0</v>
      </c>
      <c r="F62" s="192">
        <f>+B62+E62</f>
        <v>1010.28</v>
      </c>
      <c r="G62" s="193"/>
      <c r="H62" s="194"/>
    </row>
    <row r="63" ht="12.75" customHeight="1" spans="1:8" x14ac:dyDescent="0.25">
      <c r="A63" s="185"/>
      <c r="B63" s="191">
        <v>0</v>
      </c>
      <c r="C63" s="188">
        <v>0</v>
      </c>
      <c r="D63" s="195">
        <f>+'Dist.de gastos'!O121</f>
      </c>
      <c r="E63" s="188">
        <f>+C63+D63</f>
        <v>0</v>
      </c>
      <c r="F63" s="192">
        <f>+B63+E63</f>
        <v>0</v>
      </c>
      <c r="G63" s="193"/>
      <c r="H63" s="194"/>
    </row>
    <row r="64" ht="12.75" customHeight="1" spans="1:8" x14ac:dyDescent="0.25">
      <c r="A64" s="185" t="s">
        <v>852</v>
      </c>
      <c r="B64" s="191">
        <v>10845.66</v>
      </c>
      <c r="C64" s="188">
        <v>0</v>
      </c>
      <c r="D64" s="195">
        <f>+'Dist.de gastos'!O122</f>
      </c>
      <c r="E64" s="188">
        <f>+C64+D64</f>
        <v>0</v>
      </c>
      <c r="F64" s="192">
        <f>+B64+E64</f>
        <v>10845.66</v>
      </c>
      <c r="G64" s="193"/>
      <c r="H64" s="194"/>
    </row>
    <row r="65" ht="12.75" customHeight="1" spans="1:8" x14ac:dyDescent="0.25">
      <c r="A65" s="185"/>
      <c r="B65" s="191">
        <v>0</v>
      </c>
      <c r="C65" s="188">
        <v>0</v>
      </c>
      <c r="D65" s="195">
        <f>+'Dist.de gastos'!O123</f>
      </c>
      <c r="E65" s="188">
        <f>+C65+D65</f>
        <v>0</v>
      </c>
      <c r="F65" s="192">
        <f>+B65+E65</f>
        <v>0</v>
      </c>
      <c r="G65" s="193"/>
      <c r="H65" s="194"/>
    </row>
    <row r="66" ht="12.75" customHeight="1" spans="1:8" x14ac:dyDescent="0.25">
      <c r="A66" s="185" t="s">
        <v>853</v>
      </c>
      <c r="B66" s="191">
        <v>6713.02</v>
      </c>
      <c r="C66" s="188">
        <v>0</v>
      </c>
      <c r="D66" s="195">
        <f>+'Dist.de gastos'!O124</f>
      </c>
      <c r="E66" s="188">
        <f>+C66+D66</f>
        <v>0</v>
      </c>
      <c r="F66" s="192">
        <f>+B66+E66</f>
        <v>6713.02</v>
      </c>
      <c r="G66" s="193"/>
      <c r="H66" s="194"/>
    </row>
    <row r="67" ht="12.75" customHeight="1" spans="1:8" x14ac:dyDescent="0.25">
      <c r="A67" s="185"/>
      <c r="B67" s="191">
        <v>0</v>
      </c>
      <c r="C67" s="188">
        <v>0</v>
      </c>
      <c r="D67" s="195">
        <f>+'Dist.de gastos'!O125</f>
      </c>
      <c r="E67" s="188">
        <f>+C67+D67</f>
        <v>0</v>
      </c>
      <c r="F67" s="192">
        <f>+B67+E67</f>
        <v>0</v>
      </c>
      <c r="G67" s="193"/>
      <c r="H67" s="194"/>
    </row>
    <row r="68" ht="12.75" customHeight="1" spans="1:8" x14ac:dyDescent="0.25">
      <c r="A68" s="185" t="s">
        <v>854</v>
      </c>
      <c r="B68" s="191">
        <v>5691.9</v>
      </c>
      <c r="C68" s="188">
        <v>0</v>
      </c>
      <c r="D68" s="195">
        <f>+'Dist.de gastos'!O126</f>
      </c>
      <c r="E68" s="188">
        <f>+C68+D68</f>
        <v>0</v>
      </c>
      <c r="F68" s="192">
        <f>+B68+E68</f>
        <v>5691.9</v>
      </c>
      <c r="G68" s="193"/>
      <c r="H68" s="194"/>
    </row>
    <row r="69" ht="12.75" customHeight="1" spans="1:8" x14ac:dyDescent="0.25">
      <c r="A69" s="185"/>
      <c r="B69" s="191">
        <v>0</v>
      </c>
      <c r="C69" s="188">
        <v>0</v>
      </c>
      <c r="D69" s="195">
        <f>+'Dist.de gastos'!O127</f>
      </c>
      <c r="E69" s="188">
        <f>+C69+D69</f>
        <v>0</v>
      </c>
      <c r="F69" s="192">
        <f>+B69+E69</f>
        <v>0</v>
      </c>
      <c r="G69" s="193"/>
      <c r="H69" s="194"/>
    </row>
    <row r="70" ht="12.75" customHeight="1" spans="1:8" x14ac:dyDescent="0.25">
      <c r="A70" s="185" t="s">
        <v>855</v>
      </c>
      <c r="B70" s="191">
        <v>29161.16</v>
      </c>
      <c r="C70" s="188">
        <v>0</v>
      </c>
      <c r="D70" s="195">
        <f>+'Dist.de gastos'!O128</f>
      </c>
      <c r="E70" s="188">
        <f>+C70+D70</f>
        <v>0</v>
      </c>
      <c r="F70" s="192">
        <f>+B70+E70</f>
        <v>29161.16</v>
      </c>
      <c r="G70" s="193"/>
      <c r="H70" s="194"/>
    </row>
    <row r="71" ht="12.75" customHeight="1" spans="1:8" x14ac:dyDescent="0.25">
      <c r="A71" s="185"/>
      <c r="B71" s="191"/>
      <c r="C71" s="188"/>
      <c r="D71" s="195">
        <f>+'Dist.de gastos'!O129</f>
      </c>
      <c r="E71" s="188"/>
      <c r="F71" s="192"/>
      <c r="G71" s="193"/>
      <c r="H71" s="194"/>
    </row>
    <row r="72" ht="12.75" customHeight="1" spans="1:8" x14ac:dyDescent="0.25">
      <c r="A72" s="185" t="s">
        <v>856</v>
      </c>
      <c r="B72" s="191">
        <v>989.84</v>
      </c>
      <c r="C72" s="188">
        <v>0</v>
      </c>
      <c r="D72" s="195">
        <f>+'Dist.de gastos'!S100</f>
      </c>
      <c r="E72" s="188">
        <f>+C72+D72</f>
        <v>0</v>
      </c>
      <c r="F72" s="192">
        <f>+B72+E72</f>
        <v>989.84</v>
      </c>
      <c r="G72" s="193"/>
      <c r="H72" s="194"/>
    </row>
    <row r="73" ht="12.75" customHeight="1" spans="1:8" x14ac:dyDescent="0.25">
      <c r="A73" s="185"/>
      <c r="B73" s="191">
        <v>0</v>
      </c>
      <c r="C73" s="188">
        <v>0</v>
      </c>
      <c r="D73" s="188"/>
      <c r="E73" s="188">
        <f>+C73+D73</f>
        <v>0</v>
      </c>
      <c r="F73" s="192">
        <f>+B73+E73</f>
        <v>0</v>
      </c>
      <c r="G73" s="1"/>
      <c r="H73" s="1"/>
    </row>
    <row r="74" ht="12.75" customHeight="1" spans="1:7" x14ac:dyDescent="0.25">
      <c r="A74" s="196"/>
      <c r="B74" s="197">
        <f>SUM(B14:B73)</f>
        <v>45646559.708516106</v>
      </c>
      <c r="C74" s="198">
        <f>SUM(C14:C73)</f>
        <v>1146743.74</v>
      </c>
      <c r="D74" s="198">
        <f>+SUM(D14:D73)</f>
        <v>95792.6</v>
      </c>
      <c r="E74" s="198">
        <f>+SUM(E14:E73)</f>
        <v>1146743.74</v>
      </c>
      <c r="F74" s="199">
        <f>+SUM(F14:F73)</f>
        <v>46793303.44851611</v>
      </c>
      <c r="G74" s="200"/>
    </row>
    <row r="75" ht="13.5" customHeight="1" spans="1:7" x14ac:dyDescent="0.25">
      <c r="A75" s="181"/>
      <c r="B75" s="201"/>
      <c r="C75" s="202"/>
      <c r="D75" s="203"/>
      <c r="E75" s="203"/>
      <c r="F75" s="204"/>
      <c r="G75" s="205"/>
    </row>
    <row r="76" ht="13.5" customHeight="1" spans="1:7" x14ac:dyDescent="0.25">
      <c r="A76" s="1"/>
      <c r="B76" s="193"/>
      <c r="C76" s="193"/>
      <c r="D76" s="193"/>
      <c r="E76" s="193"/>
      <c r="F76" s="193"/>
      <c r="G76" s="200"/>
    </row>
    <row r="77" ht="12.75" customHeight="1" spans="1:6" x14ac:dyDescent="0.25">
      <c r="A77" s="1"/>
      <c r="B77" s="206"/>
      <c r="C77" s="193"/>
      <c r="D77" s="206"/>
      <c r="E77" s="193"/>
      <c r="F77" s="207"/>
    </row>
    <row r="78" ht="12.75" customHeight="1" spans="1:6" x14ac:dyDescent="0.25">
      <c r="A78" s="1"/>
      <c r="B78" s="122"/>
      <c r="C78" s="193"/>
      <c r="D78" s="206"/>
      <c r="E78" s="207"/>
      <c r="F78" s="208"/>
    </row>
    <row r="79" ht="12.75" customHeight="1" spans="1:6" x14ac:dyDescent="0.25">
      <c r="A79" s="1"/>
      <c r="B79" s="208"/>
      <c r="C79" s="200"/>
      <c r="D79" s="209"/>
      <c r="E79" s="207"/>
      <c r="F79" s="194"/>
    </row>
    <row r="80" ht="12.75" customHeight="1" spans="1:6" x14ac:dyDescent="0.25">
      <c r="A80" s="1"/>
      <c r="B80" s="200"/>
      <c r="C80" s="193"/>
      <c r="D80" s="193"/>
      <c r="E80" s="193"/>
      <c r="F80" s="208"/>
    </row>
    <row r="81" ht="12.75" customHeight="1" spans="1:5" x14ac:dyDescent="0.25">
      <c r="A81" s="1"/>
      <c r="B81" s="194"/>
      <c r="C81" s="207"/>
      <c r="D81" s="193"/>
      <c r="E81" s="207"/>
    </row>
    <row r="82" ht="12.75" customHeight="1" spans="1:6" x14ac:dyDescent="0.25">
      <c r="A82" s="1"/>
      <c r="B82" s="1"/>
      <c r="C82" s="207"/>
      <c r="D82" s="193"/>
      <c r="E82" s="193"/>
      <c r="F82" s="194"/>
    </row>
    <row r="83" ht="12.75" customHeight="1" spans="1:5" x14ac:dyDescent="0.25">
      <c r="A83" s="1"/>
      <c r="B83" s="1"/>
      <c r="C83" s="193"/>
      <c r="D83" s="208"/>
      <c r="E83" s="193"/>
    </row>
    <row r="84" ht="12.75" customHeight="1" spans="1:5" x14ac:dyDescent="0.25">
      <c r="A84" s="1"/>
      <c r="B84" s="1"/>
      <c r="C84" s="193"/>
      <c r="D84" s="193"/>
      <c r="E84" s="193"/>
    </row>
    <row r="85" ht="12.75" customHeight="1" spans="1:6" x14ac:dyDescent="0.25">
      <c r="A85" s="1"/>
      <c r="B85" s="1"/>
      <c r="C85" s="193"/>
      <c r="D85" s="193"/>
      <c r="E85" s="207"/>
      <c r="F85" s="194"/>
    </row>
    <row r="86" ht="12.75" customHeight="1" spans="1:5" x14ac:dyDescent="0.25">
      <c r="A86" s="1"/>
      <c r="B86" s="1"/>
      <c r="C86" s="193"/>
      <c r="D86" s="1"/>
      <c r="E86" s="207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4"/>
    </row>
    <row r="90" ht="12.75" customHeight="1" spans="1:3" x14ac:dyDescent="0.25">
      <c r="A90" s="1"/>
      <c r="B90" s="1"/>
      <c r="C90" s="194"/>
    </row>
    <row r="91" ht="12.75" customHeight="1" spans="1:3" x14ac:dyDescent="0.25">
      <c r="A91" s="1"/>
      <c r="B91" s="1"/>
      <c r="C91" s="194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3"/>
      <c r="F94" s="194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10" customWidth="1"/>
    <col min="2" max="2" width="14.7109375" style="210" customWidth="1"/>
    <col min="3" max="3" width="12.7109375" style="210" customWidth="1"/>
    <col min="4" max="4" width="9" style="210" customWidth="1"/>
    <col min="5" max="5" width="8.5703125" style="210" customWidth="1"/>
    <col min="6" max="6" width="7.85546875" style="210" customWidth="1"/>
    <col min="7" max="16384" width="6.85546875" style="210" customWidth="1"/>
  </cols>
  <sheetData>
    <row r="1" ht="18" customHeight="1" x14ac:dyDescent="0.25"/>
    <row r="2" ht="13.5" customHeight="1" spans="1:2" x14ac:dyDescent="0.25">
      <c r="A2" s="211" t="s">
        <v>857</v>
      </c>
      <c r="B2" s="211"/>
    </row>
    <row r="3" ht="0.75" customHeight="1" spans="1:2" x14ac:dyDescent="0.25">
      <c r="A3" s="211"/>
      <c r="B3" s="211"/>
    </row>
    <row r="4" ht="12.75" customHeight="1" spans="1:2" x14ac:dyDescent="0.25">
      <c r="A4" s="211" t="s">
        <v>858</v>
      </c>
      <c r="B4" s="211"/>
    </row>
    <row r="5" ht="10.5" customHeight="1" x14ac:dyDescent="0.25"/>
    <row r="6" ht="15" customHeight="1" x14ac:dyDescent="0.25"/>
    <row r="7" ht="22.5" customHeight="1" spans="1:6" x14ac:dyDescent="0.25">
      <c r="A7" s="212" t="s">
        <v>859</v>
      </c>
      <c r="B7" s="212"/>
      <c r="C7" s="212"/>
      <c r="D7" s="212"/>
      <c r="E7" s="212"/>
      <c r="F7" s="212"/>
    </row>
    <row r="8" ht="8.25" customHeight="1" x14ac:dyDescent="0.25"/>
    <row r="9" ht="18" customHeight="1" spans="1:2" x14ac:dyDescent="0.25">
      <c r="A9" s="213" t="s">
        <v>860</v>
      </c>
      <c r="B9" s="213"/>
    </row>
    <row r="10" ht="12.75" customHeight="1" spans="1:5" x14ac:dyDescent="0.25">
      <c r="A10" s="213" t="s">
        <v>592</v>
      </c>
      <c r="B10" s="210"/>
      <c r="C10" s="214" t="s">
        <v>594</v>
      </c>
      <c r="D10" s="213" t="s">
        <v>595</v>
      </c>
      <c r="E10" s="213" t="s">
        <v>596</v>
      </c>
    </row>
    <row r="11" ht="6" customHeight="1" x14ac:dyDescent="0.25"/>
    <row r="12" ht="15" customHeight="1" spans="1:2" s="215" customFormat="1" x14ac:dyDescent="0.25">
      <c r="A12" s="216" t="s">
        <v>597</v>
      </c>
      <c r="B12" s="216"/>
    </row>
    <row r="13" ht="12.75" customHeight="1" spans="1:5" x14ac:dyDescent="0.25">
      <c r="A13" s="217" t="s">
        <v>598</v>
      </c>
      <c r="B13" s="210">
        <v>421030000</v>
      </c>
      <c r="C13" s="209">
        <v>11.09</v>
      </c>
      <c r="D13" s="218">
        <v>0</v>
      </c>
      <c r="E13" s="209">
        <v>11.09</v>
      </c>
    </row>
    <row r="14" ht="12.75" customHeight="1" spans="1:5" x14ac:dyDescent="0.25">
      <c r="A14" s="217" t="s">
        <v>600</v>
      </c>
      <c r="B14" s="210">
        <v>421050000</v>
      </c>
      <c r="C14" s="209">
        <v>5659.31</v>
      </c>
      <c r="D14" s="218">
        <v>0</v>
      </c>
      <c r="E14" s="209">
        <v>5659.31</v>
      </c>
    </row>
    <row r="15" ht="12.75" customHeight="1" spans="1:5" x14ac:dyDescent="0.25">
      <c r="A15" s="217" t="s">
        <v>602</v>
      </c>
      <c r="B15" s="210">
        <v>421060000</v>
      </c>
      <c r="C15" s="209">
        <v>1753.43</v>
      </c>
      <c r="D15" s="218">
        <v>0</v>
      </c>
      <c r="E15" s="209">
        <v>1753.43</v>
      </c>
    </row>
    <row r="16" ht="12.75" customHeight="1" spans="1:5" x14ac:dyDescent="0.25">
      <c r="A16" s="217" t="s">
        <v>861</v>
      </c>
      <c r="B16" s="210">
        <v>421140000</v>
      </c>
      <c r="C16" s="209">
        <v>36.29</v>
      </c>
      <c r="D16" s="218">
        <v>0</v>
      </c>
      <c r="E16" s="209">
        <v>36.29</v>
      </c>
    </row>
    <row r="17" ht="12.75" customHeight="1" spans="1:5" x14ac:dyDescent="0.25">
      <c r="A17" s="217" t="s">
        <v>736</v>
      </c>
      <c r="B17" s="210">
        <v>424400000</v>
      </c>
      <c r="C17" s="209">
        <v>8996.37</v>
      </c>
      <c r="D17" s="218">
        <v>0</v>
      </c>
      <c r="E17" s="209">
        <v>8996.37</v>
      </c>
    </row>
    <row r="18" ht="12.75" customHeight="1" spans="1:5" x14ac:dyDescent="0.25">
      <c r="A18" s="217" t="s">
        <v>604</v>
      </c>
      <c r="B18" s="210">
        <v>424500000</v>
      </c>
      <c r="C18" s="209">
        <v>2784.9</v>
      </c>
      <c r="D18" s="218">
        <v>0</v>
      </c>
      <c r="E18" s="209">
        <v>2784.9</v>
      </c>
    </row>
    <row r="19" ht="12.75" customHeight="1" spans="1:5" x14ac:dyDescent="0.25">
      <c r="A19" s="217" t="s">
        <v>862</v>
      </c>
      <c r="B19" s="210">
        <v>425160000</v>
      </c>
      <c r="C19" s="209">
        <v>923.01</v>
      </c>
      <c r="D19" s="218">
        <v>0</v>
      </c>
      <c r="E19" s="209">
        <v>923.01</v>
      </c>
    </row>
    <row r="20" ht="12.75" customHeight="1" spans="1:5" x14ac:dyDescent="0.25">
      <c r="A20" s="217" t="s">
        <v>610</v>
      </c>
      <c r="B20" s="210">
        <v>425180000</v>
      </c>
      <c r="C20" s="209">
        <v>30.09</v>
      </c>
      <c r="D20" s="218">
        <v>0</v>
      </c>
      <c r="E20" s="209">
        <v>30.09</v>
      </c>
    </row>
    <row r="21" ht="12.75" customHeight="1" spans="1:5" s="219" customFormat="1" x14ac:dyDescent="0.25">
      <c r="A21" s="220" t="s">
        <v>614</v>
      </c>
      <c r="B21" s="219">
        <v>425220000</v>
      </c>
      <c r="C21" s="221">
        <f>167.96+815.6</f>
        <v>983.5600000000001</v>
      </c>
      <c r="D21" s="222">
        <v>0</v>
      </c>
      <c r="E21" s="221">
        <f>+C21</f>
        <v>983.5600000000001</v>
      </c>
    </row>
    <row r="22" ht="12.75" customHeight="1" spans="1:5" x14ac:dyDescent="0.25">
      <c r="A22" s="217" t="s">
        <v>616</v>
      </c>
      <c r="B22" s="210">
        <v>425230000</v>
      </c>
      <c r="C22" s="209">
        <v>1148.52</v>
      </c>
      <c r="D22" s="218">
        <v>0</v>
      </c>
      <c r="E22" s="209">
        <v>1148.52</v>
      </c>
    </row>
    <row r="23" ht="12.75" customHeight="1" spans="1:5" x14ac:dyDescent="0.25">
      <c r="A23" s="217" t="s">
        <v>618</v>
      </c>
      <c r="B23" s="210">
        <v>425250000</v>
      </c>
      <c r="C23" s="209">
        <v>4533.87</v>
      </c>
      <c r="D23" s="218">
        <v>0</v>
      </c>
      <c r="E23" s="209">
        <v>4533.87</v>
      </c>
    </row>
    <row r="24" ht="12.75" customHeight="1" spans="1:5" x14ac:dyDescent="0.25">
      <c r="A24" s="217" t="s">
        <v>622</v>
      </c>
      <c r="B24" s="210">
        <v>425310000</v>
      </c>
      <c r="C24" s="209">
        <v>3574.93</v>
      </c>
      <c r="D24" s="218">
        <v>0</v>
      </c>
      <c r="E24" s="209">
        <v>3574.93</v>
      </c>
    </row>
    <row r="25" ht="12.75" customHeight="1" spans="1:5" x14ac:dyDescent="0.25">
      <c r="A25" s="217" t="s">
        <v>626</v>
      </c>
      <c r="B25" s="210">
        <v>426100000</v>
      </c>
      <c r="C25" s="209">
        <v>501.24</v>
      </c>
      <c r="D25" s="218">
        <v>0</v>
      </c>
      <c r="E25" s="209">
        <v>501.24</v>
      </c>
    </row>
    <row r="26" ht="12.75" customHeight="1" spans="1:5" x14ac:dyDescent="0.25">
      <c r="A26" s="217" t="s">
        <v>668</v>
      </c>
      <c r="B26" s="210">
        <v>426120000</v>
      </c>
      <c r="C26" s="209">
        <v>185.46</v>
      </c>
      <c r="D26" s="218">
        <v>0</v>
      </c>
      <c r="E26" s="209">
        <v>185.46</v>
      </c>
    </row>
    <row r="27" ht="12.75" customHeight="1" spans="1:5" x14ac:dyDescent="0.25">
      <c r="A27" s="217" t="s">
        <v>632</v>
      </c>
      <c r="B27" s="210">
        <v>426360000</v>
      </c>
      <c r="C27" s="209">
        <v>4966.14</v>
      </c>
      <c r="D27" s="218">
        <v>0</v>
      </c>
      <c r="E27" s="209">
        <v>4966.14</v>
      </c>
    </row>
    <row r="28" ht="12.75" customHeight="1" spans="1:5" x14ac:dyDescent="0.25">
      <c r="A28" s="217" t="s">
        <v>634</v>
      </c>
      <c r="B28" s="210">
        <v>433030000</v>
      </c>
      <c r="C28" s="209">
        <v>29125.32</v>
      </c>
      <c r="D28" s="218">
        <v>0</v>
      </c>
      <c r="E28" s="209">
        <v>29125.32</v>
      </c>
    </row>
    <row r="29" ht="3" customHeight="1" x14ac:dyDescent="0.25"/>
    <row r="30" ht="12.75" customHeight="1" spans="1:7" x14ac:dyDescent="0.25">
      <c r="A30" s="210"/>
      <c r="B30" s="210"/>
      <c r="C30" s="223">
        <f>SUM(C13:C29)</f>
        <v>65213.530000000006</v>
      </c>
      <c r="D30" s="223">
        <f>SUM(D13:D29)</f>
        <v>0</v>
      </c>
      <c r="E30" s="223">
        <f>SUM(E13:E29)</f>
        <v>65213.530000000006</v>
      </c>
      <c r="F30" s="224">
        <f>+C30-'Sumas y Saldos'!C399</f>
        <v>65213.530000000006</v>
      </c>
      <c r="G30" s="224">
        <f>+D30-'Sumas y Saldos'!D399</f>
        <v>0</v>
      </c>
    </row>
    <row r="31" ht="15" customHeight="1" spans="1:2" s="215" customFormat="1" x14ac:dyDescent="0.25">
      <c r="A31" s="216" t="s">
        <v>735</v>
      </c>
      <c r="B31" s="210" t="s">
        <v>863</v>
      </c>
    </row>
    <row r="32" ht="12.75" customHeight="1" spans="1:5" x14ac:dyDescent="0.25">
      <c r="A32" s="217" t="s">
        <v>598</v>
      </c>
      <c r="B32" s="210">
        <v>421030000</v>
      </c>
      <c r="C32" s="209">
        <v>1760.87</v>
      </c>
      <c r="D32" s="218">
        <v>0</v>
      </c>
      <c r="E32" s="209">
        <v>1760.87</v>
      </c>
    </row>
    <row r="33" ht="12.75" customHeight="1" spans="1:5" x14ac:dyDescent="0.25">
      <c r="A33" s="217" t="s">
        <v>736</v>
      </c>
      <c r="B33" s="210">
        <v>424400000</v>
      </c>
      <c r="C33" s="209">
        <v>2649.97</v>
      </c>
      <c r="D33" s="218">
        <v>0</v>
      </c>
      <c r="E33" s="209">
        <v>2649.97</v>
      </c>
    </row>
    <row r="34" ht="12.75" customHeight="1" spans="1:5" x14ac:dyDescent="0.25">
      <c r="A34" s="217" t="s">
        <v>604</v>
      </c>
      <c r="B34" s="210">
        <v>424500000</v>
      </c>
      <c r="C34" s="209">
        <v>820.32</v>
      </c>
      <c r="D34" s="218">
        <v>0</v>
      </c>
      <c r="E34" s="209">
        <v>820.32</v>
      </c>
    </row>
    <row r="35" ht="12.75" customHeight="1" spans="1:5" x14ac:dyDescent="0.25">
      <c r="A35" s="217" t="s">
        <v>606</v>
      </c>
      <c r="B35" s="210">
        <v>425110000</v>
      </c>
      <c r="C35" s="209">
        <v>71.68</v>
      </c>
      <c r="D35" s="218">
        <v>0</v>
      </c>
      <c r="E35" s="209">
        <v>71.68</v>
      </c>
    </row>
    <row r="36" ht="12.75" customHeight="1" spans="1:5" x14ac:dyDescent="0.25">
      <c r="A36" s="217" t="s">
        <v>646</v>
      </c>
      <c r="B36" s="210">
        <v>425120000</v>
      </c>
      <c r="C36" s="209">
        <v>46.09</v>
      </c>
      <c r="D36" s="218">
        <v>0</v>
      </c>
      <c r="E36" s="209">
        <v>46.09</v>
      </c>
    </row>
    <row r="37" ht="12.75" customHeight="1" spans="1:5" x14ac:dyDescent="0.25">
      <c r="A37" s="217" t="s">
        <v>628</v>
      </c>
      <c r="B37" s="210">
        <v>426110000</v>
      </c>
      <c r="C37" s="209">
        <v>1338.09</v>
      </c>
      <c r="D37" s="218">
        <v>0</v>
      </c>
      <c r="E37" s="209">
        <v>1338.09</v>
      </c>
    </row>
    <row r="38" ht="12.75" customHeight="1" spans="1:5" x14ac:dyDescent="0.25">
      <c r="A38" s="217" t="s">
        <v>668</v>
      </c>
      <c r="B38" s="210">
        <v>426120000</v>
      </c>
      <c r="C38" s="209">
        <v>1553.78</v>
      </c>
      <c r="D38" s="218">
        <v>0</v>
      </c>
      <c r="E38" s="209">
        <v>1553.78</v>
      </c>
    </row>
    <row r="39" ht="12.75" customHeight="1" spans="1:5" x14ac:dyDescent="0.25">
      <c r="A39" s="217" t="s">
        <v>670</v>
      </c>
      <c r="B39" s="210">
        <v>426130000</v>
      </c>
      <c r="C39" s="209">
        <v>367.78</v>
      </c>
      <c r="D39" s="218">
        <v>0</v>
      </c>
      <c r="E39" s="209">
        <v>367.78</v>
      </c>
    </row>
    <row r="40" ht="12.75" customHeight="1" spans="1:5" x14ac:dyDescent="0.25">
      <c r="A40" s="217" t="s">
        <v>674</v>
      </c>
      <c r="B40" s="210">
        <v>426160000</v>
      </c>
      <c r="C40" s="209">
        <v>528.8</v>
      </c>
      <c r="D40" s="218">
        <v>0</v>
      </c>
      <c r="E40" s="209">
        <v>528.8</v>
      </c>
    </row>
    <row r="41" ht="12.75" customHeight="1" spans="1:5" x14ac:dyDescent="0.25">
      <c r="A41" s="217" t="s">
        <v>864</v>
      </c>
      <c r="B41" s="210">
        <v>426180000</v>
      </c>
      <c r="C41" s="209">
        <v>99408.84</v>
      </c>
      <c r="D41" s="218">
        <v>2090.7</v>
      </c>
      <c r="E41" s="209">
        <v>97318.14</v>
      </c>
    </row>
    <row r="42" ht="12.75" customHeight="1" spans="1:5" x14ac:dyDescent="0.25">
      <c r="A42" s="217" t="s">
        <v>709</v>
      </c>
      <c r="B42" s="210">
        <v>426200000</v>
      </c>
      <c r="C42" s="209">
        <v>320.83</v>
      </c>
      <c r="D42" s="218">
        <v>0</v>
      </c>
      <c r="E42" s="209">
        <v>320.83</v>
      </c>
    </row>
    <row r="43" ht="12.75" customHeight="1" spans="1:5" x14ac:dyDescent="0.25">
      <c r="A43" s="217" t="s">
        <v>630</v>
      </c>
      <c r="B43" s="210">
        <v>426240000</v>
      </c>
      <c r="C43" s="209">
        <v>59.59</v>
      </c>
      <c r="D43" s="218">
        <v>0</v>
      </c>
      <c r="E43" s="209">
        <v>59.59</v>
      </c>
    </row>
    <row r="44" ht="12.75" customHeight="1" spans="1:5" x14ac:dyDescent="0.25">
      <c r="A44" s="217" t="s">
        <v>725</v>
      </c>
      <c r="B44" s="210">
        <v>426250000</v>
      </c>
      <c r="C44" s="209">
        <v>1358.47</v>
      </c>
      <c r="D44" s="218">
        <v>0</v>
      </c>
      <c r="E44" s="209">
        <v>1358.47</v>
      </c>
    </row>
    <row r="45" ht="12.75" customHeight="1" spans="1:5" x14ac:dyDescent="0.25">
      <c r="A45" s="217" t="s">
        <v>683</v>
      </c>
      <c r="B45" s="210">
        <v>426260000</v>
      </c>
      <c r="C45" s="209">
        <v>7900.43</v>
      </c>
      <c r="D45" s="218">
        <v>0</v>
      </c>
      <c r="E45" s="209">
        <v>7900.43</v>
      </c>
    </row>
    <row r="46" ht="12.75" customHeight="1" spans="1:5" x14ac:dyDescent="0.25">
      <c r="A46" s="217" t="s">
        <v>865</v>
      </c>
      <c r="B46" s="210">
        <v>426290000</v>
      </c>
      <c r="C46" s="209">
        <v>3458.81</v>
      </c>
      <c r="D46" s="218">
        <v>0</v>
      </c>
      <c r="E46" s="209">
        <v>3458.81</v>
      </c>
    </row>
    <row r="47" ht="12.75" customHeight="1" spans="1:5" x14ac:dyDescent="0.25">
      <c r="A47" s="217" t="s">
        <v>776</v>
      </c>
      <c r="B47" s="210">
        <v>426350000</v>
      </c>
      <c r="C47" s="209">
        <v>478.34</v>
      </c>
      <c r="D47" s="218">
        <v>0</v>
      </c>
      <c r="E47" s="209">
        <v>478.34</v>
      </c>
    </row>
    <row r="48" ht="12.75" customHeight="1" spans="1:5" x14ac:dyDescent="0.25">
      <c r="A48" s="217" t="s">
        <v>711</v>
      </c>
      <c r="B48" s="210">
        <v>426440000</v>
      </c>
      <c r="C48" s="209">
        <v>7854.15</v>
      </c>
      <c r="D48" s="218">
        <v>0</v>
      </c>
      <c r="E48" s="209">
        <v>7854.15</v>
      </c>
    </row>
    <row r="49" ht="12.75" customHeight="1" spans="1:5" x14ac:dyDescent="0.25">
      <c r="A49" s="217" t="s">
        <v>780</v>
      </c>
      <c r="B49" s="210">
        <v>426450000</v>
      </c>
      <c r="C49" s="209">
        <v>7749.65</v>
      </c>
      <c r="D49" s="218">
        <v>0</v>
      </c>
      <c r="E49" s="209">
        <v>7749.65</v>
      </c>
    </row>
    <row r="50" ht="12.75" customHeight="1" spans="1:5" x14ac:dyDescent="0.25">
      <c r="A50" s="217" t="s">
        <v>866</v>
      </c>
      <c r="B50" s="210">
        <v>427110000</v>
      </c>
      <c r="C50" s="209">
        <v>47.47</v>
      </c>
      <c r="D50" s="218">
        <v>0</v>
      </c>
      <c r="E50" s="209">
        <v>47.47</v>
      </c>
    </row>
    <row r="51" ht="12.75" customHeight="1" spans="1:5" x14ac:dyDescent="0.25">
      <c r="A51" s="217" t="s">
        <v>797</v>
      </c>
      <c r="B51" s="210">
        <v>427120000</v>
      </c>
      <c r="C51" s="209">
        <v>445.6</v>
      </c>
      <c r="D51" s="218">
        <v>0</v>
      </c>
      <c r="E51" s="209">
        <v>445.6</v>
      </c>
    </row>
    <row r="52" ht="12.75" customHeight="1" spans="1:5" x14ac:dyDescent="0.25">
      <c r="A52" s="217" t="s">
        <v>867</v>
      </c>
      <c r="B52" s="210">
        <v>427160000</v>
      </c>
      <c r="C52" s="209">
        <v>41.85</v>
      </c>
      <c r="D52" s="218">
        <v>0</v>
      </c>
      <c r="E52" s="209">
        <v>41.85</v>
      </c>
    </row>
    <row r="53" ht="12.75" customHeight="1" spans="1:5" x14ac:dyDescent="0.25">
      <c r="A53" s="217" t="s">
        <v>868</v>
      </c>
      <c r="B53" s="210">
        <v>427170000</v>
      </c>
      <c r="C53" s="209">
        <v>239.62</v>
      </c>
      <c r="D53" s="218">
        <v>0</v>
      </c>
      <c r="E53" s="209">
        <v>239.62</v>
      </c>
    </row>
    <row r="54" ht="12.75" customHeight="1" spans="1:5" x14ac:dyDescent="0.25">
      <c r="A54" s="217" t="s">
        <v>869</v>
      </c>
      <c r="B54" s="210">
        <v>427260000</v>
      </c>
      <c r="C54" s="209">
        <v>35.36</v>
      </c>
      <c r="D54" s="218">
        <v>0</v>
      </c>
      <c r="E54" s="209">
        <v>35.36</v>
      </c>
    </row>
    <row r="55" ht="12.75" customHeight="1" spans="1:5" x14ac:dyDescent="0.25">
      <c r="A55" s="217" t="s">
        <v>870</v>
      </c>
      <c r="B55" s="210">
        <v>428200000</v>
      </c>
      <c r="C55" s="209">
        <v>60084.66</v>
      </c>
      <c r="D55" s="218">
        <v>0</v>
      </c>
      <c r="E55" s="209">
        <v>60084.66</v>
      </c>
    </row>
    <row r="56" ht="3" customHeight="1" x14ac:dyDescent="0.25"/>
    <row r="57" ht="12.75" customHeight="1" spans="1:7" x14ac:dyDescent="0.25">
      <c r="A57" s="210"/>
      <c r="B57" s="210"/>
      <c r="C57" s="223">
        <v>198621.05</v>
      </c>
      <c r="D57" s="225">
        <v>2090.7</v>
      </c>
      <c r="E57" s="225">
        <v>196530.35</v>
      </c>
      <c r="F57" s="224">
        <f>+C57-'Sumas y Saldos'!R399</f>
        <v>198621.05</v>
      </c>
      <c r="G57" s="224">
        <f>+D57-'Sumas y Saldos'!S399</f>
        <v>2090.7</v>
      </c>
    </row>
    <row r="58" ht="15" customHeight="1" spans="1:2" s="215" customFormat="1" x14ac:dyDescent="0.25">
      <c r="A58" s="216" t="s">
        <v>741</v>
      </c>
      <c r="B58" s="210" t="s">
        <v>871</v>
      </c>
    </row>
    <row r="59" ht="12.75" customHeight="1" spans="1:5" x14ac:dyDescent="0.25">
      <c r="A59" s="217" t="s">
        <v>628</v>
      </c>
      <c r="B59" s="210">
        <v>426110000</v>
      </c>
      <c r="C59" s="209">
        <v>4809.15</v>
      </c>
      <c r="D59" s="218">
        <v>0</v>
      </c>
      <c r="E59" s="209">
        <v>4809.15</v>
      </c>
    </row>
    <row r="60" ht="3" customHeight="1" x14ac:dyDescent="0.25"/>
    <row r="61" ht="12.75" customHeight="1" spans="1:7" x14ac:dyDescent="0.25">
      <c r="A61" s="210"/>
      <c r="B61" s="210"/>
      <c r="C61" s="223">
        <v>4809.15</v>
      </c>
      <c r="D61" s="225">
        <v>0</v>
      </c>
      <c r="E61" s="225">
        <v>4809.15</v>
      </c>
      <c r="F61" s="224">
        <f>+C61-'Sumas y Saldos'!U399</f>
        <v>4809.15</v>
      </c>
      <c r="G61" s="224">
        <f>+D61-'Sumas y Saldos'!V399</f>
        <v>0</v>
      </c>
    </row>
    <row r="62" ht="15" customHeight="1" spans="1:2" s="215" customFormat="1" x14ac:dyDescent="0.25">
      <c r="A62" s="216" t="s">
        <v>755</v>
      </c>
      <c r="B62" s="210" t="s">
        <v>872</v>
      </c>
    </row>
    <row r="63" ht="12.75" customHeight="1" spans="1:5" x14ac:dyDescent="0.25">
      <c r="A63" s="217" t="s">
        <v>598</v>
      </c>
      <c r="B63" s="210">
        <v>421030000</v>
      </c>
      <c r="C63" s="209">
        <v>65.45</v>
      </c>
      <c r="D63" s="218">
        <v>0</v>
      </c>
      <c r="E63" s="209">
        <v>65.45</v>
      </c>
    </row>
    <row r="64" ht="12.75" customHeight="1" spans="1:5" x14ac:dyDescent="0.25">
      <c r="A64" s="217" t="s">
        <v>736</v>
      </c>
      <c r="B64" s="210">
        <v>424400000</v>
      </c>
      <c r="C64" s="209">
        <v>17001.69</v>
      </c>
      <c r="D64" s="218">
        <v>0</v>
      </c>
      <c r="E64" s="209">
        <v>17001.69</v>
      </c>
    </row>
    <row r="65" ht="12.75" customHeight="1" spans="1:5" x14ac:dyDescent="0.25">
      <c r="A65" s="217" t="s">
        <v>604</v>
      </c>
      <c r="B65" s="210">
        <v>424500000</v>
      </c>
      <c r="C65" s="209">
        <v>5263</v>
      </c>
      <c r="D65" s="218">
        <v>0</v>
      </c>
      <c r="E65" s="209">
        <v>5263</v>
      </c>
    </row>
    <row r="66" ht="12.75" customHeight="1" spans="1:5" x14ac:dyDescent="0.25">
      <c r="A66" s="217" t="s">
        <v>628</v>
      </c>
      <c r="B66" s="210">
        <v>426110000</v>
      </c>
      <c r="C66" s="209">
        <v>336.05</v>
      </c>
      <c r="D66" s="218">
        <v>0</v>
      </c>
      <c r="E66" s="209">
        <v>336.05</v>
      </c>
    </row>
    <row r="67" ht="12.75" customHeight="1" spans="1:5" x14ac:dyDescent="0.25">
      <c r="A67" s="217" t="s">
        <v>691</v>
      </c>
      <c r="B67" s="210">
        <v>426470000</v>
      </c>
      <c r="C67" s="209">
        <v>115.34</v>
      </c>
      <c r="D67" s="218">
        <v>0</v>
      </c>
      <c r="E67" s="209">
        <v>115.34</v>
      </c>
    </row>
    <row r="68" ht="3" customHeight="1" x14ac:dyDescent="0.25"/>
    <row r="69" ht="12.75" customHeight="1" spans="1:7" x14ac:dyDescent="0.25">
      <c r="A69" s="210"/>
      <c r="B69" s="210"/>
      <c r="C69" s="223">
        <v>22781.53</v>
      </c>
      <c r="D69" s="225">
        <v>0</v>
      </c>
      <c r="E69" s="225">
        <v>22781.53</v>
      </c>
      <c r="F69" s="224">
        <f>+C69-'Sumas y Saldos'!AA399</f>
        <v>22781.53</v>
      </c>
      <c r="G69" s="224">
        <f>+D69-'Sumas y Saldos'!AB399</f>
        <v>0</v>
      </c>
    </row>
    <row r="70" ht="15" customHeight="1" spans="1:2" s="215" customFormat="1" x14ac:dyDescent="0.25">
      <c r="A70" s="216" t="s">
        <v>640</v>
      </c>
      <c r="B70" s="210" t="s">
        <v>873</v>
      </c>
    </row>
    <row r="71" ht="12.75" customHeight="1" spans="1:5" x14ac:dyDescent="0.25">
      <c r="A71" s="217" t="s">
        <v>598</v>
      </c>
      <c r="B71" s="210">
        <v>421030000</v>
      </c>
      <c r="C71" s="209">
        <v>298.23</v>
      </c>
      <c r="D71" s="218">
        <v>0</v>
      </c>
      <c r="E71" s="209">
        <v>298.23</v>
      </c>
    </row>
    <row r="72" ht="12.75" customHeight="1" spans="1:5" x14ac:dyDescent="0.25">
      <c r="A72" s="217" t="s">
        <v>874</v>
      </c>
      <c r="B72" s="210">
        <v>421440000</v>
      </c>
      <c r="C72" s="209">
        <v>2.79</v>
      </c>
      <c r="D72" s="218">
        <v>0</v>
      </c>
      <c r="E72" s="209">
        <v>2.79</v>
      </c>
    </row>
    <row r="73" ht="12.75" customHeight="1" spans="1:5" x14ac:dyDescent="0.25">
      <c r="A73" s="217" t="s">
        <v>736</v>
      </c>
      <c r="B73" s="210">
        <v>424400000</v>
      </c>
      <c r="C73" s="209">
        <v>2129.83</v>
      </c>
      <c r="D73" s="218">
        <v>0</v>
      </c>
      <c r="E73" s="209">
        <v>2129.83</v>
      </c>
    </row>
    <row r="74" ht="12.75" customHeight="1" spans="1:5" x14ac:dyDescent="0.25">
      <c r="A74" s="217" t="s">
        <v>604</v>
      </c>
      <c r="B74" s="210">
        <v>424500000</v>
      </c>
      <c r="C74" s="209">
        <v>659.31</v>
      </c>
      <c r="D74" s="218">
        <v>0</v>
      </c>
      <c r="E74" s="209">
        <v>659.31</v>
      </c>
    </row>
    <row r="75" ht="12.75" customHeight="1" spans="1:5" x14ac:dyDescent="0.25">
      <c r="A75" s="217" t="s">
        <v>606</v>
      </c>
      <c r="B75" s="210">
        <v>425110000</v>
      </c>
      <c r="C75" s="209">
        <v>739.75</v>
      </c>
      <c r="D75" s="218">
        <v>0</v>
      </c>
      <c r="E75" s="209">
        <v>739.75</v>
      </c>
    </row>
    <row r="76" ht="12.75" customHeight="1" spans="1:5" x14ac:dyDescent="0.25">
      <c r="A76" s="217" t="s">
        <v>646</v>
      </c>
      <c r="B76" s="210">
        <v>425120000</v>
      </c>
      <c r="C76" s="209">
        <v>0.93</v>
      </c>
      <c r="D76" s="218">
        <v>0</v>
      </c>
      <c r="E76" s="209">
        <v>0.93</v>
      </c>
    </row>
    <row r="77" ht="12.75" customHeight="1" spans="1:5" x14ac:dyDescent="0.25">
      <c r="A77" s="217" t="s">
        <v>620</v>
      </c>
      <c r="B77" s="210">
        <v>425300000</v>
      </c>
      <c r="C77" s="209">
        <v>11.09</v>
      </c>
      <c r="D77" s="218">
        <v>0</v>
      </c>
      <c r="E77" s="209">
        <v>11.09</v>
      </c>
    </row>
    <row r="78" ht="12.75" customHeight="1" spans="1:5" x14ac:dyDescent="0.25">
      <c r="A78" s="217" t="s">
        <v>656</v>
      </c>
      <c r="B78" s="210">
        <v>425500000</v>
      </c>
      <c r="C78" s="209">
        <v>822.85</v>
      </c>
      <c r="D78" s="218">
        <v>0</v>
      </c>
      <c r="E78" s="209">
        <v>822.85</v>
      </c>
    </row>
    <row r="79" ht="12.75" customHeight="1" spans="1:5" x14ac:dyDescent="0.25">
      <c r="A79" s="217" t="s">
        <v>658</v>
      </c>
      <c r="B79" s="210">
        <v>425600000</v>
      </c>
      <c r="C79" s="209">
        <v>69.26</v>
      </c>
      <c r="D79" s="218">
        <v>0</v>
      </c>
      <c r="E79" s="209">
        <v>69.26</v>
      </c>
    </row>
    <row r="80" ht="12.75" customHeight="1" spans="1:5" x14ac:dyDescent="0.25">
      <c r="A80" s="217" t="s">
        <v>624</v>
      </c>
      <c r="B80" s="210">
        <v>425810000</v>
      </c>
      <c r="C80" s="209">
        <v>91.52</v>
      </c>
      <c r="D80" s="218">
        <v>0</v>
      </c>
      <c r="E80" s="209">
        <v>91.52</v>
      </c>
    </row>
    <row r="81" ht="12.75" customHeight="1" spans="1:5" x14ac:dyDescent="0.25">
      <c r="A81" s="217" t="s">
        <v>875</v>
      </c>
      <c r="B81" s="210">
        <v>425980000</v>
      </c>
      <c r="C81" s="209">
        <v>44.47</v>
      </c>
      <c r="D81" s="218">
        <v>0</v>
      </c>
      <c r="E81" s="209">
        <v>44.47</v>
      </c>
    </row>
    <row r="82" ht="12.75" customHeight="1" spans="1:5" x14ac:dyDescent="0.25">
      <c r="A82" s="217" t="s">
        <v>628</v>
      </c>
      <c r="B82" s="210">
        <v>426110000</v>
      </c>
      <c r="C82" s="209">
        <v>220.79</v>
      </c>
      <c r="D82" s="218">
        <v>0</v>
      </c>
      <c r="E82" s="209">
        <v>220.79</v>
      </c>
    </row>
    <row r="83" ht="12.75" customHeight="1" spans="1:5" x14ac:dyDescent="0.25">
      <c r="A83" s="217" t="s">
        <v>668</v>
      </c>
      <c r="B83" s="210">
        <v>426120000</v>
      </c>
      <c r="C83" s="209">
        <v>3299.04</v>
      </c>
      <c r="D83" s="218">
        <v>154.58</v>
      </c>
      <c r="E83" s="209">
        <v>3144.46</v>
      </c>
    </row>
    <row r="84" ht="12.75" customHeight="1" spans="1:5" x14ac:dyDescent="0.25">
      <c r="A84" s="217" t="s">
        <v>876</v>
      </c>
      <c r="B84" s="210">
        <v>426140000</v>
      </c>
      <c r="C84" s="209">
        <v>924.25</v>
      </c>
      <c r="D84" s="218">
        <v>0</v>
      </c>
      <c r="E84" s="209">
        <v>924.25</v>
      </c>
    </row>
    <row r="85" ht="12.75" customHeight="1" spans="1:5" x14ac:dyDescent="0.25">
      <c r="A85" s="217" t="s">
        <v>674</v>
      </c>
      <c r="B85" s="210">
        <v>426160000</v>
      </c>
      <c r="C85" s="209">
        <v>189.05</v>
      </c>
      <c r="D85" s="218">
        <v>0</v>
      </c>
      <c r="E85" s="209">
        <v>189.05</v>
      </c>
    </row>
    <row r="86" ht="12.75" customHeight="1" spans="1:5" x14ac:dyDescent="0.25">
      <c r="A86" s="217" t="s">
        <v>709</v>
      </c>
      <c r="B86" s="210">
        <v>426200000</v>
      </c>
      <c r="C86" s="209">
        <v>164.91</v>
      </c>
      <c r="D86" s="218">
        <v>0</v>
      </c>
      <c r="E86" s="209">
        <v>164.91</v>
      </c>
    </row>
    <row r="87" ht="12.75" customHeight="1" spans="1:5" x14ac:dyDescent="0.25">
      <c r="A87" s="217" t="s">
        <v>678</v>
      </c>
      <c r="B87" s="210">
        <v>426210000</v>
      </c>
      <c r="C87" s="209">
        <v>1551.49</v>
      </c>
      <c r="D87" s="218">
        <v>0</v>
      </c>
      <c r="E87" s="209">
        <v>1551.49</v>
      </c>
    </row>
    <row r="88" ht="12.75" customHeight="1" spans="1:5" x14ac:dyDescent="0.25">
      <c r="A88" s="217" t="s">
        <v>680</v>
      </c>
      <c r="B88" s="210">
        <v>426220000</v>
      </c>
      <c r="C88" s="209">
        <v>4258.49</v>
      </c>
      <c r="D88" s="218">
        <v>0</v>
      </c>
      <c r="E88" s="209">
        <v>4258.49</v>
      </c>
    </row>
    <row r="89" ht="12.75" customHeight="1" spans="1:5" x14ac:dyDescent="0.25">
      <c r="A89" s="217" t="s">
        <v>630</v>
      </c>
      <c r="B89" s="210">
        <v>426240000</v>
      </c>
      <c r="C89" s="209">
        <v>4299.59</v>
      </c>
      <c r="D89" s="218">
        <v>0</v>
      </c>
      <c r="E89" s="209">
        <v>4299.59</v>
      </c>
    </row>
    <row r="90" ht="12.75" customHeight="1" spans="1:5" x14ac:dyDescent="0.25">
      <c r="A90" s="217" t="s">
        <v>683</v>
      </c>
      <c r="B90" s="210">
        <v>426260000</v>
      </c>
      <c r="C90" s="209">
        <v>655.62</v>
      </c>
      <c r="D90" s="218">
        <v>0</v>
      </c>
      <c r="E90" s="209">
        <v>655.62</v>
      </c>
    </row>
    <row r="91" ht="12.75" customHeight="1" spans="1:5" x14ac:dyDescent="0.25">
      <c r="A91" s="217" t="s">
        <v>685</v>
      </c>
      <c r="B91" s="210">
        <v>426280000</v>
      </c>
      <c r="C91" s="209">
        <v>30714.02</v>
      </c>
      <c r="D91" s="218">
        <v>0</v>
      </c>
      <c r="E91" s="209">
        <v>30714.02</v>
      </c>
    </row>
    <row r="92" ht="12.75" customHeight="1" spans="1:5" x14ac:dyDescent="0.25">
      <c r="A92" s="217" t="s">
        <v>776</v>
      </c>
      <c r="B92" s="210">
        <v>426350000</v>
      </c>
      <c r="C92" s="209">
        <v>454.35</v>
      </c>
      <c r="D92" s="218">
        <v>0</v>
      </c>
      <c r="E92" s="209">
        <v>454.35</v>
      </c>
    </row>
    <row r="93" ht="12.75" customHeight="1" spans="1:5" x14ac:dyDescent="0.25">
      <c r="A93" s="217" t="s">
        <v>711</v>
      </c>
      <c r="B93" s="210">
        <v>426440000</v>
      </c>
      <c r="C93" s="209">
        <v>790.93</v>
      </c>
      <c r="D93" s="218">
        <v>0</v>
      </c>
      <c r="E93" s="209">
        <v>790.93</v>
      </c>
    </row>
    <row r="94" ht="12.75" customHeight="1" spans="1:5" x14ac:dyDescent="0.25">
      <c r="A94" s="217" t="s">
        <v>699</v>
      </c>
      <c r="B94" s="210">
        <v>426630000</v>
      </c>
      <c r="C94" s="209">
        <v>501.28</v>
      </c>
      <c r="D94" s="218">
        <v>0</v>
      </c>
      <c r="E94" s="209">
        <v>501.28</v>
      </c>
    </row>
    <row r="95" ht="3" customHeight="1" x14ac:dyDescent="0.25"/>
    <row r="96" ht="12.75" customHeight="1" spans="1:7" x14ac:dyDescent="0.25">
      <c r="A96" s="210"/>
      <c r="B96" s="210"/>
      <c r="C96" s="223">
        <v>52893.84</v>
      </c>
      <c r="D96" s="225">
        <v>154.58</v>
      </c>
      <c r="E96" s="225">
        <v>52739.26</v>
      </c>
      <c r="F96" s="224">
        <f>+C96-'Sumas y Saldos'!F399</f>
        <v>52893.84</v>
      </c>
      <c r="G96" s="224">
        <f>+D96-'Sumas y Saldos'!G399</f>
        <v>154.58</v>
      </c>
    </row>
    <row r="97" ht="15" customHeight="1" spans="1:2" s="215" customFormat="1" x14ac:dyDescent="0.25">
      <c r="A97" s="216" t="s">
        <v>801</v>
      </c>
      <c r="B97" s="210" t="s">
        <v>877</v>
      </c>
    </row>
    <row r="98" ht="12.75" customHeight="1" spans="1:5" x14ac:dyDescent="0.25">
      <c r="A98" s="217" t="s">
        <v>598</v>
      </c>
      <c r="B98" s="210">
        <v>421030000</v>
      </c>
      <c r="C98" s="209">
        <v>100.42</v>
      </c>
      <c r="D98" s="218">
        <v>0</v>
      </c>
      <c r="E98" s="209">
        <v>100.42</v>
      </c>
    </row>
    <row r="99" ht="12.75" customHeight="1" spans="1:5" x14ac:dyDescent="0.25">
      <c r="A99" s="217" t="s">
        <v>606</v>
      </c>
      <c r="B99" s="210">
        <v>425110000</v>
      </c>
      <c r="C99" s="209">
        <v>45.22</v>
      </c>
      <c r="D99" s="218">
        <v>0</v>
      </c>
      <c r="E99" s="209">
        <v>45.22</v>
      </c>
    </row>
    <row r="100" ht="12.75" customHeight="1" spans="1:5" x14ac:dyDescent="0.25">
      <c r="A100" s="217" t="s">
        <v>628</v>
      </c>
      <c r="B100" s="210">
        <v>426110000</v>
      </c>
      <c r="C100" s="209">
        <v>604.39</v>
      </c>
      <c r="D100" s="218">
        <v>0</v>
      </c>
      <c r="E100" s="209">
        <v>604.39</v>
      </c>
    </row>
    <row r="101" ht="12.75" customHeight="1" spans="1:5" x14ac:dyDescent="0.25">
      <c r="A101" s="217" t="s">
        <v>709</v>
      </c>
      <c r="B101" s="210">
        <v>426200000</v>
      </c>
      <c r="C101" s="209">
        <v>374.67</v>
      </c>
      <c r="D101" s="218">
        <v>0</v>
      </c>
      <c r="E101" s="209">
        <v>374.67</v>
      </c>
    </row>
    <row r="102" ht="12.75" customHeight="1" spans="1:5" x14ac:dyDescent="0.25">
      <c r="A102" s="217" t="s">
        <v>705</v>
      </c>
      <c r="B102" s="210">
        <v>433070000</v>
      </c>
      <c r="C102" s="209">
        <v>130.1</v>
      </c>
      <c r="D102" s="218">
        <v>0</v>
      </c>
      <c r="E102" s="209">
        <v>130.1</v>
      </c>
    </row>
    <row r="103" ht="3" customHeight="1" x14ac:dyDescent="0.25"/>
    <row r="104" ht="12.75" customHeight="1" spans="1:7" x14ac:dyDescent="0.25">
      <c r="A104" s="210"/>
      <c r="B104" s="210"/>
      <c r="C104" s="223">
        <v>1254.8</v>
      </c>
      <c r="D104" s="225">
        <v>0</v>
      </c>
      <c r="E104" s="225">
        <v>1254.8</v>
      </c>
      <c r="F104" s="224">
        <f>+C104-'Sumas y Saldos'!AM399</f>
        <v>1254.8</v>
      </c>
      <c r="G104" s="224">
        <f>+D104-'Sumas y Saldos'!AN399</f>
        <v>0</v>
      </c>
    </row>
    <row r="105" ht="15" customHeight="1" spans="1:2" s="215" customFormat="1" x14ac:dyDescent="0.25">
      <c r="A105" s="216" t="s">
        <v>878</v>
      </c>
      <c r="B105" s="210" t="s">
        <v>879</v>
      </c>
    </row>
    <row r="106" ht="12.75" customHeight="1" spans="1:5" x14ac:dyDescent="0.25">
      <c r="A106" s="217" t="s">
        <v>674</v>
      </c>
      <c r="B106" s="210">
        <v>426160000</v>
      </c>
      <c r="C106" s="209">
        <v>43.81</v>
      </c>
      <c r="D106" s="218">
        <v>0</v>
      </c>
      <c r="E106" s="209">
        <v>43.81</v>
      </c>
    </row>
    <row r="107" ht="12.75" customHeight="1" spans="1:5" x14ac:dyDescent="0.25">
      <c r="A107" s="217" t="s">
        <v>776</v>
      </c>
      <c r="B107" s="210">
        <v>426350000</v>
      </c>
      <c r="C107" s="209">
        <v>130.28</v>
      </c>
      <c r="D107" s="218">
        <v>0</v>
      </c>
      <c r="E107" s="209">
        <v>130.28</v>
      </c>
    </row>
    <row r="108" ht="3" customHeight="1" x14ac:dyDescent="0.25"/>
    <row r="109" ht="12.75" customHeight="1" spans="1:7" x14ac:dyDescent="0.25">
      <c r="A109" s="210"/>
      <c r="B109" s="210"/>
      <c r="C109" s="223">
        <v>174.09</v>
      </c>
      <c r="D109" s="225">
        <v>0</v>
      </c>
      <c r="E109" s="225">
        <v>174.09</v>
      </c>
      <c r="F109" s="224">
        <f>+C109-'Sumas y Saldos'!BN399</f>
        <v>174.09</v>
      </c>
      <c r="G109" s="224">
        <f>+D109-'Sumas y Saldos'!BO399</f>
        <v>0</v>
      </c>
    </row>
    <row r="110" ht="1.5" customHeight="1" x14ac:dyDescent="0.25"/>
    <row r="111" ht="14.25" customHeight="1" spans="1:5" s="215" customFormat="1" x14ac:dyDescent="0.25">
      <c r="A111" s="226" t="s">
        <v>880</v>
      </c>
      <c r="B111" s="210" t="s">
        <v>881</v>
      </c>
      <c r="C111" s="227">
        <v>344932.39</v>
      </c>
      <c r="D111" s="228">
        <v>2245.28</v>
      </c>
      <c r="E111" s="228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9">
        <v>45777</v>
      </c>
      <c r="B114" s="210"/>
      <c r="C114" s="210"/>
      <c r="D114" s="210"/>
      <c r="E114" s="211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3" customWidth="1"/>
    <col min="23" max="23" width="13.140625" style="193" customWidth="1"/>
  </cols>
  <sheetData>
    <row r="1" ht="12.75" customHeight="1" hidden="1" x14ac:dyDescent="0.25"/>
    <row r="2" ht="18" customHeight="1" spans="1:23" x14ac:dyDescent="0.25">
      <c r="A2" s="1"/>
      <c r="B2" s="1"/>
      <c r="C2" s="230" t="s">
        <v>882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</row>
    <row r="3" ht="14.25" customHeight="1" spans="1:26" x14ac:dyDescent="0.25">
      <c r="A3" s="1"/>
      <c r="B3" s="1"/>
      <c r="C3" s="231" t="s">
        <v>883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Z3" s="194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3"/>
      <c r="P4" s="193"/>
      <c r="Q4" s="193"/>
      <c r="R4" s="193"/>
      <c r="S4" s="193"/>
      <c r="T4" s="193"/>
      <c r="U4" s="193"/>
      <c r="V4" s="193"/>
      <c r="W4" s="193"/>
      <c r="Z4" s="194"/>
    </row>
    <row r="5" ht="29.25" customHeight="1" spans="1:26" x14ac:dyDescent="0.25">
      <c r="A5" s="1"/>
      <c r="B5" s="1"/>
      <c r="C5" s="232" t="s">
        <v>884</v>
      </c>
      <c r="D5" s="233" t="str">
        <f>+'Gastos Acumulados'!A14</f>
        <v>Oficina General</v>
      </c>
      <c r="E5" s="234" t="str">
        <f>+'Gastos Acumulados'!A16</f>
        <v>Exploración Regional</v>
      </c>
      <c r="F5" s="234" t="str">
        <f>+'Gastos Acumulados'!A30</f>
        <v>Cerro La mina</v>
      </c>
      <c r="G5" s="234" t="str">
        <f>+'Gastos Acumulados'!A32</f>
        <v>Cerro Abanico</v>
      </c>
      <c r="H5" s="234" t="str">
        <f>+'Gastos Acumulados'!A34</f>
        <v>Los Menucos</v>
      </c>
      <c r="I5" s="235" t="str">
        <f>+'Gastos Acumulados'!A40</f>
        <v>Proyecto Marisa I</v>
      </c>
      <c r="J5" s="235" t="str">
        <f>+'Gastos Acumulados'!A42</f>
        <v>Proyecto Lonco- Vaca pelenque</v>
      </c>
      <c r="K5" s="235" t="str">
        <f>+'Gastos Acumulados'!A48</f>
        <v>Gastos Generales</v>
      </c>
      <c r="L5" s="235" t="str">
        <f>+'Gastos Acumulados'!A38</f>
        <v>Centro Esperanza</v>
      </c>
      <c r="M5" s="235" t="str">
        <f>+'Gastos Acumulados'!A52</f>
        <v>Proyecto Cristal</v>
      </c>
      <c r="N5" s="235" t="str">
        <f>+'Gastos Acumulados'!A36</f>
        <v>Cañadon del Moro</v>
      </c>
      <c r="O5" s="236" t="str">
        <f>+'Gastos Acumulados'!A56</f>
        <v>Catamarca</v>
      </c>
      <c r="P5" s="237" t="s">
        <v>849</v>
      </c>
      <c r="Q5" s="238" t="s">
        <v>850</v>
      </c>
      <c r="R5" s="238" t="s">
        <v>851</v>
      </c>
      <c r="S5" s="238" t="s">
        <v>852</v>
      </c>
      <c r="T5" s="238" t="s">
        <v>853</v>
      </c>
      <c r="U5" s="238" t="s">
        <v>885</v>
      </c>
      <c r="V5" s="238" t="s">
        <v>855</v>
      </c>
      <c r="W5" s="239" t="s">
        <v>452</v>
      </c>
      <c r="Z5" s="194"/>
    </row>
    <row r="6" ht="14.25" customHeight="1" spans="1:23" x14ac:dyDescent="0.25">
      <c r="A6" s="1"/>
      <c r="B6" s="1"/>
      <c r="C6" s="232"/>
      <c r="D6" s="240" t="s">
        <v>886</v>
      </c>
      <c r="E6" s="241" t="s">
        <v>886</v>
      </c>
      <c r="F6" s="240" t="s">
        <v>886</v>
      </c>
      <c r="G6" s="242" t="s">
        <v>886</v>
      </c>
      <c r="H6" s="243" t="s">
        <v>886</v>
      </c>
      <c r="I6" s="244" t="s">
        <v>886</v>
      </c>
      <c r="J6" s="244" t="s">
        <v>886</v>
      </c>
      <c r="K6" s="244" t="s">
        <v>886</v>
      </c>
      <c r="L6" s="244" t="s">
        <v>886</v>
      </c>
      <c r="M6" s="244" t="s">
        <v>886</v>
      </c>
      <c r="N6" s="244" t="s">
        <v>886</v>
      </c>
      <c r="O6" s="245" t="s">
        <v>886</v>
      </c>
      <c r="P6" s="245" t="s">
        <v>886</v>
      </c>
      <c r="Q6" s="245"/>
      <c r="R6" s="245"/>
      <c r="S6" s="245"/>
      <c r="T6" s="245"/>
      <c r="U6" s="245"/>
      <c r="V6" s="245"/>
      <c r="W6" s="246" t="s">
        <v>886</v>
      </c>
    </row>
    <row r="7" ht="12.75" customHeight="1" spans="1:25" x14ac:dyDescent="0.25">
      <c r="A7" s="1"/>
      <c r="B7" s="1"/>
      <c r="C7" s="247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9"/>
      <c r="P7" s="249"/>
      <c r="Q7" s="249"/>
      <c r="R7" s="249"/>
      <c r="S7" s="249"/>
      <c r="T7" s="249"/>
      <c r="U7" s="249"/>
      <c r="V7" s="249"/>
      <c r="W7" s="250"/>
      <c r="Y7" s="194"/>
    </row>
    <row r="8" ht="14.25" customHeight="1" spans="1:25" x14ac:dyDescent="0.25">
      <c r="A8" s="1"/>
      <c r="B8" s="1"/>
      <c r="C8" s="251" t="s">
        <v>887</v>
      </c>
      <c r="D8" s="252">
        <f>SUM('Sumas y Saldos'!E130:E193)+'Sumas y Saldos'!E18+'Sumas y Saldos'!E19+'Sumas y Saldos'!E17+'Sumas y Saldos'!E20</f>
        <v>27122.420000000006</v>
      </c>
      <c r="E8" s="252">
        <f>SUM('Sumas y Saldos'!H130:H200)+'Sumas y Saldos'!H18+'Sumas y Saldos'!H19+'Sumas y Saldos'!H17+'Sumas y Saldos'!H20</f>
        <v>853.5</v>
      </c>
      <c r="F8" s="252">
        <f>SUM('Sumas y Saldos'!Q130:Q166)+'Sumas y Saldos'!Q18+'Sumas y Saldos'!Q19+'Sumas y Saldos'!Q17+'Sumas y Saldos'!Q20</f>
        <v>0</v>
      </c>
      <c r="G8" s="252">
        <f>SUM('Sumas y Saldos'!Z130:Z193)+'Sumas y Saldos'!Z18+'Sumas y Saldos'!Z19+'Sumas y Saldos'!Z17+'Sumas y Saldos'!Z20</f>
        <v>0</v>
      </c>
      <c r="H8" s="253">
        <f>SUM('Sumas y Saldos'!W130:W166)+'Sumas y Saldos'!W18+'Sumas y Saldos'!W19+'Sumas y Saldos'!W17+'Sumas y Saldos'!W20</f>
        <v>0</v>
      </c>
      <c r="I8" s="254">
        <f>SUM('Sumas y Saldos'!AF130:AF166)+'Sumas y Saldos'!AF18+'Sumas y Saldos'!AF19+'Sumas y Saldos'!AF17+'Sumas y Saldos'!AF20</f>
        <v>0</v>
      </c>
      <c r="J8" s="254">
        <f>SUM('Sumas y Saldos'!AI130:AI193)+'Sumas y Saldos'!AI19+'Sumas y Saldos'!AI18+'Sumas y Saldos'!AI17+'Sumas y Saldos'!AI20</f>
        <v>0</v>
      </c>
      <c r="K8" s="253">
        <f>SUM('Sumas y Saldos'!AO130:AO193)+'Sumas y Saldos'!AO18+'Sumas y Saldos'!AO19+'Sumas y Saldos'!AO17+'Sumas y Saldos'!AO20</f>
        <v>103.13</v>
      </c>
      <c r="L8" s="253">
        <f>SUM('Sumas y Saldos'!AC130:AC189)+'Sumas y Saldos'!AC18+'Sumas y Saldos'!AC19+'Sumas y Saldos'!AC17+'Sumas y Saldos'!AC20</f>
        <v>0</v>
      </c>
      <c r="M8" s="254">
        <f>SUM('Sumas y Saldos'!AL130:AL166)+'Sumas y Saldos'!AL18+'Sumas y Saldos'!AL19+'Sumas y Saldos'!AL17+'Sumas y Saldos'!AL20</f>
        <v>0</v>
      </c>
      <c r="N8" s="253">
        <f>SUM('Sumas y Saldos'!T130:T200)+'Sumas y Saldos'!T18+'Sumas y Saldos'!T19+'Sumas y Saldos'!T17+'Sumas y Saldos'!T20</f>
        <v>1221.05</v>
      </c>
      <c r="O8" s="255">
        <f>+SUM('Sumas y Saldos'!BP130:BP208)+'Sumas y Saldos'!BP18+'Sumas y Saldos'!BP19</f>
        <v>0</v>
      </c>
      <c r="P8" s="256">
        <f>+SUM('Sumas y Saldos'!BM18:BM19,'Sumas y Saldos'!BM130:BM208)</f>
        <v>0</v>
      </c>
      <c r="Q8" s="256"/>
      <c r="R8" s="256"/>
      <c r="S8" s="256"/>
      <c r="T8" s="256"/>
      <c r="U8" s="256"/>
      <c r="V8" s="256"/>
      <c r="W8" s="257">
        <f>SUM(D8:V8)</f>
        <v>29300.100000000006</v>
      </c>
      <c r="Y8" s="194"/>
    </row>
    <row r="9" ht="14.25" customHeight="1" spans="1:23" x14ac:dyDescent="0.25">
      <c r="A9" s="1"/>
      <c r="B9" s="1"/>
      <c r="C9" s="251" t="s">
        <v>888</v>
      </c>
      <c r="D9" s="252">
        <f>SUM('Sumas y Saldos'!E210:E270)+'Sumas y Saldos'!E93+'Sumas y Saldos'!E98</f>
        <v>2932.82</v>
      </c>
      <c r="E9" s="252">
        <f>SUM('Sumas y Saldos'!H210:H279)+'Sumas y Saldos'!H93+'Sumas y Saldos'!H98</f>
        <v>9292.23</v>
      </c>
      <c r="F9" s="252">
        <f>SUM('Sumas y Saldos'!Q210:Q260)+'Sumas y Saldos'!Q93+'Sumas y Saldos'!Q98</f>
        <v>0</v>
      </c>
      <c r="G9" s="252">
        <f>SUM('Sumas y Saldos'!Z210:Z260)+'Sumas y Saldos'!Z93+'Sumas y Saldos'!Z98</f>
        <v>0</v>
      </c>
      <c r="H9" s="253">
        <f>SUM('Sumas y Saldos'!W210:W311)+'Sumas y Saldos'!W93+'Sumas y Saldos'!W98</f>
        <v>0</v>
      </c>
      <c r="I9" s="254">
        <f>SUM('Sumas y Saldos'!AF210:AF311)+'Sumas y Saldos'!AF93+'Sumas y Saldos'!AF98</f>
        <v>0</v>
      </c>
      <c r="J9" s="253">
        <f>SUM('Sumas y Saldos'!AI210:AI311)+'Sumas y Saldos'!AI93+'Sumas y Saldos'!AI98</f>
        <v>0</v>
      </c>
      <c r="K9" s="253">
        <f>SUM('Sumas y Saldos'!AO210:AO311)+'Sumas y Saldos'!AO93+'Sumas y Saldos'!AO98</f>
        <v>1560.7399999999998</v>
      </c>
      <c r="L9" s="253">
        <f>SUM('Sumas y Saldos'!AC210:AC311)+'Sumas y Saldos'!AC93+'Sumas y Saldos'!AC98</f>
        <v>30291.66</v>
      </c>
      <c r="M9" s="253">
        <f>SUM('Sumas y Saldos'!AL210:AL311)+'Sumas y Saldos'!AL93+'Sumas y Saldos'!AL98</f>
        <v>0</v>
      </c>
      <c r="N9" s="253">
        <f>SUM('Sumas y Saldos'!T210:T311)+'Sumas y Saldos'!T93+'Sumas y Saldos'!T98</f>
        <v>21945.2</v>
      </c>
      <c r="O9" s="255">
        <f>+SUM('Sumas y Saldos'!BP210:BP303)</f>
        <v>0</v>
      </c>
      <c r="P9" s="255">
        <f>+'Sumas y Saldos'!BM92+'Sumas y Saldos'!BM97+SUM('Sumas y Saldos'!BM210:BM303)</f>
        <v>0</v>
      </c>
      <c r="Q9" s="255"/>
      <c r="R9" s="255"/>
      <c r="S9" s="255"/>
      <c r="T9" s="255"/>
      <c r="U9" s="255"/>
      <c r="V9" s="255"/>
      <c r="W9" s="257">
        <f>SUM(D9:V9)</f>
        <v>66022.65</v>
      </c>
    </row>
    <row r="10" ht="14.25" customHeight="1" spans="1:27" x14ac:dyDescent="0.25">
      <c r="A10" s="1"/>
      <c r="B10" s="1"/>
      <c r="C10" s="251" t="s">
        <v>889</v>
      </c>
      <c r="D10" s="252">
        <f>+'Sumas y Saldos'!E355</f>
        <v>0</v>
      </c>
      <c r="E10" s="252">
        <f>+SUM('Sumas y Saldos'!H355:H356)</f>
        <v>0</v>
      </c>
      <c r="F10" s="252">
        <f>SUM('Sumas y Saldos'!Q355)</f>
        <v>0</v>
      </c>
      <c r="G10" s="252">
        <f>+'Sumas y Saldos'!Z355</f>
        <v>0</v>
      </c>
      <c r="H10" s="253">
        <f>+'Sumas y Saldos'!W355</f>
        <v>0</v>
      </c>
      <c r="I10" s="254">
        <f>+'Sumas y Saldos'!AF355</f>
        <v>0</v>
      </c>
      <c r="J10" s="254">
        <f>+'Sumas y Saldos'!AI355</f>
        <v>0</v>
      </c>
      <c r="K10" s="253">
        <f>+'Sumas y Saldos'!AO355</f>
        <v>0</v>
      </c>
      <c r="L10" s="253">
        <f>SUM('Sumas y Saldos'!AC355:AC357)</f>
        <v>0</v>
      </c>
      <c r="M10" s="254">
        <f>+'Sumas y Saldos'!AL355</f>
        <v>0</v>
      </c>
      <c r="N10" s="254">
        <f>SUM('Sumas y Saldos'!T355:T357)</f>
        <v>0</v>
      </c>
      <c r="O10" s="256"/>
      <c r="P10" s="256">
        <f>+SUM('Sumas y Saldos'!BM355:BM358)</f>
        <v>0</v>
      </c>
      <c r="Q10" s="256"/>
      <c r="R10" s="256"/>
      <c r="S10" s="256"/>
      <c r="T10" s="256"/>
      <c r="U10" s="256"/>
      <c r="V10" s="256"/>
      <c r="W10" s="257">
        <f>SUM(D10:V10)</f>
        <v>0</v>
      </c>
      <c r="Y10" s="200"/>
      <c r="Z10" s="194"/>
      <c r="AA10" s="200"/>
    </row>
    <row r="11" ht="14.25" customHeight="1" spans="1:23" x14ac:dyDescent="0.25">
      <c r="A11" s="1"/>
      <c r="B11" s="1"/>
      <c r="C11" s="251" t="s">
        <v>890</v>
      </c>
      <c r="D11" s="252"/>
      <c r="E11" s="252"/>
      <c r="F11" s="252"/>
      <c r="G11" s="252"/>
      <c r="H11" s="253"/>
      <c r="I11" s="254"/>
      <c r="J11" s="254"/>
      <c r="K11" s="253"/>
      <c r="L11" s="253"/>
      <c r="M11" s="254"/>
      <c r="N11" s="254"/>
      <c r="O11" s="256"/>
      <c r="P11" s="256"/>
      <c r="Q11" s="256"/>
      <c r="R11" s="256"/>
      <c r="S11" s="256"/>
      <c r="T11" s="256"/>
      <c r="U11" s="256"/>
      <c r="V11" s="256"/>
      <c r="W11" s="257">
        <f>SUM(D11:V11)</f>
        <v>0</v>
      </c>
    </row>
    <row r="12" ht="14.25" customHeight="1" spans="1:23" x14ac:dyDescent="0.25">
      <c r="A12" s="1"/>
      <c r="B12" s="1"/>
      <c r="C12" s="251" t="s">
        <v>891</v>
      </c>
      <c r="D12" s="252">
        <f>+'Sumas y Saldos'!E378+'Sumas y Saldos'!E364</f>
        <v>0</v>
      </c>
      <c r="E12" s="258">
        <f>SUM('Sumas y Saldos'!H361:H367)</f>
        <v>0</v>
      </c>
      <c r="F12" s="252"/>
      <c r="G12" s="252">
        <f>+'Sumas y Saldos'!Z364</f>
        <v>0</v>
      </c>
      <c r="H12" s="253">
        <f>+'Sumas y Saldos'!U364</f>
        <v>0</v>
      </c>
      <c r="I12" s="254"/>
      <c r="J12" s="254"/>
      <c r="K12" s="253"/>
      <c r="L12" s="253">
        <f>SUM('Sumas y Saldos'!AC361:AC367)</f>
        <v>0</v>
      </c>
      <c r="M12" s="254"/>
      <c r="N12" s="254">
        <f>+SUM('Sumas y Saldos'!T360:T383)</f>
        <v>0</v>
      </c>
      <c r="O12" s="256"/>
      <c r="P12" s="256"/>
      <c r="Q12" s="256"/>
      <c r="R12" s="256"/>
      <c r="S12" s="256"/>
      <c r="T12" s="256"/>
      <c r="U12" s="256"/>
      <c r="V12" s="256"/>
      <c r="W12" s="257">
        <f>SUM(D12:V12)</f>
        <v>0</v>
      </c>
    </row>
    <row r="13" ht="14.25" customHeight="1" spans="1:23" x14ac:dyDescent="0.25">
      <c r="A13" s="1"/>
      <c r="B13" s="1"/>
      <c r="C13" s="251" t="s">
        <v>892</v>
      </c>
      <c r="D13" s="252"/>
      <c r="E13" s="259">
        <f>+SUM('Sumas y Saldos'!H394:H395)</f>
        <v>469.85</v>
      </c>
      <c r="F13" s="252"/>
      <c r="G13" s="252"/>
      <c r="H13" s="253"/>
      <c r="I13" s="254"/>
      <c r="J13" s="254"/>
      <c r="K13" s="253"/>
      <c r="L13" s="254"/>
      <c r="M13" s="254"/>
      <c r="N13" s="254">
        <f>+'Sumas y Saldos'!R395</f>
        <v>0</v>
      </c>
      <c r="O13" s="256">
        <f>+'Sumas y Saldos'!BN394</f>
        <v>0</v>
      </c>
      <c r="P13" s="256">
        <f>+SUM('Sumas y Saldos'!BM394:BM395)</f>
        <v>0</v>
      </c>
      <c r="Q13" s="256"/>
      <c r="R13" s="256"/>
      <c r="S13" s="256"/>
      <c r="T13" s="256"/>
      <c r="U13" s="256"/>
      <c r="V13" s="256"/>
      <c r="W13" s="257">
        <f>SUM(D13:V13)</f>
        <v>469.85</v>
      </c>
    </row>
    <row r="14" ht="14.25" customHeight="1" spans="1:23" x14ac:dyDescent="0.25">
      <c r="A14" s="1"/>
      <c r="B14" s="1"/>
      <c r="C14" s="251" t="s">
        <v>893</v>
      </c>
      <c r="D14" s="252"/>
      <c r="E14" s="259"/>
      <c r="F14" s="252"/>
      <c r="G14" s="252"/>
      <c r="H14" s="253"/>
      <c r="I14" s="254"/>
      <c r="J14" s="254"/>
      <c r="K14" s="253"/>
      <c r="L14" s="254"/>
      <c r="M14" s="254"/>
      <c r="N14" s="254"/>
      <c r="O14" s="256"/>
      <c r="P14" s="256"/>
      <c r="Q14" s="256"/>
      <c r="R14" s="256"/>
      <c r="S14" s="256"/>
      <c r="T14" s="256"/>
      <c r="U14" s="256"/>
      <c r="V14" s="256"/>
      <c r="W14" s="257">
        <f>SUM(D14:V14)</f>
        <v>0</v>
      </c>
    </row>
    <row r="15" ht="14.25" customHeight="1" spans="1:23" x14ac:dyDescent="0.25">
      <c r="A15" s="1"/>
      <c r="B15" s="1"/>
      <c r="C15" s="251" t="s">
        <v>894</v>
      </c>
      <c r="D15" s="252">
        <f>SUM('Sumas y Saldos'!E312:E334)</f>
        <v>0</v>
      </c>
      <c r="E15" s="252">
        <f>SUM('Sumas y Saldos'!H312:H354)</f>
        <v>0</v>
      </c>
      <c r="F15" s="252">
        <f>SUM('Sumas y Saldos'!Q311:Q321)</f>
        <v>0</v>
      </c>
      <c r="G15" s="252">
        <f>SUM('Sumas y Saldos'!Z311:Z321)</f>
        <v>0</v>
      </c>
      <c r="H15" s="253">
        <f>SUM('Sumas y Saldos'!W312:W339)</f>
        <v>0</v>
      </c>
      <c r="I15" s="254">
        <f>SUM('Sumas y Saldos'!AF312:AF321)</f>
        <v>0</v>
      </c>
      <c r="J15" s="254">
        <f>SUM('Sumas y Saldos'!AI312:AI334)</f>
        <v>0</v>
      </c>
      <c r="K15" s="253">
        <f>SUM('Sumas y Saldos'!AO312:AO334)</f>
        <v>0</v>
      </c>
      <c r="L15" s="253">
        <f>SUM('Sumas y Saldos'!AC312:AC354)</f>
        <v>0</v>
      </c>
      <c r="M15" s="253">
        <f>SUM('Sumas y Saldos'!AL312:AL321)</f>
        <v>0</v>
      </c>
      <c r="N15" s="253">
        <f>SUM('Sumas y Saldos'!T312:T334)+'Sumas y Saldos'!T335+'Sumas y Saldos'!T336</f>
        <v>0</v>
      </c>
      <c r="O15" s="256">
        <f>+SUM('Sumas y Saldos'!BP312:BP354)</f>
        <v>0</v>
      </c>
      <c r="P15" s="260">
        <f>+SUM('Sumas y Saldos'!BM312:BM349)</f>
        <v>0</v>
      </c>
      <c r="Q15" s="260"/>
      <c r="R15" s="260"/>
      <c r="S15" s="260"/>
      <c r="T15" s="260"/>
      <c r="U15" s="260"/>
      <c r="V15" s="260"/>
      <c r="W15" s="257">
        <f>SUM(D15:V15)</f>
        <v>0</v>
      </c>
    </row>
    <row r="16" ht="14.25" customHeight="1" spans="1:23" x14ac:dyDescent="0.25">
      <c r="A16" s="1"/>
      <c r="B16" s="1"/>
      <c r="C16" s="251" t="s">
        <v>895</v>
      </c>
      <c r="D16" s="252"/>
      <c r="E16" s="259"/>
      <c r="F16" s="252"/>
      <c r="G16" s="252">
        <f>+'Sumas y Saldos'!Z123</f>
        <v>0</v>
      </c>
      <c r="H16" s="253">
        <f>+'Sumas y Saldos'!W124</f>
        <v>0</v>
      </c>
      <c r="I16" s="254"/>
      <c r="J16" s="254"/>
      <c r="K16" s="253"/>
      <c r="L16" s="254">
        <f>SUM('Sumas y Saldos'!AC122:AC124)</f>
        <v>0</v>
      </c>
      <c r="M16" s="254"/>
      <c r="N16" s="254">
        <f>SUM('Sumas y Saldos'!T122:T129)</f>
        <v>0</v>
      </c>
      <c r="O16" s="256"/>
      <c r="P16" s="256">
        <f>+SUM('Sumas y Saldos'!BM122:BM129)</f>
        <v>0</v>
      </c>
      <c r="Q16" s="256"/>
      <c r="R16" s="256"/>
      <c r="S16" s="256"/>
      <c r="T16" s="256"/>
      <c r="U16" s="256"/>
      <c r="V16" s="256"/>
      <c r="W16" s="257">
        <f>SUM(D16:V16)</f>
        <v>0</v>
      </c>
    </row>
    <row r="17" ht="14.25" customHeight="1" spans="1:23" x14ac:dyDescent="0.25">
      <c r="A17" s="1"/>
      <c r="B17" s="1"/>
      <c r="C17" s="261"/>
      <c r="D17" s="262"/>
      <c r="E17" s="263"/>
      <c r="F17" s="262"/>
      <c r="G17" s="194"/>
      <c r="H17" s="194"/>
      <c r="I17" s="194"/>
      <c r="J17" s="194"/>
      <c r="K17" s="194"/>
      <c r="L17" s="194"/>
      <c r="M17" s="194"/>
      <c r="N17" s="194"/>
      <c r="O17" s="193"/>
      <c r="P17" s="193"/>
      <c r="Q17" s="193"/>
      <c r="R17" s="193"/>
      <c r="S17" s="193"/>
      <c r="T17" s="193"/>
      <c r="U17" s="193"/>
      <c r="V17" s="193"/>
      <c r="W17" s="257">
        <f>SUM(D17:V17)</f>
        <v>0</v>
      </c>
    </row>
    <row r="18" ht="14.25" customHeight="1" spans="1:23" x14ac:dyDescent="0.25">
      <c r="A18" s="1"/>
      <c r="B18" s="1"/>
      <c r="C18" s="264" t="s">
        <v>420</v>
      </c>
      <c r="D18" s="265"/>
      <c r="E18" s="266">
        <f>+SUM('Sumas y Saldos'!H384:H393)</f>
        <v>0</v>
      </c>
      <c r="F18" s="265"/>
      <c r="G18" s="265"/>
      <c r="H18" s="254"/>
      <c r="I18" s="254"/>
      <c r="J18" s="254">
        <f>+'Sumas y Saldos'!AG385</f>
        <v>0</v>
      </c>
      <c r="K18" s="254"/>
      <c r="L18" s="254"/>
      <c r="M18" s="254"/>
      <c r="N18" s="254"/>
      <c r="O18" s="256"/>
      <c r="P18" s="256"/>
      <c r="Q18" s="256">
        <f>+'Sumas y Saldos'!AR386</f>
        <v>0</v>
      </c>
      <c r="R18" s="256">
        <f>+'Sumas y Saldos'!AS388</f>
        <v>0</v>
      </c>
      <c r="S18" s="256">
        <f>+'Sumas y Saldos'!AX386</f>
        <v>0</v>
      </c>
      <c r="T18" s="256">
        <f>+'Sumas y Saldos'!BA386</f>
        <v>0</v>
      </c>
      <c r="U18" s="256">
        <f>+'Sumas y Saldos'!BD386</f>
        <v>0</v>
      </c>
      <c r="V18" s="256">
        <f>+'Sumas y Saldos'!BG386</f>
        <v>0</v>
      </c>
      <c r="W18" s="257">
        <f>SUM(D18:V18)</f>
        <v>0</v>
      </c>
    </row>
    <row r="19" ht="14.25" customHeight="1" spans="1:23" x14ac:dyDescent="0.25">
      <c r="A19" s="1"/>
      <c r="B19" s="1"/>
      <c r="C19" s="267"/>
      <c r="D19" s="268"/>
      <c r="E19" s="269"/>
      <c r="F19" s="268"/>
      <c r="G19" s="268"/>
      <c r="H19" s="268"/>
      <c r="I19" s="268"/>
      <c r="J19" s="268"/>
      <c r="K19" s="268"/>
      <c r="L19" s="268"/>
      <c r="M19" s="268"/>
      <c r="N19" s="268"/>
      <c r="O19" s="270"/>
      <c r="P19" s="270"/>
      <c r="Q19" s="270"/>
      <c r="R19" s="270"/>
      <c r="S19" s="270"/>
      <c r="T19" s="270"/>
      <c r="U19" s="270"/>
      <c r="V19" s="270"/>
      <c r="W19" s="257">
        <f>SUM(D19:V19)</f>
        <v>0</v>
      </c>
    </row>
    <row r="20" ht="14.25" customHeight="1" spans="1:23" x14ac:dyDescent="0.25">
      <c r="A20" s="1"/>
      <c r="B20" s="1"/>
      <c r="C20" s="264" t="s">
        <v>896</v>
      </c>
      <c r="D20" s="266"/>
      <c r="E20" s="266"/>
      <c r="F20" s="266"/>
      <c r="G20" s="265"/>
      <c r="H20" s="271"/>
      <c r="I20" s="271"/>
      <c r="J20" s="271"/>
      <c r="K20" s="271"/>
      <c r="L20" s="271"/>
      <c r="M20" s="271"/>
      <c r="N20" s="271"/>
      <c r="O20" s="256"/>
      <c r="P20" s="256"/>
      <c r="Q20" s="256"/>
      <c r="R20" s="256"/>
      <c r="S20" s="256"/>
      <c r="T20" s="256"/>
      <c r="U20" s="256"/>
      <c r="V20" s="256"/>
      <c r="W20" s="257">
        <f>SUM(D20:V20)</f>
        <v>0</v>
      </c>
    </row>
    <row r="21" ht="13.5" customHeight="1" spans="1:23" x14ac:dyDescent="0.25">
      <c r="A21" s="1"/>
      <c r="B21" s="1"/>
      <c r="C21" s="261"/>
      <c r="D21" s="1"/>
      <c r="E21" s="1"/>
      <c r="F21" s="1"/>
      <c r="G21" s="194"/>
      <c r="H21" s="1"/>
      <c r="I21" s="1"/>
      <c r="J21" s="1"/>
      <c r="K21" s="1"/>
      <c r="L21" s="1"/>
      <c r="M21" s="1"/>
      <c r="N21" s="1"/>
      <c r="O21" s="193"/>
      <c r="P21" s="193"/>
      <c r="Q21" s="193"/>
      <c r="R21" s="193"/>
      <c r="S21" s="193"/>
      <c r="T21" s="193"/>
      <c r="U21" s="193"/>
      <c r="V21" s="193"/>
      <c r="W21" s="272"/>
    </row>
    <row r="22" ht="15" customHeight="1" spans="1:24" x14ac:dyDescent="0.25">
      <c r="A22" s="1"/>
      <c r="B22" s="1"/>
      <c r="C22" s="273" t="s">
        <v>452</v>
      </c>
      <c r="D22" s="274">
        <f>SUM(D8:D21)</f>
        <v>30055.240000000005</v>
      </c>
      <c r="E22" s="274">
        <f>SUM(E8:E21)</f>
        <v>10615.58</v>
      </c>
      <c r="F22" s="274">
        <f>SUM(F8:F21)</f>
        <v>0</v>
      </c>
      <c r="G22" s="274">
        <f>SUM(G8:G21)</f>
        <v>0</v>
      </c>
      <c r="H22" s="274">
        <f>SUM(H8:H21)</f>
        <v>0</v>
      </c>
      <c r="I22" s="274">
        <f>SUM(I8:I21)</f>
        <v>0</v>
      </c>
      <c r="J22" s="274">
        <f>SUM(J8:J21)</f>
        <v>0</v>
      </c>
      <c r="K22" s="274">
        <f>SUM(K8:K21)</f>
        <v>1663.87</v>
      </c>
      <c r="L22" s="274">
        <f>SUM(L8:L21)</f>
        <v>30291.66</v>
      </c>
      <c r="M22" s="274">
        <f>SUM(M8:M21)</f>
        <v>0</v>
      </c>
      <c r="N22" s="274">
        <f>SUM(N8:N21)</f>
        <v>23166.25</v>
      </c>
      <c r="O22" s="275">
        <f>SUM(O8:O21)</f>
        <v>0</v>
      </c>
      <c r="P22" s="275">
        <f>SUM(P8:P21)</f>
        <v>0</v>
      </c>
      <c r="Q22" s="275">
        <f>SUM(Q8:Q21)</f>
        <v>0</v>
      </c>
      <c r="R22" s="275">
        <f>SUM(R8:R21)</f>
        <v>0</v>
      </c>
      <c r="S22" s="275">
        <f>SUM(S8:S21)</f>
        <v>0</v>
      </c>
      <c r="T22" s="275">
        <f>SUM(T8:T21)</f>
        <v>0</v>
      </c>
      <c r="U22" s="275">
        <f>SUM(U8:U21)</f>
        <v>0</v>
      </c>
      <c r="V22" s="275">
        <f>SUM(V8:V21)</f>
        <v>0</v>
      </c>
      <c r="W22" s="276">
        <f>SUM(D22:V22)</f>
        <v>95792.6</v>
      </c>
      <c r="X22" s="193"/>
    </row>
    <row r="23" ht="12.75" customHeight="1" spans="1:23" x14ac:dyDescent="0.25">
      <c r="A23" s="1"/>
      <c r="B23" s="1"/>
      <c r="C23" s="261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3"/>
      <c r="P23" s="193"/>
      <c r="Q23" s="193"/>
      <c r="R23" s="193"/>
      <c r="S23" s="193"/>
      <c r="T23" s="193"/>
      <c r="U23" s="193"/>
      <c r="V23" s="193"/>
      <c r="W23" s="272"/>
    </row>
    <row r="24" ht="12.75" customHeight="1" spans="1:23" x14ac:dyDescent="0.25">
      <c r="A24" s="1"/>
      <c r="B24" s="1"/>
      <c r="C24" s="264" t="s">
        <v>897</v>
      </c>
      <c r="D24" s="277"/>
      <c r="E24" s="277"/>
      <c r="F24" s="277"/>
      <c r="G24" s="277"/>
      <c r="H24" s="278"/>
      <c r="I24" s="278"/>
      <c r="J24" s="278"/>
      <c r="K24" s="278"/>
      <c r="L24" s="278"/>
      <c r="M24" s="278"/>
      <c r="N24" s="278"/>
      <c r="O24" s="256"/>
      <c r="P24" s="256"/>
      <c r="Q24" s="256"/>
      <c r="R24" s="256"/>
      <c r="S24" s="256"/>
      <c r="T24" s="256"/>
      <c r="U24" s="256"/>
      <c r="V24" s="256"/>
      <c r="W24" s="279"/>
    </row>
    <row r="25" ht="12.75" customHeight="1" spans="1:23" x14ac:dyDescent="0.25">
      <c r="A25" s="1"/>
      <c r="B25" s="1"/>
      <c r="C25" s="26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3"/>
      <c r="P25" s="193"/>
      <c r="Q25" s="193"/>
      <c r="R25" s="193"/>
      <c r="S25" s="193"/>
      <c r="T25" s="193"/>
      <c r="U25" s="193"/>
      <c r="V25" s="193"/>
      <c r="W25" s="272"/>
    </row>
    <row r="26" ht="13.5" customHeight="1" spans="1:23" x14ac:dyDescent="0.25">
      <c r="A26" s="1"/>
      <c r="B26" s="1"/>
      <c r="C26" s="280" t="s">
        <v>898</v>
      </c>
      <c r="D26" s="281"/>
      <c r="E26" s="281"/>
      <c r="F26" s="281"/>
      <c r="G26" s="281"/>
      <c r="H26" s="282"/>
      <c r="I26" s="282"/>
      <c r="J26" s="282"/>
      <c r="K26" s="282"/>
      <c r="L26" s="282"/>
      <c r="M26" s="282"/>
      <c r="N26" s="282"/>
      <c r="O26" s="283"/>
      <c r="P26" s="283"/>
      <c r="Q26" s="283"/>
      <c r="R26" s="283"/>
      <c r="S26" s="283"/>
      <c r="T26" s="283"/>
      <c r="U26" s="283"/>
      <c r="V26" s="283"/>
      <c r="W26" s="284"/>
    </row>
    <row r="28" ht="12.75" customHeight="1" spans="1:23" x14ac:dyDescent="0.25">
      <c r="A28" s="1"/>
      <c r="B28" s="1"/>
      <c r="C28" s="1"/>
      <c r="D28" s="193">
        <f>+'Dist.de gastos'!F100</f>
      </c>
      <c r="E28" s="193">
        <f>+'Dist.de gastos'!G100</f>
      </c>
      <c r="F28" s="193">
        <f>+'Dist.de gastos'!I100</f>
      </c>
      <c r="G28" s="193">
        <f>+'Dist.de gastos'!J100</f>
      </c>
      <c r="H28" s="193">
        <f>+'Dist.de gastos'!M100</f>
      </c>
      <c r="I28" s="1"/>
      <c r="J28" s="193">
        <f>+'Dist.de gastos'!O100</f>
      </c>
      <c r="K28" s="193">
        <f>+'Dist.de gastos'!P100</f>
      </c>
      <c r="L28" s="193">
        <f>+'Dist.de gastos'!K100</f>
      </c>
      <c r="M28" s="193">
        <f>+'Dist.de gastos'!Q100</f>
      </c>
      <c r="N28" s="193">
        <f>+'Dist.de gastos'!N100</f>
      </c>
      <c r="O28" s="193">
        <f>+'Dist.de gastos'!V100</f>
      </c>
      <c r="P28" s="193">
        <f>+'Dist.de gastos'!U100</f>
      </c>
      <c r="Q28" s="193"/>
      <c r="R28" s="193">
        <f>+'Dist.de gastos'!L100</f>
      </c>
      <c r="S28" s="193"/>
      <c r="T28" s="193"/>
      <c r="U28" s="193"/>
      <c r="V28" s="193"/>
      <c r="W28" s="193">
        <f>+'Gastos Acumulados'!D74</f>
        <v>95792.6</v>
      </c>
    </row>
    <row r="29" ht="12.75" customHeight="1" spans="1:23" x14ac:dyDescent="0.25">
      <c r="A29" s="1"/>
      <c r="B29" s="1"/>
      <c r="C29" s="1"/>
      <c r="D29" s="194">
        <f>+D28-D22</f>
        <v>0</v>
      </c>
      <c r="E29" s="194">
        <f>+E28-E22</f>
        <v>0</v>
      </c>
      <c r="F29" s="194">
        <f>+F28-F22</f>
        <v>0</v>
      </c>
      <c r="G29" s="194">
        <f>+G28-G22</f>
        <v>0</v>
      </c>
      <c r="H29" s="194">
        <f>+H28-H22</f>
        <v>0</v>
      </c>
      <c r="I29" s="1"/>
      <c r="J29" s="194">
        <f>+J28-J22</f>
        <v>0</v>
      </c>
      <c r="K29" s="194">
        <f>+K28-K22</f>
        <v>0</v>
      </c>
      <c r="L29" s="194">
        <f>+L28-L22</f>
        <v>0</v>
      </c>
      <c r="M29" s="194">
        <f>+M28-M22</f>
        <v>0</v>
      </c>
      <c r="N29" s="285">
        <f>+N28-N22</f>
        <v>0</v>
      </c>
      <c r="O29" s="286">
        <f>+O28-O22</f>
        <v>0</v>
      </c>
      <c r="P29" s="286">
        <f>+P28-P22</f>
        <v>0</v>
      </c>
      <c r="Q29" s="286"/>
      <c r="R29" s="286">
        <f>+R22-R28</f>
        <v>0</v>
      </c>
      <c r="S29" s="286"/>
      <c r="T29" s="286"/>
      <c r="U29" s="286"/>
      <c r="V29" s="286"/>
      <c r="W29" s="193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