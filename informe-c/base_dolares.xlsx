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8" name="Balance" state="visible" r:id="rId4"/>
    <sheet sheetId="7" name="Resultados" state="visible" r:id="rId5"/>
    <sheet sheetId="6" name="Pat.Neto" state="visible" r:id="rId6"/>
    <sheet sheetId="5" name="Activo y Pasivo" state="visible" r:id="rId7"/>
    <sheet sheetId="12" name="Anexo I" state="visible" r:id="rId8"/>
    <sheet sheetId="10" name="Anexo II" state="visible" r:id="rId9"/>
    <sheet sheetId="11" name="Distribución por línea" state="hidden" r:id="rId10"/>
    <sheet sheetId="13" name="Balance de sumas y saldos" state="hidden" r:id="rId11"/>
  </sheets>
  <definedNames>
    <definedName name="_xlnm._FilterDatabase">'Anexo II'!$E$9:$E$102</definedName>
    <definedName name="_xlnm.Print_Area" localSheetId="0">'Balance'!$A1:$L33</definedName>
    <definedName name="_xlnm.Print_Area" localSheetId="2">'Pat.Neto'!$A1:$J33</definedName>
    <definedName name="_xlnm.Print_Area" localSheetId="4">'Anexo I'!$A1:$K36</definedName>
    <definedName name="_xlnm.Print_Area" localSheetId="5">'Anexo II'!$A2:$J112</definedName>
  </definedNames>
  <calcPr calcId="171027" fullCalcOnLoad="1"/>
</workbook>
</file>

<file path=xl/sharedStrings.xml><?xml version="1.0" encoding="utf-8"?>
<sst xmlns="http://schemas.openxmlformats.org/spreadsheetml/2006/main" count="1126" uniqueCount="779">
  <si>
    <t>ESTADO DE SITUACION PATRIMONIAL</t>
  </si>
  <si>
    <t>Al 31 de julio de 2026  - Cifras expresadas en dólares</t>
  </si>
  <si>
    <t xml:space="preserve"> </t>
  </si>
  <si>
    <t>31.03.04</t>
  </si>
  <si>
    <t>ACTIVO:</t>
  </si>
  <si>
    <t>Historico</t>
  </si>
  <si>
    <t>PASIVO</t>
  </si>
  <si>
    <t>ACTIVO CORRIENTE</t>
  </si>
  <si>
    <t>PASIVO CORRIENTE</t>
  </si>
  <si>
    <t>Caja y Bancos (Nota 4.a)</t>
  </si>
  <si>
    <t>Deudas Comerciales (Nota 4.e)</t>
  </si>
  <si>
    <t>Otros Créditos  (Nota 4.b)</t>
  </si>
  <si>
    <t>Cargas Fiscales (Nota 4.f)</t>
  </si>
  <si>
    <t>Otros Activos (Nota 4.c)</t>
  </si>
  <si>
    <t>Remuneraciones y Cargas Sociales (Nota 4.g)</t>
  </si>
  <si>
    <t>Total del Activo corriente</t>
  </si>
  <si>
    <t>Total del Pasivo Corriente</t>
  </si>
  <si>
    <t>Total del Pasivo</t>
  </si>
  <si>
    <t>Inversiones (Nota 4.d)</t>
  </si>
  <si>
    <t>Bienes de Uso (Anexo I)</t>
  </si>
  <si>
    <t>PATRIMONIO NETO (Según estado respectivo)</t>
  </si>
  <si>
    <t>Total del Activo no corriente</t>
  </si>
  <si>
    <t>Total del Activo</t>
  </si>
  <si>
    <t>Total del Pasivo y Patrimonio Neto</t>
  </si>
  <si>
    <t>Las notas y anexos adjuntos forman parte integrante de los estados contables</t>
  </si>
  <si>
    <t>Informe profesional por separado</t>
  </si>
  <si>
    <t>Miguel Ángel Alonso</t>
  </si>
  <si>
    <t>Pedro Nicholson</t>
  </si>
  <si>
    <t>Alejandro Poletto</t>
  </si>
  <si>
    <t>Contador Público (U.C.A.)</t>
  </si>
  <si>
    <t>Síndico</t>
  </si>
  <si>
    <t>Southern Copper Arg. S.R.L.</t>
  </si>
  <si>
    <t>C.P.C.E.C.A.B.A. Tº176  Fº03</t>
  </si>
  <si>
    <t xml:space="preserve"> Gerente</t>
  </si>
  <si>
    <t>ESTADO DE RESULTADOS</t>
  </si>
  <si>
    <t>Ventas  y servicios netas</t>
  </si>
  <si>
    <t>Costo de mercaderías vendidas</t>
  </si>
  <si>
    <t>Ganancia neta</t>
  </si>
  <si>
    <t>Gastos de comercialización (Anexo II)</t>
  </si>
  <si>
    <t>Gastos de administración (Anexo II)</t>
  </si>
  <si>
    <t>Gastos de financieros (Anexo II)</t>
  </si>
  <si>
    <t>Gastos de Exploración</t>
  </si>
  <si>
    <t>Otros ingresos y egresos</t>
  </si>
  <si>
    <t>Resultados financieros y por tenencia</t>
  </si>
  <si>
    <t>Resultados Extraordinarios</t>
  </si>
  <si>
    <t>Pérdida antes de impuesto a las Ganancias</t>
  </si>
  <si>
    <t>Impuesto a las Ganancias</t>
  </si>
  <si>
    <t>Pérdida del ejercicio</t>
  </si>
  <si>
    <t>ESTADO DE EVOLUCION DEL PATRIMONIO NETO</t>
  </si>
  <si>
    <t xml:space="preserve">   </t>
  </si>
  <si>
    <t>CONCEPTO</t>
  </si>
  <si>
    <t xml:space="preserve">                                             Aportes de los propietarios</t>
  </si>
  <si>
    <t>Ganancias</t>
  </si>
  <si>
    <t>Reservadas</t>
  </si>
  <si>
    <t>Resultados</t>
  </si>
  <si>
    <t>Total del</t>
  </si>
  <si>
    <t>Capital</t>
  </si>
  <si>
    <t>Cuotas Pendientes de integracion</t>
  </si>
  <si>
    <t>Reserva</t>
  </si>
  <si>
    <t xml:space="preserve">Otras </t>
  </si>
  <si>
    <t>Aportes</t>
  </si>
  <si>
    <t>no</t>
  </si>
  <si>
    <t>patrimonio</t>
  </si>
  <si>
    <t>integrado</t>
  </si>
  <si>
    <t>suscripto</t>
  </si>
  <si>
    <t>legal</t>
  </si>
  <si>
    <t>reservas</t>
  </si>
  <si>
    <t>Irrevocables</t>
  </si>
  <si>
    <t>asignados</t>
  </si>
  <si>
    <t>neto</t>
  </si>
  <si>
    <t>USD</t>
  </si>
  <si>
    <t>Saldos al inicio del ejercicio</t>
  </si>
  <si>
    <t>A.R.E.A.</t>
  </si>
  <si>
    <t>Diferencia Resultados no Asignados</t>
  </si>
  <si>
    <t>Aumento de capital al 31/07/2026</t>
  </si>
  <si>
    <t>Ganancia (Pérdida) del ejercicio</t>
  </si>
  <si>
    <t>Saldos al 31.7.2026</t>
  </si>
  <si>
    <t>NOTA 4:</t>
  </si>
  <si>
    <t>COMPOSICION DE LOS RUBROS</t>
  </si>
  <si>
    <t>ACTIVO</t>
  </si>
  <si>
    <t>Activo Corriente</t>
  </si>
  <si>
    <t>a.</t>
  </si>
  <si>
    <t>Caja y Bancos</t>
  </si>
  <si>
    <t>- Caja</t>
  </si>
  <si>
    <t>- Banco de Crédito - BCP</t>
  </si>
  <si>
    <t>- ICBC c/c</t>
  </si>
  <si>
    <t>- Banco Macro USD</t>
  </si>
  <si>
    <t>- Banco Macro Pesos</t>
  </si>
  <si>
    <t>- Banco Macro Pesos Cta Especial</t>
  </si>
  <si>
    <t>- Banco Galicia c/c</t>
  </si>
  <si>
    <t>- Fondo fima premiun</t>
  </si>
  <si>
    <t>- Tarjetas VISA</t>
  </si>
  <si>
    <t>b.</t>
  </si>
  <si>
    <t>Otros Créditos</t>
  </si>
  <si>
    <t>- Zento S.A.</t>
  </si>
  <si>
    <t>- Iva crédito fiscal</t>
  </si>
  <si>
    <t>- Iva saldo a favor</t>
  </si>
  <si>
    <t>- IIBB saldo a favor</t>
  </si>
  <si>
    <t>- Retenciones y percepciones iva</t>
  </si>
  <si>
    <t>- Retenciones y percepciones IIBB</t>
  </si>
  <si>
    <t>- Crédito Imp. L.25413</t>
  </si>
  <si>
    <t>- Imp. Gcia Mínima Presunta</t>
  </si>
  <si>
    <t>- Anticipo Imp. Gcia. Mínima Presunta</t>
  </si>
  <si>
    <t>- Percepción RG 4815 35% computable</t>
  </si>
  <si>
    <t>- Iva importación de servicios</t>
  </si>
  <si>
    <t>- Southern Cooper Corporation Cta Part</t>
  </si>
  <si>
    <t>- Cía. Minera Los Tolmos S.A. Cta. Part.</t>
  </si>
  <si>
    <t>- Depósito en garantía alquiler</t>
  </si>
  <si>
    <t xml:space="preserve"> - Garantia a Cobrar/Recuperar</t>
  </si>
  <si>
    <t>- Adelanto Wilfredo Loza</t>
  </si>
  <si>
    <t xml:space="preserve">- Adelantos de Sueldos </t>
  </si>
  <si>
    <t>- Anticipos a proveedores</t>
  </si>
  <si>
    <t>- Anticipo Geologos</t>
  </si>
  <si>
    <t>- Anticipo de Fondos</t>
  </si>
  <si>
    <t>- Seguros a devengar</t>
  </si>
  <si>
    <t>- Cuentas por cobrar a Personal</t>
  </si>
  <si>
    <t>- Ret/Perc. Ganancias</t>
  </si>
  <si>
    <t>- Saldo a Favor Gcia Minima Presunta</t>
  </si>
  <si>
    <t>- Saldo Favor Ganancias</t>
  </si>
  <si>
    <t>- Impuesto Diferido</t>
  </si>
  <si>
    <t>- Cargos Diferidos Los Menucos</t>
  </si>
  <si>
    <t>- Cargos Diferidos Cañadón del Moro</t>
  </si>
  <si>
    <t>c.</t>
  </si>
  <si>
    <t>Otros Activos</t>
  </si>
  <si>
    <t>- Socios</t>
  </si>
  <si>
    <t>Activo No Corriente</t>
  </si>
  <si>
    <t>d.</t>
  </si>
  <si>
    <t>Inversiones</t>
  </si>
  <si>
    <t>- Títulos Públicos</t>
  </si>
  <si>
    <t>Pasivo</t>
  </si>
  <si>
    <t>Pasivo Corriente</t>
  </si>
  <si>
    <t>Deudas Comerciales</t>
  </si>
  <si>
    <t xml:space="preserve"> - Proveedores</t>
  </si>
  <si>
    <t xml:space="preserve"> - Cheques emitidos en cartera</t>
  </si>
  <si>
    <t>e.</t>
  </si>
  <si>
    <t>Cargas Fiscales</t>
  </si>
  <si>
    <t>- Sicore a pagar</t>
  </si>
  <si>
    <t>- Retención SUSS</t>
  </si>
  <si>
    <t>- Imp. Bienes, Acc. y Part. Soc. a pagar</t>
  </si>
  <si>
    <t>- Imp. Gcia Mínima Presunta a pagar</t>
  </si>
  <si>
    <t>- Tasa Municipalidad Tolar Grande a pagar</t>
  </si>
  <si>
    <t>- Tasa Seguridad e Higiene a pagar</t>
  </si>
  <si>
    <t>- Patentes a pagar</t>
  </si>
  <si>
    <t>- Provision de Gastos</t>
  </si>
  <si>
    <t>- Previsión AID</t>
  </si>
  <si>
    <t>- Previsión IGMP</t>
  </si>
  <si>
    <t>- Provisión Vacaciones</t>
  </si>
  <si>
    <t>f.</t>
  </si>
  <si>
    <t>Remuneraciones y Cargas Sociales</t>
  </si>
  <si>
    <t>- Sueldos a pagar</t>
  </si>
  <si>
    <t>- Sicoss a pagar</t>
  </si>
  <si>
    <t>- Embargo de Alimentos</t>
  </si>
  <si>
    <t>- Retenciones SUSS a pagar</t>
  </si>
  <si>
    <t>ANEXO I</t>
  </si>
  <si>
    <t>BIENES DE USO</t>
  </si>
  <si>
    <t xml:space="preserve"> Correspondiente al  ejercicio económico finalizado el 31 de julio de 2026</t>
  </si>
  <si>
    <t>VALOR DE ORIGEN</t>
  </si>
  <si>
    <t>DEPRECIACIONES</t>
  </si>
  <si>
    <t xml:space="preserve">VALORES AL </t>
  </si>
  <si>
    <t xml:space="preserve">ACUMULADAS </t>
  </si>
  <si>
    <t>DEL EJERCICIO</t>
  </si>
  <si>
    <t>ACUMULADAS</t>
  </si>
  <si>
    <t>NETO</t>
  </si>
  <si>
    <t xml:space="preserve">COMIENZO DEL </t>
  </si>
  <si>
    <t>AUMENTOS</t>
  </si>
  <si>
    <t>DISMINUCIONES</t>
  </si>
  <si>
    <t xml:space="preserve">CIERRE DEL </t>
  </si>
  <si>
    <t>AL INICIO DEL</t>
  </si>
  <si>
    <t>BAJAS</t>
  </si>
  <si>
    <t>ALICUOTA</t>
  </si>
  <si>
    <t>MONTO</t>
  </si>
  <si>
    <t xml:space="preserve">AL CIERRE DEL </t>
  </si>
  <si>
    <t>RESULTANTE</t>
  </si>
  <si>
    <t>EJERCICIO</t>
  </si>
  <si>
    <t>MENSUAL</t>
  </si>
  <si>
    <t>AL 31.07.2026</t>
  </si>
  <si>
    <t>- Muebles y Utiles</t>
  </si>
  <si>
    <t>- Equipamiento Exploración</t>
  </si>
  <si>
    <t>- Equipos</t>
  </si>
  <si>
    <t>- Herramientas</t>
  </si>
  <si>
    <t>- Equipos de Computación</t>
  </si>
  <si>
    <t>- Software</t>
  </si>
  <si>
    <t>- Rodados</t>
  </si>
  <si>
    <t>- Instalaciones</t>
  </si>
  <si>
    <t>ANEXO II</t>
  </si>
  <si>
    <t>Información Requerida por el Art. 64 Inc. b) de la Ley 19.550</t>
  </si>
  <si>
    <t>Anexo II</t>
  </si>
  <si>
    <t>TOTALES</t>
  </si>
  <si>
    <t xml:space="preserve">GASTOS </t>
  </si>
  <si>
    <t>GASTOS</t>
  </si>
  <si>
    <t xml:space="preserve">                           CONCEPTOS</t>
  </si>
  <si>
    <t>AL</t>
  </si>
  <si>
    <t xml:space="preserve">DE </t>
  </si>
  <si>
    <t>ADMINISTRACION</t>
  </si>
  <si>
    <t>COMERCIALIZACION</t>
  </si>
  <si>
    <t>EXPLORACION</t>
  </si>
  <si>
    <t>FINANCIEROS</t>
  </si>
  <si>
    <t>31.03.02</t>
  </si>
  <si>
    <t>-</t>
  </si>
  <si>
    <t>ALOJAMIENTO</t>
  </si>
  <si>
    <t>ALQUILERES (Inmuebles)</t>
  </si>
  <si>
    <t>ANALISIS MUESTRAS</t>
  </si>
  <si>
    <t>ALQUILERES VARIOS</t>
  </si>
  <si>
    <t>ALQUILER DE VEHÍCULOS</t>
  </si>
  <si>
    <t>ALQUILER DE MAQUINARIA</t>
  </si>
  <si>
    <t>ALQUILERES EQ. DE CAMPO</t>
  </si>
  <si>
    <t>ACUERDO DE INVERSIONES</t>
  </si>
  <si>
    <t>ADQUISICIÓN INFORMACIÓN GEOLÓGICA</t>
  </si>
  <si>
    <t>ADQUISICIÓN INFORMACIÓN GEOFÍSICA</t>
  </si>
  <si>
    <t>CARGAS SOCIALES</t>
  </si>
  <si>
    <t>CANON</t>
  </si>
  <si>
    <t>CATERING</t>
  </si>
  <si>
    <t>CERTIFICACIONES</t>
  </si>
  <si>
    <t>COMBUSTIBLE</t>
  </si>
  <si>
    <t>COMIDA</t>
  </si>
  <si>
    <t>COMISIONES</t>
  </si>
  <si>
    <t>COMUNICACIONES</t>
  </si>
  <si>
    <t>CONTROL ZOOFITOSANITARIA</t>
  </si>
  <si>
    <t>CONVENIO DE CESIÓN</t>
  </si>
  <si>
    <t>DONACIONES</t>
  </si>
  <si>
    <t>DERECHOS DE EXPLORACION</t>
  </si>
  <si>
    <t>EXPENSAS</t>
  </si>
  <si>
    <t>FERRETERÍA</t>
  </si>
  <si>
    <t>GASTOS BANCARIOS</t>
  </si>
  <si>
    <t>GASTOS VARIOS</t>
  </si>
  <si>
    <t>GASTOS VEHÍCULOS</t>
  </si>
  <si>
    <t>GASTOS CAMPAMENTO</t>
  </si>
  <si>
    <t>GASTOS EN CONSTRUCCIÓN</t>
  </si>
  <si>
    <t>GASTOS DE COMPUTACIÓN</t>
  </si>
  <si>
    <t>GASTOS MÉDICOS</t>
  </si>
  <si>
    <t>GASTOS CAPACITACIÓN</t>
  </si>
  <si>
    <t>GASTOS TOPOGRÁFICOS</t>
  </si>
  <si>
    <t>GASTOS LIMPIEZA</t>
  </si>
  <si>
    <t>GASTOS IMPORTACIÓN</t>
  </si>
  <si>
    <t>GASTOS DE REPRESENTACIÓN</t>
  </si>
  <si>
    <t>GASTOS DE ESPECTROMETRIA</t>
  </si>
  <si>
    <t>GASTOS DE PERFORACIÓN</t>
  </si>
  <si>
    <t>GRATIFICACIONES</t>
  </si>
  <si>
    <t>GS MANTENIMIENTO</t>
  </si>
  <si>
    <t>GS. MANTENIMIENTO SOFTWARE</t>
  </si>
  <si>
    <t>GASTOS EN TRÁMITES</t>
  </si>
  <si>
    <t>GS. EN PERSONAL</t>
  </si>
  <si>
    <t>GS. EXPLORACIÓN</t>
  </si>
  <si>
    <t>HONORARIOS LEGALES</t>
  </si>
  <si>
    <t>HONORARIOS PROFESIONALES</t>
  </si>
  <si>
    <t>IMP. L. 25413 S/DÉBITOS Y CRÉDITOS</t>
  </si>
  <si>
    <t>INTERESES Y MULTAS</t>
  </si>
  <si>
    <t>IMPUESTOS NO COMPUTABLES</t>
  </si>
  <si>
    <t>IMPUESTOS</t>
  </si>
  <si>
    <t>LIBRERIA Y PAPELERIA</t>
  </si>
  <si>
    <t>MATRÍCULAS</t>
  </si>
  <si>
    <t>MENSAJERÍA</t>
  </si>
  <si>
    <t>MOVILIDAD Y VIATICOS</t>
  </si>
  <si>
    <t>MATERIALES DE CAMPO</t>
  </si>
  <si>
    <t>OBRA SOCIAL</t>
  </si>
  <si>
    <t>PEAJES</t>
  </si>
  <si>
    <t>PATENTES</t>
  </si>
  <si>
    <t>PLOTEOS</t>
  </si>
  <si>
    <t>INFORMES AMBIENTALES</t>
  </si>
  <si>
    <t>PERDIDA DE MATERIALES</t>
  </si>
  <si>
    <t>PUBLICACIONES</t>
  </si>
  <si>
    <t>PUBLICIDAD</t>
  </si>
  <si>
    <t>SEGURIDAD</t>
  </si>
  <si>
    <t>SEGUROS</t>
  </si>
  <si>
    <t>SELLADOS</t>
  </si>
  <si>
    <t>SERVICIOS</t>
  </si>
  <si>
    <t>SERVICIOS DE CADETERIA</t>
  </si>
  <si>
    <t>SERVICIOS DE DIGITALIZACION</t>
  </si>
  <si>
    <t>SERVICIOS DE GEOFÍSICA</t>
  </si>
  <si>
    <t>SERVICIOS DE GEOLOGÍA</t>
  </si>
  <si>
    <t>SUELDOS</t>
  </si>
  <si>
    <t>TASAS</t>
  </si>
  <si>
    <t>TRASLADOS</t>
  </si>
  <si>
    <t>RECUPERO DE GASTOS</t>
  </si>
  <si>
    <t>REPARACIONES</t>
  </si>
  <si>
    <t>REGALOS AL PERSONAL</t>
  </si>
  <si>
    <t>EVENTOS</t>
  </si>
  <si>
    <t>CONSUMOS NO REEMBOLSABLES</t>
  </si>
  <si>
    <t>REMEDIACIÓN AMBIENTAL</t>
  </si>
  <si>
    <t>SERVICIOS DE INVESTIGACIÓN</t>
  </si>
  <si>
    <t>GASTOS DE LICITACIÓN</t>
  </si>
  <si>
    <t>GASTOS LEGALES</t>
  </si>
  <si>
    <t>ANÁLISIS QUIMICOS</t>
  </si>
  <si>
    <t>VACACIONES</t>
  </si>
  <si>
    <t>GASTOS EN CALEFACCIÓN</t>
  </si>
  <si>
    <t>SERVICIOS DE MOV DE SUELDOS</t>
  </si>
  <si>
    <t>SERVICIOS DE CARTOGRAFIA</t>
  </si>
  <si>
    <t>INSUMOS PARA MUESTRAS</t>
  </si>
  <si>
    <t>USO EVENTUAL DE AGUA</t>
  </si>
  <si>
    <t>INFORMES DE EVALUACIÓN ECONÓMICA</t>
  </si>
  <si>
    <t>Miguel Angel Alonso</t>
  </si>
  <si>
    <t>Contador Publico (U.C.A.)</t>
  </si>
  <si>
    <t>Sindico</t>
  </si>
  <si>
    <t>TxtCapitulo</t>
  </si>
  <si>
    <t>Texto72</t>
  </si>
  <si>
    <t>txtsaldop</t>
  </si>
  <si>
    <t>111010001 - Caja</t>
  </si>
  <si>
    <t>111020003 - Banco de Crédito - BCP</t>
  </si>
  <si>
    <t>111020001 - ICBC S.A. c/c</t>
  </si>
  <si>
    <t>111020005 - Banco Macro Pesos</t>
  </si>
  <si>
    <t>111020007 - Banco Macro USD</t>
  </si>
  <si>
    <t>111020006 - Banco Galicia c/c</t>
  </si>
  <si>
    <t>115010001 - Fondo fima premiun</t>
  </si>
  <si>
    <t>11104000 - Tarjetas Coorporativas</t>
  </si>
  <si>
    <t>11401001 - Iva crédito fiscal</t>
  </si>
  <si>
    <t>114010002 - IVA saldo a favor</t>
  </si>
  <si>
    <t>11401003 - Retenciones y percepciones iva</t>
  </si>
  <si>
    <t>11401004 - Retenciones y Percepciones II.BB.</t>
  </si>
  <si>
    <t>11401005 - Ingresos Brutos saldo a favor</t>
  </si>
  <si>
    <t>11401006 - Crédito Imp. L.25413</t>
  </si>
  <si>
    <t>11401010 - Imp. Gcia Mínima Presunta</t>
  </si>
  <si>
    <t>11401012 - Ret/Perc Ganancias</t>
  </si>
  <si>
    <t>11401013 - Saldo a Favor Gcia Minima Presunta</t>
  </si>
  <si>
    <t>11401014 - Saldo Favor Ganancias</t>
  </si>
  <si>
    <t>114010016 - Impuesto Credito Diferido</t>
  </si>
  <si>
    <t>11401011 - Anticipo Imp. Gcia. Mínima Presunta</t>
  </si>
  <si>
    <t>114010018 - Percepcion RG 4815 35% computable Ganancias</t>
  </si>
  <si>
    <t>114010020 - Iva importación de servicios</t>
  </si>
  <si>
    <t>11402001 - Southern Cooper Corporation Cta Part</t>
  </si>
  <si>
    <t>11402002 - Cía. Minera Los Tolmos S.A. Cta. Part.</t>
  </si>
  <si>
    <t>11405005 - Seguros a Devengar</t>
  </si>
  <si>
    <t>114050006 - Cuentas por cobrar a Personal</t>
  </si>
  <si>
    <t>114060002 - Zento S.A.</t>
  </si>
  <si>
    <t>11404002 - Adelanto Wilfredo Loza</t>
  </si>
  <si>
    <t>11405001 - Adelantos de Sueldos</t>
  </si>
  <si>
    <t>11405002 - Anticipo Geologos</t>
  </si>
  <si>
    <t>11405003 - Anticipo de Fondos</t>
  </si>
  <si>
    <t>11405004 - Anticipo a Proveedores</t>
  </si>
  <si>
    <t>114050007 - Garantia a Cobrar/Recuperar</t>
  </si>
  <si>
    <t>11601001 - Socio Southern Cooper Corporation</t>
  </si>
  <si>
    <t>12201000 - Depósito en garantía alquiler</t>
  </si>
  <si>
    <t>12301000 - Titulos Públicos</t>
  </si>
  <si>
    <t>12402000 - Muebles y Utiles</t>
  </si>
  <si>
    <t>12403000 - Equipos</t>
  </si>
  <si>
    <t>12404000 - Herramientas</t>
  </si>
  <si>
    <t>12405000 - Equipos de Computación</t>
  </si>
  <si>
    <t>12406000 - Software</t>
  </si>
  <si>
    <t>12407000 - Am. Ac. Muebles y Útiles</t>
  </si>
  <si>
    <t>12408000 - Am. Ac. Equipos</t>
  </si>
  <si>
    <t>12409000 - Am. Ac. Herramientas</t>
  </si>
  <si>
    <t>12411000 - Rodados</t>
  </si>
  <si>
    <t>12412000 - Am. Ac. Eq. de Computación</t>
  </si>
  <si>
    <t>12413000 - Am. Ac. Software</t>
  </si>
  <si>
    <t>12414000 - Am. Ac. Rodados</t>
  </si>
  <si>
    <t>12415000 - Equipamiento Exploración</t>
  </si>
  <si>
    <t>12416000 - Am. Ac. Equipamiento Exploración</t>
  </si>
  <si>
    <t>12417000 - Instalaciones</t>
  </si>
  <si>
    <t>12418000 - Am. Ac. Instalaciones</t>
  </si>
  <si>
    <t>125010001 - Cargos Diferidos Los Menucos</t>
  </si>
  <si>
    <t>125010002 - Cargos Diferidos Cañadón del Moro</t>
  </si>
  <si>
    <t>PROVEEDORES</t>
  </si>
  <si>
    <t>21101000 - Proveedores</t>
  </si>
  <si>
    <t>211050000 - Previsión AID</t>
  </si>
  <si>
    <t>211060000 - Previsión IGMP</t>
  </si>
  <si>
    <t>212010003 - Provisión Vacaciones</t>
  </si>
  <si>
    <t>212010001 - Sueldos a pagar</t>
  </si>
  <si>
    <t>21301000 - Sueldos a pagar</t>
  </si>
  <si>
    <t>21401000 - Iva débito fiscal</t>
  </si>
  <si>
    <t>21405000 - Imp. Bienes, Acc. y Part. Soc. a pagar</t>
  </si>
  <si>
    <t>213010001 - SICORE a pagar</t>
  </si>
  <si>
    <t>21406000 - Sicore a pagar</t>
  </si>
  <si>
    <t>212020001 - SICOSS a pagar</t>
  </si>
  <si>
    <t>21407000 - Sicoss a pagar</t>
  </si>
  <si>
    <t>213010006 - Tasas Retributivas Mineras</t>
  </si>
  <si>
    <t>21409000 - Retenciones SUSS a pagar</t>
  </si>
  <si>
    <t>21408000 - Imp. Gcia Mínima Presunta a pagar</t>
  </si>
  <si>
    <t>21504000 - Cheques emitidos en cartera</t>
  </si>
  <si>
    <t>212010002 - Embargo por Alimentos</t>
  </si>
  <si>
    <t>213010007 - Tasa Seguridad e Higiene a pagar</t>
  </si>
  <si>
    <t>213010008 - Iva importación de servicios a pagar</t>
  </si>
  <si>
    <t>211030000 - Provision de Gastos</t>
  </si>
  <si>
    <t>212020002 - Retenciones SUSS a pagar</t>
  </si>
  <si>
    <t>311000000 - Capital Suscripto</t>
  </si>
  <si>
    <t>31100000 - Capital Suscripto</t>
  </si>
  <si>
    <t>321000000 - Resultados No Asignados</t>
  </si>
  <si>
    <t>32201000 - Resultados no asignados</t>
  </si>
  <si>
    <t>322000000 - AREA</t>
  </si>
  <si>
    <t>41210000 - Resultado baja bien de Uso</t>
  </si>
  <si>
    <t>41220000 - RECUPERO SINIESTRO</t>
  </si>
  <si>
    <t>41230000 - Envío muestras Chile</t>
  </si>
  <si>
    <t>41240000 - Resultado Venta Títulos Públicos</t>
  </si>
  <si>
    <t>41250000 - Venta de bienes de uso</t>
  </si>
  <si>
    <t>412600000 - Recupero de Seguros</t>
  </si>
  <si>
    <t>412700000 - Intereses ganados</t>
  </si>
  <si>
    <t>42101000 - Honorarios legales</t>
  </si>
  <si>
    <t>42102000 - Honorarios profesionales</t>
  </si>
  <si>
    <t>42103000 - Iva credito fiscal no computable</t>
  </si>
  <si>
    <t>42105000 - Sueldos Adm.</t>
  </si>
  <si>
    <t>42106000 - Cargas sociales</t>
  </si>
  <si>
    <t>42107000 - Movilidad y Viaticos Adm.</t>
  </si>
  <si>
    <t>42110000 - Eventos</t>
  </si>
  <si>
    <t>42111000 - Alquileres eq. De campo</t>
  </si>
  <si>
    <t>42112000 - Gs. Limpieza</t>
  </si>
  <si>
    <t>42115000 - Inspecciones</t>
  </si>
  <si>
    <t>42111000 - Alquiler de Eq. De campo</t>
  </si>
  <si>
    <t>42114000 - Gastos varios oficina</t>
  </si>
  <si>
    <t>42113000 - Tasas Retributivas Minería</t>
  </si>
  <si>
    <t>421170000 - Gastos Legales</t>
  </si>
  <si>
    <t>42202000 - Certificaciones</t>
  </si>
  <si>
    <t>42203000 - Depreciaciones</t>
  </si>
  <si>
    <t>42204000 - Sellados</t>
  </si>
  <si>
    <t>42207000 - Seguridad</t>
  </si>
  <si>
    <t>42208000 - Gastos Varios Campo</t>
  </si>
  <si>
    <t>42209000 - Gastos de computacion</t>
  </si>
  <si>
    <t>42211000 - Patentes</t>
  </si>
  <si>
    <t>42213000 - Gastos en tramites</t>
  </si>
  <si>
    <t>42215000 - Mantenimiento Software</t>
  </si>
  <si>
    <t>42216000 - Gratificaciones</t>
  </si>
  <si>
    <t>42217000 - Publicaciones</t>
  </si>
  <si>
    <t>42218000 - Gastos Médicos</t>
  </si>
  <si>
    <t>42219000 - Donaciones</t>
  </si>
  <si>
    <t>42220000 - Materiales de campo</t>
  </si>
  <si>
    <t>42221000 - Regalos al personal</t>
  </si>
  <si>
    <t>42222000 - Mensajería</t>
  </si>
  <si>
    <t>422240000 - Gastos de Espectrometria</t>
  </si>
  <si>
    <t>42223000 - Alquileres varios</t>
  </si>
  <si>
    <t>42224000 - Recupero de gastos</t>
  </si>
  <si>
    <t>42301000 - Gastos y comisiones bancarias</t>
  </si>
  <si>
    <t>423130000 - Imp. a los Débitos y Créditos no computables</t>
  </si>
  <si>
    <t>42304000 - INTERESES</t>
  </si>
  <si>
    <t>42305000 - Diferencia de Cambio USD</t>
  </si>
  <si>
    <t>42308000 - Tasa Municipal Neuquén/Rio Negro</t>
  </si>
  <si>
    <t>42309000 - Multas</t>
  </si>
  <si>
    <t>42310000 - II.BB. No Computable</t>
  </si>
  <si>
    <t>42311000 - Impuestos Varios</t>
  </si>
  <si>
    <t>42411000 - MATRICULAS</t>
  </si>
  <si>
    <t>42412000 - GS.EN PERSONAL</t>
  </si>
  <si>
    <t>42413000 - ALQUILER DE VEHÍCULOS</t>
  </si>
  <si>
    <t>42414000 - CANON</t>
  </si>
  <si>
    <t>42415000 - GS EXPLORACION</t>
  </si>
  <si>
    <t>42416000 - CONVENIO DE CESIÓN</t>
  </si>
  <si>
    <t>42417000 - ACUERDO DE INVERSIONES</t>
  </si>
  <si>
    <t>42418000 - GASTOS TOPOGRAFICOS</t>
  </si>
  <si>
    <t>42419000 - Servicios de Geofisica</t>
  </si>
  <si>
    <t>42420000 - MOVILIDAD Y VIATICOS</t>
  </si>
  <si>
    <t>42421000 - ALOJAMIENTO</t>
  </si>
  <si>
    <t>42422000 - COMIDA</t>
  </si>
  <si>
    <t>42423000 - PEAJES</t>
  </si>
  <si>
    <t>42424000 - TRASLADOS</t>
  </si>
  <si>
    <t>42425000 - COMUNICACIONES</t>
  </si>
  <si>
    <t>42426000 - COMBUSTIBLE</t>
  </si>
  <si>
    <t>424270000 - Adquisición Información Geológica</t>
  </si>
  <si>
    <t>426650000 - Adquisición de inform. Geofísica Cat</t>
  </si>
  <si>
    <t xml:space="preserve">433020000 - Adquisición de inform. Geofísica </t>
  </si>
  <si>
    <t>42428000 - GS.CAPACITACION</t>
  </si>
  <si>
    <t>42429000 - GS.SUSCRIPCION EDITORIAL</t>
  </si>
  <si>
    <t>42430000 - ALQUILERES INMUEBLES</t>
  </si>
  <si>
    <t>42431000 - ANALISIS MUESTRAS</t>
  </si>
  <si>
    <t>42432000 - REPARACIONES</t>
  </si>
  <si>
    <t>42433000 - Gs. Importación</t>
  </si>
  <si>
    <t>42433000 - PLOTEOS</t>
  </si>
  <si>
    <t>42434000 - HABILITACIÓN COMERCIAL</t>
  </si>
  <si>
    <t>42435000 - INFORMES AMBIENTALES</t>
  </si>
  <si>
    <t>42436000 - ESTACIONAMIENTO</t>
  </si>
  <si>
    <t>42437000 - CUOTA SOCIETARIA-CAMARA DE MINERIA</t>
  </si>
  <si>
    <t>42438000 - INDUMENTARIA</t>
  </si>
  <si>
    <t>42440000 - SUELDOS</t>
  </si>
  <si>
    <t>42441000 - ALQUILER DE MAQUINARIA</t>
  </si>
  <si>
    <t>42442000 - CATERING</t>
  </si>
  <si>
    <t>42443000 - FERRETERÍA</t>
  </si>
  <si>
    <t>424460000 - Gastos de Perforación</t>
  </si>
  <si>
    <t>42444000 - Consumos no reembolsables</t>
  </si>
  <si>
    <t>42445000 - TASAS AMBIENTALES</t>
  </si>
  <si>
    <t>42450000 - CARGAS SOCIALES</t>
  </si>
  <si>
    <t>42460000 - LIBRERIA Y PAPELERIA</t>
  </si>
  <si>
    <t>42470000 - SERVICIOS</t>
  </si>
  <si>
    <t>42480000 - DERECHOS DE EXPLORACION</t>
  </si>
  <si>
    <t>424810000 - Gastos Campamento</t>
  </si>
  <si>
    <t>424820000 - Remediación Ambiental</t>
  </si>
  <si>
    <t>42489000 - GASTOS DE CONSTRUCCIÓN</t>
  </si>
  <si>
    <t>42490000 - GS MANTENIMIENTO</t>
  </si>
  <si>
    <t>42491000 - GS VARIOS</t>
  </si>
  <si>
    <t>42492000 - TASAS</t>
  </si>
  <si>
    <t>42493000 - Gastos de Representación</t>
  </si>
  <si>
    <t>42494000 - GASTOS VEHICULOS</t>
  </si>
  <si>
    <t>42496000 - EXPENSAS</t>
  </si>
  <si>
    <t>42497000 - GS RELAC ALQUILER</t>
  </si>
  <si>
    <t>42498000 - OBRA SOCIAL</t>
  </si>
  <si>
    <t>42499000 - SEGUROS</t>
  </si>
  <si>
    <t>43100000 - ROBO</t>
  </si>
  <si>
    <t>43200000 - PERDIDA DE MATERIALES</t>
  </si>
  <si>
    <t>426010000 - Servicios de geologia</t>
  </si>
  <si>
    <t>424970000 - Servicios de Investigación</t>
  </si>
  <si>
    <t>426430000 - Serv. Digitalición Gs Campo</t>
  </si>
  <si>
    <t>425910000 - Publicidad Adm Gral</t>
  </si>
  <si>
    <t>425800000 - Serv. de Cadetería Adm Gral</t>
  </si>
  <si>
    <t>426800000 - Análisis Geoquimicos - Gtos Laboratorio Gs Campo</t>
  </si>
  <si>
    <t>429250000 - Análisis Geoquimicos - E. Perforación</t>
  </si>
  <si>
    <t xml:space="preserve">425310000 - Vacaciones </t>
  </si>
  <si>
    <t>425320000 - Catastro Minero Adm Gral</t>
  </si>
  <si>
    <t>421350000 - Servicios movimiento de suelos -Rel.Com. Catamarca</t>
  </si>
  <si>
    <t>425330000 - Impuestos País - Adm Gral.</t>
  </si>
  <si>
    <t>427290000 - Gastos en calefacción Rel. Comunitarias</t>
  </si>
  <si>
    <t>421480000 - Canon Minero - Adm Catamarca</t>
  </si>
  <si>
    <t>421210000 - Canon Minero - Vigencia y Penalidades</t>
  </si>
  <si>
    <t>421540000 - Monitoreo de suelos y aguas - Gs de Campo Cat.</t>
  </si>
  <si>
    <t>431050000 - Impuestos País - Gs de Campo</t>
  </si>
  <si>
    <t>421650000 - Servicios de cartografía Gs Campo Catamarca</t>
  </si>
  <si>
    <t>421660000 - Insumos para muestras Gs Campo Catamarca</t>
  </si>
  <si>
    <t>426620000 - Uso eventual de agua en proyectos - Vigencia y Penalidades</t>
  </si>
  <si>
    <t>426320000 - Canon Minero Gst Campo</t>
  </si>
  <si>
    <t>431100000 - Imp. Bienes, Acc. y Part. Soc. – Adm. General</t>
  </si>
  <si>
    <t>426370000 - Informes de evaluación económica Gs Campo</t>
  </si>
  <si>
    <t>426380000 - Gastos de licitación Gst Campo</t>
  </si>
  <si>
    <t>SOUTHERN COPPER ARGENTINA S.R.L.</t>
  </si>
  <si>
    <t>BALANCE DE COMPROBACION - DOLARES</t>
  </si>
  <si>
    <t>Cuenta Contable</t>
  </si>
  <si>
    <t>Subcuenta</t>
  </si>
  <si>
    <t>Movimiento del Mes Dolares</t>
  </si>
  <si>
    <t>111020002 - Banco Macro Cta. Especial en pesos</t>
  </si>
  <si>
    <t>114010021 - Ret. y Perc. IIBB San Juan</t>
  </si>
  <si>
    <t>11401017 - Antic. Tributos Aduaneros</t>
  </si>
  <si>
    <t>11601002 - Socio Cía. Minera Los Tolmos S.A.</t>
  </si>
  <si>
    <t>213010010 - Patentes a pagar</t>
  </si>
  <si>
    <t>CAPITAL Y PATRIMONIO</t>
  </si>
  <si>
    <t>31100000 - Capital suscripto</t>
  </si>
  <si>
    <t>32203000 - A.R.E.A.</t>
  </si>
  <si>
    <t>RESULTADOS</t>
  </si>
  <si>
    <t>41210000 - Resultado Venta</t>
  </si>
  <si>
    <t>41220000 - Recupero Siniestro</t>
  </si>
  <si>
    <t>425940000 - Honorarios Legales Adm. Gral</t>
  </si>
  <si>
    <t>421430000 - Honorarios legales  Adm Catamarca</t>
  </si>
  <si>
    <t>421580000 - Servicio Notarial Rel Comunitaria Catamarca</t>
  </si>
  <si>
    <t>425840000 - Servicios Notariales Administracion Gral.</t>
  </si>
  <si>
    <t>425190000 - Honorarios Profesionales Adm. Gral.</t>
  </si>
  <si>
    <t>433030000 - Honorarios Profesionales Adm. Gral. USD</t>
  </si>
  <si>
    <t>426440000 - Honorarios Profesionales Gs Campo</t>
  </si>
  <si>
    <t>421310000 - Honorarios Profesionales - Adm Catamarca</t>
  </si>
  <si>
    <t>427400000 - Honorarios Profesionales - Rel. Comunitarias</t>
  </si>
  <si>
    <t>421970000 - Honorarios Profesionales Gs Campo Catamarca</t>
  </si>
  <si>
    <t>421590000 - Honorarios profesionales Rel Comunitaria Catamarca</t>
  </si>
  <si>
    <t>422240000 - Honorarios profesionales - Remediación ambiental</t>
  </si>
  <si>
    <t>426630000 - Honorarios profesionales Vigencia y Penalidades</t>
  </si>
  <si>
    <t>421050000 - Sueldos Adm.</t>
  </si>
  <si>
    <t>421060000 - Cargas sociales Adm.</t>
  </si>
  <si>
    <t>425120000 - Movilidad y Viáticos Adm. Gral.</t>
  </si>
  <si>
    <t>433120000 - Movilidad y Viáticos Gastos de Campo (u$s)</t>
  </si>
  <si>
    <t>421070000 - Movilidad y viáticos Adm.</t>
  </si>
  <si>
    <t>421440000 - Movilidad y Viáticos Adm Catamarca</t>
  </si>
  <si>
    <t>426520000 - Alquiler Equipos. Gst de Campo</t>
  </si>
  <si>
    <t>426130000 - Gastos de Limpieza Gs Campo</t>
  </si>
  <si>
    <t>427140000 - Gastos de limpieza Rel. comunitarias</t>
  </si>
  <si>
    <t>425970000 - Gs Limpieza Adm Gral.</t>
  </si>
  <si>
    <t>421340000 - Gastos de limpieza - Adm Catamarca</t>
  </si>
  <si>
    <t>426810000 - Gastos de limpieza Gts campo Catam</t>
  </si>
  <si>
    <t>425300000 - Gst Varios Oficina Adm. Gral.</t>
  </si>
  <si>
    <t>433080000 - Gastos Varios de Adm Gral USD</t>
  </si>
  <si>
    <t>427500000 - Gastos de oficina - Relaciones Comun.</t>
  </si>
  <si>
    <t>426190000 - Gst Varios Oficina Gst Campo</t>
  </si>
  <si>
    <t>421140000 - Gastos varios oficina - Adm Catamarca</t>
  </si>
  <si>
    <t>421930000 - Gs Varios Oficina Gs Campo Catamarca</t>
  </si>
  <si>
    <t>425820000 - Tasas Retributivas Minería Adm Gral.</t>
  </si>
  <si>
    <t>426940000 - Tasas Retributivas Minería Gts Campo</t>
  </si>
  <si>
    <t>426570000 - Tasas Retributivas Minería – Vigencia y Penalidades</t>
  </si>
  <si>
    <t>425250000 - Amortizaciones Adm. Gral.</t>
  </si>
  <si>
    <t>425260000 - Sellados Adm Gral</t>
  </si>
  <si>
    <t>425950000 - Seguridad Adm. Gral.</t>
  </si>
  <si>
    <t>421100000 - Seguridad - Adm Catamarca</t>
  </si>
  <si>
    <t>429260000 - Gastos de Seguridad - E. Perforación</t>
  </si>
  <si>
    <t>421980000 - Seguridad Gs Campo Catamarca</t>
  </si>
  <si>
    <t>426270000 - Gst Varios Campo Gst Campo</t>
  </si>
  <si>
    <t>428100000 - Gastos Varios Campo Muestreo Geof. Sup</t>
  </si>
  <si>
    <t>421600000 - Gastos Varios Gastos de Campo Catamarca</t>
  </si>
  <si>
    <t>425400000 - Servicios Informáticos Adm. Gral.</t>
  </si>
  <si>
    <t>425400000 - Gst  Computación Adm. Gral.</t>
  </si>
  <si>
    <t>426210000 - Servicios Infórmaticos Gst. Campo</t>
  </si>
  <si>
    <t>426600000 - Gastos Computacion Gs Campo</t>
  </si>
  <si>
    <t>425290000 - Gs Computación Adm General</t>
  </si>
  <si>
    <t>421370000 - Gs Computación - Rel. Comunitarias Catamarca</t>
  </si>
  <si>
    <t>421120000 - Servicios Informaticos - Adm Catamarca</t>
  </si>
  <si>
    <t>421510000 - Gs Computación - Adm Catamarca</t>
  </si>
  <si>
    <t>426350000 - Patentes Gst Campo</t>
  </si>
  <si>
    <t>427250000 - Patentes Rel. Comunitarias</t>
  </si>
  <si>
    <t>426670000 - Patentes Gasto Campo Catamarca</t>
  </si>
  <si>
    <t>426340000 - Catastro Minero Gs Campo</t>
  </si>
  <si>
    <t>425280000 - Publicaciones Adm Gral</t>
  </si>
  <si>
    <t>421570000 - Publicaciones -  Vigencia y Penalidades Catamarca</t>
  </si>
  <si>
    <t>426560000 - Publicaciones -  Vigencia y Penalidades</t>
  </si>
  <si>
    <t xml:space="preserve">429960000 - Donación E. Perforacion </t>
  </si>
  <si>
    <t>426850000 - Donaciones Gs de Campo Catamarca</t>
  </si>
  <si>
    <t>427900000 - Donaciones Rel. comunitarias Catamarca</t>
  </si>
  <si>
    <t>426980000 - Donaciones Gs de Campo</t>
  </si>
  <si>
    <t>42220000 - Materiales de Campo</t>
  </si>
  <si>
    <t>426510000 - Materiales de Campo. Gst de Campo</t>
  </si>
  <si>
    <t>426330000 - Insumos de Campo Gst Campo</t>
  </si>
  <si>
    <t>425170000 - Mensajeria Adm. Gral.</t>
  </si>
  <si>
    <t>426230000 - Mensajeria Gst Campo</t>
  </si>
  <si>
    <t>428300000 - Mensajería Muestreo Geof. Sup.</t>
  </si>
  <si>
    <t>425960000 - Encomienda Adm. Gral.</t>
  </si>
  <si>
    <t>421900000 - Encomienda Adm Catamarca</t>
  </si>
  <si>
    <t>426970000 - Encomienda Gs Campo</t>
  </si>
  <si>
    <t>427510000 - Encomienda Rel. Com. Catamarca</t>
  </si>
  <si>
    <t>429240000 - Encomiendas - E. Perforacion</t>
  </si>
  <si>
    <t>421950000 - Mensajeria Muestreo Geof. Sup. Catamarca</t>
  </si>
  <si>
    <t>421630000 - Mensajeria Gs Campo Catamarca</t>
  </si>
  <si>
    <t>429900000 - Alquiler varios - E. Perforacion</t>
  </si>
  <si>
    <t>426310000 - Alquileres Varios Gs de Campo</t>
  </si>
  <si>
    <t>426170000 - Alquiler Cocheras Gst Campo</t>
  </si>
  <si>
    <t>427220000 - Alquileres varios Rel. comunitarias</t>
  </si>
  <si>
    <t>421560000 - Alquileres varios - Adm Catamarca</t>
  </si>
  <si>
    <t>425220000 - Gastos y Comisiones Bancarias Adm. Gral</t>
  </si>
  <si>
    <t>423010000 - Gastos y comisiones bancarias</t>
  </si>
  <si>
    <t>427160000 - Gastos y comisiones bancarias Rel. comunitarias</t>
  </si>
  <si>
    <t>433110000 - Gastos bancarios Adm general (u$s)</t>
  </si>
  <si>
    <t>427190000 - Gastos y comisiones bancarias Rel. comunitarias Catamarca</t>
  </si>
  <si>
    <t>426550000 - Gastos y Comisiones Bancarias - Gasto de Campo</t>
  </si>
  <si>
    <t>425230000 - Imp. a los Débitos y Créditos Bancarios Ad. Gral.</t>
  </si>
  <si>
    <t>433100000 - Impuesto 25413 No Computable Adm General (u$s)</t>
  </si>
  <si>
    <t>426920000 - Intereses Gs Campo</t>
  </si>
  <si>
    <t>423040000 - Intereses</t>
  </si>
  <si>
    <t>433010000 - Intereses Gs Campo Catamarca</t>
  </si>
  <si>
    <t>425140000 - Intereses resarcitorios Adm. Gral.</t>
  </si>
  <si>
    <t>425980000 - Intereses Adm. Gral.</t>
  </si>
  <si>
    <t>431110000 - Intereses - Adm. Catamarca</t>
  </si>
  <si>
    <t>421200000 - Intereses resarcitorios Adm Gral Catamarca</t>
  </si>
  <si>
    <t>42307000 - Aranceles Aduaneros</t>
  </si>
  <si>
    <t>42308000 - Tasa Municipal Neuquén</t>
  </si>
  <si>
    <t>425270000 - Impuestos Varios Adm Gral.</t>
  </si>
  <si>
    <t>421030000 - IVA crédito fiscal no computable</t>
  </si>
  <si>
    <t>426700000 - Impuesto varios Gasto de Campo.</t>
  </si>
  <si>
    <t>431080000 - Impuestos no computables - Gs de campo</t>
  </si>
  <si>
    <t>421810000 - Impuestos no computables Gs Campo Catamarca</t>
  </si>
  <si>
    <t>427330000 - Impuestos no computables Rel. Comunitarias Catamarca</t>
  </si>
  <si>
    <t>427320000 - Impuestos no computables Rel. Comunitarias</t>
  </si>
  <si>
    <t>423100000 - II.BB. No Computable</t>
  </si>
  <si>
    <t>421090000 - Seguridad e Higiene Adm Gral Catamarca</t>
  </si>
  <si>
    <t>426280000 - Gst en Personal Gst Campo</t>
  </si>
  <si>
    <t>425900000 - Gs en Personal Adm Gral</t>
  </si>
  <si>
    <t>427240000 - Gastos en Personal Rel. Comunitarias</t>
  </si>
  <si>
    <t>429200000 - Gastos en Personal E. Perforacion</t>
  </si>
  <si>
    <t>421190000 - Gastos en personal - Adm Catamarca</t>
  </si>
  <si>
    <t>421420000 - Gtos en personal Gs. de campo Catamarca</t>
  </si>
  <si>
    <t>421450000 - Gs. en Personal Rel. Comunitarias Catamarca</t>
  </si>
  <si>
    <t>422090000 - Gs en personal R- Ambiental</t>
  </si>
  <si>
    <t>427150000 - Alquiler de vehículos Rel. comunitarias</t>
  </si>
  <si>
    <t>426590000 - Alquiler de vehículos Gs Campo</t>
  </si>
  <si>
    <t>421820000 - Alquiler de vehiculos - Gs Campo Catamarca</t>
  </si>
  <si>
    <t>426320000 - Canon Gst Campo</t>
  </si>
  <si>
    <t>426540000 - Gastos Exploracion. Gst de Campo</t>
  </si>
  <si>
    <t>426290000 - Convenio de Acceso Gs de Campo</t>
  </si>
  <si>
    <t>427210000 - Convenio de Acceso Rel. comunitarias</t>
  </si>
  <si>
    <t>421620000 - Servicio de Topografia Gs Campo Catamarca</t>
  </si>
  <si>
    <t>42419000 - SERVICIOS DE GEOFÍSICA</t>
  </si>
  <si>
    <t>426120000 - Movilidad y Viaticos Gs Campo</t>
  </si>
  <si>
    <t>427110000 - Movilidad y Viáticos Rel. comunitarias</t>
  </si>
  <si>
    <t>421180000 - Movilidad y viáticos Rel. Comunitarias Catamarca</t>
  </si>
  <si>
    <t>429910000 - Movilidad y Viáticos E-Perforación</t>
  </si>
  <si>
    <t>426610000 - Movilidad y viáticos Gs Campo Catamarca</t>
  </si>
  <si>
    <t>425700000 - Alojamiento Adm. Gral.</t>
  </si>
  <si>
    <t>426260000 - Alojamiento Gst de Campo</t>
  </si>
  <si>
    <t>427230000 - Alojamiento Rel. Comunitarias</t>
  </si>
  <si>
    <t>421160000 - Alojamiento Gs de campo Catamarca.</t>
  </si>
  <si>
    <t>421170000 - Alojamiento Rel. Comunitarias Catamarca</t>
  </si>
  <si>
    <t>421520000 - Alojamiento Adm gral Catamarca</t>
  </si>
  <si>
    <t>429920000 - Alojamiento E- Perforación</t>
  </si>
  <si>
    <t>425110000 - Refrigerios Adm Gral.</t>
  </si>
  <si>
    <t>426110000 - Refrigerios Gs Campo</t>
  </si>
  <si>
    <t>427120000 - Refrigerios Rel. comunitarias</t>
  </si>
  <si>
    <t>429500000 - Refrigerios E. Perforacion</t>
  </si>
  <si>
    <t>421150000 - Refrigerios Gs campo Catamarca</t>
  </si>
  <si>
    <t>421330000 - Refrigerios Rel. comunitarias Catamarca</t>
  </si>
  <si>
    <t>421010000 - Refrigerios - Adm Catamarca</t>
  </si>
  <si>
    <t>429950000 - Servicio de Transporte de muestras- E. Perforacion</t>
  </si>
  <si>
    <t>421680000 - Servicio de transporte Gs Campo Catamarca</t>
  </si>
  <si>
    <t>426460000 - Traslados Gs de Campo</t>
  </si>
  <si>
    <t>425180000 - Comunicaciones Adm. Gral</t>
  </si>
  <si>
    <t>433050000 - Comunicaciones Adm. Gral USD</t>
  </si>
  <si>
    <t>426160000 - Comunicaciones Gst Campo</t>
  </si>
  <si>
    <t>429400000 - Comunicaciones E. Perforacion</t>
  </si>
  <si>
    <t>421670000 - Comunicaciones Gs Campo Catamarca</t>
  </si>
  <si>
    <t>421110000 - Comunicaciones - Adm Catamarca</t>
  </si>
  <si>
    <t>427700000 - Comunicaciones Rel. comunitarias Catamarca</t>
  </si>
  <si>
    <t>427270000 - Comunicaciones Rel. Comunitarias</t>
  </si>
  <si>
    <t>425200000 - Combustible Adm Gral.</t>
  </si>
  <si>
    <t>426200000 - Combustible Gst Campo</t>
  </si>
  <si>
    <t>427170000 - Combustible Rel. comunitarias</t>
  </si>
  <si>
    <t>429800000 - Combustible - E. Perforacion</t>
  </si>
  <si>
    <t>421410000 - Combustible Gs de campo Catamarca</t>
  </si>
  <si>
    <t>421610000 - Combustible Adm. Gral. Catamarca</t>
  </si>
  <si>
    <t>427520000 - Combustibles Rel. Comunitarias Catamarca</t>
  </si>
  <si>
    <t>426480000 - Adquisición Inf. Geólogica Gs de Campo</t>
  </si>
  <si>
    <t>431030000 - Adquisición de Inform. Geologica Gs de campo Cat</t>
  </si>
  <si>
    <t>426650000 - Adquisición de inform. Geofísica Gs Campo Cat</t>
  </si>
  <si>
    <t>433020000 - Adquisición de inform. Geofísica Gs Campo</t>
  </si>
  <si>
    <t>426530000 - Gst de Capacitación. Gs de Campo</t>
  </si>
  <si>
    <t>425210000 - Gst de Capacitación Adm. Gral.</t>
  </si>
  <si>
    <t>421830000 - Capacitaciones Gs Campo Catamarca</t>
  </si>
  <si>
    <t>425150000 - Alquiler Inmueble Adm. Gral.</t>
  </si>
  <si>
    <t>426220000 - Alquiler Inmueble Gst Campo</t>
  </si>
  <si>
    <t>421320000 - Alquiler inmueble - Adm Catamarca</t>
  </si>
  <si>
    <t>421490000 - Alquiler Inmueble Gs. de campo Catamarca</t>
  </si>
  <si>
    <t>421940000 - Alquiler Inmueble Rel. Comun. Catamarca</t>
  </si>
  <si>
    <t>428200000 - Análisis de Muestras Muestreo Geof. Sup.</t>
  </si>
  <si>
    <t>426960000 - Análisis de Muestras Gs de Campo</t>
  </si>
  <si>
    <t>421470000 - Análisis Muestras I - R. Ambiental Catamarca</t>
  </si>
  <si>
    <t>429280000 - Análisis Muestras de agua- E. Perforación.</t>
  </si>
  <si>
    <t>422220000 - Análisis Muestras - R. Ambiental</t>
  </si>
  <si>
    <t>429940000 - Análisis de Muestras - E. Perforación</t>
  </si>
  <si>
    <t>431010000 - Análisis Muestras- F Analisis Quimicos de Perf.</t>
  </si>
  <si>
    <t>431060000 - Análisis de muestras Gs de Campo Catamarca</t>
  </si>
  <si>
    <t>431120000 - Análisis Muestras- F Analisis Quimicos de Perf Catamarca</t>
  </si>
  <si>
    <t>426930000 - Informes Ambientales Gs Campo</t>
  </si>
  <si>
    <t>426660000 - Informes Ambientales Gs Campo Cat</t>
  </si>
  <si>
    <t>425160000 - Cuota Societaria Minera Adm. Gral.</t>
  </si>
  <si>
    <t>426990000 - Cuota Societaria Gs de Campo</t>
  </si>
  <si>
    <t>426910000 -  Indumentaria de Trabajo Gs campo</t>
  </si>
  <si>
    <t>421700000 - Indumentaria de Trabajo Gastos de campo Catamarca</t>
  </si>
  <si>
    <t>429270000 - Indumentaria de Trabajo - E. Perforacion</t>
  </si>
  <si>
    <t>431070000 - Indumentaria de Trabajo Adm. Catamarca</t>
  </si>
  <si>
    <t>424400000 - Sueldos Campo</t>
  </si>
  <si>
    <t>421800000 - Alquiler maquinaria limpieza Rel. Comun. Catamarca</t>
  </si>
  <si>
    <t>421840000 - Alquiler Maquinaria Gs Campo Catamarca</t>
  </si>
  <si>
    <t>422080000 - Gastos Ferretería I -R.Ambiental</t>
  </si>
  <si>
    <t>426450000 - Gs Ferretería Gs Campo</t>
  </si>
  <si>
    <t>427180000 - Gst de Ferreteria Rel. Comunitarias</t>
  </si>
  <si>
    <t>421130000 - Ferreteria - Adm Catamarca</t>
  </si>
  <si>
    <t>429220000 - Ferreteria - E. Perforacion</t>
  </si>
  <si>
    <t>426860000 - Ferretería Gs Campo Catamarca</t>
  </si>
  <si>
    <t>429300000 - Servicio de Perforacion E. Perforacion</t>
  </si>
  <si>
    <t>42444000 - CONSUMOS NO REEMBOLSABLES</t>
  </si>
  <si>
    <t>426500000 - Tasas Ambientales Gastos de Campo</t>
  </si>
  <si>
    <t>431090000 - Tasas Ambientales – Vigencia y Penalidades</t>
  </si>
  <si>
    <t>429930000 - Tasa ambiental - E. Perforación</t>
  </si>
  <si>
    <t>424500000 - Cargas sociales Campo</t>
  </si>
  <si>
    <t>425920000 - Libreria y papeleria Adm Gral.</t>
  </si>
  <si>
    <t>426470000 - Librería y Papelería Gs Campo</t>
  </si>
  <si>
    <t>429100000 - Librería y Papelería Perforación</t>
  </si>
  <si>
    <t>421460000 - Libreria y papeleria Adm catamarca</t>
  </si>
  <si>
    <t>427300000 - Libreria y papeleria  Rel. Comunitarias</t>
  </si>
  <si>
    <t>421380000 -  Libreria - Rel. Comunitarias Catamarca</t>
  </si>
  <si>
    <t>421920000 - Libreria y Papeleria Gs Campo Catamarca</t>
  </si>
  <si>
    <t>431020000 - Libreria y Papeleria - F Analisis Quimico Perf. Catamarca</t>
  </si>
  <si>
    <t>425500000 - Servicios Públicos Adm. Gral.</t>
  </si>
  <si>
    <t>426150000 - Servicios Públicos Gs Campo</t>
  </si>
  <si>
    <t>421020000 - Servicios Públicos - Adm Catamarca</t>
  </si>
  <si>
    <t>426870000 - Servicios publicos Gs. Campo Catamarca</t>
  </si>
  <si>
    <t>421530000 - Servicio de Internet Adm Catamarca.</t>
  </si>
  <si>
    <t>426180000 - Gst Campamento Gst Campo</t>
  </si>
  <si>
    <t>421690000 - Gs de Campamento Gs de Campo Catamarca</t>
  </si>
  <si>
    <t>429210000 - Gastos Campamento - E. Perforacion</t>
  </si>
  <si>
    <t>422020000 - Remediación Ambiental I- R. Ambiental</t>
  </si>
  <si>
    <t>426490000 - Remediación Ambiental Gs de Campo</t>
  </si>
  <si>
    <t>425830000 - Remediación Ambiental Adm General</t>
  </si>
  <si>
    <t>429110000 - Remediación Ambiental E. Perforacion</t>
  </si>
  <si>
    <t>421080000 - Servicios de construccion Rel. Comunit. Catamarca</t>
  </si>
  <si>
    <t>421550000 -  Materiales de construccion Rel. Comunit. Catam</t>
  </si>
  <si>
    <t>426580000 - Servicios de construccion Gs de Campo Catam.</t>
  </si>
  <si>
    <t>425600000 - Gst Mantenimiento Adm. Gral.</t>
  </si>
  <si>
    <t>426250000 - Gst de Mantenimiento Gst Campo</t>
  </si>
  <si>
    <t>421850000 - Gst de Mantenimiento Gst Campo Catamarca</t>
  </si>
  <si>
    <t>421990000 - Mantenimiento Adm. Gral Catamarca</t>
  </si>
  <si>
    <t>427280000 - Gastos Varios Rel. Comunitarias</t>
  </si>
  <si>
    <t>421360000 - Gastos Varios Rel. Comunitarias Catamarca</t>
  </si>
  <si>
    <t>425810000 - Tasa Municipal Adm. Gral.</t>
  </si>
  <si>
    <t>425100000 - Tasas Ambientales – Adm. General</t>
  </si>
  <si>
    <t>421710000 - Tasa Municipal Adm Catamarca</t>
  </si>
  <si>
    <t>426640000 - Gasto de representación Gs. Campo</t>
  </si>
  <si>
    <t>427310000 - Gs representación Rel. comunitarias</t>
  </si>
  <si>
    <t>431040000 - Gastos de vehículos - Vigencia y Penalidades</t>
  </si>
  <si>
    <t>426240000 - Gst de Vehículos Gst de Campo</t>
  </si>
  <si>
    <t>433070000 - Gst de Vehículos Gst de Campo USD</t>
  </si>
  <si>
    <t>425990000 - Gs Vehiculos Adm Gral</t>
  </si>
  <si>
    <t>427260000 - Gastos de vehiculos  Rel. Comunitarias</t>
  </si>
  <si>
    <t>421500000 - Gastos de vehiculos Adm Catamarca.</t>
  </si>
  <si>
    <t>429310000 - Gastos de vehiculos - E. Perforacion</t>
  </si>
  <si>
    <t>421640000 - Gastos vehiculos Gs Campo Catamarca</t>
  </si>
  <si>
    <t>427800000 - Gst Vehículos Rel. comunitarias Catamarca</t>
  </si>
  <si>
    <t>425130000 - Expensas Depto Geologos Adm Gral</t>
  </si>
  <si>
    <t>426840000 - Expensas Gs Campo</t>
  </si>
  <si>
    <t>426140000 - Expensas Depto Geologos Gs Campo</t>
  </si>
  <si>
    <t>425930000 - Obra Social Adicional Adm Gral.</t>
  </si>
  <si>
    <t>426820000 - Obra social Adicional Gst de campo</t>
  </si>
  <si>
    <t>426900000 - Serv. Seguridad e Investigación Gs Campo</t>
  </si>
  <si>
    <t>425240000 - Seguros Adm. Gral</t>
  </si>
  <si>
    <t>426100000 - Seguros Gs Campo</t>
  </si>
  <si>
    <t>429700000 - Seguros E. Perforacion</t>
  </si>
  <si>
    <t>432010000 - Robo</t>
  </si>
  <si>
    <t>425310000 - Vacaciones Adm Gral.</t>
  </si>
  <si>
    <t>426360000 - Vacaciones Gs 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</si>
</sst>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.00_ ;_ * -#,##0.00_ ;_ * &quot;-&quot;??_ ;_ @_ "/>
    <numFmt numFmtId="165" formatCode="_-* #,##0.00_-;-* #,##0.00_-;_-* &quot;-&quot;??_-;_-@_-"/>
    <numFmt numFmtId="166" formatCode="#,##0.00_);(#,##0.00)"/>
    <numFmt numFmtId="167" formatCode="0.00000"/>
  </numFmts>
  <fonts count="21" x14ac:knownFonts="1">
    <font>
      <color theme="1"/>
      <family val="2"/>
      <scheme val="minor"/>
      <sz val="11"/>
      <name val="Calibri"/>
    </font>
    <font>
      <family val="2"/>
      <sz val="8"/>
      <name val="Arial"/>
    </font>
    <font>
      <b/>
      <family val="2"/>
      <sz val="10"/>
      <name val="Arial"/>
    </font>
    <font>
      <b/>
      <family val="2"/>
      <sz val="8"/>
      <name val="Arial"/>
    </font>
    <font>
      <color rgb="FFFF0000"/>
      <family val="2"/>
      <sz val="8"/>
      <name val="Arial"/>
    </font>
    <font>
      <color theme="0"/>
      <family val="2"/>
      <sz val="8"/>
      <name val="Arial"/>
    </font>
    <font>
      <b/>
      <color indexed="8"/>
      <family val="2"/>
      <sz val="8"/>
      <name val="Arial"/>
    </font>
    <font>
      <u/>
      <family val="2"/>
      <sz val="8"/>
      <name val="Arial"/>
    </font>
    <font>
      <color indexed="8"/>
      <family val="2"/>
      <sz val="8"/>
      <name val="Arial"/>
    </font>
    <font>
      <sz val="10"/>
      <name val="Arial"/>
    </font>
    <font>
      <family val="2"/>
      <sz val="10"/>
      <name val="Tahoma"/>
    </font>
    <font>
      <family val="2"/>
      <sz val="10"/>
      <name val="Arial"/>
    </font>
    <font>
      <color theme="4" tint="-0.249977111117893"/>
      <family val="2"/>
      <sz val="8"/>
      <name val="Arial"/>
    </font>
    <font>
      <color indexed="8"/>
      <family val="2"/>
      <sz val="10"/>
      <name val="Arial"/>
    </font>
    <font>
      <family val="2"/>
      <sz val="9"/>
      <name val="Arial"/>
    </font>
    <font>
      <color rgb="FF000000"/>
      <family val="2"/>
      <sz val="11"/>
      <name val="Arial"/>
    </font>
    <font>
      <b/>
      <i/>
      <color indexed="8"/>
      <family val="2"/>
      <sz val="8"/>
      <name val="Arial"/>
    </font>
    <font>
      <color rgb="FF00B0F0"/>
      <family val="2"/>
      <sz val="8"/>
      <name val="Arial"/>
    </font>
    <font>
      <b/>
      <color indexed="8"/>
      <family val="2"/>
      <sz val="11"/>
      <name val="Arial"/>
    </font>
    <font>
      <b/>
      <color indexed="8"/>
      <family val="2"/>
      <sz val="10"/>
      <name val="Arial"/>
    </font>
    <font>
      <charset val="1"/>
      <color rgb="FF000000"/>
      <family val="2"/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14" fontId="1" fillId="0" borderId="5" xfId="0" applyNumberFormat="1" applyFont="1" applyBorder="1" applyAlignment="1">
      <alignment horizontal="center"/>
    </xf>
    <xf numFmtId="0" fontId="3" fillId="0" borderId="0" xfId="0" applyFont="1"/>
    <xf numFmtId="0" fontId="1" fillId="0" borderId="6" xfId="0" applyFont="1" applyBorder="1" applyAlignment="1">
      <alignment horizontal="center"/>
    </xf>
    <xf numFmtId="0" fontId="1" fillId="0" borderId="5" xfId="0" applyFont="1" applyBorder="1"/>
    <xf numFmtId="4" fontId="1" fillId="0" borderId="5" xfId="0" applyNumberFormat="1" applyFont="1" applyBorder="1"/>
    <xf numFmtId="4" fontId="1" fillId="0" borderId="0" xfId="0" applyNumberFormat="1" applyFont="1"/>
    <xf numFmtId="4" fontId="1" fillId="0" borderId="6" xfId="0" applyNumberFormat="1" applyFont="1" applyBorder="1"/>
    <xf numFmtId="4" fontId="1" fillId="0" borderId="7" xfId="0" applyNumberFormat="1" applyFont="1" applyBorder="1"/>
    <xf numFmtId="0" fontId="1" fillId="0" borderId="8" xfId="0" applyFont="1" applyBorder="1"/>
    <xf numFmtId="0" fontId="1" fillId="0" borderId="9" xfId="0" applyFont="1" applyBorder="1"/>
    <xf numFmtId="0" fontId="3" fillId="0" borderId="9" xfId="0" applyFont="1" applyBorder="1"/>
    <xf numFmtId="4" fontId="1" fillId="0" borderId="10" xfId="0" applyNumberFormat="1" applyFont="1" applyBorder="1"/>
    <xf numFmtId="0" fontId="1" fillId="0" borderId="0" xfId="0" applyFont="1" applyAlignment="1">
      <alignment horizontal="right"/>
    </xf>
    <xf numFmtId="4" fontId="4" fillId="0" borderId="0" xfId="0" applyNumberFormat="1" applyFont="1"/>
    <xf numFmtId="164" fontId="1" fillId="0" borderId="0" xfId="0" applyNumberFormat="1" applyFont="1"/>
    <xf numFmtId="164" fontId="5" fillId="0" borderId="0" xfId="0" applyNumberFormat="1" applyFont="1"/>
    <xf numFmtId="4" fontId="6" fillId="0" borderId="0" xfId="0" applyNumberFormat="1" applyFont="1" applyAlignment="1">
      <alignment vertical="top"/>
    </xf>
    <xf numFmtId="164" fontId="4" fillId="0" borderId="0" xfId="0" applyNumberFormat="1" applyFont="1"/>
    <xf numFmtId="0" fontId="1" fillId="0" borderId="0" xfId="0" applyFont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14" fontId="1" fillId="0" borderId="13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14" xfId="0" applyFont="1" applyBorder="1" applyAlignment="1">
      <alignment horizontal="center"/>
    </xf>
    <xf numFmtId="0" fontId="1" fillId="0" borderId="13" xfId="0" applyFont="1" applyBorder="1"/>
    <xf numFmtId="4" fontId="1" fillId="0" borderId="13" xfId="0" applyNumberFormat="1" applyFont="1" applyBorder="1"/>
    <xf numFmtId="4" fontId="1" fillId="0" borderId="14" xfId="0" applyNumberFormat="1" applyFont="1" applyBorder="1"/>
    <xf numFmtId="165" fontId="1" fillId="0" borderId="0" xfId="0" applyNumberFormat="1" applyFont="1"/>
    <xf numFmtId="4" fontId="1" fillId="0" borderId="15" xfId="0" applyNumberFormat="1" applyFont="1" applyBorder="1"/>
    <xf numFmtId="2" fontId="1" fillId="0" borderId="0" xfId="0" applyNumberFormat="1" applyFont="1"/>
    <xf numFmtId="166" fontId="6" fillId="0" borderId="0" xfId="0" applyNumberFormat="1" applyFont="1" applyAlignment="1">
      <alignment vertical="top"/>
    </xf>
    <xf numFmtId="164" fontId="1" fillId="0" borderId="13" xfId="0" applyNumberFormat="1" applyFont="1" applyBorder="1"/>
    <xf numFmtId="0" fontId="1" fillId="0" borderId="10" xfId="0" applyFont="1" applyBorder="1"/>
    <xf numFmtId="164" fontId="1" fillId="0" borderId="16" xfId="0" applyNumberFormat="1" applyFont="1" applyBorder="1"/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1" fillId="0" borderId="19" xfId="0" applyNumberFormat="1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5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26" xfId="0" applyFont="1" applyBorder="1" applyAlignment="1">
      <alignment horizontal="center"/>
    </xf>
    <xf numFmtId="0" fontId="1" fillId="0" borderId="20" xfId="0" applyFont="1" applyBorder="1"/>
    <xf numFmtId="0" fontId="1" fillId="0" borderId="25" xfId="0" applyFont="1" applyBorder="1"/>
    <xf numFmtId="4" fontId="1" fillId="0" borderId="22" xfId="0" applyNumberFormat="1" applyFont="1" applyBorder="1"/>
    <xf numFmtId="4" fontId="1" fillId="0" borderId="27" xfId="0" applyNumberFormat="1" applyFont="1" applyBorder="1"/>
    <xf numFmtId="0" fontId="1" fillId="0" borderId="28" xfId="0" applyFont="1" applyBorder="1"/>
    <xf numFmtId="167" fontId="1" fillId="0" borderId="0" xfId="0" applyNumberFormat="1" applyFont="1"/>
    <xf numFmtId="14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vertical="top"/>
    </xf>
    <xf numFmtId="4" fontId="1" fillId="0" borderId="29" xfId="0" applyNumberFormat="1" applyFont="1" applyBorder="1"/>
    <xf numFmtId="4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/>
    <xf numFmtId="4" fontId="1" fillId="0" borderId="30" xfId="0" applyNumberFormat="1" applyFont="1" applyBorder="1"/>
    <xf numFmtId="4" fontId="1" fillId="0" borderId="9" xfId="0" applyNumberFormat="1" applyFont="1" applyBorder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4" xfId="0" applyFont="1" applyBorder="1"/>
    <xf numFmtId="0" fontId="10" fillId="0" borderId="11" xfId="0" applyFont="1" applyBorder="1"/>
    <xf numFmtId="0" fontId="10" fillId="0" borderId="32" xfId="0" applyFont="1" applyBorder="1"/>
    <xf numFmtId="0" fontId="10" fillId="0" borderId="30" xfId="0" applyFont="1" applyBorder="1"/>
    <xf numFmtId="0" fontId="10" fillId="0" borderId="33" xfId="0" applyFont="1" applyBorder="1"/>
    <xf numFmtId="0" fontId="10" fillId="0" borderId="34" xfId="0" applyFont="1" applyBorder="1"/>
    <xf numFmtId="0" fontId="10" fillId="0" borderId="25" xfId="0" applyFont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10" fillId="0" borderId="20" xfId="0" applyFont="1" applyBorder="1"/>
    <xf numFmtId="0" fontId="10" fillId="0" borderId="5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6" xfId="0" applyFont="1" applyBorder="1"/>
    <xf numFmtId="0" fontId="10" fillId="0" borderId="6" xfId="0" applyFont="1" applyBorder="1"/>
    <xf numFmtId="0" fontId="10" fillId="0" borderId="14" xfId="0" applyFont="1" applyBorder="1"/>
    <xf numFmtId="0" fontId="10" fillId="0" borderId="5" xfId="0" applyFont="1" applyBorder="1"/>
    <xf numFmtId="0" fontId="10" fillId="0" borderId="13" xfId="0" applyFont="1" applyBorder="1"/>
    <xf numFmtId="0" fontId="10" fillId="0" borderId="20" xfId="0" applyFont="1" applyBorder="1" applyAlignment="1">
      <alignment horizontal="left"/>
    </xf>
    <xf numFmtId="4" fontId="10" fillId="0" borderId="5" xfId="0" applyNumberFormat="1" applyFont="1" applyBorder="1" applyAlignment="1">
      <alignment horizontal="right"/>
    </xf>
    <xf numFmtId="9" fontId="10" fillId="0" borderId="5" xfId="0" applyNumberFormat="1" applyFont="1" applyBorder="1" applyAlignment="1">
      <alignment horizontal="right"/>
    </xf>
    <xf numFmtId="4" fontId="10" fillId="0" borderId="13" xfId="0" applyNumberFormat="1" applyFont="1" applyBorder="1" applyAlignment="1">
      <alignment horizontal="right"/>
    </xf>
    <xf numFmtId="4" fontId="10" fillId="0" borderId="0" xfId="0" applyNumberFormat="1" applyFont="1"/>
    <xf numFmtId="4" fontId="10" fillId="0" borderId="6" xfId="0" applyNumberFormat="1" applyFont="1" applyBorder="1" applyAlignment="1">
      <alignment horizontal="right"/>
    </xf>
    <xf numFmtId="4" fontId="10" fillId="0" borderId="14" xfId="0" applyNumberFormat="1" applyFont="1" applyBorder="1" applyAlignment="1">
      <alignment horizontal="right"/>
    </xf>
    <xf numFmtId="164" fontId="11" fillId="0" borderId="0" xfId="0" applyNumberFormat="1" applyFont="1"/>
    <xf numFmtId="164" fontId="10" fillId="0" borderId="0" xfId="0" applyNumberFormat="1" applyFont="1"/>
    <xf numFmtId="0" fontId="1" fillId="0" borderId="12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2" xfId="0" applyFont="1" applyBorder="1"/>
    <xf numFmtId="0" fontId="1" fillId="0" borderId="30" xfId="0" applyFont="1" applyBorder="1"/>
    <xf numFmtId="14" fontId="1" fillId="0" borderId="6" xfId="0" applyNumberFormat="1" applyFont="1" applyBorder="1" applyAlignment="1">
      <alignment horizontal="center"/>
    </xf>
    <xf numFmtId="14" fontId="1" fillId="0" borderId="33" xfId="0" applyNumberFormat="1" applyFont="1" applyBorder="1" applyAlignment="1">
      <alignment horizontal="center"/>
    </xf>
    <xf numFmtId="14" fontId="1" fillId="0" borderId="11" xfId="0" applyNumberFormat="1" applyFont="1" applyBorder="1" applyAlignment="1">
      <alignment horizontal="center"/>
    </xf>
    <xf numFmtId="4" fontId="1" fillId="0" borderId="5" xfId="0" applyNumberFormat="1" applyFont="1" applyBorder="1" applyAlignment="1">
      <alignment horizontal="right"/>
    </xf>
    <xf numFmtId="4" fontId="1" fillId="0" borderId="13" xfId="0" applyNumberFormat="1" applyFont="1" applyBorder="1" applyAlignment="1">
      <alignment horizontal="right"/>
    </xf>
    <xf numFmtId="4" fontId="1" fillId="0" borderId="21" xfId="0" applyNumberFormat="1" applyFont="1" applyBorder="1" applyAlignment="1">
      <alignment horizontal="right"/>
    </xf>
    <xf numFmtId="4" fontId="12" fillId="0" borderId="0" xfId="0" applyNumberFormat="1" applyFont="1"/>
    <xf numFmtId="4" fontId="1" fillId="0" borderId="0" xfId="0" applyNumberFormat="1" applyFont="1" applyAlignment="1">
      <alignment horizontal="right"/>
    </xf>
    <xf numFmtId="0" fontId="1" fillId="0" borderId="38" xfId="0" applyFont="1" applyBorder="1"/>
    <xf numFmtId="0" fontId="1" fillId="0" borderId="29" xfId="0" applyFont="1" applyBorder="1"/>
    <xf numFmtId="4" fontId="1" fillId="0" borderId="27" xfId="0" applyNumberFormat="1" applyFont="1" applyBorder="1" applyAlignment="1">
      <alignment horizontal="right"/>
    </xf>
    <xf numFmtId="4" fontId="1" fillId="0" borderId="39" xfId="0" applyNumberFormat="1" applyFont="1" applyBorder="1" applyAlignment="1">
      <alignment horizontal="right"/>
    </xf>
    <xf numFmtId="4" fontId="1" fillId="0" borderId="40" xfId="0" applyNumberFormat="1" applyFont="1" applyBorder="1"/>
    <xf numFmtId="0" fontId="11" fillId="0" borderId="0" xfId="0" applyFont="1"/>
    <xf numFmtId="0" fontId="13" fillId="0" borderId="0" xfId="0" applyFont="1"/>
    <xf numFmtId="164" fontId="13" fillId="0" borderId="0" xfId="0" applyNumberFormat="1" applyFont="1"/>
    <xf numFmtId="164" fontId="9" fillId="0" borderId="0" xfId="0" applyNumberFormat="1" applyFont="1"/>
    <xf numFmtId="0" fontId="1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64" fontId="11" fillId="0" borderId="0" xfId="0" applyNumberFormat="1" applyFont="1" applyAlignment="1">
      <alignment horizontal="left"/>
    </xf>
    <xf numFmtId="164" fontId="9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4" fontId="8" fillId="0" borderId="0" xfId="0" applyNumberFormat="1" applyFont="1" applyAlignment="1">
      <alignment horizontal="right"/>
    </xf>
    <xf numFmtId="49" fontId="13" fillId="0" borderId="0" xfId="0" applyNumberFormat="1" applyFont="1"/>
    <xf numFmtId="164" fontId="8" fillId="0" borderId="0" xfId="0" applyNumberFormat="1" applyFont="1" applyAlignment="1">
      <alignment horizontal="right" vertical="top"/>
    </xf>
    <xf numFmtId="49" fontId="11" fillId="0" borderId="0" xfId="0" applyNumberFormat="1" applyFont="1"/>
    <xf numFmtId="164" fontId="8" fillId="2" borderId="0" xfId="0" applyNumberFormat="1" applyFont="1" applyFill="1" applyAlignment="1">
      <alignment horizontal="right" vertical="top"/>
    </xf>
    <xf numFmtId="164" fontId="8" fillId="0" borderId="0" xfId="0" applyNumberFormat="1" applyFont="1" applyAlignment="1">
      <alignment vertical="top"/>
    </xf>
    <xf numFmtId="165" fontId="13" fillId="0" borderId="0" xfId="0" applyNumberFormat="1" applyFont="1"/>
    <xf numFmtId="164" fontId="8" fillId="0" borderId="0" xfId="0" applyNumberFormat="1" applyFont="1" applyAlignment="1">
      <alignment horizontal="left"/>
    </xf>
    <xf numFmtId="164" fontId="14" fillId="0" borderId="0" xfId="0" applyNumberFormat="1" applyFont="1"/>
    <xf numFmtId="49" fontId="8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4" fontId="8" fillId="0" borderId="0" xfId="0" applyNumberFormat="1" applyFont="1" applyAlignment="1">
      <alignment vertical="top"/>
    </xf>
    <xf numFmtId="0" fontId="13" fillId="0" borderId="0" xfId="0" applyFont="1" applyAlignment="1">
      <alignment horizontal="left"/>
    </xf>
    <xf numFmtId="4" fontId="15" fillId="0" borderId="0" xfId="0" applyNumberFormat="1" applyFont="1"/>
    <xf numFmtId="165" fontId="13" fillId="0" borderId="0" xfId="0" applyNumberFormat="1" applyFont="1" applyAlignment="1">
      <alignment horizontal="left"/>
    </xf>
    <xf numFmtId="164" fontId="8" fillId="3" borderId="0" xfId="0" applyNumberFormat="1" applyFont="1" applyFill="1" applyAlignment="1">
      <alignment horizontal="right" vertical="top"/>
    </xf>
    <xf numFmtId="4" fontId="13" fillId="0" borderId="0" xfId="0" applyNumberFormat="1" applyFont="1"/>
    <xf numFmtId="0" fontId="9" fillId="0" borderId="0" xfId="0" applyFont="1" applyAlignment="1">
      <alignment vertical="top"/>
    </xf>
    <xf numFmtId="0" fontId="16" fillId="0" borderId="0" xfId="0" applyFont="1" applyAlignment="1">
      <alignment vertical="top"/>
    </xf>
    <xf numFmtId="164" fontId="6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left" vertical="top"/>
    </xf>
    <xf numFmtId="164" fontId="8" fillId="4" borderId="0" xfId="0" applyNumberFormat="1" applyFont="1" applyFill="1" applyAlignment="1">
      <alignment horizontal="right" vertical="top"/>
    </xf>
    <xf numFmtId="164" fontId="17" fillId="0" borderId="0" xfId="0" applyNumberFormat="1" applyFont="1" applyAlignment="1">
      <alignment horizontal="right" vertical="top"/>
    </xf>
    <xf numFmtId="49" fontId="18" fillId="0" borderId="21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8" fillId="0" borderId="0" xfId="0" applyFont="1"/>
    <xf numFmtId="49" fontId="19" fillId="0" borderId="0" xfId="0" applyNumberFormat="1" applyFont="1"/>
    <xf numFmtId="4" fontId="9" fillId="0" borderId="0" xfId="0" applyNumberFormat="1" applyFont="1"/>
    <xf numFmtId="4" fontId="1" fillId="0" borderId="41" xfId="0" applyNumberFormat="1" applyFont="1" applyBorder="1"/>
    <xf numFmtId="0" fontId="8" fillId="0" borderId="0" xfId="0" applyFont="1" applyAlignment="1">
      <alignment vertical="top" wrapText="1" readingOrder="1"/>
    </xf>
    <xf numFmtId="166" fontId="8" fillId="0" borderId="0" xfId="0" applyNumberFormat="1" applyFont="1" applyAlignment="1">
      <alignment vertical="top"/>
    </xf>
    <xf numFmtId="0" fontId="9" fillId="5" borderId="0" xfId="0" applyFont="1" applyFill="1"/>
    <xf numFmtId="49" fontId="13" fillId="5" borderId="0" xfId="0" applyNumberFormat="1" applyFont="1" applyFill="1"/>
    <xf numFmtId="164" fontId="11" fillId="5" borderId="0" xfId="0" applyNumberFormat="1" applyFont="1" applyFill="1"/>
    <xf numFmtId="164" fontId="20" fillId="0" borderId="0" xfId="0" applyNumberFormat="1" applyFont="1" applyAlignment="1">
      <alignment horizontal="right" vertical="top"/>
    </xf>
    <xf numFmtId="0" fontId="9" fillId="3" borderId="0" xfId="0" applyFont="1" applyFill="1"/>
    <xf numFmtId="0" fontId="13" fillId="3" borderId="0" xfId="0" applyFont="1" applyFill="1" applyAlignment="1">
      <alignment horizontal="left"/>
    </xf>
    <xf numFmtId="164" fontId="11" fillId="3" borderId="0" xfId="0" applyNumberFormat="1" applyFont="1" applyFill="1"/>
    <xf numFmtId="49" fontId="18" fillId="0" borderId="7" xfId="0" applyNumberFormat="1" applyFont="1" applyBorder="1" applyAlignment="1">
      <alignment vertical="center"/>
    </xf>
    <xf numFmtId="4" fontId="8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right" vertical="top"/>
    </xf>
    <xf numFmtId="0" fontId="9" fillId="0" borderId="30" xfId="0" applyFont="1" applyBorder="1"/>
    <xf numFmtId="164" fontId="9" fillId="0" borderId="30" xfId="0" applyNumberFormat="1" applyFont="1" applyBorder="1"/>
    <xf numFmtId="164" fontId="8" fillId="0" borderId="30" xfId="0" applyNumberFormat="1" applyFont="1" applyBorder="1" applyAlignment="1">
      <alignment horizontal="right" vertical="top"/>
    </xf>
    <xf numFmtId="165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12.xml"/><Relationship Id="rId9" Type="http://schemas.openxmlformats.org/officeDocument/2006/relationships/worksheet" Target="worksheets/sheet10.xml"/><Relationship Id="rId10" Type="http://schemas.openxmlformats.org/officeDocument/2006/relationships/worksheet" Target="worksheets/sheet11.xml"/><Relationship Id="rId11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10.2" outlineLevelRow="0" outlineLevelCol="0" x14ac:dyDescent="0.2" defaultColWidth="11.33203125" customHeight="1"/>
  <cols>
    <col min="1" max="1" width="3.44140625" style="1" customWidth="1"/>
    <col min="2" max="2" width="3.6640625" style="1" customWidth="1"/>
    <col min="3" max="3" width="14.44140625" style="1" customWidth="1"/>
    <col min="4" max="4" width="30.5546875" style="1" customWidth="1"/>
    <col min="5" max="5" width="4.5546875" style="1" customWidth="1"/>
    <col min="6" max="6" width="20" style="1" customWidth="1"/>
    <col min="7" max="7" width="11.6640625" style="1" customWidth="1"/>
    <col min="8" max="16384" width="11.33203125" style="1" customWidth="1"/>
  </cols>
  <sheetData>
    <row r="1" spans="1:8" x14ac:dyDescent="0.25">
      <c r="A1" s="1"/>
      <c r="B1" s="8" t="s">
        <v>77</v>
      </c>
      <c r="C1" s="8"/>
      <c r="D1" s="8" t="s">
        <v>78</v>
      </c>
      <c r="E1" s="8"/>
      <c r="F1" s="1"/>
      <c r="G1" s="1"/>
      <c r="H1" s="1"/>
    </row>
    <row r="2" spans="1:8" x14ac:dyDescent="0.25">
      <c r="A2" s="1"/>
      <c r="B2" s="1" t="str">
        <f>+Balance!A2</f>
        <v>Al 30 de junio de 2026  - Cifras expresadas en dólares</v>
      </c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1"/>
      <c r="C4" s="1"/>
      <c r="D4" s="1"/>
      <c r="E4" s="1"/>
      <c r="F4" s="62">
        <f>+Balance!F5</f>
        <v>46203</v>
      </c>
      <c r="G4" s="1"/>
      <c r="H4" s="1"/>
    </row>
    <row r="5" spans="1:8" x14ac:dyDescent="0.25">
      <c r="A5" s="1"/>
      <c r="B5" s="8" t="s">
        <v>79</v>
      </c>
      <c r="C5" s="1"/>
      <c r="D5" s="1"/>
      <c r="E5" s="1"/>
      <c r="F5" s="1"/>
      <c r="G5" s="1"/>
      <c r="H5" s="1"/>
    </row>
    <row r="6" spans="1:8" x14ac:dyDescent="0.25">
      <c r="A6" s="1"/>
      <c r="B6" s="8" t="s">
        <v>80</v>
      </c>
      <c r="C6" s="1"/>
      <c r="D6" s="1"/>
      <c r="E6" s="1"/>
      <c r="F6" s="1"/>
      <c r="G6" s="1"/>
      <c r="H6" s="1"/>
    </row>
    <row r="7" spans="1:8" x14ac:dyDescent="0.25">
      <c r="A7" s="1"/>
      <c r="B7" s="1" t="s">
        <v>81</v>
      </c>
      <c r="C7" s="63" t="s">
        <v>82</v>
      </c>
      <c r="D7" s="1"/>
      <c r="E7" s="1"/>
      <c r="F7" s="1"/>
      <c r="G7" s="1"/>
      <c r="H7" s="1"/>
    </row>
    <row r="8" spans="1:8" x14ac:dyDescent="0.25">
      <c r="A8" s="1"/>
      <c r="B8" s="1"/>
      <c r="C8" s="1"/>
      <c r="D8" s="1" t="s">
        <v>83</v>
      </c>
      <c r="E8" s="1"/>
      <c r="F8" s="12">
        <f>+'Distribución por línea'!C3</f>
      </c>
      <c r="G8" s="1"/>
      <c r="H8" s="1"/>
    </row>
    <row r="9" spans="1:8" x14ac:dyDescent="0.25">
      <c r="A9" s="1"/>
      <c r="B9" s="1"/>
      <c r="C9" s="1"/>
      <c r="D9" s="64" t="s">
        <v>84</v>
      </c>
      <c r="E9" s="1"/>
      <c r="F9" s="12">
        <f>+'Distribución por línea'!C4</f>
        <v>5746.23</v>
      </c>
      <c r="G9" s="1"/>
      <c r="H9" s="1"/>
    </row>
    <row r="10" spans="1:8" x14ac:dyDescent="0.25">
      <c r="A10" s="1"/>
      <c r="B10" s="1"/>
      <c r="C10" s="1"/>
      <c r="D10" s="64" t="s">
        <v>85</v>
      </c>
      <c r="E10" s="1"/>
      <c r="F10" s="12">
        <f>+'Distribución por línea'!C5</f>
        <v>7239.24</v>
      </c>
      <c r="G10" s="1"/>
      <c r="H10" s="1"/>
    </row>
    <row r="11" spans="1:8" x14ac:dyDescent="0.25">
      <c r="A11" s="1"/>
      <c r="B11" s="1"/>
      <c r="C11" s="1"/>
      <c r="D11" s="64" t="s">
        <v>86</v>
      </c>
      <c r="E11" s="1"/>
      <c r="F11" s="12">
        <f>+'Distribución por línea'!C7</f>
        <v>981.500000000146</v>
      </c>
      <c r="G11" s="1"/>
      <c r="H11" s="1"/>
    </row>
    <row r="12" ht="14.25" customHeight="1" spans="1:8" x14ac:dyDescent="0.25">
      <c r="A12" s="1"/>
      <c r="B12" s="1"/>
      <c r="C12" s="1"/>
      <c r="D12" s="64" t="s">
        <v>87</v>
      </c>
      <c r="E12" s="1"/>
      <c r="F12" s="12">
        <f>+'Distribución por línea'!C6</f>
        <v>-15.710000000018</v>
      </c>
      <c r="G12" s="21"/>
      <c r="H12" s="21"/>
    </row>
    <row r="13" ht="14.25" customHeight="1" spans="1:8" x14ac:dyDescent="0.25">
      <c r="A13" s="1"/>
      <c r="B13" s="1"/>
      <c r="C13" s="1"/>
      <c r="D13" s="64" t="s">
        <v>88</v>
      </c>
      <c r="E13" s="1"/>
      <c r="F13" s="12">
        <f>+'Distribución por línea'!C8</f>
      </c>
      <c r="G13" s="1"/>
      <c r="H13" s="1"/>
    </row>
    <row r="14" spans="1:8" x14ac:dyDescent="0.25">
      <c r="A14" s="1"/>
      <c r="B14" s="1"/>
      <c r="C14" s="1"/>
      <c r="D14" s="64" t="s">
        <v>89</v>
      </c>
      <c r="E14" s="1"/>
      <c r="F14" s="12">
        <f>+'Distribución por línea'!C9</f>
        <v>2.66999999999998</v>
      </c>
      <c r="G14" s="1"/>
      <c r="H14" s="1"/>
    </row>
    <row r="15" spans="1:8" x14ac:dyDescent="0.25">
      <c r="A15" s="1"/>
      <c r="B15" s="1"/>
      <c r="C15" s="1"/>
      <c r="D15" s="65" t="s">
        <v>90</v>
      </c>
      <c r="E15" s="1"/>
      <c r="F15" s="12">
        <f>+'Distribución por línea'!C10</f>
      </c>
      <c r="G15" s="1"/>
      <c r="H15" s="1"/>
    </row>
    <row r="16" spans="1:8" x14ac:dyDescent="0.25">
      <c r="A16" s="1"/>
      <c r="B16" s="1"/>
      <c r="C16" s="1"/>
      <c r="D16" s="64" t="s">
        <v>91</v>
      </c>
      <c r="E16" s="1"/>
      <c r="F16" s="12">
        <f>+'Distribución por línea'!C11</f>
      </c>
      <c r="G16" s="1"/>
      <c r="H16" s="1"/>
    </row>
    <row r="17" ht="10.8" customHeight="1" spans="1:8" x14ac:dyDescent="0.25">
      <c r="A17" s="1"/>
      <c r="B17" s="1"/>
      <c r="C17" s="1" t="s">
        <v>2</v>
      </c>
      <c r="D17" s="1"/>
      <c r="E17" s="1"/>
      <c r="F17" s="66">
        <f>SUM(F8:F16)</f>
        <v>13953.930000000128</v>
      </c>
      <c r="G17" s="12"/>
      <c r="H17" s="1"/>
    </row>
    <row r="18" ht="10.8" customHeight="1" spans="1:8" x14ac:dyDescent="0.25">
      <c r="A18" s="1"/>
      <c r="B18" s="1"/>
      <c r="C18" s="1"/>
      <c r="D18" s="1"/>
      <c r="E18" s="1"/>
      <c r="F18" s="12"/>
      <c r="G18" s="1"/>
      <c r="H18" s="1"/>
    </row>
    <row r="19" spans="1:8" x14ac:dyDescent="0.25">
      <c r="A19" s="1"/>
      <c r="B19" s="1" t="s">
        <v>92</v>
      </c>
      <c r="C19" s="63" t="s">
        <v>93</v>
      </c>
      <c r="D19" s="1"/>
      <c r="E19" s="1"/>
      <c r="F19" s="12"/>
      <c r="G19" s="1"/>
      <c r="H19" s="1"/>
    </row>
    <row r="20" spans="1:8" x14ac:dyDescent="0.25">
      <c r="A20" s="1"/>
      <c r="B20" s="1"/>
      <c r="C20" s="63"/>
      <c r="D20" s="64" t="s">
        <v>94</v>
      </c>
      <c r="E20" s="1"/>
      <c r="F20" s="12">
        <f>+'Distribución por línea'!C30</f>
      </c>
      <c r="G20" s="1"/>
      <c r="H20" s="1"/>
    </row>
    <row r="21" spans="1:8" x14ac:dyDescent="0.25">
      <c r="A21" s="1"/>
      <c r="B21" s="1"/>
      <c r="C21" s="63"/>
      <c r="D21" s="64" t="s">
        <v>95</v>
      </c>
      <c r="E21" s="1"/>
      <c r="F21" s="67">
        <f>+'Distribución por línea'!C12</f>
      </c>
      <c r="G21" s="1"/>
      <c r="H21" s="1"/>
    </row>
    <row r="22" spans="1:8" x14ac:dyDescent="0.25">
      <c r="A22" s="1"/>
      <c r="B22" s="1"/>
      <c r="C22" s="63"/>
      <c r="D22" s="64" t="s">
        <v>96</v>
      </c>
      <c r="E22" s="1"/>
      <c r="F22" s="67">
        <f>+'Distribución por línea'!C13</f>
        <v>1132355.33</v>
      </c>
      <c r="G22" s="1"/>
      <c r="H22" s="1"/>
    </row>
    <row r="23" spans="1:8" x14ac:dyDescent="0.25">
      <c r="A23" s="1"/>
      <c r="B23" s="1"/>
      <c r="C23" s="63"/>
      <c r="D23" s="64" t="s">
        <v>97</v>
      </c>
      <c r="E23" s="1"/>
      <c r="F23" s="67">
        <f>+'Distribución por línea'!C16</f>
        <v>5340.7</v>
      </c>
      <c r="G23" s="1"/>
      <c r="H23" s="1"/>
    </row>
    <row r="24" spans="1:8" x14ac:dyDescent="0.25">
      <c r="A24" s="1"/>
      <c r="B24" s="1"/>
      <c r="C24" s="63"/>
      <c r="D24" s="64" t="s">
        <v>98</v>
      </c>
      <c r="E24" s="1"/>
      <c r="F24" s="12">
        <f>+'Distribución por línea'!C14</f>
        <v>-1.77635683940025e-15</v>
      </c>
      <c r="G24" s="1"/>
      <c r="H24" s="1"/>
    </row>
    <row r="25" spans="1:8" x14ac:dyDescent="0.25">
      <c r="A25" s="1"/>
      <c r="B25" s="1"/>
      <c r="C25" s="63"/>
      <c r="D25" s="64" t="s">
        <v>99</v>
      </c>
      <c r="E25" s="1"/>
      <c r="F25" s="12">
        <f>+'Distribución por línea'!C15</f>
        <v>-8.88178419700125e-16</v>
      </c>
      <c r="G25" s="1"/>
      <c r="H25" s="1"/>
    </row>
    <row r="26" spans="1:8" x14ac:dyDescent="0.25">
      <c r="A26" s="1"/>
      <c r="B26" s="1"/>
      <c r="C26" s="63"/>
      <c r="D26" s="64" t="s">
        <v>100</v>
      </c>
      <c r="E26" s="1"/>
      <c r="F26" s="67">
        <f>+'Distribución por línea'!C17</f>
        <v>35314.56</v>
      </c>
      <c r="G26" s="1"/>
      <c r="H26" s="1"/>
    </row>
    <row r="27" spans="1:8" x14ac:dyDescent="0.25">
      <c r="A27" s="1"/>
      <c r="B27" s="1"/>
      <c r="C27" s="63"/>
      <c r="D27" s="64" t="s">
        <v>101</v>
      </c>
      <c r="E27" s="1"/>
      <c r="F27" s="67">
        <f>+'Distribución por línea'!C18</f>
        <v>358.96</v>
      </c>
      <c r="G27" s="1"/>
      <c r="H27" s="1"/>
    </row>
    <row r="28" spans="1:8" x14ac:dyDescent="0.25">
      <c r="A28" s="1"/>
      <c r="B28" s="1"/>
      <c r="C28" s="63"/>
      <c r="D28" s="64" t="s">
        <v>102</v>
      </c>
      <c r="E28" s="1"/>
      <c r="F28" s="67">
        <f>+'Distribución por línea'!C23</f>
      </c>
      <c r="G28" s="1"/>
      <c r="H28" s="1"/>
    </row>
    <row r="29" spans="1:8" x14ac:dyDescent="0.25">
      <c r="A29" s="1"/>
      <c r="B29" s="1"/>
      <c r="C29" s="63"/>
      <c r="D29" s="65" t="s">
        <v>103</v>
      </c>
      <c r="E29" s="1"/>
      <c r="F29" s="67">
        <f>+'Distribución por línea'!C24</f>
        <v>17670.09</v>
      </c>
      <c r="G29" s="1"/>
      <c r="H29" s="1"/>
    </row>
    <row r="30" spans="1:8" x14ac:dyDescent="0.25">
      <c r="A30" s="1"/>
      <c r="B30" s="1"/>
      <c r="C30" s="63"/>
      <c r="D30" s="65" t="s">
        <v>104</v>
      </c>
      <c r="E30" s="1"/>
      <c r="F30" s="67">
        <f>+'Distribución por línea'!C25</f>
      </c>
      <c r="G30" s="1"/>
      <c r="H30" s="1"/>
    </row>
    <row r="31" spans="1:8" x14ac:dyDescent="0.25">
      <c r="A31" s="1"/>
      <c r="B31" s="1"/>
      <c r="C31" s="1"/>
      <c r="D31" s="64" t="s">
        <v>105</v>
      </c>
      <c r="E31" s="1"/>
      <c r="F31" s="67">
        <f>+'Distribución por línea'!C26</f>
        <v>65129.21</v>
      </c>
      <c r="G31" s="1"/>
      <c r="H31" s="1"/>
    </row>
    <row r="32" spans="1:8" x14ac:dyDescent="0.25">
      <c r="A32" s="1"/>
      <c r="B32" s="1"/>
      <c r="C32" s="1"/>
      <c r="D32" s="64" t="s">
        <v>106</v>
      </c>
      <c r="E32" s="1"/>
      <c r="F32" s="67">
        <f>+'Distribución por línea'!C27</f>
        <v>0.62</v>
      </c>
      <c r="G32" s="1"/>
      <c r="H32" s="1"/>
    </row>
    <row r="33" spans="1:8" x14ac:dyDescent="0.25">
      <c r="A33" s="1"/>
      <c r="B33" s="1"/>
      <c r="C33" s="1"/>
      <c r="D33" s="64" t="s">
        <v>107</v>
      </c>
      <c r="E33" s="68"/>
      <c r="F33" s="12">
        <f>+'Distribución por línea'!C38</f>
        <v>73.46</v>
      </c>
      <c r="G33" s="1"/>
      <c r="H33" s="1"/>
    </row>
    <row r="34" spans="1:8" x14ac:dyDescent="0.25">
      <c r="A34" s="1"/>
      <c r="B34" s="1"/>
      <c r="C34" s="1"/>
      <c r="D34" s="64" t="s">
        <v>108</v>
      </c>
      <c r="E34" s="68"/>
      <c r="F34" s="12">
        <f>+'Distribución por línea'!C36</f>
      </c>
      <c r="G34" s="1"/>
      <c r="H34" s="1"/>
    </row>
    <row r="35" spans="1:8" x14ac:dyDescent="0.25">
      <c r="A35" s="1"/>
      <c r="B35" s="1"/>
      <c r="C35" s="1"/>
      <c r="D35" s="64" t="s">
        <v>109</v>
      </c>
      <c r="E35" s="68"/>
      <c r="F35" s="12">
        <f>+'Distribución por línea'!C31</f>
      </c>
      <c r="G35" s="1"/>
      <c r="H35" s="1"/>
    </row>
    <row r="36" spans="1:8" x14ac:dyDescent="0.25">
      <c r="A36" s="1"/>
      <c r="B36" s="1"/>
      <c r="C36" s="1"/>
      <c r="D36" s="64" t="s">
        <v>110</v>
      </c>
      <c r="E36" s="68"/>
      <c r="F36" s="12">
        <f>+'Distribución por línea'!C32</f>
      </c>
      <c r="G36" s="1"/>
      <c r="H36" s="1"/>
    </row>
    <row r="37" spans="1:8" x14ac:dyDescent="0.25">
      <c r="A37" s="1"/>
      <c r="B37" s="1"/>
      <c r="C37" s="1"/>
      <c r="D37" s="64" t="s">
        <v>111</v>
      </c>
      <c r="E37" s="68"/>
      <c r="F37" s="12">
        <f>+'Distribución por línea'!D61+'Distribución por línea'!C35</f>
        <v>219.280000000001</v>
      </c>
      <c r="G37" s="1"/>
      <c r="H37" s="1"/>
    </row>
    <row r="38" spans="1:8" x14ac:dyDescent="0.25">
      <c r="A38" s="1"/>
      <c r="B38" s="1"/>
      <c r="C38" s="1"/>
      <c r="D38" s="65" t="s">
        <v>112</v>
      </c>
      <c r="E38" s="68"/>
      <c r="F38" s="12">
        <f>+'Distribución por línea'!C33</f>
      </c>
      <c r="G38" s="1"/>
      <c r="H38" s="1"/>
    </row>
    <row r="39" spans="1:8" x14ac:dyDescent="0.25">
      <c r="A39" s="1"/>
      <c r="B39" s="1"/>
      <c r="C39" s="1"/>
      <c r="D39" s="65" t="s">
        <v>113</v>
      </c>
      <c r="E39" s="68"/>
      <c r="F39" s="12">
        <f>+'Distribución por línea'!C34</f>
        <v>11810.75</v>
      </c>
      <c r="G39" s="1"/>
      <c r="H39" s="1"/>
    </row>
    <row r="40" spans="1:8" x14ac:dyDescent="0.25">
      <c r="A40" s="1"/>
      <c r="B40" s="1"/>
      <c r="C40" s="1"/>
      <c r="D40" s="64" t="s">
        <v>114</v>
      </c>
      <c r="E40" s="68"/>
      <c r="F40" s="12">
        <f>+'Distribución por línea'!C28</f>
        <v>4529.05</v>
      </c>
      <c r="G40" s="1"/>
      <c r="H40" s="1"/>
    </row>
    <row r="41" spans="1:8" x14ac:dyDescent="0.25">
      <c r="A41" s="1"/>
      <c r="B41" s="1"/>
      <c r="C41" s="1"/>
      <c r="D41" s="64" t="s">
        <v>115</v>
      </c>
      <c r="E41" s="68"/>
      <c r="F41" s="12">
        <f>+'Distribución por línea'!C29</f>
      </c>
      <c r="G41" s="1"/>
      <c r="H41" s="1"/>
    </row>
    <row r="42" spans="1:8" x14ac:dyDescent="0.25">
      <c r="A42" s="1"/>
      <c r="B42" s="1"/>
      <c r="C42" s="1"/>
      <c r="D42" s="64" t="s">
        <v>116</v>
      </c>
      <c r="E42" s="68"/>
      <c r="F42" s="12">
        <f>+'Distribución por línea'!C19</f>
      </c>
      <c r="G42" s="1"/>
      <c r="H42" s="1"/>
    </row>
    <row r="43" spans="1:8" x14ac:dyDescent="0.25">
      <c r="A43" s="1"/>
      <c r="B43" s="1"/>
      <c r="C43" s="1"/>
      <c r="D43" s="64" t="s">
        <v>117</v>
      </c>
      <c r="E43" s="68"/>
      <c r="F43" s="12">
        <f>+'Distribución por línea'!C20</f>
        <v>165.44</v>
      </c>
      <c r="G43" s="1"/>
      <c r="H43" s="1"/>
    </row>
    <row r="44" spans="1:8" x14ac:dyDescent="0.25">
      <c r="A44" s="1"/>
      <c r="B44" s="1"/>
      <c r="C44" s="1"/>
      <c r="D44" s="64" t="s">
        <v>118</v>
      </c>
      <c r="E44" s="68"/>
      <c r="F44" s="12">
        <f>+'Distribución por línea'!C21</f>
        <v>138.22</v>
      </c>
      <c r="G44" s="1"/>
      <c r="H44" s="1"/>
    </row>
    <row r="45" spans="1:8" x14ac:dyDescent="0.25">
      <c r="A45" s="1"/>
      <c r="B45" s="1"/>
      <c r="C45" s="1"/>
      <c r="D45" s="64" t="s">
        <v>119</v>
      </c>
      <c r="E45" s="68"/>
      <c r="F45" s="12">
        <f>+'Distribución por línea'!C22</f>
        <v>1214719.33</v>
      </c>
      <c r="G45" s="1"/>
      <c r="H45" s="1"/>
    </row>
    <row r="46" spans="1:8" x14ac:dyDescent="0.25">
      <c r="A46" s="1"/>
      <c r="B46" s="1"/>
      <c r="C46" s="1"/>
      <c r="D46" s="64" t="s">
        <v>120</v>
      </c>
      <c r="E46" s="68"/>
      <c r="F46" s="12">
        <f>+'Distribución por línea'!C56</f>
        <v>165358.57</v>
      </c>
      <c r="G46" s="1"/>
      <c r="H46" s="1"/>
    </row>
    <row r="47" spans="1:8" x14ac:dyDescent="0.25">
      <c r="A47" s="1"/>
      <c r="B47" s="1"/>
      <c r="C47" s="1"/>
      <c r="D47" s="64" t="s">
        <v>121</v>
      </c>
      <c r="E47" s="68"/>
      <c r="F47" s="12">
        <f>+'Distribución por línea'!C57</f>
        <v>1063586.36</v>
      </c>
      <c r="G47" s="1"/>
      <c r="H47" s="1"/>
    </row>
    <row r="48" ht="10.8" customHeight="1" spans="1:8" x14ac:dyDescent="0.25">
      <c r="A48" s="1"/>
      <c r="B48" s="1"/>
      <c r="C48" s="1"/>
      <c r="D48" s="64"/>
      <c r="E48" s="68"/>
      <c r="F48" s="66">
        <f>SUM(F20:F47)</f>
        <v>3716769.9299999997</v>
      </c>
      <c r="G48" s="1"/>
      <c r="H48" s="1"/>
    </row>
    <row r="49" ht="10.8" customHeight="1" spans="1:8" x14ac:dyDescent="0.25">
      <c r="A49" s="1"/>
      <c r="B49" s="1"/>
      <c r="C49" s="1"/>
      <c r="D49" s="1"/>
      <c r="E49" s="1"/>
      <c r="F49" s="12"/>
      <c r="G49" s="1"/>
      <c r="H49" s="1"/>
    </row>
    <row r="50" spans="1:8" x14ac:dyDescent="0.25">
      <c r="A50" s="1"/>
      <c r="B50" s="1" t="s">
        <v>122</v>
      </c>
      <c r="C50" s="63" t="s">
        <v>123</v>
      </c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 t="s">
        <v>124</v>
      </c>
      <c r="E51" s="1"/>
      <c r="F51" s="12">
        <f>+'Distribución por línea'!C37</f>
        <v>104684</v>
      </c>
      <c r="G51" s="1"/>
      <c r="H51" s="1"/>
    </row>
    <row r="52" ht="10.8" customHeight="1" spans="1:8" x14ac:dyDescent="0.25">
      <c r="A52" s="1"/>
      <c r="B52" s="1"/>
      <c r="C52" s="1" t="s">
        <v>2</v>
      </c>
      <c r="D52" s="1"/>
      <c r="E52" s="1"/>
      <c r="F52" s="66">
        <f>SUM(F51:F51)</f>
        <v>104684</v>
      </c>
      <c r="G52" s="1"/>
      <c r="H52" s="1"/>
    </row>
    <row r="53" ht="10.8" customHeight="1" spans="1:8" x14ac:dyDescent="0.25">
      <c r="A53" s="1"/>
      <c r="B53" s="1"/>
      <c r="C53" s="1"/>
      <c r="D53" s="1"/>
      <c r="E53" s="1"/>
      <c r="F53" s="12"/>
      <c r="G53" s="1"/>
      <c r="H53" s="1"/>
    </row>
    <row r="54" spans="1:8" x14ac:dyDescent="0.25">
      <c r="A54" s="1"/>
      <c r="B54" s="8" t="s">
        <v>125</v>
      </c>
      <c r="C54" s="1"/>
      <c r="D54" s="1"/>
      <c r="E54" s="1"/>
      <c r="F54" s="12"/>
      <c r="G54" s="1"/>
      <c r="H54" s="1"/>
    </row>
    <row r="55" spans="1:8" x14ac:dyDescent="0.25">
      <c r="A55" s="1"/>
      <c r="B55" s="1"/>
      <c r="C55" s="1"/>
      <c r="D55" s="1"/>
      <c r="E55" s="1"/>
      <c r="F55" s="12"/>
      <c r="G55" s="1"/>
      <c r="H55" s="1"/>
    </row>
    <row r="56" spans="1:8" x14ac:dyDescent="0.25">
      <c r="A56" s="1"/>
      <c r="B56" s="1" t="s">
        <v>126</v>
      </c>
      <c r="C56" s="63" t="s">
        <v>127</v>
      </c>
      <c r="D56" s="1"/>
      <c r="E56" s="1"/>
      <c r="F56" s="12"/>
      <c r="G56" s="1"/>
      <c r="H56" s="1"/>
    </row>
    <row r="57" spans="1:8" x14ac:dyDescent="0.25">
      <c r="A57" s="1"/>
      <c r="B57" s="1"/>
      <c r="C57" s="1"/>
      <c r="D57" s="1" t="s">
        <v>128</v>
      </c>
      <c r="E57" s="1"/>
      <c r="F57" s="12">
        <f>+'Distribución por línea'!C39</f>
      </c>
      <c r="G57" s="1"/>
      <c r="H57" s="1"/>
    </row>
    <row r="58" ht="10.8" customHeight="1" spans="1:8" x14ac:dyDescent="0.25">
      <c r="A58" s="1"/>
      <c r="B58" s="1"/>
      <c r="C58" s="1"/>
      <c r="D58" s="1"/>
      <c r="E58" s="1"/>
      <c r="F58" s="66">
        <f>SUM(F57:F57)</f>
        <v>0</v>
      </c>
      <c r="G58" s="12"/>
      <c r="H58" s="1"/>
    </row>
    <row r="59" ht="10.8" customHeight="1" spans="1:8" x14ac:dyDescent="0.25">
      <c r="A59" s="1"/>
      <c r="B59" s="1"/>
      <c r="C59" s="1"/>
      <c r="D59" s="1"/>
      <c r="E59" s="1"/>
      <c r="F59" s="12"/>
      <c r="G59" s="1"/>
      <c r="H59" s="1"/>
    </row>
    <row r="60" spans="1:8" x14ac:dyDescent="0.25">
      <c r="A60" s="1"/>
      <c r="B60" s="1"/>
      <c r="C60" s="1"/>
      <c r="D60" s="1"/>
      <c r="E60" s="1"/>
      <c r="F60" s="12"/>
      <c r="G60" s="1"/>
      <c r="H60" s="1"/>
    </row>
    <row r="61" spans="1:8" x14ac:dyDescent="0.25">
      <c r="A61" s="1"/>
      <c r="B61" s="1"/>
      <c r="C61" s="1"/>
      <c r="D61" s="1"/>
      <c r="E61" s="1"/>
      <c r="F61" s="62">
        <f>+Balance!F5</f>
        <v>46203</v>
      </c>
      <c r="G61" s="1"/>
      <c r="H61" s="1"/>
    </row>
    <row r="62" spans="1:8" x14ac:dyDescent="0.25">
      <c r="A62" s="1"/>
      <c r="B62" s="1"/>
      <c r="C62" s="1"/>
      <c r="D62" s="1"/>
      <c r="E62" s="1"/>
      <c r="F62" s="25"/>
      <c r="G62" s="1"/>
      <c r="H62" s="1"/>
    </row>
    <row r="63" spans="1:8" x14ac:dyDescent="0.25">
      <c r="A63" s="1"/>
      <c r="B63" s="8" t="s">
        <v>129</v>
      </c>
      <c r="C63" s="1"/>
      <c r="D63" s="1"/>
      <c r="E63" s="1"/>
      <c r="F63" s="1"/>
      <c r="G63" s="1"/>
      <c r="H63" s="1"/>
    </row>
    <row r="64" spans="1:8" x14ac:dyDescent="0.25">
      <c r="A64" s="1"/>
      <c r="B64" s="8" t="s">
        <v>130</v>
      </c>
      <c r="C64" s="1"/>
      <c r="D64" s="1"/>
      <c r="E64" s="1"/>
      <c r="F64" s="1"/>
      <c r="G64" s="1"/>
      <c r="H64" s="1"/>
    </row>
    <row r="65" spans="1:8" x14ac:dyDescent="0.25">
      <c r="A65" s="1"/>
      <c r="B65" s="1" t="s">
        <v>126</v>
      </c>
      <c r="C65" s="63" t="s">
        <v>131</v>
      </c>
      <c r="D65" s="1"/>
      <c r="E65" s="1"/>
      <c r="F65" s="1"/>
      <c r="G65" s="1"/>
      <c r="H65" s="1"/>
    </row>
    <row r="66" spans="1:8" x14ac:dyDescent="0.25">
      <c r="A66" s="1"/>
      <c r="B66" s="1"/>
      <c r="C66" s="63"/>
      <c r="D66" s="1" t="s">
        <v>132</v>
      </c>
      <c r="E66" s="1"/>
      <c r="F66" s="12">
        <f>-'Distribución por línea'!E61</f>
        <v>71988.8751050439</v>
      </c>
      <c r="G66" s="1"/>
      <c r="H66" s="1"/>
    </row>
    <row r="67" spans="1:8" x14ac:dyDescent="0.25">
      <c r="A67" s="1"/>
      <c r="B67" s="1"/>
      <c r="C67" s="63"/>
      <c r="D67" s="1" t="s">
        <v>133</v>
      </c>
      <c r="E67" s="1"/>
      <c r="F67" s="12">
        <f>-'Distribución por línea'!C91</f>
      </c>
      <c r="G67" s="1"/>
      <c r="H67" s="1"/>
    </row>
    <row r="68" ht="10.8" customHeight="1" spans="1:8" x14ac:dyDescent="0.25">
      <c r="A68" s="1"/>
      <c r="B68" s="8"/>
      <c r="C68" s="1"/>
      <c r="D68" s="1"/>
      <c r="E68" s="1"/>
      <c r="F68" s="66">
        <f>SUM(F66:F67)</f>
        <v>71988.8751050439</v>
      </c>
      <c r="G68" s="1"/>
      <c r="H68" s="1"/>
    </row>
    <row r="69" ht="10.8" customHeight="1" spans="1:8" x14ac:dyDescent="0.25">
      <c r="A69" s="1"/>
      <c r="B69" s="1" t="s">
        <v>134</v>
      </c>
      <c r="C69" s="63" t="s">
        <v>135</v>
      </c>
      <c r="D69" s="1"/>
      <c r="E69" s="1"/>
      <c r="F69" s="12"/>
      <c r="G69" s="1"/>
      <c r="H69" s="1"/>
    </row>
    <row r="70" ht="13.2" customHeight="1" spans="1:8" x14ac:dyDescent="0.25">
      <c r="A70" s="1"/>
      <c r="B70" s="8"/>
      <c r="C70" s="1"/>
      <c r="D70" s="64" t="s">
        <v>136</v>
      </c>
      <c r="E70" s="69"/>
      <c r="F70" s="67">
        <f>-'Distribución por línea'!C86</f>
        <v>134391.6</v>
      </c>
      <c r="G70" s="1"/>
      <c r="H70" s="1"/>
    </row>
    <row r="71" ht="13.2" customHeight="1" spans="1:8" x14ac:dyDescent="0.25">
      <c r="A71" s="1"/>
      <c r="B71" s="8"/>
      <c r="C71" s="1"/>
      <c r="D71" s="64" t="s">
        <v>137</v>
      </c>
      <c r="E71" s="69"/>
      <c r="F71" s="67">
        <f>-'Distribución por línea'!C96</f>
        <v>3.90798504668055e-14</v>
      </c>
      <c r="G71" s="1"/>
      <c r="H71" s="1"/>
    </row>
    <row r="72" ht="13.2" customHeight="1" spans="1:8" x14ac:dyDescent="0.25">
      <c r="A72" s="1"/>
      <c r="B72" s="8"/>
      <c r="C72" s="1"/>
      <c r="D72" s="64" t="s">
        <v>138</v>
      </c>
      <c r="E72" s="69"/>
      <c r="F72" s="67">
        <f>-'Distribución por línea'!C85</f>
      </c>
      <c r="G72" s="1"/>
      <c r="H72" s="1"/>
    </row>
    <row r="73" ht="13.2" customHeight="1" spans="1:8" x14ac:dyDescent="0.25">
      <c r="A73" s="1"/>
      <c r="B73" s="8"/>
      <c r="C73" s="1"/>
      <c r="D73" s="64" t="s">
        <v>139</v>
      </c>
      <c r="E73" s="69"/>
      <c r="F73" s="67">
        <f>-'Distribución por línea'!C90</f>
      </c>
      <c r="G73" s="1"/>
      <c r="H73" s="1"/>
    </row>
    <row r="74" ht="13.2" customHeight="1" spans="1:8" x14ac:dyDescent="0.25">
      <c r="A74" s="1"/>
      <c r="B74" s="8"/>
      <c r="C74" s="1"/>
      <c r="D74" s="64" t="s">
        <v>140</v>
      </c>
      <c r="E74" s="69"/>
      <c r="F74" s="67">
        <f>-'Distribución por línea'!C88</f>
      </c>
      <c r="G74" s="1"/>
      <c r="H74" s="1"/>
    </row>
    <row r="75" ht="13.2" customHeight="1" spans="1:8" x14ac:dyDescent="0.25">
      <c r="A75" s="1"/>
      <c r="B75" s="8"/>
      <c r="C75" s="1"/>
      <c r="D75" s="64" t="s">
        <v>141</v>
      </c>
      <c r="E75" s="69"/>
      <c r="F75" s="67">
        <f>-'Distribución por línea'!C93</f>
        <v>13.32</v>
      </c>
      <c r="G75" s="1"/>
      <c r="H75" s="1"/>
    </row>
    <row r="76" ht="13.2" customHeight="1" spans="1:8" x14ac:dyDescent="0.25">
      <c r="A76" s="1"/>
      <c r="B76" s="8"/>
      <c r="C76" s="1"/>
      <c r="D76" s="64" t="s">
        <v>142</v>
      </c>
      <c r="E76" s="69"/>
      <c r="F76" s="67">
        <v>0</v>
      </c>
      <c r="G76" s="1"/>
      <c r="H76" s="1"/>
    </row>
    <row r="77" ht="13.2" customHeight="1" spans="1:8" x14ac:dyDescent="0.25">
      <c r="A77" s="1"/>
      <c r="B77" s="8"/>
      <c r="C77" s="1"/>
      <c r="D77" s="64" t="s">
        <v>143</v>
      </c>
      <c r="E77" s="69"/>
      <c r="F77" s="67">
        <f>-'Distribución por línea'!C95</f>
        <v>0.900000000000002</v>
      </c>
      <c r="G77" s="1"/>
      <c r="H77" s="1"/>
    </row>
    <row r="78" ht="13.2" customHeight="1" spans="1:8" x14ac:dyDescent="0.25">
      <c r="A78" s="1"/>
      <c r="B78" s="8"/>
      <c r="C78" s="1"/>
      <c r="D78" s="64" t="s">
        <v>144</v>
      </c>
      <c r="E78" s="69"/>
      <c r="F78" s="67">
        <f>-'Distribución por línea'!C80</f>
        <v>1208275.2</v>
      </c>
      <c r="G78" s="1"/>
      <c r="H78" s="1"/>
    </row>
    <row r="79" ht="13.2" customHeight="1" spans="1:8" x14ac:dyDescent="0.25">
      <c r="A79" s="1"/>
      <c r="B79" s="8"/>
      <c r="C79" s="1"/>
      <c r="D79" s="64" t="s">
        <v>145</v>
      </c>
      <c r="E79" s="69"/>
      <c r="F79" s="67">
        <f>-'Distribución por línea'!C81</f>
        <v>521.21</v>
      </c>
      <c r="G79" s="1"/>
      <c r="H79" s="1"/>
    </row>
    <row r="80" ht="13.2" customHeight="1" spans="1:8" x14ac:dyDescent="0.25">
      <c r="A80" s="1"/>
      <c r="B80" s="8"/>
      <c r="C80" s="1"/>
      <c r="D80" s="64" t="s">
        <v>146</v>
      </c>
      <c r="E80" s="69"/>
      <c r="F80" s="67">
        <f>-'Distribución por línea'!C82</f>
        <v>25741.92</v>
      </c>
      <c r="G80" s="1"/>
      <c r="H80" s="1"/>
    </row>
    <row r="81" ht="13.8" customHeight="1" spans="1:8" x14ac:dyDescent="0.25">
      <c r="A81" s="1"/>
      <c r="B81" s="8"/>
      <c r="C81" s="1"/>
      <c r="D81" s="64"/>
      <c r="E81" s="69"/>
      <c r="F81" s="66">
        <f>SUM(F70:F80)</f>
        <v>1368944.15</v>
      </c>
      <c r="G81" s="1"/>
      <c r="H81" s="1"/>
    </row>
    <row r="82" ht="13.8" customHeight="1" spans="1:8" x14ac:dyDescent="0.25">
      <c r="A82" s="1"/>
      <c r="B82" s="8"/>
      <c r="C82" s="1"/>
      <c r="D82" s="64"/>
      <c r="E82" s="69"/>
      <c r="F82" s="67"/>
      <c r="G82" s="1"/>
      <c r="H82" s="1"/>
    </row>
    <row r="83" ht="13.2" customHeight="1" spans="1:8" x14ac:dyDescent="0.25">
      <c r="A83" s="1"/>
      <c r="B83" s="1" t="s">
        <v>147</v>
      </c>
      <c r="C83" s="63" t="s">
        <v>148</v>
      </c>
      <c r="D83" s="64"/>
      <c r="E83" s="69"/>
      <c r="F83" s="67"/>
      <c r="G83" s="1"/>
      <c r="H83" s="1"/>
    </row>
    <row r="84" ht="13.2" customHeight="1" spans="1:8" x14ac:dyDescent="0.25">
      <c r="A84" s="1"/>
      <c r="B84" s="1"/>
      <c r="C84" s="63"/>
      <c r="D84" s="64" t="s">
        <v>149</v>
      </c>
      <c r="E84" s="69"/>
      <c r="F84" s="67">
        <f>-'Distribución por línea'!C83</f>
        <v>31629.29</v>
      </c>
      <c r="G84" s="1"/>
      <c r="H84" s="1"/>
    </row>
    <row r="85" ht="13.2" customHeight="1" spans="1:8" x14ac:dyDescent="0.25">
      <c r="A85" s="1"/>
      <c r="B85" s="8"/>
      <c r="C85" s="1"/>
      <c r="D85" s="64" t="s">
        <v>150</v>
      </c>
      <c r="E85" s="69"/>
      <c r="F85" s="12">
        <f>-'Distribución por línea'!C87</f>
        <v>26660.31</v>
      </c>
      <c r="G85" s="1"/>
      <c r="H85" s="1"/>
    </row>
    <row r="86" ht="13.2" customHeight="1" spans="1:8" x14ac:dyDescent="0.25">
      <c r="A86" s="1"/>
      <c r="B86" s="8"/>
      <c r="C86" s="1"/>
      <c r="D86" s="64" t="s">
        <v>151</v>
      </c>
      <c r="E86" s="69"/>
      <c r="F86" s="12">
        <f>-'Distribución por línea'!C92</f>
      </c>
      <c r="G86" s="1"/>
      <c r="H86" s="1"/>
    </row>
    <row r="87" ht="13.2" customHeight="1" spans="1:8" x14ac:dyDescent="0.25">
      <c r="A87" s="1"/>
      <c r="B87" s="8"/>
      <c r="C87" s="1"/>
      <c r="D87" s="64" t="s">
        <v>152</v>
      </c>
      <c r="E87" s="69"/>
      <c r="F87" s="70">
        <f>-'Distribución por línea'!C89</f>
      </c>
      <c r="G87" s="1"/>
      <c r="H87" s="1"/>
    </row>
    <row r="88" ht="13.8" customHeight="1" spans="1:8" x14ac:dyDescent="0.25">
      <c r="A88" s="1"/>
      <c r="B88" s="8"/>
      <c r="C88" s="1"/>
      <c r="D88" s="64"/>
      <c r="E88" s="69"/>
      <c r="F88" s="71">
        <f>SUM(F84:F87)</f>
        <v>58289.600000000006</v>
      </c>
      <c r="G88" s="1"/>
      <c r="H88" s="1"/>
    </row>
    <row r="89" ht="13.8" customHeight="1" spans="1:8" x14ac:dyDescent="0.25">
      <c r="A89" s="1"/>
      <c r="B89" s="8"/>
      <c r="C89" s="1"/>
      <c r="D89" s="64"/>
      <c r="E89" s="69"/>
      <c r="F89" s="12"/>
      <c r="G89" s="1"/>
      <c r="H89" s="1"/>
    </row>
    <row r="90" spans="1:8" x14ac:dyDescent="0.25">
      <c r="A90" s="1"/>
      <c r="B90" s="1"/>
      <c r="C90" s="1"/>
      <c r="D90" s="1"/>
      <c r="E90" s="1"/>
      <c r="F90" s="12"/>
      <c r="G90" s="1"/>
      <c r="H90" s="1"/>
    </row>
    <row r="91" spans="1:8" x14ac:dyDescent="0.25">
      <c r="A91" s="1"/>
      <c r="B91" s="1" t="s">
        <v>24</v>
      </c>
      <c r="C91" s="1"/>
      <c r="D91" s="1"/>
      <c r="E91" s="1"/>
      <c r="F91" s="1"/>
      <c r="G91" s="1"/>
      <c r="H91" s="1"/>
    </row>
    <row r="92" spans="1:8" x14ac:dyDescent="0.25">
      <c r="A92" s="1"/>
      <c r="B92" s="1" t="s">
        <v>25</v>
      </c>
      <c r="C92" s="1"/>
      <c r="D92" s="1"/>
      <c r="E92" s="1"/>
      <c r="F92" s="1"/>
      <c r="G92" s="1"/>
      <c r="H92" s="1"/>
    </row>
    <row r="93" spans="1:8" x14ac:dyDescent="0.25">
      <c r="A93" s="1"/>
      <c r="B93" s="1"/>
      <c r="C93" s="1"/>
      <c r="D93" s="1"/>
      <c r="E93" s="1"/>
      <c r="F93" s="1"/>
      <c r="G93" s="1"/>
      <c r="H93" s="1"/>
    </row>
    <row r="94" spans="1:8" x14ac:dyDescent="0.25">
      <c r="A94" s="1"/>
      <c r="B94" s="1"/>
      <c r="C94" s="1"/>
      <c r="D94" s="1"/>
      <c r="E94" s="1"/>
      <c r="F94" s="1"/>
      <c r="G94" s="1"/>
      <c r="H94" s="1"/>
    </row>
    <row r="95" spans="1:8" x14ac:dyDescent="0.25">
      <c r="A95" s="1"/>
      <c r="B95" s="1"/>
      <c r="C95" s="1"/>
      <c r="D95" s="1"/>
      <c r="E95" s="1"/>
      <c r="F95" s="1"/>
      <c r="G95" s="1"/>
      <c r="H95" s="1"/>
    </row>
    <row r="96" spans="1:8" x14ac:dyDescent="0.25">
      <c r="A96" s="1"/>
      <c r="B96" s="1"/>
      <c r="C96" s="1"/>
      <c r="D96" s="1"/>
      <c r="E96" s="1"/>
      <c r="F96" s="1"/>
      <c r="G96" s="1"/>
      <c r="H96" s="1"/>
    </row>
    <row r="97" spans="1:8" x14ac:dyDescent="0.25">
      <c r="A97" s="1"/>
      <c r="B97" s="1"/>
      <c r="C97" s="1"/>
      <c r="D97" s="1"/>
      <c r="E97" s="1"/>
      <c r="F97" s="1"/>
      <c r="G97" s="1"/>
      <c r="H97" s="1"/>
    </row>
    <row r="98" spans="1:8" x14ac:dyDescent="0.25">
      <c r="A98" s="1"/>
      <c r="B98" s="1"/>
      <c r="C98" s="25" t="str">
        <f>+Balance!D31</f>
        <v>Miguel Ángel Alonso</v>
      </c>
      <c r="D98" s="25"/>
      <c r="E98" s="25" t="str">
        <f>+Balance!F31</f>
        <v>Pedro Nicholson</v>
      </c>
      <c r="F98" s="25"/>
      <c r="G98" s="25" t="str">
        <f>+Balance!K31</f>
        <v>Alejandro Poletto</v>
      </c>
      <c r="H98" s="1"/>
    </row>
    <row r="99" spans="1:8" x14ac:dyDescent="0.25">
      <c r="A99" s="1"/>
      <c r="B99" s="1"/>
      <c r="C99" s="25" t="str">
        <f>+Balance!D32</f>
        <v>Contador Público (U.C.A.)</v>
      </c>
      <c r="D99" s="25"/>
      <c r="E99" s="25" t="str">
        <f>+Balance!F32</f>
        <v>Síndico</v>
      </c>
      <c r="F99" s="25"/>
      <c r="G99" s="25" t="str">
        <f>+Balance!K32</f>
        <v>Southern Copper Arg. S.R.L.</v>
      </c>
      <c r="H99" s="1"/>
    </row>
    <row r="100" spans="1:8" x14ac:dyDescent="0.25">
      <c r="A100" s="1"/>
      <c r="B100" s="1"/>
      <c r="C100" s="25" t="str">
        <f>+Balance!D33</f>
        <v>C.P.C.E.C.A.B.A. Tº176  Fº03</v>
      </c>
      <c r="D100" s="25"/>
      <c r="E100" s="25"/>
      <c r="F100" s="25"/>
      <c r="G100" s="25" t="str">
        <f>+Balance!K33</f>
        <v> Gerente</v>
      </c>
      <c r="H100" s="1"/>
    </row>
  </sheetData>
  <pageMargins left="0.75" right="0.75" top="1.55" bottom="1" header="0" footer="0"/>
  <pageSetup paperSize="9" orientation="portrait" horizontalDpi="4294967295" verticalDpi="4294967295" scale="76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3"/>
  <sheetViews>
    <sheetView workbookViewId="0" zoomScale="100" zoomScaleNormal="100"/>
  </sheetViews>
  <sheetFormatPr defaultRowHeight="10.2" outlineLevelRow="0" outlineLevelCol="0" x14ac:dyDescent="0.2" defaultColWidth="11.44140625" customHeight="1"/>
  <cols>
    <col min="1" max="1" width="1" style="1" customWidth="1"/>
    <col min="2" max="2" width="32.5546875" style="1" customWidth="1"/>
    <col min="3" max="3" width="14.109375" style="1" customWidth="1"/>
    <col min="4" max="5" width="14" style="1" customWidth="1"/>
    <col min="6" max="8" width="11.44140625" style="1" customWidth="1"/>
    <col min="9" max="9" width="12" style="1" customWidth="1"/>
    <col min="10" max="10" width="13.5546875" style="1" customWidth="1"/>
    <col min="11" max="16384" width="11.44140625" style="1" customWidth="1"/>
  </cols>
  <sheetData>
    <row r="1" ht="13.2" customHeight="1" spans="1:13" x14ac:dyDescent="0.25">
      <c r="A1" s="2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 t="str">
        <f>+Balance!A2</f>
        <v>Al 30 de junio de 2026  - Cifras expresadas en dólares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10.8" customHeight="1" spans="1:13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10.8" customHeight="1" spans="1:13" x14ac:dyDescent="0.25">
      <c r="A5" s="25"/>
      <c r="B5" s="41"/>
      <c r="C5" s="42" t="s">
        <v>49</v>
      </c>
      <c r="D5" s="43"/>
      <c r="E5" s="43"/>
      <c r="F5" s="42"/>
      <c r="G5" s="43"/>
      <c r="H5" s="44"/>
      <c r="I5" s="44"/>
      <c r="J5" s="45">
        <f>+Balance!F5</f>
        <v>46203</v>
      </c>
      <c r="K5" s="1"/>
      <c r="L5" s="1"/>
      <c r="M5" s="21"/>
    </row>
    <row r="6" spans="1:13" x14ac:dyDescent="0.25">
      <c r="A6" s="25"/>
      <c r="B6" s="46" t="s">
        <v>50</v>
      </c>
      <c r="C6" s="47" t="s">
        <v>51</v>
      </c>
      <c r="D6" s="25"/>
      <c r="E6" s="48"/>
      <c r="F6" s="49" t="s">
        <v>52</v>
      </c>
      <c r="G6" s="50" t="s">
        <v>53</v>
      </c>
      <c r="H6" s="48"/>
      <c r="I6" s="51" t="s">
        <v>54</v>
      </c>
      <c r="J6" s="51" t="s">
        <v>55</v>
      </c>
      <c r="K6" s="1"/>
      <c r="L6" s="1"/>
      <c r="M6" s="1"/>
    </row>
    <row r="7" ht="15" customHeight="1" spans="1:13" x14ac:dyDescent="0.25">
      <c r="A7" s="25"/>
      <c r="B7" s="46"/>
      <c r="C7" s="52" t="s">
        <v>56</v>
      </c>
      <c r="D7" s="53" t="s">
        <v>57</v>
      </c>
      <c r="E7" s="52" t="s">
        <v>56</v>
      </c>
      <c r="F7" s="47" t="s">
        <v>58</v>
      </c>
      <c r="G7" s="52" t="s">
        <v>59</v>
      </c>
      <c r="H7" s="51" t="s">
        <v>60</v>
      </c>
      <c r="I7" s="51" t="s">
        <v>61</v>
      </c>
      <c r="J7" s="51" t="s">
        <v>62</v>
      </c>
      <c r="K7" s="1"/>
      <c r="L7" s="1"/>
      <c r="M7" s="1"/>
    </row>
    <row r="8" spans="1:13" x14ac:dyDescent="0.25">
      <c r="A8" s="25"/>
      <c r="B8" s="46"/>
      <c r="C8" s="51" t="s">
        <v>63</v>
      </c>
      <c r="D8" s="54"/>
      <c r="E8" s="51" t="s">
        <v>64</v>
      </c>
      <c r="F8" s="47" t="s">
        <v>65</v>
      </c>
      <c r="G8" s="51" t="s">
        <v>66</v>
      </c>
      <c r="H8" s="51" t="s">
        <v>67</v>
      </c>
      <c r="I8" s="51" t="s">
        <v>68</v>
      </c>
      <c r="J8" s="51" t="s">
        <v>69</v>
      </c>
      <c r="K8" s="1"/>
      <c r="L8" s="1"/>
      <c r="M8" s="1"/>
    </row>
    <row r="9" spans="1:13" x14ac:dyDescent="0.25">
      <c r="A9" s="25"/>
      <c r="B9" s="46"/>
      <c r="C9" s="51"/>
      <c r="D9" s="54"/>
      <c r="E9" s="51"/>
      <c r="F9" s="47"/>
      <c r="G9" s="51"/>
      <c r="H9" s="51"/>
      <c r="I9" s="51"/>
      <c r="J9" s="51"/>
      <c r="K9" s="1"/>
      <c r="L9" s="1"/>
      <c r="M9" s="1"/>
    </row>
    <row r="10" spans="1:13" x14ac:dyDescent="0.25">
      <c r="A10" s="25"/>
      <c r="B10" s="55"/>
      <c r="C10" s="9" t="s">
        <v>70</v>
      </c>
      <c r="D10" s="9" t="s">
        <v>70</v>
      </c>
      <c r="E10" s="9" t="s">
        <v>70</v>
      </c>
      <c r="F10" s="49" t="s">
        <v>70</v>
      </c>
      <c r="G10" s="9" t="s">
        <v>70</v>
      </c>
      <c r="H10" s="9"/>
      <c r="I10" s="9" t="s">
        <v>70</v>
      </c>
      <c r="J10" s="9" t="s">
        <v>70</v>
      </c>
      <c r="K10" s="1"/>
      <c r="L10" s="1"/>
      <c r="M10" s="21"/>
    </row>
    <row r="11" spans="1:13" x14ac:dyDescent="0.25">
      <c r="A11" s="1"/>
      <c r="B11" s="56"/>
      <c r="C11" s="57"/>
      <c r="D11" s="57"/>
      <c r="E11" s="57"/>
      <c r="F11" s="57"/>
      <c r="G11" s="57"/>
      <c r="H11" s="10"/>
      <c r="I11" s="10"/>
      <c r="J11" s="10"/>
      <c r="K11" s="1"/>
      <c r="L11" s="1"/>
      <c r="M11" s="1"/>
    </row>
    <row r="12" spans="1:13" x14ac:dyDescent="0.25">
      <c r="A12" s="1"/>
      <c r="B12" s="56" t="s">
        <v>71</v>
      </c>
      <c r="C12" s="11">
        <v>51718582.9</v>
      </c>
      <c r="D12" s="58">
        <v>0</v>
      </c>
      <c r="E12" s="11">
        <v>51718582.9</v>
      </c>
      <c r="F12" s="11">
        <v>0</v>
      </c>
      <c r="G12" s="11">
        <v>0</v>
      </c>
      <c r="H12" s="11">
        <v>0</v>
      </c>
      <c r="I12" s="11">
        <v>-48116541.3746332</v>
      </c>
      <c r="J12" s="11">
        <f>+E12+I12</f>
        <v>3497357.525366798</v>
      </c>
      <c r="K12" s="1"/>
      <c r="L12" s="1"/>
      <c r="M12" s="1"/>
    </row>
    <row r="13" hidden="1" spans="1:13" x14ac:dyDescent="0.25">
      <c r="A13" s="1"/>
      <c r="B13" s="56" t="s">
        <v>72</v>
      </c>
      <c r="C13" s="11"/>
      <c r="D13" s="58"/>
      <c r="E13" s="11"/>
      <c r="F13" s="11"/>
      <c r="G13" s="11"/>
      <c r="H13" s="11"/>
      <c r="I13" s="11">
        <v>0</v>
      </c>
      <c r="J13" s="11">
        <f>+I13</f>
        <v>0</v>
      </c>
      <c r="K13" s="12"/>
      <c r="L13" s="1"/>
      <c r="M13" s="1"/>
    </row>
    <row r="14" spans="1:13" x14ac:dyDescent="0.25">
      <c r="A14" s="1"/>
      <c r="B14" s="56" t="s">
        <v>73</v>
      </c>
      <c r="C14" s="11"/>
      <c r="D14" s="58"/>
      <c r="E14" s="11"/>
      <c r="F14" s="11"/>
      <c r="G14" s="11"/>
      <c r="H14" s="11"/>
      <c r="I14" s="11">
        <v>0</v>
      </c>
      <c r="J14" s="11">
        <f>+I14</f>
        <v>0</v>
      </c>
      <c r="K14" s="1"/>
      <c r="L14" s="1"/>
      <c r="M14" s="1"/>
    </row>
    <row r="15" ht="10.8" customHeight="1" spans="1:13" x14ac:dyDescent="0.25">
      <c r="A15" s="1"/>
      <c r="B15" s="56"/>
      <c r="C15" s="59">
        <f>SUM(C12:C12)</f>
        <v>51613898.9</v>
      </c>
      <c r="D15" s="59">
        <f>SUM(D12:D12)</f>
        <v>0</v>
      </c>
      <c r="E15" s="59">
        <f>SUM(E12:E12)</f>
        <v>51613898.9</v>
      </c>
      <c r="F15" s="59">
        <f>SUM(F12:F12)</f>
        <v>0</v>
      </c>
      <c r="G15" s="59">
        <f>SUM(G12:G12)</f>
        <v>0</v>
      </c>
      <c r="H15" s="59">
        <f>SUM(H12:H12)</f>
        <v>0</v>
      </c>
      <c r="I15" s="59">
        <f>SUM(I12:I14)</f>
        <v>-48116541.3746332</v>
      </c>
      <c r="J15" s="59">
        <f>+J12+J13+J14</f>
        <v>3497357.525366798</v>
      </c>
      <c r="K15" s="12"/>
      <c r="L15" s="1"/>
      <c r="M15" s="1"/>
    </row>
    <row r="16" ht="10.8" customHeight="1" spans="1:13" x14ac:dyDescent="0.25">
      <c r="A16" s="1"/>
      <c r="B16" s="56"/>
      <c r="C16" s="11"/>
      <c r="D16" s="11"/>
      <c r="E16" s="11"/>
      <c r="F16" s="11"/>
      <c r="G16" s="11"/>
      <c r="H16" s="11"/>
      <c r="I16" s="11"/>
      <c r="J16" s="11"/>
      <c r="K16" s="12"/>
      <c r="L16" s="1"/>
      <c r="M16" s="1"/>
    </row>
    <row r="17" spans="1:13" x14ac:dyDescent="0.25">
      <c r="A17" s="1"/>
      <c r="B17" s="56" t="s">
        <v>74</v>
      </c>
      <c r="C17" s="11">
        <v>176680</v>
      </c>
      <c r="D17" s="11"/>
      <c r="E17" s="11">
        <f>+C17</f>
      </c>
      <c r="F17" s="11"/>
      <c r="G17" s="11"/>
      <c r="H17" s="11"/>
      <c r="I17" s="11"/>
      <c r="J17" s="11">
        <f>+E17</f>
      </c>
      <c r="K17" s="12"/>
      <c r="L17" s="1"/>
      <c r="M17" s="1"/>
    </row>
    <row r="18" spans="1:13" x14ac:dyDescent="0.25">
      <c r="A18" s="1"/>
      <c r="B18" s="56"/>
      <c r="C18" s="11"/>
      <c r="D18" s="11"/>
      <c r="E18" s="11"/>
      <c r="F18" s="11"/>
      <c r="G18" s="11"/>
      <c r="H18" s="11"/>
      <c r="I18" s="11"/>
      <c r="J18" s="11"/>
      <c r="K18" s="1"/>
      <c r="L18" s="1"/>
      <c r="M18" s="1"/>
    </row>
    <row r="19" spans="1:13" x14ac:dyDescent="0.25">
      <c r="A19" s="1"/>
      <c r="B19" s="56" t="s">
        <v>75</v>
      </c>
      <c r="C19" s="11" t="s">
        <v>2</v>
      </c>
      <c r="D19" s="11"/>
      <c r="E19" s="11"/>
      <c r="F19" s="11"/>
      <c r="G19" s="11"/>
      <c r="H19" s="11"/>
      <c r="I19" s="11">
        <f>+Resultados!C25</f>
        <v>-1192987.6075605284</v>
      </c>
      <c r="J19" s="11">
        <f>+I19</f>
        <v>-1192987.6075605284</v>
      </c>
      <c r="K19" s="1"/>
      <c r="L19" s="12"/>
      <c r="M19" s="1"/>
    </row>
    <row r="20" spans="1:13" x14ac:dyDescent="0.25">
      <c r="A20" s="1"/>
      <c r="B20" s="56"/>
      <c r="C20" s="11"/>
      <c r="D20" s="11"/>
      <c r="E20" s="11"/>
      <c r="F20" s="11"/>
      <c r="G20" s="11"/>
      <c r="H20" s="11"/>
      <c r="I20" s="11"/>
      <c r="J20" s="11"/>
      <c r="K20" s="1"/>
      <c r="L20" s="1"/>
      <c r="M20" s="1"/>
    </row>
    <row r="21" spans="1:13" x14ac:dyDescent="0.25">
      <c r="A21" s="1"/>
      <c r="B21" s="60" t="s">
        <v>76</v>
      </c>
      <c r="C21" s="14">
        <f>+C15+C17</f>
        <v>51718582.9</v>
      </c>
      <c r="D21" s="14">
        <f>SUM(D15:D19)</f>
        <v>0</v>
      </c>
      <c r="E21" s="14">
        <f>SUM(E15:E17)</f>
        <v>51718582.9</v>
      </c>
      <c r="F21" s="14">
        <f>+F15</f>
        <v>0</v>
      </c>
      <c r="G21" s="14">
        <f>+G15</f>
        <v>0</v>
      </c>
      <c r="H21" s="14">
        <f>+H15</f>
        <v>0</v>
      </c>
      <c r="I21" s="14">
        <f>SUM(I15:I19)</f>
        <v>-49309528.98219373</v>
      </c>
      <c r="J21" s="14">
        <f>SUM(J15:J19)</f>
        <v>2409053.9178062696</v>
      </c>
      <c r="K21" s="1"/>
      <c r="L21" s="1"/>
      <c r="M21" s="1"/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2"/>
      <c r="J22" s="1"/>
      <c r="K22" s="1"/>
      <c r="L22" s="1"/>
      <c r="M22" s="1"/>
    </row>
    <row r="23" spans="1:13" x14ac:dyDescent="0.25">
      <c r="A23" s="1"/>
      <c r="B23" s="1" t="s">
        <v>24</v>
      </c>
      <c r="C23" s="1"/>
      <c r="D23" s="1"/>
      <c r="E23" s="12"/>
      <c r="F23" s="1"/>
      <c r="G23" s="1"/>
      <c r="H23" s="1"/>
      <c r="I23" s="21"/>
      <c r="J23" s="21"/>
      <c r="K23" s="1"/>
      <c r="L23" s="1"/>
      <c r="M23" s="1"/>
    </row>
    <row r="24" spans="1:13" x14ac:dyDescent="0.25">
      <c r="A24" s="1"/>
      <c r="B24" s="1" t="s">
        <v>25</v>
      </c>
      <c r="C24" s="1"/>
      <c r="D24" s="1"/>
      <c r="E24" s="61"/>
      <c r="F24" s="1"/>
      <c r="G24" s="1"/>
      <c r="H24" s="1"/>
      <c r="I24" s="1"/>
      <c r="J24" s="21"/>
      <c r="K24" s="1"/>
      <c r="L24" s="1"/>
      <c r="M24" s="1"/>
    </row>
    <row r="25" spans="1:13" x14ac:dyDescent="0.25">
      <c r="A25" s="1"/>
      <c r="B25" s="1"/>
      <c r="C25" s="12"/>
      <c r="D25" s="12"/>
      <c r="E25" s="12"/>
      <c r="F25" s="1"/>
      <c r="G25" s="1"/>
      <c r="H25" s="1"/>
      <c r="I25" s="36"/>
      <c r="J25" s="1"/>
      <c r="K25" s="1"/>
      <c r="L25" s="1"/>
      <c r="M25" s="1"/>
    </row>
    <row r="26" spans="1:13" x14ac:dyDescent="0.25">
      <c r="A26" s="1"/>
      <c r="B26" s="1"/>
      <c r="C26" s="12"/>
      <c r="D26" s="12"/>
      <c r="E26" s="12"/>
      <c r="F26" s="12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12"/>
      <c r="D27" s="12"/>
      <c r="E27" s="12"/>
      <c r="F27" s="12"/>
      <c r="G27" s="12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1"/>
      <c r="D28" s="1"/>
      <c r="E28" s="36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1"/>
      <c r="D29" s="12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25" t="str">
        <f>+Balance!D31</f>
        <v>Miguel Ángel Alonso</v>
      </c>
      <c r="D31" s="25"/>
      <c r="E31" s="1"/>
      <c r="F31" s="1" t="str">
        <f>+Balance!F31</f>
        <v>Pedro Nicholson</v>
      </c>
      <c r="G31" s="1"/>
      <c r="H31" s="1"/>
      <c r="I31" s="25" t="str">
        <f>+Balance!K31</f>
        <v>Alejandro Poletto</v>
      </c>
      <c r="J31" s="1"/>
      <c r="K31" s="1"/>
      <c r="L31" s="1"/>
      <c r="M31" s="1"/>
    </row>
    <row r="32" spans="1:13" x14ac:dyDescent="0.25">
      <c r="A32" s="1"/>
      <c r="B32" s="1"/>
      <c r="C32" s="25" t="str">
        <f>+Balance!D32</f>
        <v>Contador Público (U.C.A.)</v>
      </c>
      <c r="D32" s="25"/>
      <c r="E32" s="1"/>
      <c r="F32" s="25" t="str">
        <f>+Balance!F32</f>
        <v>Síndico</v>
      </c>
      <c r="G32" s="1"/>
      <c r="H32" s="1"/>
      <c r="I32" s="25" t="str">
        <f>+Balance!K32</f>
        <v>Southern Copper Arg. S.R.L.</v>
      </c>
      <c r="J32" s="1"/>
      <c r="K32" s="1"/>
      <c r="L32" s="1"/>
      <c r="M32" s="1"/>
    </row>
    <row r="33" spans="1:13" x14ac:dyDescent="0.25">
      <c r="A33" s="1"/>
      <c r="B33" s="1"/>
      <c r="C33" s="25" t="str">
        <f>+Balance!D33</f>
        <v>C.P.C.E.C.A.B.A. Tº176  Fº03</v>
      </c>
      <c r="D33" s="25"/>
      <c r="E33" s="1"/>
      <c r="F33" s="1"/>
      <c r="G33" s="1"/>
      <c r="H33" s="1"/>
      <c r="I33" s="25" t="str">
        <f>+Balance!K33</f>
        <v> Gerente</v>
      </c>
      <c r="J33" s="1"/>
      <c r="K33" s="1"/>
      <c r="L33" s="1"/>
      <c r="M33" s="1"/>
    </row>
  </sheetData>
  <mergeCells count="1">
    <mergeCell ref="D7:D9"/>
  </mergeCells>
  <pageMargins left="0.7480314960629921" right="0.1968503937007874" top="1.7716535433070868" bottom="0.984251968503937" header="0.5905511811023623" footer="0"/>
  <pageSetup paperSize="9" orientation="landscape" horizontalDpi="4294967295" verticalDpi="4294967295" scale="82" fitToWidth="1" fitToHeight="1" firstPageNumber="1" useFirstPageNumber="1" copies="1"/>
  <headerFooter>
    <oddHeader>&amp;L&amp;"Book Antiqua,Normal"&amp;9Southern Copper Argentina SRL.
Tucuman 1
Ciudad Autónoma de Buenos Aires
Nºde Insc.en I.G.J.:11764 del Libro 135 de SRL.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workbookViewId="0" zoomScale="100" zoomScaleNormal="100"/>
  </sheetViews>
  <sheetFormatPr defaultRowHeight="10.2" outlineLevelRow="0" outlineLevelCol="0" x14ac:dyDescent="0.2" defaultColWidth="11.44140625" customHeight="1"/>
  <cols>
    <col min="1" max="1" width="44.33203125" style="1" customWidth="1"/>
    <col min="2" max="2" width="12.44140625" style="1" hidden="1" customWidth="1"/>
    <col min="3" max="3" width="13.5546875" style="1" customWidth="1"/>
    <col min="4" max="16384" width="11.44140625" style="1" customWidth="1"/>
  </cols>
  <sheetData>
    <row r="1" ht="13.2" customHeight="1" spans="1:6" x14ac:dyDescent="0.25">
      <c r="A1" s="2" t="s">
        <v>34</v>
      </c>
      <c r="B1" s="1"/>
      <c r="C1" s="1"/>
      <c r="D1" s="1"/>
      <c r="E1" s="1"/>
      <c r="F1" s="1"/>
    </row>
    <row r="2" spans="1:6" x14ac:dyDescent="0.25">
      <c r="A2" s="1" t="str">
        <f>+Balance!A2</f>
        <v>Al 30 de junio de 2026  - Cifras expresadas en dólares</v>
      </c>
      <c r="B2" s="1"/>
      <c r="C2" s="1"/>
      <c r="D2" s="1"/>
      <c r="E2" s="1"/>
      <c r="F2" s="1"/>
    </row>
    <row r="3" ht="10.8" customHeight="1" spans="1:6" x14ac:dyDescent="0.25">
      <c r="A3" s="1"/>
      <c r="B3" s="1"/>
      <c r="C3" s="1"/>
      <c r="D3" s="1"/>
      <c r="E3" s="1"/>
      <c r="F3" s="1"/>
    </row>
    <row r="4" ht="10.8" customHeight="1" spans="1:6" x14ac:dyDescent="0.25">
      <c r="A4" s="3"/>
      <c r="B4" s="5"/>
      <c r="C4" s="27"/>
      <c r="D4" s="1"/>
      <c r="E4" s="1"/>
      <c r="F4" s="1"/>
    </row>
    <row r="5" spans="1:6" x14ac:dyDescent="0.25">
      <c r="A5" s="6"/>
      <c r="B5" s="7">
        <f>+Balance!F5</f>
        <v>46203</v>
      </c>
      <c r="C5" s="28">
        <f>+Balance!F5</f>
        <v>46203</v>
      </c>
      <c r="D5" s="1"/>
      <c r="E5" s="1"/>
      <c r="F5" s="1"/>
    </row>
    <row r="6" spans="1:6" x14ac:dyDescent="0.25">
      <c r="A6" s="6"/>
      <c r="B6" s="29"/>
      <c r="C6" s="30"/>
      <c r="D6" s="1"/>
      <c r="E6" s="1"/>
      <c r="F6" s="1"/>
    </row>
    <row r="7" spans="1:6" x14ac:dyDescent="0.25">
      <c r="A7" s="6"/>
      <c r="B7" s="10"/>
      <c r="C7" s="31"/>
      <c r="D7" s="1"/>
      <c r="E7" s="1"/>
      <c r="F7" s="1"/>
    </row>
    <row r="8" spans="1:6" x14ac:dyDescent="0.25">
      <c r="A8" s="6" t="s">
        <v>35</v>
      </c>
      <c r="B8" s="10"/>
      <c r="C8" s="32">
        <v>0</v>
      </c>
      <c r="D8" s="1"/>
      <c r="E8" s="1"/>
      <c r="F8" s="1"/>
    </row>
    <row r="9" spans="1:6" x14ac:dyDescent="0.25">
      <c r="A9" s="6" t="s">
        <v>36</v>
      </c>
      <c r="B9" s="10"/>
      <c r="C9" s="33">
        <v>0</v>
      </c>
      <c r="D9" s="1"/>
      <c r="E9" s="1"/>
      <c r="F9" s="1"/>
    </row>
    <row r="10" spans="1:6" x14ac:dyDescent="0.25">
      <c r="A10" s="6" t="s">
        <v>37</v>
      </c>
      <c r="B10" s="10"/>
      <c r="C10" s="32">
        <f>+C8-C9</f>
        <v>0</v>
      </c>
      <c r="D10" s="1"/>
      <c r="E10" s="1"/>
      <c r="F10" s="1"/>
    </row>
    <row r="11" spans="1:6" x14ac:dyDescent="0.25">
      <c r="A11" s="6"/>
      <c r="B11" s="10"/>
      <c r="C11" s="32"/>
      <c r="D11" s="1"/>
      <c r="E11" s="1"/>
      <c r="F11" s="1"/>
    </row>
    <row r="12" spans="1:6" x14ac:dyDescent="0.25">
      <c r="A12" s="6" t="s">
        <v>38</v>
      </c>
      <c r="B12" s="10" t="s">
        <v>2</v>
      </c>
      <c r="C12" s="32">
        <f>+'Anexo II'!G102</f>
        <v>0</v>
      </c>
      <c r="D12" s="1"/>
      <c r="E12" s="1"/>
      <c r="F12" s="1"/>
    </row>
    <row r="13" spans="1:6" x14ac:dyDescent="0.25">
      <c r="A13" s="6" t="s">
        <v>39</v>
      </c>
      <c r="B13" s="10"/>
      <c r="C13" s="32">
        <f>-'Anexo II'!F102</f>
        <v>-530007.27</v>
      </c>
      <c r="D13" s="12"/>
      <c r="E13" s="21"/>
      <c r="F13" s="34"/>
    </row>
    <row r="14" spans="1:6" x14ac:dyDescent="0.25">
      <c r="A14" s="6" t="s">
        <v>40</v>
      </c>
      <c r="B14" s="10"/>
      <c r="C14" s="32">
        <f>+'Anexo II'!I102</f>
        <v>0</v>
      </c>
      <c r="D14" s="1"/>
      <c r="E14" s="1"/>
      <c r="F14" s="1"/>
    </row>
    <row r="15" spans="1:6" x14ac:dyDescent="0.25">
      <c r="A15" s="6" t="s">
        <v>41</v>
      </c>
      <c r="B15" s="10"/>
      <c r="C15" s="32">
        <f>-'Anexo II'!H102</f>
        <v>-616736.47</v>
      </c>
      <c r="D15" s="1"/>
      <c r="E15" s="12"/>
      <c r="F15" s="1"/>
    </row>
    <row r="16" spans="1:6" x14ac:dyDescent="0.25">
      <c r="A16" s="6" t="s">
        <v>42</v>
      </c>
      <c r="B16" s="10"/>
      <c r="C16" s="32">
        <v>0</v>
      </c>
      <c r="D16" s="1"/>
      <c r="E16" s="12"/>
      <c r="F16" s="1"/>
    </row>
    <row r="17" spans="1:6" x14ac:dyDescent="0.25">
      <c r="A17" s="6" t="s">
        <v>43</v>
      </c>
      <c r="B17" s="10"/>
      <c r="C17" s="32">
        <f>-'Distribución por línea'!C149-'Distribución por línea'!C109</f>
        <v>-46243.8675605284</v>
      </c>
      <c r="D17" s="1"/>
      <c r="E17" s="12"/>
      <c r="F17" s="12"/>
    </row>
    <row r="18" spans="1:6" x14ac:dyDescent="0.25">
      <c r="A18" s="6" t="s">
        <v>42</v>
      </c>
      <c r="B18" s="10"/>
      <c r="C18" s="32">
        <f>-'Distribución por línea'!C112</f>
      </c>
      <c r="D18" s="1"/>
      <c r="E18" s="12"/>
      <c r="F18" s="1"/>
    </row>
    <row r="19" spans="1:6" x14ac:dyDescent="0.25">
      <c r="A19" s="6" t="s">
        <v>44</v>
      </c>
      <c r="B19" s="10"/>
      <c r="C19" s="32">
        <f>-'Distribución por línea'!C208</f>
      </c>
      <c r="D19" s="1"/>
      <c r="E19" s="12"/>
      <c r="F19" s="1"/>
    </row>
    <row r="20" spans="1:6" x14ac:dyDescent="0.25">
      <c r="A20" s="6"/>
      <c r="B20" s="10"/>
      <c r="C20" s="32"/>
      <c r="D20" s="1"/>
      <c r="E20" s="1"/>
      <c r="F20" s="1"/>
    </row>
    <row r="21" spans="1:6" x14ac:dyDescent="0.25">
      <c r="A21" s="6" t="s">
        <v>45</v>
      </c>
      <c r="B21" s="10"/>
      <c r="C21" s="35">
        <f>+C10+SUM(C12:C20)</f>
        <v>-1192987.6075605284</v>
      </c>
      <c r="D21" s="1"/>
      <c r="E21" s="12"/>
      <c r="F21" s="1"/>
    </row>
    <row r="22" spans="1:6" x14ac:dyDescent="0.25">
      <c r="A22" s="6"/>
      <c r="B22" s="10"/>
      <c r="C22" s="32"/>
      <c r="D22" s="12"/>
      <c r="E22" s="1"/>
      <c r="F22" s="1"/>
    </row>
    <row r="23" spans="1:6" x14ac:dyDescent="0.25">
      <c r="A23" s="6" t="s">
        <v>46</v>
      </c>
      <c r="B23" s="10"/>
      <c r="C23" s="32">
        <v>0</v>
      </c>
      <c r="D23" s="1"/>
      <c r="E23" s="1"/>
      <c r="F23" s="1"/>
    </row>
    <row r="24" spans="1:6" x14ac:dyDescent="0.25">
      <c r="A24" s="6"/>
      <c r="B24" s="10"/>
      <c r="C24" s="32"/>
      <c r="D24" s="36"/>
      <c r="E24" s="1"/>
      <c r="F24" s="1"/>
    </row>
    <row r="25" spans="1:6" x14ac:dyDescent="0.25">
      <c r="A25" s="6" t="s">
        <v>47</v>
      </c>
      <c r="B25" s="10"/>
      <c r="C25" s="35">
        <f>+C21-C23</f>
        <v>-1192987.6075605284</v>
      </c>
      <c r="D25" s="37"/>
      <c r="E25" s="21"/>
      <c r="F25" s="1"/>
    </row>
    <row r="26" spans="1:6" x14ac:dyDescent="0.25">
      <c r="A26" s="6"/>
      <c r="B26" s="10"/>
      <c r="C26" s="38"/>
      <c r="D26" s="12"/>
      <c r="E26" s="1"/>
      <c r="F26" s="1"/>
    </row>
    <row r="27" ht="10.8" customHeight="1" spans="1:6" x14ac:dyDescent="0.25">
      <c r="A27" s="15"/>
      <c r="B27" s="39"/>
      <c r="C27" s="40"/>
      <c r="D27" s="1"/>
      <c r="E27" s="1"/>
      <c r="F27" s="1"/>
    </row>
    <row r="28" ht="10.8" customHeight="1" spans="1:6" x14ac:dyDescent="0.25">
      <c r="A28" s="1"/>
      <c r="B28" s="1"/>
      <c r="C28" s="12"/>
      <c r="D28" s="1"/>
      <c r="E28" s="1"/>
      <c r="F28" s="1"/>
    </row>
    <row r="29" spans="1:6" x14ac:dyDescent="0.25">
      <c r="A29" s="1"/>
      <c r="B29" s="1"/>
      <c r="C29" s="12"/>
      <c r="D29" s="12"/>
      <c r="E29" s="1"/>
      <c r="F29" s="1"/>
    </row>
    <row r="30" spans="1:6" x14ac:dyDescent="0.25">
      <c r="A30" s="1" t="s">
        <v>24</v>
      </c>
      <c r="B30" s="1"/>
      <c r="C30" s="1"/>
      <c r="D30" s="1"/>
      <c r="E30" s="1"/>
      <c r="F30" s="1"/>
    </row>
    <row r="31" spans="1:6" x14ac:dyDescent="0.25">
      <c r="A31" s="1" t="s">
        <v>25</v>
      </c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2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2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25" t="str">
        <f>+Balance!D31</f>
        <v>Miguel Ángel Alonso</v>
      </c>
      <c r="B38" s="1"/>
      <c r="C38" s="1" t="str">
        <f>+Balance!F31</f>
        <v>Pedro Nicholson</v>
      </c>
      <c r="D38" s="1"/>
      <c r="E38" s="25" t="str">
        <f>+Balance!K31</f>
        <v>Alejandro Poletto</v>
      </c>
      <c r="F38" s="1"/>
    </row>
    <row r="39" spans="1:6" x14ac:dyDescent="0.25">
      <c r="A39" s="25" t="str">
        <f>+Balance!D32</f>
        <v>Contador Público (U.C.A.)</v>
      </c>
      <c r="B39" s="1"/>
      <c r="C39" s="25" t="str">
        <f>+Balance!F32</f>
        <v>Síndico</v>
      </c>
      <c r="D39" s="1"/>
      <c r="E39" s="25" t="str">
        <f>+Balance!K32</f>
        <v>Southern Copper Arg. S.R.L.</v>
      </c>
      <c r="F39" s="1"/>
    </row>
    <row r="40" spans="1:6" x14ac:dyDescent="0.25">
      <c r="A40" s="25" t="str">
        <f>+Balance!D33</f>
        <v>C.P.C.E.C.A.B.A. Tº176  Fº03</v>
      </c>
      <c r="B40" s="1"/>
      <c r="C40" s="25"/>
      <c r="D40" s="1"/>
      <c r="E40" s="25" t="str">
        <f>+Balance!K33</f>
        <v> Gerente</v>
      </c>
      <c r="F40" s="1"/>
    </row>
  </sheetData>
  <pageMargins left="0.7874015748031497" right="0.3937007874015748" top="2.125984251968504" bottom="0.984251968503937" header="0.3937007874015748" footer="0"/>
  <pageSetup paperSize="9" orientation="portrait" horizontalDpi="4294967295" verticalDpi="4294967295" scale="100" fitToWidth="1" fitToHeight="1" firstPageNumber="1" useFirstPageNumber="1" copies="1"/>
  <headerFooter>
    <oddHeader>&amp;L&amp;"Book Antiqua,Normal"&amp;9Southern Copper Argentina SRL.
Tucuman 1
Ciudad Autónoma de Buenos Aires
Nºde Insc.en I.G.J.:11764 del Libro 135 de SRL.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1"/>
  <sheetViews>
    <sheetView workbookViewId="0" zoomScale="100" zoomScaleNormal="100"/>
  </sheetViews>
  <sheetFormatPr defaultRowHeight="10.2" outlineLevelRow="0" outlineLevelCol="0" x14ac:dyDescent="0.2" defaultColWidth="11.44140625" customHeight="1"/>
  <cols>
    <col min="1" max="1" width="1.6640625" style="1" customWidth="1"/>
    <col min="2" max="2" width="1.88671875" style="1" customWidth="1"/>
    <col min="3" max="3" width="1.6640625" style="1" customWidth="1"/>
    <col min="4" max="4" width="11.44140625" style="1" customWidth="1"/>
    <col min="5" max="5" width="20.88671875" style="1" customWidth="1"/>
    <col min="6" max="6" width="13.6640625" style="1" customWidth="1"/>
    <col min="7" max="7" width="11.44140625" style="1" hidden="1" customWidth="1"/>
    <col min="8" max="8" width="2.5546875" style="1" customWidth="1"/>
    <col min="9" max="9" width="1.88671875" style="1" customWidth="1"/>
    <col min="10" max="10" width="1.6640625" style="1" customWidth="1"/>
    <col min="11" max="11" width="33.6640625" style="1" customWidth="1"/>
    <col min="12" max="12" width="13.6640625" style="1" customWidth="1"/>
    <col min="13" max="16384" width="11.44140625" style="1" customWidth="1"/>
  </cols>
  <sheetData>
    <row r="1" ht="13.2" customHeight="1" spans="1:16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10.8" customHeight="1" spans="1:16" x14ac:dyDescent="0.25">
      <c r="A3" s="1"/>
      <c r="B3" s="1"/>
      <c r="C3" s="1" t="s">
        <v>2</v>
      </c>
      <c r="D3" s="1"/>
      <c r="E3" s="1" t="s">
        <v>2</v>
      </c>
      <c r="F3" s="1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ht="10.8" customHeight="1" spans="1:16" x14ac:dyDescent="0.25">
      <c r="A4" s="3"/>
      <c r="B4" s="4" t="s">
        <v>2</v>
      </c>
      <c r="C4" s="4"/>
      <c r="D4" s="4"/>
      <c r="E4" s="4"/>
      <c r="F4" s="5" t="s">
        <v>2</v>
      </c>
      <c r="G4" s="5"/>
      <c r="H4" s="4"/>
      <c r="I4" s="4"/>
      <c r="J4" s="4"/>
      <c r="K4" s="4"/>
      <c r="L4" s="5"/>
      <c r="M4" s="1"/>
      <c r="N4" s="1"/>
      <c r="O4" s="1"/>
      <c r="P4" s="1"/>
    </row>
    <row r="5" spans="1:16" x14ac:dyDescent="0.25">
      <c r="A5" s="6"/>
      <c r="B5" s="1"/>
      <c r="C5" s="1" t="s">
        <v>2</v>
      </c>
      <c r="D5" s="1"/>
      <c r="E5" s="1"/>
      <c r="F5" s="7">
        <v>46234</v>
      </c>
      <c r="G5" s="7" t="s">
        <v>3</v>
      </c>
      <c r="H5" s="1"/>
      <c r="I5" s="1"/>
      <c r="J5" s="1"/>
      <c r="K5" s="1"/>
      <c r="L5" s="7">
        <f>+F5</f>
        <v>46203</v>
      </c>
      <c r="M5" s="1"/>
      <c r="N5" s="1"/>
      <c r="O5" s="1"/>
      <c r="P5" s="1"/>
    </row>
    <row r="6" spans="1:16" x14ac:dyDescent="0.25">
      <c r="A6" s="6"/>
      <c r="B6" s="8" t="s">
        <v>4</v>
      </c>
      <c r="C6" s="1"/>
      <c r="D6" s="1"/>
      <c r="E6" s="1"/>
      <c r="F6" s="9"/>
      <c r="G6" s="9" t="s">
        <v>5</v>
      </c>
      <c r="H6" s="1"/>
      <c r="I6" s="8" t="s">
        <v>6</v>
      </c>
      <c r="J6" s="1"/>
      <c r="K6" s="1"/>
      <c r="L6" s="9"/>
      <c r="M6" s="1"/>
      <c r="N6" s="1"/>
      <c r="O6" s="1"/>
      <c r="P6" s="1"/>
    </row>
    <row r="7" spans="1:16" x14ac:dyDescent="0.25">
      <c r="A7" s="6"/>
      <c r="B7" s="1"/>
      <c r="C7" s="8" t="s">
        <v>7</v>
      </c>
      <c r="D7" s="1"/>
      <c r="E7" s="1"/>
      <c r="F7" s="10"/>
      <c r="G7" s="10"/>
      <c r="H7" s="1"/>
      <c r="I7" s="8" t="s">
        <v>8</v>
      </c>
      <c r="J7" s="1"/>
      <c r="K7" s="1"/>
      <c r="L7" s="10"/>
      <c r="M7" s="1"/>
      <c r="N7" s="1"/>
      <c r="O7" s="1"/>
      <c r="P7" s="1"/>
    </row>
    <row r="8" spans="1:16" x14ac:dyDescent="0.25">
      <c r="A8" s="6"/>
      <c r="B8" s="1"/>
      <c r="C8" s="1"/>
      <c r="D8" s="1" t="s">
        <v>9</v>
      </c>
      <c r="E8" s="1"/>
      <c r="F8" s="11">
        <f>+'Activo y Pasivo'!F17</f>
        <v>13953.930000000128</v>
      </c>
      <c r="G8" s="11"/>
      <c r="H8" s="1"/>
      <c r="I8" s="1"/>
      <c r="J8" s="1" t="s">
        <v>10</v>
      </c>
      <c r="K8" s="1"/>
      <c r="L8" s="11">
        <f>+'Activo y Pasivo'!F68</f>
        <v>71988.8751050439</v>
      </c>
      <c r="M8" s="1"/>
      <c r="N8" s="12"/>
      <c r="O8" s="12"/>
      <c r="P8" s="1"/>
    </row>
    <row r="9" spans="1:16" x14ac:dyDescent="0.25">
      <c r="A9" s="6"/>
      <c r="B9" s="1"/>
      <c r="C9" s="1"/>
      <c r="D9" s="1" t="s">
        <v>11</v>
      </c>
      <c r="E9" s="1"/>
      <c r="F9" s="11">
        <f>+'Activo y Pasivo'!F48</f>
        <v>3716769.9299999997</v>
      </c>
      <c r="G9" s="11"/>
      <c r="H9" s="1"/>
      <c r="I9" s="1"/>
      <c r="J9" s="1" t="s">
        <v>12</v>
      </c>
      <c r="K9" s="1"/>
      <c r="L9" s="11">
        <f>+'Activo y Pasivo'!F81</f>
        <v>1368944.15</v>
      </c>
      <c r="M9" s="1"/>
      <c r="N9" s="12"/>
      <c r="O9" s="12"/>
      <c r="P9" s="1"/>
    </row>
    <row r="10" spans="1:16" x14ac:dyDescent="0.25">
      <c r="A10" s="6"/>
      <c r="B10" s="1"/>
      <c r="C10" s="1"/>
      <c r="D10" s="1" t="s">
        <v>13</v>
      </c>
      <c r="E10" s="1"/>
      <c r="F10" s="13">
        <f>+'Activo y Pasivo'!F52</f>
        <v>104684</v>
      </c>
      <c r="G10" s="14"/>
      <c r="H10" s="1"/>
      <c r="I10" s="1"/>
      <c r="J10" s="1" t="s">
        <v>14</v>
      </c>
      <c r="K10" s="1"/>
      <c r="L10" s="13">
        <f>+'Activo y Pasivo'!F88</f>
        <v>58289.600000000006</v>
      </c>
      <c r="M10" s="1"/>
      <c r="N10" s="12"/>
      <c r="O10" s="1"/>
      <c r="P10" s="1"/>
    </row>
    <row r="11" spans="1:16" x14ac:dyDescent="0.25">
      <c r="A11" s="6"/>
      <c r="B11" s="1"/>
      <c r="C11" s="8" t="s">
        <v>15</v>
      </c>
      <c r="D11" s="1"/>
      <c r="E11" s="1"/>
      <c r="F11" s="14">
        <f>SUM(F8:F10)</f>
        <v>3835407.86</v>
      </c>
      <c r="G11" s="11"/>
      <c r="H11" s="1"/>
      <c r="I11" s="8" t="s">
        <v>16</v>
      </c>
      <c r="J11" s="1"/>
      <c r="K11" s="1"/>
      <c r="L11" s="14">
        <f>SUM(L8:L10)</f>
        <v>1499222.6251050439</v>
      </c>
      <c r="M11" s="1"/>
      <c r="N11" s="12"/>
      <c r="O11" s="1"/>
      <c r="P11" s="1"/>
    </row>
    <row r="12" spans="1:16" x14ac:dyDescent="0.25">
      <c r="A12" s="6"/>
      <c r="B12" s="1"/>
      <c r="C12" s="1" t="s">
        <v>2</v>
      </c>
      <c r="D12" s="1"/>
      <c r="E12" s="1"/>
      <c r="F12" s="11"/>
      <c r="G12" s="11"/>
      <c r="H12" s="1"/>
      <c r="I12" s="8" t="s">
        <v>17</v>
      </c>
      <c r="J12" s="1"/>
      <c r="K12" s="1"/>
      <c r="L12" s="13">
        <f>+L11</f>
        <v>1499222.6251050439</v>
      </c>
      <c r="M12" s="12"/>
      <c r="N12" s="12"/>
      <c r="O12" s="1"/>
      <c r="P12" s="1"/>
    </row>
    <row r="13" spans="1:16" x14ac:dyDescent="0.25">
      <c r="A13" s="6"/>
      <c r="B13" s="1"/>
      <c r="C13" s="1"/>
      <c r="D13" s="1"/>
      <c r="E13" s="1"/>
      <c r="F13" s="10"/>
      <c r="G13" s="11"/>
      <c r="H13" s="1"/>
      <c r="I13" s="1"/>
      <c r="J13" s="1"/>
      <c r="K13" s="1"/>
      <c r="L13" s="11"/>
      <c r="M13" s="1"/>
      <c r="N13" s="1"/>
      <c r="O13" s="1"/>
      <c r="P13" s="1"/>
    </row>
    <row r="14" spans="1:16" x14ac:dyDescent="0.25">
      <c r="A14" s="6"/>
      <c r="B14" s="1"/>
      <c r="C14" s="1"/>
      <c r="D14" s="1" t="s">
        <v>18</v>
      </c>
      <c r="E14" s="1"/>
      <c r="F14" s="11">
        <f>+'Activo y Pasivo'!F58</f>
        <v>0</v>
      </c>
      <c r="G14" s="11"/>
      <c r="H14" s="1"/>
      <c r="I14" s="1"/>
      <c r="J14" s="1"/>
      <c r="K14" s="1"/>
      <c r="L14" s="11"/>
      <c r="M14" s="1"/>
      <c r="N14" s="1"/>
      <c r="O14" s="1"/>
      <c r="P14" s="1"/>
    </row>
    <row r="15" spans="1:16" x14ac:dyDescent="0.25">
      <c r="A15" s="6"/>
      <c r="B15" s="1"/>
      <c r="C15" s="8"/>
      <c r="D15" s="1" t="s">
        <v>19</v>
      </c>
      <c r="E15" s="1"/>
      <c r="F15" s="11">
        <f>+'Anexo I'!K24</f>
        <v>72868.67999999996</v>
      </c>
      <c r="G15" s="11"/>
      <c r="H15" s="1"/>
      <c r="I15" s="1" t="s">
        <v>2</v>
      </c>
      <c r="J15" s="1" t="s">
        <v>2</v>
      </c>
      <c r="K15" s="1"/>
      <c r="L15" s="11"/>
      <c r="M15" s="1"/>
      <c r="N15" s="12"/>
      <c r="O15" s="1"/>
      <c r="P15" s="1"/>
    </row>
    <row r="16" spans="1:16" x14ac:dyDescent="0.25">
      <c r="A16" s="6"/>
      <c r="B16" s="1"/>
      <c r="C16" s="1"/>
      <c r="D16" s="1"/>
      <c r="E16" s="1"/>
      <c r="F16" s="11"/>
      <c r="G16" s="11"/>
      <c r="H16" s="1"/>
      <c r="I16" s="1" t="s">
        <v>20</v>
      </c>
      <c r="J16" s="1"/>
      <c r="K16" s="1"/>
      <c r="L16" s="14">
        <f>+Pat.Neto!J21</f>
        <v>2409053.9178062696</v>
      </c>
      <c r="M16" s="12"/>
      <c r="N16" s="12"/>
      <c r="O16" s="12"/>
      <c r="P16" s="1"/>
    </row>
    <row r="17" spans="1:16" x14ac:dyDescent="0.25">
      <c r="A17" s="6"/>
      <c r="B17" s="1"/>
      <c r="C17" s="1"/>
      <c r="D17" s="1"/>
      <c r="E17" s="1"/>
      <c r="F17" s="11"/>
      <c r="G17" s="11"/>
      <c r="H17" s="1"/>
      <c r="I17" s="1"/>
      <c r="J17" s="1"/>
      <c r="K17" s="1"/>
      <c r="L17" s="11"/>
      <c r="M17" s="1"/>
      <c r="N17" s="1"/>
      <c r="O17" s="1"/>
      <c r="P17" s="1"/>
    </row>
    <row r="18" spans="1:16" x14ac:dyDescent="0.25">
      <c r="A18" s="6"/>
      <c r="B18" s="1"/>
      <c r="C18" s="8" t="s">
        <v>21</v>
      </c>
      <c r="D18" s="1"/>
      <c r="E18" s="1"/>
      <c r="F18" s="14">
        <f>SUM(F14:F17)</f>
        <v>72868.67999999996</v>
      </c>
      <c r="G18" s="14"/>
      <c r="H18" s="1"/>
      <c r="I18" s="1"/>
      <c r="J18" s="1"/>
      <c r="K18" s="1" t="s">
        <v>2</v>
      </c>
      <c r="L18" s="11"/>
      <c r="M18" s="1"/>
      <c r="N18" s="1"/>
      <c r="O18" s="1"/>
      <c r="P18" s="1"/>
    </row>
    <row r="19" spans="1:16" x14ac:dyDescent="0.25">
      <c r="A19" s="6"/>
      <c r="B19" s="1"/>
      <c r="C19" s="1"/>
      <c r="D19" s="1"/>
      <c r="E19" s="1"/>
      <c r="F19" s="11"/>
      <c r="G19" s="11"/>
      <c r="H19" s="1"/>
      <c r="I19" s="1"/>
      <c r="J19" s="1"/>
      <c r="K19" s="1"/>
      <c r="L19" s="11"/>
      <c r="M19" s="1"/>
      <c r="N19" s="1"/>
      <c r="O19" s="1"/>
      <c r="P19" s="1"/>
    </row>
    <row r="20" ht="10.8" customHeight="1" spans="1:16" x14ac:dyDescent="0.25">
      <c r="A20" s="15"/>
      <c r="B20" s="16"/>
      <c r="C20" s="17" t="s">
        <v>22</v>
      </c>
      <c r="D20" s="16"/>
      <c r="E20" s="16"/>
      <c r="F20" s="18">
        <f>+F11+F18</f>
        <v>3908276.54</v>
      </c>
      <c r="G20" s="18"/>
      <c r="H20" s="16"/>
      <c r="I20" s="17" t="s">
        <v>23</v>
      </c>
      <c r="J20" s="16"/>
      <c r="K20" s="16"/>
      <c r="L20" s="18">
        <f>+L12+L16</f>
        <v>3908276.5429113135</v>
      </c>
      <c r="M20" s="12"/>
      <c r="N20" s="12"/>
      <c r="O20" s="1"/>
      <c r="P20" s="1"/>
    </row>
    <row r="21" ht="10.8" customHeight="1" spans="1:16" x14ac:dyDescent="0.25">
      <c r="A21" s="1"/>
      <c r="B21" s="1"/>
      <c r="C21" s="1"/>
      <c r="D21" s="1"/>
      <c r="E21" s="1"/>
      <c r="F21" s="12"/>
      <c r="G21" s="12"/>
      <c r="H21" s="1"/>
      <c r="I21" s="1"/>
      <c r="J21" s="1"/>
      <c r="K21" s="19"/>
      <c r="L21" s="12"/>
      <c r="M21" s="1"/>
      <c r="N21" s="12"/>
      <c r="O21" s="1"/>
      <c r="P21" s="1"/>
    </row>
    <row r="22" spans="1:16" x14ac:dyDescent="0.25">
      <c r="A22" s="1" t="s">
        <v>24</v>
      </c>
      <c r="B22" s="1"/>
      <c r="C22" s="1"/>
      <c r="D22" s="1"/>
      <c r="E22" s="1"/>
      <c r="F22" s="1"/>
      <c r="G22" s="1"/>
      <c r="H22" s="1"/>
      <c r="I22" s="1"/>
      <c r="J22" s="1"/>
      <c r="K22" s="12"/>
      <c r="L22" s="20"/>
      <c r="M22" s="1"/>
      <c r="N22" s="1"/>
      <c r="O22" s="1"/>
      <c r="P22" s="1"/>
    </row>
    <row r="23" spans="1:16" x14ac:dyDescent="0.25">
      <c r="A23" s="1" t="s">
        <v>25</v>
      </c>
      <c r="B23" s="1"/>
      <c r="C23" s="1"/>
      <c r="D23" s="1"/>
      <c r="E23" s="1"/>
      <c r="F23" s="21"/>
      <c r="G23" s="1"/>
      <c r="H23" s="1"/>
      <c r="I23" s="1"/>
      <c r="J23" s="1"/>
      <c r="K23" s="12"/>
      <c r="L23" s="22">
        <f>+L20-F20</f>
        <v>0.0029113134369254112</v>
      </c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23"/>
      <c r="G24" s="1"/>
      <c r="H24" s="1"/>
      <c r="I24" s="1"/>
      <c r="J24" s="1"/>
      <c r="K24" s="12"/>
      <c r="L24" s="24"/>
      <c r="M24" s="1"/>
      <c r="N24" s="1"/>
      <c r="O24" s="12"/>
      <c r="P24" s="1"/>
    </row>
    <row r="25" hidden="1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1"/>
      <c r="M25" s="1"/>
      <c r="N25" s="1"/>
      <c r="O25" s="1"/>
      <c r="P25" s="1"/>
    </row>
    <row r="26" hidden="1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2"/>
      <c r="L26" s="21"/>
      <c r="M26" s="1"/>
      <c r="N26" s="1"/>
      <c r="O26" s="1"/>
      <c r="P26" s="1"/>
    </row>
    <row r="27" hidden="1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1"/>
      <c r="M27" s="1"/>
      <c r="N27" s="1"/>
      <c r="O27" s="1"/>
      <c r="P27" s="1"/>
    </row>
    <row r="28" hidden="1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1"/>
      <c r="M28" s="1"/>
      <c r="N28" s="1"/>
      <c r="O28" s="1"/>
      <c r="P28" s="1"/>
    </row>
    <row r="29" spans="1:16" x14ac:dyDescent="0.25">
      <c r="A29" s="1" t="s">
        <v>2</v>
      </c>
      <c r="B29" s="1"/>
      <c r="C29" s="1"/>
      <c r="D29" s="1"/>
      <c r="E29" s="1"/>
      <c r="F29" s="21"/>
      <c r="G29" s="1"/>
      <c r="H29" s="1"/>
      <c r="I29" s="1"/>
      <c r="J29" s="1"/>
      <c r="K29" s="12"/>
      <c r="L29" s="21"/>
      <c r="M29" s="1"/>
      <c r="N29" s="1"/>
      <c r="O29" s="1"/>
      <c r="P29" s="1"/>
    </row>
    <row r="30" spans="1:16" x14ac:dyDescent="0.25">
      <c r="A30" s="1" t="s">
        <v>2</v>
      </c>
      <c r="B30" s="1"/>
      <c r="C30" s="1"/>
      <c r="D30" s="1"/>
      <c r="E30" s="1"/>
      <c r="F30" s="1"/>
      <c r="G30" s="1"/>
      <c r="H30" s="1"/>
      <c r="I30" s="1"/>
      <c r="J30" s="1"/>
      <c r="K30" s="12"/>
      <c r="L30" s="21"/>
      <c r="M30" s="1"/>
      <c r="N30" s="1"/>
      <c r="O30" s="1"/>
      <c r="P30" s="1"/>
    </row>
    <row r="31" spans="1:16" x14ac:dyDescent="0.25">
      <c r="A31" s="1"/>
      <c r="B31" s="1"/>
      <c r="C31" s="1"/>
      <c r="D31" s="25" t="s">
        <v>26</v>
      </c>
      <c r="E31" s="25"/>
      <c r="F31" s="25" t="s">
        <v>27</v>
      </c>
      <c r="G31" s="26"/>
      <c r="H31" s="1"/>
      <c r="I31" s="1"/>
      <c r="J31" s="1"/>
      <c r="K31" s="25" t="s">
        <v>28</v>
      </c>
      <c r="L31" s="21"/>
      <c r="M31" s="1"/>
      <c r="N31" s="1"/>
      <c r="O31" s="1"/>
      <c r="P31" s="1"/>
    </row>
    <row r="32" spans="1:16" x14ac:dyDescent="0.25">
      <c r="A32" s="1"/>
      <c r="B32" s="1"/>
      <c r="C32" s="1"/>
      <c r="D32" s="25" t="s">
        <v>29</v>
      </c>
      <c r="E32" s="25"/>
      <c r="F32" s="25" t="s">
        <v>30</v>
      </c>
      <c r="G32" s="1"/>
      <c r="H32" s="25"/>
      <c r="I32" s="1"/>
      <c r="J32" s="1"/>
      <c r="K32" s="25" t="s">
        <v>31</v>
      </c>
      <c r="L32" s="21"/>
      <c r="M32" s="1"/>
      <c r="N32" s="1"/>
      <c r="O32" s="1"/>
      <c r="P32" s="1"/>
    </row>
    <row r="33" spans="1:16" x14ac:dyDescent="0.25">
      <c r="A33" s="1"/>
      <c r="B33" s="1"/>
      <c r="C33" s="1"/>
      <c r="D33" s="25" t="s">
        <v>32</v>
      </c>
      <c r="E33" s="25"/>
      <c r="F33" s="1"/>
      <c r="G33" s="1"/>
      <c r="H33" s="1"/>
      <c r="I33" s="1"/>
      <c r="J33" s="1"/>
      <c r="K33" s="25" t="s">
        <v>33</v>
      </c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 t="s">
        <v>2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 t="s">
        <v>2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2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2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21"/>
      <c r="N41" s="1"/>
      <c r="O41" s="1"/>
      <c r="P41" s="1"/>
    </row>
  </sheetData>
  <pageMargins left="0.7480314960629921" right="0.6692913385826772" top="1.8897637795275593" bottom="0.984251968503937" header="0.3937007874015748" footer="0"/>
  <pageSetup paperSize="9" orientation="landscape" horizontalDpi="4294967295" verticalDpi="4294967295" scale="100" fitToWidth="1" fitToHeight="1" firstPageNumber="1" useFirstPageNumber="1" copies="1"/>
  <headerFooter>
    <oddHeader>&amp;L&amp;"Book Antiqua,Normal"&amp;9Southern Copper Argentina SRL.
Tucuman 1
Ciudad Autónoma de Buenos Aires
Nºde Insc.en I.G.J.:11764 del Libro 135 de SRL.&amp;"Book Antiqua,Negrita"
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2"/>
  <sheetViews>
    <sheetView workbookViewId="0" zoomScale="100" zoomScaleNormal="100"/>
  </sheetViews>
  <sheetFormatPr defaultRowHeight="10.2" outlineLevelRow="0" outlineLevelCol="0" x14ac:dyDescent="0.2" defaultColWidth="11.44140625" customHeight="1"/>
  <cols>
    <col min="1" max="1" width="1.44140625" style="1" customWidth="1"/>
    <col min="2" max="3" width="11.44140625" style="1" customWidth="1"/>
    <col min="4" max="4" width="12" style="1" customWidth="1"/>
    <col min="5" max="5" width="17.5546875" style="1" customWidth="1"/>
    <col min="6" max="6" width="19.88671875" style="1" customWidth="1"/>
    <col min="7" max="8" width="20" style="1" customWidth="1"/>
    <col min="9" max="9" width="15.109375" style="1" customWidth="1"/>
    <col min="10" max="10" width="9" style="1" hidden="1" customWidth="1"/>
    <col min="11" max="16384" width="11.44140625" style="1" customWidth="1"/>
  </cols>
  <sheetData>
    <row r="1" spans="1:11" x14ac:dyDescent="0.25">
      <c r="A1" s="1"/>
      <c r="B1" s="1" t="s">
        <v>2</v>
      </c>
      <c r="C1" s="1"/>
      <c r="D1" s="1"/>
      <c r="E1" s="1"/>
      <c r="F1" s="1"/>
      <c r="G1" s="1"/>
      <c r="H1" s="1"/>
      <c r="I1" s="1"/>
      <c r="J1" s="1" t="s">
        <v>184</v>
      </c>
      <c r="K1" s="1"/>
    </row>
    <row r="2" spans="1:11" x14ac:dyDescent="0.25">
      <c r="A2" s="1" t="s">
        <v>2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8" t="s">
        <v>185</v>
      </c>
      <c r="B3" s="1"/>
      <c r="C3" s="1"/>
      <c r="D3" s="1"/>
      <c r="E3" s="1"/>
      <c r="F3" s="1"/>
      <c r="G3" s="1"/>
      <c r="H3" s="1"/>
      <c r="I3" s="25" t="s">
        <v>186</v>
      </c>
      <c r="J3" s="1"/>
      <c r="K3" s="1"/>
    </row>
    <row r="4" spans="1:11" x14ac:dyDescent="0.25">
      <c r="A4" s="1" t="str">
        <f>+Balance!A2</f>
        <v>Al 30 de junio de 2026  - Cifras expresadas en dólares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ht="10.8" customHeight="1" spans="1:11" x14ac:dyDescent="0.25">
      <c r="A5" s="1"/>
      <c r="B5" s="1" t="s">
        <v>2</v>
      </c>
      <c r="C5" s="1"/>
      <c r="D5" s="1"/>
      <c r="E5" s="1"/>
      <c r="F5" s="1"/>
      <c r="G5" s="1"/>
      <c r="H5" s="1"/>
      <c r="I5" s="1"/>
      <c r="J5" s="1"/>
      <c r="K5" s="1"/>
    </row>
    <row r="6" ht="10.8" customHeight="1" spans="1:11" x14ac:dyDescent="0.25">
      <c r="A6" s="3" t="s">
        <v>2</v>
      </c>
      <c r="B6" s="4"/>
      <c r="C6" s="4"/>
      <c r="D6" s="4"/>
      <c r="E6" s="44" t="s">
        <v>187</v>
      </c>
      <c r="F6" s="44" t="s">
        <v>188</v>
      </c>
      <c r="G6" s="44" t="s">
        <v>189</v>
      </c>
      <c r="H6" s="44" t="s">
        <v>189</v>
      </c>
      <c r="I6" s="107" t="s">
        <v>188</v>
      </c>
      <c r="J6" s="108" t="s">
        <v>187</v>
      </c>
      <c r="K6" s="1"/>
    </row>
    <row r="7" spans="1:11" x14ac:dyDescent="0.25">
      <c r="A7" s="6" t="s">
        <v>2</v>
      </c>
      <c r="B7" s="1" t="s">
        <v>190</v>
      </c>
      <c r="C7" s="1"/>
      <c r="D7" s="1"/>
      <c r="E7" s="51" t="s">
        <v>191</v>
      </c>
      <c r="F7" s="51" t="s">
        <v>192</v>
      </c>
      <c r="G7" s="51" t="s">
        <v>192</v>
      </c>
      <c r="H7" s="51" t="s">
        <v>192</v>
      </c>
      <c r="I7" s="109"/>
      <c r="J7" s="110" t="s">
        <v>191</v>
      </c>
      <c r="K7" s="1"/>
    </row>
    <row r="8" spans="1:11" x14ac:dyDescent="0.25">
      <c r="A8" s="111"/>
      <c r="B8" s="112"/>
      <c r="C8" s="112"/>
      <c r="D8" s="112"/>
      <c r="E8" s="113">
        <f>+Balance!F5</f>
        <v>46203</v>
      </c>
      <c r="F8" s="9" t="s">
        <v>193</v>
      </c>
      <c r="G8" s="9" t="s">
        <v>194</v>
      </c>
      <c r="H8" s="9" t="s">
        <v>195</v>
      </c>
      <c r="I8" s="30" t="s">
        <v>196</v>
      </c>
      <c r="J8" s="114" t="s">
        <v>197</v>
      </c>
      <c r="K8" s="1"/>
    </row>
    <row r="9" spans="1:11" x14ac:dyDescent="0.25">
      <c r="A9" s="6"/>
      <c r="B9" s="1"/>
      <c r="C9" s="1"/>
      <c r="D9" s="1"/>
      <c r="E9" s="7"/>
      <c r="F9" s="51"/>
      <c r="G9" s="52"/>
      <c r="H9" s="25"/>
      <c r="I9" s="109"/>
      <c r="J9" s="115"/>
      <c r="K9" s="1"/>
    </row>
    <row r="10" spans="1:11" x14ac:dyDescent="0.25">
      <c r="A10" s="6" t="s">
        <v>198</v>
      </c>
      <c r="B10" s="64" t="s">
        <v>199</v>
      </c>
      <c r="C10" s="1"/>
      <c r="D10" s="1"/>
      <c r="E10" s="116">
        <f>SUM(F10:I10)</f>
        <v>36709.74</v>
      </c>
      <c r="F10" s="116"/>
      <c r="G10" s="11"/>
      <c r="H10" s="12">
        <f>+'Distribución por línea'!C164</f>
        <v>36709.74</v>
      </c>
      <c r="I10" s="117"/>
      <c r="J10" s="115"/>
      <c r="K10" s="1"/>
    </row>
    <row r="11" spans="1:11" x14ac:dyDescent="0.25">
      <c r="A11" s="6" t="s">
        <v>198</v>
      </c>
      <c r="B11" s="64" t="s">
        <v>200</v>
      </c>
      <c r="C11" s="1"/>
      <c r="D11" s="1"/>
      <c r="E11" s="116">
        <f>SUM(F11:I11)</f>
        <v>185113.95</v>
      </c>
      <c r="F11" s="12">
        <f>+'Distribución por línea'!C175+'Distribución por línea'!C205</f>
        <v>185113.95</v>
      </c>
      <c r="G11" s="11"/>
      <c r="H11" s="1"/>
      <c r="I11" s="117"/>
      <c r="J11" s="115"/>
      <c r="K11" s="1"/>
    </row>
    <row r="12" spans="1:11" x14ac:dyDescent="0.25">
      <c r="A12" s="6" t="s">
        <v>198</v>
      </c>
      <c r="B12" s="64" t="s">
        <v>201</v>
      </c>
      <c r="C12" s="1"/>
      <c r="D12" s="1"/>
      <c r="E12" s="116">
        <f>SUM(F12:I12)</f>
        <v>41896.28</v>
      </c>
      <c r="F12" s="116"/>
      <c r="G12" s="11"/>
      <c r="H12" s="12">
        <f>+'Distribución por línea'!C176</f>
        <v>41896.28</v>
      </c>
      <c r="I12" s="117"/>
      <c r="J12" s="115"/>
      <c r="K12" s="1"/>
    </row>
    <row r="13" spans="1:11" x14ac:dyDescent="0.25">
      <c r="A13" s="6" t="s">
        <v>198</v>
      </c>
      <c r="B13" s="64" t="s">
        <v>202</v>
      </c>
      <c r="C13" s="1"/>
      <c r="D13" s="1"/>
      <c r="E13" s="116">
        <f>SUM(F13:I13)</f>
        <v>0</v>
      </c>
      <c r="F13" s="116"/>
      <c r="G13" s="11"/>
      <c r="H13" s="12">
        <f>+'Distribución por línea'!C144</f>
      </c>
      <c r="I13" s="117"/>
      <c r="J13" s="115"/>
      <c r="K13" s="1"/>
    </row>
    <row r="14" spans="1:11" x14ac:dyDescent="0.25">
      <c r="A14" s="6" t="s">
        <v>198</v>
      </c>
      <c r="B14" s="64" t="s">
        <v>203</v>
      </c>
      <c r="C14" s="1"/>
      <c r="D14" s="1"/>
      <c r="E14" s="116">
        <f>SUM(F14:I14)</f>
        <v>130.73</v>
      </c>
      <c r="F14" s="116"/>
      <c r="G14" s="11"/>
      <c r="H14" s="12">
        <f>+'Distribución por línea'!C156</f>
        <v>130.73</v>
      </c>
      <c r="I14" s="117"/>
      <c r="J14" s="115"/>
      <c r="K14" s="1"/>
    </row>
    <row r="15" spans="1:11" x14ac:dyDescent="0.25">
      <c r="A15" s="6" t="s">
        <v>198</v>
      </c>
      <c r="B15" s="64" t="s">
        <v>204</v>
      </c>
      <c r="C15" s="1"/>
      <c r="D15" s="1"/>
      <c r="E15" s="116">
        <f>SUM(F15:I15)</f>
        <v>0</v>
      </c>
      <c r="F15" s="116"/>
      <c r="G15" s="11"/>
      <c r="H15" s="12">
        <f>+'Distribución por línea'!C186</f>
      </c>
      <c r="I15" s="117"/>
      <c r="J15" s="115"/>
      <c r="K15" s="1"/>
    </row>
    <row r="16" spans="1:11" x14ac:dyDescent="0.25">
      <c r="A16" s="6" t="s">
        <v>198</v>
      </c>
      <c r="B16" s="64" t="s">
        <v>205</v>
      </c>
      <c r="C16" s="1"/>
      <c r="D16" s="1"/>
      <c r="E16" s="116">
        <f>SUM(F16:I16)</f>
        <v>21.03</v>
      </c>
      <c r="F16" s="116"/>
      <c r="G16" s="11"/>
      <c r="H16" s="12">
        <f>+'Distribución por línea'!C123+'Distribución por línea'!C120</f>
        <v>21.03</v>
      </c>
      <c r="I16" s="117"/>
      <c r="J16" s="115"/>
      <c r="K16" s="1"/>
    </row>
    <row r="17" spans="1:11" x14ac:dyDescent="0.25">
      <c r="A17" s="6" t="s">
        <v>198</v>
      </c>
      <c r="B17" s="64" t="s">
        <v>206</v>
      </c>
      <c r="C17" s="1"/>
      <c r="D17" s="1"/>
      <c r="E17" s="116">
        <f>SUM(F17:I17)</f>
        <v>0</v>
      </c>
      <c r="F17" s="116"/>
      <c r="G17" s="11"/>
      <c r="H17" s="12">
        <f>+'Distribución por línea'!C160</f>
      </c>
      <c r="I17" s="117"/>
      <c r="J17" s="115"/>
      <c r="K17" s="1"/>
    </row>
    <row r="18" spans="1:11" x14ac:dyDescent="0.25">
      <c r="A18" s="6" t="s">
        <v>198</v>
      </c>
      <c r="B18" s="64" t="s">
        <v>207</v>
      </c>
      <c r="C18" s="1"/>
      <c r="D18" s="1"/>
      <c r="E18" s="116">
        <f>SUM(F18:I18)</f>
        <v>0</v>
      </c>
      <c r="F18" s="116"/>
      <c r="G18" s="11"/>
      <c r="H18" s="12">
        <f>+'Distribución por línea'!C170</f>
      </c>
      <c r="I18" s="117"/>
      <c r="J18" s="115"/>
      <c r="K18" s="1"/>
    </row>
    <row r="19" spans="1:11" x14ac:dyDescent="0.25">
      <c r="A19" s="6" t="s">
        <v>198</v>
      </c>
      <c r="B19" s="64" t="s">
        <v>208</v>
      </c>
      <c r="C19" s="1"/>
      <c r="D19" s="1"/>
      <c r="E19" s="116">
        <f>SUM(F19:I19)</f>
        <v>0</v>
      </c>
      <c r="F19" s="116"/>
      <c r="G19" s="11"/>
      <c r="H19" s="12">
        <f>+'Distribución por línea'!C171+'Distribución por línea'!C172</f>
      </c>
      <c r="I19" s="117"/>
      <c r="J19" s="115"/>
      <c r="K19" s="1"/>
    </row>
    <row r="20" spans="1:11" x14ac:dyDescent="0.25">
      <c r="A20" s="6" t="s">
        <v>198</v>
      </c>
      <c r="B20" s="64" t="s">
        <v>157</v>
      </c>
      <c r="C20" s="1"/>
      <c r="D20" s="1"/>
      <c r="E20" s="116">
        <f>SUM(F20:I20)</f>
        <v>12378.869999999895</v>
      </c>
      <c r="F20" s="116">
        <f>+'Anexo I'!I24</f>
        <v>12378.869999999895</v>
      </c>
      <c r="G20" s="11"/>
      <c r="H20" s="12"/>
      <c r="I20" s="117"/>
      <c r="J20" s="115"/>
      <c r="K20" s="1"/>
    </row>
    <row r="21" spans="1:11" x14ac:dyDescent="0.25">
      <c r="A21" s="6" t="s">
        <v>198</v>
      </c>
      <c r="B21" s="64" t="s">
        <v>209</v>
      </c>
      <c r="C21" s="1"/>
      <c r="D21" s="1"/>
      <c r="E21" s="116">
        <f>SUM(F21:I21)</f>
        <v>46687.64</v>
      </c>
      <c r="F21" s="116">
        <f>+'Distribución por línea'!C117</f>
        <v>10000.93</v>
      </c>
      <c r="G21" s="11"/>
      <c r="H21" s="12">
        <f>+'Distribución por línea'!C192</f>
        <v>36686.71</v>
      </c>
      <c r="I21" s="117"/>
      <c r="J21" s="115"/>
      <c r="K21" s="1"/>
    </row>
    <row r="22" spans="1:11" x14ac:dyDescent="0.25">
      <c r="A22" s="6" t="s">
        <v>198</v>
      </c>
      <c r="B22" s="64" t="s">
        <v>210</v>
      </c>
      <c r="C22" s="1"/>
      <c r="D22" s="1"/>
      <c r="E22" s="116">
        <f>SUM(F22:I22)</f>
        <v>34732.29</v>
      </c>
      <c r="F22" s="116"/>
      <c r="G22" s="11"/>
      <c r="H22" s="12">
        <f>+'Distribución por línea'!C157+'Distribución por línea'!C222+'Distribución por línea'!C223+'Distribución por línea'!C229</f>
        <v>34732.29</v>
      </c>
      <c r="I22" s="117"/>
      <c r="J22" s="115"/>
      <c r="K22" s="1"/>
    </row>
    <row r="23" spans="1:11" x14ac:dyDescent="0.25">
      <c r="A23" s="6" t="s">
        <v>198</v>
      </c>
      <c r="B23" s="64" t="s">
        <v>211</v>
      </c>
      <c r="C23" s="1"/>
      <c r="D23" s="1"/>
      <c r="E23" s="116">
        <f>SUM(F23:I23)</f>
        <v>0</v>
      </c>
      <c r="F23" s="116"/>
      <c r="G23" s="11"/>
      <c r="H23" s="12">
        <f>+'Distribución por línea'!C187</f>
      </c>
      <c r="I23" s="117"/>
      <c r="J23" s="115"/>
      <c r="K23" s="1"/>
    </row>
    <row r="24" spans="1:11" x14ac:dyDescent="0.25">
      <c r="A24" s="6" t="s">
        <v>198</v>
      </c>
      <c r="B24" s="64" t="s">
        <v>212</v>
      </c>
      <c r="C24" s="1"/>
      <c r="D24" s="1"/>
      <c r="E24" s="116">
        <f>SUM(F24:I24)</f>
        <v>0</v>
      </c>
      <c r="F24" s="116">
        <f>+'Distribución por línea'!C127</f>
      </c>
      <c r="G24" s="11"/>
      <c r="H24" s="12"/>
      <c r="I24" s="117"/>
      <c r="J24" s="115"/>
      <c r="K24" s="1"/>
    </row>
    <row r="25" spans="1:11" x14ac:dyDescent="0.25">
      <c r="A25" s="6" t="s">
        <v>198</v>
      </c>
      <c r="B25" s="64" t="s">
        <v>213</v>
      </c>
      <c r="C25" s="1"/>
      <c r="D25" s="1"/>
      <c r="E25" s="116">
        <f>SUM(F25:I25)</f>
        <v>6051.11</v>
      </c>
      <c r="F25" s="116"/>
      <c r="G25" s="11"/>
      <c r="H25" s="12">
        <f>+'Distribución por línea'!C169</f>
        <v>6051.11</v>
      </c>
      <c r="I25" s="117"/>
      <c r="J25" s="115"/>
      <c r="K25" s="1"/>
    </row>
    <row r="26" spans="1:11" x14ac:dyDescent="0.25">
      <c r="A26" s="6" t="s">
        <v>198</v>
      </c>
      <c r="B26" s="64" t="s">
        <v>214</v>
      </c>
      <c r="C26" s="1"/>
      <c r="D26" s="1"/>
      <c r="E26" s="116">
        <f>SUM(F26:I26)</f>
        <v>19390</v>
      </c>
      <c r="F26" s="116"/>
      <c r="G26" s="11"/>
      <c r="H26" s="12">
        <f>+'Distribución por línea'!C165</f>
        <v>19390</v>
      </c>
      <c r="I26" s="117"/>
      <c r="J26" s="115"/>
      <c r="K26" s="1"/>
    </row>
    <row r="27" spans="1:11" x14ac:dyDescent="0.25">
      <c r="A27" s="6" t="s">
        <v>198</v>
      </c>
      <c r="B27" s="64" t="s">
        <v>215</v>
      </c>
      <c r="C27" s="1"/>
      <c r="D27" s="1"/>
      <c r="E27" s="116">
        <f>SUM(F27:I27)</f>
        <v>0</v>
      </c>
      <c r="F27" s="116"/>
      <c r="G27" s="11"/>
      <c r="H27" s="12"/>
      <c r="I27" s="117"/>
      <c r="J27" s="115"/>
      <c r="K27" s="1"/>
    </row>
    <row r="28" spans="1:11" x14ac:dyDescent="0.25">
      <c r="A28" s="6" t="s">
        <v>198</v>
      </c>
      <c r="B28" s="64" t="s">
        <v>216</v>
      </c>
      <c r="C28" s="1"/>
      <c r="D28" s="1"/>
      <c r="E28" s="116">
        <f>SUM(F28:I28)</f>
        <v>5298.39</v>
      </c>
      <c r="F28" s="12">
        <f>+'Distribución por línea'!C168</f>
        <v>5298.39</v>
      </c>
      <c r="G28" s="11"/>
      <c r="H28" s="1"/>
      <c r="I28" s="117"/>
      <c r="J28" s="115"/>
      <c r="K28" s="1"/>
    </row>
    <row r="29" spans="1:11" x14ac:dyDescent="0.25">
      <c r="A29" s="6" t="s">
        <v>198</v>
      </c>
      <c r="B29" s="64" t="s">
        <v>217</v>
      </c>
      <c r="C29" s="1"/>
      <c r="D29" s="1"/>
      <c r="E29" s="116">
        <f>SUM(F29:I29)</f>
        <v>0</v>
      </c>
      <c r="F29" s="116"/>
      <c r="G29" s="11"/>
      <c r="H29" s="12">
        <v>0</v>
      </c>
      <c r="I29" s="117"/>
      <c r="J29" s="115"/>
      <c r="K29" s="1"/>
    </row>
    <row r="30" spans="1:11" x14ac:dyDescent="0.25">
      <c r="A30" s="6" t="s">
        <v>198</v>
      </c>
      <c r="B30" s="64" t="s">
        <v>218</v>
      </c>
      <c r="C30" s="1"/>
      <c r="D30" s="1"/>
      <c r="E30" s="116">
        <f>SUM(F30:I30)</f>
        <v>0</v>
      </c>
      <c r="F30" s="116"/>
      <c r="G30" s="11"/>
      <c r="H30" s="12">
        <f>+'Distribución por línea'!C159</f>
      </c>
      <c r="I30" s="117"/>
      <c r="J30" s="115"/>
      <c r="K30" s="1"/>
    </row>
    <row r="31" spans="1:11" x14ac:dyDescent="0.25">
      <c r="A31" s="6" t="s">
        <v>198</v>
      </c>
      <c r="B31" s="64" t="s">
        <v>219</v>
      </c>
      <c r="C31" s="1"/>
      <c r="D31" s="1"/>
      <c r="E31" s="116">
        <f>SUM(F31:I31)</f>
        <v>0</v>
      </c>
      <c r="F31" s="116">
        <f>+'Distribución por línea'!C139</f>
      </c>
      <c r="G31" s="11"/>
      <c r="H31" s="12"/>
      <c r="I31" s="117"/>
      <c r="J31" s="115"/>
      <c r="K31" s="1"/>
    </row>
    <row r="32" spans="1:11" x14ac:dyDescent="0.25">
      <c r="A32" s="6" t="s">
        <v>198</v>
      </c>
      <c r="B32" s="64" t="s">
        <v>220</v>
      </c>
      <c r="C32" s="1"/>
      <c r="D32" s="1"/>
      <c r="E32" s="116">
        <f>SUM(F32:I32)</f>
        <v>0</v>
      </c>
      <c r="F32" s="116"/>
      <c r="G32" s="11"/>
      <c r="H32" s="12">
        <f>+'Distribución por línea'!C195</f>
      </c>
      <c r="I32" s="117"/>
      <c r="J32" s="115"/>
      <c r="K32" s="1"/>
    </row>
    <row r="33" spans="1:11" x14ac:dyDescent="0.25">
      <c r="A33" s="6" t="s">
        <v>198</v>
      </c>
      <c r="B33" s="64" t="s">
        <v>221</v>
      </c>
      <c r="C33" s="1"/>
      <c r="D33" s="1"/>
      <c r="E33" s="116">
        <f>SUM(F33:I33)</f>
        <v>0</v>
      </c>
      <c r="F33" s="12">
        <f>+'Distribución por línea'!C204</f>
      </c>
      <c r="G33" s="11"/>
      <c r="H33" s="1"/>
      <c r="I33" s="117"/>
      <c r="J33" s="115"/>
      <c r="K33" s="1"/>
    </row>
    <row r="34" spans="1:11" x14ac:dyDescent="0.25">
      <c r="A34" s="6" t="s">
        <v>198</v>
      </c>
      <c r="B34" s="64" t="s">
        <v>222</v>
      </c>
      <c r="C34" s="1"/>
      <c r="D34" s="1"/>
      <c r="E34" s="116">
        <f>SUM(F34:I34)</f>
        <v>346.02</v>
      </c>
      <c r="F34" s="118">
        <f>+'Distribución por línea'!C188</f>
        <v>346.02</v>
      </c>
      <c r="G34" s="11"/>
      <c r="H34" s="12"/>
      <c r="I34" s="117"/>
      <c r="J34" s="115"/>
      <c r="K34" s="1"/>
    </row>
    <row r="35" spans="1:11" x14ac:dyDescent="0.25">
      <c r="A35" s="6" t="s">
        <v>198</v>
      </c>
      <c r="B35" s="1" t="s">
        <v>223</v>
      </c>
      <c r="C35" s="1"/>
      <c r="D35" s="1"/>
      <c r="E35" s="116">
        <f>SUM(F35:I35)</f>
        <v>6613.93</v>
      </c>
      <c r="F35" s="118">
        <f>+'Distribución por línea'!C146</f>
        <v>6613.93</v>
      </c>
      <c r="G35" s="11"/>
      <c r="H35" s="12"/>
      <c r="I35" s="117"/>
      <c r="J35" s="115"/>
      <c r="K35" s="1"/>
    </row>
    <row r="36" spans="1:11" x14ac:dyDescent="0.25">
      <c r="A36" s="6" t="s">
        <v>198</v>
      </c>
      <c r="B36" s="1" t="s">
        <v>224</v>
      </c>
      <c r="C36" s="1"/>
      <c r="D36" s="1"/>
      <c r="E36" s="116">
        <f>SUM(F36:I36)</f>
        <v>7585.25</v>
      </c>
      <c r="F36" s="116">
        <f>+'Distribución por línea'!C131+'Distribución por línea'!C124+'Distribución por línea'!C200</f>
        <v>7585.25</v>
      </c>
      <c r="G36" s="11"/>
      <c r="H36" s="119"/>
      <c r="I36" s="117"/>
      <c r="J36" s="115"/>
      <c r="K36" s="1"/>
    </row>
    <row r="37" spans="1:11" x14ac:dyDescent="0.25">
      <c r="A37" s="6" t="s">
        <v>198</v>
      </c>
      <c r="B37" s="64" t="s">
        <v>225</v>
      </c>
      <c r="C37" s="1"/>
      <c r="D37" s="1"/>
      <c r="E37" s="116">
        <f>SUM(F37:I37)</f>
        <v>10991.7</v>
      </c>
      <c r="F37" s="12">
        <f>+'Distribución por línea'!C203</f>
        <v>10991.7</v>
      </c>
      <c r="G37" s="11"/>
      <c r="H37" s="1"/>
      <c r="I37" s="117"/>
      <c r="J37" s="115"/>
      <c r="K37" s="1"/>
    </row>
    <row r="38" spans="1:11" x14ac:dyDescent="0.25">
      <c r="A38" s="6" t="s">
        <v>198</v>
      </c>
      <c r="B38" s="64" t="s">
        <v>226</v>
      </c>
      <c r="C38" s="1"/>
      <c r="D38" s="1"/>
      <c r="E38" s="116">
        <f>SUM(F38:I38)</f>
        <v>0</v>
      </c>
      <c r="F38" s="116"/>
      <c r="G38" s="11"/>
      <c r="H38" s="12">
        <f>+'Distribución por línea'!C196</f>
      </c>
      <c r="I38" s="117"/>
      <c r="J38" s="115"/>
      <c r="K38" s="1"/>
    </row>
    <row r="39" spans="1:11" x14ac:dyDescent="0.25">
      <c r="A39" s="6" t="s">
        <v>198</v>
      </c>
      <c r="B39" s="64" t="s">
        <v>227</v>
      </c>
      <c r="C39" s="8"/>
      <c r="D39" s="1"/>
      <c r="E39" s="116">
        <f>SUM(F39:I39)</f>
        <v>6055.09</v>
      </c>
      <c r="F39" s="116"/>
      <c r="G39" s="11"/>
      <c r="H39" s="12">
        <f>+'Distribución por línea'!C198</f>
        <v>6055.09</v>
      </c>
      <c r="I39" s="117"/>
      <c r="J39" s="115"/>
      <c r="K39" s="1"/>
    </row>
    <row r="40" spans="1:11" x14ac:dyDescent="0.25">
      <c r="A40" s="6" t="s">
        <v>198</v>
      </c>
      <c r="B40" s="1" t="s">
        <v>228</v>
      </c>
      <c r="C40" s="1"/>
      <c r="D40" s="1"/>
      <c r="E40" s="116">
        <f>SUM(F40:I40)</f>
        <v>3543.26</v>
      </c>
      <c r="F40" s="116"/>
      <c r="G40" s="11"/>
      <c r="H40" s="11">
        <f>+'Distribución por línea'!C132</f>
        <v>3543.26</v>
      </c>
      <c r="I40" s="117"/>
      <c r="J40" s="115"/>
      <c r="K40" s="1"/>
    </row>
    <row r="41" spans="1:11" x14ac:dyDescent="0.25">
      <c r="A41" s="6" t="s">
        <v>198</v>
      </c>
      <c r="B41" s="1" t="s">
        <v>229</v>
      </c>
      <c r="C41" s="1"/>
      <c r="D41" s="1"/>
      <c r="E41" s="116">
        <f>SUM(F41:I41)</f>
        <v>0</v>
      </c>
      <c r="F41" s="116"/>
      <c r="G41" s="11"/>
      <c r="H41" s="12">
        <f>+'Distribución por línea'!C138</f>
      </c>
      <c r="I41" s="117"/>
      <c r="J41" s="115"/>
      <c r="K41" s="1"/>
    </row>
    <row r="42" spans="1:11" x14ac:dyDescent="0.25">
      <c r="A42" s="6" t="s">
        <v>198</v>
      </c>
      <c r="B42" s="1" t="s">
        <v>230</v>
      </c>
      <c r="C42" s="1"/>
      <c r="D42" s="1"/>
      <c r="E42" s="116">
        <f>SUM(F42:I42)</f>
        <v>0</v>
      </c>
      <c r="F42" s="116"/>
      <c r="G42" s="11"/>
      <c r="H42" s="12">
        <f>+'Distribución por línea'!C173</f>
      </c>
      <c r="I42" s="117"/>
      <c r="J42" s="115"/>
      <c r="K42" s="1"/>
    </row>
    <row r="43" spans="1:11" x14ac:dyDescent="0.25">
      <c r="A43" s="6" t="s">
        <v>198</v>
      </c>
      <c r="B43" s="1" t="s">
        <v>231</v>
      </c>
      <c r="C43" s="1"/>
      <c r="D43" s="1"/>
      <c r="E43" s="116">
        <f>SUM(F43:I43)</f>
        <v>13.29</v>
      </c>
      <c r="F43" s="116"/>
      <c r="G43" s="11"/>
      <c r="H43" s="12">
        <f>+'Distribución por línea'!C161</f>
        <v>13.29</v>
      </c>
      <c r="I43" s="117"/>
      <c r="J43" s="115"/>
      <c r="K43" s="1"/>
    </row>
    <row r="44" spans="1:11" x14ac:dyDescent="0.25">
      <c r="A44" s="6" t="s">
        <v>198</v>
      </c>
      <c r="B44" s="1" t="s">
        <v>232</v>
      </c>
      <c r="C44" s="1"/>
      <c r="D44" s="1"/>
      <c r="E44" s="116">
        <f>SUM(F44:I44)</f>
        <v>2811.7</v>
      </c>
      <c r="F44" s="116">
        <f>+'Distribución por línea'!C121</f>
        <v>2811.7</v>
      </c>
      <c r="G44" s="11"/>
      <c r="H44" s="12"/>
      <c r="I44" s="117"/>
      <c r="J44" s="115"/>
      <c r="K44" s="1"/>
    </row>
    <row r="45" spans="1:11" x14ac:dyDescent="0.25">
      <c r="A45" s="6" t="s">
        <v>198</v>
      </c>
      <c r="B45" s="1" t="s">
        <v>233</v>
      </c>
      <c r="C45" s="1"/>
      <c r="D45" s="1"/>
      <c r="E45" s="116">
        <f>SUM(F45:I45)</f>
        <v>0</v>
      </c>
      <c r="F45" s="116"/>
      <c r="G45" s="11"/>
      <c r="H45" s="12"/>
      <c r="I45" s="117"/>
      <c r="J45" s="115"/>
      <c r="K45" s="1"/>
    </row>
    <row r="46" spans="1:11" x14ac:dyDescent="0.25">
      <c r="A46" s="6" t="s">
        <v>198</v>
      </c>
      <c r="B46" s="1" t="s">
        <v>234</v>
      </c>
      <c r="C46" s="1"/>
      <c r="D46" s="1"/>
      <c r="E46" s="116">
        <f>SUM(F46:I46)</f>
        <v>0</v>
      </c>
      <c r="F46" s="116">
        <f>+'Distribución por línea'!C202</f>
      </c>
      <c r="G46" s="11"/>
      <c r="H46" s="12"/>
      <c r="I46" s="117"/>
      <c r="J46" s="115"/>
      <c r="K46" s="1"/>
    </row>
    <row r="47" spans="1:11" x14ac:dyDescent="0.25">
      <c r="A47" s="6" t="s">
        <v>198</v>
      </c>
      <c r="B47" s="1" t="s">
        <v>235</v>
      </c>
      <c r="C47" s="1"/>
      <c r="D47" s="1"/>
      <c r="E47" s="116">
        <f>SUM(F47:I47)</f>
        <v>0</v>
      </c>
      <c r="F47" s="1"/>
      <c r="G47" s="11"/>
      <c r="H47" s="116">
        <f>+'Distribución por línea'!C143</f>
      </c>
      <c r="I47" s="117"/>
      <c r="J47" s="115"/>
      <c r="K47" s="1"/>
    </row>
    <row r="48" spans="1:11" x14ac:dyDescent="0.25">
      <c r="A48" s="6" t="s">
        <v>198</v>
      </c>
      <c r="B48" s="1" t="s">
        <v>236</v>
      </c>
      <c r="C48" s="1"/>
      <c r="D48" s="1"/>
      <c r="E48" s="116">
        <f>SUM(F48:I48)</f>
        <v>165115.85</v>
      </c>
      <c r="F48" s="116"/>
      <c r="G48" s="11"/>
      <c r="H48" s="12">
        <f>+'Distribución por línea'!C189+'Distribución por línea'!C216</f>
        <v>165115.85</v>
      </c>
      <c r="I48" s="117"/>
      <c r="J48" s="115"/>
      <c r="K48" s="1"/>
    </row>
    <row r="49" spans="1:11" x14ac:dyDescent="0.25">
      <c r="A49" s="6" t="s">
        <v>198</v>
      </c>
      <c r="B49" s="1" t="s">
        <v>237</v>
      </c>
      <c r="C49" s="1"/>
      <c r="D49" s="1"/>
      <c r="E49" s="116">
        <f>SUM(F49:I49)</f>
        <v>0</v>
      </c>
      <c r="F49" s="116">
        <f>+'Distribución por línea'!C136</f>
      </c>
      <c r="G49" s="11"/>
      <c r="H49" s="12"/>
      <c r="I49" s="117"/>
      <c r="J49" s="115"/>
      <c r="K49" s="1"/>
    </row>
    <row r="50" spans="1:11" x14ac:dyDescent="0.25">
      <c r="A50" s="6" t="s">
        <v>198</v>
      </c>
      <c r="B50" s="64" t="s">
        <v>238</v>
      </c>
      <c r="C50" s="1"/>
      <c r="D50" s="1"/>
      <c r="E50" s="116">
        <f>SUM(F50:I50)</f>
        <v>10257.79</v>
      </c>
      <c r="F50" s="12">
        <f>+'Distribución por línea'!C199</f>
        <v>10257.79</v>
      </c>
      <c r="G50" s="11"/>
      <c r="H50" s="1"/>
      <c r="I50" s="117"/>
      <c r="J50" s="115"/>
      <c r="K50" s="8"/>
    </row>
    <row r="51" spans="1:11" x14ac:dyDescent="0.25">
      <c r="A51" s="6" t="s">
        <v>198</v>
      </c>
      <c r="B51" s="64" t="s">
        <v>239</v>
      </c>
      <c r="C51" s="1"/>
      <c r="D51" s="1"/>
      <c r="E51" s="116">
        <f>SUM(F51:I51)</f>
        <v>0</v>
      </c>
      <c r="F51" s="116"/>
      <c r="G51" s="11"/>
      <c r="H51" s="12">
        <f>+'Distribución por línea'!C135</f>
      </c>
      <c r="I51" s="117"/>
      <c r="J51" s="115"/>
      <c r="K51" s="1"/>
    </row>
    <row r="52" spans="1:11" x14ac:dyDescent="0.25">
      <c r="A52" s="6" t="s">
        <v>198</v>
      </c>
      <c r="B52" s="64" t="s">
        <v>240</v>
      </c>
      <c r="C52" s="1"/>
      <c r="D52" s="1"/>
      <c r="E52" s="116">
        <f>SUM(F52:I52)</f>
        <v>6455.22</v>
      </c>
      <c r="F52" s="116">
        <f>+'Distribución por línea'!C134+'Distribución por línea'!C174+'Distribución por línea'!C180+'Distribución por línea'!C183+'Distribución por línea'!C218</f>
        <v>6455.22</v>
      </c>
      <c r="G52" s="11"/>
      <c r="H52" s="12">
        <v>0</v>
      </c>
      <c r="I52" s="117"/>
      <c r="J52" s="115"/>
      <c r="K52" s="1"/>
    </row>
    <row r="53" spans="1:11" x14ac:dyDescent="0.25">
      <c r="A53" s="6" t="s">
        <v>198</v>
      </c>
      <c r="B53" s="64" t="s">
        <v>241</v>
      </c>
      <c r="C53" s="1"/>
      <c r="D53" s="1"/>
      <c r="E53" s="116">
        <f>SUM(F53:I53)</f>
        <v>4667.97</v>
      </c>
      <c r="F53" s="116"/>
      <c r="G53" s="11"/>
      <c r="H53" s="12">
        <f>+'Distribución por línea'!C155+'Distribución por línea'!C184</f>
        <v>4667.97</v>
      </c>
      <c r="I53" s="117"/>
      <c r="J53" s="115"/>
      <c r="K53" s="1"/>
    </row>
    <row r="54" spans="1:11" x14ac:dyDescent="0.25">
      <c r="A54" s="6" t="s">
        <v>198</v>
      </c>
      <c r="B54" s="64" t="s">
        <v>242</v>
      </c>
      <c r="C54" s="1"/>
      <c r="D54" s="1"/>
      <c r="E54" s="116">
        <f>SUM(F54:I54)</f>
        <v>0</v>
      </c>
      <c r="F54" s="116"/>
      <c r="G54" s="11"/>
      <c r="H54" s="12">
        <f>+'Distribución por línea'!C158</f>
      </c>
      <c r="I54" s="117"/>
      <c r="J54" s="115"/>
      <c r="K54" s="1"/>
    </row>
    <row r="55" spans="1:11" x14ac:dyDescent="0.25">
      <c r="A55" s="6" t="s">
        <v>198</v>
      </c>
      <c r="B55" s="1" t="s">
        <v>243</v>
      </c>
      <c r="C55" s="1"/>
      <c r="D55" s="1"/>
      <c r="E55" s="116">
        <f>SUM(F55:I55)</f>
        <v>0</v>
      </c>
      <c r="F55" s="116">
        <f>+'Distribución por línea'!C113</f>
      </c>
      <c r="G55" s="11"/>
      <c r="H55" s="12"/>
      <c r="I55" s="117"/>
      <c r="J55" s="115"/>
      <c r="K55" s="1"/>
    </row>
    <row r="56" spans="1:11" x14ac:dyDescent="0.25">
      <c r="A56" s="6" t="s">
        <v>198</v>
      </c>
      <c r="B56" s="1" t="s">
        <v>244</v>
      </c>
      <c r="C56" s="1"/>
      <c r="D56" s="1"/>
      <c r="E56" s="116">
        <f>SUM(F56:I56)</f>
        <v>119655.77</v>
      </c>
      <c r="F56" s="116">
        <f>+'Distribución por línea'!C114</f>
        <v>119655.77</v>
      </c>
      <c r="G56" s="11"/>
      <c r="H56" s="12"/>
      <c r="I56" s="117"/>
      <c r="J56" s="115"/>
      <c r="K56" s="1"/>
    </row>
    <row r="57" spans="1:11" x14ac:dyDescent="0.25">
      <c r="A57" s="6" t="s">
        <v>198</v>
      </c>
      <c r="B57" s="1" t="s">
        <v>245</v>
      </c>
      <c r="C57" s="1"/>
      <c r="D57" s="1"/>
      <c r="E57" s="116">
        <f>SUM(F57:I57)</f>
        <v>15857.28</v>
      </c>
      <c r="F57" s="118">
        <f>+'Distribución por línea'!C147</f>
        <v>15857.28</v>
      </c>
      <c r="G57" s="11"/>
      <c r="H57" s="12"/>
      <c r="I57" s="117"/>
      <c r="J57" s="115"/>
      <c r="K57" s="1"/>
    </row>
    <row r="58" spans="1:11" x14ac:dyDescent="0.25">
      <c r="A58" s="6" t="s">
        <v>198</v>
      </c>
      <c r="B58" s="1" t="s">
        <v>246</v>
      </c>
      <c r="C58" s="1"/>
      <c r="D58" s="1"/>
      <c r="E58" s="116">
        <f>SUM(F58:I58)</f>
        <v>0</v>
      </c>
      <c r="F58" s="118">
        <f>+'Distribución por línea'!C148+'Distribución por línea'!C151+'Distribución por línea'!C122</f>
      </c>
      <c r="G58" s="11"/>
      <c r="H58" s="12"/>
      <c r="I58" s="117"/>
      <c r="J58" s="115"/>
      <c r="K58" s="1"/>
    </row>
    <row r="59" spans="1:11" x14ac:dyDescent="0.25">
      <c r="A59" s="6" t="s">
        <v>198</v>
      </c>
      <c r="B59" s="1" t="s">
        <v>247</v>
      </c>
      <c r="C59" s="1"/>
      <c r="D59" s="1"/>
      <c r="E59" s="116">
        <f>SUM(F59:I59)</f>
        <v>8215.17</v>
      </c>
      <c r="F59" s="12">
        <f>+'Distribución por línea'!C152+'Distribución por línea'!C115+'Distribución por línea'!C153+'Distribución por línea'!C220+'Distribución por línea'!C225</f>
        <v>8215.17</v>
      </c>
      <c r="G59" s="11"/>
      <c r="H59" s="1"/>
      <c r="I59" s="117"/>
      <c r="J59" s="115"/>
      <c r="K59" s="1"/>
    </row>
    <row r="60" spans="1:11" x14ac:dyDescent="0.25">
      <c r="A60" s="6" t="s">
        <v>198</v>
      </c>
      <c r="B60" s="1" t="s">
        <v>248</v>
      </c>
      <c r="C60" s="1"/>
      <c r="D60" s="1"/>
      <c r="E60" s="116">
        <f>SUM(F60:I60)</f>
        <v>0</v>
      </c>
      <c r="F60" s="12">
        <f>+'Distribución por línea'!C230</f>
      </c>
      <c r="G60" s="11"/>
      <c r="H60" s="1"/>
      <c r="I60" s="117"/>
      <c r="J60" s="115"/>
      <c r="K60" s="1"/>
    </row>
    <row r="61" spans="1:11" x14ac:dyDescent="0.25">
      <c r="A61" s="6" t="s">
        <v>198</v>
      </c>
      <c r="B61" s="64" t="s">
        <v>249</v>
      </c>
      <c r="C61" s="1"/>
      <c r="D61" s="1"/>
      <c r="E61" s="116">
        <f>SUM(F61:I61)</f>
        <v>547.37</v>
      </c>
      <c r="F61" s="116">
        <f>+'Distribución por línea'!C193</f>
        <v>547.37</v>
      </c>
      <c r="G61" s="11"/>
      <c r="H61" s="12"/>
      <c r="I61" s="117"/>
      <c r="J61" s="115"/>
      <c r="K61" s="1"/>
    </row>
    <row r="62" spans="1:11" x14ac:dyDescent="0.25">
      <c r="A62" s="6" t="s">
        <v>198</v>
      </c>
      <c r="B62" s="64" t="s">
        <v>250</v>
      </c>
      <c r="C62" s="1"/>
      <c r="D62" s="1"/>
      <c r="E62" s="116">
        <f>SUM(F62:I62)</f>
        <v>0</v>
      </c>
      <c r="F62" s="116"/>
      <c r="G62" s="11"/>
      <c r="H62" s="12">
        <f>+'Distribución por línea'!C154</f>
      </c>
      <c r="I62" s="117"/>
      <c r="J62" s="115"/>
      <c r="K62" s="1"/>
    </row>
    <row r="63" spans="1:11" x14ac:dyDescent="0.25">
      <c r="A63" s="6" t="s">
        <v>198</v>
      </c>
      <c r="B63" s="64" t="s">
        <v>251</v>
      </c>
      <c r="C63" s="1"/>
      <c r="D63" s="1"/>
      <c r="E63" s="116">
        <f>SUM(F63:I63)</f>
        <v>104.17</v>
      </c>
      <c r="F63" s="116">
        <f>+'Distribución por línea'!C142</f>
        <v>104.17</v>
      </c>
      <c r="G63" s="11"/>
      <c r="H63" s="12"/>
      <c r="I63" s="117"/>
      <c r="J63" s="115"/>
      <c r="K63" s="1"/>
    </row>
    <row r="64" spans="1:11" x14ac:dyDescent="0.25">
      <c r="A64" s="6" t="s">
        <v>198</v>
      </c>
      <c r="B64" s="64" t="s">
        <v>252</v>
      </c>
      <c r="C64" s="1"/>
      <c r="D64" s="1"/>
      <c r="E64" s="116">
        <f>SUM(F64:I64)</f>
        <v>62027.53</v>
      </c>
      <c r="F64" s="116">
        <f>+'Distribución por línea'!C118+'Distribución por línea'!C182</f>
        <v>767.75</v>
      </c>
      <c r="G64" s="11"/>
      <c r="H64" s="12">
        <f>+'Distribución por línea'!C163</f>
        <v>61259.78</v>
      </c>
      <c r="I64" s="117"/>
      <c r="J64" s="115"/>
      <c r="K64" s="1"/>
    </row>
    <row r="65" spans="1:11" x14ac:dyDescent="0.25">
      <c r="A65" s="6" t="s">
        <v>198</v>
      </c>
      <c r="B65" s="64" t="s">
        <v>253</v>
      </c>
      <c r="C65" s="1"/>
      <c r="D65" s="1"/>
      <c r="E65" s="116">
        <f>SUM(F65:I65)</f>
        <v>71.64</v>
      </c>
      <c r="F65" s="116"/>
      <c r="G65" s="11"/>
      <c r="H65" s="12">
        <f>+'Distribución por línea'!C140</f>
        <v>71.64</v>
      </c>
      <c r="I65" s="117"/>
      <c r="J65" s="115"/>
      <c r="K65" s="1"/>
    </row>
    <row r="66" spans="1:11" x14ac:dyDescent="0.25">
      <c r="A66" s="6" t="s">
        <v>198</v>
      </c>
      <c r="B66" s="64" t="s">
        <v>254</v>
      </c>
      <c r="C66" s="1"/>
      <c r="D66" s="1"/>
      <c r="E66" s="116">
        <f>SUM(F66:I66)</f>
        <v>0</v>
      </c>
      <c r="F66" s="116">
        <f>+'Distribución por línea'!C206</f>
      </c>
      <c r="G66" s="11"/>
      <c r="H66" s="12"/>
      <c r="I66" s="117"/>
      <c r="J66" s="115"/>
      <c r="K66" s="1"/>
    </row>
    <row r="67" spans="1:11" x14ac:dyDescent="0.25">
      <c r="A67" s="6" t="s">
        <v>198</v>
      </c>
      <c r="B67" s="64" t="s">
        <v>255</v>
      </c>
      <c r="C67" s="1"/>
      <c r="D67" s="1"/>
      <c r="E67" s="116">
        <f>SUM(F67:I67)</f>
        <v>0</v>
      </c>
      <c r="F67" s="116"/>
      <c r="G67" s="11"/>
      <c r="H67" s="12">
        <f>+'Distribución por línea'!C166</f>
      </c>
      <c r="I67" s="117"/>
      <c r="J67" s="115"/>
      <c r="K67" s="1"/>
    </row>
    <row r="68" spans="1:11" x14ac:dyDescent="0.25">
      <c r="A68" s="6" t="s">
        <v>198</v>
      </c>
      <c r="B68" s="64" t="s">
        <v>256</v>
      </c>
      <c r="C68" s="1"/>
      <c r="D68" s="1"/>
      <c r="E68" s="116">
        <f>SUM(F68:I68)</f>
        <v>1487.34</v>
      </c>
      <c r="F68" s="116">
        <f>+'Distribución por línea'!C133</f>
        <v>1487.34</v>
      </c>
      <c r="G68" s="11"/>
      <c r="H68" s="12"/>
      <c r="I68" s="117"/>
      <c r="J68" s="115"/>
      <c r="K68" s="1"/>
    </row>
    <row r="69" spans="1:11" x14ac:dyDescent="0.25">
      <c r="A69" s="6" t="s">
        <v>198</v>
      </c>
      <c r="B69" s="64" t="s">
        <v>257</v>
      </c>
      <c r="C69" s="1"/>
      <c r="D69" s="1"/>
      <c r="E69" s="116">
        <f>SUM(F69:I69)</f>
        <v>0</v>
      </c>
      <c r="F69" s="116"/>
      <c r="G69" s="11"/>
      <c r="H69" s="12">
        <f>+'Distribución por línea'!C179</f>
      </c>
      <c r="I69" s="117"/>
      <c r="J69" s="115"/>
      <c r="K69" s="1"/>
    </row>
    <row r="70" spans="1:11" x14ac:dyDescent="0.25">
      <c r="A70" s="6" t="s">
        <v>198</v>
      </c>
      <c r="B70" s="64" t="s">
        <v>258</v>
      </c>
      <c r="C70" s="1"/>
      <c r="D70" s="1"/>
      <c r="E70" s="116">
        <f>SUM(F70:I70)</f>
        <v>0</v>
      </c>
      <c r="F70" s="116">
        <f>+'Distribución por línea'!C224</f>
      </c>
      <c r="G70" s="11"/>
      <c r="H70" s="12">
        <f>+'Distribución por línea'!C181</f>
      </c>
      <c r="I70" s="117"/>
      <c r="J70" s="115"/>
      <c r="K70" s="1"/>
    </row>
    <row r="71" spans="1:11" x14ac:dyDescent="0.25">
      <c r="A71" s="6" t="s">
        <v>198</v>
      </c>
      <c r="B71" s="64" t="s">
        <v>259</v>
      </c>
      <c r="C71" s="1"/>
      <c r="D71" s="1"/>
      <c r="E71" s="116">
        <f>SUM(F71:I71)</f>
        <v>0</v>
      </c>
      <c r="F71" s="116"/>
      <c r="G71" s="11"/>
      <c r="H71" s="12">
        <f>+'Distribución por línea'!C209</f>
      </c>
      <c r="I71" s="117"/>
      <c r="J71" s="115"/>
      <c r="K71" s="1"/>
    </row>
    <row r="72" spans="1:11" x14ac:dyDescent="0.25">
      <c r="A72" s="6" t="s">
        <v>198</v>
      </c>
      <c r="B72" s="64" t="s">
        <v>260</v>
      </c>
      <c r="C72" s="1"/>
      <c r="D72" s="1"/>
      <c r="E72" s="116">
        <f>SUM(F72:I72)</f>
        <v>0</v>
      </c>
      <c r="F72" s="116">
        <f>+'Distribución por línea'!C137</f>
      </c>
      <c r="G72" s="11"/>
      <c r="H72" s="12"/>
      <c r="I72" s="117"/>
      <c r="J72" s="115"/>
      <c r="K72" s="1"/>
    </row>
    <row r="73" spans="1:11" x14ac:dyDescent="0.25">
      <c r="A73" s="6" t="s">
        <v>198</v>
      </c>
      <c r="B73" s="64" t="s">
        <v>261</v>
      </c>
      <c r="C73" s="1"/>
      <c r="D73" s="1"/>
      <c r="E73" s="116">
        <f>SUM(F73:I73)</f>
        <v>0</v>
      </c>
      <c r="F73" s="116">
        <f>+'Distribución por línea'!C213</f>
      </c>
      <c r="G73" s="11"/>
      <c r="H73" s="12"/>
      <c r="I73" s="117"/>
      <c r="J73" s="115"/>
      <c r="K73" s="1"/>
    </row>
    <row r="74" spans="1:11" x14ac:dyDescent="0.25">
      <c r="A74" s="6" t="s">
        <v>198</v>
      </c>
      <c r="B74" s="1" t="s">
        <v>262</v>
      </c>
      <c r="C74" s="1"/>
      <c r="D74" s="1"/>
      <c r="E74" s="116">
        <f>SUM(F74:I74)</f>
        <v>490.88</v>
      </c>
      <c r="F74" s="11">
        <f>+'Distribución por línea'!C130</f>
        <v>490.88</v>
      </c>
      <c r="G74" s="11"/>
      <c r="H74" s="12"/>
      <c r="I74" s="117"/>
      <c r="J74" s="115"/>
      <c r="K74" s="1"/>
    </row>
    <row r="75" spans="1:11" x14ac:dyDescent="0.25">
      <c r="A75" s="6" t="s">
        <v>198</v>
      </c>
      <c r="B75" s="1" t="s">
        <v>263</v>
      </c>
      <c r="C75" s="1"/>
      <c r="D75" s="1"/>
      <c r="E75" s="116">
        <f>SUM(F75:I75)</f>
        <v>2845.01</v>
      </c>
      <c r="F75" s="12">
        <f>+'Distribución por línea'!C207</f>
        <v>2845.01</v>
      </c>
      <c r="G75" s="11"/>
      <c r="H75" s="1"/>
      <c r="I75" s="117"/>
      <c r="J75" s="115"/>
      <c r="K75" s="1"/>
    </row>
    <row r="76" spans="1:11" x14ac:dyDescent="0.25">
      <c r="A76" s="6" t="s">
        <v>198</v>
      </c>
      <c r="B76" s="1" t="s">
        <v>264</v>
      </c>
      <c r="C76" s="1"/>
      <c r="D76" s="1"/>
      <c r="E76" s="116">
        <f>SUM(F76:I76)</f>
        <v>0</v>
      </c>
      <c r="F76" s="11">
        <f>+'Distribución por línea'!C129</f>
      </c>
      <c r="G76" s="11"/>
      <c r="H76" s="12"/>
      <c r="I76" s="117"/>
      <c r="J76" s="115"/>
      <c r="K76" s="1"/>
    </row>
    <row r="77" spans="1:11" x14ac:dyDescent="0.25">
      <c r="A77" s="6" t="s">
        <v>198</v>
      </c>
      <c r="B77" s="64" t="s">
        <v>265</v>
      </c>
      <c r="C77" s="1"/>
      <c r="D77" s="1"/>
      <c r="E77" s="116">
        <f>SUM(F77:I77)</f>
        <v>13077.95</v>
      </c>
      <c r="F77" s="12">
        <f>+'Distribución por línea'!C194</f>
        <v>13077.95</v>
      </c>
      <c r="G77" s="11"/>
      <c r="H77" s="1"/>
      <c r="I77" s="117"/>
      <c r="J77" s="115"/>
      <c r="K77" s="1"/>
    </row>
    <row r="78" spans="1:11" x14ac:dyDescent="0.25">
      <c r="A78" s="6" t="s">
        <v>198</v>
      </c>
      <c r="B78" s="64" t="s">
        <v>266</v>
      </c>
      <c r="C78" s="1"/>
      <c r="D78" s="1"/>
      <c r="E78" s="116">
        <f>SUM(F78:I78)</f>
        <v>0</v>
      </c>
      <c r="F78" s="12">
        <f>+'Distribución por línea'!C214</f>
      </c>
      <c r="G78" s="11"/>
      <c r="H78" s="1"/>
      <c r="I78" s="117"/>
      <c r="J78" s="115"/>
      <c r="K78" s="1"/>
    </row>
    <row r="79" spans="1:11" x14ac:dyDescent="0.25">
      <c r="A79" s="6" t="s">
        <v>198</v>
      </c>
      <c r="B79" s="64" t="s">
        <v>267</v>
      </c>
      <c r="C79" s="1"/>
      <c r="D79" s="1"/>
      <c r="E79" s="116">
        <f>SUM(F79:I79)</f>
        <v>2925.36</v>
      </c>
      <c r="F79" s="12"/>
      <c r="G79" s="11"/>
      <c r="H79" s="1">
        <f>+'Distribución por línea'!C212</f>
        <v>2925.36</v>
      </c>
      <c r="I79" s="117"/>
      <c r="J79" s="115"/>
      <c r="K79" s="1"/>
    </row>
    <row r="80" spans="1:11" x14ac:dyDescent="0.25">
      <c r="A80" s="6" t="s">
        <v>198</v>
      </c>
      <c r="B80" s="64" t="s">
        <v>268</v>
      </c>
      <c r="C80" s="1"/>
      <c r="D80" s="1"/>
      <c r="E80" s="116">
        <f>SUM(F80:I80)</f>
        <v>0</v>
      </c>
      <c r="F80" s="116"/>
      <c r="G80" s="11"/>
      <c r="H80" s="12">
        <f>+'Distribución por línea'!C162</f>
      </c>
      <c r="I80" s="117"/>
      <c r="J80" s="115"/>
      <c r="K80" s="1"/>
    </row>
    <row r="81" spans="1:11" x14ac:dyDescent="0.25">
      <c r="A81" s="6" t="s">
        <v>198</v>
      </c>
      <c r="B81" s="64" t="s">
        <v>269</v>
      </c>
      <c r="C81" s="1"/>
      <c r="D81" s="1"/>
      <c r="E81" s="116">
        <f>SUM(F81:I81)</f>
        <v>0</v>
      </c>
      <c r="F81" s="116"/>
      <c r="G81" s="11"/>
      <c r="H81" s="12">
        <f>+'Distribución por línea'!C210</f>
      </c>
      <c r="I81" s="117"/>
      <c r="J81" s="115"/>
      <c r="K81" s="1"/>
    </row>
    <row r="82" spans="1:11" x14ac:dyDescent="0.25">
      <c r="A82" s="6" t="s">
        <v>198</v>
      </c>
      <c r="B82" s="64" t="s">
        <v>270</v>
      </c>
      <c r="C82" s="1"/>
      <c r="D82" s="1"/>
      <c r="E82" s="116">
        <f>SUM(F82:I82)</f>
        <v>301316.8</v>
      </c>
      <c r="F82" s="116">
        <f>+'Distribución por línea'!C116</f>
        <v>106476.09</v>
      </c>
      <c r="G82" s="11"/>
      <c r="H82" s="12">
        <f>+'Distribución por línea'!C185</f>
        <v>194840.71</v>
      </c>
      <c r="I82" s="117"/>
      <c r="J82" s="115"/>
      <c r="K82" s="1"/>
    </row>
    <row r="83" spans="1:11" x14ac:dyDescent="0.25">
      <c r="A83" s="6" t="s">
        <v>198</v>
      </c>
      <c r="B83" s="64" t="s">
        <v>271</v>
      </c>
      <c r="C83" s="1"/>
      <c r="D83" s="1"/>
      <c r="E83" s="116">
        <f>SUM(F83:I83)</f>
        <v>2468.76</v>
      </c>
      <c r="F83" s="116"/>
      <c r="G83" s="11"/>
      <c r="H83" s="12">
        <f>+'Distribución por línea'!C201+'Distribución por línea'!C150+'Distribución por línea'!C125+'Distribución por línea'!C191</f>
        <v>2468.76</v>
      </c>
      <c r="I83" s="117"/>
      <c r="J83" s="115"/>
      <c r="K83" s="1"/>
    </row>
    <row r="84" spans="1:11" x14ac:dyDescent="0.25">
      <c r="A84" s="6" t="s">
        <v>198</v>
      </c>
      <c r="B84" s="64" t="s">
        <v>272</v>
      </c>
      <c r="C84" s="1"/>
      <c r="D84" s="1"/>
      <c r="E84" s="116">
        <f>SUM(F84:I84)</f>
        <v>0</v>
      </c>
      <c r="F84" s="116"/>
      <c r="G84" s="11"/>
      <c r="H84" s="12">
        <f>+'Distribución por línea'!C167+'Distribución por línea'!C108</f>
      </c>
      <c r="I84" s="117"/>
      <c r="J84" s="115"/>
      <c r="K84" s="1"/>
    </row>
    <row r="85" spans="1:11" x14ac:dyDescent="0.25">
      <c r="A85" s="6" t="s">
        <v>198</v>
      </c>
      <c r="B85" s="64" t="s">
        <v>273</v>
      </c>
      <c r="C85" s="1"/>
      <c r="D85" s="1"/>
      <c r="E85" s="116">
        <f>SUM(F85:I85)</f>
        <v>0</v>
      </c>
      <c r="F85" s="116">
        <f>+'Distribución por línea'!C145</f>
      </c>
      <c r="G85" s="11"/>
      <c r="H85" s="12"/>
      <c r="I85" s="117"/>
      <c r="J85" s="115"/>
      <c r="K85" s="1"/>
    </row>
    <row r="86" spans="1:11" x14ac:dyDescent="0.25">
      <c r="A86" s="6" t="s">
        <v>198</v>
      </c>
      <c r="B86" s="64" t="s">
        <v>274</v>
      </c>
      <c r="C86" s="1"/>
      <c r="D86" s="1"/>
      <c r="E86" s="116">
        <f>SUM(F86:I86)</f>
        <v>0</v>
      </c>
      <c r="F86" s="116">
        <f>+'Distribución por línea'!C177</f>
      </c>
      <c r="G86" s="11"/>
      <c r="H86" s="12"/>
      <c r="I86" s="117"/>
      <c r="J86" s="115"/>
      <c r="K86" s="1"/>
    </row>
    <row r="87" spans="1:11" x14ac:dyDescent="0.25">
      <c r="A87" s="6" t="s">
        <v>198</v>
      </c>
      <c r="B87" s="64" t="s">
        <v>275</v>
      </c>
      <c r="C87" s="1"/>
      <c r="D87" s="1"/>
      <c r="E87" s="116">
        <f>SUM(F87:I87)</f>
        <v>0</v>
      </c>
      <c r="F87" s="116">
        <f>+'Distribución por línea'!C141</f>
      </c>
      <c r="G87" s="11"/>
      <c r="H87" s="12"/>
      <c r="I87" s="117"/>
      <c r="J87" s="115"/>
      <c r="K87" s="1"/>
    </row>
    <row r="88" spans="1:11" x14ac:dyDescent="0.25">
      <c r="A88" s="6" t="s">
        <v>198</v>
      </c>
      <c r="B88" s="64" t="s">
        <v>276</v>
      </c>
      <c r="C88" s="1"/>
      <c r="D88" s="1"/>
      <c r="E88" s="116">
        <f>SUM(F88:I88)</f>
        <v>0</v>
      </c>
      <c r="F88" s="11">
        <f>+'Distribución por línea'!C119</f>
      </c>
      <c r="G88" s="11"/>
      <c r="H88" s="12"/>
      <c r="I88" s="117"/>
      <c r="J88" s="115"/>
      <c r="K88" s="1"/>
    </row>
    <row r="89" spans="1:11" x14ac:dyDescent="0.25">
      <c r="A89" s="6" t="s">
        <v>198</v>
      </c>
      <c r="B89" s="64" t="s">
        <v>277</v>
      </c>
      <c r="C89" s="1"/>
      <c r="D89" s="1"/>
      <c r="E89" s="116">
        <f>SUM(F89:I89)</f>
        <v>0</v>
      </c>
      <c r="F89" s="11"/>
      <c r="G89" s="11"/>
      <c r="H89" s="12">
        <f>+'Distribución por línea'!C190</f>
      </c>
      <c r="I89" s="117"/>
      <c r="J89" s="115"/>
      <c r="K89" s="1"/>
    </row>
    <row r="90" spans="1:11" x14ac:dyDescent="0.25">
      <c r="A90" s="6" t="s">
        <v>198</v>
      </c>
      <c r="B90" s="64" t="s">
        <v>278</v>
      </c>
      <c r="C90" s="1"/>
      <c r="D90" s="1"/>
      <c r="E90" s="116">
        <f>SUM(F90:I90)</f>
        <v>69.84</v>
      </c>
      <c r="F90" s="11">
        <f>+'Distribución por línea'!C197</f>
        <v>69.84</v>
      </c>
      <c r="G90" s="11"/>
      <c r="H90" s="12"/>
      <c r="I90" s="117"/>
      <c r="J90" s="115"/>
      <c r="K90" s="1"/>
    </row>
    <row r="91" spans="1:11" x14ac:dyDescent="0.25">
      <c r="A91" s="6" t="s">
        <v>198</v>
      </c>
      <c r="B91" s="64" t="s">
        <v>279</v>
      </c>
      <c r="C91" s="1"/>
      <c r="D91" s="1"/>
      <c r="E91" s="116">
        <f>SUM(F91:I91)</f>
        <v>156.87</v>
      </c>
      <c r="F91" s="11"/>
      <c r="G91" s="11"/>
      <c r="H91" s="12">
        <f>+'Distribución por línea'!C211</f>
        <v>156.87</v>
      </c>
      <c r="I91" s="117"/>
      <c r="J91" s="115"/>
      <c r="K91" s="1"/>
    </row>
    <row r="92" spans="1:11" x14ac:dyDescent="0.25">
      <c r="A92" s="6" t="s">
        <v>198</v>
      </c>
      <c r="B92" s="64" t="s">
        <v>280</v>
      </c>
      <c r="C92" s="1"/>
      <c r="D92" s="1"/>
      <c r="E92" s="116">
        <f>SUM(F92:I92)</f>
        <v>4965.52</v>
      </c>
      <c r="F92" s="11">
        <f>+'Distribución por línea'!C232</f>
        <v>4965.52</v>
      </c>
      <c r="G92" s="11"/>
      <c r="H92" s="12"/>
      <c r="I92" s="117"/>
      <c r="J92" s="115"/>
      <c r="K92" s="1"/>
    </row>
    <row r="93" spans="1:11" x14ac:dyDescent="0.25">
      <c r="A93" s="6" t="s">
        <v>198</v>
      </c>
      <c r="B93" s="64" t="s">
        <v>281</v>
      </c>
      <c r="C93" s="1"/>
      <c r="D93" s="1"/>
      <c r="E93" s="116">
        <f>SUM(F93:I93)</f>
        <v>0</v>
      </c>
      <c r="F93" s="11">
        <f>+'Distribución por línea'!C126</f>
      </c>
      <c r="G93" s="11"/>
      <c r="H93" s="12"/>
      <c r="I93" s="117"/>
      <c r="J93" s="115"/>
      <c r="K93" s="1"/>
    </row>
    <row r="94" spans="1:11" x14ac:dyDescent="0.25">
      <c r="A94" s="6" t="s">
        <v>198</v>
      </c>
      <c r="B94" s="64" t="s">
        <v>282</v>
      </c>
      <c r="C94" s="1"/>
      <c r="D94" s="1"/>
      <c r="E94" s="116">
        <f>SUM(F94:I94)</f>
        <v>651.34</v>
      </c>
      <c r="F94" s="11">
        <f>+'Distribución por línea'!C215</f>
        <v>651.34</v>
      </c>
      <c r="G94" s="11"/>
      <c r="H94" s="12"/>
      <c r="I94" s="117"/>
      <c r="J94" s="115"/>
      <c r="K94" s="1"/>
    </row>
    <row r="95" ht="10.5" customHeight="1" spans="1:11" x14ac:dyDescent="0.25">
      <c r="A95" s="6" t="s">
        <v>198</v>
      </c>
      <c r="B95" s="1" t="s">
        <v>283</v>
      </c>
      <c r="C95" s="1"/>
      <c r="D95" s="1"/>
      <c r="E95" s="116">
        <f>SUM(F95:I95)</f>
        <v>-3057.96</v>
      </c>
      <c r="F95" s="116">
        <f>+'Distribución por línea'!C217</f>
        <v>-3057.96</v>
      </c>
      <c r="G95" s="11"/>
      <c r="H95" s="120"/>
      <c r="I95" s="117"/>
      <c r="J95" s="115"/>
      <c r="K95" s="1"/>
    </row>
    <row r="96" ht="10.5" customHeight="1" spans="1:11" x14ac:dyDescent="0.25">
      <c r="A96" s="6" t="s">
        <v>198</v>
      </c>
      <c r="B96" s="1" t="s">
        <v>284</v>
      </c>
      <c r="C96" s="1"/>
      <c r="D96" s="1"/>
      <c r="E96" s="116">
        <f>SUM(F96:I96)</f>
        <v>0</v>
      </c>
      <c r="F96" s="116"/>
      <c r="G96" s="11"/>
      <c r="H96" s="120">
        <f>+'Distribución por línea'!C221</f>
      </c>
      <c r="I96" s="117"/>
      <c r="J96" s="115"/>
      <c r="K96" s="1"/>
    </row>
    <row r="97" ht="10.5" customHeight="1" spans="1:11" x14ac:dyDescent="0.25">
      <c r="A97" s="6" t="s">
        <v>198</v>
      </c>
      <c r="B97" s="1" t="s">
        <v>285</v>
      </c>
      <c r="C97" s="1"/>
      <c r="D97" s="1"/>
      <c r="E97" s="116">
        <f>SUM(F97:I97)</f>
        <v>0</v>
      </c>
      <c r="F97" s="116"/>
      <c r="G97" s="116"/>
      <c r="H97" s="120">
        <f>+'Distribución por línea'!C219</f>
      </c>
      <c r="I97" s="117"/>
      <c r="J97" s="115"/>
      <c r="K97" s="1"/>
    </row>
    <row r="98" ht="10.5" customHeight="1" spans="1:11" x14ac:dyDescent="0.25">
      <c r="A98" s="6" t="s">
        <v>198</v>
      </c>
      <c r="B98" s="1" t="s">
        <v>286</v>
      </c>
      <c r="C98" s="1"/>
      <c r="D98" s="1"/>
      <c r="E98" s="116">
        <f>SUM(F98:I98)</f>
        <v>0</v>
      </c>
      <c r="F98" s="116"/>
      <c r="G98" s="116"/>
      <c r="H98" s="120">
        <f>+'Distribución por línea'!C226</f>
      </c>
      <c r="I98" s="117"/>
      <c r="J98" s="115"/>
      <c r="K98" s="1"/>
    </row>
    <row r="99" ht="10.5" customHeight="1" spans="1:11" x14ac:dyDescent="0.25">
      <c r="A99" s="6" t="s">
        <v>198</v>
      </c>
      <c r="B99" s="1" t="s">
        <v>287</v>
      </c>
      <c r="C99" s="1"/>
      <c r="D99" s="1"/>
      <c r="E99" s="116">
        <f>SUM(F99:I99)</f>
        <v>0</v>
      </c>
      <c r="F99" s="116"/>
      <c r="G99" s="116"/>
      <c r="H99" s="120">
        <f>+'Distribución por línea'!C227</f>
      </c>
      <c r="I99" s="117"/>
      <c r="J99" s="115"/>
      <c r="K99" s="1"/>
    </row>
    <row r="100" ht="10.5" customHeight="1" spans="1:11" x14ac:dyDescent="0.25">
      <c r="A100" s="6" t="s">
        <v>198</v>
      </c>
      <c r="B100" s="1" t="s">
        <v>288</v>
      </c>
      <c r="C100" s="1"/>
      <c r="D100" s="1"/>
      <c r="E100" s="116">
        <f>SUM(F100:I100)</f>
        <v>0</v>
      </c>
      <c r="F100" s="116"/>
      <c r="G100" s="116"/>
      <c r="H100" s="120">
        <f>+'Distribución por línea'!C228</f>
      </c>
      <c r="I100" s="117"/>
      <c r="J100" s="115"/>
      <c r="K100" s="1"/>
    </row>
    <row r="101" ht="10.5" customHeight="1" spans="1:11" x14ac:dyDescent="0.25">
      <c r="A101" s="6" t="s">
        <v>198</v>
      </c>
      <c r="B101" s="1" t="s">
        <v>289</v>
      </c>
      <c r="C101" s="1"/>
      <c r="D101" s="1"/>
      <c r="E101" s="116">
        <f>SUM(F101:I101)</f>
        <v>0</v>
      </c>
      <c r="F101" s="116"/>
      <c r="G101" s="116"/>
      <c r="H101" s="120">
        <f>+'Distribución por línea'!C231</f>
      </c>
      <c r="I101" s="117"/>
      <c r="J101" s="115"/>
      <c r="K101" s="1"/>
    </row>
    <row r="102" ht="10.8" customHeight="1" spans="1:11" x14ac:dyDescent="0.25">
      <c r="A102" s="121"/>
      <c r="B102" s="122" t="str">
        <f>+'Anexo I'!A24</f>
        <v>Saldos al 30.6.2026</v>
      </c>
      <c r="C102" s="122"/>
      <c r="D102" s="122"/>
      <c r="E102" s="123">
        <f>SUM(E10:E101)</f>
        <v>1146743.7400000002</v>
      </c>
      <c r="F102" s="123">
        <f>SUM(F10:F101)</f>
        <v>530007.27</v>
      </c>
      <c r="G102" s="123">
        <f>SUM(G10:G101)</f>
        <v>0</v>
      </c>
      <c r="H102" s="123">
        <f>SUM(H10:H101)</f>
        <v>616736.47</v>
      </c>
      <c r="I102" s="124">
        <f>SUM(I10:J100)</f>
        <v>0</v>
      </c>
      <c r="J102" s="125"/>
      <c r="K102" s="1"/>
    </row>
    <row r="103" ht="10.8" customHeight="1" spans="1:11" x14ac:dyDescent="0.25">
      <c r="A103" s="1" t="s">
        <v>24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25">
      <c r="A104" s="1" t="s">
        <v>25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25">
      <c r="A105" s="1"/>
      <c r="B105" s="1"/>
      <c r="C105" s="1"/>
      <c r="D105" s="1"/>
      <c r="E105" s="12"/>
      <c r="F105" s="1"/>
      <c r="G105" s="12"/>
      <c r="H105" s="1"/>
      <c r="I105" s="1"/>
      <c r="J105" s="1"/>
      <c r="K105" s="1"/>
    </row>
    <row r="106" spans="1:11" x14ac:dyDescent="0.25">
      <c r="A106" s="1"/>
      <c r="B106" s="1"/>
      <c r="C106" s="1"/>
      <c r="D106" s="1"/>
      <c r="E106" s="12"/>
      <c r="F106" s="25"/>
      <c r="G106" s="1"/>
      <c r="H106" s="1"/>
      <c r="I106" s="1"/>
      <c r="J106" s="1"/>
      <c r="K106" s="1"/>
    </row>
    <row r="107" spans="1:1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25">
      <c r="A110" s="1"/>
      <c r="B110" s="1"/>
      <c r="C110" s="1"/>
      <c r="D110" s="25" t="s">
        <v>290</v>
      </c>
      <c r="E110" s="1"/>
      <c r="F110" s="25" t="s">
        <v>27</v>
      </c>
      <c r="G110" s="1"/>
      <c r="H110" s="25" t="str">
        <f>+Balance!K31</f>
        <v>Alejandro Poletto</v>
      </c>
      <c r="I110" s="1"/>
      <c r="J110" s="1"/>
      <c r="K110" s="1"/>
    </row>
    <row r="111" spans="1:11" x14ac:dyDescent="0.25">
      <c r="A111" s="1"/>
      <c r="B111" s="1"/>
      <c r="C111" s="1"/>
      <c r="D111" s="25" t="s">
        <v>291</v>
      </c>
      <c r="E111" s="25"/>
      <c r="F111" s="25" t="s">
        <v>292</v>
      </c>
      <c r="G111" s="25"/>
      <c r="H111" s="25" t="s">
        <v>31</v>
      </c>
      <c r="I111" s="1"/>
      <c r="J111" s="1"/>
      <c r="K111" s="1"/>
    </row>
    <row r="112" spans="1:11" x14ac:dyDescent="0.25">
      <c r="A112" s="1"/>
      <c r="B112" s="1"/>
      <c r="C112" s="1"/>
      <c r="D112" s="25" t="s">
        <v>32</v>
      </c>
      <c r="E112" s="25"/>
      <c r="F112" s="1"/>
      <c r="G112" s="25"/>
      <c r="H112" s="25" t="s">
        <v>33</v>
      </c>
      <c r="I112" s="1"/>
      <c r="J112" s="1"/>
      <c r="K112" s="1"/>
    </row>
  </sheetData>
  <pageMargins left="0.7086614173228347" right="0.5905511811023623" top="1.5748031496062993" bottom="0.984251968503937" header="0.5905511811023623" footer="0"/>
  <pageSetup paperSize="9" orientation="portrait" horizontalDpi="4294967295" verticalDpi="4294967295" scale="65" fitToWidth="1" fitToHeight="1" firstPageNumber="1" useFirstPageNumber="1" copies="1"/>
  <headerFooter>
    <oddHeader>&amp;L&amp;"Book Antiqua,Normal"Southern Copper Argentina SRL.
Tucuman 1
Ciudad Autónoma de Buenos Aires
Nºde Insc.en I.G.J.:11764 del Libro 135 de SRL.
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3"/>
  <sheetViews>
    <sheetView workbookViewId="0" zoomScale="100" zoomScaleNormal="100">
      <selection activeCell="C100" sqref="C100"/>
    </sheetView>
  </sheetViews>
  <sheetFormatPr defaultRowHeight="13.2" outlineLevelRow="0" outlineLevelCol="0" x14ac:dyDescent="0.25" defaultColWidth="11.44140625" customHeight="1"/>
  <cols>
    <col min="1" max="1" width="28.44140625" style="126" customWidth="1"/>
    <col min="2" max="2" width="56.109375" style="127" customWidth="1"/>
    <col min="3" max="3" width="15.33203125" style="128" customWidth="1"/>
    <col min="4" max="4" width="15.5546875" style="129" customWidth="1"/>
    <col min="5" max="5" width="12.88671875" style="129" customWidth="1"/>
    <col min="6" max="6" width="14.6640625" style="129" customWidth="1"/>
    <col min="7" max="7" width="39.33203125" style="129" customWidth="1"/>
    <col min="8" max="8" width="20.6640625" style="127" customWidth="1"/>
    <col min="9" max="16384" width="11.44140625" style="127" customWidth="1"/>
  </cols>
  <sheetData>
    <row r="1" spans="1:10" x14ac:dyDescent="0.25">
      <c r="A1" s="130" t="s">
        <v>293</v>
      </c>
      <c r="B1" s="131" t="s">
        <v>294</v>
      </c>
      <c r="C1" s="132" t="s">
        <v>295</v>
      </c>
      <c r="D1" s="133"/>
      <c r="E1" s="133"/>
      <c r="F1" s="127"/>
      <c r="G1" s="127"/>
      <c r="H1" s="127"/>
      <c r="I1" s="127"/>
      <c r="J1" s="127"/>
    </row>
    <row r="2" spans="1:10" x14ac:dyDescent="0.25">
      <c r="A2" s="134" t="s">
        <v>79</v>
      </c>
      <c r="B2" s="69"/>
      <c r="C2" s="105"/>
      <c r="D2" s="129"/>
      <c r="E2" s="135"/>
      <c r="F2" s="127"/>
      <c r="G2" s="136"/>
      <c r="H2" s="137"/>
      <c r="I2" s="127"/>
      <c r="J2" s="127"/>
    </row>
    <row r="3" spans="1:10" x14ac:dyDescent="0.25">
      <c r="A3" s="138"/>
      <c r="B3" s="64" t="s">
        <v>296</v>
      </c>
      <c r="C3" s="139">
        <f>IFERROR(VLOOKUP(B3,'Balance de sumas y saldos'!A:D,4,FALSE),)</f>
      </c>
      <c r="D3" s="140">
        <v>2677221.3</v>
      </c>
      <c r="E3" s="135"/>
      <c r="F3" s="141">
        <f>+E3-D3</f>
        <v>-2677221.3</v>
      </c>
      <c r="G3" s="136"/>
      <c r="H3" s="137"/>
      <c r="I3" s="127"/>
      <c r="J3" s="127"/>
    </row>
    <row r="4" spans="1:10" x14ac:dyDescent="0.25">
      <c r="A4" s="138"/>
      <c r="B4" s="64" t="s">
        <v>297</v>
      </c>
      <c r="C4" s="139">
        <f>IFERROR(VLOOKUP(B4,'Balance de sumas y saldos'!A:D,4,FALSE),)</f>
        <v>5746.23</v>
      </c>
      <c r="D4" s="142"/>
      <c r="E4" s="143"/>
      <c r="F4" s="129"/>
      <c r="G4" s="136"/>
      <c r="H4" s="137"/>
      <c r="I4" s="127"/>
      <c r="J4" s="127"/>
    </row>
    <row r="5" spans="1:10" x14ac:dyDescent="0.25">
      <c r="A5" s="138"/>
      <c r="B5" s="64" t="s">
        <v>298</v>
      </c>
      <c r="C5" s="139">
        <f>IFERROR(VLOOKUP(B5,'Balance de sumas y saldos'!A:D,4,FALSE),)</f>
        <v>7239.24</v>
      </c>
      <c r="D5" s="65"/>
      <c r="E5" s="135"/>
      <c r="F5" s="65"/>
      <c r="G5" s="136"/>
      <c r="H5" s="137"/>
      <c r="I5" s="127"/>
      <c r="J5" s="127"/>
    </row>
    <row r="6" spans="1:10" x14ac:dyDescent="0.25">
      <c r="A6" s="138"/>
      <c r="B6" s="65" t="s">
        <v>299</v>
      </c>
      <c r="C6" s="139">
        <f>IFERROR(VLOOKUP(B6,'Balance de sumas y saldos'!A:D,4,FALSE),)</f>
        <v>-15.710000000018</v>
      </c>
      <c r="D6" s="65"/>
      <c r="E6" s="143"/>
      <c r="F6" s="65"/>
      <c r="G6" s="136"/>
      <c r="H6" s="137"/>
      <c r="I6" s="127"/>
      <c r="J6" s="127"/>
    </row>
    <row r="7" spans="1:10" x14ac:dyDescent="0.25">
      <c r="A7" s="138"/>
      <c r="B7" s="65" t="s">
        <v>300</v>
      </c>
      <c r="C7" s="139">
        <f>IFERROR(VLOOKUP(B7,'Balance de sumas y saldos'!A:D,4,FALSE),)</f>
        <v>981.500000000146</v>
      </c>
      <c r="D7" s="65"/>
      <c r="E7" s="143"/>
      <c r="F7" s="65"/>
      <c r="G7" s="136"/>
      <c r="H7" s="137"/>
      <c r="I7" s="127"/>
      <c r="J7" s="127"/>
    </row>
    <row r="8" spans="1:10" x14ac:dyDescent="0.25">
      <c r="A8" s="138"/>
      <c r="B8" s="144" t="str">
        <f>+'Balance de sumas y saldos'!A11</f>
        <v>111020002 - Banco Macro Cta. Especial en pesos</v>
      </c>
      <c r="C8" s="139">
        <f>IFERROR(VLOOKUP(B8,'Balance de sumas y saldos'!A:D,4,FALSE),)</f>
      </c>
      <c r="D8" s="65"/>
      <c r="E8" s="143"/>
      <c r="F8" s="65"/>
      <c r="G8" s="136"/>
      <c r="H8" s="137"/>
      <c r="I8" s="127"/>
      <c r="J8" s="127"/>
    </row>
    <row r="9" spans="1:10" x14ac:dyDescent="0.25">
      <c r="A9" s="138"/>
      <c r="B9" s="65" t="s">
        <v>301</v>
      </c>
      <c r="C9" s="139">
        <f>IFERROR(VLOOKUP(B9,'Balance de sumas y saldos'!A:D,4,FALSE),)</f>
        <v>2.66999999999998</v>
      </c>
      <c r="D9" s="65"/>
      <c r="E9" s="143"/>
      <c r="F9" s="65"/>
      <c r="G9" s="136"/>
      <c r="H9" s="137"/>
      <c r="I9" s="127"/>
      <c r="J9" s="127"/>
    </row>
    <row r="10" spans="1:10" x14ac:dyDescent="0.25">
      <c r="A10" s="138"/>
      <c r="B10" s="65" t="s">
        <v>302</v>
      </c>
      <c r="C10" s="139">
        <f>IFERROR(VLOOKUP(B10,'Balance de sumas y saldos'!A:D,4,FALSE),)</f>
      </c>
      <c r="D10" s="65"/>
      <c r="E10" s="105"/>
      <c r="F10" s="65"/>
      <c r="G10" s="136"/>
      <c r="H10" s="137"/>
      <c r="I10" s="127"/>
      <c r="J10" s="127"/>
    </row>
    <row r="11" spans="1:10" x14ac:dyDescent="0.25">
      <c r="A11" s="69"/>
      <c r="B11" s="65" t="s">
        <v>303</v>
      </c>
      <c r="C11" s="139">
        <f>IFERROR(VLOOKUP(B11,'Balance de sumas y saldos'!A:D,4,FALSE),)</f>
      </c>
      <c r="D11" s="142"/>
      <c r="E11" s="135"/>
      <c r="F11" s="65"/>
      <c r="G11" s="136"/>
      <c r="H11" s="137"/>
      <c r="I11" s="127"/>
      <c r="J11" s="127"/>
    </row>
    <row r="12" spans="1:10" x14ac:dyDescent="0.25">
      <c r="A12" s="145"/>
      <c r="B12" s="64" t="s">
        <v>304</v>
      </c>
      <c r="C12" s="139">
        <f>IFERROR(VLOOKUP(B12,'Balance de sumas y saldos'!A:D,4,FALSE),)</f>
      </c>
      <c r="D12" s="142"/>
      <c r="E12" s="135"/>
      <c r="F12" s="65"/>
      <c r="G12" s="136"/>
      <c r="H12" s="137"/>
      <c r="I12" s="127"/>
      <c r="J12" s="127"/>
    </row>
    <row r="13" spans="1:10" x14ac:dyDescent="0.25">
      <c r="A13" s="145"/>
      <c r="B13" s="145" t="s">
        <v>305</v>
      </c>
      <c r="C13" s="139">
        <f>IFERROR(VLOOKUP(B13,'Balance de sumas y saldos'!A:D,4,FALSE),)</f>
        <v>1132355.33</v>
      </c>
      <c r="D13" s="146"/>
      <c r="E13" s="135"/>
      <c r="F13" s="65"/>
      <c r="G13" s="136"/>
      <c r="H13" s="137"/>
      <c r="I13" s="127"/>
      <c r="J13" s="127"/>
    </row>
    <row r="14" spans="1:10" x14ac:dyDescent="0.25">
      <c r="A14" s="145"/>
      <c r="B14" s="64" t="s">
        <v>306</v>
      </c>
      <c r="C14" s="139">
        <f>IFERROR(VLOOKUP(B14,'Balance de sumas y saldos'!A:D,4,FALSE),)</f>
        <v>-1.77635683940025e-15</v>
      </c>
      <c r="D14" s="65"/>
      <c r="E14" s="135"/>
      <c r="F14" s="65"/>
      <c r="G14" s="136"/>
      <c r="H14" s="137"/>
      <c r="I14" s="127"/>
      <c r="J14" s="127"/>
    </row>
    <row r="15" spans="1:10" x14ac:dyDescent="0.25">
      <c r="A15" s="145"/>
      <c r="B15" s="64" t="s">
        <v>307</v>
      </c>
      <c r="C15" s="139">
        <f>IFERROR(VLOOKUP(B15,'Balance de sumas y saldos'!A:D,4,FALSE),)</f>
        <v>-8.88178419700125e-16</v>
      </c>
      <c r="D15" s="142"/>
      <c r="E15" s="135"/>
      <c r="F15" s="65"/>
      <c r="G15" s="136"/>
      <c r="H15" s="137"/>
      <c r="I15" s="127"/>
      <c r="J15" s="127"/>
    </row>
    <row r="16" spans="1:10" x14ac:dyDescent="0.25">
      <c r="A16" s="145"/>
      <c r="B16" s="136" t="s">
        <v>308</v>
      </c>
      <c r="C16" s="139">
        <f>IFERROR(VLOOKUP(B16,'Balance de sumas y saldos'!A:D,4,FALSE),)</f>
        <v>5340.7</v>
      </c>
      <c r="D16" s="65"/>
      <c r="E16" s="135"/>
      <c r="F16" s="65"/>
      <c r="G16" s="136"/>
      <c r="H16" s="137"/>
      <c r="I16" s="127"/>
      <c r="J16" s="127"/>
    </row>
    <row r="17" spans="1:10" x14ac:dyDescent="0.25">
      <c r="A17" s="145"/>
      <c r="B17" s="136" t="s">
        <v>309</v>
      </c>
      <c r="C17" s="139">
        <f>IFERROR(VLOOKUP(B17,'Balance de sumas y saldos'!A:D,4,FALSE),)</f>
        <v>35314.56</v>
      </c>
      <c r="D17" s="146"/>
      <c r="E17" s="135"/>
      <c r="F17" s="65"/>
      <c r="G17" s="136"/>
      <c r="H17" s="137"/>
      <c r="I17" s="127"/>
      <c r="J17" s="127"/>
    </row>
    <row r="18" spans="1:10" x14ac:dyDescent="0.25">
      <c r="A18" s="145"/>
      <c r="B18" s="136" t="s">
        <v>310</v>
      </c>
      <c r="C18" s="139">
        <f>IFERROR(VLOOKUP(B18,'Balance de sumas y saldos'!A:D,4,FALSE),)</f>
        <v>358.96</v>
      </c>
      <c r="D18" s="146"/>
      <c r="E18" s="135"/>
      <c r="F18" s="65"/>
      <c r="G18" s="136"/>
      <c r="H18" s="137"/>
      <c r="I18" s="127"/>
      <c r="J18" s="127"/>
    </row>
    <row r="19" spans="1:10" x14ac:dyDescent="0.25">
      <c r="A19" s="126"/>
      <c r="B19" s="65" t="s">
        <v>311</v>
      </c>
      <c r="C19" s="139">
        <f>IFERROR(VLOOKUP(B19,'Balance de sumas y saldos'!A:D,4,FALSE),)</f>
      </c>
      <c r="D19" s="142"/>
      <c r="E19" s="135"/>
      <c r="F19" s="65"/>
      <c r="G19" s="136"/>
      <c r="H19" s="137"/>
      <c r="I19" s="127"/>
      <c r="J19" s="127"/>
    </row>
    <row r="20" spans="1:10" x14ac:dyDescent="0.25">
      <c r="A20" s="145"/>
      <c r="B20" s="65" t="s">
        <v>312</v>
      </c>
      <c r="C20" s="139">
        <f>IFERROR(VLOOKUP(B20,'Balance de sumas y saldos'!A:D,4,FALSE),)</f>
        <v>165.44</v>
      </c>
      <c r="D20" s="65"/>
      <c r="E20" s="135"/>
      <c r="F20" s="65"/>
      <c r="G20" s="136"/>
      <c r="H20" s="137"/>
      <c r="I20" s="127"/>
      <c r="J20" s="127"/>
    </row>
    <row r="21" spans="1:10" x14ac:dyDescent="0.25">
      <c r="A21" s="145"/>
      <c r="B21" s="65" t="s">
        <v>313</v>
      </c>
      <c r="C21" s="139">
        <f>IFERROR(VLOOKUP(B21,'Balance de sumas y saldos'!A:D,4,FALSE),)</f>
        <v>138.22</v>
      </c>
      <c r="D21" s="65"/>
      <c r="E21" s="135"/>
      <c r="F21" s="65"/>
      <c r="G21" s="136"/>
      <c r="H21" s="137"/>
      <c r="I21" s="127"/>
      <c r="J21" s="127"/>
    </row>
    <row r="22" spans="1:10" x14ac:dyDescent="0.25">
      <c r="A22" s="126"/>
      <c r="B22" s="65" t="s">
        <v>314</v>
      </c>
      <c r="C22" s="139">
        <f>IFERROR(VLOOKUP(B22,'Balance de sumas y saldos'!A:D,4,FALSE),)</f>
        <v>1214719.33</v>
      </c>
      <c r="D22" s="65"/>
      <c r="E22" s="135"/>
      <c r="F22" s="65"/>
      <c r="G22" s="136"/>
      <c r="H22" s="137"/>
      <c r="I22" s="127"/>
      <c r="J22" s="127"/>
    </row>
    <row r="23" spans="1:10" x14ac:dyDescent="0.25">
      <c r="A23" s="126"/>
      <c r="B23" s="64" t="s">
        <v>315</v>
      </c>
      <c r="C23" s="139">
        <f>IFERROR(VLOOKUP(B23,'Balance de sumas y saldos'!A:D,4,FALSE),)</f>
      </c>
      <c r="D23" s="142"/>
      <c r="E23" s="135"/>
      <c r="F23" s="65"/>
      <c r="G23" s="136"/>
      <c r="H23" s="137"/>
      <c r="I23" s="127"/>
      <c r="J23" s="127"/>
    </row>
    <row r="24" spans="1:10" x14ac:dyDescent="0.25">
      <c r="A24" s="145"/>
      <c r="B24" s="64" t="s">
        <v>316</v>
      </c>
      <c r="C24" s="139">
        <f>IFERROR(VLOOKUP(B24,'Balance de sumas y saldos'!A:D,4,FALSE),)</f>
        <v>17670.09</v>
      </c>
      <c r="D24" s="142"/>
      <c r="E24" s="135"/>
      <c r="F24" s="65"/>
      <c r="G24" s="136"/>
      <c r="H24" s="137"/>
      <c r="I24" s="127"/>
      <c r="J24" s="127"/>
    </row>
    <row r="25" spans="1:10" x14ac:dyDescent="0.25">
      <c r="A25" s="145"/>
      <c r="B25" s="64" t="s">
        <v>317</v>
      </c>
      <c r="C25" s="139">
        <f>IFERROR(VLOOKUP(B25,'Balance de sumas y saldos'!A:D,4,FALSE),)</f>
      </c>
      <c r="D25" s="142"/>
      <c r="E25" s="135"/>
      <c r="F25" s="65"/>
      <c r="G25" s="136"/>
      <c r="H25" s="137"/>
      <c r="I25" s="127"/>
      <c r="J25" s="127"/>
    </row>
    <row r="26" spans="1:10" x14ac:dyDescent="0.25">
      <c r="A26" s="145"/>
      <c r="B26" s="136" t="s">
        <v>318</v>
      </c>
      <c r="C26" s="139">
        <f>IFERROR(VLOOKUP(B26,'Balance de sumas y saldos'!A:D,4,FALSE),)</f>
        <v>65129.21</v>
      </c>
      <c r="D26" s="65"/>
      <c r="E26" s="135"/>
      <c r="F26" s="65"/>
      <c r="G26" s="136"/>
      <c r="H26" s="137"/>
      <c r="I26" s="127"/>
      <c r="J26" s="127"/>
    </row>
    <row r="27" spans="1:10" x14ac:dyDescent="0.25">
      <c r="A27" s="145"/>
      <c r="B27" s="136" t="s">
        <v>319</v>
      </c>
      <c r="C27" s="139">
        <f>IFERROR(VLOOKUP(B27,'Balance de sumas y saldos'!A:D,4,FALSE),)</f>
        <v>0.62</v>
      </c>
      <c r="D27" s="65"/>
      <c r="E27" s="135"/>
      <c r="F27" s="65"/>
      <c r="G27" s="136"/>
      <c r="H27" s="137"/>
      <c r="I27" s="127"/>
      <c r="J27" s="127"/>
    </row>
    <row r="28" spans="1:10" x14ac:dyDescent="0.25">
      <c r="A28" s="145"/>
      <c r="B28" s="136" t="s">
        <v>320</v>
      </c>
      <c r="C28" s="139">
        <f>IFERROR(VLOOKUP(B28,'Balance de sumas y saldos'!A:D,4,FALSE),)</f>
        <v>4529.05</v>
      </c>
      <c r="D28" s="65"/>
      <c r="E28" s="129"/>
      <c r="F28" s="65"/>
      <c r="G28" s="136"/>
      <c r="H28" s="137"/>
      <c r="I28" s="127"/>
      <c r="J28" s="127"/>
    </row>
    <row r="29" spans="1:10" x14ac:dyDescent="0.25">
      <c r="A29" s="126"/>
      <c r="B29" s="65" t="s">
        <v>321</v>
      </c>
      <c r="C29" s="139">
        <f>IFERROR(VLOOKUP(B29,'Balance de sumas y saldos'!A:D,4,FALSE),)</f>
      </c>
      <c r="D29" s="65"/>
      <c r="E29" s="65"/>
      <c r="F29" s="65"/>
      <c r="G29" s="136"/>
      <c r="H29" s="137"/>
      <c r="I29" s="127"/>
      <c r="J29" s="127"/>
    </row>
    <row r="30" spans="1:10" x14ac:dyDescent="0.25">
      <c r="A30" s="126"/>
      <c r="B30" s="65" t="s">
        <v>322</v>
      </c>
      <c r="C30" s="139">
        <f>IFERROR(VLOOKUP(B30,'Balance de sumas y saldos'!A:D,4,FALSE),)</f>
      </c>
      <c r="D30" s="137"/>
      <c r="E30" s="135"/>
      <c r="F30" s="65"/>
      <c r="G30" s="136"/>
      <c r="H30" s="137"/>
      <c r="I30" s="127"/>
      <c r="J30" s="127"/>
    </row>
    <row r="31" spans="1:10" x14ac:dyDescent="0.25">
      <c r="A31" s="126"/>
      <c r="B31" s="64" t="s">
        <v>323</v>
      </c>
      <c r="C31" s="139">
        <f>IFERROR(VLOOKUP(B31,'Balance de sumas y saldos'!A:D,4,FALSE),)</f>
      </c>
      <c r="D31" s="142"/>
      <c r="E31" s="135"/>
      <c r="F31" s="65"/>
      <c r="G31" s="136"/>
      <c r="H31" s="137"/>
      <c r="I31" s="127"/>
      <c r="J31" s="127"/>
    </row>
    <row r="32" spans="1:10" x14ac:dyDescent="0.25">
      <c r="A32" s="126"/>
      <c r="B32" s="64" t="s">
        <v>324</v>
      </c>
      <c r="C32" s="139">
        <f>IFERROR(VLOOKUP(B32,'Balance de sumas y saldos'!A:D,4,FALSE),)</f>
      </c>
      <c r="D32" s="142"/>
      <c r="E32" s="135"/>
      <c r="F32" s="65"/>
      <c r="G32" s="136"/>
      <c r="H32" s="137"/>
      <c r="I32" s="127"/>
      <c r="J32" s="127"/>
    </row>
    <row r="33" spans="1:10" x14ac:dyDescent="0.25">
      <c r="A33" s="126"/>
      <c r="B33" s="65" t="s">
        <v>325</v>
      </c>
      <c r="C33" s="139">
        <f>IFERROR(VLOOKUP(B33,'Balance de sumas y saldos'!A:D,4,FALSE),)</f>
      </c>
      <c r="D33" s="142"/>
      <c r="E33" s="135"/>
      <c r="F33" s="65"/>
      <c r="G33" s="136"/>
      <c r="H33" s="137"/>
      <c r="I33" s="127"/>
      <c r="J33" s="127"/>
    </row>
    <row r="34" spans="1:10" x14ac:dyDescent="0.25">
      <c r="A34" s="145"/>
      <c r="B34" s="136" t="s">
        <v>326</v>
      </c>
      <c r="C34" s="139">
        <f>IFERROR(VLOOKUP(B34,'Balance de sumas y saldos'!A:D,4,FALSE),)</f>
        <v>11810.75</v>
      </c>
      <c r="D34" s="65"/>
      <c r="E34" s="135"/>
      <c r="F34" s="65"/>
      <c r="G34" s="147"/>
      <c r="H34" s="137"/>
      <c r="I34" s="127"/>
      <c r="J34" s="127"/>
    </row>
    <row r="35" spans="1:10" x14ac:dyDescent="0.25">
      <c r="A35" s="126"/>
      <c r="B35" s="65" t="s">
        <v>327</v>
      </c>
      <c r="C35" s="139">
        <f>IFERROR(VLOOKUP(B35,'Balance de sumas y saldos'!A:D,4,FALSE),)</f>
        <v>219.280000000001</v>
      </c>
      <c r="D35" s="65"/>
      <c r="E35" s="135"/>
      <c r="F35" s="65"/>
      <c r="G35" s="147"/>
      <c r="H35" s="137"/>
      <c r="I35" s="127"/>
      <c r="J35" s="127"/>
    </row>
    <row r="36" spans="1:10" x14ac:dyDescent="0.25">
      <c r="A36" s="145"/>
      <c r="B36" s="65" t="s">
        <v>328</v>
      </c>
      <c r="C36" s="139">
        <f>IFERROR(VLOOKUP(B36,'Balance de sumas y saldos'!A:D,4,FALSE),)</f>
      </c>
      <c r="D36" s="65"/>
      <c r="E36" s="135"/>
      <c r="F36" s="65"/>
      <c r="G36" s="147"/>
      <c r="H36" s="137"/>
      <c r="I36" s="127"/>
      <c r="J36" s="127"/>
    </row>
    <row r="37" ht="13.8" customHeight="1" spans="1:10" x14ac:dyDescent="0.25">
      <c r="A37" s="126"/>
      <c r="B37" s="64" t="s">
        <v>329</v>
      </c>
      <c r="C37" s="139">
        <f>IFERROR(VLOOKUP(B37,'Balance de sumas y saldos'!A:D,4,FALSE),)</f>
        <v>104684</v>
      </c>
      <c r="D37" s="148"/>
      <c r="E37" s="135"/>
      <c r="F37" s="65"/>
      <c r="G37" s="147"/>
      <c r="H37" s="137"/>
      <c r="I37" s="127"/>
      <c r="J37" s="127"/>
    </row>
    <row r="38" spans="1:10" x14ac:dyDescent="0.25">
      <c r="A38" s="145"/>
      <c r="B38" s="64" t="s">
        <v>330</v>
      </c>
      <c r="C38" s="139">
        <f>IFERROR(VLOOKUP(B38,'Balance de sumas y saldos'!A:D,4,FALSE),)</f>
        <v>73.46</v>
      </c>
      <c r="D38" s="65"/>
      <c r="E38" s="135"/>
      <c r="F38" s="65"/>
      <c r="G38" s="147"/>
      <c r="H38" s="137"/>
      <c r="I38" s="127"/>
      <c r="J38" s="127"/>
    </row>
    <row r="39" spans="1:10" x14ac:dyDescent="0.25">
      <c r="A39" s="126"/>
      <c r="B39" s="65" t="s">
        <v>331</v>
      </c>
      <c r="C39" s="137">
        <f>IFERROR(VLOOKUP(B39,'Balance de sumas y saldos'!A:D,4,FALSE),)</f>
      </c>
      <c r="D39" s="142"/>
      <c r="E39" s="135"/>
      <c r="F39" s="65"/>
      <c r="G39" s="147"/>
      <c r="H39" s="137"/>
      <c r="I39" s="127"/>
      <c r="J39" s="127"/>
    </row>
    <row r="40" spans="1:10" x14ac:dyDescent="0.25">
      <c r="A40" s="145"/>
      <c r="B40" s="65" t="s">
        <v>332</v>
      </c>
      <c r="C40" s="137">
        <f>IFERROR(VLOOKUP(B40,'Balance de sumas y saldos'!A:D,4,FALSE),)</f>
        <v>130976.14</v>
      </c>
      <c r="D40" s="142"/>
      <c r="E40" s="129">
        <f>SUM(C40:C55)</f>
        <v>72868.68000000008</v>
      </c>
      <c r="F40" s="146">
        <f>+'Anexo I'!K24</f>
        <v>72868.67999999996</v>
      </c>
      <c r="G40" s="129"/>
      <c r="H40" s="137"/>
      <c r="I40" s="127"/>
      <c r="J40" s="127"/>
    </row>
    <row r="41" spans="1:10" x14ac:dyDescent="0.25">
      <c r="A41" s="145"/>
      <c r="B41" s="65" t="s">
        <v>333</v>
      </c>
      <c r="C41" s="137">
        <f>IFERROR(VLOOKUP(B41,'Balance de sumas y saldos'!A:D,4,FALSE),)</f>
        <v>58450.05</v>
      </c>
      <c r="D41" s="142"/>
      <c r="E41" s="135"/>
      <c r="F41" s="149">
        <f>+F40-E40</f>
        <v>-1.1641532182693481e-10</v>
      </c>
      <c r="G41" s="147"/>
      <c r="H41" s="137"/>
      <c r="I41" s="127"/>
      <c r="J41" s="127"/>
    </row>
    <row r="42" spans="1:10" x14ac:dyDescent="0.25">
      <c r="A42" s="145"/>
      <c r="B42" s="65" t="s">
        <v>334</v>
      </c>
      <c r="C42" s="137">
        <f>IFERROR(VLOOKUP(B42,'Balance de sumas y saldos'!A:D,4,FALSE),)</f>
        <v>33289.65</v>
      </c>
      <c r="D42" s="129"/>
      <c r="E42" s="129"/>
      <c r="F42" s="65"/>
      <c r="G42" s="147"/>
      <c r="H42" s="137"/>
      <c r="I42" s="127"/>
      <c r="J42" s="127"/>
    </row>
    <row r="43" spans="1:10" x14ac:dyDescent="0.25">
      <c r="A43" s="145"/>
      <c r="B43" s="65" t="s">
        <v>335</v>
      </c>
      <c r="C43" s="137">
        <f>IFERROR(VLOOKUP(B43,'Balance de sumas y saldos'!A:D,4,FALSE),)</f>
        <v>78372.31</v>
      </c>
      <c r="D43" s="142"/>
      <c r="E43" s="135"/>
      <c r="F43" s="65"/>
      <c r="G43" s="147"/>
      <c r="H43" s="137"/>
      <c r="I43" s="127"/>
      <c r="J43" s="127"/>
    </row>
    <row r="44" spans="1:10" x14ac:dyDescent="0.25">
      <c r="A44" s="145"/>
      <c r="B44" s="65" t="s">
        <v>336</v>
      </c>
      <c r="C44" s="137">
        <f>IFERROR(VLOOKUP(B44,'Balance de sumas y saldos'!A:D,4,FALSE),)</f>
        <v>133453.72</v>
      </c>
      <c r="D44" s="142"/>
      <c r="E44" s="135"/>
      <c r="F44" s="65"/>
      <c r="G44" s="147"/>
      <c r="H44" s="137"/>
      <c r="I44" s="127"/>
      <c r="J44" s="127"/>
    </row>
    <row r="45" spans="1:10" x14ac:dyDescent="0.25">
      <c r="A45" s="145"/>
      <c r="B45" s="65" t="s">
        <v>337</v>
      </c>
      <c r="C45" s="150">
        <f>IFERROR(VLOOKUP(B45,'Balance de sumas y saldos'!A:D,4,FALSE),)</f>
        <v>-110762.6</v>
      </c>
      <c r="D45" s="142">
        <v>110182.15999999999</v>
      </c>
      <c r="E45" s="135">
        <f>+C45+D45</f>
        <v>-580.4400000000169</v>
      </c>
      <c r="F45" s="65"/>
      <c r="G45" s="147"/>
      <c r="H45" s="137"/>
      <c r="I45" s="127"/>
      <c r="J45" s="127"/>
    </row>
    <row r="46" spans="1:10" x14ac:dyDescent="0.25">
      <c r="A46" s="145"/>
      <c r="B46" s="65" t="s">
        <v>338</v>
      </c>
      <c r="C46" s="150">
        <f>IFERROR(VLOOKUP(B46,'Balance de sumas y saldos'!A:D,4,FALSE),)</f>
        <v>-55642.59</v>
      </c>
      <c r="D46" s="142">
        <v>55524.689999999995</v>
      </c>
      <c r="E46" s="135">
        <f>+C46+D46</f>
        <v>-117.90000000000146</v>
      </c>
      <c r="F46" s="65"/>
      <c r="G46" s="147"/>
      <c r="H46" s="137"/>
      <c r="I46" s="127"/>
      <c r="J46" s="127"/>
    </row>
    <row r="47" spans="1:10" x14ac:dyDescent="0.25">
      <c r="A47" s="145"/>
      <c r="B47" s="65" t="s">
        <v>339</v>
      </c>
      <c r="C47" s="150">
        <f>IFERROR(VLOOKUP(B47,'Balance de sumas y saldos'!A:D,4,FALSE),)</f>
        <v>-23489.12</v>
      </c>
      <c r="D47" s="142">
        <v>23232.839999999997</v>
      </c>
      <c r="E47" s="135">
        <f>+C47+D47</f>
        <v>-256.2800000000025</v>
      </c>
      <c r="F47" s="65"/>
      <c r="G47" s="147"/>
      <c r="H47" s="137"/>
      <c r="I47" s="127"/>
      <c r="J47" s="127"/>
    </row>
    <row r="48" spans="1:10" x14ac:dyDescent="0.25">
      <c r="A48" s="145"/>
      <c r="B48" s="65" t="s">
        <v>340</v>
      </c>
      <c r="C48" s="137">
        <f>IFERROR(VLOOKUP(B48,'Balance de sumas y saldos'!A:D,4,FALSE),)</f>
        <v>279626.68</v>
      </c>
      <c r="D48" s="142"/>
      <c r="E48" s="135"/>
      <c r="F48" s="65"/>
      <c r="G48" s="147"/>
      <c r="H48" s="137"/>
      <c r="I48" s="127"/>
      <c r="J48" s="127"/>
    </row>
    <row r="49" spans="1:10" x14ac:dyDescent="0.25">
      <c r="A49" s="145"/>
      <c r="B49" s="65" t="s">
        <v>341</v>
      </c>
      <c r="C49" s="150">
        <f>IFERROR(VLOOKUP(B49,'Balance de sumas y saldos'!A:D,4,FALSE),)</f>
        <v>-67464.69</v>
      </c>
      <c r="D49" s="142">
        <v>66359.77</v>
      </c>
      <c r="E49" s="135">
        <f>+C49+D49</f>
        <v>-1104.9199999999983</v>
      </c>
      <c r="F49" s="65"/>
      <c r="G49" s="136"/>
      <c r="H49" s="137"/>
      <c r="I49" s="127"/>
      <c r="J49" s="127"/>
    </row>
    <row r="50" spans="1:10" x14ac:dyDescent="0.25">
      <c r="A50" s="145"/>
      <c r="B50" s="65" t="s">
        <v>342</v>
      </c>
      <c r="C50" s="150">
        <f>IFERROR(VLOOKUP(B50,'Balance de sumas y saldos'!A:D,4,FALSE),)</f>
        <v>-133453.72</v>
      </c>
      <c r="D50" s="142">
        <v>133453.71999999997</v>
      </c>
      <c r="E50" s="135">
        <f>+C50+D50</f>
        <v>0</v>
      </c>
      <c r="F50" s="65"/>
      <c r="G50" s="136"/>
      <c r="H50" s="137"/>
      <c r="I50" s="127"/>
      <c r="J50" s="127"/>
    </row>
    <row r="51" spans="1:10" x14ac:dyDescent="0.25">
      <c r="A51" s="145"/>
      <c r="B51" s="65" t="s">
        <v>343</v>
      </c>
      <c r="C51" s="150">
        <f>IFERROR(VLOOKUP(B51,'Balance de sumas y saldos'!A:D,4,FALSE),)</f>
        <v>-266119.74</v>
      </c>
      <c r="D51" s="142">
        <v>262141.61999999997</v>
      </c>
      <c r="E51" s="135">
        <f>+C51+D51</f>
        <v>-3978.1200000000244</v>
      </c>
      <c r="F51" s="65"/>
      <c r="G51" s="151"/>
      <c r="H51" s="127"/>
      <c r="I51" s="127"/>
      <c r="J51" s="127"/>
    </row>
    <row r="52" spans="1:10" x14ac:dyDescent="0.25">
      <c r="A52" s="145"/>
      <c r="B52" s="65" t="s">
        <v>344</v>
      </c>
      <c r="C52" s="137">
        <f>IFERROR(VLOOKUP(B52,'Balance de sumas y saldos'!A:D,4,FALSE),)</f>
        <v>136820.25</v>
      </c>
      <c r="D52" s="142"/>
      <c r="E52" s="135"/>
      <c r="F52" s="65"/>
      <c r="G52" s="151"/>
      <c r="H52" s="65"/>
      <c r="I52" s="127"/>
      <c r="J52" s="127"/>
    </row>
    <row r="53" spans="1:10" x14ac:dyDescent="0.25">
      <c r="A53" s="145"/>
      <c r="B53" s="65" t="s">
        <v>345</v>
      </c>
      <c r="C53" s="150">
        <f>IFERROR(VLOOKUP(B53,'Balance de sumas y saldos'!A:D,4,FALSE),)</f>
        <v>-127115.9</v>
      </c>
      <c r="D53" s="142">
        <v>125515.34</v>
      </c>
      <c r="E53" s="135">
        <f>+C53+D53</f>
        <v>-1600.5599999999977</v>
      </c>
      <c r="F53" s="152"/>
      <c r="G53" s="151"/>
      <c r="H53" s="65"/>
      <c r="I53" s="127"/>
      <c r="J53" s="127"/>
    </row>
    <row r="54" spans="1:10" x14ac:dyDescent="0.25">
      <c r="A54" s="145"/>
      <c r="B54" s="65" t="s">
        <v>346</v>
      </c>
      <c r="C54" s="137">
        <f>IFERROR(VLOOKUP(B54,'Balance de sumas y saldos'!A:D,4,FALSE),)</f>
        <v>11629.81</v>
      </c>
      <c r="D54" s="142"/>
      <c r="E54" s="135"/>
      <c r="F54" s="152"/>
      <c r="G54" s="151"/>
      <c r="H54" s="65"/>
      <c r="I54" s="127"/>
      <c r="J54" s="127"/>
    </row>
    <row r="55" spans="1:10" x14ac:dyDescent="0.25">
      <c r="A55" s="145"/>
      <c r="B55" s="65" t="s">
        <v>347</v>
      </c>
      <c r="C55" s="150">
        <f>IFERROR(VLOOKUP(B55,'Balance de sumas y saldos'!A:D,4,FALSE),)</f>
        <v>-5701.57</v>
      </c>
      <c r="D55" s="142">
        <v>5524.4000000000015</v>
      </c>
      <c r="E55" s="135">
        <f>+C55+D55</f>
        <v>-177.16999999999825</v>
      </c>
      <c r="F55" s="153"/>
      <c r="G55" s="151"/>
      <c r="H55" s="65"/>
      <c r="I55" s="127"/>
      <c r="J55" s="127"/>
    </row>
    <row r="56" spans="1:10" x14ac:dyDescent="0.25">
      <c r="A56" s="145"/>
      <c r="B56" s="64" t="s">
        <v>348</v>
      </c>
      <c r="C56" s="139">
        <f>IFERROR(VLOOKUP(B56,'Balance de sumas y saldos'!A:D,4,FALSE),)</f>
        <v>165358.57</v>
      </c>
      <c r="D56" s="142"/>
      <c r="E56" s="135"/>
      <c r="F56" s="65" t="s">
        <v>79</v>
      </c>
      <c r="G56" s="65"/>
      <c r="H56" s="65"/>
      <c r="I56" s="127"/>
      <c r="J56" s="127"/>
    </row>
    <row r="57" spans="1:10" x14ac:dyDescent="0.25">
      <c r="A57" s="145"/>
      <c r="B57" s="64" t="s">
        <v>349</v>
      </c>
      <c r="C57" s="139">
        <f>IFERROR(VLOOKUP(B57,'Balance de sumas y saldos'!A:D,4,FALSE),)</f>
        <v>1063586.36</v>
      </c>
      <c r="D57" s="142"/>
      <c r="E57" s="135"/>
      <c r="F57" s="140">
        <f>SUM(C3:C57)</f>
        <v>3908276.54</v>
      </c>
      <c r="G57" s="140"/>
      <c r="H57" s="65"/>
      <c r="I57" s="127"/>
      <c r="J57" s="127"/>
    </row>
    <row r="58" spans="1:10" x14ac:dyDescent="0.25">
      <c r="A58" s="134" t="s">
        <v>6</v>
      </c>
      <c r="B58" s="69"/>
      <c r="C58" s="12"/>
      <c r="D58" s="154"/>
      <c r="E58" s="135"/>
      <c r="F58" s="65"/>
      <c r="G58" s="65"/>
      <c r="H58" s="65"/>
      <c r="I58" s="127"/>
      <c r="J58" s="127"/>
    </row>
    <row r="59" spans="1:10" x14ac:dyDescent="0.25">
      <c r="A59" s="134"/>
      <c r="B59" s="65"/>
      <c r="C59" s="12"/>
      <c r="D59" s="135"/>
      <c r="E59" s="135"/>
      <c r="F59" s="140"/>
      <c r="G59" s="65"/>
      <c r="H59" s="65"/>
      <c r="I59" s="127"/>
      <c r="J59" s="127"/>
    </row>
    <row r="60" spans="1:10" x14ac:dyDescent="0.25">
      <c r="A60" s="126"/>
      <c r="B60" s="155"/>
      <c r="C60" s="137"/>
      <c r="D60" s="65"/>
      <c r="E60" s="135" t="s">
        <v>350</v>
      </c>
      <c r="F60" s="65"/>
      <c r="G60" s="65"/>
      <c r="H60" s="65"/>
      <c r="I60" s="127"/>
      <c r="J60" s="127"/>
    </row>
    <row r="61" spans="1:10" x14ac:dyDescent="0.25">
      <c r="A61" s="126"/>
      <c r="B61" s="155" t="s">
        <v>351</v>
      </c>
      <c r="C61" s="156">
        <f>+'Balance de sumas y saldos'!D68</f>
        <v>-71988.8751050439</v>
      </c>
      <c r="D61" s="135"/>
      <c r="E61" s="135">
        <f>SUM(C60:C62)</f>
        <v>-71988.8751050439</v>
      </c>
      <c r="F61" s="65"/>
      <c r="G61" s="65"/>
      <c r="H61" s="65"/>
      <c r="I61" s="65"/>
      <c r="J61" s="65"/>
    </row>
    <row r="62" hidden="1" spans="1:10" x14ac:dyDescent="0.25">
      <c r="A62" s="126"/>
      <c r="B62" s="155"/>
      <c r="C62" s="137"/>
      <c r="D62" s="135"/>
      <c r="E62" s="135"/>
      <c r="F62" s="65"/>
      <c r="G62" s="65"/>
      <c r="H62" s="65"/>
      <c r="I62" s="65"/>
      <c r="J62" s="65"/>
    </row>
    <row r="63" hidden="1" spans="1:10" x14ac:dyDescent="0.25">
      <c r="A63" s="126"/>
      <c r="B63" s="65"/>
      <c r="C63" s="137"/>
      <c r="D63" s="135"/>
      <c r="E63" s="135"/>
      <c r="F63" s="65"/>
      <c r="G63" s="65"/>
      <c r="H63" s="65"/>
      <c r="I63" s="127"/>
      <c r="J63" s="127"/>
    </row>
    <row r="64" hidden="1" spans="1:10" x14ac:dyDescent="0.25">
      <c r="A64" s="126"/>
      <c r="B64" s="65"/>
      <c r="C64" s="137"/>
      <c r="D64" s="135"/>
      <c r="E64" s="135"/>
      <c r="F64" s="65"/>
      <c r="G64" s="65"/>
      <c r="H64" s="65"/>
      <c r="I64" s="127"/>
      <c r="J64" s="127"/>
    </row>
    <row r="65" hidden="1" spans="1:10" x14ac:dyDescent="0.25">
      <c r="A65" s="126"/>
      <c r="B65" s="65"/>
      <c r="C65" s="137"/>
      <c r="D65" s="135"/>
      <c r="E65" s="135"/>
      <c r="F65" s="65"/>
      <c r="G65" s="65"/>
      <c r="H65" s="65"/>
      <c r="I65" s="127"/>
      <c r="J65" s="127"/>
    </row>
    <row r="66" hidden="1" spans="1:10" x14ac:dyDescent="0.25">
      <c r="A66" s="126"/>
      <c r="B66" s="65"/>
      <c r="C66" s="137"/>
      <c r="D66" s="135"/>
      <c r="E66" s="135"/>
      <c r="F66" s="65"/>
      <c r="G66" s="65"/>
      <c r="H66" s="65"/>
      <c r="I66" s="127"/>
      <c r="J66" s="127"/>
    </row>
    <row r="67" hidden="1" spans="1:10" x14ac:dyDescent="0.25">
      <c r="A67" s="126"/>
      <c r="B67" s="65"/>
      <c r="C67" s="137"/>
      <c r="D67" s="135"/>
      <c r="E67" s="135"/>
      <c r="F67" s="65"/>
      <c r="G67" s="65"/>
      <c r="H67" s="65"/>
      <c r="I67" s="127"/>
      <c r="J67" s="127"/>
    </row>
    <row r="68" hidden="1" spans="1:10" x14ac:dyDescent="0.25">
      <c r="A68" s="126"/>
      <c r="B68" s="65"/>
      <c r="C68" s="137"/>
      <c r="D68" s="135"/>
      <c r="E68" s="135"/>
      <c r="F68" s="65"/>
      <c r="G68" s="65"/>
      <c r="H68" s="65"/>
      <c r="I68" s="127"/>
      <c r="J68" s="127"/>
    </row>
    <row r="69" hidden="1" spans="1:10" x14ac:dyDescent="0.25">
      <c r="A69" s="126"/>
      <c r="B69" s="65"/>
      <c r="C69" s="137"/>
      <c r="D69" s="135"/>
      <c r="E69" s="135"/>
      <c r="F69" s="65"/>
      <c r="G69" s="65"/>
      <c r="H69" s="65"/>
      <c r="I69" s="127"/>
      <c r="J69" s="127"/>
    </row>
    <row r="70" hidden="1" spans="1:10" x14ac:dyDescent="0.25">
      <c r="A70" s="126"/>
      <c r="B70" s="65"/>
      <c r="C70" s="137"/>
      <c r="D70" s="135"/>
      <c r="E70" s="135"/>
      <c r="F70" s="65"/>
      <c r="G70" s="65"/>
      <c r="H70" s="65"/>
      <c r="I70" s="127"/>
      <c r="J70" s="127"/>
    </row>
    <row r="71" hidden="1" spans="1:10" x14ac:dyDescent="0.25">
      <c r="A71" s="126"/>
      <c r="B71" s="65"/>
      <c r="C71" s="137"/>
      <c r="D71" s="135"/>
      <c r="E71" s="135"/>
      <c r="F71" s="65"/>
      <c r="G71" s="65"/>
      <c r="H71" s="65"/>
      <c r="I71" s="127"/>
      <c r="J71" s="127"/>
    </row>
    <row r="72" hidden="1" spans="1:10" x14ac:dyDescent="0.25">
      <c r="A72" s="126"/>
      <c r="B72" s="65"/>
      <c r="C72" s="137"/>
      <c r="D72" s="135"/>
      <c r="E72" s="135"/>
      <c r="F72" s="65"/>
      <c r="G72" s="65"/>
      <c r="H72" s="65"/>
      <c r="I72" s="127"/>
      <c r="J72" s="127"/>
    </row>
    <row r="73" hidden="1" spans="1:10" x14ac:dyDescent="0.25">
      <c r="A73" s="126"/>
      <c r="B73" s="65"/>
      <c r="C73" s="137"/>
      <c r="D73" s="135"/>
      <c r="E73" s="135"/>
      <c r="F73" s="65"/>
      <c r="G73" s="65"/>
      <c r="H73" s="65"/>
      <c r="I73" s="127"/>
      <c r="J73" s="127"/>
    </row>
    <row r="74" hidden="1" spans="1:10" x14ac:dyDescent="0.25">
      <c r="A74" s="126"/>
      <c r="B74" s="65"/>
      <c r="C74" s="137"/>
      <c r="D74" s="135"/>
      <c r="E74" s="135"/>
      <c r="F74" s="65"/>
      <c r="G74" s="65"/>
      <c r="H74" s="65"/>
      <c r="I74" s="127"/>
      <c r="J74" s="127"/>
    </row>
    <row r="75" hidden="1" spans="1:10" x14ac:dyDescent="0.25">
      <c r="A75" s="126"/>
      <c r="B75" s="65"/>
      <c r="C75" s="137"/>
      <c r="D75" s="135"/>
      <c r="E75" s="135"/>
      <c r="F75" s="65"/>
      <c r="G75" s="65"/>
      <c r="H75" s="65"/>
      <c r="I75" s="127"/>
      <c r="J75" s="127"/>
    </row>
    <row r="76" hidden="1" spans="1:10" x14ac:dyDescent="0.25">
      <c r="A76" s="126"/>
      <c r="B76" s="65"/>
      <c r="C76" s="137"/>
      <c r="D76" s="135"/>
      <c r="E76" s="135"/>
      <c r="F76" s="65"/>
      <c r="G76" s="65"/>
      <c r="H76" s="65"/>
      <c r="I76" s="127"/>
      <c r="J76" s="127"/>
    </row>
    <row r="77" hidden="1" spans="1:10" x14ac:dyDescent="0.25">
      <c r="A77" s="126"/>
      <c r="B77" s="65"/>
      <c r="C77" s="137"/>
      <c r="D77" s="135"/>
      <c r="E77" s="135"/>
      <c r="F77" s="65"/>
      <c r="G77" s="65"/>
      <c r="H77" s="65"/>
      <c r="I77" s="127"/>
      <c r="J77" s="127"/>
    </row>
    <row r="78" hidden="1" spans="1:10" x14ac:dyDescent="0.25">
      <c r="A78" s="126"/>
      <c r="B78" s="65"/>
      <c r="C78" s="137"/>
      <c r="D78" s="135"/>
      <c r="E78" s="135"/>
      <c r="F78" s="65"/>
      <c r="G78" s="65"/>
      <c r="H78" s="65"/>
      <c r="I78" s="127"/>
      <c r="J78" s="127"/>
    </row>
    <row r="79" hidden="1" spans="1:10" x14ac:dyDescent="0.25">
      <c r="A79" s="126"/>
      <c r="B79" s="65"/>
      <c r="C79" s="157"/>
      <c r="D79" s="135"/>
      <c r="E79" s="135"/>
      <c r="F79" s="65"/>
      <c r="G79" s="65"/>
      <c r="H79" s="65"/>
      <c r="I79" s="127"/>
      <c r="J79" s="127"/>
    </row>
    <row r="80" spans="1:10" x14ac:dyDescent="0.25">
      <c r="A80" s="126"/>
      <c r="B80" s="65" t="s">
        <v>352</v>
      </c>
      <c r="C80" s="157">
        <f>IFERROR(VLOOKUP(B80,'Balance de sumas y saldos'!$A$27:$D$444,4,FALSE),)</f>
        <v>-1208275.2</v>
      </c>
      <c r="D80" s="65"/>
      <c r="E80" s="135"/>
      <c r="F80" s="65"/>
      <c r="G80" s="65"/>
      <c r="H80" s="65"/>
      <c r="I80" s="127"/>
      <c r="J80" s="127"/>
    </row>
    <row r="81" spans="1:10" x14ac:dyDescent="0.25">
      <c r="A81" s="145" t="s">
        <v>353</v>
      </c>
      <c r="B81" s="65" t="s">
        <v>353</v>
      </c>
      <c r="C81" s="157">
        <f>IFERROR(VLOOKUP(B81,'Balance de sumas y saldos'!$A$27:$D$444,4,FALSE),)</f>
        <v>-521.21</v>
      </c>
      <c r="D81" s="65"/>
      <c r="E81" s="135"/>
      <c r="F81" s="65"/>
      <c r="G81" s="65"/>
      <c r="H81" s="65"/>
      <c r="I81" s="127"/>
      <c r="J81" s="127"/>
    </row>
    <row r="82" spans="1:10" x14ac:dyDescent="0.25">
      <c r="A82" s="145" t="s">
        <v>354</v>
      </c>
      <c r="B82" s="65" t="s">
        <v>354</v>
      </c>
      <c r="C82" s="157">
        <f>IFERROR(VLOOKUP(B82,'Balance de sumas y saldos'!$A$27:$D$444,4,FALSE),)</f>
        <v>-25741.92</v>
      </c>
      <c r="D82" s="65"/>
      <c r="E82" s="135"/>
      <c r="F82" s="65"/>
      <c r="G82" s="65"/>
      <c r="H82" s="65"/>
      <c r="I82" s="127"/>
      <c r="J82" s="127"/>
    </row>
    <row r="83" spans="1:10" x14ac:dyDescent="0.25">
      <c r="A83" s="136" t="s">
        <v>355</v>
      </c>
      <c r="B83" s="155" t="s">
        <v>356</v>
      </c>
      <c r="C83" s="157">
        <f>IFERROR(VLOOKUP(B83,'Balance de sumas y saldos'!$A$27:$D$444,4,FALSE),)</f>
        <v>-31629.29</v>
      </c>
      <c r="D83" s="65"/>
      <c r="E83" s="135"/>
      <c r="F83" s="65"/>
      <c r="G83" s="65"/>
      <c r="H83" s="65"/>
      <c r="I83" s="127"/>
      <c r="J83" s="127"/>
    </row>
    <row r="84" spans="1:10" x14ac:dyDescent="0.25">
      <c r="A84" s="126"/>
      <c r="B84" s="64" t="s">
        <v>357</v>
      </c>
      <c r="C84" s="157">
        <f>IFERROR(VLOOKUP(B84,'Balance de sumas y saldos'!$A$27:$D$444,4,FALSE),)</f>
      </c>
      <c r="D84" s="142"/>
      <c r="E84" s="135"/>
      <c r="F84" s="65"/>
      <c r="G84" s="65"/>
      <c r="H84" s="65"/>
      <c r="I84" s="127"/>
      <c r="J84" s="127"/>
    </row>
    <row r="85" spans="1:10" x14ac:dyDescent="0.25">
      <c r="A85" s="126"/>
      <c r="B85" s="64" t="s">
        <v>358</v>
      </c>
      <c r="C85" s="157">
        <f>IFERROR(VLOOKUP(B85,'Balance de sumas y saldos'!$A$27:$D$444,4,FALSE),)</f>
      </c>
      <c r="D85" s="142"/>
      <c r="E85" s="135"/>
      <c r="F85" s="65"/>
      <c r="G85" s="65"/>
      <c r="H85" s="65"/>
      <c r="I85" s="127"/>
      <c r="J85" s="127"/>
    </row>
    <row r="86" spans="1:10" x14ac:dyDescent="0.25">
      <c r="A86" s="145" t="s">
        <v>359</v>
      </c>
      <c r="B86" s="65" t="s">
        <v>360</v>
      </c>
      <c r="C86" s="157">
        <f>IFERROR(VLOOKUP(B86,'Balance de sumas y saldos'!$A$27:$D$444,4,FALSE),)</f>
        <v>-134391.6</v>
      </c>
      <c r="D86" s="65"/>
      <c r="E86" s="135"/>
      <c r="F86" s="65"/>
      <c r="G86" s="65"/>
      <c r="H86" s="65"/>
      <c r="I86" s="127"/>
      <c r="J86" s="127"/>
    </row>
    <row r="87" spans="1:10" x14ac:dyDescent="0.25">
      <c r="A87" s="145" t="s">
        <v>361</v>
      </c>
      <c r="B87" s="65" t="s">
        <v>362</v>
      </c>
      <c r="C87" s="157">
        <f>IFERROR(VLOOKUP(B87,'Balance de sumas y saldos'!$A$27:$D$444,4,FALSE),)</f>
        <v>-26660.31</v>
      </c>
      <c r="D87" s="146"/>
      <c r="E87" s="135"/>
      <c r="F87" s="65"/>
      <c r="G87" s="65"/>
      <c r="H87" s="65"/>
      <c r="I87" s="127"/>
      <c r="J87" s="127"/>
    </row>
    <row r="88" spans="1:10" x14ac:dyDescent="0.25">
      <c r="A88" s="126"/>
      <c r="B88" s="65" t="s">
        <v>363</v>
      </c>
      <c r="C88" s="157">
        <f>IFERROR(VLOOKUP(B88,'Balance de sumas y saldos'!$A$27:$D$444,4,FALSE),)</f>
      </c>
      <c r="D88" s="154"/>
      <c r="E88" s="135"/>
      <c r="F88" s="65"/>
      <c r="G88" s="65"/>
      <c r="H88" s="65"/>
      <c r="I88" s="127"/>
      <c r="J88" s="127"/>
    </row>
    <row r="89" spans="1:10" x14ac:dyDescent="0.25">
      <c r="A89" s="126"/>
      <c r="B89" s="64" t="s">
        <v>364</v>
      </c>
      <c r="C89" s="157">
        <f>IFERROR(VLOOKUP(B89,'Balance de sumas y saldos'!$A$27:$D$444,4,FALSE),)</f>
      </c>
      <c r="D89" s="142"/>
      <c r="E89" s="135"/>
      <c r="F89" s="65"/>
      <c r="G89" s="65"/>
      <c r="H89" s="127"/>
      <c r="I89" s="127"/>
      <c r="J89" s="127"/>
    </row>
    <row r="90" spans="1:10" x14ac:dyDescent="0.25">
      <c r="A90" s="126"/>
      <c r="B90" s="64" t="s">
        <v>365</v>
      </c>
      <c r="C90" s="157">
        <f>IFERROR(VLOOKUP(B90,'Balance de sumas y saldos'!$A$27:$D$444,4,FALSE),)</f>
      </c>
      <c r="D90" s="142"/>
      <c r="E90" s="135"/>
      <c r="F90" s="65"/>
      <c r="G90" s="65"/>
      <c r="H90" s="127"/>
      <c r="I90" s="127"/>
      <c r="J90" s="127"/>
    </row>
    <row r="91" ht="13.8" customHeight="1" spans="1:10" x14ac:dyDescent="0.25">
      <c r="A91" s="126"/>
      <c r="B91" s="64" t="s">
        <v>366</v>
      </c>
      <c r="C91" s="157">
        <f>IFERROR(VLOOKUP(B91,'Balance de sumas y saldos'!$A$27:$D$444,4,FALSE),)</f>
      </c>
      <c r="D91" s="142"/>
      <c r="E91" s="158" t="s">
        <v>6</v>
      </c>
      <c r="F91" s="159"/>
      <c r="G91" s="65"/>
      <c r="H91" s="127"/>
      <c r="I91" s="127"/>
      <c r="J91" s="127"/>
    </row>
    <row r="92" spans="1:10" x14ac:dyDescent="0.25">
      <c r="A92" s="126"/>
      <c r="B92" s="155" t="s">
        <v>367</v>
      </c>
      <c r="C92" s="157">
        <f>IFERROR(VLOOKUP(B92,'Balance de sumas y saldos'!$A$27:$D$444,4,FALSE),)</f>
      </c>
      <c r="D92" s="142"/>
      <c r="E92" s="135">
        <f>SUM(C60:C95)</f>
        <v>-1499222.6251050439</v>
      </c>
      <c r="F92" s="140">
        <f>+Balance!L12</f>
        <v>1499222.6251050439</v>
      </c>
      <c r="G92" s="65"/>
      <c r="H92" s="127"/>
      <c r="I92" s="127"/>
      <c r="J92" s="127"/>
    </row>
    <row r="93" spans="1:10" x14ac:dyDescent="0.25">
      <c r="A93" s="126"/>
      <c r="B93" s="64" t="s">
        <v>368</v>
      </c>
      <c r="C93" s="157">
        <f>IFERROR(VLOOKUP(B93,'Balance de sumas y saldos'!$A$27:$D$444,4,FALSE),)</f>
        <v>-13.32</v>
      </c>
      <c r="D93" s="142"/>
      <c r="E93" s="135"/>
      <c r="F93" s="140">
        <f>+F92+E92</f>
        <v>0</v>
      </c>
      <c r="G93" s="65"/>
      <c r="H93" s="127"/>
      <c r="I93" s="127"/>
      <c r="J93" s="127"/>
    </row>
    <row r="94" spans="1:10" x14ac:dyDescent="0.25">
      <c r="A94" s="126"/>
      <c r="B94" s="64" t="s">
        <v>369</v>
      </c>
      <c r="C94" s="157">
        <f>IFERROR(VLOOKUP(B94,'Balance de sumas y saldos'!$A$27:$D$444,4,FALSE),)</f>
      </c>
      <c r="D94" s="142"/>
      <c r="E94" s="135"/>
      <c r="F94" s="140"/>
      <c r="G94" s="65"/>
      <c r="H94" s="127"/>
      <c r="I94" s="127"/>
      <c r="J94" s="127"/>
    </row>
    <row r="95" spans="1:10" x14ac:dyDescent="0.25">
      <c r="A95" s="126"/>
      <c r="B95" s="155" t="s">
        <v>370</v>
      </c>
      <c r="C95" s="157">
        <f>IFERROR(VLOOKUP(B95,'Balance de sumas y saldos'!$A$27:$D$444,4,FALSE),)</f>
        <v>-0.900000000000002</v>
      </c>
      <c r="D95" s="142"/>
      <c r="E95" s="135"/>
      <c r="F95" s="140"/>
      <c r="G95" s="65"/>
      <c r="H95" s="127"/>
      <c r="I95" s="127"/>
      <c r="J95" s="127"/>
    </row>
    <row r="96" spans="1:10" x14ac:dyDescent="0.25">
      <c r="A96" s="126"/>
      <c r="B96" s="147" t="s">
        <v>371</v>
      </c>
      <c r="C96" s="157">
        <f>IFERROR(VLOOKUP(B96,'Balance de sumas y saldos'!$A$27:$D$444,4,FALSE),)</f>
        <v>-3.90798504668055e-14</v>
      </c>
      <c r="D96" s="142"/>
      <c r="E96" s="135"/>
      <c r="F96" s="140"/>
      <c r="G96" s="65"/>
      <c r="H96" s="127"/>
      <c r="I96" s="127"/>
      <c r="J96" s="127"/>
    </row>
    <row r="97" spans="1:10" x14ac:dyDescent="0.25">
      <c r="A97" s="126"/>
      <c r="B97" s="155"/>
      <c r="C97" s="137"/>
      <c r="D97" s="142"/>
      <c r="E97" s="135"/>
      <c r="F97" s="140"/>
      <c r="G97" s="65"/>
      <c r="H97" s="127"/>
      <c r="I97" s="127"/>
      <c r="J97" s="127"/>
    </row>
    <row r="98" spans="1:10" x14ac:dyDescent="0.25">
      <c r="A98" s="126"/>
      <c r="B98" s="155"/>
      <c r="C98" s="137"/>
      <c r="D98" s="142"/>
      <c r="E98" s="135"/>
      <c r="F98" s="140"/>
      <c r="G98" s="65"/>
      <c r="H98" s="127"/>
      <c r="I98" s="127"/>
      <c r="J98" s="127"/>
    </row>
    <row r="99" spans="1:10" x14ac:dyDescent="0.25">
      <c r="A99" s="126"/>
      <c r="B99" s="69"/>
      <c r="C99" s="12"/>
      <c r="D99" s="142"/>
      <c r="E99" s="135"/>
      <c r="F99" s="65"/>
      <c r="G99" s="65"/>
      <c r="H99" s="127"/>
      <c r="I99" s="127"/>
      <c r="J99" s="127"/>
    </row>
    <row r="100" spans="1:10" x14ac:dyDescent="0.25">
      <c r="A100" s="160" t="s">
        <v>372</v>
      </c>
      <c r="B100" s="64" t="s">
        <v>373</v>
      </c>
      <c r="C100" s="137">
        <f>IFERROR(VLOOKUP(B100,'Balance de sumas y saldos'!$A$27:$D$444,4,FALSE),)</f>
        <v>-51718582.9</v>
      </c>
      <c r="D100" s="129"/>
      <c r="E100" s="135"/>
      <c r="F100" s="65"/>
      <c r="G100" s="65"/>
      <c r="H100" s="127"/>
      <c r="I100" s="127"/>
      <c r="J100" s="127"/>
    </row>
    <row r="101" spans="1:10" x14ac:dyDescent="0.25">
      <c r="A101" s="160" t="s">
        <v>374</v>
      </c>
      <c r="B101" s="64" t="s">
        <v>375</v>
      </c>
      <c r="C101" s="137">
        <f>IFERROR(VLOOKUP(B101,'Balance de sumas y saldos'!$A$27:$D$444,4,FALSE),)</f>
        <v>48116541.3746332</v>
      </c>
      <c r="D101" s="142"/>
      <c r="E101" s="135"/>
      <c r="F101" s="65"/>
      <c r="G101" s="65"/>
      <c r="H101" s="127"/>
      <c r="I101" s="127"/>
      <c r="J101" s="127"/>
    </row>
    <row r="102" spans="1:10" x14ac:dyDescent="0.25">
      <c r="A102" s="126"/>
      <c r="B102" s="65" t="s">
        <v>376</v>
      </c>
      <c r="C102" s="137">
        <f>IFERROR(VLOOKUP(B102,'Balance de sumas y saldos'!$A$27:$D$438,4,FALSE),)</f>
      </c>
      <c r="D102" s="142"/>
      <c r="E102" s="135"/>
      <c r="F102" s="65"/>
      <c r="G102" s="65"/>
      <c r="H102" s="127"/>
      <c r="I102" s="127"/>
      <c r="J102" s="127"/>
    </row>
    <row r="103" spans="1:10" x14ac:dyDescent="0.25">
      <c r="A103" s="126"/>
      <c r="B103" s="1" t="s">
        <v>73</v>
      </c>
      <c r="C103" s="137">
        <f>IFERROR(VLOOKUP(B103,'Balance de sumas y saldos'!$A$27:$D$438,4,FALSE),)</f>
      </c>
      <c r="D103" s="142"/>
      <c r="E103" s="135"/>
      <c r="F103" s="65"/>
      <c r="G103" s="65"/>
      <c r="H103" s="127"/>
      <c r="I103" s="127"/>
      <c r="J103" s="127"/>
    </row>
    <row r="104" spans="1:10" x14ac:dyDescent="0.25">
      <c r="A104" s="126"/>
      <c r="B104" s="1"/>
      <c r="C104" s="12"/>
      <c r="D104" s="142"/>
      <c r="E104" s="135"/>
      <c r="F104" s="65"/>
      <c r="G104" s="65"/>
      <c r="H104" s="127"/>
      <c r="I104" s="127"/>
      <c r="J104" s="127"/>
    </row>
    <row r="105" spans="1:10" x14ac:dyDescent="0.25">
      <c r="A105" s="126"/>
      <c r="B105" s="69"/>
      <c r="C105" s="12"/>
      <c r="D105" s="142"/>
      <c r="E105" s="135"/>
      <c r="F105" s="65"/>
      <c r="G105" s="65"/>
      <c r="H105" s="127"/>
      <c r="I105" s="127"/>
      <c r="J105" s="127"/>
    </row>
    <row r="106" spans="1:10" x14ac:dyDescent="0.25">
      <c r="A106" s="126"/>
      <c r="B106" s="64" t="s">
        <v>377</v>
      </c>
      <c r="C106" s="137">
        <f>IFERROR(VLOOKUP(B106,'Balance de sumas y saldos'!$A$27:$D$450,4,FALSE),)</f>
      </c>
      <c r="D106" s="146"/>
      <c r="E106" s="135"/>
      <c r="F106" s="136"/>
      <c r="G106" s="65"/>
      <c r="H106" s="127"/>
      <c r="I106" s="127"/>
      <c r="J106" s="127"/>
    </row>
    <row r="107" spans="1:10" x14ac:dyDescent="0.25">
      <c r="A107" s="126"/>
      <c r="B107" s="64" t="s">
        <v>378</v>
      </c>
      <c r="C107" s="137">
        <f>IFERROR(VLOOKUP(B107,'Balance de sumas y saldos'!$A$27:$D$450,4,FALSE),)</f>
      </c>
      <c r="D107" s="142"/>
      <c r="E107" s="135"/>
      <c r="F107" s="136"/>
      <c r="G107" s="65"/>
      <c r="H107" s="127"/>
      <c r="I107" s="127"/>
      <c r="J107" s="127"/>
    </row>
    <row r="108" spans="1:10" x14ac:dyDescent="0.25">
      <c r="A108" s="126"/>
      <c r="B108" s="65" t="s">
        <v>379</v>
      </c>
      <c r="C108" s="137">
        <f>IFERROR(VLOOKUP(B108,'Balance de sumas y saldos'!$A$27:$D$450,4,FALSE),)</f>
      </c>
      <c r="D108" s="142"/>
      <c r="E108" s="135"/>
      <c r="F108" s="136"/>
      <c r="G108" s="65"/>
      <c r="H108" s="137"/>
      <c r="I108" s="127"/>
      <c r="J108" s="127"/>
    </row>
    <row r="109" spans="1:10" x14ac:dyDescent="0.25">
      <c r="A109" s="126"/>
      <c r="B109" s="65" t="s">
        <v>380</v>
      </c>
      <c r="C109" s="137">
        <f>IFERROR(VLOOKUP(B109,'Balance de sumas y saldos'!$A$27:$D$450,4,FALSE),)</f>
      </c>
      <c r="D109" s="142"/>
      <c r="E109" s="135"/>
      <c r="F109" s="136"/>
      <c r="G109" s="65"/>
      <c r="H109" s="137"/>
      <c r="I109" s="127"/>
      <c r="J109" s="127"/>
    </row>
    <row r="110" spans="1:10" x14ac:dyDescent="0.25">
      <c r="A110" s="126"/>
      <c r="B110" s="65" t="s">
        <v>381</v>
      </c>
      <c r="C110" s="137">
        <f>IFERROR(VLOOKUP(B110,'Balance de sumas y saldos'!$A$27:$D$450,4,FALSE),)</f>
      </c>
      <c r="D110" s="142"/>
      <c r="E110" s="135"/>
      <c r="F110" s="136"/>
      <c r="G110" s="65"/>
      <c r="H110" s="137"/>
      <c r="I110" s="127"/>
      <c r="J110" s="127"/>
    </row>
    <row r="111" spans="1:10" x14ac:dyDescent="0.25">
      <c r="A111" s="126"/>
      <c r="B111" s="65" t="s">
        <v>382</v>
      </c>
      <c r="C111" s="137">
        <f>IFERROR(VLOOKUP(B111,'Balance de sumas y saldos'!$A$27:$D$450,4,FALSE),)</f>
      </c>
      <c r="D111" s="142"/>
      <c r="E111" s="135"/>
      <c r="F111" s="136"/>
      <c r="G111" s="65"/>
      <c r="H111" s="137"/>
      <c r="I111" s="127"/>
      <c r="J111" s="127"/>
    </row>
    <row r="112" spans="1:10" x14ac:dyDescent="0.25">
      <c r="A112" s="126"/>
      <c r="B112" s="65" t="s">
        <v>383</v>
      </c>
      <c r="C112" s="137">
        <f>IFERROR(VLOOKUP(B112,'Balance de sumas y saldos'!$A$27:$D$450,4,FALSE),)</f>
      </c>
      <c r="D112" s="142"/>
      <c r="E112" s="135"/>
      <c r="F112" s="136"/>
      <c r="G112" s="65"/>
      <c r="H112" s="137"/>
      <c r="I112" s="127"/>
      <c r="J112" s="127"/>
    </row>
    <row r="113" spans="1:10" x14ac:dyDescent="0.25">
      <c r="A113" s="136" t="s">
        <v>384</v>
      </c>
      <c r="B113" s="64" t="s">
        <v>384</v>
      </c>
      <c r="C113" s="137">
        <f>IFERROR(VLOOKUP(B113,'Balance de sumas y saldos'!$A$27:$D$450,4,FALSE),)</f>
      </c>
      <c r="D113" s="142"/>
      <c r="E113" s="135"/>
      <c r="F113" s="136"/>
      <c r="G113" s="65"/>
      <c r="H113" s="137"/>
      <c r="I113" s="127"/>
      <c r="J113" s="127"/>
    </row>
    <row r="114" spans="1:10" x14ac:dyDescent="0.25">
      <c r="A114" s="126"/>
      <c r="B114" s="64" t="s">
        <v>385</v>
      </c>
      <c r="C114" s="137">
        <f>IFERROR(VLOOKUP(B114,'Balance de sumas y saldos'!$A$27:$D$450,4,FALSE),)</f>
        <v>119655.77</v>
      </c>
      <c r="D114" s="142"/>
      <c r="E114" s="135"/>
      <c r="F114" s="136"/>
      <c r="G114" s="65"/>
      <c r="H114" s="137"/>
      <c r="I114" s="127"/>
      <c r="J114" s="127"/>
    </row>
    <row r="115" spans="1:10" x14ac:dyDescent="0.25">
      <c r="A115" s="126"/>
      <c r="B115" s="64" t="s">
        <v>386</v>
      </c>
      <c r="C115" s="137">
        <f>IFERROR(VLOOKUP(B115,'Balance de sumas y saldos'!$A$27:$D$450,4,FALSE),)</f>
      </c>
      <c r="D115" s="142"/>
      <c r="E115" s="135"/>
      <c r="F115" s="136"/>
      <c r="G115" s="65"/>
      <c r="H115" s="137"/>
      <c r="I115" s="127"/>
      <c r="J115" s="127"/>
    </row>
    <row r="116" spans="1:10" x14ac:dyDescent="0.25">
      <c r="A116" s="126"/>
      <c r="B116" s="64" t="s">
        <v>387</v>
      </c>
      <c r="C116" s="137">
        <f>IFERROR(VLOOKUP(B116,'Balance de sumas y saldos'!$A$27:$D$450,4,FALSE),)</f>
        <v>106476.09</v>
      </c>
      <c r="D116" s="142"/>
      <c r="E116" s="135"/>
      <c r="F116" s="136"/>
      <c r="G116" s="65"/>
      <c r="H116" s="137"/>
      <c r="I116" s="127"/>
      <c r="J116" s="127"/>
    </row>
    <row r="117" spans="1:10" x14ac:dyDescent="0.25">
      <c r="A117" s="126"/>
      <c r="B117" s="64" t="s">
        <v>388</v>
      </c>
      <c r="C117" s="137">
        <f>IFERROR(VLOOKUP(B117,'Balance de sumas y saldos'!$A$27:$D$450,4,FALSE),)</f>
        <v>10000.93</v>
      </c>
      <c r="D117" s="142"/>
      <c r="E117" s="135"/>
      <c r="F117" s="136"/>
      <c r="G117" s="65"/>
      <c r="H117" s="137"/>
      <c r="I117" s="127"/>
      <c r="J117" s="127"/>
    </row>
    <row r="118" spans="1:10" x14ac:dyDescent="0.25">
      <c r="A118" s="126"/>
      <c r="B118" s="64" t="s">
        <v>389</v>
      </c>
      <c r="C118" s="137">
        <f>IFERROR(VLOOKUP(B118,'Balance de sumas y saldos'!$A$27:$D$450,4,FALSE),)</f>
        <v>767.75</v>
      </c>
      <c r="D118" s="142"/>
      <c r="E118" s="135"/>
      <c r="F118" s="136"/>
      <c r="G118" s="129"/>
      <c r="H118" s="137"/>
      <c r="I118" s="127"/>
      <c r="J118" s="127"/>
    </row>
    <row r="119" spans="1:10" x14ac:dyDescent="0.25">
      <c r="A119" s="126"/>
      <c r="B119" s="64" t="s">
        <v>390</v>
      </c>
      <c r="C119" s="137">
        <f>IFERROR(VLOOKUP(B119,'Balance de sumas y saldos'!$A$27:$D$450,4,FALSE),)</f>
      </c>
      <c r="D119" s="142"/>
      <c r="E119" s="135"/>
      <c r="F119" s="136"/>
      <c r="G119" s="65"/>
      <c r="H119" s="137"/>
      <c r="I119" s="127"/>
      <c r="J119" s="127"/>
    </row>
    <row r="120" spans="1:10" x14ac:dyDescent="0.25">
      <c r="A120" s="126"/>
      <c r="B120" s="65" t="s">
        <v>391</v>
      </c>
      <c r="C120" s="137">
        <f>IFERROR(VLOOKUP(B120,'Balance de sumas y saldos'!$A$27:$D$450,4,FALSE),)</f>
        <v>21.03</v>
      </c>
      <c r="D120" s="142"/>
      <c r="E120" s="135"/>
      <c r="F120" s="136"/>
      <c r="G120" s="65"/>
      <c r="H120" s="137"/>
      <c r="I120" s="127"/>
      <c r="J120" s="127"/>
    </row>
    <row r="121" spans="1:10" x14ac:dyDescent="0.25">
      <c r="A121" s="126"/>
      <c r="B121" s="64" t="s">
        <v>392</v>
      </c>
      <c r="C121" s="137">
        <f>IFERROR(VLOOKUP(B121,'Balance de sumas y saldos'!$A$27:$D$450,4,FALSE),)</f>
        <v>2811.7</v>
      </c>
      <c r="D121" s="142"/>
      <c r="E121" s="135"/>
      <c r="F121" s="136"/>
      <c r="G121" s="65"/>
      <c r="H121" s="127"/>
      <c r="I121" s="127"/>
      <c r="J121" s="127"/>
    </row>
    <row r="122" spans="1:10" x14ac:dyDescent="0.25">
      <c r="A122" s="126"/>
      <c r="B122" s="64" t="s">
        <v>393</v>
      </c>
      <c r="C122" s="137">
        <f>IFERROR(VLOOKUP(B122,'Balance de sumas y saldos'!$A$27:$D$450,4,FALSE),)</f>
      </c>
      <c r="D122" s="142"/>
      <c r="E122" s="135"/>
      <c r="F122" s="136"/>
      <c r="G122" s="65"/>
      <c r="H122" s="127"/>
      <c r="I122" s="127"/>
      <c r="J122" s="127"/>
    </row>
    <row r="123" spans="1:10" x14ac:dyDescent="0.25">
      <c r="A123" s="126"/>
      <c r="B123" s="64" t="s">
        <v>394</v>
      </c>
      <c r="C123" s="137">
        <f>IFERROR(VLOOKUP(B123,'Balance de sumas y saldos'!$A$27:$D$450,4,FALSE),)</f>
      </c>
      <c r="D123" s="142"/>
      <c r="E123" s="135"/>
      <c r="F123" s="136"/>
      <c r="G123" s="65"/>
      <c r="H123" s="127"/>
      <c r="I123" s="127"/>
      <c r="J123" s="127"/>
    </row>
    <row r="124" spans="1:10" x14ac:dyDescent="0.25">
      <c r="A124" s="126"/>
      <c r="B124" s="64" t="s">
        <v>395</v>
      </c>
      <c r="C124" s="137">
        <f>IFERROR(VLOOKUP(B124,'Balance de sumas y saldos'!$A$27:$D$450,4,FALSE),)</f>
        <v>7383.83</v>
      </c>
      <c r="D124" s="142"/>
      <c r="E124" s="135"/>
      <c r="F124" s="136"/>
      <c r="G124" s="65"/>
      <c r="H124" s="127"/>
      <c r="I124" s="127"/>
      <c r="J124" s="127"/>
    </row>
    <row r="125" spans="1:10" x14ac:dyDescent="0.25">
      <c r="A125" s="126"/>
      <c r="B125" s="65" t="s">
        <v>396</v>
      </c>
      <c r="C125" s="137">
        <f>IFERROR(VLOOKUP(B125,'Balance de sumas y saldos'!$A$27:$D$450,4,FALSE),)</f>
      </c>
      <c r="D125" s="142"/>
      <c r="E125" s="135"/>
      <c r="F125" s="136"/>
      <c r="G125" s="65"/>
      <c r="H125" s="127"/>
      <c r="I125" s="127"/>
      <c r="J125" s="127"/>
    </row>
    <row r="126" spans="1:10" x14ac:dyDescent="0.25">
      <c r="A126" s="126"/>
      <c r="B126" s="155" t="s">
        <v>397</v>
      </c>
      <c r="C126" s="137">
        <f>IFERROR(VLOOKUP(B126,'Balance de sumas y saldos'!$A$27:$D$450,4,FALSE),)</f>
      </c>
      <c r="D126" s="142"/>
      <c r="E126" s="135"/>
      <c r="F126" s="136"/>
      <c r="G126" s="65"/>
      <c r="H126" s="127"/>
      <c r="I126" s="127"/>
      <c r="J126" s="127"/>
    </row>
    <row r="127" spans="1:10" x14ac:dyDescent="0.25">
      <c r="A127" s="126"/>
      <c r="B127" s="64" t="s">
        <v>398</v>
      </c>
      <c r="C127" s="137">
        <f>IFERROR(VLOOKUP(B127,'Balance de sumas y saldos'!$A$27:$D$450,4,FALSE),)</f>
      </c>
      <c r="D127" s="142"/>
      <c r="E127" s="135"/>
      <c r="F127" s="136"/>
      <c r="G127" s="65"/>
      <c r="H127" s="127"/>
      <c r="I127" s="127"/>
      <c r="J127" s="127"/>
    </row>
    <row r="128" spans="1:10" x14ac:dyDescent="0.25">
      <c r="A128" s="126"/>
      <c r="B128" s="64" t="s">
        <v>399</v>
      </c>
      <c r="C128" s="137">
        <f>IFERROR(VLOOKUP(B128,'Balance de sumas y saldos'!$A$27:$D$450,4,FALSE),)</f>
        <v>12378.87</v>
      </c>
      <c r="D128" s="142">
        <v>1.446096575818956e-10</v>
      </c>
      <c r="E128" s="135"/>
      <c r="F128" s="136"/>
      <c r="G128" s="65"/>
      <c r="H128" s="127"/>
      <c r="I128" s="127"/>
      <c r="J128" s="127"/>
    </row>
    <row r="129" spans="1:10" x14ac:dyDescent="0.25">
      <c r="A129" s="126"/>
      <c r="B129" s="64" t="s">
        <v>400</v>
      </c>
      <c r="C129" s="137">
        <f>IFERROR(VLOOKUP(B129,'Balance de sumas y saldos'!$A$27:$D$450,4,FALSE),)</f>
      </c>
      <c r="D129" s="142"/>
      <c r="E129" s="135"/>
      <c r="F129" s="136"/>
      <c r="G129" s="65"/>
      <c r="H129" s="127"/>
      <c r="I129" s="127"/>
      <c r="J129" s="127"/>
    </row>
    <row r="130" spans="1:10" x14ac:dyDescent="0.25">
      <c r="A130" s="126"/>
      <c r="B130" s="64" t="s">
        <v>401</v>
      </c>
      <c r="C130" s="137">
        <f>IFERROR(VLOOKUP(B130,'Balance de sumas y saldos'!$A$27:$D$450,4,FALSE),)</f>
        <v>490.88</v>
      </c>
      <c r="D130" s="142"/>
      <c r="E130" s="135"/>
      <c r="F130" s="136"/>
      <c r="G130" s="65"/>
      <c r="H130" s="127"/>
      <c r="I130" s="127"/>
      <c r="J130" s="127"/>
    </row>
    <row r="131" spans="1:10" x14ac:dyDescent="0.25">
      <c r="A131" s="126"/>
      <c r="B131" s="64" t="s">
        <v>402</v>
      </c>
      <c r="C131" s="137">
        <f>IFERROR(VLOOKUP(B131,'Balance de sumas y saldos'!$A$27:$D$450,4,FALSE),)</f>
        <v>201.42</v>
      </c>
      <c r="D131" s="142"/>
      <c r="E131" s="135"/>
      <c r="F131" s="136"/>
      <c r="G131" s="65"/>
      <c r="H131" s="127"/>
      <c r="I131" s="127"/>
      <c r="J131" s="127"/>
    </row>
    <row r="132" spans="1:10" x14ac:dyDescent="0.25">
      <c r="A132" s="126"/>
      <c r="B132" s="64" t="s">
        <v>403</v>
      </c>
      <c r="C132" s="137">
        <f>IFERROR(VLOOKUP(B132,'Balance de sumas y saldos'!$A$27:$D$450,4,FALSE),)</f>
        <v>3543.26</v>
      </c>
      <c r="D132" s="146"/>
      <c r="E132" s="135"/>
      <c r="F132" s="136"/>
      <c r="G132" s="65"/>
      <c r="H132" s="127"/>
      <c r="I132" s="127"/>
      <c r="J132" s="127"/>
    </row>
    <row r="133" spans="1:10" x14ac:dyDescent="0.25">
      <c r="A133" s="126"/>
      <c r="B133" s="64" t="s">
        <v>404</v>
      </c>
      <c r="C133" s="137">
        <f>IFERROR(VLOOKUP(B133,'Balance de sumas y saldos'!$A$27:$D$450,4,FALSE),)</f>
        <v>1487.34</v>
      </c>
      <c r="D133" s="142"/>
      <c r="E133" s="135"/>
      <c r="F133" s="136"/>
      <c r="G133" s="65"/>
      <c r="H133" s="127"/>
      <c r="I133" s="127"/>
      <c r="J133" s="127"/>
    </row>
    <row r="134" spans="1:10" x14ac:dyDescent="0.25">
      <c r="A134" s="126"/>
      <c r="B134" s="64" t="s">
        <v>405</v>
      </c>
      <c r="C134" s="137">
        <f>IFERROR(VLOOKUP(B134,'Balance de sumas y saldos'!$A$27:$D$450,4,FALSE),)</f>
      </c>
      <c r="D134" s="142"/>
      <c r="E134" s="135"/>
      <c r="F134" s="136"/>
      <c r="G134" s="65"/>
      <c r="H134" s="127"/>
      <c r="I134" s="127"/>
      <c r="J134" s="127"/>
    </row>
    <row r="135" spans="1:10" x14ac:dyDescent="0.25">
      <c r="A135" s="126"/>
      <c r="B135" s="64" t="s">
        <v>406</v>
      </c>
      <c r="C135" s="137">
        <f>IFERROR(VLOOKUP(B135,'Balance de sumas y saldos'!$A$27:$D$450,4,FALSE),)</f>
      </c>
      <c r="D135" s="142"/>
      <c r="E135" s="135"/>
      <c r="F135" s="136"/>
      <c r="G135" s="65"/>
      <c r="H135" s="127"/>
      <c r="I135" s="127"/>
      <c r="J135" s="127"/>
    </row>
    <row r="136" spans="1:10" x14ac:dyDescent="0.25">
      <c r="A136" s="126"/>
      <c r="B136" s="64" t="s">
        <v>407</v>
      </c>
      <c r="C136" s="137">
        <f>IFERROR(VLOOKUP(B136,'Balance de sumas y saldos'!$A$27:$D$450,4,FALSE),)</f>
      </c>
      <c r="D136" s="142"/>
      <c r="E136" s="135"/>
      <c r="F136" s="136"/>
      <c r="G136" s="65"/>
      <c r="H136" s="127"/>
      <c r="I136" s="127"/>
      <c r="J136" s="127"/>
    </row>
    <row r="137" spans="1:10" x14ac:dyDescent="0.25">
      <c r="A137" s="126"/>
      <c r="B137" s="64" t="s">
        <v>408</v>
      </c>
      <c r="C137" s="137">
        <f>IFERROR(VLOOKUP(B137,'Balance de sumas y saldos'!$A$27:$D$450,4,FALSE),)</f>
      </c>
      <c r="D137" s="142"/>
      <c r="E137" s="135"/>
      <c r="F137" s="136"/>
      <c r="G137" s="65"/>
      <c r="H137" s="127"/>
      <c r="I137" s="127"/>
      <c r="J137" s="127"/>
    </row>
    <row r="138" spans="1:10" x14ac:dyDescent="0.25">
      <c r="A138" s="126"/>
      <c r="B138" s="64" t="s">
        <v>409</v>
      </c>
      <c r="C138" s="137">
        <f>IFERROR(VLOOKUP(B138,'Balance de sumas y saldos'!$A$27:$D$450,4,FALSE),)</f>
      </c>
      <c r="D138" s="142"/>
      <c r="E138" s="135"/>
      <c r="F138" s="136"/>
      <c r="G138" s="65"/>
      <c r="H138" s="127"/>
      <c r="I138" s="127"/>
      <c r="J138" s="127"/>
    </row>
    <row r="139" spans="1:10" x14ac:dyDescent="0.25">
      <c r="A139" s="126"/>
      <c r="B139" s="64" t="s">
        <v>410</v>
      </c>
      <c r="C139" s="137">
        <f>IFERROR(VLOOKUP(B139,'Balance de sumas y saldos'!$A$27:$D$450,4,FALSE),)</f>
      </c>
      <c r="D139" s="142"/>
      <c r="E139" s="135"/>
      <c r="F139" s="136"/>
      <c r="G139" s="65"/>
      <c r="H139" s="127"/>
      <c r="I139" s="127"/>
      <c r="J139" s="127"/>
    </row>
    <row r="140" spans="1:10" x14ac:dyDescent="0.25">
      <c r="A140" s="126"/>
      <c r="B140" s="64" t="s">
        <v>411</v>
      </c>
      <c r="C140" s="137">
        <f>IFERROR(VLOOKUP(B140,'Balance de sumas y saldos'!$A$27:$D$450,4,FALSE),)</f>
        <v>71.64</v>
      </c>
      <c r="D140" s="65"/>
      <c r="E140" s="135"/>
      <c r="F140" s="136"/>
      <c r="G140" s="65"/>
      <c r="H140" s="127"/>
      <c r="I140" s="127"/>
      <c r="J140" s="127"/>
    </row>
    <row r="141" spans="1:10" x14ac:dyDescent="0.25">
      <c r="A141" s="126"/>
      <c r="B141" s="64" t="s">
        <v>412</v>
      </c>
      <c r="C141" s="137">
        <f>IFERROR(VLOOKUP(B141,'Balance de sumas y saldos'!$A$27:$D$450,4,FALSE),)</f>
      </c>
      <c r="D141" s="142"/>
      <c r="E141" s="135"/>
      <c r="F141" s="136"/>
      <c r="G141" s="65"/>
      <c r="H141" s="127"/>
      <c r="I141" s="127"/>
      <c r="J141" s="127"/>
    </row>
    <row r="142" spans="1:10" x14ac:dyDescent="0.25">
      <c r="A142" s="126"/>
      <c r="B142" s="64" t="s">
        <v>413</v>
      </c>
      <c r="C142" s="137">
        <f>IFERROR(VLOOKUP(B142,'Balance de sumas y saldos'!$A$27:$D$450,4,FALSE),)</f>
        <v>104.17</v>
      </c>
      <c r="D142" s="65"/>
      <c r="E142" s="135"/>
      <c r="F142" s="136"/>
      <c r="G142" s="65"/>
      <c r="H142" s="127"/>
      <c r="I142" s="127"/>
      <c r="J142" s="127"/>
    </row>
    <row r="143" spans="1:10" x14ac:dyDescent="0.25">
      <c r="A143" s="126"/>
      <c r="B143" s="65" t="s">
        <v>414</v>
      </c>
      <c r="C143" s="137">
        <f>IFERROR(VLOOKUP(B143,'Balance de sumas y saldos'!$A$27:$D$450,4,FALSE),)</f>
      </c>
      <c r="D143" s="142"/>
      <c r="E143" s="135"/>
      <c r="F143" s="136"/>
      <c r="G143" s="65"/>
      <c r="H143" s="127"/>
      <c r="I143" s="127"/>
      <c r="J143" s="127"/>
    </row>
    <row r="144" spans="1:10" x14ac:dyDescent="0.25">
      <c r="A144" s="126"/>
      <c r="B144" s="64" t="s">
        <v>415</v>
      </c>
      <c r="C144" s="137">
        <f>IFERROR(VLOOKUP(B144,'Balance de sumas y saldos'!$A$27:$D$450,4,FALSE),)</f>
      </c>
      <c r="D144" s="142"/>
      <c r="E144" s="135"/>
      <c r="F144" s="136"/>
      <c r="G144" s="65"/>
      <c r="H144" s="127"/>
      <c r="I144" s="127"/>
      <c r="J144" s="127"/>
    </row>
    <row r="145" spans="1:10" x14ac:dyDescent="0.25">
      <c r="A145" s="126"/>
      <c r="B145" s="64" t="s">
        <v>416</v>
      </c>
      <c r="C145" s="137">
        <f>IFERROR(VLOOKUP(B145,'Balance de sumas y saldos'!$A$27:$D$450,4,FALSE),)</f>
      </c>
      <c r="D145" s="142"/>
      <c r="E145" s="135"/>
      <c r="F145" s="136"/>
      <c r="G145" s="65"/>
      <c r="H145" s="127"/>
      <c r="I145" s="127"/>
      <c r="J145" s="127"/>
    </row>
    <row r="146" spans="1:10" x14ac:dyDescent="0.25">
      <c r="A146" s="126"/>
      <c r="B146" s="64" t="s">
        <v>417</v>
      </c>
      <c r="C146" s="137">
        <f>IFERROR(VLOOKUP(B146,'Balance de sumas y saldos'!$A$27:$D$450,4,FALSE),)</f>
        <v>6613.93</v>
      </c>
      <c r="D146" s="65"/>
      <c r="E146" s="135"/>
      <c r="F146" s="136"/>
      <c r="G146" s="65"/>
      <c r="H146" s="127"/>
      <c r="I146" s="127"/>
      <c r="J146" s="127"/>
    </row>
    <row r="147" spans="1:10" x14ac:dyDescent="0.25">
      <c r="A147" s="126"/>
      <c r="B147" s="65" t="s">
        <v>418</v>
      </c>
      <c r="C147" s="137">
        <f>IFERROR(VLOOKUP(B147,'Balance de sumas y saldos'!$A$27:$D$450,4,FALSE),)</f>
        <v>15857.28</v>
      </c>
      <c r="D147" s="65"/>
      <c r="E147" s="135"/>
      <c r="F147" s="136"/>
      <c r="G147" s="65"/>
      <c r="H147" s="127"/>
      <c r="I147" s="127"/>
      <c r="J147" s="127"/>
    </row>
    <row r="148" spans="1:10" x14ac:dyDescent="0.25">
      <c r="A148" s="126"/>
      <c r="B148" s="64" t="s">
        <v>419</v>
      </c>
      <c r="C148" s="137">
        <f>IFERROR(VLOOKUP(B148,'Balance de sumas y saldos'!$A$27:$D$450,4,FALSE),)</f>
      </c>
      <c r="D148" s="142"/>
      <c r="E148" s="135"/>
      <c r="F148" s="136"/>
      <c r="G148" s="65"/>
      <c r="H148" s="127"/>
      <c r="I148" s="127"/>
      <c r="J148" s="127"/>
    </row>
    <row r="149" spans="1:10" x14ac:dyDescent="0.25">
      <c r="A149" s="126"/>
      <c r="B149" s="136" t="s">
        <v>420</v>
      </c>
      <c r="C149" s="137">
        <f>IFERROR(VLOOKUP(B149,'Balance de sumas y saldos'!$A$27:$D$450,4,FALSE),)</f>
        <v>46243.8675605284</v>
      </c>
      <c r="D149" s="65"/>
      <c r="E149" s="135"/>
      <c r="F149" s="136"/>
      <c r="G149" s="65"/>
      <c r="H149" s="127"/>
      <c r="I149" s="127"/>
      <c r="J149" s="127"/>
    </row>
    <row r="150" spans="1:10" x14ac:dyDescent="0.25">
      <c r="A150" s="126"/>
      <c r="B150" s="64" t="s">
        <v>421</v>
      </c>
      <c r="C150" s="137">
        <f>IFERROR(VLOOKUP(B150,'Balance de sumas y saldos'!$A$27:$D$450,4,FALSE),)</f>
      </c>
      <c r="D150" s="142"/>
      <c r="E150" s="135"/>
      <c r="F150" s="136"/>
      <c r="G150" s="65"/>
      <c r="H150" s="127"/>
      <c r="I150" s="127"/>
      <c r="J150" s="127"/>
    </row>
    <row r="151" spans="1:10" x14ac:dyDescent="0.25">
      <c r="A151" s="126"/>
      <c r="B151" s="64" t="s">
        <v>422</v>
      </c>
      <c r="C151" s="137">
        <f>IFERROR(VLOOKUP(B151,'Balance de sumas y saldos'!$A$27:$D$450,4,FALSE),)</f>
      </c>
      <c r="D151" s="142"/>
      <c r="E151" s="135"/>
      <c r="F151" s="136"/>
      <c r="G151" s="65"/>
      <c r="H151" s="127"/>
      <c r="I151" s="127"/>
      <c r="J151" s="127"/>
    </row>
    <row r="152" spans="1:10" x14ac:dyDescent="0.25">
      <c r="A152" s="126"/>
      <c r="B152" s="65" t="s">
        <v>423</v>
      </c>
      <c r="C152" s="137">
        <f>IFERROR(VLOOKUP(B152,'Balance de sumas y saldos'!$A$27:$D$450,4,FALSE),)</f>
      </c>
      <c r="D152" s="142"/>
      <c r="E152" s="135"/>
      <c r="F152" s="136"/>
      <c r="G152" s="65"/>
      <c r="H152" s="127"/>
      <c r="I152" s="127"/>
      <c r="J152" s="127"/>
    </row>
    <row r="153" spans="1:10" x14ac:dyDescent="0.25">
      <c r="A153" s="126"/>
      <c r="B153" s="161" t="s">
        <v>424</v>
      </c>
      <c r="C153" s="137">
        <f>IFERROR(VLOOKUP(B153,'Balance de sumas y saldos'!$A$27:$D$450,4,FALSE),)</f>
        <v>8215.17</v>
      </c>
      <c r="D153" s="142"/>
      <c r="E153" s="135"/>
      <c r="F153" s="136"/>
      <c r="G153" s="65"/>
      <c r="H153" s="127"/>
      <c r="I153" s="127"/>
      <c r="J153" s="127"/>
    </row>
    <row r="154" spans="1:10" x14ac:dyDescent="0.25">
      <c r="A154" s="126"/>
      <c r="B154" s="64" t="s">
        <v>425</v>
      </c>
      <c r="C154" s="137">
        <f>IFERROR(VLOOKUP(B154,'Balance de sumas y saldos'!$A$27:$D$450,4,FALSE),)</f>
      </c>
      <c r="D154" s="142"/>
      <c r="E154" s="135"/>
      <c r="F154" s="162"/>
      <c r="G154" s="65"/>
      <c r="H154" s="127"/>
      <c r="I154" s="127"/>
      <c r="J154" s="127"/>
    </row>
    <row r="155" spans="1:10" x14ac:dyDescent="0.25">
      <c r="A155" s="126"/>
      <c r="B155" s="64" t="s">
        <v>426</v>
      </c>
      <c r="C155" s="137">
        <f>IFERROR(VLOOKUP(B155,'Balance de sumas y saldos'!$A$27:$D$450,4,FALSE),)</f>
        <v>603.68</v>
      </c>
      <c r="D155" s="142"/>
      <c r="E155" s="135"/>
      <c r="F155" s="136"/>
      <c r="G155" s="65"/>
      <c r="H155" s="127"/>
      <c r="I155" s="127"/>
      <c r="J155" s="127"/>
    </row>
    <row r="156" spans="1:10" x14ac:dyDescent="0.25">
      <c r="A156" s="126"/>
      <c r="B156" s="64" t="s">
        <v>427</v>
      </c>
      <c r="C156" s="137">
        <f>IFERROR(VLOOKUP(B156,'Balance de sumas y saldos'!$A$27:$D$450,4,FALSE),)</f>
        <v>130.73</v>
      </c>
      <c r="D156" s="142"/>
      <c r="E156" s="135"/>
      <c r="F156" s="136"/>
      <c r="G156" s="65"/>
      <c r="H156" s="127"/>
      <c r="I156" s="127"/>
      <c r="J156" s="127"/>
    </row>
    <row r="157" spans="1:10" x14ac:dyDescent="0.25">
      <c r="A157" s="126"/>
      <c r="B157" s="64" t="s">
        <v>428</v>
      </c>
      <c r="C157" s="137">
        <f>IFERROR(VLOOKUP(B157,'Balance de sumas y saldos'!$A$27:$D$450,4,FALSE),)</f>
      </c>
      <c r="D157" s="142"/>
      <c r="E157" s="135"/>
      <c r="F157" s="136"/>
      <c r="G157" s="136"/>
      <c r="H157" s="137"/>
      <c r="I157" s="127"/>
      <c r="J157" s="127"/>
    </row>
    <row r="158" spans="1:10" x14ac:dyDescent="0.25">
      <c r="A158" s="126"/>
      <c r="B158" s="64" t="s">
        <v>429</v>
      </c>
      <c r="C158" s="137">
        <f>IFERROR(VLOOKUP(B158,'Balance de sumas y saldos'!$A$27:$D$450,4,FALSE),)</f>
      </c>
      <c r="D158" s="142"/>
      <c r="E158" s="135"/>
      <c r="F158" s="136"/>
      <c r="G158" s="136"/>
      <c r="H158" s="137"/>
      <c r="I158" s="127"/>
      <c r="J158" s="127"/>
    </row>
    <row r="159" spans="1:10" x14ac:dyDescent="0.25">
      <c r="A159" s="126"/>
      <c r="B159" s="64" t="s">
        <v>430</v>
      </c>
      <c r="C159" s="137">
        <f>IFERROR(VLOOKUP(B159,'Balance de sumas y saldos'!$A$27:$D$450,4,FALSE),)</f>
      </c>
      <c r="D159" s="142"/>
      <c r="E159" s="135"/>
      <c r="F159" s="136"/>
      <c r="G159" s="136"/>
      <c r="H159" s="137"/>
      <c r="I159" s="127"/>
      <c r="J159" s="127"/>
    </row>
    <row r="160" spans="1:10" x14ac:dyDescent="0.25">
      <c r="A160" s="126"/>
      <c r="B160" s="64" t="s">
        <v>431</v>
      </c>
      <c r="C160" s="137">
        <f>IFERROR(VLOOKUP(B160,'Balance de sumas y saldos'!$A$27:$D$450,4,FALSE),)</f>
      </c>
      <c r="D160" s="142"/>
      <c r="E160" s="135"/>
      <c r="F160" s="136"/>
      <c r="G160" s="136"/>
      <c r="H160" s="137"/>
      <c r="I160" s="127"/>
      <c r="J160" s="127"/>
    </row>
    <row r="161" spans="1:10" x14ac:dyDescent="0.25">
      <c r="A161" s="126"/>
      <c r="B161" s="64" t="s">
        <v>432</v>
      </c>
      <c r="C161" s="137">
        <f>IFERROR(VLOOKUP(B161,'Balance de sumas y saldos'!$A$27:$D$450,4,FALSE),)</f>
        <v>13.29</v>
      </c>
      <c r="D161" s="142"/>
      <c r="E161" s="135"/>
      <c r="F161" s="136"/>
      <c r="G161" s="136"/>
      <c r="H161" s="137"/>
      <c r="I161" s="127"/>
      <c r="J161" s="127"/>
    </row>
    <row r="162" spans="1:10" x14ac:dyDescent="0.25">
      <c r="A162" s="126"/>
      <c r="B162" s="65" t="s">
        <v>433</v>
      </c>
      <c r="C162" s="137">
        <f>IFERROR(VLOOKUP(B162,'Balance de sumas y saldos'!$A$27:$D$450,4,FALSE),)</f>
      </c>
      <c r="D162" s="65"/>
      <c r="E162" s="135"/>
      <c r="F162" s="136"/>
      <c r="G162" s="136"/>
      <c r="H162" s="137"/>
      <c r="I162" s="127"/>
      <c r="J162" s="127"/>
    </row>
    <row r="163" spans="1:10" x14ac:dyDescent="0.25">
      <c r="A163" s="126"/>
      <c r="B163" s="64" t="s">
        <v>434</v>
      </c>
      <c r="C163" s="137">
        <f>IFERROR(VLOOKUP(B163,'Balance de sumas y saldos'!$A$27:$D$450,4,FALSE),)</f>
        <v>61259.78</v>
      </c>
      <c r="D163" s="142"/>
      <c r="E163" s="135"/>
      <c r="F163" s="136"/>
      <c r="G163" s="136"/>
      <c r="H163" s="137"/>
      <c r="I163" s="127"/>
      <c r="J163" s="127"/>
    </row>
    <row r="164" spans="1:10" x14ac:dyDescent="0.25">
      <c r="A164" s="126"/>
      <c r="B164" s="64" t="s">
        <v>435</v>
      </c>
      <c r="C164" s="137">
        <f>IFERROR(VLOOKUP(B164,'Balance de sumas y saldos'!$A$27:$D$450,4,FALSE),)</f>
        <v>36709.74</v>
      </c>
      <c r="D164" s="142"/>
      <c r="E164" s="135"/>
      <c r="F164" s="136"/>
      <c r="G164" s="136"/>
      <c r="H164" s="137"/>
      <c r="I164" s="127"/>
      <c r="J164" s="127"/>
    </row>
    <row r="165" spans="1:10" x14ac:dyDescent="0.25">
      <c r="A165" s="126"/>
      <c r="B165" s="64" t="s">
        <v>436</v>
      </c>
      <c r="C165" s="137">
        <f>IFERROR(VLOOKUP(B165,'Balance de sumas y saldos'!$A$27:$D$450,4,FALSE),)</f>
        <v>19390</v>
      </c>
      <c r="D165" s="142"/>
      <c r="E165" s="135"/>
      <c r="F165" s="136"/>
      <c r="G165" s="136"/>
      <c r="H165" s="137"/>
      <c r="I165" s="127"/>
      <c r="J165" s="127"/>
    </row>
    <row r="166" spans="1:10" x14ac:dyDescent="0.25">
      <c r="A166" s="126"/>
      <c r="B166" s="64" t="s">
        <v>437</v>
      </c>
      <c r="C166" s="137">
        <f>IFERROR(VLOOKUP(B166,'Balance de sumas y saldos'!$A$27:$D$450,4,FALSE),)</f>
      </c>
      <c r="D166" s="142"/>
      <c r="E166" s="135"/>
      <c r="F166" s="136"/>
      <c r="G166" s="69"/>
      <c r="H166" s="137"/>
      <c r="I166" s="127"/>
      <c r="J166" s="127"/>
    </row>
    <row r="167" spans="1:10" x14ac:dyDescent="0.25">
      <c r="A167" s="126"/>
      <c r="B167" s="64" t="s">
        <v>438</v>
      </c>
      <c r="C167" s="137">
        <f>IFERROR(VLOOKUP(B167,'Balance de sumas y saldos'!$A$27:$D$450,4,FALSE),)</f>
      </c>
      <c r="D167" s="142"/>
      <c r="E167" s="135"/>
      <c r="F167" s="136"/>
      <c r="G167" s="136"/>
      <c r="H167" s="137"/>
      <c r="I167" s="127"/>
      <c r="J167" s="127"/>
    </row>
    <row r="168" spans="1:10" x14ac:dyDescent="0.25">
      <c r="A168" s="126"/>
      <c r="B168" s="64" t="s">
        <v>439</v>
      </c>
      <c r="C168" s="137">
        <f>IFERROR(VLOOKUP(B168,'Balance de sumas y saldos'!$A$27:$D$450,4,FALSE),)</f>
        <v>5298.39</v>
      </c>
      <c r="D168" s="142"/>
      <c r="E168" s="135"/>
      <c r="F168" s="136"/>
      <c r="G168" s="136"/>
      <c r="H168" s="137"/>
      <c r="I168" s="127"/>
      <c r="J168" s="127"/>
    </row>
    <row r="169" spans="1:10" x14ac:dyDescent="0.25">
      <c r="A169" s="126"/>
      <c r="B169" s="64" t="s">
        <v>440</v>
      </c>
      <c r="C169" s="137">
        <f>IFERROR(VLOOKUP(B169,'Balance de sumas y saldos'!$A$27:$D$450,4,FALSE),)</f>
        <v>6051.11</v>
      </c>
      <c r="D169" s="142"/>
      <c r="E169" s="135"/>
      <c r="F169" s="136"/>
      <c r="G169" s="136"/>
      <c r="H169" s="137"/>
      <c r="I169" s="127"/>
      <c r="J169" s="127"/>
    </row>
    <row r="170" spans="1:10" x14ac:dyDescent="0.25">
      <c r="A170" s="126"/>
      <c r="B170" s="64" t="s">
        <v>441</v>
      </c>
      <c r="C170" s="137">
        <f>IFERROR(VLOOKUP(B170,'Balance de sumas y saldos'!$A$27:$D$450,4,FALSE),)</f>
      </c>
      <c r="D170" s="137"/>
      <c r="E170" s="135"/>
      <c r="F170" s="136"/>
      <c r="G170" s="136"/>
      <c r="H170" s="137"/>
      <c r="I170" s="127"/>
      <c r="J170" s="127"/>
    </row>
    <row r="171" spans="1:10" x14ac:dyDescent="0.25">
      <c r="A171" s="126"/>
      <c r="B171" s="64" t="s">
        <v>442</v>
      </c>
      <c r="C171" s="137">
        <f>IFERROR(VLOOKUP(B171,'Balance de sumas y saldos'!$A$27:$D$450,4,FALSE),)</f>
      </c>
      <c r="D171" s="137"/>
      <c r="E171" s="135"/>
      <c r="F171" s="136"/>
      <c r="G171" s="136"/>
      <c r="H171" s="137"/>
      <c r="I171" s="127"/>
      <c r="J171" s="127"/>
    </row>
    <row r="172" spans="1:10" x14ac:dyDescent="0.25">
      <c r="A172" s="126"/>
      <c r="B172" s="64" t="s">
        <v>443</v>
      </c>
      <c r="C172" s="137">
        <f>IFERROR(VLOOKUP(B172,'Balance de sumas y saldos'!$A$27:$D$450,4,FALSE),)</f>
      </c>
      <c r="D172" s="137"/>
      <c r="E172" s="135"/>
      <c r="F172" s="136"/>
      <c r="G172" s="136"/>
      <c r="H172" s="137"/>
      <c r="I172" s="127"/>
      <c r="J172" s="127"/>
    </row>
    <row r="173" spans="1:10" x14ac:dyDescent="0.25">
      <c r="A173" s="126"/>
      <c r="B173" s="64" t="s">
        <v>444</v>
      </c>
      <c r="C173" s="137">
        <f>IFERROR(VLOOKUP(B173,'Balance de sumas y saldos'!$A$27:$D$450,4,FALSE),)</f>
      </c>
      <c r="D173" s="142"/>
      <c r="E173" s="135"/>
      <c r="F173" s="136"/>
      <c r="G173" s="136"/>
      <c r="H173" s="137"/>
      <c r="I173" s="127"/>
      <c r="J173" s="127"/>
    </row>
    <row r="174" spans="1:10" x14ac:dyDescent="0.25">
      <c r="A174" s="126"/>
      <c r="B174" s="64" t="s">
        <v>445</v>
      </c>
      <c r="C174" s="137">
        <f>IFERROR(VLOOKUP(B174,'Balance de sumas y saldos'!$A$27:$D$450,4,FALSE),)</f>
      </c>
      <c r="D174" s="137"/>
      <c r="E174" s="135"/>
      <c r="F174" s="136"/>
      <c r="G174" s="136"/>
      <c r="H174" s="137"/>
      <c r="I174" s="127"/>
      <c r="J174" s="127"/>
    </row>
    <row r="175" spans="1:10" x14ac:dyDescent="0.25">
      <c r="A175" s="126"/>
      <c r="B175" s="64" t="s">
        <v>446</v>
      </c>
      <c r="C175" s="137">
        <f>IFERROR(VLOOKUP(B175,'Balance de sumas y saldos'!$A$27:$D$450,4,FALSE),)</f>
        <v>185113.95</v>
      </c>
      <c r="D175" s="142"/>
      <c r="E175" s="135"/>
      <c r="F175" s="136"/>
      <c r="G175" s="136"/>
      <c r="H175" s="137"/>
      <c r="I175" s="127"/>
      <c r="J175" s="127"/>
    </row>
    <row r="176" spans="1:10" x14ac:dyDescent="0.25">
      <c r="A176" s="126"/>
      <c r="B176" s="64" t="s">
        <v>447</v>
      </c>
      <c r="C176" s="137">
        <f>IFERROR(VLOOKUP(B176,'Balance de sumas y saldos'!$A$27:$D$450,4,FALSE),)</f>
        <v>41896.28</v>
      </c>
      <c r="D176" s="142"/>
      <c r="E176" s="135"/>
      <c r="F176" s="136"/>
      <c r="G176" s="136"/>
      <c r="H176" s="137"/>
      <c r="I176" s="127"/>
      <c r="J176" s="127"/>
    </row>
    <row r="177" spans="1:10" x14ac:dyDescent="0.25">
      <c r="A177" s="126"/>
      <c r="B177" s="64" t="s">
        <v>448</v>
      </c>
      <c r="C177" s="137">
        <f>IFERROR(VLOOKUP(B177,'Balance de sumas y saldos'!$A$27:$D$450,4,FALSE),)</f>
      </c>
      <c r="D177" s="142"/>
      <c r="E177" s="135"/>
      <c r="F177" s="136"/>
      <c r="G177" s="136"/>
      <c r="H177" s="137"/>
      <c r="I177" s="127"/>
      <c r="J177" s="127"/>
    </row>
    <row r="178" spans="1:10" x14ac:dyDescent="0.25">
      <c r="A178" s="126"/>
      <c r="B178" s="65" t="s">
        <v>449</v>
      </c>
      <c r="C178" s="137">
        <f>IFERROR(VLOOKUP(B178,'Balance de sumas y saldos'!$A$27:$D$450,4,FALSE),)</f>
      </c>
      <c r="D178" s="142"/>
      <c r="E178" s="135"/>
      <c r="F178" s="136"/>
      <c r="G178" s="136"/>
      <c r="H178" s="137"/>
      <c r="I178" s="127"/>
      <c r="J178" s="127"/>
    </row>
    <row r="179" spans="1:10" x14ac:dyDescent="0.25">
      <c r="A179" s="126"/>
      <c r="B179" s="64" t="s">
        <v>450</v>
      </c>
      <c r="C179" s="137">
        <f>IFERROR(VLOOKUP(B179,'Balance de sumas y saldos'!$A$27:$D$450,4,FALSE),)</f>
      </c>
      <c r="D179" s="142"/>
      <c r="E179" s="135"/>
      <c r="F179" s="136"/>
      <c r="G179" s="136"/>
      <c r="H179" s="137"/>
      <c r="I179" s="127"/>
      <c r="J179" s="127"/>
    </row>
    <row r="180" spans="1:10" x14ac:dyDescent="0.25">
      <c r="A180" s="126"/>
      <c r="B180" s="64" t="s">
        <v>451</v>
      </c>
      <c r="C180" s="137">
        <f>IFERROR(VLOOKUP(B180,'Balance de sumas y saldos'!$A$27:$D$450,4,FALSE),)</f>
      </c>
      <c r="D180" s="142"/>
      <c r="E180" s="135"/>
      <c r="F180" s="136"/>
      <c r="G180" s="136"/>
      <c r="H180" s="137"/>
      <c r="I180" s="127"/>
      <c r="J180" s="127"/>
    </row>
    <row r="181" spans="1:10" x14ac:dyDescent="0.25">
      <c r="A181" s="126"/>
      <c r="B181" s="64" t="s">
        <v>452</v>
      </c>
      <c r="C181" s="137">
        <f>IFERROR(VLOOKUP(B181,'Balance de sumas y saldos'!$A$27:$D$450,4,FALSE),)</f>
      </c>
      <c r="D181" s="129"/>
      <c r="E181" s="129"/>
      <c r="F181" s="136"/>
      <c r="G181" s="136"/>
      <c r="H181" s="137"/>
      <c r="I181" s="127"/>
      <c r="J181" s="127"/>
    </row>
    <row r="182" spans="1:10" x14ac:dyDescent="0.25">
      <c r="A182" s="126"/>
      <c r="B182" s="64" t="s">
        <v>453</v>
      </c>
      <c r="C182" s="137">
        <f>IFERROR(VLOOKUP(B182,'Balance de sumas y saldos'!$A$27:$D$450,4,FALSE),)</f>
      </c>
      <c r="D182" s="129"/>
      <c r="E182" s="129"/>
      <c r="F182" s="136"/>
      <c r="G182" s="136"/>
      <c r="H182" s="137"/>
      <c r="I182" s="127"/>
      <c r="J182" s="127"/>
    </row>
    <row r="183" spans="1:10" x14ac:dyDescent="0.25">
      <c r="A183" s="126"/>
      <c r="B183" s="64" t="s">
        <v>454</v>
      </c>
      <c r="C183" s="137">
        <f>IFERROR(VLOOKUP(B183,'Balance de sumas y saldos'!$A$27:$D$450,4,FALSE),)</f>
        <v>6455.22</v>
      </c>
      <c r="D183" s="129"/>
      <c r="E183" s="129"/>
      <c r="F183" s="136"/>
      <c r="G183" s="136"/>
      <c r="H183" s="137"/>
      <c r="I183" s="127"/>
      <c r="J183" s="127"/>
    </row>
    <row r="184" spans="1:10" x14ac:dyDescent="0.25">
      <c r="A184" s="126"/>
      <c r="B184" s="64" t="s">
        <v>455</v>
      </c>
      <c r="C184" s="137">
        <f>IFERROR(VLOOKUP(B184,'Balance de sumas y saldos'!$A$27:$D$450,4,FALSE),)</f>
        <v>4064.29</v>
      </c>
      <c r="D184" s="129"/>
      <c r="E184" s="129"/>
      <c r="F184" s="136"/>
      <c r="G184" s="136"/>
      <c r="H184" s="137"/>
      <c r="I184" s="127"/>
      <c r="J184" s="127"/>
    </row>
    <row r="185" spans="1:10" x14ac:dyDescent="0.25">
      <c r="A185" s="126"/>
      <c r="B185" s="64" t="s">
        <v>456</v>
      </c>
      <c r="C185" s="137">
        <f>IFERROR(VLOOKUP(B185,'Balance de sumas y saldos'!$A$27:$D$450,4,FALSE),)</f>
        <v>194840.71</v>
      </c>
      <c r="D185" s="129"/>
      <c r="E185" s="129"/>
      <c r="F185" s="136"/>
      <c r="G185" s="136"/>
      <c r="H185" s="137"/>
      <c r="I185" s="127"/>
      <c r="J185" s="127"/>
    </row>
    <row r="186" spans="1:10" x14ac:dyDescent="0.25">
      <c r="A186" s="126"/>
      <c r="B186" s="64" t="s">
        <v>457</v>
      </c>
      <c r="C186" s="137">
        <f>IFERROR(VLOOKUP(B186,'Balance de sumas y saldos'!$A$27:$D$450,4,FALSE),)</f>
      </c>
      <c r="D186" s="129"/>
      <c r="E186" s="129"/>
      <c r="F186" s="136"/>
      <c r="G186" s="136"/>
      <c r="H186" s="137"/>
      <c r="I186" s="127"/>
      <c r="J186" s="127"/>
    </row>
    <row r="187" spans="1:10" x14ac:dyDescent="0.25">
      <c r="A187" s="126"/>
      <c r="B187" s="64" t="s">
        <v>458</v>
      </c>
      <c r="C187" s="137">
        <f>IFERROR(VLOOKUP(B187,'Balance de sumas y saldos'!$A$27:$D$450,4,FALSE),)</f>
      </c>
      <c r="D187" s="129"/>
      <c r="E187" s="129"/>
      <c r="F187" s="136"/>
      <c r="G187" s="136"/>
      <c r="H187" s="137"/>
      <c r="I187" s="127"/>
      <c r="J187" s="127"/>
    </row>
    <row r="188" spans="1:10" x14ac:dyDescent="0.25">
      <c r="A188" s="126"/>
      <c r="B188" s="136" t="s">
        <v>459</v>
      </c>
      <c r="C188" s="137">
        <f>IFERROR(VLOOKUP(B188,'Balance de sumas y saldos'!$A$27:$D$450,4,FALSE),)</f>
        <v>346.02</v>
      </c>
      <c r="D188" s="129"/>
      <c r="E188" s="129"/>
      <c r="F188" s="136"/>
      <c r="G188" s="136"/>
      <c r="H188" s="137"/>
      <c r="I188" s="127"/>
      <c r="J188" s="127"/>
    </row>
    <row r="189" spans="1:10" x14ac:dyDescent="0.25">
      <c r="A189" s="126"/>
      <c r="B189" s="65" t="s">
        <v>460</v>
      </c>
      <c r="C189" s="137">
        <f>IFERROR(VLOOKUP(B189,'Balance de sumas y saldos'!$A$27:$D$450,4,FALSE),)</f>
        <v>165115.85</v>
      </c>
      <c r="D189" s="129"/>
      <c r="E189" s="129"/>
      <c r="F189" s="136"/>
      <c r="G189" s="136"/>
      <c r="H189" s="137"/>
      <c r="I189" s="127"/>
      <c r="J189" s="127"/>
    </row>
    <row r="190" spans="1:10" x14ac:dyDescent="0.25">
      <c r="A190" s="126"/>
      <c r="B190" s="65" t="s">
        <v>461</v>
      </c>
      <c r="C190" s="137">
        <f>IFERROR(VLOOKUP(B190,'Balance de sumas y saldos'!$A$27:$D$450,4,FALSE),)</f>
      </c>
      <c r="D190" s="129"/>
      <c r="E190" s="129"/>
      <c r="F190" s="136"/>
      <c r="G190" s="136"/>
      <c r="H190" s="137"/>
      <c r="I190" s="127"/>
      <c r="J190" s="127"/>
    </row>
    <row r="191" spans="1:10" x14ac:dyDescent="0.25">
      <c r="A191" s="126"/>
      <c r="B191" s="65" t="s">
        <v>462</v>
      </c>
      <c r="C191" s="137">
        <f>IFERROR(VLOOKUP(B191,'Balance de sumas y saldos'!$A$27:$D$450,4,FALSE),)</f>
        <v>2124.26</v>
      </c>
      <c r="D191" s="129"/>
      <c r="E191" s="129"/>
      <c r="F191" s="136"/>
      <c r="G191" s="136"/>
      <c r="H191" s="137"/>
      <c r="I191" s="127"/>
      <c r="J191" s="127"/>
    </row>
    <row r="192" spans="1:10" x14ac:dyDescent="0.25">
      <c r="A192" s="126"/>
      <c r="B192" s="64" t="s">
        <v>463</v>
      </c>
      <c r="C192" s="137">
        <f>IFERROR(VLOOKUP(B192,'Balance de sumas y saldos'!$A$27:$D$450,4,FALSE),)</f>
        <v>36686.71</v>
      </c>
      <c r="D192" s="129"/>
      <c r="E192" s="129"/>
      <c r="F192" s="136"/>
      <c r="G192" s="136"/>
      <c r="H192" s="137"/>
      <c r="I192" s="127"/>
      <c r="J192" s="127"/>
    </row>
    <row r="193" spans="1:10" x14ac:dyDescent="0.25">
      <c r="A193" s="126"/>
      <c r="B193" s="64" t="s">
        <v>464</v>
      </c>
      <c r="C193" s="137">
        <f>IFERROR(VLOOKUP(B193,'Balance de sumas y saldos'!$A$27:$D$450,4,FALSE),)</f>
        <v>547.37</v>
      </c>
      <c r="D193" s="65"/>
      <c r="E193" s="129"/>
      <c r="F193" s="136"/>
      <c r="G193" s="136"/>
      <c r="H193" s="137"/>
      <c r="I193" s="127"/>
      <c r="J193" s="127"/>
    </row>
    <row r="194" spans="1:10" x14ac:dyDescent="0.25">
      <c r="A194" s="126"/>
      <c r="B194" s="64" t="s">
        <v>465</v>
      </c>
      <c r="C194" s="137">
        <f>IFERROR(VLOOKUP(B194,'Balance de sumas y saldos'!$A$27:$D$450,4,FALSE),)</f>
        <v>13077.95</v>
      </c>
      <c r="D194" s="129"/>
      <c r="E194" s="129"/>
      <c r="F194" s="136"/>
      <c r="G194" s="136"/>
      <c r="H194" s="137"/>
      <c r="I194" s="127"/>
      <c r="J194" s="127"/>
    </row>
    <row r="195" spans="1:10" x14ac:dyDescent="0.25">
      <c r="A195" s="126"/>
      <c r="B195" s="64" t="s">
        <v>466</v>
      </c>
      <c r="C195" s="137">
        <f>IFERROR(VLOOKUP(B195,'Balance de sumas y saldos'!$A$27:$D$450,4,FALSE),)</f>
      </c>
      <c r="D195" s="129"/>
      <c r="E195" s="129"/>
      <c r="F195" s="136"/>
      <c r="G195" s="136"/>
      <c r="H195" s="137"/>
      <c r="I195" s="127"/>
      <c r="J195" s="127"/>
    </row>
    <row r="196" spans="1:10" x14ac:dyDescent="0.25">
      <c r="A196" s="126"/>
      <c r="B196" s="65" t="s">
        <v>467</v>
      </c>
      <c r="C196" s="137">
        <f>IFERROR(VLOOKUP(B196,'Balance de sumas y saldos'!$A$27:$D$450,4,FALSE),)</f>
      </c>
      <c r="D196" s="129"/>
      <c r="E196" s="129"/>
      <c r="F196" s="136"/>
      <c r="G196" s="136"/>
      <c r="H196" s="137"/>
      <c r="I196" s="127"/>
      <c r="J196" s="127"/>
    </row>
    <row r="197" spans="1:10" x14ac:dyDescent="0.25">
      <c r="A197" s="126"/>
      <c r="B197" s="65" t="s">
        <v>468</v>
      </c>
      <c r="C197" s="137">
        <f>IFERROR(VLOOKUP(B197,'Balance de sumas y saldos'!$A$27:$D$450,4,FALSE),)</f>
        <v>69.84</v>
      </c>
      <c r="D197" s="140"/>
      <c r="E197" s="129"/>
      <c r="F197" s="136"/>
      <c r="G197" s="136"/>
      <c r="H197" s="137"/>
      <c r="I197" s="127"/>
      <c r="J197" s="127"/>
    </row>
    <row r="198" spans="1:10" x14ac:dyDescent="0.25">
      <c r="A198" s="126"/>
      <c r="B198" s="64" t="s">
        <v>469</v>
      </c>
      <c r="C198" s="137">
        <f>IFERROR(VLOOKUP(B198,'Balance de sumas y saldos'!$A$27:$D$450,4,FALSE),)</f>
        <v>6055.09</v>
      </c>
      <c r="D198" s="129"/>
      <c r="E198" s="129"/>
      <c r="F198" s="136"/>
      <c r="G198" s="136"/>
      <c r="H198" s="137"/>
      <c r="I198" s="127"/>
      <c r="J198" s="127"/>
    </row>
    <row r="199" spans="1:10" x14ac:dyDescent="0.25">
      <c r="A199" s="126"/>
      <c r="B199" s="64" t="s">
        <v>470</v>
      </c>
      <c r="C199" s="137">
        <f>IFERROR(VLOOKUP(B199,'Balance de sumas y saldos'!$A$27:$D$450,4,FALSE),)</f>
        <v>10257.79</v>
      </c>
      <c r="D199" s="105"/>
      <c r="E199" s="129"/>
      <c r="F199" s="136"/>
      <c r="G199" s="136"/>
      <c r="H199" s="137"/>
      <c r="I199" s="127"/>
      <c r="J199" s="127"/>
    </row>
    <row r="200" spans="1:10" x14ac:dyDescent="0.25">
      <c r="A200" s="126"/>
      <c r="B200" s="64" t="s">
        <v>471</v>
      </c>
      <c r="C200" s="137">
        <f>IFERROR(VLOOKUP(B200,'Balance de sumas y saldos'!$A$27:$D$450,4,FALSE),)</f>
      </c>
      <c r="D200" s="129"/>
      <c r="E200" s="129"/>
      <c r="F200" s="136"/>
      <c r="G200" s="136"/>
      <c r="H200" s="137"/>
      <c r="I200" s="127"/>
      <c r="J200" s="127"/>
    </row>
    <row r="201" spans="1:10" x14ac:dyDescent="0.25">
      <c r="A201" s="126"/>
      <c r="B201" s="64" t="s">
        <v>472</v>
      </c>
      <c r="C201" s="137">
        <f>IFERROR(VLOOKUP(B201,'Balance de sumas y saldos'!$A$27:$D$450,4,FALSE),)</f>
        <v>344.5</v>
      </c>
      <c r="D201" s="129"/>
      <c r="E201" s="129"/>
      <c r="F201" s="136"/>
      <c r="G201" s="136"/>
      <c r="H201" s="137"/>
      <c r="I201" s="127"/>
      <c r="J201" s="127"/>
    </row>
    <row r="202" spans="1:10" x14ac:dyDescent="0.25">
      <c r="A202" s="126"/>
      <c r="B202" s="65" t="s">
        <v>473</v>
      </c>
      <c r="C202" s="137">
        <f>IFERROR(VLOOKUP(B202,'Balance de sumas y saldos'!$A$27:$D$450,4,FALSE),)</f>
      </c>
      <c r="D202" s="105"/>
      <c r="E202" s="129"/>
      <c r="F202" s="136"/>
      <c r="G202" s="136"/>
      <c r="H202" s="137"/>
      <c r="I202" s="127"/>
      <c r="J202" s="127"/>
    </row>
    <row r="203" spans="1:10" x14ac:dyDescent="0.25">
      <c r="A203" s="126"/>
      <c r="B203" s="64" t="s">
        <v>474</v>
      </c>
      <c r="C203" s="137">
        <f>IFERROR(VLOOKUP(B203,'Balance de sumas y saldos'!$A$27:$D$450,4,FALSE),)</f>
        <v>10991.7</v>
      </c>
      <c r="D203" s="129"/>
      <c r="E203" s="129"/>
      <c r="F203" s="136"/>
      <c r="G203" s="136"/>
      <c r="H203" s="137"/>
      <c r="I203" s="127"/>
      <c r="J203" s="127"/>
    </row>
    <row r="204" spans="1:10" x14ac:dyDescent="0.25">
      <c r="A204" s="126"/>
      <c r="B204" s="64" t="s">
        <v>475</v>
      </c>
      <c r="C204" s="137">
        <f>IFERROR(VLOOKUP(B204,'Balance de sumas y saldos'!$A$27:$D$450,4,FALSE),)</f>
      </c>
      <c r="D204" s="129"/>
      <c r="E204" s="129"/>
      <c r="F204" s="136"/>
      <c r="G204" s="136"/>
      <c r="H204" s="137"/>
      <c r="I204" s="127"/>
      <c r="J204" s="127"/>
    </row>
    <row r="205" spans="1:10" x14ac:dyDescent="0.25">
      <c r="A205" s="126"/>
      <c r="B205" s="64" t="s">
        <v>476</v>
      </c>
      <c r="C205" s="137">
        <f>IFERROR(VLOOKUP(B205,'Balance de sumas y saldos'!$A$27:$D$450,4,FALSE),)</f>
      </c>
      <c r="D205" s="105"/>
      <c r="E205" s="105"/>
      <c r="F205" s="69"/>
      <c r="G205" s="136"/>
      <c r="H205" s="137"/>
      <c r="I205" s="127"/>
      <c r="J205" s="127"/>
    </row>
    <row r="206" spans="1:10" x14ac:dyDescent="0.25">
      <c r="A206" s="126"/>
      <c r="B206" s="64" t="s">
        <v>477</v>
      </c>
      <c r="C206" s="137">
        <f>IFERROR(VLOOKUP(B206,'Balance de sumas y saldos'!$A$27:$D$450,4,FALSE),)</f>
      </c>
      <c r="D206" s="129"/>
      <c r="E206" s="129"/>
      <c r="F206" s="136"/>
      <c r="G206" s="136"/>
      <c r="H206" s="137"/>
      <c r="I206" s="127"/>
      <c r="J206" s="127"/>
    </row>
    <row r="207" spans="1:10" x14ac:dyDescent="0.25">
      <c r="A207" s="126"/>
      <c r="B207" s="64" t="s">
        <v>478</v>
      </c>
      <c r="C207" s="137">
        <f>IFERROR(VLOOKUP(B207,'Balance de sumas y saldos'!$A$27:$D$450,4,FALSE),)</f>
        <v>2845.01</v>
      </c>
      <c r="D207" s="129"/>
      <c r="E207" s="129"/>
      <c r="F207" s="136"/>
      <c r="G207" s="136"/>
      <c r="H207" s="137"/>
      <c r="I207" s="127"/>
      <c r="J207" s="127"/>
    </row>
    <row r="208" spans="1:10" x14ac:dyDescent="0.25">
      <c r="A208" s="126"/>
      <c r="B208" s="64" t="s">
        <v>479</v>
      </c>
      <c r="C208" s="137">
        <f>IFERROR(VLOOKUP(B208,'Balance de sumas y saldos'!$A$27:$D$450,4,FALSE),)</f>
      </c>
      <c r="D208" s="129"/>
      <c r="E208" s="129"/>
      <c r="F208" s="136"/>
      <c r="G208" s="136"/>
      <c r="H208" s="137"/>
      <c r="I208" s="127"/>
      <c r="J208" s="127"/>
    </row>
    <row r="209" spans="1:10" x14ac:dyDescent="0.25">
      <c r="A209" s="126"/>
      <c r="B209" s="64" t="s">
        <v>480</v>
      </c>
      <c r="C209" s="137">
        <f>IFERROR(VLOOKUP(B209,'Balance de sumas y saldos'!$A$27:$D$450,4,FALSE),)</f>
      </c>
      <c r="D209" s="129"/>
      <c r="E209" s="129"/>
      <c r="F209" s="136"/>
      <c r="G209" s="136"/>
      <c r="H209" s="137"/>
      <c r="I209" s="127"/>
      <c r="J209" s="127"/>
    </row>
    <row r="210" spans="1:10" x14ac:dyDescent="0.25">
      <c r="A210" s="126"/>
      <c r="B210" s="65" t="s">
        <v>481</v>
      </c>
      <c r="C210" s="137">
        <f>IFERROR(VLOOKUP(B210,'Balance de sumas y saldos'!$A$27:$D$450,4,FALSE),)</f>
      </c>
      <c r="D210" s="140"/>
      <c r="E210" s="140"/>
      <c r="F210" s="136"/>
      <c r="G210" s="136"/>
      <c r="H210" s="137"/>
      <c r="I210" s="127"/>
      <c r="J210" s="127"/>
    </row>
    <row r="211" spans="1:10" x14ac:dyDescent="0.25">
      <c r="A211" s="126"/>
      <c r="B211" s="65" t="s">
        <v>482</v>
      </c>
      <c r="C211" s="137">
        <f>IFERROR(VLOOKUP(B211,'Balance de sumas y saldos'!$A$27:$D$450,4,FALSE),)</f>
        <v>156.87</v>
      </c>
      <c r="D211" s="129"/>
      <c r="E211" s="129"/>
      <c r="F211" s="136"/>
      <c r="G211" s="136"/>
      <c r="H211" s="137"/>
      <c r="I211" s="127"/>
      <c r="J211" s="127"/>
    </row>
    <row r="212" spans="1:10" x14ac:dyDescent="0.25">
      <c r="A212" s="126"/>
      <c r="B212" s="65" t="s">
        <v>483</v>
      </c>
      <c r="C212" s="137">
        <f>IFERROR(VLOOKUP(B212,'Balance de sumas y saldos'!$A$27:$D$450,4,FALSE),)</f>
        <v>2925.36</v>
      </c>
      <c r="D212" s="129"/>
      <c r="E212" s="129"/>
      <c r="F212" s="136"/>
      <c r="G212" s="136"/>
      <c r="H212" s="137"/>
      <c r="I212" s="127"/>
      <c r="J212" s="127"/>
    </row>
    <row r="213" spans="1:10" x14ac:dyDescent="0.25">
      <c r="A213" s="126"/>
      <c r="B213" s="65" t="s">
        <v>484</v>
      </c>
      <c r="C213" s="137">
        <f>IFERROR(VLOOKUP(B213,'Balance de sumas y saldos'!$A$27:$D$450,4,FALSE),)</f>
      </c>
      <c r="D213" s="129"/>
      <c r="E213" s="129"/>
      <c r="F213" s="136"/>
      <c r="G213" s="136"/>
      <c r="H213" s="137"/>
      <c r="I213" s="127"/>
      <c r="J213" s="127"/>
    </row>
    <row r="214" spans="1:10" x14ac:dyDescent="0.25">
      <c r="A214" s="126"/>
      <c r="B214" s="65" t="s">
        <v>485</v>
      </c>
      <c r="C214" s="137">
        <f>IFERROR(VLOOKUP(B214,'Balance de sumas y saldos'!$A$27:$D$450,4,FALSE),)</f>
      </c>
      <c r="D214" s="129"/>
      <c r="E214" s="129"/>
      <c r="F214" s="136"/>
      <c r="G214" s="136"/>
      <c r="H214" s="137"/>
      <c r="I214" s="127"/>
      <c r="J214" s="127"/>
    </row>
    <row r="215" spans="1:10" x14ac:dyDescent="0.25">
      <c r="A215" s="126"/>
      <c r="B215" s="65" t="s">
        <v>486</v>
      </c>
      <c r="C215" s="137">
        <f>IFERROR(VLOOKUP(B215,'Balance de sumas y saldos'!$A$27:$D$450,4,FALSE),)</f>
        <v>651.34</v>
      </c>
      <c r="D215" s="129"/>
      <c r="E215" s="129"/>
      <c r="F215" s="136"/>
      <c r="G215" s="136"/>
      <c r="H215" s="137"/>
      <c r="I215" s="127"/>
      <c r="J215" s="127"/>
    </row>
    <row r="216" spans="1:10" x14ac:dyDescent="0.25">
      <c r="A216" s="126"/>
      <c r="B216" s="65" t="s">
        <v>487</v>
      </c>
      <c r="C216" s="137">
        <f>IFERROR(VLOOKUP(B216,'Balance de sumas y saldos'!$A$27:$D$450,4,FALSE),)</f>
      </c>
      <c r="D216" s="129"/>
      <c r="E216" s="129"/>
      <c r="F216" s="136"/>
      <c r="G216" s="65"/>
      <c r="H216" s="127"/>
      <c r="I216" s="127"/>
      <c r="J216" s="127"/>
    </row>
    <row r="217" spans="1:10" x14ac:dyDescent="0.25">
      <c r="A217" s="126"/>
      <c r="B217" s="155" t="s">
        <v>488</v>
      </c>
      <c r="C217" s="137">
        <f>IFERROR(VLOOKUP(B217,'Balance de sumas y saldos'!$A$27:$D$450,4,FALSE),)</f>
        <v>-3057.96</v>
      </c>
      <c r="D217" s="129"/>
      <c r="E217" s="129"/>
      <c r="F217" s="136"/>
      <c r="G217" s="65"/>
      <c r="H217" s="127"/>
      <c r="I217" s="127"/>
      <c r="J217" s="127"/>
    </row>
    <row r="218" spans="1:10" x14ac:dyDescent="0.25">
      <c r="A218" s="126"/>
      <c r="B218" s="155" t="s">
        <v>489</v>
      </c>
      <c r="C218" s="137">
        <f>IFERROR(VLOOKUP(B218,'Balance de sumas y saldos'!$A$27:$D$450,4,FALSE),)</f>
      </c>
      <c r="D218" s="129"/>
      <c r="E218" s="129"/>
      <c r="F218" s="136"/>
      <c r="G218" s="65"/>
      <c r="H218" s="127"/>
      <c r="I218" s="127"/>
      <c r="J218" s="127"/>
    </row>
    <row r="219" spans="1:10" x14ac:dyDescent="0.25">
      <c r="A219" s="126"/>
      <c r="B219" s="65" t="s">
        <v>490</v>
      </c>
      <c r="C219" s="137">
        <f>IFERROR(VLOOKUP(B219,'Balance de sumas y saldos'!$A$27:$D$450,4,FALSE),)</f>
      </c>
      <c r="D219" s="129"/>
      <c r="E219" s="129"/>
      <c r="F219" s="136"/>
      <c r="G219" s="65"/>
      <c r="H219" s="127"/>
      <c r="I219" s="127"/>
      <c r="J219" s="127"/>
    </row>
    <row r="220" spans="1:10" x14ac:dyDescent="0.25">
      <c r="A220" s="126"/>
      <c r="B220" s="65" t="s">
        <v>491</v>
      </c>
      <c r="C220" s="137">
        <f>IFERROR(VLOOKUP(B220,'Balance de sumas y saldos'!$A$27:$D$450,4,FALSE),)</f>
      </c>
      <c r="D220" s="129"/>
      <c r="E220" s="129"/>
      <c r="F220" s="136"/>
      <c r="G220" s="65"/>
      <c r="H220" s="127"/>
      <c r="I220" s="127"/>
      <c r="J220" s="127"/>
    </row>
    <row r="221" spans="1:10" x14ac:dyDescent="0.25">
      <c r="A221" s="126"/>
      <c r="B221" s="65" t="s">
        <v>492</v>
      </c>
      <c r="C221" s="137">
        <f>IFERROR(VLOOKUP(B221,'Balance de sumas y saldos'!$A$27:$D$450,4,FALSE),)</f>
      </c>
      <c r="D221" s="129"/>
      <c r="E221" s="129"/>
      <c r="F221" s="136"/>
      <c r="G221" s="65"/>
      <c r="H221" s="127"/>
      <c r="I221" s="127"/>
      <c r="J221" s="127"/>
    </row>
    <row r="222" spans="1:10" x14ac:dyDescent="0.25">
      <c r="A222" s="126"/>
      <c r="B222" s="65" t="s">
        <v>493</v>
      </c>
      <c r="C222" s="137">
        <f>IFERROR(VLOOKUP(B222,'Balance de sumas y saldos'!$A$27:$D$450,4,FALSE),)</f>
      </c>
      <c r="D222" s="129"/>
      <c r="E222" s="129"/>
      <c r="F222" s="136"/>
      <c r="G222" s="65"/>
      <c r="H222" s="127"/>
      <c r="I222" s="127"/>
      <c r="J222" s="127"/>
    </row>
    <row r="223" spans="1:10" x14ac:dyDescent="0.25">
      <c r="A223" s="126"/>
      <c r="B223" s="65" t="s">
        <v>494</v>
      </c>
      <c r="C223" s="137">
        <f>IFERROR(VLOOKUP(B223,'Balance de sumas y saldos'!$A$27:$D$450,4,FALSE),)</f>
        <v>34732.29</v>
      </c>
      <c r="D223" s="129"/>
      <c r="E223" s="129"/>
      <c r="F223" s="136"/>
      <c r="G223" s="65"/>
      <c r="H223" s="127"/>
      <c r="I223" s="127"/>
      <c r="J223" s="127"/>
    </row>
    <row r="224" spans="1:10" x14ac:dyDescent="0.25">
      <c r="A224" s="126"/>
      <c r="B224" s="65" t="s">
        <v>495</v>
      </c>
      <c r="C224" s="137">
        <f>IFERROR(VLOOKUP(B224,'Balance de sumas y saldos'!$A$27:$D$450,4,FALSE),)</f>
      </c>
      <c r="D224" s="129"/>
      <c r="E224" s="129"/>
      <c r="F224" s="136"/>
      <c r="G224" s="65"/>
      <c r="H224" s="127"/>
      <c r="I224" s="127"/>
      <c r="J224" s="127"/>
    </row>
    <row r="225" spans="1:10" x14ac:dyDescent="0.25">
      <c r="A225" s="126"/>
      <c r="B225" s="65" t="s">
        <v>496</v>
      </c>
      <c r="C225" s="137">
        <f>IFERROR(VLOOKUP(B225,'Balance de sumas y saldos'!$A$27:$D$450,4,FALSE),)</f>
      </c>
      <c r="D225" s="129"/>
      <c r="E225" s="129"/>
      <c r="F225" s="136"/>
      <c r="G225" s="65"/>
      <c r="H225" s="127"/>
      <c r="I225" s="127"/>
      <c r="J225" s="127"/>
    </row>
    <row r="226" spans="1:10" x14ac:dyDescent="0.25">
      <c r="A226" s="126"/>
      <c r="B226" s="65" t="s">
        <v>497</v>
      </c>
      <c r="C226" s="137">
        <f>IFERROR(VLOOKUP(B226,'Balance de sumas y saldos'!$A$27:$D$450,4,FALSE),)</f>
      </c>
      <c r="D226" s="129"/>
      <c r="E226" s="129"/>
      <c r="F226" s="136"/>
      <c r="G226" s="65"/>
      <c r="H226" s="127"/>
      <c r="I226" s="127"/>
      <c r="J226" s="127"/>
    </row>
    <row r="227" spans="1:10" x14ac:dyDescent="0.25">
      <c r="A227" s="126"/>
      <c r="B227" s="65" t="s">
        <v>498</v>
      </c>
      <c r="C227" s="137">
        <f>IFERROR(VLOOKUP(B227,'Balance de sumas y saldos'!$A$27:$D$450,4,FALSE),)</f>
      </c>
      <c r="D227" s="129"/>
      <c r="E227" s="129"/>
      <c r="F227" s="136"/>
      <c r="G227" s="65"/>
      <c r="H227" s="127"/>
      <c r="I227" s="127"/>
      <c r="J227" s="127"/>
    </row>
    <row r="228" spans="1:10" x14ac:dyDescent="0.25">
      <c r="A228" s="126"/>
      <c r="B228" s="65" t="s">
        <v>499</v>
      </c>
      <c r="C228" s="137">
        <f>IFERROR(VLOOKUP(B228,'Balance de sumas y saldos'!$A$27:$D$450,4,FALSE),)</f>
      </c>
      <c r="D228" s="129"/>
      <c r="E228" s="129"/>
      <c r="F228" s="136"/>
      <c r="G228" s="65"/>
      <c r="H228" s="127"/>
      <c r="I228" s="127"/>
      <c r="J228" s="127"/>
    </row>
    <row r="229" spans="1:10" x14ac:dyDescent="0.25">
      <c r="A229" s="126"/>
      <c r="B229" s="65" t="s">
        <v>500</v>
      </c>
      <c r="C229" s="137">
        <f>IFERROR(VLOOKUP(B229,'Balance de sumas y saldos'!$A$27:$D$450,4,FALSE),)</f>
      </c>
      <c r="D229" s="129"/>
      <c r="E229" s="129"/>
      <c r="F229" s="129"/>
      <c r="G229" s="65"/>
      <c r="H229" s="127"/>
      <c r="I229" s="127"/>
      <c r="J229" s="127"/>
    </row>
    <row r="230" spans="1:10" x14ac:dyDescent="0.25">
      <c r="A230" s="126"/>
      <c r="B230" s="65" t="s">
        <v>501</v>
      </c>
      <c r="C230" s="137">
        <f>IFERROR(VLOOKUP(B230,'Balance de sumas y saldos'!$A$27:$D$450,4,FALSE),)</f>
      </c>
      <c r="D230" s="129"/>
      <c r="E230" s="129"/>
      <c r="F230" s="136"/>
      <c r="G230" s="65"/>
      <c r="H230" s="127"/>
      <c r="I230" s="127"/>
      <c r="J230" s="127"/>
    </row>
    <row r="231" spans="1:10" x14ac:dyDescent="0.25">
      <c r="A231" s="126"/>
      <c r="B231" s="65" t="s">
        <v>502</v>
      </c>
      <c r="C231" s="137">
        <f>IFERROR(VLOOKUP(B231,'Balance de sumas y saldos'!$A$27:$D$450,4,FALSE),)</f>
      </c>
      <c r="D231" s="129"/>
      <c r="E231" s="129"/>
      <c r="F231" s="136"/>
      <c r="G231" s="65"/>
      <c r="H231" s="127"/>
      <c r="I231" s="127"/>
      <c r="J231" s="127"/>
    </row>
    <row r="232" spans="1:10" x14ac:dyDescent="0.25">
      <c r="A232" s="126"/>
      <c r="B232" s="136" t="s">
        <v>503</v>
      </c>
      <c r="C232" s="137">
        <f>IFERROR(VLOOKUP(B232,'Balance de sumas y saldos'!$A$27:$D$450,4,FALSE),)</f>
        <v>4965.52</v>
      </c>
      <c r="D232" s="129"/>
      <c r="E232" s="163"/>
      <c r="F232" s="136"/>
      <c r="G232" s="65"/>
      <c r="H232" s="127"/>
      <c r="I232" s="127"/>
      <c r="J232" s="127"/>
    </row>
    <row r="233" ht="13.8" customHeight="1" spans="1:10" x14ac:dyDescent="0.25">
      <c r="A233" s="126"/>
      <c r="B233" s="151"/>
      <c r="C233" s="128"/>
      <c r="D233" s="128"/>
      <c r="E233" s="128"/>
      <c r="F233" s="136"/>
      <c r="G233" s="65"/>
      <c r="H233" s="127"/>
      <c r="I233" s="127"/>
      <c r="J233" s="127"/>
    </row>
    <row r="234" ht="13.8" customHeight="1" spans="1:10" x14ac:dyDescent="0.25">
      <c r="A234" s="126"/>
      <c r="B234" s="127"/>
      <c r="C234" s="164">
        <f>SUM(C2:C232)</f>
        <v>-0.002911315987148555</v>
      </c>
      <c r="D234" s="129"/>
      <c r="E234" s="129"/>
      <c r="F234" s="136"/>
      <c r="G234" s="65"/>
      <c r="H234" s="127"/>
      <c r="I234" s="127"/>
      <c r="J234" s="127"/>
    </row>
    <row r="235" spans="1:10" x14ac:dyDescent="0.25">
      <c r="A235" s="126"/>
      <c r="B235" s="127"/>
      <c r="C235" s="128"/>
      <c r="D235" s="129"/>
      <c r="E235" s="129"/>
      <c r="F235" s="136"/>
      <c r="G235" s="65"/>
      <c r="H235" s="127"/>
      <c r="I235" s="127"/>
      <c r="J235" s="127"/>
    </row>
    <row r="236" spans="1:10" x14ac:dyDescent="0.25">
      <c r="A236" s="126"/>
      <c r="B236" s="127"/>
      <c r="C236" s="128"/>
      <c r="D236" s="129"/>
      <c r="E236" s="129"/>
      <c r="F236" s="136"/>
      <c r="G236" s="65"/>
      <c r="H236" s="127"/>
      <c r="I236" s="127"/>
      <c r="J236" s="127"/>
    </row>
    <row r="237" spans="1:10" x14ac:dyDescent="0.25">
      <c r="A237" s="126"/>
      <c r="B237" s="127"/>
      <c r="C237" s="128"/>
      <c r="D237" s="129"/>
      <c r="E237" s="129"/>
      <c r="F237" s="136"/>
      <c r="G237" s="65"/>
      <c r="H237" s="127"/>
      <c r="I237" s="127"/>
      <c r="J237" s="127"/>
    </row>
    <row r="238" spans="1:10" x14ac:dyDescent="0.25">
      <c r="A238" s="126"/>
      <c r="B238" s="127"/>
      <c r="C238" s="128"/>
      <c r="D238" s="129"/>
      <c r="E238" s="129"/>
      <c r="F238" s="136"/>
      <c r="G238" s="65"/>
      <c r="H238" s="127"/>
      <c r="I238" s="127"/>
      <c r="J238" s="127"/>
    </row>
    <row r="239" spans="1:10" x14ac:dyDescent="0.25">
      <c r="A239" s="126"/>
      <c r="B239" s="127"/>
      <c r="C239" s="129"/>
      <c r="D239" s="129"/>
      <c r="E239" s="129"/>
      <c r="F239" s="136"/>
      <c r="G239" s="65"/>
      <c r="H239" s="127"/>
      <c r="I239" s="127"/>
      <c r="J239" s="127"/>
    </row>
    <row r="240" spans="1:10" x14ac:dyDescent="0.25">
      <c r="A240" s="126"/>
      <c r="B240" s="127"/>
      <c r="C240" s="128"/>
      <c r="D240" s="129"/>
      <c r="E240" s="129"/>
      <c r="F240" s="136"/>
      <c r="G240" s="65"/>
      <c r="H240" s="127"/>
      <c r="I240" s="127"/>
      <c r="J240" s="127"/>
    </row>
    <row r="241" spans="1:10" x14ac:dyDescent="0.25">
      <c r="A241" s="126"/>
      <c r="B241" s="127"/>
      <c r="C241" s="128"/>
      <c r="D241" s="129"/>
      <c r="E241" s="129"/>
      <c r="F241" s="136"/>
      <c r="G241" s="65"/>
      <c r="H241" s="127"/>
      <c r="I241" s="127"/>
      <c r="J241" s="127"/>
    </row>
    <row r="242" spans="1:10" x14ac:dyDescent="0.25">
      <c r="A242" s="126"/>
      <c r="B242" s="127"/>
      <c r="C242" s="128"/>
      <c r="D242" s="129"/>
      <c r="E242" s="129"/>
      <c r="F242" s="136"/>
      <c r="G242" s="65"/>
      <c r="H242" s="127"/>
      <c r="I242" s="127"/>
      <c r="J242" s="127"/>
    </row>
    <row r="243" spans="1:10" x14ac:dyDescent="0.25">
      <c r="A243" s="126"/>
      <c r="B243" s="127"/>
      <c r="C243" s="128"/>
      <c r="D243" s="129"/>
      <c r="E243" s="129"/>
      <c r="F243" s="136"/>
      <c r="G243" s="65"/>
      <c r="H243" s="127"/>
      <c r="I243" s="127"/>
      <c r="J243" s="127"/>
    </row>
    <row r="244" spans="1:10" x14ac:dyDescent="0.25">
      <c r="A244" s="126"/>
      <c r="B244" s="127"/>
      <c r="C244" s="128"/>
      <c r="D244" s="129"/>
      <c r="E244" s="129"/>
      <c r="F244" s="136"/>
      <c r="G244" s="65"/>
      <c r="H244" s="127"/>
      <c r="I244" s="127"/>
      <c r="J244" s="127"/>
    </row>
    <row r="245" spans="1:10" x14ac:dyDescent="0.25">
      <c r="A245" s="126"/>
      <c r="B245" s="127"/>
      <c r="C245" s="128"/>
      <c r="D245" s="129"/>
      <c r="E245" s="129"/>
      <c r="F245" s="136"/>
      <c r="G245" s="65"/>
      <c r="H245" s="127"/>
      <c r="I245" s="127"/>
      <c r="J245" s="127"/>
    </row>
    <row r="246" spans="1:10" x14ac:dyDescent="0.25">
      <c r="A246" s="126"/>
      <c r="B246" s="127"/>
      <c r="C246" s="128"/>
      <c r="D246" s="129"/>
      <c r="E246" s="129"/>
      <c r="F246" s="136"/>
      <c r="G246" s="65"/>
      <c r="H246" s="127"/>
      <c r="I246" s="127"/>
      <c r="J246" s="127"/>
    </row>
    <row r="247" spans="1:10" x14ac:dyDescent="0.25">
      <c r="A247" s="126"/>
      <c r="B247" s="127"/>
      <c r="C247" s="128"/>
      <c r="D247" s="129"/>
      <c r="E247" s="129"/>
      <c r="F247" s="136"/>
      <c r="G247" s="65"/>
      <c r="H247" s="127"/>
      <c r="I247" s="127"/>
      <c r="J247" s="127"/>
    </row>
    <row r="248" spans="1:10" x14ac:dyDescent="0.25">
      <c r="A248" s="126"/>
      <c r="B248" s="127"/>
      <c r="C248" s="128"/>
      <c r="D248" s="129"/>
      <c r="E248" s="129"/>
      <c r="F248" s="136"/>
      <c r="G248" s="65"/>
      <c r="H248" s="127"/>
      <c r="I248" s="127"/>
      <c r="J248" s="127"/>
    </row>
    <row r="249" spans="1:10" x14ac:dyDescent="0.25">
      <c r="A249" s="126"/>
      <c r="B249" s="127"/>
      <c r="C249" s="128"/>
      <c r="D249" s="129"/>
      <c r="E249" s="129"/>
      <c r="F249" s="136"/>
      <c r="G249" s="65"/>
      <c r="H249" s="65"/>
      <c r="I249" s="127"/>
      <c r="J249" s="127"/>
    </row>
    <row r="250" spans="1:10" x14ac:dyDescent="0.25">
      <c r="A250" s="126"/>
      <c r="B250" s="127"/>
      <c r="C250" s="128"/>
      <c r="D250" s="129"/>
      <c r="E250" s="129"/>
      <c r="F250" s="136"/>
      <c r="G250" s="65"/>
      <c r="H250" s="65"/>
      <c r="I250" s="127"/>
      <c r="J250" s="127"/>
    </row>
    <row r="251" spans="1:10" x14ac:dyDescent="0.25">
      <c r="A251" s="126"/>
      <c r="B251" s="127"/>
      <c r="C251" s="128"/>
      <c r="D251" s="129"/>
      <c r="E251" s="129"/>
      <c r="F251" s="136"/>
      <c r="G251" s="65"/>
      <c r="H251" s="65"/>
      <c r="I251" s="127"/>
      <c r="J251" s="127"/>
    </row>
    <row r="252" spans="1:10" x14ac:dyDescent="0.25">
      <c r="A252" s="126"/>
      <c r="B252" s="127"/>
      <c r="C252" s="128"/>
      <c r="D252" s="129"/>
      <c r="E252" s="129"/>
      <c r="F252" s="136"/>
      <c r="G252" s="65"/>
      <c r="H252" s="65"/>
      <c r="I252" s="127"/>
      <c r="J252" s="127"/>
    </row>
    <row r="253" spans="1:10" x14ac:dyDescent="0.25">
      <c r="A253" s="126"/>
      <c r="B253" s="127"/>
      <c r="C253" s="128"/>
      <c r="D253" s="129"/>
      <c r="E253" s="129"/>
      <c r="F253" s="136"/>
      <c r="G253" s="65"/>
      <c r="H253" s="65"/>
      <c r="I253" s="127"/>
      <c r="J253" s="127"/>
    </row>
    <row r="254" spans="1:10" x14ac:dyDescent="0.25">
      <c r="A254" s="126"/>
      <c r="B254" s="127"/>
      <c r="C254" s="128"/>
      <c r="D254" s="129"/>
      <c r="E254" s="129"/>
      <c r="F254" s="136"/>
      <c r="G254" s="65"/>
      <c r="H254" s="65"/>
      <c r="I254" s="127"/>
      <c r="J254" s="127"/>
    </row>
    <row r="255" spans="1:10" x14ac:dyDescent="0.25">
      <c r="A255" s="126"/>
      <c r="B255" s="127"/>
      <c r="C255" s="128"/>
      <c r="D255" s="129"/>
      <c r="E255" s="129"/>
      <c r="F255" s="136"/>
      <c r="G255" s="65"/>
      <c r="H255" s="65"/>
      <c r="I255" s="127"/>
      <c r="J255" s="127"/>
    </row>
    <row r="256" spans="1:10" x14ac:dyDescent="0.25">
      <c r="A256" s="126"/>
      <c r="B256" s="127"/>
      <c r="C256" s="128"/>
      <c r="D256" s="129"/>
      <c r="E256" s="129"/>
      <c r="F256" s="136"/>
      <c r="G256" s="65"/>
      <c r="H256" s="65"/>
      <c r="I256" s="127"/>
      <c r="J256" s="127"/>
    </row>
    <row r="257" spans="1:10" x14ac:dyDescent="0.25">
      <c r="A257" s="126"/>
      <c r="B257" s="127"/>
      <c r="C257" s="128"/>
      <c r="D257" s="129"/>
      <c r="E257" s="129"/>
      <c r="F257" s="136"/>
      <c r="G257" s="65"/>
      <c r="H257" s="65"/>
      <c r="I257" s="127"/>
      <c r="J257" s="127"/>
    </row>
    <row r="258" spans="1:10" x14ac:dyDescent="0.25">
      <c r="A258" s="126"/>
      <c r="B258" s="127"/>
      <c r="C258" s="128"/>
      <c r="D258" s="129"/>
      <c r="E258" s="129"/>
      <c r="F258" s="136"/>
      <c r="G258" s="65"/>
      <c r="H258" s="65"/>
      <c r="I258" s="127"/>
      <c r="J258" s="127"/>
    </row>
    <row r="259" spans="1:10" x14ac:dyDescent="0.25">
      <c r="A259" s="126"/>
      <c r="B259" s="127"/>
      <c r="C259" s="128"/>
      <c r="D259" s="129"/>
      <c r="E259" s="129"/>
      <c r="F259" s="136"/>
      <c r="G259" s="65"/>
      <c r="H259" s="65"/>
      <c r="I259" s="127"/>
      <c r="J259" s="127"/>
    </row>
    <row r="260" spans="1:10" x14ac:dyDescent="0.25">
      <c r="A260" s="126"/>
      <c r="B260" s="127"/>
      <c r="C260" s="128"/>
      <c r="D260" s="129"/>
      <c r="E260" s="129"/>
      <c r="F260" s="136"/>
      <c r="G260" s="65"/>
      <c r="H260" s="65"/>
      <c r="I260" s="127"/>
      <c r="J260" s="127"/>
    </row>
    <row r="261" spans="1:10" x14ac:dyDescent="0.25">
      <c r="A261" s="126"/>
      <c r="B261" s="127"/>
      <c r="C261" s="128"/>
      <c r="D261" s="129"/>
      <c r="E261" s="129"/>
      <c r="F261" s="136"/>
      <c r="G261" s="65"/>
      <c r="H261" s="65"/>
      <c r="I261" s="127"/>
      <c r="J261" s="127"/>
    </row>
    <row r="262" spans="1:10" x14ac:dyDescent="0.25">
      <c r="A262" s="126"/>
      <c r="B262" s="127"/>
      <c r="C262" s="128"/>
      <c r="D262" s="129"/>
      <c r="E262" s="129"/>
      <c r="F262" s="136"/>
      <c r="G262" s="65"/>
      <c r="H262" s="65"/>
      <c r="I262" s="127"/>
      <c r="J262" s="127"/>
    </row>
    <row r="263" spans="1:10" x14ac:dyDescent="0.25">
      <c r="A263" s="126"/>
      <c r="B263" s="127"/>
      <c r="C263" s="128"/>
      <c r="D263" s="129"/>
      <c r="E263" s="129"/>
      <c r="F263" s="136"/>
      <c r="G263" s="65"/>
      <c r="H263" s="65"/>
      <c r="I263" s="127"/>
      <c r="J263" s="127"/>
    </row>
    <row r="264" spans="1:10" x14ac:dyDescent="0.25">
      <c r="A264" s="126"/>
      <c r="B264" s="127"/>
      <c r="C264" s="128"/>
      <c r="D264" s="129"/>
      <c r="E264" s="129"/>
      <c r="F264" s="136"/>
      <c r="G264" s="65"/>
      <c r="H264" s="65"/>
      <c r="I264" s="127"/>
      <c r="J264" s="127"/>
    </row>
    <row r="265" spans="1:10" x14ac:dyDescent="0.25">
      <c r="A265" s="126"/>
      <c r="B265" s="127"/>
      <c r="C265" s="128"/>
      <c r="D265" s="129"/>
      <c r="E265" s="129"/>
      <c r="F265" s="136"/>
      <c r="G265" s="65"/>
      <c r="H265" s="65"/>
      <c r="I265" s="127"/>
      <c r="J265" s="127"/>
    </row>
    <row r="266" spans="1:10" x14ac:dyDescent="0.25">
      <c r="A266" s="126"/>
      <c r="B266" s="127"/>
      <c r="C266" s="128"/>
      <c r="D266" s="129"/>
      <c r="E266" s="129"/>
      <c r="F266" s="136"/>
      <c r="G266" s="65"/>
      <c r="H266" s="65"/>
      <c r="I266" s="127"/>
      <c r="J266" s="127"/>
    </row>
    <row r="267" spans="1:10" x14ac:dyDescent="0.25">
      <c r="A267" s="126"/>
      <c r="B267" s="127"/>
      <c r="C267" s="128"/>
      <c r="D267" s="129"/>
      <c r="E267" s="129"/>
      <c r="F267" s="136"/>
      <c r="G267" s="65"/>
      <c r="H267" s="65"/>
      <c r="I267" s="127"/>
      <c r="J267" s="127"/>
    </row>
    <row r="268" spans="1:10" x14ac:dyDescent="0.25">
      <c r="A268" s="126"/>
      <c r="B268" s="127"/>
      <c r="C268" s="128"/>
      <c r="D268" s="129"/>
      <c r="E268" s="129"/>
      <c r="F268" s="136"/>
      <c r="G268" s="65"/>
      <c r="H268" s="65"/>
      <c r="I268" s="127"/>
      <c r="J268" s="127"/>
    </row>
    <row r="269" spans="1:10" x14ac:dyDescent="0.25">
      <c r="A269" s="126"/>
      <c r="B269" s="127"/>
      <c r="C269" s="128"/>
      <c r="D269" s="129"/>
      <c r="E269" s="129"/>
      <c r="F269" s="136"/>
      <c r="G269" s="65"/>
      <c r="H269" s="65"/>
      <c r="I269" s="127"/>
      <c r="J269" s="127"/>
    </row>
    <row r="270" spans="1:10" x14ac:dyDescent="0.25">
      <c r="A270" s="126"/>
      <c r="B270" s="127"/>
      <c r="C270" s="128"/>
      <c r="D270" s="129"/>
      <c r="E270" s="129"/>
      <c r="F270" s="136"/>
      <c r="G270" s="65"/>
      <c r="H270" s="65"/>
      <c r="I270" s="127"/>
      <c r="J270" s="127"/>
    </row>
    <row r="271" spans="1:10" x14ac:dyDescent="0.25">
      <c r="A271" s="126"/>
      <c r="B271" s="127"/>
      <c r="C271" s="128"/>
      <c r="D271" s="129"/>
      <c r="E271" s="129"/>
      <c r="F271" s="136"/>
      <c r="G271" s="65"/>
      <c r="H271" s="65"/>
      <c r="I271" s="127"/>
      <c r="J271" s="127"/>
    </row>
    <row r="272" spans="1:10" x14ac:dyDescent="0.25">
      <c r="A272" s="126"/>
      <c r="B272" s="127"/>
      <c r="C272" s="128"/>
      <c r="D272" s="129"/>
      <c r="E272" s="129"/>
      <c r="F272" s="136"/>
      <c r="G272" s="65"/>
      <c r="H272" s="65"/>
      <c r="I272" s="127"/>
      <c r="J272" s="127"/>
    </row>
    <row r="273" spans="1:10" x14ac:dyDescent="0.25">
      <c r="A273" s="126"/>
      <c r="B273" s="127"/>
      <c r="C273" s="128"/>
      <c r="D273" s="129"/>
      <c r="E273" s="129"/>
      <c r="F273" s="136"/>
      <c r="G273" s="65"/>
      <c r="H273" s="65"/>
      <c r="I273" s="127"/>
      <c r="J273" s="127"/>
    </row>
    <row r="274" spans="1:10" x14ac:dyDescent="0.25">
      <c r="A274" s="126"/>
      <c r="B274" s="127"/>
      <c r="C274" s="128"/>
      <c r="D274" s="129"/>
      <c r="E274" s="129"/>
      <c r="F274" s="136"/>
      <c r="G274" s="65"/>
      <c r="H274" s="65"/>
      <c r="I274" s="127"/>
      <c r="J274" s="127"/>
    </row>
    <row r="275" spans="1:10" x14ac:dyDescent="0.25">
      <c r="A275" s="126"/>
      <c r="B275" s="127"/>
      <c r="C275" s="128"/>
      <c r="D275" s="129"/>
      <c r="E275" s="129"/>
      <c r="F275" s="136"/>
      <c r="G275" s="65"/>
      <c r="H275" s="65"/>
      <c r="I275" s="127"/>
      <c r="J275" s="127"/>
    </row>
    <row r="276" spans="1:10" x14ac:dyDescent="0.25">
      <c r="A276" s="126"/>
      <c r="B276" s="127"/>
      <c r="C276" s="128"/>
      <c r="D276" s="129"/>
      <c r="E276" s="129"/>
      <c r="F276" s="136"/>
      <c r="G276" s="65"/>
      <c r="H276" s="65"/>
      <c r="I276" s="127"/>
      <c r="J276" s="127"/>
    </row>
    <row r="277" spans="1:10" x14ac:dyDescent="0.25">
      <c r="A277" s="126"/>
      <c r="B277" s="127"/>
      <c r="C277" s="128"/>
      <c r="D277" s="129"/>
      <c r="E277" s="129"/>
      <c r="F277" s="65"/>
      <c r="G277" s="65"/>
      <c r="H277" s="65"/>
      <c r="I277" s="127"/>
      <c r="J277" s="127"/>
    </row>
    <row r="278" spans="1:10" x14ac:dyDescent="0.25">
      <c r="A278" s="126"/>
      <c r="B278" s="127"/>
      <c r="C278" s="128"/>
      <c r="D278" s="129"/>
      <c r="E278" s="129"/>
      <c r="F278" s="65"/>
      <c r="G278" s="65"/>
      <c r="H278" s="65"/>
      <c r="I278" s="127"/>
      <c r="J278" s="127"/>
    </row>
    <row r="279" spans="1:10" x14ac:dyDescent="0.25">
      <c r="A279" s="126"/>
      <c r="B279" s="127"/>
      <c r="C279" s="128"/>
      <c r="D279" s="129"/>
      <c r="E279" s="129"/>
      <c r="F279" s="65"/>
      <c r="G279" s="65"/>
      <c r="H279" s="65"/>
      <c r="I279" s="127"/>
      <c r="J279" s="127"/>
    </row>
    <row r="280" spans="1:10" x14ac:dyDescent="0.25">
      <c r="A280" s="126"/>
      <c r="B280" s="127"/>
      <c r="C280" s="128"/>
      <c r="D280" s="129"/>
      <c r="E280" s="129"/>
      <c r="F280" s="65"/>
      <c r="G280" s="65"/>
      <c r="H280" s="65"/>
      <c r="I280" s="127"/>
      <c r="J280" s="127"/>
    </row>
    <row r="281" spans="1:10" x14ac:dyDescent="0.25">
      <c r="A281" s="126"/>
      <c r="B281" s="127"/>
      <c r="C281" s="128"/>
      <c r="D281" s="129"/>
      <c r="E281" s="129"/>
      <c r="F281" s="65"/>
      <c r="G281" s="65"/>
      <c r="H281" s="65"/>
      <c r="I281" s="127"/>
      <c r="J281" s="127"/>
    </row>
    <row r="282" spans="1:10" x14ac:dyDescent="0.25">
      <c r="A282" s="126"/>
      <c r="B282" s="127"/>
      <c r="C282" s="128"/>
      <c r="D282" s="129"/>
      <c r="E282" s="129"/>
      <c r="F282" s="65"/>
      <c r="G282" s="65"/>
      <c r="H282" s="65"/>
      <c r="I282" s="127"/>
      <c r="J282" s="127"/>
    </row>
    <row r="283" spans="1:10" x14ac:dyDescent="0.25">
      <c r="A283" s="126"/>
      <c r="B283" s="127"/>
      <c r="C283" s="128"/>
      <c r="D283" s="129"/>
      <c r="E283" s="129"/>
      <c r="F283" s="65"/>
      <c r="G283" s="65"/>
      <c r="H283" s="65"/>
      <c r="I283" s="127"/>
      <c r="J283" s="127"/>
    </row>
    <row r="284" spans="1:10" x14ac:dyDescent="0.25">
      <c r="A284" s="126"/>
      <c r="B284" s="127"/>
      <c r="C284" s="128"/>
      <c r="D284" s="129"/>
      <c r="E284" s="129"/>
      <c r="F284" s="65"/>
      <c r="G284" s="65"/>
      <c r="H284" s="65"/>
      <c r="I284" s="127"/>
      <c r="J284" s="127"/>
    </row>
    <row r="285" spans="1:10" x14ac:dyDescent="0.25">
      <c r="A285" s="126"/>
      <c r="B285" s="127"/>
      <c r="C285" s="128"/>
      <c r="D285" s="129"/>
      <c r="E285" s="129"/>
      <c r="F285" s="65"/>
      <c r="G285" s="65"/>
      <c r="H285" s="65"/>
      <c r="I285" s="127"/>
      <c r="J285" s="127"/>
    </row>
    <row r="286" spans="1:10" x14ac:dyDescent="0.25">
      <c r="A286" s="126"/>
      <c r="B286" s="127"/>
      <c r="C286" s="128"/>
      <c r="D286" s="129"/>
      <c r="E286" s="129"/>
      <c r="F286" s="65"/>
      <c r="G286" s="65"/>
      <c r="H286" s="65"/>
      <c r="I286" s="127"/>
      <c r="J286" s="127"/>
    </row>
    <row r="287" spans="1:10" x14ac:dyDescent="0.25">
      <c r="A287" s="126"/>
      <c r="B287" s="127"/>
      <c r="C287" s="128"/>
      <c r="D287" s="129"/>
      <c r="E287" s="129"/>
      <c r="F287" s="65"/>
      <c r="G287" s="65"/>
      <c r="H287" s="65"/>
      <c r="I287" s="127"/>
      <c r="J287" s="127"/>
    </row>
    <row r="288" spans="1:10" x14ac:dyDescent="0.25">
      <c r="A288" s="126"/>
      <c r="B288" s="127"/>
      <c r="C288" s="128"/>
      <c r="D288" s="129"/>
      <c r="E288" s="129"/>
      <c r="F288" s="65"/>
      <c r="G288" s="65"/>
      <c r="H288" s="65"/>
      <c r="I288" s="127"/>
      <c r="J288" s="127"/>
    </row>
    <row r="289" spans="1:10" x14ac:dyDescent="0.25">
      <c r="A289" s="126"/>
      <c r="B289" s="127"/>
      <c r="C289" s="128"/>
      <c r="D289" s="129"/>
      <c r="E289" s="129"/>
      <c r="F289" s="65"/>
      <c r="G289" s="65"/>
      <c r="H289" s="65"/>
      <c r="I289" s="127"/>
      <c r="J289" s="127"/>
    </row>
    <row r="290" spans="1:10" x14ac:dyDescent="0.25">
      <c r="A290" s="126"/>
      <c r="B290" s="127"/>
      <c r="C290" s="128"/>
      <c r="D290" s="129"/>
      <c r="E290" s="129"/>
      <c r="F290" s="65"/>
      <c r="G290" s="65"/>
      <c r="H290" s="65"/>
      <c r="I290" s="127"/>
      <c r="J290" s="127"/>
    </row>
    <row r="291" spans="1:10" x14ac:dyDescent="0.25">
      <c r="A291" s="126"/>
      <c r="B291" s="127"/>
      <c r="C291" s="128"/>
      <c r="D291" s="129"/>
      <c r="E291" s="129"/>
      <c r="F291" s="65"/>
      <c r="G291" s="65"/>
      <c r="H291" s="65"/>
      <c r="I291" s="127"/>
      <c r="J291" s="127"/>
    </row>
    <row r="292" spans="1:10" x14ac:dyDescent="0.25">
      <c r="A292" s="126"/>
      <c r="B292" s="127"/>
      <c r="C292" s="128"/>
      <c r="D292" s="129"/>
      <c r="E292" s="129"/>
      <c r="F292" s="65"/>
      <c r="G292" s="65"/>
      <c r="H292" s="65"/>
      <c r="I292" s="127"/>
      <c r="J292" s="127"/>
    </row>
    <row r="293" spans="1:10" x14ac:dyDescent="0.25">
      <c r="A293" s="126"/>
      <c r="B293" s="127"/>
      <c r="C293" s="128"/>
      <c r="D293" s="129"/>
      <c r="E293" s="129"/>
      <c r="F293" s="65"/>
      <c r="G293" s="65"/>
      <c r="H293" s="127"/>
      <c r="I293" s="127"/>
      <c r="J293" s="127"/>
    </row>
    <row r="294" spans="1:10" x14ac:dyDescent="0.25">
      <c r="A294" s="126"/>
      <c r="B294" s="127"/>
      <c r="C294" s="128"/>
      <c r="D294" s="129"/>
      <c r="E294" s="129"/>
      <c r="F294" s="65"/>
      <c r="G294" s="65"/>
      <c r="H294" s="127"/>
      <c r="I294" s="127"/>
      <c r="J294" s="127"/>
    </row>
    <row r="295" spans="1:10" x14ac:dyDescent="0.25">
      <c r="A295" s="126"/>
      <c r="B295" s="127"/>
      <c r="C295" s="128"/>
      <c r="D295" s="129"/>
      <c r="E295" s="129"/>
      <c r="F295" s="65"/>
      <c r="G295" s="65"/>
      <c r="H295" s="127"/>
      <c r="I295" s="127"/>
      <c r="J295" s="127"/>
    </row>
    <row r="296" spans="1:10" x14ac:dyDescent="0.25">
      <c r="A296" s="126"/>
      <c r="B296" s="127"/>
      <c r="C296" s="128"/>
      <c r="D296" s="129"/>
      <c r="E296" s="129"/>
      <c r="F296" s="65"/>
      <c r="G296" s="65"/>
      <c r="H296" s="127"/>
      <c r="I296" s="127"/>
      <c r="J296" s="127"/>
    </row>
    <row r="297" spans="1:10" x14ac:dyDescent="0.25">
      <c r="A297" s="126"/>
      <c r="B297" s="127"/>
      <c r="C297" s="128"/>
      <c r="D297" s="129"/>
      <c r="E297" s="129"/>
      <c r="F297" s="65"/>
      <c r="G297" s="65"/>
      <c r="H297" s="127"/>
      <c r="I297" s="127"/>
      <c r="J297" s="127"/>
    </row>
    <row r="298" spans="1:10" x14ac:dyDescent="0.25">
      <c r="A298" s="126"/>
      <c r="B298" s="127"/>
      <c r="C298" s="128"/>
      <c r="D298" s="129"/>
      <c r="E298" s="129"/>
      <c r="F298" s="65"/>
      <c r="G298" s="65"/>
      <c r="H298" s="127"/>
      <c r="I298" s="127"/>
      <c r="J298" s="127"/>
    </row>
    <row r="299" spans="1:10" x14ac:dyDescent="0.25">
      <c r="A299" s="126"/>
      <c r="B299" s="127"/>
      <c r="C299" s="128"/>
      <c r="D299" s="129"/>
      <c r="E299" s="129"/>
      <c r="F299" s="65"/>
      <c r="G299" s="65"/>
      <c r="H299" s="127"/>
      <c r="I299" s="127"/>
      <c r="J299" s="127"/>
    </row>
    <row r="300" spans="1:10" x14ac:dyDescent="0.25">
      <c r="A300" s="126"/>
      <c r="B300" s="127"/>
      <c r="C300" s="128"/>
      <c r="D300" s="129"/>
      <c r="E300" s="129"/>
      <c r="F300" s="65"/>
      <c r="G300" s="65"/>
      <c r="H300" s="127"/>
      <c r="I300" s="127"/>
      <c r="J300" s="127"/>
    </row>
    <row r="301" spans="1:10" x14ac:dyDescent="0.25">
      <c r="A301" s="126"/>
      <c r="B301" s="127"/>
      <c r="C301" s="128"/>
      <c r="D301" s="129"/>
      <c r="E301" s="129"/>
      <c r="F301" s="65"/>
      <c r="G301" s="65"/>
      <c r="H301" s="127"/>
      <c r="I301" s="127"/>
      <c r="J301" s="127"/>
    </row>
    <row r="302" spans="1:10" x14ac:dyDescent="0.25">
      <c r="A302" s="126"/>
      <c r="B302" s="127"/>
      <c r="C302" s="128"/>
      <c r="D302" s="129"/>
      <c r="E302" s="129"/>
      <c r="F302" s="65"/>
      <c r="G302" s="65"/>
      <c r="H302" s="127"/>
      <c r="I302" s="127"/>
      <c r="J302" s="127"/>
    </row>
    <row r="303" spans="1:10" x14ac:dyDescent="0.25">
      <c r="A303" s="126"/>
      <c r="B303" s="127"/>
      <c r="C303" s="128"/>
      <c r="D303" s="129"/>
      <c r="E303" s="129"/>
      <c r="F303" s="65"/>
      <c r="G303" s="65"/>
      <c r="H303" s="127"/>
      <c r="I303" s="127"/>
      <c r="J303" s="127"/>
    </row>
    <row r="304" spans="1:10" x14ac:dyDescent="0.25">
      <c r="A304" s="126"/>
      <c r="B304" s="127"/>
      <c r="C304" s="128"/>
      <c r="D304" s="129"/>
      <c r="E304" s="129"/>
      <c r="F304" s="65"/>
      <c r="G304" s="65"/>
      <c r="H304" s="127"/>
      <c r="I304" s="127"/>
      <c r="J304" s="127"/>
    </row>
    <row r="305" spans="1:10" x14ac:dyDescent="0.25">
      <c r="A305" s="126"/>
      <c r="B305" s="127"/>
      <c r="C305" s="128"/>
      <c r="D305" s="129"/>
      <c r="E305" s="129"/>
      <c r="F305" s="65"/>
      <c r="G305" s="65"/>
      <c r="H305" s="127"/>
      <c r="I305" s="127"/>
      <c r="J305" s="127"/>
    </row>
    <row r="306" spans="1:10" x14ac:dyDescent="0.25">
      <c r="A306" s="126"/>
      <c r="B306" s="127"/>
      <c r="C306" s="128"/>
      <c r="D306" s="129"/>
      <c r="E306" s="129"/>
      <c r="F306" s="65"/>
      <c r="G306" s="65"/>
      <c r="H306" s="127"/>
      <c r="I306" s="127"/>
      <c r="J306" s="127"/>
    </row>
    <row r="307" spans="1:10" x14ac:dyDescent="0.25">
      <c r="A307" s="126"/>
      <c r="B307" s="127"/>
      <c r="C307" s="128"/>
      <c r="D307" s="129"/>
      <c r="E307" s="129"/>
      <c r="F307" s="65"/>
      <c r="G307" s="65"/>
      <c r="H307" s="127"/>
      <c r="I307" s="127"/>
      <c r="J307" s="127"/>
    </row>
    <row r="308" spans="1:10" x14ac:dyDescent="0.25">
      <c r="A308" s="126"/>
      <c r="B308" s="127"/>
      <c r="C308" s="128"/>
      <c r="D308" s="129"/>
      <c r="E308" s="129"/>
      <c r="F308" s="65"/>
      <c r="G308" s="65"/>
      <c r="H308" s="127"/>
      <c r="I308" s="127"/>
      <c r="J308" s="127"/>
    </row>
    <row r="309" spans="1:10" x14ac:dyDescent="0.25">
      <c r="A309" s="126"/>
      <c r="B309" s="127"/>
      <c r="C309" s="128"/>
      <c r="D309" s="129"/>
      <c r="E309" s="129"/>
      <c r="F309" s="65"/>
      <c r="G309" s="65"/>
      <c r="H309" s="127"/>
      <c r="I309" s="127"/>
      <c r="J309" s="127"/>
    </row>
    <row r="310" spans="1:10" x14ac:dyDescent="0.25">
      <c r="A310" s="126"/>
      <c r="B310" s="127"/>
      <c r="C310" s="128"/>
      <c r="D310" s="129"/>
      <c r="E310" s="129"/>
      <c r="F310" s="65"/>
      <c r="G310" s="65"/>
      <c r="H310" s="127"/>
      <c r="I310" s="127"/>
      <c r="J310" s="127"/>
    </row>
    <row r="311" spans="1:10" x14ac:dyDescent="0.25">
      <c r="A311" s="126"/>
      <c r="B311" s="127"/>
      <c r="C311" s="128"/>
      <c r="D311" s="129"/>
      <c r="E311" s="129"/>
      <c r="F311" s="65"/>
      <c r="G311" s="65"/>
      <c r="H311" s="127"/>
      <c r="I311" s="127"/>
      <c r="J311" s="127"/>
    </row>
    <row r="312" spans="1:10" x14ac:dyDescent="0.25">
      <c r="A312" s="126"/>
      <c r="B312" s="127"/>
      <c r="C312" s="128"/>
      <c r="D312" s="129"/>
      <c r="E312" s="129"/>
      <c r="F312" s="65"/>
      <c r="G312" s="65"/>
      <c r="H312" s="127"/>
      <c r="I312" s="127"/>
      <c r="J312" s="127"/>
    </row>
    <row r="313" spans="1:10" x14ac:dyDescent="0.25">
      <c r="A313" s="126"/>
      <c r="B313" s="127"/>
      <c r="C313" s="128"/>
      <c r="D313" s="129"/>
      <c r="E313" s="129"/>
      <c r="F313" s="65"/>
      <c r="G313" s="65"/>
      <c r="H313" s="127"/>
      <c r="I313" s="127"/>
      <c r="J313" s="127"/>
    </row>
    <row r="314" spans="1:10" x14ac:dyDescent="0.25">
      <c r="A314" s="126"/>
      <c r="B314" s="127"/>
      <c r="C314" s="128"/>
      <c r="D314" s="129"/>
      <c r="E314" s="129"/>
      <c r="F314" s="65"/>
      <c r="G314" s="65"/>
      <c r="H314" s="127"/>
      <c r="I314" s="127"/>
      <c r="J314" s="127"/>
    </row>
    <row r="315" spans="1:10" x14ac:dyDescent="0.25">
      <c r="A315" s="126"/>
      <c r="B315" s="127"/>
      <c r="C315" s="128"/>
      <c r="D315" s="129"/>
      <c r="E315" s="129"/>
      <c r="F315" s="65"/>
      <c r="G315" s="65"/>
      <c r="H315" s="127"/>
      <c r="I315" s="127"/>
      <c r="J315" s="127"/>
    </row>
    <row r="316" spans="1:10" x14ac:dyDescent="0.25">
      <c r="A316" s="126"/>
      <c r="B316" s="127"/>
      <c r="C316" s="128"/>
      <c r="D316" s="129"/>
      <c r="E316" s="129"/>
      <c r="F316" s="65"/>
      <c r="G316" s="65"/>
      <c r="H316" s="127"/>
      <c r="I316" s="127"/>
      <c r="J316" s="127"/>
    </row>
    <row r="317" spans="1:10" x14ac:dyDescent="0.25">
      <c r="A317" s="126"/>
      <c r="B317" s="127"/>
      <c r="C317" s="128"/>
      <c r="D317" s="129"/>
      <c r="E317" s="129"/>
      <c r="F317" s="65"/>
      <c r="G317" s="65"/>
      <c r="H317" s="127"/>
      <c r="I317" s="127"/>
      <c r="J317" s="127"/>
    </row>
    <row r="318" spans="1:10" x14ac:dyDescent="0.25">
      <c r="A318" s="126"/>
      <c r="B318" s="127"/>
      <c r="C318" s="128"/>
      <c r="D318" s="129"/>
      <c r="E318" s="129"/>
      <c r="F318" s="65"/>
      <c r="G318" s="65"/>
      <c r="H318" s="127"/>
      <c r="I318" s="127"/>
      <c r="J318" s="127"/>
    </row>
    <row r="319" spans="1:10" x14ac:dyDescent="0.25">
      <c r="A319" s="126"/>
      <c r="B319" s="127"/>
      <c r="C319" s="128"/>
      <c r="D319" s="129"/>
      <c r="E319" s="129"/>
      <c r="F319" s="65"/>
      <c r="G319" s="65"/>
      <c r="H319" s="127"/>
      <c r="I319" s="127"/>
      <c r="J319" s="127"/>
    </row>
    <row r="320" spans="1:10" x14ac:dyDescent="0.25">
      <c r="A320" s="126"/>
      <c r="B320" s="127"/>
      <c r="C320" s="128"/>
      <c r="D320" s="129"/>
      <c r="E320" s="129"/>
      <c r="F320" s="65"/>
      <c r="G320" s="65"/>
      <c r="H320" s="127"/>
      <c r="I320" s="127"/>
      <c r="J320" s="127"/>
    </row>
    <row r="321" spans="1:10" x14ac:dyDescent="0.25">
      <c r="A321" s="126"/>
      <c r="B321" s="127"/>
      <c r="C321" s="128"/>
      <c r="D321" s="129"/>
      <c r="E321" s="129"/>
      <c r="F321" s="65"/>
      <c r="G321" s="65"/>
      <c r="H321" s="127"/>
      <c r="I321" s="127"/>
      <c r="J321" s="127"/>
    </row>
    <row r="322" spans="1:10" x14ac:dyDescent="0.25">
      <c r="A322" s="126"/>
      <c r="B322" s="127"/>
      <c r="C322" s="128"/>
      <c r="D322" s="129"/>
      <c r="E322" s="129"/>
      <c r="F322" s="65"/>
      <c r="G322" s="65"/>
      <c r="H322" s="127"/>
      <c r="I322" s="127"/>
      <c r="J322" s="127"/>
    </row>
    <row r="323" spans="1:10" x14ac:dyDescent="0.25">
      <c r="A323" s="126"/>
      <c r="B323" s="127"/>
      <c r="C323" s="128"/>
      <c r="D323" s="129"/>
      <c r="E323" s="129"/>
      <c r="F323" s="65"/>
      <c r="G323" s="65"/>
      <c r="H323" s="127"/>
      <c r="I323" s="127"/>
      <c r="J323" s="127"/>
    </row>
    <row r="324" spans="1:10" x14ac:dyDescent="0.25">
      <c r="A324" s="126"/>
      <c r="B324" s="127"/>
      <c r="C324" s="128"/>
      <c r="D324" s="129"/>
      <c r="E324" s="129"/>
      <c r="F324" s="65"/>
      <c r="G324" s="65"/>
      <c r="H324" s="127"/>
      <c r="I324" s="127"/>
      <c r="J324" s="127"/>
    </row>
    <row r="325" spans="1:10" x14ac:dyDescent="0.25">
      <c r="A325" s="126"/>
      <c r="B325" s="127"/>
      <c r="C325" s="128"/>
      <c r="D325" s="129"/>
      <c r="E325" s="129"/>
      <c r="F325" s="65"/>
      <c r="G325" s="65"/>
      <c r="H325" s="127"/>
      <c r="I325" s="127"/>
      <c r="J325" s="127"/>
    </row>
    <row r="326" spans="1:10" x14ac:dyDescent="0.25">
      <c r="A326" s="126"/>
      <c r="B326" s="127"/>
      <c r="C326" s="128"/>
      <c r="D326" s="129"/>
      <c r="E326" s="129"/>
      <c r="F326" s="65"/>
      <c r="G326" s="65"/>
      <c r="H326" s="127"/>
      <c r="I326" s="127"/>
      <c r="J326" s="127"/>
    </row>
    <row r="327" spans="1:10" x14ac:dyDescent="0.25">
      <c r="A327" s="126"/>
      <c r="B327" s="127"/>
      <c r="C327" s="128"/>
      <c r="D327" s="129"/>
      <c r="E327" s="129"/>
      <c r="F327" s="65"/>
      <c r="G327" s="65"/>
      <c r="H327" s="127"/>
      <c r="I327" s="127"/>
      <c r="J327" s="127"/>
    </row>
    <row r="328" spans="1:10" x14ac:dyDescent="0.25">
      <c r="A328" s="126"/>
      <c r="B328" s="127"/>
      <c r="C328" s="128"/>
      <c r="D328" s="129"/>
      <c r="E328" s="129"/>
      <c r="F328" s="65"/>
      <c r="G328" s="65"/>
      <c r="H328" s="127"/>
      <c r="I328" s="127"/>
      <c r="J328" s="127"/>
    </row>
    <row r="329" spans="1:10" x14ac:dyDescent="0.25">
      <c r="A329" s="126"/>
      <c r="B329" s="127"/>
      <c r="C329" s="128"/>
      <c r="D329" s="129"/>
      <c r="E329" s="129"/>
      <c r="F329" s="65"/>
      <c r="G329" s="65"/>
      <c r="H329" s="127"/>
      <c r="I329" s="127"/>
      <c r="J329" s="127"/>
    </row>
    <row r="330" spans="1:10" x14ac:dyDescent="0.25">
      <c r="A330" s="126"/>
      <c r="B330" s="127"/>
      <c r="C330" s="128"/>
      <c r="D330" s="129"/>
      <c r="E330" s="129"/>
      <c r="F330" s="65"/>
      <c r="G330" s="65"/>
      <c r="H330" s="127"/>
      <c r="I330" s="127"/>
      <c r="J330" s="127"/>
    </row>
    <row r="331" spans="1:10" x14ac:dyDescent="0.25">
      <c r="A331" s="126"/>
      <c r="B331" s="127"/>
      <c r="C331" s="128"/>
      <c r="D331" s="129"/>
      <c r="E331" s="129"/>
      <c r="F331" s="65"/>
      <c r="G331" s="65"/>
      <c r="H331" s="127"/>
      <c r="I331" s="127"/>
      <c r="J331" s="127"/>
    </row>
    <row r="332" spans="1:10" x14ac:dyDescent="0.25">
      <c r="A332" s="126"/>
      <c r="B332" s="127"/>
      <c r="C332" s="128"/>
      <c r="D332" s="129"/>
      <c r="E332" s="129"/>
      <c r="F332" s="65"/>
      <c r="G332" s="65"/>
      <c r="H332" s="127"/>
      <c r="I332" s="127"/>
      <c r="J332" s="127"/>
    </row>
    <row r="333" spans="1:10" x14ac:dyDescent="0.25">
      <c r="A333" s="126"/>
      <c r="B333" s="127"/>
      <c r="C333" s="128"/>
      <c r="D333" s="129"/>
      <c r="E333" s="129"/>
      <c r="F333" s="65"/>
      <c r="G333" s="65"/>
      <c r="H333" s="127"/>
      <c r="I333" s="127"/>
      <c r="J333" s="127"/>
    </row>
    <row r="334" spans="1:10" x14ac:dyDescent="0.25">
      <c r="A334" s="126"/>
      <c r="B334" s="127"/>
      <c r="C334" s="128"/>
      <c r="D334" s="129"/>
      <c r="E334" s="129"/>
      <c r="F334" s="65"/>
      <c r="G334" s="65"/>
      <c r="H334" s="127"/>
      <c r="I334" s="127"/>
      <c r="J334" s="127"/>
    </row>
    <row r="335" spans="1:10" x14ac:dyDescent="0.25">
      <c r="A335" s="126"/>
      <c r="B335" s="127"/>
      <c r="C335" s="128"/>
      <c r="D335" s="129"/>
      <c r="E335" s="129"/>
      <c r="F335" s="65"/>
      <c r="G335" s="65"/>
      <c r="H335" s="127"/>
      <c r="I335" s="127"/>
      <c r="J335" s="127"/>
    </row>
    <row r="336" spans="1:10" x14ac:dyDescent="0.25">
      <c r="A336" s="126"/>
      <c r="B336" s="127"/>
      <c r="C336" s="128"/>
      <c r="D336" s="129"/>
      <c r="E336" s="129"/>
      <c r="F336" s="65"/>
      <c r="G336" s="65"/>
      <c r="H336" s="127"/>
      <c r="I336" s="127"/>
      <c r="J336" s="127"/>
    </row>
    <row r="337" spans="1:10" x14ac:dyDescent="0.25">
      <c r="A337" s="126"/>
      <c r="B337" s="127"/>
      <c r="C337" s="128"/>
      <c r="D337" s="129"/>
      <c r="E337" s="129"/>
      <c r="F337" s="65"/>
      <c r="G337" s="65"/>
      <c r="H337" s="127"/>
      <c r="I337" s="127"/>
      <c r="J337" s="127"/>
    </row>
    <row r="338" spans="1:10" x14ac:dyDescent="0.25">
      <c r="A338" s="126"/>
      <c r="B338" s="127"/>
      <c r="C338" s="128"/>
      <c r="D338" s="129"/>
      <c r="E338" s="129"/>
      <c r="F338" s="65"/>
      <c r="G338" s="65"/>
      <c r="H338" s="127"/>
      <c r="I338" s="127"/>
      <c r="J338" s="127"/>
    </row>
    <row r="339" spans="1:10" x14ac:dyDescent="0.25">
      <c r="A339" s="126"/>
      <c r="B339" s="127"/>
      <c r="C339" s="128"/>
      <c r="D339" s="129"/>
      <c r="E339" s="129"/>
      <c r="F339" s="65"/>
      <c r="G339" s="65"/>
      <c r="H339" s="127"/>
      <c r="I339" s="127"/>
      <c r="J339" s="127"/>
    </row>
    <row r="340" spans="1:10" x14ac:dyDescent="0.25">
      <c r="A340" s="126"/>
      <c r="B340" s="127"/>
      <c r="C340" s="128"/>
      <c r="D340" s="129"/>
      <c r="E340" s="129"/>
      <c r="F340" s="65"/>
      <c r="G340" s="65"/>
      <c r="H340" s="127"/>
      <c r="I340" s="127"/>
      <c r="J340" s="127"/>
    </row>
    <row r="341" spans="1:10" x14ac:dyDescent="0.25">
      <c r="A341" s="126"/>
      <c r="B341" s="127"/>
      <c r="C341" s="128"/>
      <c r="D341" s="129"/>
      <c r="E341" s="129"/>
      <c r="F341" s="65"/>
      <c r="G341" s="65"/>
      <c r="H341" s="127"/>
      <c r="I341" s="127"/>
      <c r="J341" s="127"/>
    </row>
    <row r="342" spans="1:10" x14ac:dyDescent="0.25">
      <c r="A342" s="126"/>
      <c r="B342" s="127"/>
      <c r="C342" s="128"/>
      <c r="D342" s="129"/>
      <c r="E342" s="129"/>
      <c r="F342" s="65"/>
      <c r="G342" s="65"/>
      <c r="H342" s="127"/>
      <c r="I342" s="127"/>
      <c r="J342" s="127"/>
    </row>
    <row r="343" spans="1:10" x14ac:dyDescent="0.25">
      <c r="A343" s="126"/>
      <c r="B343" s="127"/>
      <c r="C343" s="128"/>
      <c r="D343" s="129"/>
      <c r="E343" s="129"/>
      <c r="F343" s="65"/>
      <c r="G343" s="65"/>
      <c r="H343" s="127"/>
      <c r="I343" s="127"/>
      <c r="J343" s="127"/>
    </row>
    <row r="344" spans="1:10" x14ac:dyDescent="0.25">
      <c r="A344" s="126"/>
      <c r="B344" s="127"/>
      <c r="C344" s="128"/>
      <c r="D344" s="129"/>
      <c r="E344" s="129"/>
      <c r="F344" s="65"/>
      <c r="G344" s="65"/>
      <c r="H344" s="127"/>
      <c r="I344" s="127"/>
      <c r="J344" s="127"/>
    </row>
    <row r="345" spans="1:10" x14ac:dyDescent="0.25">
      <c r="A345" s="126"/>
      <c r="B345" s="127"/>
      <c r="C345" s="128"/>
      <c r="D345" s="129"/>
      <c r="E345" s="129"/>
      <c r="F345" s="65"/>
      <c r="G345" s="65"/>
      <c r="H345" s="127"/>
      <c r="I345" s="127"/>
      <c r="J345" s="127"/>
    </row>
    <row r="346" spans="1:10" x14ac:dyDescent="0.25">
      <c r="A346" s="126"/>
      <c r="B346" s="127"/>
      <c r="C346" s="128"/>
      <c r="D346" s="129"/>
      <c r="E346" s="129"/>
      <c r="F346" s="65"/>
      <c r="G346" s="65"/>
      <c r="H346" s="127"/>
      <c r="I346" s="127"/>
      <c r="J346" s="127"/>
    </row>
    <row r="347" spans="1:10" x14ac:dyDescent="0.25">
      <c r="A347" s="126"/>
      <c r="B347" s="127"/>
      <c r="C347" s="128"/>
      <c r="D347" s="129"/>
      <c r="E347" s="129"/>
      <c r="F347" s="152"/>
      <c r="G347" s="65"/>
      <c r="H347" s="127"/>
      <c r="I347" s="127"/>
      <c r="J347" s="127"/>
    </row>
    <row r="348" spans="1:10" x14ac:dyDescent="0.25">
      <c r="A348" s="126"/>
      <c r="B348" s="127"/>
      <c r="C348" s="128"/>
      <c r="D348" s="129"/>
      <c r="E348" s="129"/>
      <c r="F348" s="152"/>
      <c r="G348" s="65"/>
      <c r="H348" s="127"/>
      <c r="I348" s="127"/>
      <c r="J348" s="127"/>
    </row>
    <row r="349" spans="1:10" x14ac:dyDescent="0.25">
      <c r="A349" s="126"/>
      <c r="B349" s="127"/>
      <c r="C349" s="128"/>
      <c r="D349" s="129"/>
      <c r="E349" s="129"/>
      <c r="F349" s="153"/>
      <c r="G349" s="65"/>
      <c r="H349" s="127"/>
      <c r="I349" s="127"/>
      <c r="J349" s="127"/>
    </row>
    <row r="350" spans="1:10" x14ac:dyDescent="0.25">
      <c r="A350" s="126"/>
      <c r="B350" s="127"/>
      <c r="C350" s="128"/>
      <c r="D350" s="129"/>
      <c r="E350" s="129"/>
      <c r="F350" s="65"/>
      <c r="G350" s="65"/>
      <c r="H350" s="127"/>
      <c r="I350" s="127"/>
      <c r="J350" s="127"/>
    </row>
    <row r="351" spans="1:10" x14ac:dyDescent="0.25">
      <c r="A351" s="126"/>
      <c r="B351" s="127"/>
      <c r="C351" s="128"/>
      <c r="D351" s="129"/>
      <c r="E351" s="129"/>
      <c r="F351" s="65"/>
      <c r="G351" s="65"/>
      <c r="H351" s="127"/>
      <c r="I351" s="127"/>
      <c r="J351" s="127"/>
    </row>
    <row r="352" spans="1:10" x14ac:dyDescent="0.25">
      <c r="A352" s="126"/>
      <c r="B352" s="127"/>
      <c r="C352" s="128"/>
      <c r="D352" s="129"/>
      <c r="E352" s="129"/>
      <c r="F352" s="65"/>
      <c r="G352" s="65"/>
      <c r="H352" s="127"/>
      <c r="I352" s="127"/>
      <c r="J352" s="127"/>
    </row>
    <row r="353" spans="1:10" x14ac:dyDescent="0.25">
      <c r="A353" s="126"/>
      <c r="B353" s="127"/>
      <c r="C353" s="128"/>
      <c r="D353" s="129"/>
      <c r="E353" s="129"/>
      <c r="F353" s="65"/>
      <c r="G353" s="65"/>
      <c r="H353" s="127"/>
      <c r="I353" s="127"/>
      <c r="J353" s="127"/>
    </row>
    <row r="354" spans="1:10" x14ac:dyDescent="0.25">
      <c r="A354" s="126"/>
      <c r="B354" s="127"/>
      <c r="C354" s="128"/>
      <c r="D354" s="129"/>
      <c r="E354" s="129"/>
      <c r="F354" s="152"/>
      <c r="G354" s="65"/>
      <c r="H354" s="127"/>
      <c r="I354" s="127"/>
      <c r="J354" s="127"/>
    </row>
    <row r="355" spans="1:10" x14ac:dyDescent="0.25">
      <c r="A355" s="126"/>
      <c r="B355" s="127"/>
      <c r="C355" s="128"/>
      <c r="D355" s="129"/>
      <c r="E355" s="129"/>
      <c r="F355" s="152"/>
      <c r="G355" s="65"/>
      <c r="H355" s="127"/>
      <c r="I355" s="127"/>
      <c r="J355" s="127"/>
    </row>
    <row r="356" spans="1:10" x14ac:dyDescent="0.25">
      <c r="A356" s="126"/>
      <c r="B356" s="127"/>
      <c r="C356" s="128"/>
      <c r="D356" s="129"/>
      <c r="E356" s="129"/>
      <c r="F356" s="153"/>
      <c r="G356" s="65"/>
      <c r="H356" s="127"/>
      <c r="I356" s="127"/>
      <c r="J356" s="127"/>
    </row>
    <row r="357" spans="1:10" x14ac:dyDescent="0.25">
      <c r="A357" s="126"/>
      <c r="B357" s="127"/>
      <c r="C357" s="128"/>
      <c r="D357" s="129"/>
      <c r="E357" s="129"/>
      <c r="F357" s="65"/>
      <c r="G357" s="65"/>
      <c r="H357" s="127"/>
      <c r="I357" s="127"/>
      <c r="J357" s="127"/>
    </row>
    <row r="358" spans="1:10" x14ac:dyDescent="0.25">
      <c r="A358" s="126"/>
      <c r="B358" s="127"/>
      <c r="C358" s="128"/>
      <c r="D358" s="129"/>
      <c r="E358" s="129"/>
      <c r="F358" s="65"/>
      <c r="G358" s="65"/>
      <c r="H358" s="127"/>
      <c r="I358" s="127"/>
      <c r="J358" s="127"/>
    </row>
    <row r="359" spans="1:10" x14ac:dyDescent="0.25">
      <c r="A359" s="126"/>
      <c r="B359" s="127"/>
      <c r="C359" s="128"/>
      <c r="D359" s="129"/>
      <c r="E359" s="129"/>
      <c r="F359" s="65"/>
      <c r="G359" s="65"/>
      <c r="H359" s="127"/>
      <c r="I359" s="127"/>
      <c r="J359" s="127"/>
    </row>
    <row r="360" spans="1:10" x14ac:dyDescent="0.25">
      <c r="A360" s="126"/>
      <c r="B360" s="127"/>
      <c r="C360" s="128"/>
      <c r="D360" s="129"/>
      <c r="E360" s="129"/>
      <c r="F360" s="65"/>
      <c r="G360" s="65"/>
      <c r="H360" s="127"/>
      <c r="I360" s="127"/>
      <c r="J360" s="127"/>
    </row>
    <row r="361" spans="1:10" x14ac:dyDescent="0.25">
      <c r="A361" s="126"/>
      <c r="B361" s="127"/>
      <c r="C361" s="128"/>
      <c r="D361" s="129"/>
      <c r="E361" s="129"/>
      <c r="F361" s="65"/>
      <c r="G361" s="65"/>
      <c r="H361" s="127"/>
      <c r="I361" s="127"/>
      <c r="J361" s="127"/>
    </row>
    <row r="362" spans="1:10" x14ac:dyDescent="0.25">
      <c r="A362" s="126"/>
      <c r="B362" s="127"/>
      <c r="C362" s="128"/>
      <c r="D362" s="129"/>
      <c r="E362" s="129"/>
      <c r="F362" s="65"/>
      <c r="G362" s="65"/>
      <c r="H362" s="127"/>
      <c r="I362" s="127"/>
      <c r="J362" s="127"/>
    </row>
    <row r="363" spans="1:10" x14ac:dyDescent="0.25">
      <c r="A363" s="126"/>
      <c r="B363" s="127"/>
      <c r="C363" s="128"/>
      <c r="D363" s="129"/>
      <c r="E363" s="129"/>
      <c r="F363" s="65"/>
      <c r="G363" s="65"/>
      <c r="H363" s="127"/>
      <c r="I363" s="127"/>
      <c r="J363" s="127"/>
    </row>
    <row r="364" spans="1:10" x14ac:dyDescent="0.25">
      <c r="A364" s="126"/>
      <c r="B364" s="127"/>
      <c r="C364" s="128"/>
      <c r="D364" s="129"/>
      <c r="E364" s="129"/>
      <c r="F364" s="65"/>
      <c r="G364" s="65"/>
      <c r="H364" s="127"/>
      <c r="I364" s="127"/>
      <c r="J364" s="127"/>
    </row>
    <row r="365" spans="1:10" x14ac:dyDescent="0.25">
      <c r="A365" s="126"/>
      <c r="B365" s="127"/>
      <c r="C365" s="128"/>
      <c r="D365" s="129"/>
      <c r="E365" s="129"/>
      <c r="F365" s="65"/>
      <c r="G365" s="65"/>
      <c r="H365" s="127"/>
      <c r="I365" s="127"/>
      <c r="J365" s="127"/>
    </row>
    <row r="366" spans="1:10" x14ac:dyDescent="0.25">
      <c r="A366" s="126"/>
      <c r="B366" s="127"/>
      <c r="C366" s="128"/>
      <c r="D366" s="129"/>
      <c r="E366" s="129"/>
      <c r="F366" s="65"/>
      <c r="G366" s="65"/>
      <c r="H366" s="127"/>
      <c r="I366" s="127"/>
      <c r="J366" s="127"/>
    </row>
    <row r="367" spans="1:10" x14ac:dyDescent="0.25">
      <c r="A367" s="126"/>
      <c r="B367" s="127"/>
      <c r="C367" s="128"/>
      <c r="D367" s="129"/>
      <c r="E367" s="129"/>
      <c r="F367" s="65"/>
      <c r="G367" s="65"/>
      <c r="H367" s="127"/>
      <c r="I367" s="127"/>
      <c r="J367" s="127"/>
    </row>
    <row r="368" spans="1:10" x14ac:dyDescent="0.25">
      <c r="A368" s="126"/>
      <c r="B368" s="127"/>
      <c r="C368" s="128"/>
      <c r="D368" s="129"/>
      <c r="E368" s="129"/>
      <c r="F368" s="65"/>
      <c r="G368" s="65"/>
      <c r="H368" s="127"/>
      <c r="I368" s="127"/>
      <c r="J368" s="127"/>
    </row>
    <row r="369" spans="1:10" x14ac:dyDescent="0.25">
      <c r="A369" s="126"/>
      <c r="B369" s="127"/>
      <c r="C369" s="128"/>
      <c r="D369" s="129"/>
      <c r="E369" s="129"/>
      <c r="F369" s="65"/>
      <c r="G369" s="65"/>
      <c r="H369" s="127"/>
      <c r="I369" s="127"/>
      <c r="J369" s="127"/>
    </row>
    <row r="370" spans="1:10" x14ac:dyDescent="0.25">
      <c r="A370" s="126"/>
      <c r="B370" s="127"/>
      <c r="C370" s="128"/>
      <c r="D370" s="129"/>
      <c r="E370" s="129"/>
      <c r="F370" s="65"/>
      <c r="G370" s="65"/>
      <c r="H370" s="127"/>
      <c r="I370" s="127"/>
      <c r="J370" s="127"/>
    </row>
    <row r="371" spans="1:10" x14ac:dyDescent="0.25">
      <c r="A371" s="126"/>
      <c r="B371" s="127"/>
      <c r="C371" s="128"/>
      <c r="D371" s="129"/>
      <c r="E371" s="129"/>
      <c r="F371" s="65"/>
      <c r="G371" s="65"/>
      <c r="H371" s="127"/>
      <c r="I371" s="127"/>
      <c r="J371" s="127"/>
    </row>
    <row r="372" spans="1:10" x14ac:dyDescent="0.25">
      <c r="A372" s="126"/>
      <c r="B372" s="127"/>
      <c r="C372" s="128"/>
      <c r="D372" s="129"/>
      <c r="E372" s="129"/>
      <c r="F372" s="65"/>
      <c r="G372" s="65"/>
      <c r="H372" s="127"/>
      <c r="I372" s="127"/>
      <c r="J372" s="127"/>
    </row>
    <row r="373" spans="1:10" x14ac:dyDescent="0.25">
      <c r="A373" s="126"/>
      <c r="B373" s="127"/>
      <c r="C373" s="128"/>
      <c r="D373" s="129"/>
      <c r="E373" s="129"/>
      <c r="F373" s="65"/>
      <c r="G373" s="65"/>
      <c r="H373" s="127"/>
      <c r="I373" s="127"/>
      <c r="J373" s="127"/>
    </row>
    <row r="374" spans="1:10" x14ac:dyDescent="0.25">
      <c r="A374" s="126"/>
      <c r="B374" s="127"/>
      <c r="C374" s="128"/>
      <c r="D374" s="129"/>
      <c r="E374" s="129"/>
      <c r="F374" s="65"/>
      <c r="G374" s="65"/>
      <c r="H374" s="127"/>
      <c r="I374" s="127"/>
      <c r="J374" s="127"/>
    </row>
    <row r="375" spans="1:10" x14ac:dyDescent="0.25">
      <c r="A375" s="126"/>
      <c r="B375" s="127"/>
      <c r="C375" s="128"/>
      <c r="D375" s="129"/>
      <c r="E375" s="129"/>
      <c r="F375" s="65"/>
      <c r="G375" s="65"/>
      <c r="H375" s="127"/>
      <c r="I375" s="127"/>
      <c r="J375" s="127"/>
    </row>
    <row r="376" spans="1:10" x14ac:dyDescent="0.25">
      <c r="A376" s="126"/>
      <c r="B376" s="127"/>
      <c r="C376" s="128"/>
      <c r="D376" s="129"/>
      <c r="E376" s="129"/>
      <c r="F376" s="65"/>
      <c r="G376" s="65"/>
      <c r="H376" s="127"/>
      <c r="I376" s="127"/>
      <c r="J376" s="127"/>
    </row>
    <row r="377" spans="1:10" x14ac:dyDescent="0.25">
      <c r="A377" s="126"/>
      <c r="B377" s="127"/>
      <c r="C377" s="128"/>
      <c r="D377" s="129"/>
      <c r="E377" s="129"/>
      <c r="F377" s="65"/>
      <c r="G377" s="65"/>
      <c r="H377" s="127"/>
      <c r="I377" s="127"/>
      <c r="J377" s="127"/>
    </row>
    <row r="378" spans="1:10" x14ac:dyDescent="0.25">
      <c r="A378" s="126"/>
      <c r="B378" s="127"/>
      <c r="C378" s="128"/>
      <c r="D378" s="129"/>
      <c r="E378" s="129"/>
      <c r="F378" s="65"/>
      <c r="G378" s="65"/>
      <c r="H378" s="127"/>
      <c r="I378" s="127"/>
      <c r="J378" s="127"/>
    </row>
    <row r="379" spans="1:10" x14ac:dyDescent="0.25">
      <c r="A379" s="126"/>
      <c r="B379" s="127"/>
      <c r="C379" s="128"/>
      <c r="D379" s="129"/>
      <c r="E379" s="129"/>
      <c r="F379" s="65"/>
      <c r="G379" s="65"/>
      <c r="H379" s="127"/>
      <c r="I379" s="127"/>
      <c r="J379" s="127"/>
    </row>
    <row r="380" spans="1:10" x14ac:dyDescent="0.25">
      <c r="A380" s="126"/>
      <c r="B380" s="127"/>
      <c r="C380" s="128"/>
      <c r="D380" s="129"/>
      <c r="E380" s="129"/>
      <c r="F380" s="65"/>
      <c r="G380" s="65"/>
      <c r="H380" s="127"/>
      <c r="I380" s="127"/>
      <c r="J380" s="127"/>
    </row>
    <row r="381" spans="1:10" x14ac:dyDescent="0.25">
      <c r="A381" s="126"/>
      <c r="B381" s="127"/>
      <c r="C381" s="128"/>
      <c r="D381" s="129"/>
      <c r="E381" s="129"/>
      <c r="F381" s="65"/>
      <c r="G381" s="65"/>
      <c r="H381" s="127"/>
      <c r="I381" s="127"/>
      <c r="J381" s="127"/>
    </row>
    <row r="382" spans="1:10" x14ac:dyDescent="0.25">
      <c r="A382" s="126"/>
      <c r="B382" s="127"/>
      <c r="C382" s="128"/>
      <c r="D382" s="129"/>
      <c r="E382" s="129"/>
      <c r="F382" s="65"/>
      <c r="G382" s="65"/>
      <c r="H382" s="127"/>
      <c r="I382" s="127"/>
      <c r="J382" s="127"/>
    </row>
    <row r="383" spans="1:10" x14ac:dyDescent="0.25">
      <c r="A383" s="126"/>
      <c r="B383" s="127"/>
      <c r="C383" s="128"/>
      <c r="D383" s="129"/>
      <c r="E383" s="129"/>
      <c r="F383" s="65"/>
      <c r="G383" s="65"/>
      <c r="H383" s="127"/>
      <c r="I383" s="127"/>
      <c r="J383" s="127"/>
    </row>
    <row r="384" spans="1:10" x14ac:dyDescent="0.25">
      <c r="A384" s="126"/>
      <c r="B384" s="127"/>
      <c r="C384" s="128"/>
      <c r="D384" s="129"/>
      <c r="E384" s="129"/>
      <c r="F384" s="65"/>
      <c r="G384" s="65"/>
      <c r="H384" s="127"/>
      <c r="I384" s="127"/>
      <c r="J384" s="127"/>
    </row>
    <row r="385" spans="1:10" x14ac:dyDescent="0.25">
      <c r="A385" s="126"/>
      <c r="B385" s="127"/>
      <c r="C385" s="128"/>
      <c r="D385" s="129"/>
      <c r="E385" s="129"/>
      <c r="F385" s="65"/>
      <c r="G385" s="65"/>
      <c r="H385" s="127"/>
      <c r="I385" s="127"/>
      <c r="J385" s="127"/>
    </row>
    <row r="386" spans="1:10" x14ac:dyDescent="0.25">
      <c r="A386" s="126"/>
      <c r="B386" s="127"/>
      <c r="C386" s="128"/>
      <c r="D386" s="129"/>
      <c r="E386" s="129"/>
      <c r="F386" s="65"/>
      <c r="G386" s="65"/>
      <c r="H386" s="127"/>
      <c r="I386" s="127"/>
      <c r="J386" s="127"/>
    </row>
    <row r="387" spans="1:10" x14ac:dyDescent="0.25">
      <c r="A387" s="126"/>
      <c r="B387" s="127"/>
      <c r="C387" s="128"/>
      <c r="D387" s="129"/>
      <c r="E387" s="129"/>
      <c r="F387" s="65"/>
      <c r="G387" s="65"/>
      <c r="H387" s="127"/>
      <c r="I387" s="127"/>
      <c r="J387" s="127"/>
    </row>
    <row r="388" spans="1:10" x14ac:dyDescent="0.25">
      <c r="A388" s="126"/>
      <c r="B388" s="127"/>
      <c r="C388" s="128"/>
      <c r="D388" s="129"/>
      <c r="E388" s="129"/>
      <c r="F388" s="65"/>
      <c r="G388" s="65"/>
      <c r="H388" s="127"/>
      <c r="I388" s="127"/>
      <c r="J388" s="127"/>
    </row>
    <row r="389" spans="1:10" x14ac:dyDescent="0.25">
      <c r="A389" s="126"/>
      <c r="B389" s="127"/>
      <c r="C389" s="128"/>
      <c r="D389" s="129"/>
      <c r="E389" s="129"/>
      <c r="F389" s="65"/>
      <c r="G389" s="65"/>
      <c r="H389" s="127"/>
      <c r="I389" s="127"/>
      <c r="J389" s="127"/>
    </row>
    <row r="390" spans="1:10" x14ac:dyDescent="0.25">
      <c r="A390" s="126"/>
      <c r="B390" s="127"/>
      <c r="C390" s="128"/>
      <c r="D390" s="129"/>
      <c r="E390" s="129"/>
      <c r="F390" s="65"/>
      <c r="G390" s="65"/>
      <c r="H390" s="127"/>
      <c r="I390" s="127"/>
      <c r="J390" s="127"/>
    </row>
    <row r="391" spans="1:10" x14ac:dyDescent="0.25">
      <c r="A391" s="126"/>
      <c r="B391" s="127"/>
      <c r="C391" s="128"/>
      <c r="D391" s="129"/>
      <c r="E391" s="129"/>
      <c r="F391" s="65"/>
      <c r="G391" s="65"/>
      <c r="H391" s="127"/>
      <c r="I391" s="127"/>
      <c r="J391" s="127"/>
    </row>
    <row r="392" spans="1:10" x14ac:dyDescent="0.25">
      <c r="A392" s="126"/>
      <c r="B392" s="127"/>
      <c r="C392" s="128"/>
      <c r="D392" s="129"/>
      <c r="E392" s="129"/>
      <c r="F392" s="65"/>
      <c r="G392" s="65"/>
      <c r="H392" s="127"/>
      <c r="I392" s="127"/>
      <c r="J392" s="127"/>
    </row>
    <row r="393" spans="1:10" x14ac:dyDescent="0.25">
      <c r="A393" s="126"/>
      <c r="B393" s="127"/>
      <c r="C393" s="128"/>
      <c r="D393" s="129"/>
      <c r="E393" s="129"/>
      <c r="F393" s="65"/>
      <c r="G393" s="65"/>
      <c r="H393" s="127"/>
      <c r="I393" s="127"/>
      <c r="J393" s="127"/>
    </row>
    <row r="394" spans="1:10" x14ac:dyDescent="0.25">
      <c r="A394" s="126"/>
      <c r="B394" s="127"/>
      <c r="C394" s="128"/>
      <c r="D394" s="129"/>
      <c r="E394" s="129"/>
      <c r="F394" s="65"/>
      <c r="G394" s="65"/>
      <c r="H394" s="127"/>
      <c r="I394" s="127"/>
      <c r="J394" s="127"/>
    </row>
    <row r="395" spans="1:10" x14ac:dyDescent="0.25">
      <c r="A395" s="126"/>
      <c r="B395" s="127"/>
      <c r="C395" s="128"/>
      <c r="D395" s="129"/>
      <c r="E395" s="129"/>
      <c r="F395" s="65"/>
      <c r="G395" s="65"/>
      <c r="H395" s="127"/>
      <c r="I395" s="127"/>
      <c r="J395" s="127"/>
    </row>
    <row r="396" spans="1:10" x14ac:dyDescent="0.25">
      <c r="A396" s="126"/>
      <c r="B396" s="127"/>
      <c r="C396" s="128"/>
      <c r="D396" s="129"/>
      <c r="E396" s="129"/>
      <c r="F396" s="65"/>
      <c r="G396" s="65"/>
      <c r="H396" s="127"/>
      <c r="I396" s="127"/>
      <c r="J396" s="127"/>
    </row>
    <row r="397" spans="1:10" x14ac:dyDescent="0.25">
      <c r="A397" s="126"/>
      <c r="B397" s="127"/>
      <c r="C397" s="128"/>
      <c r="D397" s="129"/>
      <c r="E397" s="129"/>
      <c r="F397" s="65"/>
      <c r="G397" s="65"/>
      <c r="H397" s="127"/>
      <c r="I397" s="127"/>
      <c r="J397" s="127"/>
    </row>
    <row r="398" spans="1:10" x14ac:dyDescent="0.25">
      <c r="A398" s="126"/>
      <c r="B398" s="127"/>
      <c r="C398" s="128"/>
      <c r="D398" s="129"/>
      <c r="E398" s="129"/>
      <c r="F398" s="65"/>
      <c r="G398" s="65"/>
      <c r="H398" s="127"/>
      <c r="I398" s="127"/>
      <c r="J398" s="127"/>
    </row>
    <row r="399" spans="1:10" x14ac:dyDescent="0.25">
      <c r="A399" s="126"/>
      <c r="B399" s="127"/>
      <c r="C399" s="128"/>
      <c r="D399" s="129"/>
      <c r="E399" s="129"/>
      <c r="F399" s="65"/>
      <c r="G399" s="65"/>
      <c r="H399" s="127"/>
      <c r="I399" s="127"/>
      <c r="J399" s="127"/>
    </row>
    <row r="400" spans="1:10" x14ac:dyDescent="0.25">
      <c r="A400" s="126"/>
      <c r="B400" s="127"/>
      <c r="C400" s="128"/>
      <c r="D400" s="129"/>
      <c r="E400" s="129"/>
      <c r="F400" s="65"/>
      <c r="G400" s="65"/>
      <c r="H400" s="127"/>
      <c r="I400" s="127"/>
      <c r="J400" s="127"/>
    </row>
    <row r="401" spans="1:10" x14ac:dyDescent="0.25">
      <c r="A401" s="126"/>
      <c r="B401" s="127"/>
      <c r="C401" s="128"/>
      <c r="D401" s="129"/>
      <c r="E401" s="129"/>
      <c r="F401" s="65"/>
      <c r="G401" s="65"/>
      <c r="H401" s="127"/>
      <c r="I401" s="127"/>
      <c r="J401" s="127"/>
    </row>
    <row r="402" spans="1:10" x14ac:dyDescent="0.25">
      <c r="A402" s="126"/>
      <c r="B402" s="127"/>
      <c r="C402" s="128"/>
      <c r="D402" s="129"/>
      <c r="E402" s="129"/>
      <c r="F402" s="65"/>
      <c r="G402" s="65"/>
      <c r="H402" s="127"/>
      <c r="I402" s="127"/>
      <c r="J402" s="127"/>
    </row>
    <row r="403" spans="1:10" x14ac:dyDescent="0.25">
      <c r="A403" s="126"/>
      <c r="B403" s="127"/>
      <c r="C403" s="128"/>
      <c r="D403" s="129"/>
      <c r="E403" s="129"/>
      <c r="F403" s="65"/>
      <c r="G403" s="65"/>
      <c r="H403" s="127"/>
      <c r="I403" s="127"/>
      <c r="J403" s="127"/>
    </row>
    <row r="404" spans="1:10" x14ac:dyDescent="0.25">
      <c r="A404" s="126"/>
      <c r="B404" s="127"/>
      <c r="C404" s="128"/>
      <c r="D404" s="129"/>
      <c r="E404" s="129"/>
      <c r="F404" s="65"/>
      <c r="G404" s="65"/>
      <c r="H404" s="127"/>
      <c r="I404" s="127"/>
      <c r="J404" s="127"/>
    </row>
    <row r="405" spans="1:10" x14ac:dyDescent="0.25">
      <c r="A405" s="126"/>
      <c r="B405" s="127"/>
      <c r="C405" s="128"/>
      <c r="D405" s="129"/>
      <c r="E405" s="129"/>
      <c r="F405" s="65"/>
      <c r="G405" s="65"/>
      <c r="H405" s="127"/>
      <c r="I405" s="127"/>
      <c r="J405" s="127"/>
    </row>
    <row r="406" spans="1:10" x14ac:dyDescent="0.25">
      <c r="A406" s="126"/>
      <c r="B406" s="127"/>
      <c r="C406" s="128"/>
      <c r="D406" s="129"/>
      <c r="E406" s="129"/>
      <c r="F406" s="65"/>
      <c r="G406" s="65"/>
      <c r="H406" s="127"/>
      <c r="I406" s="127"/>
      <c r="J406" s="127"/>
    </row>
    <row r="407" spans="1:10" x14ac:dyDescent="0.25">
      <c r="A407" s="126"/>
      <c r="B407" s="127"/>
      <c r="C407" s="128"/>
      <c r="D407" s="129"/>
      <c r="E407" s="129"/>
      <c r="F407" s="65"/>
      <c r="G407" s="65"/>
      <c r="H407" s="127"/>
      <c r="I407" s="127"/>
      <c r="J407" s="127"/>
    </row>
    <row r="408" spans="1:10" x14ac:dyDescent="0.25">
      <c r="A408" s="126"/>
      <c r="B408" s="127"/>
      <c r="C408" s="128"/>
      <c r="D408" s="129"/>
      <c r="E408" s="129"/>
      <c r="F408" s="65"/>
      <c r="G408" s="65"/>
      <c r="H408" s="127"/>
      <c r="I408" s="127"/>
      <c r="J408" s="127"/>
    </row>
    <row r="409" spans="1:10" x14ac:dyDescent="0.25">
      <c r="A409" s="126"/>
      <c r="B409" s="127"/>
      <c r="C409" s="128"/>
      <c r="D409" s="129"/>
      <c r="E409" s="129"/>
      <c r="F409" s="65"/>
      <c r="G409" s="65"/>
      <c r="H409" s="127"/>
      <c r="I409" s="127"/>
      <c r="J409" s="127"/>
    </row>
    <row r="410" spans="1:10" x14ac:dyDescent="0.25">
      <c r="A410" s="126"/>
      <c r="B410" s="127"/>
      <c r="C410" s="128"/>
      <c r="D410" s="129"/>
      <c r="E410" s="129"/>
      <c r="F410" s="65"/>
      <c r="G410" s="65"/>
      <c r="H410" s="127"/>
      <c r="I410" s="127"/>
      <c r="J410" s="127"/>
    </row>
    <row r="411" spans="1:10" x14ac:dyDescent="0.25">
      <c r="A411" s="126"/>
      <c r="B411" s="127"/>
      <c r="C411" s="128"/>
      <c r="D411" s="129"/>
      <c r="E411" s="129"/>
      <c r="F411" s="65"/>
      <c r="G411" s="65"/>
      <c r="H411" s="127"/>
      <c r="I411" s="127"/>
      <c r="J411" s="127"/>
    </row>
    <row r="412" spans="1:10" x14ac:dyDescent="0.25">
      <c r="A412" s="126"/>
      <c r="B412" s="127"/>
      <c r="C412" s="128"/>
      <c r="D412" s="129"/>
      <c r="E412" s="129"/>
      <c r="F412" s="65"/>
      <c r="G412" s="65"/>
      <c r="H412" s="127"/>
      <c r="I412" s="127"/>
      <c r="J412" s="127"/>
    </row>
    <row r="413" spans="1:10" x14ac:dyDescent="0.25">
      <c r="A413" s="126"/>
      <c r="B413" s="127"/>
      <c r="C413" s="128"/>
      <c r="D413" s="129"/>
      <c r="E413" s="129"/>
      <c r="F413" s="65"/>
      <c r="G413" s="65"/>
      <c r="H413" s="127"/>
      <c r="I413" s="127"/>
      <c r="J413" s="127"/>
    </row>
    <row r="414" spans="1:10" x14ac:dyDescent="0.25">
      <c r="A414" s="126"/>
      <c r="B414" s="127"/>
      <c r="C414" s="128"/>
      <c r="D414" s="129"/>
      <c r="E414" s="129"/>
      <c r="F414" s="65"/>
      <c r="G414" s="65"/>
      <c r="H414" s="127"/>
      <c r="I414" s="127"/>
      <c r="J414" s="127"/>
    </row>
    <row r="415" spans="1:10" x14ac:dyDescent="0.25">
      <c r="A415" s="126"/>
      <c r="B415" s="127"/>
      <c r="C415" s="128"/>
      <c r="D415" s="129"/>
      <c r="E415" s="129"/>
      <c r="F415" s="65"/>
      <c r="G415" s="65"/>
      <c r="H415" s="127"/>
      <c r="I415" s="127"/>
      <c r="J415" s="127"/>
    </row>
    <row r="416" spans="1:10" x14ac:dyDescent="0.25">
      <c r="A416" s="126"/>
      <c r="B416" s="127"/>
      <c r="C416" s="128"/>
      <c r="D416" s="129"/>
      <c r="E416" s="129"/>
      <c r="F416" s="65"/>
      <c r="G416" s="65"/>
      <c r="H416" s="127"/>
      <c r="I416" s="127"/>
      <c r="J416" s="127"/>
    </row>
    <row r="417" spans="1:10" x14ac:dyDescent="0.25">
      <c r="A417" s="126"/>
      <c r="B417" s="127"/>
      <c r="C417" s="128"/>
      <c r="D417" s="129"/>
      <c r="E417" s="129"/>
      <c r="F417" s="65"/>
      <c r="G417" s="65"/>
      <c r="H417" s="127"/>
      <c r="I417" s="127"/>
      <c r="J417" s="127"/>
    </row>
    <row r="418" spans="1:10" x14ac:dyDescent="0.25">
      <c r="A418" s="126"/>
      <c r="B418" s="127"/>
      <c r="C418" s="128"/>
      <c r="D418" s="129"/>
      <c r="E418" s="129"/>
      <c r="F418" s="65"/>
      <c r="G418" s="65"/>
      <c r="H418" s="127"/>
      <c r="I418" s="127"/>
      <c r="J418" s="127"/>
    </row>
    <row r="419" spans="1:10" x14ac:dyDescent="0.25">
      <c r="A419" s="126"/>
      <c r="B419" s="127"/>
      <c r="C419" s="128"/>
      <c r="D419" s="129"/>
      <c r="E419" s="129"/>
      <c r="F419" s="65"/>
      <c r="G419" s="65"/>
      <c r="H419" s="127"/>
      <c r="I419" s="127"/>
      <c r="J419" s="127"/>
    </row>
    <row r="420" spans="1:10" x14ac:dyDescent="0.25">
      <c r="A420" s="126"/>
      <c r="B420" s="127"/>
      <c r="C420" s="128"/>
      <c r="D420" s="129"/>
      <c r="E420" s="129"/>
      <c r="F420" s="65"/>
      <c r="G420" s="65"/>
      <c r="H420" s="127"/>
      <c r="I420" s="127"/>
      <c r="J420" s="127"/>
    </row>
    <row r="421" spans="1:10" x14ac:dyDescent="0.25">
      <c r="A421" s="126"/>
      <c r="B421" s="127"/>
      <c r="C421" s="128"/>
      <c r="D421" s="129"/>
      <c r="E421" s="129"/>
      <c r="F421" s="65"/>
      <c r="G421" s="65"/>
      <c r="H421" s="127"/>
      <c r="I421" s="127"/>
      <c r="J421" s="127"/>
    </row>
    <row r="422" spans="1:10" x14ac:dyDescent="0.25">
      <c r="A422" s="126"/>
      <c r="B422" s="127"/>
      <c r="C422" s="128"/>
      <c r="D422" s="129"/>
      <c r="E422" s="129"/>
      <c r="F422" s="65"/>
      <c r="G422" s="65"/>
      <c r="H422" s="127"/>
      <c r="I422" s="127"/>
      <c r="J422" s="127"/>
    </row>
    <row r="423" spans="1:10" x14ac:dyDescent="0.25">
      <c r="A423" s="126"/>
      <c r="B423" s="127"/>
      <c r="C423" s="128"/>
      <c r="D423" s="129"/>
      <c r="E423" s="129"/>
      <c r="F423" s="65"/>
      <c r="G423" s="65"/>
      <c r="H423" s="127"/>
      <c r="I423" s="127"/>
      <c r="J423" s="127"/>
    </row>
    <row r="424" spans="1:10" x14ac:dyDescent="0.25">
      <c r="A424" s="126"/>
      <c r="B424" s="127"/>
      <c r="C424" s="128"/>
      <c r="D424" s="129"/>
      <c r="E424" s="129"/>
      <c r="F424" s="65"/>
      <c r="G424" s="65"/>
      <c r="H424" s="127"/>
      <c r="I424" s="127"/>
      <c r="J424" s="127"/>
    </row>
    <row r="425" spans="1:10" x14ac:dyDescent="0.25">
      <c r="A425" s="126"/>
      <c r="B425" s="127"/>
      <c r="C425" s="128"/>
      <c r="D425" s="129"/>
      <c r="E425" s="129"/>
      <c r="F425" s="65"/>
      <c r="G425" s="65"/>
      <c r="H425" s="127"/>
      <c r="I425" s="127"/>
      <c r="J425" s="127"/>
    </row>
    <row r="426" spans="1:10" x14ac:dyDescent="0.25">
      <c r="A426" s="126"/>
      <c r="B426" s="127"/>
      <c r="C426" s="128"/>
      <c r="D426" s="129"/>
      <c r="E426" s="129"/>
      <c r="F426" s="65"/>
      <c r="G426" s="65"/>
      <c r="H426" s="127"/>
      <c r="I426" s="127"/>
      <c r="J426" s="127"/>
    </row>
    <row r="427" spans="1:10" x14ac:dyDescent="0.25">
      <c r="A427" s="126"/>
      <c r="B427" s="127"/>
      <c r="C427" s="128"/>
      <c r="D427" s="129"/>
      <c r="E427" s="129"/>
      <c r="F427" s="65"/>
      <c r="G427" s="65"/>
      <c r="H427" s="127"/>
      <c r="I427" s="127"/>
      <c r="J427" s="127"/>
    </row>
    <row r="428" spans="1:10" x14ac:dyDescent="0.25">
      <c r="A428" s="126"/>
      <c r="B428" s="127"/>
      <c r="C428" s="128"/>
      <c r="D428" s="129"/>
      <c r="E428" s="129"/>
      <c r="F428" s="65"/>
      <c r="G428" s="65"/>
      <c r="H428" s="127"/>
      <c r="I428" s="127"/>
      <c r="J428" s="127"/>
    </row>
    <row r="429" spans="1:10" x14ac:dyDescent="0.25">
      <c r="A429" s="126"/>
      <c r="B429" s="127"/>
      <c r="C429" s="128"/>
      <c r="D429" s="129"/>
      <c r="E429" s="129"/>
      <c r="F429" s="65"/>
      <c r="G429" s="65"/>
      <c r="H429" s="127"/>
      <c r="I429" s="127"/>
      <c r="J429" s="127"/>
    </row>
    <row r="430" spans="1:10" x14ac:dyDescent="0.25">
      <c r="A430" s="126"/>
      <c r="B430" s="127"/>
      <c r="C430" s="128"/>
      <c r="D430" s="129"/>
      <c r="E430" s="129"/>
      <c r="F430" s="65"/>
      <c r="G430" s="65"/>
      <c r="H430" s="127"/>
      <c r="I430" s="127"/>
      <c r="J430" s="127"/>
    </row>
    <row r="431" spans="1:10" x14ac:dyDescent="0.25">
      <c r="A431" s="126"/>
      <c r="B431" s="127"/>
      <c r="C431" s="128"/>
      <c r="D431" s="129"/>
      <c r="E431" s="129"/>
      <c r="F431" s="65"/>
      <c r="G431" s="65"/>
      <c r="H431" s="127"/>
      <c r="I431" s="127"/>
      <c r="J431" s="127"/>
    </row>
    <row r="432" spans="1:10" x14ac:dyDescent="0.25">
      <c r="A432" s="126"/>
      <c r="B432" s="127"/>
      <c r="C432" s="128"/>
      <c r="D432" s="129"/>
      <c r="E432" s="129"/>
      <c r="F432" s="65"/>
      <c r="G432" s="65"/>
      <c r="H432" s="127"/>
      <c r="I432" s="127"/>
      <c r="J432" s="127"/>
    </row>
    <row r="433" spans="1:10" x14ac:dyDescent="0.25">
      <c r="A433" s="126"/>
      <c r="B433" s="127"/>
      <c r="C433" s="128"/>
      <c r="D433" s="129"/>
      <c r="E433" s="129"/>
      <c r="F433" s="65"/>
      <c r="G433" s="65"/>
      <c r="H433" s="127"/>
      <c r="I433" s="127"/>
      <c r="J433" s="127"/>
    </row>
    <row r="434" spans="1:10" x14ac:dyDescent="0.25">
      <c r="A434" s="126"/>
      <c r="B434" s="127"/>
      <c r="C434" s="128"/>
      <c r="D434" s="129"/>
      <c r="E434" s="129"/>
      <c r="F434" s="65"/>
      <c r="G434" s="65"/>
      <c r="H434" s="127"/>
      <c r="I434" s="127"/>
      <c r="J434" s="127"/>
    </row>
    <row r="435" spans="1:10" x14ac:dyDescent="0.25">
      <c r="A435" s="126"/>
      <c r="B435" s="127"/>
      <c r="C435" s="128"/>
      <c r="D435" s="129"/>
      <c r="E435" s="129"/>
      <c r="F435" s="65"/>
      <c r="G435" s="65"/>
      <c r="H435" s="127"/>
      <c r="I435" s="127"/>
      <c r="J435" s="127"/>
    </row>
    <row r="436" spans="1:10" x14ac:dyDescent="0.25">
      <c r="A436" s="126"/>
      <c r="B436" s="127"/>
      <c r="C436" s="128"/>
      <c r="D436" s="129"/>
      <c r="E436" s="129"/>
      <c r="F436" s="65"/>
      <c r="G436" s="65"/>
      <c r="H436" s="127"/>
      <c r="I436" s="127"/>
      <c r="J436" s="127"/>
    </row>
    <row r="437" spans="1:10" x14ac:dyDescent="0.25">
      <c r="A437" s="126"/>
      <c r="B437" s="127"/>
      <c r="C437" s="128"/>
      <c r="D437" s="129"/>
      <c r="E437" s="129"/>
      <c r="F437" s="65"/>
      <c r="G437" s="65"/>
      <c r="H437" s="127"/>
      <c r="I437" s="127"/>
      <c r="J437" s="127"/>
    </row>
    <row r="438" spans="1:10" x14ac:dyDescent="0.25">
      <c r="A438" s="126"/>
      <c r="B438" s="127"/>
      <c r="C438" s="128"/>
      <c r="D438" s="129"/>
      <c r="E438" s="129"/>
      <c r="F438" s="65"/>
      <c r="G438" s="65"/>
      <c r="H438" s="127"/>
      <c r="I438" s="127"/>
      <c r="J438" s="127"/>
    </row>
    <row r="439" spans="1:10" x14ac:dyDescent="0.25">
      <c r="A439" s="126"/>
      <c r="B439" s="127"/>
      <c r="C439" s="128"/>
      <c r="D439" s="129"/>
      <c r="E439" s="129"/>
      <c r="F439" s="65"/>
      <c r="G439" s="65"/>
      <c r="H439" s="127"/>
      <c r="I439" s="127"/>
      <c r="J439" s="127"/>
    </row>
    <row r="440" spans="1:10" x14ac:dyDescent="0.25">
      <c r="A440" s="126"/>
      <c r="B440" s="127"/>
      <c r="C440" s="128"/>
      <c r="D440" s="129"/>
      <c r="E440" s="129"/>
      <c r="F440" s="65"/>
      <c r="G440" s="65"/>
      <c r="H440" s="127"/>
      <c r="I440" s="127"/>
      <c r="J440" s="127"/>
    </row>
    <row r="441" spans="1:10" x14ac:dyDescent="0.25">
      <c r="A441" s="126"/>
      <c r="B441" s="127"/>
      <c r="C441" s="128"/>
      <c r="D441" s="129"/>
      <c r="E441" s="129"/>
      <c r="F441" s="65"/>
      <c r="G441" s="65"/>
      <c r="H441" s="127"/>
      <c r="I441" s="127"/>
      <c r="J441" s="127"/>
    </row>
    <row r="442" spans="1:10" x14ac:dyDescent="0.25">
      <c r="A442" s="126"/>
      <c r="B442" s="127"/>
      <c r="C442" s="128"/>
      <c r="D442" s="129"/>
      <c r="E442" s="129"/>
      <c r="F442" s="65"/>
      <c r="G442" s="65"/>
      <c r="H442" s="127"/>
      <c r="I442" s="127"/>
      <c r="J442" s="127"/>
    </row>
    <row r="443" spans="1:10" x14ac:dyDescent="0.25">
      <c r="A443" s="126"/>
      <c r="B443" s="127"/>
      <c r="C443" s="128"/>
      <c r="D443" s="129"/>
      <c r="E443" s="129"/>
      <c r="F443" s="65"/>
      <c r="G443" s="65"/>
      <c r="H443" s="127"/>
      <c r="I443" s="127"/>
      <c r="J443" s="127"/>
    </row>
    <row r="444" spans="1:10" x14ac:dyDescent="0.25">
      <c r="A444" s="126"/>
      <c r="B444" s="127"/>
      <c r="C444" s="128"/>
      <c r="D444" s="129"/>
      <c r="E444" s="129"/>
      <c r="F444" s="65"/>
      <c r="G444" s="65"/>
      <c r="H444" s="127"/>
      <c r="I444" s="127"/>
      <c r="J444" s="127"/>
    </row>
    <row r="445" spans="1:10" x14ac:dyDescent="0.25">
      <c r="A445" s="126"/>
      <c r="B445" s="127"/>
      <c r="C445" s="128"/>
      <c r="D445" s="129"/>
      <c r="E445" s="129"/>
      <c r="F445" s="65"/>
      <c r="G445" s="65"/>
      <c r="H445" s="127"/>
      <c r="I445" s="127"/>
      <c r="J445" s="127"/>
    </row>
    <row r="446" spans="1:10" x14ac:dyDescent="0.25">
      <c r="A446" s="126"/>
      <c r="B446" s="127"/>
      <c r="C446" s="128"/>
      <c r="D446" s="129"/>
      <c r="E446" s="129"/>
      <c r="F446" s="65"/>
      <c r="G446" s="65"/>
      <c r="H446" s="127"/>
      <c r="I446" s="127"/>
      <c r="J446" s="127"/>
    </row>
    <row r="447" spans="1:10" x14ac:dyDescent="0.25">
      <c r="A447" s="126"/>
      <c r="B447" s="127"/>
      <c r="C447" s="128"/>
      <c r="D447" s="129"/>
      <c r="E447" s="129"/>
      <c r="F447" s="65"/>
      <c r="G447" s="65"/>
      <c r="H447" s="127"/>
      <c r="I447" s="127"/>
      <c r="J447" s="127"/>
    </row>
    <row r="448" spans="1:10" x14ac:dyDescent="0.25">
      <c r="A448" s="126"/>
      <c r="B448" s="127"/>
      <c r="C448" s="128"/>
      <c r="D448" s="129"/>
      <c r="E448" s="129"/>
      <c r="F448" s="65"/>
      <c r="G448" s="65"/>
      <c r="H448" s="127"/>
      <c r="I448" s="127"/>
      <c r="J448" s="127"/>
    </row>
    <row r="449" spans="1:10" x14ac:dyDescent="0.25">
      <c r="A449" s="126"/>
      <c r="B449" s="127"/>
      <c r="C449" s="128"/>
      <c r="D449" s="129"/>
      <c r="E449" s="129"/>
      <c r="F449" s="65"/>
      <c r="G449" s="65"/>
      <c r="H449" s="127"/>
      <c r="I449" s="127"/>
      <c r="J449" s="127"/>
    </row>
    <row r="450" spans="1:10" x14ac:dyDescent="0.25">
      <c r="A450" s="126"/>
      <c r="B450" s="127"/>
      <c r="C450" s="128"/>
      <c r="D450" s="129"/>
      <c r="E450" s="129"/>
      <c r="F450" s="65"/>
      <c r="G450" s="65"/>
      <c r="H450" s="127"/>
      <c r="I450" s="127"/>
      <c r="J450" s="127"/>
    </row>
    <row r="451" spans="1:10" x14ac:dyDescent="0.25">
      <c r="A451" s="126"/>
      <c r="B451" s="127"/>
      <c r="C451" s="128"/>
      <c r="D451" s="129"/>
      <c r="E451" s="129"/>
      <c r="F451" s="65"/>
      <c r="G451" s="65"/>
      <c r="H451" s="127"/>
      <c r="I451" s="127"/>
      <c r="J451" s="127"/>
    </row>
    <row r="452" spans="1:10" x14ac:dyDescent="0.25">
      <c r="A452" s="126"/>
      <c r="B452" s="127"/>
      <c r="C452" s="128"/>
      <c r="D452" s="129"/>
      <c r="E452" s="129"/>
      <c r="F452" s="65"/>
      <c r="G452" s="65"/>
      <c r="H452" s="127"/>
      <c r="I452" s="127"/>
      <c r="J452" s="127"/>
    </row>
    <row r="453" spans="1:10" x14ac:dyDescent="0.25">
      <c r="A453" s="126"/>
      <c r="B453" s="127"/>
      <c r="C453" s="128"/>
      <c r="D453" s="129"/>
      <c r="E453" s="129"/>
      <c r="F453" s="65"/>
      <c r="G453" s="65"/>
      <c r="H453" s="127"/>
      <c r="I453" s="127"/>
      <c r="J453" s="127"/>
    </row>
    <row r="454" spans="1:10" x14ac:dyDescent="0.25">
      <c r="A454" s="126"/>
      <c r="B454" s="127"/>
      <c r="C454" s="128"/>
      <c r="D454" s="129"/>
      <c r="E454" s="129"/>
      <c r="F454" s="65"/>
      <c r="G454" s="65"/>
      <c r="H454" s="127"/>
      <c r="I454" s="127"/>
      <c r="J454" s="127"/>
    </row>
    <row r="455" spans="1:10" x14ac:dyDescent="0.25">
      <c r="A455" s="126"/>
      <c r="B455" s="127"/>
      <c r="C455" s="128"/>
      <c r="D455" s="129"/>
      <c r="E455" s="129"/>
      <c r="F455" s="65"/>
      <c r="G455" s="65"/>
      <c r="H455" s="127"/>
      <c r="I455" s="127"/>
      <c r="J455" s="127"/>
    </row>
    <row r="456" spans="1:10" x14ac:dyDescent="0.25">
      <c r="A456" s="126"/>
      <c r="B456" s="127"/>
      <c r="C456" s="128"/>
      <c r="D456" s="129"/>
      <c r="E456" s="129"/>
      <c r="F456" s="65"/>
      <c r="G456" s="65"/>
      <c r="H456" s="127"/>
      <c r="I456" s="127"/>
      <c r="J456" s="127"/>
    </row>
    <row r="457" spans="1:10" x14ac:dyDescent="0.25">
      <c r="A457" s="126"/>
      <c r="B457" s="127"/>
      <c r="C457" s="128"/>
      <c r="D457" s="129"/>
      <c r="E457" s="129"/>
      <c r="F457" s="65"/>
      <c r="G457" s="65"/>
      <c r="H457" s="127"/>
      <c r="I457" s="127"/>
      <c r="J457" s="127"/>
    </row>
    <row r="458" spans="1:10" x14ac:dyDescent="0.25">
      <c r="A458" s="126"/>
      <c r="B458" s="127"/>
      <c r="C458" s="128"/>
      <c r="D458" s="129"/>
      <c r="E458" s="129"/>
      <c r="F458" s="65"/>
      <c r="G458" s="152"/>
      <c r="H458" s="127"/>
      <c r="I458" s="127"/>
      <c r="J458" s="127"/>
    </row>
    <row r="459" spans="1:10" x14ac:dyDescent="0.25">
      <c r="A459" s="126"/>
      <c r="B459" s="127"/>
      <c r="C459" s="128"/>
      <c r="D459" s="129"/>
      <c r="E459" s="129"/>
      <c r="F459" s="65"/>
      <c r="G459" s="152"/>
      <c r="H459" s="127"/>
      <c r="I459" s="127"/>
      <c r="J459" s="127"/>
    </row>
    <row r="460" spans="1:10" x14ac:dyDescent="0.25">
      <c r="A460" s="126"/>
      <c r="B460" s="127"/>
      <c r="C460" s="128"/>
      <c r="D460" s="129"/>
      <c r="E460" s="129"/>
      <c r="F460" s="65"/>
      <c r="G460" s="152"/>
      <c r="H460" s="127"/>
      <c r="I460" s="127"/>
      <c r="J460" s="127"/>
    </row>
    <row r="461" spans="1:10" x14ac:dyDescent="0.25">
      <c r="A461" s="126"/>
      <c r="B461" s="127"/>
      <c r="C461" s="128"/>
      <c r="D461" s="129"/>
      <c r="E461" s="129"/>
      <c r="F461" s="65"/>
      <c r="G461" s="165"/>
      <c r="H461" s="127"/>
      <c r="I461" s="127"/>
      <c r="J461" s="127"/>
    </row>
    <row r="462" spans="1:10" x14ac:dyDescent="0.25">
      <c r="A462" s="126"/>
      <c r="B462" s="127"/>
      <c r="C462" s="128"/>
      <c r="D462" s="129"/>
      <c r="E462" s="129"/>
      <c r="F462" s="65"/>
      <c r="G462" s="127"/>
      <c r="H462" s="127"/>
      <c r="I462" s="127"/>
      <c r="J462" s="127"/>
    </row>
    <row r="463" spans="1:10" x14ac:dyDescent="0.25">
      <c r="A463" s="126"/>
      <c r="B463" s="127"/>
      <c r="C463" s="128"/>
      <c r="D463" s="129"/>
      <c r="E463" s="129"/>
      <c r="F463" s="65"/>
      <c r="G463" s="127"/>
      <c r="H463" s="127"/>
      <c r="I463" s="127"/>
      <c r="J463" s="127"/>
    </row>
    <row r="464" spans="1:10" x14ac:dyDescent="0.25">
      <c r="A464" s="126"/>
      <c r="B464" s="127"/>
      <c r="C464" s="128"/>
      <c r="D464" s="129"/>
      <c r="E464" s="129"/>
      <c r="F464" s="65"/>
      <c r="G464" s="129"/>
      <c r="H464" s="127"/>
      <c r="I464" s="127"/>
      <c r="J464" s="127"/>
    </row>
    <row r="465" spans="1:10" x14ac:dyDescent="0.25">
      <c r="A465" s="126"/>
      <c r="B465" s="127"/>
      <c r="C465" s="128"/>
      <c r="D465" s="129"/>
      <c r="E465" s="129"/>
      <c r="F465" s="65"/>
      <c r="G465" s="129"/>
      <c r="H465" s="127"/>
      <c r="I465" s="127"/>
      <c r="J465" s="127"/>
    </row>
    <row r="466" spans="1:10" x14ac:dyDescent="0.25">
      <c r="A466" s="126"/>
      <c r="B466" s="127"/>
      <c r="C466" s="128"/>
      <c r="D466" s="129"/>
      <c r="E466" s="129"/>
      <c r="F466" s="65"/>
      <c r="G466" s="129"/>
      <c r="H466" s="127"/>
      <c r="I466" s="127"/>
      <c r="J466" s="127"/>
    </row>
    <row r="467" spans="1:10" x14ac:dyDescent="0.25">
      <c r="A467" s="126"/>
      <c r="B467" s="127"/>
      <c r="C467" s="128"/>
      <c r="D467" s="129"/>
      <c r="E467" s="129"/>
      <c r="F467" s="65"/>
      <c r="G467" s="129"/>
      <c r="H467" s="127"/>
      <c r="I467" s="127"/>
      <c r="J467" s="127"/>
    </row>
    <row r="468" spans="1:10" x14ac:dyDescent="0.25">
      <c r="A468" s="126"/>
      <c r="B468" s="127"/>
      <c r="C468" s="128"/>
      <c r="D468" s="129"/>
      <c r="E468" s="129"/>
      <c r="F468" s="65"/>
      <c r="G468" s="129"/>
      <c r="H468" s="127"/>
      <c r="I468" s="127"/>
      <c r="J468" s="127"/>
    </row>
    <row r="469" spans="1:10" x14ac:dyDescent="0.25">
      <c r="A469" s="126"/>
      <c r="B469" s="127"/>
      <c r="C469" s="128"/>
      <c r="D469" s="129"/>
      <c r="E469" s="129"/>
      <c r="F469" s="65"/>
      <c r="G469" s="129"/>
      <c r="H469" s="127"/>
      <c r="I469" s="127"/>
      <c r="J469" s="127"/>
    </row>
    <row r="470" spans="1:10" x14ac:dyDescent="0.25">
      <c r="A470" s="126"/>
      <c r="B470" s="127"/>
      <c r="C470" s="128"/>
      <c r="D470" s="129"/>
      <c r="E470" s="129"/>
      <c r="F470" s="65"/>
      <c r="G470" s="129"/>
      <c r="H470" s="127"/>
      <c r="I470" s="127"/>
      <c r="J470" s="127"/>
    </row>
    <row r="471" spans="1:10" x14ac:dyDescent="0.25">
      <c r="A471" s="126"/>
      <c r="B471" s="127"/>
      <c r="C471" s="128"/>
      <c r="D471" s="129"/>
      <c r="E471" s="129"/>
      <c r="F471" s="65"/>
      <c r="G471" s="129"/>
      <c r="H471" s="127"/>
      <c r="I471" s="127"/>
      <c r="J471" s="127"/>
    </row>
    <row r="472" spans="1:10" x14ac:dyDescent="0.25">
      <c r="A472" s="126"/>
      <c r="B472" s="127"/>
      <c r="C472" s="128"/>
      <c r="D472" s="129"/>
      <c r="E472" s="129"/>
      <c r="F472" s="65"/>
      <c r="G472" s="129"/>
      <c r="H472" s="127"/>
      <c r="I472" s="127"/>
      <c r="J472" s="127"/>
    </row>
    <row r="473" spans="1:10" x14ac:dyDescent="0.25">
      <c r="A473" s="126"/>
      <c r="B473" s="127"/>
      <c r="C473" s="128"/>
      <c r="D473" s="129"/>
      <c r="E473" s="129"/>
      <c r="F473" s="65"/>
      <c r="G473" s="129"/>
      <c r="H473" s="127"/>
      <c r="I473" s="127"/>
      <c r="J473" s="127"/>
    </row>
    <row r="474" spans="1:10" x14ac:dyDescent="0.25">
      <c r="A474" s="126"/>
      <c r="B474" s="127"/>
      <c r="C474" s="128"/>
      <c r="D474" s="129"/>
      <c r="E474" s="129"/>
      <c r="F474" s="65"/>
      <c r="G474" s="129"/>
      <c r="H474" s="127"/>
      <c r="I474" s="127"/>
      <c r="J474" s="127"/>
    </row>
    <row r="475" spans="1:10" x14ac:dyDescent="0.25">
      <c r="A475" s="126"/>
      <c r="B475" s="127"/>
      <c r="C475" s="128"/>
      <c r="D475" s="129"/>
      <c r="E475" s="129"/>
      <c r="F475" s="65"/>
      <c r="G475" s="129"/>
      <c r="H475" s="127"/>
      <c r="I475" s="127"/>
      <c r="J475" s="127"/>
    </row>
    <row r="476" spans="1:10" x14ac:dyDescent="0.25">
      <c r="A476" s="126"/>
      <c r="B476" s="127"/>
      <c r="C476" s="128"/>
      <c r="D476" s="129"/>
      <c r="E476" s="129"/>
      <c r="F476" s="65"/>
      <c r="G476" s="129"/>
      <c r="H476" s="127"/>
      <c r="I476" s="127"/>
      <c r="J476" s="127"/>
    </row>
    <row r="477" spans="1:10" x14ac:dyDescent="0.25">
      <c r="A477" s="126"/>
      <c r="B477" s="127"/>
      <c r="C477" s="128"/>
      <c r="D477" s="129"/>
      <c r="E477" s="129"/>
      <c r="F477" s="65"/>
      <c r="G477" s="129"/>
      <c r="H477" s="127"/>
      <c r="I477" s="127"/>
      <c r="J477" s="127"/>
    </row>
    <row r="478" spans="1:10" x14ac:dyDescent="0.25">
      <c r="A478" s="126"/>
      <c r="B478" s="127"/>
      <c r="C478" s="128"/>
      <c r="D478" s="129"/>
      <c r="E478" s="129"/>
      <c r="F478" s="65"/>
      <c r="G478" s="129"/>
      <c r="H478" s="127"/>
      <c r="I478" s="127"/>
      <c r="J478" s="127"/>
    </row>
    <row r="479" spans="1:10" x14ac:dyDescent="0.25">
      <c r="A479" s="126"/>
      <c r="B479" s="127"/>
      <c r="C479" s="128"/>
      <c r="D479" s="129"/>
      <c r="E479" s="129"/>
      <c r="F479" s="65"/>
      <c r="G479" s="129"/>
      <c r="H479" s="127"/>
      <c r="I479" s="127"/>
      <c r="J479" s="127"/>
    </row>
    <row r="480" spans="1:10" x14ac:dyDescent="0.25">
      <c r="A480" s="126"/>
      <c r="B480" s="127"/>
      <c r="C480" s="128"/>
      <c r="D480" s="129"/>
      <c r="E480" s="129"/>
      <c r="F480" s="65"/>
      <c r="G480" s="129"/>
      <c r="H480" s="127"/>
      <c r="I480" s="127"/>
      <c r="J480" s="127"/>
    </row>
    <row r="481" spans="1:10" x14ac:dyDescent="0.25">
      <c r="A481" s="126"/>
      <c r="B481" s="127"/>
      <c r="C481" s="128"/>
      <c r="D481" s="129"/>
      <c r="E481" s="129"/>
      <c r="F481" s="65"/>
      <c r="G481" s="129"/>
      <c r="H481" s="127"/>
      <c r="I481" s="127"/>
      <c r="J481" s="127"/>
    </row>
    <row r="482" spans="1:10" x14ac:dyDescent="0.25">
      <c r="A482" s="126"/>
      <c r="B482" s="127"/>
      <c r="C482" s="128"/>
      <c r="D482" s="129"/>
      <c r="E482" s="129"/>
      <c r="F482" s="65"/>
      <c r="G482" s="129"/>
      <c r="H482" s="127"/>
      <c r="I482" s="127"/>
      <c r="J482" s="127"/>
    </row>
    <row r="483" spans="1:10" x14ac:dyDescent="0.25">
      <c r="A483" s="126"/>
      <c r="B483" s="127"/>
      <c r="C483" s="128"/>
      <c r="D483" s="129"/>
      <c r="E483" s="129"/>
      <c r="F483" s="65"/>
      <c r="G483" s="129"/>
      <c r="H483" s="127"/>
      <c r="I483" s="127"/>
      <c r="J483" s="127"/>
    </row>
    <row r="484" spans="1:10" x14ac:dyDescent="0.25">
      <c r="A484" s="126"/>
      <c r="B484" s="127"/>
      <c r="C484" s="128"/>
      <c r="D484" s="129"/>
      <c r="E484" s="129"/>
      <c r="F484" s="65"/>
      <c r="G484" s="129"/>
      <c r="H484" s="127"/>
      <c r="I484" s="127"/>
      <c r="J484" s="127"/>
    </row>
    <row r="485" spans="1:10" x14ac:dyDescent="0.25">
      <c r="A485" s="126"/>
      <c r="B485" s="127"/>
      <c r="C485" s="128"/>
      <c r="D485" s="129"/>
      <c r="E485" s="129"/>
      <c r="F485" s="65"/>
      <c r="G485" s="129"/>
      <c r="H485" s="127"/>
      <c r="I485" s="127"/>
      <c r="J485" s="127"/>
    </row>
    <row r="486" spans="1:10" x14ac:dyDescent="0.25">
      <c r="A486" s="126"/>
      <c r="B486" s="127"/>
      <c r="C486" s="128"/>
      <c r="D486" s="129"/>
      <c r="E486" s="129"/>
      <c r="F486" s="65"/>
      <c r="G486" s="129"/>
      <c r="H486" s="127"/>
      <c r="I486" s="127"/>
      <c r="J486" s="127"/>
    </row>
    <row r="487" spans="1:10" x14ac:dyDescent="0.25">
      <c r="A487" s="126"/>
      <c r="B487" s="127"/>
      <c r="C487" s="128"/>
      <c r="D487" s="129"/>
      <c r="E487" s="129"/>
      <c r="F487" s="65"/>
      <c r="G487" s="129"/>
      <c r="H487" s="127"/>
      <c r="I487" s="127"/>
      <c r="J487" s="127"/>
    </row>
    <row r="488" spans="1:10" x14ac:dyDescent="0.25">
      <c r="A488" s="126"/>
      <c r="B488" s="127"/>
      <c r="C488" s="128"/>
      <c r="D488" s="129"/>
      <c r="E488" s="129"/>
      <c r="F488" s="65"/>
      <c r="G488" s="129"/>
      <c r="H488" s="127"/>
      <c r="I488" s="127"/>
      <c r="J488" s="127"/>
    </row>
    <row r="489" spans="1:10" x14ac:dyDescent="0.25">
      <c r="A489" s="126"/>
      <c r="B489" s="127"/>
      <c r="C489" s="128"/>
      <c r="D489" s="129"/>
      <c r="E489" s="129"/>
      <c r="F489" s="65"/>
      <c r="G489" s="129"/>
      <c r="H489" s="127"/>
      <c r="I489" s="127"/>
      <c r="J489" s="127"/>
    </row>
    <row r="490" spans="1:10" x14ac:dyDescent="0.25">
      <c r="A490" s="126"/>
      <c r="B490" s="127"/>
      <c r="C490" s="128"/>
      <c r="D490" s="129"/>
      <c r="E490" s="129"/>
      <c r="F490" s="65"/>
      <c r="G490" s="129"/>
      <c r="H490" s="127"/>
      <c r="I490" s="127"/>
      <c r="J490" s="127"/>
    </row>
    <row r="491" spans="1:10" x14ac:dyDescent="0.25">
      <c r="A491" s="126"/>
      <c r="B491" s="127"/>
      <c r="C491" s="128"/>
      <c r="D491" s="129"/>
      <c r="E491" s="129"/>
      <c r="F491" s="65"/>
      <c r="G491" s="129"/>
      <c r="H491" s="127"/>
      <c r="I491" s="127"/>
      <c r="J491" s="127"/>
    </row>
    <row r="492" spans="1:10" x14ac:dyDescent="0.25">
      <c r="A492" s="126"/>
      <c r="B492" s="127"/>
      <c r="C492" s="128"/>
      <c r="D492" s="129"/>
      <c r="E492" s="129"/>
      <c r="F492" s="65"/>
      <c r="G492" s="129"/>
      <c r="H492" s="127"/>
      <c r="I492" s="127"/>
      <c r="J492" s="127"/>
    </row>
    <row r="493" spans="1:10" x14ac:dyDescent="0.25">
      <c r="A493" s="126"/>
      <c r="B493" s="127"/>
      <c r="C493" s="128"/>
      <c r="D493" s="129"/>
      <c r="E493" s="129"/>
      <c r="F493" s="65"/>
      <c r="G493" s="129"/>
      <c r="H493" s="127"/>
      <c r="I493" s="127"/>
      <c r="J493" s="127"/>
    </row>
    <row r="494" spans="1:10" x14ac:dyDescent="0.25">
      <c r="A494" s="126"/>
      <c r="B494" s="127"/>
      <c r="C494" s="128"/>
      <c r="D494" s="129"/>
      <c r="E494" s="129"/>
      <c r="F494" s="65"/>
      <c r="G494" s="129"/>
      <c r="H494" s="127"/>
      <c r="I494" s="127"/>
      <c r="J494" s="127"/>
    </row>
    <row r="495" spans="1:10" x14ac:dyDescent="0.25">
      <c r="A495" s="126"/>
      <c r="B495" s="127"/>
      <c r="C495" s="128"/>
      <c r="D495" s="129"/>
      <c r="E495" s="129"/>
      <c r="F495" s="65"/>
      <c r="G495" s="129"/>
      <c r="H495" s="127"/>
      <c r="I495" s="127"/>
      <c r="J495" s="127"/>
    </row>
    <row r="496" spans="1:10" x14ac:dyDescent="0.25">
      <c r="A496" s="126"/>
      <c r="B496" s="127"/>
      <c r="C496" s="128"/>
      <c r="D496" s="129"/>
      <c r="E496" s="129"/>
      <c r="F496" s="65"/>
      <c r="G496" s="129"/>
      <c r="H496" s="127"/>
      <c r="I496" s="127"/>
      <c r="J496" s="127"/>
    </row>
    <row r="497" spans="1:10" x14ac:dyDescent="0.25">
      <c r="A497" s="126"/>
      <c r="B497" s="127"/>
      <c r="C497" s="128"/>
      <c r="D497" s="129"/>
      <c r="E497" s="129"/>
      <c r="F497" s="65"/>
      <c r="G497" s="129"/>
      <c r="H497" s="127"/>
      <c r="I497" s="127"/>
      <c r="J497" s="127"/>
    </row>
    <row r="498" spans="1:10" x14ac:dyDescent="0.25">
      <c r="A498" s="126"/>
      <c r="B498" s="127"/>
      <c r="C498" s="128"/>
      <c r="D498" s="129"/>
      <c r="E498" s="129"/>
      <c r="F498" s="65"/>
      <c r="G498" s="129"/>
      <c r="H498" s="127"/>
      <c r="I498" s="127"/>
      <c r="J498" s="127"/>
    </row>
    <row r="499" spans="1:10" x14ac:dyDescent="0.25">
      <c r="A499" s="126"/>
      <c r="B499" s="127"/>
      <c r="C499" s="128"/>
      <c r="D499" s="129"/>
      <c r="E499" s="129"/>
      <c r="F499" s="65"/>
      <c r="G499" s="129"/>
      <c r="H499" s="127"/>
      <c r="I499" s="127"/>
      <c r="J499" s="127"/>
    </row>
    <row r="500" spans="1:10" x14ac:dyDescent="0.25">
      <c r="A500" s="126"/>
      <c r="B500" s="127"/>
      <c r="C500" s="128"/>
      <c r="D500" s="129"/>
      <c r="E500" s="129"/>
      <c r="F500" s="65"/>
      <c r="G500" s="129"/>
      <c r="H500" s="127"/>
      <c r="I500" s="127"/>
      <c r="J500" s="127"/>
    </row>
    <row r="501" spans="1:10" x14ac:dyDescent="0.25">
      <c r="A501" s="126"/>
      <c r="B501" s="127"/>
      <c r="C501" s="128"/>
      <c r="D501" s="129"/>
      <c r="E501" s="129"/>
      <c r="F501" s="65"/>
      <c r="G501" s="129"/>
      <c r="H501" s="127"/>
      <c r="I501" s="127"/>
      <c r="J501" s="127"/>
    </row>
    <row r="502" spans="1:10" x14ac:dyDescent="0.25">
      <c r="A502" s="126"/>
      <c r="B502" s="127"/>
      <c r="C502" s="128"/>
      <c r="D502" s="129"/>
      <c r="E502" s="129"/>
      <c r="F502" s="65"/>
      <c r="G502" s="129"/>
      <c r="H502" s="127"/>
      <c r="I502" s="127"/>
      <c r="J502" s="127"/>
    </row>
    <row r="503" spans="1:10" x14ac:dyDescent="0.25">
      <c r="A503" s="126"/>
      <c r="B503" s="127"/>
      <c r="C503" s="128"/>
      <c r="D503" s="129"/>
      <c r="E503" s="129"/>
      <c r="F503" s="65"/>
      <c r="G503" s="129"/>
      <c r="H503" s="127"/>
      <c r="I503" s="127"/>
      <c r="J503" s="127"/>
    </row>
    <row r="504" spans="1:10" x14ac:dyDescent="0.25">
      <c r="A504" s="126"/>
      <c r="B504" s="127"/>
      <c r="C504" s="128"/>
      <c r="D504" s="129"/>
      <c r="E504" s="129"/>
      <c r="F504" s="65"/>
      <c r="G504" s="129"/>
      <c r="H504" s="127"/>
      <c r="I504" s="127"/>
      <c r="J504" s="127"/>
    </row>
    <row r="505" spans="1:10" x14ac:dyDescent="0.25">
      <c r="A505" s="126"/>
      <c r="B505" s="127"/>
      <c r="C505" s="128"/>
      <c r="D505" s="129"/>
      <c r="E505" s="129"/>
      <c r="F505" s="65"/>
      <c r="G505" s="129"/>
      <c r="H505" s="127"/>
      <c r="I505" s="127"/>
      <c r="J505" s="127"/>
    </row>
    <row r="506" spans="1:10" x14ac:dyDescent="0.25">
      <c r="A506" s="126"/>
      <c r="B506" s="127"/>
      <c r="C506" s="128"/>
      <c r="D506" s="129"/>
      <c r="E506" s="129"/>
      <c r="F506" s="65"/>
      <c r="G506" s="129"/>
      <c r="H506" s="127"/>
      <c r="I506" s="127"/>
      <c r="J506" s="127"/>
    </row>
    <row r="507" spans="1:10" x14ac:dyDescent="0.25">
      <c r="A507" s="126"/>
      <c r="B507" s="127"/>
      <c r="C507" s="128"/>
      <c r="D507" s="129"/>
      <c r="E507" s="129"/>
      <c r="F507" s="65"/>
      <c r="G507" s="129"/>
      <c r="H507" s="127"/>
      <c r="I507" s="127"/>
      <c r="J507" s="127"/>
    </row>
    <row r="508" spans="1:10" x14ac:dyDescent="0.25">
      <c r="A508" s="126"/>
      <c r="B508" s="127"/>
      <c r="C508" s="128"/>
      <c r="D508" s="129"/>
      <c r="E508" s="129"/>
      <c r="F508" s="65"/>
      <c r="G508" s="129"/>
      <c r="H508" s="127"/>
      <c r="I508" s="127"/>
      <c r="J508" s="127"/>
    </row>
    <row r="509" spans="1:10" x14ac:dyDescent="0.25">
      <c r="A509" s="126"/>
      <c r="B509" s="127"/>
      <c r="C509" s="128"/>
      <c r="D509" s="129"/>
      <c r="E509" s="129"/>
      <c r="F509" s="65"/>
      <c r="G509" s="129"/>
      <c r="H509" s="127"/>
      <c r="I509" s="127"/>
      <c r="J509" s="127"/>
    </row>
    <row r="510" spans="1:10" x14ac:dyDescent="0.25">
      <c r="A510" s="126"/>
      <c r="B510" s="127"/>
      <c r="C510" s="128"/>
      <c r="D510" s="129"/>
      <c r="E510" s="129"/>
      <c r="F510" s="65"/>
      <c r="G510" s="129"/>
      <c r="H510" s="127"/>
      <c r="I510" s="127"/>
      <c r="J510" s="127"/>
    </row>
    <row r="511" spans="1:10" x14ac:dyDescent="0.25">
      <c r="A511" s="126"/>
      <c r="B511" s="127"/>
      <c r="C511" s="128"/>
      <c r="D511" s="129"/>
      <c r="E511" s="129"/>
      <c r="F511" s="65"/>
      <c r="G511" s="129"/>
      <c r="H511" s="127"/>
      <c r="I511" s="127"/>
      <c r="J511" s="127"/>
    </row>
    <row r="512" spans="1:10" x14ac:dyDescent="0.25">
      <c r="A512" s="126"/>
      <c r="B512" s="127"/>
      <c r="C512" s="128"/>
      <c r="D512" s="129"/>
      <c r="E512" s="129"/>
      <c r="F512" s="65"/>
      <c r="G512" s="129"/>
      <c r="H512" s="127"/>
      <c r="I512" s="127"/>
      <c r="J512" s="127"/>
    </row>
    <row r="513" spans="1:10" x14ac:dyDescent="0.25">
      <c r="A513" s="126"/>
      <c r="B513" s="127"/>
      <c r="C513" s="128"/>
      <c r="D513" s="129"/>
      <c r="E513" s="129"/>
      <c r="F513" s="65"/>
      <c r="G513" s="129"/>
      <c r="H513" s="127"/>
      <c r="I513" s="127"/>
      <c r="J513" s="127"/>
    </row>
    <row r="514" spans="1:10" x14ac:dyDescent="0.25">
      <c r="A514" s="126"/>
      <c r="B514" s="127"/>
      <c r="C514" s="128"/>
      <c r="D514" s="129"/>
      <c r="E514" s="129"/>
      <c r="F514" s="65"/>
      <c r="G514" s="129"/>
      <c r="H514" s="127"/>
      <c r="I514" s="127"/>
      <c r="J514" s="127"/>
    </row>
    <row r="515" spans="1:10" x14ac:dyDescent="0.25">
      <c r="A515" s="126"/>
      <c r="B515" s="127"/>
      <c r="C515" s="128"/>
      <c r="D515" s="129"/>
      <c r="E515" s="129"/>
      <c r="F515" s="65"/>
      <c r="G515" s="129"/>
      <c r="H515" s="127"/>
      <c r="I515" s="127"/>
      <c r="J515" s="127"/>
    </row>
    <row r="516" spans="1:10" x14ac:dyDescent="0.25">
      <c r="A516" s="126"/>
      <c r="B516" s="127"/>
      <c r="C516" s="128"/>
      <c r="D516" s="129"/>
      <c r="E516" s="129"/>
      <c r="F516" s="65"/>
      <c r="G516" s="129"/>
      <c r="H516" s="127"/>
      <c r="I516" s="127"/>
      <c r="J516" s="127"/>
    </row>
    <row r="517" spans="1:10" x14ac:dyDescent="0.25">
      <c r="A517" s="126"/>
      <c r="B517" s="127"/>
      <c r="C517" s="128"/>
      <c r="D517" s="129"/>
      <c r="E517" s="129"/>
      <c r="F517" s="65"/>
      <c r="G517" s="129"/>
      <c r="H517" s="127"/>
      <c r="I517" s="127"/>
      <c r="J517" s="127"/>
    </row>
    <row r="518" spans="1:10" x14ac:dyDescent="0.25">
      <c r="A518" s="126"/>
      <c r="B518" s="127"/>
      <c r="C518" s="128"/>
      <c r="D518" s="129"/>
      <c r="E518" s="129"/>
      <c r="F518" s="65"/>
      <c r="G518" s="129"/>
      <c r="H518" s="127"/>
      <c r="I518" s="127"/>
      <c r="J518" s="127"/>
    </row>
    <row r="519" spans="1:10" x14ac:dyDescent="0.25">
      <c r="A519" s="126"/>
      <c r="B519" s="127"/>
      <c r="C519" s="128"/>
      <c r="D519" s="129"/>
      <c r="E519" s="129"/>
      <c r="F519" s="65"/>
      <c r="G519" s="129"/>
      <c r="H519" s="127"/>
      <c r="I519" s="127"/>
      <c r="J519" s="127"/>
    </row>
    <row r="520" spans="1:10" x14ac:dyDescent="0.25">
      <c r="A520" s="126"/>
      <c r="B520" s="127"/>
      <c r="C520" s="128"/>
      <c r="D520" s="129"/>
      <c r="E520" s="129"/>
      <c r="F520" s="65"/>
      <c r="G520" s="129"/>
      <c r="H520" s="127"/>
      <c r="I520" s="127"/>
      <c r="J520" s="127"/>
    </row>
    <row r="521" spans="1:10" x14ac:dyDescent="0.25">
      <c r="A521" s="126"/>
      <c r="B521" s="127"/>
      <c r="C521" s="128"/>
      <c r="D521" s="129"/>
      <c r="E521" s="129"/>
      <c r="F521" s="65"/>
      <c r="G521" s="129"/>
      <c r="H521" s="127"/>
      <c r="I521" s="127"/>
      <c r="J521" s="127"/>
    </row>
    <row r="522" spans="1:10" x14ac:dyDescent="0.25">
      <c r="A522" s="126"/>
      <c r="B522" s="127"/>
      <c r="C522" s="128"/>
      <c r="D522" s="129"/>
      <c r="E522" s="129"/>
      <c r="F522" s="65"/>
      <c r="G522" s="129"/>
      <c r="H522" s="127"/>
      <c r="I522" s="127"/>
      <c r="J522" s="127"/>
    </row>
    <row r="523" spans="1:10" x14ac:dyDescent="0.25">
      <c r="A523" s="126"/>
      <c r="B523" s="127"/>
      <c r="C523" s="128"/>
      <c r="D523" s="129"/>
      <c r="E523" s="129"/>
      <c r="F523" s="65"/>
      <c r="G523" s="129"/>
      <c r="H523" s="127"/>
      <c r="I523" s="127"/>
      <c r="J523" s="127"/>
    </row>
    <row r="524" spans="1:10" x14ac:dyDescent="0.25">
      <c r="A524" s="126"/>
      <c r="B524" s="127"/>
      <c r="C524" s="128"/>
      <c r="D524" s="129"/>
      <c r="E524" s="129"/>
      <c r="F524" s="65"/>
      <c r="G524" s="129"/>
      <c r="H524" s="127"/>
      <c r="I524" s="127"/>
      <c r="J524" s="127"/>
    </row>
    <row r="525" spans="1:10" x14ac:dyDescent="0.25">
      <c r="A525" s="126"/>
      <c r="B525" s="127"/>
      <c r="C525" s="128"/>
      <c r="D525" s="129"/>
      <c r="E525" s="129"/>
      <c r="F525" s="65"/>
      <c r="G525" s="129"/>
      <c r="H525" s="127"/>
      <c r="I525" s="127"/>
      <c r="J525" s="127"/>
    </row>
    <row r="526" spans="1:10" x14ac:dyDescent="0.25">
      <c r="A526" s="126"/>
      <c r="B526" s="127"/>
      <c r="C526" s="128"/>
      <c r="D526" s="129"/>
      <c r="E526" s="129"/>
      <c r="F526" s="65"/>
      <c r="G526" s="129"/>
      <c r="H526" s="127"/>
      <c r="I526" s="127"/>
      <c r="J526" s="127"/>
    </row>
    <row r="527" spans="1:10" x14ac:dyDescent="0.25">
      <c r="A527" s="126"/>
      <c r="B527" s="127"/>
      <c r="C527" s="128"/>
      <c r="D527" s="129"/>
      <c r="E527" s="129"/>
      <c r="F527" s="65"/>
      <c r="G527" s="129"/>
      <c r="H527" s="127"/>
      <c r="I527" s="127"/>
      <c r="J527" s="127"/>
    </row>
    <row r="528" spans="1:10" x14ac:dyDescent="0.25">
      <c r="A528" s="126"/>
      <c r="B528" s="127"/>
      <c r="C528" s="128"/>
      <c r="D528" s="129"/>
      <c r="E528" s="129"/>
      <c r="F528" s="152"/>
      <c r="G528" s="129"/>
      <c r="H528" s="127"/>
      <c r="I528" s="127"/>
      <c r="J528" s="127"/>
    </row>
    <row r="529" spans="1:10" x14ac:dyDescent="0.25">
      <c r="A529" s="126"/>
      <c r="B529" s="127"/>
      <c r="C529" s="128"/>
      <c r="D529" s="129"/>
      <c r="E529" s="129"/>
      <c r="F529" s="152"/>
      <c r="G529" s="129"/>
      <c r="H529" s="127"/>
      <c r="I529" s="127"/>
      <c r="J529" s="127"/>
    </row>
    <row r="530" spans="1:10" x14ac:dyDescent="0.25">
      <c r="A530" s="126"/>
      <c r="B530" s="127"/>
      <c r="C530" s="128"/>
      <c r="D530" s="129"/>
      <c r="E530" s="129"/>
      <c r="F530" s="152"/>
      <c r="G530" s="129"/>
      <c r="H530" s="127"/>
      <c r="I530" s="127"/>
      <c r="J530" s="127"/>
    </row>
    <row r="531" spans="1:10" x14ac:dyDescent="0.25">
      <c r="A531" s="126"/>
      <c r="B531" s="127"/>
      <c r="C531" s="128"/>
      <c r="D531" s="129"/>
      <c r="E531" s="129"/>
      <c r="F531" s="165"/>
      <c r="G531" s="129"/>
      <c r="H531" s="127"/>
      <c r="I531" s="127"/>
      <c r="J531" s="127"/>
    </row>
    <row r="532" spans="1:10" x14ac:dyDescent="0.25">
      <c r="A532" s="126"/>
      <c r="B532" s="127"/>
      <c r="C532" s="128"/>
      <c r="D532" s="129"/>
      <c r="E532" s="129"/>
      <c r="F532" s="127"/>
      <c r="G532" s="129"/>
      <c r="H532" s="127"/>
      <c r="I532" s="127"/>
      <c r="J532" s="127"/>
    </row>
    <row r="533" spans="1:10" x14ac:dyDescent="0.25">
      <c r="A533" s="126"/>
      <c r="B533" s="127"/>
      <c r="C533" s="128"/>
      <c r="D533" s="129"/>
      <c r="E533" s="129"/>
      <c r="F533" s="127"/>
      <c r="G533" s="129"/>
      <c r="H533" s="127"/>
      <c r="I533" s="127"/>
      <c r="J533" s="127"/>
    </row>
  </sheetData>
  <mergeCells count="1">
    <mergeCell ref="E91:F91"/>
  </mergeCells>
  <pageMargins left="0.75" right="0.75" top="1" bottom="1" header="0" footer="0"/>
  <pageSetup paperSize="9" orientation="landscape" horizontalDpi="4294967295" verticalDpi="4294967295" scale="96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5"/>
  <sheetViews>
    <sheetView workbookViewId="0" zoomScale="85" zoomScaleNormal="85"/>
  </sheetViews>
  <sheetFormatPr defaultRowHeight="13.2" outlineLevelRow="0" outlineLevelCol="0" x14ac:dyDescent="0.25" defaultColWidth="11.44140625" customHeight="1"/>
  <cols>
    <col min="1" max="1" width="23.33203125" style="72" customWidth="1"/>
    <col min="2" max="2" width="18.88671875" style="72" customWidth="1"/>
    <col min="3" max="3" width="15.33203125" style="72" customWidth="1"/>
    <col min="4" max="4" width="15.44140625" style="72" customWidth="1"/>
    <col min="5" max="5" width="15.6640625" style="72" customWidth="1"/>
    <col min="6" max="6" width="15.88671875" style="72" customWidth="1"/>
    <col min="7" max="7" width="13.109375" style="72" customWidth="1"/>
    <col min="8" max="9" width="14.33203125" style="72" customWidth="1"/>
    <col min="10" max="10" width="15.33203125" style="72" customWidth="1"/>
    <col min="11" max="11" width="14.6640625" style="72" customWidth="1"/>
    <col min="12" max="16384" width="11.44140625" style="72" customWidth="1"/>
  </cols>
  <sheetData>
    <row r="1" spans="1:14" x14ac:dyDescent="0.25">
      <c r="A1" s="72"/>
      <c r="B1" s="72"/>
      <c r="C1" s="72"/>
      <c r="D1" s="72"/>
      <c r="E1" s="72"/>
      <c r="F1" s="72"/>
      <c r="G1" s="72"/>
      <c r="H1" s="72"/>
      <c r="I1" s="72"/>
      <c r="J1" s="72"/>
      <c r="K1" s="73" t="s">
        <v>153</v>
      </c>
      <c r="L1" s="72"/>
      <c r="M1" s="72"/>
      <c r="N1" s="72"/>
    </row>
    <row r="2" spans="1:14" x14ac:dyDescent="0.2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3" ht="13.8" customHeight="1" spans="1:14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</row>
    <row r="4" ht="13.8" customHeight="1" spans="1:14" x14ac:dyDescent="0.25">
      <c r="A4" s="74" t="s">
        <v>154</v>
      </c>
      <c r="B4" s="75"/>
      <c r="C4" s="75"/>
      <c r="D4" s="75"/>
      <c r="E4" s="75"/>
      <c r="F4" s="75"/>
      <c r="G4" s="75"/>
      <c r="H4" s="75"/>
      <c r="I4" s="75"/>
      <c r="J4" s="75"/>
      <c r="K4" s="76"/>
      <c r="L4" s="72"/>
      <c r="M4" s="72"/>
      <c r="N4" s="72"/>
    </row>
    <row r="5" spans="1:14" x14ac:dyDescent="0.25">
      <c r="A5" s="77" t="s">
        <v>155</v>
      </c>
      <c r="B5" s="73"/>
      <c r="C5" s="73"/>
      <c r="D5" s="73"/>
      <c r="E5" s="73"/>
      <c r="F5" s="73"/>
      <c r="G5" s="73"/>
      <c r="H5" s="73"/>
      <c r="I5" s="73"/>
      <c r="J5" s="73"/>
      <c r="K5" s="78"/>
      <c r="L5" s="72"/>
      <c r="M5" s="72"/>
      <c r="N5" s="72"/>
    </row>
    <row r="6" spans="1:14" x14ac:dyDescent="0.25">
      <c r="A6" s="79" t="s">
        <v>2</v>
      </c>
      <c r="B6" s="72"/>
      <c r="C6" s="72"/>
      <c r="D6" s="72"/>
      <c r="E6" s="72"/>
      <c r="F6" s="72"/>
      <c r="G6" s="72"/>
      <c r="H6" s="72"/>
      <c r="I6" s="72"/>
      <c r="J6" s="72"/>
      <c r="K6" s="80"/>
      <c r="L6" s="72"/>
      <c r="M6" s="72"/>
      <c r="N6" s="72"/>
    </row>
    <row r="7" spans="1:14" x14ac:dyDescent="0.25">
      <c r="A7" s="81" t="s">
        <v>2</v>
      </c>
      <c r="B7" s="82"/>
      <c r="C7" s="82"/>
      <c r="D7" s="82"/>
      <c r="E7" s="82"/>
      <c r="F7" s="82"/>
      <c r="G7" s="82"/>
      <c r="H7" s="82"/>
      <c r="I7" s="82"/>
      <c r="J7" s="82"/>
      <c r="K7" s="83"/>
      <c r="L7" s="72"/>
      <c r="M7" s="72"/>
      <c r="N7" s="72"/>
    </row>
    <row r="8" spans="1:14" x14ac:dyDescent="0.25">
      <c r="A8" s="84" t="s">
        <v>2</v>
      </c>
      <c r="B8" s="85" t="s">
        <v>156</v>
      </c>
      <c r="C8" s="85"/>
      <c r="D8" s="85"/>
      <c r="E8" s="85"/>
      <c r="F8" s="85" t="s">
        <v>157</v>
      </c>
      <c r="G8" s="85"/>
      <c r="H8" s="85"/>
      <c r="I8" s="85"/>
      <c r="J8" s="85"/>
      <c r="K8" s="86"/>
      <c r="L8" s="72"/>
      <c r="M8" s="1"/>
      <c r="N8" s="1"/>
    </row>
    <row r="9" spans="1:14" x14ac:dyDescent="0.25">
      <c r="A9" s="87"/>
      <c r="B9" s="88" t="s">
        <v>158</v>
      </c>
      <c r="C9" s="88"/>
      <c r="D9" s="88"/>
      <c r="E9" s="88" t="s">
        <v>158</v>
      </c>
      <c r="F9" s="88" t="s">
        <v>159</v>
      </c>
      <c r="G9" s="88"/>
      <c r="H9" s="89" t="s">
        <v>160</v>
      </c>
      <c r="I9" s="90"/>
      <c r="J9" s="88" t="s">
        <v>161</v>
      </c>
      <c r="K9" s="91" t="s">
        <v>162</v>
      </c>
      <c r="L9" s="72"/>
      <c r="M9" s="1"/>
      <c r="N9" s="21"/>
    </row>
    <row r="10" spans="1:14" x14ac:dyDescent="0.25">
      <c r="A10" s="92" t="s">
        <v>50</v>
      </c>
      <c r="B10" s="88" t="s">
        <v>163</v>
      </c>
      <c r="C10" s="88" t="s">
        <v>164</v>
      </c>
      <c r="D10" s="88" t="s">
        <v>165</v>
      </c>
      <c r="E10" s="88" t="s">
        <v>166</v>
      </c>
      <c r="F10" s="88" t="s">
        <v>167</v>
      </c>
      <c r="G10" s="88" t="s">
        <v>168</v>
      </c>
      <c r="H10" s="88" t="s">
        <v>169</v>
      </c>
      <c r="I10" s="88" t="s">
        <v>170</v>
      </c>
      <c r="J10" s="88" t="s">
        <v>171</v>
      </c>
      <c r="K10" s="91" t="s">
        <v>172</v>
      </c>
      <c r="L10" s="72"/>
      <c r="M10" s="1"/>
      <c r="N10" s="21"/>
    </row>
    <row r="11" spans="1:14" x14ac:dyDescent="0.25">
      <c r="A11" s="87"/>
      <c r="B11" s="88" t="s">
        <v>173</v>
      </c>
      <c r="C11" s="88"/>
      <c r="D11" s="88"/>
      <c r="E11" s="88" t="s">
        <v>173</v>
      </c>
      <c r="F11" s="88" t="s">
        <v>173</v>
      </c>
      <c r="G11" s="88"/>
      <c r="H11" s="88"/>
      <c r="I11" s="88" t="s">
        <v>174</v>
      </c>
      <c r="J11" s="88" t="s">
        <v>173</v>
      </c>
      <c r="K11" s="91" t="s">
        <v>175</v>
      </c>
      <c r="L11" s="72"/>
      <c r="M11" s="1"/>
      <c r="N11" s="21"/>
    </row>
    <row r="12" spans="1:14" x14ac:dyDescent="0.25">
      <c r="A12" s="87"/>
      <c r="B12" s="88" t="s">
        <v>70</v>
      </c>
      <c r="C12" s="88" t="s">
        <v>70</v>
      </c>
      <c r="D12" s="88" t="s">
        <v>70</v>
      </c>
      <c r="E12" s="88" t="s">
        <v>70</v>
      </c>
      <c r="F12" s="88" t="s">
        <v>70</v>
      </c>
      <c r="G12" s="88" t="s">
        <v>70</v>
      </c>
      <c r="H12" s="88"/>
      <c r="I12" s="88" t="s">
        <v>70</v>
      </c>
      <c r="J12" s="88" t="s">
        <v>70</v>
      </c>
      <c r="K12" s="91" t="s">
        <v>70</v>
      </c>
      <c r="L12" s="72"/>
      <c r="M12" s="72"/>
      <c r="N12" s="72"/>
    </row>
    <row r="13" spans="1:14" x14ac:dyDescent="0.25">
      <c r="A13" s="93"/>
      <c r="B13" s="94"/>
      <c r="C13" s="94"/>
      <c r="D13" s="94"/>
      <c r="E13" s="94"/>
      <c r="F13" s="94"/>
      <c r="G13" s="94"/>
      <c r="H13" s="94"/>
      <c r="I13" s="94"/>
      <c r="J13" s="94"/>
      <c r="K13" s="95"/>
      <c r="L13" s="72"/>
      <c r="M13" s="72"/>
      <c r="N13" s="72"/>
    </row>
    <row r="14" spans="1:14" x14ac:dyDescent="0.25">
      <c r="A14" s="87"/>
      <c r="B14" s="96"/>
      <c r="C14" s="96"/>
      <c r="D14" s="96"/>
      <c r="E14" s="96"/>
      <c r="F14" s="96"/>
      <c r="G14" s="96"/>
      <c r="H14" s="96"/>
      <c r="I14" s="96"/>
      <c r="J14" s="96"/>
      <c r="K14" s="97"/>
      <c r="L14" s="72"/>
      <c r="M14" s="72"/>
      <c r="N14" s="72"/>
    </row>
    <row r="15" spans="1:14" x14ac:dyDescent="0.25">
      <c r="A15" s="98" t="s">
        <v>176</v>
      </c>
      <c r="B15" s="99">
        <v>130976.13999999997</v>
      </c>
      <c r="C15" s="99">
        <v>0</v>
      </c>
      <c r="D15" s="99">
        <v>0</v>
      </c>
      <c r="E15" s="99">
        <f>SUM(B15:D15)</f>
        <v>130976.13999999997</v>
      </c>
      <c r="F15" s="99">
        <v>109789.37999999998</v>
      </c>
      <c r="G15" s="99">
        <v>0</v>
      </c>
      <c r="H15" s="100">
        <f>10/100</f>
        <v>0.1</v>
      </c>
      <c r="I15" s="99">
        <f>+J15-F15</f>
        <v>973.2200000000303</v>
      </c>
      <c r="J15" s="99">
        <f>-'Distribución por línea'!C45</f>
        <v>110762.6</v>
      </c>
      <c r="K15" s="101">
        <f>+E15-J15</f>
        <v>20213.539999999964</v>
      </c>
      <c r="L15" s="102"/>
      <c r="M15" s="72"/>
      <c r="N15" s="72"/>
    </row>
    <row r="16" spans="1:14" x14ac:dyDescent="0.25">
      <c r="A16" s="98" t="s">
        <v>177</v>
      </c>
      <c r="B16" s="99">
        <v>127410.38999999994</v>
      </c>
      <c r="C16" s="99">
        <v>9409.860000000059</v>
      </c>
      <c r="D16" s="99">
        <v>0</v>
      </c>
      <c r="E16" s="99">
        <f>SUM(B16:D16)</f>
        <v>136820.25</v>
      </c>
      <c r="F16" s="99">
        <v>124747.23000000004</v>
      </c>
      <c r="G16" s="99">
        <v>0</v>
      </c>
      <c r="H16" s="100">
        <f>33.3333333333333/100</f>
        <v>0.33333333333333337</v>
      </c>
      <c r="I16" s="99">
        <f>+J16-F16</f>
        <v>2368.6699999999546</v>
      </c>
      <c r="J16" s="99">
        <f>-'Distribución por línea'!C53</f>
        <v>127115.9</v>
      </c>
      <c r="K16" s="101">
        <f>+E16-J16</f>
        <v>9704.350000000006</v>
      </c>
      <c r="L16" s="102"/>
      <c r="M16" s="72"/>
      <c r="N16" s="102"/>
    </row>
    <row r="17" spans="1:14" x14ac:dyDescent="0.25">
      <c r="A17" s="98" t="s">
        <v>178</v>
      </c>
      <c r="B17" s="99">
        <v>58450.04999999999</v>
      </c>
      <c r="C17" s="99">
        <v>0</v>
      </c>
      <c r="D17" s="99">
        <v>0</v>
      </c>
      <c r="E17" s="99">
        <f>SUM(B17:D17)</f>
        <v>58450.04999999999</v>
      </c>
      <c r="F17" s="99">
        <v>55436.519999999924</v>
      </c>
      <c r="G17" s="99">
        <v>0</v>
      </c>
      <c r="H17" s="100">
        <f>20/100</f>
        <v>0.2</v>
      </c>
      <c r="I17" s="99">
        <f>+J17-F17</f>
        <v>206.07000000007247</v>
      </c>
      <c r="J17" s="99">
        <f>-'Distribución por línea'!C46</f>
        <v>55642.59</v>
      </c>
      <c r="K17" s="101">
        <f>+E17-J17</f>
        <v>2807.459999999992</v>
      </c>
      <c r="L17" s="102"/>
      <c r="M17" s="72"/>
      <c r="N17" s="72"/>
    </row>
    <row r="18" spans="1:14" x14ac:dyDescent="0.25">
      <c r="A18" s="98" t="s">
        <v>179</v>
      </c>
      <c r="B18" s="99">
        <v>33289.649999999994</v>
      </c>
      <c r="C18" s="99">
        <v>0</v>
      </c>
      <c r="D18" s="99">
        <v>0</v>
      </c>
      <c r="E18" s="99">
        <f>SUM(B18:D18)</f>
        <v>33289.649999999994</v>
      </c>
      <c r="F18" s="99">
        <v>23082.150000000034</v>
      </c>
      <c r="G18" s="99">
        <v>0</v>
      </c>
      <c r="H18" s="100">
        <v>0.1</v>
      </c>
      <c r="I18" s="99">
        <f>+J18-F18</f>
        <v>406.9699999999648</v>
      </c>
      <c r="J18" s="99">
        <f>-'Distribución por línea'!C47</f>
        <v>23489.12</v>
      </c>
      <c r="K18" s="101">
        <f>+E18-J18</f>
        <v>9800.529999999995</v>
      </c>
      <c r="L18" s="102"/>
      <c r="M18" s="72"/>
      <c r="N18" s="72"/>
    </row>
    <row r="19" spans="1:14" x14ac:dyDescent="0.25">
      <c r="A19" s="98" t="s">
        <v>180</v>
      </c>
      <c r="B19" s="99">
        <v>76103.65999999999</v>
      </c>
      <c r="C19" s="99">
        <v>2268.6500000000087</v>
      </c>
      <c r="D19" s="99">
        <v>0</v>
      </c>
      <c r="E19" s="99">
        <f>SUM(B19:D19)</f>
        <v>78372.31</v>
      </c>
      <c r="F19" s="99">
        <v>65705.95000000001</v>
      </c>
      <c r="G19" s="99">
        <v>0</v>
      </c>
      <c r="H19" s="100">
        <v>0.2</v>
      </c>
      <c r="I19" s="99">
        <f>+J19-F19</f>
        <v>1758.7399999999907</v>
      </c>
      <c r="J19" s="99">
        <f>-'Distribución por línea'!C49</f>
        <v>67464.69</v>
      </c>
      <c r="K19" s="101">
        <f>+E19-J19</f>
        <v>10907.619999999995</v>
      </c>
      <c r="L19" s="102"/>
      <c r="M19" s="72"/>
      <c r="N19" s="72"/>
    </row>
    <row r="20" spans="1:14" x14ac:dyDescent="0.25">
      <c r="A20" s="98" t="s">
        <v>181</v>
      </c>
      <c r="B20" s="99">
        <v>133453.71999999997</v>
      </c>
      <c r="C20" s="99">
        <v>0</v>
      </c>
      <c r="D20" s="99">
        <v>0</v>
      </c>
      <c r="E20" s="99">
        <f>SUM(B20:D20)</f>
        <v>133453.71999999997</v>
      </c>
      <c r="F20" s="99">
        <v>133453.71999999997</v>
      </c>
      <c r="G20" s="99">
        <v>0</v>
      </c>
      <c r="H20" s="100">
        <v>0.2</v>
      </c>
      <c r="I20" s="99">
        <f>+J20-F20</f>
        <v>0</v>
      </c>
      <c r="J20" s="99">
        <v>133453.71999999997</v>
      </c>
      <c r="K20" s="101">
        <f>+E20-J20</f>
        <v>0</v>
      </c>
      <c r="L20" s="102"/>
      <c r="M20" s="72"/>
      <c r="N20" s="72"/>
    </row>
    <row r="21" spans="1:14" x14ac:dyDescent="0.25">
      <c r="A21" s="98" t="s">
        <v>182</v>
      </c>
      <c r="B21" s="99">
        <v>279626.68</v>
      </c>
      <c r="C21" s="99">
        <v>0</v>
      </c>
      <c r="D21" s="99">
        <v>0</v>
      </c>
      <c r="E21" s="99">
        <f>SUM(B21:D21)</f>
        <v>279626.68</v>
      </c>
      <c r="F21" s="99">
        <v>259749.9900000001</v>
      </c>
      <c r="G21" s="99">
        <v>0</v>
      </c>
      <c r="H21" s="100">
        <f>20/100</f>
        <v>0.2</v>
      </c>
      <c r="I21" s="99">
        <f>+J21-F21</f>
        <v>6369.749999999884</v>
      </c>
      <c r="J21" s="99">
        <f>-'Distribución por línea'!C51</f>
        <v>266119.74</v>
      </c>
      <c r="K21" s="101">
        <f>+E21-J21</f>
        <v>13506.940000000002</v>
      </c>
      <c r="L21" s="72"/>
      <c r="M21" s="72"/>
      <c r="N21" s="72"/>
    </row>
    <row r="22" spans="1:14" x14ac:dyDescent="0.25">
      <c r="A22" s="98" t="s">
        <v>183</v>
      </c>
      <c r="B22" s="99">
        <v>11629.81</v>
      </c>
      <c r="C22" s="99">
        <v>0</v>
      </c>
      <c r="D22" s="99">
        <v>0</v>
      </c>
      <c r="E22" s="99">
        <f>SUM(B22:D22)</f>
        <v>11629.81</v>
      </c>
      <c r="F22" s="99">
        <v>5406.120000000001</v>
      </c>
      <c r="G22" s="99">
        <v>0</v>
      </c>
      <c r="H22" s="100">
        <v>0.1</v>
      </c>
      <c r="I22" s="99">
        <f>+J22-F22</f>
        <v>295.4499999999989</v>
      </c>
      <c r="J22" s="99">
        <f>-'Distribución por línea'!C55</f>
        <v>5701.57</v>
      </c>
      <c r="K22" s="101">
        <f>+E22-J22</f>
        <v>5928.24</v>
      </c>
      <c r="L22" s="72"/>
      <c r="M22" s="72"/>
      <c r="N22" s="72"/>
    </row>
    <row r="23" spans="1:14" x14ac:dyDescent="0.25">
      <c r="A23" s="93" t="s">
        <v>2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4"/>
      <c r="L23" s="72"/>
      <c r="M23" s="72"/>
      <c r="N23" s="72"/>
    </row>
    <row r="24" spans="1:14" x14ac:dyDescent="0.25">
      <c r="A24" s="93" t="str">
        <f>+Pat.Neto!B21</f>
        <v>Saldos al 30.6.2026</v>
      </c>
      <c r="B24" s="103">
        <f>SUM(B15:B23)</f>
        <v>850940.0999999999</v>
      </c>
      <c r="C24" s="103">
        <f>SUM(C15:C23)</f>
        <v>11678.510000000068</v>
      </c>
      <c r="D24" s="103">
        <f>SUM(D15:D23)</f>
        <v>0</v>
      </c>
      <c r="E24" s="103">
        <f>SUM(E15:E23)</f>
        <v>862618.6099999999</v>
      </c>
      <c r="F24" s="103">
        <f>SUM(F15:F23)</f>
        <v>777371.06</v>
      </c>
      <c r="G24" s="103">
        <f>SUM(G15:G23)</f>
        <v>0</v>
      </c>
      <c r="H24" s="103"/>
      <c r="I24" s="103">
        <f>SUM(I15:I22)</f>
        <v>12378.869999999895</v>
      </c>
      <c r="J24" s="103">
        <f>SUM(J15:J23)</f>
        <v>789749.9299999998</v>
      </c>
      <c r="K24" s="104">
        <f>SUM(K15:K23)</f>
        <v>72868.67999999996</v>
      </c>
      <c r="L24" s="72"/>
      <c r="M24" s="72"/>
      <c r="N24" s="72"/>
    </row>
    <row r="25" spans="1:14" x14ac:dyDescent="0.25">
      <c r="A25" s="72"/>
      <c r="B25" s="72"/>
      <c r="C25" s="72"/>
      <c r="D25" s="72"/>
      <c r="E25" s="72"/>
      <c r="F25" s="72"/>
      <c r="G25" s="102"/>
      <c r="H25" s="72"/>
      <c r="I25" s="72"/>
      <c r="J25" s="102"/>
      <c r="K25" s="102"/>
      <c r="L25" s="72"/>
      <c r="M25" s="72"/>
      <c r="N25" s="72"/>
    </row>
    <row r="26" spans="1:14" x14ac:dyDescent="0.25">
      <c r="A26" s="72" t="s">
        <v>24</v>
      </c>
      <c r="B26" s="72"/>
      <c r="C26" s="72"/>
      <c r="D26" s="72"/>
      <c r="E26" s="102"/>
      <c r="F26" s="102"/>
      <c r="G26" s="102"/>
      <c r="H26" s="102"/>
      <c r="I26" s="105"/>
      <c r="J26" s="102"/>
      <c r="K26" s="102"/>
      <c r="L26" s="72"/>
      <c r="M26" s="72"/>
      <c r="N26" s="72"/>
    </row>
    <row r="27" spans="1:14" x14ac:dyDescent="0.25">
      <c r="A27" s="72" t="s">
        <v>25</v>
      </c>
      <c r="B27" s="72"/>
      <c r="C27" s="72"/>
      <c r="D27" s="72"/>
      <c r="E27" s="102"/>
      <c r="F27" s="102"/>
      <c r="G27" s="102"/>
      <c r="H27" s="72"/>
      <c r="I27" s="105"/>
      <c r="J27" s="102"/>
      <c r="K27" s="102"/>
      <c r="L27" s="72"/>
      <c r="M27" s="72"/>
      <c r="N27" s="72"/>
    </row>
    <row r="28" spans="1:14" x14ac:dyDescent="0.25">
      <c r="A28" s="72"/>
      <c r="B28" s="72"/>
      <c r="C28" s="72"/>
      <c r="D28" s="102"/>
      <c r="E28" s="102"/>
      <c r="F28" s="72"/>
      <c r="G28" s="72"/>
      <c r="H28" s="102"/>
      <c r="I28" s="106"/>
      <c r="J28" s="102"/>
      <c r="K28" s="102"/>
      <c r="L28" s="72"/>
      <c r="M28" s="72"/>
      <c r="N28" s="72"/>
    </row>
    <row r="29" spans="1:14" x14ac:dyDescent="0.25">
      <c r="A29" s="72"/>
      <c r="B29" s="72"/>
      <c r="C29" s="72"/>
      <c r="D29" s="102"/>
      <c r="E29" s="102"/>
      <c r="F29" s="102"/>
      <c r="G29" s="102"/>
      <c r="H29" s="72"/>
      <c r="I29" s="106"/>
      <c r="J29" s="102"/>
      <c r="K29" s="102"/>
      <c r="L29" s="72"/>
      <c r="M29" s="72"/>
      <c r="N29" s="72"/>
    </row>
    <row r="30" spans="1:14" x14ac:dyDescent="0.25">
      <c r="A30" s="72"/>
      <c r="B30" s="72"/>
      <c r="C30" s="72"/>
      <c r="D30" s="72"/>
      <c r="E30" s="72"/>
      <c r="F30" s="72"/>
      <c r="G30" s="72"/>
      <c r="H30" s="72"/>
      <c r="I30" s="102"/>
      <c r="J30" s="72"/>
      <c r="K30" s="102"/>
      <c r="L30" s="72"/>
      <c r="M30" s="72"/>
      <c r="N30" s="72"/>
    </row>
    <row r="31" spans="1:14" x14ac:dyDescent="0.25">
      <c r="A31" s="72"/>
      <c r="B31" s="72"/>
      <c r="C31" s="72"/>
      <c r="D31" s="72"/>
      <c r="E31" s="102"/>
      <c r="F31" s="102"/>
      <c r="G31" s="102"/>
      <c r="H31" s="102"/>
      <c r="I31" s="72"/>
      <c r="J31" s="72"/>
      <c r="K31" s="102"/>
      <c r="L31" s="72"/>
      <c r="M31" s="72"/>
      <c r="N31" s="72"/>
    </row>
    <row r="32" spans="1:14" x14ac:dyDescent="0.25">
      <c r="A32" s="72"/>
      <c r="B32" s="72"/>
      <c r="C32" s="72"/>
      <c r="D32" s="72"/>
      <c r="E32" s="72"/>
      <c r="F32" s="102"/>
      <c r="G32" s="72"/>
      <c r="H32" s="72"/>
      <c r="I32" s="72"/>
      <c r="J32" s="72"/>
      <c r="K32" s="102"/>
      <c r="L32" s="102"/>
      <c r="M32" s="72"/>
      <c r="N32" s="72"/>
    </row>
    <row r="33" spans="1:14" x14ac:dyDescent="0.25">
      <c r="A33" s="72"/>
      <c r="B33" s="73" t="str">
        <f>+Balance!D31</f>
        <v>Miguel Ángel Alonso</v>
      </c>
      <c r="C33" s="72"/>
      <c r="D33" s="72"/>
      <c r="E33" s="72"/>
      <c r="F33" s="72" t="str">
        <f>+Balance!F31</f>
        <v>Pedro Nicholson</v>
      </c>
      <c r="G33" s="72"/>
      <c r="H33" s="72"/>
      <c r="I33" s="72"/>
      <c r="J33" s="73" t="str">
        <f>+Balance!K31</f>
        <v>Alejandro Poletto</v>
      </c>
      <c r="K33" s="72"/>
      <c r="L33" s="72"/>
      <c r="M33" s="72"/>
      <c r="N33" s="72"/>
    </row>
    <row r="34" spans="1:14" x14ac:dyDescent="0.25">
      <c r="A34" s="72"/>
      <c r="B34" s="73" t="str">
        <f>+Balance!D32</f>
        <v>Contador Público (U.C.A.)</v>
      </c>
      <c r="C34" s="72"/>
      <c r="D34" s="72"/>
      <c r="E34" s="72"/>
      <c r="F34" s="73" t="str">
        <f>+Balance!F32</f>
        <v>Síndico</v>
      </c>
      <c r="G34" s="72"/>
      <c r="H34" s="72"/>
      <c r="I34" s="72"/>
      <c r="J34" s="73" t="str">
        <f>+Balance!K32</f>
        <v>Southern Copper Arg. S.R.L.</v>
      </c>
      <c r="K34" s="72"/>
      <c r="L34" s="72"/>
      <c r="M34" s="72"/>
      <c r="N34" s="72"/>
    </row>
    <row r="35" spans="1:14" x14ac:dyDescent="0.25">
      <c r="A35" s="72"/>
      <c r="B35" s="73" t="str">
        <f>+Balance!D33</f>
        <v>C.P.C.E.C.A.B.A. Tº176  Fº03</v>
      </c>
      <c r="C35" s="72"/>
      <c r="D35" s="72"/>
      <c r="E35" s="72"/>
      <c r="F35" s="1"/>
      <c r="G35" s="72"/>
      <c r="H35" s="72"/>
      <c r="I35" s="72"/>
      <c r="J35" s="73" t="str">
        <f>+Balance!K33</f>
        <v> Gerente</v>
      </c>
      <c r="K35" s="72"/>
      <c r="L35" s="72"/>
      <c r="M35" s="72"/>
      <c r="N35" s="72"/>
    </row>
  </sheetData>
  <mergeCells count="3">
    <mergeCell ref="A4:K4"/>
    <mergeCell ref="A5:K5"/>
    <mergeCell ref="H9:I9"/>
  </mergeCells>
  <printOptions horizontalCentered="1"/>
  <pageMargins left="0.5118110236220472" right="0.1968503937007874" top="1.220472440944882" bottom="0.984251968503937" header="0.5905511811023623" footer="0"/>
  <pageSetup paperSize="9" orientation="landscape" horizontalDpi="4294967295" verticalDpi="4294967295" scale="85" fitToWidth="1" fitToHeight="1" firstPageNumber="1" useFirstPageNumber="1" copies="1"/>
  <headerFooter>
    <oddHeader>&amp;LSouthern Copper Argentina SRL.
Tucuman 1
Ciudad Autónoma de Buenos Aires
Nºde Insc.en I.G.J.:11764 del Libro 135 de SRL.
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5"/>
  <sheetViews>
    <sheetView workbookViewId="0" zoomScale="130" zoomScaleNormal="130">
      <selection activeCell="G460" sqref="G460"/>
    </sheetView>
  </sheetViews>
  <sheetFormatPr defaultRowHeight="13.2" outlineLevelRow="0" outlineLevelCol="0" x14ac:dyDescent="0.25" defaultColWidth="11.44140625" customHeight="1"/>
  <cols>
    <col min="1" max="1" width="36" style="69" customWidth="1"/>
    <col min="2" max="2" width="9.88671875" style="69" customWidth="1"/>
    <col min="3" max="3" width="3.88671875" style="129" customWidth="1"/>
    <col min="4" max="4" width="14.44140625" style="129" customWidth="1"/>
    <col min="5" max="5" width="11.44140625" style="69" customWidth="1"/>
    <col min="6" max="6" width="13.44140625" style="69" customWidth="1"/>
    <col min="7" max="7" width="12.88671875" style="69" customWidth="1"/>
    <col min="8" max="8" width="13.44140625" style="69" customWidth="1"/>
    <col min="9" max="16384" width="11.44140625" style="69" customWidth="1"/>
  </cols>
  <sheetData>
    <row r="1" spans="1:11" x14ac:dyDescent="0.25">
      <c r="A1" s="69" t="s">
        <v>504</v>
      </c>
      <c r="B1" s="69"/>
      <c r="C1" s="129"/>
      <c r="D1" s="129"/>
      <c r="E1" s="69"/>
      <c r="F1" s="69"/>
      <c r="G1" s="69"/>
      <c r="H1" s="69"/>
      <c r="I1" s="69"/>
      <c r="J1" s="69"/>
      <c r="K1" s="69"/>
    </row>
    <row r="2" spans="1:11" x14ac:dyDescent="0.25">
      <c r="A2" s="69" t="s">
        <v>505</v>
      </c>
      <c r="B2" s="69"/>
      <c r="C2" s="129"/>
      <c r="D2" s="129"/>
      <c r="E2" s="69"/>
      <c r="F2" s="69"/>
      <c r="G2" s="69"/>
      <c r="H2" s="69"/>
      <c r="I2" s="69"/>
      <c r="J2" s="69"/>
      <c r="K2" s="69"/>
    </row>
    <row r="3" spans="1:11" x14ac:dyDescent="0.25">
      <c r="A3" s="69">
        <v>45016</v>
      </c>
      <c r="B3" s="69"/>
      <c r="C3" s="129"/>
      <c r="D3" s="129"/>
      <c r="E3" s="69"/>
      <c r="F3" s="69"/>
      <c r="G3" s="69"/>
      <c r="H3" s="69"/>
      <c r="I3" s="69"/>
      <c r="J3" s="69"/>
      <c r="K3" s="69"/>
    </row>
    <row r="4" spans="1:11" x14ac:dyDescent="0.25">
      <c r="A4" s="69">
        <v>1</v>
      </c>
      <c r="B4" s="69">
        <v>2</v>
      </c>
      <c r="C4" s="129">
        <v>3</v>
      </c>
      <c r="D4" s="129">
        <v>4</v>
      </c>
      <c r="E4" s="69"/>
      <c r="F4" s="69"/>
      <c r="G4" s="69"/>
      <c r="H4" s="69"/>
      <c r="I4" s="69"/>
      <c r="J4" s="69"/>
      <c r="K4" s="69"/>
    </row>
    <row r="5" spans="1:11" x14ac:dyDescent="0.25">
      <c r="A5" s="69" t="s">
        <v>506</v>
      </c>
      <c r="B5" s="69" t="s">
        <v>507</v>
      </c>
      <c r="C5" s="129" t="s">
        <v>508</v>
      </c>
      <c r="D5" s="105"/>
      <c r="E5" s="69"/>
      <c r="F5" s="69"/>
      <c r="G5" s="69"/>
      <c r="H5" s="69"/>
      <c r="I5" s="69"/>
      <c r="J5" s="69"/>
      <c r="K5" s="69"/>
    </row>
    <row r="6" spans="1:11" x14ac:dyDescent="0.25">
      <c r="A6" s="69" t="s">
        <v>79</v>
      </c>
      <c r="B6" s="69"/>
      <c r="C6" s="129"/>
      <c r="D6" s="129"/>
      <c r="E6" s="69"/>
      <c r="F6" s="69"/>
      <c r="G6" s="69"/>
      <c r="H6" s="69"/>
      <c r="I6" s="69"/>
      <c r="J6" s="69"/>
      <c r="K6" s="69"/>
    </row>
    <row r="7" spans="1:11" x14ac:dyDescent="0.25">
      <c r="A7" s="136" t="s">
        <v>296</v>
      </c>
      <c r="B7" s="69"/>
      <c r="C7" s="129"/>
      <c r="D7" s="166">
        <v>1014.2</v>
      </c>
      <c r="E7" s="69"/>
      <c r="F7" s="69"/>
      <c r="G7" s="69"/>
      <c r="H7" s="69"/>
      <c r="I7" s="69"/>
      <c r="J7" s="69"/>
      <c r="K7" s="69"/>
    </row>
    <row r="8" spans="1:11" s="167" customFormat="1" x14ac:dyDescent="0.25">
      <c r="A8" s="168" t="s">
        <v>297</v>
      </c>
      <c r="B8" s="167"/>
      <c r="C8" s="169"/>
      <c r="D8" s="166">
        <v>5728.2300000000005</v>
      </c>
      <c r="E8" s="167"/>
      <c r="F8" s="167"/>
      <c r="G8" s="167"/>
      <c r="H8" s="167"/>
      <c r="I8" s="167"/>
      <c r="J8" s="167"/>
      <c r="K8" s="167"/>
    </row>
    <row r="9" spans="1:11" x14ac:dyDescent="0.25">
      <c r="A9" s="136" t="s">
        <v>298</v>
      </c>
      <c r="B9" s="69"/>
      <c r="C9" s="129"/>
      <c r="D9" s="166">
        <v>8064.939999999999</v>
      </c>
      <c r="E9" s="69"/>
      <c r="F9" s="69"/>
      <c r="G9" s="69"/>
      <c r="H9" s="69"/>
      <c r="I9" s="69"/>
      <c r="J9" s="69"/>
      <c r="K9" s="69"/>
    </row>
    <row r="10" spans="1:11" x14ac:dyDescent="0.25">
      <c r="A10" s="136" t="s">
        <v>300</v>
      </c>
      <c r="B10" s="69"/>
      <c r="C10" s="129"/>
      <c r="D10" s="166">
        <v>83641</v>
      </c>
      <c r="E10" s="69"/>
      <c r="F10" s="69"/>
      <c r="G10" s="69"/>
      <c r="H10" s="69"/>
      <c r="I10" s="69"/>
      <c r="J10" s="69"/>
      <c r="K10" s="69"/>
    </row>
    <row r="11" spans="1:11" x14ac:dyDescent="0.25">
      <c r="A11" s="136" t="s">
        <v>509</v>
      </c>
      <c r="B11" s="69"/>
      <c r="C11" s="129"/>
      <c r="D11" s="166">
        <v>0</v>
      </c>
      <c r="E11" s="69"/>
      <c r="F11" s="69"/>
      <c r="G11" s="69"/>
      <c r="H11" s="69"/>
      <c r="I11" s="69"/>
      <c r="J11" s="69"/>
      <c r="K11" s="69"/>
    </row>
    <row r="12" spans="1:11" x14ac:dyDescent="0.25">
      <c r="A12" s="138" t="s">
        <v>299</v>
      </c>
      <c r="B12" s="69"/>
      <c r="C12" s="129"/>
      <c r="D12" s="166">
        <v>10395.91</v>
      </c>
      <c r="E12" s="69"/>
      <c r="F12" s="69"/>
      <c r="G12" s="69"/>
      <c r="H12" s="69"/>
      <c r="I12" s="69"/>
      <c r="J12" s="69"/>
      <c r="K12" s="69"/>
    </row>
    <row r="13" spans="1:11" x14ac:dyDescent="0.25">
      <c r="A13" s="138" t="s">
        <v>301</v>
      </c>
      <c r="B13" s="69"/>
      <c r="C13" s="129"/>
      <c r="D13" s="166">
        <v>4.84000000000001</v>
      </c>
      <c r="E13" s="69"/>
      <c r="F13" s="69"/>
      <c r="G13" s="69"/>
      <c r="H13" s="69"/>
      <c r="I13" s="69"/>
      <c r="J13" s="69"/>
      <c r="K13" s="69"/>
    </row>
    <row r="14" spans="1:11" x14ac:dyDescent="0.25">
      <c r="A14" s="138" t="s">
        <v>304</v>
      </c>
      <c r="B14" s="69"/>
      <c r="C14" s="129"/>
      <c r="D14" s="166">
        <v>-4.547473508864641e-15</v>
      </c>
      <c r="E14" s="69"/>
      <c r="F14" s="69"/>
      <c r="G14" s="69"/>
      <c r="H14" s="69"/>
      <c r="I14" s="69"/>
      <c r="J14" s="69"/>
      <c r="K14" s="69"/>
    </row>
    <row r="15" spans="1:11" x14ac:dyDescent="0.25">
      <c r="A15" s="138" t="s">
        <v>305</v>
      </c>
      <c r="B15" s="69"/>
      <c r="C15" s="129"/>
      <c r="D15" s="166">
        <v>1131450.35</v>
      </c>
      <c r="E15" s="69"/>
      <c r="F15" s="69"/>
      <c r="G15" s="69"/>
      <c r="H15" s="69"/>
      <c r="I15" s="69"/>
      <c r="J15" s="69"/>
      <c r="K15" s="69"/>
    </row>
    <row r="16" spans="1:11" x14ac:dyDescent="0.25">
      <c r="A16" s="136" t="s">
        <v>306</v>
      </c>
      <c r="B16" s="69"/>
      <c r="C16" s="129"/>
      <c r="D16" s="166">
        <v>3.552713678800501e-17</v>
      </c>
      <c r="E16" s="69"/>
      <c r="F16" s="69"/>
      <c r="G16" s="69"/>
      <c r="H16" s="69"/>
      <c r="I16" s="69"/>
      <c r="J16" s="69"/>
      <c r="K16" s="69"/>
    </row>
    <row r="17" spans="1:11" x14ac:dyDescent="0.25">
      <c r="A17" s="136" t="s">
        <v>307</v>
      </c>
      <c r="B17" s="69"/>
      <c r="C17" s="129"/>
      <c r="D17" s="166">
        <v>0.78</v>
      </c>
      <c r="E17" s="69"/>
      <c r="F17" s="69"/>
      <c r="G17" s="69"/>
      <c r="H17" s="69"/>
      <c r="I17" s="69"/>
      <c r="J17" s="69"/>
      <c r="K17" s="69"/>
    </row>
    <row r="18" spans="1:11" x14ac:dyDescent="0.25">
      <c r="A18" s="136" t="s">
        <v>308</v>
      </c>
      <c r="B18" s="69"/>
      <c r="C18" s="129"/>
      <c r="D18" s="166">
        <v>5340.61</v>
      </c>
      <c r="E18" s="69"/>
      <c r="F18" s="69"/>
      <c r="G18" s="69"/>
      <c r="H18" s="69"/>
      <c r="I18" s="69"/>
      <c r="J18" s="69"/>
      <c r="K18" s="69"/>
    </row>
    <row r="19" spans="1:11" x14ac:dyDescent="0.25">
      <c r="A19" s="136" t="s">
        <v>309</v>
      </c>
      <c r="B19" s="69"/>
      <c r="C19" s="129"/>
      <c r="D19" s="166">
        <v>36056.44</v>
      </c>
      <c r="E19" s="69"/>
      <c r="F19" s="69"/>
      <c r="G19" s="69"/>
      <c r="H19" s="69"/>
      <c r="I19" s="69"/>
      <c r="J19" s="69"/>
      <c r="K19" s="69"/>
    </row>
    <row r="20" spans="1:11" x14ac:dyDescent="0.25">
      <c r="A20" s="136" t="s">
        <v>310</v>
      </c>
      <c r="B20" s="69"/>
      <c r="C20" s="129"/>
      <c r="D20" s="166">
        <v>357.5</v>
      </c>
      <c r="E20" s="69"/>
      <c r="F20" s="69"/>
      <c r="G20" s="69"/>
      <c r="H20" s="69"/>
      <c r="I20" s="69"/>
      <c r="J20" s="69"/>
      <c r="K20" s="69"/>
    </row>
    <row r="21" spans="1:11" x14ac:dyDescent="0.25">
      <c r="A21" s="136" t="s">
        <v>311</v>
      </c>
      <c r="B21" s="69"/>
      <c r="C21" s="129"/>
      <c r="D21" s="166">
        <v>0</v>
      </c>
      <c r="E21" s="69"/>
      <c r="F21" s="69"/>
      <c r="G21" s="69"/>
      <c r="H21" s="69"/>
      <c r="I21" s="69"/>
      <c r="J21" s="69"/>
      <c r="K21" s="69"/>
    </row>
    <row r="22" spans="1:11" x14ac:dyDescent="0.25">
      <c r="A22" s="136" t="s">
        <v>312</v>
      </c>
      <c r="B22" s="69"/>
      <c r="C22" s="129"/>
      <c r="D22" s="166">
        <v>164.76</v>
      </c>
      <c r="E22" s="69"/>
      <c r="F22" s="69"/>
      <c r="G22" s="69"/>
      <c r="H22" s="69"/>
      <c r="I22" s="69"/>
      <c r="J22" s="69"/>
      <c r="K22" s="69"/>
    </row>
    <row r="23" spans="1:11" x14ac:dyDescent="0.25">
      <c r="A23" s="136" t="s">
        <v>313</v>
      </c>
      <c r="B23" s="69"/>
      <c r="C23" s="129"/>
      <c r="D23" s="166">
        <v>137.66000000000003</v>
      </c>
      <c r="E23" s="69"/>
      <c r="F23" s="69"/>
      <c r="G23" s="69"/>
      <c r="H23" s="69"/>
      <c r="I23" s="69"/>
      <c r="J23" s="69"/>
      <c r="K23" s="69"/>
    </row>
    <row r="24" spans="1:11" x14ac:dyDescent="0.25">
      <c r="A24" s="136" t="s">
        <v>314</v>
      </c>
      <c r="B24" s="69"/>
      <c r="C24" s="129"/>
      <c r="D24" s="166">
        <v>1214719.33</v>
      </c>
      <c r="E24" s="69"/>
      <c r="F24" s="69"/>
      <c r="G24" s="69"/>
      <c r="H24" s="69"/>
      <c r="I24" s="69"/>
      <c r="J24" s="69"/>
      <c r="K24" s="69"/>
    </row>
    <row r="25" spans="1:11" x14ac:dyDescent="0.25">
      <c r="A25" s="136" t="s">
        <v>316</v>
      </c>
      <c r="B25" s="69"/>
      <c r="C25" s="129"/>
      <c r="D25" s="166">
        <v>17598.4</v>
      </c>
      <c r="E25" s="69"/>
      <c r="F25" s="69"/>
      <c r="G25" s="69"/>
      <c r="H25" s="69"/>
      <c r="I25" s="69"/>
      <c r="J25" s="69"/>
      <c r="K25" s="69"/>
    </row>
    <row r="26" spans="1:11" x14ac:dyDescent="0.25">
      <c r="A26" s="136" t="s">
        <v>510</v>
      </c>
      <c r="B26" s="69"/>
      <c r="C26" s="129"/>
      <c r="D26" s="166">
        <v>0</v>
      </c>
      <c r="E26" s="69"/>
      <c r="F26" s="69"/>
      <c r="G26" s="69"/>
      <c r="H26" s="69"/>
      <c r="I26" s="69"/>
      <c r="J26" s="69"/>
      <c r="K26" s="69"/>
    </row>
    <row r="27" spans="1:11" x14ac:dyDescent="0.25">
      <c r="A27" s="136" t="s">
        <v>315</v>
      </c>
      <c r="B27" s="69"/>
      <c r="C27" s="105"/>
      <c r="D27" s="166">
        <v>0</v>
      </c>
      <c r="E27" s="69"/>
      <c r="F27" s="69"/>
      <c r="G27" s="69"/>
      <c r="H27" s="69"/>
      <c r="I27" s="69"/>
      <c r="J27" s="69"/>
      <c r="K27" s="69"/>
    </row>
    <row r="28" spans="1:11" x14ac:dyDescent="0.25">
      <c r="A28" s="136" t="s">
        <v>511</v>
      </c>
      <c r="B28" s="69"/>
      <c r="C28" s="105"/>
      <c r="D28" s="166">
        <v>0</v>
      </c>
      <c r="E28" s="69"/>
      <c r="F28" s="69"/>
      <c r="G28" s="69"/>
      <c r="H28" s="69"/>
      <c r="I28" s="69"/>
      <c r="J28" s="69"/>
      <c r="K28" s="69"/>
    </row>
    <row r="29" spans="1:11" x14ac:dyDescent="0.25">
      <c r="A29" s="136" t="s">
        <v>317</v>
      </c>
      <c r="B29" s="69"/>
      <c r="C29" s="105"/>
      <c r="D29" s="166">
        <v>0</v>
      </c>
      <c r="E29" s="69"/>
      <c r="F29" s="69"/>
      <c r="G29" s="69"/>
      <c r="H29" s="69"/>
      <c r="I29" s="69"/>
      <c r="J29" s="69"/>
      <c r="K29" s="69"/>
    </row>
    <row r="30" spans="1:11" x14ac:dyDescent="0.25">
      <c r="A30" s="136" t="s">
        <v>318</v>
      </c>
      <c r="B30" s="69"/>
      <c r="C30" s="105"/>
      <c r="D30" s="166">
        <v>75701.53</v>
      </c>
      <c r="E30" s="69"/>
      <c r="F30" s="69"/>
      <c r="G30" s="69"/>
      <c r="H30" s="69"/>
      <c r="I30" s="69"/>
      <c r="J30" s="69"/>
      <c r="K30" s="69"/>
    </row>
    <row r="31" spans="1:11" x14ac:dyDescent="0.25">
      <c r="A31" s="136" t="s">
        <v>319</v>
      </c>
      <c r="B31" s="69"/>
      <c r="C31" s="105"/>
      <c r="D31" s="166">
        <v>0.72</v>
      </c>
      <c r="E31" s="69"/>
      <c r="F31" s="69"/>
      <c r="G31" s="69"/>
      <c r="H31" s="69"/>
      <c r="I31" s="69"/>
      <c r="J31" s="69"/>
      <c r="K31" s="69"/>
    </row>
    <row r="32" spans="1:11" x14ac:dyDescent="0.25">
      <c r="A32" s="136" t="s">
        <v>320</v>
      </c>
      <c r="B32" s="69"/>
      <c r="C32" s="105"/>
      <c r="D32" s="166">
        <v>4025.8</v>
      </c>
      <c r="E32" s="69"/>
      <c r="F32" s="69"/>
      <c r="G32" s="69"/>
      <c r="H32" s="69"/>
      <c r="I32" s="69"/>
      <c r="J32" s="69"/>
      <c r="K32" s="69"/>
    </row>
    <row r="33" spans="1:11" x14ac:dyDescent="0.25">
      <c r="A33" s="136" t="s">
        <v>326</v>
      </c>
      <c r="B33" s="69"/>
      <c r="C33" s="105"/>
      <c r="D33" s="166">
        <v>15888.529999999999</v>
      </c>
      <c r="E33" s="69"/>
      <c r="F33" s="69"/>
      <c r="G33" s="69"/>
      <c r="H33" s="69"/>
      <c r="I33" s="69"/>
      <c r="J33" s="69"/>
      <c r="K33" s="69"/>
    </row>
    <row r="34" spans="1:11" x14ac:dyDescent="0.25">
      <c r="A34" s="136" t="s">
        <v>327</v>
      </c>
      <c r="B34" s="69"/>
      <c r="C34" s="105"/>
      <c r="D34" s="166">
        <v>218.39000000000001</v>
      </c>
      <c r="E34" s="69"/>
      <c r="F34" s="69"/>
      <c r="G34" s="69"/>
      <c r="H34" s="69"/>
      <c r="I34" s="69"/>
      <c r="J34" s="69"/>
      <c r="K34" s="69"/>
    </row>
    <row r="35" spans="1:11" x14ac:dyDescent="0.25">
      <c r="A35" s="136" t="s">
        <v>328</v>
      </c>
      <c r="B35" s="69"/>
      <c r="C35" s="105"/>
      <c r="D35" s="166">
        <v>0</v>
      </c>
      <c r="E35" s="69"/>
      <c r="F35" s="69"/>
      <c r="G35" s="69"/>
      <c r="H35" s="69"/>
      <c r="I35" s="69"/>
      <c r="J35" s="69"/>
      <c r="K35" s="69"/>
    </row>
    <row r="36" spans="1:11" x14ac:dyDescent="0.25">
      <c r="A36" s="136" t="s">
        <v>302</v>
      </c>
      <c r="B36" s="69"/>
      <c r="C36" s="105"/>
      <c r="D36" s="166">
        <v>0</v>
      </c>
      <c r="E36" s="69"/>
      <c r="F36" s="69"/>
      <c r="G36" s="69"/>
      <c r="H36" s="69"/>
      <c r="I36" s="69"/>
      <c r="J36" s="69"/>
      <c r="K36" s="69"/>
    </row>
    <row r="37" spans="1:11" x14ac:dyDescent="0.25">
      <c r="A37" s="136" t="s">
        <v>329</v>
      </c>
      <c r="B37" s="69"/>
      <c r="C37" s="105"/>
      <c r="D37" s="170">
        <v>0</v>
      </c>
      <c r="E37" s="69"/>
      <c r="F37" s="69"/>
      <c r="G37" s="69"/>
      <c r="H37" s="69"/>
      <c r="I37" s="69"/>
      <c r="J37" s="69"/>
      <c r="K37" s="69"/>
    </row>
    <row r="38" spans="1:11" x14ac:dyDescent="0.25">
      <c r="A38" s="136" t="s">
        <v>512</v>
      </c>
      <c r="B38" s="69"/>
      <c r="C38" s="105"/>
      <c r="D38" s="166">
        <v>0</v>
      </c>
      <c r="E38" s="69"/>
      <c r="F38" s="69"/>
      <c r="G38" s="69"/>
      <c r="H38" s="69"/>
      <c r="I38" s="69"/>
      <c r="J38" s="69"/>
      <c r="K38" s="69"/>
    </row>
    <row r="39" spans="1:11" x14ac:dyDescent="0.25">
      <c r="A39" s="136" t="s">
        <v>330</v>
      </c>
      <c r="B39" s="69"/>
      <c r="C39" s="105"/>
      <c r="D39" s="166">
        <v>73.16</v>
      </c>
      <c r="E39" s="69"/>
      <c r="F39" s="69"/>
      <c r="G39" s="69"/>
      <c r="H39" s="69"/>
      <c r="I39" s="69"/>
      <c r="J39" s="69"/>
      <c r="K39" s="69"/>
    </row>
    <row r="40" spans="1:11" x14ac:dyDescent="0.25">
      <c r="A40" s="136" t="s">
        <v>331</v>
      </c>
      <c r="B40" s="69"/>
      <c r="C40" s="105"/>
      <c r="D40" s="166">
        <v>0</v>
      </c>
      <c r="E40" s="69"/>
      <c r="F40" s="69"/>
      <c r="G40" s="69"/>
      <c r="H40" s="69"/>
      <c r="I40" s="69"/>
      <c r="J40" s="69"/>
      <c r="K40" s="69"/>
    </row>
    <row r="41" spans="1:11" x14ac:dyDescent="0.25">
      <c r="A41" s="136" t="s">
        <v>332</v>
      </c>
      <c r="B41" s="69"/>
      <c r="C41" s="105"/>
      <c r="D41" s="166">
        <v>130976.14</v>
      </c>
      <c r="E41" s="69"/>
      <c r="F41" s="69"/>
      <c r="G41" s="69"/>
      <c r="H41" s="69"/>
      <c r="I41" s="69"/>
      <c r="J41" s="69"/>
      <c r="K41" s="69"/>
    </row>
    <row r="42" spans="1:11" x14ac:dyDescent="0.25">
      <c r="A42" s="136" t="s">
        <v>333</v>
      </c>
      <c r="B42" s="69"/>
      <c r="C42" s="105"/>
      <c r="D42" s="166">
        <v>58450.05</v>
      </c>
      <c r="E42" s="69"/>
      <c r="F42" s="69"/>
      <c r="G42" s="69"/>
      <c r="H42" s="69"/>
      <c r="I42" s="69"/>
      <c r="J42" s="69"/>
      <c r="K42" s="69"/>
    </row>
    <row r="43" spans="1:11" x14ac:dyDescent="0.25">
      <c r="A43" s="147" t="s">
        <v>334</v>
      </c>
      <c r="B43" s="69"/>
      <c r="C43" s="105"/>
      <c r="D43" s="166">
        <v>33289.65</v>
      </c>
      <c r="E43" s="69"/>
      <c r="F43" s="69"/>
      <c r="G43" s="69"/>
      <c r="H43" s="69"/>
      <c r="I43" s="69"/>
      <c r="J43" s="69"/>
      <c r="K43" s="69"/>
    </row>
    <row r="44" spans="1:11" x14ac:dyDescent="0.25">
      <c r="A44" s="147" t="s">
        <v>335</v>
      </c>
      <c r="B44" s="69"/>
      <c r="C44" s="105"/>
      <c r="D44" s="166">
        <v>78372.31</v>
      </c>
      <c r="E44" s="69"/>
      <c r="F44" s="69"/>
      <c r="G44" s="69"/>
      <c r="H44" s="69"/>
      <c r="I44" s="69"/>
      <c r="J44" s="69"/>
      <c r="K44" s="69"/>
    </row>
    <row r="45" spans="1:11" x14ac:dyDescent="0.25">
      <c r="A45" s="147" t="s">
        <v>336</v>
      </c>
      <c r="B45" s="69"/>
      <c r="C45" s="105"/>
      <c r="D45" s="166">
        <v>133453.72</v>
      </c>
      <c r="E45" s="69"/>
      <c r="F45" s="69"/>
      <c r="G45" s="69"/>
      <c r="H45" s="69"/>
      <c r="I45" s="69"/>
      <c r="J45" s="69"/>
      <c r="K45" s="69"/>
    </row>
    <row r="46" spans="1:11" s="171" customFormat="1" x14ac:dyDescent="0.25">
      <c r="A46" s="172" t="s">
        <v>337</v>
      </c>
      <c r="B46" s="171"/>
      <c r="C46" s="173"/>
      <c r="D46" s="166">
        <v>-111045.01000000001</v>
      </c>
      <c r="E46" s="171"/>
      <c r="F46" s="171"/>
      <c r="G46" s="171"/>
      <c r="H46" s="171"/>
      <c r="I46" s="171"/>
      <c r="J46" s="171"/>
      <c r="K46" s="171"/>
    </row>
    <row r="47" spans="1:11" x14ac:dyDescent="0.25">
      <c r="A47" s="147" t="s">
        <v>338</v>
      </c>
      <c r="B47" s="69"/>
      <c r="C47" s="105"/>
      <c r="D47" s="166">
        <v>-55701.54</v>
      </c>
      <c r="E47" s="69"/>
      <c r="F47" s="69"/>
      <c r="G47" s="69"/>
      <c r="H47" s="69"/>
      <c r="I47" s="69"/>
      <c r="J47" s="69"/>
      <c r="K47" s="69"/>
    </row>
    <row r="48" spans="1:11" s="171" customFormat="1" x14ac:dyDescent="0.25">
      <c r="A48" s="172" t="s">
        <v>339</v>
      </c>
      <c r="B48" s="171"/>
      <c r="C48" s="173"/>
      <c r="D48" s="166">
        <v>-23617.260000000002</v>
      </c>
      <c r="E48" s="171"/>
      <c r="F48" s="171"/>
      <c r="G48" s="171"/>
      <c r="H48" s="171"/>
      <c r="I48" s="171"/>
      <c r="J48" s="171"/>
      <c r="K48" s="171"/>
    </row>
    <row r="49" spans="1:11" x14ac:dyDescent="0.25">
      <c r="A49" s="147" t="s">
        <v>340</v>
      </c>
      <c r="B49" s="69"/>
      <c r="C49" s="105"/>
      <c r="D49" s="166">
        <v>279626.68</v>
      </c>
      <c r="E49" s="69"/>
      <c r="F49" s="69"/>
      <c r="G49" s="69"/>
      <c r="H49" s="69"/>
      <c r="I49" s="69"/>
      <c r="J49" s="69"/>
      <c r="K49" s="69"/>
    </row>
    <row r="50" spans="1:11" s="171" customFormat="1" x14ac:dyDescent="0.25">
      <c r="A50" s="172" t="s">
        <v>341</v>
      </c>
      <c r="B50" s="171"/>
      <c r="C50" s="173"/>
      <c r="D50" s="166">
        <v>-67851.26</v>
      </c>
      <c r="E50" s="171"/>
      <c r="F50" s="171"/>
      <c r="G50" s="171"/>
      <c r="H50" s="171"/>
      <c r="I50" s="171"/>
      <c r="J50" s="171"/>
      <c r="K50" s="171"/>
    </row>
    <row r="51" spans="1:11" s="171" customFormat="1" x14ac:dyDescent="0.25">
      <c r="A51" s="172" t="s">
        <v>342</v>
      </c>
      <c r="B51" s="171"/>
      <c r="C51" s="173"/>
      <c r="D51" s="166">
        <v>-133453.72</v>
      </c>
      <c r="E51" s="171"/>
      <c r="F51" s="171"/>
      <c r="G51" s="171"/>
      <c r="H51" s="171"/>
      <c r="I51" s="171"/>
      <c r="J51" s="171"/>
      <c r="K51" s="171"/>
    </row>
    <row r="52" spans="1:11" s="171" customFormat="1" x14ac:dyDescent="0.25">
      <c r="A52" s="172" t="s">
        <v>343</v>
      </c>
      <c r="B52" s="150"/>
      <c r="C52" s="173"/>
      <c r="D52" s="166">
        <v>-268108.8</v>
      </c>
      <c r="E52" s="171"/>
      <c r="F52" s="171"/>
      <c r="G52" s="171"/>
      <c r="H52" s="171"/>
      <c r="I52" s="171"/>
      <c r="J52" s="171"/>
      <c r="K52" s="171"/>
    </row>
    <row r="53" spans="1:11" x14ac:dyDescent="0.25">
      <c r="A53" s="147" t="s">
        <v>344</v>
      </c>
      <c r="B53" s="137"/>
      <c r="C53" s="105"/>
      <c r="D53" s="166">
        <v>136820.25</v>
      </c>
      <c r="E53" s="69"/>
      <c r="F53" s="69"/>
      <c r="G53" s="69"/>
      <c r="H53" s="69"/>
      <c r="I53" s="69"/>
      <c r="J53" s="69"/>
      <c r="K53" s="69"/>
    </row>
    <row r="54" spans="1:11" s="171" customFormat="1" x14ac:dyDescent="0.25">
      <c r="A54" s="172" t="s">
        <v>345</v>
      </c>
      <c r="B54" s="150"/>
      <c r="C54" s="173"/>
      <c r="D54" s="166">
        <v>-127916.18000000001</v>
      </c>
      <c r="E54" s="171"/>
      <c r="F54" s="171"/>
      <c r="G54" s="171"/>
      <c r="H54" s="171"/>
      <c r="I54" s="171"/>
      <c r="J54" s="171"/>
      <c r="K54" s="171"/>
    </row>
    <row r="55" spans="1:11" x14ac:dyDescent="0.25">
      <c r="A55" s="147" t="s">
        <v>346</v>
      </c>
      <c r="B55" s="137"/>
      <c r="C55" s="105"/>
      <c r="D55" s="166">
        <v>11629.81</v>
      </c>
      <c r="E55" s="69"/>
      <c r="F55" s="69"/>
      <c r="G55" s="69"/>
      <c r="H55" s="69"/>
      <c r="I55" s="69"/>
      <c r="J55" s="69"/>
      <c r="K55" s="69"/>
    </row>
    <row r="56" spans="1:11" s="171" customFormat="1" x14ac:dyDescent="0.25">
      <c r="A56" s="172" t="s">
        <v>347</v>
      </c>
      <c r="B56" s="150"/>
      <c r="C56" s="173"/>
      <c r="D56" s="166">
        <v>-5787.650000000001</v>
      </c>
      <c r="E56" s="171"/>
      <c r="F56" s="171"/>
      <c r="G56" s="171"/>
      <c r="H56" s="171"/>
      <c r="I56" s="171"/>
      <c r="J56" s="171"/>
      <c r="K56" s="171"/>
    </row>
    <row r="57" spans="1:11" x14ac:dyDescent="0.25">
      <c r="A57" s="136" t="s">
        <v>348</v>
      </c>
      <c r="B57" s="137"/>
      <c r="C57" s="105"/>
      <c r="D57" s="166">
        <v>165358.57</v>
      </c>
      <c r="E57" s="69"/>
      <c r="F57" s="69"/>
      <c r="G57" s="69"/>
      <c r="H57" s="69"/>
      <c r="I57" s="69"/>
      <c r="J57" s="69"/>
      <c r="K57" s="69"/>
    </row>
    <row r="58" spans="1:11" x14ac:dyDescent="0.25">
      <c r="A58" s="136" t="s">
        <v>349</v>
      </c>
      <c r="B58" s="137"/>
      <c r="C58" s="105"/>
      <c r="D58" s="166">
        <v>1063586.36</v>
      </c>
      <c r="E58" s="69"/>
      <c r="F58" s="69"/>
      <c r="G58" s="69"/>
      <c r="H58" s="69"/>
      <c r="I58" s="69"/>
      <c r="J58" s="69"/>
      <c r="K58" s="69"/>
    </row>
    <row r="59" spans="1:11" x14ac:dyDescent="0.25">
      <c r="A59" s="147"/>
      <c r="B59" s="137"/>
      <c r="C59" s="105"/>
      <c r="D59" s="166">
        <v>0</v>
      </c>
      <c r="E59" s="69"/>
      <c r="F59" s="69"/>
      <c r="G59" s="69"/>
      <c r="H59" s="69"/>
      <c r="I59" s="69"/>
      <c r="J59" s="69"/>
      <c r="K59" s="69"/>
    </row>
    <row r="60" spans="1:11" x14ac:dyDescent="0.25">
      <c r="A60" s="147"/>
      <c r="B60" s="137"/>
      <c r="C60" s="105"/>
      <c r="D60" s="166">
        <v>0</v>
      </c>
      <c r="E60" s="69"/>
      <c r="F60" s="69"/>
      <c r="G60" s="69"/>
      <c r="H60" s="69"/>
      <c r="I60" s="69"/>
      <c r="J60" s="69"/>
      <c r="K60" s="69"/>
    </row>
    <row r="61" spans="1:11" x14ac:dyDescent="0.25">
      <c r="A61" s="147"/>
      <c r="B61" s="137"/>
      <c r="C61" s="105"/>
      <c r="D61" s="166">
        <v>0</v>
      </c>
      <c r="E61" s="69"/>
      <c r="F61" s="69"/>
      <c r="G61" s="69"/>
      <c r="H61" s="69"/>
      <c r="I61" s="69"/>
      <c r="J61" s="69"/>
      <c r="K61" s="69"/>
    </row>
    <row r="62" spans="1:11" x14ac:dyDescent="0.25">
      <c r="A62" s="136"/>
      <c r="B62" s="137"/>
      <c r="C62" s="105"/>
      <c r="D62" s="166">
        <v>0</v>
      </c>
      <c r="E62" s="69"/>
      <c r="F62" s="69"/>
      <c r="G62" s="69"/>
      <c r="H62" s="69"/>
      <c r="I62" s="69"/>
      <c r="J62" s="69"/>
      <c r="K62" s="69"/>
    </row>
    <row r="63" spans="1:11" x14ac:dyDescent="0.25">
      <c r="A63" s="136"/>
      <c r="B63" s="137"/>
      <c r="C63" s="105"/>
      <c r="D63" s="166">
        <v>0</v>
      </c>
      <c r="E63" s="69"/>
      <c r="F63" s="69"/>
      <c r="G63" s="69"/>
      <c r="H63" s="69"/>
      <c r="I63" s="69"/>
      <c r="J63" s="69"/>
      <c r="K63" s="69"/>
    </row>
    <row r="64" spans="1:11" x14ac:dyDescent="0.25">
      <c r="A64" s="136"/>
      <c r="B64" s="69"/>
      <c r="C64" s="105"/>
      <c r="D64" s="166">
        <v>0</v>
      </c>
      <c r="E64" s="69"/>
      <c r="F64" s="69"/>
      <c r="G64" s="69"/>
      <c r="H64" s="69"/>
      <c r="I64" s="69"/>
      <c r="J64" s="69"/>
      <c r="K64" s="69"/>
    </row>
    <row r="65" spans="1:11" x14ac:dyDescent="0.25">
      <c r="A65" s="136"/>
      <c r="B65" s="69"/>
      <c r="C65" s="105"/>
      <c r="D65" s="166">
        <v>0</v>
      </c>
      <c r="E65" s="69"/>
      <c r="F65" s="69"/>
      <c r="G65" s="69"/>
      <c r="H65" s="69"/>
      <c r="I65" s="69"/>
      <c r="J65" s="69"/>
      <c r="K65" s="69"/>
    </row>
    <row r="66" spans="1:11" x14ac:dyDescent="0.25">
      <c r="A66" s="136"/>
      <c r="B66" s="69"/>
      <c r="C66" s="105"/>
      <c r="D66" s="166">
        <v>0</v>
      </c>
      <c r="E66" s="69"/>
      <c r="F66" s="69"/>
      <c r="G66" s="69"/>
      <c r="H66" s="69"/>
      <c r="I66" s="69"/>
      <c r="J66" s="69"/>
      <c r="K66" s="69"/>
    </row>
    <row r="67" ht="13.8" customHeight="1" spans="1:11" x14ac:dyDescent="0.25">
      <c r="A67" s="174" t="s">
        <v>6</v>
      </c>
      <c r="B67" s="69"/>
      <c r="C67" s="105"/>
      <c r="D67" s="166">
        <v>0</v>
      </c>
      <c r="E67" s="69"/>
      <c r="F67" s="69"/>
      <c r="G67" s="69"/>
      <c r="H67" s="69"/>
      <c r="I67" s="69"/>
      <c r="J67" s="69"/>
      <c r="K67" s="69"/>
    </row>
    <row r="68" spans="1:11" x14ac:dyDescent="0.25">
      <c r="A68" s="136" t="s">
        <v>351</v>
      </c>
      <c r="B68" s="69"/>
      <c r="C68" s="129"/>
      <c r="D68" s="166">
        <v>-37407.58829004885</v>
      </c>
      <c r="E68" s="69"/>
      <c r="F68" s="69"/>
      <c r="G68" s="69"/>
      <c r="H68" s="69"/>
      <c r="I68" s="69"/>
      <c r="J68" s="69"/>
      <c r="K68" s="69"/>
    </row>
    <row r="69" spans="1:11" x14ac:dyDescent="0.25">
      <c r="A69" s="136" t="s">
        <v>356</v>
      </c>
      <c r="B69" s="69"/>
      <c r="C69" s="129"/>
      <c r="D69" s="166">
        <v>-1.1641532182693482e-12</v>
      </c>
      <c r="E69" s="69"/>
      <c r="F69" s="129"/>
      <c r="G69" s="69"/>
      <c r="H69" s="69"/>
      <c r="I69" s="69"/>
      <c r="J69" s="69"/>
      <c r="K69" s="69"/>
    </row>
    <row r="70" spans="1:11" x14ac:dyDescent="0.25">
      <c r="A70" s="136" t="s">
        <v>354</v>
      </c>
      <c r="B70" s="69"/>
      <c r="C70" s="129"/>
      <c r="D70" s="166">
        <v>-25781.52</v>
      </c>
      <c r="E70" s="69"/>
      <c r="F70" s="129"/>
      <c r="G70" s="69"/>
      <c r="H70" s="69"/>
      <c r="I70" s="69"/>
      <c r="J70" s="69"/>
      <c r="K70" s="69"/>
    </row>
    <row r="71" spans="1:11" x14ac:dyDescent="0.25">
      <c r="A71" s="136" t="s">
        <v>352</v>
      </c>
      <c r="B71" s="69"/>
      <c r="C71" s="105"/>
      <c r="D71" s="166">
        <v>-1208275.2</v>
      </c>
      <c r="E71" s="69"/>
      <c r="F71" s="69"/>
      <c r="G71" s="69"/>
      <c r="H71" s="69"/>
      <c r="I71" s="69"/>
      <c r="J71" s="69"/>
      <c r="K71" s="69"/>
    </row>
    <row r="72" spans="1:11" x14ac:dyDescent="0.25">
      <c r="A72" s="147" t="s">
        <v>353</v>
      </c>
      <c r="B72" s="69"/>
      <c r="C72" s="105"/>
      <c r="D72" s="166">
        <v>-519.11</v>
      </c>
      <c r="E72" s="69"/>
      <c r="F72" s="69"/>
      <c r="G72" s="69"/>
      <c r="H72" s="69"/>
      <c r="I72" s="69"/>
      <c r="J72" s="69"/>
      <c r="K72" s="69"/>
    </row>
    <row r="73" spans="1:11" x14ac:dyDescent="0.25">
      <c r="A73" s="136" t="s">
        <v>360</v>
      </c>
      <c r="B73" s="69"/>
      <c r="C73" s="105"/>
      <c r="D73" s="166">
        <v>-136085.37</v>
      </c>
      <c r="E73" s="69"/>
      <c r="F73" s="69"/>
      <c r="G73" s="69"/>
      <c r="H73" s="69"/>
      <c r="I73" s="69"/>
      <c r="J73" s="69"/>
      <c r="K73" s="69"/>
    </row>
    <row r="74" spans="1:11" x14ac:dyDescent="0.25">
      <c r="A74" s="136" t="s">
        <v>362</v>
      </c>
      <c r="B74" s="69"/>
      <c r="C74" s="105"/>
      <c r="D74" s="166">
        <v>-11041.19</v>
      </c>
      <c r="E74" s="69"/>
      <c r="F74" s="69"/>
      <c r="G74" s="69"/>
      <c r="H74" s="69"/>
      <c r="I74" s="69"/>
      <c r="J74" s="69"/>
      <c r="K74" s="69"/>
    </row>
    <row r="75" spans="1:11" x14ac:dyDescent="0.25">
      <c r="A75" s="136" t="s">
        <v>370</v>
      </c>
      <c r="B75" s="69"/>
      <c r="C75" s="105"/>
      <c r="D75" s="166">
        <v>-0.9</v>
      </c>
      <c r="E75" s="69"/>
      <c r="F75" s="69"/>
      <c r="G75" s="69"/>
      <c r="H75" s="69"/>
      <c r="I75" s="69"/>
      <c r="J75" s="69"/>
      <c r="K75" s="69"/>
    </row>
    <row r="76" spans="1:11" x14ac:dyDescent="0.25">
      <c r="A76" s="136" t="s">
        <v>368</v>
      </c>
      <c r="B76" s="69"/>
      <c r="C76" s="105"/>
      <c r="D76" s="166">
        <v>-13.27</v>
      </c>
      <c r="E76" s="69"/>
      <c r="F76" s="69"/>
      <c r="G76" s="69"/>
      <c r="H76" s="69"/>
      <c r="I76" s="69"/>
      <c r="J76" s="69"/>
      <c r="K76" s="69"/>
    </row>
    <row r="77" spans="1:11" x14ac:dyDescent="0.25">
      <c r="A77" s="136" t="s">
        <v>369</v>
      </c>
      <c r="B77" s="69"/>
      <c r="C77" s="129"/>
      <c r="D77" s="166">
        <v>0</v>
      </c>
      <c r="E77" s="69"/>
      <c r="F77" s="69"/>
      <c r="G77" s="69"/>
      <c r="H77" s="69"/>
      <c r="I77" s="69"/>
      <c r="J77" s="69"/>
      <c r="K77" s="69"/>
    </row>
    <row r="78" spans="1:11" x14ac:dyDescent="0.25">
      <c r="A78" s="147" t="s">
        <v>513</v>
      </c>
      <c r="B78" s="69"/>
      <c r="C78" s="129"/>
      <c r="D78" s="166">
        <v>0</v>
      </c>
      <c r="E78" s="69"/>
      <c r="F78" s="69"/>
      <c r="G78" s="69"/>
      <c r="H78" s="69"/>
      <c r="I78" s="69"/>
      <c r="J78" s="69"/>
      <c r="K78" s="69"/>
    </row>
    <row r="79" spans="1:11" x14ac:dyDescent="0.25">
      <c r="A79" s="147" t="s">
        <v>371</v>
      </c>
      <c r="B79" s="69"/>
      <c r="C79" s="129"/>
      <c r="D79" s="166">
        <v>-30.970000000000002</v>
      </c>
      <c r="E79" s="69"/>
      <c r="F79" s="69"/>
      <c r="G79" s="69"/>
      <c r="H79" s="69"/>
      <c r="I79" s="69"/>
      <c r="J79" s="69"/>
      <c r="K79" s="69"/>
    </row>
    <row r="80" spans="1:11" x14ac:dyDescent="0.25">
      <c r="A80" s="147"/>
      <c r="B80" s="69"/>
      <c r="C80" s="129"/>
      <c r="D80" s="166">
        <v>0</v>
      </c>
      <c r="E80" s="69"/>
      <c r="F80" s="69"/>
      <c r="G80" s="69"/>
      <c r="H80" s="69"/>
      <c r="I80" s="69"/>
      <c r="J80" s="69"/>
      <c r="K80" s="69"/>
    </row>
    <row r="81" spans="1:11" x14ac:dyDescent="0.25">
      <c r="A81" s="147"/>
      <c r="B81" s="69"/>
      <c r="C81" s="129"/>
      <c r="D81" s="166">
        <v>0</v>
      </c>
      <c r="E81" s="69"/>
      <c r="F81" s="69"/>
      <c r="G81" s="69"/>
      <c r="H81" s="69"/>
      <c r="I81" s="69"/>
      <c r="J81" s="69"/>
      <c r="K81" s="69"/>
    </row>
    <row r="82" spans="1:11" x14ac:dyDescent="0.25">
      <c r="A82" s="147"/>
      <c r="B82" s="69"/>
      <c r="C82" s="129"/>
      <c r="D82" s="166">
        <v>0</v>
      </c>
      <c r="E82" s="69"/>
      <c r="F82" s="69"/>
      <c r="G82" s="69"/>
      <c r="H82" s="69"/>
      <c r="I82" s="69"/>
      <c r="J82" s="69"/>
      <c r="K82" s="69"/>
    </row>
    <row r="83" spans="1:11" x14ac:dyDescent="0.25">
      <c r="A83" s="147"/>
      <c r="B83" s="69"/>
      <c r="C83" s="129"/>
      <c r="D83" s="166">
        <v>0</v>
      </c>
      <c r="E83" s="69"/>
      <c r="F83" s="69"/>
      <c r="G83" s="69"/>
      <c r="H83" s="69"/>
      <c r="I83" s="69"/>
      <c r="J83" s="69"/>
      <c r="K83" s="69"/>
    </row>
    <row r="84" spans="1:11" x14ac:dyDescent="0.25">
      <c r="A84" s="147"/>
      <c r="B84" s="69"/>
      <c r="C84" s="129"/>
      <c r="D84" s="166">
        <v>0</v>
      </c>
      <c r="E84" s="69"/>
      <c r="F84" s="69"/>
      <c r="G84" s="69"/>
      <c r="H84" s="69"/>
      <c r="I84" s="69"/>
      <c r="J84" s="69"/>
      <c r="K84" s="69"/>
    </row>
    <row r="85" spans="1:11" x14ac:dyDescent="0.25">
      <c r="A85" s="147"/>
      <c r="B85" s="69"/>
      <c r="C85" s="129"/>
      <c r="D85" s="166">
        <v>0</v>
      </c>
      <c r="E85" s="69"/>
      <c r="F85" s="69"/>
      <c r="G85" s="69"/>
      <c r="H85" s="69"/>
      <c r="I85" s="69"/>
      <c r="J85" s="69"/>
      <c r="K85" s="69"/>
    </row>
    <row r="86" spans="1:11" x14ac:dyDescent="0.25">
      <c r="A86" s="147"/>
      <c r="B86" s="69"/>
      <c r="C86" s="129"/>
      <c r="D86" s="166">
        <v>0</v>
      </c>
      <c r="E86" s="69"/>
      <c r="F86" s="69"/>
      <c r="G86" s="69"/>
      <c r="H86" s="69"/>
      <c r="I86" s="69"/>
      <c r="J86" s="69"/>
      <c r="K86" s="69"/>
    </row>
    <row r="87" ht="13.8" customHeight="1" spans="1:11" x14ac:dyDescent="0.25">
      <c r="A87" s="174" t="s">
        <v>514</v>
      </c>
      <c r="B87" s="69"/>
      <c r="C87" s="105"/>
      <c r="D87" s="166">
        <v>0</v>
      </c>
      <c r="E87" s="69"/>
      <c r="F87" s="69"/>
      <c r="G87" s="69"/>
      <c r="H87" s="69"/>
      <c r="I87" s="69"/>
      <c r="J87" s="69"/>
      <c r="K87" s="69"/>
    </row>
    <row r="88" spans="1:11" x14ac:dyDescent="0.25">
      <c r="A88" s="136" t="s">
        <v>515</v>
      </c>
      <c r="B88" s="69"/>
      <c r="C88" s="129"/>
      <c r="D88" s="166">
        <v>-51895262.9</v>
      </c>
      <c r="E88" s="69"/>
      <c r="F88" s="69"/>
      <c r="G88" s="69"/>
      <c r="H88" s="69"/>
      <c r="I88" s="69"/>
      <c r="J88" s="69"/>
      <c r="K88" s="69"/>
    </row>
    <row r="89" spans="1:11" x14ac:dyDescent="0.25">
      <c r="A89" s="136" t="s">
        <v>375</v>
      </c>
      <c r="B89" s="69"/>
      <c r="C89" s="129"/>
      <c r="D89" s="166">
        <v>48116541.373110086</v>
      </c>
      <c r="E89" s="69"/>
      <c r="F89" s="69"/>
      <c r="G89" s="69"/>
      <c r="H89" s="69"/>
      <c r="I89" s="69"/>
      <c r="J89" s="69"/>
      <c r="K89" s="69"/>
    </row>
    <row r="90" spans="1:11" x14ac:dyDescent="0.25">
      <c r="A90" s="136" t="s">
        <v>516</v>
      </c>
      <c r="B90" s="69"/>
      <c r="C90" s="129"/>
      <c r="D90" s="166">
        <v>0</v>
      </c>
      <c r="E90" s="69"/>
      <c r="F90" s="69"/>
      <c r="G90" s="69"/>
      <c r="H90" s="69"/>
      <c r="I90" s="69"/>
      <c r="J90" s="69"/>
      <c r="K90" s="69"/>
    </row>
    <row r="91" spans="1:11" x14ac:dyDescent="0.25">
      <c r="A91" s="136" t="s">
        <v>73</v>
      </c>
      <c r="B91" s="69"/>
      <c r="C91" s="129"/>
      <c r="D91" s="166">
        <v>0</v>
      </c>
      <c r="E91" s="69"/>
      <c r="F91" s="69"/>
      <c r="G91" s="69"/>
      <c r="H91" s="69"/>
      <c r="I91" s="69"/>
      <c r="J91" s="69"/>
      <c r="K91" s="69"/>
    </row>
    <row r="92" ht="13.8" customHeight="1" spans="1:11" x14ac:dyDescent="0.25">
      <c r="A92" s="174" t="s">
        <v>517</v>
      </c>
      <c r="B92" s="69"/>
      <c r="C92" s="105"/>
      <c r="D92" s="166">
        <v>0</v>
      </c>
      <c r="E92" s="69"/>
      <c r="F92" s="69"/>
      <c r="G92" s="69"/>
      <c r="H92" s="69"/>
      <c r="I92" s="69"/>
      <c r="J92" s="69"/>
      <c r="K92" s="69"/>
    </row>
    <row r="93" hidden="1" spans="1:11" x14ac:dyDescent="0.25">
      <c r="A93" s="136" t="s">
        <v>518</v>
      </c>
      <c r="B93" s="136"/>
      <c r="C93" s="175"/>
      <c r="D93" s="166">
        <v>0</v>
      </c>
      <c r="E93" s="137"/>
      <c r="F93" s="137"/>
      <c r="G93" s="137"/>
      <c r="H93" s="137"/>
      <c r="I93" s="69"/>
      <c r="J93" s="69"/>
      <c r="K93" s="69"/>
    </row>
    <row r="94" hidden="1" spans="1:11" x14ac:dyDescent="0.25">
      <c r="A94" s="136" t="s">
        <v>519</v>
      </c>
      <c r="B94" s="65"/>
      <c r="C94" s="175"/>
      <c r="D94" s="166">
        <v>0</v>
      </c>
      <c r="E94" s="137"/>
      <c r="F94" s="137"/>
      <c r="G94" s="137"/>
      <c r="H94" s="137"/>
      <c r="I94" s="69"/>
      <c r="J94" s="69"/>
      <c r="K94" s="69"/>
    </row>
    <row r="95" hidden="1" spans="1:11" x14ac:dyDescent="0.25">
      <c r="A95" s="136" t="s">
        <v>379</v>
      </c>
      <c r="B95" s="155"/>
      <c r="C95" s="175"/>
      <c r="D95" s="166">
        <v>0</v>
      </c>
      <c r="E95" s="137"/>
      <c r="F95" s="137"/>
      <c r="G95" s="137"/>
      <c r="H95" s="137"/>
      <c r="I95" s="69"/>
      <c r="J95" s="69"/>
      <c r="K95" s="69"/>
    </row>
    <row r="96" hidden="1" spans="1:11" x14ac:dyDescent="0.25">
      <c r="A96" s="136" t="s">
        <v>380</v>
      </c>
      <c r="B96" s="65"/>
      <c r="C96" s="175"/>
      <c r="D96" s="166">
        <v>0</v>
      </c>
      <c r="E96" s="137"/>
      <c r="F96" s="137"/>
      <c r="G96" s="137"/>
      <c r="H96" s="137"/>
      <c r="I96" s="69"/>
      <c r="J96" s="69"/>
      <c r="K96" s="69"/>
    </row>
    <row r="97" hidden="1" spans="1:11" x14ac:dyDescent="0.25">
      <c r="A97" s="136" t="s">
        <v>381</v>
      </c>
      <c r="B97" s="65"/>
      <c r="C97" s="175"/>
      <c r="D97" s="166">
        <v>0</v>
      </c>
      <c r="E97" s="137"/>
      <c r="F97" s="137"/>
      <c r="G97" s="137"/>
      <c r="H97" s="137"/>
      <c r="I97" s="69"/>
      <c r="J97" s="69"/>
      <c r="K97" s="69"/>
    </row>
    <row r="98" hidden="1" spans="1:11" x14ac:dyDescent="0.25">
      <c r="A98" s="136" t="s">
        <v>382</v>
      </c>
      <c r="B98" s="65"/>
      <c r="C98" s="175"/>
      <c r="D98" s="166">
        <v>0</v>
      </c>
      <c r="E98" s="137"/>
      <c r="F98" s="137"/>
      <c r="G98" s="137"/>
      <c r="H98" s="137"/>
      <c r="I98" s="69"/>
      <c r="J98" s="69"/>
      <c r="K98" s="69"/>
    </row>
    <row r="99" hidden="1" spans="1:11" x14ac:dyDescent="0.25">
      <c r="A99" s="136" t="s">
        <v>383</v>
      </c>
      <c r="B99" s="65"/>
      <c r="C99" s="175"/>
      <c r="D99" s="166">
        <v>0</v>
      </c>
      <c r="E99" s="137"/>
      <c r="F99" s="137"/>
      <c r="G99" s="137"/>
      <c r="H99" s="137"/>
      <c r="I99" s="69"/>
      <c r="J99" s="69"/>
      <c r="K99" s="69"/>
    </row>
    <row r="100" hidden="1" spans="1:11" x14ac:dyDescent="0.25">
      <c r="A100" s="136"/>
      <c r="B100" s="65"/>
      <c r="C100" s="175"/>
      <c r="D100" s="166">
        <v>0</v>
      </c>
      <c r="E100" s="136"/>
      <c r="F100" s="137"/>
      <c r="G100" s="137"/>
      <c r="H100" s="137"/>
      <c r="I100" s="69"/>
      <c r="J100" s="69"/>
      <c r="K100" s="69"/>
    </row>
    <row r="101" spans="1:11" x14ac:dyDescent="0.25">
      <c r="A101" s="136"/>
      <c r="B101" s="65"/>
      <c r="C101" s="175"/>
      <c r="D101" s="166">
        <v>0</v>
      </c>
      <c r="E101" s="136" t="s">
        <v>520</v>
      </c>
      <c r="F101" s="137"/>
      <c r="G101" s="137"/>
      <c r="H101" s="137"/>
      <c r="I101" s="69"/>
      <c r="J101" s="69"/>
      <c r="K101" s="69"/>
    </row>
    <row r="102" spans="1:11" x14ac:dyDescent="0.25">
      <c r="A102" s="136"/>
      <c r="B102" s="136"/>
      <c r="C102" s="175"/>
      <c r="D102" s="166">
        <v>0</v>
      </c>
      <c r="E102" s="136" t="s">
        <v>521</v>
      </c>
      <c r="F102" s="137"/>
      <c r="G102" s="137"/>
      <c r="H102" s="137"/>
      <c r="I102" s="69"/>
      <c r="J102" s="69"/>
      <c r="K102" s="69"/>
    </row>
    <row r="103" spans="1:11" x14ac:dyDescent="0.25">
      <c r="A103" s="136"/>
      <c r="B103" s="65"/>
      <c r="C103" s="175"/>
      <c r="D103" s="166">
        <v>0</v>
      </c>
      <c r="E103" s="136" t="s">
        <v>522</v>
      </c>
      <c r="F103" s="137"/>
      <c r="G103" s="137"/>
      <c r="H103" s="137"/>
      <c r="I103" s="69"/>
      <c r="J103" s="69"/>
      <c r="K103" s="69"/>
    </row>
    <row r="104" spans="1:11" x14ac:dyDescent="0.25">
      <c r="A104" s="136" t="s">
        <v>384</v>
      </c>
      <c r="B104" s="65"/>
      <c r="C104" s="175"/>
      <c r="D104" s="166">
        <v>0</v>
      </c>
      <c r="E104" s="136" t="s">
        <v>523</v>
      </c>
      <c r="F104" s="137"/>
      <c r="G104" s="137"/>
      <c r="H104" s="137"/>
      <c r="I104" s="69"/>
      <c r="J104" s="69"/>
      <c r="K104" s="69"/>
    </row>
    <row r="105" spans="1:11" x14ac:dyDescent="0.25">
      <c r="A105" s="136" t="s">
        <v>385</v>
      </c>
      <c r="B105" s="136"/>
      <c r="C105" s="137"/>
      <c r="D105" s="166">
        <v>126680.35999999999</v>
      </c>
      <c r="E105" s="136"/>
      <c r="F105" s="137"/>
      <c r="G105" s="137"/>
      <c r="H105" s="137"/>
      <c r="I105" s="69"/>
      <c r="J105" s="69"/>
      <c r="K105" s="69"/>
    </row>
    <row r="106" spans="1:11" x14ac:dyDescent="0.25">
      <c r="A106" s="136"/>
      <c r="B106" s="65"/>
      <c r="C106" s="175"/>
      <c r="D106" s="166">
        <v>0</v>
      </c>
      <c r="E106" s="136" t="s">
        <v>524</v>
      </c>
      <c r="F106" s="137"/>
      <c r="G106" s="137"/>
      <c r="H106" s="137"/>
      <c r="I106" s="69"/>
      <c r="J106" s="69"/>
      <c r="K106" s="69"/>
    </row>
    <row r="107" spans="1:11" x14ac:dyDescent="0.25">
      <c r="A107" s="136"/>
      <c r="B107" s="65"/>
      <c r="C107" s="175"/>
      <c r="D107" s="166">
        <v>0</v>
      </c>
      <c r="E107" s="136" t="s">
        <v>525</v>
      </c>
      <c r="F107" s="137"/>
      <c r="G107" s="137"/>
      <c r="H107" s="137"/>
      <c r="I107" s="69"/>
      <c r="J107" s="69"/>
      <c r="K107" s="69"/>
    </row>
    <row r="108" spans="1:11" x14ac:dyDescent="0.25">
      <c r="A108" s="136"/>
      <c r="B108" s="136"/>
      <c r="C108" s="175"/>
      <c r="D108" s="166">
        <v>0</v>
      </c>
      <c r="E108" s="136" t="s">
        <v>526</v>
      </c>
      <c r="F108" s="137"/>
      <c r="G108" s="137"/>
      <c r="H108" s="137"/>
      <c r="I108" s="69"/>
      <c r="J108" s="69"/>
      <c r="K108" s="69"/>
    </row>
    <row r="109" spans="1:11" x14ac:dyDescent="0.25">
      <c r="A109" s="136"/>
      <c r="B109" s="65"/>
      <c r="C109" s="175"/>
      <c r="D109" s="166">
        <v>0</v>
      </c>
      <c r="E109" s="136" t="s">
        <v>527</v>
      </c>
      <c r="F109" s="137"/>
      <c r="G109" s="137"/>
      <c r="H109" s="137"/>
      <c r="I109" s="69"/>
      <c r="J109" s="69"/>
      <c r="K109" s="69"/>
    </row>
    <row r="110" spans="1:11" x14ac:dyDescent="0.25">
      <c r="A110" s="136"/>
      <c r="B110" s="136"/>
      <c r="C110" s="175"/>
      <c r="D110" s="166">
        <v>0</v>
      </c>
      <c r="E110" s="136" t="s">
        <v>528</v>
      </c>
      <c r="F110" s="137"/>
      <c r="G110" s="137"/>
      <c r="H110" s="137"/>
      <c r="I110" s="69"/>
      <c r="J110" s="69"/>
      <c r="K110" s="69"/>
    </row>
    <row r="111" spans="1:11" x14ac:dyDescent="0.25">
      <c r="A111" s="136"/>
      <c r="B111" s="65"/>
      <c r="C111" s="175"/>
      <c r="D111" s="166">
        <v>0</v>
      </c>
      <c r="E111" s="136" t="s">
        <v>529</v>
      </c>
      <c r="F111" s="137"/>
      <c r="G111" s="137"/>
      <c r="H111" s="137"/>
      <c r="I111" s="69"/>
      <c r="J111" s="69"/>
      <c r="K111" s="69"/>
    </row>
    <row r="112" spans="1:11" x14ac:dyDescent="0.25">
      <c r="A112" s="136"/>
      <c r="B112" s="65"/>
      <c r="C112" s="175"/>
      <c r="D112" s="166">
        <v>0</v>
      </c>
      <c r="E112" s="136" t="s">
        <v>530</v>
      </c>
      <c r="F112" s="137"/>
      <c r="G112" s="137"/>
      <c r="H112" s="137"/>
      <c r="I112" s="69"/>
      <c r="J112" s="69"/>
      <c r="K112" s="69"/>
    </row>
    <row r="113" spans="1:11" x14ac:dyDescent="0.25">
      <c r="A113" s="136"/>
      <c r="B113" s="65"/>
      <c r="C113" s="175"/>
      <c r="D113" s="166">
        <v>0</v>
      </c>
      <c r="E113" s="136" t="s">
        <v>531</v>
      </c>
      <c r="F113" s="137"/>
      <c r="G113" s="137"/>
      <c r="H113" s="137"/>
      <c r="I113" s="69"/>
      <c r="J113" s="69"/>
      <c r="K113" s="69"/>
    </row>
    <row r="114" spans="1:11" x14ac:dyDescent="0.25">
      <c r="A114" s="136"/>
      <c r="B114" s="65"/>
      <c r="C114" s="175"/>
      <c r="D114" s="166">
        <v>0</v>
      </c>
      <c r="E114" s="136" t="s">
        <v>532</v>
      </c>
      <c r="F114" s="137"/>
      <c r="G114" s="137"/>
      <c r="H114" s="137"/>
      <c r="I114" s="69"/>
      <c r="J114" s="69"/>
      <c r="K114" s="69"/>
    </row>
    <row r="115" spans="1:11" x14ac:dyDescent="0.25">
      <c r="A115" s="136" t="s">
        <v>386</v>
      </c>
      <c r="B115" s="155"/>
      <c r="C115" s="175"/>
      <c r="D115" s="166">
        <v>0</v>
      </c>
      <c r="E115" s="136"/>
      <c r="F115" s="137"/>
      <c r="G115" s="137"/>
      <c r="H115" s="137"/>
      <c r="I115" s="69"/>
      <c r="J115" s="69"/>
      <c r="K115" s="69"/>
    </row>
    <row r="116" spans="1:11" x14ac:dyDescent="0.25">
      <c r="A116" s="136" t="s">
        <v>387</v>
      </c>
      <c r="B116" s="65"/>
      <c r="C116" s="175"/>
      <c r="D116" s="166">
        <v>108177.07</v>
      </c>
      <c r="E116" s="136" t="s">
        <v>533</v>
      </c>
      <c r="F116" s="137"/>
      <c r="G116" s="137"/>
      <c r="H116" s="137"/>
      <c r="I116" s="69"/>
      <c r="J116" s="69"/>
      <c r="K116" s="69"/>
    </row>
    <row r="117" spans="1:11" x14ac:dyDescent="0.25">
      <c r="A117" s="136" t="s">
        <v>388</v>
      </c>
      <c r="B117" s="65"/>
      <c r="C117" s="175"/>
      <c r="D117" s="166">
        <v>10501.01</v>
      </c>
      <c r="E117" s="136" t="s">
        <v>534</v>
      </c>
      <c r="F117" s="137"/>
      <c r="G117" s="137"/>
      <c r="H117" s="137"/>
      <c r="I117" s="69"/>
      <c r="J117" s="69"/>
      <c r="K117" s="69"/>
    </row>
    <row r="118" spans="1:11" x14ac:dyDescent="0.25">
      <c r="A118" s="136" t="s">
        <v>389</v>
      </c>
      <c r="B118" s="136"/>
      <c r="C118" s="137"/>
      <c r="D118" s="166">
        <v>1067.39</v>
      </c>
      <c r="E118" s="136"/>
      <c r="F118" s="137"/>
      <c r="G118" s="137"/>
      <c r="H118" s="137"/>
      <c r="I118" s="69"/>
      <c r="J118" s="69"/>
      <c r="K118" s="69"/>
    </row>
    <row r="119" spans="1:11" x14ac:dyDescent="0.25">
      <c r="A119" s="136"/>
      <c r="B119" s="65"/>
      <c r="C119" s="175"/>
      <c r="D119" s="166">
        <v>0</v>
      </c>
      <c r="E119" s="136" t="s">
        <v>535</v>
      </c>
      <c r="F119" s="137"/>
      <c r="G119" s="137"/>
      <c r="H119" s="137"/>
      <c r="I119" s="69"/>
      <c r="J119" s="69"/>
      <c r="K119" s="69"/>
    </row>
    <row r="120" spans="1:11" x14ac:dyDescent="0.25">
      <c r="A120" s="136"/>
      <c r="B120" s="65"/>
      <c r="C120" s="175"/>
      <c r="D120" s="166">
        <v>0</v>
      </c>
      <c r="E120" s="136" t="s">
        <v>536</v>
      </c>
      <c r="F120" s="137"/>
      <c r="G120" s="137"/>
      <c r="H120" s="137"/>
      <c r="I120" s="69"/>
      <c r="J120" s="69"/>
      <c r="K120" s="69"/>
    </row>
    <row r="121" spans="1:11" x14ac:dyDescent="0.25">
      <c r="A121" s="136"/>
      <c r="B121" s="65"/>
      <c r="C121" s="175"/>
      <c r="D121" s="166">
        <v>0</v>
      </c>
      <c r="E121" s="136" t="s">
        <v>537</v>
      </c>
      <c r="F121" s="137"/>
      <c r="G121" s="137"/>
      <c r="H121" s="137"/>
      <c r="I121" s="69"/>
      <c r="J121" s="69"/>
      <c r="K121" s="69"/>
    </row>
    <row r="122" spans="1:11" x14ac:dyDescent="0.25">
      <c r="A122" s="136"/>
      <c r="B122" s="65"/>
      <c r="C122" s="175"/>
      <c r="D122" s="166">
        <v>0</v>
      </c>
      <c r="E122" s="136" t="s">
        <v>538</v>
      </c>
      <c r="F122" s="137"/>
      <c r="G122" s="137"/>
      <c r="H122" s="137"/>
      <c r="I122" s="69"/>
      <c r="J122" s="69"/>
      <c r="K122" s="69"/>
    </row>
    <row r="123" spans="1:11" x14ac:dyDescent="0.25">
      <c r="A123" s="136" t="s">
        <v>390</v>
      </c>
      <c r="B123" s="65"/>
      <c r="C123" s="175"/>
      <c r="D123" s="166">
        <v>0</v>
      </c>
      <c r="E123" s="136"/>
      <c r="F123" s="137"/>
      <c r="G123" s="137"/>
      <c r="H123" s="137"/>
      <c r="I123" s="69"/>
      <c r="J123" s="69"/>
      <c r="K123" s="69"/>
    </row>
    <row r="124" spans="1:11" x14ac:dyDescent="0.25">
      <c r="A124" s="136" t="s">
        <v>391</v>
      </c>
      <c r="B124" s="136"/>
      <c r="C124" s="175"/>
      <c r="D124" s="166">
        <v>21.03</v>
      </c>
      <c r="E124" s="136" t="s">
        <v>539</v>
      </c>
      <c r="F124" s="137"/>
      <c r="G124" s="137"/>
      <c r="H124" s="137"/>
      <c r="I124" s="69"/>
      <c r="J124" s="69"/>
      <c r="K124" s="69"/>
    </row>
    <row r="125" spans="1:11" x14ac:dyDescent="0.25">
      <c r="A125" s="136" t="s">
        <v>392</v>
      </c>
      <c r="B125" s="155"/>
      <c r="C125" s="175"/>
      <c r="D125" s="166">
        <v>3730.1200000000003</v>
      </c>
      <c r="E125" s="136"/>
      <c r="F125" s="137"/>
      <c r="G125" s="137"/>
      <c r="H125" s="137"/>
      <c r="I125" s="69"/>
      <c r="J125" s="69"/>
      <c r="K125" s="69"/>
    </row>
    <row r="126" spans="1:11" x14ac:dyDescent="0.25">
      <c r="A126" s="136"/>
      <c r="B126" s="65"/>
      <c r="C126" s="175"/>
      <c r="D126" s="166">
        <v>0</v>
      </c>
      <c r="E126" s="136" t="s">
        <v>540</v>
      </c>
      <c r="F126" s="137"/>
      <c r="G126" s="137"/>
      <c r="H126" s="137"/>
      <c r="I126" s="69"/>
      <c r="J126" s="69"/>
      <c r="K126" s="69"/>
    </row>
    <row r="127" spans="1:11" x14ac:dyDescent="0.25">
      <c r="A127" s="136"/>
      <c r="B127" s="65"/>
      <c r="C127" s="175"/>
      <c r="D127" s="166">
        <v>0</v>
      </c>
      <c r="E127" s="136" t="s">
        <v>541</v>
      </c>
      <c r="F127" s="137"/>
      <c r="G127" s="137"/>
      <c r="H127" s="137"/>
      <c r="I127" s="69"/>
      <c r="J127" s="69"/>
      <c r="K127" s="69"/>
    </row>
    <row r="128" spans="1:11" x14ac:dyDescent="0.25">
      <c r="A128" s="136"/>
      <c r="B128" s="136"/>
      <c r="C128" s="175"/>
      <c r="D128" s="166">
        <v>0</v>
      </c>
      <c r="E128" s="136" t="s">
        <v>542</v>
      </c>
      <c r="F128" s="137"/>
      <c r="G128" s="137"/>
      <c r="H128" s="137"/>
      <c r="I128" s="69"/>
      <c r="J128" s="69"/>
      <c r="K128" s="69"/>
    </row>
    <row r="129" spans="1:11" x14ac:dyDescent="0.25">
      <c r="A129" s="136"/>
      <c r="B129" s="136"/>
      <c r="C129" s="175"/>
      <c r="D129" s="166">
        <v>0</v>
      </c>
      <c r="E129" s="136" t="s">
        <v>543</v>
      </c>
      <c r="F129" s="137"/>
      <c r="G129" s="137"/>
      <c r="H129" s="137"/>
      <c r="I129" s="69"/>
      <c r="J129" s="69"/>
      <c r="K129" s="69"/>
    </row>
    <row r="130" spans="1:11" x14ac:dyDescent="0.25">
      <c r="A130" s="136"/>
      <c r="B130" s="136"/>
      <c r="C130" s="175"/>
      <c r="D130" s="166">
        <v>0</v>
      </c>
      <c r="E130" s="136" t="s">
        <v>544</v>
      </c>
      <c r="F130" s="137"/>
      <c r="G130" s="137"/>
      <c r="H130" s="137"/>
      <c r="I130" s="69"/>
      <c r="J130" s="69"/>
      <c r="K130" s="69"/>
    </row>
    <row r="131" spans="1:11" x14ac:dyDescent="0.25">
      <c r="A131" s="136" t="s">
        <v>395</v>
      </c>
      <c r="B131" s="65"/>
      <c r="C131" s="175"/>
      <c r="D131" s="166">
        <v>7895.89</v>
      </c>
      <c r="E131" s="136"/>
      <c r="F131" s="137"/>
      <c r="G131" s="137"/>
      <c r="H131" s="137"/>
      <c r="I131" s="69"/>
      <c r="J131" s="69"/>
      <c r="K131" s="69"/>
    </row>
    <row r="132" spans="1:11" x14ac:dyDescent="0.25">
      <c r="A132" s="136"/>
      <c r="B132" s="155"/>
      <c r="C132" s="175"/>
      <c r="D132" s="166">
        <v>0</v>
      </c>
      <c r="E132" s="136" t="s">
        <v>545</v>
      </c>
      <c r="F132" s="137"/>
      <c r="G132" s="137"/>
      <c r="H132" s="137"/>
      <c r="I132" s="69"/>
      <c r="J132" s="69"/>
      <c r="K132" s="69"/>
    </row>
    <row r="133" spans="1:11" x14ac:dyDescent="0.25">
      <c r="A133" s="136"/>
      <c r="B133" s="136"/>
      <c r="C133" s="175"/>
      <c r="D133" s="166">
        <v>0</v>
      </c>
      <c r="E133" s="136" t="s">
        <v>546</v>
      </c>
      <c r="F133" s="137"/>
      <c r="G133" s="137"/>
      <c r="H133" s="137"/>
      <c r="I133" s="69"/>
      <c r="J133" s="69"/>
      <c r="K133" s="69"/>
    </row>
    <row r="134" spans="1:11" x14ac:dyDescent="0.25">
      <c r="A134" s="136"/>
      <c r="B134" s="65"/>
      <c r="C134" s="175"/>
      <c r="D134" s="166">
        <v>0</v>
      </c>
      <c r="E134" s="136" t="s">
        <v>547</v>
      </c>
      <c r="F134" s="137"/>
      <c r="G134" s="137"/>
      <c r="H134" s="137"/>
      <c r="I134" s="69"/>
      <c r="J134" s="69"/>
      <c r="K134" s="69"/>
    </row>
    <row r="135" spans="1:11" x14ac:dyDescent="0.25">
      <c r="A135" s="136"/>
      <c r="B135" s="65"/>
      <c r="C135" s="175"/>
      <c r="D135" s="166">
        <v>0</v>
      </c>
      <c r="E135" s="136" t="s">
        <v>548</v>
      </c>
      <c r="F135" s="137"/>
      <c r="G135" s="137"/>
      <c r="H135" s="137"/>
      <c r="I135" s="69"/>
      <c r="J135" s="69"/>
      <c r="K135" s="69"/>
    </row>
    <row r="136" spans="1:11" x14ac:dyDescent="0.25">
      <c r="A136" s="136"/>
      <c r="B136" s="65"/>
      <c r="C136" s="175"/>
      <c r="D136" s="166">
        <v>0</v>
      </c>
      <c r="E136" s="136" t="s">
        <v>549</v>
      </c>
      <c r="F136" s="137"/>
      <c r="G136" s="137"/>
      <c r="H136" s="137"/>
      <c r="I136" s="69"/>
      <c r="J136" s="69"/>
      <c r="K136" s="69"/>
    </row>
    <row r="137" spans="1:11" x14ac:dyDescent="0.25">
      <c r="A137" s="136"/>
      <c r="B137" s="65"/>
      <c r="C137" s="175"/>
      <c r="D137" s="166">
        <v>0</v>
      </c>
      <c r="E137" s="136" t="s">
        <v>550</v>
      </c>
      <c r="F137" s="137"/>
      <c r="G137" s="137"/>
      <c r="H137" s="137"/>
      <c r="I137" s="69"/>
      <c r="J137" s="69"/>
      <c r="K137" s="69"/>
    </row>
    <row r="138" spans="1:11" x14ac:dyDescent="0.25">
      <c r="A138" s="136" t="s">
        <v>396</v>
      </c>
      <c r="B138" s="136"/>
      <c r="C138" s="175"/>
      <c r="D138" s="166">
        <v>0</v>
      </c>
      <c r="E138" s="136"/>
      <c r="F138" s="137"/>
      <c r="G138" s="137"/>
      <c r="H138" s="137"/>
      <c r="I138" s="69"/>
      <c r="J138" s="69"/>
      <c r="K138" s="69"/>
    </row>
    <row r="139" spans="1:11" x14ac:dyDescent="0.25">
      <c r="A139" s="136"/>
      <c r="B139" s="65"/>
      <c r="C139" s="175"/>
      <c r="D139" s="166">
        <v>0</v>
      </c>
      <c r="E139" s="136" t="s">
        <v>551</v>
      </c>
      <c r="F139" s="137"/>
      <c r="G139" s="137"/>
      <c r="H139" s="137"/>
      <c r="I139" s="69"/>
      <c r="J139" s="69"/>
      <c r="K139" s="69"/>
    </row>
    <row r="140" spans="1:11" x14ac:dyDescent="0.25">
      <c r="A140" s="136"/>
      <c r="B140" s="65"/>
      <c r="C140" s="175"/>
      <c r="D140" s="166">
        <v>0</v>
      </c>
      <c r="E140" s="136" t="s">
        <v>552</v>
      </c>
      <c r="F140" s="137"/>
      <c r="G140" s="137"/>
      <c r="H140" s="137"/>
      <c r="I140" s="69"/>
      <c r="J140" s="69"/>
      <c r="K140" s="69"/>
    </row>
    <row r="141" spans="1:11" x14ac:dyDescent="0.25">
      <c r="A141" s="136"/>
      <c r="B141" s="65"/>
      <c r="C141" s="175"/>
      <c r="D141" s="166">
        <v>0</v>
      </c>
      <c r="E141" s="136" t="s">
        <v>553</v>
      </c>
      <c r="F141" s="137"/>
      <c r="G141" s="137"/>
      <c r="H141" s="137"/>
      <c r="I141" s="69"/>
      <c r="J141" s="69"/>
      <c r="K141" s="69"/>
    </row>
    <row r="142" spans="1:11" x14ac:dyDescent="0.25">
      <c r="A142" s="136" t="s">
        <v>393</v>
      </c>
      <c r="B142" s="136"/>
      <c r="C142" s="175"/>
      <c r="D142" s="166">
        <v>0</v>
      </c>
      <c r="E142" s="136"/>
      <c r="F142" s="137"/>
      <c r="G142" s="137"/>
      <c r="H142" s="137"/>
      <c r="I142" s="69"/>
      <c r="J142" s="69"/>
      <c r="K142" s="69"/>
    </row>
    <row r="143" spans="1:11" x14ac:dyDescent="0.25">
      <c r="A143" s="136" t="s">
        <v>397</v>
      </c>
      <c r="B143" s="65"/>
      <c r="C143" s="175"/>
      <c r="D143" s="166">
        <v>0</v>
      </c>
      <c r="E143" s="136"/>
      <c r="F143" s="137"/>
      <c r="G143" s="137"/>
      <c r="H143" s="137"/>
      <c r="I143" s="69"/>
      <c r="J143" s="69"/>
      <c r="K143" s="69"/>
    </row>
    <row r="144" spans="1:11" x14ac:dyDescent="0.25">
      <c r="A144" s="136" t="s">
        <v>398</v>
      </c>
      <c r="B144" s="65"/>
      <c r="C144" s="175"/>
      <c r="D144" s="166">
        <v>0</v>
      </c>
      <c r="E144" s="136"/>
      <c r="F144" s="137"/>
      <c r="G144" s="137"/>
      <c r="H144" s="137"/>
      <c r="I144" s="69"/>
      <c r="J144" s="69"/>
      <c r="K144" s="69"/>
    </row>
    <row r="145" spans="1:11" x14ac:dyDescent="0.25">
      <c r="A145" s="136" t="s">
        <v>399</v>
      </c>
      <c r="B145" s="65"/>
      <c r="C145" s="175"/>
      <c r="D145" s="166">
        <v>16110.36</v>
      </c>
      <c r="E145" s="136" t="s">
        <v>554</v>
      </c>
      <c r="F145" s="137"/>
      <c r="G145" s="137"/>
      <c r="H145" s="137"/>
      <c r="I145" s="69"/>
      <c r="J145" s="69"/>
      <c r="K145" s="69"/>
    </row>
    <row r="146" spans="1:11" x14ac:dyDescent="0.25">
      <c r="A146" s="136" t="s">
        <v>400</v>
      </c>
      <c r="B146" s="155"/>
      <c r="C146" s="175"/>
      <c r="D146" s="166">
        <v>0</v>
      </c>
      <c r="E146" s="136" t="s">
        <v>555</v>
      </c>
      <c r="F146" s="137"/>
      <c r="G146" s="137"/>
      <c r="H146" s="137"/>
      <c r="I146" s="69"/>
      <c r="J146" s="69"/>
      <c r="K146" s="69"/>
    </row>
    <row r="147" spans="1:11" x14ac:dyDescent="0.25">
      <c r="A147" s="136" t="s">
        <v>401</v>
      </c>
      <c r="B147" s="65"/>
      <c r="C147" s="175"/>
      <c r="D147" s="166">
        <v>490.88</v>
      </c>
      <c r="E147" s="136"/>
      <c r="F147" s="137"/>
      <c r="G147" s="137"/>
      <c r="H147" s="137"/>
      <c r="I147" s="69"/>
      <c r="J147" s="69"/>
      <c r="K147" s="69"/>
    </row>
    <row r="148" spans="1:11" x14ac:dyDescent="0.25">
      <c r="A148" s="136"/>
      <c r="B148" s="65"/>
      <c r="C148" s="175"/>
      <c r="D148" s="166">
        <v>0</v>
      </c>
      <c r="E148" s="136" t="s">
        <v>556</v>
      </c>
      <c r="F148" s="137"/>
      <c r="G148" s="137"/>
      <c r="H148" s="137"/>
      <c r="I148" s="69"/>
      <c r="J148" s="69"/>
      <c r="K148" s="69"/>
    </row>
    <row r="149" spans="1:11" x14ac:dyDescent="0.25">
      <c r="A149" s="136"/>
      <c r="B149" s="65"/>
      <c r="C149" s="175"/>
      <c r="D149" s="166">
        <v>0</v>
      </c>
      <c r="E149" s="136" t="s">
        <v>557</v>
      </c>
      <c r="F149" s="137"/>
      <c r="G149" s="137"/>
      <c r="H149" s="137"/>
      <c r="I149" s="69"/>
      <c r="J149" s="69"/>
      <c r="K149" s="69"/>
    </row>
    <row r="150" spans="1:11" x14ac:dyDescent="0.25">
      <c r="A150" s="136"/>
      <c r="B150" s="65"/>
      <c r="C150" s="175"/>
      <c r="D150" s="166">
        <v>0</v>
      </c>
      <c r="E150" s="136" t="s">
        <v>558</v>
      </c>
      <c r="F150" s="137"/>
      <c r="G150" s="137"/>
      <c r="H150" s="137"/>
      <c r="I150" s="69"/>
      <c r="J150" s="69"/>
      <c r="K150" s="69"/>
    </row>
    <row r="151" spans="1:11" x14ac:dyDescent="0.25">
      <c r="A151" s="136"/>
      <c r="B151" s="136"/>
      <c r="C151" s="175"/>
      <c r="D151" s="166">
        <v>0</v>
      </c>
      <c r="E151" s="136" t="s">
        <v>559</v>
      </c>
      <c r="F151" s="137"/>
      <c r="G151" s="137"/>
      <c r="H151" s="137"/>
      <c r="I151" s="69"/>
      <c r="J151" s="69"/>
      <c r="K151" s="69"/>
    </row>
    <row r="152" spans="1:11" x14ac:dyDescent="0.25">
      <c r="A152" s="136" t="s">
        <v>402</v>
      </c>
      <c r="B152" s="65"/>
      <c r="C152" s="175"/>
      <c r="D152" s="166">
        <v>230.50000000000003</v>
      </c>
      <c r="E152" s="136"/>
      <c r="F152" s="137"/>
      <c r="G152" s="137"/>
      <c r="H152" s="137"/>
      <c r="I152" s="69"/>
      <c r="J152" s="69"/>
      <c r="K152" s="69"/>
    </row>
    <row r="153" spans="1:11" x14ac:dyDescent="0.25">
      <c r="A153" s="136"/>
      <c r="B153" s="65"/>
      <c r="C153" s="175"/>
      <c r="D153" s="166">
        <v>0</v>
      </c>
      <c r="E153" s="136" t="s">
        <v>560</v>
      </c>
      <c r="F153" s="137"/>
      <c r="G153" s="137"/>
      <c r="H153" s="137"/>
      <c r="I153" s="69"/>
      <c r="J153" s="69"/>
      <c r="K153" s="69"/>
    </row>
    <row r="154" spans="1:11" x14ac:dyDescent="0.25">
      <c r="A154" s="136"/>
      <c r="B154" s="155"/>
      <c r="C154" s="175"/>
      <c r="D154" s="166">
        <v>0</v>
      </c>
      <c r="E154" s="136" t="s">
        <v>561</v>
      </c>
      <c r="F154" s="137"/>
      <c r="G154" s="137"/>
      <c r="H154" s="137"/>
      <c r="I154" s="69"/>
      <c r="J154" s="69"/>
      <c r="K154" s="69"/>
    </row>
    <row r="155" spans="1:11" x14ac:dyDescent="0.25">
      <c r="A155" s="136"/>
      <c r="B155" s="155"/>
      <c r="C155" s="175"/>
      <c r="D155" s="166">
        <v>0</v>
      </c>
      <c r="E155" s="136" t="s">
        <v>562</v>
      </c>
      <c r="F155" s="137"/>
      <c r="G155" s="137"/>
      <c r="H155" s="137"/>
      <c r="I155" s="69"/>
      <c r="J155" s="69"/>
      <c r="K155" s="69"/>
    </row>
    <row r="156" spans="1:11" x14ac:dyDescent="0.25">
      <c r="A156" s="136" t="s">
        <v>403</v>
      </c>
      <c r="B156" s="136"/>
      <c r="C156" s="175"/>
      <c r="D156" s="166">
        <v>4168.89</v>
      </c>
      <c r="E156" s="136"/>
      <c r="F156" s="137"/>
      <c r="G156" s="137"/>
      <c r="H156" s="137"/>
      <c r="I156" s="69"/>
      <c r="J156" s="69"/>
      <c r="K156" s="69"/>
    </row>
    <row r="157" spans="1:11" x14ac:dyDescent="0.25">
      <c r="A157" s="136"/>
      <c r="B157" s="136"/>
      <c r="C157" s="175"/>
      <c r="D157" s="166">
        <v>0</v>
      </c>
      <c r="E157" s="136" t="s">
        <v>563</v>
      </c>
      <c r="F157" s="137"/>
      <c r="G157" s="137"/>
      <c r="H157" s="137"/>
      <c r="I157" s="69"/>
      <c r="J157" s="69"/>
      <c r="K157" s="69"/>
    </row>
    <row r="158" spans="1:11" x14ac:dyDescent="0.25">
      <c r="A158" s="136"/>
      <c r="B158" s="136"/>
      <c r="C158" s="175"/>
      <c r="D158" s="166">
        <v>0</v>
      </c>
      <c r="E158" s="136" t="s">
        <v>564</v>
      </c>
      <c r="F158" s="137"/>
      <c r="G158" s="137"/>
      <c r="H158" s="137"/>
      <c r="I158" s="69"/>
      <c r="J158" s="69"/>
      <c r="K158" s="69"/>
    </row>
    <row r="159" spans="1:11" x14ac:dyDescent="0.25">
      <c r="A159" s="136"/>
      <c r="B159" s="65"/>
      <c r="C159" s="175"/>
      <c r="D159" s="166">
        <v>0</v>
      </c>
      <c r="E159" s="136" t="s">
        <v>565</v>
      </c>
      <c r="F159" s="137"/>
      <c r="G159" s="137"/>
      <c r="H159" s="137"/>
      <c r="I159" s="69"/>
      <c r="J159" s="69"/>
      <c r="K159" s="69"/>
    </row>
    <row r="160" spans="1:11" x14ac:dyDescent="0.25">
      <c r="A160" s="136"/>
      <c r="B160" s="65"/>
      <c r="C160" s="175"/>
      <c r="D160" s="166">
        <v>0</v>
      </c>
      <c r="E160" s="136" t="s">
        <v>566</v>
      </c>
      <c r="F160" s="137"/>
      <c r="G160" s="137"/>
      <c r="H160" s="137"/>
      <c r="I160" s="69"/>
      <c r="J160" s="69"/>
      <c r="K160" s="69"/>
    </row>
    <row r="161" spans="1:11" x14ac:dyDescent="0.25">
      <c r="A161" s="136"/>
      <c r="B161" s="65"/>
      <c r="C161" s="175"/>
      <c r="D161" s="166">
        <v>0</v>
      </c>
      <c r="E161" s="136" t="s">
        <v>567</v>
      </c>
      <c r="F161" s="137"/>
      <c r="G161" s="137"/>
      <c r="H161" s="137"/>
      <c r="I161" s="69"/>
      <c r="J161" s="69"/>
      <c r="K161" s="69"/>
    </row>
    <row r="162" spans="1:11" x14ac:dyDescent="0.25">
      <c r="A162" s="136"/>
      <c r="B162" s="65"/>
      <c r="C162" s="175"/>
      <c r="D162" s="166">
        <v>0</v>
      </c>
      <c r="E162" s="136" t="s">
        <v>568</v>
      </c>
      <c r="F162" s="137"/>
      <c r="G162" s="137"/>
      <c r="H162" s="137"/>
      <c r="I162" s="69"/>
      <c r="J162" s="69"/>
      <c r="K162" s="69"/>
    </row>
    <row r="163" spans="1:11" x14ac:dyDescent="0.25">
      <c r="A163" s="136"/>
      <c r="B163" s="136"/>
      <c r="C163" s="175"/>
      <c r="D163" s="166">
        <v>0</v>
      </c>
      <c r="E163" s="136" t="s">
        <v>569</v>
      </c>
      <c r="F163" s="137"/>
      <c r="G163" s="137"/>
      <c r="H163" s="137"/>
      <c r="I163" s="69"/>
      <c r="J163" s="69"/>
      <c r="K163" s="69"/>
    </row>
    <row r="164" spans="1:11" x14ac:dyDescent="0.25">
      <c r="A164" s="136"/>
      <c r="B164" s="136"/>
      <c r="C164" s="175"/>
      <c r="D164" s="166">
        <v>0</v>
      </c>
      <c r="E164" s="136" t="s">
        <v>570</v>
      </c>
      <c r="F164" s="137"/>
      <c r="G164" s="137"/>
      <c r="H164" s="137"/>
      <c r="I164" s="69"/>
      <c r="J164" s="69"/>
      <c r="K164" s="69"/>
    </row>
    <row r="165" spans="1:11" x14ac:dyDescent="0.25">
      <c r="A165" s="136" t="s">
        <v>404</v>
      </c>
      <c r="B165" s="65"/>
      <c r="C165" s="175"/>
      <c r="D165" s="166">
        <v>1487.34</v>
      </c>
      <c r="E165" s="136"/>
      <c r="F165" s="137"/>
      <c r="G165" s="137"/>
      <c r="H165" s="137"/>
      <c r="I165" s="69"/>
      <c r="J165" s="69"/>
      <c r="K165" s="69"/>
    </row>
    <row r="166" spans="1:11" x14ac:dyDescent="0.25">
      <c r="A166" s="136"/>
      <c r="B166" s="65"/>
      <c r="C166" s="175"/>
      <c r="D166" s="166">
        <v>0</v>
      </c>
      <c r="E166" s="136" t="s">
        <v>571</v>
      </c>
      <c r="F166" s="137"/>
      <c r="G166" s="137"/>
      <c r="H166" s="137"/>
      <c r="I166" s="69"/>
      <c r="J166" s="69"/>
      <c r="K166" s="69"/>
    </row>
    <row r="167" spans="1:11" x14ac:dyDescent="0.25">
      <c r="A167" s="136"/>
      <c r="B167" s="65"/>
      <c r="C167" s="175"/>
      <c r="D167" s="166">
        <v>0</v>
      </c>
      <c r="E167" s="136" t="s">
        <v>572</v>
      </c>
      <c r="F167" s="137"/>
      <c r="G167" s="137"/>
      <c r="H167" s="137"/>
      <c r="I167" s="69"/>
      <c r="J167" s="69"/>
      <c r="K167" s="69"/>
    </row>
    <row r="168" spans="1:11" x14ac:dyDescent="0.25">
      <c r="A168" s="136"/>
      <c r="B168" s="136"/>
      <c r="C168" s="175"/>
      <c r="D168" s="166">
        <v>0</v>
      </c>
      <c r="E168" s="69" t="s">
        <v>573</v>
      </c>
      <c r="F168" s="137"/>
      <c r="G168" s="137"/>
      <c r="H168" s="137"/>
      <c r="I168" s="69"/>
      <c r="J168" s="69"/>
      <c r="K168" s="69"/>
    </row>
    <row r="169" spans="1:11" x14ac:dyDescent="0.25">
      <c r="A169" s="136" t="s">
        <v>405</v>
      </c>
      <c r="B169" s="155"/>
      <c r="C169" s="175"/>
      <c r="D169" s="166">
        <v>0</v>
      </c>
      <c r="E169" s="136" t="s">
        <v>489</v>
      </c>
      <c r="F169" s="137"/>
      <c r="G169" s="137"/>
      <c r="H169" s="137"/>
      <c r="I169" s="69"/>
      <c r="J169" s="69"/>
      <c r="K169" s="69"/>
    </row>
    <row r="170" spans="1:11" x14ac:dyDescent="0.25">
      <c r="A170" s="136"/>
      <c r="B170" s="155"/>
      <c r="C170" s="175"/>
      <c r="D170" s="166">
        <v>0</v>
      </c>
      <c r="E170" s="69" t="s">
        <v>574</v>
      </c>
      <c r="F170" s="137"/>
      <c r="G170" s="137"/>
      <c r="H170" s="137"/>
      <c r="I170" s="69"/>
      <c r="J170" s="69"/>
      <c r="K170" s="69"/>
    </row>
    <row r="171" spans="1:11" x14ac:dyDescent="0.25">
      <c r="A171" s="136" t="s">
        <v>406</v>
      </c>
      <c r="B171" s="136"/>
      <c r="C171" s="175"/>
      <c r="D171" s="166">
        <v>0</v>
      </c>
      <c r="E171" s="136"/>
      <c r="F171" s="137"/>
      <c r="G171" s="137"/>
      <c r="H171" s="137"/>
      <c r="I171" s="69"/>
      <c r="J171" s="69"/>
      <c r="K171" s="69"/>
    </row>
    <row r="172" spans="1:11" x14ac:dyDescent="0.25">
      <c r="A172" s="136" t="s">
        <v>407</v>
      </c>
      <c r="B172" s="136"/>
      <c r="C172" s="175"/>
      <c r="D172" s="166">
        <v>0</v>
      </c>
      <c r="E172" s="136"/>
      <c r="F172" s="137"/>
      <c r="G172" s="137"/>
      <c r="H172" s="137"/>
      <c r="I172" s="69"/>
      <c r="J172" s="69"/>
      <c r="K172" s="69"/>
    </row>
    <row r="173" spans="1:11" x14ac:dyDescent="0.25">
      <c r="A173" s="136" t="s">
        <v>408</v>
      </c>
      <c r="B173" s="65"/>
      <c r="C173" s="175"/>
      <c r="D173" s="166">
        <v>0</v>
      </c>
      <c r="E173" s="136"/>
      <c r="F173" s="137"/>
      <c r="G173" s="137"/>
      <c r="H173" s="137"/>
      <c r="I173" s="69"/>
      <c r="J173" s="69"/>
      <c r="K173" s="69"/>
    </row>
    <row r="174" spans="1:11" x14ac:dyDescent="0.25">
      <c r="A174" s="136"/>
      <c r="B174" s="65"/>
      <c r="C174" s="175"/>
      <c r="D174" s="166">
        <v>0</v>
      </c>
      <c r="E174" s="136" t="s">
        <v>575</v>
      </c>
      <c r="F174" s="137"/>
      <c r="G174" s="137"/>
      <c r="H174" s="137"/>
      <c r="I174" s="69"/>
      <c r="J174" s="69"/>
      <c r="K174" s="69"/>
    </row>
    <row r="175" spans="1:11" x14ac:dyDescent="0.25">
      <c r="A175" s="136"/>
      <c r="B175" s="155"/>
      <c r="C175" s="175"/>
      <c r="D175" s="166">
        <v>0</v>
      </c>
      <c r="E175" s="136" t="s">
        <v>576</v>
      </c>
      <c r="F175" s="137"/>
      <c r="G175" s="137"/>
      <c r="H175" s="137"/>
      <c r="I175" s="69"/>
      <c r="J175" s="69"/>
      <c r="K175" s="69"/>
    </row>
    <row r="176" spans="1:11" x14ac:dyDescent="0.25">
      <c r="A176" s="136"/>
      <c r="B176" s="155"/>
      <c r="C176" s="175"/>
      <c r="D176" s="166">
        <v>0</v>
      </c>
      <c r="E176" s="136" t="s">
        <v>577</v>
      </c>
      <c r="F176" s="137"/>
      <c r="G176" s="137"/>
      <c r="H176" s="137"/>
      <c r="I176" s="69"/>
      <c r="J176" s="69"/>
      <c r="K176" s="69"/>
    </row>
    <row r="177" spans="1:11" x14ac:dyDescent="0.25">
      <c r="A177" s="136"/>
      <c r="B177" s="65"/>
      <c r="C177" s="175"/>
      <c r="D177" s="166">
        <v>0</v>
      </c>
      <c r="E177" s="136"/>
      <c r="F177" s="137"/>
      <c r="G177" s="137"/>
      <c r="H177" s="137"/>
      <c r="I177" s="69"/>
      <c r="J177" s="69"/>
      <c r="K177" s="69"/>
    </row>
    <row r="178" spans="1:11" x14ac:dyDescent="0.25">
      <c r="A178" s="136"/>
      <c r="B178" s="65"/>
      <c r="C178" s="175"/>
      <c r="D178" s="166">
        <v>0</v>
      </c>
      <c r="E178" s="136"/>
      <c r="F178" s="137"/>
      <c r="G178" s="137"/>
      <c r="H178" s="137"/>
      <c r="I178" s="69"/>
      <c r="J178" s="69"/>
      <c r="K178" s="69"/>
    </row>
    <row r="179" spans="1:11" x14ac:dyDescent="0.25">
      <c r="A179" s="136" t="s">
        <v>409</v>
      </c>
      <c r="B179" s="65"/>
      <c r="C179" s="175"/>
      <c r="D179" s="166">
        <v>0</v>
      </c>
      <c r="E179" s="136"/>
      <c r="F179" s="137"/>
      <c r="G179" s="137"/>
      <c r="H179" s="137"/>
      <c r="I179" s="69"/>
      <c r="J179" s="69"/>
      <c r="K179" s="69"/>
    </row>
    <row r="180" spans="1:11" x14ac:dyDescent="0.25">
      <c r="A180" s="136" t="s">
        <v>410</v>
      </c>
      <c r="B180" s="65"/>
      <c r="C180" s="175"/>
      <c r="D180" s="166">
        <v>0</v>
      </c>
      <c r="E180" s="136" t="s">
        <v>578</v>
      </c>
      <c r="F180" s="137"/>
      <c r="G180" s="137"/>
      <c r="H180" s="137"/>
      <c r="I180" s="69"/>
      <c r="J180" s="69"/>
      <c r="K180" s="69"/>
    </row>
    <row r="181" spans="1:11" x14ac:dyDescent="0.25">
      <c r="A181" s="136"/>
      <c r="B181" s="65"/>
      <c r="C181" s="175"/>
      <c r="D181" s="166">
        <v>0</v>
      </c>
      <c r="E181" s="136" t="s">
        <v>579</v>
      </c>
      <c r="F181" s="137"/>
      <c r="G181" s="137"/>
      <c r="H181" s="137"/>
      <c r="I181" s="69"/>
      <c r="J181" s="69"/>
      <c r="K181" s="69"/>
    </row>
    <row r="182" spans="1:11" x14ac:dyDescent="0.25">
      <c r="A182" s="136"/>
      <c r="B182" s="65"/>
      <c r="C182" s="175"/>
      <c r="D182" s="166">
        <v>0</v>
      </c>
      <c r="E182" s="136" t="s">
        <v>580</v>
      </c>
      <c r="F182" s="137"/>
      <c r="G182" s="137"/>
      <c r="H182" s="137"/>
      <c r="I182" s="69"/>
      <c r="J182" s="69"/>
      <c r="K182" s="69"/>
    </row>
    <row r="183" spans="1:11" x14ac:dyDescent="0.25">
      <c r="A183" s="136"/>
      <c r="B183" s="65"/>
      <c r="C183" s="175"/>
      <c r="D183" s="166">
        <v>0</v>
      </c>
      <c r="E183" s="136" t="s">
        <v>581</v>
      </c>
      <c r="F183" s="137"/>
      <c r="G183" s="137"/>
      <c r="H183" s="137"/>
      <c r="I183" s="69"/>
      <c r="J183" s="69"/>
      <c r="K183" s="69"/>
    </row>
    <row r="184" spans="1:11" x14ac:dyDescent="0.25">
      <c r="A184" s="136" t="s">
        <v>582</v>
      </c>
      <c r="B184" s="136"/>
      <c r="C184" s="175"/>
      <c r="D184" s="166">
        <v>99.95</v>
      </c>
      <c r="E184" s="136"/>
      <c r="F184" s="137"/>
      <c r="G184" s="137"/>
      <c r="H184" s="137"/>
      <c r="I184" s="69"/>
      <c r="J184" s="69"/>
      <c r="K184" s="69"/>
    </row>
    <row r="185" spans="1:11" x14ac:dyDescent="0.25">
      <c r="A185" s="136"/>
      <c r="B185" s="136"/>
      <c r="C185" s="175"/>
      <c r="D185" s="166">
        <v>0</v>
      </c>
      <c r="E185" s="136" t="s">
        <v>583</v>
      </c>
      <c r="F185" s="137"/>
      <c r="G185" s="137"/>
      <c r="H185" s="137"/>
      <c r="I185" s="69"/>
      <c r="J185" s="69"/>
      <c r="K185" s="69"/>
    </row>
    <row r="186" spans="1:11" x14ac:dyDescent="0.25">
      <c r="A186" s="136"/>
      <c r="B186" s="155"/>
      <c r="C186" s="175"/>
      <c r="D186" s="166">
        <v>0</v>
      </c>
      <c r="E186" s="69" t="s">
        <v>584</v>
      </c>
      <c r="F186" s="137"/>
      <c r="G186" s="137"/>
      <c r="H186" s="137"/>
      <c r="I186" s="69"/>
      <c r="J186" s="69"/>
      <c r="K186" s="69"/>
    </row>
    <row r="187" spans="1:11" x14ac:dyDescent="0.25">
      <c r="A187" s="136" t="s">
        <v>412</v>
      </c>
      <c r="B187" s="155"/>
      <c r="C187" s="175"/>
      <c r="D187" s="166">
        <v>0</v>
      </c>
      <c r="E187" s="136"/>
      <c r="F187" s="137"/>
      <c r="G187" s="137"/>
      <c r="H187" s="137"/>
      <c r="I187" s="69"/>
      <c r="J187" s="69"/>
      <c r="K187" s="69"/>
    </row>
    <row r="188" spans="1:11" x14ac:dyDescent="0.25">
      <c r="A188" s="136" t="s">
        <v>413</v>
      </c>
      <c r="B188" s="65"/>
      <c r="C188" s="175"/>
      <c r="D188" s="166">
        <v>104.17</v>
      </c>
      <c r="E188" s="136"/>
      <c r="F188" s="137"/>
      <c r="G188" s="137"/>
      <c r="H188" s="137"/>
      <c r="I188" s="69"/>
      <c r="J188" s="69"/>
      <c r="K188" s="69"/>
    </row>
    <row r="189" spans="1:11" x14ac:dyDescent="0.25">
      <c r="A189" s="136"/>
      <c r="B189" s="65"/>
      <c r="C189" s="175"/>
      <c r="D189" s="166">
        <v>0</v>
      </c>
      <c r="E189" s="136" t="s">
        <v>585</v>
      </c>
      <c r="F189" s="137"/>
      <c r="G189" s="137"/>
      <c r="H189" s="137"/>
      <c r="I189" s="69"/>
      <c r="J189" s="69"/>
      <c r="K189" s="69"/>
    </row>
    <row r="190" spans="1:11" x14ac:dyDescent="0.25">
      <c r="A190" s="136"/>
      <c r="B190" s="65"/>
      <c r="C190" s="175"/>
      <c r="D190" s="166">
        <v>0</v>
      </c>
      <c r="E190" s="136" t="s">
        <v>586</v>
      </c>
      <c r="F190" s="137"/>
      <c r="G190" s="137"/>
      <c r="H190" s="137"/>
      <c r="I190" s="69"/>
      <c r="J190" s="69"/>
      <c r="K190" s="69"/>
    </row>
    <row r="191" spans="1:11" x14ac:dyDescent="0.25">
      <c r="A191" s="136"/>
      <c r="B191" s="136"/>
      <c r="C191" s="175"/>
      <c r="D191" s="166">
        <v>0</v>
      </c>
      <c r="E191" s="136" t="s">
        <v>587</v>
      </c>
      <c r="F191" s="137"/>
      <c r="G191" s="137"/>
      <c r="H191" s="137"/>
      <c r="I191" s="69"/>
      <c r="J191" s="69"/>
      <c r="K191" s="69"/>
    </row>
    <row r="192" spans="1:11" x14ac:dyDescent="0.25">
      <c r="A192" s="136"/>
      <c r="B192" s="136"/>
      <c r="C192" s="175"/>
      <c r="D192" s="166">
        <v>0</v>
      </c>
      <c r="E192" s="136" t="s">
        <v>588</v>
      </c>
      <c r="F192" s="137"/>
      <c r="G192" s="137"/>
      <c r="H192" s="137"/>
      <c r="I192" s="69"/>
      <c r="J192" s="69"/>
      <c r="K192" s="69"/>
    </row>
    <row r="193" spans="1:11" x14ac:dyDescent="0.25">
      <c r="A193" s="136"/>
      <c r="B193" s="65"/>
      <c r="C193" s="175"/>
      <c r="D193" s="166">
        <v>0</v>
      </c>
      <c r="E193" s="136" t="s">
        <v>589</v>
      </c>
      <c r="F193" s="137"/>
      <c r="G193" s="137"/>
      <c r="H193" s="137"/>
      <c r="I193" s="69"/>
      <c r="J193" s="69"/>
      <c r="K193" s="69"/>
    </row>
    <row r="194" spans="1:11" x14ac:dyDescent="0.25">
      <c r="A194" s="136"/>
      <c r="B194" s="65"/>
      <c r="C194" s="175"/>
      <c r="D194" s="166">
        <v>0</v>
      </c>
      <c r="E194" s="136" t="s">
        <v>590</v>
      </c>
      <c r="F194" s="137"/>
      <c r="G194" s="137"/>
      <c r="H194" s="137"/>
      <c r="I194" s="69"/>
      <c r="J194" s="69"/>
      <c r="K194" s="69"/>
    </row>
    <row r="195" spans="1:11" x14ac:dyDescent="0.25">
      <c r="A195" s="162"/>
      <c r="B195" s="155"/>
      <c r="C195" s="175"/>
      <c r="D195" s="166">
        <v>0</v>
      </c>
      <c r="E195" s="136" t="s">
        <v>591</v>
      </c>
      <c r="F195" s="137"/>
      <c r="G195" s="137"/>
      <c r="H195" s="137"/>
      <c r="I195" s="69"/>
      <c r="J195" s="69"/>
      <c r="K195" s="69"/>
    </row>
    <row r="196" spans="1:11" x14ac:dyDescent="0.25">
      <c r="A196" s="136"/>
      <c r="B196" s="136"/>
      <c r="C196" s="175"/>
      <c r="D196" s="166">
        <v>0</v>
      </c>
      <c r="E196" s="162" t="s">
        <v>592</v>
      </c>
      <c r="F196" s="137"/>
      <c r="G196" s="137"/>
      <c r="H196" s="137"/>
      <c r="I196" s="69"/>
      <c r="J196" s="69"/>
      <c r="K196" s="69"/>
    </row>
    <row r="197" spans="1:11" x14ac:dyDescent="0.25">
      <c r="A197" s="136"/>
      <c r="B197" s="65"/>
      <c r="C197" s="175"/>
      <c r="D197" s="166">
        <v>0</v>
      </c>
      <c r="E197" s="136" t="s">
        <v>593</v>
      </c>
      <c r="F197" s="137"/>
      <c r="G197" s="137"/>
      <c r="H197" s="137"/>
      <c r="I197" s="69"/>
      <c r="J197" s="69"/>
      <c r="K197" s="69"/>
    </row>
    <row r="198" spans="1:11" x14ac:dyDescent="0.25">
      <c r="A198" s="136"/>
      <c r="B198" s="155"/>
      <c r="C198" s="175"/>
      <c r="D198" s="166">
        <v>0</v>
      </c>
      <c r="E198" s="136" t="s">
        <v>594</v>
      </c>
      <c r="F198" s="137"/>
      <c r="G198" s="137"/>
      <c r="H198" s="137"/>
      <c r="I198" s="69"/>
      <c r="J198" s="69"/>
      <c r="K198" s="69"/>
    </row>
    <row r="199" spans="1:11" x14ac:dyDescent="0.25">
      <c r="A199" s="136" t="s">
        <v>414</v>
      </c>
      <c r="B199" s="65"/>
      <c r="C199" s="175"/>
      <c r="D199" s="166">
        <v>0</v>
      </c>
      <c r="E199" s="136"/>
      <c r="F199" s="137"/>
      <c r="G199" s="137"/>
      <c r="H199" s="137"/>
      <c r="I199" s="69"/>
      <c r="J199" s="69"/>
      <c r="K199" s="69"/>
    </row>
    <row r="200" spans="1:11" x14ac:dyDescent="0.25">
      <c r="A200" s="136" t="s">
        <v>415</v>
      </c>
      <c r="B200" s="65"/>
      <c r="C200" s="175"/>
      <c r="D200" s="166">
        <v>0</v>
      </c>
      <c r="E200" s="136"/>
      <c r="F200" s="137"/>
      <c r="G200" s="137"/>
      <c r="H200" s="137"/>
      <c r="I200" s="69"/>
      <c r="J200" s="69"/>
      <c r="K200" s="69"/>
    </row>
    <row r="201" spans="1:11" x14ac:dyDescent="0.25">
      <c r="A201" s="136"/>
      <c r="B201" s="175"/>
      <c r="C201" s="175"/>
      <c r="D201" s="166">
        <v>0</v>
      </c>
      <c r="E201" s="136" t="s">
        <v>595</v>
      </c>
      <c r="F201" s="137"/>
      <c r="G201" s="137"/>
      <c r="H201" s="137"/>
      <c r="I201" s="69"/>
      <c r="J201" s="69"/>
      <c r="K201" s="69"/>
    </row>
    <row r="202" spans="1:11" x14ac:dyDescent="0.25">
      <c r="A202" s="136"/>
      <c r="B202" s="136"/>
      <c r="C202" s="175"/>
      <c r="D202" s="166">
        <v>0</v>
      </c>
      <c r="E202" s="136" t="s">
        <v>596</v>
      </c>
      <c r="F202" s="137"/>
      <c r="G202" s="137"/>
      <c r="H202" s="137"/>
      <c r="I202" s="69"/>
      <c r="J202" s="69"/>
      <c r="K202" s="69"/>
    </row>
    <row r="203" spans="1:11" x14ac:dyDescent="0.25">
      <c r="A203" s="136"/>
      <c r="B203" s="136"/>
      <c r="C203" s="175"/>
      <c r="D203" s="166">
        <v>0</v>
      </c>
      <c r="E203" s="136" t="s">
        <v>597</v>
      </c>
      <c r="F203" s="137"/>
      <c r="G203" s="137"/>
      <c r="H203" s="137"/>
      <c r="I203" s="69"/>
      <c r="J203" s="69"/>
      <c r="K203" s="69"/>
    </row>
    <row r="204" spans="1:11" x14ac:dyDescent="0.25">
      <c r="A204" s="136"/>
      <c r="B204" s="136"/>
      <c r="C204" s="175"/>
      <c r="D204" s="166">
        <v>0</v>
      </c>
      <c r="E204" s="136" t="s">
        <v>598</v>
      </c>
      <c r="F204" s="137"/>
      <c r="G204" s="137"/>
      <c r="H204" s="137"/>
      <c r="I204" s="69"/>
      <c r="J204" s="69"/>
      <c r="K204" s="69"/>
    </row>
    <row r="205" spans="1:11" x14ac:dyDescent="0.25">
      <c r="A205" s="136"/>
      <c r="B205" s="136"/>
      <c r="C205" s="175"/>
      <c r="D205" s="166">
        <v>0</v>
      </c>
      <c r="E205" s="136" t="s">
        <v>599</v>
      </c>
      <c r="F205" s="137"/>
      <c r="G205" s="137"/>
      <c r="H205" s="137"/>
      <c r="I205" s="69"/>
      <c r="J205" s="69"/>
      <c r="K205" s="69"/>
    </row>
    <row r="206" spans="1:11" x14ac:dyDescent="0.25">
      <c r="A206" s="136" t="s">
        <v>416</v>
      </c>
      <c r="B206" s="155"/>
      <c r="C206" s="175"/>
      <c r="D206" s="166">
        <v>0</v>
      </c>
      <c r="E206" s="136"/>
      <c r="F206" s="137"/>
      <c r="G206" s="137"/>
      <c r="H206" s="137"/>
      <c r="I206" s="69"/>
      <c r="J206" s="69"/>
      <c r="K206" s="69"/>
    </row>
    <row r="207" spans="1:11" x14ac:dyDescent="0.25">
      <c r="A207" s="136" t="s">
        <v>417</v>
      </c>
      <c r="B207" s="65"/>
      <c r="C207" s="175"/>
      <c r="D207" s="166">
        <v>7600.67</v>
      </c>
      <c r="E207" s="136"/>
      <c r="F207" s="137"/>
      <c r="G207" s="137"/>
      <c r="H207" s="137"/>
      <c r="I207" s="69"/>
      <c r="J207" s="69"/>
      <c r="K207" s="69"/>
    </row>
    <row r="208" spans="1:11" x14ac:dyDescent="0.25">
      <c r="A208" s="136"/>
      <c r="B208" s="65"/>
      <c r="C208" s="175"/>
      <c r="D208" s="166">
        <v>0</v>
      </c>
      <c r="E208" s="136" t="s">
        <v>600</v>
      </c>
      <c r="F208" s="137"/>
      <c r="G208" s="137"/>
      <c r="H208" s="137"/>
      <c r="I208" s="69"/>
      <c r="J208" s="69"/>
      <c r="K208" s="69"/>
    </row>
    <row r="209" spans="1:11" x14ac:dyDescent="0.25">
      <c r="A209" s="136"/>
      <c r="B209" s="65"/>
      <c r="C209" s="175"/>
      <c r="D209" s="166">
        <v>0</v>
      </c>
      <c r="E209" s="136" t="s">
        <v>601</v>
      </c>
      <c r="F209" s="137"/>
      <c r="G209" s="137"/>
      <c r="H209" s="137"/>
      <c r="I209" s="69"/>
      <c r="J209" s="69"/>
      <c r="K209" s="69"/>
    </row>
    <row r="210" spans="1:11" x14ac:dyDescent="0.25">
      <c r="A210" s="136"/>
      <c r="B210" s="136"/>
      <c r="C210" s="175"/>
      <c r="D210" s="166">
        <v>0</v>
      </c>
      <c r="E210" s="136" t="s">
        <v>602</v>
      </c>
      <c r="F210" s="137"/>
      <c r="G210" s="137"/>
      <c r="H210" s="137"/>
      <c r="I210" s="69"/>
      <c r="J210" s="69"/>
      <c r="K210" s="69"/>
    </row>
    <row r="211" spans="1:11" x14ac:dyDescent="0.25">
      <c r="A211" s="136"/>
      <c r="B211" s="136"/>
      <c r="C211" s="175"/>
      <c r="D211" s="166">
        <v>0</v>
      </c>
      <c r="E211" s="136" t="s">
        <v>603</v>
      </c>
      <c r="F211" s="137"/>
      <c r="G211" s="137"/>
      <c r="H211" s="137"/>
      <c r="I211" s="69"/>
      <c r="J211" s="69"/>
      <c r="K211" s="69"/>
    </row>
    <row r="212" spans="1:11" x14ac:dyDescent="0.25">
      <c r="A212" s="136"/>
      <c r="B212" s="136"/>
      <c r="C212" s="175"/>
      <c r="D212" s="166">
        <v>0</v>
      </c>
      <c r="E212" s="136" t="s">
        <v>604</v>
      </c>
      <c r="F212" s="137"/>
      <c r="G212" s="137"/>
      <c r="H212" s="137"/>
      <c r="I212" s="69"/>
      <c r="J212" s="69"/>
      <c r="K212" s="69"/>
    </row>
    <row r="213" spans="1:11" x14ac:dyDescent="0.25">
      <c r="A213" s="136"/>
      <c r="B213" s="136"/>
      <c r="C213" s="175"/>
      <c r="D213" s="166">
        <v>0</v>
      </c>
      <c r="E213" s="136" t="s">
        <v>605</v>
      </c>
      <c r="F213" s="137"/>
      <c r="G213" s="137"/>
      <c r="H213" s="137"/>
      <c r="I213" s="69"/>
      <c r="J213" s="69"/>
      <c r="K213" s="69"/>
    </row>
    <row r="214" spans="1:11" x14ac:dyDescent="0.25">
      <c r="A214" s="136" t="s">
        <v>418</v>
      </c>
      <c r="B214" s="136"/>
      <c r="C214" s="175"/>
      <c r="D214" s="166">
        <v>17634</v>
      </c>
      <c r="E214" s="136"/>
      <c r="F214" s="137"/>
      <c r="G214" s="137"/>
      <c r="H214" s="137"/>
      <c r="I214" s="69"/>
      <c r="J214" s="69"/>
      <c r="K214" s="69"/>
    </row>
    <row r="215" spans="1:11" x14ac:dyDescent="0.25">
      <c r="A215" s="136"/>
      <c r="B215" s="65"/>
      <c r="C215" s="175"/>
      <c r="D215" s="166">
        <v>0</v>
      </c>
      <c r="E215" s="136" t="s">
        <v>606</v>
      </c>
      <c r="F215" s="137"/>
      <c r="G215" s="137"/>
      <c r="H215" s="137"/>
      <c r="I215" s="69"/>
      <c r="J215" s="69"/>
      <c r="K215" s="69"/>
    </row>
    <row r="216" spans="1:11" x14ac:dyDescent="0.25">
      <c r="A216" s="136"/>
      <c r="B216" s="65"/>
      <c r="C216" s="175"/>
      <c r="D216" s="166">
        <v>0</v>
      </c>
      <c r="E216" s="136" t="s">
        <v>607</v>
      </c>
      <c r="F216" s="137"/>
      <c r="G216" s="137"/>
      <c r="H216" s="137"/>
      <c r="I216" s="69"/>
      <c r="J216" s="69"/>
      <c r="K216" s="69"/>
    </row>
    <row r="217" spans="1:11" x14ac:dyDescent="0.25">
      <c r="A217" s="136" t="s">
        <v>419</v>
      </c>
      <c r="B217" s="65"/>
      <c r="C217" s="175"/>
      <c r="D217" s="166">
        <v>1268.4</v>
      </c>
      <c r="E217" s="136" t="s">
        <v>608</v>
      </c>
      <c r="F217" s="137"/>
      <c r="G217" s="137"/>
      <c r="H217" s="137"/>
      <c r="I217" s="69"/>
      <c r="J217" s="69"/>
      <c r="K217" s="69"/>
    </row>
    <row r="218" spans="1:11" x14ac:dyDescent="0.25">
      <c r="A218" s="136"/>
      <c r="B218" s="65"/>
      <c r="C218" s="175"/>
      <c r="D218" s="166">
        <v>0</v>
      </c>
      <c r="E218" s="136" t="s">
        <v>609</v>
      </c>
      <c r="F218" s="137"/>
      <c r="G218" s="137"/>
      <c r="H218" s="137"/>
      <c r="I218" s="69"/>
      <c r="J218" s="69"/>
      <c r="K218" s="69"/>
    </row>
    <row r="219" spans="1:11" x14ac:dyDescent="0.25">
      <c r="A219" s="136"/>
      <c r="B219" s="65"/>
      <c r="C219" s="175"/>
      <c r="D219" s="166">
        <v>0</v>
      </c>
      <c r="E219" s="136" t="s">
        <v>610</v>
      </c>
      <c r="F219" s="137"/>
      <c r="G219" s="137"/>
      <c r="H219" s="137"/>
      <c r="I219" s="69"/>
      <c r="J219" s="69"/>
      <c r="K219" s="69"/>
    </row>
    <row r="220" spans="1:11" x14ac:dyDescent="0.25">
      <c r="A220" s="136"/>
      <c r="B220" s="65"/>
      <c r="C220" s="175"/>
      <c r="D220" s="166">
        <v>0</v>
      </c>
      <c r="E220" s="136" t="s">
        <v>611</v>
      </c>
      <c r="F220" s="137"/>
      <c r="G220" s="137"/>
      <c r="H220" s="137"/>
      <c r="I220" s="69"/>
      <c r="J220" s="69"/>
      <c r="K220" s="69"/>
    </row>
    <row r="221" spans="1:11" x14ac:dyDescent="0.25">
      <c r="A221" s="136"/>
      <c r="B221" s="65"/>
      <c r="C221" s="175"/>
      <c r="D221" s="166">
        <v>0</v>
      </c>
      <c r="E221" s="136" t="s">
        <v>612</v>
      </c>
      <c r="F221" s="137"/>
      <c r="G221" s="137"/>
      <c r="H221" s="137"/>
      <c r="I221" s="69"/>
      <c r="J221" s="69"/>
      <c r="K221" s="69"/>
    </row>
    <row r="222" spans="1:11" x14ac:dyDescent="0.25">
      <c r="A222" s="136"/>
      <c r="B222" s="65"/>
      <c r="C222" s="175"/>
      <c r="D222" s="166">
        <v>0</v>
      </c>
      <c r="E222" s="136" t="s">
        <v>613</v>
      </c>
      <c r="F222" s="137"/>
      <c r="G222" s="137"/>
      <c r="H222" s="137"/>
      <c r="I222" s="69"/>
      <c r="J222" s="69"/>
      <c r="K222" s="69"/>
    </row>
    <row r="223" spans="1:11" x14ac:dyDescent="0.25">
      <c r="A223" s="136"/>
      <c r="B223" s="136"/>
      <c r="C223" s="175"/>
      <c r="D223" s="166">
        <v>0</v>
      </c>
      <c r="E223" s="136" t="s">
        <v>614</v>
      </c>
      <c r="F223" s="137"/>
      <c r="G223" s="137"/>
      <c r="H223" s="137"/>
      <c r="I223" s="69"/>
      <c r="J223" s="69"/>
      <c r="K223" s="69"/>
    </row>
    <row r="224" spans="1:11" x14ac:dyDescent="0.25">
      <c r="A224" s="136" t="s">
        <v>420</v>
      </c>
      <c r="B224" s="136"/>
      <c r="C224" s="175"/>
      <c r="D224" s="166">
        <v>52509.01756052841</v>
      </c>
      <c r="E224" s="136"/>
      <c r="F224" s="137"/>
      <c r="G224" s="137"/>
      <c r="H224" s="137"/>
      <c r="I224" s="69"/>
      <c r="J224" s="69"/>
      <c r="K224" s="69"/>
    </row>
    <row r="225" spans="1:11" x14ac:dyDescent="0.25">
      <c r="A225" s="136" t="s">
        <v>615</v>
      </c>
      <c r="B225" s="65"/>
      <c r="C225" s="175"/>
      <c r="D225" s="166">
        <v>0</v>
      </c>
      <c r="E225" s="136"/>
      <c r="F225" s="137"/>
      <c r="G225" s="137"/>
      <c r="H225" s="137"/>
      <c r="I225" s="69"/>
      <c r="J225" s="69"/>
      <c r="K225" s="69"/>
    </row>
    <row r="226" spans="1:11" x14ac:dyDescent="0.25">
      <c r="A226" s="136" t="s">
        <v>616</v>
      </c>
      <c r="B226" s="65"/>
      <c r="C226" s="175"/>
      <c r="D226" s="166">
        <v>0</v>
      </c>
      <c r="E226" s="136"/>
      <c r="F226" s="137"/>
      <c r="G226" s="137"/>
      <c r="H226" s="137"/>
      <c r="I226" s="69"/>
      <c r="J226" s="69"/>
      <c r="K226" s="69"/>
    </row>
    <row r="227" spans="1:11" x14ac:dyDescent="0.25">
      <c r="A227" s="136" t="s">
        <v>422</v>
      </c>
      <c r="B227" s="65"/>
      <c r="C227" s="175"/>
      <c r="D227" s="166">
        <v>0</v>
      </c>
      <c r="E227" s="136"/>
      <c r="F227" s="137"/>
      <c r="G227" s="137"/>
      <c r="H227" s="137"/>
      <c r="I227" s="69"/>
      <c r="J227" s="69"/>
      <c r="K227" s="69"/>
    </row>
    <row r="228" spans="1:11" x14ac:dyDescent="0.25">
      <c r="A228" s="136" t="s">
        <v>423</v>
      </c>
      <c r="B228" s="65"/>
      <c r="C228" s="175"/>
      <c r="D228" s="166">
        <v>0</v>
      </c>
      <c r="E228" s="136"/>
      <c r="F228" s="137"/>
      <c r="G228" s="137"/>
      <c r="H228" s="137"/>
      <c r="I228" s="69"/>
      <c r="J228" s="69"/>
      <c r="K228" s="69"/>
    </row>
    <row r="229" spans="1:11" x14ac:dyDescent="0.25">
      <c r="A229" s="136" t="s">
        <v>424</v>
      </c>
      <c r="B229" s="136"/>
      <c r="C229" s="175"/>
      <c r="D229" s="166">
        <v>9146.82</v>
      </c>
      <c r="E229" s="136" t="s">
        <v>617</v>
      </c>
      <c r="F229" s="137"/>
      <c r="G229" s="137"/>
      <c r="H229" s="137"/>
      <c r="I229" s="69"/>
      <c r="J229" s="69"/>
      <c r="K229" s="69"/>
    </row>
    <row r="230" spans="1:11" x14ac:dyDescent="0.25">
      <c r="A230" s="136"/>
      <c r="B230" s="65"/>
      <c r="C230" s="175"/>
      <c r="D230" s="166">
        <v>0</v>
      </c>
      <c r="E230" s="69" t="s">
        <v>618</v>
      </c>
      <c r="F230" s="137"/>
      <c r="G230" s="137"/>
      <c r="H230" s="137"/>
      <c r="I230" s="69"/>
      <c r="J230" s="69"/>
      <c r="K230" s="69"/>
    </row>
    <row r="231" spans="1:11" x14ac:dyDescent="0.25">
      <c r="A231" s="136"/>
      <c r="B231" s="155"/>
      <c r="C231" s="175"/>
      <c r="D231" s="166">
        <v>0</v>
      </c>
      <c r="E231" s="136" t="s">
        <v>619</v>
      </c>
      <c r="F231" s="137"/>
      <c r="G231" s="137"/>
      <c r="H231" s="137"/>
      <c r="I231" s="69"/>
      <c r="J231" s="69"/>
      <c r="K231" s="69"/>
    </row>
    <row r="232" spans="1:11" x14ac:dyDescent="0.25">
      <c r="A232" s="136"/>
      <c r="B232" s="136"/>
      <c r="C232" s="175"/>
      <c r="D232" s="166">
        <v>0</v>
      </c>
      <c r="E232" s="136" t="s">
        <v>620</v>
      </c>
      <c r="F232" s="137"/>
      <c r="G232" s="137"/>
      <c r="H232" s="137"/>
      <c r="I232" s="69"/>
      <c r="J232" s="69"/>
      <c r="K232" s="69"/>
    </row>
    <row r="233" spans="1:11" x14ac:dyDescent="0.25">
      <c r="A233" s="136"/>
      <c r="B233" s="155"/>
      <c r="C233" s="175"/>
      <c r="D233" s="166">
        <v>0</v>
      </c>
      <c r="E233" s="136" t="s">
        <v>621</v>
      </c>
      <c r="F233" s="137"/>
      <c r="G233" s="137"/>
      <c r="H233" s="137"/>
      <c r="I233" s="69"/>
      <c r="J233" s="69"/>
      <c r="K233" s="69"/>
    </row>
    <row r="234" spans="1:11" x14ac:dyDescent="0.25">
      <c r="A234" s="136"/>
      <c r="B234" s="65"/>
      <c r="C234" s="175"/>
      <c r="D234" s="166">
        <v>0</v>
      </c>
      <c r="E234" s="136" t="s">
        <v>622</v>
      </c>
      <c r="F234" s="137"/>
      <c r="G234" s="137"/>
      <c r="H234" s="137"/>
      <c r="I234" s="69"/>
      <c r="J234" s="69"/>
      <c r="K234" s="69"/>
    </row>
    <row r="235" spans="1:11" x14ac:dyDescent="0.25">
      <c r="A235" s="136"/>
      <c r="B235" s="136"/>
      <c r="C235" s="175"/>
      <c r="D235" s="166">
        <v>0</v>
      </c>
      <c r="E235" s="136" t="s">
        <v>623</v>
      </c>
      <c r="F235" s="137"/>
      <c r="G235" s="137"/>
      <c r="H235" s="137"/>
      <c r="I235" s="69"/>
      <c r="J235" s="69"/>
      <c r="K235" s="69"/>
    </row>
    <row r="236" spans="1:11" x14ac:dyDescent="0.25">
      <c r="A236" s="136"/>
      <c r="B236" s="136"/>
      <c r="C236" s="175"/>
      <c r="D236" s="166">
        <v>0</v>
      </c>
      <c r="E236" s="136" t="s">
        <v>624</v>
      </c>
      <c r="F236" s="137"/>
      <c r="G236" s="137"/>
      <c r="H236" s="137"/>
      <c r="I236" s="69"/>
      <c r="J236" s="69"/>
      <c r="K236" s="69"/>
    </row>
    <row r="237" spans="1:11" x14ac:dyDescent="0.25">
      <c r="A237" s="136"/>
      <c r="B237" s="136"/>
      <c r="C237" s="175"/>
      <c r="D237" s="166">
        <v>0</v>
      </c>
      <c r="E237" s="136" t="s">
        <v>625</v>
      </c>
      <c r="F237" s="137"/>
      <c r="G237" s="137"/>
      <c r="H237" s="137"/>
      <c r="I237" s="69"/>
      <c r="J237" s="69"/>
      <c r="K237" s="69"/>
    </row>
    <row r="238" spans="1:11" x14ac:dyDescent="0.25">
      <c r="A238" s="136" t="s">
        <v>425</v>
      </c>
      <c r="B238" s="136"/>
      <c r="C238" s="175"/>
      <c r="D238" s="166">
        <v>0</v>
      </c>
      <c r="E238" s="136"/>
      <c r="F238" s="137"/>
      <c r="G238" s="137"/>
      <c r="H238" s="137"/>
      <c r="I238" s="69"/>
      <c r="J238" s="69"/>
      <c r="K238" s="69"/>
    </row>
    <row r="239" spans="1:11" x14ac:dyDescent="0.25">
      <c r="A239" s="136" t="s">
        <v>426</v>
      </c>
      <c r="B239" s="136"/>
      <c r="C239" s="175"/>
      <c r="D239" s="166">
        <v>783.47</v>
      </c>
      <c r="E239" s="136"/>
      <c r="F239" s="137"/>
      <c r="G239" s="137"/>
      <c r="H239" s="137"/>
      <c r="I239" s="69"/>
      <c r="J239" s="69"/>
      <c r="K239" s="69"/>
    </row>
    <row r="240" spans="1:11" x14ac:dyDescent="0.25">
      <c r="A240" s="136"/>
      <c r="B240" s="65"/>
      <c r="C240" s="175"/>
      <c r="D240" s="166">
        <v>0</v>
      </c>
      <c r="E240" s="69" t="s">
        <v>626</v>
      </c>
      <c r="F240" s="137"/>
      <c r="G240" s="137"/>
      <c r="H240" s="137"/>
      <c r="I240" s="69"/>
      <c r="J240" s="69"/>
      <c r="K240" s="69"/>
    </row>
    <row r="241" spans="1:11" x14ac:dyDescent="0.25">
      <c r="A241" s="136"/>
      <c r="B241" s="65"/>
      <c r="C241" s="175"/>
      <c r="D241" s="166">
        <v>0</v>
      </c>
      <c r="E241" s="136" t="s">
        <v>627</v>
      </c>
      <c r="F241" s="137"/>
      <c r="G241" s="137"/>
      <c r="H241" s="137"/>
      <c r="I241" s="69"/>
      <c r="J241" s="69"/>
      <c r="K241" s="69"/>
    </row>
    <row r="242" spans="1:11" x14ac:dyDescent="0.25">
      <c r="A242" s="136"/>
      <c r="B242" s="155"/>
      <c r="C242" s="175"/>
      <c r="D242" s="166">
        <v>0</v>
      </c>
      <c r="E242" s="136" t="s">
        <v>628</v>
      </c>
      <c r="F242" s="137"/>
      <c r="G242" s="137"/>
      <c r="H242" s="137"/>
      <c r="I242" s="69"/>
      <c r="J242" s="69"/>
      <c r="K242" s="69"/>
    </row>
    <row r="243" spans="1:11" x14ac:dyDescent="0.25">
      <c r="A243" s="136"/>
      <c r="B243" s="65"/>
      <c r="C243" s="175"/>
      <c r="D243" s="166">
        <v>0</v>
      </c>
      <c r="E243" s="136" t="s">
        <v>629</v>
      </c>
      <c r="F243" s="137"/>
      <c r="G243" s="137"/>
      <c r="H243" s="137"/>
      <c r="I243" s="69"/>
      <c r="J243" s="69"/>
      <c r="K243" s="69"/>
    </row>
    <row r="244" spans="1:11" x14ac:dyDescent="0.25">
      <c r="A244" s="136"/>
      <c r="B244" s="65"/>
      <c r="C244" s="175"/>
      <c r="D244" s="166">
        <v>0</v>
      </c>
      <c r="E244" s="69" t="s">
        <v>630</v>
      </c>
      <c r="F244" s="137"/>
      <c r="G244" s="137"/>
      <c r="H244" s="137"/>
      <c r="I244" s="69"/>
      <c r="J244" s="69"/>
      <c r="K244" s="69"/>
    </row>
    <row r="245" spans="1:11" x14ac:dyDescent="0.25">
      <c r="A245" s="136"/>
      <c r="B245" s="65"/>
      <c r="C245" s="175"/>
      <c r="D245" s="166">
        <v>0</v>
      </c>
      <c r="E245" s="136" t="s">
        <v>631</v>
      </c>
      <c r="F245" s="137"/>
      <c r="G245" s="137"/>
      <c r="H245" s="137"/>
      <c r="I245" s="69"/>
      <c r="J245" s="69"/>
      <c r="K245" s="69"/>
    </row>
    <row r="246" spans="1:11" x14ac:dyDescent="0.25">
      <c r="A246" s="136"/>
      <c r="B246" s="136"/>
      <c r="C246" s="175"/>
      <c r="D246" s="166">
        <v>0</v>
      </c>
      <c r="E246" s="136" t="s">
        <v>632</v>
      </c>
      <c r="F246" s="137"/>
      <c r="G246" s="137"/>
      <c r="H246" s="137"/>
      <c r="I246" s="69"/>
      <c r="J246" s="69"/>
      <c r="K246" s="69"/>
    </row>
    <row r="247" spans="1:11" x14ac:dyDescent="0.25">
      <c r="A247" s="136"/>
      <c r="B247" s="65"/>
      <c r="C247" s="175"/>
      <c r="D247" s="166">
        <v>0</v>
      </c>
      <c r="E247" s="136" t="s">
        <v>633</v>
      </c>
      <c r="F247" s="137"/>
      <c r="G247" s="137"/>
      <c r="H247" s="137"/>
      <c r="I247" s="69"/>
      <c r="J247" s="69"/>
      <c r="K247" s="69"/>
    </row>
    <row r="248" spans="1:11" x14ac:dyDescent="0.25">
      <c r="A248" s="136" t="s">
        <v>427</v>
      </c>
      <c r="B248" s="65"/>
      <c r="C248" s="175"/>
      <c r="D248" s="166">
        <v>130.73</v>
      </c>
      <c r="E248" s="136"/>
      <c r="F248" s="137"/>
      <c r="G248" s="137"/>
      <c r="H248" s="137"/>
      <c r="I248" s="69"/>
      <c r="J248" s="69"/>
      <c r="K248" s="69"/>
    </row>
    <row r="249" spans="1:11" x14ac:dyDescent="0.25">
      <c r="A249" s="136"/>
      <c r="B249" s="65"/>
      <c r="C249" s="175"/>
      <c r="D249" s="166">
        <v>0</v>
      </c>
      <c r="E249" s="136" t="s">
        <v>634</v>
      </c>
      <c r="F249" s="137"/>
      <c r="G249" s="137"/>
      <c r="H249" s="137"/>
      <c r="I249" s="69"/>
      <c r="J249" s="69"/>
      <c r="K249" s="69"/>
    </row>
    <row r="250" spans="1:11" x14ac:dyDescent="0.25">
      <c r="A250" s="136"/>
      <c r="B250" s="65"/>
      <c r="C250" s="175"/>
      <c r="D250" s="166">
        <v>0</v>
      </c>
      <c r="E250" s="69" t="s">
        <v>635</v>
      </c>
      <c r="F250" s="137"/>
      <c r="G250" s="137"/>
      <c r="H250" s="137"/>
      <c r="I250" s="69"/>
      <c r="J250" s="69"/>
      <c r="K250" s="69"/>
    </row>
    <row r="251" spans="1:11" x14ac:dyDescent="0.25">
      <c r="A251" s="136"/>
      <c r="B251" s="65"/>
      <c r="C251" s="175"/>
      <c r="D251" s="166">
        <v>0</v>
      </c>
      <c r="E251" s="136" t="s">
        <v>636</v>
      </c>
      <c r="F251" s="137"/>
      <c r="G251" s="137"/>
      <c r="H251" s="137"/>
      <c r="I251" s="69"/>
      <c r="J251" s="69"/>
      <c r="K251" s="69"/>
    </row>
    <row r="252" spans="1:11" x14ac:dyDescent="0.25">
      <c r="A252" s="136" t="s">
        <v>428</v>
      </c>
      <c r="B252" s="65"/>
      <c r="C252" s="175"/>
      <c r="D252" s="166">
        <v>0</v>
      </c>
      <c r="E252" s="136"/>
      <c r="F252" s="137"/>
      <c r="G252" s="137"/>
      <c r="H252" s="137"/>
      <c r="I252" s="69"/>
      <c r="J252" s="69"/>
      <c r="K252" s="69"/>
    </row>
    <row r="253" spans="1:11" x14ac:dyDescent="0.25">
      <c r="A253" s="136"/>
      <c r="B253" s="65"/>
      <c r="C253" s="175"/>
      <c r="D253" s="166">
        <v>0</v>
      </c>
      <c r="E253" s="136" t="s">
        <v>637</v>
      </c>
      <c r="F253" s="137"/>
      <c r="G253" s="137"/>
      <c r="H253" s="137"/>
      <c r="I253" s="69"/>
      <c r="J253" s="69"/>
      <c r="K253" s="69"/>
    </row>
    <row r="254" spans="1:11" x14ac:dyDescent="0.25">
      <c r="A254" s="136" t="s">
        <v>429</v>
      </c>
      <c r="B254" s="136"/>
      <c r="C254" s="175"/>
      <c r="D254" s="166">
        <v>0</v>
      </c>
      <c r="E254" s="136" t="s">
        <v>638</v>
      </c>
      <c r="F254" s="137"/>
      <c r="G254" s="137"/>
      <c r="H254" s="137"/>
      <c r="I254" s="69"/>
      <c r="J254" s="69"/>
      <c r="K254" s="69"/>
    </row>
    <row r="255" spans="1:11" x14ac:dyDescent="0.25">
      <c r="A255" s="136" t="s">
        <v>430</v>
      </c>
      <c r="B255" s="65"/>
      <c r="C255" s="175"/>
      <c r="D255" s="166">
        <v>0</v>
      </c>
      <c r="E255" s="136"/>
      <c r="F255" s="137"/>
      <c r="G255" s="137"/>
      <c r="H255" s="137"/>
      <c r="I255" s="69"/>
      <c r="J255" s="69"/>
      <c r="K255" s="69"/>
    </row>
    <row r="256" spans="1:11" x14ac:dyDescent="0.25">
      <c r="A256" s="136"/>
      <c r="B256" s="65"/>
      <c r="C256" s="175"/>
      <c r="D256" s="166">
        <v>0</v>
      </c>
      <c r="E256" s="136" t="s">
        <v>639</v>
      </c>
      <c r="F256" s="137"/>
      <c r="G256" s="137"/>
      <c r="H256" s="137"/>
      <c r="I256" s="69"/>
      <c r="J256" s="69"/>
      <c r="K256" s="69"/>
    </row>
    <row r="257" spans="1:11" x14ac:dyDescent="0.25">
      <c r="A257" s="136"/>
      <c r="B257" s="65"/>
      <c r="C257" s="175"/>
      <c r="D257" s="166">
        <v>0</v>
      </c>
      <c r="E257" s="136" t="s">
        <v>640</v>
      </c>
      <c r="F257" s="137"/>
      <c r="G257" s="137"/>
      <c r="H257" s="137"/>
      <c r="I257" s="69"/>
      <c r="J257" s="69"/>
      <c r="K257" s="69"/>
    </row>
    <row r="258" spans="1:11" x14ac:dyDescent="0.25">
      <c r="A258" s="136" t="s">
        <v>431</v>
      </c>
      <c r="B258" s="65"/>
      <c r="C258" s="175"/>
      <c r="D258" s="166">
        <v>0</v>
      </c>
      <c r="E258" s="136"/>
      <c r="F258" s="137"/>
      <c r="G258" s="137"/>
      <c r="H258" s="137"/>
      <c r="I258" s="69"/>
      <c r="J258" s="69"/>
      <c r="K258" s="69"/>
    </row>
    <row r="259" spans="1:11" x14ac:dyDescent="0.25">
      <c r="A259" s="136" t="s">
        <v>432</v>
      </c>
      <c r="B259" s="65"/>
      <c r="C259" s="175"/>
      <c r="D259" s="166">
        <v>13.290000000000001</v>
      </c>
      <c r="E259" s="136"/>
      <c r="F259" s="137"/>
      <c r="G259" s="137"/>
      <c r="H259" s="137"/>
      <c r="I259" s="69"/>
      <c r="J259" s="69"/>
      <c r="K259" s="69"/>
    </row>
    <row r="260" spans="1:11" x14ac:dyDescent="0.25">
      <c r="A260" s="136"/>
      <c r="B260" s="65"/>
      <c r="C260" s="175"/>
      <c r="D260" s="166">
        <v>0</v>
      </c>
      <c r="E260" s="136" t="s">
        <v>641</v>
      </c>
      <c r="F260" s="137"/>
      <c r="G260" s="137"/>
      <c r="H260" s="137"/>
      <c r="I260" s="69"/>
      <c r="J260" s="69"/>
      <c r="K260" s="69"/>
    </row>
    <row r="261" spans="1:11" x14ac:dyDescent="0.25">
      <c r="A261" s="136" t="s">
        <v>642</v>
      </c>
      <c r="B261" s="65"/>
      <c r="C261" s="175"/>
      <c r="D261" s="166">
        <v>0</v>
      </c>
      <c r="E261" s="69"/>
      <c r="F261" s="137"/>
      <c r="G261" s="137"/>
      <c r="H261" s="137"/>
      <c r="I261" s="69"/>
      <c r="J261" s="69"/>
      <c r="K261" s="69"/>
    </row>
    <row r="262" spans="1:11" x14ac:dyDescent="0.25">
      <c r="A262" s="136" t="s">
        <v>434</v>
      </c>
      <c r="B262" s="136"/>
      <c r="C262" s="175"/>
      <c r="D262" s="166">
        <v>67568.53</v>
      </c>
      <c r="E262" s="136"/>
      <c r="F262" s="137"/>
      <c r="G262" s="137"/>
      <c r="H262" s="137"/>
      <c r="I262" s="69"/>
      <c r="J262" s="69"/>
      <c r="K262" s="69"/>
    </row>
    <row r="263" spans="1:11" x14ac:dyDescent="0.25">
      <c r="A263" s="136"/>
      <c r="B263" s="136"/>
      <c r="C263" s="175"/>
      <c r="D263" s="166">
        <v>0</v>
      </c>
      <c r="E263" s="136" t="s">
        <v>643</v>
      </c>
      <c r="F263" s="137"/>
      <c r="G263" s="137"/>
      <c r="H263" s="137"/>
      <c r="I263" s="69"/>
      <c r="J263" s="69"/>
      <c r="K263" s="69"/>
    </row>
    <row r="264" spans="1:11" x14ac:dyDescent="0.25">
      <c r="A264" s="136"/>
      <c r="B264" s="136"/>
      <c r="C264" s="175"/>
      <c r="D264" s="166">
        <v>0</v>
      </c>
      <c r="E264" s="136" t="s">
        <v>644</v>
      </c>
      <c r="F264" s="137"/>
      <c r="G264" s="137"/>
      <c r="H264" s="137"/>
      <c r="I264" s="69"/>
      <c r="J264" s="69"/>
      <c r="K264" s="69"/>
    </row>
    <row r="265" spans="1:11" x14ac:dyDescent="0.25">
      <c r="A265" s="136"/>
      <c r="B265" s="136"/>
      <c r="C265" s="175"/>
      <c r="D265" s="166">
        <v>0</v>
      </c>
      <c r="E265" s="136"/>
      <c r="F265" s="137"/>
      <c r="G265" s="137"/>
      <c r="H265" s="137"/>
      <c r="I265" s="69"/>
      <c r="J265" s="69"/>
      <c r="K265" s="69"/>
    </row>
    <row r="266" spans="1:11" x14ac:dyDescent="0.25">
      <c r="A266" s="136"/>
      <c r="B266" s="136"/>
      <c r="C266" s="175"/>
      <c r="D266" s="166">
        <v>0</v>
      </c>
      <c r="E266" s="136" t="s">
        <v>645</v>
      </c>
      <c r="F266" s="137"/>
      <c r="G266" s="137"/>
      <c r="H266" s="137"/>
      <c r="I266" s="69"/>
      <c r="J266" s="69"/>
      <c r="K266" s="69"/>
    </row>
    <row r="267" spans="1:11" x14ac:dyDescent="0.25">
      <c r="A267" s="136"/>
      <c r="B267" s="136"/>
      <c r="C267" s="175"/>
      <c r="D267" s="166">
        <v>0</v>
      </c>
      <c r="E267" s="136" t="s">
        <v>646</v>
      </c>
      <c r="F267" s="137"/>
      <c r="G267" s="137"/>
      <c r="H267" s="137"/>
      <c r="I267" s="69"/>
      <c r="J267" s="69"/>
      <c r="K267" s="69"/>
    </row>
    <row r="268" spans="1:11" x14ac:dyDescent="0.25">
      <c r="A268" s="136"/>
      <c r="B268" s="65"/>
      <c r="C268" s="175"/>
      <c r="D268" s="166">
        <v>0</v>
      </c>
      <c r="E268" s="136" t="s">
        <v>647</v>
      </c>
      <c r="F268" s="137"/>
      <c r="G268" s="137"/>
      <c r="H268" s="137"/>
      <c r="I268" s="69"/>
      <c r="J268" s="69"/>
      <c r="K268" s="69"/>
    </row>
    <row r="269" spans="1:11" x14ac:dyDescent="0.25">
      <c r="A269" s="136" t="s">
        <v>435</v>
      </c>
      <c r="B269" s="65"/>
      <c r="C269" s="175"/>
      <c r="D269" s="166">
        <v>39590.61</v>
      </c>
      <c r="E269" s="69"/>
      <c r="F269" s="137"/>
      <c r="G269" s="137"/>
      <c r="H269" s="137"/>
      <c r="I269" s="69"/>
      <c r="J269" s="69"/>
      <c r="K269" s="69"/>
    </row>
    <row r="270" spans="1:11" x14ac:dyDescent="0.25">
      <c r="A270" s="136"/>
      <c r="B270" s="65"/>
      <c r="C270" s="175"/>
      <c r="D270" s="166">
        <v>0</v>
      </c>
      <c r="E270" s="136" t="s">
        <v>648</v>
      </c>
      <c r="F270" s="137"/>
      <c r="G270" s="137"/>
      <c r="H270" s="137"/>
      <c r="I270" s="69"/>
      <c r="J270" s="69"/>
      <c r="K270" s="69"/>
    </row>
    <row r="271" spans="1:11" x14ac:dyDescent="0.25">
      <c r="A271" s="136"/>
      <c r="B271" s="65"/>
      <c r="C271" s="175"/>
      <c r="D271" s="166">
        <v>0</v>
      </c>
      <c r="E271" s="136" t="s">
        <v>649</v>
      </c>
      <c r="F271" s="137"/>
      <c r="G271" s="137"/>
      <c r="H271" s="137"/>
      <c r="I271" s="69"/>
      <c r="J271" s="69"/>
      <c r="K271" s="69"/>
    </row>
    <row r="272" spans="1:11" x14ac:dyDescent="0.25">
      <c r="A272" s="136"/>
      <c r="B272" s="65"/>
      <c r="C272" s="175"/>
      <c r="D272" s="166">
        <v>0</v>
      </c>
      <c r="E272" s="136" t="s">
        <v>650</v>
      </c>
      <c r="F272" s="137"/>
      <c r="G272" s="137"/>
      <c r="H272" s="137"/>
      <c r="I272" s="69"/>
      <c r="J272" s="69"/>
      <c r="K272" s="69"/>
    </row>
    <row r="273" spans="1:11" x14ac:dyDescent="0.25">
      <c r="A273" s="136"/>
      <c r="B273" s="65"/>
      <c r="C273" s="175"/>
      <c r="D273" s="166">
        <v>0</v>
      </c>
      <c r="E273" s="136" t="s">
        <v>651</v>
      </c>
      <c r="F273" s="137"/>
      <c r="G273" s="137"/>
      <c r="H273" s="137"/>
      <c r="I273" s="69"/>
      <c r="J273" s="69"/>
      <c r="K273" s="69"/>
    </row>
    <row r="274" spans="1:11" x14ac:dyDescent="0.25">
      <c r="A274" s="136"/>
      <c r="B274" s="65"/>
      <c r="C274" s="175"/>
      <c r="D274" s="166">
        <v>0</v>
      </c>
      <c r="E274" s="136" t="s">
        <v>652</v>
      </c>
      <c r="F274" s="137"/>
      <c r="G274" s="137"/>
      <c r="H274" s="137"/>
      <c r="I274" s="69"/>
      <c r="J274" s="69"/>
      <c r="K274" s="69"/>
    </row>
    <row r="275" spans="1:11" x14ac:dyDescent="0.25">
      <c r="A275" s="136"/>
      <c r="B275" s="65"/>
      <c r="C275" s="175"/>
      <c r="D275" s="166">
        <v>0</v>
      </c>
      <c r="E275" s="136" t="s">
        <v>653</v>
      </c>
      <c r="F275" s="137"/>
      <c r="G275" s="137"/>
      <c r="H275" s="137"/>
      <c r="I275" s="69"/>
      <c r="J275" s="69"/>
      <c r="K275" s="69"/>
    </row>
    <row r="276" spans="1:11" x14ac:dyDescent="0.25">
      <c r="A276" s="136"/>
      <c r="B276" s="65"/>
      <c r="C276" s="175"/>
      <c r="D276" s="166">
        <v>0</v>
      </c>
      <c r="E276" s="136" t="s">
        <v>654</v>
      </c>
      <c r="F276" s="137"/>
      <c r="G276" s="137"/>
      <c r="H276" s="137"/>
      <c r="I276" s="69"/>
      <c r="J276" s="69"/>
      <c r="K276" s="69"/>
    </row>
    <row r="277" spans="1:11" x14ac:dyDescent="0.25">
      <c r="A277" s="136" t="s">
        <v>436</v>
      </c>
      <c r="B277" s="65"/>
      <c r="C277" s="175"/>
      <c r="D277" s="166">
        <v>21999.79</v>
      </c>
      <c r="E277" s="69"/>
      <c r="F277" s="137"/>
      <c r="G277" s="137"/>
      <c r="H277" s="137"/>
      <c r="I277" s="69"/>
      <c r="J277" s="69"/>
      <c r="K277" s="69"/>
    </row>
    <row r="278" spans="1:11" x14ac:dyDescent="0.25">
      <c r="A278" s="136"/>
      <c r="B278" s="65"/>
      <c r="C278" s="175"/>
      <c r="D278" s="166">
        <v>0</v>
      </c>
      <c r="E278" s="136" t="s">
        <v>655</v>
      </c>
      <c r="F278" s="137"/>
      <c r="G278" s="137"/>
      <c r="H278" s="137"/>
      <c r="I278" s="69"/>
      <c r="J278" s="69"/>
      <c r="K278" s="69"/>
    </row>
    <row r="279" spans="1:11" x14ac:dyDescent="0.25">
      <c r="A279" s="136"/>
      <c r="B279" s="155"/>
      <c r="C279" s="175"/>
      <c r="D279" s="166">
        <v>0</v>
      </c>
      <c r="E279" s="136" t="s">
        <v>656</v>
      </c>
      <c r="F279" s="137"/>
      <c r="G279" s="137"/>
      <c r="H279" s="137"/>
      <c r="I279" s="69"/>
      <c r="J279" s="69"/>
      <c r="K279" s="69"/>
    </row>
    <row r="280" spans="1:11" x14ac:dyDescent="0.25">
      <c r="A280" s="136"/>
      <c r="B280" s="65"/>
      <c r="C280" s="175"/>
      <c r="D280" s="166">
        <v>0</v>
      </c>
      <c r="E280" s="136" t="s">
        <v>657</v>
      </c>
      <c r="F280" s="137"/>
      <c r="G280" s="137"/>
      <c r="H280" s="137"/>
      <c r="I280" s="69"/>
      <c r="J280" s="69"/>
      <c r="K280" s="69"/>
    </row>
    <row r="281" spans="1:11" x14ac:dyDescent="0.25">
      <c r="A281" s="136"/>
      <c r="B281" s="65"/>
      <c r="C281" s="175"/>
      <c r="D281" s="166">
        <v>0</v>
      </c>
      <c r="E281" s="136" t="s">
        <v>658</v>
      </c>
      <c r="F281" s="137"/>
      <c r="G281" s="137"/>
      <c r="H281" s="137"/>
      <c r="I281" s="69"/>
      <c r="J281" s="69"/>
      <c r="K281" s="69"/>
    </row>
    <row r="282" spans="1:11" x14ac:dyDescent="0.25">
      <c r="A282" s="136"/>
      <c r="B282" s="65"/>
      <c r="C282" s="175"/>
      <c r="D282" s="166">
        <v>0</v>
      </c>
      <c r="E282" s="69" t="s">
        <v>659</v>
      </c>
      <c r="F282" s="137"/>
      <c r="G282" s="137"/>
      <c r="H282" s="137"/>
      <c r="I282" s="69"/>
      <c r="J282" s="69"/>
      <c r="K282" s="69"/>
    </row>
    <row r="283" spans="1:11" x14ac:dyDescent="0.25">
      <c r="A283" s="136"/>
      <c r="B283" s="65"/>
      <c r="C283" s="175"/>
      <c r="D283" s="166">
        <v>0</v>
      </c>
      <c r="E283" s="136" t="s">
        <v>660</v>
      </c>
      <c r="F283" s="137"/>
      <c r="G283" s="137"/>
      <c r="H283" s="137"/>
      <c r="I283" s="69"/>
      <c r="J283" s="69"/>
      <c r="K283" s="69"/>
    </row>
    <row r="284" spans="1:11" x14ac:dyDescent="0.25">
      <c r="A284" s="136"/>
      <c r="B284" s="65"/>
      <c r="C284" s="175"/>
      <c r="D284" s="166">
        <v>0</v>
      </c>
      <c r="E284" s="136" t="s">
        <v>661</v>
      </c>
      <c r="F284" s="137"/>
      <c r="G284" s="137"/>
      <c r="H284" s="137"/>
      <c r="I284" s="69"/>
      <c r="J284" s="69"/>
      <c r="K284" s="69"/>
    </row>
    <row r="285" spans="1:11" x14ac:dyDescent="0.25">
      <c r="A285" s="136" t="s">
        <v>437</v>
      </c>
      <c r="B285" s="136"/>
      <c r="C285" s="175"/>
      <c r="D285" s="166">
        <v>0</v>
      </c>
      <c r="E285" s="136"/>
      <c r="F285" s="137"/>
      <c r="G285" s="137"/>
      <c r="H285" s="137"/>
      <c r="I285" s="69"/>
      <c r="J285" s="69"/>
      <c r="K285" s="69"/>
    </row>
    <row r="286" spans="1:11" x14ac:dyDescent="0.25">
      <c r="A286" s="136" t="s">
        <v>438</v>
      </c>
      <c r="B286" s="65"/>
      <c r="C286" s="175"/>
      <c r="D286" s="166">
        <v>0</v>
      </c>
      <c r="E286" s="136"/>
      <c r="F286" s="137"/>
      <c r="G286" s="137"/>
      <c r="H286" s="137"/>
      <c r="I286" s="69"/>
      <c r="J286" s="69"/>
      <c r="K286" s="69"/>
    </row>
    <row r="287" spans="1:11" x14ac:dyDescent="0.25">
      <c r="A287" s="136"/>
      <c r="B287" s="65"/>
      <c r="C287" s="175"/>
      <c r="D287" s="166">
        <v>0</v>
      </c>
      <c r="E287" s="136" t="s">
        <v>662</v>
      </c>
      <c r="F287" s="137"/>
      <c r="G287" s="137"/>
      <c r="H287" s="137"/>
      <c r="I287" s="69"/>
      <c r="J287" s="69"/>
      <c r="K287" s="69"/>
    </row>
    <row r="288" spans="1:11" x14ac:dyDescent="0.25">
      <c r="A288" s="162"/>
      <c r="B288" s="65"/>
      <c r="C288" s="175"/>
      <c r="D288" s="166">
        <v>0</v>
      </c>
      <c r="E288" s="136" t="s">
        <v>663</v>
      </c>
      <c r="F288" s="137"/>
      <c r="G288" s="137"/>
      <c r="H288" s="137"/>
      <c r="I288" s="69"/>
      <c r="J288" s="69"/>
      <c r="K288" s="69"/>
    </row>
    <row r="289" spans="1:11" x14ac:dyDescent="0.25">
      <c r="A289" s="136"/>
      <c r="B289" s="136"/>
      <c r="C289" s="175"/>
      <c r="D289" s="166">
        <v>0</v>
      </c>
      <c r="E289" s="162" t="s">
        <v>664</v>
      </c>
      <c r="F289" s="137"/>
      <c r="G289" s="137"/>
      <c r="H289" s="137"/>
      <c r="I289" s="69"/>
      <c r="J289" s="69"/>
      <c r="K289" s="69"/>
    </row>
    <row r="290" spans="1:11" x14ac:dyDescent="0.25">
      <c r="A290" s="136" t="s">
        <v>439</v>
      </c>
      <c r="B290" s="136"/>
      <c r="C290" s="175"/>
      <c r="D290" s="166">
        <v>5697.21</v>
      </c>
      <c r="E290" s="69"/>
      <c r="F290" s="137"/>
      <c r="G290" s="137"/>
      <c r="H290" s="137"/>
      <c r="I290" s="69"/>
      <c r="J290" s="69"/>
      <c r="K290" s="69"/>
    </row>
    <row r="291" spans="1:11" x14ac:dyDescent="0.25">
      <c r="A291" s="136"/>
      <c r="B291" s="65"/>
      <c r="C291" s="175"/>
      <c r="D291" s="166">
        <v>0</v>
      </c>
      <c r="E291" s="136" t="s">
        <v>665</v>
      </c>
      <c r="F291" s="137"/>
      <c r="G291" s="137"/>
      <c r="H291" s="137"/>
      <c r="I291" s="69"/>
      <c r="J291" s="69"/>
      <c r="K291" s="69"/>
    </row>
    <row r="292" spans="1:11" x14ac:dyDescent="0.25">
      <c r="A292" s="136"/>
      <c r="B292" s="65"/>
      <c r="C292" s="175"/>
      <c r="D292" s="166">
        <v>0</v>
      </c>
      <c r="E292" s="136" t="s">
        <v>666</v>
      </c>
      <c r="F292" s="137"/>
      <c r="G292" s="137"/>
      <c r="H292" s="137"/>
      <c r="I292" s="69"/>
      <c r="J292" s="69"/>
      <c r="K292" s="69"/>
    </row>
    <row r="293" spans="1:11" x14ac:dyDescent="0.25">
      <c r="A293" s="136"/>
      <c r="B293" s="65"/>
      <c r="C293" s="175"/>
      <c r="D293" s="166">
        <v>0</v>
      </c>
      <c r="E293" s="136" t="s">
        <v>667</v>
      </c>
      <c r="F293" s="137"/>
      <c r="G293" s="137"/>
      <c r="H293" s="137"/>
      <c r="I293" s="69"/>
      <c r="J293" s="69"/>
      <c r="K293" s="69"/>
    </row>
    <row r="294" spans="1:11" x14ac:dyDescent="0.25">
      <c r="A294" s="136"/>
      <c r="B294" s="65"/>
      <c r="C294" s="175"/>
      <c r="D294" s="166">
        <v>0</v>
      </c>
      <c r="E294" s="136" t="s">
        <v>668</v>
      </c>
      <c r="F294" s="137"/>
      <c r="G294" s="137"/>
      <c r="H294" s="137"/>
      <c r="I294" s="69"/>
      <c r="J294" s="69"/>
      <c r="K294" s="69"/>
    </row>
    <row r="295" spans="1:11" x14ac:dyDescent="0.25">
      <c r="A295" s="136"/>
      <c r="B295" s="65"/>
      <c r="C295" s="175"/>
      <c r="D295" s="166">
        <v>0</v>
      </c>
      <c r="E295" s="136" t="s">
        <v>669</v>
      </c>
      <c r="F295" s="137"/>
      <c r="G295" s="137"/>
      <c r="H295" s="137"/>
      <c r="I295" s="69"/>
      <c r="J295" s="69"/>
      <c r="K295" s="69"/>
    </row>
    <row r="296" spans="1:11" x14ac:dyDescent="0.25">
      <c r="A296" s="136"/>
      <c r="B296" s="136"/>
      <c r="C296" s="175"/>
      <c r="D296" s="166">
        <v>0</v>
      </c>
      <c r="E296" s="136" t="s">
        <v>670</v>
      </c>
      <c r="F296" s="137"/>
      <c r="G296" s="137"/>
      <c r="H296" s="137"/>
      <c r="I296" s="69"/>
      <c r="J296" s="69"/>
      <c r="K296" s="69"/>
    </row>
    <row r="297" spans="1:11" x14ac:dyDescent="0.25">
      <c r="A297" s="136"/>
      <c r="B297" s="65"/>
      <c r="C297" s="175"/>
      <c r="D297" s="166">
        <v>0</v>
      </c>
      <c r="E297" s="136" t="s">
        <v>671</v>
      </c>
      <c r="F297" s="137"/>
      <c r="G297" s="137"/>
      <c r="H297" s="137"/>
      <c r="I297" s="69"/>
      <c r="J297" s="69"/>
      <c r="K297" s="69"/>
    </row>
    <row r="298" spans="1:11" x14ac:dyDescent="0.25">
      <c r="A298" s="136"/>
      <c r="B298" s="65"/>
      <c r="C298" s="175"/>
      <c r="D298" s="166">
        <v>0</v>
      </c>
      <c r="E298" s="69" t="s">
        <v>672</v>
      </c>
      <c r="F298" s="137"/>
      <c r="G298" s="137"/>
      <c r="H298" s="137"/>
      <c r="I298" s="69"/>
      <c r="J298" s="69"/>
      <c r="K298" s="69"/>
    </row>
    <row r="299" spans="1:11" x14ac:dyDescent="0.25">
      <c r="A299" s="65" t="s">
        <v>440</v>
      </c>
      <c r="B299" s="65"/>
      <c r="C299" s="65"/>
      <c r="D299" s="166">
        <v>6899.75</v>
      </c>
      <c r="E299" s="136"/>
      <c r="F299" s="137"/>
      <c r="G299" s="137"/>
      <c r="H299" s="137"/>
      <c r="I299" s="69"/>
      <c r="J299" s="69"/>
      <c r="K299" s="69"/>
    </row>
    <row r="300" spans="1:11" x14ac:dyDescent="0.25">
      <c r="A300" s="136"/>
      <c r="B300" s="65"/>
      <c r="C300" s="175"/>
      <c r="D300" s="166">
        <v>0</v>
      </c>
      <c r="E300" s="136" t="s">
        <v>673</v>
      </c>
      <c r="F300" s="137"/>
      <c r="G300" s="137"/>
      <c r="H300" s="137"/>
      <c r="I300" s="69"/>
      <c r="J300" s="69"/>
      <c r="K300" s="69"/>
    </row>
    <row r="301" spans="1:11" x14ac:dyDescent="0.25">
      <c r="A301" s="136"/>
      <c r="B301" s="65"/>
      <c r="C301" s="175"/>
      <c r="D301" s="166">
        <v>0</v>
      </c>
      <c r="E301" s="136" t="s">
        <v>674</v>
      </c>
      <c r="F301" s="137"/>
      <c r="G301" s="137"/>
      <c r="H301" s="137"/>
      <c r="I301" s="69"/>
      <c r="J301" s="69"/>
      <c r="K301" s="69"/>
    </row>
    <row r="302" spans="1:11" x14ac:dyDescent="0.25">
      <c r="A302" s="136"/>
      <c r="B302" s="65"/>
      <c r="C302" s="175"/>
      <c r="D302" s="166">
        <v>0</v>
      </c>
      <c r="E302" s="136" t="s">
        <v>675</v>
      </c>
      <c r="F302" s="137"/>
      <c r="G302" s="137"/>
      <c r="H302" s="137"/>
      <c r="I302" s="69"/>
      <c r="J302" s="69"/>
      <c r="K302" s="69"/>
    </row>
    <row r="303" spans="1:11" x14ac:dyDescent="0.25">
      <c r="A303" s="136"/>
      <c r="B303" s="65"/>
      <c r="C303" s="175"/>
      <c r="D303" s="166">
        <v>0</v>
      </c>
      <c r="E303" s="136" t="s">
        <v>676</v>
      </c>
      <c r="F303" s="137"/>
      <c r="G303" s="137"/>
      <c r="H303" s="137"/>
      <c r="I303" s="69"/>
      <c r="J303" s="69"/>
      <c r="K303" s="69"/>
    </row>
    <row r="304" spans="1:11" x14ac:dyDescent="0.25">
      <c r="A304" s="136"/>
      <c r="B304" s="65"/>
      <c r="C304" s="175"/>
      <c r="D304" s="166">
        <v>0</v>
      </c>
      <c r="E304" s="136" t="s">
        <v>677</v>
      </c>
      <c r="F304" s="137"/>
      <c r="G304" s="137"/>
      <c r="H304" s="137"/>
      <c r="I304" s="69"/>
      <c r="J304" s="69"/>
      <c r="K304" s="69"/>
    </row>
    <row r="305" spans="1:11" x14ac:dyDescent="0.25">
      <c r="A305" s="136"/>
      <c r="B305" s="65"/>
      <c r="C305" s="175"/>
      <c r="D305" s="166">
        <v>0</v>
      </c>
      <c r="E305" s="136" t="s">
        <v>678</v>
      </c>
      <c r="F305" s="137"/>
      <c r="G305" s="137"/>
      <c r="H305" s="137"/>
      <c r="I305" s="69"/>
      <c r="J305" s="69"/>
      <c r="K305" s="69"/>
    </row>
    <row r="306" spans="1:11" x14ac:dyDescent="0.25">
      <c r="A306" s="136"/>
      <c r="B306" s="65"/>
      <c r="C306" s="175"/>
      <c r="D306" s="166">
        <v>0</v>
      </c>
      <c r="E306" s="69" t="s">
        <v>679</v>
      </c>
      <c r="F306" s="137"/>
      <c r="G306" s="137"/>
      <c r="H306" s="137"/>
      <c r="I306" s="69"/>
      <c r="J306" s="69"/>
      <c r="K306" s="69"/>
    </row>
    <row r="307" spans="1:11" x14ac:dyDescent="0.25">
      <c r="A307" s="136"/>
      <c r="B307" s="136"/>
      <c r="C307" s="175"/>
      <c r="D307" s="166">
        <v>0</v>
      </c>
      <c r="E307" s="136"/>
      <c r="F307" s="137"/>
      <c r="G307" s="137"/>
      <c r="H307" s="137"/>
      <c r="I307" s="69"/>
      <c r="J307" s="69"/>
      <c r="K307" s="69"/>
    </row>
    <row r="308" spans="1:11" x14ac:dyDescent="0.25">
      <c r="A308" s="136" t="s">
        <v>441</v>
      </c>
      <c r="B308" s="136"/>
      <c r="C308" s="175"/>
      <c r="D308" s="166">
        <v>0</v>
      </c>
      <c r="E308" s="136" t="s">
        <v>680</v>
      </c>
      <c r="F308" s="137"/>
      <c r="G308" s="137"/>
      <c r="H308" s="137"/>
      <c r="I308" s="69"/>
      <c r="J308" s="69"/>
      <c r="K308" s="69"/>
    </row>
    <row r="309" spans="1:11" x14ac:dyDescent="0.25">
      <c r="A309" s="136"/>
      <c r="B309" s="136"/>
      <c r="C309" s="175"/>
      <c r="D309" s="166">
        <v>0</v>
      </c>
      <c r="E309" s="136" t="s">
        <v>681</v>
      </c>
      <c r="F309" s="137"/>
      <c r="G309" s="137"/>
      <c r="H309" s="137"/>
      <c r="I309" s="69"/>
      <c r="J309" s="69"/>
      <c r="K309" s="69"/>
    </row>
    <row r="310" spans="1:11" x14ac:dyDescent="0.25">
      <c r="A310" s="136" t="s">
        <v>442</v>
      </c>
      <c r="B310" s="136"/>
      <c r="C310" s="175"/>
      <c r="D310" s="166">
        <v>0</v>
      </c>
      <c r="E310" s="136" t="s">
        <v>682</v>
      </c>
      <c r="F310" s="137"/>
      <c r="G310" s="137"/>
      <c r="H310" s="137"/>
      <c r="I310" s="69"/>
      <c r="J310" s="69"/>
      <c r="K310" s="69"/>
    </row>
    <row r="311" spans="1:11" x14ac:dyDescent="0.25">
      <c r="A311" s="136" t="s">
        <v>443</v>
      </c>
      <c r="B311" s="65"/>
      <c r="C311" s="175"/>
      <c r="D311" s="166">
        <v>0</v>
      </c>
      <c r="E311" s="136" t="s">
        <v>683</v>
      </c>
      <c r="F311" s="137"/>
      <c r="G311" s="137"/>
      <c r="H311" s="137"/>
      <c r="I311" s="69"/>
      <c r="J311" s="69"/>
      <c r="K311" s="69"/>
    </row>
    <row r="312" spans="1:11" x14ac:dyDescent="0.25">
      <c r="A312" s="136" t="s">
        <v>444</v>
      </c>
      <c r="B312" s="136"/>
      <c r="C312" s="175"/>
      <c r="D312" s="166">
        <v>0</v>
      </c>
      <c r="E312" s="136"/>
      <c r="F312" s="137"/>
      <c r="G312" s="137"/>
      <c r="H312" s="137"/>
      <c r="I312" s="69"/>
      <c r="J312" s="69"/>
      <c r="K312" s="69"/>
    </row>
    <row r="313" spans="1:11" x14ac:dyDescent="0.25">
      <c r="A313" s="136"/>
      <c r="B313" s="136"/>
      <c r="C313" s="175"/>
      <c r="D313" s="166">
        <v>0</v>
      </c>
      <c r="E313" s="69" t="s">
        <v>684</v>
      </c>
      <c r="F313" s="137"/>
      <c r="G313" s="137"/>
      <c r="H313" s="137"/>
      <c r="I313" s="69"/>
      <c r="J313" s="69"/>
      <c r="K313" s="69"/>
    </row>
    <row r="314" spans="1:11" x14ac:dyDescent="0.25">
      <c r="A314" s="136"/>
      <c r="B314" s="65"/>
      <c r="C314" s="175"/>
      <c r="D314" s="166">
        <v>0</v>
      </c>
      <c r="E314" s="136" t="s">
        <v>685</v>
      </c>
      <c r="F314" s="137"/>
      <c r="G314" s="137"/>
      <c r="H314" s="137"/>
      <c r="I314" s="69"/>
      <c r="J314" s="69"/>
      <c r="K314" s="69"/>
    </row>
    <row r="315" spans="1:11" x14ac:dyDescent="0.25">
      <c r="A315" s="136"/>
      <c r="B315" s="65"/>
      <c r="C315" s="175"/>
      <c r="D315" s="166">
        <v>0</v>
      </c>
      <c r="E315" s="136" t="s">
        <v>686</v>
      </c>
      <c r="F315" s="137"/>
      <c r="G315" s="137"/>
      <c r="H315" s="137"/>
      <c r="I315" s="69"/>
      <c r="J315" s="69"/>
      <c r="K315" s="69"/>
    </row>
    <row r="316" spans="1:11" x14ac:dyDescent="0.25">
      <c r="A316" s="136" t="s">
        <v>445</v>
      </c>
      <c r="B316" s="65"/>
      <c r="C316" s="175"/>
      <c r="D316" s="166">
        <v>0</v>
      </c>
      <c r="E316" s="136"/>
      <c r="F316" s="137"/>
      <c r="G316" s="137"/>
      <c r="H316" s="137"/>
      <c r="I316" s="69"/>
      <c r="J316" s="69"/>
      <c r="K316" s="69"/>
    </row>
    <row r="317" spans="1:11" x14ac:dyDescent="0.25">
      <c r="A317" s="136" t="s">
        <v>446</v>
      </c>
      <c r="B317" s="155"/>
      <c r="C317" s="175"/>
      <c r="D317" s="166">
        <v>199325.7</v>
      </c>
      <c r="E317" s="136"/>
      <c r="F317" s="137"/>
      <c r="G317" s="137"/>
      <c r="H317" s="137"/>
      <c r="I317" s="69"/>
      <c r="J317" s="69"/>
      <c r="K317" s="69"/>
    </row>
    <row r="318" spans="1:11" x14ac:dyDescent="0.25">
      <c r="A318" s="136"/>
      <c r="B318" s="65"/>
      <c r="C318" s="175"/>
      <c r="D318" s="166">
        <v>0</v>
      </c>
      <c r="E318" s="136" t="s">
        <v>687</v>
      </c>
      <c r="F318" s="137"/>
      <c r="G318" s="137"/>
      <c r="H318" s="137"/>
      <c r="I318" s="69"/>
      <c r="J318" s="69"/>
      <c r="K318" s="69"/>
    </row>
    <row r="319" spans="1:11" x14ac:dyDescent="0.25">
      <c r="A319" s="136"/>
      <c r="B319" s="65"/>
      <c r="C319" s="175"/>
      <c r="D319" s="166">
        <v>0</v>
      </c>
      <c r="E319" s="136" t="s">
        <v>688</v>
      </c>
      <c r="F319" s="137"/>
      <c r="G319" s="137"/>
      <c r="H319" s="137"/>
      <c r="I319" s="69"/>
      <c r="J319" s="69"/>
      <c r="K319" s="69"/>
    </row>
    <row r="320" spans="1:11" x14ac:dyDescent="0.25">
      <c r="A320" s="136"/>
      <c r="B320" s="65"/>
      <c r="C320" s="175"/>
      <c r="D320" s="166">
        <v>0</v>
      </c>
      <c r="E320" s="136" t="s">
        <v>689</v>
      </c>
      <c r="F320" s="137"/>
      <c r="G320" s="137"/>
      <c r="H320" s="137"/>
      <c r="I320" s="69"/>
      <c r="J320" s="69"/>
      <c r="K320" s="69"/>
    </row>
    <row r="321" spans="1:11" x14ac:dyDescent="0.25">
      <c r="A321" s="136"/>
      <c r="B321" s="65"/>
      <c r="C321" s="175"/>
      <c r="D321" s="166">
        <v>0</v>
      </c>
      <c r="E321" s="136" t="s">
        <v>690</v>
      </c>
      <c r="F321" s="137"/>
      <c r="G321" s="137"/>
      <c r="H321" s="137"/>
      <c r="I321" s="69"/>
      <c r="J321" s="69"/>
      <c r="K321" s="69"/>
    </row>
    <row r="322" spans="1:11" x14ac:dyDescent="0.25">
      <c r="A322" s="136"/>
      <c r="B322" s="65"/>
      <c r="C322" s="175"/>
      <c r="D322" s="166">
        <v>0</v>
      </c>
      <c r="E322" s="136" t="s">
        <v>691</v>
      </c>
      <c r="F322" s="137"/>
      <c r="G322" s="137"/>
      <c r="H322" s="137"/>
      <c r="I322" s="69"/>
      <c r="J322" s="69"/>
      <c r="K322" s="69"/>
    </row>
    <row r="323" spans="1:11" x14ac:dyDescent="0.25">
      <c r="A323" s="136" t="s">
        <v>447</v>
      </c>
      <c r="B323" s="136"/>
      <c r="C323" s="175"/>
      <c r="D323" s="166">
        <v>41896.28</v>
      </c>
      <c r="E323" s="69"/>
      <c r="F323" s="137"/>
      <c r="G323" s="137"/>
      <c r="H323" s="137"/>
      <c r="I323" s="69"/>
      <c r="J323" s="69"/>
      <c r="K323" s="69"/>
    </row>
    <row r="324" spans="1:11" x14ac:dyDescent="0.25">
      <c r="A324" s="136"/>
      <c r="B324" s="65"/>
      <c r="C324" s="175"/>
      <c r="D324" s="166">
        <v>0</v>
      </c>
      <c r="E324" s="136" t="s">
        <v>692</v>
      </c>
      <c r="F324" s="137"/>
      <c r="G324" s="137"/>
      <c r="H324" s="137"/>
      <c r="I324" s="69"/>
      <c r="J324" s="69"/>
      <c r="K324" s="69"/>
    </row>
    <row r="325" spans="1:11" x14ac:dyDescent="0.25">
      <c r="A325" s="136"/>
      <c r="B325" s="136"/>
      <c r="C325" s="175"/>
      <c r="D325" s="166">
        <v>0</v>
      </c>
      <c r="E325" s="136" t="s">
        <v>693</v>
      </c>
      <c r="F325" s="137"/>
      <c r="G325" s="137"/>
      <c r="H325" s="137"/>
      <c r="I325" s="69"/>
      <c r="J325" s="69"/>
      <c r="K325" s="69"/>
    </row>
    <row r="326" spans="1:11" x14ac:dyDescent="0.25">
      <c r="A326" s="136"/>
      <c r="B326" s="136"/>
      <c r="C326" s="175"/>
      <c r="D326" s="166">
        <v>0</v>
      </c>
      <c r="E326" s="136" t="s">
        <v>694</v>
      </c>
      <c r="F326" s="137"/>
      <c r="G326" s="137"/>
      <c r="H326" s="137"/>
      <c r="I326" s="69"/>
      <c r="J326" s="69"/>
      <c r="K326" s="69"/>
    </row>
    <row r="327" spans="1:11" x14ac:dyDescent="0.25">
      <c r="A327" s="136"/>
      <c r="B327" s="155"/>
      <c r="C327" s="175"/>
      <c r="D327" s="166">
        <v>0</v>
      </c>
      <c r="E327" s="136" t="s">
        <v>695</v>
      </c>
      <c r="F327" s="137"/>
      <c r="G327" s="137"/>
      <c r="H327" s="137"/>
      <c r="I327" s="69"/>
      <c r="J327" s="69"/>
      <c r="K327" s="69"/>
    </row>
    <row r="328" spans="1:11" x14ac:dyDescent="0.25">
      <c r="A328" s="136"/>
      <c r="B328" s="155"/>
      <c r="C328" s="175"/>
      <c r="D328" s="166">
        <v>0</v>
      </c>
      <c r="E328" s="136" t="s">
        <v>696</v>
      </c>
      <c r="F328" s="137"/>
      <c r="G328" s="137"/>
      <c r="H328" s="137"/>
      <c r="I328" s="69"/>
      <c r="J328" s="69"/>
      <c r="K328" s="69"/>
    </row>
    <row r="329" spans="1:11" x14ac:dyDescent="0.25">
      <c r="A329" s="136"/>
      <c r="B329" s="65"/>
      <c r="C329" s="175"/>
      <c r="D329" s="166">
        <v>0</v>
      </c>
      <c r="E329" s="69" t="s">
        <v>697</v>
      </c>
      <c r="F329" s="137"/>
      <c r="G329" s="137"/>
      <c r="H329" s="137"/>
      <c r="I329" s="69"/>
      <c r="J329" s="69"/>
      <c r="K329" s="69"/>
    </row>
    <row r="330" spans="1:11" x14ac:dyDescent="0.25">
      <c r="A330" s="136"/>
      <c r="B330" s="65"/>
      <c r="C330" s="175"/>
      <c r="D330" s="166">
        <v>0</v>
      </c>
      <c r="E330" s="136" t="s">
        <v>698</v>
      </c>
      <c r="F330" s="137"/>
      <c r="G330" s="137"/>
      <c r="H330" s="137"/>
      <c r="I330" s="69"/>
      <c r="J330" s="69"/>
      <c r="K330" s="69"/>
    </row>
    <row r="331" spans="1:11" x14ac:dyDescent="0.25">
      <c r="A331" s="136"/>
      <c r="B331" s="65"/>
      <c r="C331" s="175"/>
      <c r="D331" s="166">
        <v>0</v>
      </c>
      <c r="E331" s="136" t="s">
        <v>699</v>
      </c>
      <c r="F331" s="137"/>
      <c r="G331" s="137"/>
      <c r="H331" s="137"/>
      <c r="I331" s="69"/>
      <c r="J331" s="69"/>
      <c r="K331" s="69"/>
    </row>
    <row r="332" spans="1:11" x14ac:dyDescent="0.25">
      <c r="A332" s="69"/>
      <c r="B332" s="65"/>
      <c r="C332" s="175"/>
      <c r="D332" s="166">
        <v>0</v>
      </c>
      <c r="E332" s="136" t="s">
        <v>700</v>
      </c>
      <c r="F332" s="137"/>
      <c r="G332" s="137"/>
      <c r="H332" s="137"/>
      <c r="I332" s="69"/>
      <c r="J332" s="69"/>
      <c r="K332" s="69"/>
    </row>
    <row r="333" spans="1:11" x14ac:dyDescent="0.25">
      <c r="A333" s="136" t="s">
        <v>448</v>
      </c>
      <c r="B333" s="136"/>
      <c r="C333" s="175"/>
      <c r="D333" s="166">
        <v>0</v>
      </c>
      <c r="E333" s="69"/>
      <c r="F333" s="137"/>
      <c r="G333" s="137"/>
      <c r="H333" s="137"/>
      <c r="I333" s="69"/>
      <c r="J333" s="69"/>
      <c r="K333" s="69"/>
    </row>
    <row r="334" spans="1:11" x14ac:dyDescent="0.25">
      <c r="A334" s="136" t="s">
        <v>449</v>
      </c>
      <c r="B334" s="136"/>
      <c r="C334" s="175"/>
      <c r="D334" s="166">
        <v>0</v>
      </c>
      <c r="E334" s="136"/>
      <c r="F334" s="137"/>
      <c r="G334" s="137"/>
      <c r="H334" s="137"/>
      <c r="I334" s="69"/>
      <c r="J334" s="69"/>
      <c r="K334" s="69"/>
    </row>
    <row r="335" spans="1:11" x14ac:dyDescent="0.25">
      <c r="A335" s="136" t="s">
        <v>450</v>
      </c>
      <c r="B335" s="65"/>
      <c r="C335" s="175"/>
      <c r="D335" s="166">
        <v>0</v>
      </c>
      <c r="E335" s="136"/>
      <c r="F335" s="137"/>
      <c r="G335" s="137"/>
      <c r="H335" s="137"/>
      <c r="I335" s="69"/>
      <c r="J335" s="69"/>
      <c r="K335" s="69"/>
    </row>
    <row r="336" spans="1:11" x14ac:dyDescent="0.25">
      <c r="A336" s="136" t="s">
        <v>451</v>
      </c>
      <c r="B336" s="65"/>
      <c r="C336" s="175"/>
      <c r="D336" s="166">
        <v>0</v>
      </c>
      <c r="E336" s="136"/>
      <c r="F336" s="137"/>
      <c r="G336" s="137"/>
      <c r="H336" s="137"/>
      <c r="I336" s="69"/>
      <c r="J336" s="69"/>
      <c r="K336" s="69"/>
    </row>
    <row r="337" spans="1:11" x14ac:dyDescent="0.25">
      <c r="A337" s="136" t="s">
        <v>452</v>
      </c>
      <c r="B337" s="65"/>
      <c r="C337" s="175"/>
      <c r="D337" s="166">
        <v>0</v>
      </c>
      <c r="E337" s="136" t="s">
        <v>701</v>
      </c>
      <c r="F337" s="137"/>
      <c r="G337" s="137"/>
      <c r="H337" s="137"/>
      <c r="I337" s="69"/>
      <c r="J337" s="69"/>
      <c r="K337" s="69"/>
    </row>
    <row r="338" spans="1:11" x14ac:dyDescent="0.25">
      <c r="A338" s="136"/>
      <c r="B338" s="65"/>
      <c r="C338" s="175"/>
      <c r="D338" s="166">
        <v>0</v>
      </c>
      <c r="E338" s="69" t="s">
        <v>702</v>
      </c>
      <c r="F338" s="137"/>
      <c r="G338" s="137"/>
      <c r="H338" s="137"/>
      <c r="I338" s="69"/>
      <c r="J338" s="69"/>
      <c r="K338" s="69"/>
    </row>
    <row r="339" spans="1:11" x14ac:dyDescent="0.25">
      <c r="A339" s="136" t="s">
        <v>453</v>
      </c>
      <c r="B339" s="136"/>
      <c r="C339" s="175"/>
      <c r="D339" s="166">
        <v>0</v>
      </c>
      <c r="E339" s="136"/>
      <c r="F339" s="137"/>
      <c r="G339" s="137"/>
      <c r="H339" s="137"/>
      <c r="I339" s="69"/>
      <c r="J339" s="69"/>
      <c r="K339" s="69"/>
    </row>
    <row r="340" spans="1:11" x14ac:dyDescent="0.25">
      <c r="A340" s="136" t="s">
        <v>454</v>
      </c>
      <c r="B340" s="136"/>
      <c r="C340" s="175"/>
      <c r="D340" s="166">
        <v>11037.460000000001</v>
      </c>
      <c r="E340" s="136"/>
      <c r="F340" s="137"/>
      <c r="G340" s="137"/>
      <c r="H340" s="137"/>
      <c r="I340" s="69"/>
      <c r="J340" s="69"/>
      <c r="K340" s="69"/>
    </row>
    <row r="341" spans="1:11" x14ac:dyDescent="0.25">
      <c r="A341" s="136"/>
      <c r="B341" s="155"/>
      <c r="C341" s="175"/>
      <c r="D341" s="166">
        <v>0</v>
      </c>
      <c r="E341" s="136" t="s">
        <v>703</v>
      </c>
      <c r="F341" s="137"/>
      <c r="G341" s="137"/>
      <c r="H341" s="137"/>
      <c r="I341" s="69"/>
      <c r="J341" s="69"/>
      <c r="K341" s="69"/>
    </row>
    <row r="342" spans="1:11" x14ac:dyDescent="0.25">
      <c r="A342" s="136"/>
      <c r="B342" s="65"/>
      <c r="C342" s="175"/>
      <c r="D342" s="166">
        <v>0</v>
      </c>
      <c r="E342" s="69" t="s">
        <v>704</v>
      </c>
      <c r="F342" s="137"/>
      <c r="G342" s="137"/>
      <c r="H342" s="137"/>
      <c r="I342" s="69"/>
      <c r="J342" s="69"/>
      <c r="K342" s="69"/>
    </row>
    <row r="343" spans="1:11" x14ac:dyDescent="0.25">
      <c r="A343" s="136" t="s">
        <v>455</v>
      </c>
      <c r="B343" s="65"/>
      <c r="C343" s="175"/>
      <c r="D343" s="166">
        <v>4064.29</v>
      </c>
      <c r="E343" s="136"/>
      <c r="F343" s="137"/>
      <c r="G343" s="137"/>
      <c r="H343" s="137"/>
      <c r="I343" s="69"/>
      <c r="J343" s="69"/>
      <c r="K343" s="69"/>
    </row>
    <row r="344" spans="1:11" x14ac:dyDescent="0.25">
      <c r="A344" s="136"/>
      <c r="B344" s="65"/>
      <c r="C344" s="175"/>
      <c r="D344" s="166">
        <v>0</v>
      </c>
      <c r="E344" s="136" t="s">
        <v>705</v>
      </c>
      <c r="F344" s="137"/>
      <c r="G344" s="137"/>
      <c r="H344" s="137"/>
      <c r="I344" s="69"/>
      <c r="J344" s="69"/>
      <c r="K344" s="69"/>
    </row>
    <row r="345" spans="1:11" x14ac:dyDescent="0.25">
      <c r="A345" s="136"/>
      <c r="B345" s="65"/>
      <c r="C345" s="175"/>
      <c r="D345" s="166">
        <v>0</v>
      </c>
      <c r="E345" s="136" t="s">
        <v>706</v>
      </c>
      <c r="F345" s="137"/>
      <c r="G345" s="137"/>
      <c r="H345" s="137"/>
      <c r="I345" s="69"/>
      <c r="J345" s="69"/>
      <c r="K345" s="69"/>
    </row>
    <row r="346" spans="1:11" x14ac:dyDescent="0.25">
      <c r="A346" s="136"/>
      <c r="B346" s="65"/>
      <c r="C346" s="175"/>
      <c r="D346" s="166">
        <v>0</v>
      </c>
      <c r="E346" s="136" t="s">
        <v>707</v>
      </c>
      <c r="F346" s="137"/>
      <c r="G346" s="137"/>
      <c r="H346" s="137"/>
      <c r="I346" s="69"/>
      <c r="J346" s="69"/>
      <c r="K346" s="69"/>
    </row>
    <row r="347" spans="1:11" x14ac:dyDescent="0.25">
      <c r="A347" s="136"/>
      <c r="B347" s="65"/>
      <c r="C347" s="175"/>
      <c r="D347" s="166">
        <v>0</v>
      </c>
      <c r="E347" s="136" t="s">
        <v>708</v>
      </c>
      <c r="F347" s="137"/>
      <c r="G347" s="137"/>
      <c r="H347" s="137"/>
      <c r="I347" s="69"/>
      <c r="J347" s="69"/>
      <c r="K347" s="69"/>
    </row>
    <row r="348" spans="1:11" x14ac:dyDescent="0.25">
      <c r="A348" s="136" t="s">
        <v>456</v>
      </c>
      <c r="B348" s="65"/>
      <c r="C348" s="175"/>
      <c r="D348" s="166">
        <v>220698.80000000002</v>
      </c>
      <c r="E348" s="136" t="s">
        <v>709</v>
      </c>
      <c r="F348" s="137"/>
      <c r="G348" s="137"/>
      <c r="H348" s="137"/>
      <c r="I348" s="69"/>
      <c r="J348" s="69"/>
      <c r="K348" s="69"/>
    </row>
    <row r="349" spans="1:11" x14ac:dyDescent="0.25">
      <c r="A349" s="136" t="s">
        <v>457</v>
      </c>
      <c r="B349" s="136"/>
      <c r="C349" s="175"/>
      <c r="D349" s="166">
        <v>0</v>
      </c>
      <c r="E349" s="136"/>
      <c r="F349" s="137"/>
      <c r="G349" s="137"/>
      <c r="H349" s="137"/>
      <c r="I349" s="69"/>
      <c r="J349" s="69"/>
      <c r="K349" s="69"/>
    </row>
    <row r="350" spans="1:11" x14ac:dyDescent="0.25">
      <c r="A350" s="136"/>
      <c r="B350" s="65"/>
      <c r="C350" s="175"/>
      <c r="D350" s="166">
        <v>0</v>
      </c>
      <c r="E350" s="136" t="s">
        <v>710</v>
      </c>
      <c r="F350" s="137"/>
      <c r="G350" s="137"/>
      <c r="H350" s="137"/>
      <c r="I350" s="69"/>
      <c r="J350" s="69"/>
      <c r="K350" s="69"/>
    </row>
    <row r="351" spans="1:11" x14ac:dyDescent="0.25">
      <c r="A351" s="136"/>
      <c r="B351" s="65"/>
      <c r="C351" s="175"/>
      <c r="D351" s="166">
        <v>0</v>
      </c>
      <c r="E351" s="136" t="s">
        <v>711</v>
      </c>
      <c r="F351" s="137"/>
      <c r="G351" s="137"/>
      <c r="H351" s="137"/>
      <c r="I351" s="69"/>
      <c r="J351" s="69"/>
      <c r="K351" s="69"/>
    </row>
    <row r="352" spans="1:11" x14ac:dyDescent="0.25">
      <c r="A352" s="136" t="s">
        <v>458</v>
      </c>
      <c r="B352" s="65"/>
      <c r="C352" s="175"/>
      <c r="D352" s="166">
        <v>0</v>
      </c>
      <c r="E352" s="136"/>
      <c r="F352" s="137"/>
      <c r="G352" s="137"/>
      <c r="H352" s="137"/>
      <c r="I352" s="69"/>
      <c r="J352" s="69"/>
      <c r="K352" s="69"/>
    </row>
    <row r="353" spans="1:11" x14ac:dyDescent="0.25">
      <c r="A353" s="136" t="s">
        <v>459</v>
      </c>
      <c r="B353" s="65"/>
      <c r="C353" s="175"/>
      <c r="D353" s="166">
        <v>622.84</v>
      </c>
      <c r="E353" s="136"/>
      <c r="F353" s="137"/>
      <c r="G353" s="137"/>
      <c r="H353" s="137"/>
      <c r="I353" s="69"/>
      <c r="J353" s="69"/>
      <c r="K353" s="69"/>
    </row>
    <row r="354" spans="1:11" x14ac:dyDescent="0.25">
      <c r="A354" s="136"/>
      <c r="B354" s="136"/>
      <c r="C354" s="137"/>
      <c r="D354" s="166">
        <v>0</v>
      </c>
      <c r="E354" s="136" t="s">
        <v>712</v>
      </c>
      <c r="F354" s="137"/>
      <c r="G354" s="137"/>
      <c r="H354" s="137"/>
      <c r="I354" s="69"/>
      <c r="J354" s="69"/>
      <c r="K354" s="69"/>
    </row>
    <row r="355" spans="1:11" x14ac:dyDescent="0.25">
      <c r="A355" s="136"/>
      <c r="B355" s="65"/>
      <c r="C355" s="175"/>
      <c r="D355" s="166">
        <v>0</v>
      </c>
      <c r="E355" s="136" t="s">
        <v>713</v>
      </c>
      <c r="F355" s="137"/>
      <c r="G355" s="137"/>
      <c r="H355" s="137"/>
      <c r="I355" s="69"/>
      <c r="J355" s="69"/>
      <c r="K355" s="69"/>
    </row>
    <row r="356" spans="1:11" x14ac:dyDescent="0.25">
      <c r="A356" s="136"/>
      <c r="B356" s="65"/>
      <c r="C356" s="175"/>
      <c r="D356" s="166">
        <v>0</v>
      </c>
      <c r="E356" s="136" t="s">
        <v>714</v>
      </c>
      <c r="F356" s="137"/>
      <c r="G356" s="137"/>
      <c r="H356" s="137"/>
      <c r="I356" s="69"/>
      <c r="J356" s="69"/>
      <c r="K356" s="69"/>
    </row>
    <row r="357" spans="1:11" x14ac:dyDescent="0.25">
      <c r="A357" s="136"/>
      <c r="B357" s="65"/>
      <c r="C357" s="175"/>
      <c r="D357" s="166">
        <v>0</v>
      </c>
      <c r="E357" s="136" t="s">
        <v>715</v>
      </c>
      <c r="F357" s="137"/>
      <c r="G357" s="137"/>
      <c r="H357" s="137"/>
      <c r="I357" s="69"/>
      <c r="J357" s="69"/>
      <c r="K357" s="69"/>
    </row>
    <row r="358" spans="1:11" x14ac:dyDescent="0.25">
      <c r="A358" s="136"/>
      <c r="B358" s="136"/>
      <c r="C358" s="175"/>
      <c r="D358" s="166">
        <v>0</v>
      </c>
      <c r="E358" s="136" t="s">
        <v>716</v>
      </c>
      <c r="F358" s="137"/>
      <c r="G358" s="137"/>
      <c r="H358" s="137"/>
      <c r="I358" s="69"/>
      <c r="J358" s="69"/>
      <c r="K358" s="69"/>
    </row>
    <row r="359" spans="1:11" x14ac:dyDescent="0.25">
      <c r="A359" s="136"/>
      <c r="B359" s="155"/>
      <c r="C359" s="175"/>
      <c r="D359" s="166">
        <v>0</v>
      </c>
      <c r="E359" s="136" t="s">
        <v>717</v>
      </c>
      <c r="F359" s="137"/>
      <c r="G359" s="137"/>
      <c r="H359" s="137"/>
      <c r="I359" s="69"/>
      <c r="J359" s="69"/>
      <c r="K359" s="69"/>
    </row>
    <row r="360" spans="1:11" x14ac:dyDescent="0.25">
      <c r="A360" s="136" t="s">
        <v>460</v>
      </c>
      <c r="B360" s="65"/>
      <c r="C360" s="175"/>
      <c r="D360" s="166">
        <v>165115.85</v>
      </c>
      <c r="E360" s="136" t="s">
        <v>718</v>
      </c>
      <c r="F360" s="137"/>
      <c r="G360" s="137"/>
      <c r="H360" s="137"/>
      <c r="I360" s="69"/>
      <c r="J360" s="69"/>
      <c r="K360" s="69"/>
    </row>
    <row r="361" spans="1:11" x14ac:dyDescent="0.25">
      <c r="A361" s="136" t="s">
        <v>719</v>
      </c>
      <c r="B361" s="65"/>
      <c r="C361" s="175"/>
      <c r="D361" s="166">
        <v>0</v>
      </c>
      <c r="E361" s="136"/>
      <c r="F361" s="137"/>
      <c r="G361" s="137"/>
      <c r="H361" s="137"/>
      <c r="I361" s="69"/>
      <c r="J361" s="69"/>
      <c r="K361" s="69"/>
    </row>
    <row r="362" spans="1:11" x14ac:dyDescent="0.25">
      <c r="A362" s="136" t="s">
        <v>462</v>
      </c>
      <c r="B362" s="65"/>
      <c r="C362" s="175"/>
      <c r="D362" s="166">
        <v>2325.9500000000003</v>
      </c>
      <c r="E362" s="136"/>
      <c r="F362" s="137"/>
      <c r="G362" s="137"/>
      <c r="H362" s="137"/>
      <c r="I362" s="69"/>
      <c r="J362" s="69"/>
      <c r="K362" s="69"/>
    </row>
    <row r="363" spans="1:11" x14ac:dyDescent="0.25">
      <c r="A363" s="136"/>
      <c r="B363" s="136"/>
      <c r="C363" s="175"/>
      <c r="D363" s="166">
        <v>0</v>
      </c>
      <c r="E363" s="136" t="s">
        <v>720</v>
      </c>
      <c r="F363" s="137"/>
      <c r="G363" s="137"/>
      <c r="H363" s="137"/>
      <c r="I363" s="69"/>
      <c r="J363" s="69"/>
      <c r="K363" s="69"/>
    </row>
    <row r="364" spans="1:11" x14ac:dyDescent="0.25">
      <c r="A364" s="136"/>
      <c r="B364" s="136"/>
      <c r="C364" s="175"/>
      <c r="D364" s="166">
        <v>0</v>
      </c>
      <c r="E364" s="136" t="s">
        <v>721</v>
      </c>
      <c r="F364" s="137"/>
      <c r="G364" s="137"/>
      <c r="H364" s="137"/>
      <c r="I364" s="69"/>
      <c r="J364" s="69"/>
      <c r="K364" s="69"/>
    </row>
    <row r="365" spans="1:11" x14ac:dyDescent="0.25">
      <c r="A365" s="136"/>
      <c r="B365" s="65"/>
      <c r="C365" s="175"/>
      <c r="D365" s="166">
        <v>0</v>
      </c>
      <c r="E365" s="136" t="s">
        <v>722</v>
      </c>
      <c r="F365" s="137"/>
      <c r="G365" s="137"/>
      <c r="H365" s="137"/>
      <c r="I365" s="69"/>
      <c r="J365" s="69"/>
      <c r="K365" s="69"/>
    </row>
    <row r="366" spans="1:11" x14ac:dyDescent="0.25">
      <c r="A366" s="136" t="s">
        <v>463</v>
      </c>
      <c r="B366" s="65"/>
      <c r="C366" s="175"/>
      <c r="D366" s="166">
        <v>44195.22</v>
      </c>
      <c r="E366" s="136" t="s">
        <v>723</v>
      </c>
      <c r="F366" s="137"/>
      <c r="G366" s="137"/>
      <c r="H366" s="137"/>
      <c r="I366" s="69"/>
      <c r="J366" s="69"/>
      <c r="K366" s="69"/>
    </row>
    <row r="367" spans="1:11" x14ac:dyDescent="0.25">
      <c r="A367" s="136" t="s">
        <v>464</v>
      </c>
      <c r="B367" s="65"/>
      <c r="C367" s="175"/>
      <c r="D367" s="166">
        <v>558.47</v>
      </c>
      <c r="E367" s="136"/>
      <c r="F367" s="137"/>
      <c r="G367" s="137"/>
      <c r="H367" s="137"/>
      <c r="I367" s="69"/>
      <c r="J367" s="69"/>
      <c r="K367" s="69"/>
    </row>
    <row r="368" spans="1:11" x14ac:dyDescent="0.25">
      <c r="A368" s="136"/>
      <c r="B368" s="65"/>
      <c r="C368" s="175"/>
      <c r="D368" s="166">
        <v>0</v>
      </c>
      <c r="E368" s="136" t="s">
        <v>724</v>
      </c>
      <c r="F368" s="137"/>
      <c r="G368" s="137"/>
      <c r="H368" s="137"/>
      <c r="I368" s="69"/>
      <c r="J368" s="69"/>
      <c r="K368" s="69"/>
    </row>
    <row r="369" spans="1:11" x14ac:dyDescent="0.25">
      <c r="A369" s="136"/>
      <c r="B369" s="136"/>
      <c r="C369" s="175"/>
      <c r="D369" s="166">
        <v>0</v>
      </c>
      <c r="E369" s="136" t="s">
        <v>725</v>
      </c>
      <c r="F369" s="137"/>
      <c r="G369" s="137"/>
      <c r="H369" s="137"/>
      <c r="I369" s="69"/>
      <c r="J369" s="69"/>
      <c r="K369" s="69"/>
    </row>
    <row r="370" spans="1:11" x14ac:dyDescent="0.25">
      <c r="A370" s="136"/>
      <c r="B370" s="65"/>
      <c r="C370" s="175"/>
      <c r="D370" s="166">
        <v>0</v>
      </c>
      <c r="E370" s="136" t="s">
        <v>726</v>
      </c>
      <c r="F370" s="137"/>
      <c r="G370" s="137"/>
      <c r="H370" s="137"/>
      <c r="I370" s="69"/>
      <c r="J370" s="69"/>
      <c r="K370" s="69"/>
    </row>
    <row r="371" spans="1:11" x14ac:dyDescent="0.25">
      <c r="A371" s="136"/>
      <c r="B371" s="65"/>
      <c r="C371" s="175"/>
      <c r="D371" s="166">
        <v>0</v>
      </c>
      <c r="E371" s="136" t="s">
        <v>727</v>
      </c>
      <c r="F371" s="137"/>
      <c r="G371" s="137"/>
      <c r="H371" s="137"/>
      <c r="I371" s="69"/>
      <c r="J371" s="69"/>
      <c r="K371" s="69"/>
    </row>
    <row r="372" spans="1:11" x14ac:dyDescent="0.25">
      <c r="A372" s="136"/>
      <c r="B372" s="65"/>
      <c r="C372" s="175"/>
      <c r="D372" s="166">
        <v>0</v>
      </c>
      <c r="E372" s="136" t="s">
        <v>728</v>
      </c>
      <c r="F372" s="137"/>
      <c r="G372" s="137"/>
      <c r="H372" s="137"/>
      <c r="I372" s="69"/>
      <c r="J372" s="69"/>
      <c r="K372" s="69"/>
    </row>
    <row r="373" spans="1:11" x14ac:dyDescent="0.25">
      <c r="A373" s="136"/>
      <c r="B373" s="136"/>
      <c r="C373" s="175"/>
      <c r="D373" s="166">
        <v>0</v>
      </c>
      <c r="E373" s="136" t="s">
        <v>729</v>
      </c>
      <c r="F373" s="137"/>
      <c r="G373" s="137"/>
      <c r="H373" s="137"/>
      <c r="I373" s="69"/>
      <c r="J373" s="69"/>
      <c r="K373" s="69"/>
    </row>
    <row r="374" spans="1:11" x14ac:dyDescent="0.25">
      <c r="A374" s="136"/>
      <c r="B374" s="65"/>
      <c r="C374" s="175"/>
      <c r="D374" s="166">
        <v>0</v>
      </c>
      <c r="E374" s="136" t="s">
        <v>730</v>
      </c>
      <c r="F374" s="137"/>
      <c r="G374" s="137"/>
      <c r="H374" s="137"/>
      <c r="I374" s="69"/>
      <c r="J374" s="69"/>
      <c r="K374" s="69"/>
    </row>
    <row r="375" spans="1:11" x14ac:dyDescent="0.25">
      <c r="A375" s="136"/>
      <c r="B375" s="65"/>
      <c r="C375" s="175"/>
      <c r="D375" s="166">
        <v>0</v>
      </c>
      <c r="E375" s="136" t="s">
        <v>731</v>
      </c>
      <c r="F375" s="137"/>
      <c r="G375" s="137"/>
      <c r="H375" s="137"/>
      <c r="I375" s="69"/>
      <c r="J375" s="69"/>
      <c r="K375" s="69"/>
    </row>
    <row r="376" spans="1:11" x14ac:dyDescent="0.25">
      <c r="A376" s="136" t="s">
        <v>465</v>
      </c>
      <c r="B376" s="155"/>
      <c r="C376" s="175"/>
      <c r="D376" s="166">
        <v>13077.949999999999</v>
      </c>
      <c r="E376" s="136"/>
      <c r="F376" s="137"/>
      <c r="G376" s="137"/>
      <c r="H376" s="137"/>
      <c r="I376" s="69"/>
      <c r="J376" s="69"/>
      <c r="K376" s="69"/>
    </row>
    <row r="377" spans="1:11" x14ac:dyDescent="0.25">
      <c r="A377" s="136"/>
      <c r="B377" s="65"/>
      <c r="C377" s="175"/>
      <c r="D377" s="166">
        <v>0</v>
      </c>
      <c r="E377" s="136" t="s">
        <v>732</v>
      </c>
      <c r="F377" s="137"/>
      <c r="G377" s="137"/>
      <c r="H377" s="137"/>
      <c r="I377" s="69"/>
      <c r="J377" s="69"/>
      <c r="K377" s="69"/>
    </row>
    <row r="378" spans="1:11" x14ac:dyDescent="0.25">
      <c r="A378" s="136"/>
      <c r="B378" s="65"/>
      <c r="C378" s="175"/>
      <c r="D378" s="166">
        <v>0</v>
      </c>
      <c r="E378" s="136" t="s">
        <v>733</v>
      </c>
      <c r="F378" s="137"/>
      <c r="G378" s="137"/>
      <c r="H378" s="137"/>
      <c r="I378" s="69"/>
      <c r="J378" s="69"/>
      <c r="K378" s="69"/>
    </row>
    <row r="379" spans="1:11" x14ac:dyDescent="0.25">
      <c r="A379" s="136"/>
      <c r="B379" s="136"/>
      <c r="C379" s="175"/>
      <c r="D379" s="166">
        <v>0</v>
      </c>
      <c r="E379" s="136" t="s">
        <v>734</v>
      </c>
      <c r="F379" s="137"/>
      <c r="G379" s="137"/>
      <c r="H379" s="137"/>
      <c r="I379" s="69"/>
      <c r="J379" s="69"/>
      <c r="K379" s="69"/>
    </row>
    <row r="380" spans="1:11" x14ac:dyDescent="0.25">
      <c r="A380" s="136"/>
      <c r="B380" s="65"/>
      <c r="C380" s="175"/>
      <c r="D380" s="166">
        <v>0</v>
      </c>
      <c r="E380" s="136" t="s">
        <v>735</v>
      </c>
      <c r="F380" s="137"/>
      <c r="G380" s="137"/>
      <c r="H380" s="137"/>
      <c r="I380" s="69"/>
      <c r="J380" s="69"/>
      <c r="K380" s="69"/>
    </row>
    <row r="381" spans="1:11" x14ac:dyDescent="0.25">
      <c r="A381" s="136"/>
      <c r="B381" s="65"/>
      <c r="C381" s="175"/>
      <c r="D381" s="166">
        <v>0</v>
      </c>
      <c r="E381" s="136" t="s">
        <v>736</v>
      </c>
      <c r="F381" s="137"/>
      <c r="G381" s="137"/>
      <c r="H381" s="137"/>
      <c r="I381" s="69"/>
      <c r="J381" s="69"/>
      <c r="K381" s="69"/>
    </row>
    <row r="382" spans="1:11" x14ac:dyDescent="0.25">
      <c r="A382" s="136" t="s">
        <v>467</v>
      </c>
      <c r="B382" s="65"/>
      <c r="C382" s="175"/>
      <c r="D382" s="166">
        <v>0</v>
      </c>
      <c r="E382" s="136"/>
      <c r="F382" s="137"/>
      <c r="G382" s="137"/>
      <c r="H382" s="137"/>
      <c r="I382" s="69"/>
      <c r="J382" s="69"/>
      <c r="K382" s="69"/>
    </row>
    <row r="383" spans="1:11" x14ac:dyDescent="0.25">
      <c r="A383" s="136"/>
      <c r="B383" s="155"/>
      <c r="C383" s="175"/>
      <c r="D383" s="166">
        <v>0</v>
      </c>
      <c r="E383" s="136" t="s">
        <v>737</v>
      </c>
      <c r="F383" s="137"/>
      <c r="G383" s="137"/>
      <c r="H383" s="137"/>
      <c r="I383" s="69"/>
      <c r="J383" s="69"/>
      <c r="K383" s="69"/>
    </row>
    <row r="384" spans="1:11" x14ac:dyDescent="0.25">
      <c r="A384" s="136"/>
      <c r="B384" s="65"/>
      <c r="C384" s="175"/>
      <c r="D384" s="166">
        <v>0</v>
      </c>
      <c r="E384" s="136" t="s">
        <v>738</v>
      </c>
      <c r="F384" s="137"/>
      <c r="G384" s="137"/>
      <c r="H384" s="137"/>
      <c r="I384" s="69"/>
      <c r="J384" s="69"/>
      <c r="K384" s="69"/>
    </row>
    <row r="385" spans="1:11" x14ac:dyDescent="0.25">
      <c r="A385" s="136"/>
      <c r="B385" s="65"/>
      <c r="C385" s="175"/>
      <c r="D385" s="166">
        <v>0</v>
      </c>
      <c r="E385" s="136" t="s">
        <v>739</v>
      </c>
      <c r="F385" s="137"/>
      <c r="G385" s="137"/>
      <c r="H385" s="137"/>
      <c r="I385" s="69"/>
      <c r="J385" s="69"/>
      <c r="K385" s="69"/>
    </row>
    <row r="386" spans="1:11" x14ac:dyDescent="0.25">
      <c r="A386" s="136" t="s">
        <v>468</v>
      </c>
      <c r="B386" s="65"/>
      <c r="C386" s="175"/>
      <c r="D386" s="166">
        <v>69.84</v>
      </c>
      <c r="E386" s="136"/>
      <c r="F386" s="137"/>
      <c r="G386" s="137"/>
      <c r="H386" s="137"/>
      <c r="I386" s="69"/>
      <c r="J386" s="69"/>
      <c r="K386" s="69"/>
    </row>
    <row r="387" spans="1:11" x14ac:dyDescent="0.25">
      <c r="A387" s="136"/>
      <c r="B387" s="65"/>
      <c r="C387" s="175"/>
      <c r="D387" s="166">
        <v>0</v>
      </c>
      <c r="E387" s="136" t="s">
        <v>740</v>
      </c>
      <c r="F387" s="137"/>
      <c r="G387" s="137"/>
      <c r="H387" s="137"/>
      <c r="I387" s="69"/>
      <c r="J387" s="69"/>
      <c r="K387" s="69"/>
    </row>
    <row r="388" spans="1:11" x14ac:dyDescent="0.25">
      <c r="A388" s="136"/>
      <c r="B388" s="65"/>
      <c r="C388" s="175"/>
      <c r="D388" s="166">
        <v>0</v>
      </c>
      <c r="E388" s="136" t="s">
        <v>741</v>
      </c>
      <c r="F388" s="137"/>
      <c r="G388" s="137"/>
      <c r="H388" s="137"/>
      <c r="I388" s="69"/>
      <c r="J388" s="69"/>
      <c r="K388" s="69"/>
    </row>
    <row r="389" spans="1:11" x14ac:dyDescent="0.25">
      <c r="A389" s="136"/>
      <c r="B389" s="136"/>
      <c r="C389" s="175"/>
      <c r="D389" s="166">
        <v>0</v>
      </c>
      <c r="E389" s="136" t="s">
        <v>742</v>
      </c>
      <c r="F389" s="137"/>
      <c r="G389" s="137"/>
      <c r="H389" s="137"/>
      <c r="I389" s="69"/>
      <c r="J389" s="69"/>
      <c r="K389" s="69"/>
    </row>
    <row r="390" spans="1:11" x14ac:dyDescent="0.25">
      <c r="A390" s="136"/>
      <c r="B390" s="65"/>
      <c r="C390" s="175"/>
      <c r="D390" s="166">
        <v>0</v>
      </c>
      <c r="E390" s="136" t="s">
        <v>743</v>
      </c>
      <c r="F390" s="137"/>
      <c r="G390" s="137"/>
      <c r="H390" s="137"/>
      <c r="I390" s="69"/>
      <c r="J390" s="69"/>
      <c r="K390" s="69"/>
    </row>
    <row r="391" spans="1:11" x14ac:dyDescent="0.25">
      <c r="A391" s="136" t="s">
        <v>466</v>
      </c>
      <c r="B391" s="65"/>
      <c r="C391" s="175"/>
      <c r="D391" s="166">
        <v>0</v>
      </c>
      <c r="E391" s="136"/>
      <c r="F391" s="137"/>
      <c r="G391" s="137"/>
      <c r="H391" s="137"/>
      <c r="I391" s="69"/>
      <c r="J391" s="69"/>
      <c r="K391" s="69"/>
    </row>
    <row r="392" spans="1:11" x14ac:dyDescent="0.25">
      <c r="A392" s="136" t="s">
        <v>469</v>
      </c>
      <c r="B392" s="65"/>
      <c r="C392" s="175"/>
      <c r="D392" s="166">
        <v>6055.09</v>
      </c>
      <c r="E392" s="136"/>
      <c r="F392" s="137"/>
      <c r="G392" s="137"/>
      <c r="H392" s="137"/>
      <c r="I392" s="69"/>
      <c r="J392" s="69"/>
      <c r="K392" s="69"/>
    </row>
    <row r="393" spans="1:11" x14ac:dyDescent="0.25">
      <c r="A393" s="136"/>
      <c r="B393" s="136"/>
      <c r="C393" s="175"/>
      <c r="D393" s="166">
        <v>0</v>
      </c>
      <c r="E393" s="136" t="s">
        <v>744</v>
      </c>
      <c r="F393" s="137"/>
      <c r="G393" s="137"/>
      <c r="H393" s="137"/>
      <c r="I393" s="69"/>
      <c r="J393" s="69"/>
      <c r="K393" s="69"/>
    </row>
    <row r="394" spans="1:11" x14ac:dyDescent="0.25">
      <c r="A394" s="136"/>
      <c r="B394" s="136"/>
      <c r="C394" s="175"/>
      <c r="D394" s="166">
        <v>0</v>
      </c>
      <c r="E394" s="136" t="s">
        <v>745</v>
      </c>
      <c r="F394" s="137"/>
      <c r="G394" s="137"/>
      <c r="H394" s="137"/>
      <c r="I394" s="69"/>
      <c r="J394" s="69"/>
      <c r="K394" s="69"/>
    </row>
    <row r="395" spans="1:11" x14ac:dyDescent="0.25">
      <c r="A395" s="136"/>
      <c r="B395" s="65"/>
      <c r="C395" s="175"/>
      <c r="D395" s="166">
        <v>0</v>
      </c>
      <c r="E395" s="136" t="s">
        <v>746</v>
      </c>
      <c r="F395" s="137"/>
      <c r="G395" s="137"/>
      <c r="H395" s="137"/>
      <c r="I395" s="69"/>
      <c r="J395" s="69"/>
      <c r="K395" s="69"/>
    </row>
    <row r="396" spans="1:11" x14ac:dyDescent="0.25">
      <c r="A396" s="136" t="s">
        <v>470</v>
      </c>
      <c r="B396" s="65"/>
      <c r="C396" s="175"/>
      <c r="D396" s="166">
        <v>10291.92</v>
      </c>
      <c r="E396" s="136"/>
      <c r="F396" s="137"/>
      <c r="G396" s="137"/>
      <c r="H396" s="137"/>
      <c r="I396" s="69"/>
      <c r="J396" s="69"/>
      <c r="K396" s="69"/>
    </row>
    <row r="397" spans="1:11" x14ac:dyDescent="0.25">
      <c r="A397" s="136"/>
      <c r="B397" s="155"/>
      <c r="C397" s="175"/>
      <c r="D397" s="166">
        <v>0</v>
      </c>
      <c r="E397" s="136" t="s">
        <v>747</v>
      </c>
      <c r="F397" s="137"/>
      <c r="G397" s="137"/>
      <c r="H397" s="137"/>
      <c r="I397" s="69"/>
      <c r="J397" s="69"/>
      <c r="K397" s="69"/>
    </row>
    <row r="398" spans="1:11" x14ac:dyDescent="0.25">
      <c r="A398" s="136"/>
      <c r="B398" s="136"/>
      <c r="C398" s="175"/>
      <c r="D398" s="166">
        <v>0</v>
      </c>
      <c r="E398" s="136" t="s">
        <v>748</v>
      </c>
      <c r="F398" s="137"/>
      <c r="G398" s="137"/>
      <c r="H398" s="137"/>
      <c r="I398" s="69"/>
      <c r="J398" s="69"/>
      <c r="K398" s="69"/>
    </row>
    <row r="399" spans="1:11" x14ac:dyDescent="0.25">
      <c r="A399" s="136"/>
      <c r="B399" s="65"/>
      <c r="C399" s="175"/>
      <c r="D399" s="166">
        <v>0</v>
      </c>
      <c r="E399" s="136" t="s">
        <v>749</v>
      </c>
      <c r="F399" s="137"/>
      <c r="G399" s="137"/>
      <c r="H399" s="137"/>
      <c r="I399" s="69"/>
      <c r="J399" s="69"/>
      <c r="K399" s="69"/>
    </row>
    <row r="400" spans="1:11" x14ac:dyDescent="0.25">
      <c r="A400" s="136"/>
      <c r="B400" s="65"/>
      <c r="C400" s="175"/>
      <c r="D400" s="166">
        <v>0</v>
      </c>
      <c r="E400" s="136" t="s">
        <v>750</v>
      </c>
      <c r="F400" s="137"/>
      <c r="G400" s="137"/>
      <c r="H400" s="137"/>
      <c r="I400" s="69"/>
      <c r="J400" s="69"/>
      <c r="K400" s="69"/>
    </row>
    <row r="401" spans="1:11" x14ac:dyDescent="0.25">
      <c r="A401" s="136" t="s">
        <v>471</v>
      </c>
      <c r="B401" s="155"/>
      <c r="C401" s="175"/>
      <c r="D401" s="166">
        <v>0</v>
      </c>
      <c r="E401" s="136"/>
      <c r="F401" s="137"/>
      <c r="G401" s="137"/>
      <c r="H401" s="137"/>
      <c r="I401" s="69"/>
      <c r="J401" s="69"/>
      <c r="K401" s="69"/>
    </row>
    <row r="402" spans="1:11" x14ac:dyDescent="0.25">
      <c r="A402" s="136"/>
      <c r="B402" s="136"/>
      <c r="C402" s="175"/>
      <c r="D402" s="166">
        <v>0</v>
      </c>
      <c r="E402" s="136" t="s">
        <v>751</v>
      </c>
      <c r="F402" s="137"/>
      <c r="G402" s="137"/>
      <c r="H402" s="137"/>
      <c r="I402" s="69"/>
      <c r="J402" s="69"/>
      <c r="K402" s="69"/>
    </row>
    <row r="403" spans="1:11" x14ac:dyDescent="0.25">
      <c r="A403" s="136"/>
      <c r="B403" s="136"/>
      <c r="C403" s="175"/>
      <c r="D403" s="166">
        <v>0</v>
      </c>
      <c r="E403" s="136" t="s">
        <v>752</v>
      </c>
      <c r="F403" s="137"/>
      <c r="G403" s="137"/>
      <c r="H403" s="137"/>
      <c r="I403" s="69"/>
      <c r="J403" s="69"/>
      <c r="K403" s="69"/>
    </row>
    <row r="404" spans="1:11" x14ac:dyDescent="0.25">
      <c r="A404" s="136" t="s">
        <v>472</v>
      </c>
      <c r="B404" s="136"/>
      <c r="C404" s="175"/>
      <c r="D404" s="166">
        <v>344.5</v>
      </c>
      <c r="E404" s="136" t="s">
        <v>753</v>
      </c>
      <c r="F404" s="137"/>
      <c r="G404" s="137"/>
      <c r="H404" s="137"/>
      <c r="I404" s="69"/>
      <c r="J404" s="69"/>
      <c r="K404" s="69"/>
    </row>
    <row r="405" spans="1:11" x14ac:dyDescent="0.25">
      <c r="A405" s="136"/>
      <c r="B405" s="136"/>
      <c r="C405" s="175"/>
      <c r="D405" s="166">
        <v>0</v>
      </c>
      <c r="E405" s="136" t="s">
        <v>754</v>
      </c>
      <c r="F405" s="137"/>
      <c r="G405" s="137"/>
      <c r="H405" s="137"/>
      <c r="I405" s="69"/>
      <c r="J405" s="69"/>
      <c r="K405" s="69"/>
    </row>
    <row r="406" spans="1:11" x14ac:dyDescent="0.25">
      <c r="A406" s="136"/>
      <c r="B406" s="136"/>
      <c r="C406" s="175"/>
      <c r="D406" s="166">
        <v>0</v>
      </c>
      <c r="E406" s="136" t="s">
        <v>755</v>
      </c>
      <c r="F406" s="137"/>
      <c r="G406" s="137"/>
      <c r="H406" s="137"/>
      <c r="I406" s="69"/>
      <c r="J406" s="69"/>
      <c r="K406" s="69"/>
    </row>
    <row r="407" spans="1:11" x14ac:dyDescent="0.25">
      <c r="A407" s="136" t="s">
        <v>473</v>
      </c>
      <c r="B407" s="136"/>
      <c r="C407" s="175"/>
      <c r="D407" s="166">
        <v>0</v>
      </c>
      <c r="E407" s="136"/>
      <c r="F407" s="137"/>
      <c r="G407" s="137"/>
      <c r="H407" s="137"/>
      <c r="I407" s="69"/>
      <c r="J407" s="69"/>
      <c r="K407" s="69"/>
    </row>
    <row r="408" spans="1:11" x14ac:dyDescent="0.25">
      <c r="A408" s="136"/>
      <c r="B408" s="65"/>
      <c r="C408" s="175"/>
      <c r="D408" s="166">
        <v>0</v>
      </c>
      <c r="E408" s="136" t="s">
        <v>756</v>
      </c>
      <c r="F408" s="137"/>
      <c r="G408" s="137"/>
      <c r="H408" s="137"/>
      <c r="I408" s="69"/>
      <c r="J408" s="69"/>
      <c r="K408" s="69"/>
    </row>
    <row r="409" spans="1:11" x14ac:dyDescent="0.25">
      <c r="A409" s="136"/>
      <c r="B409" s="65"/>
      <c r="C409" s="175"/>
      <c r="D409" s="166">
        <v>0</v>
      </c>
      <c r="E409" s="136" t="s">
        <v>757</v>
      </c>
      <c r="F409" s="137"/>
      <c r="G409" s="137"/>
      <c r="H409" s="137"/>
      <c r="I409" s="69"/>
      <c r="J409" s="69"/>
      <c r="K409" s="69"/>
    </row>
    <row r="410" spans="1:11" x14ac:dyDescent="0.25">
      <c r="A410" s="136" t="s">
        <v>474</v>
      </c>
      <c r="B410" s="155"/>
      <c r="C410" s="175"/>
      <c r="D410" s="166">
        <v>14059.73</v>
      </c>
      <c r="E410" s="136" t="s">
        <v>758</v>
      </c>
      <c r="F410" s="137"/>
      <c r="G410" s="137"/>
      <c r="H410" s="137"/>
      <c r="I410" s="69"/>
      <c r="J410" s="69"/>
      <c r="K410" s="69"/>
    </row>
    <row r="411" spans="1:11" x14ac:dyDescent="0.25">
      <c r="A411" s="136"/>
      <c r="B411" s="155"/>
      <c r="C411" s="175"/>
      <c r="D411" s="166">
        <v>0</v>
      </c>
      <c r="E411" s="136" t="s">
        <v>759</v>
      </c>
      <c r="F411" s="137"/>
      <c r="G411" s="137"/>
      <c r="H411" s="137"/>
      <c r="I411" s="69"/>
      <c r="J411" s="69"/>
      <c r="K411" s="69"/>
    </row>
    <row r="412" ht="14.4" customHeight="1" spans="1:11" x14ac:dyDescent="0.25">
      <c r="A412" s="136"/>
      <c r="B412" s="69"/>
      <c r="C412" s="175"/>
      <c r="D412" s="166">
        <v>0</v>
      </c>
      <c r="E412" s="136" t="s">
        <v>760</v>
      </c>
      <c r="F412" s="137"/>
      <c r="G412" s="137"/>
      <c r="H412" s="137"/>
      <c r="I412" s="69"/>
      <c r="J412" s="69"/>
      <c r="K412" s="69"/>
    </row>
    <row r="413" ht="14.4" customHeight="1" spans="1:11" x14ac:dyDescent="0.25">
      <c r="A413" s="136"/>
      <c r="B413" s="69"/>
      <c r="C413" s="175"/>
      <c r="D413" s="166">
        <v>0</v>
      </c>
      <c r="E413" s="136" t="s">
        <v>761</v>
      </c>
      <c r="F413" s="137"/>
      <c r="G413" s="137"/>
      <c r="H413" s="137"/>
      <c r="I413" s="69"/>
      <c r="J413" s="69"/>
      <c r="K413" s="69"/>
    </row>
    <row r="414" spans="1:11" x14ac:dyDescent="0.25">
      <c r="A414" s="136"/>
      <c r="B414" s="136"/>
      <c r="C414" s="175"/>
      <c r="D414" s="166">
        <v>0</v>
      </c>
      <c r="E414" s="136" t="s">
        <v>762</v>
      </c>
      <c r="F414" s="175"/>
      <c r="G414" s="137"/>
      <c r="H414" s="137"/>
      <c r="I414" s="69"/>
      <c r="J414" s="69"/>
      <c r="K414" s="69"/>
    </row>
    <row r="415" spans="1:11" x14ac:dyDescent="0.25">
      <c r="A415" s="136"/>
      <c r="B415" s="136"/>
      <c r="C415" s="175"/>
      <c r="D415" s="166">
        <v>0</v>
      </c>
      <c r="E415" s="136" t="s">
        <v>763</v>
      </c>
      <c r="F415" s="137"/>
      <c r="G415" s="137"/>
      <c r="H415" s="137"/>
      <c r="I415" s="69"/>
      <c r="J415" s="69"/>
      <c r="K415" s="69"/>
    </row>
    <row r="416" ht="14.4" customHeight="1" spans="1:11" x14ac:dyDescent="0.25">
      <c r="A416" s="136"/>
      <c r="B416" s="69"/>
      <c r="C416" s="175"/>
      <c r="D416" s="166">
        <v>0</v>
      </c>
      <c r="E416" s="136" t="s">
        <v>764</v>
      </c>
      <c r="F416" s="137"/>
      <c r="G416" s="137"/>
      <c r="H416" s="137"/>
      <c r="I416" s="69"/>
      <c r="J416" s="69"/>
      <c r="K416" s="69"/>
    </row>
    <row r="417" spans="1:11" x14ac:dyDescent="0.25">
      <c r="A417" s="136"/>
      <c r="B417" s="176"/>
      <c r="C417" s="175"/>
      <c r="D417" s="166">
        <v>0</v>
      </c>
      <c r="E417" s="136" t="s">
        <v>765</v>
      </c>
      <c r="F417" s="137"/>
      <c r="G417" s="137"/>
      <c r="H417" s="137"/>
      <c r="I417" s="69"/>
      <c r="J417" s="69"/>
      <c r="K417" s="69"/>
    </row>
    <row r="418" spans="1:11" x14ac:dyDescent="0.25">
      <c r="A418" s="136"/>
      <c r="B418" s="176"/>
      <c r="C418" s="175"/>
      <c r="D418" s="166">
        <v>0</v>
      </c>
      <c r="E418" s="136" t="s">
        <v>766</v>
      </c>
      <c r="F418" s="175"/>
      <c r="G418" s="137"/>
      <c r="H418" s="137"/>
      <c r="I418" s="69"/>
      <c r="J418" s="69"/>
      <c r="K418" s="69"/>
    </row>
    <row r="419" spans="1:11" x14ac:dyDescent="0.25">
      <c r="A419" s="136" t="s">
        <v>475</v>
      </c>
      <c r="B419" s="176"/>
      <c r="C419" s="175"/>
      <c r="D419" s="166">
        <v>0</v>
      </c>
      <c r="E419" s="136"/>
      <c r="F419" s="137"/>
      <c r="G419" s="137"/>
      <c r="H419" s="137"/>
      <c r="I419" s="69"/>
      <c r="J419" s="69"/>
      <c r="K419" s="69"/>
    </row>
    <row r="420" spans="1:11" x14ac:dyDescent="0.25">
      <c r="A420" s="136"/>
      <c r="B420" s="176"/>
      <c r="C420" s="175"/>
      <c r="D420" s="166">
        <v>0</v>
      </c>
      <c r="E420" s="136" t="s">
        <v>767</v>
      </c>
      <c r="F420" s="137"/>
      <c r="G420" s="137"/>
      <c r="H420" s="137"/>
      <c r="I420" s="69"/>
      <c r="J420" s="69"/>
      <c r="K420" s="69"/>
    </row>
    <row r="421" spans="1:11" x14ac:dyDescent="0.25">
      <c r="A421" s="136"/>
      <c r="B421" s="176"/>
      <c r="C421" s="175"/>
      <c r="D421" s="166">
        <v>0</v>
      </c>
      <c r="E421" s="136" t="s">
        <v>768</v>
      </c>
      <c r="F421" s="137"/>
      <c r="G421" s="137"/>
      <c r="H421" s="137"/>
      <c r="I421" s="69"/>
      <c r="J421" s="69"/>
      <c r="K421" s="69"/>
    </row>
    <row r="422" spans="1:11" x14ac:dyDescent="0.25">
      <c r="A422" s="136"/>
      <c r="B422" s="155"/>
      <c r="C422" s="175"/>
      <c r="D422" s="166">
        <v>0</v>
      </c>
      <c r="E422" s="136" t="s">
        <v>769</v>
      </c>
      <c r="F422" s="137"/>
      <c r="G422" s="137"/>
      <c r="H422" s="137"/>
      <c r="I422" s="69"/>
      <c r="J422" s="69"/>
      <c r="K422" s="69"/>
    </row>
    <row r="423" spans="1:11" x14ac:dyDescent="0.25">
      <c r="A423" s="136" t="s">
        <v>476</v>
      </c>
      <c r="B423" s="155"/>
      <c r="C423" s="175"/>
      <c r="D423" s="166">
        <v>0</v>
      </c>
      <c r="E423" s="136"/>
      <c r="F423" s="176"/>
      <c r="G423" s="137"/>
      <c r="H423" s="137"/>
      <c r="I423" s="69"/>
      <c r="J423" s="69"/>
      <c r="K423" s="69"/>
    </row>
    <row r="424" spans="1:11" x14ac:dyDescent="0.25">
      <c r="A424" s="136" t="s">
        <v>477</v>
      </c>
      <c r="B424" s="69"/>
      <c r="C424" s="129"/>
      <c r="D424" s="166">
        <v>0</v>
      </c>
      <c r="E424" s="136"/>
      <c r="F424" s="69"/>
      <c r="G424" s="69"/>
      <c r="H424" s="69"/>
      <c r="I424" s="69"/>
      <c r="J424" s="69"/>
      <c r="K424" s="69"/>
    </row>
    <row r="425" spans="1:11" x14ac:dyDescent="0.25">
      <c r="A425" s="136"/>
      <c r="B425" s="69"/>
      <c r="C425" s="129"/>
      <c r="D425" s="166">
        <v>0</v>
      </c>
      <c r="E425" s="136" t="s">
        <v>770</v>
      </c>
      <c r="F425" s="69"/>
      <c r="G425" s="69"/>
      <c r="H425" s="69"/>
      <c r="I425" s="69"/>
      <c r="J425" s="69"/>
      <c r="K425" s="69"/>
    </row>
    <row r="426" spans="1:11" x14ac:dyDescent="0.25">
      <c r="A426" s="136"/>
      <c r="B426" s="69"/>
      <c r="C426" s="129"/>
      <c r="D426" s="166">
        <v>0</v>
      </c>
      <c r="E426" s="136" t="s">
        <v>771</v>
      </c>
      <c r="F426" s="69"/>
      <c r="G426" s="69"/>
      <c r="H426" s="69"/>
      <c r="I426" s="69"/>
      <c r="J426" s="69"/>
      <c r="K426" s="69"/>
    </row>
    <row r="427" spans="1:11" x14ac:dyDescent="0.25">
      <c r="A427" s="136" t="s">
        <v>482</v>
      </c>
      <c r="B427" s="69"/>
      <c r="C427" s="129"/>
      <c r="D427" s="166">
        <v>156.87</v>
      </c>
      <c r="E427" s="136" t="s">
        <v>772</v>
      </c>
      <c r="F427" s="69"/>
      <c r="G427" s="69"/>
      <c r="H427" s="69"/>
      <c r="I427" s="69"/>
      <c r="J427" s="69"/>
      <c r="K427" s="69"/>
    </row>
    <row r="428" spans="1:11" x14ac:dyDescent="0.25">
      <c r="A428" s="136" t="s">
        <v>478</v>
      </c>
      <c r="B428" s="69"/>
      <c r="C428" s="129"/>
      <c r="D428" s="166">
        <v>3348.26</v>
      </c>
      <c r="E428" s="136"/>
      <c r="F428" s="69"/>
      <c r="G428" s="69"/>
      <c r="H428" s="69"/>
      <c r="I428" s="69"/>
      <c r="J428" s="69"/>
      <c r="K428" s="69"/>
    </row>
    <row r="429" spans="1:11" x14ac:dyDescent="0.25">
      <c r="A429" s="136"/>
      <c r="B429" s="69"/>
      <c r="C429" s="129"/>
      <c r="D429" s="166">
        <v>0</v>
      </c>
      <c r="E429" s="136" t="s">
        <v>773</v>
      </c>
      <c r="F429" s="69"/>
      <c r="G429" s="69"/>
      <c r="H429" s="69"/>
      <c r="I429" s="69"/>
      <c r="J429" s="69"/>
      <c r="K429" s="69"/>
    </row>
    <row r="430" spans="1:11" x14ac:dyDescent="0.25">
      <c r="A430" s="136"/>
      <c r="B430" s="69"/>
      <c r="C430" s="129"/>
      <c r="D430" s="166">
        <v>0</v>
      </c>
      <c r="E430" s="136" t="s">
        <v>774</v>
      </c>
      <c r="F430" s="69"/>
      <c r="G430" s="69"/>
      <c r="H430" s="69"/>
      <c r="I430" s="69"/>
      <c r="J430" s="69"/>
      <c r="K430" s="69"/>
    </row>
    <row r="431" spans="1:11" x14ac:dyDescent="0.25">
      <c r="A431" s="136"/>
      <c r="B431" s="69"/>
      <c r="C431" s="129"/>
      <c r="D431" s="166">
        <v>0</v>
      </c>
      <c r="E431" s="136" t="s">
        <v>775</v>
      </c>
      <c r="F431" s="69"/>
      <c r="G431" s="69"/>
      <c r="H431" s="69"/>
      <c r="I431" s="69"/>
      <c r="J431" s="69"/>
      <c r="K431" s="69"/>
    </row>
    <row r="432" spans="1:11" x14ac:dyDescent="0.25">
      <c r="A432" s="136" t="s">
        <v>479</v>
      </c>
      <c r="B432" s="69"/>
      <c r="C432" s="129"/>
      <c r="D432" s="166">
        <v>0</v>
      </c>
      <c r="E432" s="136" t="s">
        <v>776</v>
      </c>
      <c r="F432" s="69"/>
      <c r="G432" s="69"/>
      <c r="H432" s="69"/>
      <c r="I432" s="69"/>
      <c r="J432" s="69"/>
      <c r="K432" s="69"/>
    </row>
    <row r="433" spans="1:11" x14ac:dyDescent="0.25">
      <c r="A433" s="136" t="s">
        <v>480</v>
      </c>
      <c r="B433" s="69"/>
      <c r="C433" s="129"/>
      <c r="D433" s="166">
        <v>0</v>
      </c>
      <c r="E433" s="136"/>
      <c r="F433" s="69"/>
      <c r="G433" s="69"/>
      <c r="H433" s="69"/>
      <c r="I433" s="69"/>
      <c r="J433" s="69"/>
      <c r="K433" s="69"/>
    </row>
    <row r="434" spans="1:11" x14ac:dyDescent="0.25">
      <c r="A434" s="136" t="s">
        <v>481</v>
      </c>
      <c r="B434" s="69"/>
      <c r="C434" s="129"/>
      <c r="D434" s="166">
        <v>0</v>
      </c>
      <c r="E434" s="136"/>
      <c r="F434" s="69"/>
      <c r="G434" s="69"/>
      <c r="H434" s="69"/>
      <c r="I434" s="69"/>
      <c r="J434" s="69"/>
      <c r="K434" s="69"/>
    </row>
    <row r="435" spans="1:11" x14ac:dyDescent="0.25">
      <c r="A435" s="136" t="s">
        <v>483</v>
      </c>
      <c r="B435" s="69"/>
      <c r="C435" s="129"/>
      <c r="D435" s="166">
        <v>2925.36</v>
      </c>
      <c r="E435" s="136"/>
      <c r="F435" s="69"/>
      <c r="G435" s="69"/>
      <c r="H435" s="69"/>
      <c r="I435" s="69"/>
      <c r="J435" s="69"/>
      <c r="K435" s="69"/>
    </row>
    <row r="436" spans="1:11" x14ac:dyDescent="0.25">
      <c r="A436" s="136" t="s">
        <v>484</v>
      </c>
      <c r="B436" s="69"/>
      <c r="C436" s="129"/>
      <c r="D436" s="166">
        <v>0</v>
      </c>
      <c r="E436" s="136"/>
      <c r="F436" s="69"/>
      <c r="G436" s="69"/>
      <c r="H436" s="69"/>
      <c r="I436" s="69"/>
      <c r="J436" s="69"/>
      <c r="K436" s="69"/>
    </row>
    <row r="437" spans="1:11" x14ac:dyDescent="0.25">
      <c r="A437" s="136" t="s">
        <v>485</v>
      </c>
      <c r="B437" s="69"/>
      <c r="C437" s="129"/>
      <c r="D437" s="166">
        <v>0</v>
      </c>
      <c r="E437" s="136"/>
      <c r="F437" s="69"/>
      <c r="G437" s="69"/>
      <c r="H437" s="69"/>
      <c r="I437" s="69"/>
      <c r="J437" s="69"/>
      <c r="K437" s="69"/>
    </row>
    <row r="438" spans="1:11" x14ac:dyDescent="0.25">
      <c r="A438" s="136" t="s">
        <v>486</v>
      </c>
      <c r="B438" s="69"/>
      <c r="C438" s="129"/>
      <c r="D438" s="166">
        <v>651.34</v>
      </c>
      <c r="E438" s="136"/>
      <c r="F438" s="69"/>
      <c r="G438" s="69"/>
      <c r="H438" s="69"/>
      <c r="I438" s="69"/>
      <c r="J438" s="69"/>
      <c r="K438" s="69"/>
    </row>
    <row r="439" spans="1:11" x14ac:dyDescent="0.25">
      <c r="A439" s="136" t="s">
        <v>488</v>
      </c>
      <c r="B439" s="69"/>
      <c r="C439" s="129"/>
      <c r="D439" s="166">
        <v>-2915.34</v>
      </c>
      <c r="E439" s="136"/>
      <c r="F439" s="69"/>
      <c r="G439" s="69"/>
      <c r="H439" s="69"/>
      <c r="I439" s="69"/>
      <c r="J439" s="69"/>
      <c r="K439" s="69"/>
    </row>
    <row r="440" spans="1:11" x14ac:dyDescent="0.25">
      <c r="A440" s="136"/>
      <c r="B440" s="69"/>
      <c r="C440" s="129"/>
      <c r="D440" s="166">
        <v>0</v>
      </c>
      <c r="E440" s="136" t="s">
        <v>777</v>
      </c>
      <c r="F440" s="69"/>
      <c r="G440" s="69"/>
      <c r="H440" s="69"/>
      <c r="I440" s="69"/>
      <c r="J440" s="69"/>
      <c r="K440" s="69"/>
    </row>
    <row r="441" spans="1:11" x14ac:dyDescent="0.25">
      <c r="A441" s="69"/>
      <c r="B441" s="69"/>
      <c r="C441" s="129"/>
      <c r="D441" s="166">
        <v>0</v>
      </c>
      <c r="E441" s="136" t="s">
        <v>778</v>
      </c>
      <c r="F441" s="69"/>
      <c r="G441" s="69"/>
      <c r="H441" s="69"/>
      <c r="I441" s="69"/>
      <c r="J441" s="69"/>
      <c r="K441" s="69"/>
    </row>
    <row r="442" spans="1:11" x14ac:dyDescent="0.25">
      <c r="A442" s="69" t="s">
        <v>490</v>
      </c>
      <c r="B442" s="69"/>
      <c r="C442" s="129"/>
      <c r="D442" s="166">
        <v>0</v>
      </c>
      <c r="E442" s="136"/>
      <c r="F442" s="69"/>
      <c r="G442" s="69"/>
      <c r="H442" s="69"/>
      <c r="I442" s="69"/>
      <c r="J442" s="69"/>
      <c r="K442" s="69"/>
    </row>
    <row r="443" spans="1:11" x14ac:dyDescent="0.25">
      <c r="A443" s="69" t="s">
        <v>493</v>
      </c>
      <c r="B443" s="69"/>
      <c r="C443" s="129"/>
      <c r="D443" s="166">
        <v>0</v>
      </c>
      <c r="E443" s="136"/>
      <c r="F443" s="69"/>
      <c r="G443" s="69"/>
      <c r="H443" s="69"/>
      <c r="I443" s="69"/>
      <c r="J443" s="69"/>
      <c r="K443" s="69"/>
    </row>
    <row r="444" spans="1:11" x14ac:dyDescent="0.25">
      <c r="A444" s="69" t="s">
        <v>494</v>
      </c>
      <c r="B444" s="69"/>
      <c r="C444" s="129"/>
      <c r="D444" s="166">
        <v>34732.29000000001</v>
      </c>
      <c r="E444" s="69"/>
      <c r="F444" s="69"/>
      <c r="G444" s="69"/>
      <c r="H444" s="69"/>
      <c r="I444" s="69"/>
      <c r="J444" s="69"/>
      <c r="K444" s="69"/>
    </row>
    <row r="445" spans="1:11" x14ac:dyDescent="0.25">
      <c r="A445" s="69" t="s">
        <v>500</v>
      </c>
      <c r="B445" s="69"/>
      <c r="C445" s="129"/>
      <c r="D445" s="166">
        <v>0</v>
      </c>
      <c r="E445" s="69"/>
      <c r="F445" s="69"/>
      <c r="G445" s="69"/>
      <c r="H445" s="69"/>
      <c r="I445" s="69"/>
      <c r="J445" s="69"/>
      <c r="K445" s="69"/>
    </row>
    <row r="446" spans="1:11" x14ac:dyDescent="0.25">
      <c r="A446" s="69" t="s">
        <v>492</v>
      </c>
      <c r="B446" s="69"/>
      <c r="C446" s="129"/>
      <c r="D446" s="166">
        <v>0</v>
      </c>
      <c r="E446" s="69"/>
      <c r="F446" s="69"/>
      <c r="G446" s="69"/>
      <c r="H446" s="69"/>
      <c r="I446" s="69"/>
      <c r="J446" s="163"/>
      <c r="K446" s="163"/>
    </row>
    <row r="447" spans="1:11" x14ac:dyDescent="0.25">
      <c r="A447" s="69" t="s">
        <v>491</v>
      </c>
      <c r="B447" s="69"/>
      <c r="C447" s="129"/>
      <c r="D447" s="166">
        <v>0</v>
      </c>
      <c r="E447" s="69"/>
      <c r="F447" s="69"/>
      <c r="G447" s="69"/>
      <c r="H447" s="69"/>
      <c r="I447" s="69"/>
      <c r="J447" s="69"/>
      <c r="K447" s="69"/>
    </row>
    <row r="448" spans="1:11" x14ac:dyDescent="0.25">
      <c r="A448" s="69" t="s">
        <v>496</v>
      </c>
      <c r="B448" s="69"/>
      <c r="C448" s="129"/>
      <c r="D448" s="166">
        <v>0</v>
      </c>
      <c r="E448" s="69"/>
      <c r="F448" s="69"/>
      <c r="G448" s="69"/>
      <c r="H448" s="69"/>
      <c r="I448" s="69"/>
      <c r="J448" s="69"/>
      <c r="K448" s="69"/>
    </row>
    <row r="449" spans="1:11" x14ac:dyDescent="0.25">
      <c r="A449" s="136" t="s">
        <v>503</v>
      </c>
      <c r="B449" s="69"/>
      <c r="C449" s="129"/>
      <c r="D449" s="166">
        <v>4965.52</v>
      </c>
      <c r="E449" s="69"/>
      <c r="F449" s="69"/>
      <c r="G449" s="69"/>
      <c r="H449" s="69"/>
      <c r="I449" s="69"/>
      <c r="J449" s="69"/>
      <c r="K449" s="69"/>
    </row>
    <row r="450" spans="1:11" s="177" customFormat="1" x14ac:dyDescent="0.25">
      <c r="A450" s="177"/>
      <c r="B450" s="177"/>
      <c r="C450" s="178"/>
      <c r="D450" s="179"/>
      <c r="E450" s="177"/>
      <c r="F450" s="177"/>
      <c r="G450" s="177"/>
      <c r="H450" s="177"/>
      <c r="I450" s="177"/>
      <c r="J450" s="177"/>
      <c r="K450" s="177"/>
    </row>
    <row r="451" spans="1:11" x14ac:dyDescent="0.25">
      <c r="A451" s="69"/>
      <c r="B451" s="69"/>
      <c r="C451" s="129"/>
      <c r="D451" s="137">
        <f>SUM(D7:D450)</f>
        <v>-0.002911315987148555</v>
      </c>
      <c r="E451" s="69"/>
      <c r="F451" s="129">
        <f>SUM(D93:D448)</f>
        <v>1188022.0875605291</v>
      </c>
      <c r="G451" s="180">
        <f>+Resultados!C25</f>
        <v>-1192987.6075605284</v>
      </c>
      <c r="H451" s="180">
        <f>+G451+F451</f>
        <v>-4965.51999999932</v>
      </c>
      <c r="I451" s="69"/>
      <c r="J451" s="69"/>
      <c r="K451" s="69"/>
    </row>
    <row r="452" spans="1:11" x14ac:dyDescent="0.25">
      <c r="A452" s="69"/>
      <c r="B452" s="69"/>
      <c r="C452" s="129"/>
      <c r="D452" s="137"/>
      <c r="E452" s="69"/>
      <c r="F452" s="69"/>
      <c r="G452" s="69"/>
      <c r="H452" s="69"/>
      <c r="I452" s="69"/>
      <c r="J452" s="69"/>
      <c r="K452" s="69"/>
    </row>
    <row r="453" spans="1:11" x14ac:dyDescent="0.25">
      <c r="A453" s="69"/>
      <c r="B453" s="69"/>
      <c r="C453" s="129"/>
      <c r="D453" s="137"/>
      <c r="E453" s="69"/>
      <c r="F453" s="69"/>
      <c r="G453" s="69"/>
      <c r="H453" s="69"/>
      <c r="I453" s="69"/>
      <c r="J453" s="69"/>
      <c r="K453" s="69"/>
    </row>
    <row r="454" spans="1:11" x14ac:dyDescent="0.25">
      <c r="A454" s="69"/>
      <c r="B454" s="69"/>
      <c r="C454" s="129"/>
      <c r="D454" s="137"/>
      <c r="E454" s="69"/>
      <c r="F454" s="69"/>
      <c r="G454" s="69"/>
      <c r="H454" s="69"/>
      <c r="I454" s="69"/>
      <c r="J454" s="69"/>
      <c r="K454" s="69"/>
    </row>
    <row r="455" spans="1:11" x14ac:dyDescent="0.25">
      <c r="A455" s="69"/>
      <c r="B455" s="69"/>
      <c r="C455" s="129"/>
      <c r="D455" s="137"/>
      <c r="E455" s="69"/>
      <c r="F455" s="69"/>
      <c r="G455" s="69"/>
      <c r="H455" s="69"/>
      <c r="I455" s="69"/>
      <c r="J455" s="69"/>
      <c r="K455" s="69"/>
    </row>
    <row r="456" spans="1:11" x14ac:dyDescent="0.25">
      <c r="A456" s="69"/>
      <c r="B456" s="69"/>
      <c r="C456" s="129"/>
      <c r="D456" s="137"/>
      <c r="E456" s="69"/>
      <c r="F456" s="69"/>
      <c r="G456" s="69"/>
      <c r="H456" s="69"/>
      <c r="I456" s="69"/>
      <c r="J456" s="69"/>
      <c r="K456" s="69"/>
    </row>
    <row r="457" spans="1:11" x14ac:dyDescent="0.25">
      <c r="A457" s="69"/>
      <c r="B457" s="69"/>
      <c r="C457" s="129"/>
      <c r="D457" s="137"/>
      <c r="E457" s="69"/>
      <c r="F457" s="69"/>
      <c r="G457" s="69"/>
      <c r="H457" s="69"/>
      <c r="I457" s="69"/>
      <c r="J457" s="69"/>
      <c r="K457" s="69"/>
    </row>
    <row r="458" spans="1:11" x14ac:dyDescent="0.25">
      <c r="A458" s="69"/>
      <c r="B458" s="69"/>
      <c r="C458" s="129"/>
      <c r="D458" s="137"/>
      <c r="E458" s="69"/>
      <c r="F458" s="69"/>
      <c r="G458" s="69"/>
      <c r="H458" s="69"/>
      <c r="I458" s="69"/>
      <c r="J458" s="69"/>
      <c r="K458" s="69"/>
    </row>
    <row r="459" spans="1:11" x14ac:dyDescent="0.25">
      <c r="A459" s="69"/>
      <c r="B459" s="69"/>
      <c r="C459" s="129"/>
      <c r="D459" s="137"/>
      <c r="E459" s="69"/>
      <c r="F459" s="69"/>
      <c r="G459" s="69"/>
      <c r="H459" s="69"/>
      <c r="I459" s="69"/>
      <c r="J459" s="69"/>
      <c r="K459" s="69"/>
    </row>
    <row r="460" spans="1:11" x14ac:dyDescent="0.25">
      <c r="A460" s="69"/>
      <c r="B460" s="69"/>
      <c r="C460" s="129"/>
      <c r="D460" s="137"/>
      <c r="E460" s="69"/>
      <c r="F460" s="69"/>
      <c r="G460" s="69"/>
      <c r="H460" s="69"/>
      <c r="I460" s="69"/>
      <c r="J460" s="69"/>
      <c r="K460" s="69"/>
    </row>
    <row r="461" spans="1:11" x14ac:dyDescent="0.25">
      <c r="A461" s="69"/>
      <c r="B461" s="69"/>
      <c r="C461" s="129"/>
      <c r="D461" s="137"/>
      <c r="E461" s="69"/>
      <c r="F461" s="69"/>
      <c r="G461" s="69"/>
      <c r="H461" s="69"/>
      <c r="I461" s="69"/>
      <c r="J461" s="69"/>
      <c r="K461" s="69"/>
    </row>
    <row r="462" spans="1:11" x14ac:dyDescent="0.25">
      <c r="A462" s="69"/>
      <c r="B462" s="69"/>
      <c r="C462" s="129"/>
      <c r="D462" s="137"/>
      <c r="E462" s="69"/>
      <c r="F462" s="69"/>
      <c r="G462" s="69"/>
      <c r="H462" s="69"/>
      <c r="I462" s="69"/>
      <c r="J462" s="69"/>
      <c r="K462" s="69"/>
    </row>
    <row r="463" spans="1:11" x14ac:dyDescent="0.25">
      <c r="A463" s="69"/>
      <c r="B463" s="69"/>
      <c r="C463" s="129"/>
      <c r="D463" s="137"/>
      <c r="E463" s="69"/>
      <c r="F463" s="69"/>
      <c r="G463" s="69"/>
      <c r="H463" s="69"/>
      <c r="I463" s="69"/>
      <c r="J463" s="69"/>
      <c r="K463" s="69"/>
    </row>
    <row r="464" spans="1:11" x14ac:dyDescent="0.25">
      <c r="A464" s="69"/>
      <c r="B464" s="69"/>
      <c r="C464" s="129"/>
      <c r="D464" s="137"/>
      <c r="E464" s="69"/>
      <c r="F464" s="69"/>
      <c r="G464" s="69"/>
      <c r="H464" s="69"/>
      <c r="I464" s="69"/>
      <c r="J464" s="69"/>
      <c r="K464" s="69"/>
    </row>
    <row r="465" spans="1:11" x14ac:dyDescent="0.25">
      <c r="A465" s="69"/>
      <c r="B465" s="69"/>
      <c r="C465" s="129"/>
      <c r="D465" s="137"/>
      <c r="E465" s="69"/>
      <c r="F465" s="69"/>
      <c r="G465" s="69"/>
      <c r="H465" s="69"/>
      <c r="I465" s="69"/>
      <c r="J465" s="69"/>
      <c r="K465" s="69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Balance</vt:lpstr>
      <vt:lpstr>Resultados</vt:lpstr>
      <vt:lpstr>Pat.Neto</vt:lpstr>
      <vt:lpstr>Activo y Pasivo</vt:lpstr>
      <vt:lpstr>Anexo I</vt:lpstr>
      <vt:lpstr>Anexo II</vt:lpstr>
      <vt:lpstr>Distribución por línea</vt:lpstr>
      <vt:lpstr>Balance de sumas y saldos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Abril Moran Til</cp:lastModifiedBy>
  <cp:lastPrinted>2018-06-01T20:38:35Z</cp:lastPrinted>
  <dcterms:created xsi:type="dcterms:W3CDTF">2001-07-23T19:33:40Z</dcterms:created>
  <dcterms:modified xsi:type="dcterms:W3CDTF">2026-07-28T20:29:04Z</dcterms:modified>
</cp:coreProperties>
</file>