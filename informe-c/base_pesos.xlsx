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 defaultThemeVersion="124226"/>
  <xr:revisionPtr revIDLastSave="0" documentId="8_{4AAE9ED7-D716-4372-B11D-B48B76E12352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Balance" sheetId="8" r:id="rId1"/>
    <sheet name="Resultados" sheetId="7" r:id="rId2"/>
    <sheet name="Pat.Neto" sheetId="6" r:id="rId3"/>
    <sheet name="Activo y Pasivo" sheetId="5" r:id="rId4"/>
    <sheet name="Anexo I" sheetId="12" r:id="rId5"/>
    <sheet name="Anexo II" sheetId="10" r:id="rId6"/>
    <sheet name="SALDOS" sheetId="14" state="hidden" r:id="rId7"/>
    <sheet name="Hoja1" sheetId="15" state="hidden" r:id="rId8"/>
  </sheets>
  <definedNames>
    <definedName name="_xlnm._FilterDatabase">SALDOS!$F$1:$F$509</definedName>
    <definedName name="_xlnm.Print_Area" localSheetId="4">'Anexo I'!$O15:$O23</definedName>
    <definedName name="_xlnm.Print_Area" localSheetId="5">'Anexo II'!$A2:$J113</definedName>
    <definedName name="_xlnm.Print_Area" localSheetId="0">Balance!$A1:$L34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68" i="15" l="1"/>
  <c r="G367" i="15"/>
  <c r="G366" i="15"/>
  <c r="E340" i="15"/>
  <c r="H372" i="15" s="1"/>
  <c r="E54" i="15"/>
  <c r="H52" i="15"/>
  <c r="G505" i="14"/>
  <c r="F502" i="14"/>
  <c r="G502" i="14" s="1"/>
  <c r="G501" i="14"/>
  <c r="F501" i="14"/>
  <c r="F500" i="14"/>
  <c r="G500" i="14" s="1"/>
  <c r="G499" i="14"/>
  <c r="F499" i="14"/>
  <c r="F498" i="14"/>
  <c r="G498" i="14" s="1"/>
  <c r="G497" i="14"/>
  <c r="F497" i="14"/>
  <c r="F496" i="14"/>
  <c r="G496" i="14" s="1"/>
  <c r="G495" i="14"/>
  <c r="F495" i="14"/>
  <c r="F494" i="14"/>
  <c r="G494" i="14" s="1"/>
  <c r="G493" i="14"/>
  <c r="F493" i="14"/>
  <c r="F492" i="14"/>
  <c r="G492" i="14" s="1"/>
  <c r="G491" i="14"/>
  <c r="F491" i="14"/>
  <c r="F490" i="14"/>
  <c r="G490" i="14" s="1"/>
  <c r="G489" i="14"/>
  <c r="F489" i="14"/>
  <c r="F488" i="14"/>
  <c r="G488" i="14" s="1"/>
  <c r="F77" i="10" s="1"/>
  <c r="G487" i="14"/>
  <c r="F487" i="14"/>
  <c r="F486" i="14"/>
  <c r="G486" i="14" s="1"/>
  <c r="G485" i="14"/>
  <c r="F485" i="14"/>
  <c r="F484" i="14"/>
  <c r="G484" i="14" s="1"/>
  <c r="G483" i="14"/>
  <c r="F483" i="14"/>
  <c r="F482" i="14"/>
  <c r="F481" i="14"/>
  <c r="G480" i="14"/>
  <c r="F480" i="14"/>
  <c r="F479" i="14"/>
  <c r="F478" i="14"/>
  <c r="G477" i="14"/>
  <c r="G476" i="14"/>
  <c r="F476" i="14"/>
  <c r="F475" i="14"/>
  <c r="G475" i="14" s="1"/>
  <c r="H90" i="10" s="1"/>
  <c r="F474" i="14"/>
  <c r="F473" i="14"/>
  <c r="F472" i="14"/>
  <c r="G471" i="14"/>
  <c r="F470" i="14"/>
  <c r="F469" i="14"/>
  <c r="F468" i="14"/>
  <c r="F467" i="14"/>
  <c r="F466" i="14"/>
  <c r="F465" i="14"/>
  <c r="F464" i="14"/>
  <c r="F463" i="14"/>
  <c r="G462" i="14" s="1"/>
  <c r="F462" i="14"/>
  <c r="F461" i="14"/>
  <c r="F460" i="14"/>
  <c r="G459" i="14" s="1"/>
  <c r="F458" i="14"/>
  <c r="G458" i="14" s="1"/>
  <c r="G457" i="14"/>
  <c r="F457" i="14"/>
  <c r="F456" i="14"/>
  <c r="F455" i="14"/>
  <c r="F454" i="14"/>
  <c r="F453" i="14"/>
  <c r="G452" i="14" s="1"/>
  <c r="F451" i="14"/>
  <c r="F450" i="14"/>
  <c r="F449" i="14"/>
  <c r="G448" i="14" s="1"/>
  <c r="F447" i="14"/>
  <c r="F446" i="14"/>
  <c r="G443" i="14" s="1"/>
  <c r="F445" i="14"/>
  <c r="F444" i="14"/>
  <c r="F442" i="14"/>
  <c r="F441" i="14"/>
  <c r="G440" i="14" s="1"/>
  <c r="G439" i="14"/>
  <c r="F438" i="14"/>
  <c r="F437" i="14"/>
  <c r="F436" i="14"/>
  <c r="F435" i="14"/>
  <c r="G434" i="14"/>
  <c r="F433" i="14"/>
  <c r="F432" i="14"/>
  <c r="F431" i="14"/>
  <c r="F430" i="14"/>
  <c r="F429" i="14"/>
  <c r="F428" i="14"/>
  <c r="F427" i="14"/>
  <c r="F426" i="14"/>
  <c r="G425" i="14" s="1"/>
  <c r="F60" i="10" s="1"/>
  <c r="F424" i="14"/>
  <c r="G424" i="14" s="1"/>
  <c r="F423" i="14"/>
  <c r="E423" i="14"/>
  <c r="F422" i="14"/>
  <c r="F421" i="14"/>
  <c r="F420" i="14"/>
  <c r="F419" i="14"/>
  <c r="F418" i="14"/>
  <c r="F417" i="14"/>
  <c r="G416" i="14"/>
  <c r="H82" i="10" s="1"/>
  <c r="F416" i="14"/>
  <c r="G415" i="14"/>
  <c r="F414" i="14"/>
  <c r="G413" i="14" s="1"/>
  <c r="H48" i="10" s="1"/>
  <c r="E48" i="10" s="1"/>
  <c r="F413" i="14"/>
  <c r="F412" i="14"/>
  <c r="F411" i="14"/>
  <c r="F410" i="14"/>
  <c r="F409" i="14"/>
  <c r="F408" i="14"/>
  <c r="F407" i="14"/>
  <c r="G406" i="14" s="1"/>
  <c r="F34" i="10" s="1"/>
  <c r="E34" i="10" s="1"/>
  <c r="G405" i="14"/>
  <c r="F404" i="14"/>
  <c r="F403" i="14"/>
  <c r="G402" i="14" s="1"/>
  <c r="H15" i="10" s="1"/>
  <c r="E15" i="10" s="1"/>
  <c r="G401" i="14"/>
  <c r="F401" i="14"/>
  <c r="F400" i="14"/>
  <c r="G399" i="14" s="1"/>
  <c r="H38" i="10" s="1"/>
  <c r="E38" i="10" s="1"/>
  <c r="F398" i="14"/>
  <c r="G397" i="14" s="1"/>
  <c r="F396" i="14"/>
  <c r="F395" i="14"/>
  <c r="F394" i="14"/>
  <c r="F393" i="14"/>
  <c r="F392" i="14"/>
  <c r="F391" i="14"/>
  <c r="G390" i="14" s="1"/>
  <c r="H52" i="10" s="1"/>
  <c r="G389" i="14"/>
  <c r="F388" i="14"/>
  <c r="G387" i="14" s="1"/>
  <c r="F387" i="14"/>
  <c r="G386" i="14"/>
  <c r="G385" i="14"/>
  <c r="G384" i="14"/>
  <c r="F383" i="14"/>
  <c r="F382" i="14"/>
  <c r="F381" i="14"/>
  <c r="F380" i="14"/>
  <c r="F379" i="14"/>
  <c r="F378" i="14"/>
  <c r="F377" i="14"/>
  <c r="F376" i="14"/>
  <c r="F375" i="14"/>
  <c r="G374" i="14"/>
  <c r="H12" i="10" s="1"/>
  <c r="F373" i="14"/>
  <c r="F372" i="14"/>
  <c r="F371" i="14"/>
  <c r="F370" i="14"/>
  <c r="F369" i="14"/>
  <c r="G367" i="14"/>
  <c r="F366" i="14"/>
  <c r="F365" i="14"/>
  <c r="G363" i="14" s="1"/>
  <c r="F364" i="14"/>
  <c r="F362" i="14"/>
  <c r="G361" i="14"/>
  <c r="F360" i="14"/>
  <c r="F359" i="14"/>
  <c r="G358" i="14"/>
  <c r="H18" i="10" s="1"/>
  <c r="F357" i="14"/>
  <c r="F356" i="14"/>
  <c r="F355" i="14"/>
  <c r="F354" i="14"/>
  <c r="F353" i="14"/>
  <c r="F352" i="14"/>
  <c r="F351" i="14"/>
  <c r="G351" i="14" s="1"/>
  <c r="F350" i="14"/>
  <c r="F349" i="14"/>
  <c r="F348" i="14"/>
  <c r="F347" i="14"/>
  <c r="F346" i="14"/>
  <c r="F345" i="14"/>
  <c r="F344" i="14"/>
  <c r="F343" i="14"/>
  <c r="G342" i="14" s="1"/>
  <c r="F28" i="10" s="1"/>
  <c r="E28" i="10" s="1"/>
  <c r="F342" i="14"/>
  <c r="F341" i="14"/>
  <c r="F340" i="14"/>
  <c r="G339" i="14" s="1"/>
  <c r="F339" i="14"/>
  <c r="G338" i="14"/>
  <c r="F337" i="14"/>
  <c r="F336" i="14"/>
  <c r="F335" i="14"/>
  <c r="F334" i="14"/>
  <c r="F333" i="14"/>
  <c r="F332" i="14"/>
  <c r="F331" i="14"/>
  <c r="F330" i="14"/>
  <c r="G330" i="14" s="1"/>
  <c r="H26" i="10" s="1"/>
  <c r="F329" i="14"/>
  <c r="F328" i="14"/>
  <c r="F327" i="14"/>
  <c r="F326" i="14"/>
  <c r="F325" i="14"/>
  <c r="F324" i="14"/>
  <c r="F323" i="14"/>
  <c r="G322" i="14"/>
  <c r="H10" i="10" s="1"/>
  <c r="F321" i="14"/>
  <c r="F320" i="14"/>
  <c r="F319" i="14"/>
  <c r="G318" i="14"/>
  <c r="G317" i="14"/>
  <c r="F317" i="14"/>
  <c r="F316" i="14"/>
  <c r="G315" i="14"/>
  <c r="F315" i="14"/>
  <c r="F314" i="14"/>
  <c r="G314" i="14" s="1"/>
  <c r="F313" i="14"/>
  <c r="F312" i="14"/>
  <c r="F311" i="14"/>
  <c r="F310" i="14"/>
  <c r="G310" i="14" s="1"/>
  <c r="H54" i="10" s="1"/>
  <c r="E54" i="10" s="1"/>
  <c r="F309" i="14"/>
  <c r="G309" i="14" s="1"/>
  <c r="G308" i="14"/>
  <c r="F308" i="14"/>
  <c r="F307" i="14"/>
  <c r="G306" i="14"/>
  <c r="F306" i="14"/>
  <c r="F305" i="14"/>
  <c r="F304" i="14"/>
  <c r="F303" i="14"/>
  <c r="G302" i="14"/>
  <c r="H14" i="10" s="1"/>
  <c r="F301" i="14"/>
  <c r="F300" i="14"/>
  <c r="F299" i="14"/>
  <c r="F298" i="14"/>
  <c r="F297" i="14"/>
  <c r="F296" i="14"/>
  <c r="F295" i="14"/>
  <c r="G294" i="14"/>
  <c r="F294" i="14"/>
  <c r="G293" i="14"/>
  <c r="F292" i="14"/>
  <c r="F291" i="14"/>
  <c r="F290" i="14"/>
  <c r="F289" i="14"/>
  <c r="F288" i="14"/>
  <c r="F287" i="14"/>
  <c r="F286" i="14"/>
  <c r="F285" i="14"/>
  <c r="G283" i="14"/>
  <c r="F283" i="14"/>
  <c r="F282" i="14"/>
  <c r="G282" i="14" s="1"/>
  <c r="F281" i="14"/>
  <c r="G281" i="14" s="1"/>
  <c r="F280" i="14"/>
  <c r="G280" i="14" s="1"/>
  <c r="F279" i="14"/>
  <c r="F278" i="14"/>
  <c r="F277" i="14"/>
  <c r="F276" i="14"/>
  <c r="F275" i="14"/>
  <c r="F274" i="14"/>
  <c r="F273" i="14"/>
  <c r="F272" i="14"/>
  <c r="G272" i="14" s="1"/>
  <c r="F58" i="10" s="1"/>
  <c r="F271" i="14"/>
  <c r="G269" i="14" s="1"/>
  <c r="F270" i="14"/>
  <c r="F268" i="14"/>
  <c r="F267" i="14"/>
  <c r="F266" i="14"/>
  <c r="F265" i="14"/>
  <c r="G264" i="14"/>
  <c r="F35" i="10" s="1"/>
  <c r="E35" i="10" s="1"/>
  <c r="F264" i="14"/>
  <c r="G263" i="14"/>
  <c r="F262" i="14"/>
  <c r="F261" i="14"/>
  <c r="F260" i="14"/>
  <c r="F259" i="14"/>
  <c r="F258" i="14"/>
  <c r="G257" i="14"/>
  <c r="G256" i="14"/>
  <c r="F255" i="14"/>
  <c r="F254" i="14"/>
  <c r="F253" i="14"/>
  <c r="F252" i="14"/>
  <c r="F251" i="14"/>
  <c r="F250" i="14"/>
  <c r="F249" i="14"/>
  <c r="F248" i="14"/>
  <c r="F247" i="14"/>
  <c r="F246" i="14"/>
  <c r="G245" i="14"/>
  <c r="F86" i="10" s="1"/>
  <c r="F244" i="14"/>
  <c r="F243" i="14"/>
  <c r="G243" i="14" s="1"/>
  <c r="F242" i="14"/>
  <c r="F241" i="14"/>
  <c r="F240" i="14"/>
  <c r="F239" i="14"/>
  <c r="G239" i="14" s="1"/>
  <c r="F31" i="10" s="1"/>
  <c r="E31" i="10" s="1"/>
  <c r="G238" i="14"/>
  <c r="F237" i="14"/>
  <c r="F236" i="14"/>
  <c r="F235" i="14"/>
  <c r="F234" i="14"/>
  <c r="G234" i="14" s="1"/>
  <c r="F71" i="10" s="1"/>
  <c r="G233" i="14"/>
  <c r="G232" i="14"/>
  <c r="F231" i="14"/>
  <c r="F230" i="14"/>
  <c r="G230" i="14" s="1"/>
  <c r="F52" i="10" s="1"/>
  <c r="E52" i="10" s="1"/>
  <c r="F228" i="14"/>
  <c r="F227" i="14"/>
  <c r="F226" i="14"/>
  <c r="F224" i="14"/>
  <c r="F223" i="14"/>
  <c r="F222" i="14"/>
  <c r="F221" i="14"/>
  <c r="F220" i="14"/>
  <c r="G217" i="14" s="1"/>
  <c r="F40" i="10" s="1"/>
  <c r="E40" i="10" s="1"/>
  <c r="F219" i="14"/>
  <c r="F218" i="14"/>
  <c r="F216" i="14"/>
  <c r="G213" i="14" s="1"/>
  <c r="F215" i="14"/>
  <c r="F214" i="14"/>
  <c r="F212" i="14"/>
  <c r="G208" i="14" s="1"/>
  <c r="F73" i="10" s="1"/>
  <c r="F211" i="14"/>
  <c r="F210" i="14"/>
  <c r="F209" i="14"/>
  <c r="F207" i="14"/>
  <c r="F206" i="14"/>
  <c r="G205" i="14"/>
  <c r="F75" i="10" s="1"/>
  <c r="F204" i="14"/>
  <c r="F203" i="14"/>
  <c r="G203" i="14" s="1"/>
  <c r="G202" i="14"/>
  <c r="F24" i="10" s="1"/>
  <c r="F201" i="14"/>
  <c r="F200" i="14"/>
  <c r="G200" i="14" s="1"/>
  <c r="F95" i="10" s="1"/>
  <c r="E95" i="10" s="1"/>
  <c r="F199" i="14"/>
  <c r="F198" i="14"/>
  <c r="F197" i="14"/>
  <c r="F196" i="14"/>
  <c r="F195" i="14"/>
  <c r="F194" i="14"/>
  <c r="F193" i="14"/>
  <c r="F192" i="14"/>
  <c r="G188" i="14" s="1"/>
  <c r="F36" i="10" s="1"/>
  <c r="F191" i="14"/>
  <c r="F190" i="14"/>
  <c r="F189" i="14"/>
  <c r="G187" i="14"/>
  <c r="H16" i="10" s="1"/>
  <c r="F187" i="14"/>
  <c r="G186" i="14"/>
  <c r="F184" i="14"/>
  <c r="F183" i="14"/>
  <c r="F182" i="14"/>
  <c r="F181" i="14"/>
  <c r="F180" i="14"/>
  <c r="G179" i="14" s="1"/>
  <c r="F45" i="10" s="1"/>
  <c r="E45" i="10" s="1"/>
  <c r="F178" i="14"/>
  <c r="G178" i="14" s="1"/>
  <c r="F177" i="14"/>
  <c r="F176" i="14"/>
  <c r="F175" i="14"/>
  <c r="F174" i="14"/>
  <c r="F173" i="14"/>
  <c r="F172" i="14"/>
  <c r="G171" i="14" s="1"/>
  <c r="F63" i="10" s="1"/>
  <c r="E63" i="10" s="1"/>
  <c r="F170" i="14"/>
  <c r="G170" i="14" s="1"/>
  <c r="G169" i="14"/>
  <c r="F81" i="10" s="1"/>
  <c r="F169" i="14"/>
  <c r="F168" i="14"/>
  <c r="G168" i="14" s="1"/>
  <c r="F167" i="14"/>
  <c r="F166" i="14"/>
  <c r="F165" i="14"/>
  <c r="F164" i="14"/>
  <c r="F163" i="14"/>
  <c r="F162" i="14"/>
  <c r="F161" i="14"/>
  <c r="F160" i="14"/>
  <c r="G159" i="14" s="1"/>
  <c r="F55" i="10" s="1"/>
  <c r="E55" i="10" s="1"/>
  <c r="F158" i="14"/>
  <c r="F157" i="14"/>
  <c r="F156" i="14"/>
  <c r="F155" i="14"/>
  <c r="F154" i="14"/>
  <c r="F153" i="14"/>
  <c r="G153" i="14" s="1"/>
  <c r="F91" i="10" s="1"/>
  <c r="E91" i="10" s="1"/>
  <c r="F152" i="14"/>
  <c r="G152" i="14" s="1"/>
  <c r="F151" i="14"/>
  <c r="G150" i="14"/>
  <c r="G149" i="14"/>
  <c r="G148" i="14"/>
  <c r="G147" i="14"/>
  <c r="G146" i="14"/>
  <c r="G144" i="14"/>
  <c r="G143" i="14"/>
  <c r="I141" i="14"/>
  <c r="I128" i="14"/>
  <c r="I126" i="14"/>
  <c r="I116" i="14"/>
  <c r="G61" i="14"/>
  <c r="F50" i="5" s="1"/>
  <c r="G60" i="14"/>
  <c r="G59" i="14"/>
  <c r="G58" i="14"/>
  <c r="J57" i="14"/>
  <c r="I57" i="14"/>
  <c r="G57" i="14"/>
  <c r="G56" i="14"/>
  <c r="G55" i="14"/>
  <c r="G54" i="14"/>
  <c r="G53" i="14"/>
  <c r="G52" i="14"/>
  <c r="G51" i="14"/>
  <c r="I50" i="14"/>
  <c r="J50" i="14" s="1"/>
  <c r="G50" i="14"/>
  <c r="G49" i="14"/>
  <c r="J15" i="12" s="1"/>
  <c r="I49" i="14" s="1"/>
  <c r="J49" i="14" s="1"/>
  <c r="G48" i="14"/>
  <c r="G47" i="14"/>
  <c r="E19" i="12" s="1"/>
  <c r="C19" i="12" s="1"/>
  <c r="G46" i="14"/>
  <c r="G45" i="14"/>
  <c r="G44" i="14"/>
  <c r="G43" i="14"/>
  <c r="F60" i="5" s="1"/>
  <c r="G42" i="14"/>
  <c r="G41" i="14"/>
  <c r="F37" i="5" s="1"/>
  <c r="G40" i="14"/>
  <c r="G39" i="14"/>
  <c r="F54" i="5" s="1"/>
  <c r="F55" i="5" s="1"/>
  <c r="F10" i="8" s="1"/>
  <c r="G38" i="14"/>
  <c r="F42" i="5" s="1"/>
  <c r="G37" i="14"/>
  <c r="G36" i="14"/>
  <c r="G35" i="14"/>
  <c r="G34" i="14"/>
  <c r="F38" i="5" s="1"/>
  <c r="G33" i="14"/>
  <c r="G32" i="14"/>
  <c r="G31" i="14"/>
  <c r="F43" i="5" s="1"/>
  <c r="G30" i="14"/>
  <c r="F34" i="5" s="1"/>
  <c r="G29" i="14"/>
  <c r="G28" i="14"/>
  <c r="G27" i="14"/>
  <c r="F31" i="5" s="1"/>
  <c r="G26" i="14"/>
  <c r="F30" i="5" s="1"/>
  <c r="G25" i="14"/>
  <c r="G24" i="14"/>
  <c r="G23" i="14"/>
  <c r="F47" i="5" s="1"/>
  <c r="G22" i="14"/>
  <c r="F46" i="5" s="1"/>
  <c r="G21" i="14"/>
  <c r="G20" i="14"/>
  <c r="G19" i="14"/>
  <c r="F27" i="5" s="1"/>
  <c r="G18" i="14"/>
  <c r="G17" i="14"/>
  <c r="F26" i="5" s="1"/>
  <c r="G16" i="14"/>
  <c r="G15" i="14"/>
  <c r="G14" i="14"/>
  <c r="G13" i="14"/>
  <c r="G12" i="14"/>
  <c r="G11" i="14"/>
  <c r="F11" i="5" s="1"/>
  <c r="G10" i="14"/>
  <c r="G9" i="14"/>
  <c r="G8" i="14"/>
  <c r="G7" i="14"/>
  <c r="G6" i="14"/>
  <c r="G5" i="14"/>
  <c r="G4" i="14"/>
  <c r="G3" i="14"/>
  <c r="F8" i="5" s="1"/>
  <c r="F18" i="5" s="1"/>
  <c r="F8" i="8" s="1"/>
  <c r="F12" i="8" s="1"/>
  <c r="H112" i="10"/>
  <c r="D112" i="10"/>
  <c r="H111" i="10"/>
  <c r="F111" i="10"/>
  <c r="D111" i="10"/>
  <c r="H110" i="10"/>
  <c r="F110" i="10"/>
  <c r="D110" i="10"/>
  <c r="J103" i="10"/>
  <c r="I103" i="10"/>
  <c r="C14" i="7" s="1"/>
  <c r="G103" i="10"/>
  <c r="B103" i="10"/>
  <c r="H102" i="10"/>
  <c r="E102" i="10"/>
  <c r="H101" i="10"/>
  <c r="E101" i="10" s="1"/>
  <c r="H100" i="10"/>
  <c r="E100" i="10"/>
  <c r="H99" i="10"/>
  <c r="E99" i="10" s="1"/>
  <c r="H98" i="10"/>
  <c r="E98" i="10"/>
  <c r="H97" i="10"/>
  <c r="E97" i="10" s="1"/>
  <c r="H96" i="10"/>
  <c r="E96" i="10" s="1"/>
  <c r="H94" i="10"/>
  <c r="E94" i="10"/>
  <c r="H93" i="10"/>
  <c r="E93" i="10" s="1"/>
  <c r="E92" i="10"/>
  <c r="E90" i="10"/>
  <c r="F89" i="10"/>
  <c r="E89" i="10"/>
  <c r="H88" i="10"/>
  <c r="E88" i="10"/>
  <c r="F87" i="10"/>
  <c r="E87" i="10"/>
  <c r="E86" i="10"/>
  <c r="F85" i="10"/>
  <c r="E85" i="10"/>
  <c r="F84" i="10"/>
  <c r="E84" i="10"/>
  <c r="H83" i="10"/>
  <c r="E83" i="10"/>
  <c r="H81" i="10"/>
  <c r="E81" i="10"/>
  <c r="H80" i="10"/>
  <c r="E80" i="10"/>
  <c r="H79" i="10"/>
  <c r="E79" i="10"/>
  <c r="H78" i="10"/>
  <c r="E78" i="10"/>
  <c r="E77" i="10"/>
  <c r="F76" i="10"/>
  <c r="E76" i="10"/>
  <c r="E75" i="10"/>
  <c r="F74" i="10"/>
  <c r="E74" i="10"/>
  <c r="E73" i="10"/>
  <c r="F72" i="10"/>
  <c r="E72" i="10" s="1"/>
  <c r="E71" i="10"/>
  <c r="E70" i="10"/>
  <c r="H69" i="10"/>
  <c r="E69" i="10" s="1"/>
  <c r="E68" i="10"/>
  <c r="E66" i="10"/>
  <c r="F65" i="10"/>
  <c r="E65" i="10"/>
  <c r="H64" i="10"/>
  <c r="E64" i="10" s="1"/>
  <c r="H63" i="10"/>
  <c r="H61" i="10"/>
  <c r="E61" i="10" s="1"/>
  <c r="E60" i="10"/>
  <c r="E58" i="10"/>
  <c r="F57" i="10"/>
  <c r="E57" i="10"/>
  <c r="H53" i="10"/>
  <c r="E53" i="10" s="1"/>
  <c r="F51" i="10"/>
  <c r="E51" i="10" s="1"/>
  <c r="F50" i="10"/>
  <c r="E50" i="10"/>
  <c r="F49" i="10"/>
  <c r="E49" i="10" s="1"/>
  <c r="F47" i="10"/>
  <c r="E47" i="10" s="1"/>
  <c r="F46" i="10"/>
  <c r="E46" i="10"/>
  <c r="H44" i="10"/>
  <c r="E44" i="10"/>
  <c r="H43" i="10"/>
  <c r="E43" i="10" s="1"/>
  <c r="F42" i="10"/>
  <c r="E42" i="10"/>
  <c r="F41" i="10"/>
  <c r="E41" i="10" s="1"/>
  <c r="H39" i="10"/>
  <c r="E39" i="10" s="1"/>
  <c r="F37" i="10"/>
  <c r="E37" i="10" s="1"/>
  <c r="F33" i="10"/>
  <c r="E33" i="10"/>
  <c r="H32" i="10"/>
  <c r="E32" i="10"/>
  <c r="E29" i="10"/>
  <c r="E27" i="10"/>
  <c r="E26" i="10"/>
  <c r="H25" i="10"/>
  <c r="E25" i="10" s="1"/>
  <c r="E24" i="10"/>
  <c r="E23" i="10"/>
  <c r="H22" i="10"/>
  <c r="E22" i="10" s="1"/>
  <c r="H21" i="10"/>
  <c r="F21" i="10"/>
  <c r="E21" i="10"/>
  <c r="H19" i="10"/>
  <c r="E19" i="10"/>
  <c r="E18" i="10"/>
  <c r="H17" i="10"/>
  <c r="E17" i="10" s="1"/>
  <c r="E16" i="10"/>
  <c r="E14" i="10"/>
  <c r="H13" i="10"/>
  <c r="E13" i="10"/>
  <c r="E12" i="10"/>
  <c r="E10" i="10"/>
  <c r="E8" i="10"/>
  <c r="A4" i="10"/>
  <c r="J35" i="12"/>
  <c r="B35" i="12"/>
  <c r="J34" i="12"/>
  <c r="F34" i="12"/>
  <c r="B34" i="12"/>
  <c r="J33" i="12"/>
  <c r="F33" i="12"/>
  <c r="B33" i="12"/>
  <c r="G24" i="12"/>
  <c r="F24" i="12"/>
  <c r="D24" i="12"/>
  <c r="B24" i="12"/>
  <c r="J22" i="12"/>
  <c r="I59" i="14" s="1"/>
  <c r="J59" i="14" s="1"/>
  <c r="I22" i="12"/>
  <c r="E22" i="12"/>
  <c r="C22" i="12"/>
  <c r="J21" i="12"/>
  <c r="H21" i="12"/>
  <c r="E21" i="12"/>
  <c r="C21" i="12"/>
  <c r="J20" i="12"/>
  <c r="E20" i="12"/>
  <c r="J19" i="12"/>
  <c r="J18" i="12"/>
  <c r="E18" i="12"/>
  <c r="C18" i="12"/>
  <c r="J17" i="12"/>
  <c r="I17" i="12"/>
  <c r="H17" i="12"/>
  <c r="E17" i="12"/>
  <c r="C17" i="12" s="1"/>
  <c r="J16" i="12"/>
  <c r="I16" i="12"/>
  <c r="H16" i="12"/>
  <c r="E16" i="12"/>
  <c r="K15" i="12"/>
  <c r="I15" i="12"/>
  <c r="H15" i="12"/>
  <c r="E15" i="12"/>
  <c r="C15" i="12" s="1"/>
  <c r="G104" i="5"/>
  <c r="C104" i="5"/>
  <c r="G103" i="5"/>
  <c r="E103" i="5"/>
  <c r="C103" i="5"/>
  <c r="G102" i="5"/>
  <c r="E102" i="5"/>
  <c r="C102" i="5"/>
  <c r="F92" i="5"/>
  <c r="F91" i="5"/>
  <c r="F90" i="5"/>
  <c r="F89" i="5"/>
  <c r="F93" i="5" s="1"/>
  <c r="L10" i="8" s="1"/>
  <c r="F85" i="5"/>
  <c r="F84" i="5"/>
  <c r="F83" i="5"/>
  <c r="F82" i="5"/>
  <c r="F81" i="5"/>
  <c r="F80" i="5"/>
  <c r="F79" i="5"/>
  <c r="F78" i="5"/>
  <c r="F77" i="5"/>
  <c r="F86" i="5" s="1"/>
  <c r="F74" i="5"/>
  <c r="F71" i="5"/>
  <c r="F70" i="5"/>
  <c r="F69" i="5"/>
  <c r="F68" i="5"/>
  <c r="F63" i="5"/>
  <c r="F61" i="5"/>
  <c r="F49" i="5"/>
  <c r="F48" i="5"/>
  <c r="F45" i="5"/>
  <c r="F44" i="5"/>
  <c r="F41" i="5"/>
  <c r="F40" i="5"/>
  <c r="F39" i="5"/>
  <c r="F36" i="5"/>
  <c r="F35" i="5"/>
  <c r="F33" i="5"/>
  <c r="F32" i="5"/>
  <c r="F29" i="5"/>
  <c r="F28" i="5"/>
  <c r="F25" i="5"/>
  <c r="F24" i="5"/>
  <c r="F23" i="5"/>
  <c r="F51" i="5" s="1"/>
  <c r="F22" i="5"/>
  <c r="F21" i="5"/>
  <c r="F17" i="5"/>
  <c r="F16" i="5"/>
  <c r="F15" i="5"/>
  <c r="F14" i="5"/>
  <c r="F13" i="5"/>
  <c r="F12" i="5"/>
  <c r="F10" i="5"/>
  <c r="F9" i="5"/>
  <c r="F4" i="5"/>
  <c r="B2" i="5"/>
  <c r="G38" i="6"/>
  <c r="J37" i="6"/>
  <c r="G37" i="6"/>
  <c r="I27" i="6"/>
  <c r="H27" i="6"/>
  <c r="G27" i="6"/>
  <c r="E27" i="6"/>
  <c r="C27" i="6"/>
  <c r="K23" i="6"/>
  <c r="F22" i="6"/>
  <c r="K22" i="6" s="1"/>
  <c r="K21" i="6"/>
  <c r="F21" i="6"/>
  <c r="F20" i="6"/>
  <c r="K20" i="6" s="1"/>
  <c r="K19" i="6"/>
  <c r="F19" i="6"/>
  <c r="F18" i="6"/>
  <c r="K18" i="6" s="1"/>
  <c r="K17" i="6"/>
  <c r="F17" i="6"/>
  <c r="F16" i="6"/>
  <c r="K16" i="6" s="1"/>
  <c r="E14" i="6"/>
  <c r="D14" i="6"/>
  <c r="D27" i="6" s="1"/>
  <c r="C14" i="6"/>
  <c r="J12" i="6"/>
  <c r="J14" i="6" s="1"/>
  <c r="F12" i="6"/>
  <c r="F14" i="6" s="1"/>
  <c r="F27" i="6" s="1"/>
  <c r="I142" i="14" s="1"/>
  <c r="K5" i="6"/>
  <c r="B2" i="6"/>
  <c r="E41" i="7"/>
  <c r="A41" i="7"/>
  <c r="C39" i="6" s="1"/>
  <c r="E40" i="7"/>
  <c r="C40" i="7"/>
  <c r="A40" i="7"/>
  <c r="C38" i="6" s="1"/>
  <c r="E39" i="7"/>
  <c r="C39" i="7"/>
  <c r="A39" i="7"/>
  <c r="C37" i="6" s="1"/>
  <c r="C19" i="7"/>
  <c r="C17" i="7"/>
  <c r="C12" i="7"/>
  <c r="C10" i="7"/>
  <c r="C5" i="7"/>
  <c r="B5" i="7"/>
  <c r="A2" i="7"/>
  <c r="G19" i="8"/>
  <c r="G17" i="8"/>
  <c r="F15" i="8"/>
  <c r="G11" i="8"/>
  <c r="L9" i="8"/>
  <c r="F9" i="8"/>
  <c r="G8" i="8"/>
  <c r="L5" i="8"/>
  <c r="C16" i="12" l="1"/>
  <c r="E24" i="12"/>
  <c r="I53" i="14"/>
  <c r="J53" i="14" s="1"/>
  <c r="I19" i="12"/>
  <c r="K19" i="12"/>
  <c r="I143" i="14"/>
  <c r="G21" i="8"/>
  <c r="F72" i="5"/>
  <c r="L8" i="8" s="1"/>
  <c r="L12" i="8" s="1"/>
  <c r="L13" i="8" s="1"/>
  <c r="I20" i="12"/>
  <c r="I54" i="14"/>
  <c r="J54" i="14" s="1"/>
  <c r="I21" i="12"/>
  <c r="I55" i="14"/>
  <c r="J55" i="14" s="1"/>
  <c r="K21" i="12"/>
  <c r="K16" i="12"/>
  <c r="I51" i="14"/>
  <c r="J51" i="14" s="1"/>
  <c r="I18" i="12"/>
  <c r="I24" i="12" s="1"/>
  <c r="F20" i="10" s="1"/>
  <c r="E20" i="10" s="1"/>
  <c r="J24" i="12"/>
  <c r="K18" i="12"/>
  <c r="F504" i="14"/>
  <c r="G197" i="14"/>
  <c r="F82" i="10" s="1"/>
  <c r="E82" i="10" s="1"/>
  <c r="G226" i="14"/>
  <c r="F67" i="10" s="1"/>
  <c r="E67" i="10" s="1"/>
  <c r="G246" i="14"/>
  <c r="F62" i="10" s="1"/>
  <c r="E62" i="10" s="1"/>
  <c r="K17" i="12"/>
  <c r="K24" i="12" s="1"/>
  <c r="K12" i="6"/>
  <c r="K14" i="6" s="1"/>
  <c r="K20" i="12"/>
  <c r="C20" i="12"/>
  <c r="K22" i="12"/>
  <c r="G151" i="14"/>
  <c r="C18" i="7" s="1"/>
  <c r="G284" i="14"/>
  <c r="F59" i="10" s="1"/>
  <c r="E59" i="10" s="1"/>
  <c r="G393" i="14"/>
  <c r="H36" i="10" s="1"/>
  <c r="E36" i="10" s="1"/>
  <c r="F54" i="15"/>
  <c r="G54" i="15" s="1"/>
  <c r="I61" i="14"/>
  <c r="I62" i="14" s="1"/>
  <c r="G154" i="14"/>
  <c r="F56" i="10" s="1"/>
  <c r="E56" i="10" s="1"/>
  <c r="G311" i="14"/>
  <c r="H30" i="10" s="1"/>
  <c r="E30" i="10" s="1"/>
  <c r="G368" i="14"/>
  <c r="F11" i="10" s="1"/>
  <c r="E369" i="15"/>
  <c r="C24" i="12" l="1"/>
  <c r="F103" i="10"/>
  <c r="C13" i="7" s="1"/>
  <c r="E11" i="10"/>
  <c r="E103" i="10" s="1"/>
  <c r="F505" i="14" s="1"/>
  <c r="F506" i="14" s="1"/>
  <c r="G509" i="14"/>
  <c r="H103" i="10"/>
  <c r="C15" i="7" s="1"/>
  <c r="G504" i="14"/>
  <c r="G506" i="14" s="1"/>
  <c r="F16" i="8"/>
  <c r="F19" i="8" s="1"/>
  <c r="F21" i="8" s="1"/>
  <c r="F55" i="15" s="1"/>
  <c r="G55" i="15" s="1"/>
  <c r="F507" i="14" l="1"/>
  <c r="F508" i="14"/>
  <c r="C22" i="7"/>
  <c r="C26" i="7" s="1"/>
  <c r="F340" i="15" l="1"/>
  <c r="G340" i="15" s="1"/>
  <c r="H504" i="14"/>
  <c r="I504" i="14" s="1"/>
  <c r="J25" i="6"/>
  <c r="K25" i="6" l="1"/>
  <c r="K27" i="6" s="1"/>
  <c r="L17" i="8" s="1"/>
  <c r="L21" i="8" s="1"/>
  <c r="J27" i="6"/>
</calcChain>
</file>

<file path=xl/sharedStrings.xml><?xml version="1.0" encoding="utf-8"?>
<sst xmlns="http://schemas.openxmlformats.org/spreadsheetml/2006/main" count="1351" uniqueCount="872">
  <si>
    <t>ESTADO DE SITUACION PATRIMONIAL</t>
  </si>
  <si>
    <t>Al 30 de junio 2026  - Cifras expresadas en pesos</t>
  </si>
  <si>
    <t xml:space="preserve"> </t>
  </si>
  <si>
    <t>30.06.2026</t>
  </si>
  <si>
    <t>31.03.04</t>
  </si>
  <si>
    <t>ACTIVO:</t>
  </si>
  <si>
    <t>Historico</t>
  </si>
  <si>
    <t>PASIVO</t>
  </si>
  <si>
    <t>ACTIVO CORRIENTE</t>
  </si>
  <si>
    <t>PASIVO CORRIENTE</t>
  </si>
  <si>
    <t>Caja y Bancos (Nota 4.a)</t>
  </si>
  <si>
    <t>Deudas Comerciales (Nota 4.f)</t>
  </si>
  <si>
    <t>Otros Créditos  (Nota 4.c)</t>
  </si>
  <si>
    <t>Cargas Fiscales (Nota 4.g)</t>
  </si>
  <si>
    <t>Otros Activos (Nota 4.d)</t>
  </si>
  <si>
    <t>Remuneraciones y Cargas Sociales (Nota 4.h)</t>
  </si>
  <si>
    <t>Total del Activo corriente</t>
  </si>
  <si>
    <t>Total del Pasivo Corriente</t>
  </si>
  <si>
    <t>Total del Pasivo</t>
  </si>
  <si>
    <t>Inversiones (Nota 4.e)</t>
  </si>
  <si>
    <t>Bienes de Uso (Anexo I)</t>
  </si>
  <si>
    <t>PATRIMONIO NETO (Según estado respectivo)</t>
  </si>
  <si>
    <t>Total del Activo no corriente</t>
  </si>
  <si>
    <t>Total del Activo</t>
  </si>
  <si>
    <t>Total del Pasivo y Patrimonio Neto</t>
  </si>
  <si>
    <t>Las notas y anexos adjuntos forman parte integrante de los estados contables</t>
  </si>
  <si>
    <t>Informe profesional por separado</t>
  </si>
  <si>
    <t>Miguel Ángel Alonso</t>
  </si>
  <si>
    <t>Pedro Nicholson</t>
  </si>
  <si>
    <t>Alejandro Poletto</t>
  </si>
  <si>
    <t>Contador Público (U.C.A.)</t>
  </si>
  <si>
    <t>Síndico</t>
  </si>
  <si>
    <t>Southern Copper Arg. S.R.L.</t>
  </si>
  <si>
    <t>C.P.C.E.C.A.B.A. Tº176  Fº03</t>
  </si>
  <si>
    <t xml:space="preserve"> Gerente</t>
  </si>
  <si>
    <t>ESTADO DE RESULTADOS</t>
  </si>
  <si>
    <t>Ventas  y servicios netas</t>
  </si>
  <si>
    <t>Costo de mercaderías vendidas</t>
  </si>
  <si>
    <t>Ganancia neta</t>
  </si>
  <si>
    <t>Gastos de comercialización (Anexo II)</t>
  </si>
  <si>
    <t>Gastos de administración (Anexo II)</t>
  </si>
  <si>
    <t>Gastos de financieros (Anexo II)</t>
  </si>
  <si>
    <t>Gastos de Exploración</t>
  </si>
  <si>
    <t>Resultados financieros y por tenencia</t>
  </si>
  <si>
    <t>Otros ingresos y egresos</t>
  </si>
  <si>
    <t>Resultados Extraordinarios</t>
  </si>
  <si>
    <t>Ganancia (Pérdida) antes de impuesto a las Ganancias</t>
  </si>
  <si>
    <t>Impuesto a las Ganancias</t>
  </si>
  <si>
    <t xml:space="preserve">Ganancia (Pérdida) del ejercicio  </t>
  </si>
  <si>
    <t>ESTADO DE EVOLUCION DEL PATRIMONIO NETO</t>
  </si>
  <si>
    <t xml:space="preserve">   </t>
  </si>
  <si>
    <t>CONCEPTO</t>
  </si>
  <si>
    <t xml:space="preserve">                                             Aportes de los propietarios</t>
  </si>
  <si>
    <t>Ganancias</t>
  </si>
  <si>
    <t>Reservadas</t>
  </si>
  <si>
    <t>Resultados</t>
  </si>
  <si>
    <t>Total del</t>
  </si>
  <si>
    <t>Capital</t>
  </si>
  <si>
    <t xml:space="preserve">Ajuste de </t>
  </si>
  <si>
    <t>Cuotas Pendientes de integracion</t>
  </si>
  <si>
    <t>Reserva</t>
  </si>
  <si>
    <t xml:space="preserve">Otras </t>
  </si>
  <si>
    <t>Aportes</t>
  </si>
  <si>
    <t>no</t>
  </si>
  <si>
    <t>patrimonio</t>
  </si>
  <si>
    <t>integrado</t>
  </si>
  <si>
    <t>suscripto</t>
  </si>
  <si>
    <t>legal</t>
  </si>
  <si>
    <t>reservas</t>
  </si>
  <si>
    <t>Irrevocables</t>
  </si>
  <si>
    <t>asignados</t>
  </si>
  <si>
    <t>neto</t>
  </si>
  <si>
    <t>$</t>
  </si>
  <si>
    <t>Saldos al inicio del ejercicio</t>
  </si>
  <si>
    <t>Diferencia Resultados no Asignados</t>
  </si>
  <si>
    <t>Aumento de capital 16/06/2026</t>
  </si>
  <si>
    <t>Ganancia (Pérdida) del ejercicio</t>
  </si>
  <si>
    <t>Saldos al 30.06.2026</t>
  </si>
  <si>
    <t>NOTA 4:</t>
  </si>
  <si>
    <t>COMPOSICION DE LOS RUBROS</t>
  </si>
  <si>
    <t>ACTIVO</t>
  </si>
  <si>
    <t>Activo Corriente</t>
  </si>
  <si>
    <t>a.</t>
  </si>
  <si>
    <t>Caja y Bancos</t>
  </si>
  <si>
    <t>- Caja</t>
  </si>
  <si>
    <t>- Caja Los Menucos</t>
  </si>
  <si>
    <t>- ICBC S.A. c/c</t>
  </si>
  <si>
    <t>- Banco de Crédito - BCP</t>
  </si>
  <si>
    <t>- Banco Macro USD</t>
  </si>
  <si>
    <t>- Banco Macro Pesos cta especial</t>
  </si>
  <si>
    <t>- Banco Macro Pesos</t>
  </si>
  <si>
    <t>- Banco Galicia c/c</t>
  </si>
  <si>
    <t>- Fondo fima premiun</t>
  </si>
  <si>
    <t>- Tarjetas VISA</t>
  </si>
  <si>
    <t>c.</t>
  </si>
  <si>
    <t>Otros Créditos</t>
  </si>
  <si>
    <t>- Zento S.A.</t>
  </si>
  <si>
    <t>- Iva crédito fiscal</t>
  </si>
  <si>
    <t>- Iva saldo a favor</t>
  </si>
  <si>
    <t>- IIBB saldo a favor</t>
  </si>
  <si>
    <t>- Retenciones y percepciones iva</t>
  </si>
  <si>
    <t>- Retenciones y percepciones IIBB</t>
  </si>
  <si>
    <t>- Crédito Imp. L.25413</t>
  </si>
  <si>
    <t>- Imp. Gcia. Mínima Presunta</t>
  </si>
  <si>
    <t>- Percepcion RG 4815 35% computable Ganancias</t>
  </si>
  <si>
    <t>- Ret. y Perc. IIBB San Juan</t>
  </si>
  <si>
    <t>- Antic. Tributos Aduaneros</t>
  </si>
  <si>
    <t>- Iva importación de servicios</t>
  </si>
  <si>
    <t>- Southern Cooper Corporation Cta Part</t>
  </si>
  <si>
    <t>- Cía. Minera Los Tolmos S.A. Cta. Part.</t>
  </si>
  <si>
    <t>- Southern Cooper Corporation</t>
  </si>
  <si>
    <t>- Depósito en garantía alquiler</t>
  </si>
  <si>
    <t>- Garantia a Cobrar/Recuperar</t>
  </si>
  <si>
    <t>- AdelantoS Wilfredo Loza</t>
  </si>
  <si>
    <t>- Adelantos de Sueldos</t>
  </si>
  <si>
    <t>- Anticipo Geólogos</t>
  </si>
  <si>
    <t>- Anticipo de Fondos</t>
  </si>
  <si>
    <t>- Anticipos a proveedores</t>
  </si>
  <si>
    <t>- Seguros a devengar</t>
  </si>
  <si>
    <t>- Cuentas por cobrar a Personal</t>
  </si>
  <si>
    <t>- Ret/Perc. Ganancias</t>
  </si>
  <si>
    <t>- Saldo a Favor Gcia Minima Presunta</t>
  </si>
  <si>
    <t>- Saldo Favor Ganancias</t>
  </si>
  <si>
    <t>-  Impuesto Credito Diferido</t>
  </si>
  <si>
    <t>- Cargos Diferidos Los Menucos</t>
  </si>
  <si>
    <t>- Cargos Diferidos Cañadón del Moro</t>
  </si>
  <si>
    <t>d.</t>
  </si>
  <si>
    <t>Otros Activos</t>
  </si>
  <si>
    <t>- Socios</t>
  </si>
  <si>
    <t>Activo No Corriente</t>
  </si>
  <si>
    <t>e.</t>
  </si>
  <si>
    <t>Inversiones</t>
  </si>
  <si>
    <t>- Títulos Públicos</t>
  </si>
  <si>
    <t>Pasivo</t>
  </si>
  <si>
    <t>Pasivo Corriente</t>
  </si>
  <si>
    <t>f.</t>
  </si>
  <si>
    <t>Deudas Comerciales</t>
  </si>
  <si>
    <t xml:space="preserve"> - Proveedores</t>
  </si>
  <si>
    <t xml:space="preserve"> - Cheques emitidos en cartera</t>
  </si>
  <si>
    <t xml:space="preserve"> - Depósito efectivo Bco. Galicia</t>
  </si>
  <si>
    <t xml:space="preserve"> - Transferencia a debitar</t>
  </si>
  <si>
    <t>g.</t>
  </si>
  <si>
    <t>Cargas Fiscales</t>
  </si>
  <si>
    <t>- Sicore a pagar</t>
  </si>
  <si>
    <t>- IVA débito fiscal</t>
  </si>
  <si>
    <t>- Imp. Bienes, Acc. y Part. Soc. a pagar</t>
  </si>
  <si>
    <t>- Imp. Gcia Mínima Presunta a pagar</t>
  </si>
  <si>
    <t>- Tasa Municipalidad a pagar</t>
  </si>
  <si>
    <t>- Tasa Seguridad e Higiene a pagar</t>
  </si>
  <si>
    <t xml:space="preserve"> - Retención SUSS</t>
  </si>
  <si>
    <t>- Tasas Retributivas Mineras</t>
  </si>
  <si>
    <t>- Provision de Gastos</t>
  </si>
  <si>
    <t>- Previsión AID</t>
  </si>
  <si>
    <t>- Previsión IGMP</t>
  </si>
  <si>
    <t>- Provisión Vacaciones</t>
  </si>
  <si>
    <t>h.</t>
  </si>
  <si>
    <t>Remuneraciones y Cargas Sociales</t>
  </si>
  <si>
    <t>- Sueldos a pagar</t>
  </si>
  <si>
    <t>- Sicoss a pagar</t>
  </si>
  <si>
    <t>- Retenciones SUSS a pagar</t>
  </si>
  <si>
    <t>- Embargo por alimentos</t>
  </si>
  <si>
    <t>ANEXO I</t>
  </si>
  <si>
    <t>BIENES DE USO</t>
  </si>
  <si>
    <t xml:space="preserve"> Correspondiente al  ejercicio económico finalizado el 30 de Junio de 2026</t>
  </si>
  <si>
    <t>VALOR DE ORIGEN</t>
  </si>
  <si>
    <t>DEPRECIACIONES</t>
  </si>
  <si>
    <t xml:space="preserve">VALORES AL </t>
  </si>
  <si>
    <t xml:space="preserve">ACUMULADAS </t>
  </si>
  <si>
    <t>DEL EJERCICIO</t>
  </si>
  <si>
    <t>ACUMULADAS</t>
  </si>
  <si>
    <t>NETO</t>
  </si>
  <si>
    <t xml:space="preserve">COMIENZO DEL </t>
  </si>
  <si>
    <t>AUMENTOS</t>
  </si>
  <si>
    <t>DISMINUCIONES</t>
  </si>
  <si>
    <t xml:space="preserve">CIERRE DEL </t>
  </si>
  <si>
    <t>AL INICIO DEL</t>
  </si>
  <si>
    <t>BAJAS</t>
  </si>
  <si>
    <t>ALICUOTA</t>
  </si>
  <si>
    <t>MONTO</t>
  </si>
  <si>
    <t xml:space="preserve">AL CIERRE DEL </t>
  </si>
  <si>
    <t>RESULTANTE</t>
  </si>
  <si>
    <t>EJERCICIO</t>
  </si>
  <si>
    <t>AL 31.5.26</t>
  </si>
  <si>
    <t>- Muebles y Utiles</t>
  </si>
  <si>
    <t>- Equipamiento Exploración</t>
  </si>
  <si>
    <t>- Equipos</t>
  </si>
  <si>
    <t>- Herramientas</t>
  </si>
  <si>
    <t>- Equipos de Computación</t>
  </si>
  <si>
    <t>- Software</t>
  </si>
  <si>
    <t>- Rodados</t>
  </si>
  <si>
    <t>- Instalaciones</t>
  </si>
  <si>
    <t>Total al 30.06.2026</t>
  </si>
  <si>
    <t>ANEXO II</t>
  </si>
  <si>
    <t>Información Requerida por el Art. 64 Inc. b) de la Ley 19.550</t>
  </si>
  <si>
    <t>Anexo II</t>
  </si>
  <si>
    <t>TOTALES</t>
  </si>
  <si>
    <t xml:space="preserve">GASTOS </t>
  </si>
  <si>
    <t>GASTOS</t>
  </si>
  <si>
    <t xml:space="preserve">                           CONCEPTOS</t>
  </si>
  <si>
    <t>AL</t>
  </si>
  <si>
    <t xml:space="preserve">DE </t>
  </si>
  <si>
    <t>ADMINISTRACION</t>
  </si>
  <si>
    <t>COMERCIALIZACION</t>
  </si>
  <si>
    <t>EXPLORACION</t>
  </si>
  <si>
    <t>FINANCIEROS</t>
  </si>
  <si>
    <t>31.03.02</t>
  </si>
  <si>
    <t>-</t>
  </si>
  <si>
    <t>ALOJAMIENTO</t>
  </si>
  <si>
    <t>ALQUILERES (Inmuebles)</t>
  </si>
  <si>
    <t>ANALISIS MUESTRAS</t>
  </si>
  <si>
    <t>ALQUILERES VARIOS</t>
  </si>
  <si>
    <t>ALQUILER DE VEHÍCULOS</t>
  </si>
  <si>
    <t>ALQUILER DE MAQUINARIA</t>
  </si>
  <si>
    <t>ALQUILERES EQ. DE CAMPO</t>
  </si>
  <si>
    <t>ACUERDO DE INVERSIONES</t>
  </si>
  <si>
    <t>ADQUISICIÓN INFORMACIÓN GEOLÓGICA</t>
  </si>
  <si>
    <t>ADQUISICIÓN INFORMACIÓN GEOFÍSCA</t>
  </si>
  <si>
    <t>CARGAS SOCIALES</t>
  </si>
  <si>
    <t>CANON</t>
  </si>
  <si>
    <t>CATERING</t>
  </si>
  <si>
    <t>CERTIFICACIONES</t>
  </si>
  <si>
    <t>COMBUSTIBLE</t>
  </si>
  <si>
    <t>COMIDA</t>
  </si>
  <si>
    <t>COMISIONES</t>
  </si>
  <si>
    <t>COMUNICACIONES</t>
  </si>
  <si>
    <t>CONTROL ZOOFITOSANITARIA</t>
  </si>
  <si>
    <t>CONVENIO DE CESIÓN</t>
  </si>
  <si>
    <t>DONACIONES</t>
  </si>
  <si>
    <t>DERECHOS DE EXPLORACION</t>
  </si>
  <si>
    <t>EXPENSAS</t>
  </si>
  <si>
    <t>FERRETERÍA</t>
  </si>
  <si>
    <t>GASTOS BANCARIOS</t>
  </si>
  <si>
    <t>GASTOS VARIOS</t>
  </si>
  <si>
    <t>GASTOS VEHÍCULOS</t>
  </si>
  <si>
    <t>GASTOS CAMPAMENTO</t>
  </si>
  <si>
    <t>GASTOS EN CONSTRUCCIÓN</t>
  </si>
  <si>
    <t>GASTOS DE COMPUTACIÓN</t>
  </si>
  <si>
    <t>GASTOS MÉDICOS</t>
  </si>
  <si>
    <t>GASTOS CAPACITACIÓN</t>
  </si>
  <si>
    <t>GASTOS TOPOGRÁFICOS</t>
  </si>
  <si>
    <t>GASTOS IMPORTACIÓN</t>
  </si>
  <si>
    <t>GASTOS LIMPIEZA</t>
  </si>
  <si>
    <t>GASTOS DE REPRESENTACIÓN</t>
  </si>
  <si>
    <t>GASTOS DE ESPECTROMETRIA</t>
  </si>
  <si>
    <t>GASTOS DE PERFORACIÓN</t>
  </si>
  <si>
    <t>GRATIFICACIONES</t>
  </si>
  <si>
    <t>GS MANTENIMIENTO</t>
  </si>
  <si>
    <t>GS. MANTENIMIENTO SOFTWARE</t>
  </si>
  <si>
    <t>GASTOS EN TRÁMITES</t>
  </si>
  <si>
    <t>GS. EN PERSONAL</t>
  </si>
  <si>
    <t>GS. EXPLORACIÓN</t>
  </si>
  <si>
    <t>HONORARIOS PROFESIONALES</t>
  </si>
  <si>
    <t>HONORARIOS LEGALES</t>
  </si>
  <si>
    <t>IMP. L. 25413 S/DÉBITOS Y CRÉDITOS</t>
  </si>
  <si>
    <t>INTERESES Y MULTAS</t>
  </si>
  <si>
    <t>IMPUESTOS NO COMPUTABLE</t>
  </si>
  <si>
    <t>LIBRERIA Y PAPELERIA</t>
  </si>
  <si>
    <t>MATRÍCULAS</t>
  </si>
  <si>
    <t>MENSAJERÍA</t>
  </si>
  <si>
    <t>MOVILIDAD Y VIATICOS</t>
  </si>
  <si>
    <t>MATERIALES DE CAMPO</t>
  </si>
  <si>
    <t>OBRA SOCIAL</t>
  </si>
  <si>
    <t>PEAJES</t>
  </si>
  <si>
    <t>PATENTES</t>
  </si>
  <si>
    <t>PLOTEOS</t>
  </si>
  <si>
    <t>INFORMES AMBIENTALES</t>
  </si>
  <si>
    <t>PERDIDA DE MATERIALES</t>
  </si>
  <si>
    <t>PUBLICACIONES</t>
  </si>
  <si>
    <t>PUBLICIDAD</t>
  </si>
  <si>
    <t>SEGURIDAD</t>
  </si>
  <si>
    <t>SEGUROS</t>
  </si>
  <si>
    <t>SELLADOS</t>
  </si>
  <si>
    <t>SERVICIOS</t>
  </si>
  <si>
    <t>SERVICIOS DE CADETERIA</t>
  </si>
  <si>
    <t>SERVICIOS DE GEOFÍSICA</t>
  </si>
  <si>
    <t>SERVICIOS DE GEOLOGÍA</t>
  </si>
  <si>
    <t>SERVICIOS DE DIGITALIZACION</t>
  </si>
  <si>
    <t>SUELDOS</t>
  </si>
  <si>
    <t>TASAS</t>
  </si>
  <si>
    <t>TRASLADOS</t>
  </si>
  <si>
    <t xml:space="preserve">RECUPERO GASTOS </t>
  </si>
  <si>
    <t>REPARACIONES</t>
  </si>
  <si>
    <t>REGALOS AL PERSONAL</t>
  </si>
  <si>
    <t>EVENTOS</t>
  </si>
  <si>
    <t>CONSUMOS NO REEMBOLSABLES</t>
  </si>
  <si>
    <t>REMEDIACIÓN AMBIENTAL</t>
  </si>
  <si>
    <t>SERVICIOS DE INVESTIGACION</t>
  </si>
  <si>
    <t>GASTOS LICITACIÓN</t>
  </si>
  <si>
    <t>SERV DE SEGURIDAD E INV DE CAMPO</t>
  </si>
  <si>
    <t>ANALISIS GEOQUIMICOS</t>
  </si>
  <si>
    <t>VACACIONES</t>
  </si>
  <si>
    <t>GASTOS EN CALEFACCIÓN</t>
  </si>
  <si>
    <t>SERV DE MOVIMIENTOS DE SUELO</t>
  </si>
  <si>
    <t>MONITOREO DE SUELOS</t>
  </si>
  <si>
    <t>SERVICIOS DE CARTOGRAFIA</t>
  </si>
  <si>
    <t>INSUMOS PARA MUESTRAS</t>
  </si>
  <si>
    <t>USO EVENTUAL DE AGUA</t>
  </si>
  <si>
    <t>INFORMES DE EVALUACIÓN ECONÓMICA</t>
  </si>
  <si>
    <t>txtRazonSocial</t>
  </si>
  <si>
    <t>txtEjercicio</t>
  </si>
  <si>
    <t>TxtCapitulo</t>
  </si>
  <si>
    <t>Texto72</t>
  </si>
  <si>
    <t>txtsaldop</t>
  </si>
  <si>
    <t>111010001 - Caja</t>
  </si>
  <si>
    <t>11101002 - Caja Chica Los Menucos</t>
  </si>
  <si>
    <t>111020001 - ICBC S.A. C/C</t>
  </si>
  <si>
    <t>111020007 - Banco Macro (u$s)</t>
  </si>
  <si>
    <t>111020007 - Banco Macro USD</t>
  </si>
  <si>
    <t>111020002 - Banco Macro Cta. Especial en pesos</t>
  </si>
  <si>
    <t>111020005 - Banco Macro Pesos</t>
  </si>
  <si>
    <t>111020006 - Banco Galicia c/c</t>
  </si>
  <si>
    <t>111040020 - Tarjeta Corporativa E.Bernuy</t>
  </si>
  <si>
    <t>111020003 - Banco de Crédito - BCP</t>
  </si>
  <si>
    <t>115010001 - Fondo fima premiun</t>
  </si>
  <si>
    <t>114010001 - Iva crédito fiscal</t>
  </si>
  <si>
    <t>114010002 - Iva saldo a favor</t>
  </si>
  <si>
    <t>114010003 - Ret. y Perc. IVA</t>
  </si>
  <si>
    <t>114010003 - Retenciones y percepciones iva</t>
  </si>
  <si>
    <t>114010004 - Ret. y Perc. IIBB</t>
  </si>
  <si>
    <t>114010004 - Retenciones y Percepciones II.BB.</t>
  </si>
  <si>
    <t>114010005 - IIBB saldo a favor</t>
  </si>
  <si>
    <t>114010005 - Ingresos Brutos saldo a favor</t>
  </si>
  <si>
    <t>114010006 - Crédito Imp. L.25413</t>
  </si>
  <si>
    <t>114010010 - Imp. Gcia. Min. Presunta</t>
  </si>
  <si>
    <t>114010010 - Imp. Gcia Mínima Presunta</t>
  </si>
  <si>
    <t>114010012 - Ret. y Perc. Ganancias</t>
  </si>
  <si>
    <t>114010012 - Ret/Perc Ganancias</t>
  </si>
  <si>
    <t>114010013 - GMP saldo a favor</t>
  </si>
  <si>
    <t>11401013 - Saldo a Favor Gcia Minima Presunta</t>
  </si>
  <si>
    <t>114010014 - Saldos a favor Ganancias</t>
  </si>
  <si>
    <t>114010014 - Saldo Favor Ganancias</t>
  </si>
  <si>
    <t>114010016 - Impuesto Credito Diferido</t>
  </si>
  <si>
    <t>114010018 - Percepcion RG 4815 35% computable Ganancias</t>
  </si>
  <si>
    <t>114010021 - Ret. y Perc. IIBB San Juan</t>
  </si>
  <si>
    <t>11401017 - Antic. Tributos Aduaneros</t>
  </si>
  <si>
    <t>114010020 - Iva importación de servicios</t>
  </si>
  <si>
    <t>114020001 - Southern Copper Corporation Cta. Part.</t>
  </si>
  <si>
    <t>11402001 - Southern Cooper Corporation Cta Part</t>
  </si>
  <si>
    <t>114020002 - Cía. Minera Los Tolmos S.A. Cta. Part.</t>
  </si>
  <si>
    <t>11402002 - Cía. Minera Los Tolmos S.A. Cta. Part.</t>
  </si>
  <si>
    <t>114050005 - Seguros a Devengar</t>
  </si>
  <si>
    <t>114050006 - Cuentas por cobrar a Personal</t>
  </si>
  <si>
    <t>116010001 - Socio Southern Copper Corporation</t>
  </si>
  <si>
    <t>11404002 - Adelanto Wilfredo Loza</t>
  </si>
  <si>
    <t>11405001 - Adelantos de Sueldos</t>
  </si>
  <si>
    <t>11405002 - Anticipo Geologos</t>
  </si>
  <si>
    <t>114050003 - Anticipo de Fondos</t>
  </si>
  <si>
    <t>114050004 - Anticipo a Proveedores</t>
  </si>
  <si>
    <t>114060002 - Zento S.A.</t>
  </si>
  <si>
    <t>114050007 - Garantia a Cobrar/Recuperar</t>
  </si>
  <si>
    <t>122010000 - Depósito en garantía alquiler</t>
  </si>
  <si>
    <t>12301000 - Titulos Públicos</t>
  </si>
  <si>
    <t>124010001 - Muebles y Utiles</t>
  </si>
  <si>
    <t>Ok con Anexo I</t>
  </si>
  <si>
    <t>124010002 - Equipos</t>
  </si>
  <si>
    <t>124010003 - Herramientas</t>
  </si>
  <si>
    <t>124010004 - Equipos de Computaciòn</t>
  </si>
  <si>
    <t>124010005 - Software</t>
  </si>
  <si>
    <t>124020001 - Dep. Ac. Muebles y Utiles</t>
  </si>
  <si>
    <t>12407000 - Am. Ac. Muebles y Útiles</t>
  </si>
  <si>
    <t>124020002 - Dep. Ac. Equipos</t>
  </si>
  <si>
    <t>12408000 - Am. Ac. Equipos</t>
  </si>
  <si>
    <t>124020003 - Dep. Ac. Herramientas</t>
  </si>
  <si>
    <t>12409000 - Am. Ac. Herramientas</t>
  </si>
  <si>
    <t>124010006 - Rodados</t>
  </si>
  <si>
    <t>124020004 - Dep. Ac. Eq. de Computación</t>
  </si>
  <si>
    <t>12412000 - Am. Ac. Eq. de Computación</t>
  </si>
  <si>
    <t>124020005 - Dep. Ac. Software</t>
  </si>
  <si>
    <t>12413000 - Am. Ac. Software</t>
  </si>
  <si>
    <t>124020006 - Dep. Ac. Rodados</t>
  </si>
  <si>
    <t>12414000 - Am. Ac. Rodados</t>
  </si>
  <si>
    <t>124010007 - Equipamiento Exploración</t>
  </si>
  <si>
    <t>124020007 - Dep. Ac. Equipamiento Exploración</t>
  </si>
  <si>
    <t>12416000 - Am. Ac. Equipamiento Exploración</t>
  </si>
  <si>
    <t>124010008 - Instalaciones</t>
  </si>
  <si>
    <t>124020008 - Dep. Ac. Instalaciones</t>
  </si>
  <si>
    <t>12418000 - Am. Ac. Instalaciones</t>
  </si>
  <si>
    <t>125010001 - Cargos Diferidos Los Menucos</t>
  </si>
  <si>
    <t>125010002 - Cargos Diferidos Cañadón del Moro</t>
  </si>
  <si>
    <t>Total Activo</t>
  </si>
  <si>
    <t>Control</t>
  </si>
  <si>
    <t>211010004 - AMX Argentina</t>
  </si>
  <si>
    <t>211010005 - Estudio Beccar Varela</t>
  </si>
  <si>
    <t>211010038 - Nippon Car S.R.L.</t>
  </si>
  <si>
    <t>211010134 - Li Zhi</t>
  </si>
  <si>
    <t>211010209 - IMC S.R.L</t>
  </si>
  <si>
    <t>211010258 - Edersa</t>
  </si>
  <si>
    <t>211010329 - Servicios Cipolletti S.A.</t>
  </si>
  <si>
    <t>211010402 - Crown Casino S.A.</t>
  </si>
  <si>
    <t>211010404 - Camara Argentina de Empresarios Mineros</t>
  </si>
  <si>
    <t>211010436 - Bien del Sur S.R.L.</t>
  </si>
  <si>
    <t>211010448 - Alex Stewart (Assayers) Argentina S.A.</t>
  </si>
  <si>
    <t>211010473 - Construcciones Industriales S.A.</t>
  </si>
  <si>
    <t>211010483 - Correa Claudio Ciro</t>
  </si>
  <si>
    <t>211010721 - Fly Corporate Travel S.R.L.</t>
  </si>
  <si>
    <t>211010747 - Daniel A. Castellaro</t>
  </si>
  <si>
    <t>211010773 - Camara de Mineria de Rio Negro</t>
  </si>
  <si>
    <t>211010875 - Moyma SRL</t>
  </si>
  <si>
    <t>211011079 - Carmen Wagner</t>
  </si>
  <si>
    <t>211011142 - Marin Maria Silvina</t>
  </si>
  <si>
    <t>211011153 - Adaime Gonzalo</t>
  </si>
  <si>
    <t>211011163 - Dash SRL</t>
  </si>
  <si>
    <t>211011192 - T y R Ceferino S.R.L. en Formacion</t>
  </si>
  <si>
    <t>211011195 - Telecom Argentina SA</t>
  </si>
  <si>
    <t>211011225 - Coop. de Prov. de Serv. Tel. y otros servicios</t>
  </si>
  <si>
    <t>211011323 - Toro Franco Erardo</t>
  </si>
  <si>
    <t>211011394 - Robledo Pedro Justo</t>
  </si>
  <si>
    <t>211011435 - SGS Peru S.A.C</t>
  </si>
  <si>
    <t>211011474 - Telefonica Moviles Argentina S.A</t>
  </si>
  <si>
    <t>211011554 - Salman Monica</t>
  </si>
  <si>
    <t>211011615 - Vega Suarez Roberto Giuliano</t>
  </si>
  <si>
    <t>211011780 - Andrade Ariel Gustavo</t>
  </si>
  <si>
    <t>211012087 - Maycar S.A.</t>
  </si>
  <si>
    <t>211012090 - La Meseta S.R.L.</t>
  </si>
  <si>
    <t>211012103 - De la Fuente Rolando Alberto</t>
  </si>
  <si>
    <t>211012138 - Mis Resto S.A.S</t>
  </si>
  <si>
    <t>211012167 - Caretta Arturo Aurelio</t>
  </si>
  <si>
    <t>211012204 - Alonso Miguel Angel (u$s)</t>
  </si>
  <si>
    <t>211012224 - Aitue Comunica S.A.</t>
  </si>
  <si>
    <t>211012247 - Tesacom USD</t>
  </si>
  <si>
    <t>211012266 - Dominguez Jorge Alfredo</t>
  </si>
  <si>
    <t>211012288 - Obsesionario S. A. S.</t>
  </si>
  <si>
    <t>211012297 - Rradom S.A.</t>
  </si>
  <si>
    <t>211012301 - Tecnira S.R.L</t>
  </si>
  <si>
    <t>211012316 - Bayton S. A</t>
  </si>
  <si>
    <t>211012360 - Datamine Chile S.A</t>
  </si>
  <si>
    <t>211012363 - Seequent Limited  usd</t>
  </si>
  <si>
    <t>211012407 - Jose Pablo Belbruno USD</t>
  </si>
  <si>
    <t>211012409 - Rubén Alfredo Pontoriero</t>
  </si>
  <si>
    <t>211012410 - MG Servicios de Limpieza SAS</t>
  </si>
  <si>
    <t>211012429 - Waldino Fabian Acosta</t>
  </si>
  <si>
    <t>211012459 - MARCOS ALFREDO DI PAOLA</t>
  </si>
  <si>
    <t>211012480 - Ismar SRL</t>
  </si>
  <si>
    <t>Proveedores</t>
  </si>
  <si>
    <t>DE ACA VA A LAS NOTAS</t>
  </si>
  <si>
    <t>212010001 - Sueldos a pagar</t>
  </si>
  <si>
    <t>213010001 - SICORE a pagar</t>
  </si>
  <si>
    <t>212020001 - SICOSS a pagar</t>
  </si>
  <si>
    <t>21407000 - Sicoss a pagar</t>
  </si>
  <si>
    <t>21410000 - Tasa Municipalidad Tolar Grande a pagar</t>
  </si>
  <si>
    <t>21408000 - Imp. Gcia Mínima Presunta a pagar</t>
  </si>
  <si>
    <t>21409000 - Retenciones SUSS a pagar</t>
  </si>
  <si>
    <t>21504000 - Cheques emitidos en cartera</t>
  </si>
  <si>
    <t>211050000 - Previsión AID</t>
  </si>
  <si>
    <t>211060000 - Previsión IGMP</t>
  </si>
  <si>
    <t>DIF</t>
  </si>
  <si>
    <t>211070000 - Depósito efectivo Bco. Galicia</t>
  </si>
  <si>
    <t>212010002 - Embargo por Alimentos</t>
  </si>
  <si>
    <t>212010003 - Provisión Vacaciones</t>
  </si>
  <si>
    <t>213010005 - Tasa Municipal Catamarca a pagar</t>
  </si>
  <si>
    <t>213010006 - Tasas Retributivas Mineras</t>
  </si>
  <si>
    <t>211080000 - Transferencia a debitar</t>
  </si>
  <si>
    <t>211030000 - Provision de Gastos</t>
  </si>
  <si>
    <t>213010007 - Tasa Seguridad e Higiene a pagar</t>
  </si>
  <si>
    <t>213010010 - Patentes a pagar</t>
  </si>
  <si>
    <t>212020002 - Retenciones SUSS a pagar</t>
  </si>
  <si>
    <t>311000000 - Capital Suscripto</t>
  </si>
  <si>
    <t>31100000 - Capital Suscripto</t>
  </si>
  <si>
    <t>313000000 - Ajuste de Capital</t>
  </si>
  <si>
    <t>321000000 - Resultados No Asignados</t>
  </si>
  <si>
    <t>32201000 - Resultados no asignados</t>
  </si>
  <si>
    <t>Total PN</t>
  </si>
  <si>
    <t>323000000 - Resultado del Ejercicio</t>
  </si>
  <si>
    <t xml:space="preserve">Pat. Neto </t>
  </si>
  <si>
    <t>32203000 - A.R.E.A.</t>
  </si>
  <si>
    <t>dif</t>
  </si>
  <si>
    <t>41210000 - Resultado baja bien de Uso</t>
  </si>
  <si>
    <t>41220000 - RECUPERO SINIESTRO</t>
  </si>
  <si>
    <t>41230000 - Envío muestras Chile</t>
  </si>
  <si>
    <t>41240000 - Resultado Venta Títulos Públicos</t>
  </si>
  <si>
    <t>412500000 - Venta de bienes de uso</t>
  </si>
  <si>
    <t>412600000 - Recupero de Seguros</t>
  </si>
  <si>
    <t>412700000 - Intereses ganados</t>
  </si>
  <si>
    <t>426380000 - Gastos de licitación Gst Campo</t>
  </si>
  <si>
    <t>Agregada 03-26</t>
  </si>
  <si>
    <t>42101000 - Honorarios legales</t>
  </si>
  <si>
    <t>425940000 - Honorarios Legales Adm. Gral</t>
  </si>
  <si>
    <t>421430000 - Honorarios legales  Adm Catamarca</t>
  </si>
  <si>
    <t>421580000 - Servicio Notarial Rel Comunitaria Catamarca</t>
  </si>
  <si>
    <t>425840000 - Servicios Notariales Administracion Gral.</t>
  </si>
  <si>
    <t>42102000 - Honorarios profesionales</t>
  </si>
  <si>
    <t>421310000 - Honorarios Profesionales - Adm Catamarca</t>
  </si>
  <si>
    <t>425190000 - Honorarios Profesionales Adm. Gral.</t>
  </si>
  <si>
    <t>433030000 - Honorarios Profesionales Adm. Gral. USD</t>
  </si>
  <si>
    <t>426440000 - Honorarios Profesionales Gs Campo</t>
  </si>
  <si>
    <t>427400000 - Honorarios Profesionales - Rel. Comunitarias</t>
  </si>
  <si>
    <t>421970000 - Honorarios Profesionales Gs Campo Catamarca</t>
  </si>
  <si>
    <t>421590000 - Honorarios profesionales Rel Comunitaria Catamarca</t>
  </si>
  <si>
    <t>426630000 - Honorarios profesionales Vigencia y Penalidades</t>
  </si>
  <si>
    <t>421030000 - IVA crédito fiscal no computable</t>
  </si>
  <si>
    <t>421050000 - Sueldos Adm.</t>
  </si>
  <si>
    <t>421060000 - Cargas sociales Adm.</t>
  </si>
  <si>
    <t>42107000 - Movilidad y viáticos Adm.</t>
  </si>
  <si>
    <t>425120000 - Movilidad y Viáticos Adm. Gral.</t>
  </si>
  <si>
    <t>433120000 - Movilidad y Viáticos Gastos de Campo (u$s)</t>
  </si>
  <si>
    <t>421070000 - Movilidad y viáticos Adm.</t>
  </si>
  <si>
    <t>421440000 - Movilidad y Viáticos Adm Catamarca</t>
  </si>
  <si>
    <t>429910000 - Movilidad y Viáticos E-Perforación</t>
  </si>
  <si>
    <t>426610000 - Movilidad y viáticos Gs Campo Catamarca</t>
  </si>
  <si>
    <t>42110000 - Eventos</t>
  </si>
  <si>
    <t>42114000 - Gs. Limpieza</t>
  </si>
  <si>
    <t>421340000 - Gastos de limpieza - Adm Catamarca</t>
  </si>
  <si>
    <t>426130000 - Gastos de Limpieza Gs Campo</t>
  </si>
  <si>
    <t>427140000 - Gastos de limpieza Rel. comunitarias</t>
  </si>
  <si>
    <t>425970000 - Gs Limpieza Adm Gral.</t>
  </si>
  <si>
    <t>426810000 - Gastos de limpieza Gts campo Catam</t>
  </si>
  <si>
    <t>42115000 - Inspecciones</t>
  </si>
  <si>
    <t>42111000 - Alquiler de Eq. De campo</t>
  </si>
  <si>
    <t>426520000 - Alquiler Equipos. Gst de Campo</t>
  </si>
  <si>
    <t>42112000 - Gastos varios oficina</t>
  </si>
  <si>
    <t>425300000 - Gst Varios Oficina Adm. Gral.</t>
  </si>
  <si>
    <t>433080000 - Gastos Varios de Adm Gral USD</t>
  </si>
  <si>
    <t>426190000 - Gst Varios Oficina Gst Campo</t>
  </si>
  <si>
    <t>421140000 - Gastos varios oficina - Adm Catamarca</t>
  </si>
  <si>
    <t>421360000 - Gastos Varios Rel. Comunitarias Catamarca</t>
  </si>
  <si>
    <t>427280000 - Gastos Varios Rel. Comunitarias</t>
  </si>
  <si>
    <t>421930000 - Gs Varios Oficina Gs Campo Catamarca</t>
  </si>
  <si>
    <t>427500000 - Gastos de oficina - Relaciones Comun.</t>
  </si>
  <si>
    <t>42113000 - Tasas Retributivas Minería</t>
  </si>
  <si>
    <t>426940000 - Tasas Retributivas Minería Gts Campo</t>
  </si>
  <si>
    <t>425820000 - Tasas Retributivas Minería Adm Gral.</t>
  </si>
  <si>
    <t>426570000 - Tasas Retributivas Minería – Vigencia y Penalidades</t>
  </si>
  <si>
    <t>421180000 - Vacaciones</t>
  </si>
  <si>
    <t>425310000 - Vacaciones Adm Gral.</t>
  </si>
  <si>
    <t>426360000 - Vacaciones Gs Campo</t>
  </si>
  <si>
    <t>42202000 - Certificaciones</t>
  </si>
  <si>
    <t>42203000 - Depreciaciones</t>
  </si>
  <si>
    <t>425250000 - Amortizaciones Adm. Gral.</t>
  </si>
  <si>
    <t>42204000 - Sellados</t>
  </si>
  <si>
    <t>425260000 - Sellados Adm Gral</t>
  </si>
  <si>
    <t>426410000 - Sellados Gs de Campo</t>
  </si>
  <si>
    <t>42207000 - Seguridad</t>
  </si>
  <si>
    <t>421100000 - Seguridad - Adm Catamarca</t>
  </si>
  <si>
    <t>425950000 - Seguridad Adm. Gral.</t>
  </si>
  <si>
    <t>429260000 - Gastos de Seguridad - E. Perforación</t>
  </si>
  <si>
    <t>421980000 - Seguridad Gs Campo Catamarca</t>
  </si>
  <si>
    <t>42208000 - Gastos Varios Campo</t>
  </si>
  <si>
    <t>426270000 - Gst Varios Campo Gst Campo</t>
  </si>
  <si>
    <t>428100000 - Gastos Varios Campo Muestreo Geof. Sup</t>
  </si>
  <si>
    <t>421600000 - Gastos Varios Gastos de Campo Catamarca</t>
  </si>
  <si>
    <t>42209000 - Gastos de computacion</t>
  </si>
  <si>
    <t>425290000 - Gs Computación Adm General</t>
  </si>
  <si>
    <t>426210000 - Servicios Infórmaticos Gst. Campo</t>
  </si>
  <si>
    <t>421510000 - Gs Computación - Adm Catamarca</t>
  </si>
  <si>
    <t>425400000 - Servicios Informáticos Adm. Gral.</t>
  </si>
  <si>
    <t>421120000 - Servicios Informaticos - Adm Catamarca</t>
  </si>
  <si>
    <t>426600000 - Gastos Computacion Gs Campo</t>
  </si>
  <si>
    <t>421370000 - Gs Computación - Rel. Comunitarias Catamarca</t>
  </si>
  <si>
    <t>42211000 - Patentes</t>
  </si>
  <si>
    <t>426350000 - Patentes Gst Campo</t>
  </si>
  <si>
    <t>427250000 - Patentes Rel. Comunitarias</t>
  </si>
  <si>
    <t>426670000 - Patentes Gasto Campo Catamarca</t>
  </si>
  <si>
    <t>42213000 - Gastos en tramites</t>
  </si>
  <si>
    <t>426340000 - Catastro Minero Gs Campo</t>
  </si>
  <si>
    <t>425320000 - Catastro Minero Adm Gral</t>
  </si>
  <si>
    <t>42215000 - Mantenimiento Software</t>
  </si>
  <si>
    <t>42216000 - Gratificaciones</t>
  </si>
  <si>
    <t>42217000 - Publicaciones</t>
  </si>
  <si>
    <t>425280000 - Publicaciones Adm Gral</t>
  </si>
  <si>
    <t>421570000 - Publicaciones -  Vigencia y Penalidades Catamarca</t>
  </si>
  <si>
    <t>426560000 - Publicaciones -  Vigencia y Penalidades</t>
  </si>
  <si>
    <t>42218000 - Gastos Médicos</t>
  </si>
  <si>
    <t>42219000 - Donaciones</t>
  </si>
  <si>
    <t>429960000 - Donación - E. Perforación</t>
  </si>
  <si>
    <t>427900000 - Donaciones Rel. comunitarias Catamarca</t>
  </si>
  <si>
    <t>426850000 - Donaciones Gs de Campo Catamarca</t>
  </si>
  <si>
    <t>426980000 - Donaciones Gs de Campo</t>
  </si>
  <si>
    <t>42220000 - Materiales de campo</t>
  </si>
  <si>
    <t>426510000 - Materiales de Campo. Gst de Campo</t>
  </si>
  <si>
    <t>426330000 - Insumos de Campo Gst Campo</t>
  </si>
  <si>
    <t>42221000 - Regalos al Personal</t>
  </si>
  <si>
    <t>42222000 - Mensajería</t>
  </si>
  <si>
    <t>425960000 - Encomienda Adm. Gral.</t>
  </si>
  <si>
    <t>421900000 - Encomienda Adm Catamarca</t>
  </si>
  <si>
    <t>426970000 - Encomienda Gs Campo</t>
  </si>
  <si>
    <t>429240000 - Encomiendas - E. Perforacion</t>
  </si>
  <si>
    <t>425170000 - Mensajeria Adm. Gral.</t>
  </si>
  <si>
    <t>427510000 - Encomienda Rel. Com. Catamarca</t>
  </si>
  <si>
    <t>426230000 - Mensajeria Gst Campo</t>
  </si>
  <si>
    <t>428300000 - Mensajería Muestreo Geof. Sup.</t>
  </si>
  <si>
    <t>421950000 - Mensajeria Muestreo Geof. Sup. Catamarca</t>
  </si>
  <si>
    <t>421630000 - Mensajeria Gs Campo Catamarca</t>
  </si>
  <si>
    <t>422240000 - Gastos de Espectrometria</t>
  </si>
  <si>
    <t>42223000 - Alquileres varios</t>
  </si>
  <si>
    <t>429900000 - Alquiler varios - E. Perforacion</t>
  </si>
  <si>
    <t>426170000 - Alquiler Cocheras Gst Campo</t>
  </si>
  <si>
    <t>427220000 - Alquileres varios Rel. comunitarias</t>
  </si>
  <si>
    <t>426310000 - Alquileres Varios Gs de Campo</t>
  </si>
  <si>
    <t>421560000 - Alquileres varios - Adm Catamarca</t>
  </si>
  <si>
    <t>42224000 - Recupero de Gastos</t>
  </si>
  <si>
    <t>42301000 - Gastos y comisiones bancarias</t>
  </si>
  <si>
    <t>426550000 - Gastos y Comisiones Bancarias - Gasto de Campo</t>
  </si>
  <si>
    <t>425220000 - Gastos y Comisiones Bancarias Adm. Gral</t>
  </si>
  <si>
    <t>433110000 - Gastos bancarios Adm general (u$s)</t>
  </si>
  <si>
    <t>427160000 - Gastos y comisiones bancarias Rel. comunitarias</t>
  </si>
  <si>
    <t>423010000 - Gastos y comisiones bancarias</t>
  </si>
  <si>
    <t>423130000 - Imp. a los Débitos y Créditos no computables</t>
  </si>
  <si>
    <t>433100000 - Impuesto 25413 No Computable Adm General (u$s)</t>
  </si>
  <si>
    <t>425230000 - Imp. a los Débitos y Créditos Bancarios Ad. Gral.</t>
  </si>
  <si>
    <t>42304000 - Intereses</t>
  </si>
  <si>
    <t>426920000 - Intereses Gs Campo</t>
  </si>
  <si>
    <t>425140000 - Intereses resarcitorios Adm. Gral.</t>
  </si>
  <si>
    <t>423040000 - Intereses</t>
  </si>
  <si>
    <t>425980000 - Intereses Adm. Gral.</t>
  </si>
  <si>
    <t>431110000 - Intereses - Adm. Catamarca</t>
  </si>
  <si>
    <t>421200000 - Intereses resarcitorios Adm Gral Catamarca</t>
  </si>
  <si>
    <t>433010000 - Intereses Gs Campo Catamarca</t>
  </si>
  <si>
    <t>427330000 - Impuestos no computables Rel. Comunitarias Catamarca</t>
  </si>
  <si>
    <t>423060000 - Diferencia de cambio $</t>
  </si>
  <si>
    <t>No va en Anexo II</t>
  </si>
  <si>
    <t>42308000 - Tasa Municipal Neuquén/ Río Negro</t>
  </si>
  <si>
    <t>42309000 - Multas</t>
  </si>
  <si>
    <t>42310000 - II.BB. No Computable</t>
  </si>
  <si>
    <t>42311000 - Impuestos Varios</t>
  </si>
  <si>
    <t>425270000 - Impuestos Varios Adm Gral.</t>
  </si>
  <si>
    <t>423100000 - II.BB. No Computable</t>
  </si>
  <si>
    <t>426700000 - Impuesto varios Gasto de Campo.</t>
  </si>
  <si>
    <t>431080000 - Impuestos no computables - Gs de campo</t>
  </si>
  <si>
    <t>421810000 - Impuestos no computables Gs Campo Catamarca</t>
  </si>
  <si>
    <t>427320000 - Impuestos no computables Rel. Comunitarias</t>
  </si>
  <si>
    <t>421090000 - Seguridad e Higiene Adm Gral Catamarca</t>
  </si>
  <si>
    <t>431100000 - Imp. Bienes, Acc. y Part. Soc. – Adm. General</t>
  </si>
  <si>
    <t>42411000 - MATRICULAS</t>
  </si>
  <si>
    <t>42412000 - GS.EN PERSONAL</t>
  </si>
  <si>
    <t>427240000 - Gastos en Personal Rel. Comunitarias</t>
  </si>
  <si>
    <t>426280000 - Gst en Personal Gst Campo</t>
  </si>
  <si>
    <t>425900000 - Gs en Personal Adm Gral</t>
  </si>
  <si>
    <t>429200000 - Gastos en Personal E. Perforacion</t>
  </si>
  <si>
    <t>421190000 - Gastos en personal - Adm Catamarca</t>
  </si>
  <si>
    <t>421420000 - Gtos en personal Gs. de campo Catamarca</t>
  </si>
  <si>
    <t>422090000 - Gs en personal R- Ambiental</t>
  </si>
  <si>
    <t>421450000 - Gs. en Personal Rel. Comunitarias Catamarca</t>
  </si>
  <si>
    <t>42413000 - ALQUILER DE VEHÍCULOS</t>
  </si>
  <si>
    <t>427150000 - Alquiler de vehículos Rel. comunitarias</t>
  </si>
  <si>
    <t>426590000 - Alquiler de vehículos Gs Campo</t>
  </si>
  <si>
    <t>421820000 - Alquiler de vehiculos - Gs Campo Catamarca</t>
  </si>
  <si>
    <t>42414000 - CANON</t>
  </si>
  <si>
    <t>426320000 - Canon Gst Campo</t>
  </si>
  <si>
    <t>421480000 - Canon Minero - Adm Catamarca</t>
  </si>
  <si>
    <t>421210000 - Canon Minero - Vigencia y Penalidades</t>
  </si>
  <si>
    <t>42415000 - GS EXPLORACION</t>
  </si>
  <si>
    <t>426540000 - Gastos Exploracion. Gst de Campo</t>
  </si>
  <si>
    <t>42416000 - CONVENIO DE CESIÓN</t>
  </si>
  <si>
    <t>427210000 - Convenio de Acceso Rel. comunitarias</t>
  </si>
  <si>
    <t>426290000 - Convenio de Acceso Gs de Campo</t>
  </si>
  <si>
    <t>42417000 - ACUERDO DE INVERSIONES</t>
  </si>
  <si>
    <t>42418000 - GASTOS TOPOGRAFICOS</t>
  </si>
  <si>
    <t>421620000 - Servicio de Topografia Gs Campo Catamarca</t>
  </si>
  <si>
    <t>426950000 - Servicio de Topografía Gs de Campo</t>
  </si>
  <si>
    <t>42419000 - Servicios de Geofisica</t>
  </si>
  <si>
    <t>42420000 - MOVILIDAD Y VIATICOS</t>
  </si>
  <si>
    <t>426120000 - Movilidad y Viaticos Gs Campo</t>
  </si>
  <si>
    <t>427110000 - Movilidad y Viáticos Rel. comunitarias</t>
  </si>
  <si>
    <t>421180000 - Movilidad y viáticos Rel. Comunitarias Catamarca</t>
  </si>
  <si>
    <t>42421000 - ALOJAMIENTO</t>
  </si>
  <si>
    <t>425700000 - Alojamiento Adm. Gral.</t>
  </si>
  <si>
    <t>421520000 - Alojamiento Adm gral Catamarca</t>
  </si>
  <si>
    <t>426260000 - Alojamiento Gst de Campo</t>
  </si>
  <si>
    <t>427230000 - Alojamiento Rel. Comunitarias</t>
  </si>
  <si>
    <t>421160000 - Alojamiento Gs de campo Catamarca.</t>
  </si>
  <si>
    <t>421170000 - Alojamiento Rel. Comunitarias Catamarca</t>
  </si>
  <si>
    <t>429920000 - Alojamiento E- Perforación</t>
  </si>
  <si>
    <t>42422000 - COMIDA</t>
  </si>
  <si>
    <t>429500000 - Refrigerios E. Perforacion</t>
  </si>
  <si>
    <t>424220000 - Comida</t>
  </si>
  <si>
    <t>Agregada 04-26</t>
  </si>
  <si>
    <t>425110000 - Refrigerios Adm Gral.</t>
  </si>
  <si>
    <t>426110000 - Refrigerios Gs Campo</t>
  </si>
  <si>
    <t>427120000 - Refrigerios Rel. comunitarias</t>
  </si>
  <si>
    <t>421010000 - Refrigerios - Adm Catamarca</t>
  </si>
  <si>
    <t>421150000 - Refrigerios Gs campo Catamarca</t>
  </si>
  <si>
    <t>421330000 - Refrigerios Rel. comunitarias Catamarca</t>
  </si>
  <si>
    <t>42423000 - PEAJES</t>
  </si>
  <si>
    <t>42424000 - TRASLADOS</t>
  </si>
  <si>
    <t>421680000 - Servicio de transporte Gs Campo Catamarca</t>
  </si>
  <si>
    <t>426460000 - Traslados Gs de Campo</t>
  </si>
  <si>
    <t>429950000 - Servicio de Transporte de muestras- E. Perforacion</t>
  </si>
  <si>
    <t>42425000 - COMUNICACIONES</t>
  </si>
  <si>
    <t>429400000 - Comunicaciones E. Perforacion</t>
  </si>
  <si>
    <t>425180000 - Comunicaciones Adm. Gral</t>
  </si>
  <si>
    <t>433050000 - Comunicaciones Adm. Gral USD</t>
  </si>
  <si>
    <t>426160000 - Comunicaciones Gst Campo</t>
  </si>
  <si>
    <t>421110000 - Comunicaciones - Adm Catamarca</t>
  </si>
  <si>
    <t>427270000 - Comunicaciones Rel. Comunitarias</t>
  </si>
  <si>
    <t>427700000 - Comunicaciones Rel. comunitarias Catamarca</t>
  </si>
  <si>
    <t>421670000 - Comunicaciones Gs Campo Catamarca</t>
  </si>
  <si>
    <t>433090000 - Comunicaciones Gastos de campo USD</t>
  </si>
  <si>
    <t>42426000 - COMBUSTIBLE</t>
  </si>
  <si>
    <t>429800000 - Combustible - E. Perforacion</t>
  </si>
  <si>
    <t>425200000 - Combustible Adm Gral.</t>
  </si>
  <si>
    <t>426200000 - Combustible Gst Campo</t>
  </si>
  <si>
    <t>427170000 - Combustible Rel. comunitarias</t>
  </si>
  <si>
    <t>421410000 - Combustible Gs de campo Catamarca</t>
  </si>
  <si>
    <t>421610000 - Combustible Adm. Gral. Catamarca</t>
  </si>
  <si>
    <t>427520000 - Combustibles Rel. Comunitarias Catamarca</t>
  </si>
  <si>
    <t>424270000 - Adquisición Información Geológica</t>
  </si>
  <si>
    <t>431030000 - Adquisición de Inform. Geologica Gs de campo Cat</t>
  </si>
  <si>
    <t>433020000 - Adquisición de inform. Geofísica Gs Campo</t>
  </si>
  <si>
    <t>426650000 - Adquisición de inform. Geofísica Gs Campo Cat</t>
  </si>
  <si>
    <t>42428000 - GS.CAPACITACION</t>
  </si>
  <si>
    <t>425210000 - Gst de Capacitación Adm. Gral.</t>
  </si>
  <si>
    <t>426530000 - Gst de Capacitación. Gs de Campo</t>
  </si>
  <si>
    <t>421830000 - Capacitaciones Gs Campo Catamarca</t>
  </si>
  <si>
    <t>42429000 - GS.SUSCRIPCION EDITORIAL</t>
  </si>
  <si>
    <t>42430000 - ALQUILERES INMUEBLES</t>
  </si>
  <si>
    <t>421320000 - Alquiler inmueble - Adm Catamarca</t>
  </si>
  <si>
    <t>425150000 - Alquiler Inmueble Adm. Gral.</t>
  </si>
  <si>
    <t>426220000 - Alquiler Inmueble Gst Campo</t>
  </si>
  <si>
    <t>421490000 - Alquiler Inmueble Gs. de campo Catamarca</t>
  </si>
  <si>
    <t>421940000 - Alquiler Inmueble Rel. Comun. Catamarca</t>
  </si>
  <si>
    <t>42431000 - ANALISIS MUESTRAS</t>
  </si>
  <si>
    <t>428200000 - Análisis de Muestras Muestreo Geof. Sup.</t>
  </si>
  <si>
    <t>426960000 - Análisis de Muestras Gs de Campo</t>
  </si>
  <si>
    <t>421470000 - Análisis Muestras I - R. Ambiental Catamarca</t>
  </si>
  <si>
    <t>429280000 - Análisis Muestras de agua- E. Perforación.</t>
  </si>
  <si>
    <t>422220000 - Análisis Muestras - R. Ambiental</t>
  </si>
  <si>
    <t>429940000 - Análisis de Muestras - E. Perforación</t>
  </si>
  <si>
    <t>431010000 - Análisis Muestras- F Analisis Quimicos de Perf.</t>
  </si>
  <si>
    <t>431060000 - Análisis de muestras Gs de Campo Catamarca</t>
  </si>
  <si>
    <t>431120000 - Análisis Muestras- F Analisis Quimicos de Perf Catamarca</t>
  </si>
  <si>
    <t>42432000 - REPARACIONES</t>
  </si>
  <si>
    <t>42433000 - Gs. Importación</t>
  </si>
  <si>
    <t>42434000 - HABILITACIÓN COMERCIAL</t>
  </si>
  <si>
    <t>42435000 - INFORMES AMBIENTALES</t>
  </si>
  <si>
    <t>426930000 - Informes Ambientales Gs Campo</t>
  </si>
  <si>
    <t>426660000 - Informes Ambientales Gs Campo Cat</t>
  </si>
  <si>
    <t>42436000 - ESTACIONAMIENTO</t>
  </si>
  <si>
    <t>42437000 - Cuota Societaria - Camara de Mineria</t>
  </si>
  <si>
    <t>425160000 - Cuota Societaria Minera Adm. Gral.</t>
  </si>
  <si>
    <t>426990000 - Cuota Societaria Gs de Campo</t>
  </si>
  <si>
    <t>42438000 - INDUMENTARIA</t>
  </si>
  <si>
    <t>426910000 -  Indumentaria de Trabajo Gs campo</t>
  </si>
  <si>
    <t>421700000 - Indumentaria de Trabajo Gastos de campo Catamarca</t>
  </si>
  <si>
    <t>429270000 - Indumentaria de Trabajo - E. Perforacion</t>
  </si>
  <si>
    <t>431070000 - Indumentaria de Trabajo Adm. Catamarca</t>
  </si>
  <si>
    <t>424390000 - Adquisición Informacion Geologica</t>
  </si>
  <si>
    <t>426480000 - Adquisición Inf. Geólogica Gs de Campo</t>
  </si>
  <si>
    <t>42439000 - GASTOS CAMPAMENTO</t>
  </si>
  <si>
    <t>429210000 - Gastos Campamento - E. Perforacion</t>
  </si>
  <si>
    <t>42440000 - SUELDOS</t>
  </si>
  <si>
    <t>424400000 - Sueldos Campo</t>
  </si>
  <si>
    <t>42441000 - ALQUILER DE MAQUINARIA</t>
  </si>
  <si>
    <t>421840000 - Alquiler Maquinaria Gs Campo Catamarca</t>
  </si>
  <si>
    <t>421800000 - Alquiler maquinaria limpieza Rel. Comun. Catamarca</t>
  </si>
  <si>
    <t>42442000 - CATERING</t>
  </si>
  <si>
    <t>42443000 - FERRETERÍA</t>
  </si>
  <si>
    <t>422080000 - Gastos Ferretería I -R.Ambiental</t>
  </si>
  <si>
    <t>427180000 - Gst de Ferreteria Rel. Comunitarias</t>
  </si>
  <si>
    <t>426450000 - Gs Ferretería Gs Campo</t>
  </si>
  <si>
    <t>421130000 - Ferreteria - Adm Catamarca</t>
  </si>
  <si>
    <t>426860000 - Ferretería Gs Campo Catamarca</t>
  </si>
  <si>
    <t>429220000 - Ferreteria - E. Perforacion</t>
  </si>
  <si>
    <t>424460000 - Gastos de Perforación</t>
  </si>
  <si>
    <t>429300000 - Servicio de Perforacion E. Perforacion</t>
  </si>
  <si>
    <t>42444000 - Consumos no reembolsables</t>
  </si>
  <si>
    <t>424450000 - Tasas Ambientales</t>
  </si>
  <si>
    <t>422010000 - Tasas ambientales I- R. Ambiental</t>
  </si>
  <si>
    <t>426500000 - Tasas Ambientales Gastos de Campo</t>
  </si>
  <si>
    <t>425100000 - Tasas Ambientales – Adm. General</t>
  </si>
  <si>
    <t>425810000 - Tasa Municipal Adm. Gral.</t>
  </si>
  <si>
    <t>421710000 - Tasa Municipal Adm Catamarca</t>
  </si>
  <si>
    <t>429930000 - Tasa ambiental - E. Perforación</t>
  </si>
  <si>
    <t>431090000 - Tasas Ambientales – Vigencia y Penalidades</t>
  </si>
  <si>
    <t>424500000 - CARGAS SOCIALES CAMPO</t>
  </si>
  <si>
    <t>42460000 - LIBRERIA Y PAPELERIA</t>
  </si>
  <si>
    <t>421380000 -  Libreria - Rel. Comunitarias Catamarca</t>
  </si>
  <si>
    <t>426470000 - Librería y Papelería Gs Campo</t>
  </si>
  <si>
    <t>425920000 - Libreria y papeleria Adm Gral.</t>
  </si>
  <si>
    <t>429100000 - Librería y Papelería Perforación</t>
  </si>
  <si>
    <t>421460000 - Libreria y papeleria Adm catamarca</t>
  </si>
  <si>
    <t>427300000 - Libreria y papeleria  Rel. Comunitarias</t>
  </si>
  <si>
    <t>421920000 - Libreria y Papeleria Gs Campo Catamarca</t>
  </si>
  <si>
    <t>431020000 - Libreria y Papeleria - F Analisis Quimico Perf. Catamarca</t>
  </si>
  <si>
    <t>42470000 - SERVICIOS</t>
  </si>
  <si>
    <t>425500000 - Servicios Públicos Adm. Gral.</t>
  </si>
  <si>
    <t>426150000 - Servicios Públicos Gs Campo</t>
  </si>
  <si>
    <t>421020000 - Servicios Públicos - Adm Catamarca</t>
  </si>
  <si>
    <t>426870000 - Servicios publicos Gs. Campo Catamarca</t>
  </si>
  <si>
    <t>42480000 - DERECHOS DE EXPLORACION</t>
  </si>
  <si>
    <t>424810000 - Gastos Campamento</t>
  </si>
  <si>
    <t>426180000 - Gst Campamento Gst Campo</t>
  </si>
  <si>
    <t>421690000 - Gs de Campamento Gs de Campo Catamarca</t>
  </si>
  <si>
    <t>424820000 - Remediación Ambiental</t>
  </si>
  <si>
    <t>422020000 - Remediación Ambiental I- R. Ambiental</t>
  </si>
  <si>
    <t>426490000 - Remediación Ambiental Gs de Campo</t>
  </si>
  <si>
    <t>425830000 - Remediación Ambiental Adm General</t>
  </si>
  <si>
    <t>429110000 - Remediación Ambiental E. Perforacion</t>
  </si>
  <si>
    <t>42489000 - GASTOS DE CONSTRUCCIÓN</t>
  </si>
  <si>
    <t>421080000 - Servicios de construccion Rel. Comunit. Catamarca</t>
  </si>
  <si>
    <t>421550000 -  Materiales de construccion Rel. Comunit. Catam</t>
  </si>
  <si>
    <t>426580000 - Servicios de construccion Gs de Campo Catam.</t>
  </si>
  <si>
    <t>42490000 - GS MANTENIMIENTO</t>
  </si>
  <si>
    <t>425600000 - Gst Mantenimiento Adm. Gral.</t>
  </si>
  <si>
    <t>426250000 - Gst de Mantenimiento Gst Campo</t>
  </si>
  <si>
    <t>421990000 - Mantenimiento Adm. Gral Catamarca</t>
  </si>
  <si>
    <t>421850000 - Gst de Mantenimiento Gst Campo Catamarca</t>
  </si>
  <si>
    <t>42491000 - GS VARIOS</t>
  </si>
  <si>
    <t>42492000 - TASAS</t>
  </si>
  <si>
    <t>42493000 - Gastos de Representación</t>
  </si>
  <si>
    <t>426640000 - Gasto de representación Gs. Campo</t>
  </si>
  <si>
    <t>427310000 - Gs representación Rel. comunitarias</t>
  </si>
  <si>
    <t>42494000 - GASTOS VEHICULOS</t>
  </si>
  <si>
    <t>431040000 - Gastos de vehículos - Vigencia y Penalidades</t>
  </si>
  <si>
    <t>426240000 - Gst de Vehículos Gst de Campo</t>
  </si>
  <si>
    <t>433070000 - Gst de Vehículos Gst de Campo USD</t>
  </si>
  <si>
    <t>425990000 - Gs Vehiculos Adm Gral</t>
  </si>
  <si>
    <t>427260000 - Gastos de vehiculos  Rel. Comunitarias</t>
  </si>
  <si>
    <t>421500000 - Gastos de vehiculos Adm Catamarca.</t>
  </si>
  <si>
    <t>429310000 - Gastos de vehiculos - E. Perforacion</t>
  </si>
  <si>
    <t>427800000 - Gst Vehículos Rel. comunitarias Catamarca</t>
  </si>
  <si>
    <t>421640000 - Gastos vehiculos Gs Campo Catamarca</t>
  </si>
  <si>
    <t>42496000 - EXPENSAS</t>
  </si>
  <si>
    <t>425130000 - Expensas Depto Geologos Adm Gral</t>
  </si>
  <si>
    <t>426140000 - Expensas Depto Geologos Gs Campo</t>
  </si>
  <si>
    <t>426840000 - Expensas Gs Campo</t>
  </si>
  <si>
    <t>424970000 - Servicios de Investigación</t>
  </si>
  <si>
    <t>42497000 - GS RELAC ALQUILER</t>
  </si>
  <si>
    <t>42498000 - OBRA SOCIAL</t>
  </si>
  <si>
    <t>425930000 - Obra Social Adicional Adm Gral.</t>
  </si>
  <si>
    <t>426820000 - Obra social Adicional Gst de campo</t>
  </si>
  <si>
    <t>42499000 - SEGUROS</t>
  </si>
  <si>
    <t>429700000 - Seguros E. Perforacion</t>
  </si>
  <si>
    <t>425240000 - Seguros Adm. Gral</t>
  </si>
  <si>
    <t>426100000 - Seguros Gs Campo</t>
  </si>
  <si>
    <t>43100000 - ROBO</t>
  </si>
  <si>
    <t>432010000 - Robo</t>
  </si>
  <si>
    <t>43200000 - PERDIDA DE MATERIALES</t>
  </si>
  <si>
    <t>426010000 - Servicios de geologia</t>
  </si>
  <si>
    <t>426430000 - Serv. Digitalición Gs Campo</t>
  </si>
  <si>
    <t>425910000 - Publicidad Adm Gral</t>
  </si>
  <si>
    <t>425800000 - Serv. de Cadetería Adm Gral</t>
  </si>
  <si>
    <t>426900000 - Serv. Seguridad e Investigación Gs Campo</t>
  </si>
  <si>
    <t>426800000 - Análisis Geoquimicos - Gtos Laboratorio Gs Campo</t>
  </si>
  <si>
    <t>429250000 - Análisis Geoquimicos - E. Perforación</t>
  </si>
  <si>
    <t>421350000 - Servicios movimiento de suelos -Rel.Com. Catamarca</t>
  </si>
  <si>
    <t>425330000 - Impuestos País - Adm Gral.</t>
  </si>
  <si>
    <t>427290000 - Gastos en calefacción Rel. Comunitarias</t>
  </si>
  <si>
    <t>421530000 - Servicio de Internet Adm Catamarca.</t>
  </si>
  <si>
    <t>433060000 - Servicio de Internet Adm Catamarca.USD</t>
  </si>
  <si>
    <t>421540000 - Monitoreo de suelos y aguas - Gs de Campo Cat.</t>
  </si>
  <si>
    <t>431050000 - Impuestos País - Gs de Campo</t>
  </si>
  <si>
    <t>421650000 - Servicios de cartografía Gs Campo Catamarca</t>
  </si>
  <si>
    <t>421660000 - Insumos para muestras Gs Campo Catamarca</t>
  </si>
  <si>
    <t>426620000 - Uso eventual de agua en proyectos - Vigencia y Penalidades</t>
  </si>
  <si>
    <t>426370000 - Informes de evaluación económica Gs Campo</t>
  </si>
  <si>
    <t>Total</t>
  </si>
  <si>
    <t xml:space="preserve">Anexo II </t>
  </si>
  <si>
    <t>Dif de cambio</t>
  </si>
  <si>
    <t xml:space="preserve">Comprobación - Dif de cambio </t>
  </si>
  <si>
    <t>Saldos</t>
  </si>
  <si>
    <t>111020001 - ICBC S.A. c/c</t>
  </si>
  <si>
    <t>114010002 - IVA saldo a favor</t>
  </si>
  <si>
    <t>114010001 - IVA Crédito Fiscal</t>
  </si>
  <si>
    <t>SALDO SyS</t>
  </si>
  <si>
    <t>VER - VA EN HOJA SALDOS DIRECTAMENTE</t>
  </si>
  <si>
    <t>211010081 - Polans S.R.L.</t>
  </si>
  <si>
    <t>211011167 - Manquilef Gustavo David</t>
  </si>
  <si>
    <t>211011181 - Zarate Roque Adrian</t>
  </si>
  <si>
    <t>211011324 - GPA Consultoría Ambiental y Social SAS</t>
  </si>
  <si>
    <t>211011624 - Alvarez Neumaticos S.A.</t>
  </si>
  <si>
    <t>211012257 - Ecopartatles S.A</t>
  </si>
  <si>
    <t>211012268 - Major Perforaciones S.A.</t>
  </si>
  <si>
    <t>211012275 - Jorgra Jorge Rafael Vitale</t>
  </si>
  <si>
    <t>211012277 - El Amucan S.R.L</t>
  </si>
  <si>
    <t>RESULTADO</t>
  </si>
  <si>
    <t>423050000 - Diferencia de Cambio USD</t>
  </si>
  <si>
    <t>424500000 - Cargas sociales Campo</t>
  </si>
  <si>
    <t>426880000 - Tasas Municipales Gs Campo</t>
  </si>
  <si>
    <t>Rdos</t>
  </si>
  <si>
    <t>Dif</t>
  </si>
  <si>
    <t>PN</t>
  </si>
  <si>
    <t>SyS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</si>
</sst>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 * #,##0.00_ ;_ * \-#,##0.00_ ;_ * &quot;-&quot;??_ ;_ @_ "/>
    <numFmt numFmtId="165" formatCode="#,##0.00_);\(#,##0.00\)"/>
    <numFmt numFmtId="166" formatCode="_-* #,##0.00\ _$_-;\-* #,##0.00\ _$_-;_-* &quot;-&quot;??\ _$_-;_-@_-"/>
    <numFmt numFmtId="167" formatCode="_-* #,##0.00\ _€_-;\-* #,##0.00\ _€_-;_-* &quot;-&quot;??\ _€_-;_-@_-"/>
  </numFmts>
  <fonts count="27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8"/>
      <color rgb="FFFF0000"/>
      <name val="Arial"/>
      <family val="2"/>
    </font>
    <font>
      <b/>
      <sz val="8"/>
      <color rgb="FFFF0000"/>
      <name val="Arial"/>
      <family val="2"/>
    </font>
    <font>
      <b/>
      <sz val="8"/>
      <color indexed="8"/>
      <name val="Arial"/>
      <family val="2"/>
    </font>
    <font>
      <sz val="8"/>
      <color theme="0"/>
      <name val="Arial"/>
      <family val="2"/>
    </font>
    <font>
      <sz val="8"/>
      <color indexed="8"/>
      <name val="Arial"/>
      <family val="2"/>
    </font>
    <font>
      <u/>
      <sz val="8"/>
      <name val="Arial"/>
      <family val="2"/>
    </font>
    <font>
      <sz val="10"/>
      <name val="Arial"/>
    </font>
    <font>
      <sz val="10"/>
      <name val="Tahoma"/>
      <family val="2"/>
    </font>
    <font>
      <sz val="10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i/>
      <sz val="8"/>
      <color indexed="8"/>
      <name val="Arial"/>
      <family val="2"/>
    </font>
    <font>
      <b/>
      <sz val="9"/>
      <color indexed="8"/>
      <name val="Arial"/>
      <family val="2"/>
    </font>
    <font>
      <b/>
      <sz val="9"/>
      <color theme="1"/>
      <name val="Arial"/>
      <family val="2"/>
    </font>
    <font>
      <i/>
      <sz val="8"/>
      <name val="Arial"/>
      <family val="2"/>
    </font>
    <font>
      <sz val="9"/>
      <name val="Arial"/>
      <family val="2"/>
    </font>
    <font>
      <b/>
      <i/>
      <sz val="8"/>
      <name val="Arial"/>
      <family val="2"/>
    </font>
    <font>
      <i/>
      <sz val="8"/>
      <color theme="0" tint="-0.249977111117893"/>
      <name val="Arial"/>
      <family val="2"/>
    </font>
    <font>
      <b/>
      <i/>
      <sz val="8"/>
      <color theme="0" tint="-0.249977111117893"/>
      <name val="Arial"/>
      <family val="2"/>
    </font>
    <font>
      <b/>
      <sz val="10"/>
      <color rgb="FFFF0000"/>
      <name val="Arial"/>
      <family val="2"/>
    </font>
    <font>
      <b/>
      <i/>
      <sz val="8"/>
      <color indexed="8"/>
      <name val="Arial"/>
      <family val="2"/>
    </font>
    <font>
      <b/>
      <sz val="10"/>
      <color indexed="8"/>
      <name val="Arial"/>
      <family val="2"/>
    </font>
    <font>
      <sz val="10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</fills>
  <borders count="50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14" fontId="1" fillId="0" borderId="6" xfId="0" applyNumberFormat="1" applyFont="1" applyBorder="1" applyAlignment="1">
      <alignment horizontal="center"/>
    </xf>
    <xf numFmtId="14" fontId="1" fillId="0" borderId="7" xfId="0" applyNumberFormat="1" applyFont="1" applyBorder="1" applyAlignment="1">
      <alignment horizontal="center"/>
    </xf>
    <xf numFmtId="0" fontId="3" fillId="0" borderId="0" xfId="0" applyFont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4" fontId="1" fillId="0" borderId="6" xfId="0" applyNumberFormat="1" applyFont="1" applyBorder="1"/>
    <xf numFmtId="4" fontId="1" fillId="0" borderId="11" xfId="0" applyNumberFormat="1" applyFont="1" applyBorder="1"/>
    <xf numFmtId="4" fontId="1" fillId="0" borderId="7" xfId="0" applyNumberFormat="1" applyFont="1" applyBorder="1"/>
    <xf numFmtId="4" fontId="1" fillId="0" borderId="0" xfId="0" applyNumberFormat="1" applyFont="1"/>
    <xf numFmtId="0" fontId="1" fillId="0" borderId="8" xfId="0" applyFont="1" applyBorder="1"/>
    <xf numFmtId="4" fontId="1" fillId="0" borderId="13" xfId="0" applyNumberFormat="1" applyFont="1" applyBorder="1"/>
    <xf numFmtId="0" fontId="1" fillId="0" borderId="9" xfId="0" applyFont="1" applyBorder="1"/>
    <xf numFmtId="4" fontId="1" fillId="0" borderId="14" xfId="0" applyNumberFormat="1" applyFont="1" applyBorder="1"/>
    <xf numFmtId="4" fontId="1" fillId="0" borderId="15" xfId="0" applyNumberFormat="1" applyFont="1" applyBorder="1"/>
    <xf numFmtId="4" fontId="1" fillId="0" borderId="9" xfId="0" applyNumberFormat="1" applyFont="1" applyBorder="1"/>
    <xf numFmtId="0" fontId="1" fillId="0" borderId="6" xfId="0" applyFont="1" applyBorder="1"/>
    <xf numFmtId="0" fontId="1" fillId="0" borderId="16" xfId="0" applyFont="1" applyBorder="1"/>
    <xf numFmtId="0" fontId="1" fillId="0" borderId="17" xfId="0" applyFont="1" applyBorder="1"/>
    <xf numFmtId="0" fontId="3" fillId="0" borderId="17" xfId="0" applyFont="1" applyBorder="1"/>
    <xf numFmtId="4" fontId="1" fillId="0" borderId="18" xfId="0" applyNumberFormat="1" applyFont="1" applyBorder="1"/>
    <xf numFmtId="4" fontId="1" fillId="0" borderId="19" xfId="0" applyNumberFormat="1" applyFont="1" applyBorder="1"/>
    <xf numFmtId="0" fontId="1" fillId="0" borderId="0" xfId="0" applyFont="1" applyAlignment="1">
      <alignment horizontal="right"/>
    </xf>
    <xf numFmtId="4" fontId="4" fillId="0" borderId="0" xfId="0" applyNumberFormat="1" applyFont="1"/>
    <xf numFmtId="164" fontId="1" fillId="0" borderId="0" xfId="0" applyNumberFormat="1" applyFont="1"/>
    <xf numFmtId="165" fontId="5" fillId="0" borderId="0" xfId="0" applyNumberFormat="1" applyFont="1" applyAlignment="1">
      <alignment horizontal="right" vertical="top"/>
    </xf>
    <xf numFmtId="164" fontId="4" fillId="0" borderId="0" xfId="0" applyNumberFormat="1" applyFont="1"/>
    <xf numFmtId="0" fontId="1" fillId="0" borderId="0" xfId="0" applyFont="1" applyAlignment="1">
      <alignment horizontal="center"/>
    </xf>
    <xf numFmtId="0" fontId="1" fillId="0" borderId="20" xfId="0" applyFont="1" applyBorder="1"/>
    <xf numFmtId="0" fontId="1" fillId="0" borderId="7" xfId="0" applyFont="1" applyBorder="1"/>
    <xf numFmtId="2" fontId="1" fillId="0" borderId="0" xfId="0" applyNumberFormat="1" applyFont="1"/>
    <xf numFmtId="165" fontId="6" fillId="0" borderId="0" xfId="0" applyNumberFormat="1" applyFont="1" applyAlignment="1">
      <alignment horizontal="right" vertical="top"/>
    </xf>
    <xf numFmtId="164" fontId="1" fillId="0" borderId="7" xfId="0" applyNumberFormat="1" applyFont="1" applyBorder="1"/>
    <xf numFmtId="0" fontId="1" fillId="0" borderId="18" xfId="0" applyFont="1" applyBorder="1"/>
    <xf numFmtId="164" fontId="1" fillId="0" borderId="19" xfId="0" applyNumberFormat="1" applyFont="1" applyBorder="1"/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4" fontId="1" fillId="0" borderId="23" xfId="0" applyNumberFormat="1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4" xfId="0" applyFont="1" applyBorder="1"/>
    <xf numFmtId="0" fontId="1" fillId="0" borderId="29" xfId="0" applyFont="1" applyBorder="1"/>
    <xf numFmtId="164" fontId="1" fillId="0" borderId="6" xfId="0" applyNumberFormat="1" applyFont="1" applyBorder="1"/>
    <xf numFmtId="4" fontId="1" fillId="0" borderId="25" xfId="0" applyNumberFormat="1" applyFont="1" applyBorder="1"/>
    <xf numFmtId="0" fontId="7" fillId="0" borderId="24" xfId="0" applyFont="1" applyBorder="1"/>
    <xf numFmtId="164" fontId="8" fillId="0" borderId="0" xfId="0" applyNumberFormat="1" applyFont="1" applyAlignment="1">
      <alignment horizontal="right"/>
    </xf>
    <xf numFmtId="4" fontId="1" fillId="0" borderId="30" xfId="0" applyNumberFormat="1" applyFont="1" applyBorder="1"/>
    <xf numFmtId="0" fontId="1" fillId="0" borderId="31" xfId="0" applyFont="1" applyBorder="1"/>
    <xf numFmtId="4" fontId="8" fillId="0" borderId="0" xfId="0" applyNumberFormat="1" applyFont="1" applyAlignment="1">
      <alignment horizontal="right" vertical="top"/>
    </xf>
    <xf numFmtId="14" fontId="9" fillId="0" borderId="0" xfId="0" applyNumberFormat="1" applyFont="1" applyAlignment="1">
      <alignment horizontal="center"/>
    </xf>
    <xf numFmtId="0" fontId="9" fillId="0" borderId="0" xfId="0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vertical="top"/>
    </xf>
    <xf numFmtId="4" fontId="1" fillId="0" borderId="32" xfId="0" applyNumberFormat="1" applyFont="1" applyBorder="1"/>
    <xf numFmtId="4" fontId="8" fillId="0" borderId="0" xfId="0" applyNumberFormat="1" applyFont="1" applyAlignment="1">
      <alignment horizontal="right"/>
    </xf>
    <xf numFmtId="0" fontId="8" fillId="0" borderId="0" xfId="0" applyFont="1" applyAlignment="1">
      <alignment horizontal="right"/>
    </xf>
    <xf numFmtId="0" fontId="10" fillId="0" borderId="0" xfId="0" applyFont="1"/>
    <xf numFmtId="0" fontId="11" fillId="0" borderId="0" xfId="0" applyFont="1"/>
    <xf numFmtId="0" fontId="11" fillId="0" borderId="0" xfId="0" applyFont="1" applyAlignment="1">
      <alignment horizontal="center"/>
    </xf>
    <xf numFmtId="0" fontId="11" fillId="0" borderId="5" xfId="0" applyFont="1" applyBorder="1"/>
    <xf numFmtId="0" fontId="11" fillId="0" borderId="20" xfId="0" applyFont="1" applyBorder="1"/>
    <xf numFmtId="0" fontId="11" fillId="0" borderId="34" xfId="0" applyFont="1" applyBorder="1"/>
    <xf numFmtId="0" fontId="11" fillId="0" borderId="35" xfId="0" applyFont="1" applyBorder="1"/>
    <xf numFmtId="0" fontId="11" fillId="0" borderId="36" xfId="0" applyFont="1" applyBorder="1"/>
    <xf numFmtId="0" fontId="11" fillId="0" borderId="37" xfId="0" applyFont="1" applyBorder="1"/>
    <xf numFmtId="0" fontId="11" fillId="0" borderId="10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0" borderId="24" xfId="0" applyFont="1" applyBorder="1"/>
    <xf numFmtId="0" fontId="11" fillId="0" borderId="6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24" xfId="0" applyFont="1" applyBorder="1" applyAlignment="1">
      <alignment horizontal="center"/>
    </xf>
    <xf numFmtId="0" fontId="11" fillId="0" borderId="28" xfId="0" applyFont="1" applyBorder="1"/>
    <xf numFmtId="0" fontId="11" fillId="0" borderId="8" xfId="0" applyFont="1" applyBorder="1"/>
    <xf numFmtId="0" fontId="11" fillId="0" borderId="9" xfId="0" applyFont="1" applyBorder="1"/>
    <xf numFmtId="0" fontId="11" fillId="0" borderId="6" xfId="0" applyFont="1" applyBorder="1"/>
    <xf numFmtId="0" fontId="11" fillId="0" borderId="7" xfId="0" applyFont="1" applyBorder="1"/>
    <xf numFmtId="0" fontId="11" fillId="0" borderId="24" xfId="0" applyFont="1" applyBorder="1" applyAlignment="1">
      <alignment horizontal="left"/>
    </xf>
    <xf numFmtId="4" fontId="11" fillId="0" borderId="6" xfId="0" applyNumberFormat="1" applyFont="1" applyBorder="1" applyAlignment="1">
      <alignment horizontal="right"/>
    </xf>
    <xf numFmtId="4" fontId="10" fillId="0" borderId="0" xfId="0" applyNumberFormat="1" applyFont="1"/>
    <xf numFmtId="9" fontId="11" fillId="0" borderId="6" xfId="0" applyNumberFormat="1" applyFont="1" applyBorder="1" applyAlignment="1">
      <alignment horizontal="right"/>
    </xf>
    <xf numFmtId="4" fontId="11" fillId="0" borderId="7" xfId="0" applyNumberFormat="1" applyFont="1" applyBorder="1" applyAlignment="1">
      <alignment horizontal="right"/>
    </xf>
    <xf numFmtId="4" fontId="11" fillId="0" borderId="0" xfId="0" applyNumberFormat="1" applyFont="1"/>
    <xf numFmtId="4" fontId="12" fillId="0" borderId="6" xfId="0" applyNumberFormat="1" applyFont="1" applyBorder="1"/>
    <xf numFmtId="4" fontId="11" fillId="0" borderId="8" xfId="0" applyNumberFormat="1" applyFont="1" applyBorder="1" applyAlignment="1">
      <alignment horizontal="right"/>
    </xf>
    <xf numFmtId="4" fontId="11" fillId="0" borderId="9" xfId="0" applyNumberFormat="1" applyFont="1" applyBorder="1" applyAlignment="1">
      <alignment horizontal="right"/>
    </xf>
    <xf numFmtId="4" fontId="11" fillId="0" borderId="0" xfId="0" applyNumberFormat="1" applyFont="1" applyAlignment="1">
      <alignment horizontal="right"/>
    </xf>
    <xf numFmtId="164" fontId="11" fillId="0" borderId="0" xfId="0" applyNumberFormat="1" applyFont="1"/>
    <xf numFmtId="9" fontId="11" fillId="0" borderId="0" xfId="0" applyNumberFormat="1" applyFont="1"/>
    <xf numFmtId="0" fontId="1" fillId="0" borderId="4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34" xfId="0" applyFont="1" applyBorder="1"/>
    <xf numFmtId="0" fontId="1" fillId="0" borderId="35" xfId="0" applyFont="1" applyBorder="1"/>
    <xf numFmtId="14" fontId="1" fillId="0" borderId="8" xfId="0" applyNumberFormat="1" applyFont="1" applyBorder="1" applyAlignment="1">
      <alignment horizontal="center"/>
    </xf>
    <xf numFmtId="14" fontId="1" fillId="0" borderId="36" xfId="0" applyNumberFormat="1" applyFont="1" applyBorder="1" applyAlignment="1">
      <alignment horizontal="center"/>
    </xf>
    <xf numFmtId="14" fontId="1" fillId="0" borderId="20" xfId="0" applyNumberFormat="1" applyFont="1" applyBorder="1" applyAlignment="1">
      <alignment horizontal="center"/>
    </xf>
    <xf numFmtId="4" fontId="1" fillId="0" borderId="6" xfId="0" applyNumberFormat="1" applyFont="1" applyBorder="1" applyAlignment="1">
      <alignment horizontal="right"/>
    </xf>
    <xf numFmtId="4" fontId="1" fillId="0" borderId="7" xfId="0" applyNumberFormat="1" applyFont="1" applyBorder="1" applyAlignment="1">
      <alignment horizontal="right"/>
    </xf>
    <xf numFmtId="4" fontId="1" fillId="0" borderId="25" xfId="0" applyNumberFormat="1" applyFont="1" applyBorder="1" applyAlignment="1">
      <alignment horizontal="right"/>
    </xf>
    <xf numFmtId="0" fontId="1" fillId="0" borderId="39" xfId="0" applyFont="1" applyBorder="1"/>
    <xf numFmtId="0" fontId="1" fillId="0" borderId="32" xfId="0" applyFont="1" applyBorder="1"/>
    <xf numFmtId="4" fontId="1" fillId="0" borderId="30" xfId="0" applyNumberFormat="1" applyFont="1" applyBorder="1" applyAlignment="1">
      <alignment horizontal="right"/>
    </xf>
    <xf numFmtId="4" fontId="1" fillId="0" borderId="40" xfId="0" applyNumberFormat="1" applyFont="1" applyBorder="1"/>
    <xf numFmtId="4" fontId="1" fillId="0" borderId="0" xfId="0" applyNumberFormat="1" applyFont="1" applyAlignment="1">
      <alignment horizontal="center"/>
    </xf>
    <xf numFmtId="164" fontId="10" fillId="0" borderId="0" xfId="0" applyNumberFormat="1" applyFont="1"/>
    <xf numFmtId="164" fontId="10" fillId="0" borderId="41" xfId="0" applyNumberFormat="1" applyFont="1" applyBorder="1"/>
    <xf numFmtId="164" fontId="13" fillId="0" borderId="0" xfId="0" applyNumberFormat="1" applyFont="1" applyAlignment="1">
      <alignment horizontal="center"/>
    </xf>
    <xf numFmtId="0" fontId="14" fillId="0" borderId="0" xfId="0" applyFont="1" applyAlignment="1">
      <alignment horizontal="left"/>
    </xf>
    <xf numFmtId="164" fontId="14" fillId="0" borderId="42" xfId="0" applyNumberFormat="1" applyFont="1" applyBorder="1" applyAlignment="1">
      <alignment horizontal="left"/>
    </xf>
    <xf numFmtId="0" fontId="14" fillId="0" borderId="0" xfId="0" applyFont="1"/>
    <xf numFmtId="164" fontId="8" fillId="0" borderId="41" xfId="0" applyNumberFormat="1" applyFont="1" applyBorder="1" applyAlignment="1">
      <alignment horizontal="right" vertical="top"/>
    </xf>
    <xf numFmtId="0" fontId="8" fillId="0" borderId="0" xfId="0" applyFont="1"/>
    <xf numFmtId="164" fontId="8" fillId="0" borderId="0" xfId="0" applyNumberFormat="1" applyFont="1" applyAlignment="1">
      <alignment horizontal="right" vertical="top"/>
    </xf>
    <xf numFmtId="4" fontId="8" fillId="2" borderId="41" xfId="0" applyNumberFormat="1" applyFont="1" applyFill="1" applyBorder="1" applyAlignment="1">
      <alignment horizontal="right" vertical="top"/>
    </xf>
    <xf numFmtId="164" fontId="12" fillId="0" borderId="0" xfId="0" applyNumberFormat="1" applyFont="1"/>
    <xf numFmtId="4" fontId="8" fillId="0" borderId="41" xfId="0" applyNumberFormat="1" applyFont="1" applyBorder="1" applyAlignment="1">
      <alignment horizontal="right" vertical="top"/>
    </xf>
    <xf numFmtId="0" fontId="10" fillId="0" borderId="0" xfId="0" applyFont="1" applyProtection="1">
      <protection locked="0" hidden="1"/>
    </xf>
    <xf numFmtId="0" fontId="14" fillId="0" borderId="0" xfId="0" applyFont="1" applyProtection="1">
      <protection locked="0" hidden="1"/>
    </xf>
    <xf numFmtId="0" fontId="8" fillId="0" borderId="0" xfId="0" applyFont="1" applyProtection="1">
      <protection locked="0" hidden="1"/>
    </xf>
    <xf numFmtId="0" fontId="8" fillId="0" borderId="0" xfId="0" applyFont="1" applyAlignment="1" applyProtection="1">
      <alignment horizontal="left"/>
      <protection locked="0" hidden="1"/>
    </xf>
    <xf numFmtId="164" fontId="10" fillId="0" borderId="0" xfId="0" applyNumberFormat="1" applyFont="1" applyProtection="1">
      <protection locked="0" hidden="1"/>
    </xf>
    <xf numFmtId="164" fontId="13" fillId="0" borderId="0" xfId="0" applyNumberFormat="1" applyFont="1" applyAlignment="1" applyProtection="1">
      <alignment horizontal="center"/>
      <protection locked="0" hidden="1"/>
    </xf>
    <xf numFmtId="0" fontId="8" fillId="0" borderId="0" xfId="0" applyFont="1" applyAlignment="1">
      <alignment horizontal="right" vertical="top"/>
    </xf>
    <xf numFmtId="0" fontId="8" fillId="0" borderId="0" xfId="0" applyFont="1" applyAlignment="1">
      <alignment horizontal="left" vertical="top"/>
    </xf>
    <xf numFmtId="166" fontId="10" fillId="0" borderId="0" xfId="0" applyNumberFormat="1" applyFont="1"/>
    <xf numFmtId="0" fontId="15" fillId="0" borderId="0" xfId="0" applyFont="1"/>
    <xf numFmtId="0" fontId="15" fillId="0" borderId="0" xfId="0" applyFont="1" applyAlignment="1">
      <alignment horizontal="left"/>
    </xf>
    <xf numFmtId="4" fontId="15" fillId="0" borderId="0" xfId="0" applyNumberFormat="1" applyFont="1" applyAlignment="1">
      <alignment horizontal="right" vertical="top"/>
    </xf>
    <xf numFmtId="164" fontId="15" fillId="0" borderId="0" xfId="0" applyNumberFormat="1" applyFont="1" applyAlignment="1">
      <alignment horizontal="right" vertical="top"/>
    </xf>
    <xf numFmtId="4" fontId="15" fillId="3" borderId="41" xfId="0" applyNumberFormat="1" applyFont="1" applyFill="1" applyBorder="1" applyAlignment="1">
      <alignment horizontal="right" vertical="top"/>
    </xf>
    <xf numFmtId="0" fontId="15" fillId="0" borderId="0" xfId="0" applyFont="1" applyAlignment="1">
      <alignment vertical="top"/>
    </xf>
    <xf numFmtId="4" fontId="16" fillId="0" borderId="0" xfId="0" applyNumberFormat="1" applyFont="1" applyAlignment="1">
      <alignment horizontal="center" vertical="top"/>
    </xf>
    <xf numFmtId="4" fontId="16" fillId="3" borderId="0" xfId="0" applyNumberFormat="1" applyFont="1" applyFill="1" applyAlignment="1">
      <alignment horizontal="center" vertical="top"/>
    </xf>
    <xf numFmtId="165" fontId="8" fillId="0" borderId="41" xfId="0" applyNumberFormat="1" applyFont="1" applyBorder="1" applyAlignment="1">
      <alignment horizontal="right" vertical="top"/>
    </xf>
    <xf numFmtId="4" fontId="6" fillId="0" borderId="0" xfId="0" applyNumberFormat="1" applyFont="1" applyAlignment="1">
      <alignment horizontal="right" vertical="top"/>
    </xf>
    <xf numFmtId="167" fontId="16" fillId="0" borderId="0" xfId="0" applyNumberFormat="1" applyFont="1" applyAlignment="1">
      <alignment horizontal="center" vertical="top"/>
    </xf>
    <xf numFmtId="0" fontId="16" fillId="0" borderId="0" xfId="0" applyFont="1" applyAlignment="1">
      <alignment horizontal="center" vertical="top"/>
    </xf>
    <xf numFmtId="165" fontId="8" fillId="4" borderId="41" xfId="0" applyNumberFormat="1" applyFont="1" applyFill="1" applyBorder="1" applyAlignment="1">
      <alignment horizontal="right" vertical="top"/>
    </xf>
    <xf numFmtId="0" fontId="10" fillId="0" borderId="35" xfId="0" applyFont="1" applyBorder="1"/>
    <xf numFmtId="0" fontId="14" fillId="0" borderId="35" xfId="0" applyFont="1" applyBorder="1"/>
    <xf numFmtId="0" fontId="8" fillId="0" borderId="35" xfId="0" applyFont="1" applyBorder="1" applyAlignment="1">
      <alignment vertical="top"/>
    </xf>
    <xf numFmtId="0" fontId="8" fillId="0" borderId="35" xfId="0" applyFont="1" applyBorder="1"/>
    <xf numFmtId="0" fontId="8" fillId="0" borderId="35" xfId="0" applyFont="1" applyBorder="1" applyAlignment="1">
      <alignment horizontal="left"/>
    </xf>
    <xf numFmtId="164" fontId="8" fillId="0" borderId="35" xfId="0" applyNumberFormat="1" applyFont="1" applyBorder="1" applyAlignment="1">
      <alignment horizontal="right" vertical="top"/>
    </xf>
    <xf numFmtId="165" fontId="8" fillId="0" borderId="43" xfId="0" applyNumberFormat="1" applyFont="1" applyBorder="1" applyAlignment="1">
      <alignment horizontal="right" vertical="top"/>
    </xf>
    <xf numFmtId="164" fontId="10" fillId="0" borderId="35" xfId="0" applyNumberFormat="1" applyFont="1" applyBorder="1"/>
    <xf numFmtId="164" fontId="13" fillId="0" borderId="35" xfId="0" applyNumberFormat="1" applyFont="1" applyBorder="1" applyAlignment="1">
      <alignment horizontal="center"/>
    </xf>
    <xf numFmtId="0" fontId="10" fillId="0" borderId="44" xfId="0" applyFont="1" applyBorder="1"/>
    <xf numFmtId="0" fontId="14" fillId="0" borderId="44" xfId="0" applyFont="1" applyBorder="1"/>
    <xf numFmtId="0" fontId="8" fillId="0" borderId="44" xfId="0" applyFont="1" applyBorder="1"/>
    <xf numFmtId="0" fontId="8" fillId="0" borderId="44" xfId="0" applyFont="1" applyBorder="1" applyAlignment="1">
      <alignment horizontal="left"/>
    </xf>
    <xf numFmtId="164" fontId="8" fillId="0" borderId="44" xfId="0" applyNumberFormat="1" applyFont="1" applyBorder="1" applyAlignment="1">
      <alignment horizontal="right" vertical="top"/>
    </xf>
    <xf numFmtId="4" fontId="8" fillId="0" borderId="45" xfId="0" applyNumberFormat="1" applyFont="1" applyBorder="1" applyAlignment="1">
      <alignment horizontal="right" vertical="top"/>
    </xf>
    <xf numFmtId="164" fontId="10" fillId="0" borderId="44" xfId="0" applyNumberFormat="1" applyFont="1" applyBorder="1"/>
    <xf numFmtId="164" fontId="13" fillId="0" borderId="44" xfId="0" applyNumberFormat="1" applyFont="1" applyBorder="1" applyAlignment="1">
      <alignment horizontal="center"/>
    </xf>
    <xf numFmtId="164" fontId="13" fillId="0" borderId="0" xfId="0" applyNumberFormat="1" applyFont="1"/>
    <xf numFmtId="4" fontId="8" fillId="0" borderId="43" xfId="0" applyNumberFormat="1" applyFont="1" applyBorder="1" applyAlignment="1">
      <alignment horizontal="right" vertical="top"/>
    </xf>
    <xf numFmtId="4" fontId="8" fillId="0" borderId="35" xfId="0" applyNumberFormat="1" applyFont="1" applyBorder="1" applyAlignment="1">
      <alignment horizontal="right" vertical="top"/>
    </xf>
    <xf numFmtId="4" fontId="13" fillId="0" borderId="0" xfId="0" applyNumberFormat="1" applyFont="1" applyAlignment="1">
      <alignment horizontal="center"/>
    </xf>
    <xf numFmtId="164" fontId="8" fillId="5" borderId="41" xfId="0" applyNumberFormat="1" applyFont="1" applyFill="1" applyBorder="1" applyAlignment="1">
      <alignment horizontal="right" vertical="top"/>
    </xf>
    <xf numFmtId="49" fontId="14" fillId="0" borderId="0" xfId="0" applyNumberFormat="1" applyFont="1"/>
    <xf numFmtId="0" fontId="17" fillId="0" borderId="0" xfId="0" applyFont="1" applyAlignment="1">
      <alignment horizontal="center"/>
    </xf>
    <xf numFmtId="166" fontId="0" fillId="0" borderId="0" xfId="0" applyNumberFormat="1"/>
    <xf numFmtId="0" fontId="8" fillId="6" borderId="0" xfId="0" applyFont="1" applyFill="1" applyAlignment="1">
      <alignment horizontal="left"/>
    </xf>
    <xf numFmtId="0" fontId="8" fillId="6" borderId="0" xfId="0" applyFont="1" applyFill="1" applyAlignment="1">
      <alignment vertical="top"/>
    </xf>
    <xf numFmtId="164" fontId="8" fillId="6" borderId="0" xfId="0" applyNumberFormat="1" applyFont="1" applyFill="1" applyAlignment="1">
      <alignment horizontal="right" vertical="top"/>
    </xf>
    <xf numFmtId="164" fontId="8" fillId="6" borderId="41" xfId="0" applyNumberFormat="1" applyFont="1" applyFill="1" applyBorder="1" applyAlignment="1">
      <alignment horizontal="right" vertical="top"/>
    </xf>
    <xf numFmtId="165" fontId="8" fillId="0" borderId="0" xfId="0" applyNumberFormat="1" applyFont="1" applyAlignment="1">
      <alignment horizontal="right" vertical="top"/>
    </xf>
    <xf numFmtId="0" fontId="8" fillId="7" borderId="0" xfId="0" applyFont="1" applyFill="1" applyAlignment="1">
      <alignment horizontal="left"/>
    </xf>
    <xf numFmtId="49" fontId="14" fillId="7" borderId="0" xfId="0" applyNumberFormat="1" applyFont="1" applyFill="1"/>
    <xf numFmtId="164" fontId="8" fillId="7" borderId="0" xfId="0" applyNumberFormat="1" applyFont="1" applyFill="1" applyAlignment="1">
      <alignment horizontal="right" vertical="top"/>
    </xf>
    <xf numFmtId="164" fontId="18" fillId="0" borderId="0" xfId="0" applyNumberFormat="1" applyFont="1" applyAlignment="1">
      <alignment horizontal="center"/>
    </xf>
    <xf numFmtId="164" fontId="13" fillId="0" borderId="46" xfId="0" applyNumberFormat="1" applyFont="1" applyBorder="1"/>
    <xf numFmtId="4" fontId="16" fillId="0" borderId="47" xfId="0" applyNumberFormat="1" applyFont="1" applyBorder="1" applyAlignment="1">
      <alignment horizontal="right" vertical="top"/>
    </xf>
    <xf numFmtId="164" fontId="16" fillId="0" borderId="48" xfId="0" applyNumberFormat="1" applyFont="1" applyBorder="1" applyAlignment="1">
      <alignment horizontal="right" vertical="top"/>
    </xf>
    <xf numFmtId="164" fontId="18" fillId="0" borderId="0" xfId="0" applyNumberFormat="1" applyFont="1"/>
    <xf numFmtId="164" fontId="19" fillId="0" borderId="0" xfId="0" applyNumberFormat="1" applyFont="1"/>
    <xf numFmtId="164" fontId="19" fillId="0" borderId="41" xfId="0" applyNumberFormat="1" applyFont="1" applyBorder="1"/>
    <xf numFmtId="164" fontId="20" fillId="0" borderId="0" xfId="0" applyNumberFormat="1" applyFont="1" applyAlignment="1">
      <alignment horizontal="center"/>
    </xf>
    <xf numFmtId="164" fontId="18" fillId="8" borderId="0" xfId="0" applyNumberFormat="1" applyFont="1" applyFill="1"/>
    <xf numFmtId="164" fontId="19" fillId="8" borderId="0" xfId="0" applyNumberFormat="1" applyFont="1" applyFill="1"/>
    <xf numFmtId="164" fontId="19" fillId="8" borderId="41" xfId="0" applyNumberFormat="1" applyFont="1" applyFill="1" applyBorder="1"/>
    <xf numFmtId="0" fontId="21" fillId="0" borderId="0" xfId="0" applyFont="1"/>
    <xf numFmtId="164" fontId="21" fillId="0" borderId="0" xfId="0" applyNumberFormat="1" applyFont="1"/>
    <xf numFmtId="164" fontId="21" fillId="0" borderId="41" xfId="0" applyNumberFormat="1" applyFont="1" applyBorder="1"/>
    <xf numFmtId="164" fontId="22" fillId="0" borderId="0" xfId="0" applyNumberFormat="1" applyFont="1" applyAlignment="1">
      <alignment horizontal="center"/>
    </xf>
    <xf numFmtId="0" fontId="10" fillId="0" borderId="47" xfId="0" applyFont="1" applyBorder="1"/>
    <xf numFmtId="0" fontId="10" fillId="0" borderId="46" xfId="0" applyFont="1" applyBorder="1"/>
    <xf numFmtId="164" fontId="1" fillId="0" borderId="47" xfId="0" applyNumberFormat="1" applyFont="1" applyBorder="1"/>
    <xf numFmtId="164" fontId="10" fillId="0" borderId="47" xfId="0" applyNumberFormat="1" applyFont="1" applyBorder="1"/>
    <xf numFmtId="164" fontId="23" fillId="0" borderId="48" xfId="0" applyNumberFormat="1" applyFont="1" applyBorder="1"/>
    <xf numFmtId="164" fontId="13" fillId="0" borderId="47" xfId="0" applyNumberFormat="1" applyFont="1" applyBorder="1" applyAlignment="1">
      <alignment horizontal="center"/>
    </xf>
    <xf numFmtId="0" fontId="14" fillId="0" borderId="0" xfId="0" applyFont="1" applyAlignment="1">
      <alignment vertical="top"/>
    </xf>
    <xf numFmtId="0" fontId="24" fillId="0" borderId="38" xfId="0" applyFont="1" applyBorder="1" applyAlignment="1">
      <alignment vertical="top"/>
    </xf>
    <xf numFmtId="0" fontId="24" fillId="0" borderId="49" xfId="0" applyFont="1" applyBorder="1" applyAlignment="1">
      <alignment vertical="top"/>
    </xf>
    <xf numFmtId="0" fontId="24" fillId="0" borderId="13" xfId="0" applyFont="1" applyBorder="1" applyAlignment="1">
      <alignment horizontal="center" vertical="top"/>
    </xf>
    <xf numFmtId="0" fontId="24" fillId="0" borderId="0" xfId="0" applyFont="1" applyAlignment="1">
      <alignment vertical="top"/>
    </xf>
    <xf numFmtId="165" fontId="8" fillId="0" borderId="0" xfId="0" applyNumberFormat="1" applyFont="1" applyAlignment="1">
      <alignment vertical="top"/>
    </xf>
    <xf numFmtId="0" fontId="6" fillId="0" borderId="35" xfId="0" applyFont="1" applyBorder="1" applyAlignment="1">
      <alignment horizontal="center" vertical="top"/>
    </xf>
    <xf numFmtId="0" fontId="8" fillId="9" borderId="0" xfId="0" applyFont="1" applyFill="1" applyAlignment="1">
      <alignment horizontal="center" vertical="top"/>
    </xf>
    <xf numFmtId="0" fontId="14" fillId="9" borderId="0" xfId="0" applyFont="1" applyFill="1" applyAlignment="1">
      <alignment horizontal="center" vertical="top"/>
    </xf>
    <xf numFmtId="165" fontId="6" fillId="9" borderId="0" xfId="0" applyNumberFormat="1" applyFont="1" applyFill="1" applyAlignment="1">
      <alignment horizontal="center" vertical="top"/>
    </xf>
    <xf numFmtId="4" fontId="14" fillId="0" borderId="0" xfId="0" applyNumberFormat="1" applyFont="1" applyAlignment="1">
      <alignment vertical="top"/>
    </xf>
    <xf numFmtId="0" fontId="14" fillId="10" borderId="0" xfId="0" applyFont="1" applyFill="1" applyAlignment="1">
      <alignment vertical="top"/>
    </xf>
    <xf numFmtId="0" fontId="24" fillId="10" borderId="0" xfId="0" applyFont="1" applyFill="1" applyAlignment="1">
      <alignment vertical="top"/>
    </xf>
    <xf numFmtId="0" fontId="14" fillId="0" borderId="49" xfId="0" applyFont="1" applyBorder="1" applyAlignment="1">
      <alignment vertical="top"/>
    </xf>
    <xf numFmtId="0" fontId="25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horizontal="left" vertical="top"/>
    </xf>
    <xf numFmtId="165" fontId="6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0" fontId="24" fillId="0" borderId="0" xfId="0" applyFont="1" applyAlignment="1">
      <alignment horizontal="center" vertical="top"/>
    </xf>
    <xf numFmtId="164" fontId="6" fillId="11" borderId="0" xfId="0" applyNumberFormat="1" applyFont="1" applyFill="1" applyAlignment="1">
      <alignment horizontal="right" vertical="top"/>
    </xf>
    <xf numFmtId="4" fontId="6" fillId="0" borderId="0" xfId="0" applyNumberFormat="1" applyFont="1" applyAlignment="1">
      <alignment vertical="top"/>
    </xf>
    <xf numFmtId="164" fontId="6" fillId="0" borderId="0" xfId="0" applyNumberFormat="1" applyFont="1" applyAlignment="1">
      <alignment vertical="top"/>
    </xf>
    <xf numFmtId="165" fontId="14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43" fontId="26" fillId="0" borderId="0" xfId="0" applyNumberFormat="1" applyFont="1" applyAlignment="1">
      <alignment vertical="top"/>
    </xf>
    <xf numFmtId="0" fontId="1" fillId="0" borderId="10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33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20" xfId="0" applyFont="1" applyBorder="1" applyAlignment="1">
      <alignment horizontal="center"/>
    </xf>
    <xf numFmtId="0" fontId="11" fillId="0" borderId="38" xfId="0" applyFont="1" applyBorder="1" applyAlignment="1">
      <alignment horizontal="center"/>
    </xf>
    <xf numFmtId="0" fontId="11" fillId="0" borderId="1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39"/>
  <sheetViews>
    <sheetView zoomScaleNormal="100" workbookViewId="0">
      <selection activeCell="L23" sqref="L23"/>
    </sheetView>
  </sheetViews>
  <sheetFormatPr baseColWidth="10" defaultColWidth="11.42578125" defaultRowHeight="10.15" customHeight="1" x14ac:dyDescent="0.2"/>
  <cols>
    <col min="1" max="1" width="1.7109375" style="1" customWidth="1"/>
    <col min="2" max="2" width="1.85546875" style="1" customWidth="1"/>
    <col min="3" max="3" width="1.7109375" style="1" customWidth="1"/>
    <col min="4" max="4" width="11.42578125" style="1" customWidth="1"/>
    <col min="5" max="5" width="20.85546875" style="1" customWidth="1"/>
    <col min="6" max="6" width="13.7109375" style="1" customWidth="1"/>
    <col min="7" max="7" width="11.42578125" style="1" hidden="1" customWidth="1"/>
    <col min="8" max="8" width="2.5703125" style="1" customWidth="1"/>
    <col min="9" max="9" width="1.85546875" style="1" customWidth="1"/>
    <col min="10" max="10" width="1.7109375" style="1" customWidth="1"/>
    <col min="11" max="11" width="33.7109375" style="1" customWidth="1"/>
    <col min="12" max="12" width="13.7109375" style="1" customWidth="1"/>
    <col min="13" max="14" width="13" style="1" customWidth="1"/>
    <col min="15" max="15" width="11.42578125" style="1" customWidth="1"/>
    <col min="16" max="16384" width="11.42578125" style="1"/>
  </cols>
  <sheetData>
    <row r="1" spans="1:15" ht="13.15" customHeight="1" x14ac:dyDescent="0.2">
      <c r="A1" s="2" t="s">
        <v>0</v>
      </c>
    </row>
    <row r="2" spans="1:15" ht="11.25" x14ac:dyDescent="0.2">
      <c r="A2" s="1" t="s">
        <v>1</v>
      </c>
    </row>
    <row r="3" spans="1:15" ht="10.9" customHeight="1" x14ac:dyDescent="0.2">
      <c r="C3" s="1" t="s">
        <v>2</v>
      </c>
      <c r="E3" s="1" t="s">
        <v>2</v>
      </c>
      <c r="F3" s="1" t="s">
        <v>2</v>
      </c>
    </row>
    <row r="4" spans="1:15" ht="10.9" customHeight="1" x14ac:dyDescent="0.2">
      <c r="A4" s="3"/>
      <c r="B4" s="4" t="s">
        <v>2</v>
      </c>
      <c r="C4" s="4"/>
      <c r="D4" s="4"/>
      <c r="E4" s="4"/>
      <c r="F4" s="5" t="s">
        <v>2</v>
      </c>
      <c r="G4" s="5"/>
      <c r="H4" s="4"/>
      <c r="I4" s="4"/>
      <c r="J4" s="4"/>
      <c r="K4" s="4"/>
      <c r="L4" s="6"/>
    </row>
    <row r="5" spans="1:15" ht="11.25" x14ac:dyDescent="0.2">
      <c r="A5" s="7"/>
      <c r="C5" s="1" t="s">
        <v>2</v>
      </c>
      <c r="F5" s="8" t="s">
        <v>3</v>
      </c>
      <c r="G5" s="8" t="s">
        <v>4</v>
      </c>
      <c r="L5" s="9" t="str">
        <f>+F5</f>
        <v>30.06.2026</v>
      </c>
    </row>
    <row r="6" spans="1:15" ht="11.25" x14ac:dyDescent="0.2">
      <c r="A6" s="7"/>
      <c r="B6" s="10" t="s">
        <v>5</v>
      </c>
      <c r="F6" s="11"/>
      <c r="G6" s="11" t="s">
        <v>6</v>
      </c>
      <c r="I6" s="10" t="s">
        <v>7</v>
      </c>
      <c r="L6" s="12"/>
    </row>
    <row r="7" spans="1:15" ht="11.25" x14ac:dyDescent="0.2">
      <c r="A7" s="7"/>
      <c r="C7" s="10" t="s">
        <v>8</v>
      </c>
      <c r="F7" s="13"/>
      <c r="G7" s="14"/>
      <c r="I7" s="10" t="s">
        <v>9</v>
      </c>
      <c r="L7" s="15"/>
    </row>
    <row r="8" spans="1:15" ht="11.25" x14ac:dyDescent="0.2">
      <c r="A8" s="7"/>
      <c r="D8" s="1" t="s">
        <v>10</v>
      </c>
      <c r="F8" s="16">
        <f>+'Activo y Pasivo'!F18</f>
        <v>20554136.340000004</v>
      </c>
      <c r="G8" s="17" t="e">
        <f>+'Activo y Pasivo'!#REF!</f>
        <v>#REF!</v>
      </c>
      <c r="J8" s="1" t="s">
        <v>11</v>
      </c>
      <c r="L8" s="18">
        <f>+'Activo y Pasivo'!F72</f>
        <v>106687518.28999999</v>
      </c>
      <c r="N8" s="19"/>
      <c r="O8" s="19"/>
    </row>
    <row r="9" spans="1:15" ht="11.25" x14ac:dyDescent="0.2">
      <c r="A9" s="7"/>
      <c r="D9" s="1" t="s">
        <v>12</v>
      </c>
      <c r="F9" s="16">
        <f>+'Activo y Pasivo'!F51</f>
        <v>2112873479.3799996</v>
      </c>
      <c r="G9" s="17"/>
      <c r="J9" s="1" t="s">
        <v>13</v>
      </c>
      <c r="L9" s="18">
        <f>+'Activo y Pasivo'!F86</f>
        <v>283663377.49000001</v>
      </c>
      <c r="N9" s="19"/>
      <c r="O9" s="19"/>
    </row>
    <row r="10" spans="1:15" ht="11.25" x14ac:dyDescent="0.2">
      <c r="A10" s="7"/>
      <c r="D10" s="1" t="s">
        <v>14</v>
      </c>
      <c r="F10" s="16">
        <f>+'Activo y Pasivo'!F55</f>
        <v>0</v>
      </c>
      <c r="G10" s="17"/>
      <c r="J10" s="1" t="s">
        <v>15</v>
      </c>
      <c r="L10" s="18">
        <f>+'Activo y Pasivo'!F93</f>
        <v>86385185.120000005</v>
      </c>
      <c r="N10" s="19"/>
      <c r="O10" s="19"/>
    </row>
    <row r="11" spans="1:15" ht="11.25" x14ac:dyDescent="0.2">
      <c r="A11" s="7"/>
      <c r="F11" s="20"/>
      <c r="G11" s="21" t="e">
        <f>SUM(G8:G8)</f>
        <v>#REF!</v>
      </c>
      <c r="L11" s="22"/>
      <c r="N11" s="19"/>
    </row>
    <row r="12" spans="1:15" ht="11.25" x14ac:dyDescent="0.2">
      <c r="A12" s="7"/>
      <c r="C12" s="10" t="s">
        <v>16</v>
      </c>
      <c r="F12" s="23">
        <f>SUM(F8:F10)</f>
        <v>2133427615.7199996</v>
      </c>
      <c r="G12" s="16"/>
      <c r="I12" s="10" t="s">
        <v>17</v>
      </c>
      <c r="L12" s="24">
        <f>SUM(L8:L10)</f>
        <v>476736080.89999998</v>
      </c>
      <c r="M12" s="19"/>
      <c r="N12" s="19"/>
    </row>
    <row r="13" spans="1:15" ht="11.25" x14ac:dyDescent="0.2">
      <c r="A13" s="7"/>
      <c r="C13" s="1" t="s">
        <v>2</v>
      </c>
      <c r="F13" s="16"/>
      <c r="G13" s="16"/>
      <c r="I13" s="10" t="s">
        <v>18</v>
      </c>
      <c r="L13" s="25">
        <f>+L12</f>
        <v>476736080.89999998</v>
      </c>
      <c r="M13" s="19"/>
      <c r="N13" s="19"/>
    </row>
    <row r="14" spans="1:15" ht="11.25" x14ac:dyDescent="0.2">
      <c r="A14" s="7"/>
      <c r="F14" s="26"/>
      <c r="G14" s="16"/>
      <c r="L14" s="18"/>
    </row>
    <row r="15" spans="1:15" ht="11.25" x14ac:dyDescent="0.2">
      <c r="A15" s="7"/>
      <c r="D15" s="1" t="s">
        <v>19</v>
      </c>
      <c r="F15" s="16">
        <f>+'Activo y Pasivo'!F61</f>
        <v>0</v>
      </c>
      <c r="G15" s="16"/>
      <c r="L15" s="18"/>
    </row>
    <row r="16" spans="1:15" ht="11.25" x14ac:dyDescent="0.2">
      <c r="A16" s="7"/>
      <c r="C16" s="10"/>
      <c r="D16" s="1" t="s">
        <v>20</v>
      </c>
      <c r="F16" s="16">
        <f>+'Anexo I'!E24-'Anexo I'!J24</f>
        <v>24748088.790000007</v>
      </c>
      <c r="G16" s="16"/>
      <c r="I16" s="1" t="s">
        <v>2</v>
      </c>
      <c r="J16" s="1" t="s">
        <v>2</v>
      </c>
      <c r="L16" s="18"/>
      <c r="N16" s="19"/>
    </row>
    <row r="17" spans="1:15" ht="11.25" x14ac:dyDescent="0.2">
      <c r="A17" s="7"/>
      <c r="F17" s="16"/>
      <c r="G17" s="16" t="e">
        <f>+#REF!</f>
        <v>#REF!</v>
      </c>
      <c r="I17" s="1" t="s">
        <v>21</v>
      </c>
      <c r="L17" s="24">
        <f>+Pat.Neto!K27</f>
        <v>1681439623.6099989</v>
      </c>
      <c r="M17" s="19"/>
      <c r="N17" s="19"/>
      <c r="O17" s="19"/>
    </row>
    <row r="18" spans="1:15" ht="11.25" x14ac:dyDescent="0.2">
      <c r="A18" s="7"/>
      <c r="F18" s="16"/>
      <c r="G18" s="16"/>
      <c r="L18" s="18"/>
      <c r="N18" s="19"/>
    </row>
    <row r="19" spans="1:15" ht="11.25" x14ac:dyDescent="0.2">
      <c r="A19" s="7"/>
      <c r="C19" s="10" t="s">
        <v>22</v>
      </c>
      <c r="F19" s="23">
        <f>SUM(F15:F18)</f>
        <v>24748088.790000007</v>
      </c>
      <c r="G19" s="23" t="e">
        <f>SUM(G17:G18)</f>
        <v>#REF!</v>
      </c>
      <c r="K19" s="1" t="s">
        <v>2</v>
      </c>
      <c r="L19" s="18"/>
    </row>
    <row r="20" spans="1:15" ht="11.25" x14ac:dyDescent="0.2">
      <c r="A20" s="7"/>
      <c r="F20" s="16"/>
      <c r="G20" s="16"/>
      <c r="L20" s="18"/>
    </row>
    <row r="21" spans="1:15" ht="10.9" customHeight="1" x14ac:dyDescent="0.2">
      <c r="A21" s="27"/>
      <c r="B21" s="28"/>
      <c r="C21" s="29" t="s">
        <v>23</v>
      </c>
      <c r="D21" s="28"/>
      <c r="E21" s="28"/>
      <c r="F21" s="30">
        <f>+F12+F19</f>
        <v>2158175704.5099998</v>
      </c>
      <c r="G21" s="30" t="e">
        <f>+G11+G19</f>
        <v>#REF!</v>
      </c>
      <c r="H21" s="28"/>
      <c r="I21" s="29" t="s">
        <v>24</v>
      </c>
      <c r="J21" s="28"/>
      <c r="K21" s="28"/>
      <c r="L21" s="31">
        <f>+L13+L17</f>
        <v>2158175704.5099988</v>
      </c>
      <c r="M21" s="19"/>
      <c r="N21" s="19"/>
    </row>
    <row r="22" spans="1:15" ht="10.9" customHeight="1" x14ac:dyDescent="0.2">
      <c r="F22" s="19"/>
      <c r="G22" s="19"/>
      <c r="K22" s="32"/>
      <c r="L22" s="33"/>
      <c r="M22" s="19"/>
      <c r="O22" s="19"/>
    </row>
    <row r="23" spans="1:15" ht="11.25" x14ac:dyDescent="0.2">
      <c r="A23" s="1" t="s">
        <v>25</v>
      </c>
      <c r="K23" s="19"/>
      <c r="L23" s="33"/>
      <c r="M23" s="19"/>
    </row>
    <row r="24" spans="1:15" ht="11.25" x14ac:dyDescent="0.2">
      <c r="A24" s="1" t="s">
        <v>26</v>
      </c>
      <c r="F24" s="19"/>
      <c r="K24" s="19"/>
      <c r="L24" s="33"/>
      <c r="M24" s="19"/>
    </row>
    <row r="25" spans="1:15" ht="11.25" x14ac:dyDescent="0.2">
      <c r="F25" s="34"/>
      <c r="K25" s="19"/>
      <c r="L25" s="35"/>
      <c r="M25" s="19"/>
    </row>
    <row r="26" spans="1:15" ht="11.25" hidden="1" x14ac:dyDescent="0.2">
      <c r="L26" s="36"/>
    </row>
    <row r="27" spans="1:15" ht="11.25" hidden="1" x14ac:dyDescent="0.2">
      <c r="K27" s="19"/>
      <c r="L27" s="36"/>
    </row>
    <row r="28" spans="1:15" ht="11.25" hidden="1" x14ac:dyDescent="0.2">
      <c r="L28" s="36"/>
    </row>
    <row r="29" spans="1:15" ht="11.25" hidden="1" x14ac:dyDescent="0.2">
      <c r="L29" s="36"/>
    </row>
    <row r="30" spans="1:15" ht="11.25" x14ac:dyDescent="0.2">
      <c r="A30" s="1" t="s">
        <v>2</v>
      </c>
      <c r="F30" s="34"/>
      <c r="K30" s="19"/>
      <c r="L30" s="36"/>
    </row>
    <row r="31" spans="1:15" ht="11.25" x14ac:dyDescent="0.2">
      <c r="A31" s="1" t="s">
        <v>2</v>
      </c>
      <c r="L31" s="34"/>
    </row>
    <row r="32" spans="1:15" ht="11.25" x14ac:dyDescent="0.2">
      <c r="D32" s="37" t="s">
        <v>27</v>
      </c>
      <c r="E32" s="37"/>
      <c r="F32" s="37" t="s">
        <v>28</v>
      </c>
      <c r="G32" s="38"/>
      <c r="K32" s="37" t="s">
        <v>29</v>
      </c>
      <c r="L32" s="34"/>
    </row>
    <row r="33" spans="1:12" ht="11.25" x14ac:dyDescent="0.2">
      <c r="D33" s="37" t="s">
        <v>30</v>
      </c>
      <c r="E33" s="37"/>
      <c r="F33" s="37" t="s">
        <v>31</v>
      </c>
      <c r="H33" s="37"/>
      <c r="K33" s="37" t="s">
        <v>32</v>
      </c>
      <c r="L33" s="34"/>
    </row>
    <row r="34" spans="1:12" ht="11.25" x14ac:dyDescent="0.2">
      <c r="D34" s="37" t="s">
        <v>33</v>
      </c>
      <c r="E34" s="37"/>
      <c r="K34" s="37" t="s">
        <v>34</v>
      </c>
    </row>
    <row r="36" spans="1:12" ht="11.25" x14ac:dyDescent="0.2">
      <c r="A36" s="1" t="s">
        <v>2</v>
      </c>
    </row>
    <row r="37" spans="1:12" ht="11.25" x14ac:dyDescent="0.2">
      <c r="A37" s="1" t="s">
        <v>2</v>
      </c>
      <c r="K37" s="19"/>
    </row>
    <row r="39" spans="1:12" ht="11.25" x14ac:dyDescent="0.2">
      <c r="K39" s="19"/>
    </row>
  </sheetData>
  <pageMargins left="0.74803149606299213" right="0.6692913385826772" top="1.8897637795275593" bottom="0.98425196850393704" header="0.39370078740157483" footer="0"/>
  <pageSetup paperSize="9" orientation="landscape" useFirstPageNumber="1" horizontalDpi="4294967295" verticalDpi="4294967295"/>
  <headerFooter>
    <oddHeader>&amp;L&amp;"Book Antiqua,Normal"&amp;9Southern Copper Argentina SRL.
Tucuman 1
Ciudad Autónoma de Buenos Aires
Nºde Insc.en I.G.J.:11764 del Libro 135 de SRL.&amp;"Book Antiqua,Negrita"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41"/>
  <sheetViews>
    <sheetView zoomScaleNormal="100" workbookViewId="0"/>
  </sheetViews>
  <sheetFormatPr baseColWidth="10" defaultColWidth="11.42578125" defaultRowHeight="10.15" customHeight="1" x14ac:dyDescent="0.2"/>
  <cols>
    <col min="1" max="1" width="44.28515625" style="1" customWidth="1"/>
    <col min="2" max="2" width="12.42578125" style="1" hidden="1" customWidth="1"/>
    <col min="3" max="4" width="13.5703125" style="1" customWidth="1"/>
    <col min="5" max="5" width="11.7109375" style="1" customWidth="1"/>
    <col min="6" max="6" width="11.42578125" style="1" customWidth="1"/>
    <col min="7" max="16384" width="11.42578125" style="1"/>
  </cols>
  <sheetData>
    <row r="1" spans="1:4" ht="13.15" customHeight="1" x14ac:dyDescent="0.2">
      <c r="A1" s="2" t="s">
        <v>35</v>
      </c>
    </row>
    <row r="2" spans="1:4" ht="11.25" x14ac:dyDescent="0.2">
      <c r="A2" s="1" t="str">
        <f>+Balance!A2</f>
        <v>Al 30 de junio 2026  - Cifras expresadas en pesos</v>
      </c>
    </row>
    <row r="3" spans="1:4" ht="10.9" customHeight="1" x14ac:dyDescent="0.2"/>
    <row r="4" spans="1:4" ht="10.9" customHeight="1" x14ac:dyDescent="0.2">
      <c r="A4" s="3"/>
      <c r="B4" s="5"/>
      <c r="C4" s="6"/>
    </row>
    <row r="5" spans="1:4" ht="11.25" x14ac:dyDescent="0.2">
      <c r="A5" s="7"/>
      <c r="B5" s="8" t="str">
        <f>+Balance!F5</f>
        <v>30.06.2026</v>
      </c>
      <c r="C5" s="9" t="str">
        <f>+Balance!F5</f>
        <v>30.06.2026</v>
      </c>
    </row>
    <row r="6" spans="1:4" ht="11.25" x14ac:dyDescent="0.2">
      <c r="A6" s="7"/>
      <c r="B6" s="20"/>
      <c r="C6" s="12"/>
    </row>
    <row r="7" spans="1:4" ht="11.25" x14ac:dyDescent="0.2">
      <c r="A7" s="7"/>
      <c r="B7" s="26"/>
      <c r="C7" s="39"/>
    </row>
    <row r="8" spans="1:4" ht="11.25" x14ac:dyDescent="0.2">
      <c r="A8" s="7" t="s">
        <v>36</v>
      </c>
      <c r="B8" s="26"/>
      <c r="C8" s="18">
        <v>0</v>
      </c>
    </row>
    <row r="9" spans="1:4" ht="11.25" x14ac:dyDescent="0.2">
      <c r="A9" s="7" t="s">
        <v>37</v>
      </c>
      <c r="B9" s="26"/>
      <c r="C9" s="25">
        <v>0</v>
      </c>
    </row>
    <row r="10" spans="1:4" ht="11.25" x14ac:dyDescent="0.2">
      <c r="A10" s="7" t="s">
        <v>38</v>
      </c>
      <c r="B10" s="26"/>
      <c r="C10" s="18">
        <f>+C8-C9</f>
        <v>0</v>
      </c>
    </row>
    <row r="11" spans="1:4" ht="11.25" x14ac:dyDescent="0.2">
      <c r="A11" s="7"/>
      <c r="B11" s="26"/>
      <c r="C11" s="18"/>
    </row>
    <row r="12" spans="1:4" ht="11.25" x14ac:dyDescent="0.2">
      <c r="A12" s="7" t="s">
        <v>39</v>
      </c>
      <c r="B12" s="26" t="s">
        <v>2</v>
      </c>
      <c r="C12" s="18">
        <f>+'Anexo II'!G103</f>
        <v>0</v>
      </c>
    </row>
    <row r="13" spans="1:4" ht="11.25" x14ac:dyDescent="0.2">
      <c r="A13" s="7" t="s">
        <v>40</v>
      </c>
      <c r="B13" s="26"/>
      <c r="C13" s="18">
        <f>-'Anexo II'!F103</f>
        <v>-729617202.41999996</v>
      </c>
    </row>
    <row r="14" spans="1:4" ht="11.25" x14ac:dyDescent="0.2">
      <c r="A14" s="7" t="s">
        <v>41</v>
      </c>
      <c r="B14" s="26"/>
      <c r="C14" s="18">
        <f>-'Anexo II'!I103</f>
        <v>0</v>
      </c>
    </row>
    <row r="15" spans="1:4" ht="11.25" x14ac:dyDescent="0.2">
      <c r="A15" s="7" t="s">
        <v>42</v>
      </c>
      <c r="B15" s="26"/>
      <c r="C15" s="18">
        <f>-'Anexo II'!H103</f>
        <v>-880161731.35000014</v>
      </c>
      <c r="D15" s="19"/>
    </row>
    <row r="16" spans="1:4" ht="11.25" x14ac:dyDescent="0.2">
      <c r="A16" s="7"/>
      <c r="B16" s="26"/>
      <c r="C16" s="18"/>
      <c r="D16" s="19"/>
    </row>
    <row r="17" spans="1:7" ht="11.25" x14ac:dyDescent="0.2">
      <c r="A17" s="7" t="s">
        <v>43</v>
      </c>
      <c r="B17" s="26"/>
      <c r="C17" s="18">
        <f>-SALDOS!G280-SALDOS!G149</f>
        <v>-62810190.490000002</v>
      </c>
      <c r="D17" s="19"/>
      <c r="E17" s="19"/>
    </row>
    <row r="18" spans="1:7" ht="11.25" x14ac:dyDescent="0.2">
      <c r="A18" s="7" t="s">
        <v>44</v>
      </c>
      <c r="B18" s="26"/>
      <c r="C18" s="18">
        <f>-SALDOS!G150-SALDOS!G151-SALDOS!G152</f>
        <v>0</v>
      </c>
    </row>
    <row r="19" spans="1:7" ht="11.25" x14ac:dyDescent="0.2">
      <c r="A19" s="7" t="s">
        <v>45</v>
      </c>
      <c r="B19" s="26"/>
      <c r="C19" s="18">
        <f>-SALDOS!G483</f>
        <v>0</v>
      </c>
    </row>
    <row r="20" spans="1:7" ht="11.25" x14ac:dyDescent="0.2">
      <c r="A20" s="7"/>
      <c r="B20" s="26"/>
      <c r="C20" s="18"/>
    </row>
    <row r="21" spans="1:7" ht="11.25" x14ac:dyDescent="0.2">
      <c r="A21" s="7"/>
      <c r="B21" s="26"/>
      <c r="C21" s="18"/>
    </row>
    <row r="22" spans="1:7" ht="11.25" x14ac:dyDescent="0.2">
      <c r="A22" s="7" t="s">
        <v>46</v>
      </c>
      <c r="B22" s="26"/>
      <c r="C22" s="24">
        <f>+C10+SUM(C12:C19)</f>
        <v>-1672589124.26</v>
      </c>
    </row>
    <row r="23" spans="1:7" ht="11.25" x14ac:dyDescent="0.2">
      <c r="A23" s="7"/>
      <c r="B23" s="26"/>
      <c r="C23" s="18"/>
      <c r="D23" s="19"/>
    </row>
    <row r="24" spans="1:7" ht="11.25" x14ac:dyDescent="0.2">
      <c r="A24" s="7" t="s">
        <v>47</v>
      </c>
      <c r="B24" s="26"/>
      <c r="C24" s="18">
        <v>0</v>
      </c>
    </row>
    <row r="25" spans="1:7" ht="11.25" x14ac:dyDescent="0.2">
      <c r="A25" s="7"/>
      <c r="B25" s="26"/>
      <c r="C25" s="18"/>
      <c r="D25" s="40"/>
    </row>
    <row r="26" spans="1:7" ht="11.25" x14ac:dyDescent="0.2">
      <c r="A26" s="7" t="s">
        <v>48</v>
      </c>
      <c r="B26" s="26"/>
      <c r="C26" s="24">
        <f>+C22-C24</f>
        <v>-1672589124.26</v>
      </c>
      <c r="D26" s="41"/>
      <c r="E26" s="19"/>
      <c r="F26" s="19"/>
    </row>
    <row r="27" spans="1:7" ht="11.25" x14ac:dyDescent="0.2">
      <c r="A27" s="7"/>
      <c r="B27" s="26"/>
      <c r="C27" s="42"/>
      <c r="D27" s="19"/>
    </row>
    <row r="28" spans="1:7" ht="10.9" customHeight="1" x14ac:dyDescent="0.2">
      <c r="A28" s="27"/>
      <c r="B28" s="43"/>
      <c r="C28" s="44"/>
      <c r="E28" s="34"/>
      <c r="G28" s="19"/>
    </row>
    <row r="29" spans="1:7" ht="10.9" customHeight="1" x14ac:dyDescent="0.2">
      <c r="C29" s="19"/>
    </row>
    <row r="30" spans="1:7" ht="11.25" x14ac:dyDescent="0.2">
      <c r="C30" s="19"/>
    </row>
    <row r="31" spans="1:7" ht="11.25" x14ac:dyDescent="0.2">
      <c r="A31" s="1" t="s">
        <v>25</v>
      </c>
    </row>
    <row r="32" spans="1:7" ht="11.25" x14ac:dyDescent="0.2">
      <c r="A32" s="1" t="s">
        <v>26</v>
      </c>
    </row>
    <row r="39" spans="1:5" ht="11.25" x14ac:dyDescent="0.2">
      <c r="A39" s="37" t="str">
        <f>+Balance!D32</f>
        <v>Miguel Ángel Alonso</v>
      </c>
      <c r="C39" s="1" t="str">
        <f>+Balance!F32</f>
        <v>Pedro Nicholson</v>
      </c>
      <c r="E39" s="37" t="str">
        <f>+Balance!K32</f>
        <v>Alejandro Poletto</v>
      </c>
    </row>
    <row r="40" spans="1:5" ht="11.25" x14ac:dyDescent="0.2">
      <c r="A40" s="37" t="str">
        <f>+Balance!D33</f>
        <v>Contador Público (U.C.A.)</v>
      </c>
      <c r="C40" s="37" t="str">
        <f>+Balance!F33</f>
        <v>Síndico</v>
      </c>
      <c r="E40" s="37" t="str">
        <f>+Balance!K33</f>
        <v>Southern Copper Arg. S.R.L.</v>
      </c>
    </row>
    <row r="41" spans="1:5" ht="11.25" x14ac:dyDescent="0.2">
      <c r="A41" s="37" t="str">
        <f>+Balance!D34</f>
        <v>C.P.C.E.C.A.B.A. Tº176  Fº03</v>
      </c>
      <c r="C41" s="37"/>
      <c r="E41" s="37" t="str">
        <f>+Balance!K34</f>
        <v xml:space="preserve"> Gerente</v>
      </c>
    </row>
  </sheetData>
  <pageMargins left="0.78740157480314965" right="0.39370078740157483" top="2.1259842519685042" bottom="0.98425196850393704" header="0.39370078740157483" footer="0"/>
  <pageSetup paperSize="9" scale="99" orientation="portrait" useFirstPageNumber="1" horizontalDpi="4294967295" verticalDpi="4294967295"/>
  <headerFooter>
    <oddHeader>&amp;L&amp;"Book Antiqua,Normal"&amp;9Southern Copper Argentina SRL.
Tucuman 1
Ciudad Autónoma de Buenos Aires
Nºde Insc.en I.G.J.:11764 del Libro 135 de SRL.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39"/>
  <sheetViews>
    <sheetView tabSelected="1" zoomScaleNormal="100" workbookViewId="0">
      <selection activeCell="F30" sqref="F30"/>
    </sheetView>
  </sheetViews>
  <sheetFormatPr baseColWidth="10" defaultColWidth="11.42578125" defaultRowHeight="10.15" customHeight="1" x14ac:dyDescent="0.2"/>
  <cols>
    <col min="1" max="1" width="1" style="1" customWidth="1"/>
    <col min="2" max="2" width="29.5703125" style="1" customWidth="1"/>
    <col min="3" max="3" width="14.42578125" style="1" customWidth="1"/>
    <col min="4" max="4" width="14.140625" style="1" customWidth="1"/>
    <col min="5" max="5" width="14" style="1" hidden="1" customWidth="1"/>
    <col min="6" max="6" width="15.28515625" style="1" customWidth="1"/>
    <col min="7" max="8" width="11.42578125" style="1" customWidth="1"/>
    <col min="9" max="9" width="13.42578125" style="1" customWidth="1"/>
    <col min="10" max="10" width="20.85546875" style="1" customWidth="1"/>
    <col min="11" max="11" width="14.42578125" style="1" customWidth="1"/>
    <col min="12" max="12" width="11.85546875" style="1" customWidth="1"/>
    <col min="13" max="13" width="11.42578125" style="1" customWidth="1"/>
    <col min="14" max="15" width="12.5703125" style="1" customWidth="1"/>
    <col min="16" max="16" width="12.28515625" style="1" customWidth="1"/>
    <col min="17" max="17" width="11.42578125" style="1" customWidth="1"/>
    <col min="18" max="16384" width="11.42578125" style="1"/>
  </cols>
  <sheetData>
    <row r="1" spans="1:13" ht="13.15" customHeight="1" x14ac:dyDescent="0.2">
      <c r="A1" s="2" t="s">
        <v>49</v>
      </c>
    </row>
    <row r="2" spans="1:13" ht="11.25" x14ac:dyDescent="0.2">
      <c r="B2" s="1" t="str">
        <f>+Balance!A2</f>
        <v>Al 30 de junio 2026  - Cifras expresadas en pesos</v>
      </c>
    </row>
    <row r="4" spans="1:13" ht="10.9" customHeight="1" x14ac:dyDescent="0.2">
      <c r="A4" s="1" t="s">
        <v>2</v>
      </c>
    </row>
    <row r="5" spans="1:13" ht="10.9" customHeight="1" x14ac:dyDescent="0.2">
      <c r="A5" s="37"/>
      <c r="B5" s="45"/>
      <c r="C5" s="46" t="s">
        <v>50</v>
      </c>
      <c r="D5" s="47"/>
      <c r="E5" s="47"/>
      <c r="F5" s="47"/>
      <c r="G5" s="46"/>
      <c r="H5" s="47"/>
      <c r="I5" s="48"/>
      <c r="J5" s="48"/>
      <c r="K5" s="49" t="str">
        <f>+Balance!F5</f>
        <v>30.06.2026</v>
      </c>
    </row>
    <row r="6" spans="1:13" ht="11.25" x14ac:dyDescent="0.2">
      <c r="A6" s="37"/>
      <c r="B6" s="50" t="s">
        <v>51</v>
      </c>
      <c r="C6" s="51" t="s">
        <v>52</v>
      </c>
      <c r="D6" s="37"/>
      <c r="E6" s="37"/>
      <c r="F6" s="52"/>
      <c r="G6" s="53" t="s">
        <v>53</v>
      </c>
      <c r="H6" s="54" t="s">
        <v>54</v>
      </c>
      <c r="I6" s="52"/>
      <c r="J6" s="55" t="s">
        <v>55</v>
      </c>
      <c r="K6" s="55" t="s">
        <v>56</v>
      </c>
    </row>
    <row r="7" spans="1:13" ht="15" customHeight="1" x14ac:dyDescent="0.2">
      <c r="A7" s="37"/>
      <c r="B7" s="50"/>
      <c r="C7" s="56" t="s">
        <v>57</v>
      </c>
      <c r="D7" s="56" t="s">
        <v>58</v>
      </c>
      <c r="E7" s="238" t="s">
        <v>59</v>
      </c>
      <c r="F7" s="56" t="s">
        <v>57</v>
      </c>
      <c r="G7" s="51" t="s">
        <v>60</v>
      </c>
      <c r="H7" s="56" t="s">
        <v>61</v>
      </c>
      <c r="I7" s="55" t="s">
        <v>62</v>
      </c>
      <c r="J7" s="55" t="s">
        <v>63</v>
      </c>
      <c r="K7" s="55" t="s">
        <v>64</v>
      </c>
    </row>
    <row r="8" spans="1:13" ht="11.25" x14ac:dyDescent="0.2">
      <c r="A8" s="37"/>
      <c r="B8" s="50"/>
      <c r="C8" s="55" t="s">
        <v>65</v>
      </c>
      <c r="D8" s="55" t="s">
        <v>57</v>
      </c>
      <c r="E8" s="239"/>
      <c r="F8" s="55" t="s">
        <v>66</v>
      </c>
      <c r="G8" s="51" t="s">
        <v>67</v>
      </c>
      <c r="H8" s="55" t="s">
        <v>68</v>
      </c>
      <c r="I8" s="55" t="s">
        <v>69</v>
      </c>
      <c r="J8" s="55" t="s">
        <v>70</v>
      </c>
      <c r="K8" s="55" t="s">
        <v>71</v>
      </c>
    </row>
    <row r="9" spans="1:13" ht="11.25" x14ac:dyDescent="0.2">
      <c r="A9" s="37"/>
      <c r="B9" s="50"/>
      <c r="C9" s="55"/>
      <c r="D9" s="55"/>
      <c r="E9" s="239"/>
      <c r="F9" s="55"/>
      <c r="G9" s="51"/>
      <c r="H9" s="55"/>
      <c r="I9" s="55"/>
      <c r="J9" s="55"/>
      <c r="K9" s="55"/>
    </row>
    <row r="10" spans="1:13" ht="11.25" x14ac:dyDescent="0.2">
      <c r="A10" s="37"/>
      <c r="B10" s="57"/>
      <c r="C10" s="11" t="s">
        <v>72</v>
      </c>
      <c r="D10" s="11"/>
      <c r="E10" s="11" t="s">
        <v>72</v>
      </c>
      <c r="F10" s="11" t="s">
        <v>72</v>
      </c>
      <c r="G10" s="53" t="s">
        <v>72</v>
      </c>
      <c r="H10" s="11" t="s">
        <v>72</v>
      </c>
      <c r="I10" s="11"/>
      <c r="J10" s="11" t="s">
        <v>72</v>
      </c>
      <c r="K10" s="11" t="s">
        <v>72</v>
      </c>
    </row>
    <row r="11" spans="1:13" ht="11.25" x14ac:dyDescent="0.2">
      <c r="B11" s="58"/>
      <c r="C11" s="13"/>
      <c r="D11" s="59"/>
      <c r="E11" s="59"/>
      <c r="F11" s="13"/>
      <c r="G11" s="13"/>
      <c r="H11" s="13"/>
      <c r="I11" s="26"/>
      <c r="J11" s="26"/>
      <c r="K11" s="26"/>
    </row>
    <row r="12" spans="1:13" ht="11.25" x14ac:dyDescent="0.2">
      <c r="B12" s="58" t="s">
        <v>73</v>
      </c>
      <c r="C12" s="16">
        <v>14700098884</v>
      </c>
      <c r="D12" s="17">
        <v>8</v>
      </c>
      <c r="E12" s="17">
        <v>0</v>
      </c>
      <c r="F12" s="16">
        <f>+C12+D12</f>
        <v>14700098892</v>
      </c>
      <c r="G12" s="26">
        <v>0</v>
      </c>
      <c r="H12" s="26">
        <v>0</v>
      </c>
      <c r="I12" s="26">
        <v>0</v>
      </c>
      <c r="J12" s="60">
        <f>+-SALDOS!G141-SALDOS!G142</f>
        <v>-11494616744.130001</v>
      </c>
      <c r="K12" s="16">
        <f>+J12+F12</f>
        <v>3205482147.8699989</v>
      </c>
      <c r="L12" s="61"/>
    </row>
    <row r="13" spans="1:13" ht="11.25" x14ac:dyDescent="0.2">
      <c r="B13" s="62" t="s">
        <v>74</v>
      </c>
      <c r="C13" s="16"/>
      <c r="D13" s="17"/>
      <c r="E13" s="17"/>
      <c r="F13" s="16"/>
      <c r="G13" s="16"/>
      <c r="H13" s="16"/>
      <c r="I13" s="16"/>
      <c r="J13" s="16"/>
      <c r="K13" s="16"/>
      <c r="L13" s="19"/>
      <c r="M13" s="63"/>
    </row>
    <row r="14" spans="1:13" ht="30" customHeight="1" x14ac:dyDescent="0.2">
      <c r="B14" s="58"/>
      <c r="C14" s="64">
        <f>SUM(C12:C12)</f>
        <v>14700098884</v>
      </c>
      <c r="D14" s="64">
        <f>SUM(D12:D12)</f>
        <v>8</v>
      </c>
      <c r="E14" s="64">
        <f>SUM(E12:E12)</f>
        <v>0</v>
      </c>
      <c r="F14" s="64">
        <f>SUM(F12:F12)</f>
        <v>14700098892</v>
      </c>
      <c r="G14" s="64">
        <v>0</v>
      </c>
      <c r="H14" s="64">
        <v>0</v>
      </c>
      <c r="I14" s="64">
        <v>0</v>
      </c>
      <c r="J14" s="64">
        <f>SUM(J12:J13)</f>
        <v>-11494616744.130001</v>
      </c>
      <c r="K14" s="64">
        <f>+K12</f>
        <v>3205482147.8699989</v>
      </c>
      <c r="L14" s="19"/>
      <c r="M14" s="19"/>
    </row>
    <row r="15" spans="1:13" ht="10.9" customHeight="1" x14ac:dyDescent="0.2">
      <c r="B15" s="58"/>
      <c r="C15" s="16"/>
      <c r="D15" s="16"/>
      <c r="E15" s="16"/>
      <c r="F15" s="16"/>
      <c r="G15" s="16"/>
      <c r="H15" s="16"/>
      <c r="I15" s="16"/>
      <c r="J15" s="16"/>
      <c r="K15" s="16"/>
    </row>
    <row r="16" spans="1:13" ht="11.25" hidden="1" x14ac:dyDescent="0.2">
      <c r="B16" s="58"/>
      <c r="C16" s="16"/>
      <c r="D16" s="16"/>
      <c r="E16" s="16"/>
      <c r="F16" s="16">
        <f t="shared" ref="F16:F22" si="0">+C16</f>
        <v>0</v>
      </c>
      <c r="G16" s="16"/>
      <c r="H16" s="16"/>
      <c r="I16" s="16"/>
      <c r="J16" s="16"/>
      <c r="K16" s="16">
        <f t="shared" ref="K16:K23" si="1">+F16</f>
        <v>0</v>
      </c>
      <c r="M16" s="19"/>
    </row>
    <row r="17" spans="2:13" ht="11.25" hidden="1" x14ac:dyDescent="0.2">
      <c r="B17" s="58"/>
      <c r="C17" s="16"/>
      <c r="D17" s="16"/>
      <c r="E17" s="16"/>
      <c r="F17" s="16">
        <f t="shared" si="0"/>
        <v>0</v>
      </c>
      <c r="G17" s="16"/>
      <c r="H17" s="16"/>
      <c r="I17" s="16"/>
      <c r="J17" s="16"/>
      <c r="K17" s="16">
        <f t="shared" si="1"/>
        <v>0</v>
      </c>
      <c r="M17" s="19"/>
    </row>
    <row r="18" spans="2:13" ht="11.25" hidden="1" x14ac:dyDescent="0.2">
      <c r="B18" s="58"/>
      <c r="C18" s="16"/>
      <c r="D18" s="16"/>
      <c r="E18" s="16"/>
      <c r="F18" s="16">
        <f t="shared" si="0"/>
        <v>0</v>
      </c>
      <c r="G18" s="16"/>
      <c r="H18" s="16"/>
      <c r="I18" s="16"/>
      <c r="J18" s="16"/>
      <c r="K18" s="16">
        <f t="shared" si="1"/>
        <v>0</v>
      </c>
      <c r="M18" s="19"/>
    </row>
    <row r="19" spans="2:13" ht="11.25" hidden="1" x14ac:dyDescent="0.2">
      <c r="B19" s="58"/>
      <c r="C19" s="16"/>
      <c r="D19" s="16"/>
      <c r="E19" s="16"/>
      <c r="F19" s="16">
        <f t="shared" si="0"/>
        <v>0</v>
      </c>
      <c r="G19" s="16"/>
      <c r="H19" s="16"/>
      <c r="I19" s="16"/>
      <c r="J19" s="16"/>
      <c r="K19" s="16">
        <f t="shared" si="1"/>
        <v>0</v>
      </c>
      <c r="M19" s="19"/>
    </row>
    <row r="20" spans="2:13" ht="11.25" hidden="1" x14ac:dyDescent="0.2">
      <c r="B20" s="58"/>
      <c r="C20" s="16"/>
      <c r="D20" s="16"/>
      <c r="E20" s="16"/>
      <c r="F20" s="16">
        <f t="shared" si="0"/>
        <v>0</v>
      </c>
      <c r="G20" s="16"/>
      <c r="H20" s="16"/>
      <c r="I20" s="16"/>
      <c r="J20" s="16"/>
      <c r="K20" s="16">
        <f t="shared" si="1"/>
        <v>0</v>
      </c>
      <c r="M20" s="19"/>
    </row>
    <row r="21" spans="2:13" ht="11.25" hidden="1" x14ac:dyDescent="0.2">
      <c r="B21" s="58"/>
      <c r="C21" s="16"/>
      <c r="D21" s="16"/>
      <c r="E21" s="16"/>
      <c r="F21" s="16">
        <f t="shared" si="0"/>
        <v>0</v>
      </c>
      <c r="G21" s="16"/>
      <c r="H21" s="16"/>
      <c r="I21" s="16"/>
      <c r="J21" s="16"/>
      <c r="K21" s="16">
        <f t="shared" si="1"/>
        <v>0</v>
      </c>
      <c r="M21" s="19"/>
    </row>
    <row r="22" spans="2:13" ht="11.25" x14ac:dyDescent="0.2">
      <c r="B22" s="58" t="s">
        <v>75</v>
      </c>
      <c r="C22" s="16">
        <v>148546600</v>
      </c>
      <c r="D22" s="16"/>
      <c r="E22" s="16"/>
      <c r="F22" s="16">
        <f t="shared" si="0"/>
        <v>148546600</v>
      </c>
      <c r="G22" s="16"/>
      <c r="H22" s="16"/>
      <c r="I22" s="16"/>
      <c r="J22" s="16"/>
      <c r="K22" s="16">
        <f t="shared" si="1"/>
        <v>148546600</v>
      </c>
      <c r="M22" s="19"/>
    </row>
    <row r="23" spans="2:13" ht="11.25" x14ac:dyDescent="0.2">
      <c r="B23" s="58"/>
      <c r="C23" s="16"/>
      <c r="D23" s="16"/>
      <c r="E23" s="16"/>
      <c r="F23" s="16"/>
      <c r="G23" s="16"/>
      <c r="H23" s="16"/>
      <c r="I23" s="16"/>
      <c r="J23" s="16"/>
      <c r="K23" s="16">
        <f t="shared" si="1"/>
        <v>0</v>
      </c>
      <c r="M23" s="19"/>
    </row>
    <row r="24" spans="2:13" ht="7.5" customHeight="1" x14ac:dyDescent="0.2">
      <c r="B24" s="58"/>
      <c r="C24" s="16"/>
      <c r="D24" s="16"/>
      <c r="E24" s="16"/>
      <c r="F24" s="16"/>
      <c r="G24" s="16"/>
      <c r="H24" s="16"/>
      <c r="I24" s="16"/>
      <c r="J24" s="16"/>
      <c r="K24" s="16"/>
      <c r="M24" s="19"/>
    </row>
    <row r="25" spans="2:13" ht="11.25" x14ac:dyDescent="0.2">
      <c r="B25" s="58" t="s">
        <v>76</v>
      </c>
      <c r="C25" s="16" t="s">
        <v>2</v>
      </c>
      <c r="D25" s="16"/>
      <c r="E25" s="16"/>
      <c r="F25" s="16"/>
      <c r="G25" s="16"/>
      <c r="H25" s="16"/>
      <c r="I25" s="16"/>
      <c r="J25" s="16">
        <f>+Resultados!C26</f>
        <v>-1672589124.26</v>
      </c>
      <c r="K25" s="16">
        <f>+J25</f>
        <v>-1672589124.26</v>
      </c>
    </row>
    <row r="26" spans="2:13" ht="11.25" x14ac:dyDescent="0.2">
      <c r="B26" s="58"/>
      <c r="C26" s="16"/>
      <c r="D26" s="16"/>
      <c r="E26" s="16"/>
      <c r="F26" s="16"/>
      <c r="G26" s="16"/>
      <c r="H26" s="16"/>
      <c r="I26" s="16"/>
      <c r="J26" s="16"/>
      <c r="K26" s="16"/>
    </row>
    <row r="27" spans="2:13" ht="11.25" x14ac:dyDescent="0.2">
      <c r="B27" s="65" t="s">
        <v>77</v>
      </c>
      <c r="C27" s="23">
        <f>SUM(C14:C25)</f>
        <v>14848645484</v>
      </c>
      <c r="D27" s="23">
        <f>SUM(D14:D26)</f>
        <v>8</v>
      </c>
      <c r="E27" s="23">
        <f>SUM(E14:E25)</f>
        <v>0</v>
      </c>
      <c r="F27" s="23">
        <f>SUM(F14:F25)</f>
        <v>14848645492</v>
      </c>
      <c r="G27" s="23">
        <f>+G14</f>
        <v>0</v>
      </c>
      <c r="H27" s="23">
        <f>+H14</f>
        <v>0</v>
      </c>
      <c r="I27" s="23">
        <f>+I14</f>
        <v>0</v>
      </c>
      <c r="J27" s="23">
        <f>+J14+J25</f>
        <v>-13167205868.390001</v>
      </c>
      <c r="K27" s="23">
        <f>SUM(K14:K25)</f>
        <v>1681439623.6099989</v>
      </c>
      <c r="L27" s="19"/>
    </row>
    <row r="28" spans="2:13" ht="11.25" x14ac:dyDescent="0.2">
      <c r="J28" s="19"/>
      <c r="K28" s="19"/>
      <c r="L28" s="19"/>
    </row>
    <row r="29" spans="2:13" ht="11.25" x14ac:dyDescent="0.2">
      <c r="B29" s="1" t="s">
        <v>25</v>
      </c>
      <c r="F29" s="19"/>
      <c r="J29" s="34"/>
      <c r="K29" s="34"/>
    </row>
    <row r="30" spans="2:13" ht="11.25" x14ac:dyDescent="0.2">
      <c r="B30" s="1" t="s">
        <v>26</v>
      </c>
      <c r="F30" s="34"/>
      <c r="I30" s="19"/>
      <c r="J30" s="19"/>
      <c r="K30" s="34"/>
    </row>
    <row r="31" spans="2:13" ht="11.25" x14ac:dyDescent="0.2">
      <c r="C31" s="19"/>
      <c r="D31" s="66"/>
      <c r="F31" s="19"/>
      <c r="J31" s="34"/>
      <c r="K31" s="19"/>
    </row>
    <row r="32" spans="2:13" ht="11.25" x14ac:dyDescent="0.2">
      <c r="C32" s="19"/>
      <c r="D32" s="19"/>
      <c r="E32" s="19"/>
      <c r="F32" s="19"/>
      <c r="J32" s="34"/>
    </row>
    <row r="33" spans="3:10" ht="11.25" x14ac:dyDescent="0.2">
      <c r="C33" s="19"/>
      <c r="D33" s="19"/>
      <c r="F33" s="19"/>
    </row>
    <row r="34" spans="3:10" ht="11.25" x14ac:dyDescent="0.2">
      <c r="C34" s="19"/>
      <c r="D34" s="19"/>
      <c r="F34" s="34"/>
    </row>
    <row r="35" spans="3:10" ht="11.25" x14ac:dyDescent="0.2">
      <c r="C35" s="19"/>
      <c r="D35" s="19"/>
    </row>
    <row r="37" spans="3:10" ht="11.25" x14ac:dyDescent="0.2">
      <c r="C37" s="37" t="str">
        <f>+Resultados!A39</f>
        <v>Miguel Ángel Alonso</v>
      </c>
      <c r="D37" s="37"/>
      <c r="E37" s="37"/>
      <c r="G37" s="1" t="str">
        <f>+Balance!F32</f>
        <v>Pedro Nicholson</v>
      </c>
      <c r="J37" s="37" t="str">
        <f>+Balance!K32</f>
        <v>Alejandro Poletto</v>
      </c>
    </row>
    <row r="38" spans="3:10" ht="11.25" x14ac:dyDescent="0.2">
      <c r="C38" s="37" t="str">
        <f>+Resultados!A40</f>
        <v>Contador Público (U.C.A.)</v>
      </c>
      <c r="D38" s="37"/>
      <c r="E38" s="37"/>
      <c r="G38" s="37" t="str">
        <f>+Balance!F33</f>
        <v>Síndico</v>
      </c>
      <c r="J38" s="37" t="s">
        <v>32</v>
      </c>
    </row>
    <row r="39" spans="3:10" ht="11.25" x14ac:dyDescent="0.2">
      <c r="C39" s="37" t="str">
        <f>+Resultados!A41</f>
        <v>C.P.C.E.C.A.B.A. Tº176  Fº03</v>
      </c>
      <c r="D39" s="37"/>
      <c r="E39" s="37"/>
      <c r="J39" s="37" t="s">
        <v>34</v>
      </c>
    </row>
  </sheetData>
  <mergeCells count="1">
    <mergeCell ref="E7:E9"/>
  </mergeCells>
  <pageMargins left="0.74803149606299213" right="0.19685039370078741" top="1.7716535433070868" bottom="0.98425196850393704" header="0.59055118110236227" footer="0"/>
  <pageSetup paperSize="9" scale="97" orientation="landscape" useFirstPageNumber="1" horizontalDpi="4294967295" verticalDpi="4294967295"/>
  <headerFooter>
    <oddHeader>&amp;L&amp;"Book Antiqua,Normal"&amp;9Southern Copper Argentina SRL.
Tucuman 1
Ciudad Autónoma de Buenos Aires
Nºde Insc.en I.G.J.:11764 del Libro 135 de SRL.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J104"/>
  <sheetViews>
    <sheetView zoomScaleNormal="100" workbookViewId="0"/>
  </sheetViews>
  <sheetFormatPr baseColWidth="10" defaultColWidth="11.28515625" defaultRowHeight="10.15" customHeight="1" x14ac:dyDescent="0.2"/>
  <cols>
    <col min="1" max="1" width="6.140625" style="1" customWidth="1"/>
    <col min="2" max="2" width="3.7109375" style="1" customWidth="1"/>
    <col min="3" max="3" width="7.28515625" style="1" customWidth="1"/>
    <col min="4" max="4" width="3.7109375" style="1" customWidth="1"/>
    <col min="5" max="5" width="38.140625" style="1" customWidth="1"/>
    <col min="6" max="6" width="12.7109375" style="1" customWidth="1"/>
    <col min="7" max="7" width="11.28515625" style="1" customWidth="1"/>
    <col min="8" max="8" width="12.28515625" style="1" customWidth="1"/>
    <col min="9" max="9" width="11.28515625" style="1" customWidth="1"/>
    <col min="10" max="16384" width="11.28515625" style="1"/>
  </cols>
  <sheetData>
    <row r="1" spans="2:7" ht="11.25" x14ac:dyDescent="0.2">
      <c r="B1" s="10" t="s">
        <v>78</v>
      </c>
      <c r="C1" s="10"/>
      <c r="D1" s="10" t="s">
        <v>79</v>
      </c>
      <c r="E1" s="10"/>
    </row>
    <row r="2" spans="2:7" ht="11.25" x14ac:dyDescent="0.2">
      <c r="B2" s="1" t="str">
        <f>+Balance!A2</f>
        <v>Al 30 de junio 2026  - Cifras expresadas en pesos</v>
      </c>
    </row>
    <row r="4" spans="2:7" ht="11.25" x14ac:dyDescent="0.2">
      <c r="F4" s="67" t="str">
        <f>+Balance!F5</f>
        <v>30.06.2026</v>
      </c>
    </row>
    <row r="5" spans="2:7" ht="11.25" x14ac:dyDescent="0.2">
      <c r="B5" s="10" t="s">
        <v>80</v>
      </c>
    </row>
    <row r="6" spans="2:7" ht="11.25" x14ac:dyDescent="0.2">
      <c r="B6" s="10" t="s">
        <v>81</v>
      </c>
    </row>
    <row r="7" spans="2:7" ht="11.25" x14ac:dyDescent="0.2">
      <c r="B7" s="1" t="s">
        <v>82</v>
      </c>
      <c r="C7" s="68" t="s">
        <v>83</v>
      </c>
    </row>
    <row r="8" spans="2:7" ht="11.25" x14ac:dyDescent="0.2">
      <c r="D8" s="1" t="s">
        <v>84</v>
      </c>
      <c r="F8" s="19">
        <f>+SALDOS!G3</f>
        <v>0</v>
      </c>
    </row>
    <row r="9" spans="2:7" ht="11.25" x14ac:dyDescent="0.2">
      <c r="D9" s="1" t="s">
        <v>85</v>
      </c>
      <c r="F9" s="19">
        <f>+SALDOS!G4</f>
        <v>0</v>
      </c>
    </row>
    <row r="10" spans="2:7" ht="11.25" x14ac:dyDescent="0.2">
      <c r="D10" s="69" t="s">
        <v>86</v>
      </c>
      <c r="F10" s="19">
        <f>+SALDOS!G5</f>
        <v>10663404.48</v>
      </c>
      <c r="G10" s="34"/>
    </row>
    <row r="11" spans="2:7" ht="11.25" x14ac:dyDescent="0.2">
      <c r="D11" s="69" t="s">
        <v>87</v>
      </c>
      <c r="F11" s="19">
        <f>+SALDOS!G11</f>
        <v>8464196.790000001</v>
      </c>
      <c r="G11" s="34"/>
    </row>
    <row r="12" spans="2:7" ht="11.25" x14ac:dyDescent="0.2">
      <c r="D12" s="69" t="s">
        <v>88</v>
      </c>
      <c r="F12" s="19">
        <f>+SALDOS!G6</f>
        <v>1445749.5</v>
      </c>
    </row>
    <row r="13" spans="2:7" ht="11.25" x14ac:dyDescent="0.2">
      <c r="D13" s="69" t="s">
        <v>89</v>
      </c>
      <c r="F13" s="19">
        <f>+SALDOS!G7</f>
        <v>0</v>
      </c>
    </row>
    <row r="14" spans="2:7" ht="11.25" x14ac:dyDescent="0.2">
      <c r="D14" s="69" t="s">
        <v>90</v>
      </c>
      <c r="F14" s="19">
        <f>+SALDOS!G8</f>
        <v>-23141.31</v>
      </c>
    </row>
    <row r="15" spans="2:7" ht="11.25" x14ac:dyDescent="0.2">
      <c r="D15" s="70" t="s">
        <v>91</v>
      </c>
      <c r="F15" s="19">
        <f>+SALDOS!G9</f>
        <v>3926.88</v>
      </c>
    </row>
    <row r="16" spans="2:7" ht="11.25" x14ac:dyDescent="0.2">
      <c r="D16" s="70" t="s">
        <v>92</v>
      </c>
      <c r="F16" s="19">
        <f>+SALDOS!G12</f>
        <v>0</v>
      </c>
    </row>
    <row r="17" spans="2:6" ht="11.25" x14ac:dyDescent="0.2">
      <c r="D17" s="69" t="s">
        <v>93</v>
      </c>
      <c r="F17" s="19">
        <f>+SALDOS!G10</f>
        <v>0</v>
      </c>
    </row>
    <row r="18" spans="2:6" ht="10.9" customHeight="1" x14ac:dyDescent="0.2">
      <c r="C18" s="1" t="s">
        <v>2</v>
      </c>
      <c r="F18" s="71">
        <f>SUM(F8:F17)</f>
        <v>20554136.340000004</v>
      </c>
    </row>
    <row r="19" spans="2:6" ht="10.9" customHeight="1" x14ac:dyDescent="0.2">
      <c r="F19" s="19"/>
    </row>
    <row r="20" spans="2:6" ht="11.25" x14ac:dyDescent="0.2">
      <c r="B20" s="1" t="s">
        <v>94</v>
      </c>
      <c r="C20" s="68" t="s">
        <v>95</v>
      </c>
      <c r="F20" s="19"/>
    </row>
    <row r="21" spans="2:6" ht="11.25" x14ac:dyDescent="0.2">
      <c r="C21" s="68"/>
      <c r="D21" s="69" t="s">
        <v>96</v>
      </c>
      <c r="F21" s="19">
        <f>+SALDOS!G40</f>
        <v>0</v>
      </c>
    </row>
    <row r="22" spans="2:6" ht="11.25" x14ac:dyDescent="0.2">
      <c r="C22" s="68"/>
      <c r="D22" s="69" t="s">
        <v>97</v>
      </c>
      <c r="F22" s="72">
        <f>+SALDOS!G14</f>
        <v>0</v>
      </c>
    </row>
    <row r="23" spans="2:6" ht="11.25" x14ac:dyDescent="0.2">
      <c r="C23" s="68"/>
      <c r="D23" s="69" t="s">
        <v>98</v>
      </c>
      <c r="F23" s="72">
        <f>+SALDOS!G15</f>
        <v>1667959397.47</v>
      </c>
    </row>
    <row r="24" spans="2:6" ht="11.25" x14ac:dyDescent="0.2">
      <c r="C24" s="68"/>
      <c r="D24" s="69" t="s">
        <v>99</v>
      </c>
      <c r="F24" s="72">
        <f>+SALDOS!G18</f>
        <v>7866857.0800000001</v>
      </c>
    </row>
    <row r="25" spans="2:6" ht="11.25" x14ac:dyDescent="0.2">
      <c r="C25" s="68"/>
      <c r="D25" s="69" t="s">
        <v>100</v>
      </c>
      <c r="F25" s="19">
        <f>+SALDOS!G16</f>
        <v>0</v>
      </c>
    </row>
    <row r="26" spans="2:6" ht="11.25" x14ac:dyDescent="0.2">
      <c r="C26" s="68"/>
      <c r="D26" s="69" t="s">
        <v>101</v>
      </c>
      <c r="F26" s="19">
        <f>+SALDOS!G17</f>
        <v>0</v>
      </c>
    </row>
    <row r="27" spans="2:6" ht="11.25" x14ac:dyDescent="0.2">
      <c r="C27" s="68"/>
      <c r="D27" s="69" t="s">
        <v>102</v>
      </c>
      <c r="F27" s="72">
        <f>+SALDOS!G19</f>
        <v>52018352.270000003</v>
      </c>
    </row>
    <row r="28" spans="2:6" ht="11.25" x14ac:dyDescent="0.2">
      <c r="C28" s="68"/>
      <c r="D28" s="69" t="s">
        <v>103</v>
      </c>
      <c r="F28" s="72">
        <f>+SALDOS!G20</f>
        <v>528747.09</v>
      </c>
    </row>
    <row r="29" spans="2:6" ht="11.25" x14ac:dyDescent="0.2">
      <c r="C29" s="68"/>
      <c r="D29" s="69" t="s">
        <v>104</v>
      </c>
      <c r="F29" s="72">
        <f>+SALDOS!G25</f>
        <v>26028040.719999999</v>
      </c>
    </row>
    <row r="30" spans="2:6" ht="11.25" x14ac:dyDescent="0.2">
      <c r="C30" s="68"/>
      <c r="D30" s="69" t="s">
        <v>105</v>
      </c>
      <c r="F30" s="72">
        <f>+SALDOS!G26</f>
        <v>0</v>
      </c>
    </row>
    <row r="31" spans="2:6" ht="11.25" x14ac:dyDescent="0.2">
      <c r="C31" s="68"/>
      <c r="D31" s="70" t="s">
        <v>106</v>
      </c>
      <c r="F31" s="72">
        <f>+SALDOS!G27</f>
        <v>0</v>
      </c>
    </row>
    <row r="32" spans="2:6" ht="11.25" x14ac:dyDescent="0.2">
      <c r="C32" s="68"/>
      <c r="D32" s="70" t="s">
        <v>107</v>
      </c>
      <c r="F32" s="72">
        <f>+SALDOS!G28</f>
        <v>0</v>
      </c>
    </row>
    <row r="33" spans="4:8" ht="11.25" x14ac:dyDescent="0.2">
      <c r="D33" s="69" t="s">
        <v>108</v>
      </c>
      <c r="F33" s="72">
        <f>+SALDOS!G29</f>
        <v>95935319.460000008</v>
      </c>
    </row>
    <row r="34" spans="4:8" ht="11.25" x14ac:dyDescent="0.2">
      <c r="D34" s="69" t="s">
        <v>109</v>
      </c>
      <c r="F34" s="72">
        <f>+SALDOS!G30</f>
        <v>908.12</v>
      </c>
    </row>
    <row r="35" spans="4:8" ht="11.25" x14ac:dyDescent="0.2">
      <c r="D35" s="69" t="s">
        <v>110</v>
      </c>
      <c r="F35" s="72">
        <f>+SALDOS!G33</f>
        <v>154199532</v>
      </c>
    </row>
    <row r="36" spans="4:8" ht="11.25" x14ac:dyDescent="0.2">
      <c r="D36" s="69" t="s">
        <v>111</v>
      </c>
      <c r="E36" s="73"/>
      <c r="F36" s="19">
        <f>+SALDOS!G42</f>
        <v>108200</v>
      </c>
    </row>
    <row r="37" spans="4:8" ht="11.25" x14ac:dyDescent="0.2">
      <c r="D37" s="69" t="s">
        <v>112</v>
      </c>
      <c r="E37" s="73"/>
      <c r="F37" s="19">
        <f>+SALDOS!G41</f>
        <v>0</v>
      </c>
    </row>
    <row r="38" spans="4:8" ht="11.25" x14ac:dyDescent="0.2">
      <c r="D38" s="69" t="s">
        <v>113</v>
      </c>
      <c r="E38" s="73"/>
      <c r="F38" s="19">
        <f>+SALDOS!G34</f>
        <v>0</v>
      </c>
    </row>
    <row r="39" spans="4:8" ht="11.25" x14ac:dyDescent="0.2">
      <c r="D39" s="69" t="s">
        <v>114</v>
      </c>
      <c r="F39" s="19">
        <f>+SALDOS!G35</f>
        <v>0</v>
      </c>
    </row>
    <row r="40" spans="4:8" ht="11.25" x14ac:dyDescent="0.2">
      <c r="D40" s="69" t="s">
        <v>115</v>
      </c>
      <c r="F40" s="19">
        <f>+SALDOS!G36</f>
        <v>0</v>
      </c>
    </row>
    <row r="41" spans="4:8" ht="11.25" x14ac:dyDescent="0.2">
      <c r="D41" s="70" t="s">
        <v>116</v>
      </c>
      <c r="F41" s="19">
        <f>+SALDOS!G37</f>
        <v>17397227.48</v>
      </c>
    </row>
    <row r="42" spans="4:8" ht="11.25" x14ac:dyDescent="0.2">
      <c r="D42" s="69" t="s">
        <v>117</v>
      </c>
      <c r="E42" s="73"/>
      <c r="F42" s="19">
        <f>+SALDOS!G38</f>
        <v>323000</v>
      </c>
      <c r="H42" s="19"/>
    </row>
    <row r="43" spans="4:8" ht="11.25" x14ac:dyDescent="0.2">
      <c r="D43" s="69" t="s">
        <v>118</v>
      </c>
      <c r="E43" s="73"/>
      <c r="F43" s="19">
        <f>+SALDOS!G31</f>
        <v>6297405.2199999997</v>
      </c>
    </row>
    <row r="44" spans="4:8" ht="11.25" x14ac:dyDescent="0.2">
      <c r="D44" s="69" t="s">
        <v>119</v>
      </c>
      <c r="E44" s="73"/>
      <c r="F44" s="19">
        <f>+SALDOS!G32</f>
        <v>0</v>
      </c>
    </row>
    <row r="45" spans="4:8" ht="11.25" x14ac:dyDescent="0.2">
      <c r="D45" s="69" t="s">
        <v>120</v>
      </c>
      <c r="E45" s="73"/>
      <c r="F45" s="19">
        <f>+SALDOS!G21</f>
        <v>0</v>
      </c>
    </row>
    <row r="46" spans="4:8" ht="11.25" x14ac:dyDescent="0.2">
      <c r="D46" s="69" t="s">
        <v>121</v>
      </c>
      <c r="E46" s="73"/>
      <c r="F46" s="19">
        <f>+SALDOS!G22</f>
        <v>243686.59</v>
      </c>
    </row>
    <row r="47" spans="4:8" ht="11.25" x14ac:dyDescent="0.2">
      <c r="D47" s="69" t="s">
        <v>122</v>
      </c>
      <c r="E47" s="73"/>
      <c r="F47" s="19">
        <f>+SALDOS!G23</f>
        <v>203599.05000000002</v>
      </c>
    </row>
    <row r="48" spans="4:8" ht="11.25" x14ac:dyDescent="0.2">
      <c r="D48" s="69" t="s">
        <v>123</v>
      </c>
      <c r="E48" s="73"/>
      <c r="F48" s="19">
        <f>+SALDOS!G24</f>
        <v>45551974.829999998</v>
      </c>
    </row>
    <row r="49" spans="2:10" ht="11.25" x14ac:dyDescent="0.2">
      <c r="D49" s="69" t="s">
        <v>124</v>
      </c>
      <c r="E49" s="73"/>
      <c r="F49" s="19">
        <f>+SALDOS!G60</f>
        <v>5439067</v>
      </c>
    </row>
    <row r="50" spans="2:10" ht="11.25" x14ac:dyDescent="0.2">
      <c r="D50" s="69" t="s">
        <v>125</v>
      </c>
      <c r="E50" s="73"/>
      <c r="F50" s="19">
        <f>+SALDOS!G61</f>
        <v>32772165</v>
      </c>
    </row>
    <row r="51" spans="2:10" ht="10.9" customHeight="1" x14ac:dyDescent="0.2">
      <c r="D51" s="69"/>
      <c r="E51" s="73"/>
      <c r="F51" s="71">
        <f>SUM(F21:F50)</f>
        <v>2112873479.3799996</v>
      </c>
      <c r="H51" s="34"/>
      <c r="I51" s="19"/>
      <c r="J51" s="19"/>
    </row>
    <row r="52" spans="2:10" ht="10.9" customHeight="1" x14ac:dyDescent="0.2">
      <c r="F52" s="19"/>
    </row>
    <row r="53" spans="2:10" ht="11.25" x14ac:dyDescent="0.2">
      <c r="B53" s="1" t="s">
        <v>126</v>
      </c>
      <c r="C53" s="68" t="s">
        <v>127</v>
      </c>
    </row>
    <row r="54" spans="2:10" ht="11.25" x14ac:dyDescent="0.2">
      <c r="D54" s="1" t="s">
        <v>128</v>
      </c>
      <c r="F54" s="19">
        <f>+SALDOS!G39</f>
        <v>0</v>
      </c>
      <c r="G54" s="19"/>
    </row>
    <row r="55" spans="2:10" ht="10.9" customHeight="1" x14ac:dyDescent="0.2">
      <c r="C55" s="1" t="s">
        <v>2</v>
      </c>
      <c r="F55" s="71">
        <f>SUM(F54:F54)</f>
        <v>0</v>
      </c>
    </row>
    <row r="56" spans="2:10" ht="10.9" customHeight="1" x14ac:dyDescent="0.2">
      <c r="F56" s="19"/>
    </row>
    <row r="57" spans="2:10" ht="11.25" x14ac:dyDescent="0.2">
      <c r="B57" s="10" t="s">
        <v>129</v>
      </c>
      <c r="F57" s="19"/>
    </row>
    <row r="58" spans="2:10" ht="11.25" x14ac:dyDescent="0.2">
      <c r="F58" s="19"/>
    </row>
    <row r="59" spans="2:10" ht="11.25" x14ac:dyDescent="0.2">
      <c r="B59" s="1" t="s">
        <v>130</v>
      </c>
      <c r="C59" s="68" t="s">
        <v>131</v>
      </c>
      <c r="F59" s="19"/>
    </row>
    <row r="60" spans="2:10" ht="11.25" x14ac:dyDescent="0.2">
      <c r="D60" s="1" t="s">
        <v>132</v>
      </c>
      <c r="F60" s="19">
        <f>+SALDOS!G43</f>
        <v>0</v>
      </c>
    </row>
    <row r="61" spans="2:10" ht="10.9" customHeight="1" x14ac:dyDescent="0.2">
      <c r="F61" s="71">
        <f>SUM(F60:F60)</f>
        <v>0</v>
      </c>
      <c r="G61" s="19"/>
      <c r="H61" s="19"/>
    </row>
    <row r="62" spans="2:10" ht="10.9" customHeight="1" x14ac:dyDescent="0.2">
      <c r="F62" s="19"/>
    </row>
    <row r="63" spans="2:10" ht="11.25" x14ac:dyDescent="0.2">
      <c r="F63" s="67" t="str">
        <f>+Balance!F5</f>
        <v>30.06.2026</v>
      </c>
    </row>
    <row r="64" spans="2:10" ht="11.25" x14ac:dyDescent="0.2">
      <c r="F64" s="37"/>
    </row>
    <row r="65" spans="2:10" ht="11.25" x14ac:dyDescent="0.2">
      <c r="B65" s="10" t="s">
        <v>133</v>
      </c>
    </row>
    <row r="66" spans="2:10" ht="11.25" x14ac:dyDescent="0.2">
      <c r="B66" s="10" t="s">
        <v>134</v>
      </c>
    </row>
    <row r="67" spans="2:10" ht="11.25" x14ac:dyDescent="0.2">
      <c r="B67" s="1" t="s">
        <v>135</v>
      </c>
      <c r="C67" s="68" t="s">
        <v>136</v>
      </c>
    </row>
    <row r="68" spans="2:10" ht="11.25" x14ac:dyDescent="0.2">
      <c r="C68" s="68"/>
      <c r="D68" s="1" t="s">
        <v>137</v>
      </c>
      <c r="F68" s="19">
        <f>-SALDOS!I116</f>
        <v>106687518.28999999</v>
      </c>
    </row>
    <row r="69" spans="2:10" ht="11.25" x14ac:dyDescent="0.2">
      <c r="C69" s="68"/>
      <c r="D69" s="1" t="s">
        <v>138</v>
      </c>
      <c r="F69" s="19">
        <f>-SALDOS!G126</f>
        <v>0</v>
      </c>
    </row>
    <row r="70" spans="2:10" ht="11.25" x14ac:dyDescent="0.2">
      <c r="C70" s="68"/>
      <c r="D70" s="69" t="s">
        <v>139</v>
      </c>
      <c r="F70" s="19">
        <f>-SALDOS!G129</f>
        <v>0</v>
      </c>
    </row>
    <row r="71" spans="2:10" ht="11.25" x14ac:dyDescent="0.2">
      <c r="C71" s="68"/>
      <c r="D71" s="69" t="s">
        <v>140</v>
      </c>
      <c r="F71" s="19">
        <f>-SALDOS!G134</f>
        <v>0</v>
      </c>
    </row>
    <row r="72" spans="2:10" ht="10.9" customHeight="1" x14ac:dyDescent="0.2">
      <c r="B72" s="10"/>
      <c r="F72" s="71">
        <f>SUM(F68:F71)</f>
        <v>106687518.28999999</v>
      </c>
      <c r="H72" s="19"/>
      <c r="I72" s="19"/>
    </row>
    <row r="73" spans="2:10" ht="10.9" customHeight="1" x14ac:dyDescent="0.2">
      <c r="B73" s="1" t="s">
        <v>141</v>
      </c>
      <c r="C73" s="68" t="s">
        <v>142</v>
      </c>
      <c r="F73" s="19"/>
      <c r="J73" s="19"/>
    </row>
    <row r="74" spans="2:10" ht="13.15" customHeight="1" x14ac:dyDescent="0.2">
      <c r="B74" s="10"/>
      <c r="D74" s="69" t="s">
        <v>143</v>
      </c>
      <c r="E74" s="74"/>
      <c r="F74" s="72">
        <f>-SALDOS!G121</f>
        <v>199168357.75999999</v>
      </c>
    </row>
    <row r="75" spans="2:10" ht="13.15" customHeight="1" x14ac:dyDescent="0.2">
      <c r="B75" s="10"/>
      <c r="D75" s="69" t="s">
        <v>144</v>
      </c>
      <c r="E75" s="74"/>
      <c r="F75" s="72">
        <v>0</v>
      </c>
    </row>
    <row r="76" spans="2:10" ht="13.15" customHeight="1" x14ac:dyDescent="0.2">
      <c r="B76" s="10"/>
      <c r="D76" s="69" t="s">
        <v>145</v>
      </c>
      <c r="E76" s="74"/>
      <c r="F76" s="72">
        <v>0</v>
      </c>
    </row>
    <row r="77" spans="2:10" ht="13.15" customHeight="1" x14ac:dyDescent="0.2">
      <c r="B77" s="10"/>
      <c r="D77" s="69" t="s">
        <v>146</v>
      </c>
      <c r="E77" s="74"/>
      <c r="F77" s="72">
        <f>-SALDOS!G124</f>
        <v>0</v>
      </c>
    </row>
    <row r="78" spans="2:10" ht="13.15" customHeight="1" x14ac:dyDescent="0.2">
      <c r="B78" s="10"/>
      <c r="D78" s="69" t="s">
        <v>147</v>
      </c>
      <c r="E78" s="74"/>
      <c r="F78" s="72">
        <f>-SALDOS!G123-SALDOS!G132</f>
        <v>0</v>
      </c>
    </row>
    <row r="79" spans="2:10" ht="13.15" customHeight="1" x14ac:dyDescent="0.2">
      <c r="B79" s="10"/>
      <c r="D79" s="69" t="s">
        <v>148</v>
      </c>
      <c r="E79" s="74"/>
      <c r="F79" s="72">
        <f>-SALDOS!G136</f>
        <v>19744</v>
      </c>
    </row>
    <row r="80" spans="2:10" ht="13.15" customHeight="1" x14ac:dyDescent="0.2">
      <c r="B80" s="10"/>
      <c r="D80" s="70" t="s">
        <v>149</v>
      </c>
      <c r="E80" s="74"/>
      <c r="F80" s="72">
        <f>-SALDOS!G137</f>
        <v>0</v>
      </c>
    </row>
    <row r="81" spans="2:8" ht="13.15" hidden="1" customHeight="1" x14ac:dyDescent="0.2">
      <c r="B81" s="10"/>
      <c r="D81" s="69" t="s">
        <v>150</v>
      </c>
      <c r="E81" s="74"/>
      <c r="F81" s="72">
        <f>-SALDOS!G133</f>
        <v>0</v>
      </c>
    </row>
    <row r="82" spans="2:8" ht="13.15" customHeight="1" x14ac:dyDescent="0.2">
      <c r="B82" s="10"/>
      <c r="D82" s="69" t="s">
        <v>151</v>
      </c>
      <c r="E82" s="74"/>
      <c r="F82" s="72">
        <f>-SALDOS!G135</f>
        <v>1335.23</v>
      </c>
    </row>
    <row r="83" spans="2:8" ht="13.15" customHeight="1" x14ac:dyDescent="0.2">
      <c r="B83" s="10"/>
      <c r="D83" s="69" t="s">
        <v>152</v>
      </c>
      <c r="E83" s="74"/>
      <c r="F83" s="72">
        <f>-SALDOS!G127</f>
        <v>45551975</v>
      </c>
    </row>
    <row r="84" spans="2:8" ht="13.15" customHeight="1" x14ac:dyDescent="0.2">
      <c r="B84" s="10"/>
      <c r="D84" s="69" t="s">
        <v>153</v>
      </c>
      <c r="E84" s="74"/>
      <c r="F84" s="72">
        <f>-SALDOS!G128</f>
        <v>772433.68</v>
      </c>
    </row>
    <row r="85" spans="2:8" ht="13.15" customHeight="1" x14ac:dyDescent="0.2">
      <c r="B85" s="10"/>
      <c r="D85" s="69" t="s">
        <v>154</v>
      </c>
      <c r="E85" s="74"/>
      <c r="F85" s="72">
        <f>-SALDOS!G131</f>
        <v>38149531.82</v>
      </c>
    </row>
    <row r="86" spans="2:8" ht="13.9" customHeight="1" x14ac:dyDescent="0.2">
      <c r="B86" s="10"/>
      <c r="E86" s="74"/>
      <c r="F86" s="71">
        <f>SUM(F74:F85)</f>
        <v>283663377.49000001</v>
      </c>
    </row>
    <row r="87" spans="2:8" ht="13.9" customHeight="1" x14ac:dyDescent="0.2">
      <c r="B87" s="10"/>
      <c r="D87" s="69"/>
      <c r="E87" s="74"/>
      <c r="F87" s="72"/>
    </row>
    <row r="88" spans="2:8" ht="13.15" customHeight="1" x14ac:dyDescent="0.2">
      <c r="B88" s="1" t="s">
        <v>155</v>
      </c>
      <c r="C88" s="68" t="s">
        <v>156</v>
      </c>
      <c r="D88" s="69"/>
      <c r="E88" s="74"/>
      <c r="F88" s="72"/>
    </row>
    <row r="89" spans="2:8" ht="13.15" customHeight="1" x14ac:dyDescent="0.2">
      <c r="C89" s="68"/>
      <c r="D89" s="69" t="s">
        <v>157</v>
      </c>
      <c r="E89" s="74"/>
      <c r="F89" s="72">
        <f>-SALDOS!G120</f>
        <v>46874610.969999999</v>
      </c>
    </row>
    <row r="90" spans="2:8" ht="13.15" customHeight="1" x14ac:dyDescent="0.2">
      <c r="B90" s="10"/>
      <c r="D90" s="69" t="s">
        <v>158</v>
      </c>
      <c r="E90" s="74"/>
      <c r="F90" s="72">
        <f>-SALDOS!G122</f>
        <v>39510574.149999999</v>
      </c>
    </row>
    <row r="91" spans="2:8" ht="13.15" customHeight="1" x14ac:dyDescent="0.2">
      <c r="B91" s="10"/>
      <c r="D91" s="69" t="s">
        <v>159</v>
      </c>
      <c r="E91" s="74"/>
      <c r="F91" s="72">
        <f>-SALDOS!G125</f>
        <v>0</v>
      </c>
    </row>
    <row r="92" spans="2:8" ht="13.15" customHeight="1" x14ac:dyDescent="0.2">
      <c r="B92" s="10"/>
      <c r="D92" s="69" t="s">
        <v>160</v>
      </c>
      <c r="E92" s="74"/>
      <c r="F92" s="72">
        <f>-SALDOS!G130</f>
        <v>0</v>
      </c>
    </row>
    <row r="93" spans="2:8" ht="10.9" customHeight="1" x14ac:dyDescent="0.2">
      <c r="F93" s="71">
        <f>SUM(F89:F92)</f>
        <v>86385185.120000005</v>
      </c>
      <c r="G93" s="19"/>
      <c r="H93" s="19"/>
    </row>
    <row r="94" spans="2:8" ht="10.9" customHeight="1" x14ac:dyDescent="0.2">
      <c r="F94" s="19"/>
    </row>
    <row r="95" spans="2:8" ht="11.25" x14ac:dyDescent="0.2">
      <c r="B95" s="1" t="s">
        <v>25</v>
      </c>
    </row>
    <row r="96" spans="2:8" ht="11.25" x14ac:dyDescent="0.2">
      <c r="B96" s="1" t="s">
        <v>26</v>
      </c>
      <c r="H96" s="19"/>
    </row>
    <row r="97" spans="3:8" ht="11.25" x14ac:dyDescent="0.2">
      <c r="H97" s="34"/>
    </row>
    <row r="102" spans="3:8" ht="11.25" x14ac:dyDescent="0.2">
      <c r="C102" s="37" t="str">
        <f>+Balance!D32</f>
        <v>Miguel Ángel Alonso</v>
      </c>
      <c r="D102" s="37"/>
      <c r="E102" s="37" t="str">
        <f>+Balance!F32</f>
        <v>Pedro Nicholson</v>
      </c>
      <c r="F102" s="37"/>
      <c r="G102" s="37" t="str">
        <f>+Balance!K32</f>
        <v>Alejandro Poletto</v>
      </c>
    </row>
    <row r="103" spans="3:8" ht="11.25" x14ac:dyDescent="0.2">
      <c r="C103" s="37" t="str">
        <f>+Balance!D33</f>
        <v>Contador Público (U.C.A.)</v>
      </c>
      <c r="D103" s="37"/>
      <c r="E103" s="37" t="str">
        <f>+Balance!F33</f>
        <v>Síndico</v>
      </c>
      <c r="F103" s="37"/>
      <c r="G103" s="37" t="str">
        <f>+Balance!K33</f>
        <v>Southern Copper Arg. S.R.L.</v>
      </c>
    </row>
    <row r="104" spans="3:8" ht="11.25" x14ac:dyDescent="0.2">
      <c r="C104" s="37" t="str">
        <f>+Balance!D34</f>
        <v>C.P.C.E.C.A.B.A. Tº176  Fº03</v>
      </c>
      <c r="D104" s="37"/>
      <c r="E104" s="37"/>
      <c r="F104" s="37"/>
      <c r="G104" s="37" t="str">
        <f>+Balance!K34</f>
        <v xml:space="preserve"> Gerente</v>
      </c>
    </row>
  </sheetData>
  <pageMargins left="0.74803149606299213" right="0.74803149606299213" top="1.5354330708661419" bottom="0.98425196850393704" header="0" footer="0"/>
  <pageSetup paperSize="9" scale="60" orientation="portrait" useFirstPageNumber="1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O35"/>
  <sheetViews>
    <sheetView zoomScale="80" zoomScaleNormal="80" workbookViewId="0">
      <selection activeCell="F28" sqref="F28"/>
    </sheetView>
  </sheetViews>
  <sheetFormatPr baseColWidth="10" defaultColWidth="18.140625" defaultRowHeight="13.15" customHeight="1" x14ac:dyDescent="0.2"/>
  <cols>
    <col min="1" max="1" width="29" style="75" customWidth="1"/>
    <col min="2" max="2" width="18.85546875" style="75" customWidth="1"/>
    <col min="3" max="3" width="14.7109375" style="75" customWidth="1"/>
    <col min="4" max="4" width="15.42578125" style="75" customWidth="1"/>
    <col min="5" max="5" width="14.140625" style="75" customWidth="1"/>
    <col min="6" max="6" width="18" style="75" customWidth="1"/>
    <col min="7" max="7" width="13.140625" style="75" customWidth="1"/>
    <col min="8" max="9" width="18.42578125" style="75" customWidth="1"/>
    <col min="10" max="10" width="21" style="75" customWidth="1"/>
    <col min="11" max="11" width="17.7109375" style="75" customWidth="1"/>
    <col min="12" max="12" width="18.140625" style="75" customWidth="1"/>
    <col min="13" max="16384" width="18.140625" style="75"/>
  </cols>
  <sheetData>
    <row r="1" spans="1:15" ht="12.75" x14ac:dyDescent="0.2">
      <c r="K1" s="76" t="s">
        <v>161</v>
      </c>
    </row>
    <row r="3" spans="1:15" ht="13.9" customHeight="1" x14ac:dyDescent="0.2"/>
    <row r="4" spans="1:15" ht="13.9" customHeight="1" x14ac:dyDescent="0.2">
      <c r="A4" s="240" t="s">
        <v>162</v>
      </c>
      <c r="B4" s="241"/>
      <c r="C4" s="241"/>
      <c r="D4" s="241"/>
      <c r="E4" s="241"/>
      <c r="F4" s="241"/>
      <c r="G4" s="241"/>
      <c r="H4" s="241"/>
      <c r="I4" s="241"/>
      <c r="J4" s="241"/>
      <c r="K4" s="242"/>
    </row>
    <row r="5" spans="1:15" ht="12.75" x14ac:dyDescent="0.2">
      <c r="A5" s="243" t="s">
        <v>163</v>
      </c>
      <c r="B5" s="244"/>
      <c r="C5" s="244"/>
      <c r="D5" s="244"/>
      <c r="E5" s="244"/>
      <c r="F5" s="244"/>
      <c r="G5" s="244"/>
      <c r="H5" s="244"/>
      <c r="I5" s="244"/>
      <c r="J5" s="244"/>
      <c r="K5" s="245"/>
    </row>
    <row r="6" spans="1:15" ht="12.75" x14ac:dyDescent="0.2">
      <c r="A6" s="77" t="s">
        <v>2</v>
      </c>
      <c r="K6" s="78"/>
    </row>
    <row r="7" spans="1:15" ht="12.75" x14ac:dyDescent="0.2">
      <c r="A7" s="79" t="s">
        <v>2</v>
      </c>
      <c r="B7" s="80"/>
      <c r="C7" s="80"/>
      <c r="D7" s="80"/>
      <c r="E7" s="80"/>
      <c r="F7" s="80"/>
      <c r="G7" s="80"/>
      <c r="H7" s="80"/>
      <c r="I7" s="80"/>
      <c r="J7" s="80"/>
      <c r="K7" s="81"/>
    </row>
    <row r="8" spans="1:15" ht="12.75" x14ac:dyDescent="0.2">
      <c r="A8" s="82" t="s">
        <v>2</v>
      </c>
      <c r="B8" s="83" t="s">
        <v>164</v>
      </c>
      <c r="C8" s="83"/>
      <c r="D8" s="83"/>
      <c r="E8" s="83"/>
      <c r="F8" s="83" t="s">
        <v>165</v>
      </c>
      <c r="G8" s="83"/>
      <c r="H8" s="83"/>
      <c r="I8" s="83"/>
      <c r="J8" s="83"/>
      <c r="K8" s="84"/>
    </row>
    <row r="9" spans="1:15" ht="12.75" x14ac:dyDescent="0.2">
      <c r="A9" s="85"/>
      <c r="B9" s="86" t="s">
        <v>166</v>
      </c>
      <c r="C9" s="86"/>
      <c r="D9" s="86"/>
      <c r="E9" s="86" t="s">
        <v>166</v>
      </c>
      <c r="F9" s="86" t="s">
        <v>167</v>
      </c>
      <c r="G9" s="86"/>
      <c r="H9" s="246" t="s">
        <v>168</v>
      </c>
      <c r="I9" s="247"/>
      <c r="J9" s="86" t="s">
        <v>169</v>
      </c>
      <c r="K9" s="87" t="s">
        <v>170</v>
      </c>
    </row>
    <row r="10" spans="1:15" ht="12.75" x14ac:dyDescent="0.2">
      <c r="A10" s="88" t="s">
        <v>51</v>
      </c>
      <c r="B10" s="86" t="s">
        <v>171</v>
      </c>
      <c r="C10" s="86" t="s">
        <v>172</v>
      </c>
      <c r="D10" s="86" t="s">
        <v>173</v>
      </c>
      <c r="E10" s="86" t="s">
        <v>174</v>
      </c>
      <c r="F10" s="86" t="s">
        <v>175</v>
      </c>
      <c r="G10" s="86" t="s">
        <v>176</v>
      </c>
      <c r="H10" s="86" t="s">
        <v>177</v>
      </c>
      <c r="I10" s="86" t="s">
        <v>178</v>
      </c>
      <c r="J10" s="86" t="s">
        <v>179</v>
      </c>
      <c r="K10" s="87" t="s">
        <v>180</v>
      </c>
    </row>
    <row r="11" spans="1:15" ht="12.75" x14ac:dyDescent="0.2">
      <c r="A11" s="85"/>
      <c r="B11" s="86" t="s">
        <v>181</v>
      </c>
      <c r="C11" s="86"/>
      <c r="D11" s="86"/>
      <c r="E11" s="86" t="s">
        <v>181</v>
      </c>
      <c r="F11" s="86" t="s">
        <v>181</v>
      </c>
      <c r="G11" s="86"/>
      <c r="H11" s="86"/>
      <c r="I11" s="86" t="s">
        <v>168</v>
      </c>
      <c r="J11" s="86" t="s">
        <v>181</v>
      </c>
      <c r="K11" s="87" t="s">
        <v>182</v>
      </c>
    </row>
    <row r="12" spans="1:15" ht="12.75" x14ac:dyDescent="0.2">
      <c r="A12" s="85"/>
      <c r="B12" s="86" t="s">
        <v>72</v>
      </c>
      <c r="C12" s="86" t="s">
        <v>72</v>
      </c>
      <c r="D12" s="86" t="s">
        <v>72</v>
      </c>
      <c r="E12" s="86" t="s">
        <v>72</v>
      </c>
      <c r="F12" s="86" t="s">
        <v>72</v>
      </c>
      <c r="G12" s="86" t="s">
        <v>72</v>
      </c>
      <c r="H12" s="86"/>
      <c r="I12" s="86" t="s">
        <v>72</v>
      </c>
      <c r="J12" s="86" t="s">
        <v>72</v>
      </c>
      <c r="K12" s="87" t="s">
        <v>72</v>
      </c>
    </row>
    <row r="13" spans="1:15" ht="12.75" x14ac:dyDescent="0.2">
      <c r="A13" s="89"/>
      <c r="B13" s="90"/>
      <c r="C13" s="90"/>
      <c r="D13" s="90"/>
      <c r="E13" s="90"/>
      <c r="F13" s="90"/>
      <c r="G13" s="90"/>
      <c r="H13" s="90"/>
      <c r="I13" s="90"/>
      <c r="J13" s="90"/>
      <c r="K13" s="91"/>
    </row>
    <row r="14" spans="1:15" ht="12.75" x14ac:dyDescent="0.2">
      <c r="A14" s="85"/>
      <c r="B14" s="92"/>
      <c r="C14" s="92"/>
      <c r="D14" s="92"/>
      <c r="E14" s="92"/>
      <c r="F14" s="92"/>
      <c r="G14" s="92"/>
      <c r="H14" s="92"/>
      <c r="I14" s="92"/>
      <c r="J14" s="92"/>
      <c r="K14" s="93"/>
    </row>
    <row r="15" spans="1:15" ht="12.75" x14ac:dyDescent="0.2">
      <c r="A15" s="94" t="s">
        <v>183</v>
      </c>
      <c r="B15" s="95">
        <v>7137147.1400000006</v>
      </c>
      <c r="C15" s="95">
        <f t="shared" ref="C15:C22" si="0">+E15-B15</f>
        <v>0</v>
      </c>
      <c r="D15" s="95">
        <v>0</v>
      </c>
      <c r="E15" s="95">
        <f>+SALDOS!G44</f>
        <v>7137147.1400000006</v>
      </c>
      <c r="F15" s="96">
        <v>2874614.2</v>
      </c>
      <c r="G15" s="95">
        <v>0</v>
      </c>
      <c r="H15" s="97">
        <f>10/100</f>
        <v>0.1</v>
      </c>
      <c r="I15" s="95">
        <f t="shared" ref="I15:I22" si="1">+J15-F15+G15</f>
        <v>250094.38999999966</v>
      </c>
      <c r="J15" s="95">
        <f>-SALDOS!G49</f>
        <v>3124708.59</v>
      </c>
      <c r="K15" s="98">
        <f t="shared" ref="K15:K22" si="2">+E15-J15</f>
        <v>4012438.5500000007</v>
      </c>
      <c r="L15" s="99"/>
      <c r="M15" s="99"/>
      <c r="O15" s="99"/>
    </row>
    <row r="16" spans="1:15" ht="12.75" x14ac:dyDescent="0.2">
      <c r="A16" s="94" t="s">
        <v>184</v>
      </c>
      <c r="B16" s="95">
        <v>9983623.870000001</v>
      </c>
      <c r="C16" s="95">
        <f t="shared" si="0"/>
        <v>13200827.120000001</v>
      </c>
      <c r="D16" s="95">
        <v>0</v>
      </c>
      <c r="E16" s="95">
        <f>+SALDOS!G56</f>
        <v>23184450.990000002</v>
      </c>
      <c r="F16" s="96">
        <v>8824107.4299999997</v>
      </c>
      <c r="G16" s="95">
        <v>0</v>
      </c>
      <c r="H16" s="97">
        <f>33.3333333333333/100</f>
        <v>0.33333333333333298</v>
      </c>
      <c r="I16" s="95">
        <f t="shared" si="1"/>
        <v>1380460.83</v>
      </c>
      <c r="J16" s="95">
        <f>-SALDOS!G57</f>
        <v>10204568.26</v>
      </c>
      <c r="K16" s="98">
        <f t="shared" si="2"/>
        <v>12979882.730000002</v>
      </c>
      <c r="L16" s="99"/>
      <c r="M16" s="99"/>
      <c r="O16" s="99"/>
    </row>
    <row r="17" spans="1:15" ht="12.75" x14ac:dyDescent="0.2">
      <c r="A17" s="94" t="s">
        <v>185</v>
      </c>
      <c r="B17" s="95">
        <v>2163642.25</v>
      </c>
      <c r="C17" s="95">
        <f t="shared" si="0"/>
        <v>0</v>
      </c>
      <c r="D17" s="95">
        <v>0</v>
      </c>
      <c r="E17" s="95">
        <f>+SALDOS!G45</f>
        <v>2163642.25</v>
      </c>
      <c r="F17" s="96">
        <v>1414600.93</v>
      </c>
      <c r="G17" s="95">
        <v>0</v>
      </c>
      <c r="H17" s="97">
        <f>20/100</f>
        <v>0.2</v>
      </c>
      <c r="I17" s="95">
        <f t="shared" si="1"/>
        <v>84405.300000000047</v>
      </c>
      <c r="J17" s="95">
        <f>-SALDOS!G50</f>
        <v>1499006.23</v>
      </c>
      <c r="K17" s="98">
        <f t="shared" si="2"/>
        <v>664636.02</v>
      </c>
      <c r="L17" s="99"/>
      <c r="M17" s="99"/>
      <c r="O17" s="99"/>
    </row>
    <row r="18" spans="1:15" ht="12.75" x14ac:dyDescent="0.2">
      <c r="A18" s="94" t="s">
        <v>186</v>
      </c>
      <c r="B18" s="95">
        <v>1676263.99</v>
      </c>
      <c r="C18" s="95">
        <f t="shared" si="0"/>
        <v>0</v>
      </c>
      <c r="D18" s="95">
        <v>0</v>
      </c>
      <c r="E18" s="95">
        <f>+SALDOS!G46</f>
        <v>1676263.99</v>
      </c>
      <c r="F18" s="96">
        <v>711103.11</v>
      </c>
      <c r="G18" s="95">
        <v>0</v>
      </c>
      <c r="H18" s="97">
        <v>0.1</v>
      </c>
      <c r="I18" s="95">
        <f t="shared" si="1"/>
        <v>65273.460000000079</v>
      </c>
      <c r="J18" s="95">
        <f>-SALDOS!G51</f>
        <v>776376.57000000007</v>
      </c>
      <c r="K18" s="98">
        <f t="shared" si="2"/>
        <v>899887.41999999993</v>
      </c>
      <c r="L18" s="99"/>
      <c r="M18" s="99"/>
      <c r="O18" s="99"/>
    </row>
    <row r="19" spans="1:15" ht="12.75" x14ac:dyDescent="0.2">
      <c r="A19" s="94" t="s">
        <v>187</v>
      </c>
      <c r="B19" s="95">
        <v>5362126.4400000004</v>
      </c>
      <c r="C19" s="95">
        <f t="shared" si="0"/>
        <v>3100884.4799999995</v>
      </c>
      <c r="D19" s="95">
        <v>0</v>
      </c>
      <c r="E19" s="95">
        <f>+SALDOS!G47</f>
        <v>8463010.9199999999</v>
      </c>
      <c r="F19" s="96">
        <v>3956712.12</v>
      </c>
      <c r="G19" s="95">
        <v>0</v>
      </c>
      <c r="H19" s="97">
        <v>0.2</v>
      </c>
      <c r="I19" s="95">
        <f t="shared" si="1"/>
        <v>479521.9299999997</v>
      </c>
      <c r="J19" s="95">
        <f>-SALDOS!G53</f>
        <v>4436234.05</v>
      </c>
      <c r="K19" s="98">
        <f t="shared" si="2"/>
        <v>4026776.87</v>
      </c>
      <c r="L19" s="99"/>
      <c r="M19" s="99"/>
      <c r="O19" s="99"/>
    </row>
    <row r="20" spans="1:15" ht="12.75" x14ac:dyDescent="0.2">
      <c r="A20" s="94" t="s">
        <v>188</v>
      </c>
      <c r="B20" s="95">
        <v>5117083.33</v>
      </c>
      <c r="C20" s="95">
        <f t="shared" si="0"/>
        <v>0</v>
      </c>
      <c r="D20" s="95">
        <v>0</v>
      </c>
      <c r="E20" s="95">
        <f>+SALDOS!G48</f>
        <v>5117083.33</v>
      </c>
      <c r="F20" s="96">
        <v>5117083.33</v>
      </c>
      <c r="G20" s="95">
        <v>0</v>
      </c>
      <c r="H20" s="97">
        <v>0.2</v>
      </c>
      <c r="I20" s="95">
        <f t="shared" si="1"/>
        <v>0</v>
      </c>
      <c r="J20" s="95">
        <f>-SALDOS!G54</f>
        <v>5117083.33</v>
      </c>
      <c r="K20" s="98">
        <f t="shared" si="2"/>
        <v>0</v>
      </c>
      <c r="L20" s="99"/>
      <c r="M20" s="99"/>
      <c r="O20" s="99"/>
    </row>
    <row r="21" spans="1:15" ht="12.75" x14ac:dyDescent="0.2">
      <c r="A21" s="94" t="s">
        <v>189</v>
      </c>
      <c r="B21" s="96">
        <v>20790195.080000002</v>
      </c>
      <c r="C21" s="95">
        <f t="shared" si="0"/>
        <v>0</v>
      </c>
      <c r="D21" s="100">
        <v>0</v>
      </c>
      <c r="E21" s="95">
        <f>+SALDOS!G52</f>
        <v>20790195.080000002</v>
      </c>
      <c r="F21" s="96">
        <v>18441673.780000001</v>
      </c>
      <c r="G21" s="100">
        <v>0</v>
      </c>
      <c r="H21" s="97">
        <f>20/100</f>
        <v>0.2</v>
      </c>
      <c r="I21" s="95">
        <f t="shared" si="1"/>
        <v>1164375.5399999991</v>
      </c>
      <c r="J21" s="95">
        <f>-SALDOS!G55</f>
        <v>19606049.32</v>
      </c>
      <c r="K21" s="98">
        <f t="shared" si="2"/>
        <v>1184145.7600000016</v>
      </c>
      <c r="L21" s="99"/>
      <c r="M21" s="99"/>
      <c r="O21" s="99"/>
    </row>
    <row r="22" spans="1:15" ht="12.75" x14ac:dyDescent="0.2">
      <c r="A22" s="94" t="s">
        <v>190</v>
      </c>
      <c r="B22" s="95">
        <v>1598074.09</v>
      </c>
      <c r="C22" s="95">
        <f t="shared" si="0"/>
        <v>0</v>
      </c>
      <c r="D22" s="95">
        <v>0</v>
      </c>
      <c r="E22" s="95">
        <f>+SALDOS!G58</f>
        <v>1598074.09</v>
      </c>
      <c r="F22" s="96">
        <v>539130.52</v>
      </c>
      <c r="G22" s="95">
        <v>0</v>
      </c>
      <c r="H22" s="97">
        <v>0.1</v>
      </c>
      <c r="I22" s="95">
        <f t="shared" si="1"/>
        <v>78622.13</v>
      </c>
      <c r="J22" s="95">
        <f>-SALDOS!G59</f>
        <v>617752.65</v>
      </c>
      <c r="K22" s="98">
        <f t="shared" si="2"/>
        <v>980321.44000000006</v>
      </c>
      <c r="L22" s="99"/>
      <c r="M22" s="99"/>
      <c r="O22" s="99"/>
    </row>
    <row r="23" spans="1:15" ht="12.75" x14ac:dyDescent="0.2">
      <c r="A23" s="89" t="s">
        <v>2</v>
      </c>
      <c r="B23" s="101"/>
      <c r="C23" s="101"/>
      <c r="D23" s="101"/>
      <c r="E23" s="101"/>
      <c r="F23" s="101"/>
      <c r="G23" s="101"/>
      <c r="H23" s="101"/>
      <c r="I23" s="101"/>
      <c r="J23" s="101"/>
      <c r="K23" s="102"/>
    </row>
    <row r="24" spans="1:15" ht="12.75" x14ac:dyDescent="0.2">
      <c r="A24" s="89" t="s">
        <v>191</v>
      </c>
      <c r="B24" s="101">
        <f t="shared" ref="B24:G24" si="3">SUM(B15:B23)</f>
        <v>53828156.190000013</v>
      </c>
      <c r="C24" s="101">
        <f t="shared" si="3"/>
        <v>16301711.600000001</v>
      </c>
      <c r="D24" s="101">
        <f t="shared" si="3"/>
        <v>0</v>
      </c>
      <c r="E24" s="101">
        <f t="shared" si="3"/>
        <v>70129867.790000007</v>
      </c>
      <c r="F24" s="101">
        <f t="shared" si="3"/>
        <v>41879025.420000002</v>
      </c>
      <c r="G24" s="101">
        <f t="shared" si="3"/>
        <v>0</v>
      </c>
      <c r="H24" s="101"/>
      <c r="I24" s="101">
        <f>SUM(I15:I23)</f>
        <v>3502753.5799999987</v>
      </c>
      <c r="J24" s="101">
        <f>SUM(J15:J23)</f>
        <v>45381779</v>
      </c>
      <c r="K24" s="102">
        <f>SUM(K15:K23)</f>
        <v>24748088.790000003</v>
      </c>
    </row>
    <row r="25" spans="1:15" ht="12.75" x14ac:dyDescent="0.2">
      <c r="C25" s="99"/>
      <c r="D25" s="99"/>
      <c r="G25" s="99"/>
      <c r="K25" s="99"/>
    </row>
    <row r="26" spans="1:15" ht="12.75" x14ac:dyDescent="0.2">
      <c r="A26" s="75" t="s">
        <v>25</v>
      </c>
      <c r="E26" s="99"/>
      <c r="F26" s="99"/>
      <c r="G26" s="99"/>
      <c r="H26" s="99"/>
      <c r="I26" s="66"/>
      <c r="J26" s="103"/>
      <c r="K26" s="99"/>
    </row>
    <row r="27" spans="1:15" ht="12.75" x14ac:dyDescent="0.2">
      <c r="A27" s="75" t="s">
        <v>26</v>
      </c>
      <c r="D27" s="99"/>
      <c r="E27" s="99"/>
      <c r="F27" s="99"/>
      <c r="G27" s="99"/>
      <c r="I27" s="99"/>
      <c r="J27" s="99"/>
      <c r="K27" s="99"/>
    </row>
    <row r="28" spans="1:15" ht="12.75" x14ac:dyDescent="0.2">
      <c r="C28" s="99"/>
      <c r="D28" s="99"/>
      <c r="E28" s="99"/>
      <c r="G28" s="99"/>
      <c r="H28" s="99"/>
      <c r="I28" s="104"/>
      <c r="J28" s="99"/>
      <c r="K28" s="99"/>
    </row>
    <row r="29" spans="1:15" ht="12.75" x14ac:dyDescent="0.2">
      <c r="C29" s="99"/>
      <c r="D29" s="99"/>
      <c r="E29" s="99"/>
      <c r="G29" s="99"/>
      <c r="H29" s="105"/>
      <c r="I29" s="104"/>
      <c r="J29" s="99"/>
    </row>
    <row r="30" spans="1:15" ht="12.75" x14ac:dyDescent="0.2">
      <c r="E30" s="99"/>
      <c r="G30" s="99"/>
      <c r="J30" s="99"/>
    </row>
    <row r="31" spans="1:15" ht="12.75" x14ac:dyDescent="0.2">
      <c r="C31" s="99"/>
      <c r="J31" s="99"/>
    </row>
    <row r="33" spans="2:10" ht="12.75" x14ac:dyDescent="0.2">
      <c r="B33" s="76" t="str">
        <f>+Balance!D32</f>
        <v>Miguel Ángel Alonso</v>
      </c>
      <c r="F33" s="75" t="str">
        <f>+Balance!F32</f>
        <v>Pedro Nicholson</v>
      </c>
      <c r="J33" s="76" t="str">
        <f>+Balance!K32</f>
        <v>Alejandro Poletto</v>
      </c>
    </row>
    <row r="34" spans="2:10" ht="12.75" x14ac:dyDescent="0.2">
      <c r="B34" s="76" t="str">
        <f>+Balance!D33</f>
        <v>Contador Público (U.C.A.)</v>
      </c>
      <c r="F34" s="76" t="str">
        <f>+Balance!F33</f>
        <v>Síndico</v>
      </c>
      <c r="J34" s="76" t="str">
        <f>+Balance!K33</f>
        <v>Southern Copper Arg. S.R.L.</v>
      </c>
    </row>
    <row r="35" spans="2:10" ht="12.75" x14ac:dyDescent="0.2">
      <c r="B35" s="76" t="str">
        <f>+Balance!D34</f>
        <v>C.P.C.E.C.A.B.A. Tº176  Fº03</v>
      </c>
      <c r="F35" s="1"/>
      <c r="J35" s="76" t="str">
        <f>+Balance!K34</f>
        <v xml:space="preserve"> Gerente</v>
      </c>
    </row>
  </sheetData>
  <mergeCells count="3">
    <mergeCell ref="A4:K4"/>
    <mergeCell ref="A5:K5"/>
    <mergeCell ref="H9:I9"/>
  </mergeCells>
  <printOptions horizontalCentered="1"/>
  <pageMargins left="0.51181102362204722" right="0.19685039370078741" top="1.2204724409448819" bottom="0.98425196850393704" header="0.59055118110236227" footer="0"/>
  <pageSetup paperSize="9" orientation="landscape" useFirstPageNumber="1" horizontalDpi="4294967295" verticalDpi="4294967295"/>
  <headerFooter>
    <oddHeader>&amp;LSouthern Copper Argentina SRL.
Tucuman 1
Ciudad Autónoma de Buenos Aires
Nºde Insc.en I.G.J.:11764 del Libro 135 de SRL.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J113"/>
  <sheetViews>
    <sheetView zoomScaleNormal="100" workbookViewId="0"/>
  </sheetViews>
  <sheetFormatPr baseColWidth="10" defaultColWidth="11.42578125" defaultRowHeight="10.15" customHeight="1" x14ac:dyDescent="0.2"/>
  <cols>
    <col min="1" max="1" width="2.85546875" style="1" customWidth="1"/>
    <col min="2" max="3" width="11.42578125" style="1" customWidth="1"/>
    <col min="4" max="4" width="12" style="1" customWidth="1"/>
    <col min="5" max="5" width="17.5703125" style="1" customWidth="1"/>
    <col min="6" max="6" width="19.85546875" style="1" customWidth="1"/>
    <col min="7" max="8" width="20" style="1" customWidth="1"/>
    <col min="9" max="9" width="15.140625" style="1" customWidth="1"/>
    <col min="10" max="10" width="9" style="1" hidden="1" customWidth="1"/>
    <col min="11" max="11" width="11.42578125" style="1" customWidth="1"/>
    <col min="12" max="16384" width="11.42578125" style="1"/>
  </cols>
  <sheetData>
    <row r="1" spans="1:10" ht="11.25" x14ac:dyDescent="0.2">
      <c r="B1" s="1" t="s">
        <v>2</v>
      </c>
      <c r="J1" s="1" t="s">
        <v>192</v>
      </c>
    </row>
    <row r="2" spans="1:10" ht="11.25" x14ac:dyDescent="0.2">
      <c r="A2" s="1" t="s">
        <v>2</v>
      </c>
      <c r="B2" s="1" t="s">
        <v>2</v>
      </c>
    </row>
    <row r="3" spans="1:10" ht="11.25" x14ac:dyDescent="0.2">
      <c r="A3" s="10" t="s">
        <v>193</v>
      </c>
      <c r="I3" s="1" t="s">
        <v>194</v>
      </c>
    </row>
    <row r="4" spans="1:10" ht="11.25" x14ac:dyDescent="0.2">
      <c r="A4" s="1" t="str">
        <f>+Balance!A2</f>
        <v>Al 30 de junio 2026  - Cifras expresadas en pesos</v>
      </c>
    </row>
    <row r="5" spans="1:10" ht="10.9" customHeight="1" x14ac:dyDescent="0.2">
      <c r="B5" s="1" t="s">
        <v>2</v>
      </c>
    </row>
    <row r="6" spans="1:10" ht="10.9" customHeight="1" x14ac:dyDescent="0.2">
      <c r="A6" s="3" t="s">
        <v>2</v>
      </c>
      <c r="B6" s="4"/>
      <c r="C6" s="4"/>
      <c r="D6" s="4"/>
      <c r="E6" s="48" t="s">
        <v>195</v>
      </c>
      <c r="F6" s="48" t="s">
        <v>196</v>
      </c>
      <c r="G6" s="48" t="s">
        <v>197</v>
      </c>
      <c r="H6" s="48" t="s">
        <v>197</v>
      </c>
      <c r="I6" s="106" t="s">
        <v>196</v>
      </c>
      <c r="J6" s="107" t="s">
        <v>195</v>
      </c>
    </row>
    <row r="7" spans="1:10" ht="11.25" x14ac:dyDescent="0.2">
      <c r="A7" s="7" t="s">
        <v>2</v>
      </c>
      <c r="B7" s="1" t="s">
        <v>198</v>
      </c>
      <c r="E7" s="55" t="s">
        <v>199</v>
      </c>
      <c r="F7" s="55" t="s">
        <v>200</v>
      </c>
      <c r="G7" s="55" t="s">
        <v>200</v>
      </c>
      <c r="H7" s="55" t="s">
        <v>200</v>
      </c>
      <c r="I7" s="108"/>
      <c r="J7" s="109" t="s">
        <v>199</v>
      </c>
    </row>
    <row r="8" spans="1:10" ht="11.25" x14ac:dyDescent="0.2">
      <c r="A8" s="110"/>
      <c r="B8" s="111"/>
      <c r="C8" s="111"/>
      <c r="D8" s="111"/>
      <c r="E8" s="112" t="str">
        <f>+Balance!F5</f>
        <v>30.06.2026</v>
      </c>
      <c r="F8" s="11" t="s">
        <v>201</v>
      </c>
      <c r="G8" s="11" t="s">
        <v>202</v>
      </c>
      <c r="H8" s="11" t="s">
        <v>203</v>
      </c>
      <c r="I8" s="12" t="s">
        <v>204</v>
      </c>
      <c r="J8" s="113" t="s">
        <v>205</v>
      </c>
    </row>
    <row r="9" spans="1:10" ht="11.25" x14ac:dyDescent="0.2">
      <c r="A9" s="7"/>
      <c r="E9" s="8"/>
      <c r="F9" s="55"/>
      <c r="G9" s="56"/>
      <c r="H9" s="37"/>
      <c r="I9" s="108"/>
      <c r="J9" s="114"/>
    </row>
    <row r="10" spans="1:10" ht="11.25" x14ac:dyDescent="0.2">
      <c r="A10" s="7" t="s">
        <v>206</v>
      </c>
      <c r="B10" s="69" t="s">
        <v>207</v>
      </c>
      <c r="E10" s="115">
        <f t="shared" ref="E10:E41" si="0">SUM(F10:I10)</f>
        <v>51970355.109999999</v>
      </c>
      <c r="F10" s="115"/>
      <c r="G10" s="16"/>
      <c r="H10" s="19">
        <f>+SALDOS!G322</f>
        <v>51970355.109999999</v>
      </c>
      <c r="I10" s="116"/>
      <c r="J10" s="114"/>
    </row>
    <row r="11" spans="1:10" ht="11.25" x14ac:dyDescent="0.2">
      <c r="A11" s="7" t="s">
        <v>206</v>
      </c>
      <c r="B11" s="69" t="s">
        <v>208</v>
      </c>
      <c r="E11" s="115">
        <f t="shared" si="0"/>
        <v>262653256.83999997</v>
      </c>
      <c r="F11" s="115">
        <f>+SALDOS!G368</f>
        <v>262653256.83999997</v>
      </c>
      <c r="G11" s="16"/>
      <c r="H11" s="19"/>
      <c r="I11" s="116"/>
      <c r="J11" s="114"/>
    </row>
    <row r="12" spans="1:10" ht="11.25" x14ac:dyDescent="0.2">
      <c r="A12" s="7" t="s">
        <v>206</v>
      </c>
      <c r="B12" s="69" t="s">
        <v>209</v>
      </c>
      <c r="E12" s="115">
        <f t="shared" si="0"/>
        <v>58572858.170000002</v>
      </c>
      <c r="F12" s="115"/>
      <c r="G12" s="16"/>
      <c r="H12" s="19">
        <f>+SALDOS!G374</f>
        <v>58572858.170000002</v>
      </c>
      <c r="I12" s="116"/>
      <c r="J12" s="114"/>
    </row>
    <row r="13" spans="1:10" ht="11.25" x14ac:dyDescent="0.2">
      <c r="A13" s="7" t="s">
        <v>206</v>
      </c>
      <c r="B13" s="69" t="s">
        <v>210</v>
      </c>
      <c r="E13" s="115">
        <f t="shared" si="0"/>
        <v>0</v>
      </c>
      <c r="F13" s="115"/>
      <c r="G13" s="16"/>
      <c r="H13" s="19">
        <f>+SALDOS!G257</f>
        <v>0</v>
      </c>
      <c r="I13" s="116"/>
      <c r="J13" s="114"/>
    </row>
    <row r="14" spans="1:10" ht="11.25" x14ac:dyDescent="0.2">
      <c r="A14" s="7" t="s">
        <v>206</v>
      </c>
      <c r="B14" s="69" t="s">
        <v>211</v>
      </c>
      <c r="E14" s="115">
        <f t="shared" si="0"/>
        <v>189946.28</v>
      </c>
      <c r="F14" s="115"/>
      <c r="G14" s="16"/>
      <c r="H14" s="19">
        <f>+SALDOS!G302</f>
        <v>189946.28</v>
      </c>
      <c r="I14" s="116"/>
      <c r="J14" s="114"/>
    </row>
    <row r="15" spans="1:10" ht="11.25" x14ac:dyDescent="0.2">
      <c r="A15" s="7" t="s">
        <v>206</v>
      </c>
      <c r="B15" s="69" t="s">
        <v>212</v>
      </c>
      <c r="E15" s="115">
        <f t="shared" si="0"/>
        <v>0</v>
      </c>
      <c r="F15" s="115"/>
      <c r="G15" s="16"/>
      <c r="H15" s="19">
        <f>+SALDOS!G402</f>
        <v>0</v>
      </c>
      <c r="I15" s="116"/>
      <c r="J15" s="114"/>
    </row>
    <row r="16" spans="1:10" ht="11.25" x14ac:dyDescent="0.2">
      <c r="A16" s="7" t="s">
        <v>206</v>
      </c>
      <c r="B16" s="69" t="s">
        <v>213</v>
      </c>
      <c r="E16" s="115">
        <f t="shared" si="0"/>
        <v>30000</v>
      </c>
      <c r="F16" s="115"/>
      <c r="G16" s="16"/>
      <c r="H16" s="19">
        <f>+SALDOS!G187</f>
        <v>30000</v>
      </c>
      <c r="I16" s="116"/>
      <c r="J16" s="114"/>
    </row>
    <row r="17" spans="1:10" ht="11.25" x14ac:dyDescent="0.2">
      <c r="A17" s="7" t="s">
        <v>206</v>
      </c>
      <c r="B17" s="69" t="s">
        <v>214</v>
      </c>
      <c r="E17" s="115">
        <f t="shared" si="0"/>
        <v>0</v>
      </c>
      <c r="F17" s="115"/>
      <c r="G17" s="16"/>
      <c r="H17" s="19">
        <f>+SALDOS!G314</f>
        <v>0</v>
      </c>
      <c r="I17" s="116"/>
      <c r="J17" s="114"/>
    </row>
    <row r="18" spans="1:10" ht="11.25" x14ac:dyDescent="0.2">
      <c r="A18" s="7" t="s">
        <v>206</v>
      </c>
      <c r="B18" s="69" t="s">
        <v>215</v>
      </c>
      <c r="E18" s="115">
        <f t="shared" si="0"/>
        <v>0</v>
      </c>
      <c r="F18" s="115"/>
      <c r="G18" s="16"/>
      <c r="H18" s="19">
        <f>+SALDOS!G358+SALDOS!G397</f>
        <v>0</v>
      </c>
      <c r="I18" s="116"/>
      <c r="J18" s="114"/>
    </row>
    <row r="19" spans="1:10" ht="11.25" x14ac:dyDescent="0.2">
      <c r="A19" s="7" t="s">
        <v>206</v>
      </c>
      <c r="B19" s="69" t="s">
        <v>216</v>
      </c>
      <c r="E19" s="115">
        <f t="shared" si="0"/>
        <v>0</v>
      </c>
      <c r="F19" s="115"/>
      <c r="G19" s="16"/>
      <c r="H19" s="19">
        <f>+SALDOS!G361</f>
        <v>0</v>
      </c>
      <c r="I19" s="116"/>
      <c r="J19" s="114"/>
    </row>
    <row r="20" spans="1:10" ht="11.25" x14ac:dyDescent="0.2">
      <c r="A20" s="7" t="s">
        <v>206</v>
      </c>
      <c r="B20" s="69" t="s">
        <v>165</v>
      </c>
      <c r="E20" s="115">
        <f t="shared" si="0"/>
        <v>3502753.5799999987</v>
      </c>
      <c r="F20" s="115">
        <f>+'Anexo I'!I24</f>
        <v>3502753.5799999987</v>
      </c>
      <c r="G20" s="16"/>
      <c r="H20" s="19"/>
      <c r="I20" s="116"/>
      <c r="J20" s="114"/>
    </row>
    <row r="21" spans="1:10" ht="11.25" x14ac:dyDescent="0.2">
      <c r="A21" s="7" t="s">
        <v>206</v>
      </c>
      <c r="B21" s="69" t="s">
        <v>217</v>
      </c>
      <c r="E21" s="115">
        <f t="shared" si="0"/>
        <v>65998057.350000001</v>
      </c>
      <c r="F21" s="115">
        <f>+SALDOS!G170</f>
        <v>14081454.359999999</v>
      </c>
      <c r="G21" s="16"/>
      <c r="H21" s="19">
        <f>+SALDOS!G424</f>
        <v>51916602.990000002</v>
      </c>
      <c r="I21" s="116"/>
      <c r="J21" s="114"/>
    </row>
    <row r="22" spans="1:10" ht="11.25" x14ac:dyDescent="0.2">
      <c r="A22" s="7" t="s">
        <v>206</v>
      </c>
      <c r="B22" s="69" t="s">
        <v>218</v>
      </c>
      <c r="E22" s="115">
        <f t="shared" si="0"/>
        <v>48607846.600000001</v>
      </c>
      <c r="F22" s="115"/>
      <c r="G22" s="16"/>
      <c r="H22" s="19">
        <f>+SALDOS!G306+SALDOS!G308+SALDOS!G309+SALDOS!G307</f>
        <v>48607846.600000001</v>
      </c>
      <c r="I22" s="116"/>
      <c r="J22" s="114"/>
    </row>
    <row r="23" spans="1:10" ht="11.25" x14ac:dyDescent="0.2">
      <c r="A23" s="7" t="s">
        <v>206</v>
      </c>
      <c r="B23" s="69" t="s">
        <v>219</v>
      </c>
      <c r="E23" s="115">
        <f t="shared" si="0"/>
        <v>0</v>
      </c>
      <c r="F23" s="115"/>
      <c r="G23" s="16"/>
      <c r="H23" s="19"/>
      <c r="I23" s="116"/>
      <c r="J23" s="114"/>
    </row>
    <row r="24" spans="1:10" ht="11.25" x14ac:dyDescent="0.2">
      <c r="A24" s="7" t="s">
        <v>206</v>
      </c>
      <c r="B24" s="69" t="s">
        <v>220</v>
      </c>
      <c r="E24" s="115">
        <f t="shared" si="0"/>
        <v>0</v>
      </c>
      <c r="F24" s="115">
        <f>+SALDOS!G202</f>
        <v>0</v>
      </c>
      <c r="G24" s="16"/>
      <c r="H24" s="19"/>
      <c r="I24" s="116"/>
      <c r="J24" s="114"/>
    </row>
    <row r="25" spans="1:10" ht="11.25" x14ac:dyDescent="0.2">
      <c r="A25" s="7" t="s">
        <v>206</v>
      </c>
      <c r="B25" s="69" t="s">
        <v>221</v>
      </c>
      <c r="E25" s="115">
        <f t="shared" si="0"/>
        <v>8616654.5700000003</v>
      </c>
      <c r="F25" s="115"/>
      <c r="G25" s="16"/>
      <c r="H25" s="19">
        <f>+SALDOS!G351</f>
        <v>8616654.5700000003</v>
      </c>
      <c r="I25" s="116"/>
      <c r="J25" s="114"/>
    </row>
    <row r="26" spans="1:10" ht="11.25" x14ac:dyDescent="0.2">
      <c r="A26" s="7" t="s">
        <v>206</v>
      </c>
      <c r="B26" s="69" t="s">
        <v>222</v>
      </c>
      <c r="E26" s="115">
        <f t="shared" si="0"/>
        <v>27411009.170000002</v>
      </c>
      <c r="F26" s="115"/>
      <c r="G26" s="16"/>
      <c r="H26" s="19">
        <f>+SALDOS!G330</f>
        <v>27411009.170000002</v>
      </c>
      <c r="I26" s="116"/>
      <c r="J26" s="114"/>
    </row>
    <row r="27" spans="1:10" ht="11.25" x14ac:dyDescent="0.2">
      <c r="A27" s="7" t="s">
        <v>206</v>
      </c>
      <c r="B27" s="69" t="s">
        <v>223</v>
      </c>
      <c r="E27" s="115">
        <f t="shared" si="0"/>
        <v>0</v>
      </c>
      <c r="F27" s="115"/>
      <c r="G27" s="16"/>
      <c r="H27" s="19"/>
      <c r="I27" s="116"/>
      <c r="J27" s="114"/>
    </row>
    <row r="28" spans="1:10" ht="11.25" x14ac:dyDescent="0.2">
      <c r="A28" s="7" t="s">
        <v>206</v>
      </c>
      <c r="B28" s="69" t="s">
        <v>224</v>
      </c>
      <c r="E28" s="115">
        <f t="shared" si="0"/>
        <v>7955308.8000000007</v>
      </c>
      <c r="F28" s="115">
        <f>+SALDOS!G342+SALDOS!G495+SALDOS!G496</f>
        <v>7955308.8000000007</v>
      </c>
      <c r="G28" s="16"/>
      <c r="H28" s="19"/>
      <c r="I28" s="116"/>
      <c r="J28" s="114"/>
    </row>
    <row r="29" spans="1:10" ht="11.25" x14ac:dyDescent="0.2">
      <c r="A29" s="7" t="s">
        <v>206</v>
      </c>
      <c r="B29" s="69" t="s">
        <v>225</v>
      </c>
      <c r="E29" s="115">
        <f t="shared" si="0"/>
        <v>0</v>
      </c>
      <c r="F29" s="115"/>
      <c r="G29" s="16"/>
      <c r="H29" s="19"/>
      <c r="I29" s="116"/>
      <c r="J29" s="114"/>
    </row>
    <row r="30" spans="1:10" ht="11.25" x14ac:dyDescent="0.2">
      <c r="A30" s="7" t="s">
        <v>206</v>
      </c>
      <c r="B30" s="69" t="s">
        <v>226</v>
      </c>
      <c r="E30" s="115">
        <f t="shared" si="0"/>
        <v>0</v>
      </c>
      <c r="F30" s="115"/>
      <c r="G30" s="16"/>
      <c r="H30" s="19">
        <f>+SALDOS!G311</f>
        <v>0</v>
      </c>
      <c r="I30" s="116"/>
      <c r="J30" s="114"/>
    </row>
    <row r="31" spans="1:10" ht="11.25" x14ac:dyDescent="0.2">
      <c r="A31" s="7" t="s">
        <v>206</v>
      </c>
      <c r="B31" s="69" t="s">
        <v>227</v>
      </c>
      <c r="E31" s="115">
        <f t="shared" si="0"/>
        <v>0</v>
      </c>
      <c r="F31" s="115">
        <f>+SALDOS!G239</f>
        <v>0</v>
      </c>
      <c r="G31" s="16"/>
      <c r="H31" s="19"/>
      <c r="I31" s="116"/>
      <c r="J31" s="114"/>
    </row>
    <row r="32" spans="1:10" ht="11.25" x14ac:dyDescent="0.2">
      <c r="A32" s="7" t="s">
        <v>206</v>
      </c>
      <c r="B32" s="69" t="s">
        <v>228</v>
      </c>
      <c r="E32" s="115">
        <f t="shared" si="0"/>
        <v>0</v>
      </c>
      <c r="F32" s="115"/>
      <c r="G32" s="16"/>
      <c r="H32" s="19">
        <f>+SALDOS!G439</f>
        <v>0</v>
      </c>
      <c r="I32" s="116"/>
      <c r="J32" s="114"/>
    </row>
    <row r="33" spans="1:10" ht="11.25" x14ac:dyDescent="0.2">
      <c r="A33" s="7" t="s">
        <v>206</v>
      </c>
      <c r="B33" s="69" t="s">
        <v>229</v>
      </c>
      <c r="E33" s="115">
        <f t="shared" si="0"/>
        <v>0</v>
      </c>
      <c r="F33" s="115">
        <f>+SALDOS!G471</f>
        <v>0</v>
      </c>
      <c r="G33" s="16"/>
      <c r="H33" s="19"/>
      <c r="I33" s="116"/>
      <c r="J33" s="114"/>
    </row>
    <row r="34" spans="1:10" ht="11.25" x14ac:dyDescent="0.2">
      <c r="A34" s="7" t="s">
        <v>206</v>
      </c>
      <c r="B34" s="69" t="s">
        <v>230</v>
      </c>
      <c r="E34" s="115">
        <f t="shared" si="0"/>
        <v>489482.99</v>
      </c>
      <c r="F34" s="117">
        <f>+SALDOS!G406</f>
        <v>489482.99</v>
      </c>
      <c r="G34" s="16"/>
      <c r="H34" s="19"/>
      <c r="I34" s="116"/>
      <c r="J34" s="114"/>
    </row>
    <row r="35" spans="1:10" ht="11.25" x14ac:dyDescent="0.2">
      <c r="A35" s="7" t="s">
        <v>206</v>
      </c>
      <c r="B35" s="1" t="s">
        <v>231</v>
      </c>
      <c r="E35" s="115">
        <f t="shared" si="0"/>
        <v>9664883.0700000003</v>
      </c>
      <c r="F35" s="116">
        <f>+SALDOS!G264</f>
        <v>9664883.0700000003</v>
      </c>
      <c r="G35" s="16"/>
      <c r="H35" s="16"/>
      <c r="I35" s="38"/>
      <c r="J35" s="114"/>
    </row>
    <row r="36" spans="1:10" ht="11.25" x14ac:dyDescent="0.2">
      <c r="A36" s="7" t="s">
        <v>206</v>
      </c>
      <c r="B36" s="1" t="s">
        <v>232</v>
      </c>
      <c r="E36" s="115">
        <f t="shared" si="0"/>
        <v>16223058.620000001</v>
      </c>
      <c r="F36" s="115">
        <f>+SALDOS!G188</f>
        <v>10335682.84</v>
      </c>
      <c r="G36" s="16"/>
      <c r="H36" s="19">
        <f>+SALDOS!G213+SALDOS!G393+SALDOS!G457</f>
        <v>5887375.7800000003</v>
      </c>
      <c r="I36" s="116"/>
      <c r="J36" s="114"/>
    </row>
    <row r="37" spans="1:10" ht="11.25" x14ac:dyDescent="0.2">
      <c r="A37" s="7" t="s">
        <v>206</v>
      </c>
      <c r="B37" s="69" t="s">
        <v>233</v>
      </c>
      <c r="E37" s="115">
        <f t="shared" si="0"/>
        <v>15451043.76</v>
      </c>
      <c r="F37" s="115">
        <f>+SALDOS!G462</f>
        <v>15451043.76</v>
      </c>
      <c r="G37" s="16"/>
      <c r="H37" s="19"/>
      <c r="I37" s="116"/>
      <c r="J37" s="114"/>
    </row>
    <row r="38" spans="1:10" ht="11.25" x14ac:dyDescent="0.2">
      <c r="A38" s="7" t="s">
        <v>206</v>
      </c>
      <c r="B38" s="69" t="s">
        <v>234</v>
      </c>
      <c r="E38" s="115">
        <f t="shared" si="0"/>
        <v>0</v>
      </c>
      <c r="F38" s="115"/>
      <c r="G38" s="16"/>
      <c r="H38" s="19">
        <f>+SALDOS!G399+SALDOS!G440</f>
        <v>0</v>
      </c>
      <c r="I38" s="116"/>
      <c r="J38" s="114"/>
    </row>
    <row r="39" spans="1:10" ht="11.25" x14ac:dyDescent="0.2">
      <c r="A39" s="7" t="s">
        <v>206</v>
      </c>
      <c r="B39" s="69" t="s">
        <v>235</v>
      </c>
      <c r="E39" s="115">
        <f t="shared" si="0"/>
        <v>8441197.290000001</v>
      </c>
      <c r="F39" s="115"/>
      <c r="G39" s="16"/>
      <c r="H39" s="19">
        <f>+SALDOS!G448</f>
        <v>8441197.290000001</v>
      </c>
      <c r="I39" s="116"/>
      <c r="J39" s="114"/>
    </row>
    <row r="40" spans="1:10" ht="11.25" x14ac:dyDescent="0.2">
      <c r="A40" s="7" t="s">
        <v>206</v>
      </c>
      <c r="B40" s="1" t="s">
        <v>236</v>
      </c>
      <c r="E40" s="115">
        <f t="shared" si="0"/>
        <v>5034121.24</v>
      </c>
      <c r="F40" s="115">
        <f>+SALDOS!G217</f>
        <v>5034121.24</v>
      </c>
      <c r="G40" s="16"/>
      <c r="H40" s="19"/>
      <c r="I40" s="116"/>
      <c r="J40" s="114"/>
    </row>
    <row r="41" spans="1:10" ht="11.25" x14ac:dyDescent="0.2">
      <c r="A41" s="7" t="s">
        <v>206</v>
      </c>
      <c r="B41" s="1" t="s">
        <v>237</v>
      </c>
      <c r="E41" s="115">
        <f t="shared" si="0"/>
        <v>0</v>
      </c>
      <c r="F41" s="115">
        <f>+SALDOS!G238</f>
        <v>0</v>
      </c>
      <c r="G41" s="16"/>
      <c r="H41" s="19"/>
      <c r="I41" s="116"/>
      <c r="J41" s="114"/>
    </row>
    <row r="42" spans="1:10" ht="11.25" x14ac:dyDescent="0.2">
      <c r="A42" s="7" t="s">
        <v>206</v>
      </c>
      <c r="B42" s="1" t="s">
        <v>238</v>
      </c>
      <c r="E42" s="115">
        <f t="shared" ref="E42:E73" si="1">SUM(F42:I42)</f>
        <v>0</v>
      </c>
      <c r="F42" s="115">
        <f>+SALDOS!G363</f>
        <v>0</v>
      </c>
      <c r="G42" s="16"/>
      <c r="H42" s="19"/>
      <c r="I42" s="116"/>
      <c r="J42" s="114"/>
    </row>
    <row r="43" spans="1:10" ht="11.25" x14ac:dyDescent="0.2">
      <c r="A43" s="7" t="s">
        <v>206</v>
      </c>
      <c r="B43" s="1" t="s">
        <v>239</v>
      </c>
      <c r="E43" s="115">
        <f t="shared" si="1"/>
        <v>18512.400000000001</v>
      </c>
      <c r="F43" s="115"/>
      <c r="G43" s="16"/>
      <c r="H43" s="19">
        <f>+SALDOS!G315</f>
        <v>18512.400000000001</v>
      </c>
      <c r="I43" s="116"/>
      <c r="J43" s="114"/>
    </row>
    <row r="44" spans="1:10" ht="11.25" x14ac:dyDescent="0.2">
      <c r="A44" s="7" t="s">
        <v>206</v>
      </c>
      <c r="B44" s="1" t="s">
        <v>240</v>
      </c>
      <c r="E44" s="115">
        <f t="shared" si="1"/>
        <v>0</v>
      </c>
      <c r="F44" s="115"/>
      <c r="G44" s="16"/>
      <c r="H44" s="19">
        <f>+SALDOS!G385</f>
        <v>0</v>
      </c>
      <c r="I44" s="116"/>
      <c r="J44" s="114"/>
    </row>
    <row r="45" spans="1:10" ht="11.25" x14ac:dyDescent="0.2">
      <c r="A45" s="7" t="s">
        <v>206</v>
      </c>
      <c r="B45" s="1" t="s">
        <v>241</v>
      </c>
      <c r="E45" s="115">
        <f t="shared" si="1"/>
        <v>3938960.9</v>
      </c>
      <c r="F45" s="115">
        <f>+SALDOS!G179</f>
        <v>3938960.9</v>
      </c>
      <c r="G45" s="16"/>
      <c r="H45" s="19"/>
      <c r="I45" s="116"/>
      <c r="J45" s="114"/>
    </row>
    <row r="46" spans="1:10" ht="11.25" x14ac:dyDescent="0.2">
      <c r="A46" s="7" t="s">
        <v>206</v>
      </c>
      <c r="B46" s="1" t="s">
        <v>242</v>
      </c>
      <c r="E46" s="115">
        <f t="shared" si="1"/>
        <v>0</v>
      </c>
      <c r="F46" s="115">
        <f>+SALDOS!G459</f>
        <v>0</v>
      </c>
      <c r="G46" s="16"/>
      <c r="H46" s="19"/>
      <c r="I46" s="116"/>
      <c r="J46" s="114"/>
    </row>
    <row r="47" spans="1:10" ht="11.25" x14ac:dyDescent="0.2">
      <c r="A47" s="7" t="s">
        <v>206</v>
      </c>
      <c r="B47" s="1" t="s">
        <v>243</v>
      </c>
      <c r="E47" s="115">
        <f t="shared" si="1"/>
        <v>0</v>
      </c>
      <c r="F47" s="115">
        <f>+SALDOS!G256</f>
        <v>0</v>
      </c>
      <c r="G47" s="16"/>
      <c r="H47" s="19"/>
      <c r="I47" s="116"/>
      <c r="J47" s="114"/>
    </row>
    <row r="48" spans="1:10" ht="11.25" x14ac:dyDescent="0.2">
      <c r="A48" s="7" t="s">
        <v>206</v>
      </c>
      <c r="B48" s="1" t="s">
        <v>244</v>
      </c>
      <c r="E48" s="115">
        <f t="shared" si="1"/>
        <v>236115665.5</v>
      </c>
      <c r="F48" s="115"/>
      <c r="G48" s="16"/>
      <c r="H48" s="19">
        <f>+SALDOS!G413</f>
        <v>236115665.5</v>
      </c>
      <c r="I48" s="116"/>
      <c r="J48" s="114"/>
    </row>
    <row r="49" spans="1:10" ht="11.25" x14ac:dyDescent="0.2">
      <c r="A49" s="7" t="s">
        <v>206</v>
      </c>
      <c r="B49" s="1" t="s">
        <v>245</v>
      </c>
      <c r="E49" s="115">
        <f t="shared" si="1"/>
        <v>0</v>
      </c>
      <c r="F49" s="115">
        <f>+SALDOS!G233</f>
        <v>0</v>
      </c>
      <c r="G49" s="16"/>
      <c r="H49" s="19"/>
      <c r="I49" s="116"/>
      <c r="J49" s="114"/>
    </row>
    <row r="50" spans="1:10" ht="11.25" x14ac:dyDescent="0.2">
      <c r="A50" s="7" t="s">
        <v>206</v>
      </c>
      <c r="B50" s="69" t="s">
        <v>246</v>
      </c>
      <c r="E50" s="115">
        <f t="shared" si="1"/>
        <v>14667167.220000001</v>
      </c>
      <c r="F50" s="115">
        <f>+SALDOS!G452</f>
        <v>14667167.220000001</v>
      </c>
      <c r="G50" s="16"/>
      <c r="H50" s="19"/>
      <c r="I50" s="116"/>
      <c r="J50" s="114"/>
    </row>
    <row r="51" spans="1:10" ht="11.25" x14ac:dyDescent="0.2">
      <c r="A51" s="7" t="s">
        <v>206</v>
      </c>
      <c r="B51" s="69" t="s">
        <v>247</v>
      </c>
      <c r="E51" s="115">
        <f t="shared" si="1"/>
        <v>0</v>
      </c>
      <c r="F51" s="115">
        <f>+SALDOS!G232</f>
        <v>0</v>
      </c>
      <c r="G51" s="16"/>
      <c r="H51" s="19"/>
      <c r="I51" s="116"/>
      <c r="J51" s="114"/>
    </row>
    <row r="52" spans="1:10" ht="11.25" x14ac:dyDescent="0.2">
      <c r="A52" s="7" t="s">
        <v>206</v>
      </c>
      <c r="B52" s="69" t="s">
        <v>248</v>
      </c>
      <c r="E52" s="115">
        <f t="shared" si="1"/>
        <v>9103800</v>
      </c>
      <c r="F52" s="115">
        <f>+SALDOS!G186+SALDOS!G230+SALDOS!G367+SALDOS!G386</f>
        <v>39000</v>
      </c>
      <c r="G52" s="16"/>
      <c r="H52" s="19">
        <f>+SALDOS!G390</f>
        <v>9064800</v>
      </c>
      <c r="I52" s="116"/>
      <c r="J52" s="114"/>
    </row>
    <row r="53" spans="1:10" ht="11.25" x14ac:dyDescent="0.2">
      <c r="A53" s="7" t="s">
        <v>206</v>
      </c>
      <c r="B53" s="69" t="s">
        <v>249</v>
      </c>
      <c r="E53" s="115">
        <f t="shared" si="1"/>
        <v>832331.19000000006</v>
      </c>
      <c r="F53" s="115"/>
      <c r="G53" s="16"/>
      <c r="H53" s="19">
        <f>+SALDOS!G294</f>
        <v>832331.19000000006</v>
      </c>
      <c r="I53" s="116"/>
      <c r="J53" s="114"/>
    </row>
    <row r="54" spans="1:10" ht="11.25" x14ac:dyDescent="0.2">
      <c r="A54" s="7" t="s">
        <v>206</v>
      </c>
      <c r="B54" s="69" t="s">
        <v>250</v>
      </c>
      <c r="E54" s="115">
        <f t="shared" si="1"/>
        <v>0</v>
      </c>
      <c r="F54" s="115"/>
      <c r="G54" s="16"/>
      <c r="H54" s="19">
        <f>+SALDOS!G310</f>
        <v>0</v>
      </c>
      <c r="I54" s="116"/>
      <c r="J54" s="114"/>
    </row>
    <row r="55" spans="1:10" ht="11.25" x14ac:dyDescent="0.2">
      <c r="A55" s="7" t="s">
        <v>206</v>
      </c>
      <c r="B55" s="1" t="s">
        <v>251</v>
      </c>
      <c r="E55" s="115">
        <f t="shared" si="1"/>
        <v>170441769.38999999</v>
      </c>
      <c r="F55" s="115">
        <f>+SALDOS!G159</f>
        <v>170441769.38999999</v>
      </c>
      <c r="G55" s="16"/>
      <c r="H55" s="19"/>
      <c r="I55" s="116"/>
      <c r="J55" s="114"/>
    </row>
    <row r="56" spans="1:10" ht="11.25" x14ac:dyDescent="0.2">
      <c r="A56" s="7" t="s">
        <v>206</v>
      </c>
      <c r="B56" s="1" t="s">
        <v>252</v>
      </c>
      <c r="E56" s="115">
        <f t="shared" si="1"/>
        <v>0</v>
      </c>
      <c r="F56" s="117">
        <f>+SALDOS!G154</f>
        <v>0</v>
      </c>
      <c r="G56" s="61"/>
      <c r="H56" s="16"/>
      <c r="I56" s="116"/>
      <c r="J56" s="114"/>
    </row>
    <row r="57" spans="1:10" ht="11.25" x14ac:dyDescent="0.2">
      <c r="A57" s="7" t="s">
        <v>206</v>
      </c>
      <c r="B57" s="1" t="s">
        <v>253</v>
      </c>
      <c r="E57" s="115">
        <f t="shared" si="1"/>
        <v>22769032.280000001</v>
      </c>
      <c r="F57" s="115">
        <f>+SALDOS!G269</f>
        <v>22769032.280000001</v>
      </c>
      <c r="G57" s="19"/>
      <c r="H57" s="16"/>
      <c r="I57" s="38"/>
      <c r="J57" s="114"/>
    </row>
    <row r="58" spans="1:10" ht="11.25" x14ac:dyDescent="0.2">
      <c r="A58" s="7" t="s">
        <v>206</v>
      </c>
      <c r="B58" s="1" t="s">
        <v>254</v>
      </c>
      <c r="E58" s="115">
        <f t="shared" si="1"/>
        <v>0</v>
      </c>
      <c r="F58" s="115">
        <f>+SALDOS!G272+SALDOS!G282</f>
        <v>0</v>
      </c>
      <c r="G58" s="19"/>
      <c r="H58" s="16"/>
      <c r="I58" s="38"/>
      <c r="J58" s="114"/>
    </row>
    <row r="59" spans="1:10" ht="11.25" x14ac:dyDescent="0.2">
      <c r="A59" s="7" t="s">
        <v>206</v>
      </c>
      <c r="B59" s="1" t="s">
        <v>255</v>
      </c>
      <c r="E59" s="115">
        <f t="shared" si="1"/>
        <v>11619112.85</v>
      </c>
      <c r="F59" s="115">
        <f>+SALDOS!G168+SALDOS!G283+SALDOS!G284+SALDOS!G493+SALDOS!F498</f>
        <v>11619112.85</v>
      </c>
      <c r="G59" s="17"/>
      <c r="H59" s="16"/>
      <c r="I59" s="38"/>
      <c r="J59" s="114"/>
    </row>
    <row r="60" spans="1:10" ht="11.25" x14ac:dyDescent="0.2">
      <c r="A60" s="7" t="s">
        <v>206</v>
      </c>
      <c r="B60" s="69" t="s">
        <v>256</v>
      </c>
      <c r="E60" s="115">
        <f t="shared" si="1"/>
        <v>768315.33</v>
      </c>
      <c r="F60" s="115">
        <f>+SALDOS!G425</f>
        <v>768315.33</v>
      </c>
      <c r="G60" s="16"/>
      <c r="H60" s="19"/>
      <c r="I60" s="116"/>
      <c r="J60" s="114"/>
    </row>
    <row r="61" spans="1:10" ht="11.25" x14ac:dyDescent="0.2">
      <c r="A61" s="7" t="s">
        <v>206</v>
      </c>
      <c r="B61" s="69" t="s">
        <v>257</v>
      </c>
      <c r="E61" s="115">
        <f t="shared" si="1"/>
        <v>0</v>
      </c>
      <c r="F61" s="115"/>
      <c r="G61" s="16"/>
      <c r="H61" s="19">
        <f>+SALDOS!G293</f>
        <v>0</v>
      </c>
      <c r="I61" s="116"/>
      <c r="J61" s="114"/>
    </row>
    <row r="62" spans="1:10" ht="11.25" x14ac:dyDescent="0.2">
      <c r="A62" s="7" t="s">
        <v>206</v>
      </c>
      <c r="B62" s="69" t="s">
        <v>258</v>
      </c>
      <c r="E62" s="115">
        <f t="shared" si="1"/>
        <v>149263.10999999999</v>
      </c>
      <c r="F62" s="115">
        <f>+SALDOS!G246</f>
        <v>149263.10999999999</v>
      </c>
      <c r="G62" s="16"/>
      <c r="H62" s="19"/>
      <c r="I62" s="116"/>
      <c r="J62" s="114"/>
    </row>
    <row r="63" spans="1:10" ht="11.25" x14ac:dyDescent="0.2">
      <c r="A63" s="7" t="s">
        <v>206</v>
      </c>
      <c r="B63" s="69" t="s">
        <v>259</v>
      </c>
      <c r="E63" s="115">
        <f t="shared" si="1"/>
        <v>88381242.299999997</v>
      </c>
      <c r="F63" s="115">
        <f>+SALDOS!G171+SALDOS!G338+SALDOS!G389+SALDOS!G339</f>
        <v>1068794.4099999999</v>
      </c>
      <c r="G63" s="16"/>
      <c r="H63" s="19">
        <f>+SALDOS!G318</f>
        <v>87312447.890000001</v>
      </c>
      <c r="I63" s="116"/>
      <c r="J63" s="114"/>
    </row>
    <row r="64" spans="1:10" ht="11.25" x14ac:dyDescent="0.2">
      <c r="A64" s="7" t="s">
        <v>206</v>
      </c>
      <c r="B64" s="69" t="s">
        <v>260</v>
      </c>
      <c r="E64" s="115">
        <f t="shared" si="1"/>
        <v>101825.60000000001</v>
      </c>
      <c r="F64" s="115"/>
      <c r="G64" s="16"/>
      <c r="H64" s="19">
        <f>+SALDOS!G243</f>
        <v>101825.60000000001</v>
      </c>
      <c r="I64" s="116"/>
      <c r="J64" s="114"/>
    </row>
    <row r="65" spans="1:10" ht="11.25" x14ac:dyDescent="0.2">
      <c r="A65" s="7" t="s">
        <v>206</v>
      </c>
      <c r="B65" s="69" t="s">
        <v>261</v>
      </c>
      <c r="E65" s="115">
        <f t="shared" si="1"/>
        <v>0</v>
      </c>
      <c r="F65" s="115">
        <f>+SALDOS!G477</f>
        <v>0</v>
      </c>
      <c r="G65" s="16"/>
      <c r="H65" s="19"/>
      <c r="I65" s="116"/>
      <c r="J65" s="114"/>
    </row>
    <row r="66" spans="1:10" ht="11.25" x14ac:dyDescent="0.2">
      <c r="A66" s="7" t="s">
        <v>206</v>
      </c>
      <c r="B66" s="69" t="s">
        <v>262</v>
      </c>
      <c r="E66" s="115">
        <f t="shared" si="1"/>
        <v>0</v>
      </c>
      <c r="F66" s="115"/>
      <c r="G66" s="16"/>
      <c r="H66" s="19"/>
      <c r="I66" s="116"/>
      <c r="J66" s="114"/>
    </row>
    <row r="67" spans="1:10" ht="11.25" x14ac:dyDescent="0.2">
      <c r="A67" s="7" t="s">
        <v>206</v>
      </c>
      <c r="B67" s="69" t="s">
        <v>263</v>
      </c>
      <c r="E67" s="115">
        <f t="shared" si="1"/>
        <v>2052084.4000000001</v>
      </c>
      <c r="F67" s="115">
        <f>+SALDOS!G226</f>
        <v>2052084.4000000001</v>
      </c>
      <c r="G67" s="16"/>
      <c r="H67" s="19"/>
      <c r="I67" s="116"/>
      <c r="J67" s="114"/>
    </row>
    <row r="68" spans="1:10" ht="11.25" x14ac:dyDescent="0.2">
      <c r="A68" s="7" t="s">
        <v>206</v>
      </c>
      <c r="B68" s="69" t="s">
        <v>264</v>
      </c>
      <c r="E68" s="115">
        <f t="shared" si="1"/>
        <v>0</v>
      </c>
      <c r="F68" s="115"/>
      <c r="G68" s="16"/>
      <c r="H68" s="19"/>
      <c r="I68" s="116"/>
      <c r="J68" s="114"/>
    </row>
    <row r="69" spans="1:10" ht="11.25" x14ac:dyDescent="0.2">
      <c r="A69" s="7" t="s">
        <v>206</v>
      </c>
      <c r="B69" s="69" t="s">
        <v>265</v>
      </c>
      <c r="E69" s="115">
        <f t="shared" si="1"/>
        <v>0</v>
      </c>
      <c r="F69" s="115"/>
      <c r="G69" s="16"/>
      <c r="H69" s="19">
        <f>+SALDOS!G387</f>
        <v>0</v>
      </c>
      <c r="I69" s="116"/>
      <c r="J69" s="114"/>
    </row>
    <row r="70" spans="1:10" ht="11.25" x14ac:dyDescent="0.2">
      <c r="A70" s="7" t="s">
        <v>206</v>
      </c>
      <c r="B70" s="69" t="s">
        <v>266</v>
      </c>
      <c r="E70" s="115">
        <f t="shared" si="1"/>
        <v>0</v>
      </c>
      <c r="F70" s="115"/>
      <c r="G70" s="16"/>
      <c r="H70" s="19"/>
      <c r="I70" s="116"/>
      <c r="J70" s="114"/>
    </row>
    <row r="71" spans="1:10" ht="11.25" x14ac:dyDescent="0.2">
      <c r="A71" s="7" t="s">
        <v>206</v>
      </c>
      <c r="B71" s="69" t="s">
        <v>267</v>
      </c>
      <c r="E71" s="115">
        <f t="shared" si="1"/>
        <v>0</v>
      </c>
      <c r="F71" s="115">
        <f>+SALDOS!G234</f>
        <v>0</v>
      </c>
      <c r="G71" s="16"/>
      <c r="H71" s="19"/>
      <c r="I71" s="116"/>
      <c r="J71" s="114"/>
    </row>
    <row r="72" spans="1:10" ht="11.25" x14ac:dyDescent="0.2">
      <c r="A72" s="7" t="s">
        <v>206</v>
      </c>
      <c r="B72" s="69" t="s">
        <v>268</v>
      </c>
      <c r="E72" s="115">
        <f t="shared" si="1"/>
        <v>0</v>
      </c>
      <c r="F72" s="115">
        <f>+SALDOS!G487</f>
        <v>0</v>
      </c>
      <c r="G72" s="16"/>
      <c r="H72" s="19"/>
      <c r="I72" s="116"/>
      <c r="J72" s="114"/>
    </row>
    <row r="73" spans="1:10" ht="11.25" x14ac:dyDescent="0.2">
      <c r="A73" s="7" t="s">
        <v>206</v>
      </c>
      <c r="B73" s="1" t="s">
        <v>269</v>
      </c>
      <c r="E73" s="115">
        <f t="shared" si="1"/>
        <v>700000</v>
      </c>
      <c r="F73" s="115">
        <f>+SALDOS!G208</f>
        <v>700000</v>
      </c>
      <c r="G73" s="16"/>
      <c r="H73" s="19"/>
      <c r="I73" s="116"/>
      <c r="J73" s="114"/>
    </row>
    <row r="74" spans="1:10" ht="11.25" x14ac:dyDescent="0.2">
      <c r="A74" s="7" t="s">
        <v>206</v>
      </c>
      <c r="B74" s="1" t="s">
        <v>270</v>
      </c>
      <c r="E74" s="115">
        <f t="shared" ref="E74:E105" si="2">SUM(F74:I74)</f>
        <v>4013596.99</v>
      </c>
      <c r="F74" s="19">
        <f>+SALDOS!G480</f>
        <v>4013596.99</v>
      </c>
      <c r="G74" s="16"/>
      <c r="H74" s="19"/>
      <c r="I74" s="116"/>
      <c r="J74" s="114"/>
    </row>
    <row r="75" spans="1:10" ht="11.25" x14ac:dyDescent="0.2">
      <c r="A75" s="7" t="s">
        <v>206</v>
      </c>
      <c r="B75" s="1" t="s">
        <v>271</v>
      </c>
      <c r="E75" s="115">
        <f t="shared" si="2"/>
        <v>0</v>
      </c>
      <c r="F75" s="116">
        <f>+SALDOS!G205</f>
        <v>0</v>
      </c>
      <c r="G75" s="16"/>
      <c r="H75" s="16"/>
      <c r="I75" s="38"/>
      <c r="J75" s="114"/>
    </row>
    <row r="76" spans="1:10" ht="11.25" x14ac:dyDescent="0.2">
      <c r="A76" s="7" t="s">
        <v>206</v>
      </c>
      <c r="B76" s="69" t="s">
        <v>272</v>
      </c>
      <c r="E76" s="115">
        <f t="shared" si="2"/>
        <v>17921832.18</v>
      </c>
      <c r="F76" s="115">
        <f>+SALDOS!G434</f>
        <v>17921832.18</v>
      </c>
      <c r="G76" s="16"/>
      <c r="H76" s="19"/>
      <c r="I76" s="116"/>
      <c r="J76" s="114"/>
    </row>
    <row r="77" spans="1:10" ht="11.25" x14ac:dyDescent="0.2">
      <c r="A77" s="7" t="s">
        <v>206</v>
      </c>
      <c r="B77" s="69" t="s">
        <v>273</v>
      </c>
      <c r="E77" s="115">
        <f t="shared" si="2"/>
        <v>0</v>
      </c>
      <c r="F77" s="115">
        <f>+SALDOS!G488</f>
        <v>0</v>
      </c>
      <c r="G77" s="16"/>
      <c r="H77" s="19"/>
      <c r="I77" s="116"/>
      <c r="J77" s="114"/>
    </row>
    <row r="78" spans="1:10" ht="11.25" x14ac:dyDescent="0.2">
      <c r="A78" s="7" t="s">
        <v>206</v>
      </c>
      <c r="B78" s="69" t="s">
        <v>274</v>
      </c>
      <c r="E78" s="115">
        <f t="shared" si="2"/>
        <v>0</v>
      </c>
      <c r="F78" s="115"/>
      <c r="G78" s="16"/>
      <c r="H78" s="19">
        <f>+SALDOS!G317</f>
        <v>0</v>
      </c>
      <c r="I78" s="116"/>
      <c r="J78" s="114"/>
    </row>
    <row r="79" spans="1:10" ht="11.25" x14ac:dyDescent="0.2">
      <c r="A79" s="7" t="s">
        <v>206</v>
      </c>
      <c r="B79" s="69" t="s">
        <v>275</v>
      </c>
      <c r="E79" s="115">
        <f t="shared" si="2"/>
        <v>0</v>
      </c>
      <c r="F79" s="115"/>
      <c r="G79" s="16"/>
      <c r="H79" s="19">
        <f>+SALDOS!G485</f>
        <v>0</v>
      </c>
      <c r="I79" s="116"/>
      <c r="J79" s="114"/>
    </row>
    <row r="80" spans="1:10" ht="11.25" x14ac:dyDescent="0.2">
      <c r="A80" s="7" t="s">
        <v>206</v>
      </c>
      <c r="B80" s="69" t="s">
        <v>276</v>
      </c>
      <c r="E80" s="115">
        <f t="shared" si="2"/>
        <v>4150213.41</v>
      </c>
      <c r="F80" s="115"/>
      <c r="G80" s="16"/>
      <c r="H80" s="19">
        <f>+SALDOS!G486</f>
        <v>4150213.41</v>
      </c>
      <c r="I80" s="116"/>
      <c r="J80" s="114"/>
    </row>
    <row r="81" spans="1:10" ht="11.25" x14ac:dyDescent="0.2">
      <c r="A81" s="7" t="s">
        <v>206</v>
      </c>
      <c r="B81" s="69" t="s">
        <v>277</v>
      </c>
      <c r="E81" s="115">
        <f t="shared" si="2"/>
        <v>423255657.71000004</v>
      </c>
      <c r="F81" s="115">
        <f>+SALDOS!G169</f>
        <v>146974706.71000001</v>
      </c>
      <c r="G81" s="16"/>
      <c r="H81" s="19">
        <f>+SALDOS!G401</f>
        <v>276280951</v>
      </c>
      <c r="I81" s="116"/>
      <c r="J81" s="114"/>
    </row>
    <row r="82" spans="1:10" ht="11.25" x14ac:dyDescent="0.2">
      <c r="A82" s="7" t="s">
        <v>206</v>
      </c>
      <c r="B82" s="69" t="s">
        <v>278</v>
      </c>
      <c r="E82" s="115">
        <f t="shared" si="2"/>
        <v>3499846.7</v>
      </c>
      <c r="F82" s="115">
        <f>+SALDOS!G281+SALDOS!G197</f>
        <v>0</v>
      </c>
      <c r="G82" s="16"/>
      <c r="H82" s="19">
        <f>+SALDOS!G416</f>
        <v>3499846.7</v>
      </c>
      <c r="I82" s="116"/>
      <c r="J82" s="114"/>
    </row>
    <row r="83" spans="1:10" ht="11.25" x14ac:dyDescent="0.2">
      <c r="A83" s="7" t="s">
        <v>206</v>
      </c>
      <c r="B83" s="69" t="s">
        <v>279</v>
      </c>
      <c r="E83" s="115">
        <f t="shared" si="2"/>
        <v>0</v>
      </c>
      <c r="F83" s="115">
        <v>0</v>
      </c>
      <c r="G83" s="16"/>
      <c r="H83" s="19">
        <f>+SALDOS!G148</f>
        <v>0</v>
      </c>
      <c r="I83" s="116"/>
      <c r="J83" s="114"/>
    </row>
    <row r="84" spans="1:10" ht="11.25" x14ac:dyDescent="0.2">
      <c r="A84" s="7" t="s">
        <v>206</v>
      </c>
      <c r="B84" s="69" t="s">
        <v>280</v>
      </c>
      <c r="E84" s="115">
        <f t="shared" si="2"/>
        <v>0</v>
      </c>
      <c r="F84" s="115">
        <f>+SALDOS!G263</f>
        <v>0</v>
      </c>
      <c r="G84" s="16"/>
      <c r="H84" s="19"/>
      <c r="I84" s="116"/>
      <c r="J84" s="114"/>
    </row>
    <row r="85" spans="1:10" ht="11.25" x14ac:dyDescent="0.2">
      <c r="A85" s="7" t="s">
        <v>206</v>
      </c>
      <c r="B85" s="69" t="s">
        <v>281</v>
      </c>
      <c r="E85" s="115">
        <f t="shared" si="2"/>
        <v>0</v>
      </c>
      <c r="F85" s="115">
        <f>+SALDOS!G384</f>
        <v>0</v>
      </c>
      <c r="G85" s="16"/>
      <c r="H85" s="19"/>
      <c r="I85" s="116"/>
      <c r="J85" s="114"/>
    </row>
    <row r="86" spans="1:10" ht="11.25" x14ac:dyDescent="0.2">
      <c r="A86" s="7" t="s">
        <v>206</v>
      </c>
      <c r="B86" s="69" t="s">
        <v>282</v>
      </c>
      <c r="E86" s="115">
        <f t="shared" si="2"/>
        <v>0</v>
      </c>
      <c r="F86" s="115">
        <f>+SALDOS!G245</f>
        <v>0</v>
      </c>
      <c r="G86" s="16"/>
      <c r="H86" s="19"/>
      <c r="I86" s="116"/>
      <c r="J86" s="114"/>
    </row>
    <row r="87" spans="1:10" ht="10.5" customHeight="1" x14ac:dyDescent="0.2">
      <c r="A87" s="7" t="s">
        <v>206</v>
      </c>
      <c r="B87" s="69" t="s">
        <v>283</v>
      </c>
      <c r="E87" s="115">
        <f t="shared" si="2"/>
        <v>0</v>
      </c>
      <c r="F87" s="16">
        <f>+SALDOS!G178</f>
        <v>0</v>
      </c>
      <c r="G87" s="16"/>
      <c r="H87" s="19"/>
      <c r="I87" s="116"/>
      <c r="J87" s="114"/>
    </row>
    <row r="88" spans="1:10" ht="10.5" customHeight="1" x14ac:dyDescent="0.2">
      <c r="A88" s="7" t="s">
        <v>206</v>
      </c>
      <c r="B88" s="69" t="s">
        <v>284</v>
      </c>
      <c r="E88" s="115">
        <f t="shared" si="2"/>
        <v>0</v>
      </c>
      <c r="F88" s="16"/>
      <c r="G88" s="16"/>
      <c r="H88" s="19">
        <f>+SALDOS!G415</f>
        <v>0</v>
      </c>
      <c r="I88" s="116"/>
      <c r="J88" s="114"/>
    </row>
    <row r="89" spans="1:10" ht="10.5" customHeight="1" x14ac:dyDescent="0.2">
      <c r="A89" s="7" t="s">
        <v>206</v>
      </c>
      <c r="B89" s="69" t="s">
        <v>285</v>
      </c>
      <c r="E89" s="115">
        <f t="shared" si="2"/>
        <v>101483.28</v>
      </c>
      <c r="F89" s="16">
        <f>+SALDOS!G443</f>
        <v>101483.28</v>
      </c>
      <c r="G89" s="16"/>
      <c r="H89" s="19"/>
      <c r="I89" s="116"/>
      <c r="J89" s="114"/>
    </row>
    <row r="90" spans="1:10" ht="10.5" customHeight="1" x14ac:dyDescent="0.2">
      <c r="A90" s="7" t="s">
        <v>206</v>
      </c>
      <c r="B90" s="69" t="s">
        <v>286</v>
      </c>
      <c r="E90" s="115">
        <f t="shared" si="2"/>
        <v>0</v>
      </c>
      <c r="F90" s="16"/>
      <c r="G90" s="16"/>
      <c r="H90" s="19">
        <f>+SALDOS!G475</f>
        <v>0</v>
      </c>
      <c r="I90" s="116"/>
      <c r="J90" s="114"/>
    </row>
    <row r="91" spans="1:10" ht="10.5" customHeight="1" x14ac:dyDescent="0.2">
      <c r="A91" s="7" t="s">
        <v>206</v>
      </c>
      <c r="B91" s="69" t="s">
        <v>287</v>
      </c>
      <c r="E91" s="115">
        <f t="shared" si="2"/>
        <v>6840000</v>
      </c>
      <c r="F91" s="16">
        <f>+SALDOS!G153</f>
        <v>6840000</v>
      </c>
      <c r="G91" s="16"/>
      <c r="H91" s="19"/>
      <c r="I91" s="116"/>
      <c r="J91" s="114"/>
    </row>
    <row r="92" spans="1:10" ht="10.5" customHeight="1" x14ac:dyDescent="0.2">
      <c r="A92" s="7" t="s">
        <v>206</v>
      </c>
      <c r="B92" s="69" t="s">
        <v>252</v>
      </c>
      <c r="E92" s="115">
        <f t="shared" si="2"/>
        <v>0</v>
      </c>
      <c r="F92" s="16"/>
      <c r="G92" s="16"/>
      <c r="H92" s="19"/>
      <c r="I92" s="116"/>
      <c r="J92" s="114"/>
    </row>
    <row r="93" spans="1:10" ht="10.5" customHeight="1" x14ac:dyDescent="0.2">
      <c r="A93" s="7"/>
      <c r="B93" s="69" t="s">
        <v>288</v>
      </c>
      <c r="E93" s="115">
        <f t="shared" si="2"/>
        <v>226987</v>
      </c>
      <c r="F93" s="16"/>
      <c r="G93" s="16"/>
      <c r="H93" s="19">
        <f>+SALDOS!G489</f>
        <v>226987</v>
      </c>
      <c r="I93" s="116"/>
      <c r="J93" s="114"/>
    </row>
    <row r="94" spans="1:10" ht="10.5" customHeight="1" x14ac:dyDescent="0.2">
      <c r="A94" s="7" t="s">
        <v>206</v>
      </c>
      <c r="B94" s="69" t="s">
        <v>289</v>
      </c>
      <c r="E94" s="115">
        <f t="shared" si="2"/>
        <v>914304.70000000007</v>
      </c>
      <c r="F94" s="16"/>
      <c r="G94" s="16"/>
      <c r="H94" s="19">
        <f>+SALDOS!G490+SALDOS!G491</f>
        <v>914304.70000000007</v>
      </c>
      <c r="I94" s="116"/>
      <c r="J94" s="114"/>
    </row>
    <row r="95" spans="1:10" ht="10.5" customHeight="1" x14ac:dyDescent="0.2">
      <c r="A95" s="7" t="s">
        <v>206</v>
      </c>
      <c r="B95" s="69" t="s">
        <v>290</v>
      </c>
      <c r="E95" s="115">
        <f t="shared" si="2"/>
        <v>-3615904.1100000003</v>
      </c>
      <c r="F95" s="16">
        <f>+SALDOS!G200</f>
        <v>-3615904.1100000003</v>
      </c>
      <c r="G95" s="16"/>
      <c r="H95" s="19"/>
      <c r="I95" s="116"/>
      <c r="J95" s="114"/>
    </row>
    <row r="96" spans="1:10" ht="10.5" customHeight="1" x14ac:dyDescent="0.2">
      <c r="A96" s="7" t="s">
        <v>206</v>
      </c>
      <c r="B96" s="69" t="s">
        <v>291</v>
      </c>
      <c r="E96" s="115">
        <f t="shared" si="2"/>
        <v>0</v>
      </c>
      <c r="F96" s="16"/>
      <c r="G96" s="16"/>
      <c r="H96" s="19">
        <f>+SALDOS!G494</f>
        <v>0</v>
      </c>
      <c r="I96" s="116"/>
      <c r="J96" s="114"/>
    </row>
    <row r="97" spans="1:10" ht="10.5" customHeight="1" x14ac:dyDescent="0.2">
      <c r="A97" s="7" t="s">
        <v>206</v>
      </c>
      <c r="B97" s="69" t="s">
        <v>292</v>
      </c>
      <c r="E97" s="115">
        <f t="shared" si="2"/>
        <v>0</v>
      </c>
      <c r="F97" s="16"/>
      <c r="G97" s="16"/>
      <c r="H97" s="19">
        <f>+SALDOS!F492</f>
        <v>0</v>
      </c>
      <c r="I97" s="116"/>
      <c r="J97" s="114"/>
    </row>
    <row r="98" spans="1:10" ht="10.5" customHeight="1" x14ac:dyDescent="0.2">
      <c r="A98" s="7" t="s">
        <v>206</v>
      </c>
      <c r="B98" s="69" t="s">
        <v>293</v>
      </c>
      <c r="E98" s="115">
        <f t="shared" si="2"/>
        <v>0</v>
      </c>
      <c r="F98" s="16"/>
      <c r="G98" s="16"/>
      <c r="H98" s="19">
        <f>+SALDOS!G497</f>
        <v>0</v>
      </c>
      <c r="I98" s="116"/>
      <c r="J98" s="114"/>
    </row>
    <row r="99" spans="1:10" ht="10.5" customHeight="1" x14ac:dyDescent="0.2">
      <c r="A99" s="7" t="s">
        <v>206</v>
      </c>
      <c r="B99" s="69" t="s">
        <v>294</v>
      </c>
      <c r="E99" s="115">
        <f t="shared" si="2"/>
        <v>0</v>
      </c>
      <c r="F99" s="16"/>
      <c r="G99" s="16"/>
      <c r="H99" s="19">
        <f>+SALDOS!G499</f>
        <v>0</v>
      </c>
      <c r="I99" s="116"/>
      <c r="J99" s="114"/>
    </row>
    <row r="100" spans="1:10" ht="10.5" customHeight="1" x14ac:dyDescent="0.2">
      <c r="A100" s="7" t="s">
        <v>206</v>
      </c>
      <c r="B100" s="69" t="s">
        <v>295</v>
      </c>
      <c r="E100" s="115">
        <f t="shared" si="2"/>
        <v>0</v>
      </c>
      <c r="F100" s="16"/>
      <c r="G100" s="16"/>
      <c r="H100" s="19">
        <f>+SALDOS!G500</f>
        <v>0</v>
      </c>
      <c r="I100" s="116"/>
      <c r="J100" s="114"/>
    </row>
    <row r="101" spans="1:10" ht="10.5" customHeight="1" x14ac:dyDescent="0.2">
      <c r="A101" s="7" t="s">
        <v>206</v>
      </c>
      <c r="B101" s="69" t="s">
        <v>296</v>
      </c>
      <c r="E101" s="115">
        <f t="shared" si="2"/>
        <v>0</v>
      </c>
      <c r="F101" s="16"/>
      <c r="G101" s="16"/>
      <c r="H101" s="19">
        <f>+SALDOS!G501</f>
        <v>0</v>
      </c>
      <c r="I101" s="116"/>
      <c r="J101" s="114"/>
    </row>
    <row r="102" spans="1:10" ht="10.5" customHeight="1" x14ac:dyDescent="0.2">
      <c r="A102" s="7" t="s">
        <v>206</v>
      </c>
      <c r="B102" s="1" t="s">
        <v>297</v>
      </c>
      <c r="E102" s="115">
        <f t="shared" si="2"/>
        <v>0</v>
      </c>
      <c r="F102" s="16"/>
      <c r="G102" s="16"/>
      <c r="H102" s="19">
        <f>+SALDOS!G502</f>
        <v>0</v>
      </c>
      <c r="I102" s="116"/>
      <c r="J102" s="114"/>
    </row>
    <row r="103" spans="1:10" ht="10.9" customHeight="1" x14ac:dyDescent="0.2">
      <c r="A103" s="118"/>
      <c r="B103" s="119" t="str">
        <f>+'Anexo I'!A24</f>
        <v>Total al 30.06.2026</v>
      </c>
      <c r="C103" s="119"/>
      <c r="D103" s="119"/>
      <c r="E103" s="120">
        <f>SUM(E10:E102)</f>
        <v>1609778933.7700005</v>
      </c>
      <c r="F103" s="120">
        <f>SUM(F10:F102)</f>
        <v>729617202.41999996</v>
      </c>
      <c r="G103" s="120">
        <f>SUM(G10:G102)</f>
        <v>0</v>
      </c>
      <c r="H103" s="120">
        <f>SUM(H10:H102)</f>
        <v>880161731.35000014</v>
      </c>
      <c r="I103" s="120">
        <f>SUM(I10:I102)</f>
        <v>0</v>
      </c>
      <c r="J103" s="121" t="e">
        <f>SUM(#REF!)</f>
        <v>#REF!</v>
      </c>
    </row>
    <row r="104" spans="1:10" ht="10.9" customHeight="1" x14ac:dyDescent="0.2">
      <c r="A104" s="1" t="s">
        <v>25</v>
      </c>
    </row>
    <row r="105" spans="1:10" ht="11.25" x14ac:dyDescent="0.2">
      <c r="A105" s="1" t="s">
        <v>26</v>
      </c>
    </row>
    <row r="106" spans="1:10" ht="11.25" x14ac:dyDescent="0.2">
      <c r="E106" s="34"/>
    </row>
    <row r="107" spans="1:10" ht="11.25" x14ac:dyDescent="0.2">
      <c r="E107" s="19"/>
      <c r="F107" s="122"/>
      <c r="G107" s="19"/>
    </row>
    <row r="108" spans="1:10" ht="11.25" x14ac:dyDescent="0.2">
      <c r="E108" s="34"/>
    </row>
    <row r="109" spans="1:10" ht="11.25" x14ac:dyDescent="0.2">
      <c r="E109" s="19"/>
    </row>
    <row r="110" spans="1:10" ht="11.25" x14ac:dyDescent="0.2">
      <c r="D110" s="37" t="str">
        <f>+Balance!D32</f>
        <v>Miguel Ángel Alonso</v>
      </c>
      <c r="F110" s="37" t="str">
        <f>+Balance!F32</f>
        <v>Pedro Nicholson</v>
      </c>
      <c r="H110" s="37" t="str">
        <f>+Balance!K32</f>
        <v>Alejandro Poletto</v>
      </c>
    </row>
    <row r="111" spans="1:10" ht="11.25" x14ac:dyDescent="0.2">
      <c r="D111" s="37" t="str">
        <f>+Balance!D33</f>
        <v>Contador Público (U.C.A.)</v>
      </c>
      <c r="E111" s="37"/>
      <c r="F111" s="37" t="str">
        <f>+Balance!F33</f>
        <v>Síndico</v>
      </c>
      <c r="G111" s="37"/>
      <c r="H111" s="37" t="str">
        <f>+Balance!K33</f>
        <v>Southern Copper Arg. S.R.L.</v>
      </c>
    </row>
    <row r="112" spans="1:10" ht="11.25" x14ac:dyDescent="0.2">
      <c r="D112" s="37" t="str">
        <f>+Balance!D34</f>
        <v>C.P.C.E.C.A.B.A. Tº176  Fº03</v>
      </c>
      <c r="E112" s="37"/>
      <c r="G112" s="37"/>
      <c r="H112" s="37" t="str">
        <f>+Balance!K34</f>
        <v xml:space="preserve"> Gerente</v>
      </c>
    </row>
    <row r="113" spans="5:8" ht="11.25" x14ac:dyDescent="0.2">
      <c r="E113" s="37"/>
      <c r="G113" s="37"/>
      <c r="H113" s="37"/>
    </row>
  </sheetData>
  <pageMargins left="0.70866141732283472" right="0.59055118110236227" top="1.5748031496062993" bottom="0.98425196850393704" header="0.59055118110236227" footer="0"/>
  <pageSetup paperSize="9" scale="55" orientation="portrait" useFirstPageNumber="1" horizontalDpi="4294967295" verticalDpi="4294967295"/>
  <headerFooter>
    <oddHeader>&amp;L&amp;"Book Antiqua,Normal"Southern Copper Argentina SRL.
Tucuman 1
Ciudad Autónoma de Buenos Aires
Nºde Insc.en I.G.J.:11764 del Libro 135 de SRL.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920"/>
  <sheetViews>
    <sheetView zoomScale="115" zoomScaleNormal="115" workbookViewId="0">
      <selection activeCell="I507" sqref="I507"/>
    </sheetView>
  </sheetViews>
  <sheetFormatPr baseColWidth="10" defaultColWidth="11.42578125" defaultRowHeight="13.15" customHeight="1" x14ac:dyDescent="0.2"/>
  <cols>
    <col min="1" max="1" width="5.5703125" style="74" customWidth="1"/>
    <col min="2" max="2" width="2.28515625" style="74" customWidth="1"/>
    <col min="3" max="3" width="12.5703125" style="34" customWidth="1"/>
    <col min="4" max="4" width="10.5703125" style="123" customWidth="1"/>
    <col min="5" max="5" width="37" style="123" customWidth="1"/>
    <col min="6" max="6" width="34.140625" style="123" customWidth="1"/>
    <col min="7" max="7" width="19.42578125" style="124" customWidth="1"/>
    <col min="8" max="8" width="17.42578125" style="123" customWidth="1"/>
    <col min="9" max="9" width="16.5703125" style="125" customWidth="1"/>
    <col min="10" max="10" width="15.28515625" style="123" customWidth="1"/>
    <col min="11" max="11" width="14.42578125" style="123" customWidth="1"/>
    <col min="12" max="12" width="14.42578125" style="74" customWidth="1"/>
    <col min="13" max="13" width="11.42578125" style="74" customWidth="1"/>
    <col min="14" max="16384" width="11.42578125" style="74"/>
  </cols>
  <sheetData>
    <row r="1" spans="1:11" ht="12.75" x14ac:dyDescent="0.2">
      <c r="A1" s="126" t="s">
        <v>298</v>
      </c>
      <c r="B1" s="126" t="s">
        <v>299</v>
      </c>
      <c r="C1" s="69" t="s">
        <v>300</v>
      </c>
      <c r="D1" s="126" t="s">
        <v>301</v>
      </c>
      <c r="E1" s="126"/>
      <c r="F1" s="126"/>
      <c r="G1" s="127" t="s">
        <v>302</v>
      </c>
    </row>
    <row r="2" spans="1:11" ht="12.75" x14ac:dyDescent="0.2">
      <c r="A2" s="128"/>
      <c r="B2" s="128"/>
      <c r="C2" s="69" t="s">
        <v>80</v>
      </c>
      <c r="D2" s="128"/>
      <c r="E2" s="128"/>
      <c r="F2" s="128"/>
      <c r="G2" s="129"/>
    </row>
    <row r="3" spans="1:11" ht="12.75" x14ac:dyDescent="0.2">
      <c r="A3" s="128"/>
      <c r="B3" s="128"/>
      <c r="C3" s="130" t="s">
        <v>303</v>
      </c>
      <c r="D3" s="69" t="s">
        <v>303</v>
      </c>
      <c r="E3" s="66"/>
      <c r="F3" s="131"/>
      <c r="G3" s="132">
        <f>IFERROR(VLOOKUP(C3,Hoja1!$A$2:$E$338,5,FALSE),)</f>
        <v>0</v>
      </c>
    </row>
    <row r="4" spans="1:11" ht="12.75" x14ac:dyDescent="0.2">
      <c r="A4" s="128"/>
      <c r="B4" s="128"/>
      <c r="C4" s="130" t="s">
        <v>304</v>
      </c>
      <c r="D4" s="130" t="s">
        <v>304</v>
      </c>
      <c r="E4" s="70"/>
      <c r="F4" s="131"/>
      <c r="G4" s="132">
        <f>IFERROR(VLOOKUP(C4,Hoja1!$A$2:$E$338,5,FALSE),)</f>
        <v>0</v>
      </c>
    </row>
    <row r="5" spans="1:11" ht="12.75" x14ac:dyDescent="0.2">
      <c r="A5" s="128"/>
      <c r="B5" s="128"/>
      <c r="C5" s="130" t="s">
        <v>305</v>
      </c>
      <c r="D5" s="69" t="s">
        <v>305</v>
      </c>
      <c r="E5" s="66"/>
      <c r="F5" s="131"/>
      <c r="G5" s="132">
        <f>IFERROR(VLOOKUP(C5,Hoja1!$A$2:$E$338,5,FALSE),)</f>
        <v>10663404.48</v>
      </c>
    </row>
    <row r="6" spans="1:11" ht="12.75" x14ac:dyDescent="0.2">
      <c r="A6" s="128"/>
      <c r="B6" s="128"/>
      <c r="C6" s="130" t="s">
        <v>306</v>
      </c>
      <c r="D6" s="130" t="s">
        <v>307</v>
      </c>
      <c r="E6" s="66"/>
      <c r="F6" s="131"/>
      <c r="G6" s="132">
        <f>IFERROR(VLOOKUP(C6,Hoja1!$A$2:$E$338,5,FALSE),)</f>
        <v>1445749.5</v>
      </c>
      <c r="H6" s="133"/>
    </row>
    <row r="7" spans="1:11" ht="12.75" x14ac:dyDescent="0.2">
      <c r="A7" s="128"/>
      <c r="B7" s="128"/>
      <c r="C7" s="70" t="s">
        <v>308</v>
      </c>
      <c r="D7" s="130" t="s">
        <v>308</v>
      </c>
      <c r="E7" s="66"/>
      <c r="F7" s="131"/>
      <c r="G7" s="132">
        <f>IFERROR(VLOOKUP(C7,Hoja1!$A$2:$E$338,5,FALSE),)</f>
        <v>0</v>
      </c>
      <c r="H7" s="133"/>
    </row>
    <row r="8" spans="1:11" ht="12.75" x14ac:dyDescent="0.2">
      <c r="A8" s="128"/>
      <c r="B8" s="128"/>
      <c r="C8" s="130" t="s">
        <v>309</v>
      </c>
      <c r="D8" s="130" t="s">
        <v>309</v>
      </c>
      <c r="E8" s="66"/>
      <c r="F8" s="131"/>
      <c r="G8" s="132">
        <f>IFERROR(VLOOKUP(C8,Hoja1!$A$2:$E$338,5,FALSE),)</f>
        <v>-23141.31</v>
      </c>
      <c r="H8" s="133"/>
    </row>
    <row r="9" spans="1:11" ht="12.75" x14ac:dyDescent="0.2">
      <c r="A9" s="128"/>
      <c r="B9" s="128"/>
      <c r="C9" s="130" t="s">
        <v>310</v>
      </c>
      <c r="D9" s="130" t="s">
        <v>310</v>
      </c>
      <c r="E9" s="66"/>
      <c r="F9" s="131"/>
      <c r="G9" s="132">
        <f>IFERROR(VLOOKUP(C9,Hoja1!$A$2:$E$338,5,FALSE),)</f>
        <v>3926.88</v>
      </c>
      <c r="H9" s="133"/>
    </row>
    <row r="10" spans="1:11" ht="12.75" x14ac:dyDescent="0.2">
      <c r="A10" s="128"/>
      <c r="B10" s="128"/>
      <c r="C10" s="130" t="s">
        <v>311</v>
      </c>
      <c r="D10" s="69" t="s">
        <v>311</v>
      </c>
      <c r="E10" s="66"/>
      <c r="F10" s="131"/>
      <c r="G10" s="132">
        <f>IFERROR(VLOOKUP(C10,Hoja1!$A$2:$E$338,5,FALSE),)</f>
        <v>0</v>
      </c>
    </row>
    <row r="11" spans="1:11" ht="12.75" x14ac:dyDescent="0.2">
      <c r="A11" s="128"/>
      <c r="B11" s="128"/>
      <c r="C11" s="130" t="s">
        <v>312</v>
      </c>
      <c r="D11" s="130" t="s">
        <v>312</v>
      </c>
      <c r="E11" s="69"/>
      <c r="F11" s="131"/>
      <c r="G11" s="132">
        <f>IFERROR(VLOOKUP(C11,Hoja1!$A$2:$E$338,5,FALSE),)</f>
        <v>8464196.790000001</v>
      </c>
    </row>
    <row r="12" spans="1:11" ht="12.75" x14ac:dyDescent="0.2">
      <c r="A12" s="128"/>
      <c r="B12" s="128"/>
      <c r="C12" s="130" t="s">
        <v>313</v>
      </c>
      <c r="D12" s="130" t="s">
        <v>313</v>
      </c>
      <c r="E12" s="69"/>
      <c r="F12" s="131"/>
      <c r="G12" s="132">
        <f>IFERROR(VLOOKUP(C12,Hoja1!$A$2:$E$338,5,FALSE),)</f>
        <v>0</v>
      </c>
    </row>
    <row r="13" spans="1:11" ht="12.75" x14ac:dyDescent="0.2">
      <c r="A13" s="128"/>
      <c r="B13" s="128"/>
      <c r="C13" s="130"/>
      <c r="D13" s="130"/>
      <c r="E13" s="130"/>
      <c r="F13" s="131"/>
      <c r="G13" s="134">
        <f>IFERROR(VLOOKUP(C13,Hoja1!$A$2:$E$338,5,FALSE),)</f>
        <v>0</v>
      </c>
    </row>
    <row r="14" spans="1:11" s="135" customFormat="1" ht="12.75" x14ac:dyDescent="0.2">
      <c r="A14" s="136"/>
      <c r="B14" s="136"/>
      <c r="C14" s="137" t="s">
        <v>314</v>
      </c>
      <c r="D14" s="138" t="s">
        <v>314</v>
      </c>
      <c r="E14" s="138"/>
      <c r="F14" s="131"/>
      <c r="G14" s="134">
        <f>IFERROR(VLOOKUP(C14,Hoja1!$A$2:$E$338,5,FALSE),)</f>
        <v>0</v>
      </c>
      <c r="H14" s="139"/>
      <c r="I14" s="140"/>
      <c r="J14" s="139"/>
      <c r="K14" s="139"/>
    </row>
    <row r="15" spans="1:11" ht="12.75" x14ac:dyDescent="0.2">
      <c r="A15" s="128"/>
      <c r="B15" s="128"/>
      <c r="C15" s="130" t="s">
        <v>315</v>
      </c>
      <c r="D15" s="69" t="s">
        <v>315</v>
      </c>
      <c r="E15" s="66"/>
      <c r="F15" s="131"/>
      <c r="G15" s="134">
        <f>IFERROR(VLOOKUP(C15,Hoja1!$A$2:$E$338,5,FALSE),)</f>
        <v>1667959397.47</v>
      </c>
    </row>
    <row r="16" spans="1:11" ht="12.75" x14ac:dyDescent="0.2">
      <c r="A16" s="128"/>
      <c r="B16" s="128"/>
      <c r="C16" s="130" t="s">
        <v>316</v>
      </c>
      <c r="D16" s="69" t="s">
        <v>317</v>
      </c>
      <c r="E16" s="66"/>
      <c r="F16" s="131"/>
      <c r="G16" s="134">
        <f>IFERROR(VLOOKUP(C16,Hoja1!$A$2:$E$338,5,FALSE),)</f>
        <v>0</v>
      </c>
    </row>
    <row r="17" spans="1:8" ht="12.75" x14ac:dyDescent="0.2">
      <c r="A17" s="128"/>
      <c r="B17" s="128"/>
      <c r="C17" s="130" t="s">
        <v>318</v>
      </c>
      <c r="D17" s="69" t="s">
        <v>319</v>
      </c>
      <c r="E17" s="69"/>
      <c r="F17" s="131"/>
      <c r="G17" s="134">
        <f>IFERROR(VLOOKUP(C17,Hoja1!$A$2:$E$338,5,FALSE),)</f>
        <v>0</v>
      </c>
      <c r="H17" s="141"/>
    </row>
    <row r="18" spans="1:8" ht="12.75" x14ac:dyDescent="0.2">
      <c r="A18" s="128"/>
      <c r="B18" s="128"/>
      <c r="C18" s="130" t="s">
        <v>320</v>
      </c>
      <c r="D18" s="69" t="s">
        <v>321</v>
      </c>
      <c r="E18" s="66"/>
      <c r="F18" s="131"/>
      <c r="G18" s="134">
        <f>IFERROR(VLOOKUP(C18,Hoja1!$A$2:$E$338,5,FALSE),)</f>
        <v>7866857.0800000001</v>
      </c>
    </row>
    <row r="19" spans="1:8" ht="12.75" x14ac:dyDescent="0.2">
      <c r="A19" s="128"/>
      <c r="B19" s="128"/>
      <c r="C19" s="130" t="s">
        <v>322</v>
      </c>
      <c r="D19" s="69" t="s">
        <v>322</v>
      </c>
      <c r="E19" s="66"/>
      <c r="F19" s="131"/>
      <c r="G19" s="134">
        <f>IFERROR(VLOOKUP(C19,Hoja1!$A$2:$E$338,5,FALSE),)</f>
        <v>52018352.270000003</v>
      </c>
    </row>
    <row r="20" spans="1:8" ht="12.75" x14ac:dyDescent="0.2">
      <c r="A20" s="128"/>
      <c r="B20" s="128"/>
      <c r="C20" s="130" t="s">
        <v>323</v>
      </c>
      <c r="D20" s="69" t="s">
        <v>324</v>
      </c>
      <c r="E20" s="66"/>
      <c r="F20" s="131"/>
      <c r="G20" s="134">
        <f>IFERROR(VLOOKUP(C20,Hoja1!$A$2:$E$338,5,FALSE),)</f>
        <v>528747.09</v>
      </c>
    </row>
    <row r="21" spans="1:8" ht="12.75" x14ac:dyDescent="0.2">
      <c r="A21" s="128"/>
      <c r="B21" s="128"/>
      <c r="C21" s="142" t="s">
        <v>325</v>
      </c>
      <c r="D21" s="69" t="s">
        <v>326</v>
      </c>
      <c r="E21" s="69"/>
      <c r="F21" s="131"/>
      <c r="G21" s="134">
        <f>IFERROR(VLOOKUP(C21,Hoja1!$A$2:$E$338,5,FALSE),)</f>
        <v>0</v>
      </c>
    </row>
    <row r="22" spans="1:8" ht="12.75" x14ac:dyDescent="0.2">
      <c r="A22" s="128"/>
      <c r="B22" s="128"/>
      <c r="C22" s="130" t="s">
        <v>327</v>
      </c>
      <c r="D22" s="69" t="s">
        <v>328</v>
      </c>
      <c r="E22" s="66"/>
      <c r="F22" s="131"/>
      <c r="G22" s="134">
        <f>IFERROR(VLOOKUP(C22,Hoja1!$A$2:$E$338,5,FALSE),)</f>
        <v>243686.59</v>
      </c>
    </row>
    <row r="23" spans="1:8" ht="12.75" x14ac:dyDescent="0.2">
      <c r="A23" s="128"/>
      <c r="B23" s="128"/>
      <c r="C23" s="70" t="s">
        <v>329</v>
      </c>
      <c r="D23" s="69" t="s">
        <v>330</v>
      </c>
      <c r="E23" s="66"/>
      <c r="F23" s="131"/>
      <c r="G23" s="134">
        <f>IFERROR(VLOOKUP(C23,Hoja1!$A$2:$E$338,5,FALSE),)</f>
        <v>203599.05000000002</v>
      </c>
    </row>
    <row r="24" spans="1:8" ht="12.75" x14ac:dyDescent="0.2">
      <c r="A24" s="128"/>
      <c r="B24" s="128"/>
      <c r="C24" s="130" t="s">
        <v>331</v>
      </c>
      <c r="D24" s="69" t="s">
        <v>331</v>
      </c>
      <c r="E24" s="66"/>
      <c r="F24" s="131"/>
      <c r="G24" s="134">
        <f>IFERROR(VLOOKUP(C24,Hoja1!$A$2:$E$338,5,FALSE),)</f>
        <v>45551974.829999998</v>
      </c>
    </row>
    <row r="25" spans="1:8" ht="12.75" x14ac:dyDescent="0.2">
      <c r="A25" s="128"/>
      <c r="B25" s="128"/>
      <c r="C25" s="130" t="s">
        <v>332</v>
      </c>
      <c r="D25" s="130" t="s">
        <v>332</v>
      </c>
      <c r="E25" s="69"/>
      <c r="F25" s="131"/>
      <c r="G25" s="134">
        <f>IFERROR(VLOOKUP(C25,Hoja1!$A$2:$E$338,5,FALSE),)</f>
        <v>26028040.719999999</v>
      </c>
    </row>
    <row r="26" spans="1:8" ht="12.75" x14ac:dyDescent="0.2">
      <c r="A26" s="128"/>
      <c r="B26" s="128"/>
      <c r="C26" s="70" t="s">
        <v>333</v>
      </c>
      <c r="D26" s="130" t="s">
        <v>333</v>
      </c>
      <c r="E26" s="69"/>
      <c r="F26" s="131"/>
      <c r="G26" s="134">
        <f>IFERROR(VLOOKUP(C26,Hoja1!$A$2:$E$338,5,FALSE),)</f>
        <v>0</v>
      </c>
    </row>
    <row r="27" spans="1:8" ht="12.75" x14ac:dyDescent="0.2">
      <c r="A27" s="128"/>
      <c r="B27" s="128"/>
      <c r="C27" s="130" t="s">
        <v>334</v>
      </c>
      <c r="D27" s="130" t="s">
        <v>334</v>
      </c>
      <c r="E27" s="70"/>
      <c r="F27" s="131"/>
      <c r="G27" s="134">
        <f>IFERROR(VLOOKUP(C27,Hoja1!$A$2:$E$338,5,FALSE),)</f>
        <v>0</v>
      </c>
    </row>
    <row r="28" spans="1:8" ht="12.75" x14ac:dyDescent="0.2">
      <c r="A28" s="128"/>
      <c r="B28" s="128"/>
      <c r="C28" s="130" t="s">
        <v>335</v>
      </c>
      <c r="D28" s="69" t="s">
        <v>335</v>
      </c>
      <c r="E28" s="70"/>
      <c r="F28" s="131"/>
      <c r="G28" s="134">
        <f>IFERROR(VLOOKUP(C28,Hoja1!$A$2:$E$338,5,FALSE),)</f>
        <v>0</v>
      </c>
    </row>
    <row r="29" spans="1:8" ht="12.75" x14ac:dyDescent="0.2">
      <c r="A29" s="128"/>
      <c r="B29" s="128"/>
      <c r="C29" s="142" t="s">
        <v>336</v>
      </c>
      <c r="D29" s="69" t="s">
        <v>337</v>
      </c>
      <c r="E29" s="66"/>
      <c r="F29" s="131"/>
      <c r="G29" s="134">
        <f>IFERROR(VLOOKUP(C29,Hoja1!$A$2:$E$338,5,FALSE),)</f>
        <v>95935319.460000008</v>
      </c>
    </row>
    <row r="30" spans="1:8" ht="12.75" x14ac:dyDescent="0.2">
      <c r="A30" s="128"/>
      <c r="B30" s="128"/>
      <c r="C30" s="142" t="s">
        <v>338</v>
      </c>
      <c r="D30" s="69" t="s">
        <v>339</v>
      </c>
      <c r="E30" s="141"/>
      <c r="F30" s="131"/>
      <c r="G30" s="134">
        <f>IFERROR(VLOOKUP(C30,Hoja1!$A$2:$E$338,5,FALSE),)</f>
        <v>908.12</v>
      </c>
    </row>
    <row r="31" spans="1:8" ht="12.75" x14ac:dyDescent="0.2">
      <c r="A31" s="128"/>
      <c r="B31" s="128"/>
      <c r="C31" s="130" t="s">
        <v>340</v>
      </c>
      <c r="D31" s="130" t="s">
        <v>340</v>
      </c>
      <c r="E31" s="66"/>
      <c r="F31" s="131"/>
      <c r="G31" s="134">
        <f>IFERROR(VLOOKUP(C31,Hoja1!$A$2:$E$338,5,FALSE),)</f>
        <v>6297405.2199999997</v>
      </c>
    </row>
    <row r="32" spans="1:8" ht="12.75" x14ac:dyDescent="0.2">
      <c r="A32" s="128"/>
      <c r="B32" s="128"/>
      <c r="C32" s="130" t="s">
        <v>341</v>
      </c>
      <c r="D32" s="130" t="s">
        <v>341</v>
      </c>
      <c r="E32" s="66"/>
      <c r="F32" s="131"/>
      <c r="G32" s="134">
        <f>IFERROR(VLOOKUP(C32,Hoja1!$A$2:$E$338,5,FALSE),)</f>
        <v>0</v>
      </c>
      <c r="H32" s="70"/>
    </row>
    <row r="33" spans="1:12" ht="12.75" x14ac:dyDescent="0.2">
      <c r="A33" s="128"/>
      <c r="B33" s="128"/>
      <c r="C33" s="130" t="s">
        <v>342</v>
      </c>
      <c r="D33" s="130" t="s">
        <v>342</v>
      </c>
      <c r="E33" s="70"/>
      <c r="F33" s="131"/>
      <c r="G33" s="134">
        <f>IFERROR(VLOOKUP(C33,Hoja1!$A$2:$E$338,5,FALSE),)</f>
        <v>154199532</v>
      </c>
    </row>
    <row r="34" spans="1:12" ht="12.75" x14ac:dyDescent="0.2">
      <c r="A34" s="128"/>
      <c r="B34" s="128"/>
      <c r="C34" s="130" t="s">
        <v>343</v>
      </c>
      <c r="D34" s="69" t="s">
        <v>343</v>
      </c>
      <c r="E34" s="69"/>
      <c r="F34" s="131"/>
      <c r="G34" s="134">
        <f>IFERROR(VLOOKUP(C34,Hoja1!$A$2:$E$338,5,FALSE),)</f>
        <v>0</v>
      </c>
    </row>
    <row r="35" spans="1:12" ht="12.75" x14ac:dyDescent="0.2">
      <c r="A35" s="128"/>
      <c r="B35" s="128"/>
      <c r="C35" s="130" t="s">
        <v>344</v>
      </c>
      <c r="D35" s="69" t="s">
        <v>344</v>
      </c>
      <c r="E35" s="69"/>
      <c r="F35" s="131"/>
      <c r="G35" s="134">
        <f>IFERROR(VLOOKUP(C35,Hoja1!$A$2:$E$338,5,FALSE),)</f>
        <v>0</v>
      </c>
    </row>
    <row r="36" spans="1:12" ht="12.75" x14ac:dyDescent="0.2">
      <c r="A36" s="128"/>
      <c r="B36" s="128"/>
      <c r="C36" s="130" t="s">
        <v>345</v>
      </c>
      <c r="D36" s="130" t="s">
        <v>345</v>
      </c>
      <c r="E36" s="70"/>
      <c r="F36" s="131"/>
      <c r="G36" s="134">
        <f>IFERROR(VLOOKUP(C36,Hoja1!$A$2:$E$338,5,FALSE),)</f>
        <v>0</v>
      </c>
    </row>
    <row r="37" spans="1:12" ht="12.75" x14ac:dyDescent="0.2">
      <c r="A37" s="128"/>
      <c r="B37" s="128"/>
      <c r="C37" s="130" t="s">
        <v>346</v>
      </c>
      <c r="D37" s="130" t="s">
        <v>346</v>
      </c>
      <c r="E37" s="66"/>
      <c r="F37" s="131"/>
      <c r="G37" s="134">
        <f>IFERROR(VLOOKUP(C37,Hoja1!$A$2:$E$338,5,FALSE),)</f>
        <v>17397227.48</v>
      </c>
    </row>
    <row r="38" spans="1:12" ht="12.75" x14ac:dyDescent="0.2">
      <c r="A38" s="128"/>
      <c r="B38" s="128"/>
      <c r="C38" s="130" t="s">
        <v>347</v>
      </c>
      <c r="D38" s="130" t="s">
        <v>347</v>
      </c>
      <c r="E38" s="70"/>
      <c r="F38" s="131"/>
      <c r="G38" s="134">
        <f>IFERROR(VLOOKUP(C38,Hoja1!$A$2:$E$338,5,FALSE),)</f>
        <v>323000</v>
      </c>
    </row>
    <row r="39" spans="1:12" ht="12.75" x14ac:dyDescent="0.2">
      <c r="A39" s="128"/>
      <c r="B39" s="128"/>
      <c r="C39" s="70"/>
      <c r="D39" s="69"/>
      <c r="E39" s="69"/>
      <c r="F39" s="131"/>
      <c r="G39" s="134">
        <f>IFERROR(VLOOKUP(C39,Hoja1!$A$2:$E$338,5,FALSE),)</f>
        <v>0</v>
      </c>
    </row>
    <row r="40" spans="1:12" ht="12.75" x14ac:dyDescent="0.2">
      <c r="A40" s="128"/>
      <c r="B40" s="128"/>
      <c r="C40" s="130"/>
      <c r="D40" s="69" t="s">
        <v>348</v>
      </c>
      <c r="E40" s="69"/>
      <c r="F40" s="131"/>
      <c r="G40" s="134">
        <f>IFERROR(VLOOKUP(C40,Hoja1!$A$2:$E$338,5,FALSE),)</f>
        <v>0</v>
      </c>
    </row>
    <row r="41" spans="1:12" ht="12.75" x14ac:dyDescent="0.2">
      <c r="A41" s="128"/>
      <c r="B41" s="128"/>
      <c r="C41" s="142" t="s">
        <v>349</v>
      </c>
      <c r="D41" s="69" t="s">
        <v>349</v>
      </c>
      <c r="E41" s="69"/>
      <c r="F41" s="131"/>
      <c r="G41" s="134">
        <f>IFERROR(VLOOKUP(C41,Hoja1!$A$2:$E$338,5,FALSE),)</f>
        <v>0</v>
      </c>
    </row>
    <row r="42" spans="1:12" ht="12.75" x14ac:dyDescent="0.2">
      <c r="A42" s="128"/>
      <c r="B42" s="128"/>
      <c r="C42" s="142" t="s">
        <v>350</v>
      </c>
      <c r="D42" s="69" t="s">
        <v>350</v>
      </c>
      <c r="E42" s="66"/>
      <c r="F42" s="131"/>
      <c r="G42" s="134">
        <f>IFERROR(VLOOKUP(C42,Hoja1!$A$2:$E$338,5,FALSE),)</f>
        <v>108200</v>
      </c>
      <c r="L42" s="143"/>
    </row>
    <row r="43" spans="1:12" ht="12.75" x14ac:dyDescent="0.2">
      <c r="A43" s="128"/>
      <c r="B43" s="128"/>
      <c r="C43" s="130"/>
      <c r="D43" s="130" t="s">
        <v>351</v>
      </c>
      <c r="E43" s="70"/>
      <c r="F43" s="131"/>
      <c r="G43" s="134">
        <f>IFERROR(VLOOKUP(C43,Hoja1!$A$2:$E$338,5,FALSE),)</f>
        <v>0</v>
      </c>
      <c r="L43" s="143"/>
    </row>
    <row r="44" spans="1:12" ht="12.75" x14ac:dyDescent="0.2">
      <c r="A44" s="128"/>
      <c r="B44" s="128"/>
      <c r="C44" s="144" t="s">
        <v>352</v>
      </c>
      <c r="D44" s="145" t="s">
        <v>352</v>
      </c>
      <c r="E44" s="146"/>
      <c r="F44" s="147"/>
      <c r="G44" s="148">
        <f>IFERROR(VLOOKUP(C44,Hoja1!$A$2:$E$338,5,FALSE),)</f>
        <v>7137147.1400000006</v>
      </c>
      <c r="H44" s="73" t="s">
        <v>353</v>
      </c>
    </row>
    <row r="45" spans="1:12" ht="12.75" x14ac:dyDescent="0.2">
      <c r="A45" s="128"/>
      <c r="B45" s="128"/>
      <c r="C45" s="144" t="s">
        <v>354</v>
      </c>
      <c r="D45" s="145" t="s">
        <v>354</v>
      </c>
      <c r="E45" s="146"/>
      <c r="F45" s="147"/>
      <c r="G45" s="148">
        <f>IFERROR(VLOOKUP(C45,Hoja1!$A$2:$E$338,5,FALSE),)</f>
        <v>2163642.25</v>
      </c>
      <c r="H45" s="73" t="s">
        <v>353</v>
      </c>
    </row>
    <row r="46" spans="1:12" ht="12.75" x14ac:dyDescent="0.2">
      <c r="A46" s="128"/>
      <c r="B46" s="128"/>
      <c r="C46" s="144" t="s">
        <v>355</v>
      </c>
      <c r="D46" s="145" t="s">
        <v>355</v>
      </c>
      <c r="E46" s="146"/>
      <c r="F46" s="147"/>
      <c r="G46" s="148">
        <f>IFERROR(VLOOKUP(C46,Hoja1!$A$2:$E$338,5,FALSE),)</f>
        <v>1676263.99</v>
      </c>
      <c r="H46" s="73" t="s">
        <v>353</v>
      </c>
    </row>
    <row r="47" spans="1:12" ht="12.75" x14ac:dyDescent="0.2">
      <c r="A47" s="128"/>
      <c r="B47" s="128"/>
      <c r="C47" s="144" t="s">
        <v>356</v>
      </c>
      <c r="D47" s="145" t="s">
        <v>356</v>
      </c>
      <c r="E47" s="146"/>
      <c r="F47" s="147"/>
      <c r="G47" s="148">
        <f>IFERROR(VLOOKUP(C47,Hoja1!$A$2:$E$338,5,FALSE),)</f>
        <v>8463010.9199999999</v>
      </c>
      <c r="H47" s="73" t="s">
        <v>353</v>
      </c>
    </row>
    <row r="48" spans="1:12" ht="12.75" x14ac:dyDescent="0.2">
      <c r="A48" s="128"/>
      <c r="B48" s="128"/>
      <c r="C48" s="144" t="s">
        <v>357</v>
      </c>
      <c r="D48" s="144" t="s">
        <v>357</v>
      </c>
      <c r="E48" s="146"/>
      <c r="F48" s="147"/>
      <c r="G48" s="148">
        <f>IFERROR(VLOOKUP(C48,Hoja1!$A$2:$E$338,5,FALSE),)</f>
        <v>5117083.33</v>
      </c>
      <c r="H48" s="73" t="s">
        <v>353</v>
      </c>
    </row>
    <row r="49" spans="1:12" ht="12.75" x14ac:dyDescent="0.2">
      <c r="A49" s="128"/>
      <c r="B49" s="128"/>
      <c r="C49" s="149" t="s">
        <v>358</v>
      </c>
      <c r="D49" s="145" t="s">
        <v>359</v>
      </c>
      <c r="E49" s="146"/>
      <c r="F49" s="147"/>
      <c r="G49" s="148">
        <f>IFERROR(VLOOKUP(C49,Hoja1!$A$2:$E$338,5,FALSE),)</f>
        <v>-3124708.59</v>
      </c>
      <c r="H49" s="73" t="s">
        <v>353</v>
      </c>
      <c r="I49" s="125">
        <f>+'Anexo I'!J15</f>
        <v>3124708.59</v>
      </c>
      <c r="J49" s="123">
        <f>+I49+G49</f>
        <v>0</v>
      </c>
    </row>
    <row r="50" spans="1:12" ht="12.75" x14ac:dyDescent="0.2">
      <c r="A50" s="128"/>
      <c r="B50" s="128"/>
      <c r="C50" s="149" t="s">
        <v>360</v>
      </c>
      <c r="D50" s="145" t="s">
        <v>361</v>
      </c>
      <c r="E50" s="146"/>
      <c r="F50" s="147"/>
      <c r="G50" s="148">
        <f>IFERROR(VLOOKUP(C50,Hoja1!$A$2:$E$338,5,FALSE),)</f>
        <v>-1499006.23</v>
      </c>
      <c r="H50" s="73" t="s">
        <v>353</v>
      </c>
      <c r="I50" s="125">
        <f>+'Anexo I'!J17</f>
        <v>1499006.23</v>
      </c>
      <c r="J50" s="123">
        <f>+I50+G50</f>
        <v>0</v>
      </c>
    </row>
    <row r="51" spans="1:12" ht="12.75" x14ac:dyDescent="0.2">
      <c r="A51" s="128"/>
      <c r="B51" s="128"/>
      <c r="C51" s="149" t="s">
        <v>362</v>
      </c>
      <c r="D51" s="145" t="s">
        <v>363</v>
      </c>
      <c r="E51" s="146"/>
      <c r="F51" s="147"/>
      <c r="G51" s="148">
        <f>IFERROR(VLOOKUP(C51,Hoja1!$A$2:$E$338,5,FALSE),)</f>
        <v>-776376.57000000007</v>
      </c>
      <c r="H51" s="73" t="s">
        <v>353</v>
      </c>
      <c r="I51" s="125">
        <f>+'Anexo I'!J18</f>
        <v>776376.57000000007</v>
      </c>
      <c r="J51" s="123">
        <f>+I51+G51</f>
        <v>0</v>
      </c>
    </row>
    <row r="52" spans="1:12" ht="12.75" x14ac:dyDescent="0.2">
      <c r="A52" s="128"/>
      <c r="B52" s="128"/>
      <c r="C52" s="144" t="s">
        <v>364</v>
      </c>
      <c r="D52" s="144" t="s">
        <v>364</v>
      </c>
      <c r="E52" s="146"/>
      <c r="F52" s="147"/>
      <c r="G52" s="148">
        <f>IFERROR(VLOOKUP(C52,Hoja1!$A$2:$E$338,5,FALSE),)</f>
        <v>20790195.080000002</v>
      </c>
      <c r="H52" s="73" t="s">
        <v>353</v>
      </c>
    </row>
    <row r="53" spans="1:12" ht="12.75" x14ac:dyDescent="0.2">
      <c r="A53" s="128"/>
      <c r="B53" s="128"/>
      <c r="C53" s="149" t="s">
        <v>365</v>
      </c>
      <c r="D53" s="145" t="s">
        <v>366</v>
      </c>
      <c r="E53" s="146"/>
      <c r="F53" s="147"/>
      <c r="G53" s="148">
        <f>IFERROR(VLOOKUP(C53,Hoja1!$A$2:$E$338,5,FALSE),)</f>
        <v>-4436234.05</v>
      </c>
      <c r="H53" s="73" t="s">
        <v>353</v>
      </c>
      <c r="I53" s="125">
        <f>+'Anexo I'!J19</f>
        <v>4436234.05</v>
      </c>
      <c r="J53" s="123">
        <f>+I53+G53</f>
        <v>0</v>
      </c>
    </row>
    <row r="54" spans="1:12" ht="12.75" x14ac:dyDescent="0.2">
      <c r="A54" s="128"/>
      <c r="B54" s="128"/>
      <c r="C54" s="149" t="s">
        <v>367</v>
      </c>
      <c r="D54" s="145" t="s">
        <v>368</v>
      </c>
      <c r="E54" s="146"/>
      <c r="F54" s="147"/>
      <c r="G54" s="148">
        <f>IFERROR(VLOOKUP(C54,Hoja1!$A$2:$E$338,5,FALSE),)</f>
        <v>-5117083.33</v>
      </c>
      <c r="H54" s="73" t="s">
        <v>353</v>
      </c>
      <c r="I54" s="125">
        <f>+'Anexo I'!J20</f>
        <v>5117083.33</v>
      </c>
      <c r="J54" s="123">
        <f>+I54+G54</f>
        <v>0</v>
      </c>
    </row>
    <row r="55" spans="1:12" ht="12.75" x14ac:dyDescent="0.2">
      <c r="A55" s="128"/>
      <c r="B55" s="128"/>
      <c r="C55" s="149" t="s">
        <v>369</v>
      </c>
      <c r="D55" s="145" t="s">
        <v>370</v>
      </c>
      <c r="E55" s="146"/>
      <c r="F55" s="147"/>
      <c r="G55" s="148">
        <f>IFERROR(VLOOKUP(C55,Hoja1!$A$2:$E$338,5,FALSE),)</f>
        <v>-19606049.32</v>
      </c>
      <c r="H55" s="73" t="s">
        <v>353</v>
      </c>
      <c r="I55" s="125">
        <f>+'Anexo I'!J21</f>
        <v>19606049.32</v>
      </c>
      <c r="J55" s="123">
        <f>+I55+G55</f>
        <v>0</v>
      </c>
    </row>
    <row r="56" spans="1:12" ht="12.75" x14ac:dyDescent="0.2">
      <c r="A56" s="128"/>
      <c r="B56" s="128"/>
      <c r="C56" s="144" t="s">
        <v>371</v>
      </c>
      <c r="D56" s="144" t="s">
        <v>371</v>
      </c>
      <c r="E56" s="146"/>
      <c r="F56" s="147"/>
      <c r="G56" s="148">
        <f>IFERROR(VLOOKUP(C56,Hoja1!$A$2:$E$338,5,FALSE),)</f>
        <v>23184450.990000002</v>
      </c>
      <c r="H56" s="73" t="s">
        <v>353</v>
      </c>
    </row>
    <row r="57" spans="1:12" ht="12.75" x14ac:dyDescent="0.2">
      <c r="A57" s="128"/>
      <c r="B57" s="128"/>
      <c r="C57" s="149" t="s">
        <v>372</v>
      </c>
      <c r="D57" s="145" t="s">
        <v>373</v>
      </c>
      <c r="E57" s="146"/>
      <c r="F57" s="147"/>
      <c r="G57" s="148">
        <f>IFERROR(VLOOKUP(C57,Hoja1!$A$2:$E$338,5,FALSE),)</f>
        <v>-10204568.26</v>
      </c>
      <c r="H57" s="73" t="s">
        <v>353</v>
      </c>
      <c r="I57" s="125">
        <f>+'Anexo I'!J16</f>
        <v>10204568.26</v>
      </c>
      <c r="J57" s="123">
        <f>+I57+G57</f>
        <v>0</v>
      </c>
    </row>
    <row r="58" spans="1:12" ht="12.75" x14ac:dyDescent="0.2">
      <c r="A58" s="128"/>
      <c r="B58" s="128"/>
      <c r="C58" s="144" t="s">
        <v>374</v>
      </c>
      <c r="D58" s="144" t="s">
        <v>374</v>
      </c>
      <c r="E58" s="146"/>
      <c r="F58" s="147"/>
      <c r="G58" s="148">
        <f>IFERROR(VLOOKUP(C58,Hoja1!$A$2:$E$338,5,FALSE),)</f>
        <v>1598074.09</v>
      </c>
      <c r="H58" s="73" t="s">
        <v>353</v>
      </c>
    </row>
    <row r="59" spans="1:12" ht="12.75" x14ac:dyDescent="0.2">
      <c r="A59" s="128"/>
      <c r="B59" s="128"/>
      <c r="C59" s="149" t="s">
        <v>375</v>
      </c>
      <c r="D59" s="145" t="s">
        <v>376</v>
      </c>
      <c r="E59" s="146"/>
      <c r="F59" s="147"/>
      <c r="G59" s="148">
        <f>IFERROR(VLOOKUP(C59,Hoja1!$A$2:$E$338,5,FALSE),)</f>
        <v>-617752.65</v>
      </c>
      <c r="H59" s="73" t="s">
        <v>353</v>
      </c>
      <c r="I59" s="125">
        <f>+'Anexo I'!J22</f>
        <v>617752.65</v>
      </c>
      <c r="J59" s="123">
        <f>+I59+G59</f>
        <v>0</v>
      </c>
      <c r="L59" s="123"/>
    </row>
    <row r="60" spans="1:12" ht="12.75" x14ac:dyDescent="0.2">
      <c r="A60" s="128"/>
      <c r="B60" s="128"/>
      <c r="C60" s="130" t="s">
        <v>377</v>
      </c>
      <c r="D60" s="69" t="s">
        <v>377</v>
      </c>
      <c r="E60" s="66"/>
      <c r="F60" s="131"/>
      <c r="G60" s="134">
        <f>IFERROR(VLOOKUP(C60,Hoja1!$A$2:$E$338,5,FALSE),)</f>
        <v>5439067</v>
      </c>
      <c r="H60" s="72"/>
      <c r="I60" s="150"/>
      <c r="L60" s="123"/>
    </row>
    <row r="61" spans="1:12" ht="12.75" x14ac:dyDescent="0.2">
      <c r="A61" s="128"/>
      <c r="B61" s="128"/>
      <c r="C61" s="130" t="s">
        <v>378</v>
      </c>
      <c r="D61" s="69" t="s">
        <v>378</v>
      </c>
      <c r="E61" s="66"/>
      <c r="F61" s="131"/>
      <c r="G61" s="134">
        <f>IFERROR(VLOOKUP(C61,Hoja1!$A$2:$E$338,5,FALSE),)</f>
        <v>32772165</v>
      </c>
      <c r="H61" s="72"/>
      <c r="I61" s="151">
        <f>SUM(G3:G61)</f>
        <v>2158175704.5099998</v>
      </c>
      <c r="J61" s="133" t="s">
        <v>379</v>
      </c>
      <c r="L61" s="123"/>
    </row>
    <row r="62" spans="1:12" ht="12.75" x14ac:dyDescent="0.2">
      <c r="A62" s="128"/>
      <c r="B62" s="128"/>
      <c r="C62" s="130"/>
      <c r="D62" s="69"/>
      <c r="E62" s="69"/>
      <c r="F62" s="131"/>
      <c r="G62" s="134"/>
      <c r="H62" s="72"/>
      <c r="I62" s="150">
        <f>+Hoja1!E54-SALDOS!I61</f>
        <v>0</v>
      </c>
      <c r="J62" s="133" t="s">
        <v>380</v>
      </c>
      <c r="L62" s="123"/>
    </row>
    <row r="63" spans="1:12" ht="12.75" x14ac:dyDescent="0.2">
      <c r="A63" s="128"/>
      <c r="B63" s="128"/>
      <c r="C63" s="130"/>
      <c r="D63" s="70" t="s">
        <v>381</v>
      </c>
      <c r="E63" s="69"/>
      <c r="F63" s="131"/>
      <c r="G63" s="152">
        <v>112281.77</v>
      </c>
      <c r="H63" s="66"/>
      <c r="I63" s="150"/>
      <c r="L63" s="123"/>
    </row>
    <row r="64" spans="1:12" ht="12.75" x14ac:dyDescent="0.2">
      <c r="A64" s="128"/>
      <c r="B64" s="128"/>
      <c r="C64" s="130"/>
      <c r="D64" s="70" t="s">
        <v>382</v>
      </c>
      <c r="E64" s="69"/>
      <c r="F64" s="131"/>
      <c r="G64" s="152">
        <v>-10759320</v>
      </c>
      <c r="H64" s="66"/>
      <c r="I64" s="150"/>
      <c r="L64" s="123"/>
    </row>
    <row r="65" spans="1:12" ht="12.75" x14ac:dyDescent="0.2">
      <c r="A65" s="128"/>
      <c r="B65" s="128"/>
      <c r="C65" s="130"/>
      <c r="D65" s="70" t="s">
        <v>383</v>
      </c>
      <c r="E65" s="69"/>
      <c r="F65" s="131"/>
      <c r="G65" s="152">
        <v>-108900</v>
      </c>
      <c r="H65" s="66"/>
      <c r="I65" s="150"/>
      <c r="L65" s="123"/>
    </row>
    <row r="66" spans="1:12" ht="12.75" x14ac:dyDescent="0.2">
      <c r="A66" s="128"/>
      <c r="B66" s="128"/>
      <c r="C66" s="130"/>
      <c r="D66" s="70" t="s">
        <v>384</v>
      </c>
      <c r="E66" s="69"/>
      <c r="F66" s="131"/>
      <c r="G66" s="152">
        <v>-37700</v>
      </c>
      <c r="H66" s="66"/>
      <c r="I66" s="150"/>
      <c r="L66" s="123"/>
    </row>
    <row r="67" spans="1:12" ht="12.75" x14ac:dyDescent="0.2">
      <c r="A67" s="128"/>
      <c r="B67" s="128"/>
      <c r="C67" s="130"/>
      <c r="D67" s="70" t="s">
        <v>385</v>
      </c>
      <c r="E67" s="69"/>
      <c r="F67" s="131"/>
      <c r="G67" s="152">
        <v>-45216.89</v>
      </c>
      <c r="H67" s="66"/>
      <c r="I67" s="150"/>
      <c r="L67" s="123"/>
    </row>
    <row r="68" spans="1:12" ht="12.75" x14ac:dyDescent="0.2">
      <c r="A68" s="128"/>
      <c r="B68" s="128"/>
      <c r="C68" s="130"/>
      <c r="D68" s="70" t="s">
        <v>386</v>
      </c>
      <c r="E68" s="69"/>
      <c r="F68" s="131"/>
      <c r="G68" s="152">
        <v>379251.49</v>
      </c>
      <c r="H68" s="66"/>
      <c r="I68" s="150"/>
      <c r="L68" s="123"/>
    </row>
    <row r="69" spans="1:12" ht="12.75" x14ac:dyDescent="0.2">
      <c r="A69" s="128"/>
      <c r="B69" s="128"/>
      <c r="C69" s="130"/>
      <c r="D69" s="70" t="s">
        <v>387</v>
      </c>
      <c r="E69" s="69"/>
      <c r="F69" s="131"/>
      <c r="G69" s="152">
        <v>-50000</v>
      </c>
      <c r="H69" s="66"/>
      <c r="I69" s="150"/>
      <c r="L69" s="123"/>
    </row>
    <row r="70" spans="1:12" ht="12.75" x14ac:dyDescent="0.2">
      <c r="A70" s="128"/>
      <c r="B70" s="128"/>
      <c r="C70" s="130"/>
      <c r="D70" s="70" t="s">
        <v>388</v>
      </c>
      <c r="E70" s="69"/>
      <c r="F70" s="131"/>
      <c r="G70" s="152">
        <v>-20786.650000000001</v>
      </c>
      <c r="H70" s="66"/>
      <c r="I70" s="150"/>
      <c r="L70" s="123"/>
    </row>
    <row r="71" spans="1:12" ht="12.75" x14ac:dyDescent="0.2">
      <c r="A71" s="128"/>
      <c r="B71" s="128"/>
      <c r="C71" s="130"/>
      <c r="D71" s="70" t="s">
        <v>389</v>
      </c>
      <c r="E71" s="69"/>
      <c r="F71" s="131"/>
      <c r="G71" s="152">
        <v>-3087400</v>
      </c>
      <c r="H71" s="66"/>
      <c r="I71" s="150"/>
      <c r="L71" s="123"/>
    </row>
    <row r="72" spans="1:12" ht="12.75" x14ac:dyDescent="0.2">
      <c r="A72" s="128"/>
      <c r="B72" s="128"/>
      <c r="C72" s="130"/>
      <c r="D72" s="70" t="s">
        <v>390</v>
      </c>
      <c r="E72" s="69"/>
      <c r="F72" s="131"/>
      <c r="G72" s="152">
        <v>-107500</v>
      </c>
      <c r="H72" s="66"/>
      <c r="I72" s="150"/>
      <c r="L72" s="123"/>
    </row>
    <row r="73" spans="1:12" ht="12.75" x14ac:dyDescent="0.2">
      <c r="A73" s="128"/>
      <c r="B73" s="128"/>
      <c r="C73" s="130"/>
      <c r="D73" s="70" t="s">
        <v>391</v>
      </c>
      <c r="E73" s="69"/>
      <c r="F73" s="131"/>
      <c r="G73" s="152">
        <v>602391.95000000007</v>
      </c>
      <c r="H73" s="66"/>
      <c r="I73" s="150"/>
      <c r="L73" s="123"/>
    </row>
    <row r="74" spans="1:12" ht="12.75" x14ac:dyDescent="0.2">
      <c r="A74" s="128"/>
      <c r="B74" s="128"/>
      <c r="C74" s="130"/>
      <c r="D74" s="70" t="s">
        <v>392</v>
      </c>
      <c r="E74" s="69"/>
      <c r="F74" s="131"/>
      <c r="G74" s="152">
        <v>57904.46</v>
      </c>
      <c r="H74" s="72"/>
      <c r="I74" s="150"/>
      <c r="L74" s="123"/>
    </row>
    <row r="75" spans="1:12" ht="12.75" x14ac:dyDescent="0.2">
      <c r="A75" s="128"/>
      <c r="B75" s="128"/>
      <c r="C75" s="130"/>
      <c r="D75" s="70" t="s">
        <v>393</v>
      </c>
      <c r="E75" s="69"/>
      <c r="F75" s="131"/>
      <c r="G75" s="152">
        <v>-10</v>
      </c>
      <c r="H75" s="72"/>
      <c r="I75" s="150"/>
      <c r="L75" s="123"/>
    </row>
    <row r="76" spans="1:12" ht="12.75" x14ac:dyDescent="0.2">
      <c r="A76" s="128"/>
      <c r="B76" s="128"/>
      <c r="C76" s="130"/>
      <c r="D76" s="70" t="s">
        <v>394</v>
      </c>
      <c r="E76" s="69"/>
      <c r="F76" s="131"/>
      <c r="G76" s="152">
        <v>1474033.77</v>
      </c>
      <c r="H76" s="72"/>
      <c r="I76" s="150"/>
      <c r="L76" s="123"/>
    </row>
    <row r="77" spans="1:12" ht="12.75" x14ac:dyDescent="0.2">
      <c r="A77" s="128"/>
      <c r="B77" s="128"/>
      <c r="C77" s="130"/>
      <c r="D77" s="70" t="s">
        <v>395</v>
      </c>
      <c r="E77" s="69"/>
      <c r="F77" s="131"/>
      <c r="G77" s="152">
        <v>-1600900.31</v>
      </c>
      <c r="H77" s="72"/>
      <c r="I77" s="150"/>
      <c r="L77" s="123"/>
    </row>
    <row r="78" spans="1:12" ht="12.75" x14ac:dyDescent="0.2">
      <c r="A78" s="128"/>
      <c r="B78" s="128"/>
      <c r="C78" s="130"/>
      <c r="D78" s="70" t="s">
        <v>396</v>
      </c>
      <c r="E78" s="69"/>
      <c r="F78" s="131"/>
      <c r="G78" s="152">
        <v>-1200000</v>
      </c>
      <c r="H78" s="72"/>
      <c r="I78" s="150"/>
      <c r="L78" s="123"/>
    </row>
    <row r="79" spans="1:12" ht="12.75" x14ac:dyDescent="0.2">
      <c r="A79" s="128"/>
      <c r="B79" s="128"/>
      <c r="C79" s="130"/>
      <c r="D79" s="70" t="s">
        <v>397</v>
      </c>
      <c r="E79" s="69"/>
      <c r="F79" s="131"/>
      <c r="G79" s="152">
        <v>4602127.71</v>
      </c>
      <c r="H79" s="72"/>
      <c r="I79" s="150"/>
      <c r="L79" s="123"/>
    </row>
    <row r="80" spans="1:12" ht="12.75" x14ac:dyDescent="0.2">
      <c r="A80" s="128"/>
      <c r="B80" s="128"/>
      <c r="C80" s="130"/>
      <c r="D80" s="70" t="s">
        <v>398</v>
      </c>
      <c r="E80" s="69"/>
      <c r="F80" s="131"/>
      <c r="G80" s="152">
        <v>-670000</v>
      </c>
      <c r="H80" s="72"/>
      <c r="I80" s="150"/>
      <c r="L80" s="123"/>
    </row>
    <row r="81" spans="1:12" ht="12.75" x14ac:dyDescent="0.2">
      <c r="A81" s="128"/>
      <c r="B81" s="128"/>
      <c r="C81" s="130"/>
      <c r="D81" s="70" t="s">
        <v>399</v>
      </c>
      <c r="E81" s="69"/>
      <c r="F81" s="131"/>
      <c r="G81" s="152">
        <v>-505770</v>
      </c>
      <c r="H81" s="72"/>
      <c r="I81" s="150"/>
      <c r="L81" s="123"/>
    </row>
    <row r="82" spans="1:12" ht="12.75" x14ac:dyDescent="0.2">
      <c r="A82" s="128"/>
      <c r="B82" s="128"/>
      <c r="C82" s="130"/>
      <c r="D82" s="70" t="s">
        <v>400</v>
      </c>
      <c r="E82" s="69"/>
      <c r="F82" s="131"/>
      <c r="G82" s="152">
        <v>220000</v>
      </c>
      <c r="H82" s="72"/>
      <c r="I82" s="150"/>
      <c r="L82" s="123"/>
    </row>
    <row r="83" spans="1:12" ht="12.75" x14ac:dyDescent="0.2">
      <c r="A83" s="128"/>
      <c r="B83" s="128"/>
      <c r="C83" s="130"/>
      <c r="D83" s="70" t="s">
        <v>401</v>
      </c>
      <c r="E83" s="69"/>
      <c r="F83" s="131"/>
      <c r="G83" s="152">
        <v>-72600</v>
      </c>
      <c r="H83" s="72"/>
      <c r="I83" s="150"/>
      <c r="L83" s="123"/>
    </row>
    <row r="84" spans="1:12" ht="12.75" x14ac:dyDescent="0.2">
      <c r="A84" s="128"/>
      <c r="B84" s="128"/>
      <c r="C84" s="130"/>
      <c r="D84" s="70" t="s">
        <v>402</v>
      </c>
      <c r="E84" s="69"/>
      <c r="F84" s="131"/>
      <c r="G84" s="152">
        <v>-45033.68</v>
      </c>
      <c r="H84" s="72"/>
      <c r="I84" s="150"/>
      <c r="L84" s="123"/>
    </row>
    <row r="85" spans="1:12" ht="12.75" x14ac:dyDescent="0.2">
      <c r="A85" s="128"/>
      <c r="B85" s="128"/>
      <c r="C85" s="130"/>
      <c r="D85" s="70" t="s">
        <v>403</v>
      </c>
      <c r="E85" s="69"/>
      <c r="F85" s="131"/>
      <c r="G85" s="152">
        <v>576899.75</v>
      </c>
      <c r="H85" s="72"/>
      <c r="I85" s="150"/>
      <c r="L85" s="123"/>
    </row>
    <row r="86" spans="1:12" ht="12.75" x14ac:dyDescent="0.2">
      <c r="A86" s="128"/>
      <c r="B86" s="128"/>
      <c r="C86" s="130"/>
      <c r="D86" s="70" t="s">
        <v>404</v>
      </c>
      <c r="E86" s="69"/>
      <c r="F86" s="131"/>
      <c r="G86" s="152">
        <v>5908.99</v>
      </c>
      <c r="H86" s="72"/>
      <c r="I86" s="150"/>
      <c r="L86" s="123"/>
    </row>
    <row r="87" spans="1:12" ht="12.75" x14ac:dyDescent="0.2">
      <c r="A87" s="128"/>
      <c r="B87" s="128"/>
      <c r="C87" s="130"/>
      <c r="D87" s="70" t="s">
        <v>405</v>
      </c>
      <c r="E87" s="69"/>
      <c r="F87" s="131"/>
      <c r="G87" s="152">
        <v>-54.02</v>
      </c>
      <c r="H87" s="72"/>
      <c r="I87" s="150"/>
      <c r="L87" s="123"/>
    </row>
    <row r="88" spans="1:12" ht="12.75" x14ac:dyDescent="0.2">
      <c r="A88" s="128"/>
      <c r="B88" s="128"/>
      <c r="C88" s="130"/>
      <c r="D88" s="70" t="s">
        <v>406</v>
      </c>
      <c r="E88" s="69"/>
      <c r="F88" s="131"/>
      <c r="G88" s="152">
        <v>-665863</v>
      </c>
      <c r="H88" s="72"/>
      <c r="I88" s="150"/>
      <c r="L88" s="123"/>
    </row>
    <row r="89" spans="1:12" ht="12.75" x14ac:dyDescent="0.2">
      <c r="A89" s="128"/>
      <c r="B89" s="128"/>
      <c r="C89" s="130"/>
      <c r="D89" s="70" t="s">
        <v>407</v>
      </c>
      <c r="E89" s="69"/>
      <c r="F89" s="131"/>
      <c r="G89" s="152">
        <v>-69412.320000000007</v>
      </c>
      <c r="H89" s="72"/>
      <c r="I89" s="150"/>
      <c r="L89" s="123"/>
    </row>
    <row r="90" spans="1:12" ht="12.75" x14ac:dyDescent="0.2">
      <c r="A90" s="128"/>
      <c r="B90" s="128"/>
      <c r="C90" s="130"/>
      <c r="D90" s="70" t="s">
        <v>408</v>
      </c>
      <c r="E90" s="69"/>
      <c r="F90" s="131"/>
      <c r="G90" s="152">
        <v>552223.43000000005</v>
      </c>
      <c r="H90" s="72"/>
      <c r="I90" s="150"/>
      <c r="L90" s="123"/>
    </row>
    <row r="91" spans="1:12" ht="12.75" x14ac:dyDescent="0.2">
      <c r="A91" s="128"/>
      <c r="B91" s="128"/>
      <c r="C91" s="130"/>
      <c r="D91" s="70" t="s">
        <v>409</v>
      </c>
      <c r="E91" s="69"/>
      <c r="F91" s="131"/>
      <c r="G91" s="152">
        <v>-1034561.61</v>
      </c>
      <c r="H91" s="72"/>
      <c r="I91" s="150"/>
      <c r="L91" s="123"/>
    </row>
    <row r="92" spans="1:12" ht="12.75" x14ac:dyDescent="0.2">
      <c r="A92" s="128"/>
      <c r="B92" s="128"/>
      <c r="C92" s="130"/>
      <c r="D92" s="70" t="s">
        <v>410</v>
      </c>
      <c r="E92" s="69"/>
      <c r="F92" s="131"/>
      <c r="G92" s="152">
        <v>-41000</v>
      </c>
      <c r="H92" s="72"/>
      <c r="I92" s="150"/>
      <c r="L92" s="123"/>
    </row>
    <row r="93" spans="1:12" ht="12.75" x14ac:dyDescent="0.2">
      <c r="A93" s="128"/>
      <c r="B93" s="128"/>
      <c r="C93" s="130"/>
      <c r="D93" s="70" t="s">
        <v>411</v>
      </c>
      <c r="E93" s="69"/>
      <c r="F93" s="131"/>
      <c r="G93" s="152">
        <v>-586449.80000000005</v>
      </c>
      <c r="H93" s="72"/>
      <c r="I93" s="150"/>
      <c r="L93" s="123"/>
    </row>
    <row r="94" spans="1:12" ht="12.75" x14ac:dyDescent="0.2">
      <c r="A94" s="128"/>
      <c r="B94" s="128"/>
      <c r="C94" s="130"/>
      <c r="D94" s="70" t="s">
        <v>412</v>
      </c>
      <c r="E94" s="69"/>
      <c r="F94" s="131"/>
      <c r="G94" s="152">
        <v>321371.55</v>
      </c>
      <c r="H94" s="72"/>
      <c r="I94" s="150"/>
      <c r="L94" s="123"/>
    </row>
    <row r="95" spans="1:12" ht="12.75" x14ac:dyDescent="0.2">
      <c r="A95" s="128"/>
      <c r="B95" s="128"/>
      <c r="C95" s="130"/>
      <c r="D95" s="70" t="s">
        <v>413</v>
      </c>
      <c r="E95" s="69"/>
      <c r="F95" s="131"/>
      <c r="G95" s="152">
        <v>68889.09</v>
      </c>
      <c r="H95" s="72"/>
      <c r="I95" s="150"/>
      <c r="L95" s="123"/>
    </row>
    <row r="96" spans="1:12" ht="12.75" x14ac:dyDescent="0.2">
      <c r="A96" s="128"/>
      <c r="B96" s="128"/>
      <c r="C96" s="130"/>
      <c r="D96" s="70" t="s">
        <v>414</v>
      </c>
      <c r="E96" s="69"/>
      <c r="F96" s="131"/>
      <c r="G96" s="152">
        <v>-571725</v>
      </c>
      <c r="H96" s="72"/>
      <c r="I96" s="150"/>
      <c r="L96" s="123"/>
    </row>
    <row r="97" spans="1:12" ht="12.75" x14ac:dyDescent="0.2">
      <c r="A97" s="128"/>
      <c r="B97" s="128"/>
      <c r="C97" s="130"/>
      <c r="D97" s="70" t="s">
        <v>415</v>
      </c>
      <c r="E97" s="69"/>
      <c r="F97" s="131"/>
      <c r="G97" s="152">
        <v>-0.01</v>
      </c>
      <c r="H97" s="72"/>
      <c r="I97" s="150"/>
      <c r="L97" s="123"/>
    </row>
    <row r="98" spans="1:12" ht="12.75" x14ac:dyDescent="0.2">
      <c r="A98" s="128"/>
      <c r="B98" s="128"/>
      <c r="C98" s="130"/>
      <c r="D98" s="70" t="s">
        <v>416</v>
      </c>
      <c r="E98" s="69"/>
      <c r="F98" s="131"/>
      <c r="G98" s="152">
        <v>-10000</v>
      </c>
      <c r="H98" s="72"/>
      <c r="I98" s="150"/>
      <c r="L98" s="123"/>
    </row>
    <row r="99" spans="1:12" ht="12.75" x14ac:dyDescent="0.2">
      <c r="A99" s="128"/>
      <c r="B99" s="128"/>
      <c r="C99" s="130"/>
      <c r="D99" s="70" t="s">
        <v>417</v>
      </c>
      <c r="E99" s="69"/>
      <c r="F99" s="131"/>
      <c r="G99" s="152">
        <v>-21518640</v>
      </c>
      <c r="H99" s="72"/>
      <c r="I99" s="150"/>
      <c r="L99" s="123"/>
    </row>
    <row r="100" spans="1:12" ht="12.75" x14ac:dyDescent="0.2">
      <c r="A100" s="128"/>
      <c r="B100" s="128"/>
      <c r="C100" s="130"/>
      <c r="D100" s="70" t="s">
        <v>418</v>
      </c>
      <c r="E100" s="69"/>
      <c r="F100" s="131"/>
      <c r="G100" s="152">
        <v>337561.59</v>
      </c>
      <c r="H100" s="72"/>
      <c r="I100" s="150"/>
      <c r="L100" s="123"/>
    </row>
    <row r="101" spans="1:12" ht="12.75" x14ac:dyDescent="0.2">
      <c r="A101" s="128"/>
      <c r="B101" s="128"/>
      <c r="C101" s="130"/>
      <c r="D101" s="70" t="s">
        <v>419</v>
      </c>
      <c r="E101" s="69"/>
      <c r="F101" s="131"/>
      <c r="G101" s="152">
        <v>-624188.76</v>
      </c>
      <c r="H101" s="72"/>
      <c r="I101" s="150"/>
      <c r="L101" s="123"/>
    </row>
    <row r="102" spans="1:12" ht="12" customHeight="1" x14ac:dyDescent="0.2">
      <c r="A102" s="128"/>
      <c r="B102" s="128"/>
      <c r="C102" s="130"/>
      <c r="D102" s="70" t="s">
        <v>420</v>
      </c>
      <c r="E102" s="69"/>
      <c r="F102" s="131"/>
      <c r="G102" s="152">
        <v>-100</v>
      </c>
      <c r="H102" s="72"/>
      <c r="I102" s="150"/>
      <c r="L102" s="123"/>
    </row>
    <row r="103" spans="1:12" ht="12.75" x14ac:dyDescent="0.2">
      <c r="A103" s="128"/>
      <c r="B103" s="128"/>
      <c r="C103" s="130"/>
      <c r="D103" s="70" t="s">
        <v>421</v>
      </c>
      <c r="E103" s="69"/>
      <c r="F103" s="131"/>
      <c r="G103" s="152">
        <v>-0.01</v>
      </c>
      <c r="H103" s="72"/>
      <c r="I103" s="150"/>
      <c r="L103" s="123"/>
    </row>
    <row r="104" spans="1:12" ht="12.75" x14ac:dyDescent="0.2">
      <c r="A104" s="128"/>
      <c r="B104" s="128"/>
      <c r="C104" s="130"/>
      <c r="D104" s="70" t="s">
        <v>422</v>
      </c>
      <c r="E104" s="69"/>
      <c r="F104" s="131"/>
      <c r="G104" s="152">
        <v>-57760</v>
      </c>
      <c r="H104" s="72"/>
      <c r="I104" s="150"/>
      <c r="L104" s="123"/>
    </row>
    <row r="105" spans="1:12" ht="12.75" x14ac:dyDescent="0.2">
      <c r="A105" s="128"/>
      <c r="B105" s="128"/>
      <c r="C105" s="130"/>
      <c r="D105" s="70" t="s">
        <v>423</v>
      </c>
      <c r="E105" s="69"/>
      <c r="F105" s="131"/>
      <c r="G105" s="152">
        <v>-140263.20000000001</v>
      </c>
      <c r="H105" s="72"/>
      <c r="I105" s="150"/>
      <c r="L105" s="123"/>
    </row>
    <row r="106" spans="1:12" ht="12.75" x14ac:dyDescent="0.2">
      <c r="A106" s="128"/>
      <c r="B106" s="128"/>
      <c r="C106" s="130"/>
      <c r="D106" s="70" t="s">
        <v>424</v>
      </c>
      <c r="E106" s="69"/>
      <c r="F106" s="131"/>
      <c r="G106" s="152">
        <v>-0.01</v>
      </c>
      <c r="H106" s="72"/>
      <c r="I106" s="150"/>
      <c r="L106" s="123"/>
    </row>
    <row r="107" spans="1:12" ht="12.75" x14ac:dyDescent="0.2">
      <c r="A107" s="128"/>
      <c r="B107" s="128"/>
      <c r="C107" s="130"/>
      <c r="D107" s="70" t="s">
        <v>425</v>
      </c>
      <c r="E107" s="69"/>
      <c r="F107" s="131"/>
      <c r="G107" s="152">
        <v>-15427620</v>
      </c>
      <c r="H107" s="72"/>
      <c r="I107" s="150"/>
      <c r="L107" s="123"/>
    </row>
    <row r="108" spans="1:12" ht="12.75" x14ac:dyDescent="0.2">
      <c r="A108" s="128"/>
      <c r="B108" s="128"/>
      <c r="C108" s="130"/>
      <c r="D108" s="70" t="s">
        <v>426</v>
      </c>
      <c r="E108" s="69"/>
      <c r="F108" s="131"/>
      <c r="G108" s="152">
        <v>-43926480</v>
      </c>
      <c r="H108" s="72"/>
      <c r="I108" s="150"/>
      <c r="L108" s="123"/>
    </row>
    <row r="109" spans="1:12" ht="12.75" x14ac:dyDescent="0.2">
      <c r="A109" s="128"/>
      <c r="B109" s="128"/>
      <c r="C109" s="130"/>
      <c r="D109" s="70" t="s">
        <v>427</v>
      </c>
      <c r="E109" s="69"/>
      <c r="F109" s="131"/>
      <c r="G109" s="152">
        <v>-4483050</v>
      </c>
      <c r="H109" s="72"/>
      <c r="I109" s="150"/>
      <c r="L109" s="123"/>
    </row>
    <row r="110" spans="1:12" ht="12.75" x14ac:dyDescent="0.2">
      <c r="A110" s="128"/>
      <c r="B110" s="128"/>
      <c r="C110" s="130"/>
      <c r="D110" s="70" t="s">
        <v>428</v>
      </c>
      <c r="E110" s="69"/>
      <c r="F110" s="131"/>
      <c r="G110" s="152">
        <v>-280799.99</v>
      </c>
      <c r="H110" s="72"/>
      <c r="I110" s="150"/>
      <c r="L110" s="123"/>
    </row>
    <row r="111" spans="1:12" ht="12.75" x14ac:dyDescent="0.2">
      <c r="A111" s="128"/>
      <c r="B111" s="128"/>
      <c r="C111" s="130"/>
      <c r="D111" s="70" t="s">
        <v>429</v>
      </c>
      <c r="E111" s="69"/>
      <c r="F111" s="131"/>
      <c r="G111" s="152">
        <v>-933982.53</v>
      </c>
      <c r="H111" s="72"/>
      <c r="I111" s="150"/>
      <c r="L111" s="123"/>
    </row>
    <row r="112" spans="1:12" ht="12.75" x14ac:dyDescent="0.2">
      <c r="A112" s="128"/>
      <c r="B112" s="128"/>
      <c r="C112" s="130"/>
      <c r="D112" s="70" t="s">
        <v>430</v>
      </c>
      <c r="E112" s="69"/>
      <c r="F112" s="131"/>
      <c r="G112" s="152">
        <v>-7635100</v>
      </c>
      <c r="H112" s="72"/>
      <c r="I112" s="150"/>
      <c r="L112" s="123"/>
    </row>
    <row r="113" spans="1:12" ht="12.75" x14ac:dyDescent="0.2">
      <c r="A113" s="128"/>
      <c r="B113" s="128"/>
      <c r="C113" s="130"/>
      <c r="D113" s="70" t="s">
        <v>431</v>
      </c>
      <c r="E113" s="69"/>
      <c r="F113" s="131"/>
      <c r="G113" s="152">
        <v>7800</v>
      </c>
      <c r="H113" s="72"/>
      <c r="I113" s="150"/>
      <c r="L113" s="123"/>
    </row>
    <row r="114" spans="1:12" ht="12.75" x14ac:dyDescent="0.2">
      <c r="A114" s="128"/>
      <c r="B114" s="128"/>
      <c r="C114" s="130"/>
      <c r="D114" s="70" t="s">
        <v>432</v>
      </c>
      <c r="E114" s="69"/>
      <c r="F114" s="131"/>
      <c r="G114" s="152">
        <v>312023.95</v>
      </c>
      <c r="H114" s="72"/>
      <c r="I114" s="150"/>
      <c r="L114" s="123"/>
    </row>
    <row r="115" spans="1:12" ht="12.75" x14ac:dyDescent="0.2">
      <c r="A115" s="128"/>
      <c r="B115" s="128"/>
      <c r="C115" s="130"/>
      <c r="D115" s="69"/>
      <c r="E115" s="69"/>
      <c r="F115" s="131"/>
      <c r="G115" s="152"/>
      <c r="H115" s="72"/>
      <c r="I115" s="125" t="s">
        <v>433</v>
      </c>
      <c r="L115" s="123"/>
    </row>
    <row r="116" spans="1:12" ht="12.75" x14ac:dyDescent="0.2">
      <c r="A116" s="128"/>
      <c r="B116" s="128"/>
      <c r="C116" s="130"/>
      <c r="D116" s="130"/>
      <c r="E116" s="69"/>
      <c r="F116" s="131"/>
      <c r="G116" s="152"/>
      <c r="H116" s="72"/>
      <c r="I116" s="125">
        <f>SUM(G63:G114)</f>
        <v>-106687518.28999999</v>
      </c>
      <c r="J116" s="133" t="s">
        <v>434</v>
      </c>
      <c r="L116" s="123"/>
    </row>
    <row r="117" spans="1:12" ht="12.75" x14ac:dyDescent="0.2">
      <c r="A117" s="128"/>
      <c r="B117" s="128"/>
      <c r="C117" s="130"/>
      <c r="D117" s="130"/>
      <c r="E117" s="69"/>
      <c r="F117" s="131"/>
      <c r="G117" s="129"/>
      <c r="H117" s="72"/>
      <c r="I117" s="150"/>
      <c r="L117" s="123"/>
    </row>
    <row r="118" spans="1:12" ht="12.75" x14ac:dyDescent="0.2">
      <c r="A118" s="128"/>
      <c r="B118" s="128"/>
      <c r="C118" s="130"/>
      <c r="D118" s="130"/>
      <c r="E118" s="70"/>
      <c r="F118" s="131"/>
      <c r="G118" s="134"/>
      <c r="L118" s="123"/>
    </row>
    <row r="119" spans="1:12" ht="12.75" x14ac:dyDescent="0.2">
      <c r="A119" s="128"/>
      <c r="B119" s="128"/>
      <c r="C119" s="130"/>
      <c r="D119" s="69"/>
      <c r="E119" s="70"/>
      <c r="F119" s="131"/>
      <c r="G119" s="134"/>
      <c r="L119" s="123"/>
    </row>
    <row r="120" spans="1:12" ht="12.75" x14ac:dyDescent="0.2">
      <c r="A120" s="128"/>
      <c r="B120" s="128"/>
      <c r="C120" s="142" t="s">
        <v>435</v>
      </c>
      <c r="D120" s="69" t="s">
        <v>435</v>
      </c>
      <c r="E120" s="69"/>
      <c r="F120" s="131"/>
      <c r="G120" s="152">
        <v>-46874610.969999999</v>
      </c>
    </row>
    <row r="121" spans="1:12" ht="12.75" x14ac:dyDescent="0.2">
      <c r="A121" s="128"/>
      <c r="B121" s="128"/>
      <c r="C121" s="70" t="s">
        <v>436</v>
      </c>
      <c r="D121" s="130" t="s">
        <v>436</v>
      </c>
      <c r="E121" s="66"/>
      <c r="F121" s="131"/>
      <c r="G121" s="152">
        <v>-199168357.75999999</v>
      </c>
    </row>
    <row r="122" spans="1:12" ht="12.75" x14ac:dyDescent="0.2">
      <c r="A122" s="128"/>
      <c r="B122" s="128"/>
      <c r="C122" s="130" t="s">
        <v>437</v>
      </c>
      <c r="D122" s="69" t="s">
        <v>438</v>
      </c>
      <c r="E122" s="66"/>
      <c r="F122" s="131"/>
      <c r="G122" s="152">
        <v>-39510574.149999999</v>
      </c>
    </row>
    <row r="123" spans="1:12" ht="12.75" x14ac:dyDescent="0.2">
      <c r="A123" s="128"/>
      <c r="B123" s="128"/>
      <c r="C123" s="130"/>
      <c r="D123" s="69" t="s">
        <v>439</v>
      </c>
      <c r="E123" s="69"/>
      <c r="F123" s="131"/>
      <c r="G123" s="152">
        <v>0</v>
      </c>
    </row>
    <row r="124" spans="1:12" ht="12.75" x14ac:dyDescent="0.2">
      <c r="A124" s="128"/>
      <c r="B124" s="128"/>
      <c r="C124" s="130"/>
      <c r="D124" s="69" t="s">
        <v>440</v>
      </c>
      <c r="E124" s="69"/>
      <c r="F124" s="131"/>
      <c r="G124" s="152">
        <v>0</v>
      </c>
    </row>
    <row r="125" spans="1:12" ht="12.75" x14ac:dyDescent="0.2">
      <c r="A125" s="128"/>
      <c r="B125" s="128"/>
      <c r="C125" s="130"/>
      <c r="D125" s="69" t="s">
        <v>441</v>
      </c>
      <c r="E125" s="69"/>
      <c r="F125" s="131"/>
      <c r="G125" s="152">
        <v>0</v>
      </c>
      <c r="H125" s="153"/>
    </row>
    <row r="126" spans="1:12" ht="12.75" x14ac:dyDescent="0.2">
      <c r="A126" s="128"/>
      <c r="B126" s="128"/>
      <c r="C126" s="130"/>
      <c r="D126" s="69" t="s">
        <v>442</v>
      </c>
      <c r="E126" s="69"/>
      <c r="F126" s="131"/>
      <c r="G126" s="152">
        <v>0</v>
      </c>
      <c r="I126" s="125">
        <f>SUM(G120:G137)</f>
        <v>-370048562.61000001</v>
      </c>
    </row>
    <row r="127" spans="1:12" ht="12.75" x14ac:dyDescent="0.2">
      <c r="A127" s="128"/>
      <c r="B127" s="128"/>
      <c r="C127" s="130" t="s">
        <v>443</v>
      </c>
      <c r="D127" s="130" t="s">
        <v>443</v>
      </c>
      <c r="E127" s="66"/>
      <c r="F127" s="131"/>
      <c r="G127" s="152">
        <v>-45551975</v>
      </c>
      <c r="H127" s="70"/>
      <c r="I127" s="150"/>
      <c r="J127" s="70"/>
    </row>
    <row r="128" spans="1:12" ht="12.75" x14ac:dyDescent="0.2">
      <c r="A128" s="128"/>
      <c r="B128" s="128"/>
      <c r="C128" s="130" t="s">
        <v>444</v>
      </c>
      <c r="D128" s="130" t="s">
        <v>444</v>
      </c>
      <c r="E128" s="66"/>
      <c r="F128" s="131"/>
      <c r="G128" s="152">
        <v>-772433.68</v>
      </c>
      <c r="H128" s="70"/>
      <c r="I128" s="41">
        <f>+-476736080.9-I126-I116</f>
        <v>0</v>
      </c>
      <c r="J128" s="70" t="s">
        <v>445</v>
      </c>
    </row>
    <row r="129" spans="1:14" ht="12.75" x14ac:dyDescent="0.2">
      <c r="A129" s="128"/>
      <c r="B129" s="128"/>
      <c r="C129" s="130"/>
      <c r="D129" s="130" t="s">
        <v>446</v>
      </c>
      <c r="E129" s="66"/>
      <c r="F129" s="131"/>
      <c r="G129" s="152">
        <v>0</v>
      </c>
      <c r="H129" s="70"/>
      <c r="I129" s="154"/>
      <c r="J129" s="70"/>
    </row>
    <row r="130" spans="1:14" ht="12.75" x14ac:dyDescent="0.2">
      <c r="A130" s="128"/>
      <c r="B130" s="128"/>
      <c r="C130" s="130"/>
      <c r="D130" s="130" t="s">
        <v>447</v>
      </c>
      <c r="E130" s="66"/>
      <c r="F130" s="131"/>
      <c r="G130" s="152">
        <v>0</v>
      </c>
      <c r="H130" s="70"/>
      <c r="I130" s="155"/>
      <c r="J130" s="70"/>
    </row>
    <row r="131" spans="1:14" ht="12.75" x14ac:dyDescent="0.2">
      <c r="A131" s="128"/>
      <c r="B131" s="128"/>
      <c r="C131" s="70" t="s">
        <v>448</v>
      </c>
      <c r="D131" s="130" t="s">
        <v>448</v>
      </c>
      <c r="E131" s="66"/>
      <c r="F131" s="131"/>
      <c r="G131" s="152">
        <v>-38149531.82</v>
      </c>
    </row>
    <row r="132" spans="1:14" ht="12.75" x14ac:dyDescent="0.2">
      <c r="A132" s="128"/>
      <c r="B132" s="128"/>
      <c r="C132" s="130"/>
      <c r="D132" s="69" t="s">
        <v>449</v>
      </c>
      <c r="E132" s="69"/>
      <c r="F132" s="131"/>
      <c r="G132" s="152">
        <v>0</v>
      </c>
    </row>
    <row r="133" spans="1:14" ht="12.75" x14ac:dyDescent="0.2">
      <c r="A133" s="128"/>
      <c r="B133" s="128"/>
      <c r="C133" s="130"/>
      <c r="D133" s="130" t="s">
        <v>450</v>
      </c>
      <c r="E133" s="69"/>
      <c r="F133" s="131"/>
      <c r="G133" s="152">
        <v>0</v>
      </c>
    </row>
    <row r="134" spans="1:14" ht="12.75" x14ac:dyDescent="0.2">
      <c r="A134" s="128"/>
      <c r="B134" s="128"/>
      <c r="C134" s="130"/>
      <c r="D134" s="130" t="s">
        <v>451</v>
      </c>
      <c r="E134" s="69"/>
      <c r="F134" s="131"/>
      <c r="G134" s="152">
        <v>0</v>
      </c>
    </row>
    <row r="135" spans="1:14" ht="12" customHeight="1" x14ac:dyDescent="0.2">
      <c r="A135" s="128"/>
      <c r="B135" s="128"/>
      <c r="C135" s="130" t="s">
        <v>452</v>
      </c>
      <c r="D135" s="130" t="s">
        <v>452</v>
      </c>
      <c r="E135" s="69"/>
      <c r="F135" s="131"/>
      <c r="G135" s="156">
        <v>-1335.23</v>
      </c>
    </row>
    <row r="136" spans="1:14" ht="12.75" x14ac:dyDescent="0.2">
      <c r="A136" s="128"/>
      <c r="B136" s="128"/>
      <c r="C136" s="70" t="s">
        <v>453</v>
      </c>
      <c r="D136" s="126" t="s">
        <v>453</v>
      </c>
      <c r="E136" s="69"/>
      <c r="F136" s="131"/>
      <c r="G136" s="156">
        <v>-19744</v>
      </c>
    </row>
    <row r="137" spans="1:14" s="157" customFormat="1" ht="12.75" x14ac:dyDescent="0.2">
      <c r="A137" s="158"/>
      <c r="B137" s="158"/>
      <c r="C137" s="159" t="s">
        <v>454</v>
      </c>
      <c r="D137" s="160" t="s">
        <v>455</v>
      </c>
      <c r="E137" s="161"/>
      <c r="F137" s="162"/>
      <c r="G137" s="163">
        <v>0</v>
      </c>
      <c r="H137" s="164"/>
      <c r="I137" s="165"/>
      <c r="J137" s="164"/>
      <c r="K137" s="164"/>
    </row>
    <row r="138" spans="1:14" s="166" customFormat="1" ht="12.75" x14ac:dyDescent="0.2">
      <c r="A138" s="167"/>
      <c r="B138" s="167"/>
      <c r="C138" s="168"/>
      <c r="D138" s="169"/>
      <c r="E138" s="169"/>
      <c r="F138" s="170"/>
      <c r="G138" s="171"/>
      <c r="H138" s="172"/>
      <c r="I138" s="173"/>
      <c r="J138" s="172"/>
      <c r="K138" s="172"/>
    </row>
    <row r="139" spans="1:14" ht="12.75" x14ac:dyDescent="0.2">
      <c r="A139" s="128"/>
      <c r="B139" s="128"/>
      <c r="C139" s="70" t="s">
        <v>456</v>
      </c>
      <c r="D139" s="69" t="s">
        <v>457</v>
      </c>
      <c r="E139" s="66"/>
      <c r="F139" s="131"/>
      <c r="G139" s="152">
        <v>-14848645484</v>
      </c>
      <c r="H139" s="19"/>
    </row>
    <row r="140" spans="1:14" ht="12.75" x14ac:dyDescent="0.2">
      <c r="A140" s="128"/>
      <c r="B140" s="128"/>
      <c r="C140" s="70" t="s">
        <v>458</v>
      </c>
      <c r="D140" s="69" t="s">
        <v>458</v>
      </c>
      <c r="E140" s="141"/>
      <c r="F140" s="131"/>
      <c r="G140" s="152">
        <v>-8</v>
      </c>
      <c r="H140" s="141"/>
      <c r="I140" s="150"/>
    </row>
    <row r="141" spans="1:14" ht="12.75" x14ac:dyDescent="0.2">
      <c r="A141" s="128"/>
      <c r="B141" s="128"/>
      <c r="C141" s="70" t="s">
        <v>459</v>
      </c>
      <c r="D141" s="69" t="s">
        <v>460</v>
      </c>
      <c r="E141" s="66"/>
      <c r="F141" s="131"/>
      <c r="G141" s="152">
        <v>817850864.26999998</v>
      </c>
      <c r="H141" s="174"/>
      <c r="I141" s="150">
        <f>SUM(G139:G142)</f>
        <v>-3354028747.8699989</v>
      </c>
      <c r="J141" s="133" t="s">
        <v>461</v>
      </c>
      <c r="K141" s="19"/>
      <c r="L141" s="123"/>
    </row>
    <row r="142" spans="1:14" ht="12.75" x14ac:dyDescent="0.2">
      <c r="A142" s="128"/>
      <c r="B142" s="128"/>
      <c r="C142" s="70" t="s">
        <v>462</v>
      </c>
      <c r="D142" s="130" t="s">
        <v>462</v>
      </c>
      <c r="E142" s="66"/>
      <c r="F142" s="131"/>
      <c r="G142" s="152">
        <v>10676765879.860001</v>
      </c>
      <c r="I142" s="150">
        <f>+Pat.Neto!F27+Pat.Neto!J14</f>
        <v>3354028747.8699989</v>
      </c>
      <c r="J142" s="133" t="s">
        <v>463</v>
      </c>
      <c r="K142" s="19"/>
      <c r="L142" s="123"/>
    </row>
    <row r="143" spans="1:14" ht="12.75" x14ac:dyDescent="0.2">
      <c r="A143" s="128"/>
      <c r="B143" s="128"/>
      <c r="C143" s="70"/>
      <c r="D143" s="69" t="s">
        <v>464</v>
      </c>
      <c r="E143" s="69"/>
      <c r="F143" s="131"/>
      <c r="G143" s="134">
        <f>IFERROR(VLOOKUP(C143,Hoja1!$A$2:$E$338,5,FALSE),)</f>
        <v>0</v>
      </c>
      <c r="H143" s="66"/>
      <c r="I143" s="125">
        <f>+I141+I142</f>
        <v>0</v>
      </c>
      <c r="J143" s="133" t="s">
        <v>465</v>
      </c>
    </row>
    <row r="144" spans="1:14" s="157" customFormat="1" ht="12.75" x14ac:dyDescent="0.2">
      <c r="A144" s="158"/>
      <c r="B144" s="158"/>
      <c r="C144" s="160"/>
      <c r="D144" s="161" t="s">
        <v>74</v>
      </c>
      <c r="E144" s="161"/>
      <c r="F144" s="162"/>
      <c r="G144" s="175">
        <f>IFERROR(VLOOKUP(C144,Hoja1!$A$2:$E$338,5,FALSE),)</f>
        <v>0</v>
      </c>
      <c r="H144" s="176"/>
      <c r="I144" s="165"/>
      <c r="J144" s="159"/>
      <c r="K144" s="159"/>
      <c r="L144" s="159"/>
      <c r="M144" s="159"/>
      <c r="N144" s="159"/>
    </row>
    <row r="145" spans="1:9" ht="12.75" x14ac:dyDescent="0.2">
      <c r="A145" s="128"/>
      <c r="B145" s="128"/>
      <c r="C145" s="130"/>
      <c r="D145" s="128"/>
      <c r="E145" s="128"/>
      <c r="F145" s="131"/>
      <c r="G145" s="129"/>
      <c r="I145" s="150"/>
    </row>
    <row r="146" spans="1:9" ht="12.75" x14ac:dyDescent="0.2">
      <c r="A146" s="128"/>
      <c r="B146" s="128"/>
      <c r="C146" s="130"/>
      <c r="D146" s="69" t="s">
        <v>466</v>
      </c>
      <c r="E146" s="69"/>
      <c r="F146" s="131"/>
      <c r="G146" s="129">
        <f t="shared" ref="G146:G153" si="0">+F146</f>
        <v>0</v>
      </c>
      <c r="I146" s="177"/>
    </row>
    <row r="147" spans="1:9" ht="12.75" x14ac:dyDescent="0.2">
      <c r="A147" s="128"/>
      <c r="B147" s="128"/>
      <c r="C147" s="130"/>
      <c r="D147" s="69" t="s">
        <v>467</v>
      </c>
      <c r="E147" s="69"/>
      <c r="F147" s="131"/>
      <c r="G147" s="129">
        <f t="shared" si="0"/>
        <v>0</v>
      </c>
    </row>
    <row r="148" spans="1:9" ht="12.75" x14ac:dyDescent="0.2">
      <c r="A148" s="128"/>
      <c r="B148" s="128"/>
      <c r="C148" s="130"/>
      <c r="D148" s="130" t="s">
        <v>468</v>
      </c>
      <c r="E148" s="70"/>
      <c r="F148" s="131"/>
      <c r="G148" s="129">
        <f t="shared" si="0"/>
        <v>0</v>
      </c>
    </row>
    <row r="149" spans="1:9" ht="12.75" x14ac:dyDescent="0.2">
      <c r="A149" s="128"/>
      <c r="B149" s="128"/>
      <c r="C149" s="130"/>
      <c r="D149" s="130" t="s">
        <v>469</v>
      </c>
      <c r="E149" s="70"/>
      <c r="F149" s="131"/>
      <c r="G149" s="129">
        <f t="shared" si="0"/>
        <v>0</v>
      </c>
    </row>
    <row r="150" spans="1:9" ht="12.75" x14ac:dyDescent="0.2">
      <c r="A150" s="128"/>
      <c r="B150" s="128"/>
      <c r="C150" s="130"/>
      <c r="D150" s="130" t="s">
        <v>470</v>
      </c>
      <c r="E150" s="70" t="s">
        <v>470</v>
      </c>
      <c r="F150" s="131"/>
      <c r="G150" s="129">
        <f t="shared" si="0"/>
        <v>0</v>
      </c>
    </row>
    <row r="151" spans="1:9" ht="12.75" x14ac:dyDescent="0.2">
      <c r="A151" s="128"/>
      <c r="B151" s="128"/>
      <c r="C151" s="130"/>
      <c r="D151" s="130" t="s">
        <v>471</v>
      </c>
      <c r="E151" s="70"/>
      <c r="F151" s="131">
        <f>IFERROR(VLOOKUP(D151,Hoja1!$A$2:$E$399,5,FALSE),)</f>
        <v>0</v>
      </c>
      <c r="G151" s="129">
        <f t="shared" si="0"/>
        <v>0</v>
      </c>
    </row>
    <row r="152" spans="1:9" ht="12.75" x14ac:dyDescent="0.2">
      <c r="A152" s="128"/>
      <c r="B152" s="128"/>
      <c r="C152" s="130"/>
      <c r="D152" s="130" t="s">
        <v>472</v>
      </c>
      <c r="E152" s="70"/>
      <c r="F152" s="131">
        <f>IFERROR(VLOOKUP(D152,Hoja1!$A$2:$E$399,5,FALSE),)</f>
        <v>0</v>
      </c>
      <c r="G152" s="129">
        <f t="shared" si="0"/>
        <v>0</v>
      </c>
    </row>
    <row r="153" spans="1:9" ht="12.75" x14ac:dyDescent="0.2">
      <c r="A153" s="128"/>
      <c r="B153" s="128"/>
      <c r="C153" s="130"/>
      <c r="D153" s="130" t="s">
        <v>473</v>
      </c>
      <c r="E153" s="70"/>
      <c r="F153" s="131">
        <f>IFERROR(VLOOKUP(D153,Hoja1!$A$2:$E$399,5,FALSE),)</f>
        <v>6840000</v>
      </c>
      <c r="G153" s="129">
        <f t="shared" si="0"/>
        <v>6840000</v>
      </c>
      <c r="H153" s="34" t="s">
        <v>474</v>
      </c>
    </row>
    <row r="154" spans="1:9" ht="12.75" x14ac:dyDescent="0.2">
      <c r="A154" s="128"/>
      <c r="B154" s="128"/>
      <c r="C154" s="130"/>
      <c r="D154" s="69" t="s">
        <v>475</v>
      </c>
      <c r="E154" s="69"/>
      <c r="F154" s="131">
        <f>IFERROR(VLOOKUP(D154,Hoja1!$A$2:$E$399,5,FALSE),)</f>
        <v>0</v>
      </c>
      <c r="G154" s="129">
        <f>SUM(F155:F158)</f>
        <v>0</v>
      </c>
    </row>
    <row r="155" spans="1:9" ht="12.75" x14ac:dyDescent="0.2">
      <c r="A155" s="128"/>
      <c r="B155" s="128"/>
      <c r="C155" s="130"/>
      <c r="D155" s="69"/>
      <c r="E155" s="70" t="s">
        <v>476</v>
      </c>
      <c r="F155" s="131">
        <f>IFERROR(VLOOKUP(E155,Hoja1!$A$2:$E$399,5,FALSE),)</f>
        <v>0</v>
      </c>
      <c r="G155" s="129"/>
      <c r="H155" s="70"/>
      <c r="I155" s="155"/>
    </row>
    <row r="156" spans="1:9" ht="12.75" x14ac:dyDescent="0.2">
      <c r="A156" s="128"/>
      <c r="B156" s="128"/>
      <c r="C156" s="130"/>
      <c r="D156" s="69"/>
      <c r="E156" s="70" t="s">
        <v>477</v>
      </c>
      <c r="F156" s="131">
        <f>IFERROR(VLOOKUP(E156,Hoja1!$A$2:$E$399,5,FALSE),)</f>
        <v>0</v>
      </c>
      <c r="G156" s="129"/>
      <c r="H156" s="70"/>
      <c r="I156" s="155"/>
    </row>
    <row r="157" spans="1:9" ht="12.75" x14ac:dyDescent="0.2">
      <c r="A157" s="128"/>
      <c r="B157" s="128"/>
      <c r="C157" s="130"/>
      <c r="D157" s="69"/>
      <c r="E157" s="70" t="s">
        <v>478</v>
      </c>
      <c r="F157" s="131">
        <f>IFERROR(VLOOKUP(E157,Hoja1!$A$2:$E$399,5,FALSE),)</f>
        <v>0</v>
      </c>
      <c r="G157" s="129"/>
      <c r="H157" s="70"/>
      <c r="I157" s="155"/>
    </row>
    <row r="158" spans="1:9" ht="12.75" x14ac:dyDescent="0.2">
      <c r="A158" s="128"/>
      <c r="B158" s="128"/>
      <c r="C158" s="130"/>
      <c r="D158" s="69"/>
      <c r="E158" s="70" t="s">
        <v>479</v>
      </c>
      <c r="F158" s="131">
        <f>IFERROR(VLOOKUP(E158,Hoja1!$A$2:$E$399,5,FALSE),)</f>
        <v>0</v>
      </c>
      <c r="G158" s="129"/>
      <c r="H158" s="70"/>
      <c r="I158" s="155"/>
    </row>
    <row r="159" spans="1:9" ht="12.75" x14ac:dyDescent="0.2">
      <c r="A159" s="128"/>
      <c r="B159" s="128"/>
      <c r="C159" s="130"/>
      <c r="D159" s="69" t="s">
        <v>480</v>
      </c>
      <c r="E159" s="69"/>
      <c r="F159" s="131"/>
      <c r="G159" s="178">
        <f>SUM(F160:F167)</f>
        <v>170441769.38999999</v>
      </c>
    </row>
    <row r="160" spans="1:9" ht="12.6" customHeight="1" x14ac:dyDescent="0.2">
      <c r="A160" s="128"/>
      <c r="B160" s="128"/>
      <c r="C160" s="130"/>
      <c r="D160" s="69"/>
      <c r="E160" s="70" t="s">
        <v>481</v>
      </c>
      <c r="F160" s="131">
        <f>IFERROR(VLOOKUP(E160,Hoja1!$A$2:$E$399,5,FALSE),)</f>
        <v>0</v>
      </c>
      <c r="G160" s="129"/>
    </row>
    <row r="161" spans="1:13" ht="12.75" x14ac:dyDescent="0.2">
      <c r="A161" s="128"/>
      <c r="B161" s="128"/>
      <c r="C161" s="130"/>
      <c r="D161" s="69"/>
      <c r="E161" s="70" t="s">
        <v>482</v>
      </c>
      <c r="F161" s="131">
        <f>IFERROR(VLOOKUP(E161,Hoja1!$A$2:$E$399,5,FALSE),)</f>
        <v>75509615</v>
      </c>
      <c r="G161" s="129"/>
    </row>
    <row r="162" spans="1:13" ht="12.75" x14ac:dyDescent="0.2">
      <c r="A162" s="128"/>
      <c r="B162" s="128"/>
      <c r="C162" s="130"/>
      <c r="D162" s="69"/>
      <c r="E162" s="70" t="s">
        <v>483</v>
      </c>
      <c r="F162" s="131">
        <f>IFERROR(VLOOKUP(E162,Hoja1!$A$2:$E$399,5,FALSE),)</f>
        <v>19677599.580000002</v>
      </c>
      <c r="G162" s="129"/>
    </row>
    <row r="163" spans="1:13" ht="12.75" x14ac:dyDescent="0.2">
      <c r="A163" s="128"/>
      <c r="B163" s="128"/>
      <c r="C163" s="130"/>
      <c r="D163" s="69"/>
      <c r="E163" s="70" t="s">
        <v>484</v>
      </c>
      <c r="F163" s="131">
        <f>IFERROR(VLOOKUP(E163,Hoja1!$A$2:$E$399,5,FALSE),)</f>
        <v>71304554.810000002</v>
      </c>
      <c r="G163" s="129"/>
    </row>
    <row r="164" spans="1:13" ht="12.75" x14ac:dyDescent="0.2">
      <c r="A164" s="128"/>
      <c r="B164" s="128"/>
      <c r="C164" s="130"/>
      <c r="D164" s="69"/>
      <c r="E164" s="70" t="s">
        <v>485</v>
      </c>
      <c r="F164" s="131">
        <f>IFERROR(VLOOKUP(E164,Hoja1!$A$2:$E$399,5,FALSE),)</f>
        <v>0</v>
      </c>
      <c r="G164" s="129"/>
    </row>
    <row r="165" spans="1:13" ht="12.75" x14ac:dyDescent="0.2">
      <c r="A165" s="128"/>
      <c r="B165" s="128"/>
      <c r="C165" s="130"/>
      <c r="D165" s="69"/>
      <c r="E165" s="70" t="s">
        <v>486</v>
      </c>
      <c r="F165" s="131">
        <f>IFERROR(VLOOKUP(E165,Hoja1!$A$2:$E$399,5,FALSE),)</f>
        <v>0</v>
      </c>
      <c r="G165" s="129"/>
    </row>
    <row r="166" spans="1:13" ht="12.75" x14ac:dyDescent="0.2">
      <c r="A166" s="128"/>
      <c r="B166" s="128"/>
      <c r="C166" s="130"/>
      <c r="D166" s="69"/>
      <c r="E166" s="70" t="s">
        <v>487</v>
      </c>
      <c r="F166" s="131">
        <f>IFERROR(VLOOKUP(E166,Hoja1!$A$2:$E$399,5,FALSE),)</f>
        <v>0</v>
      </c>
      <c r="G166" s="129"/>
    </row>
    <row r="167" spans="1:13" ht="12.75" x14ac:dyDescent="0.2">
      <c r="A167" s="128"/>
      <c r="B167" s="128"/>
      <c r="C167" s="130"/>
      <c r="D167" s="69"/>
      <c r="E167" s="70" t="s">
        <v>488</v>
      </c>
      <c r="F167" s="131">
        <f>IFERROR(VLOOKUP(E167,Hoja1!$A$2:$E$399,5,FALSE),)</f>
        <v>3950000</v>
      </c>
      <c r="G167" s="129"/>
    </row>
    <row r="168" spans="1:13" ht="12.75" x14ac:dyDescent="0.2">
      <c r="A168" s="128"/>
      <c r="B168" s="128"/>
      <c r="C168" s="130"/>
      <c r="D168" s="69" t="s">
        <v>489</v>
      </c>
      <c r="E168" s="179"/>
      <c r="F168" s="131">
        <f>IFERROR(VLOOKUP(D168,Hoja1!$A$2:$E$399,5,FALSE),)</f>
        <v>11619112.85</v>
      </c>
      <c r="G168" s="178">
        <f>+F168</f>
        <v>11619112.85</v>
      </c>
      <c r="H168" s="66"/>
    </row>
    <row r="169" spans="1:13" ht="12.75" x14ac:dyDescent="0.2">
      <c r="A169" s="128"/>
      <c r="B169" s="128"/>
      <c r="C169" s="130"/>
      <c r="D169" s="69" t="s">
        <v>490</v>
      </c>
      <c r="E169" s="179"/>
      <c r="F169" s="131">
        <f>IFERROR(VLOOKUP(D169,Hoja1!$A$2:$E$399,5,FALSE),)</f>
        <v>146974706.71000001</v>
      </c>
      <c r="G169" s="178">
        <f>+F169</f>
        <v>146974706.71000001</v>
      </c>
    </row>
    <row r="170" spans="1:13" ht="12.75" x14ac:dyDescent="0.2">
      <c r="A170" s="128"/>
      <c r="B170" s="128"/>
      <c r="C170" s="130"/>
      <c r="D170" s="69" t="s">
        <v>491</v>
      </c>
      <c r="E170" s="179"/>
      <c r="F170" s="131">
        <f>IFERROR(VLOOKUP(D170,Hoja1!$A$2:$E$399,5,FALSE),)</f>
        <v>14081454.359999999</v>
      </c>
      <c r="G170" s="178">
        <f>+F170</f>
        <v>14081454.359999999</v>
      </c>
      <c r="I170" s="155"/>
      <c r="J170" s="70"/>
      <c r="K170" s="70"/>
      <c r="L170" s="70"/>
      <c r="M170" s="70"/>
    </row>
    <row r="171" spans="1:13" ht="12.75" x14ac:dyDescent="0.2">
      <c r="A171" s="128"/>
      <c r="B171" s="128"/>
      <c r="C171" s="130"/>
      <c r="D171" s="69" t="s">
        <v>492</v>
      </c>
      <c r="E171" s="179"/>
      <c r="F171" s="141"/>
      <c r="G171" s="178">
        <f>SUM(F172:F177)</f>
        <v>1068794.4099999999</v>
      </c>
    </row>
    <row r="172" spans="1:13" ht="12.75" x14ac:dyDescent="0.2">
      <c r="A172" s="128"/>
      <c r="B172" s="128"/>
      <c r="C172" s="130"/>
      <c r="D172" s="69"/>
      <c r="E172" s="70" t="s">
        <v>493</v>
      </c>
      <c r="F172" s="131">
        <f>IFERROR(VLOOKUP(E172,Hoja1!$A$2:$E$399,5,FALSE),)</f>
        <v>1058304.4099999999</v>
      </c>
      <c r="G172" s="129"/>
    </row>
    <row r="173" spans="1:13" ht="12.75" x14ac:dyDescent="0.2">
      <c r="A173" s="128"/>
      <c r="B173" s="128"/>
      <c r="C173" s="130"/>
      <c r="D173" s="69"/>
      <c r="E173" s="70" t="s">
        <v>494</v>
      </c>
      <c r="F173" s="131">
        <f>IFERROR(VLOOKUP(E173,Hoja1!$A$2:$E$399,5,FALSE),)</f>
        <v>0</v>
      </c>
      <c r="G173" s="129"/>
    </row>
    <row r="174" spans="1:13" ht="12.75" x14ac:dyDescent="0.2">
      <c r="A174" s="128"/>
      <c r="B174" s="128"/>
      <c r="C174" s="130"/>
      <c r="D174" s="69"/>
      <c r="E174" s="70" t="s">
        <v>495</v>
      </c>
      <c r="F174" s="131">
        <f>IFERROR(VLOOKUP(E174,Hoja1!$A$2:$E$399,5,FALSE),)</f>
        <v>10490</v>
      </c>
      <c r="G174" s="129"/>
    </row>
    <row r="175" spans="1:13" ht="12.75" x14ac:dyDescent="0.2">
      <c r="A175" s="128"/>
      <c r="B175" s="128"/>
      <c r="C175" s="130"/>
      <c r="D175" s="69"/>
      <c r="E175" s="70" t="s">
        <v>496</v>
      </c>
      <c r="F175" s="131">
        <f>IFERROR(VLOOKUP(E175,Hoja1!$A$2:$E$399,5,FALSE),)</f>
        <v>0</v>
      </c>
      <c r="G175" s="129"/>
    </row>
    <row r="176" spans="1:13" ht="12.75" x14ac:dyDescent="0.2">
      <c r="A176" s="128"/>
      <c r="B176" s="128"/>
      <c r="C176" s="130"/>
      <c r="D176" s="69"/>
      <c r="E176" s="70" t="s">
        <v>497</v>
      </c>
      <c r="F176" s="131">
        <f>IFERROR(VLOOKUP(E176,Hoja1!$A$2:$E$399,5,FALSE),)</f>
        <v>0</v>
      </c>
      <c r="G176" s="129"/>
    </row>
    <row r="177" spans="1:9" ht="12.75" x14ac:dyDescent="0.2">
      <c r="A177" s="128"/>
      <c r="B177" s="128"/>
      <c r="C177" s="130"/>
      <c r="D177" s="69"/>
      <c r="E177" s="70" t="s">
        <v>498</v>
      </c>
      <c r="F177" s="131">
        <f>IFERROR(VLOOKUP(E177,Hoja1!$A$2:$E$399,5,FALSE),)</f>
        <v>0</v>
      </c>
      <c r="G177" s="129"/>
    </row>
    <row r="178" spans="1:9" ht="12.75" x14ac:dyDescent="0.2">
      <c r="A178" s="128"/>
      <c r="B178" s="128"/>
      <c r="C178" s="130"/>
      <c r="D178" s="69" t="s">
        <v>499</v>
      </c>
      <c r="E178" s="69"/>
      <c r="F178" s="131">
        <f>IFERROR(VLOOKUP(D178,Hoja1!$A$2:$E$375,5,FALSE),)</f>
        <v>0</v>
      </c>
      <c r="G178" s="129">
        <f>+F178</f>
        <v>0</v>
      </c>
    </row>
    <row r="179" spans="1:9" ht="12.75" x14ac:dyDescent="0.2">
      <c r="A179" s="128"/>
      <c r="B179" s="128"/>
      <c r="C179" s="130"/>
      <c r="D179" s="69" t="s">
        <v>500</v>
      </c>
      <c r="E179" s="69"/>
      <c r="F179" s="131"/>
      <c r="G179" s="178">
        <f>SUM(F180:F185)</f>
        <v>3938960.9</v>
      </c>
    </row>
    <row r="180" spans="1:9" ht="12.75" x14ac:dyDescent="0.2">
      <c r="A180" s="128"/>
      <c r="B180" s="128"/>
      <c r="C180" s="130"/>
      <c r="D180" s="69"/>
      <c r="E180" s="70" t="s">
        <v>501</v>
      </c>
      <c r="F180" s="131">
        <f>IFERROR(VLOOKUP(E180,Hoja1!$A$2:$E$399,5,FALSE),)</f>
        <v>0</v>
      </c>
      <c r="G180" s="129"/>
    </row>
    <row r="181" spans="1:9" ht="12.75" x14ac:dyDescent="0.2">
      <c r="A181" s="128"/>
      <c r="B181" s="128"/>
      <c r="C181" s="130"/>
      <c r="D181" s="69"/>
      <c r="E181" s="70" t="s">
        <v>502</v>
      </c>
      <c r="F181" s="131">
        <f>IFERROR(VLOOKUP(E181,Hoja1!$A$2:$E$399,5,FALSE),)</f>
        <v>3688960.9</v>
      </c>
      <c r="G181" s="129"/>
    </row>
    <row r="182" spans="1:9" ht="12.75" x14ac:dyDescent="0.2">
      <c r="A182" s="128"/>
      <c r="B182" s="128"/>
      <c r="C182" s="130"/>
      <c r="D182" s="69"/>
      <c r="E182" s="70" t="s">
        <v>503</v>
      </c>
      <c r="F182" s="131">
        <f>IFERROR(VLOOKUP(E182,Hoja1!$A$2:$E$399,5,FALSE),)</f>
        <v>0</v>
      </c>
      <c r="G182" s="129"/>
    </row>
    <row r="183" spans="1:9" ht="12.75" x14ac:dyDescent="0.2">
      <c r="A183" s="128"/>
      <c r="B183" s="128"/>
      <c r="C183" s="130"/>
      <c r="D183" s="69"/>
      <c r="E183" s="70" t="s">
        <v>504</v>
      </c>
      <c r="F183" s="131">
        <f>IFERROR(VLOOKUP(E183,Hoja1!$A$2:$E$399,5,FALSE),)</f>
        <v>250000</v>
      </c>
      <c r="G183" s="129"/>
      <c r="H183" s="70"/>
      <c r="I183" s="155"/>
    </row>
    <row r="184" spans="1:9" ht="12.75" x14ac:dyDescent="0.2">
      <c r="A184" s="128"/>
      <c r="B184" s="128"/>
      <c r="C184" s="130"/>
      <c r="D184" s="69"/>
      <c r="E184" s="70" t="s">
        <v>505</v>
      </c>
      <c r="F184" s="131">
        <f>IFERROR(VLOOKUP(E184,Hoja1!$A$2:$E$399,5,FALSE),)</f>
        <v>0</v>
      </c>
      <c r="G184" s="129"/>
      <c r="H184" s="70"/>
      <c r="I184" s="155"/>
    </row>
    <row r="185" spans="1:9" ht="12.75" x14ac:dyDescent="0.2">
      <c r="A185" s="128"/>
      <c r="B185" s="128"/>
      <c r="C185" s="130"/>
      <c r="D185" s="69"/>
      <c r="E185" s="70"/>
      <c r="F185" s="131"/>
      <c r="G185" s="129"/>
      <c r="H185" s="70"/>
      <c r="I185" s="155"/>
    </row>
    <row r="186" spans="1:9" ht="12.75" x14ac:dyDescent="0.2">
      <c r="A186" s="128"/>
      <c r="B186" s="128"/>
      <c r="C186" s="130"/>
      <c r="D186" s="69" t="s">
        <v>506</v>
      </c>
      <c r="E186" s="179"/>
      <c r="F186" s="131"/>
      <c r="G186" s="129">
        <f>+F186</f>
        <v>0</v>
      </c>
    </row>
    <row r="187" spans="1:9" ht="12.75" x14ac:dyDescent="0.2">
      <c r="A187" s="128"/>
      <c r="B187" s="128"/>
      <c r="C187" s="130"/>
      <c r="D187" s="69" t="s">
        <v>507</v>
      </c>
      <c r="E187" s="70" t="s">
        <v>508</v>
      </c>
      <c r="F187" s="131">
        <f>IFERROR(VLOOKUP(E187,Hoja1!$A$2:$E$399,5,FALSE),)</f>
        <v>30000</v>
      </c>
      <c r="G187" s="129">
        <f>+F187</f>
        <v>30000</v>
      </c>
      <c r="H187" s="70"/>
      <c r="I187" s="155"/>
    </row>
    <row r="188" spans="1:9" ht="12.75" x14ac:dyDescent="0.2">
      <c r="A188" s="128"/>
      <c r="B188" s="128"/>
      <c r="C188" s="130"/>
      <c r="D188" s="69" t="s">
        <v>509</v>
      </c>
      <c r="E188" s="74"/>
      <c r="F188" s="131"/>
      <c r="G188" s="178">
        <f>SUM(F189:F196)</f>
        <v>10335682.84</v>
      </c>
    </row>
    <row r="189" spans="1:9" ht="12.75" x14ac:dyDescent="0.2">
      <c r="A189" s="128"/>
      <c r="B189" s="128"/>
      <c r="C189" s="130"/>
      <c r="D189" s="69"/>
      <c r="E189" s="70" t="s">
        <v>510</v>
      </c>
      <c r="F189" s="131">
        <f>IFERROR(VLOOKUP(E189,Hoja1!$A$2:$E$399,5,FALSE),)</f>
        <v>9520573.0899999999</v>
      </c>
      <c r="G189" s="129"/>
    </row>
    <row r="190" spans="1:9" ht="12.75" x14ac:dyDescent="0.2">
      <c r="A190" s="128"/>
      <c r="B190" s="128"/>
      <c r="C190" s="130"/>
      <c r="D190" s="69"/>
      <c r="E190" s="70" t="s">
        <v>511</v>
      </c>
      <c r="F190" s="131">
        <f>IFERROR(VLOOKUP(E190,Hoja1!$A$2:$E$399,5,FALSE),)</f>
        <v>0</v>
      </c>
      <c r="G190" s="129"/>
    </row>
    <row r="191" spans="1:9" ht="12.75" x14ac:dyDescent="0.2">
      <c r="A191" s="128"/>
      <c r="B191" s="128"/>
      <c r="C191" s="130"/>
      <c r="D191" s="69"/>
      <c r="E191" s="70" t="s">
        <v>512</v>
      </c>
      <c r="F191" s="131">
        <f>IFERROR(VLOOKUP(E191,Hoja1!$A$2:$E$399,5,FALSE),)</f>
        <v>815109.75</v>
      </c>
      <c r="G191" s="129"/>
    </row>
    <row r="192" spans="1:9" ht="12.75" x14ac:dyDescent="0.2">
      <c r="A192" s="128"/>
      <c r="B192" s="128"/>
      <c r="C192" s="130"/>
      <c r="D192" s="69"/>
      <c r="E192" s="70" t="s">
        <v>513</v>
      </c>
      <c r="F192" s="131">
        <f>IFERROR(VLOOKUP(E192,Hoja1!$A$2:$E$399,5,FALSE),)</f>
        <v>0</v>
      </c>
      <c r="G192" s="129"/>
    </row>
    <row r="193" spans="1:14" ht="12.75" x14ac:dyDescent="0.2">
      <c r="A193" s="128"/>
      <c r="B193" s="128"/>
      <c r="C193" s="130"/>
      <c r="D193" s="69"/>
      <c r="E193" s="70" t="s">
        <v>514</v>
      </c>
      <c r="F193" s="131">
        <f>IFERROR(VLOOKUP(E193,Hoja1!$A$2:$E$399,5,FALSE),)</f>
        <v>0</v>
      </c>
      <c r="G193" s="129"/>
    </row>
    <row r="194" spans="1:14" ht="12.75" x14ac:dyDescent="0.2">
      <c r="A194" s="128"/>
      <c r="B194" s="128"/>
      <c r="C194" s="130"/>
      <c r="D194" s="69"/>
      <c r="E194" s="70" t="s">
        <v>515</v>
      </c>
      <c r="F194" s="131">
        <f>IFERROR(VLOOKUP(E194,Hoja1!$A$2:$E$399,5,FALSE),)</f>
        <v>0</v>
      </c>
      <c r="G194" s="129"/>
    </row>
    <row r="195" spans="1:14" ht="12.75" x14ac:dyDescent="0.2">
      <c r="A195" s="128"/>
      <c r="B195" s="128"/>
      <c r="C195" s="130"/>
      <c r="D195" s="69"/>
      <c r="E195" s="70" t="s">
        <v>516</v>
      </c>
      <c r="F195" s="131">
        <f>IFERROR(VLOOKUP(E195,Hoja1!$A$2:$E$399,5,FALSE),)</f>
        <v>0</v>
      </c>
      <c r="G195" s="129"/>
    </row>
    <row r="196" spans="1:14" ht="12.75" x14ac:dyDescent="0.2">
      <c r="A196" s="128"/>
      <c r="B196" s="128"/>
      <c r="C196" s="130"/>
      <c r="D196" s="69"/>
      <c r="E196" s="70" t="s">
        <v>517</v>
      </c>
      <c r="F196" s="131">
        <f>IFERROR(VLOOKUP(E196,Hoja1!$A$2:$E$399,5,FALSE),)</f>
        <v>0</v>
      </c>
      <c r="G196" s="129"/>
    </row>
    <row r="197" spans="1:14" ht="12.75" x14ac:dyDescent="0.2">
      <c r="A197" s="128"/>
      <c r="B197" s="128"/>
      <c r="C197" s="130"/>
      <c r="D197" s="130" t="s">
        <v>518</v>
      </c>
      <c r="E197" s="70" t="s">
        <v>519</v>
      </c>
      <c r="F197" s="131">
        <f>IFERROR(VLOOKUP(E197,Hoja1!$A$2:$E$399,5,FALSE),)</f>
        <v>0</v>
      </c>
      <c r="G197" s="129">
        <f>+F197+F198+F199</f>
        <v>0</v>
      </c>
    </row>
    <row r="198" spans="1:14" ht="12.75" x14ac:dyDescent="0.2">
      <c r="A198" s="128"/>
      <c r="B198" s="128"/>
      <c r="C198" s="130"/>
      <c r="D198" s="130"/>
      <c r="E198" s="70" t="s">
        <v>520</v>
      </c>
      <c r="F198" s="131">
        <f>IFERROR(VLOOKUP(E198,Hoja1!$A$2:$E$399,5,FALSE),)</f>
        <v>0</v>
      </c>
      <c r="G198" s="129"/>
      <c r="H198" s="70"/>
      <c r="I198" s="155"/>
    </row>
    <row r="199" spans="1:14" ht="12.75" x14ac:dyDescent="0.2">
      <c r="A199" s="128"/>
      <c r="B199" s="128"/>
      <c r="C199" s="130"/>
      <c r="D199" s="130"/>
      <c r="E199" s="70" t="s">
        <v>521</v>
      </c>
      <c r="F199" s="131">
        <f>IFERROR(VLOOKUP(E199,Hoja1!$A$2:$E$399,5,FALSE),)</f>
        <v>0</v>
      </c>
      <c r="G199" s="129"/>
      <c r="H199" s="70"/>
      <c r="I199" s="155"/>
    </row>
    <row r="200" spans="1:14" ht="12.75" x14ac:dyDescent="0.2">
      <c r="A200" s="128"/>
      <c r="B200" s="128"/>
      <c r="C200" s="130"/>
      <c r="D200" s="130" t="s">
        <v>522</v>
      </c>
      <c r="E200" s="70" t="s">
        <v>523</v>
      </c>
      <c r="F200" s="131">
        <f>IFERROR(VLOOKUP(E200,Hoja1!$A$2:$E$399,5,FALSE),)</f>
        <v>-6975688.5700000003</v>
      </c>
      <c r="G200" s="178">
        <f>SUM(F200:F201)</f>
        <v>-3615904.1100000003</v>
      </c>
      <c r="H200" s="70"/>
      <c r="I200" s="155"/>
    </row>
    <row r="201" spans="1:14" ht="12.75" x14ac:dyDescent="0.2">
      <c r="A201" s="128"/>
      <c r="B201" s="128"/>
      <c r="C201" s="130"/>
      <c r="D201" s="130"/>
      <c r="E201" s="70" t="s">
        <v>524</v>
      </c>
      <c r="F201" s="131">
        <f>IFERROR(VLOOKUP(E201,Hoja1!$A$2:$E$399,5,FALSE),)</f>
        <v>3359784.46</v>
      </c>
      <c r="G201" s="129"/>
      <c r="H201" s="70"/>
      <c r="I201" s="155"/>
    </row>
    <row r="202" spans="1:14" ht="12.75" x14ac:dyDescent="0.2">
      <c r="A202" s="128"/>
      <c r="B202" s="128"/>
      <c r="C202" s="130"/>
      <c r="D202" s="69" t="s">
        <v>525</v>
      </c>
      <c r="E202" s="179"/>
      <c r="F202" s="131"/>
      <c r="G202" s="129">
        <f>+F202</f>
        <v>0</v>
      </c>
      <c r="J202" s="70"/>
      <c r="K202" s="70"/>
      <c r="L202" s="70"/>
      <c r="M202" s="70"/>
      <c r="N202" s="70"/>
    </row>
    <row r="203" spans="1:14" ht="12.75" x14ac:dyDescent="0.2">
      <c r="A203" s="128"/>
      <c r="B203" s="128"/>
      <c r="C203" s="130"/>
      <c r="D203" s="69" t="s">
        <v>526</v>
      </c>
      <c r="E203" s="70" t="s">
        <v>527</v>
      </c>
      <c r="F203" s="131">
        <f>IFERROR(VLOOKUP(E203,Hoja1!$A$2:$E$399,5,FALSE),)</f>
        <v>3502753.58</v>
      </c>
      <c r="G203" s="178">
        <f>+F203</f>
        <v>3502753.58</v>
      </c>
      <c r="H203" s="70"/>
      <c r="I203" s="155"/>
    </row>
    <row r="204" spans="1:14" ht="12.75" x14ac:dyDescent="0.2">
      <c r="A204" s="128"/>
      <c r="B204" s="128"/>
      <c r="C204" s="130"/>
      <c r="D204" s="69"/>
      <c r="E204" s="69" t="s">
        <v>526</v>
      </c>
      <c r="F204" s="131">
        <f>IFERROR(VLOOKUP(E204,Hoja1!$A$2:$E$399,5,FALSE),)</f>
        <v>0</v>
      </c>
      <c r="G204" s="129"/>
    </row>
    <row r="205" spans="1:14" ht="12.75" x14ac:dyDescent="0.2">
      <c r="A205" s="128"/>
      <c r="B205" s="128"/>
      <c r="C205" s="130"/>
      <c r="D205" s="69" t="s">
        <v>528</v>
      </c>
      <c r="E205" s="179"/>
      <c r="F205" s="131"/>
      <c r="G205" s="129">
        <f>+F206</f>
        <v>0</v>
      </c>
    </row>
    <row r="206" spans="1:14" ht="12.75" x14ac:dyDescent="0.2">
      <c r="A206" s="128"/>
      <c r="B206" s="128"/>
      <c r="C206" s="130"/>
      <c r="D206" s="69"/>
      <c r="E206" s="70" t="s">
        <v>529</v>
      </c>
      <c r="F206" s="131">
        <f>IFERROR(VLOOKUP(E206,Hoja1!$A$2:$E$399,5,FALSE),)</f>
        <v>0</v>
      </c>
      <c r="G206" s="129"/>
    </row>
    <row r="207" spans="1:14" ht="12.75" x14ac:dyDescent="0.2">
      <c r="A207" s="128"/>
      <c r="B207" s="128"/>
      <c r="C207" s="130"/>
      <c r="D207" s="69"/>
      <c r="E207" s="179" t="s">
        <v>530</v>
      </c>
      <c r="F207" s="131">
        <f>IFERROR(VLOOKUP(E207,Hoja1!$A$2:$E$399,5,FALSE),)</f>
        <v>0</v>
      </c>
      <c r="G207" s="129"/>
    </row>
    <row r="208" spans="1:14" ht="12.75" x14ac:dyDescent="0.2">
      <c r="A208" s="128"/>
      <c r="B208" s="128"/>
      <c r="C208" s="130"/>
      <c r="D208" s="69" t="s">
        <v>531</v>
      </c>
      <c r="E208" s="179"/>
      <c r="F208" s="131"/>
      <c r="G208" s="129">
        <f>SUM(F209:F212)</f>
        <v>700000</v>
      </c>
    </row>
    <row r="209" spans="1:14" ht="12.75" x14ac:dyDescent="0.2">
      <c r="A209" s="128"/>
      <c r="B209" s="128"/>
      <c r="C209" s="130"/>
      <c r="D209" s="69"/>
      <c r="E209" s="70" t="s">
        <v>532</v>
      </c>
      <c r="F209" s="131">
        <f>IFERROR(VLOOKUP(E209,Hoja1!$A$2:$E$399,5,FALSE),)</f>
        <v>0</v>
      </c>
      <c r="G209" s="129"/>
    </row>
    <row r="210" spans="1:14" ht="12.75" x14ac:dyDescent="0.2">
      <c r="A210" s="128"/>
      <c r="B210" s="128"/>
      <c r="C210" s="130"/>
      <c r="D210" s="69"/>
      <c r="E210" s="70" t="s">
        <v>533</v>
      </c>
      <c r="F210" s="131">
        <f>IFERROR(VLOOKUP(E210,Hoja1!$A$2:$E$399,5,FALSE),)</f>
        <v>700000</v>
      </c>
      <c r="G210" s="129"/>
      <c r="H210" s="70"/>
      <c r="I210" s="155"/>
    </row>
    <row r="211" spans="1:14" ht="12.75" x14ac:dyDescent="0.2">
      <c r="A211" s="128"/>
      <c r="B211" s="128"/>
      <c r="C211" s="130"/>
      <c r="D211" s="69"/>
      <c r="E211" s="70" t="s">
        <v>534</v>
      </c>
      <c r="F211" s="131">
        <f>IFERROR(VLOOKUP(E211,Hoja1!$A$2:$E$399,5,FALSE),)</f>
        <v>0</v>
      </c>
      <c r="G211" s="129"/>
      <c r="H211" s="70"/>
      <c r="I211" s="155"/>
    </row>
    <row r="212" spans="1:14" ht="12.75" x14ac:dyDescent="0.2">
      <c r="A212" s="128"/>
      <c r="B212" s="128"/>
      <c r="C212" s="130"/>
      <c r="D212" s="69"/>
      <c r="E212" s="70" t="s">
        <v>535</v>
      </c>
      <c r="F212" s="131">
        <f>IFERROR(VLOOKUP(E212,Hoja1!$A$2:$E$399,5,FALSE),)</f>
        <v>0</v>
      </c>
      <c r="G212" s="129"/>
      <c r="H212" s="70"/>
      <c r="I212" s="155"/>
    </row>
    <row r="213" spans="1:14" ht="12.75" x14ac:dyDescent="0.2">
      <c r="A213" s="128"/>
      <c r="B213" s="128"/>
      <c r="C213" s="130"/>
      <c r="D213" s="69" t="s">
        <v>536</v>
      </c>
      <c r="E213" s="179"/>
      <c r="F213" s="131"/>
      <c r="G213" s="178">
        <f>SUM(F213:F216)</f>
        <v>288818.78000000003</v>
      </c>
      <c r="H213" s="141"/>
    </row>
    <row r="214" spans="1:14" ht="12.75" x14ac:dyDescent="0.2">
      <c r="A214" s="128"/>
      <c r="B214" s="128"/>
      <c r="C214" s="130"/>
      <c r="D214" s="69"/>
      <c r="E214" s="70" t="s">
        <v>537</v>
      </c>
      <c r="F214" s="131">
        <f>IFERROR(VLOOKUP(E214,Hoja1!$A$2:$E$399,5,FALSE),)</f>
        <v>288818.78000000003</v>
      </c>
      <c r="G214" s="129"/>
      <c r="H214" s="141"/>
    </row>
    <row r="215" spans="1:14" ht="12.75" x14ac:dyDescent="0.2">
      <c r="A215" s="128"/>
      <c r="B215" s="128"/>
      <c r="C215" s="130"/>
      <c r="D215" s="69"/>
      <c r="E215" s="70" t="s">
        <v>538</v>
      </c>
      <c r="F215" s="131">
        <f>IFERROR(VLOOKUP(E215,Hoja1!$A$2:$E$399,5,FALSE),)</f>
        <v>0</v>
      </c>
      <c r="G215" s="129"/>
      <c r="H215" s="141"/>
    </row>
    <row r="216" spans="1:14" ht="12.75" x14ac:dyDescent="0.2">
      <c r="A216" s="128"/>
      <c r="B216" s="128"/>
      <c r="C216" s="130"/>
      <c r="D216" s="69"/>
      <c r="E216" s="70" t="s">
        <v>539</v>
      </c>
      <c r="F216" s="131">
        <f>IFERROR(VLOOKUP(E216,Hoja1!$A$2:$E$399,5,FALSE),)</f>
        <v>0</v>
      </c>
      <c r="G216" s="129"/>
      <c r="H216" s="141"/>
    </row>
    <row r="217" spans="1:14" ht="12.75" x14ac:dyDescent="0.2">
      <c r="A217" s="128"/>
      <c r="B217" s="128"/>
      <c r="C217" s="130"/>
      <c r="D217" s="69" t="s">
        <v>540</v>
      </c>
      <c r="E217" s="179"/>
      <c r="F217" s="131"/>
      <c r="G217" s="178">
        <f>SUM(F217:F224)</f>
        <v>5034121.24</v>
      </c>
      <c r="J217" s="70"/>
      <c r="K217" s="70"/>
      <c r="L217" s="70"/>
      <c r="M217" s="70"/>
      <c r="N217" s="70"/>
    </row>
    <row r="218" spans="1:14" ht="12.75" x14ac:dyDescent="0.2">
      <c r="A218" s="128"/>
      <c r="B218" s="128"/>
      <c r="C218" s="130"/>
      <c r="D218" s="69"/>
      <c r="E218" s="70" t="s">
        <v>541</v>
      </c>
      <c r="F218" s="131">
        <f>IFERROR(VLOOKUP(E218,Hoja1!$A$2:$E$399,5,FALSE),)</f>
        <v>0</v>
      </c>
      <c r="G218" s="129"/>
    </row>
    <row r="219" spans="1:14" ht="12.75" x14ac:dyDescent="0.2">
      <c r="A219" s="128"/>
      <c r="B219" s="128"/>
      <c r="C219" s="130"/>
      <c r="D219" s="69"/>
      <c r="E219" s="70" t="s">
        <v>542</v>
      </c>
      <c r="F219" s="131">
        <f>IFERROR(VLOOKUP(E219,Hoja1!$A$2:$E$399,5,FALSE),)</f>
        <v>3016013.02</v>
      </c>
      <c r="G219" s="129"/>
    </row>
    <row r="220" spans="1:14" ht="12.75" x14ac:dyDescent="0.2">
      <c r="A220" s="128"/>
      <c r="B220" s="128"/>
      <c r="C220" s="130"/>
      <c r="D220" s="69"/>
      <c r="E220" s="70" t="s">
        <v>543</v>
      </c>
      <c r="F220" s="131">
        <f>IFERROR(VLOOKUP(E220,Hoja1!$A$2:$E$399,5,FALSE),)</f>
        <v>0</v>
      </c>
      <c r="G220" s="129"/>
    </row>
    <row r="221" spans="1:14" ht="12.75" x14ac:dyDescent="0.2">
      <c r="A221" s="128"/>
      <c r="B221" s="128"/>
      <c r="C221" s="130"/>
      <c r="D221" s="69"/>
      <c r="E221" s="70" t="s">
        <v>544</v>
      </c>
      <c r="F221" s="131">
        <f>IFERROR(VLOOKUP(E221,Hoja1!$A$2:$E$399,5,FALSE),)</f>
        <v>1836290.04</v>
      </c>
      <c r="G221" s="129"/>
    </row>
    <row r="222" spans="1:14" ht="12.75" x14ac:dyDescent="0.2">
      <c r="A222" s="128"/>
      <c r="B222" s="128"/>
      <c r="C222" s="130"/>
      <c r="D222" s="69"/>
      <c r="E222" s="70" t="s">
        <v>545</v>
      </c>
      <c r="F222" s="131">
        <f>IFERROR(VLOOKUP(E222,Hoja1!$A$2:$E$399,5,FALSE),)</f>
        <v>0</v>
      </c>
      <c r="G222" s="129"/>
    </row>
    <row r="223" spans="1:14" ht="12.75" x14ac:dyDescent="0.2">
      <c r="A223" s="128"/>
      <c r="B223" s="128"/>
      <c r="C223" s="130"/>
      <c r="D223" s="69"/>
      <c r="E223" s="70" t="s">
        <v>546</v>
      </c>
      <c r="F223" s="131">
        <f>IFERROR(VLOOKUP(E223,Hoja1!$A$2:$E$399,5,FALSE),)</f>
        <v>181818.18</v>
      </c>
      <c r="G223" s="129"/>
      <c r="H223" s="70"/>
      <c r="I223" s="155"/>
    </row>
    <row r="224" spans="1:14" ht="12.75" x14ac:dyDescent="0.2">
      <c r="A224" s="128"/>
      <c r="B224" s="128"/>
      <c r="C224" s="130"/>
      <c r="D224" s="69"/>
      <c r="E224" s="70" t="s">
        <v>547</v>
      </c>
      <c r="F224" s="131">
        <f>IFERROR(VLOOKUP(E224,Hoja1!$A$2:$E$399,5,FALSE),)</f>
        <v>0</v>
      </c>
      <c r="G224" s="129"/>
      <c r="H224" s="70"/>
      <c r="I224" s="155"/>
    </row>
    <row r="225" spans="1:12" ht="12.75" x14ac:dyDescent="0.2">
      <c r="A225" s="128"/>
      <c r="B225" s="128"/>
      <c r="C225" s="130"/>
      <c r="D225" s="69"/>
      <c r="E225" s="70"/>
      <c r="F225" s="131"/>
      <c r="G225" s="129"/>
      <c r="H225" s="70"/>
      <c r="I225" s="155"/>
    </row>
    <row r="226" spans="1:12" ht="12.75" x14ac:dyDescent="0.2">
      <c r="A226" s="128"/>
      <c r="B226" s="128"/>
      <c r="C226" s="130"/>
      <c r="D226" s="69" t="s">
        <v>548</v>
      </c>
      <c r="E226" s="70" t="s">
        <v>549</v>
      </c>
      <c r="F226" s="131">
        <f>IFERROR(VLOOKUP(E226,Hoja1!$A$2:$E$399,5,FALSE),)</f>
        <v>2052084.4000000001</v>
      </c>
      <c r="G226" s="178">
        <f>SUM(F226:F228)</f>
        <v>2052084.4000000001</v>
      </c>
      <c r="H226" s="70"/>
      <c r="I226" s="155"/>
    </row>
    <row r="227" spans="1:12" ht="12.75" x14ac:dyDescent="0.2">
      <c r="A227" s="128"/>
      <c r="B227" s="128"/>
      <c r="C227" s="130"/>
      <c r="D227" s="69"/>
      <c r="E227" s="70" t="s">
        <v>550</v>
      </c>
      <c r="F227" s="131">
        <f>IFERROR(VLOOKUP(E227,Hoja1!$A$2:$E$399,5,FALSE),)</f>
        <v>0</v>
      </c>
      <c r="G227" s="129"/>
      <c r="H227" s="70"/>
      <c r="I227" s="155"/>
      <c r="J227" s="70"/>
      <c r="K227" s="70"/>
      <c r="L227" s="70"/>
    </row>
    <row r="228" spans="1:12" ht="12.75" x14ac:dyDescent="0.2">
      <c r="A228" s="128"/>
      <c r="B228" s="128"/>
      <c r="C228" s="130"/>
      <c r="D228" s="69"/>
      <c r="E228" s="70" t="s">
        <v>551</v>
      </c>
      <c r="F228" s="131">
        <f>IFERROR(VLOOKUP(E228,Hoja1!$A$2:$E$399,5,FALSE),)</f>
        <v>0</v>
      </c>
      <c r="G228" s="129"/>
      <c r="H228" s="70"/>
      <c r="I228" s="155"/>
      <c r="J228" s="70"/>
      <c r="K228" s="70"/>
      <c r="L228" s="70"/>
    </row>
    <row r="229" spans="1:12" ht="12.75" x14ac:dyDescent="0.2">
      <c r="A229" s="128"/>
      <c r="B229" s="128"/>
      <c r="C229" s="130"/>
      <c r="D229" s="69"/>
      <c r="E229" s="70"/>
      <c r="F229" s="131"/>
      <c r="G229" s="129"/>
      <c r="H229" s="70"/>
      <c r="I229" s="155"/>
      <c r="J229" s="70"/>
      <c r="K229" s="70"/>
      <c r="L229" s="70"/>
    </row>
    <row r="230" spans="1:12" ht="12.75" x14ac:dyDescent="0.2">
      <c r="A230" s="128"/>
      <c r="B230" s="128"/>
      <c r="C230" s="130"/>
      <c r="D230" s="69" t="s">
        <v>552</v>
      </c>
      <c r="E230" s="70" t="s">
        <v>553</v>
      </c>
      <c r="F230" s="131">
        <f>IFERROR(VLOOKUP(E230,Hoja1!$A$2:$E$399,5,FALSE),)</f>
        <v>39000</v>
      </c>
      <c r="G230" s="129">
        <f>SUM(F230:F231)</f>
        <v>39000</v>
      </c>
    </row>
    <row r="231" spans="1:12" ht="12.75" x14ac:dyDescent="0.2">
      <c r="A231" s="128"/>
      <c r="B231" s="128"/>
      <c r="C231" s="130"/>
      <c r="D231" s="69"/>
      <c r="E231" s="70" t="s">
        <v>554</v>
      </c>
      <c r="F231" s="131">
        <f>IFERROR(VLOOKUP(E231,Hoja1!$A$2:$E$399,5,FALSE),)</f>
        <v>0</v>
      </c>
      <c r="G231" s="129"/>
    </row>
    <row r="232" spans="1:12" ht="12.75" x14ac:dyDescent="0.2">
      <c r="A232" s="128"/>
      <c r="B232" s="128"/>
      <c r="C232" s="130"/>
      <c r="D232" s="69" t="s">
        <v>555</v>
      </c>
      <c r="E232" s="69"/>
      <c r="F232" s="131"/>
      <c r="G232" s="129">
        <f>+F232</f>
        <v>0</v>
      </c>
    </row>
    <row r="233" spans="1:12" ht="12.75" x14ac:dyDescent="0.2">
      <c r="A233" s="128"/>
      <c r="B233" s="128"/>
      <c r="C233" s="130"/>
      <c r="D233" s="69" t="s">
        <v>556</v>
      </c>
      <c r="E233" s="69"/>
      <c r="F233" s="131"/>
      <c r="G233" s="129">
        <f>+F233</f>
        <v>0</v>
      </c>
    </row>
    <row r="234" spans="1:12" ht="12.75" x14ac:dyDescent="0.2">
      <c r="A234" s="128"/>
      <c r="B234" s="128"/>
      <c r="C234" s="130"/>
      <c r="D234" s="69" t="s">
        <v>557</v>
      </c>
      <c r="E234" s="70" t="s">
        <v>558</v>
      </c>
      <c r="F234" s="131">
        <f>IFERROR(VLOOKUP(E234,Hoja1!$A$2:$E$399,5,FALSE),)</f>
        <v>0</v>
      </c>
      <c r="G234" s="129">
        <f>+SUM(F234:F237)</f>
        <v>0</v>
      </c>
      <c r="H234" s="70"/>
      <c r="I234" s="155"/>
    </row>
    <row r="235" spans="1:12" ht="12.75" x14ac:dyDescent="0.2">
      <c r="A235" s="128"/>
      <c r="B235" s="128"/>
      <c r="C235" s="130"/>
      <c r="D235" s="69"/>
      <c r="E235" s="70" t="s">
        <v>559</v>
      </c>
      <c r="F235" s="131">
        <f>IFERROR(VLOOKUP(E235,Hoja1!$A$2:$E$399,5,FALSE),)</f>
        <v>0</v>
      </c>
      <c r="G235" s="129"/>
      <c r="H235" s="70"/>
      <c r="I235" s="155"/>
    </row>
    <row r="236" spans="1:12" ht="12.75" customHeight="1" x14ac:dyDescent="0.2">
      <c r="A236" s="128"/>
      <c r="B236" s="128"/>
      <c r="C236" s="130"/>
      <c r="D236" s="69"/>
      <c r="E236" s="70" t="s">
        <v>560</v>
      </c>
      <c r="F236" s="131">
        <f>IFERROR(VLOOKUP(E236,Hoja1!$A$2:$E$399,5,FALSE),)</f>
        <v>0</v>
      </c>
      <c r="G236" s="129"/>
      <c r="H236" s="70"/>
      <c r="I236" s="155"/>
    </row>
    <row r="237" spans="1:12" ht="12.75" x14ac:dyDescent="0.2">
      <c r="A237" s="128"/>
      <c r="B237" s="128"/>
      <c r="C237" s="130"/>
      <c r="D237" s="69"/>
      <c r="E237" s="70"/>
      <c r="F237" s="131">
        <f>IFERROR(VLOOKUP(E237,Hoja1!$A$2:$E$375,5,FALSE),)</f>
        <v>0</v>
      </c>
      <c r="G237" s="129"/>
      <c r="H237" s="70"/>
      <c r="I237" s="155"/>
    </row>
    <row r="238" spans="1:12" ht="12.75" x14ac:dyDescent="0.2">
      <c r="A238" s="128"/>
      <c r="B238" s="128"/>
      <c r="C238" s="130"/>
      <c r="D238" s="69" t="s">
        <v>561</v>
      </c>
      <c r="E238" s="69"/>
      <c r="F238" s="131"/>
      <c r="G238" s="129">
        <f>+F238</f>
        <v>0</v>
      </c>
    </row>
    <row r="239" spans="1:12" ht="12.75" x14ac:dyDescent="0.2">
      <c r="A239" s="128"/>
      <c r="B239" s="128"/>
      <c r="C239" s="130"/>
      <c r="D239" s="69" t="s">
        <v>562</v>
      </c>
      <c r="E239" s="69" t="s">
        <v>563</v>
      </c>
      <c r="F239" s="131">
        <f>IFERROR(VLOOKUP(E239,Hoja1!$A$2:$E$399,5,FALSE),)</f>
        <v>0</v>
      </c>
      <c r="G239" s="129">
        <f>SUM(F239:F242)</f>
        <v>0</v>
      </c>
    </row>
    <row r="240" spans="1:12" ht="12.75" x14ac:dyDescent="0.2">
      <c r="A240" s="128"/>
      <c r="B240" s="128"/>
      <c r="C240" s="130"/>
      <c r="D240" s="69"/>
      <c r="E240" s="70" t="s">
        <v>564</v>
      </c>
      <c r="F240" s="131">
        <f>IFERROR(VLOOKUP(E240,Hoja1!$A$2:$E$399,5,FALSE),)</f>
        <v>0</v>
      </c>
      <c r="G240" s="129"/>
    </row>
    <row r="241" spans="1:9" ht="12.75" x14ac:dyDescent="0.2">
      <c r="A241" s="128"/>
      <c r="B241" s="128"/>
      <c r="C241" s="130"/>
      <c r="D241" s="69"/>
      <c r="E241" s="142" t="s">
        <v>565</v>
      </c>
      <c r="F241" s="131">
        <f>IFERROR(VLOOKUP(E241,Hoja1!$A$2:$E$399,5,FALSE),)</f>
        <v>0</v>
      </c>
      <c r="G241" s="129"/>
    </row>
    <row r="242" spans="1:9" ht="12.75" x14ac:dyDescent="0.2">
      <c r="A242" s="128"/>
      <c r="B242" s="128"/>
      <c r="C242" s="130"/>
      <c r="D242" s="69"/>
      <c r="E242" s="142" t="s">
        <v>566</v>
      </c>
      <c r="F242" s="131">
        <f>IFERROR(VLOOKUP(E242,Hoja1!$A$2:$E$399,5,FALSE),)</f>
        <v>0</v>
      </c>
      <c r="G242" s="129"/>
    </row>
    <row r="243" spans="1:9" ht="12.75" x14ac:dyDescent="0.2">
      <c r="A243" s="128"/>
      <c r="B243" s="128"/>
      <c r="C243" s="130"/>
      <c r="D243" s="69" t="s">
        <v>567</v>
      </c>
      <c r="E243" s="70" t="s">
        <v>568</v>
      </c>
      <c r="F243" s="131">
        <f>IFERROR(VLOOKUP(E243,Hoja1!$A$2:$E$399,5,FALSE),)</f>
        <v>101825.60000000001</v>
      </c>
      <c r="G243" s="178">
        <f>+F243+F244</f>
        <v>101825.60000000001</v>
      </c>
      <c r="H243" s="70"/>
      <c r="I243" s="155"/>
    </row>
    <row r="244" spans="1:9" ht="12.75" x14ac:dyDescent="0.2">
      <c r="A244" s="128"/>
      <c r="B244" s="128"/>
      <c r="C244" s="130"/>
      <c r="D244" s="69"/>
      <c r="E244" s="70" t="s">
        <v>569</v>
      </c>
      <c r="F244" s="131">
        <f>IFERROR(VLOOKUP(E244,Hoja1!$A$2:$E$399,5,FALSE),)</f>
        <v>0</v>
      </c>
      <c r="G244" s="129"/>
      <c r="H244" s="70"/>
      <c r="I244" s="155"/>
    </row>
    <row r="245" spans="1:9" ht="12.75" x14ac:dyDescent="0.2">
      <c r="A245" s="128"/>
      <c r="B245" s="128"/>
      <c r="C245" s="130"/>
      <c r="D245" s="69" t="s">
        <v>570</v>
      </c>
      <c r="E245" s="69"/>
      <c r="F245" s="131"/>
      <c r="G245" s="129">
        <f>+F245</f>
        <v>0</v>
      </c>
    </row>
    <row r="246" spans="1:9" ht="12.75" x14ac:dyDescent="0.2">
      <c r="A246" s="128"/>
      <c r="B246" s="128"/>
      <c r="C246" s="130"/>
      <c r="D246" s="69" t="s">
        <v>571</v>
      </c>
      <c r="E246" s="70" t="s">
        <v>572</v>
      </c>
      <c r="F246" s="131">
        <f>IFERROR(VLOOKUP(E246,Hoja1!$A$2:$E$399,5,FALSE),)</f>
        <v>0</v>
      </c>
      <c r="G246" s="178">
        <f>SUM(F246:F255)</f>
        <v>149263.10999999999</v>
      </c>
    </row>
    <row r="247" spans="1:9" ht="12.75" x14ac:dyDescent="0.2">
      <c r="A247" s="128"/>
      <c r="B247" s="128"/>
      <c r="C247" s="130"/>
      <c r="D247" s="69"/>
      <c r="E247" s="70" t="s">
        <v>573</v>
      </c>
      <c r="F247" s="131">
        <f>IFERROR(VLOOKUP(E247,Hoja1!$A$2:$E$399,5,FALSE),)</f>
        <v>0</v>
      </c>
      <c r="G247" s="129"/>
    </row>
    <row r="248" spans="1:9" ht="12.75" x14ac:dyDescent="0.2">
      <c r="A248" s="128"/>
      <c r="B248" s="128"/>
      <c r="C248" s="130"/>
      <c r="D248" s="69"/>
      <c r="E248" s="70" t="s">
        <v>574</v>
      </c>
      <c r="F248" s="131">
        <f>IFERROR(VLOOKUP(E248,Hoja1!$A$2:$E$399,5,FALSE),)</f>
        <v>98618.72</v>
      </c>
      <c r="G248" s="129"/>
    </row>
    <row r="249" spans="1:9" ht="12.75" x14ac:dyDescent="0.2">
      <c r="A249" s="128"/>
      <c r="B249" s="128"/>
      <c r="C249" s="130"/>
      <c r="D249" s="69"/>
      <c r="E249" s="70" t="s">
        <v>575</v>
      </c>
      <c r="F249" s="131">
        <f>IFERROR(VLOOKUP(E249,Hoja1!$A$2:$E$399,5,FALSE),)</f>
        <v>0</v>
      </c>
      <c r="G249" s="129"/>
    </row>
    <row r="250" spans="1:9" ht="12.75" x14ac:dyDescent="0.2">
      <c r="A250" s="128"/>
      <c r="B250" s="128"/>
      <c r="C250" s="130"/>
      <c r="D250" s="69"/>
      <c r="E250" s="70" t="s">
        <v>576</v>
      </c>
      <c r="F250" s="131">
        <f>IFERROR(VLOOKUP(E250,Hoja1!$A$2:$E$399,5,FALSE),)</f>
        <v>50644.39</v>
      </c>
      <c r="G250" s="129"/>
    </row>
    <row r="251" spans="1:9" ht="12.75" x14ac:dyDescent="0.2">
      <c r="A251" s="128"/>
      <c r="B251" s="128"/>
      <c r="C251" s="130"/>
      <c r="D251" s="69"/>
      <c r="E251" s="70" t="s">
        <v>577</v>
      </c>
      <c r="F251" s="131">
        <f>IFERROR(VLOOKUP(E251,Hoja1!$A$2:$E$399,5,FALSE),)</f>
        <v>0</v>
      </c>
      <c r="G251" s="129"/>
    </row>
    <row r="252" spans="1:9" ht="12.75" x14ac:dyDescent="0.2">
      <c r="A252" s="128"/>
      <c r="B252" s="128"/>
      <c r="C252" s="130"/>
      <c r="D252" s="69"/>
      <c r="E252" s="70" t="s">
        <v>578</v>
      </c>
      <c r="F252" s="131">
        <f>IFERROR(VLOOKUP(E252,Hoja1!$A$2:$E$399,5,FALSE),)</f>
        <v>0</v>
      </c>
      <c r="G252" s="129"/>
    </row>
    <row r="253" spans="1:9" ht="12.75" x14ac:dyDescent="0.2">
      <c r="A253" s="128"/>
      <c r="B253" s="128"/>
      <c r="C253" s="130"/>
      <c r="D253" s="69"/>
      <c r="E253" s="70" t="s">
        <v>579</v>
      </c>
      <c r="F253" s="131">
        <f>IFERROR(VLOOKUP(E253,Hoja1!$A$2:$E$399,5,FALSE),)</f>
        <v>0</v>
      </c>
      <c r="G253" s="129"/>
      <c r="H253" s="70"/>
      <c r="I253" s="155"/>
    </row>
    <row r="254" spans="1:9" ht="12.75" x14ac:dyDescent="0.2">
      <c r="A254" s="128"/>
      <c r="B254" s="128"/>
      <c r="C254" s="130"/>
      <c r="D254" s="69"/>
      <c r="E254" s="70" t="s">
        <v>580</v>
      </c>
      <c r="F254" s="131">
        <f>IFERROR(VLOOKUP(E254,Hoja1!$A$2:$E$399,5,FALSE),)</f>
        <v>0</v>
      </c>
      <c r="G254" s="129"/>
      <c r="H254" s="70"/>
      <c r="I254" s="155"/>
    </row>
    <row r="255" spans="1:9" ht="12.75" x14ac:dyDescent="0.2">
      <c r="A255" s="128"/>
      <c r="B255" s="128"/>
      <c r="C255" s="130"/>
      <c r="D255" s="69"/>
      <c r="E255" s="70" t="s">
        <v>581</v>
      </c>
      <c r="F255" s="131">
        <f>IFERROR(VLOOKUP(E255,Hoja1!$A$2:$E$399,5,FALSE),)</f>
        <v>0</v>
      </c>
      <c r="G255" s="129"/>
      <c r="H255" s="70"/>
      <c r="I255" s="155"/>
    </row>
    <row r="256" spans="1:9" ht="12.75" x14ac:dyDescent="0.2">
      <c r="A256" s="128"/>
      <c r="B256" s="128"/>
      <c r="C256" s="130"/>
      <c r="D256" s="130" t="s">
        <v>582</v>
      </c>
      <c r="E256" s="179"/>
      <c r="F256" s="131"/>
      <c r="G256" s="129">
        <f>+F256</f>
        <v>0</v>
      </c>
    </row>
    <row r="257" spans="1:11" ht="12.75" x14ac:dyDescent="0.2">
      <c r="A257" s="128"/>
      <c r="B257" s="128"/>
      <c r="C257" s="130"/>
      <c r="D257" s="69" t="s">
        <v>583</v>
      </c>
      <c r="E257" s="179"/>
      <c r="F257" s="131"/>
      <c r="G257" s="129">
        <f>SUM(F257:F262)</f>
        <v>0</v>
      </c>
    </row>
    <row r="258" spans="1:11" ht="12.75" x14ac:dyDescent="0.2">
      <c r="A258" s="128"/>
      <c r="B258" s="128"/>
      <c r="C258" s="130"/>
      <c r="D258" s="69"/>
      <c r="E258" s="142" t="s">
        <v>584</v>
      </c>
      <c r="F258" s="131">
        <f>IFERROR(VLOOKUP(E258,Hoja1!$A$2:$E$399,5,FALSE),)</f>
        <v>0</v>
      </c>
      <c r="G258" s="129"/>
    </row>
    <row r="259" spans="1:11" ht="12.75" x14ac:dyDescent="0.2">
      <c r="A259" s="128"/>
      <c r="B259" s="128"/>
      <c r="C259" s="130"/>
      <c r="D259" s="69"/>
      <c r="E259" s="70" t="s">
        <v>585</v>
      </c>
      <c r="F259" s="131">
        <f>IFERROR(VLOOKUP(E259,Hoja1!$A$2:$E$399,5,FALSE),)</f>
        <v>0</v>
      </c>
      <c r="G259" s="129"/>
    </row>
    <row r="260" spans="1:11" ht="12.75" x14ac:dyDescent="0.2">
      <c r="A260" s="128"/>
      <c r="B260" s="128"/>
      <c r="C260" s="130"/>
      <c r="D260" s="69"/>
      <c r="E260" s="70" t="s">
        <v>586</v>
      </c>
      <c r="F260" s="131">
        <f>IFERROR(VLOOKUP(E260,Hoja1!$A$2:$E$399,5,FALSE),)</f>
        <v>0</v>
      </c>
      <c r="G260" s="129"/>
    </row>
    <row r="261" spans="1:11" ht="12" customHeight="1" x14ac:dyDescent="0.2">
      <c r="A261" s="128"/>
      <c r="B261" s="128"/>
      <c r="C261" s="130"/>
      <c r="D261" s="69"/>
      <c r="E261" s="70" t="s">
        <v>587</v>
      </c>
      <c r="F261" s="131">
        <f>IFERROR(VLOOKUP(E261,Hoja1!$A$2:$E$399,5,FALSE),)</f>
        <v>0</v>
      </c>
      <c r="G261" s="129"/>
    </row>
    <row r="262" spans="1:11" ht="12" customHeight="1" x14ac:dyDescent="0.2">
      <c r="A262" s="128"/>
      <c r="B262" s="128"/>
      <c r="C262" s="130"/>
      <c r="D262" s="69"/>
      <c r="E262" s="70" t="s">
        <v>588</v>
      </c>
      <c r="F262" s="131">
        <f>IFERROR(VLOOKUP(E262,Hoja1!$A$2:$E$399,5,FALSE),)</f>
        <v>0</v>
      </c>
      <c r="G262" s="129"/>
    </row>
    <row r="263" spans="1:11" ht="12" customHeight="1" x14ac:dyDescent="0.2">
      <c r="A263" s="128"/>
      <c r="B263" s="128"/>
      <c r="C263" s="130"/>
      <c r="D263" s="69" t="s">
        <v>589</v>
      </c>
      <c r="E263" s="179"/>
      <c r="F263" s="131"/>
      <c r="G263" s="129">
        <f>+F263</f>
        <v>0</v>
      </c>
      <c r="H263" s="133"/>
      <c r="J263" s="133"/>
      <c r="K263" s="133"/>
    </row>
    <row r="264" spans="1:11" ht="12.75" x14ac:dyDescent="0.2">
      <c r="A264" s="128"/>
      <c r="B264" s="128"/>
      <c r="C264" s="130"/>
      <c r="D264" s="69" t="s">
        <v>590</v>
      </c>
      <c r="E264" s="70" t="s">
        <v>591</v>
      </c>
      <c r="F264" s="131">
        <f>IFERROR(VLOOKUP(E264,Hoja1!$A$2:$E$399,5,FALSE),)</f>
        <v>0</v>
      </c>
      <c r="G264" s="178">
        <f>SUM(F264:F268)</f>
        <v>9664883.0700000003</v>
      </c>
      <c r="J264" s="143"/>
    </row>
    <row r="265" spans="1:11" ht="12.75" x14ac:dyDescent="0.2">
      <c r="A265" s="128"/>
      <c r="B265" s="128"/>
      <c r="C265" s="130"/>
      <c r="D265" s="69"/>
      <c r="E265" s="70" t="s">
        <v>592</v>
      </c>
      <c r="F265" s="131">
        <f>IFERROR(VLOOKUP(E265,Hoja1!$A$2:$E$399,5,FALSE),)</f>
        <v>9612863.0700000003</v>
      </c>
      <c r="G265" s="129"/>
      <c r="J265" s="143"/>
    </row>
    <row r="266" spans="1:11" ht="12.75" x14ac:dyDescent="0.2">
      <c r="A266" s="128"/>
      <c r="B266" s="128"/>
      <c r="C266" s="130"/>
      <c r="D266" s="69"/>
      <c r="E266" s="70" t="s">
        <v>593</v>
      </c>
      <c r="F266" s="131">
        <f>IFERROR(VLOOKUP(E266,Hoja1!$A$2:$E$399,5,FALSE),)</f>
        <v>52020</v>
      </c>
      <c r="G266" s="129"/>
      <c r="J266" s="143"/>
    </row>
    <row r="267" spans="1:11" ht="12.75" x14ac:dyDescent="0.2">
      <c r="A267" s="128"/>
      <c r="B267" s="128"/>
      <c r="C267" s="130"/>
      <c r="D267" s="69"/>
      <c r="E267" s="70" t="s">
        <v>594</v>
      </c>
      <c r="F267" s="131">
        <f>IFERROR(VLOOKUP(E267,Hoja1!$A$2:$E$399,5,FALSE),)</f>
        <v>0</v>
      </c>
      <c r="G267" s="129"/>
      <c r="J267" s="143"/>
    </row>
    <row r="268" spans="1:11" ht="12.75" x14ac:dyDescent="0.2">
      <c r="A268" s="128"/>
      <c r="B268" s="128"/>
      <c r="C268" s="130"/>
      <c r="D268" s="69"/>
      <c r="E268" s="70" t="s">
        <v>595</v>
      </c>
      <c r="F268" s="131">
        <f>IFERROR(VLOOKUP(E268,Hoja1!$A$2:$E$399,5,FALSE),)</f>
        <v>0</v>
      </c>
      <c r="G268" s="129"/>
      <c r="J268" s="143"/>
    </row>
    <row r="269" spans="1:11" ht="14.45" customHeight="1" x14ac:dyDescent="0.25">
      <c r="D269" s="69" t="s">
        <v>596</v>
      </c>
      <c r="E269" s="179"/>
      <c r="F269" s="131"/>
      <c r="G269" s="178">
        <f>SUM(F269:F271)</f>
        <v>22769032.280000001</v>
      </c>
      <c r="H269" s="66"/>
      <c r="I269" s="180"/>
      <c r="K269" s="181"/>
    </row>
    <row r="270" spans="1:11" ht="14.45" customHeight="1" x14ac:dyDescent="0.25">
      <c r="D270" s="130"/>
      <c r="E270" s="70" t="s">
        <v>597</v>
      </c>
      <c r="F270" s="131">
        <f>IFERROR(VLOOKUP(E270,Hoja1!$A$2:$E$399,5,FALSE),)</f>
        <v>0</v>
      </c>
      <c r="G270" s="129"/>
      <c r="H270" s="66"/>
      <c r="I270" s="180"/>
      <c r="K270" s="181"/>
    </row>
    <row r="271" spans="1:11" ht="14.45" customHeight="1" x14ac:dyDescent="0.25">
      <c r="D271" s="130"/>
      <c r="E271" s="70" t="s">
        <v>598</v>
      </c>
      <c r="F271" s="131">
        <f>IFERROR(VLOOKUP(E271,Hoja1!$A$2:$E$399,5,FALSE),)</f>
        <v>22769032.280000001</v>
      </c>
      <c r="G271" s="129"/>
      <c r="H271" s="66"/>
      <c r="I271" s="155"/>
      <c r="K271" s="181"/>
    </row>
    <row r="272" spans="1:11" ht="12.75" x14ac:dyDescent="0.2">
      <c r="D272" s="69" t="s">
        <v>599</v>
      </c>
      <c r="E272" s="70" t="s">
        <v>600</v>
      </c>
      <c r="F272" s="131">
        <f>IFERROR(VLOOKUP(E272,Hoja1!$A$2:$E$399,5,FALSE),)</f>
        <v>0</v>
      </c>
      <c r="G272" s="129">
        <f>SUM(F272:F279)</f>
        <v>0</v>
      </c>
    </row>
    <row r="273" spans="4:11" ht="12.75" x14ac:dyDescent="0.2">
      <c r="D273" s="69"/>
      <c r="E273" s="70" t="s">
        <v>601</v>
      </c>
      <c r="F273" s="131">
        <f>IFERROR(VLOOKUP(E273,Hoja1!$A$2:$E$399,5,FALSE),)</f>
        <v>0</v>
      </c>
      <c r="G273" s="129"/>
    </row>
    <row r="274" spans="4:11" ht="12.75" x14ac:dyDescent="0.2">
      <c r="D274" s="69"/>
      <c r="E274" s="70" t="s">
        <v>602</v>
      </c>
      <c r="F274" s="131">
        <f>IFERROR(VLOOKUP(E274,Hoja1!$A$2:$E$399,5,FALSE),)</f>
        <v>0</v>
      </c>
      <c r="G274" s="129"/>
    </row>
    <row r="275" spans="4:11" ht="12.75" x14ac:dyDescent="0.2">
      <c r="D275" s="69"/>
      <c r="E275" s="70" t="s">
        <v>603</v>
      </c>
      <c r="F275" s="131">
        <f>IFERROR(VLOOKUP(E275,Hoja1!$A$2:$E$399,5,FALSE),)</f>
        <v>0</v>
      </c>
      <c r="G275" s="129"/>
    </row>
    <row r="276" spans="4:11" ht="12.75" x14ac:dyDescent="0.2">
      <c r="D276" s="69"/>
      <c r="E276" s="142" t="s">
        <v>604</v>
      </c>
      <c r="F276" s="131">
        <f>IFERROR(VLOOKUP(E276,Hoja1!$A$2:$E$399,5,FALSE),)</f>
        <v>0</v>
      </c>
      <c r="G276" s="129"/>
    </row>
    <row r="277" spans="4:11" ht="12.75" x14ac:dyDescent="0.2">
      <c r="D277" s="69"/>
      <c r="E277" s="142" t="s">
        <v>605</v>
      </c>
      <c r="F277" s="131">
        <f>IFERROR(VLOOKUP(E277,Hoja1!$A$2:$E$399,5,FALSE),)</f>
        <v>0</v>
      </c>
      <c r="G277" s="129"/>
    </row>
    <row r="278" spans="4:11" ht="12.75" x14ac:dyDescent="0.2">
      <c r="D278" s="69"/>
      <c r="E278" s="142" t="s">
        <v>606</v>
      </c>
      <c r="F278" s="131">
        <f>IFERROR(VLOOKUP(E278,Hoja1!$A$2:$E$399,5,FALSE),)</f>
        <v>0</v>
      </c>
      <c r="G278" s="129"/>
    </row>
    <row r="279" spans="4:11" ht="12.75" x14ac:dyDescent="0.2">
      <c r="D279" s="69"/>
      <c r="E279" s="142" t="s">
        <v>607</v>
      </c>
      <c r="F279" s="131">
        <f>IFERROR(VLOOKUP(E279,Hoja1!$A$2:$E$399,5,FALSE),)</f>
        <v>0</v>
      </c>
      <c r="G279" s="129"/>
    </row>
    <row r="280" spans="4:11" ht="12.6" customHeight="1" x14ac:dyDescent="0.2">
      <c r="D280" s="182" t="s">
        <v>608</v>
      </c>
      <c r="E280" s="183" t="s">
        <v>608</v>
      </c>
      <c r="F280" s="184">
        <f>+Hoja1!E228+Hoja1!E229</f>
        <v>62810190.490000002</v>
      </c>
      <c r="G280" s="185">
        <f>+F280</f>
        <v>62810190.490000002</v>
      </c>
      <c r="H280" s="186" t="s">
        <v>609</v>
      </c>
      <c r="J280" s="133"/>
      <c r="K280" s="133"/>
    </row>
    <row r="281" spans="4:11" ht="12.75" x14ac:dyDescent="0.2">
      <c r="D281" s="69" t="s">
        <v>610</v>
      </c>
      <c r="E281" s="69"/>
      <c r="F281" s="131">
        <f>IFERROR(VLOOKUP(E281,Hoja1!$A$2:$E$399,5,FALSE),)</f>
        <v>0</v>
      </c>
      <c r="G281" s="129">
        <f>+F281</f>
        <v>0</v>
      </c>
    </row>
    <row r="282" spans="4:11" ht="12.75" x14ac:dyDescent="0.2">
      <c r="D282" s="69" t="s">
        <v>611</v>
      </c>
      <c r="E282" s="69"/>
      <c r="F282" s="131">
        <f>IFERROR(VLOOKUP(D282,Hoja1!$A$2:$E$375,5,FALSE),)</f>
        <v>0</v>
      </c>
      <c r="G282" s="129">
        <f>+F282</f>
        <v>0</v>
      </c>
    </row>
    <row r="283" spans="4:11" ht="12.75" x14ac:dyDescent="0.2">
      <c r="D283" s="130" t="s">
        <v>612</v>
      </c>
      <c r="E283" s="130"/>
      <c r="F283" s="131">
        <f>IFERROR(VLOOKUP(D283,Hoja1!$A$2:$E$375,5,FALSE),)</f>
        <v>0</v>
      </c>
      <c r="G283" s="129">
        <f>+F283</f>
        <v>0</v>
      </c>
      <c r="H283" s="143"/>
    </row>
    <row r="284" spans="4:11" ht="12.75" x14ac:dyDescent="0.2">
      <c r="D284" s="130" t="s">
        <v>613</v>
      </c>
      <c r="E284" s="130"/>
      <c r="F284" s="131"/>
      <c r="G284" s="129">
        <f>SUM(F284:F292)</f>
        <v>0</v>
      </c>
    </row>
    <row r="285" spans="4:11" ht="13.5" customHeight="1" x14ac:dyDescent="0.2">
      <c r="D285" s="130"/>
      <c r="E285" s="70" t="s">
        <v>614</v>
      </c>
      <c r="F285" s="131">
        <f>IFERROR(VLOOKUP(E285,Hoja1!$A$2:$E$399,5,FALSE),)</f>
        <v>0</v>
      </c>
      <c r="G285" s="129"/>
    </row>
    <row r="286" spans="4:11" ht="13.5" customHeight="1" x14ac:dyDescent="0.2">
      <c r="D286" s="130"/>
      <c r="E286" s="70" t="s">
        <v>615</v>
      </c>
      <c r="F286" s="131">
        <f>IFERROR(VLOOKUP(E286,Hoja1!$A$2:$E$399,5,FALSE),)</f>
        <v>0</v>
      </c>
      <c r="G286" s="129"/>
    </row>
    <row r="287" spans="4:11" ht="13.5" customHeight="1" x14ac:dyDescent="0.2">
      <c r="D287" s="130"/>
      <c r="E287" s="130" t="s">
        <v>616</v>
      </c>
      <c r="F287" s="131">
        <f>IFERROR(VLOOKUP(E287,Hoja1!$A$2:$E$399,5,FALSE),)</f>
        <v>0</v>
      </c>
      <c r="G287" s="129"/>
    </row>
    <row r="288" spans="4:11" ht="13.5" customHeight="1" x14ac:dyDescent="0.2">
      <c r="D288" s="130"/>
      <c r="E288" s="130" t="s">
        <v>617</v>
      </c>
      <c r="F288" s="131">
        <f>IFERROR(VLOOKUP(E288,Hoja1!$A$2:$E$399,5,FALSE),)</f>
        <v>0</v>
      </c>
      <c r="G288" s="129"/>
    </row>
    <row r="289" spans="4:13" ht="13.5" customHeight="1" x14ac:dyDescent="0.2">
      <c r="D289" s="130"/>
      <c r="E289" s="130" t="s">
        <v>618</v>
      </c>
      <c r="F289" s="131">
        <f>IFERROR(VLOOKUP(E289,Hoja1!$A$2:$E$399,5,FALSE),)</f>
        <v>0</v>
      </c>
      <c r="G289" s="129"/>
    </row>
    <row r="290" spans="4:13" ht="13.5" customHeight="1" x14ac:dyDescent="0.2">
      <c r="D290" s="130"/>
      <c r="E290" s="130" t="s">
        <v>619</v>
      </c>
      <c r="F290" s="131">
        <f>IFERROR(VLOOKUP(E290,Hoja1!$A$2:$E$399,5,FALSE),)</f>
        <v>0</v>
      </c>
      <c r="G290" s="129"/>
    </row>
    <row r="291" spans="4:13" ht="13.5" customHeight="1" x14ac:dyDescent="0.2">
      <c r="D291" s="130"/>
      <c r="E291" s="70" t="s">
        <v>620</v>
      </c>
      <c r="F291" s="131">
        <f>IFERROR(VLOOKUP(E291,Hoja1!$A$2:$E$399,5,FALSE),)</f>
        <v>0</v>
      </c>
      <c r="G291" s="129"/>
    </row>
    <row r="292" spans="4:13" ht="13.5" customHeight="1" x14ac:dyDescent="0.2">
      <c r="D292" s="130"/>
      <c r="E292" s="130" t="s">
        <v>621</v>
      </c>
      <c r="F292" s="131">
        <f>IFERROR(VLOOKUP(E292,Hoja1!$A$2:$E$399,5,FALSE),)</f>
        <v>0</v>
      </c>
      <c r="G292" s="129"/>
      <c r="H292" s="133"/>
      <c r="J292" s="133"/>
      <c r="K292" s="133"/>
    </row>
    <row r="293" spans="4:13" ht="12.75" x14ac:dyDescent="0.2">
      <c r="D293" s="69" t="s">
        <v>622</v>
      </c>
      <c r="E293" s="69"/>
      <c r="F293" s="131"/>
      <c r="G293" s="129">
        <f>+F293</f>
        <v>0</v>
      </c>
    </row>
    <row r="294" spans="4:13" ht="12.75" x14ac:dyDescent="0.2">
      <c r="D294" s="69" t="s">
        <v>623</v>
      </c>
      <c r="E294" s="70" t="s">
        <v>624</v>
      </c>
      <c r="F294" s="131">
        <f>IFERROR(VLOOKUP(E294,Hoja1!$A$2:$E$399,5,FALSE),)</f>
        <v>0</v>
      </c>
      <c r="G294" s="178">
        <f>SUM(F294:F301)</f>
        <v>832331.19000000006</v>
      </c>
      <c r="H294" s="70"/>
      <c r="I294" s="155"/>
      <c r="J294" s="70"/>
      <c r="K294" s="70"/>
      <c r="L294" s="70"/>
    </row>
    <row r="295" spans="4:13" ht="12.75" x14ac:dyDescent="0.2">
      <c r="D295" s="69"/>
      <c r="E295" s="70" t="s">
        <v>625</v>
      </c>
      <c r="F295" s="131">
        <f>IFERROR(VLOOKUP(E295,Hoja1!$A$2:$E$399,5,FALSE),)</f>
        <v>832331.19000000006</v>
      </c>
      <c r="G295" s="129"/>
    </row>
    <row r="296" spans="4:13" ht="12.75" x14ac:dyDescent="0.2">
      <c r="D296" s="69"/>
      <c r="E296" s="70" t="s">
        <v>626</v>
      </c>
      <c r="F296" s="131">
        <f>IFERROR(VLOOKUP(E296,Hoja1!$A$2:$E$399,5,FALSE),)</f>
        <v>0</v>
      </c>
      <c r="G296" s="129"/>
    </row>
    <row r="297" spans="4:13" ht="12.75" x14ac:dyDescent="0.2">
      <c r="D297" s="69"/>
      <c r="E297" s="70" t="s">
        <v>627</v>
      </c>
      <c r="F297" s="131">
        <f>IFERROR(VLOOKUP(E297,Hoja1!$A$2:$E$399,5,FALSE),)</f>
        <v>0</v>
      </c>
      <c r="G297" s="129"/>
      <c r="I297" s="155"/>
      <c r="J297" s="70"/>
      <c r="K297" s="70"/>
      <c r="L297" s="70"/>
      <c r="M297" s="70"/>
    </row>
    <row r="298" spans="4:13" ht="12.75" x14ac:dyDescent="0.2">
      <c r="D298" s="69"/>
      <c r="E298" s="70" t="s">
        <v>628</v>
      </c>
      <c r="F298" s="131">
        <f>IFERROR(VLOOKUP(E298,Hoja1!$A$2:$E$399,5,FALSE),)</f>
        <v>0</v>
      </c>
      <c r="G298" s="129"/>
      <c r="I298" s="155"/>
      <c r="J298" s="70"/>
      <c r="K298" s="70"/>
      <c r="L298" s="70"/>
      <c r="M298" s="70"/>
    </row>
    <row r="299" spans="4:13" ht="12.75" x14ac:dyDescent="0.2">
      <c r="D299" s="69"/>
      <c r="E299" s="70" t="s">
        <v>629</v>
      </c>
      <c r="F299" s="131">
        <f>IFERROR(VLOOKUP(E299,Hoja1!$A$2:$E$399,5,FALSE),)</f>
        <v>0</v>
      </c>
      <c r="G299" s="129"/>
      <c r="I299" s="155"/>
      <c r="J299" s="70"/>
      <c r="K299" s="70"/>
      <c r="L299" s="70"/>
      <c r="M299" s="70"/>
    </row>
    <row r="300" spans="4:13" ht="12.75" x14ac:dyDescent="0.2">
      <c r="D300" s="69"/>
      <c r="E300" s="70" t="s">
        <v>630</v>
      </c>
      <c r="F300" s="131">
        <f>IFERROR(VLOOKUP(E300,Hoja1!$A$2:$E$399,5,FALSE),)</f>
        <v>0</v>
      </c>
      <c r="G300" s="129"/>
      <c r="I300" s="155"/>
      <c r="J300" s="70"/>
      <c r="K300" s="70"/>
      <c r="L300" s="70"/>
      <c r="M300" s="70"/>
    </row>
    <row r="301" spans="4:13" ht="12.75" x14ac:dyDescent="0.2">
      <c r="D301" s="69"/>
      <c r="E301" s="70" t="s">
        <v>631</v>
      </c>
      <c r="F301" s="131">
        <f>IFERROR(VLOOKUP(E301,Hoja1!$A$2:$E$399,5,FALSE),)</f>
        <v>0</v>
      </c>
      <c r="G301" s="129"/>
      <c r="I301" s="155"/>
      <c r="J301" s="70"/>
      <c r="K301" s="70"/>
      <c r="L301" s="70"/>
      <c r="M301" s="70"/>
    </row>
    <row r="302" spans="4:13" ht="12.75" x14ac:dyDescent="0.2">
      <c r="D302" s="69" t="s">
        <v>632</v>
      </c>
      <c r="E302" s="179"/>
      <c r="F302" s="131"/>
      <c r="G302" s="178">
        <f>SUM(F302:F305)</f>
        <v>189946.28</v>
      </c>
    </row>
    <row r="303" spans="4:13" ht="12.75" x14ac:dyDescent="0.2">
      <c r="D303" s="69"/>
      <c r="E303" s="70" t="s">
        <v>633</v>
      </c>
      <c r="F303" s="131">
        <f>IFERROR(VLOOKUP(E303,Hoja1!$A$2:$E$399,5,FALSE),)</f>
        <v>0</v>
      </c>
      <c r="G303" s="129"/>
    </row>
    <row r="304" spans="4:13" ht="12.75" x14ac:dyDescent="0.2">
      <c r="D304" s="69"/>
      <c r="E304" s="70" t="s">
        <v>634</v>
      </c>
      <c r="F304" s="131">
        <f>IFERROR(VLOOKUP(E304,Hoja1!$A$2:$E$399,5,FALSE),)</f>
        <v>189946.28</v>
      </c>
      <c r="G304" s="129"/>
    </row>
    <row r="305" spans="4:9" ht="12.75" x14ac:dyDescent="0.2">
      <c r="D305" s="69"/>
      <c r="E305" s="70" t="s">
        <v>635</v>
      </c>
      <c r="F305" s="131">
        <f>IFERROR(VLOOKUP(E305,Hoja1!$A$2:$E$399,5,FALSE),)</f>
        <v>0</v>
      </c>
      <c r="G305" s="129"/>
    </row>
    <row r="306" spans="4:9" ht="12.75" x14ac:dyDescent="0.2">
      <c r="D306" s="69" t="s">
        <v>636</v>
      </c>
      <c r="E306" s="179"/>
      <c r="F306" s="131">
        <f>IFERROR(VLOOKUP(E306,Hoja1!$A$2:$E$399,5,FALSE),)</f>
        <v>0</v>
      </c>
      <c r="G306" s="129">
        <f>+F307</f>
        <v>0</v>
      </c>
    </row>
    <row r="307" spans="4:9" ht="12.75" x14ac:dyDescent="0.2">
      <c r="D307" s="69"/>
      <c r="E307" s="70" t="s">
        <v>637</v>
      </c>
      <c r="F307" s="131">
        <f>IFERROR(VLOOKUP(E307,Hoja1!$A$2:$E$399,5,FALSE),)</f>
        <v>0</v>
      </c>
      <c r="G307" s="129"/>
      <c r="H307" s="70"/>
      <c r="I307" s="155"/>
    </row>
    <row r="308" spans="4:9" ht="12.75" x14ac:dyDescent="0.2">
      <c r="D308" s="130" t="s">
        <v>638</v>
      </c>
      <c r="E308" s="70" t="s">
        <v>638</v>
      </c>
      <c r="F308" s="131">
        <f>IFERROR(VLOOKUP(E308,Hoja1!$A$2:$E$399,5,FALSE),)</f>
        <v>0</v>
      </c>
      <c r="G308" s="129">
        <f>+F308</f>
        <v>0</v>
      </c>
      <c r="H308" s="70"/>
      <c r="I308" s="155"/>
    </row>
    <row r="309" spans="4:9" ht="12.75" x14ac:dyDescent="0.2">
      <c r="D309" s="130" t="s">
        <v>639</v>
      </c>
      <c r="E309" s="70" t="s">
        <v>639</v>
      </c>
      <c r="F309" s="131">
        <f>IFERROR(VLOOKUP(E309,Hoja1!$A$2:$E$399,5,FALSE),)</f>
        <v>48607846.600000001</v>
      </c>
      <c r="G309" s="178">
        <f>+F309</f>
        <v>48607846.600000001</v>
      </c>
      <c r="H309" s="70"/>
      <c r="I309" s="155"/>
    </row>
    <row r="310" spans="4:9" ht="12.75" x14ac:dyDescent="0.2">
      <c r="D310" s="69" t="s">
        <v>640</v>
      </c>
      <c r="E310" s="70" t="s">
        <v>641</v>
      </c>
      <c r="F310" s="131">
        <f>IFERROR(VLOOKUP(E310,Hoja1!$A$2:$E$399,5,FALSE),)</f>
        <v>0</v>
      </c>
      <c r="G310" s="129">
        <f>+F310</f>
        <v>0</v>
      </c>
    </row>
    <row r="311" spans="4:9" ht="12.75" x14ac:dyDescent="0.2">
      <c r="D311" s="69" t="s">
        <v>642</v>
      </c>
      <c r="E311" s="179"/>
      <c r="F311" s="131">
        <f>IFERROR(VLOOKUP(E311,Hoja1!$A$2:$E$399,5,FALSE),)</f>
        <v>0</v>
      </c>
      <c r="G311" s="129">
        <f>SUM(F311:F313)</f>
        <v>0</v>
      </c>
    </row>
    <row r="312" spans="4:9" ht="12.75" x14ac:dyDescent="0.2">
      <c r="D312" s="69"/>
      <c r="E312" s="70" t="s">
        <v>643</v>
      </c>
      <c r="F312" s="131">
        <f>IFERROR(VLOOKUP(E312,Hoja1!$A$2:$E$399,5,FALSE),)</f>
        <v>0</v>
      </c>
      <c r="G312" s="129"/>
    </row>
    <row r="313" spans="4:9" ht="12.75" x14ac:dyDescent="0.2">
      <c r="D313" s="69"/>
      <c r="E313" s="70" t="s">
        <v>644</v>
      </c>
      <c r="F313" s="131">
        <f>IFERROR(VLOOKUP(E313,Hoja1!$A$2:$E$399,5,FALSE),)</f>
        <v>0</v>
      </c>
      <c r="G313" s="129"/>
    </row>
    <row r="314" spans="4:9" ht="12.75" x14ac:dyDescent="0.2">
      <c r="D314" s="69" t="s">
        <v>645</v>
      </c>
      <c r="E314" s="69"/>
      <c r="F314" s="131">
        <f>IFERROR(VLOOKUP(E314,Hoja1!$A$2:$E$399,5,FALSE),)</f>
        <v>0</v>
      </c>
      <c r="G314" s="129">
        <f>+F314</f>
        <v>0</v>
      </c>
    </row>
    <row r="315" spans="4:9" ht="12.75" x14ac:dyDescent="0.2">
      <c r="D315" s="69" t="s">
        <v>646</v>
      </c>
      <c r="E315" s="69" t="s">
        <v>647</v>
      </c>
      <c r="F315" s="131">
        <f>IFERROR(VLOOKUP(E315,Hoja1!$A$2:$E$399,5,FALSE),)</f>
        <v>0</v>
      </c>
      <c r="G315" s="178">
        <f>+F315+F316</f>
        <v>18512.400000000001</v>
      </c>
    </row>
    <row r="316" spans="4:9" ht="12.75" x14ac:dyDescent="0.2">
      <c r="D316" s="69"/>
      <c r="E316" s="70" t="s">
        <v>648</v>
      </c>
      <c r="F316" s="131">
        <f>IFERROR(VLOOKUP(E316,Hoja1!$A$2:$E$399,5,FALSE),)</f>
        <v>18512.400000000001</v>
      </c>
      <c r="G316" s="129"/>
    </row>
    <row r="317" spans="4:9" ht="12.75" x14ac:dyDescent="0.2">
      <c r="D317" s="130" t="s">
        <v>649</v>
      </c>
      <c r="E317" s="70"/>
      <c r="F317" s="131">
        <f>IFERROR(VLOOKUP(E317,Hoja1!$A$2:$E$399,5,FALSE),)</f>
        <v>0</v>
      </c>
      <c r="G317" s="129">
        <f>+F317</f>
        <v>0</v>
      </c>
      <c r="H317" s="66"/>
    </row>
    <row r="318" spans="4:9" ht="12.6" customHeight="1" x14ac:dyDescent="0.2">
      <c r="D318" s="69" t="s">
        <v>650</v>
      </c>
      <c r="E318" s="69"/>
      <c r="F318" s="131"/>
      <c r="G318" s="178">
        <f>SUM(F318:F321)</f>
        <v>87312447.890000001</v>
      </c>
      <c r="H318" s="66"/>
    </row>
    <row r="319" spans="4:9" ht="12.75" x14ac:dyDescent="0.2">
      <c r="D319" s="69"/>
      <c r="E319" s="70" t="s">
        <v>651</v>
      </c>
      <c r="F319" s="131">
        <f>IFERROR(VLOOKUP(E319,Hoja1!$A$2:$E$399,5,FALSE),)</f>
        <v>87312447.890000001</v>
      </c>
      <c r="G319" s="134"/>
      <c r="H319" s="66"/>
    </row>
    <row r="320" spans="4:9" ht="12.75" x14ac:dyDescent="0.2">
      <c r="D320" s="69"/>
      <c r="E320" s="70" t="s">
        <v>652</v>
      </c>
      <c r="F320" s="131">
        <f>IFERROR(VLOOKUP(E320,Hoja1!$A$2:$E$399,5,FALSE),)</f>
        <v>0</v>
      </c>
      <c r="G320" s="129"/>
      <c r="H320" s="66"/>
    </row>
    <row r="321" spans="4:9" ht="12.75" x14ac:dyDescent="0.2">
      <c r="D321" s="69"/>
      <c r="E321" s="70" t="s">
        <v>653</v>
      </c>
      <c r="F321" s="131">
        <f>IFERROR(VLOOKUP(E321,Hoja1!$A$2:$E$399,5,FALSE),)</f>
        <v>0</v>
      </c>
      <c r="G321" s="129"/>
      <c r="H321" s="66"/>
      <c r="I321" s="150"/>
    </row>
    <row r="322" spans="4:9" ht="12.75" x14ac:dyDescent="0.2">
      <c r="D322" s="69" t="s">
        <v>654</v>
      </c>
      <c r="E322" s="179"/>
      <c r="F322" s="131"/>
      <c r="G322" s="178">
        <f>SUM(F322:F329)</f>
        <v>51970355.109999999</v>
      </c>
    </row>
    <row r="323" spans="4:9" ht="12.75" x14ac:dyDescent="0.2">
      <c r="D323" s="69"/>
      <c r="E323" s="70" t="s">
        <v>655</v>
      </c>
      <c r="F323" s="131">
        <f>IFERROR(VLOOKUP(E323,Hoja1!$A$2:$E$399,5,FALSE),)</f>
        <v>157000</v>
      </c>
      <c r="G323" s="129"/>
    </row>
    <row r="324" spans="4:9" ht="12.75" x14ac:dyDescent="0.2">
      <c r="D324" s="69"/>
      <c r="E324" s="70" t="s">
        <v>656</v>
      </c>
      <c r="F324" s="131">
        <f>IFERROR(VLOOKUP(E324,Hoja1!$A$2:$E$399,5,FALSE),)</f>
        <v>0</v>
      </c>
      <c r="G324" s="129"/>
    </row>
    <row r="325" spans="4:9" ht="12.75" x14ac:dyDescent="0.2">
      <c r="D325" s="69"/>
      <c r="E325" s="70" t="s">
        <v>657</v>
      </c>
      <c r="F325" s="131">
        <f>IFERROR(VLOOKUP(E325,Hoja1!$A$2:$E$399,5,FALSE),)</f>
        <v>51813355.109999999</v>
      </c>
      <c r="G325" s="129"/>
    </row>
    <row r="326" spans="4:9" ht="12.75" x14ac:dyDescent="0.2">
      <c r="D326" s="69"/>
      <c r="E326" s="70" t="s">
        <v>658</v>
      </c>
      <c r="F326" s="131">
        <f>IFERROR(VLOOKUP(E326,Hoja1!$A$2:$E$399,5,FALSE),)</f>
        <v>0</v>
      </c>
      <c r="G326" s="129"/>
    </row>
    <row r="327" spans="4:9" ht="12.75" x14ac:dyDescent="0.2">
      <c r="D327" s="69"/>
      <c r="E327" s="70" t="s">
        <v>659</v>
      </c>
      <c r="F327" s="131">
        <f>IFERROR(VLOOKUP(E327,Hoja1!$A$2:$E$399,5,FALSE),)</f>
        <v>0</v>
      </c>
      <c r="G327" s="129"/>
    </row>
    <row r="328" spans="4:9" ht="12.75" x14ac:dyDescent="0.2">
      <c r="D328" s="69"/>
      <c r="E328" s="70" t="s">
        <v>660</v>
      </c>
      <c r="F328" s="131">
        <f>IFERROR(VLOOKUP(E328,Hoja1!$A$2:$E$399,5,FALSE),)</f>
        <v>0</v>
      </c>
      <c r="G328" s="129"/>
    </row>
    <row r="329" spans="4:9" ht="12.75" x14ac:dyDescent="0.2">
      <c r="D329" s="69"/>
      <c r="E329" s="70" t="s">
        <v>661</v>
      </c>
      <c r="F329" s="131">
        <f>IFERROR(VLOOKUP(E329,Hoja1!$A$2:$E$399,5,FALSE),)</f>
        <v>0</v>
      </c>
      <c r="G329" s="129"/>
    </row>
    <row r="330" spans="4:9" ht="12.75" x14ac:dyDescent="0.2">
      <c r="D330" s="69" t="s">
        <v>662</v>
      </c>
      <c r="E330" s="70" t="s">
        <v>663</v>
      </c>
      <c r="F330" s="131">
        <f>IFERROR(VLOOKUP(E330,Hoja1!$A$2:$E$399,5,FALSE),)</f>
        <v>0</v>
      </c>
      <c r="G330" s="178">
        <f>SUM(F330:F337)</f>
        <v>27411009.170000002</v>
      </c>
      <c r="H330" s="141"/>
    </row>
    <row r="331" spans="4:9" ht="12.75" x14ac:dyDescent="0.2">
      <c r="D331" s="69"/>
      <c r="E331" s="142" t="s">
        <v>664</v>
      </c>
      <c r="F331" s="131">
        <f>IFERROR(VLOOKUP(E331,Hoja1!$A$2:$E$399,5,FALSE),)</f>
        <v>21735.54</v>
      </c>
      <c r="G331" s="129"/>
      <c r="H331" s="141" t="s">
        <v>665</v>
      </c>
    </row>
    <row r="332" spans="4:9" ht="12.75" x14ac:dyDescent="0.2">
      <c r="D332" s="69"/>
      <c r="E332" s="70" t="s">
        <v>666</v>
      </c>
      <c r="F332" s="131">
        <f>IFERROR(VLOOKUP(E332,Hoja1!$A$2:$E$399,5,FALSE),)</f>
        <v>4006957.04</v>
      </c>
      <c r="G332" s="129"/>
      <c r="H332" s="141"/>
    </row>
    <row r="333" spans="4:9" ht="12.75" x14ac:dyDescent="0.2">
      <c r="D333" s="69"/>
      <c r="E333" s="70" t="s">
        <v>667</v>
      </c>
      <c r="F333" s="131">
        <f>IFERROR(VLOOKUP(E333,Hoja1!$A$2:$E$399,5,FALSE),)</f>
        <v>23352516.59</v>
      </c>
      <c r="G333" s="129"/>
      <c r="H333" s="141"/>
    </row>
    <row r="334" spans="4:9" ht="12.75" x14ac:dyDescent="0.2">
      <c r="D334" s="69"/>
      <c r="E334" s="70" t="s">
        <v>668</v>
      </c>
      <c r="F334" s="131">
        <f>IFERROR(VLOOKUP(E334,Hoja1!$A$2:$E$399,5,FALSE),)</f>
        <v>29800</v>
      </c>
      <c r="G334" s="129"/>
      <c r="H334" s="66"/>
    </row>
    <row r="335" spans="4:9" ht="12.75" x14ac:dyDescent="0.2">
      <c r="D335" s="69"/>
      <c r="E335" s="70" t="s">
        <v>669</v>
      </c>
      <c r="F335" s="131">
        <f>IFERROR(VLOOKUP(E335,Hoja1!$A$2:$E$399,5,FALSE),)</f>
        <v>0</v>
      </c>
      <c r="G335" s="129"/>
      <c r="H335" s="66"/>
    </row>
    <row r="336" spans="4:9" ht="12.75" x14ac:dyDescent="0.2">
      <c r="D336" s="69"/>
      <c r="E336" s="70" t="s">
        <v>670</v>
      </c>
      <c r="F336" s="131">
        <f>IFERROR(VLOOKUP(E336,Hoja1!$A$2:$E$399,5,FALSE),)</f>
        <v>0</v>
      </c>
      <c r="G336" s="129"/>
      <c r="H336" s="66"/>
    </row>
    <row r="337" spans="4:14" ht="12.75" x14ac:dyDescent="0.2">
      <c r="D337" s="69"/>
      <c r="E337" s="70" t="s">
        <v>671</v>
      </c>
      <c r="F337" s="131">
        <f>IFERROR(VLOOKUP(E337,Hoja1!$A$2:$E$399,5,FALSE),)</f>
        <v>0</v>
      </c>
      <c r="G337" s="129"/>
      <c r="H337" s="66"/>
    </row>
    <row r="338" spans="4:14" ht="12.75" x14ac:dyDescent="0.2">
      <c r="D338" s="69" t="s">
        <v>672</v>
      </c>
      <c r="E338" s="69"/>
      <c r="F338" s="131"/>
      <c r="G338" s="129">
        <f>+F338</f>
        <v>0</v>
      </c>
    </row>
    <row r="339" spans="4:14" ht="12.75" x14ac:dyDescent="0.2">
      <c r="D339" s="69" t="s">
        <v>673</v>
      </c>
      <c r="E339" s="70" t="s">
        <v>674</v>
      </c>
      <c r="F339" s="131">
        <f>IFERROR(VLOOKUP(E339,Hoja1!$A$2:$E$399,5,FALSE),)</f>
        <v>0</v>
      </c>
      <c r="G339" s="129">
        <f>+F339+F340+F341</f>
        <v>0</v>
      </c>
    </row>
    <row r="340" spans="4:14" ht="12.75" x14ac:dyDescent="0.2">
      <c r="D340" s="69"/>
      <c r="E340" s="69" t="s">
        <v>675</v>
      </c>
      <c r="F340" s="131">
        <f>IFERROR(VLOOKUP(E340,Hoja1!$A$2:$E$399,5,FALSE),)</f>
        <v>0</v>
      </c>
      <c r="G340" s="129"/>
    </row>
    <row r="341" spans="4:14" ht="12.75" x14ac:dyDescent="0.2">
      <c r="D341" s="69"/>
      <c r="E341" s="69" t="s">
        <v>676</v>
      </c>
      <c r="F341" s="131">
        <f>IFERROR(VLOOKUP(E341,Hoja1!$A$2:$E$399,5,FALSE),)</f>
        <v>0</v>
      </c>
      <c r="G341" s="129"/>
    </row>
    <row r="342" spans="4:14" ht="12.75" x14ac:dyDescent="0.2">
      <c r="D342" s="69" t="s">
        <v>677</v>
      </c>
      <c r="E342" s="70" t="s">
        <v>678</v>
      </c>
      <c r="F342" s="131">
        <f>IFERROR(VLOOKUP(E342,Hoja1!$A$2:$E$399,5,FALSE),)</f>
        <v>0</v>
      </c>
      <c r="G342" s="178">
        <f>SUM(F342:F350)</f>
        <v>7596589.620000001</v>
      </c>
    </row>
    <row r="343" spans="4:14" ht="12.75" x14ac:dyDescent="0.2">
      <c r="D343" s="69"/>
      <c r="E343" s="70" t="s">
        <v>679</v>
      </c>
      <c r="F343" s="131">
        <f>IFERROR(VLOOKUP(E343,Hoja1!$A$2:$E$399,5,FALSE),)</f>
        <v>653893.77</v>
      </c>
      <c r="G343" s="129"/>
      <c r="J343" s="70"/>
      <c r="K343" s="70"/>
      <c r="L343" s="70"/>
      <c r="M343" s="70"/>
      <c r="N343" s="70"/>
    </row>
    <row r="344" spans="4:14" ht="12.75" x14ac:dyDescent="0.2">
      <c r="D344" s="69"/>
      <c r="E344" s="70" t="s">
        <v>680</v>
      </c>
      <c r="F344" s="131">
        <f>IFERROR(VLOOKUP(E344,Hoja1!$A$2:$E$399,5,FALSE),)</f>
        <v>0</v>
      </c>
      <c r="G344" s="129"/>
      <c r="J344" s="70"/>
      <c r="K344" s="70"/>
      <c r="L344" s="70"/>
      <c r="M344" s="70"/>
      <c r="N344" s="70"/>
    </row>
    <row r="345" spans="4:14" ht="12.75" x14ac:dyDescent="0.2">
      <c r="D345" s="69"/>
      <c r="E345" s="70" t="s">
        <v>681</v>
      </c>
      <c r="F345" s="131">
        <f>IFERROR(VLOOKUP(E345,Hoja1!$A$2:$E$399,5,FALSE),)</f>
        <v>5565333.8500000006</v>
      </c>
      <c r="G345" s="129"/>
    </row>
    <row r="346" spans="4:14" ht="12.75" x14ac:dyDescent="0.2">
      <c r="D346" s="69"/>
      <c r="E346" s="70" t="s">
        <v>682</v>
      </c>
      <c r="F346" s="131">
        <f>IFERROR(VLOOKUP(E346,Hoja1!$A$2:$E$399,5,FALSE),)</f>
        <v>0</v>
      </c>
      <c r="G346" s="129"/>
    </row>
    <row r="347" spans="4:14" ht="12.75" x14ac:dyDescent="0.2">
      <c r="D347" s="69"/>
      <c r="E347" s="70" t="s">
        <v>683</v>
      </c>
      <c r="F347" s="131">
        <f>IFERROR(VLOOKUP(E347,Hoja1!$A$2:$E$399,5,FALSE),)</f>
        <v>0</v>
      </c>
      <c r="G347" s="129"/>
    </row>
    <row r="348" spans="4:14" ht="12.75" x14ac:dyDescent="0.2">
      <c r="D348" s="69"/>
      <c r="E348" s="70" t="s">
        <v>684</v>
      </c>
      <c r="F348" s="131">
        <f>IFERROR(VLOOKUP(E348,Hoja1!$A$2:$E$399,5,FALSE),)</f>
        <v>0</v>
      </c>
      <c r="G348" s="129"/>
    </row>
    <row r="349" spans="4:14" ht="12.75" x14ac:dyDescent="0.2">
      <c r="D349" s="69"/>
      <c r="E349" s="70" t="s">
        <v>685</v>
      </c>
      <c r="F349" s="131">
        <f>IFERROR(VLOOKUP(E349,Hoja1!$A$2:$E$399,5,FALSE),)</f>
        <v>0</v>
      </c>
      <c r="G349" s="129"/>
    </row>
    <row r="350" spans="4:14" ht="12.75" x14ac:dyDescent="0.2">
      <c r="D350" s="69"/>
      <c r="E350" s="142" t="s">
        <v>686</v>
      </c>
      <c r="F350" s="131">
        <f>IFERROR(VLOOKUP(E350,Hoja1!$A$2:$E$399,5,FALSE),)</f>
        <v>1377362</v>
      </c>
      <c r="G350" s="129"/>
      <c r="H350" s="66" t="s">
        <v>665</v>
      </c>
    </row>
    <row r="351" spans="4:14" ht="12.75" x14ac:dyDescent="0.2">
      <c r="D351" s="69" t="s">
        <v>687</v>
      </c>
      <c r="E351" s="70" t="s">
        <v>688</v>
      </c>
      <c r="F351" s="131">
        <f>IFERROR(VLOOKUP(E351,Hoja1!$A$2:$E$399,5,FALSE),)</f>
        <v>0</v>
      </c>
      <c r="G351" s="178">
        <f>SUM(F351:F357)</f>
        <v>8616654.5700000003</v>
      </c>
      <c r="H351" s="66"/>
      <c r="I351" s="155"/>
      <c r="J351" s="70"/>
      <c r="K351" s="70"/>
      <c r="L351" s="70"/>
      <c r="M351" s="70"/>
    </row>
    <row r="352" spans="4:14" ht="12.75" x14ac:dyDescent="0.2">
      <c r="D352" s="69"/>
      <c r="E352" s="70" t="s">
        <v>689</v>
      </c>
      <c r="F352" s="131">
        <f>IFERROR(VLOOKUP(E352,Hoja1!$A$2:$E$399,5,FALSE),)</f>
        <v>783143.51</v>
      </c>
      <c r="G352" s="129"/>
      <c r="H352" s="66"/>
    </row>
    <row r="353" spans="4:8" ht="12.75" x14ac:dyDescent="0.2">
      <c r="D353" s="69"/>
      <c r="E353" s="70" t="s">
        <v>690</v>
      </c>
      <c r="F353" s="131">
        <f>IFERROR(VLOOKUP(E353,Hoja1!$A$2:$E$399,5,FALSE),)</f>
        <v>7828411.8900000006</v>
      </c>
      <c r="G353" s="129"/>
      <c r="H353" s="66"/>
    </row>
    <row r="354" spans="4:8" ht="12.75" x14ac:dyDescent="0.2">
      <c r="D354" s="69"/>
      <c r="E354" s="70" t="s">
        <v>691</v>
      </c>
      <c r="F354" s="131">
        <f>IFERROR(VLOOKUP(E354,Hoja1!$A$2:$E$399,5,FALSE),)</f>
        <v>0</v>
      </c>
      <c r="G354" s="129"/>
      <c r="H354" s="66"/>
    </row>
    <row r="355" spans="4:8" ht="12.75" x14ac:dyDescent="0.2">
      <c r="D355" s="69"/>
      <c r="E355" s="70" t="s">
        <v>692</v>
      </c>
      <c r="F355" s="131">
        <f>IFERROR(VLOOKUP(E355,Hoja1!$A$2:$E$399,5,FALSE),)</f>
        <v>5099.17</v>
      </c>
      <c r="G355" s="129"/>
      <c r="H355" s="66"/>
    </row>
    <row r="356" spans="4:8" ht="12.75" x14ac:dyDescent="0.2">
      <c r="D356" s="69"/>
      <c r="E356" s="70" t="s">
        <v>693</v>
      </c>
      <c r="F356" s="131">
        <f>IFERROR(VLOOKUP(E356,Hoja1!$A$2:$E$399,5,FALSE),)</f>
        <v>0</v>
      </c>
      <c r="G356" s="129"/>
      <c r="H356" s="66"/>
    </row>
    <row r="357" spans="4:8" ht="12.75" x14ac:dyDescent="0.2">
      <c r="D357" s="69"/>
      <c r="E357" s="70" t="s">
        <v>694</v>
      </c>
      <c r="F357" s="131">
        <f>IFERROR(VLOOKUP(E357,Hoja1!$A$2:$E$399,5,FALSE),)</f>
        <v>0</v>
      </c>
      <c r="G357" s="129"/>
      <c r="H357" s="66"/>
    </row>
    <row r="358" spans="4:8" ht="12.75" x14ac:dyDescent="0.2">
      <c r="D358" s="130" t="s">
        <v>695</v>
      </c>
      <c r="E358" s="70"/>
      <c r="F358" s="131"/>
      <c r="G358" s="129">
        <f>+F358+F359+F360</f>
        <v>0</v>
      </c>
      <c r="H358" s="66"/>
    </row>
    <row r="359" spans="4:8" ht="12.75" x14ac:dyDescent="0.2">
      <c r="E359" s="70" t="s">
        <v>696</v>
      </c>
      <c r="F359" s="131">
        <f>IFERROR(VLOOKUP(E359,Hoja1!$A$2:$E$399,5,FALSE),)</f>
        <v>0</v>
      </c>
      <c r="G359" s="129"/>
      <c r="H359" s="66"/>
    </row>
    <row r="360" spans="4:8" ht="12.75" x14ac:dyDescent="0.2">
      <c r="E360" s="70" t="s">
        <v>697</v>
      </c>
      <c r="F360" s="131">
        <f>IFERROR(VLOOKUP(E360,Hoja1!$A$2:$E$399,5,FALSE),)</f>
        <v>0</v>
      </c>
      <c r="G360" s="129"/>
      <c r="H360" s="66"/>
    </row>
    <row r="361" spans="4:8" ht="12.75" x14ac:dyDescent="0.2">
      <c r="D361" s="130" t="s">
        <v>698</v>
      </c>
      <c r="E361" s="70"/>
      <c r="F361" s="131"/>
      <c r="G361" s="129">
        <f>+F361+F362</f>
        <v>0</v>
      </c>
      <c r="H361" s="66"/>
    </row>
    <row r="362" spans="4:8" ht="12.75" x14ac:dyDescent="0.2">
      <c r="D362" s="130"/>
      <c r="E362" s="70" t="s">
        <v>698</v>
      </c>
      <c r="F362" s="131">
        <f>IFERROR(VLOOKUP(E362,Hoja1!$A$2:$E$399,5,FALSE),)</f>
        <v>0</v>
      </c>
      <c r="G362" s="129"/>
      <c r="H362" s="66"/>
    </row>
    <row r="363" spans="4:8" ht="12.75" x14ac:dyDescent="0.2">
      <c r="D363" s="69" t="s">
        <v>699</v>
      </c>
      <c r="E363" s="69"/>
      <c r="F363" s="131"/>
      <c r="G363" s="129">
        <f>SUM(F363:F366)</f>
        <v>0</v>
      </c>
    </row>
    <row r="364" spans="4:8" ht="12.75" x14ac:dyDescent="0.2">
      <c r="D364" s="69"/>
      <c r="E364" s="70" t="s">
        <v>700</v>
      </c>
      <c r="F364" s="131">
        <f>IFERROR(VLOOKUP(E364,Hoja1!$A$2:$E$399,5,FALSE),)</f>
        <v>0</v>
      </c>
      <c r="G364" s="129"/>
    </row>
    <row r="365" spans="4:8" ht="12.75" x14ac:dyDescent="0.2">
      <c r="D365" s="69"/>
      <c r="E365" s="70" t="s">
        <v>701</v>
      </c>
      <c r="F365" s="131">
        <f>IFERROR(VLOOKUP(E365,Hoja1!$A$2:$E$399,5,FALSE),)</f>
        <v>0</v>
      </c>
      <c r="G365" s="129"/>
    </row>
    <row r="366" spans="4:8" ht="12.75" x14ac:dyDescent="0.2">
      <c r="D366" s="69"/>
      <c r="E366" s="70" t="s">
        <v>702</v>
      </c>
      <c r="F366" s="131">
        <f>IFERROR(VLOOKUP(E366,Hoja1!$A$2:$E$399,5,FALSE),)</f>
        <v>0</v>
      </c>
      <c r="G366" s="129"/>
    </row>
    <row r="367" spans="4:8" ht="12.75" x14ac:dyDescent="0.2">
      <c r="D367" s="69" t="s">
        <v>703</v>
      </c>
      <c r="E367" s="179"/>
      <c r="F367" s="131"/>
      <c r="G367" s="129">
        <f>+F367</f>
        <v>0</v>
      </c>
    </row>
    <row r="368" spans="4:8" ht="12.75" x14ac:dyDescent="0.2">
      <c r="D368" s="69" t="s">
        <v>704</v>
      </c>
      <c r="E368" s="179"/>
      <c r="F368" s="131"/>
      <c r="G368" s="178">
        <f>SUM(F368:F373)</f>
        <v>262653256.83999997</v>
      </c>
    </row>
    <row r="369" spans="4:7" ht="12.75" x14ac:dyDescent="0.2">
      <c r="D369" s="69"/>
      <c r="E369" s="70" t="s">
        <v>705</v>
      </c>
      <c r="F369" s="131">
        <f>IFERROR(VLOOKUP(E369,Hoja1!$A$2:$E$399,5,FALSE),)</f>
        <v>0</v>
      </c>
      <c r="G369" s="129"/>
    </row>
    <row r="370" spans="4:7" ht="12.75" x14ac:dyDescent="0.2">
      <c r="D370" s="69"/>
      <c r="E370" s="70" t="s">
        <v>706</v>
      </c>
      <c r="F370" s="131">
        <f>IFERROR(VLOOKUP(E370,Hoja1!$A$2:$E$399,5,FALSE),)</f>
        <v>216447896.75999999</v>
      </c>
      <c r="G370" s="129"/>
    </row>
    <row r="371" spans="4:7" ht="12.75" x14ac:dyDescent="0.2">
      <c r="D371" s="69"/>
      <c r="E371" s="70" t="s">
        <v>707</v>
      </c>
      <c r="F371" s="131">
        <f>IFERROR(VLOOKUP(E371,Hoja1!$A$2:$E$399,5,FALSE),)</f>
        <v>45688831.079999998</v>
      </c>
      <c r="G371" s="129"/>
    </row>
    <row r="372" spans="4:7" ht="12.75" x14ac:dyDescent="0.2">
      <c r="D372" s="69"/>
      <c r="E372" s="70" t="s">
        <v>708</v>
      </c>
      <c r="F372" s="131">
        <f>IFERROR(VLOOKUP(E372,Hoja1!$A$2:$E$399,5,FALSE),)</f>
        <v>516529</v>
      </c>
      <c r="G372" s="129"/>
    </row>
    <row r="373" spans="4:7" ht="12.75" x14ac:dyDescent="0.2">
      <c r="D373" s="69"/>
      <c r="E373" s="70" t="s">
        <v>709</v>
      </c>
      <c r="F373" s="131">
        <f>IFERROR(VLOOKUP(E373,Hoja1!$A$2:$E$399,5,FALSE),)</f>
        <v>0</v>
      </c>
      <c r="G373" s="129"/>
    </row>
    <row r="374" spans="4:7" ht="12.75" x14ac:dyDescent="0.2">
      <c r="D374" s="69" t="s">
        <v>710</v>
      </c>
      <c r="E374" s="74"/>
      <c r="F374" s="131"/>
      <c r="G374" s="178">
        <f>SUM(F375:F383)</f>
        <v>58572858.170000002</v>
      </c>
    </row>
    <row r="375" spans="4:7" ht="12.75" x14ac:dyDescent="0.2">
      <c r="D375" s="69"/>
      <c r="E375" s="70" t="s">
        <v>711</v>
      </c>
      <c r="F375" s="131">
        <f>IFERROR(VLOOKUP(E375,Hoja1!$A$2:$E$399,5,FALSE),)</f>
        <v>0</v>
      </c>
      <c r="G375" s="129"/>
    </row>
    <row r="376" spans="4:7" ht="12.75" x14ac:dyDescent="0.2">
      <c r="D376" s="69"/>
      <c r="E376" s="70" t="s">
        <v>712</v>
      </c>
      <c r="F376" s="131">
        <f>IFERROR(VLOOKUP(E376,Hoja1!$A$2:$E$399,5,FALSE),)</f>
        <v>45070376.57</v>
      </c>
      <c r="G376" s="129"/>
    </row>
    <row r="377" spans="4:7" ht="12.75" x14ac:dyDescent="0.2">
      <c r="D377" s="69"/>
      <c r="E377" s="70" t="s">
        <v>713</v>
      </c>
      <c r="F377" s="131">
        <f>IFERROR(VLOOKUP(E377,Hoja1!$A$2:$E$399,5,FALSE),)</f>
        <v>0</v>
      </c>
      <c r="G377" s="129"/>
    </row>
    <row r="378" spans="4:7" ht="12.75" x14ac:dyDescent="0.2">
      <c r="D378" s="69"/>
      <c r="E378" s="70" t="s">
        <v>714</v>
      </c>
      <c r="F378" s="131">
        <f>IFERROR(VLOOKUP(E378,Hoja1!$A$2:$E$399,5,FALSE),)</f>
        <v>0</v>
      </c>
      <c r="G378" s="129"/>
    </row>
    <row r="379" spans="4:7" ht="12.75" x14ac:dyDescent="0.2">
      <c r="D379" s="69"/>
      <c r="E379" s="70" t="s">
        <v>715</v>
      </c>
      <c r="F379" s="131">
        <f>IFERROR(VLOOKUP(E379,Hoja1!$A$2:$E$399,5,FALSE),)</f>
        <v>0</v>
      </c>
      <c r="G379" s="129"/>
    </row>
    <row r="380" spans="4:7" ht="12.75" x14ac:dyDescent="0.2">
      <c r="D380" s="69"/>
      <c r="E380" s="70" t="s">
        <v>716</v>
      </c>
      <c r="F380" s="131">
        <f>IFERROR(VLOOKUP(E380,Hoja1!$A$2:$E$399,5,FALSE),)</f>
        <v>13502481.6</v>
      </c>
      <c r="G380" s="129"/>
    </row>
    <row r="381" spans="4:7" ht="12.75" x14ac:dyDescent="0.2">
      <c r="D381" s="69"/>
      <c r="E381" s="70" t="s">
        <v>717</v>
      </c>
      <c r="F381" s="131">
        <f>IFERROR(VLOOKUP(E381,Hoja1!$A$2:$E$399,5,FALSE),)</f>
        <v>0</v>
      </c>
      <c r="G381" s="129"/>
    </row>
    <row r="382" spans="4:7" ht="12.75" x14ac:dyDescent="0.2">
      <c r="D382" s="69"/>
      <c r="E382" s="70" t="s">
        <v>718</v>
      </c>
      <c r="F382" s="131">
        <f>IFERROR(VLOOKUP(E382,Hoja1!$A$2:$E$399,5,FALSE),)</f>
        <v>0</v>
      </c>
      <c r="G382" s="129"/>
    </row>
    <row r="383" spans="4:7" ht="12.75" x14ac:dyDescent="0.2">
      <c r="D383" s="69"/>
      <c r="E383" s="142" t="s">
        <v>719</v>
      </c>
      <c r="F383" s="131">
        <f>IFERROR(VLOOKUP(E383,Hoja1!$A$2:$E$399,5,FALSE),)</f>
        <v>0</v>
      </c>
      <c r="G383" s="129"/>
    </row>
    <row r="384" spans="4:7" ht="12.75" x14ac:dyDescent="0.2">
      <c r="D384" s="69" t="s">
        <v>720</v>
      </c>
      <c r="E384" s="69"/>
      <c r="F384" s="131"/>
      <c r="G384" s="129">
        <f>+F384</f>
        <v>0</v>
      </c>
    </row>
    <row r="385" spans="4:15" ht="12.75" x14ac:dyDescent="0.2">
      <c r="D385" s="130" t="s">
        <v>721</v>
      </c>
      <c r="E385" s="70"/>
      <c r="F385" s="131"/>
      <c r="G385" s="129">
        <f>+F385</f>
        <v>0</v>
      </c>
    </row>
    <row r="386" spans="4:15" ht="12.75" x14ac:dyDescent="0.2">
      <c r="D386" s="69" t="s">
        <v>722</v>
      </c>
      <c r="E386" s="69"/>
      <c r="F386" s="131"/>
      <c r="G386" s="129">
        <f>+F386</f>
        <v>0</v>
      </c>
    </row>
    <row r="387" spans="4:15" ht="12.75" x14ac:dyDescent="0.2">
      <c r="D387" s="69" t="s">
        <v>723</v>
      </c>
      <c r="E387" s="70" t="s">
        <v>724</v>
      </c>
      <c r="F387" s="131">
        <f>IFERROR(VLOOKUP(E387,Hoja1!$A$2:$E$399,5,FALSE),)</f>
        <v>0</v>
      </c>
      <c r="G387" s="129">
        <f>+F387+F388</f>
        <v>0</v>
      </c>
    </row>
    <row r="388" spans="4:15" ht="12.75" x14ac:dyDescent="0.2">
      <c r="D388" s="69"/>
      <c r="E388" s="70" t="s">
        <v>725</v>
      </c>
      <c r="F388" s="131">
        <f>IFERROR(VLOOKUP(E388,Hoja1!$A$2:$E$399,5,FALSE),)</f>
        <v>0</v>
      </c>
      <c r="G388" s="129"/>
    </row>
    <row r="389" spans="4:15" ht="12.75" x14ac:dyDescent="0.2">
      <c r="D389" s="69" t="s">
        <v>726</v>
      </c>
      <c r="E389" s="69"/>
      <c r="F389" s="131"/>
      <c r="G389" s="129">
        <f>+F389</f>
        <v>0</v>
      </c>
    </row>
    <row r="390" spans="4:15" ht="12.75" x14ac:dyDescent="0.2">
      <c r="D390" s="69" t="s">
        <v>727</v>
      </c>
      <c r="E390" s="69"/>
      <c r="F390" s="131"/>
      <c r="G390" s="178">
        <f>SUM(F390:F392)</f>
        <v>9064800</v>
      </c>
      <c r="K390" s="70"/>
      <c r="L390" s="70"/>
      <c r="M390" s="70"/>
      <c r="N390" s="70"/>
      <c r="O390" s="70"/>
    </row>
    <row r="391" spans="4:15" ht="12.75" x14ac:dyDescent="0.2">
      <c r="D391" s="69"/>
      <c r="E391" s="70" t="s">
        <v>728</v>
      </c>
      <c r="F391" s="131">
        <f>IFERROR(VLOOKUP(E391,Hoja1!$A$2:$E$399,5,FALSE),)</f>
        <v>0</v>
      </c>
      <c r="G391" s="129"/>
      <c r="K391" s="70"/>
      <c r="L391" s="70"/>
      <c r="M391" s="70"/>
      <c r="N391" s="70"/>
      <c r="O391" s="70"/>
    </row>
    <row r="392" spans="4:15" ht="12.75" x14ac:dyDescent="0.2">
      <c r="D392" s="69"/>
      <c r="E392" s="70" t="s">
        <v>729</v>
      </c>
      <c r="F392" s="131">
        <f>IFERROR(VLOOKUP(E392,Hoja1!$A$2:$E$399,5,FALSE),)</f>
        <v>9064800</v>
      </c>
      <c r="G392" s="129"/>
      <c r="K392" s="70"/>
      <c r="L392" s="70"/>
      <c r="M392" s="70"/>
      <c r="N392" s="70"/>
      <c r="O392" s="70"/>
    </row>
    <row r="393" spans="4:15" ht="12.75" x14ac:dyDescent="0.2">
      <c r="D393" s="69" t="s">
        <v>730</v>
      </c>
      <c r="E393" s="70" t="s">
        <v>731</v>
      </c>
      <c r="F393" s="131">
        <f>IFERROR(VLOOKUP(E393,Hoja1!$A$2:$E$399,5,FALSE),)</f>
        <v>5598557</v>
      </c>
      <c r="G393" s="129">
        <f>+F393+F394+F395+F396</f>
        <v>5598557</v>
      </c>
    </row>
    <row r="394" spans="4:15" ht="12.75" x14ac:dyDescent="0.2">
      <c r="D394" s="69"/>
      <c r="E394" s="70" t="s">
        <v>732</v>
      </c>
      <c r="F394" s="131">
        <f>IFERROR(VLOOKUP(E394,Hoja1!$A$2:$E$399,5,FALSE),)</f>
        <v>0</v>
      </c>
      <c r="G394" s="129"/>
    </row>
    <row r="395" spans="4:15" ht="12.75" x14ac:dyDescent="0.2">
      <c r="D395" s="69"/>
      <c r="E395" s="70" t="s">
        <v>733</v>
      </c>
      <c r="F395" s="131">
        <f>IFERROR(VLOOKUP(E395,Hoja1!$A$2:$E$399,5,FALSE),)</f>
        <v>0</v>
      </c>
      <c r="G395" s="129"/>
    </row>
    <row r="396" spans="4:15" ht="12.75" x14ac:dyDescent="0.2">
      <c r="D396" s="69"/>
      <c r="E396" s="70" t="s">
        <v>734</v>
      </c>
      <c r="F396" s="131">
        <f>IFERROR(VLOOKUP(E396,Hoja1!$A$2:$E$399,5,FALSE),)</f>
        <v>0</v>
      </c>
      <c r="G396" s="129"/>
    </row>
    <row r="397" spans="4:15" ht="12.75" x14ac:dyDescent="0.2">
      <c r="D397" s="69" t="s">
        <v>735</v>
      </c>
      <c r="E397" s="179"/>
      <c r="F397" s="131"/>
      <c r="G397" s="129">
        <f>SUM(F397:F398)</f>
        <v>0</v>
      </c>
    </row>
    <row r="398" spans="4:15" ht="12.75" x14ac:dyDescent="0.2">
      <c r="D398" s="130"/>
      <c r="E398" s="70" t="s">
        <v>736</v>
      </c>
      <c r="F398" s="131">
        <f>IFERROR(VLOOKUP(E398,Hoja1!$A$2:$E$399,5,FALSE),)</f>
        <v>0</v>
      </c>
      <c r="G398" s="129"/>
      <c r="H398" s="70"/>
    </row>
    <row r="399" spans="4:15" ht="12.75" x14ac:dyDescent="0.2">
      <c r="D399" s="69" t="s">
        <v>737</v>
      </c>
      <c r="E399" s="179"/>
      <c r="F399" s="131"/>
      <c r="G399" s="129">
        <f>+F399+F400</f>
        <v>0</v>
      </c>
    </row>
    <row r="400" spans="4:15" ht="12.75" x14ac:dyDescent="0.2">
      <c r="D400" s="69"/>
      <c r="E400" s="70" t="s">
        <v>738</v>
      </c>
      <c r="F400" s="131">
        <f>IFERROR(VLOOKUP(E400,Hoja1!$A$2:$E$399,5,FALSE),)</f>
        <v>0</v>
      </c>
      <c r="G400" s="129"/>
    </row>
    <row r="401" spans="4:14" ht="12.75" x14ac:dyDescent="0.2">
      <c r="D401" s="69" t="s">
        <v>739</v>
      </c>
      <c r="E401" s="69" t="s">
        <v>740</v>
      </c>
      <c r="F401" s="131">
        <f>IFERROR(VLOOKUP(E401,Hoja1!$A$2:$E$399,5,FALSE),)</f>
        <v>276280951</v>
      </c>
      <c r="G401" s="178">
        <f>+F401</f>
        <v>276280951</v>
      </c>
    </row>
    <row r="402" spans="4:14" ht="12.75" customHeight="1" x14ac:dyDescent="0.2">
      <c r="D402" s="69" t="s">
        <v>741</v>
      </c>
      <c r="E402" s="179"/>
      <c r="F402" s="131"/>
      <c r="G402" s="129">
        <f>+F403+F404</f>
        <v>0</v>
      </c>
    </row>
    <row r="403" spans="4:14" ht="12.75" customHeight="1" x14ac:dyDescent="0.2">
      <c r="D403" s="69"/>
      <c r="E403" s="70" t="s">
        <v>742</v>
      </c>
      <c r="F403" s="131">
        <f>IFERROR(VLOOKUP(E403,Hoja1!$A$2:$E$399,5,FALSE),)</f>
        <v>0</v>
      </c>
      <c r="G403" s="129"/>
    </row>
    <row r="404" spans="4:14" ht="12.75" customHeight="1" x14ac:dyDescent="0.2">
      <c r="D404" s="74"/>
      <c r="E404" s="70" t="s">
        <v>743</v>
      </c>
      <c r="F404" s="131">
        <f>IFERROR(VLOOKUP(E404,Hoja1!$A$2:$E$399,5,FALSE),)</f>
        <v>0</v>
      </c>
      <c r="G404" s="129"/>
    </row>
    <row r="405" spans="4:14" ht="12.75" customHeight="1" x14ac:dyDescent="0.2">
      <c r="D405" s="69" t="s">
        <v>744</v>
      </c>
      <c r="E405" s="70"/>
      <c r="F405" s="131"/>
      <c r="G405" s="129">
        <f>+F405</f>
        <v>0</v>
      </c>
    </row>
    <row r="406" spans="4:14" ht="12.75" x14ac:dyDescent="0.2">
      <c r="D406" s="69" t="s">
        <v>745</v>
      </c>
      <c r="E406" s="69"/>
      <c r="F406" s="131"/>
      <c r="G406" s="178">
        <f>SUM(F406:F412)</f>
        <v>489482.99</v>
      </c>
    </row>
    <row r="407" spans="4:14" ht="12.75" x14ac:dyDescent="0.2">
      <c r="D407" s="69"/>
      <c r="E407" s="142" t="s">
        <v>746</v>
      </c>
      <c r="F407" s="131">
        <f>IFERROR(VLOOKUP(E407,Hoja1!$A$2:$E$399,5,FALSE),)</f>
        <v>0</v>
      </c>
      <c r="G407" s="129"/>
    </row>
    <row r="408" spans="4:14" ht="12.75" x14ac:dyDescent="0.2">
      <c r="D408" s="69"/>
      <c r="E408" s="70" t="s">
        <v>747</v>
      </c>
      <c r="F408" s="131">
        <f>IFERROR(VLOOKUP(E408,Hoja1!$A$2:$E$399,5,FALSE),)</f>
        <v>0</v>
      </c>
      <c r="G408" s="129"/>
    </row>
    <row r="409" spans="4:14" ht="12.75" x14ac:dyDescent="0.2">
      <c r="D409" s="69"/>
      <c r="E409" s="70" t="s">
        <v>748</v>
      </c>
      <c r="F409" s="131">
        <f>IFERROR(VLOOKUP(E409,Hoja1!$A$2:$E$399,5,FALSE),)</f>
        <v>489482.99</v>
      </c>
      <c r="G409" s="129"/>
    </row>
    <row r="410" spans="4:14" ht="12.75" x14ac:dyDescent="0.2">
      <c r="D410" s="69"/>
      <c r="E410" s="70" t="s">
        <v>749</v>
      </c>
      <c r="F410" s="131">
        <f>IFERROR(VLOOKUP(E410,Hoja1!$A$2:$E$399,5,FALSE),)</f>
        <v>0</v>
      </c>
      <c r="G410" s="129"/>
    </row>
    <row r="411" spans="4:14" ht="12.75" x14ac:dyDescent="0.2">
      <c r="D411" s="69"/>
      <c r="E411" s="142" t="s">
        <v>750</v>
      </c>
      <c r="F411" s="131">
        <f>IFERROR(VLOOKUP(E411,Hoja1!$A$2:$E$399,5,FALSE),)</f>
        <v>0</v>
      </c>
      <c r="G411" s="129"/>
    </row>
    <row r="412" spans="4:14" ht="12.75" x14ac:dyDescent="0.2">
      <c r="D412" s="69"/>
      <c r="E412" s="70" t="s">
        <v>751</v>
      </c>
      <c r="F412" s="131">
        <f>IFERROR(VLOOKUP(E412,Hoja1!$A$2:$E$399,5,FALSE),)</f>
        <v>0</v>
      </c>
      <c r="G412" s="129"/>
    </row>
    <row r="413" spans="4:14" ht="12.75" x14ac:dyDescent="0.2">
      <c r="D413" s="130" t="s">
        <v>752</v>
      </c>
      <c r="E413" s="70" t="s">
        <v>753</v>
      </c>
      <c r="F413" s="131">
        <f>IFERROR(VLOOKUP(E413,Hoja1!$A$2:$E$399,5,FALSE),)</f>
        <v>0</v>
      </c>
      <c r="G413" s="178">
        <f>+F413+F414</f>
        <v>236115665.5</v>
      </c>
      <c r="J413" s="70"/>
      <c r="K413" s="70"/>
      <c r="L413" s="70"/>
      <c r="M413" s="70"/>
      <c r="N413" s="70"/>
    </row>
    <row r="414" spans="4:14" ht="12.75" x14ac:dyDescent="0.2">
      <c r="D414" s="130"/>
      <c r="E414" s="70" t="s">
        <v>752</v>
      </c>
      <c r="F414" s="131">
        <f>IFERROR(VLOOKUP(E414,Hoja1!$A$2:$E$399,5,FALSE),)</f>
        <v>236115665.5</v>
      </c>
      <c r="G414" s="129"/>
      <c r="J414" s="70"/>
      <c r="K414" s="70"/>
      <c r="L414" s="70"/>
      <c r="M414" s="70"/>
      <c r="N414" s="70"/>
    </row>
    <row r="415" spans="4:14" ht="12.75" x14ac:dyDescent="0.2">
      <c r="D415" s="130" t="s">
        <v>754</v>
      </c>
      <c r="E415" s="70"/>
      <c r="F415" s="131"/>
      <c r="G415" s="129">
        <f>+F415</f>
        <v>0</v>
      </c>
    </row>
    <row r="416" spans="4:14" ht="12.75" x14ac:dyDescent="0.2">
      <c r="D416" s="130" t="s">
        <v>755</v>
      </c>
      <c r="E416" s="142" t="s">
        <v>756</v>
      </c>
      <c r="F416" s="131">
        <f>IFERROR(VLOOKUP(E416,Hoja1!$A$2:$E$399,5,FALSE),)</f>
        <v>0</v>
      </c>
      <c r="G416" s="178">
        <f>SUM(F416:F423)</f>
        <v>3499846.7</v>
      </c>
    </row>
    <row r="417" spans="4:9" ht="12.75" x14ac:dyDescent="0.2">
      <c r="D417" s="130"/>
      <c r="E417" s="70" t="s">
        <v>757</v>
      </c>
      <c r="F417" s="131">
        <f>IFERROR(VLOOKUP(E417,Hoja1!$A$2:$E$399,5,FALSE),)</f>
        <v>3013363</v>
      </c>
      <c r="G417" s="129"/>
      <c r="H417" s="70"/>
      <c r="I417" s="155"/>
    </row>
    <row r="418" spans="4:9" ht="12.75" x14ac:dyDescent="0.2">
      <c r="D418" s="130"/>
      <c r="E418" s="70" t="s">
        <v>758</v>
      </c>
      <c r="F418" s="131">
        <f>IFERROR(VLOOKUP(E418,Hoja1!$A$2:$E$399,5,FALSE),)</f>
        <v>0</v>
      </c>
      <c r="G418" s="129"/>
      <c r="H418" s="70"/>
      <c r="I418" s="155"/>
    </row>
    <row r="419" spans="4:9" ht="12.75" x14ac:dyDescent="0.2">
      <c r="D419" s="130"/>
      <c r="E419" s="70" t="s">
        <v>759</v>
      </c>
      <c r="F419" s="131">
        <f>IFERROR(VLOOKUP(E419,Hoja1!$A$2:$E$399,5,FALSE),)</f>
        <v>442383.7</v>
      </c>
      <c r="G419" s="129"/>
      <c r="H419" s="70"/>
      <c r="I419" s="155"/>
    </row>
    <row r="420" spans="4:9" ht="12.75" x14ac:dyDescent="0.2">
      <c r="D420" s="130"/>
      <c r="E420" s="70" t="s">
        <v>760</v>
      </c>
      <c r="F420" s="131">
        <f>IFERROR(VLOOKUP(E420,Hoja1!$A$2:$E$399,5,FALSE),)</f>
        <v>0</v>
      </c>
      <c r="G420" s="129"/>
      <c r="H420" s="70"/>
      <c r="I420" s="155"/>
    </row>
    <row r="421" spans="4:9" ht="12.75" x14ac:dyDescent="0.2">
      <c r="D421" s="130"/>
      <c r="E421" s="70" t="s">
        <v>761</v>
      </c>
      <c r="F421" s="131">
        <f>IFERROR(VLOOKUP(E421,Hoja1!$A$2:$E$399,5,FALSE),)</f>
        <v>0</v>
      </c>
      <c r="G421" s="129"/>
      <c r="H421" s="70"/>
      <c r="I421" s="155"/>
    </row>
    <row r="422" spans="4:9" ht="12.75" x14ac:dyDescent="0.2">
      <c r="D422" s="130"/>
      <c r="E422" s="70" t="s">
        <v>762</v>
      </c>
      <c r="F422" s="131">
        <f>IFERROR(VLOOKUP(E422,Hoja1!$A$2:$E$399,5,FALSE),)</f>
        <v>0</v>
      </c>
      <c r="G422" s="129"/>
      <c r="H422" s="70"/>
      <c r="I422" s="155"/>
    </row>
    <row r="423" spans="4:9" ht="12.75" x14ac:dyDescent="0.2">
      <c r="D423" s="130"/>
      <c r="E423" s="70" t="str">
        <f>+Hoja1!A289</f>
        <v>426880000 - Tasas Municipales Gs Campo</v>
      </c>
      <c r="F423" s="131">
        <f>IFERROR(VLOOKUP(E423,Hoja1!$A$2:$E$399,5,FALSE),)</f>
        <v>44100</v>
      </c>
      <c r="G423" s="129"/>
      <c r="H423" s="70"/>
      <c r="I423" s="155"/>
    </row>
    <row r="424" spans="4:9" ht="12.75" x14ac:dyDescent="0.2">
      <c r="D424" s="69" t="s">
        <v>763</v>
      </c>
      <c r="E424" s="69"/>
      <c r="F424" s="131">
        <f>IFERROR(VLOOKUP(D424,Hoja1!$A$2:$E$399,5,FALSE),)</f>
        <v>51916602.990000002</v>
      </c>
      <c r="G424" s="178">
        <f>+F424</f>
        <v>51916602.990000002</v>
      </c>
    </row>
    <row r="425" spans="4:9" ht="12.75" x14ac:dyDescent="0.2">
      <c r="D425" s="69" t="s">
        <v>764</v>
      </c>
      <c r="E425" s="69"/>
      <c r="F425" s="131"/>
      <c r="G425" s="178">
        <f>SUM(F426:F433)</f>
        <v>768315.33</v>
      </c>
    </row>
    <row r="426" spans="4:9" ht="12.75" x14ac:dyDescent="0.2">
      <c r="D426" s="69"/>
      <c r="E426" s="70" t="s">
        <v>765</v>
      </c>
      <c r="F426" s="131">
        <f>IFERROR(VLOOKUP(E426,Hoja1!$A$2:$E$399,5,FALSE),)</f>
        <v>0</v>
      </c>
      <c r="G426" s="129"/>
    </row>
    <row r="427" spans="4:9" ht="12.75" x14ac:dyDescent="0.2">
      <c r="D427" s="74"/>
      <c r="E427" s="69" t="s">
        <v>766</v>
      </c>
      <c r="F427" s="131">
        <f>IFERROR(VLOOKUP(E427,Hoja1!$A$2:$E$399,5,FALSE),)</f>
        <v>615911.61</v>
      </c>
      <c r="G427" s="129"/>
    </row>
    <row r="428" spans="4:9" ht="12.75" x14ac:dyDescent="0.2">
      <c r="D428" s="74"/>
      <c r="E428" s="69" t="s">
        <v>767</v>
      </c>
      <c r="F428" s="131">
        <f>IFERROR(VLOOKUP(E428,Hoja1!$A$2:$E$399,5,FALSE),)</f>
        <v>152403.72</v>
      </c>
      <c r="G428" s="129"/>
    </row>
    <row r="429" spans="4:9" ht="12.75" x14ac:dyDescent="0.2">
      <c r="D429" s="74"/>
      <c r="E429" s="69" t="s">
        <v>768</v>
      </c>
      <c r="F429" s="131">
        <f>IFERROR(VLOOKUP(E429,Hoja1!$A$2:$E$399,5,FALSE),)</f>
        <v>0</v>
      </c>
      <c r="G429" s="129"/>
    </row>
    <row r="430" spans="4:9" ht="12.75" x14ac:dyDescent="0.2">
      <c r="D430" s="74"/>
      <c r="E430" s="70" t="s">
        <v>769</v>
      </c>
      <c r="F430" s="131">
        <f>IFERROR(VLOOKUP(E430,Hoja1!$A$2:$E$399,5,FALSE),)</f>
        <v>0</v>
      </c>
      <c r="G430" s="129"/>
    </row>
    <row r="431" spans="4:9" ht="12.75" x14ac:dyDescent="0.2">
      <c r="D431" s="74"/>
      <c r="E431" s="70" t="s">
        <v>770</v>
      </c>
      <c r="F431" s="131">
        <f>IFERROR(VLOOKUP(E431,Hoja1!$A$2:$E$399,5,FALSE),)</f>
        <v>0</v>
      </c>
      <c r="G431" s="129"/>
    </row>
    <row r="432" spans="4:9" ht="12.75" x14ac:dyDescent="0.2">
      <c r="D432" s="74"/>
      <c r="E432" s="70" t="s">
        <v>771</v>
      </c>
      <c r="F432" s="131">
        <f>IFERROR(VLOOKUP(E432,Hoja1!$A$2:$E$399,5,FALSE),)</f>
        <v>0</v>
      </c>
      <c r="G432" s="129"/>
    </row>
    <row r="433" spans="4:9" ht="12.75" x14ac:dyDescent="0.2">
      <c r="D433" s="74"/>
      <c r="E433" s="70" t="s">
        <v>772</v>
      </c>
      <c r="F433" s="131">
        <f>IFERROR(VLOOKUP(E433,Hoja1!$A$2:$E$399,5,FALSE),)</f>
        <v>0</v>
      </c>
      <c r="G433" s="129"/>
    </row>
    <row r="434" spans="4:9" ht="12.75" x14ac:dyDescent="0.2">
      <c r="D434" s="69" t="s">
        <v>773</v>
      </c>
      <c r="E434" s="69"/>
      <c r="F434" s="131"/>
      <c r="G434" s="178">
        <f>SUM(F434:F438)</f>
        <v>17921832.18</v>
      </c>
    </row>
    <row r="435" spans="4:9" ht="12.75" x14ac:dyDescent="0.2">
      <c r="D435" s="69"/>
      <c r="E435" s="70" t="s">
        <v>774</v>
      </c>
      <c r="F435" s="131">
        <f>IFERROR(VLOOKUP(E435,Hoja1!$A$2:$E$399,5,FALSE),)</f>
        <v>1413626.44</v>
      </c>
      <c r="G435" s="129"/>
    </row>
    <row r="436" spans="4:9" ht="12.75" x14ac:dyDescent="0.2">
      <c r="D436" s="69"/>
      <c r="E436" s="70" t="s">
        <v>775</v>
      </c>
      <c r="F436" s="131">
        <f>IFERROR(VLOOKUP(E436,Hoja1!$A$2:$E$399,5,FALSE),)</f>
        <v>16508205.74</v>
      </c>
      <c r="G436" s="129"/>
    </row>
    <row r="437" spans="4:9" ht="12.75" x14ac:dyDescent="0.2">
      <c r="D437" s="69"/>
      <c r="E437" s="70" t="s">
        <v>776</v>
      </c>
      <c r="F437" s="131">
        <f>IFERROR(VLOOKUP(E437,Hoja1!$A$2:$E$399,5,FALSE),)</f>
        <v>0</v>
      </c>
      <c r="G437" s="129"/>
    </row>
    <row r="438" spans="4:9" ht="12.75" x14ac:dyDescent="0.2">
      <c r="D438" s="69"/>
      <c r="E438" s="70" t="s">
        <v>777</v>
      </c>
      <c r="F438" s="131">
        <f>IFERROR(VLOOKUP(E438,Hoja1!$A$2:$E$399,5,FALSE),)</f>
        <v>0</v>
      </c>
      <c r="G438" s="129"/>
    </row>
    <row r="439" spans="4:9" ht="12.75" x14ac:dyDescent="0.2">
      <c r="D439" s="69" t="s">
        <v>778</v>
      </c>
      <c r="E439" s="179"/>
      <c r="F439" s="131"/>
      <c r="G439" s="129">
        <f>+F439</f>
        <v>0</v>
      </c>
    </row>
    <row r="440" spans="4:9" ht="12.75" x14ac:dyDescent="0.2">
      <c r="D440" s="130" t="s">
        <v>779</v>
      </c>
      <c r="E440" s="74"/>
      <c r="F440" s="131"/>
      <c r="G440" s="129">
        <f>SUM(F440:F442)</f>
        <v>0</v>
      </c>
    </row>
    <row r="441" spans="4:9" ht="13.5" customHeight="1" x14ac:dyDescent="0.2">
      <c r="D441" s="130"/>
      <c r="E441" s="70" t="s">
        <v>780</v>
      </c>
      <c r="F441" s="131">
        <f>IFERROR(VLOOKUP(E441,Hoja1!$A$2:$E$399,5,FALSE),)</f>
        <v>0</v>
      </c>
      <c r="G441" s="129"/>
    </row>
    <row r="442" spans="4:9" ht="12.75" x14ac:dyDescent="0.2">
      <c r="D442" s="130"/>
      <c r="E442" s="70" t="s">
        <v>781</v>
      </c>
      <c r="F442" s="131">
        <f>IFERROR(VLOOKUP(E442,Hoja1!$A$2:$E$399,5,FALSE),)</f>
        <v>0</v>
      </c>
      <c r="G442" s="129"/>
    </row>
    <row r="443" spans="4:9" ht="12.75" x14ac:dyDescent="0.2">
      <c r="D443" s="69" t="s">
        <v>782</v>
      </c>
      <c r="E443" s="179"/>
      <c r="F443" s="131"/>
      <c r="G443" s="178">
        <f>SUM(F444:F447)</f>
        <v>101483.28</v>
      </c>
    </row>
    <row r="444" spans="4:9" ht="12.75" x14ac:dyDescent="0.2">
      <c r="D444" s="69"/>
      <c r="E444" s="142" t="s">
        <v>783</v>
      </c>
      <c r="F444" s="131">
        <f>IFERROR(VLOOKUP(E444,Hoja1!$A$2:$E$399,5,FALSE),)</f>
        <v>0</v>
      </c>
      <c r="G444" s="129"/>
    </row>
    <row r="445" spans="4:9" ht="12.75" x14ac:dyDescent="0.2">
      <c r="D445" s="69"/>
      <c r="E445" s="70" t="s">
        <v>784</v>
      </c>
      <c r="F445" s="131">
        <f>IFERROR(VLOOKUP(E445,Hoja1!$A$2:$E$399,5,FALSE),)</f>
        <v>101483.28</v>
      </c>
      <c r="G445" s="129"/>
      <c r="H445" s="70"/>
      <c r="I445" s="155"/>
    </row>
    <row r="446" spans="4:9" ht="12.75" x14ac:dyDescent="0.2">
      <c r="D446" s="69"/>
      <c r="E446" s="70" t="s">
        <v>785</v>
      </c>
      <c r="F446" s="131">
        <f>IFERROR(VLOOKUP(E446,Hoja1!$A$2:$E$399,5,FALSE),)</f>
        <v>0</v>
      </c>
      <c r="G446" s="129"/>
      <c r="H446" s="70"/>
      <c r="I446" s="155"/>
    </row>
    <row r="447" spans="4:9" ht="12.75" x14ac:dyDescent="0.2">
      <c r="D447" s="69"/>
      <c r="E447" s="70" t="s">
        <v>786</v>
      </c>
      <c r="F447" s="131">
        <f>IFERROR(VLOOKUP(E447,Hoja1!$A$2:$E$399,5,FALSE),)</f>
        <v>0</v>
      </c>
      <c r="G447" s="129"/>
      <c r="H447" s="70"/>
      <c r="I447" s="155"/>
    </row>
    <row r="448" spans="4:9" ht="12.75" x14ac:dyDescent="0.2">
      <c r="D448" s="187" t="s">
        <v>787</v>
      </c>
      <c r="E448" s="188"/>
      <c r="F448" s="189"/>
      <c r="G448" s="178">
        <f>+F449+F450+F451</f>
        <v>8441197.290000001</v>
      </c>
    </row>
    <row r="449" spans="4:8" ht="12.75" x14ac:dyDescent="0.2">
      <c r="D449" s="69"/>
      <c r="E449" s="70" t="s">
        <v>788</v>
      </c>
      <c r="F449" s="131">
        <f>IFERROR(VLOOKUP(E449,Hoja1!$A$2:$E$399,5,FALSE),)</f>
        <v>0</v>
      </c>
      <c r="G449" s="129"/>
    </row>
    <row r="450" spans="4:8" ht="12.75" x14ac:dyDescent="0.2">
      <c r="D450" s="69"/>
      <c r="E450" s="70" t="s">
        <v>789</v>
      </c>
      <c r="F450" s="131">
        <f>IFERROR(VLOOKUP(E450,Hoja1!$A$2:$E$399,5,FALSE),)</f>
        <v>0</v>
      </c>
      <c r="G450" s="129"/>
    </row>
    <row r="451" spans="4:8" ht="12.75" x14ac:dyDescent="0.2">
      <c r="D451" s="69"/>
      <c r="E451" s="70" t="s">
        <v>790</v>
      </c>
      <c r="F451" s="131">
        <f>IFERROR(VLOOKUP(E451,Hoja1!$A$2:$E$399,5,FALSE),)</f>
        <v>8441197.290000001</v>
      </c>
      <c r="G451" s="129"/>
    </row>
    <row r="452" spans="4:8" ht="12.75" x14ac:dyDescent="0.2">
      <c r="D452" s="69" t="s">
        <v>791</v>
      </c>
      <c r="E452" s="179"/>
      <c r="F452" s="131"/>
      <c r="G452" s="178">
        <f>SUM(F453:F456)</f>
        <v>14667167.220000001</v>
      </c>
    </row>
    <row r="453" spans="4:8" ht="12.75" x14ac:dyDescent="0.2">
      <c r="D453" s="69"/>
      <c r="E453" s="70" t="s">
        <v>792</v>
      </c>
      <c r="F453" s="131">
        <f>IFERROR(VLOOKUP(E453,Hoja1!$A$2:$E$399,5,FALSE),)</f>
        <v>299800</v>
      </c>
      <c r="G453" s="129"/>
    </row>
    <row r="454" spans="4:8" ht="12.75" x14ac:dyDescent="0.2">
      <c r="D454" s="69"/>
      <c r="E454" s="70" t="s">
        <v>793</v>
      </c>
      <c r="F454" s="131">
        <f>IFERROR(VLOOKUP(E454,Hoja1!$A$2:$E$399,5,FALSE),)</f>
        <v>14367367.220000001</v>
      </c>
      <c r="G454" s="129"/>
    </row>
    <row r="455" spans="4:8" ht="12.75" x14ac:dyDescent="0.2">
      <c r="D455" s="69"/>
      <c r="E455" s="70" t="s">
        <v>794</v>
      </c>
      <c r="F455" s="131">
        <f>IFERROR(VLOOKUP(E455,Hoja1!$A$2:$E$399,5,FALSE),)</f>
        <v>0</v>
      </c>
      <c r="G455" s="129"/>
    </row>
    <row r="456" spans="4:8" ht="12.75" x14ac:dyDescent="0.2">
      <c r="D456" s="69"/>
      <c r="E456" s="70" t="s">
        <v>795</v>
      </c>
      <c r="F456" s="131">
        <f>IFERROR(VLOOKUP(E456,Hoja1!$A$2:$E$399,5,FALSE),)</f>
        <v>0</v>
      </c>
      <c r="G456" s="129"/>
    </row>
    <row r="457" spans="4:8" ht="12.75" x14ac:dyDescent="0.2">
      <c r="D457" s="69" t="s">
        <v>796</v>
      </c>
      <c r="E457" s="69"/>
      <c r="F457" s="131">
        <f>IFERROR(VLOOKUP(D457,Hoja1!$A$2:$E$375,5,FALSE),)</f>
        <v>0</v>
      </c>
      <c r="G457" s="129">
        <f>+F457</f>
        <v>0</v>
      </c>
    </row>
    <row r="458" spans="4:8" ht="12.75" x14ac:dyDescent="0.2">
      <c r="D458" s="69" t="s">
        <v>797</v>
      </c>
      <c r="E458" s="69"/>
      <c r="F458" s="131">
        <f>IFERROR(VLOOKUP(D458,Hoja1!$A$2:$E$375,5,FALSE),)</f>
        <v>0</v>
      </c>
      <c r="G458" s="129">
        <f>+F458</f>
        <v>0</v>
      </c>
    </row>
    <row r="459" spans="4:8" ht="12.75" x14ac:dyDescent="0.2">
      <c r="D459" s="130" t="s">
        <v>798</v>
      </c>
      <c r="E459" s="70"/>
      <c r="F459" s="131"/>
      <c r="G459" s="129">
        <f>+SUM(F460:F461)</f>
        <v>0</v>
      </c>
    </row>
    <row r="460" spans="4:8" ht="12.75" x14ac:dyDescent="0.2">
      <c r="D460" s="130"/>
      <c r="E460" s="70" t="s">
        <v>799</v>
      </c>
      <c r="F460" s="131">
        <f>IFERROR(VLOOKUP(E460,Hoja1!$A$2:$E$399,5,FALSE),)</f>
        <v>0</v>
      </c>
      <c r="G460" s="129"/>
    </row>
    <row r="461" spans="4:8" ht="12.75" x14ac:dyDescent="0.2">
      <c r="D461" s="130"/>
      <c r="E461" s="70" t="s">
        <v>800</v>
      </c>
      <c r="F461" s="131">
        <f>IFERROR(VLOOKUP(E461,Hoja1!$A$2:$E$399,5,FALSE),)</f>
        <v>0</v>
      </c>
      <c r="G461" s="129"/>
    </row>
    <row r="462" spans="4:8" ht="12.75" x14ac:dyDescent="0.2">
      <c r="D462" s="69" t="s">
        <v>801</v>
      </c>
      <c r="E462" s="69" t="s">
        <v>802</v>
      </c>
      <c r="F462" s="131">
        <f>IFERROR(VLOOKUP(E462,Hoja1!$A$2:$E$399,5,FALSE),)</f>
        <v>0</v>
      </c>
      <c r="G462" s="178">
        <f>SUM(F462:F470)</f>
        <v>15451043.76</v>
      </c>
      <c r="H462" s="141"/>
    </row>
    <row r="463" spans="4:8" ht="11.25" customHeight="1" x14ac:dyDescent="0.2">
      <c r="D463" s="69"/>
      <c r="E463" s="70" t="s">
        <v>803</v>
      </c>
      <c r="F463" s="131">
        <f>IFERROR(VLOOKUP(E463,Hoja1!$A$2:$E$399,5,FALSE),)</f>
        <v>7468721</v>
      </c>
      <c r="G463" s="129"/>
      <c r="H463" s="141"/>
    </row>
    <row r="464" spans="4:8" ht="11.25" customHeight="1" x14ac:dyDescent="0.2">
      <c r="D464" s="69"/>
      <c r="E464" s="70" t="s">
        <v>804</v>
      </c>
      <c r="F464" s="131">
        <f>IFERROR(VLOOKUP(E464,Hoja1!$A$2:$E$399,5,FALSE),)</f>
        <v>7982322.7599999998</v>
      </c>
      <c r="G464" s="129"/>
      <c r="H464" s="141"/>
    </row>
    <row r="465" spans="4:9" ht="12.75" x14ac:dyDescent="0.2">
      <c r="D465" s="69"/>
      <c r="E465" s="70" t="s">
        <v>805</v>
      </c>
      <c r="F465" s="131">
        <f>IFERROR(VLOOKUP(E465,Hoja1!$A$2:$E$399,5,FALSE),)</f>
        <v>0</v>
      </c>
      <c r="G465" s="129"/>
      <c r="H465" s="70"/>
      <c r="I465" s="155"/>
    </row>
    <row r="466" spans="4:9" ht="12.75" x14ac:dyDescent="0.2">
      <c r="D466" s="69"/>
      <c r="E466" s="70" t="s">
        <v>806</v>
      </c>
      <c r="F466" s="131">
        <f>IFERROR(VLOOKUP(E466,Hoja1!$A$2:$E$399,5,FALSE),)</f>
        <v>0</v>
      </c>
      <c r="G466" s="129"/>
      <c r="H466" s="70"/>
      <c r="I466" s="155"/>
    </row>
    <row r="467" spans="4:9" ht="12.75" x14ac:dyDescent="0.2">
      <c r="D467" s="69"/>
      <c r="E467" s="70" t="s">
        <v>807</v>
      </c>
      <c r="F467" s="131">
        <f>IFERROR(VLOOKUP(E467,Hoja1!$A$2:$E$399,5,FALSE),)</f>
        <v>0</v>
      </c>
      <c r="G467" s="129"/>
      <c r="H467" s="70"/>
      <c r="I467" s="155"/>
    </row>
    <row r="468" spans="4:9" ht="12.75" x14ac:dyDescent="0.2">
      <c r="D468" s="69"/>
      <c r="E468" s="70" t="s">
        <v>808</v>
      </c>
      <c r="F468" s="131">
        <f>IFERROR(VLOOKUP(E468,Hoja1!$A$2:$E$399,5,FALSE),)</f>
        <v>0</v>
      </c>
      <c r="G468" s="129"/>
      <c r="H468" s="70"/>
      <c r="I468" s="155"/>
    </row>
    <row r="469" spans="4:9" ht="12.75" x14ac:dyDescent="0.2">
      <c r="D469" s="69"/>
      <c r="E469" s="70" t="s">
        <v>809</v>
      </c>
      <c r="F469" s="131">
        <f>IFERROR(VLOOKUP(E469,Hoja1!$A$2:$E$399,5,FALSE),)</f>
        <v>0</v>
      </c>
      <c r="G469" s="129"/>
      <c r="H469" s="70"/>
      <c r="I469" s="155"/>
    </row>
    <row r="470" spans="4:9" ht="12.75" x14ac:dyDescent="0.2">
      <c r="D470" s="69"/>
      <c r="E470" s="70" t="s">
        <v>810</v>
      </c>
      <c r="F470" s="131">
        <f>IFERROR(VLOOKUP(E470,Hoja1!$A$2:$E$399,5,FALSE),)</f>
        <v>0</v>
      </c>
      <c r="G470" s="129"/>
      <c r="H470" s="70"/>
      <c r="I470" s="155"/>
    </row>
    <row r="471" spans="4:9" ht="10.9" customHeight="1" x14ac:dyDescent="0.2">
      <c r="D471" s="69" t="s">
        <v>811</v>
      </c>
      <c r="E471" s="179"/>
      <c r="F471" s="131"/>
      <c r="G471" s="129">
        <f>SUM(F471:F474)</f>
        <v>0</v>
      </c>
    </row>
    <row r="472" spans="4:9" ht="12.75" x14ac:dyDescent="0.2">
      <c r="D472" s="69"/>
      <c r="E472" s="70" t="s">
        <v>812</v>
      </c>
      <c r="F472" s="131">
        <f>IFERROR(VLOOKUP(E472,Hoja1!$A$2:$E$399,5,FALSE),)</f>
        <v>0</v>
      </c>
      <c r="G472" s="129"/>
    </row>
    <row r="473" spans="4:9" ht="12.75" x14ac:dyDescent="0.2">
      <c r="D473" s="69"/>
      <c r="E473" s="70" t="s">
        <v>813</v>
      </c>
      <c r="F473" s="131">
        <f>IFERROR(VLOOKUP(E473,Hoja1!$A$2:$E$399,5,FALSE),)</f>
        <v>0</v>
      </c>
      <c r="G473" s="129"/>
    </row>
    <row r="474" spans="4:9" ht="12.75" x14ac:dyDescent="0.2">
      <c r="D474" s="69"/>
      <c r="E474" s="70" t="s">
        <v>814</v>
      </c>
      <c r="F474" s="131">
        <f>IFERROR(VLOOKUP(E474,Hoja1!$A$2:$E$399,5,FALSE),)</f>
        <v>0</v>
      </c>
      <c r="G474" s="129"/>
    </row>
    <row r="475" spans="4:9" ht="12.75" x14ac:dyDescent="0.2">
      <c r="D475" s="130" t="s">
        <v>815</v>
      </c>
      <c r="E475" s="179"/>
      <c r="F475" s="131">
        <f>IFERROR(VLOOKUP(D475,Hoja1!$A$2:$E$375,5,FALSE),)</f>
        <v>0</v>
      </c>
      <c r="G475" s="129">
        <f>+F475</f>
        <v>0</v>
      </c>
    </row>
    <row r="476" spans="4:9" ht="12.75" x14ac:dyDescent="0.2">
      <c r="D476" s="69" t="s">
        <v>816</v>
      </c>
      <c r="E476" s="179"/>
      <c r="F476" s="131">
        <f>IFERROR(VLOOKUP(D476,Hoja1!$A$2:$E$375,5,FALSE),)</f>
        <v>0</v>
      </c>
      <c r="G476" s="129">
        <f>+F476</f>
        <v>0</v>
      </c>
    </row>
    <row r="477" spans="4:9" ht="12.75" x14ac:dyDescent="0.2">
      <c r="D477" s="69" t="s">
        <v>817</v>
      </c>
      <c r="E477" s="179"/>
      <c r="F477" s="131"/>
      <c r="G477" s="129">
        <f>+F477+F478+F479</f>
        <v>0</v>
      </c>
    </row>
    <row r="478" spans="4:9" ht="11.25" customHeight="1" x14ac:dyDescent="0.2">
      <c r="D478" s="69"/>
      <c r="E478" s="70" t="s">
        <v>818</v>
      </c>
      <c r="F478" s="131">
        <f>IFERROR(VLOOKUP(E478,Hoja1!$A$2:$E$399,5,FALSE),)</f>
        <v>0</v>
      </c>
      <c r="G478" s="129"/>
    </row>
    <row r="479" spans="4:9" ht="11.25" customHeight="1" x14ac:dyDescent="0.2">
      <c r="D479" s="69"/>
      <c r="E479" s="70" t="s">
        <v>819</v>
      </c>
      <c r="F479" s="131">
        <f>IFERROR(VLOOKUP(E479,Hoja1!$A$2:$E$399,5,FALSE),)</f>
        <v>0</v>
      </c>
      <c r="G479" s="129"/>
    </row>
    <row r="480" spans="4:9" ht="11.25" customHeight="1" x14ac:dyDescent="0.2">
      <c r="D480" s="69" t="s">
        <v>820</v>
      </c>
      <c r="E480" s="70" t="s">
        <v>821</v>
      </c>
      <c r="F480" s="131">
        <f>IFERROR(VLOOKUP(E480,Hoja1!$A$2:$E$399,5,FALSE),)</f>
        <v>0</v>
      </c>
      <c r="G480" s="178">
        <f>SUM(F480:F482)</f>
        <v>4013596.99</v>
      </c>
    </row>
    <row r="481" spans="4:7" ht="12.75" x14ac:dyDescent="0.2">
      <c r="D481" s="69"/>
      <c r="E481" s="70" t="s">
        <v>822</v>
      </c>
      <c r="F481" s="131">
        <f>IFERROR(VLOOKUP(E481,Hoja1!$A$2:$E$399,5,FALSE),)</f>
        <v>0</v>
      </c>
      <c r="G481" s="129"/>
    </row>
    <row r="482" spans="4:7" ht="12.75" x14ac:dyDescent="0.2">
      <c r="D482" s="69"/>
      <c r="E482" s="70" t="s">
        <v>823</v>
      </c>
      <c r="F482" s="131">
        <f>IFERROR(VLOOKUP(E482,Hoja1!$A$2:$E$399,5,FALSE),)</f>
        <v>4013596.99</v>
      </c>
      <c r="G482" s="129"/>
    </row>
    <row r="483" spans="4:7" ht="12.75" x14ac:dyDescent="0.2">
      <c r="D483" s="69" t="s">
        <v>824</v>
      </c>
      <c r="E483" s="70" t="s">
        <v>825</v>
      </c>
      <c r="F483" s="131">
        <f>IFERROR(VLOOKUP(E483,Hoja1!$A$2:$E$399,5,FALSE),)</f>
        <v>0</v>
      </c>
      <c r="G483" s="129">
        <f t="shared" ref="G483:G502" si="1">+F483</f>
        <v>0</v>
      </c>
    </row>
    <row r="484" spans="4:7" ht="12.75" x14ac:dyDescent="0.2">
      <c r="D484" s="69" t="s">
        <v>826</v>
      </c>
      <c r="E484" s="69"/>
      <c r="F484" s="131">
        <f>IFERROR(VLOOKUP(D484,Hoja1!$A$2:$E$399,5,FALSE),)</f>
        <v>0</v>
      </c>
      <c r="G484" s="129">
        <f t="shared" si="1"/>
        <v>0</v>
      </c>
    </row>
    <row r="485" spans="4:7" ht="12.75" x14ac:dyDescent="0.2">
      <c r="D485" s="130" t="s">
        <v>827</v>
      </c>
      <c r="E485" s="70"/>
      <c r="F485" s="131">
        <f>IFERROR(VLOOKUP(D485,Hoja1!$A$2:$E$399,5,FALSE),)</f>
        <v>0</v>
      </c>
      <c r="G485" s="129">
        <f t="shared" si="1"/>
        <v>0</v>
      </c>
    </row>
    <row r="486" spans="4:7" ht="12.75" x14ac:dyDescent="0.2">
      <c r="D486" s="69" t="s">
        <v>828</v>
      </c>
      <c r="E486" s="66"/>
      <c r="F486" s="131">
        <f>IFERROR(VLOOKUP(D486,Hoja1!$A$2:$E$399,5,FALSE),)</f>
        <v>4150213.41</v>
      </c>
      <c r="G486" s="178">
        <f t="shared" si="1"/>
        <v>4150213.41</v>
      </c>
    </row>
    <row r="487" spans="4:7" ht="12.75" x14ac:dyDescent="0.2">
      <c r="D487" s="69" t="s">
        <v>829</v>
      </c>
      <c r="F487" s="131">
        <f>IFERROR(VLOOKUP(D487,Hoja1!$A$2:$E$399,5,FALSE),)</f>
        <v>0</v>
      </c>
      <c r="G487" s="129">
        <f t="shared" si="1"/>
        <v>0</v>
      </c>
    </row>
    <row r="488" spans="4:7" ht="12.75" x14ac:dyDescent="0.2">
      <c r="D488" s="69" t="s">
        <v>830</v>
      </c>
      <c r="F488" s="131">
        <f>IFERROR(VLOOKUP(D488,Hoja1!$A$2:$E$399,5,FALSE),)</f>
        <v>0</v>
      </c>
      <c r="G488" s="129">
        <f t="shared" si="1"/>
        <v>0</v>
      </c>
    </row>
    <row r="489" spans="4:7" ht="12.75" x14ac:dyDescent="0.2">
      <c r="D489" s="69" t="s">
        <v>831</v>
      </c>
      <c r="F489" s="131">
        <f>IFERROR(VLOOKUP(D489,Hoja1!$A$2:$E$399,5,FALSE),)</f>
        <v>226987</v>
      </c>
      <c r="G489" s="178">
        <f t="shared" si="1"/>
        <v>226987</v>
      </c>
    </row>
    <row r="490" spans="4:7" ht="12.75" x14ac:dyDescent="0.2">
      <c r="D490" s="69" t="s">
        <v>832</v>
      </c>
      <c r="F490" s="131">
        <f>IFERROR(VLOOKUP(D490,Hoja1!$A$2:$E$399,5,FALSE),)</f>
        <v>914304.70000000007</v>
      </c>
      <c r="G490" s="178">
        <f t="shared" si="1"/>
        <v>914304.70000000007</v>
      </c>
    </row>
    <row r="491" spans="4:7" ht="12.75" x14ac:dyDescent="0.2">
      <c r="D491" s="130" t="s">
        <v>833</v>
      </c>
      <c r="F491" s="131">
        <f>IFERROR(VLOOKUP(D491,Hoja1!$A$2:$E$399,5,FALSE),)</f>
        <v>0</v>
      </c>
      <c r="G491" s="129">
        <f t="shared" si="1"/>
        <v>0</v>
      </c>
    </row>
    <row r="492" spans="4:7" ht="12.75" x14ac:dyDescent="0.2">
      <c r="D492" s="130" t="s">
        <v>834</v>
      </c>
      <c r="E492" s="66"/>
      <c r="F492" s="131">
        <f>IFERROR(VLOOKUP(D492,Hoja1!$A$2:$E$399,5,FALSE),)</f>
        <v>0</v>
      </c>
      <c r="G492" s="129">
        <f t="shared" si="1"/>
        <v>0</v>
      </c>
    </row>
    <row r="493" spans="4:7" ht="12.75" x14ac:dyDescent="0.2">
      <c r="D493" s="130" t="s">
        <v>835</v>
      </c>
      <c r="F493" s="131">
        <f>IFERROR(VLOOKUP(D493,Hoja1!$A$2:$E$399,5,FALSE),)</f>
        <v>0</v>
      </c>
      <c r="G493" s="129">
        <f t="shared" si="1"/>
        <v>0</v>
      </c>
    </row>
    <row r="494" spans="4:7" ht="12.75" x14ac:dyDescent="0.2">
      <c r="D494" s="130" t="s">
        <v>836</v>
      </c>
      <c r="F494" s="131">
        <f>IFERROR(VLOOKUP(D494,Hoja1!$A$2:$E$399,5,FALSE),)</f>
        <v>0</v>
      </c>
      <c r="G494" s="129">
        <f t="shared" si="1"/>
        <v>0</v>
      </c>
    </row>
    <row r="495" spans="4:7" ht="12.75" x14ac:dyDescent="0.2">
      <c r="D495" s="130" t="s">
        <v>837</v>
      </c>
      <c r="F495" s="131">
        <f>IFERROR(VLOOKUP(D495,Hoja1!$A$2:$E$399,5,FALSE),)</f>
        <v>0</v>
      </c>
      <c r="G495" s="129">
        <f t="shared" si="1"/>
        <v>0</v>
      </c>
    </row>
    <row r="496" spans="4:7" ht="12.75" x14ac:dyDescent="0.2">
      <c r="D496" s="130" t="s">
        <v>838</v>
      </c>
      <c r="E496" s="70" t="s">
        <v>838</v>
      </c>
      <c r="F496" s="131">
        <f>IFERROR(VLOOKUP(D496,Hoja1!$A$2:$E$399,5,FALSE),)</f>
        <v>358719.18</v>
      </c>
      <c r="G496" s="178">
        <f t="shared" si="1"/>
        <v>358719.18</v>
      </c>
    </row>
    <row r="497" spans="1:11" ht="12.75" x14ac:dyDescent="0.2">
      <c r="D497" s="130" t="s">
        <v>839</v>
      </c>
      <c r="F497" s="131">
        <f>IFERROR(VLOOKUP(D497,Hoja1!$A$2:$E$399,5,FALSE),)</f>
        <v>0</v>
      </c>
      <c r="G497" s="129">
        <f t="shared" si="1"/>
        <v>0</v>
      </c>
      <c r="H497" s="153"/>
    </row>
    <row r="498" spans="1:11" ht="12.75" x14ac:dyDescent="0.2">
      <c r="D498" s="130" t="s">
        <v>840</v>
      </c>
      <c r="F498" s="131">
        <f>IFERROR(VLOOKUP(D498,Hoja1!$A$2:$E$399,5,FALSE),)</f>
        <v>0</v>
      </c>
      <c r="G498" s="129">
        <f t="shared" si="1"/>
        <v>0</v>
      </c>
      <c r="H498" s="153"/>
    </row>
    <row r="499" spans="1:11" ht="12.75" x14ac:dyDescent="0.2">
      <c r="D499" s="130" t="s">
        <v>841</v>
      </c>
      <c r="F499" s="131">
        <f>IFERROR(VLOOKUP(D499,Hoja1!$A$2:$E$399,5,FALSE),)</f>
        <v>0</v>
      </c>
      <c r="G499" s="129">
        <f t="shared" si="1"/>
        <v>0</v>
      </c>
      <c r="H499" s="153"/>
    </row>
    <row r="500" spans="1:11" ht="12.75" x14ac:dyDescent="0.2">
      <c r="D500" s="130" t="s">
        <v>842</v>
      </c>
      <c r="F500" s="131">
        <f>IFERROR(VLOOKUP(D500,Hoja1!$A$2:$E$399,5,FALSE),)</f>
        <v>0</v>
      </c>
      <c r="G500" s="129">
        <f t="shared" si="1"/>
        <v>0</v>
      </c>
      <c r="H500" s="153"/>
    </row>
    <row r="501" spans="1:11" ht="12.75" x14ac:dyDescent="0.2">
      <c r="D501" s="130" t="s">
        <v>843</v>
      </c>
      <c r="F501" s="131">
        <f>IFERROR(VLOOKUP(D501,Hoja1!$A$2:$E$399,5,FALSE),)</f>
        <v>0</v>
      </c>
      <c r="G501" s="129">
        <f t="shared" si="1"/>
        <v>0</v>
      </c>
    </row>
    <row r="502" spans="1:11" ht="12.75" x14ac:dyDescent="0.2">
      <c r="D502" s="130" t="s">
        <v>844</v>
      </c>
      <c r="F502" s="131">
        <f>IFERROR(VLOOKUP(D502,Hoja1!$A$2:$E$399,5,FALSE),)</f>
        <v>0</v>
      </c>
      <c r="G502" s="129">
        <f t="shared" si="1"/>
        <v>0</v>
      </c>
    </row>
    <row r="503" spans="1:11" ht="13.9" customHeight="1" x14ac:dyDescent="0.2">
      <c r="F503" s="153"/>
      <c r="H503" s="190" t="s">
        <v>55</v>
      </c>
      <c r="I503" s="190" t="s">
        <v>465</v>
      </c>
    </row>
    <row r="504" spans="1:11" ht="13.9" customHeight="1" x14ac:dyDescent="0.2">
      <c r="E504" s="191" t="s">
        <v>845</v>
      </c>
      <c r="F504" s="192">
        <f>SUM(F146:F502)</f>
        <v>1672589124.2600002</v>
      </c>
      <c r="G504" s="193">
        <f>SUM(G146:G502)</f>
        <v>1672589124.26</v>
      </c>
      <c r="H504" s="190">
        <f>+Resultados!C26</f>
        <v>-1672589124.26</v>
      </c>
      <c r="I504" s="190">
        <f>+H504+G504</f>
        <v>0</v>
      </c>
    </row>
    <row r="505" spans="1:11" ht="12.75" x14ac:dyDescent="0.2">
      <c r="E505" s="194" t="s">
        <v>846</v>
      </c>
      <c r="F505" s="195">
        <f>+-'Anexo II'!E103</f>
        <v>-1609778933.7700005</v>
      </c>
      <c r="G505" s="196">
        <f>+Hoja1!E340</f>
        <v>1672589124.2599998</v>
      </c>
      <c r="H505" s="190"/>
      <c r="I505" s="197"/>
    </row>
    <row r="506" spans="1:11" ht="12.75" x14ac:dyDescent="0.2">
      <c r="E506" s="198" t="s">
        <v>847</v>
      </c>
      <c r="F506" s="199">
        <f>+F504+F505</f>
        <v>62810190.489999771</v>
      </c>
      <c r="G506" s="200">
        <f>+G505-G504</f>
        <v>0</v>
      </c>
      <c r="H506" s="199"/>
    </row>
    <row r="507" spans="1:11" ht="12.75" x14ac:dyDescent="0.2">
      <c r="F507" s="153">
        <f>+F506-F280</f>
        <v>-2.3096799850463867E-7</v>
      </c>
    </row>
    <row r="508" spans="1:11" s="201" customFormat="1" ht="10.9" customHeight="1" x14ac:dyDescent="0.2">
      <c r="C508" s="202"/>
      <c r="D508" s="202"/>
      <c r="E508" s="202" t="s">
        <v>848</v>
      </c>
      <c r="F508" s="202">
        <f>+F280-F506</f>
        <v>2.3096799850463867E-7</v>
      </c>
      <c r="G508" s="203"/>
      <c r="H508" s="202"/>
      <c r="I508" s="204"/>
      <c r="J508" s="202"/>
      <c r="K508" s="202"/>
    </row>
    <row r="509" spans="1:11" s="205" customFormat="1" ht="13.9" customHeight="1" x14ac:dyDescent="0.2">
      <c r="A509" s="206"/>
      <c r="C509" s="207"/>
      <c r="E509" s="208"/>
      <c r="F509" s="208"/>
      <c r="G509" s="209">
        <f>SUM(G3:G503)</f>
        <v>-5.6513817980885506E-7</v>
      </c>
      <c r="H509" s="208"/>
      <c r="I509" s="210"/>
      <c r="J509" s="208"/>
      <c r="K509" s="208"/>
    </row>
    <row r="510" spans="1:11" ht="12.75" x14ac:dyDescent="0.2">
      <c r="G510" s="123"/>
    </row>
    <row r="511" spans="1:11" ht="12.75" x14ac:dyDescent="0.2">
      <c r="G511" s="123"/>
    </row>
    <row r="512" spans="1:11" ht="12.75" x14ac:dyDescent="0.2">
      <c r="G512" s="123"/>
    </row>
    <row r="513" spans="7:7" ht="12.75" x14ac:dyDescent="0.2">
      <c r="G513" s="123"/>
    </row>
    <row r="514" spans="7:7" ht="12.75" x14ac:dyDescent="0.2">
      <c r="G514" s="123"/>
    </row>
    <row r="515" spans="7:7" ht="12.75" x14ac:dyDescent="0.2">
      <c r="G515" s="123"/>
    </row>
    <row r="516" spans="7:7" ht="12.75" x14ac:dyDescent="0.2">
      <c r="G516" s="123"/>
    </row>
    <row r="517" spans="7:7" ht="12.75" x14ac:dyDescent="0.2">
      <c r="G517" s="123"/>
    </row>
    <row r="518" spans="7:7" ht="12.75" x14ac:dyDescent="0.2">
      <c r="G518" s="123"/>
    </row>
    <row r="519" spans="7:7" ht="12.75" x14ac:dyDescent="0.2">
      <c r="G519" s="123"/>
    </row>
    <row r="520" spans="7:7" ht="12.75" x14ac:dyDescent="0.2">
      <c r="G520" s="123"/>
    </row>
    <row r="521" spans="7:7" ht="12.75" x14ac:dyDescent="0.2">
      <c r="G521" s="123"/>
    </row>
    <row r="522" spans="7:7" ht="12.75" x14ac:dyDescent="0.2">
      <c r="G522" s="123"/>
    </row>
    <row r="523" spans="7:7" ht="12.75" x14ac:dyDescent="0.2">
      <c r="G523" s="123"/>
    </row>
    <row r="524" spans="7:7" ht="12.75" x14ac:dyDescent="0.2">
      <c r="G524" s="123"/>
    </row>
    <row r="525" spans="7:7" ht="12.75" x14ac:dyDescent="0.2">
      <c r="G525" s="123"/>
    </row>
    <row r="526" spans="7:7" ht="12.75" x14ac:dyDescent="0.2">
      <c r="G526" s="123"/>
    </row>
    <row r="527" spans="7:7" ht="12.75" x14ac:dyDescent="0.2">
      <c r="G527" s="123"/>
    </row>
    <row r="528" spans="7:7" ht="12.75" x14ac:dyDescent="0.2">
      <c r="G528" s="123"/>
    </row>
    <row r="529" spans="7:7" ht="12.75" x14ac:dyDescent="0.2">
      <c r="G529" s="123"/>
    </row>
    <row r="530" spans="7:7" ht="12.75" x14ac:dyDescent="0.2">
      <c r="G530" s="123"/>
    </row>
    <row r="531" spans="7:7" ht="12.75" x14ac:dyDescent="0.2">
      <c r="G531" s="123"/>
    </row>
    <row r="532" spans="7:7" ht="12.75" x14ac:dyDescent="0.2">
      <c r="G532" s="123"/>
    </row>
    <row r="533" spans="7:7" ht="12.75" x14ac:dyDescent="0.2">
      <c r="G533" s="123"/>
    </row>
    <row r="534" spans="7:7" ht="12.75" x14ac:dyDescent="0.2">
      <c r="G534" s="123"/>
    </row>
    <row r="535" spans="7:7" ht="12.75" x14ac:dyDescent="0.2">
      <c r="G535" s="123"/>
    </row>
    <row r="536" spans="7:7" ht="12.75" x14ac:dyDescent="0.2">
      <c r="G536" s="123"/>
    </row>
    <row r="537" spans="7:7" ht="12.75" x14ac:dyDescent="0.2">
      <c r="G537" s="123"/>
    </row>
    <row r="538" spans="7:7" ht="12.75" x14ac:dyDescent="0.2">
      <c r="G538" s="123"/>
    </row>
    <row r="539" spans="7:7" ht="12.75" x14ac:dyDescent="0.2">
      <c r="G539" s="123"/>
    </row>
    <row r="540" spans="7:7" ht="12.75" x14ac:dyDescent="0.2">
      <c r="G540" s="123"/>
    </row>
    <row r="541" spans="7:7" ht="12.75" x14ac:dyDescent="0.2">
      <c r="G541" s="123"/>
    </row>
    <row r="542" spans="7:7" ht="12.75" x14ac:dyDescent="0.2">
      <c r="G542" s="123"/>
    </row>
    <row r="543" spans="7:7" ht="12.75" x14ac:dyDescent="0.2">
      <c r="G543" s="123"/>
    </row>
    <row r="544" spans="7:7" ht="12.75" x14ac:dyDescent="0.2">
      <c r="G544" s="123"/>
    </row>
    <row r="545" spans="7:7" ht="12.75" x14ac:dyDescent="0.2">
      <c r="G545" s="123"/>
    </row>
    <row r="546" spans="7:7" ht="12.75" x14ac:dyDescent="0.2">
      <c r="G546" s="123"/>
    </row>
    <row r="547" spans="7:7" ht="12.75" x14ac:dyDescent="0.2">
      <c r="G547" s="123"/>
    </row>
    <row r="548" spans="7:7" ht="12.75" x14ac:dyDescent="0.2">
      <c r="G548" s="123"/>
    </row>
    <row r="549" spans="7:7" ht="12.75" x14ac:dyDescent="0.2">
      <c r="G549" s="123"/>
    </row>
    <row r="550" spans="7:7" ht="12.75" x14ac:dyDescent="0.2">
      <c r="G550" s="123"/>
    </row>
    <row r="551" spans="7:7" ht="12.75" x14ac:dyDescent="0.2">
      <c r="G551" s="123"/>
    </row>
    <row r="552" spans="7:7" ht="12.75" x14ac:dyDescent="0.2">
      <c r="G552" s="123"/>
    </row>
    <row r="553" spans="7:7" ht="12.75" x14ac:dyDescent="0.2">
      <c r="G553" s="123"/>
    </row>
    <row r="554" spans="7:7" ht="12.75" x14ac:dyDescent="0.2">
      <c r="G554" s="123"/>
    </row>
    <row r="555" spans="7:7" ht="12.75" x14ac:dyDescent="0.2">
      <c r="G555" s="123"/>
    </row>
    <row r="556" spans="7:7" ht="12.75" x14ac:dyDescent="0.2">
      <c r="G556" s="123"/>
    </row>
    <row r="557" spans="7:7" ht="12.75" x14ac:dyDescent="0.2">
      <c r="G557" s="123"/>
    </row>
    <row r="558" spans="7:7" ht="12.75" x14ac:dyDescent="0.2">
      <c r="G558" s="123"/>
    </row>
    <row r="559" spans="7:7" ht="12.75" x14ac:dyDescent="0.2">
      <c r="G559" s="123"/>
    </row>
    <row r="560" spans="7:7" ht="12.75" x14ac:dyDescent="0.2">
      <c r="G560" s="123"/>
    </row>
    <row r="561" spans="7:7" ht="12.75" x14ac:dyDescent="0.2">
      <c r="G561" s="123"/>
    </row>
    <row r="562" spans="7:7" ht="12.75" x14ac:dyDescent="0.2">
      <c r="G562" s="123"/>
    </row>
    <row r="563" spans="7:7" ht="12.75" x14ac:dyDescent="0.2">
      <c r="G563" s="123"/>
    </row>
    <row r="564" spans="7:7" ht="12.75" x14ac:dyDescent="0.2">
      <c r="G564" s="123"/>
    </row>
    <row r="565" spans="7:7" ht="12.75" x14ac:dyDescent="0.2">
      <c r="G565" s="123"/>
    </row>
    <row r="566" spans="7:7" ht="12.75" x14ac:dyDescent="0.2">
      <c r="G566" s="123"/>
    </row>
    <row r="567" spans="7:7" ht="12.75" x14ac:dyDescent="0.2">
      <c r="G567" s="123"/>
    </row>
    <row r="568" spans="7:7" ht="12.75" x14ac:dyDescent="0.2">
      <c r="G568" s="123"/>
    </row>
    <row r="569" spans="7:7" ht="12.75" x14ac:dyDescent="0.2">
      <c r="G569" s="123"/>
    </row>
    <row r="570" spans="7:7" ht="12.75" x14ac:dyDescent="0.2">
      <c r="G570" s="123"/>
    </row>
    <row r="571" spans="7:7" ht="12.75" x14ac:dyDescent="0.2">
      <c r="G571" s="123"/>
    </row>
    <row r="572" spans="7:7" ht="12.75" x14ac:dyDescent="0.2">
      <c r="G572" s="123"/>
    </row>
    <row r="573" spans="7:7" ht="12.75" x14ac:dyDescent="0.2">
      <c r="G573" s="123"/>
    </row>
    <row r="574" spans="7:7" ht="12.75" x14ac:dyDescent="0.2">
      <c r="G574" s="123"/>
    </row>
    <row r="575" spans="7:7" ht="12.75" x14ac:dyDescent="0.2">
      <c r="G575" s="123"/>
    </row>
    <row r="576" spans="7:7" ht="12.75" x14ac:dyDescent="0.2">
      <c r="G576" s="123"/>
    </row>
    <row r="577" spans="7:7" ht="12.75" x14ac:dyDescent="0.2">
      <c r="G577" s="123"/>
    </row>
    <row r="578" spans="7:7" ht="12.75" x14ac:dyDescent="0.2">
      <c r="G578" s="123"/>
    </row>
    <row r="579" spans="7:7" ht="12.75" x14ac:dyDescent="0.2">
      <c r="G579" s="123"/>
    </row>
    <row r="580" spans="7:7" ht="12.75" x14ac:dyDescent="0.2">
      <c r="G580" s="123"/>
    </row>
    <row r="581" spans="7:7" ht="12.75" x14ac:dyDescent="0.2">
      <c r="G581" s="123"/>
    </row>
    <row r="582" spans="7:7" ht="12.75" x14ac:dyDescent="0.2">
      <c r="G582" s="123"/>
    </row>
    <row r="583" spans="7:7" ht="12.75" x14ac:dyDescent="0.2">
      <c r="G583" s="123"/>
    </row>
    <row r="584" spans="7:7" ht="12.75" x14ac:dyDescent="0.2">
      <c r="G584" s="123"/>
    </row>
    <row r="585" spans="7:7" ht="12.75" x14ac:dyDescent="0.2">
      <c r="G585" s="123"/>
    </row>
    <row r="586" spans="7:7" ht="12.75" x14ac:dyDescent="0.2">
      <c r="G586" s="123"/>
    </row>
    <row r="587" spans="7:7" ht="12.75" x14ac:dyDescent="0.2">
      <c r="G587" s="123"/>
    </row>
    <row r="588" spans="7:7" ht="12.75" x14ac:dyDescent="0.2">
      <c r="G588" s="123"/>
    </row>
    <row r="589" spans="7:7" ht="12.75" x14ac:dyDescent="0.2">
      <c r="G589" s="123"/>
    </row>
    <row r="590" spans="7:7" ht="12.75" x14ac:dyDescent="0.2">
      <c r="G590" s="123"/>
    </row>
    <row r="591" spans="7:7" ht="12.75" x14ac:dyDescent="0.2">
      <c r="G591" s="123"/>
    </row>
    <row r="592" spans="7:7" ht="12.75" x14ac:dyDescent="0.2">
      <c r="G592" s="123"/>
    </row>
    <row r="593" spans="7:7" ht="12.75" x14ac:dyDescent="0.2">
      <c r="G593" s="123"/>
    </row>
    <row r="594" spans="7:7" ht="12.75" x14ac:dyDescent="0.2">
      <c r="G594" s="123"/>
    </row>
    <row r="595" spans="7:7" ht="12.75" x14ac:dyDescent="0.2">
      <c r="G595" s="123"/>
    </row>
    <row r="596" spans="7:7" ht="12.75" x14ac:dyDescent="0.2">
      <c r="G596" s="123"/>
    </row>
    <row r="597" spans="7:7" ht="12.75" x14ac:dyDescent="0.2">
      <c r="G597" s="123"/>
    </row>
    <row r="598" spans="7:7" ht="12.75" x14ac:dyDescent="0.2">
      <c r="G598" s="123"/>
    </row>
    <row r="599" spans="7:7" ht="12.75" x14ac:dyDescent="0.2">
      <c r="G599" s="123"/>
    </row>
    <row r="600" spans="7:7" ht="12.75" x14ac:dyDescent="0.2">
      <c r="G600" s="123"/>
    </row>
    <row r="601" spans="7:7" ht="12.75" x14ac:dyDescent="0.2">
      <c r="G601" s="123"/>
    </row>
    <row r="602" spans="7:7" ht="12.75" x14ac:dyDescent="0.2">
      <c r="G602" s="123"/>
    </row>
    <row r="603" spans="7:7" ht="12.75" x14ac:dyDescent="0.2">
      <c r="G603" s="123"/>
    </row>
    <row r="604" spans="7:7" ht="12.75" x14ac:dyDescent="0.2">
      <c r="G604" s="123"/>
    </row>
    <row r="605" spans="7:7" ht="12.75" x14ac:dyDescent="0.2">
      <c r="G605" s="123"/>
    </row>
    <row r="606" spans="7:7" ht="12.75" x14ac:dyDescent="0.2">
      <c r="G606" s="123"/>
    </row>
    <row r="607" spans="7:7" ht="12.75" x14ac:dyDescent="0.2">
      <c r="G607" s="123"/>
    </row>
    <row r="608" spans="7:7" ht="12.75" x14ac:dyDescent="0.2">
      <c r="G608" s="123"/>
    </row>
    <row r="609" spans="7:7" ht="12.75" x14ac:dyDescent="0.2">
      <c r="G609" s="123"/>
    </row>
    <row r="610" spans="7:7" ht="12.75" x14ac:dyDescent="0.2">
      <c r="G610" s="123"/>
    </row>
    <row r="611" spans="7:7" ht="12.75" x14ac:dyDescent="0.2">
      <c r="G611" s="123"/>
    </row>
    <row r="612" spans="7:7" ht="12.75" x14ac:dyDescent="0.2">
      <c r="G612" s="123"/>
    </row>
    <row r="613" spans="7:7" ht="12.75" x14ac:dyDescent="0.2">
      <c r="G613" s="123"/>
    </row>
    <row r="614" spans="7:7" ht="12.75" x14ac:dyDescent="0.2">
      <c r="G614" s="123"/>
    </row>
    <row r="615" spans="7:7" ht="12.75" x14ac:dyDescent="0.2">
      <c r="G615" s="123"/>
    </row>
    <row r="616" spans="7:7" ht="12.75" x14ac:dyDescent="0.2">
      <c r="G616" s="123"/>
    </row>
    <row r="617" spans="7:7" ht="12.75" x14ac:dyDescent="0.2">
      <c r="G617" s="123"/>
    </row>
    <row r="618" spans="7:7" ht="12.75" x14ac:dyDescent="0.2">
      <c r="G618" s="123"/>
    </row>
    <row r="619" spans="7:7" ht="12.75" x14ac:dyDescent="0.2">
      <c r="G619" s="123"/>
    </row>
    <row r="620" spans="7:7" ht="12.75" x14ac:dyDescent="0.2">
      <c r="G620" s="123"/>
    </row>
    <row r="621" spans="7:7" ht="12.75" x14ac:dyDescent="0.2">
      <c r="G621" s="123"/>
    </row>
    <row r="622" spans="7:7" ht="12.75" x14ac:dyDescent="0.2">
      <c r="G622" s="123"/>
    </row>
    <row r="623" spans="7:7" ht="12.75" x14ac:dyDescent="0.2">
      <c r="G623" s="123"/>
    </row>
    <row r="624" spans="7:7" ht="12.75" x14ac:dyDescent="0.2">
      <c r="G624" s="123"/>
    </row>
    <row r="625" spans="7:7" ht="12.75" x14ac:dyDescent="0.2">
      <c r="G625" s="123"/>
    </row>
    <row r="626" spans="7:7" ht="12.75" x14ac:dyDescent="0.2">
      <c r="G626" s="123"/>
    </row>
    <row r="627" spans="7:7" ht="12.75" x14ac:dyDescent="0.2">
      <c r="G627" s="123"/>
    </row>
    <row r="628" spans="7:7" ht="12.75" x14ac:dyDescent="0.2">
      <c r="G628" s="123"/>
    </row>
    <row r="629" spans="7:7" ht="12.75" x14ac:dyDescent="0.2">
      <c r="G629" s="123"/>
    </row>
    <row r="630" spans="7:7" ht="12.75" x14ac:dyDescent="0.2">
      <c r="G630" s="123"/>
    </row>
    <row r="631" spans="7:7" ht="12.75" x14ac:dyDescent="0.2">
      <c r="G631" s="123"/>
    </row>
    <row r="632" spans="7:7" ht="12.75" x14ac:dyDescent="0.2">
      <c r="G632" s="123"/>
    </row>
    <row r="633" spans="7:7" ht="12.75" x14ac:dyDescent="0.2">
      <c r="G633" s="123"/>
    </row>
    <row r="634" spans="7:7" ht="12.75" x14ac:dyDescent="0.2">
      <c r="G634" s="123"/>
    </row>
    <row r="635" spans="7:7" ht="12.75" x14ac:dyDescent="0.2">
      <c r="G635" s="123"/>
    </row>
    <row r="636" spans="7:7" ht="12.75" x14ac:dyDescent="0.2">
      <c r="G636" s="123"/>
    </row>
    <row r="637" spans="7:7" ht="12.75" x14ac:dyDescent="0.2">
      <c r="G637" s="123"/>
    </row>
    <row r="638" spans="7:7" ht="12.75" x14ac:dyDescent="0.2">
      <c r="G638" s="123"/>
    </row>
    <row r="639" spans="7:7" ht="12.75" x14ac:dyDescent="0.2">
      <c r="G639" s="123"/>
    </row>
    <row r="640" spans="7:7" ht="12.75" x14ac:dyDescent="0.2">
      <c r="G640" s="123"/>
    </row>
    <row r="641" spans="7:7" ht="12.75" x14ac:dyDescent="0.2">
      <c r="G641" s="123"/>
    </row>
    <row r="642" spans="7:7" ht="12.75" x14ac:dyDescent="0.2">
      <c r="G642" s="123"/>
    </row>
    <row r="643" spans="7:7" ht="12.75" x14ac:dyDescent="0.2">
      <c r="G643" s="123"/>
    </row>
    <row r="644" spans="7:7" ht="12.75" x14ac:dyDescent="0.2">
      <c r="G644" s="123"/>
    </row>
    <row r="645" spans="7:7" ht="12.75" x14ac:dyDescent="0.2">
      <c r="G645" s="123"/>
    </row>
    <row r="646" spans="7:7" ht="12.75" x14ac:dyDescent="0.2">
      <c r="G646" s="123"/>
    </row>
    <row r="647" spans="7:7" ht="12.75" x14ac:dyDescent="0.2">
      <c r="G647" s="123"/>
    </row>
    <row r="648" spans="7:7" ht="12.75" x14ac:dyDescent="0.2">
      <c r="G648" s="123"/>
    </row>
    <row r="649" spans="7:7" ht="12.75" x14ac:dyDescent="0.2">
      <c r="G649" s="123"/>
    </row>
    <row r="650" spans="7:7" ht="12.75" x14ac:dyDescent="0.2">
      <c r="G650" s="123"/>
    </row>
    <row r="651" spans="7:7" ht="12.75" x14ac:dyDescent="0.2">
      <c r="G651" s="123"/>
    </row>
    <row r="652" spans="7:7" ht="12.75" x14ac:dyDescent="0.2">
      <c r="G652" s="123"/>
    </row>
    <row r="653" spans="7:7" ht="12.75" x14ac:dyDescent="0.2">
      <c r="G653" s="123"/>
    </row>
    <row r="654" spans="7:7" ht="12.75" x14ac:dyDescent="0.2">
      <c r="G654" s="123"/>
    </row>
    <row r="655" spans="7:7" ht="12.75" x14ac:dyDescent="0.2">
      <c r="G655" s="123"/>
    </row>
    <row r="656" spans="7:7" ht="12.75" x14ac:dyDescent="0.2">
      <c r="G656" s="123"/>
    </row>
    <row r="657" spans="7:7" ht="12.75" x14ac:dyDescent="0.2">
      <c r="G657" s="123"/>
    </row>
    <row r="658" spans="7:7" ht="12.75" x14ac:dyDescent="0.2">
      <c r="G658" s="123"/>
    </row>
    <row r="659" spans="7:7" ht="12.75" x14ac:dyDescent="0.2">
      <c r="G659" s="123"/>
    </row>
    <row r="660" spans="7:7" ht="12.75" x14ac:dyDescent="0.2">
      <c r="G660" s="123"/>
    </row>
    <row r="661" spans="7:7" ht="12.75" x14ac:dyDescent="0.2">
      <c r="G661" s="123"/>
    </row>
    <row r="662" spans="7:7" ht="12.75" x14ac:dyDescent="0.2">
      <c r="G662" s="123"/>
    </row>
    <row r="663" spans="7:7" ht="12.75" x14ac:dyDescent="0.2">
      <c r="G663" s="123"/>
    </row>
    <row r="664" spans="7:7" ht="12.75" x14ac:dyDescent="0.2">
      <c r="G664" s="123"/>
    </row>
    <row r="665" spans="7:7" ht="12.75" x14ac:dyDescent="0.2">
      <c r="G665" s="123"/>
    </row>
    <row r="666" spans="7:7" ht="12.75" x14ac:dyDescent="0.2">
      <c r="G666" s="123"/>
    </row>
    <row r="667" spans="7:7" ht="12.75" x14ac:dyDescent="0.2">
      <c r="G667" s="123"/>
    </row>
    <row r="668" spans="7:7" ht="12.75" x14ac:dyDescent="0.2">
      <c r="G668" s="123"/>
    </row>
    <row r="669" spans="7:7" ht="12.75" x14ac:dyDescent="0.2">
      <c r="G669" s="123"/>
    </row>
    <row r="670" spans="7:7" ht="12.75" x14ac:dyDescent="0.2">
      <c r="G670" s="123"/>
    </row>
    <row r="671" spans="7:7" ht="12.75" x14ac:dyDescent="0.2">
      <c r="G671" s="123"/>
    </row>
    <row r="672" spans="7:7" ht="12.75" x14ac:dyDescent="0.2">
      <c r="G672" s="123"/>
    </row>
    <row r="673" spans="7:7" ht="12.75" x14ac:dyDescent="0.2">
      <c r="G673" s="123"/>
    </row>
    <row r="674" spans="7:7" ht="12.75" x14ac:dyDescent="0.2">
      <c r="G674" s="123"/>
    </row>
    <row r="675" spans="7:7" ht="12.75" x14ac:dyDescent="0.2">
      <c r="G675" s="123"/>
    </row>
    <row r="676" spans="7:7" ht="12.75" x14ac:dyDescent="0.2">
      <c r="G676" s="123"/>
    </row>
    <row r="677" spans="7:7" ht="12.75" x14ac:dyDescent="0.2">
      <c r="G677" s="123"/>
    </row>
    <row r="678" spans="7:7" ht="12.75" x14ac:dyDescent="0.2">
      <c r="G678" s="123"/>
    </row>
    <row r="679" spans="7:7" ht="12.75" x14ac:dyDescent="0.2">
      <c r="G679" s="123"/>
    </row>
    <row r="680" spans="7:7" ht="12.75" x14ac:dyDescent="0.2">
      <c r="G680" s="123"/>
    </row>
    <row r="681" spans="7:7" ht="12.75" x14ac:dyDescent="0.2">
      <c r="G681" s="123"/>
    </row>
    <row r="682" spans="7:7" ht="12.75" x14ac:dyDescent="0.2">
      <c r="G682" s="123"/>
    </row>
    <row r="683" spans="7:7" ht="12.75" x14ac:dyDescent="0.2">
      <c r="G683" s="123"/>
    </row>
    <row r="684" spans="7:7" ht="12.75" x14ac:dyDescent="0.2">
      <c r="G684" s="123"/>
    </row>
    <row r="685" spans="7:7" ht="12.75" x14ac:dyDescent="0.2">
      <c r="G685" s="123"/>
    </row>
    <row r="686" spans="7:7" ht="12.75" x14ac:dyDescent="0.2">
      <c r="G686" s="123"/>
    </row>
    <row r="687" spans="7:7" ht="12.75" x14ac:dyDescent="0.2">
      <c r="G687" s="123"/>
    </row>
    <row r="688" spans="7:7" ht="12.75" x14ac:dyDescent="0.2">
      <c r="G688" s="123"/>
    </row>
    <row r="689" spans="7:7" ht="12.75" x14ac:dyDescent="0.2">
      <c r="G689" s="123"/>
    </row>
    <row r="690" spans="7:7" ht="12.75" x14ac:dyDescent="0.2">
      <c r="G690" s="123"/>
    </row>
    <row r="691" spans="7:7" ht="12.75" x14ac:dyDescent="0.2">
      <c r="G691" s="123"/>
    </row>
    <row r="692" spans="7:7" ht="12.75" x14ac:dyDescent="0.2">
      <c r="G692" s="123"/>
    </row>
    <row r="693" spans="7:7" ht="12.75" x14ac:dyDescent="0.2">
      <c r="G693" s="123"/>
    </row>
    <row r="694" spans="7:7" ht="12.75" x14ac:dyDescent="0.2">
      <c r="G694" s="123"/>
    </row>
    <row r="695" spans="7:7" ht="12.75" x14ac:dyDescent="0.2">
      <c r="G695" s="123"/>
    </row>
    <row r="696" spans="7:7" ht="12.75" x14ac:dyDescent="0.2">
      <c r="G696" s="123"/>
    </row>
    <row r="697" spans="7:7" ht="12.75" x14ac:dyDescent="0.2">
      <c r="G697" s="123"/>
    </row>
    <row r="698" spans="7:7" ht="12.75" x14ac:dyDescent="0.2">
      <c r="G698" s="123"/>
    </row>
    <row r="699" spans="7:7" ht="12.75" x14ac:dyDescent="0.2">
      <c r="G699" s="123"/>
    </row>
    <row r="700" spans="7:7" ht="12.75" x14ac:dyDescent="0.2">
      <c r="G700" s="123"/>
    </row>
    <row r="701" spans="7:7" ht="12.75" x14ac:dyDescent="0.2">
      <c r="G701" s="123"/>
    </row>
    <row r="702" spans="7:7" ht="12.75" x14ac:dyDescent="0.2">
      <c r="G702" s="123"/>
    </row>
    <row r="703" spans="7:7" ht="12.75" x14ac:dyDescent="0.2">
      <c r="G703" s="123"/>
    </row>
    <row r="704" spans="7:7" ht="12.75" x14ac:dyDescent="0.2">
      <c r="G704" s="123"/>
    </row>
    <row r="705" spans="7:7" ht="12.75" x14ac:dyDescent="0.2">
      <c r="G705" s="123"/>
    </row>
    <row r="706" spans="7:7" ht="12.75" x14ac:dyDescent="0.2">
      <c r="G706" s="123"/>
    </row>
    <row r="707" spans="7:7" ht="12.75" x14ac:dyDescent="0.2">
      <c r="G707" s="123"/>
    </row>
    <row r="708" spans="7:7" ht="12.75" x14ac:dyDescent="0.2">
      <c r="G708" s="123"/>
    </row>
    <row r="709" spans="7:7" ht="12.75" x14ac:dyDescent="0.2">
      <c r="G709" s="123"/>
    </row>
    <row r="710" spans="7:7" ht="12.75" x14ac:dyDescent="0.2">
      <c r="G710" s="123"/>
    </row>
    <row r="711" spans="7:7" ht="12.75" x14ac:dyDescent="0.2">
      <c r="G711" s="123"/>
    </row>
    <row r="712" spans="7:7" ht="12.75" x14ac:dyDescent="0.2">
      <c r="G712" s="123"/>
    </row>
    <row r="713" spans="7:7" ht="12.75" x14ac:dyDescent="0.2">
      <c r="G713" s="123"/>
    </row>
    <row r="714" spans="7:7" ht="12.75" x14ac:dyDescent="0.2">
      <c r="G714" s="123"/>
    </row>
    <row r="715" spans="7:7" ht="12.75" x14ac:dyDescent="0.2">
      <c r="G715" s="123"/>
    </row>
    <row r="716" spans="7:7" ht="12.75" x14ac:dyDescent="0.2">
      <c r="G716" s="123"/>
    </row>
    <row r="717" spans="7:7" ht="12.75" x14ac:dyDescent="0.2">
      <c r="G717" s="123"/>
    </row>
    <row r="718" spans="7:7" ht="12.75" x14ac:dyDescent="0.2">
      <c r="G718" s="123"/>
    </row>
    <row r="719" spans="7:7" ht="12.75" x14ac:dyDescent="0.2">
      <c r="G719" s="123"/>
    </row>
    <row r="720" spans="7:7" ht="12.75" x14ac:dyDescent="0.2">
      <c r="G720" s="123"/>
    </row>
    <row r="721" spans="7:7" ht="12.75" x14ac:dyDescent="0.2">
      <c r="G721" s="123"/>
    </row>
    <row r="722" spans="7:7" ht="12.75" x14ac:dyDescent="0.2">
      <c r="G722" s="123"/>
    </row>
    <row r="723" spans="7:7" ht="12.75" x14ac:dyDescent="0.2">
      <c r="G723" s="123"/>
    </row>
    <row r="724" spans="7:7" ht="12.75" x14ac:dyDescent="0.2">
      <c r="G724" s="123"/>
    </row>
    <row r="725" spans="7:7" ht="12.75" x14ac:dyDescent="0.2">
      <c r="G725" s="123"/>
    </row>
    <row r="726" spans="7:7" ht="12.75" x14ac:dyDescent="0.2">
      <c r="G726" s="123"/>
    </row>
    <row r="727" spans="7:7" ht="12.75" x14ac:dyDescent="0.2">
      <c r="G727" s="123"/>
    </row>
    <row r="728" spans="7:7" ht="12.75" x14ac:dyDescent="0.2">
      <c r="G728" s="123"/>
    </row>
    <row r="729" spans="7:7" ht="12.75" x14ac:dyDescent="0.2">
      <c r="G729" s="123"/>
    </row>
    <row r="730" spans="7:7" ht="12.75" x14ac:dyDescent="0.2">
      <c r="G730" s="123"/>
    </row>
    <row r="731" spans="7:7" ht="12.75" x14ac:dyDescent="0.2">
      <c r="G731" s="123"/>
    </row>
    <row r="732" spans="7:7" ht="12.75" x14ac:dyDescent="0.2">
      <c r="G732" s="123"/>
    </row>
    <row r="733" spans="7:7" ht="12.75" x14ac:dyDescent="0.2">
      <c r="G733" s="123"/>
    </row>
    <row r="734" spans="7:7" ht="12.75" x14ac:dyDescent="0.2">
      <c r="G734" s="123"/>
    </row>
    <row r="735" spans="7:7" ht="12.75" x14ac:dyDescent="0.2">
      <c r="G735" s="123"/>
    </row>
    <row r="736" spans="7:7" ht="12.75" x14ac:dyDescent="0.2">
      <c r="G736" s="123"/>
    </row>
    <row r="737" spans="7:7" ht="12.75" x14ac:dyDescent="0.2">
      <c r="G737" s="123"/>
    </row>
    <row r="738" spans="7:7" ht="12.75" x14ac:dyDescent="0.2">
      <c r="G738" s="123"/>
    </row>
    <row r="739" spans="7:7" ht="12.75" x14ac:dyDescent="0.2">
      <c r="G739" s="123"/>
    </row>
    <row r="740" spans="7:7" ht="12.75" x14ac:dyDescent="0.2">
      <c r="G740" s="123"/>
    </row>
    <row r="741" spans="7:7" ht="12.75" x14ac:dyDescent="0.2">
      <c r="G741" s="123"/>
    </row>
    <row r="742" spans="7:7" ht="12.75" x14ac:dyDescent="0.2">
      <c r="G742" s="123"/>
    </row>
    <row r="743" spans="7:7" ht="12.75" x14ac:dyDescent="0.2">
      <c r="G743" s="123"/>
    </row>
    <row r="744" spans="7:7" ht="12.75" x14ac:dyDescent="0.2">
      <c r="G744" s="123"/>
    </row>
    <row r="745" spans="7:7" ht="12.75" x14ac:dyDescent="0.2">
      <c r="G745" s="123"/>
    </row>
    <row r="746" spans="7:7" ht="12.75" x14ac:dyDescent="0.2">
      <c r="G746" s="123"/>
    </row>
    <row r="747" spans="7:7" ht="12.75" x14ac:dyDescent="0.2">
      <c r="G747" s="123"/>
    </row>
    <row r="748" spans="7:7" ht="12.75" x14ac:dyDescent="0.2">
      <c r="G748" s="123"/>
    </row>
    <row r="749" spans="7:7" ht="12.75" x14ac:dyDescent="0.2">
      <c r="G749" s="123"/>
    </row>
    <row r="750" spans="7:7" ht="12.75" x14ac:dyDescent="0.2">
      <c r="G750" s="123"/>
    </row>
    <row r="751" spans="7:7" ht="12.75" x14ac:dyDescent="0.2">
      <c r="G751" s="123"/>
    </row>
    <row r="752" spans="7:7" ht="12.75" x14ac:dyDescent="0.2">
      <c r="G752" s="123"/>
    </row>
    <row r="753" spans="7:7" ht="12.75" x14ac:dyDescent="0.2">
      <c r="G753" s="123"/>
    </row>
    <row r="754" spans="7:7" ht="12.75" x14ac:dyDescent="0.2">
      <c r="G754" s="123"/>
    </row>
    <row r="755" spans="7:7" ht="12.75" x14ac:dyDescent="0.2">
      <c r="G755" s="123"/>
    </row>
    <row r="756" spans="7:7" ht="12.75" x14ac:dyDescent="0.2">
      <c r="G756" s="123"/>
    </row>
    <row r="757" spans="7:7" ht="12.75" x14ac:dyDescent="0.2">
      <c r="G757" s="123"/>
    </row>
    <row r="758" spans="7:7" ht="12.75" x14ac:dyDescent="0.2">
      <c r="G758" s="123"/>
    </row>
    <row r="759" spans="7:7" ht="12.75" x14ac:dyDescent="0.2">
      <c r="G759" s="123"/>
    </row>
    <row r="760" spans="7:7" ht="12.75" x14ac:dyDescent="0.2">
      <c r="G760" s="123"/>
    </row>
    <row r="761" spans="7:7" ht="12.75" x14ac:dyDescent="0.2">
      <c r="G761" s="123"/>
    </row>
    <row r="762" spans="7:7" ht="12.75" x14ac:dyDescent="0.2">
      <c r="G762" s="123"/>
    </row>
    <row r="763" spans="7:7" ht="12.75" x14ac:dyDescent="0.2">
      <c r="G763" s="123"/>
    </row>
    <row r="764" spans="7:7" ht="12.75" x14ac:dyDescent="0.2">
      <c r="G764" s="123"/>
    </row>
    <row r="765" spans="7:7" ht="12.75" x14ac:dyDescent="0.2">
      <c r="G765" s="123"/>
    </row>
    <row r="766" spans="7:7" ht="12.75" x14ac:dyDescent="0.2">
      <c r="G766" s="123"/>
    </row>
    <row r="767" spans="7:7" ht="12.75" x14ac:dyDescent="0.2">
      <c r="G767" s="123"/>
    </row>
    <row r="768" spans="7:7" ht="12.75" x14ac:dyDescent="0.2">
      <c r="G768" s="123"/>
    </row>
    <row r="769" spans="7:7" ht="12.75" x14ac:dyDescent="0.2">
      <c r="G769" s="123"/>
    </row>
    <row r="770" spans="7:7" ht="12.75" x14ac:dyDescent="0.2">
      <c r="G770" s="123"/>
    </row>
    <row r="771" spans="7:7" ht="12.75" x14ac:dyDescent="0.2">
      <c r="G771" s="123"/>
    </row>
    <row r="772" spans="7:7" ht="12.75" x14ac:dyDescent="0.2">
      <c r="G772" s="123"/>
    </row>
    <row r="773" spans="7:7" ht="12.75" x14ac:dyDescent="0.2">
      <c r="G773" s="123"/>
    </row>
    <row r="774" spans="7:7" ht="12.75" x14ac:dyDescent="0.2">
      <c r="G774" s="123"/>
    </row>
    <row r="775" spans="7:7" ht="12.75" x14ac:dyDescent="0.2">
      <c r="G775" s="123"/>
    </row>
    <row r="776" spans="7:7" ht="12.75" x14ac:dyDescent="0.2">
      <c r="G776" s="123"/>
    </row>
    <row r="777" spans="7:7" ht="12.75" x14ac:dyDescent="0.2">
      <c r="G777" s="123"/>
    </row>
    <row r="778" spans="7:7" ht="12.75" x14ac:dyDescent="0.2">
      <c r="G778" s="123"/>
    </row>
    <row r="779" spans="7:7" ht="12.75" x14ac:dyDescent="0.2">
      <c r="G779" s="123"/>
    </row>
    <row r="780" spans="7:7" ht="12.75" x14ac:dyDescent="0.2">
      <c r="G780" s="123"/>
    </row>
    <row r="781" spans="7:7" ht="12.75" x14ac:dyDescent="0.2">
      <c r="G781" s="123"/>
    </row>
    <row r="782" spans="7:7" ht="12.75" x14ac:dyDescent="0.2">
      <c r="G782" s="123"/>
    </row>
    <row r="783" spans="7:7" ht="12.75" x14ac:dyDescent="0.2">
      <c r="G783" s="123"/>
    </row>
    <row r="784" spans="7:7" ht="12.75" x14ac:dyDescent="0.2">
      <c r="G784" s="123"/>
    </row>
    <row r="785" spans="7:7" ht="12.75" x14ac:dyDescent="0.2">
      <c r="G785" s="123"/>
    </row>
    <row r="786" spans="7:7" ht="12.75" x14ac:dyDescent="0.2">
      <c r="G786" s="123"/>
    </row>
    <row r="787" spans="7:7" ht="12.75" x14ac:dyDescent="0.2">
      <c r="G787" s="123"/>
    </row>
    <row r="788" spans="7:7" ht="12.75" x14ac:dyDescent="0.2">
      <c r="G788" s="123"/>
    </row>
    <row r="789" spans="7:7" ht="12.75" x14ac:dyDescent="0.2">
      <c r="G789" s="123"/>
    </row>
    <row r="790" spans="7:7" ht="12.75" x14ac:dyDescent="0.2">
      <c r="G790" s="123"/>
    </row>
    <row r="791" spans="7:7" ht="12.75" x14ac:dyDescent="0.2">
      <c r="G791" s="123"/>
    </row>
    <row r="792" spans="7:7" ht="12.75" x14ac:dyDescent="0.2">
      <c r="G792" s="123"/>
    </row>
    <row r="793" spans="7:7" ht="12.75" x14ac:dyDescent="0.2">
      <c r="G793" s="123"/>
    </row>
    <row r="794" spans="7:7" ht="12.75" x14ac:dyDescent="0.2">
      <c r="G794" s="123"/>
    </row>
    <row r="795" spans="7:7" ht="12.75" x14ac:dyDescent="0.2">
      <c r="G795" s="123"/>
    </row>
    <row r="796" spans="7:7" ht="12.75" x14ac:dyDescent="0.2">
      <c r="G796" s="123"/>
    </row>
    <row r="797" spans="7:7" ht="12.75" x14ac:dyDescent="0.2">
      <c r="G797" s="123"/>
    </row>
    <row r="798" spans="7:7" ht="12.75" x14ac:dyDescent="0.2">
      <c r="G798" s="123"/>
    </row>
    <row r="799" spans="7:7" ht="12.75" x14ac:dyDescent="0.2">
      <c r="G799" s="123"/>
    </row>
    <row r="800" spans="7:7" ht="12.75" x14ac:dyDescent="0.2">
      <c r="G800" s="123"/>
    </row>
    <row r="801" spans="7:7" ht="12.75" x14ac:dyDescent="0.2">
      <c r="G801" s="123"/>
    </row>
    <row r="802" spans="7:7" ht="12.75" x14ac:dyDescent="0.2">
      <c r="G802" s="123"/>
    </row>
    <row r="803" spans="7:7" ht="12.75" x14ac:dyDescent="0.2">
      <c r="G803" s="123"/>
    </row>
    <row r="804" spans="7:7" ht="12.75" x14ac:dyDescent="0.2">
      <c r="G804" s="123"/>
    </row>
    <row r="805" spans="7:7" ht="12.75" x14ac:dyDescent="0.2">
      <c r="G805" s="123"/>
    </row>
    <row r="806" spans="7:7" ht="12.75" x14ac:dyDescent="0.2">
      <c r="G806" s="123"/>
    </row>
    <row r="807" spans="7:7" ht="12.75" x14ac:dyDescent="0.2">
      <c r="G807" s="123"/>
    </row>
    <row r="808" spans="7:7" ht="12.75" x14ac:dyDescent="0.2">
      <c r="G808" s="123"/>
    </row>
    <row r="809" spans="7:7" ht="12.75" x14ac:dyDescent="0.2">
      <c r="G809" s="123"/>
    </row>
    <row r="810" spans="7:7" ht="12.75" x14ac:dyDescent="0.2">
      <c r="G810" s="123"/>
    </row>
    <row r="811" spans="7:7" ht="12.75" x14ac:dyDescent="0.2">
      <c r="G811" s="123"/>
    </row>
    <row r="812" spans="7:7" ht="12.75" x14ac:dyDescent="0.2">
      <c r="G812" s="123"/>
    </row>
    <row r="813" spans="7:7" ht="12.75" x14ac:dyDescent="0.2">
      <c r="G813" s="123"/>
    </row>
    <row r="814" spans="7:7" ht="12.75" x14ac:dyDescent="0.2">
      <c r="G814" s="123"/>
    </row>
    <row r="815" spans="7:7" ht="12.75" x14ac:dyDescent="0.2">
      <c r="G815" s="123"/>
    </row>
    <row r="816" spans="7:7" ht="12.75" x14ac:dyDescent="0.2">
      <c r="G816" s="123"/>
    </row>
    <row r="817" spans="7:7" ht="12.75" x14ac:dyDescent="0.2">
      <c r="G817" s="123"/>
    </row>
    <row r="818" spans="7:7" ht="12.75" x14ac:dyDescent="0.2">
      <c r="G818" s="123"/>
    </row>
    <row r="819" spans="7:7" ht="12.75" x14ac:dyDescent="0.2">
      <c r="G819" s="123"/>
    </row>
    <row r="820" spans="7:7" ht="12.75" x14ac:dyDescent="0.2">
      <c r="G820" s="123"/>
    </row>
    <row r="821" spans="7:7" ht="12.75" x14ac:dyDescent="0.2">
      <c r="G821" s="123"/>
    </row>
    <row r="822" spans="7:7" ht="12.75" x14ac:dyDescent="0.2">
      <c r="G822" s="123"/>
    </row>
    <row r="823" spans="7:7" ht="12.75" x14ac:dyDescent="0.2">
      <c r="G823" s="123"/>
    </row>
    <row r="824" spans="7:7" ht="12.75" x14ac:dyDescent="0.2">
      <c r="G824" s="123"/>
    </row>
    <row r="825" spans="7:7" ht="12.75" x14ac:dyDescent="0.2">
      <c r="G825" s="123"/>
    </row>
    <row r="826" spans="7:7" ht="12.75" x14ac:dyDescent="0.2">
      <c r="G826" s="123"/>
    </row>
    <row r="827" spans="7:7" ht="12.75" x14ac:dyDescent="0.2">
      <c r="G827" s="123"/>
    </row>
    <row r="828" spans="7:7" ht="12.75" x14ac:dyDescent="0.2">
      <c r="G828" s="123"/>
    </row>
    <row r="829" spans="7:7" ht="12.75" x14ac:dyDescent="0.2">
      <c r="G829" s="123"/>
    </row>
    <row r="830" spans="7:7" ht="12.75" x14ac:dyDescent="0.2">
      <c r="G830" s="123"/>
    </row>
    <row r="831" spans="7:7" ht="12.75" x14ac:dyDescent="0.2">
      <c r="G831" s="123"/>
    </row>
    <row r="832" spans="7:7" ht="12.75" x14ac:dyDescent="0.2">
      <c r="G832" s="123"/>
    </row>
    <row r="833" spans="7:7" ht="12.75" x14ac:dyDescent="0.2">
      <c r="G833" s="123"/>
    </row>
    <row r="834" spans="7:7" ht="12.75" x14ac:dyDescent="0.2">
      <c r="G834" s="123"/>
    </row>
    <row r="835" spans="7:7" ht="12.75" x14ac:dyDescent="0.2">
      <c r="G835" s="123"/>
    </row>
    <row r="836" spans="7:7" ht="12.75" x14ac:dyDescent="0.2">
      <c r="G836" s="123"/>
    </row>
    <row r="837" spans="7:7" ht="12.75" x14ac:dyDescent="0.2">
      <c r="G837" s="123"/>
    </row>
    <row r="838" spans="7:7" ht="12.75" x14ac:dyDescent="0.2">
      <c r="G838" s="123"/>
    </row>
    <row r="839" spans="7:7" ht="12.75" x14ac:dyDescent="0.2">
      <c r="G839" s="123"/>
    </row>
    <row r="840" spans="7:7" ht="12.75" x14ac:dyDescent="0.2">
      <c r="G840" s="123"/>
    </row>
    <row r="841" spans="7:7" ht="12.75" x14ac:dyDescent="0.2">
      <c r="G841" s="123"/>
    </row>
    <row r="842" spans="7:7" ht="12.75" x14ac:dyDescent="0.2">
      <c r="G842" s="123"/>
    </row>
    <row r="843" spans="7:7" ht="12.75" x14ac:dyDescent="0.2">
      <c r="G843" s="123"/>
    </row>
    <row r="844" spans="7:7" ht="12.75" x14ac:dyDescent="0.2">
      <c r="G844" s="123"/>
    </row>
    <row r="845" spans="7:7" ht="12.75" x14ac:dyDescent="0.2">
      <c r="G845" s="123"/>
    </row>
    <row r="846" spans="7:7" ht="12.75" x14ac:dyDescent="0.2">
      <c r="G846" s="123"/>
    </row>
    <row r="847" spans="7:7" ht="12.75" x14ac:dyDescent="0.2">
      <c r="G847" s="123"/>
    </row>
    <row r="848" spans="7:7" ht="12.75" x14ac:dyDescent="0.2">
      <c r="G848" s="123"/>
    </row>
    <row r="849" spans="7:7" ht="12.75" x14ac:dyDescent="0.2">
      <c r="G849" s="123"/>
    </row>
    <row r="850" spans="7:7" ht="12.75" x14ac:dyDescent="0.2">
      <c r="G850" s="123"/>
    </row>
    <row r="851" spans="7:7" ht="12.75" x14ac:dyDescent="0.2">
      <c r="G851" s="123"/>
    </row>
    <row r="852" spans="7:7" ht="12.75" x14ac:dyDescent="0.2">
      <c r="G852" s="123"/>
    </row>
    <row r="853" spans="7:7" ht="12.75" x14ac:dyDescent="0.2">
      <c r="G853" s="123"/>
    </row>
    <row r="854" spans="7:7" ht="12.75" x14ac:dyDescent="0.2">
      <c r="G854" s="123"/>
    </row>
    <row r="855" spans="7:7" ht="12.75" x14ac:dyDescent="0.2">
      <c r="G855" s="123"/>
    </row>
    <row r="856" spans="7:7" ht="12.75" x14ac:dyDescent="0.2">
      <c r="G856" s="123"/>
    </row>
    <row r="857" spans="7:7" ht="12.75" x14ac:dyDescent="0.2">
      <c r="G857" s="123"/>
    </row>
    <row r="858" spans="7:7" ht="12.75" x14ac:dyDescent="0.2">
      <c r="G858" s="123"/>
    </row>
    <row r="859" spans="7:7" ht="12.75" x14ac:dyDescent="0.2">
      <c r="G859" s="123"/>
    </row>
    <row r="860" spans="7:7" ht="12.75" x14ac:dyDescent="0.2">
      <c r="G860" s="123"/>
    </row>
    <row r="861" spans="7:7" ht="12.75" x14ac:dyDescent="0.2">
      <c r="G861" s="123"/>
    </row>
    <row r="862" spans="7:7" ht="12.75" x14ac:dyDescent="0.2">
      <c r="G862" s="123"/>
    </row>
    <row r="863" spans="7:7" ht="12.75" x14ac:dyDescent="0.2">
      <c r="G863" s="123"/>
    </row>
    <row r="864" spans="7:7" ht="12.75" x14ac:dyDescent="0.2">
      <c r="G864" s="123"/>
    </row>
    <row r="865" spans="7:7" ht="12.75" x14ac:dyDescent="0.2">
      <c r="G865" s="123"/>
    </row>
    <row r="866" spans="7:7" ht="12.75" x14ac:dyDescent="0.2">
      <c r="G866" s="123"/>
    </row>
    <row r="867" spans="7:7" ht="12.75" x14ac:dyDescent="0.2">
      <c r="G867" s="123"/>
    </row>
    <row r="868" spans="7:7" ht="12.75" x14ac:dyDescent="0.2">
      <c r="G868" s="123"/>
    </row>
    <row r="869" spans="7:7" ht="12.75" x14ac:dyDescent="0.2">
      <c r="G869" s="123"/>
    </row>
    <row r="870" spans="7:7" ht="12.75" x14ac:dyDescent="0.2">
      <c r="G870" s="123"/>
    </row>
    <row r="871" spans="7:7" ht="12.75" x14ac:dyDescent="0.2">
      <c r="G871" s="123"/>
    </row>
    <row r="872" spans="7:7" ht="12.75" x14ac:dyDescent="0.2">
      <c r="G872" s="123"/>
    </row>
    <row r="873" spans="7:7" ht="12.75" x14ac:dyDescent="0.2">
      <c r="G873" s="123"/>
    </row>
    <row r="874" spans="7:7" ht="12.75" x14ac:dyDescent="0.2">
      <c r="G874" s="123"/>
    </row>
    <row r="875" spans="7:7" ht="12.75" x14ac:dyDescent="0.2">
      <c r="G875" s="123"/>
    </row>
    <row r="876" spans="7:7" ht="12.75" x14ac:dyDescent="0.2">
      <c r="G876" s="123"/>
    </row>
    <row r="877" spans="7:7" ht="12.75" x14ac:dyDescent="0.2">
      <c r="G877" s="123"/>
    </row>
    <row r="878" spans="7:7" ht="12.75" x14ac:dyDescent="0.2">
      <c r="G878" s="123"/>
    </row>
    <row r="879" spans="7:7" ht="12.75" x14ac:dyDescent="0.2">
      <c r="G879" s="123"/>
    </row>
    <row r="880" spans="7:7" ht="12.75" x14ac:dyDescent="0.2">
      <c r="G880" s="123"/>
    </row>
    <row r="881" spans="7:7" ht="12.75" x14ac:dyDescent="0.2">
      <c r="G881" s="123"/>
    </row>
    <row r="882" spans="7:7" ht="12.75" x14ac:dyDescent="0.2">
      <c r="G882" s="123"/>
    </row>
    <row r="883" spans="7:7" ht="12.75" x14ac:dyDescent="0.2">
      <c r="G883" s="123"/>
    </row>
    <row r="884" spans="7:7" ht="12.75" x14ac:dyDescent="0.2">
      <c r="G884" s="123"/>
    </row>
    <row r="885" spans="7:7" ht="12.75" x14ac:dyDescent="0.2">
      <c r="G885" s="123"/>
    </row>
    <row r="886" spans="7:7" ht="12.75" x14ac:dyDescent="0.2">
      <c r="G886" s="123"/>
    </row>
    <row r="887" spans="7:7" ht="12.75" x14ac:dyDescent="0.2">
      <c r="G887" s="123"/>
    </row>
    <row r="888" spans="7:7" ht="12.75" x14ac:dyDescent="0.2">
      <c r="G888" s="123"/>
    </row>
    <row r="889" spans="7:7" ht="12.75" x14ac:dyDescent="0.2">
      <c r="G889" s="123"/>
    </row>
    <row r="890" spans="7:7" ht="12.75" x14ac:dyDescent="0.2">
      <c r="G890" s="123"/>
    </row>
    <row r="891" spans="7:7" ht="12.75" x14ac:dyDescent="0.2">
      <c r="G891" s="123"/>
    </row>
    <row r="892" spans="7:7" ht="12.75" x14ac:dyDescent="0.2">
      <c r="G892" s="123"/>
    </row>
    <row r="893" spans="7:7" ht="12.75" x14ac:dyDescent="0.2">
      <c r="G893" s="123"/>
    </row>
    <row r="894" spans="7:7" ht="12.75" x14ac:dyDescent="0.2">
      <c r="G894" s="123"/>
    </row>
    <row r="895" spans="7:7" ht="12.75" x14ac:dyDescent="0.2">
      <c r="G895" s="123"/>
    </row>
    <row r="896" spans="7:7" ht="12.75" x14ac:dyDescent="0.2">
      <c r="G896" s="123"/>
    </row>
    <row r="897" spans="7:7" ht="12.75" x14ac:dyDescent="0.2">
      <c r="G897" s="123"/>
    </row>
    <row r="898" spans="7:7" ht="12.75" x14ac:dyDescent="0.2">
      <c r="G898" s="123"/>
    </row>
    <row r="899" spans="7:7" ht="12.75" x14ac:dyDescent="0.2">
      <c r="G899" s="123"/>
    </row>
    <row r="900" spans="7:7" ht="12.75" x14ac:dyDescent="0.2">
      <c r="G900" s="123"/>
    </row>
    <row r="901" spans="7:7" ht="12.75" x14ac:dyDescent="0.2">
      <c r="G901" s="123"/>
    </row>
    <row r="902" spans="7:7" ht="12.75" x14ac:dyDescent="0.2">
      <c r="G902" s="123"/>
    </row>
    <row r="903" spans="7:7" ht="12.75" x14ac:dyDescent="0.2">
      <c r="G903" s="123"/>
    </row>
    <row r="904" spans="7:7" ht="12.75" x14ac:dyDescent="0.2">
      <c r="G904" s="123"/>
    </row>
    <row r="905" spans="7:7" ht="12.75" x14ac:dyDescent="0.2">
      <c r="G905" s="123"/>
    </row>
    <row r="906" spans="7:7" ht="12.75" x14ac:dyDescent="0.2">
      <c r="G906" s="123"/>
    </row>
    <row r="907" spans="7:7" ht="12.75" x14ac:dyDescent="0.2">
      <c r="G907" s="123"/>
    </row>
    <row r="908" spans="7:7" ht="12.75" x14ac:dyDescent="0.2">
      <c r="G908" s="123"/>
    </row>
    <row r="909" spans="7:7" ht="12.75" x14ac:dyDescent="0.2">
      <c r="G909" s="123"/>
    </row>
    <row r="910" spans="7:7" ht="12.75" x14ac:dyDescent="0.2">
      <c r="G910" s="123"/>
    </row>
    <row r="911" spans="7:7" ht="12.75" x14ac:dyDescent="0.2">
      <c r="G911" s="123"/>
    </row>
    <row r="912" spans="7:7" ht="12.75" x14ac:dyDescent="0.2">
      <c r="G912" s="123"/>
    </row>
    <row r="913" spans="7:7" ht="12.75" x14ac:dyDescent="0.2">
      <c r="G913" s="123"/>
    </row>
    <row r="914" spans="7:7" ht="12.75" x14ac:dyDescent="0.2">
      <c r="G914" s="123"/>
    </row>
    <row r="915" spans="7:7" ht="12.75" x14ac:dyDescent="0.2">
      <c r="G915" s="123"/>
    </row>
    <row r="916" spans="7:7" ht="12.75" x14ac:dyDescent="0.2">
      <c r="G916" s="123"/>
    </row>
    <row r="917" spans="7:7" ht="12.75" x14ac:dyDescent="0.2">
      <c r="G917" s="123"/>
    </row>
    <row r="918" spans="7:7" ht="12.75" x14ac:dyDescent="0.2">
      <c r="G918" s="123"/>
    </row>
    <row r="919" spans="7:7" ht="12.75" x14ac:dyDescent="0.2">
      <c r="G919" s="123"/>
    </row>
    <row r="920" spans="7:7" ht="12.75" x14ac:dyDescent="0.2">
      <c r="G920" s="123"/>
    </row>
    <row r="921" spans="7:7" ht="12.75" x14ac:dyDescent="0.2">
      <c r="G921" s="123"/>
    </row>
    <row r="922" spans="7:7" ht="12.75" x14ac:dyDescent="0.2">
      <c r="G922" s="123"/>
    </row>
    <row r="923" spans="7:7" ht="12.75" x14ac:dyDescent="0.2">
      <c r="G923" s="123"/>
    </row>
    <row r="924" spans="7:7" ht="12.75" x14ac:dyDescent="0.2">
      <c r="G924" s="123"/>
    </row>
    <row r="925" spans="7:7" ht="12.75" x14ac:dyDescent="0.2">
      <c r="G925" s="123"/>
    </row>
    <row r="926" spans="7:7" ht="12.75" x14ac:dyDescent="0.2">
      <c r="G926" s="123"/>
    </row>
    <row r="927" spans="7:7" ht="12.75" x14ac:dyDescent="0.2">
      <c r="G927" s="123"/>
    </row>
    <row r="928" spans="7:7" ht="12.75" x14ac:dyDescent="0.2">
      <c r="G928" s="123"/>
    </row>
    <row r="929" spans="7:7" ht="12.75" x14ac:dyDescent="0.2">
      <c r="G929" s="123"/>
    </row>
    <row r="930" spans="7:7" ht="12.75" x14ac:dyDescent="0.2">
      <c r="G930" s="123"/>
    </row>
    <row r="931" spans="7:7" ht="12.75" x14ac:dyDescent="0.2">
      <c r="G931" s="123"/>
    </row>
    <row r="932" spans="7:7" ht="12.75" x14ac:dyDescent="0.2">
      <c r="G932" s="123"/>
    </row>
    <row r="933" spans="7:7" ht="12.75" x14ac:dyDescent="0.2">
      <c r="G933" s="123"/>
    </row>
    <row r="934" spans="7:7" ht="12.75" x14ac:dyDescent="0.2">
      <c r="G934" s="123"/>
    </row>
    <row r="935" spans="7:7" ht="12.75" x14ac:dyDescent="0.2">
      <c r="G935" s="123"/>
    </row>
    <row r="936" spans="7:7" ht="12.75" x14ac:dyDescent="0.2">
      <c r="G936" s="123"/>
    </row>
    <row r="937" spans="7:7" ht="12.75" x14ac:dyDescent="0.2">
      <c r="G937" s="123"/>
    </row>
    <row r="938" spans="7:7" ht="12.75" x14ac:dyDescent="0.2">
      <c r="G938" s="123"/>
    </row>
    <row r="939" spans="7:7" ht="12.75" x14ac:dyDescent="0.2">
      <c r="G939" s="123"/>
    </row>
    <row r="940" spans="7:7" ht="12.75" x14ac:dyDescent="0.2">
      <c r="G940" s="123"/>
    </row>
    <row r="941" spans="7:7" ht="12.75" x14ac:dyDescent="0.2">
      <c r="G941" s="123"/>
    </row>
    <row r="942" spans="7:7" ht="12.75" x14ac:dyDescent="0.2">
      <c r="G942" s="123"/>
    </row>
    <row r="943" spans="7:7" ht="12.75" x14ac:dyDescent="0.2">
      <c r="G943" s="123"/>
    </row>
    <row r="944" spans="7:7" ht="12.75" x14ac:dyDescent="0.2">
      <c r="G944" s="123"/>
    </row>
    <row r="945" spans="7:7" ht="12.75" x14ac:dyDescent="0.2">
      <c r="G945" s="123"/>
    </row>
    <row r="946" spans="7:7" ht="12.75" x14ac:dyDescent="0.2">
      <c r="G946" s="123"/>
    </row>
    <row r="947" spans="7:7" ht="12.75" x14ac:dyDescent="0.2">
      <c r="G947" s="123"/>
    </row>
    <row r="948" spans="7:7" ht="12.75" x14ac:dyDescent="0.2">
      <c r="G948" s="123"/>
    </row>
    <row r="949" spans="7:7" ht="12.75" x14ac:dyDescent="0.2">
      <c r="G949" s="123"/>
    </row>
    <row r="950" spans="7:7" ht="12.75" x14ac:dyDescent="0.2">
      <c r="G950" s="123"/>
    </row>
    <row r="951" spans="7:7" ht="12.75" x14ac:dyDescent="0.2">
      <c r="G951" s="123"/>
    </row>
    <row r="952" spans="7:7" ht="12.75" x14ac:dyDescent="0.2">
      <c r="G952" s="123"/>
    </row>
    <row r="953" spans="7:7" ht="12.75" x14ac:dyDescent="0.2">
      <c r="G953" s="123"/>
    </row>
    <row r="954" spans="7:7" ht="12.75" x14ac:dyDescent="0.2">
      <c r="G954" s="123"/>
    </row>
    <row r="955" spans="7:7" ht="12.75" x14ac:dyDescent="0.2">
      <c r="G955" s="123"/>
    </row>
    <row r="956" spans="7:7" ht="12.75" x14ac:dyDescent="0.2">
      <c r="G956" s="123"/>
    </row>
    <row r="957" spans="7:7" ht="12.75" x14ac:dyDescent="0.2">
      <c r="G957" s="123"/>
    </row>
    <row r="958" spans="7:7" ht="12.75" x14ac:dyDescent="0.2">
      <c r="G958" s="123"/>
    </row>
    <row r="959" spans="7:7" ht="12.75" x14ac:dyDescent="0.2">
      <c r="G959" s="123"/>
    </row>
    <row r="960" spans="7:7" ht="12.75" x14ac:dyDescent="0.2">
      <c r="G960" s="123"/>
    </row>
    <row r="961" spans="7:7" ht="12.75" x14ac:dyDescent="0.2">
      <c r="G961" s="123"/>
    </row>
    <row r="962" spans="7:7" ht="12.75" x14ac:dyDescent="0.2">
      <c r="G962" s="123"/>
    </row>
    <row r="963" spans="7:7" ht="12.75" x14ac:dyDescent="0.2">
      <c r="G963" s="123"/>
    </row>
    <row r="964" spans="7:7" ht="12.75" x14ac:dyDescent="0.2">
      <c r="G964" s="123"/>
    </row>
    <row r="965" spans="7:7" ht="12.75" x14ac:dyDescent="0.2">
      <c r="G965" s="123"/>
    </row>
    <row r="966" spans="7:7" ht="12.75" x14ac:dyDescent="0.2">
      <c r="G966" s="123"/>
    </row>
    <row r="967" spans="7:7" ht="12.75" x14ac:dyDescent="0.2">
      <c r="G967" s="123"/>
    </row>
    <row r="968" spans="7:7" ht="12.75" x14ac:dyDescent="0.2">
      <c r="G968" s="123"/>
    </row>
    <row r="969" spans="7:7" ht="12.75" x14ac:dyDescent="0.2">
      <c r="G969" s="123"/>
    </row>
    <row r="970" spans="7:7" ht="12.75" x14ac:dyDescent="0.2">
      <c r="G970" s="123"/>
    </row>
    <row r="971" spans="7:7" ht="12.75" x14ac:dyDescent="0.2">
      <c r="G971" s="123"/>
    </row>
    <row r="972" spans="7:7" ht="12.75" x14ac:dyDescent="0.2">
      <c r="G972" s="123"/>
    </row>
    <row r="973" spans="7:7" ht="12.75" x14ac:dyDescent="0.2">
      <c r="G973" s="123"/>
    </row>
    <row r="974" spans="7:7" ht="12.75" x14ac:dyDescent="0.2">
      <c r="G974" s="123"/>
    </row>
    <row r="975" spans="7:7" ht="12.75" x14ac:dyDescent="0.2">
      <c r="G975" s="123"/>
    </row>
    <row r="976" spans="7:7" ht="12.75" x14ac:dyDescent="0.2">
      <c r="G976" s="123"/>
    </row>
    <row r="977" spans="7:7" ht="12.75" x14ac:dyDescent="0.2">
      <c r="G977" s="123"/>
    </row>
    <row r="978" spans="7:7" ht="12.75" x14ac:dyDescent="0.2">
      <c r="G978" s="123"/>
    </row>
    <row r="979" spans="7:7" ht="12.75" x14ac:dyDescent="0.2">
      <c r="G979" s="123"/>
    </row>
    <row r="980" spans="7:7" ht="12.75" x14ac:dyDescent="0.2">
      <c r="G980" s="123"/>
    </row>
    <row r="981" spans="7:7" ht="12.75" x14ac:dyDescent="0.2">
      <c r="G981" s="123"/>
    </row>
    <row r="982" spans="7:7" ht="12.75" x14ac:dyDescent="0.2">
      <c r="G982" s="123"/>
    </row>
    <row r="983" spans="7:7" ht="12.75" x14ac:dyDescent="0.2">
      <c r="G983" s="123"/>
    </row>
    <row r="984" spans="7:7" ht="12.75" x14ac:dyDescent="0.2">
      <c r="G984" s="123"/>
    </row>
    <row r="985" spans="7:7" ht="12.75" x14ac:dyDescent="0.2">
      <c r="G985" s="123"/>
    </row>
    <row r="986" spans="7:7" ht="12.75" x14ac:dyDescent="0.2">
      <c r="G986" s="123"/>
    </row>
    <row r="987" spans="7:7" ht="12.75" x14ac:dyDescent="0.2">
      <c r="G987" s="123"/>
    </row>
    <row r="988" spans="7:7" ht="12.75" x14ac:dyDescent="0.2">
      <c r="G988" s="123"/>
    </row>
    <row r="989" spans="7:7" ht="12.75" x14ac:dyDescent="0.2">
      <c r="G989" s="123"/>
    </row>
    <row r="990" spans="7:7" ht="12.75" x14ac:dyDescent="0.2">
      <c r="G990" s="123"/>
    </row>
    <row r="991" spans="7:7" ht="12.75" x14ac:dyDescent="0.2">
      <c r="G991" s="123"/>
    </row>
    <row r="992" spans="7:7" ht="12.75" x14ac:dyDescent="0.2">
      <c r="G992" s="123"/>
    </row>
    <row r="993" spans="7:7" ht="12.75" x14ac:dyDescent="0.2">
      <c r="G993" s="123"/>
    </row>
    <row r="994" spans="7:7" ht="12.75" x14ac:dyDescent="0.2">
      <c r="G994" s="123"/>
    </row>
    <row r="995" spans="7:7" ht="12.75" x14ac:dyDescent="0.2">
      <c r="G995" s="123"/>
    </row>
    <row r="996" spans="7:7" ht="12.75" x14ac:dyDescent="0.2">
      <c r="G996" s="123"/>
    </row>
    <row r="997" spans="7:7" ht="12.75" x14ac:dyDescent="0.2">
      <c r="G997" s="123"/>
    </row>
    <row r="998" spans="7:7" ht="12.75" x14ac:dyDescent="0.2">
      <c r="G998" s="123"/>
    </row>
    <row r="999" spans="7:7" ht="12.75" x14ac:dyDescent="0.2">
      <c r="G999" s="123"/>
    </row>
    <row r="1000" spans="7:7" ht="12.75" x14ac:dyDescent="0.2">
      <c r="G1000" s="123"/>
    </row>
    <row r="1001" spans="7:7" ht="12.75" x14ac:dyDescent="0.2">
      <c r="G1001" s="123"/>
    </row>
    <row r="1002" spans="7:7" ht="12.75" x14ac:dyDescent="0.2">
      <c r="G1002" s="123"/>
    </row>
    <row r="1003" spans="7:7" ht="12.75" x14ac:dyDescent="0.2">
      <c r="G1003" s="123"/>
    </row>
    <row r="1004" spans="7:7" ht="12.75" x14ac:dyDescent="0.2">
      <c r="G1004" s="123"/>
    </row>
    <row r="1005" spans="7:7" ht="12.75" x14ac:dyDescent="0.2">
      <c r="G1005" s="123"/>
    </row>
    <row r="1006" spans="7:7" ht="12.75" x14ac:dyDescent="0.2">
      <c r="G1006" s="123"/>
    </row>
    <row r="1007" spans="7:7" ht="12.75" x14ac:dyDescent="0.2">
      <c r="G1007" s="123"/>
    </row>
    <row r="1008" spans="7:7" ht="12.75" x14ac:dyDescent="0.2">
      <c r="G1008" s="123"/>
    </row>
    <row r="1009" spans="7:7" ht="12.75" x14ac:dyDescent="0.2">
      <c r="G1009" s="123"/>
    </row>
    <row r="1010" spans="7:7" ht="12.75" x14ac:dyDescent="0.2">
      <c r="G1010" s="123"/>
    </row>
    <row r="1011" spans="7:7" ht="12.75" x14ac:dyDescent="0.2">
      <c r="G1011" s="123"/>
    </row>
    <row r="1012" spans="7:7" ht="12.75" x14ac:dyDescent="0.2">
      <c r="G1012" s="123"/>
    </row>
    <row r="1013" spans="7:7" ht="12.75" x14ac:dyDescent="0.2">
      <c r="G1013" s="123"/>
    </row>
    <row r="1014" spans="7:7" ht="12.75" x14ac:dyDescent="0.2">
      <c r="G1014" s="123"/>
    </row>
    <row r="1015" spans="7:7" ht="12.75" x14ac:dyDescent="0.2">
      <c r="G1015" s="123"/>
    </row>
    <row r="1016" spans="7:7" ht="12.75" x14ac:dyDescent="0.2">
      <c r="G1016" s="123"/>
    </row>
    <row r="1017" spans="7:7" ht="12.75" x14ac:dyDescent="0.2">
      <c r="G1017" s="123"/>
    </row>
    <row r="1018" spans="7:7" ht="12.75" x14ac:dyDescent="0.2">
      <c r="G1018" s="123"/>
    </row>
    <row r="1019" spans="7:7" ht="12.75" x14ac:dyDescent="0.2">
      <c r="G1019" s="123"/>
    </row>
    <row r="1020" spans="7:7" ht="12.75" x14ac:dyDescent="0.2">
      <c r="G1020" s="123"/>
    </row>
    <row r="1021" spans="7:7" ht="12.75" x14ac:dyDescent="0.2">
      <c r="G1021" s="123"/>
    </row>
    <row r="1022" spans="7:7" ht="12.75" x14ac:dyDescent="0.2">
      <c r="G1022" s="123"/>
    </row>
    <row r="1023" spans="7:7" ht="12.75" x14ac:dyDescent="0.2">
      <c r="G1023" s="123"/>
    </row>
    <row r="1024" spans="7:7" ht="12.75" x14ac:dyDescent="0.2">
      <c r="G1024" s="123"/>
    </row>
    <row r="1025" spans="7:7" ht="12.75" x14ac:dyDescent="0.2">
      <c r="G1025" s="123"/>
    </row>
    <row r="1026" spans="7:7" ht="12.75" x14ac:dyDescent="0.2">
      <c r="G1026" s="123"/>
    </row>
    <row r="1027" spans="7:7" ht="12.75" x14ac:dyDescent="0.2">
      <c r="G1027" s="123"/>
    </row>
    <row r="1028" spans="7:7" ht="12.75" x14ac:dyDescent="0.2">
      <c r="G1028" s="123"/>
    </row>
    <row r="1029" spans="7:7" ht="12.75" x14ac:dyDescent="0.2">
      <c r="G1029" s="123"/>
    </row>
    <row r="1030" spans="7:7" ht="12.75" x14ac:dyDescent="0.2">
      <c r="G1030" s="123"/>
    </row>
    <row r="1031" spans="7:7" ht="12.75" x14ac:dyDescent="0.2">
      <c r="G1031" s="123"/>
    </row>
    <row r="1032" spans="7:7" ht="12.75" x14ac:dyDescent="0.2">
      <c r="G1032" s="123"/>
    </row>
    <row r="1033" spans="7:7" ht="12.75" x14ac:dyDescent="0.2">
      <c r="G1033" s="123"/>
    </row>
    <row r="1034" spans="7:7" ht="12.75" x14ac:dyDescent="0.2">
      <c r="G1034" s="123"/>
    </row>
    <row r="1035" spans="7:7" ht="12.75" x14ac:dyDescent="0.2">
      <c r="G1035" s="123"/>
    </row>
    <row r="1036" spans="7:7" ht="12.75" x14ac:dyDescent="0.2">
      <c r="G1036" s="123"/>
    </row>
    <row r="1037" spans="7:7" ht="12.75" x14ac:dyDescent="0.2">
      <c r="G1037" s="123"/>
    </row>
    <row r="1038" spans="7:7" ht="12.75" x14ac:dyDescent="0.2">
      <c r="G1038" s="123"/>
    </row>
    <row r="1039" spans="7:7" ht="12.75" x14ac:dyDescent="0.2">
      <c r="G1039" s="123"/>
    </row>
    <row r="1040" spans="7:7" ht="12.75" x14ac:dyDescent="0.2">
      <c r="G1040" s="123"/>
    </row>
    <row r="1041" spans="7:7" ht="12.75" x14ac:dyDescent="0.2">
      <c r="G1041" s="123"/>
    </row>
    <row r="1042" spans="7:7" ht="12.75" x14ac:dyDescent="0.2">
      <c r="G1042" s="123"/>
    </row>
    <row r="1043" spans="7:7" ht="12.75" x14ac:dyDescent="0.2">
      <c r="G1043" s="123"/>
    </row>
    <row r="1044" spans="7:7" ht="12.75" x14ac:dyDescent="0.2">
      <c r="G1044" s="123"/>
    </row>
    <row r="1045" spans="7:7" ht="12.75" x14ac:dyDescent="0.2">
      <c r="G1045" s="123"/>
    </row>
    <row r="1046" spans="7:7" ht="12.75" x14ac:dyDescent="0.2">
      <c r="G1046" s="123"/>
    </row>
    <row r="1047" spans="7:7" ht="12.75" x14ac:dyDescent="0.2">
      <c r="G1047" s="123"/>
    </row>
    <row r="1048" spans="7:7" ht="12.75" x14ac:dyDescent="0.2">
      <c r="G1048" s="123"/>
    </row>
    <row r="1049" spans="7:7" ht="12.75" x14ac:dyDescent="0.2">
      <c r="G1049" s="123"/>
    </row>
    <row r="1050" spans="7:7" ht="12.75" x14ac:dyDescent="0.2">
      <c r="G1050" s="123"/>
    </row>
    <row r="1051" spans="7:7" ht="12.75" x14ac:dyDescent="0.2">
      <c r="G1051" s="123"/>
    </row>
    <row r="1052" spans="7:7" ht="12.75" x14ac:dyDescent="0.2">
      <c r="G1052" s="123"/>
    </row>
    <row r="1053" spans="7:7" ht="12.75" x14ac:dyDescent="0.2">
      <c r="G1053" s="123"/>
    </row>
    <row r="1054" spans="7:7" ht="12.75" x14ac:dyDescent="0.2">
      <c r="G1054" s="123"/>
    </row>
    <row r="1055" spans="7:7" ht="12.75" x14ac:dyDescent="0.2">
      <c r="G1055" s="123"/>
    </row>
    <row r="1056" spans="7:7" ht="12.75" x14ac:dyDescent="0.2">
      <c r="G1056" s="123"/>
    </row>
    <row r="1057" spans="7:7" ht="12.75" x14ac:dyDescent="0.2">
      <c r="G1057" s="123"/>
    </row>
    <row r="1058" spans="7:7" ht="12.75" x14ac:dyDescent="0.2">
      <c r="G1058" s="123"/>
    </row>
    <row r="1059" spans="7:7" ht="12.75" x14ac:dyDescent="0.2">
      <c r="G1059" s="123"/>
    </row>
    <row r="1060" spans="7:7" ht="12.75" x14ac:dyDescent="0.2">
      <c r="G1060" s="123"/>
    </row>
    <row r="1061" spans="7:7" ht="12.75" x14ac:dyDescent="0.2">
      <c r="G1061" s="123"/>
    </row>
    <row r="1062" spans="7:7" ht="12.75" x14ac:dyDescent="0.2">
      <c r="G1062" s="123"/>
    </row>
    <row r="1063" spans="7:7" ht="12.75" x14ac:dyDescent="0.2">
      <c r="G1063" s="123"/>
    </row>
    <row r="1064" spans="7:7" ht="12.75" x14ac:dyDescent="0.2">
      <c r="G1064" s="123"/>
    </row>
    <row r="1065" spans="7:7" ht="12.75" x14ac:dyDescent="0.2">
      <c r="G1065" s="123"/>
    </row>
    <row r="1066" spans="7:7" ht="12.75" x14ac:dyDescent="0.2">
      <c r="G1066" s="123"/>
    </row>
    <row r="1067" spans="7:7" ht="12.75" x14ac:dyDescent="0.2">
      <c r="G1067" s="123"/>
    </row>
    <row r="1068" spans="7:7" ht="12.75" x14ac:dyDescent="0.2">
      <c r="G1068" s="123"/>
    </row>
    <row r="1069" spans="7:7" ht="12.75" x14ac:dyDescent="0.2">
      <c r="G1069" s="123"/>
    </row>
    <row r="1070" spans="7:7" ht="12.75" x14ac:dyDescent="0.2">
      <c r="G1070" s="123"/>
    </row>
    <row r="1071" spans="7:7" ht="12.75" x14ac:dyDescent="0.2">
      <c r="G1071" s="123"/>
    </row>
    <row r="1072" spans="7:7" ht="12.75" x14ac:dyDescent="0.2">
      <c r="G1072" s="123"/>
    </row>
    <row r="1073" spans="7:7" ht="12.75" x14ac:dyDescent="0.2">
      <c r="G1073" s="123"/>
    </row>
    <row r="1074" spans="7:7" ht="12.75" x14ac:dyDescent="0.2">
      <c r="G1074" s="123"/>
    </row>
    <row r="1075" spans="7:7" ht="12.75" x14ac:dyDescent="0.2">
      <c r="G1075" s="123"/>
    </row>
    <row r="1076" spans="7:7" ht="12.75" x14ac:dyDescent="0.2">
      <c r="G1076" s="123"/>
    </row>
    <row r="1077" spans="7:7" ht="12.75" x14ac:dyDescent="0.2">
      <c r="G1077" s="123"/>
    </row>
    <row r="1078" spans="7:7" ht="12.75" x14ac:dyDescent="0.2">
      <c r="G1078" s="123"/>
    </row>
    <row r="1079" spans="7:7" ht="12.75" x14ac:dyDescent="0.2">
      <c r="G1079" s="123"/>
    </row>
    <row r="1080" spans="7:7" ht="12.75" x14ac:dyDescent="0.2">
      <c r="G1080" s="123"/>
    </row>
    <row r="1081" spans="7:7" ht="12.75" x14ac:dyDescent="0.2">
      <c r="G1081" s="123"/>
    </row>
    <row r="1082" spans="7:7" ht="12.75" x14ac:dyDescent="0.2">
      <c r="G1082" s="123"/>
    </row>
    <row r="1083" spans="7:7" ht="12.75" x14ac:dyDescent="0.2">
      <c r="G1083" s="123"/>
    </row>
    <row r="1084" spans="7:7" ht="12.75" x14ac:dyDescent="0.2">
      <c r="G1084" s="123"/>
    </row>
    <row r="1085" spans="7:7" ht="12.75" x14ac:dyDescent="0.2">
      <c r="G1085" s="123"/>
    </row>
    <row r="1086" spans="7:7" ht="12.75" x14ac:dyDescent="0.2">
      <c r="G1086" s="123"/>
    </row>
    <row r="1087" spans="7:7" ht="12.75" x14ac:dyDescent="0.2">
      <c r="G1087" s="123"/>
    </row>
    <row r="1088" spans="7:7" ht="12.75" x14ac:dyDescent="0.2">
      <c r="G1088" s="123"/>
    </row>
    <row r="1089" spans="7:7" ht="12.75" x14ac:dyDescent="0.2">
      <c r="G1089" s="123"/>
    </row>
    <row r="1090" spans="7:7" ht="12.75" x14ac:dyDescent="0.2">
      <c r="G1090" s="123"/>
    </row>
    <row r="1091" spans="7:7" ht="12.75" x14ac:dyDescent="0.2">
      <c r="G1091" s="123"/>
    </row>
    <row r="1092" spans="7:7" ht="12.75" x14ac:dyDescent="0.2">
      <c r="G1092" s="123"/>
    </row>
    <row r="1093" spans="7:7" ht="12.75" x14ac:dyDescent="0.2">
      <c r="G1093" s="123"/>
    </row>
    <row r="1094" spans="7:7" ht="12.75" x14ac:dyDescent="0.2">
      <c r="G1094" s="123"/>
    </row>
    <row r="1095" spans="7:7" ht="12.75" x14ac:dyDescent="0.2">
      <c r="G1095" s="123"/>
    </row>
    <row r="1096" spans="7:7" ht="12.75" x14ac:dyDescent="0.2">
      <c r="G1096" s="123"/>
    </row>
    <row r="1097" spans="7:7" ht="12.75" x14ac:dyDescent="0.2">
      <c r="G1097" s="123"/>
    </row>
    <row r="1098" spans="7:7" ht="12.75" x14ac:dyDescent="0.2">
      <c r="G1098" s="123"/>
    </row>
    <row r="1099" spans="7:7" ht="12.75" x14ac:dyDescent="0.2">
      <c r="G1099" s="123"/>
    </row>
    <row r="1100" spans="7:7" ht="12.75" x14ac:dyDescent="0.2">
      <c r="G1100" s="123"/>
    </row>
    <row r="1101" spans="7:7" ht="12.75" x14ac:dyDescent="0.2">
      <c r="G1101" s="123"/>
    </row>
    <row r="1102" spans="7:7" ht="12.75" x14ac:dyDescent="0.2">
      <c r="G1102" s="123"/>
    </row>
    <row r="1103" spans="7:7" ht="12.75" x14ac:dyDescent="0.2">
      <c r="G1103" s="123"/>
    </row>
    <row r="1104" spans="7:7" ht="12.75" x14ac:dyDescent="0.2">
      <c r="G1104" s="123"/>
    </row>
    <row r="1105" spans="7:7" ht="12.75" x14ac:dyDescent="0.2">
      <c r="G1105" s="123"/>
    </row>
    <row r="1106" spans="7:7" ht="12.75" x14ac:dyDescent="0.2">
      <c r="G1106" s="123"/>
    </row>
    <row r="1107" spans="7:7" ht="12.75" x14ac:dyDescent="0.2">
      <c r="G1107" s="123"/>
    </row>
    <row r="1108" spans="7:7" ht="12.75" x14ac:dyDescent="0.2">
      <c r="G1108" s="123"/>
    </row>
    <row r="1109" spans="7:7" ht="12.75" x14ac:dyDescent="0.2">
      <c r="G1109" s="123"/>
    </row>
    <row r="1110" spans="7:7" ht="12.75" x14ac:dyDescent="0.2">
      <c r="G1110" s="123"/>
    </row>
    <row r="1111" spans="7:7" ht="12.75" x14ac:dyDescent="0.2">
      <c r="G1111" s="123"/>
    </row>
    <row r="1112" spans="7:7" ht="12.75" x14ac:dyDescent="0.2">
      <c r="G1112" s="123"/>
    </row>
    <row r="1113" spans="7:7" ht="12.75" x14ac:dyDescent="0.2">
      <c r="G1113" s="123"/>
    </row>
    <row r="1114" spans="7:7" ht="12.75" x14ac:dyDescent="0.2">
      <c r="G1114" s="123"/>
    </row>
    <row r="1115" spans="7:7" ht="12.75" x14ac:dyDescent="0.2">
      <c r="G1115" s="123"/>
    </row>
    <row r="1116" spans="7:7" ht="12.75" x14ac:dyDescent="0.2">
      <c r="G1116" s="123"/>
    </row>
    <row r="1117" spans="7:7" ht="12.75" x14ac:dyDescent="0.2">
      <c r="G1117" s="123"/>
    </row>
    <row r="1118" spans="7:7" ht="12.75" x14ac:dyDescent="0.2">
      <c r="G1118" s="123"/>
    </row>
    <row r="1119" spans="7:7" ht="12.75" x14ac:dyDescent="0.2">
      <c r="G1119" s="123"/>
    </row>
    <row r="1120" spans="7:7" ht="12.75" x14ac:dyDescent="0.2">
      <c r="G1120" s="123"/>
    </row>
    <row r="1121" spans="7:7" ht="12.75" x14ac:dyDescent="0.2">
      <c r="G1121" s="123"/>
    </row>
    <row r="1122" spans="7:7" ht="12.75" x14ac:dyDescent="0.2">
      <c r="G1122" s="123"/>
    </row>
    <row r="1123" spans="7:7" ht="12.75" x14ac:dyDescent="0.2">
      <c r="G1123" s="123"/>
    </row>
    <row r="1124" spans="7:7" ht="12.75" x14ac:dyDescent="0.2">
      <c r="G1124" s="123"/>
    </row>
    <row r="1125" spans="7:7" ht="12.75" x14ac:dyDescent="0.2">
      <c r="G1125" s="123"/>
    </row>
    <row r="1126" spans="7:7" ht="12.75" x14ac:dyDescent="0.2">
      <c r="G1126" s="123"/>
    </row>
    <row r="1127" spans="7:7" ht="12.75" x14ac:dyDescent="0.2">
      <c r="G1127" s="123"/>
    </row>
    <row r="1128" spans="7:7" ht="12.75" x14ac:dyDescent="0.2">
      <c r="G1128" s="123"/>
    </row>
    <row r="1129" spans="7:7" ht="12.75" x14ac:dyDescent="0.2">
      <c r="G1129" s="123"/>
    </row>
    <row r="1130" spans="7:7" ht="12.75" x14ac:dyDescent="0.2">
      <c r="G1130" s="123"/>
    </row>
    <row r="1131" spans="7:7" ht="12.75" x14ac:dyDescent="0.2">
      <c r="G1131" s="123"/>
    </row>
    <row r="1132" spans="7:7" ht="12.75" x14ac:dyDescent="0.2">
      <c r="G1132" s="123"/>
    </row>
    <row r="1133" spans="7:7" ht="12.75" x14ac:dyDescent="0.2">
      <c r="G1133" s="123"/>
    </row>
    <row r="1134" spans="7:7" ht="12.75" x14ac:dyDescent="0.2">
      <c r="G1134" s="123"/>
    </row>
    <row r="1135" spans="7:7" ht="12.75" x14ac:dyDescent="0.2">
      <c r="G1135" s="123"/>
    </row>
    <row r="1136" spans="7:7" ht="12.75" x14ac:dyDescent="0.2">
      <c r="G1136" s="123"/>
    </row>
    <row r="1137" spans="7:7" ht="12.75" x14ac:dyDescent="0.2">
      <c r="G1137" s="123"/>
    </row>
    <row r="1138" spans="7:7" ht="12.75" x14ac:dyDescent="0.2">
      <c r="G1138" s="123"/>
    </row>
    <row r="1139" spans="7:7" ht="12.75" x14ac:dyDescent="0.2">
      <c r="G1139" s="123"/>
    </row>
    <row r="1140" spans="7:7" ht="12.75" x14ac:dyDescent="0.2">
      <c r="G1140" s="123"/>
    </row>
    <row r="1141" spans="7:7" ht="12.75" x14ac:dyDescent="0.2">
      <c r="G1141" s="123"/>
    </row>
    <row r="1142" spans="7:7" ht="12.75" x14ac:dyDescent="0.2">
      <c r="G1142" s="123"/>
    </row>
    <row r="1143" spans="7:7" ht="12.75" x14ac:dyDescent="0.2">
      <c r="G1143" s="123"/>
    </row>
    <row r="1144" spans="7:7" ht="12.75" x14ac:dyDescent="0.2">
      <c r="G1144" s="123"/>
    </row>
    <row r="1145" spans="7:7" ht="12.75" x14ac:dyDescent="0.2">
      <c r="G1145" s="123"/>
    </row>
    <row r="1146" spans="7:7" ht="12.75" x14ac:dyDescent="0.2">
      <c r="G1146" s="123"/>
    </row>
    <row r="1147" spans="7:7" ht="12.75" x14ac:dyDescent="0.2">
      <c r="G1147" s="123"/>
    </row>
    <row r="1148" spans="7:7" ht="12.75" x14ac:dyDescent="0.2">
      <c r="G1148" s="123"/>
    </row>
    <row r="1149" spans="7:7" ht="12.75" x14ac:dyDescent="0.2">
      <c r="G1149" s="123"/>
    </row>
    <row r="1150" spans="7:7" ht="12.75" x14ac:dyDescent="0.2">
      <c r="G1150" s="123"/>
    </row>
    <row r="1151" spans="7:7" ht="12.75" x14ac:dyDescent="0.2">
      <c r="G1151" s="123"/>
    </row>
    <row r="1152" spans="7:7" ht="12.75" x14ac:dyDescent="0.2">
      <c r="G1152" s="123"/>
    </row>
    <row r="1153" spans="7:7" ht="12.75" x14ac:dyDescent="0.2">
      <c r="G1153" s="123"/>
    </row>
    <row r="1154" spans="7:7" ht="12.75" x14ac:dyDescent="0.2">
      <c r="G1154" s="123"/>
    </row>
    <row r="1155" spans="7:7" ht="12.75" x14ac:dyDescent="0.2">
      <c r="G1155" s="123"/>
    </row>
    <row r="1156" spans="7:7" ht="12.75" x14ac:dyDescent="0.2">
      <c r="G1156" s="123"/>
    </row>
    <row r="1157" spans="7:7" ht="12.75" x14ac:dyDescent="0.2">
      <c r="G1157" s="123"/>
    </row>
    <row r="1158" spans="7:7" ht="12.75" x14ac:dyDescent="0.2">
      <c r="G1158" s="123"/>
    </row>
    <row r="1159" spans="7:7" ht="12.75" x14ac:dyDescent="0.2">
      <c r="G1159" s="123"/>
    </row>
    <row r="1160" spans="7:7" ht="12.75" x14ac:dyDescent="0.2">
      <c r="G1160" s="123"/>
    </row>
    <row r="1161" spans="7:7" ht="12.75" x14ac:dyDescent="0.2">
      <c r="G1161" s="123"/>
    </row>
    <row r="1162" spans="7:7" ht="12.75" x14ac:dyDescent="0.2">
      <c r="G1162" s="123"/>
    </row>
    <row r="1163" spans="7:7" ht="12.75" x14ac:dyDescent="0.2">
      <c r="G1163" s="123"/>
    </row>
    <row r="1164" spans="7:7" ht="12.75" x14ac:dyDescent="0.2">
      <c r="G1164" s="123"/>
    </row>
    <row r="1165" spans="7:7" ht="12.75" x14ac:dyDescent="0.2">
      <c r="G1165" s="123"/>
    </row>
    <row r="1166" spans="7:7" ht="12.75" x14ac:dyDescent="0.2">
      <c r="G1166" s="123"/>
    </row>
    <row r="1167" spans="7:7" ht="12.75" x14ac:dyDescent="0.2">
      <c r="G1167" s="123"/>
    </row>
    <row r="1168" spans="7:7" ht="12.75" x14ac:dyDescent="0.2">
      <c r="G1168" s="123"/>
    </row>
    <row r="1169" spans="7:7" ht="12.75" x14ac:dyDescent="0.2">
      <c r="G1169" s="123"/>
    </row>
    <row r="1170" spans="7:7" ht="12.75" x14ac:dyDescent="0.2">
      <c r="G1170" s="123"/>
    </row>
    <row r="1171" spans="7:7" ht="12.75" x14ac:dyDescent="0.2">
      <c r="G1171" s="123"/>
    </row>
    <row r="1172" spans="7:7" ht="12.75" x14ac:dyDescent="0.2">
      <c r="G1172" s="123"/>
    </row>
    <row r="1173" spans="7:7" ht="12.75" x14ac:dyDescent="0.2">
      <c r="G1173" s="123"/>
    </row>
    <row r="1174" spans="7:7" ht="12.75" x14ac:dyDescent="0.2">
      <c r="G1174" s="123"/>
    </row>
    <row r="1175" spans="7:7" ht="12.75" x14ac:dyDescent="0.2">
      <c r="G1175" s="123"/>
    </row>
    <row r="1176" spans="7:7" ht="12.75" x14ac:dyDescent="0.2">
      <c r="G1176" s="123"/>
    </row>
    <row r="1177" spans="7:7" ht="12.75" x14ac:dyDescent="0.2">
      <c r="G1177" s="123"/>
    </row>
    <row r="1178" spans="7:7" ht="12.75" x14ac:dyDescent="0.2">
      <c r="G1178" s="123"/>
    </row>
    <row r="1179" spans="7:7" ht="12.75" x14ac:dyDescent="0.2">
      <c r="G1179" s="123"/>
    </row>
    <row r="1180" spans="7:7" ht="12.75" x14ac:dyDescent="0.2">
      <c r="G1180" s="123"/>
    </row>
    <row r="1181" spans="7:7" ht="12.75" x14ac:dyDescent="0.2">
      <c r="G1181" s="123"/>
    </row>
    <row r="1182" spans="7:7" ht="12.75" x14ac:dyDescent="0.2">
      <c r="G1182" s="123"/>
    </row>
    <row r="1183" spans="7:7" ht="12.75" x14ac:dyDescent="0.2">
      <c r="G1183" s="123"/>
    </row>
    <row r="1184" spans="7:7" ht="12.75" x14ac:dyDescent="0.2">
      <c r="G1184" s="123"/>
    </row>
    <row r="1185" spans="7:7" ht="12.75" x14ac:dyDescent="0.2">
      <c r="G1185" s="123"/>
    </row>
    <row r="1186" spans="7:7" ht="12.75" x14ac:dyDescent="0.2">
      <c r="G1186" s="123"/>
    </row>
    <row r="1187" spans="7:7" ht="12.75" x14ac:dyDescent="0.2">
      <c r="G1187" s="123"/>
    </row>
    <row r="1188" spans="7:7" ht="12.75" x14ac:dyDescent="0.2">
      <c r="G1188" s="123"/>
    </row>
    <row r="1189" spans="7:7" ht="12.75" x14ac:dyDescent="0.2">
      <c r="G1189" s="123"/>
    </row>
    <row r="1190" spans="7:7" ht="12.75" x14ac:dyDescent="0.2">
      <c r="G1190" s="123"/>
    </row>
    <row r="1191" spans="7:7" ht="12.75" x14ac:dyDescent="0.2">
      <c r="G1191" s="123"/>
    </row>
    <row r="1192" spans="7:7" ht="12.75" x14ac:dyDescent="0.2">
      <c r="G1192" s="123"/>
    </row>
    <row r="1193" spans="7:7" ht="12.75" x14ac:dyDescent="0.2">
      <c r="G1193" s="123"/>
    </row>
    <row r="1194" spans="7:7" ht="12.75" x14ac:dyDescent="0.2">
      <c r="G1194" s="123"/>
    </row>
    <row r="1195" spans="7:7" ht="12.75" x14ac:dyDescent="0.2">
      <c r="G1195" s="123"/>
    </row>
    <row r="1196" spans="7:7" ht="12.75" x14ac:dyDescent="0.2">
      <c r="G1196" s="123"/>
    </row>
    <row r="1197" spans="7:7" ht="12.75" x14ac:dyDescent="0.2">
      <c r="G1197" s="123"/>
    </row>
    <row r="1198" spans="7:7" ht="12.75" x14ac:dyDescent="0.2">
      <c r="G1198" s="123"/>
    </row>
    <row r="1199" spans="7:7" ht="12.75" x14ac:dyDescent="0.2">
      <c r="G1199" s="123"/>
    </row>
    <row r="1200" spans="7:7" ht="12.75" x14ac:dyDescent="0.2">
      <c r="G1200" s="123"/>
    </row>
    <row r="1201" spans="7:7" ht="12.75" x14ac:dyDescent="0.2">
      <c r="G1201" s="123"/>
    </row>
    <row r="1202" spans="7:7" ht="12.75" x14ac:dyDescent="0.2">
      <c r="G1202" s="123"/>
    </row>
    <row r="1203" spans="7:7" ht="12.75" x14ac:dyDescent="0.2">
      <c r="G1203" s="123"/>
    </row>
    <row r="1204" spans="7:7" ht="12.75" x14ac:dyDescent="0.2">
      <c r="G1204" s="123"/>
    </row>
    <row r="1205" spans="7:7" ht="12.75" x14ac:dyDescent="0.2">
      <c r="G1205" s="123"/>
    </row>
    <row r="1206" spans="7:7" ht="12.75" x14ac:dyDescent="0.2">
      <c r="G1206" s="123"/>
    </row>
    <row r="1207" spans="7:7" ht="12.75" x14ac:dyDescent="0.2">
      <c r="G1207" s="123"/>
    </row>
    <row r="1208" spans="7:7" ht="12.75" x14ac:dyDescent="0.2">
      <c r="G1208" s="123"/>
    </row>
    <row r="1209" spans="7:7" ht="12.75" x14ac:dyDescent="0.2">
      <c r="G1209" s="123"/>
    </row>
    <row r="1210" spans="7:7" ht="12.75" x14ac:dyDescent="0.2">
      <c r="G1210" s="123"/>
    </row>
    <row r="1211" spans="7:7" ht="12.75" x14ac:dyDescent="0.2">
      <c r="G1211" s="123"/>
    </row>
    <row r="1212" spans="7:7" ht="12.75" x14ac:dyDescent="0.2">
      <c r="G1212" s="123"/>
    </row>
    <row r="1213" spans="7:7" ht="12.75" x14ac:dyDescent="0.2">
      <c r="G1213" s="123"/>
    </row>
    <row r="1214" spans="7:7" ht="12.75" x14ac:dyDescent="0.2">
      <c r="G1214" s="123"/>
    </row>
    <row r="1215" spans="7:7" ht="12.75" x14ac:dyDescent="0.2">
      <c r="G1215" s="123"/>
    </row>
    <row r="1216" spans="7:7" ht="12.75" x14ac:dyDescent="0.2">
      <c r="G1216" s="123"/>
    </row>
    <row r="1217" spans="7:7" ht="12.75" x14ac:dyDescent="0.2">
      <c r="G1217" s="123"/>
    </row>
    <row r="1218" spans="7:7" ht="12.75" x14ac:dyDescent="0.2">
      <c r="G1218" s="123"/>
    </row>
    <row r="1219" spans="7:7" ht="12.75" x14ac:dyDescent="0.2">
      <c r="G1219" s="123"/>
    </row>
    <row r="1220" spans="7:7" ht="12.75" x14ac:dyDescent="0.2">
      <c r="G1220" s="123"/>
    </row>
    <row r="1221" spans="7:7" ht="12.75" x14ac:dyDescent="0.2">
      <c r="G1221" s="123"/>
    </row>
    <row r="1222" spans="7:7" ht="12.75" x14ac:dyDescent="0.2">
      <c r="G1222" s="123"/>
    </row>
    <row r="1223" spans="7:7" ht="12.75" x14ac:dyDescent="0.2">
      <c r="G1223" s="123"/>
    </row>
    <row r="1224" spans="7:7" ht="12.75" x14ac:dyDescent="0.2">
      <c r="G1224" s="123"/>
    </row>
    <row r="1225" spans="7:7" ht="12.75" x14ac:dyDescent="0.2">
      <c r="G1225" s="123"/>
    </row>
    <row r="1226" spans="7:7" ht="12.75" x14ac:dyDescent="0.2">
      <c r="G1226" s="123"/>
    </row>
    <row r="1227" spans="7:7" ht="12.75" x14ac:dyDescent="0.2">
      <c r="G1227" s="123"/>
    </row>
    <row r="1228" spans="7:7" ht="12.75" x14ac:dyDescent="0.2">
      <c r="G1228" s="123"/>
    </row>
    <row r="1229" spans="7:7" ht="12.75" x14ac:dyDescent="0.2">
      <c r="G1229" s="123"/>
    </row>
    <row r="1230" spans="7:7" ht="12.75" x14ac:dyDescent="0.2">
      <c r="G1230" s="123"/>
    </row>
    <row r="1231" spans="7:7" ht="12.75" x14ac:dyDescent="0.2">
      <c r="G1231" s="123"/>
    </row>
    <row r="1232" spans="7:7" ht="12.75" x14ac:dyDescent="0.2">
      <c r="G1232" s="123"/>
    </row>
    <row r="1233" spans="7:7" ht="12.75" x14ac:dyDescent="0.2">
      <c r="G1233" s="123"/>
    </row>
    <row r="1234" spans="7:7" ht="12.75" x14ac:dyDescent="0.2">
      <c r="G1234" s="123"/>
    </row>
    <row r="1235" spans="7:7" ht="12.75" x14ac:dyDescent="0.2">
      <c r="G1235" s="123"/>
    </row>
    <row r="1236" spans="7:7" ht="12.75" x14ac:dyDescent="0.2">
      <c r="G1236" s="123"/>
    </row>
    <row r="1237" spans="7:7" ht="12.75" x14ac:dyDescent="0.2">
      <c r="G1237" s="123"/>
    </row>
    <row r="1238" spans="7:7" ht="12.75" x14ac:dyDescent="0.2">
      <c r="G1238" s="123"/>
    </row>
    <row r="1239" spans="7:7" ht="12.75" x14ac:dyDescent="0.2">
      <c r="G1239" s="123"/>
    </row>
    <row r="1240" spans="7:7" ht="12.75" x14ac:dyDescent="0.2">
      <c r="G1240" s="123"/>
    </row>
    <row r="1241" spans="7:7" ht="12.75" x14ac:dyDescent="0.2">
      <c r="G1241" s="123"/>
    </row>
    <row r="1242" spans="7:7" ht="12.75" x14ac:dyDescent="0.2">
      <c r="G1242" s="123"/>
    </row>
    <row r="1243" spans="7:7" ht="12.75" x14ac:dyDescent="0.2">
      <c r="G1243" s="123"/>
    </row>
    <row r="1244" spans="7:7" ht="12.75" x14ac:dyDescent="0.2">
      <c r="G1244" s="123"/>
    </row>
    <row r="1245" spans="7:7" ht="12.75" x14ac:dyDescent="0.2">
      <c r="G1245" s="123"/>
    </row>
    <row r="1246" spans="7:7" ht="12.75" x14ac:dyDescent="0.2">
      <c r="G1246" s="123"/>
    </row>
    <row r="1247" spans="7:7" ht="12.75" x14ac:dyDescent="0.2">
      <c r="G1247" s="123"/>
    </row>
    <row r="1248" spans="7:7" ht="12.75" x14ac:dyDescent="0.2">
      <c r="G1248" s="123"/>
    </row>
    <row r="1249" spans="7:7" ht="12.75" x14ac:dyDescent="0.2">
      <c r="G1249" s="123"/>
    </row>
    <row r="1250" spans="7:7" ht="12.75" x14ac:dyDescent="0.2">
      <c r="G1250" s="123"/>
    </row>
    <row r="1251" spans="7:7" ht="12.75" x14ac:dyDescent="0.2">
      <c r="G1251" s="123"/>
    </row>
    <row r="1252" spans="7:7" ht="12.75" x14ac:dyDescent="0.2">
      <c r="G1252" s="123"/>
    </row>
    <row r="1253" spans="7:7" ht="12.75" x14ac:dyDescent="0.2">
      <c r="G1253" s="123"/>
    </row>
    <row r="1254" spans="7:7" ht="12.75" x14ac:dyDescent="0.2">
      <c r="G1254" s="123"/>
    </row>
    <row r="1255" spans="7:7" ht="12.75" x14ac:dyDescent="0.2">
      <c r="G1255" s="123"/>
    </row>
    <row r="1256" spans="7:7" ht="12.75" x14ac:dyDescent="0.2">
      <c r="G1256" s="123"/>
    </row>
    <row r="1257" spans="7:7" ht="12.75" x14ac:dyDescent="0.2">
      <c r="G1257" s="123"/>
    </row>
    <row r="1258" spans="7:7" ht="12.75" x14ac:dyDescent="0.2">
      <c r="G1258" s="123"/>
    </row>
    <row r="1259" spans="7:7" ht="12.75" x14ac:dyDescent="0.2">
      <c r="G1259" s="123"/>
    </row>
    <row r="1260" spans="7:7" ht="12.75" x14ac:dyDescent="0.2">
      <c r="G1260" s="123"/>
    </row>
    <row r="1261" spans="7:7" ht="12.75" x14ac:dyDescent="0.2">
      <c r="G1261" s="123"/>
    </row>
    <row r="1262" spans="7:7" ht="12.75" x14ac:dyDescent="0.2">
      <c r="G1262" s="123"/>
    </row>
    <row r="1263" spans="7:7" ht="12.75" x14ac:dyDescent="0.2">
      <c r="G1263" s="123"/>
    </row>
    <row r="1264" spans="7:7" ht="12.75" x14ac:dyDescent="0.2">
      <c r="G1264" s="123"/>
    </row>
    <row r="1265" spans="7:7" ht="12.75" x14ac:dyDescent="0.2">
      <c r="G1265" s="123"/>
    </row>
    <row r="1266" spans="7:7" ht="12.75" x14ac:dyDescent="0.2">
      <c r="G1266" s="123"/>
    </row>
    <row r="1267" spans="7:7" ht="12.75" x14ac:dyDescent="0.2">
      <c r="G1267" s="123"/>
    </row>
    <row r="1268" spans="7:7" ht="12.75" x14ac:dyDescent="0.2">
      <c r="G1268" s="123"/>
    </row>
    <row r="1269" spans="7:7" ht="12.75" x14ac:dyDescent="0.2">
      <c r="G1269" s="123"/>
    </row>
    <row r="1270" spans="7:7" ht="12.75" x14ac:dyDescent="0.2">
      <c r="G1270" s="123"/>
    </row>
    <row r="1271" spans="7:7" ht="12.75" x14ac:dyDescent="0.2">
      <c r="G1271" s="123"/>
    </row>
    <row r="1272" spans="7:7" ht="12.75" x14ac:dyDescent="0.2">
      <c r="G1272" s="123"/>
    </row>
    <row r="1273" spans="7:7" ht="12.75" x14ac:dyDescent="0.2">
      <c r="G1273" s="123"/>
    </row>
    <row r="1274" spans="7:7" ht="12.75" x14ac:dyDescent="0.2">
      <c r="G1274" s="123"/>
    </row>
    <row r="1275" spans="7:7" ht="12.75" x14ac:dyDescent="0.2">
      <c r="G1275" s="123"/>
    </row>
    <row r="1276" spans="7:7" ht="12.75" x14ac:dyDescent="0.2">
      <c r="G1276" s="123"/>
    </row>
    <row r="1277" spans="7:7" ht="12.75" x14ac:dyDescent="0.2">
      <c r="G1277" s="123"/>
    </row>
    <row r="1278" spans="7:7" ht="12.75" x14ac:dyDescent="0.2">
      <c r="G1278" s="123"/>
    </row>
    <row r="1279" spans="7:7" ht="12.75" x14ac:dyDescent="0.2">
      <c r="G1279" s="123"/>
    </row>
    <row r="1280" spans="7:7" ht="12.75" x14ac:dyDescent="0.2">
      <c r="G1280" s="123"/>
    </row>
    <row r="1281" spans="7:7" ht="12.75" x14ac:dyDescent="0.2">
      <c r="G1281" s="123"/>
    </row>
    <row r="1282" spans="7:7" ht="12.75" x14ac:dyDescent="0.2">
      <c r="G1282" s="123"/>
    </row>
    <row r="1283" spans="7:7" ht="12.75" x14ac:dyDescent="0.2">
      <c r="G1283" s="123"/>
    </row>
    <row r="1284" spans="7:7" ht="12.75" x14ac:dyDescent="0.2">
      <c r="G1284" s="123"/>
    </row>
    <row r="1285" spans="7:7" ht="12.75" x14ac:dyDescent="0.2">
      <c r="G1285" s="123"/>
    </row>
    <row r="1286" spans="7:7" ht="12.75" x14ac:dyDescent="0.2">
      <c r="G1286" s="123"/>
    </row>
    <row r="1287" spans="7:7" ht="12.75" x14ac:dyDescent="0.2">
      <c r="G1287" s="123"/>
    </row>
    <row r="1288" spans="7:7" ht="12.75" x14ac:dyDescent="0.2">
      <c r="G1288" s="123"/>
    </row>
    <row r="1289" spans="7:7" ht="12.75" x14ac:dyDescent="0.2">
      <c r="G1289" s="123"/>
    </row>
    <row r="1290" spans="7:7" ht="12.75" x14ac:dyDescent="0.2">
      <c r="G1290" s="123"/>
    </row>
    <row r="1291" spans="7:7" ht="12.75" x14ac:dyDescent="0.2">
      <c r="G1291" s="123"/>
    </row>
    <row r="1292" spans="7:7" ht="12.75" x14ac:dyDescent="0.2">
      <c r="G1292" s="123"/>
    </row>
    <row r="1293" spans="7:7" ht="12.75" x14ac:dyDescent="0.2">
      <c r="G1293" s="123"/>
    </row>
    <row r="1294" spans="7:7" ht="12.75" x14ac:dyDescent="0.2">
      <c r="G1294" s="123"/>
    </row>
    <row r="1295" spans="7:7" ht="12.75" x14ac:dyDescent="0.2">
      <c r="G1295" s="123"/>
    </row>
    <row r="1296" spans="7:7" ht="12.75" x14ac:dyDescent="0.2">
      <c r="G1296" s="123"/>
    </row>
    <row r="1297" spans="7:7" ht="12.75" x14ac:dyDescent="0.2">
      <c r="G1297" s="123"/>
    </row>
    <row r="1298" spans="7:7" ht="12.75" x14ac:dyDescent="0.2">
      <c r="G1298" s="123"/>
    </row>
    <row r="1299" spans="7:7" ht="12.75" x14ac:dyDescent="0.2">
      <c r="G1299" s="123"/>
    </row>
    <row r="1300" spans="7:7" ht="12.75" x14ac:dyDescent="0.2">
      <c r="G1300" s="123"/>
    </row>
    <row r="1301" spans="7:7" ht="12.75" x14ac:dyDescent="0.2">
      <c r="G1301" s="123"/>
    </row>
    <row r="1302" spans="7:7" ht="12.75" x14ac:dyDescent="0.2">
      <c r="G1302" s="123"/>
    </row>
    <row r="1303" spans="7:7" ht="12.75" x14ac:dyDescent="0.2">
      <c r="G1303" s="123"/>
    </row>
    <row r="1304" spans="7:7" ht="12.75" x14ac:dyDescent="0.2">
      <c r="G1304" s="123"/>
    </row>
    <row r="1305" spans="7:7" ht="12.75" x14ac:dyDescent="0.2">
      <c r="G1305" s="123"/>
    </row>
    <row r="1306" spans="7:7" ht="12.75" x14ac:dyDescent="0.2">
      <c r="G1306" s="123"/>
    </row>
    <row r="1307" spans="7:7" ht="12.75" x14ac:dyDescent="0.2">
      <c r="G1307" s="123"/>
    </row>
    <row r="1308" spans="7:7" ht="12.75" x14ac:dyDescent="0.2">
      <c r="G1308" s="123"/>
    </row>
    <row r="1309" spans="7:7" ht="12.75" x14ac:dyDescent="0.2">
      <c r="G1309" s="123"/>
    </row>
    <row r="1310" spans="7:7" ht="12.75" x14ac:dyDescent="0.2">
      <c r="G1310" s="123"/>
    </row>
    <row r="1311" spans="7:7" ht="12.75" x14ac:dyDescent="0.2">
      <c r="G1311" s="123"/>
    </row>
    <row r="1312" spans="7:7" ht="12.75" x14ac:dyDescent="0.2">
      <c r="G1312" s="123"/>
    </row>
    <row r="1313" spans="7:7" ht="12.75" x14ac:dyDescent="0.2">
      <c r="G1313" s="123"/>
    </row>
    <row r="1314" spans="7:7" ht="12.75" x14ac:dyDescent="0.2">
      <c r="G1314" s="123"/>
    </row>
    <row r="1315" spans="7:7" ht="12.75" x14ac:dyDescent="0.2">
      <c r="G1315" s="123"/>
    </row>
    <row r="1316" spans="7:7" ht="12.75" x14ac:dyDescent="0.2">
      <c r="G1316" s="123"/>
    </row>
    <row r="1317" spans="7:7" ht="12.75" x14ac:dyDescent="0.2">
      <c r="G1317" s="123"/>
    </row>
    <row r="1318" spans="7:7" ht="12.75" x14ac:dyDescent="0.2">
      <c r="G1318" s="123"/>
    </row>
    <row r="1319" spans="7:7" ht="12.75" x14ac:dyDescent="0.2">
      <c r="G1319" s="123"/>
    </row>
    <row r="1320" spans="7:7" ht="12.75" x14ac:dyDescent="0.2">
      <c r="G1320" s="123"/>
    </row>
    <row r="1321" spans="7:7" ht="12.75" x14ac:dyDescent="0.2">
      <c r="G1321" s="123"/>
    </row>
    <row r="1322" spans="7:7" ht="12.75" x14ac:dyDescent="0.2">
      <c r="G1322" s="123"/>
    </row>
    <row r="1323" spans="7:7" ht="12.75" x14ac:dyDescent="0.2">
      <c r="G1323" s="123"/>
    </row>
    <row r="1324" spans="7:7" ht="12.75" x14ac:dyDescent="0.2">
      <c r="G1324" s="123"/>
    </row>
    <row r="1325" spans="7:7" ht="12.75" x14ac:dyDescent="0.2">
      <c r="G1325" s="123"/>
    </row>
    <row r="1326" spans="7:7" ht="12.75" x14ac:dyDescent="0.2">
      <c r="G1326" s="123"/>
    </row>
    <row r="1327" spans="7:7" ht="12.75" x14ac:dyDescent="0.2">
      <c r="G1327" s="123"/>
    </row>
    <row r="1328" spans="7:7" ht="12.75" x14ac:dyDescent="0.2">
      <c r="G1328" s="123"/>
    </row>
    <row r="1329" spans="7:7" ht="12.75" x14ac:dyDescent="0.2">
      <c r="G1329" s="123"/>
    </row>
    <row r="1330" spans="7:7" ht="12.75" x14ac:dyDescent="0.2">
      <c r="G1330" s="123"/>
    </row>
    <row r="1331" spans="7:7" ht="12.75" x14ac:dyDescent="0.2">
      <c r="G1331" s="123"/>
    </row>
    <row r="1332" spans="7:7" ht="12.75" x14ac:dyDescent="0.2">
      <c r="G1332" s="123"/>
    </row>
    <row r="1333" spans="7:7" ht="12.75" x14ac:dyDescent="0.2">
      <c r="G1333" s="123"/>
    </row>
    <row r="1334" spans="7:7" ht="12.75" x14ac:dyDescent="0.2">
      <c r="G1334" s="123"/>
    </row>
    <row r="1335" spans="7:7" ht="12.75" x14ac:dyDescent="0.2">
      <c r="G1335" s="123"/>
    </row>
    <row r="1336" spans="7:7" ht="12.75" x14ac:dyDescent="0.2">
      <c r="G1336" s="123"/>
    </row>
    <row r="1337" spans="7:7" ht="12.75" x14ac:dyDescent="0.2">
      <c r="G1337" s="123"/>
    </row>
    <row r="1338" spans="7:7" ht="12.75" x14ac:dyDescent="0.2">
      <c r="G1338" s="123"/>
    </row>
    <row r="1339" spans="7:7" ht="12.75" x14ac:dyDescent="0.2">
      <c r="G1339" s="123"/>
    </row>
    <row r="1340" spans="7:7" ht="12.75" x14ac:dyDescent="0.2">
      <c r="G1340" s="123"/>
    </row>
    <row r="1341" spans="7:7" ht="12.75" x14ac:dyDescent="0.2">
      <c r="G1341" s="123"/>
    </row>
    <row r="1342" spans="7:7" ht="12.75" x14ac:dyDescent="0.2">
      <c r="G1342" s="123"/>
    </row>
    <row r="1343" spans="7:7" ht="12.75" x14ac:dyDescent="0.2">
      <c r="G1343" s="123"/>
    </row>
    <row r="1344" spans="7:7" ht="12.75" x14ac:dyDescent="0.2">
      <c r="G1344" s="123"/>
    </row>
    <row r="1345" spans="7:7" ht="12.75" x14ac:dyDescent="0.2">
      <c r="G1345" s="123"/>
    </row>
    <row r="1346" spans="7:7" ht="12.75" x14ac:dyDescent="0.2">
      <c r="G1346" s="123"/>
    </row>
    <row r="1347" spans="7:7" ht="12.75" x14ac:dyDescent="0.2">
      <c r="G1347" s="123"/>
    </row>
    <row r="1348" spans="7:7" ht="12.75" x14ac:dyDescent="0.2">
      <c r="G1348" s="123"/>
    </row>
    <row r="1349" spans="7:7" ht="12.75" x14ac:dyDescent="0.2">
      <c r="G1349" s="123"/>
    </row>
    <row r="1350" spans="7:7" ht="12.75" x14ac:dyDescent="0.2">
      <c r="G1350" s="123"/>
    </row>
    <row r="1351" spans="7:7" ht="12.75" x14ac:dyDescent="0.2">
      <c r="G1351" s="123"/>
    </row>
    <row r="1352" spans="7:7" ht="12.75" x14ac:dyDescent="0.2">
      <c r="G1352" s="123"/>
    </row>
    <row r="1353" spans="7:7" ht="12.75" x14ac:dyDescent="0.2">
      <c r="G1353" s="123"/>
    </row>
    <row r="1354" spans="7:7" ht="12.75" x14ac:dyDescent="0.2">
      <c r="G1354" s="123"/>
    </row>
    <row r="1355" spans="7:7" ht="12.75" x14ac:dyDescent="0.2">
      <c r="G1355" s="123"/>
    </row>
    <row r="1356" spans="7:7" ht="12.75" x14ac:dyDescent="0.2">
      <c r="G1356" s="123"/>
    </row>
    <row r="1357" spans="7:7" ht="12.75" x14ac:dyDescent="0.2">
      <c r="G1357" s="123"/>
    </row>
    <row r="1358" spans="7:7" ht="12.75" x14ac:dyDescent="0.2">
      <c r="G1358" s="123"/>
    </row>
    <row r="1359" spans="7:7" ht="12.75" x14ac:dyDescent="0.2">
      <c r="G1359" s="123"/>
    </row>
    <row r="1360" spans="7:7" ht="12.75" x14ac:dyDescent="0.2">
      <c r="G1360" s="123"/>
    </row>
    <row r="1361" spans="7:7" ht="12.75" x14ac:dyDescent="0.2">
      <c r="G1361" s="123"/>
    </row>
    <row r="1362" spans="7:7" ht="12.75" x14ac:dyDescent="0.2">
      <c r="G1362" s="123"/>
    </row>
    <row r="1363" spans="7:7" ht="12.75" x14ac:dyDescent="0.2">
      <c r="G1363" s="123"/>
    </row>
    <row r="1364" spans="7:7" ht="12.75" x14ac:dyDescent="0.2">
      <c r="G1364" s="123"/>
    </row>
    <row r="1365" spans="7:7" ht="12.75" x14ac:dyDescent="0.2">
      <c r="G1365" s="123"/>
    </row>
    <row r="1366" spans="7:7" ht="12.75" x14ac:dyDescent="0.2">
      <c r="G1366" s="123"/>
    </row>
    <row r="1367" spans="7:7" ht="12.75" x14ac:dyDescent="0.2">
      <c r="G1367" s="123"/>
    </row>
    <row r="1368" spans="7:7" ht="12.75" x14ac:dyDescent="0.2">
      <c r="G1368" s="123"/>
    </row>
    <row r="1369" spans="7:7" ht="12.75" x14ac:dyDescent="0.2">
      <c r="G1369" s="123"/>
    </row>
    <row r="1370" spans="7:7" ht="12.75" x14ac:dyDescent="0.2">
      <c r="G1370" s="123"/>
    </row>
    <row r="1371" spans="7:7" ht="12.75" x14ac:dyDescent="0.2">
      <c r="G1371" s="123"/>
    </row>
    <row r="1372" spans="7:7" ht="12.75" x14ac:dyDescent="0.2">
      <c r="G1372" s="123"/>
    </row>
    <row r="1373" spans="7:7" ht="12.75" x14ac:dyDescent="0.2">
      <c r="G1373" s="123"/>
    </row>
    <row r="1374" spans="7:7" ht="12.75" x14ac:dyDescent="0.2">
      <c r="G1374" s="123"/>
    </row>
    <row r="1375" spans="7:7" ht="12.75" x14ac:dyDescent="0.2">
      <c r="G1375" s="123"/>
    </row>
    <row r="1376" spans="7:7" ht="12.75" x14ac:dyDescent="0.2">
      <c r="G1376" s="123"/>
    </row>
    <row r="1377" spans="7:7" ht="12.75" x14ac:dyDescent="0.2">
      <c r="G1377" s="123"/>
    </row>
    <row r="1378" spans="7:7" ht="12.75" x14ac:dyDescent="0.2">
      <c r="G1378" s="123"/>
    </row>
    <row r="1379" spans="7:7" ht="12.75" x14ac:dyDescent="0.2">
      <c r="G1379" s="123"/>
    </row>
    <row r="1380" spans="7:7" ht="12.75" x14ac:dyDescent="0.2">
      <c r="G1380" s="123"/>
    </row>
    <row r="1381" spans="7:7" ht="12.75" x14ac:dyDescent="0.2">
      <c r="G1381" s="123"/>
    </row>
    <row r="1382" spans="7:7" ht="12.75" x14ac:dyDescent="0.2">
      <c r="G1382" s="123"/>
    </row>
    <row r="1383" spans="7:7" ht="12.75" x14ac:dyDescent="0.2">
      <c r="G1383" s="123"/>
    </row>
    <row r="1384" spans="7:7" ht="12.75" x14ac:dyDescent="0.2">
      <c r="G1384" s="123"/>
    </row>
    <row r="1385" spans="7:7" ht="12.75" x14ac:dyDescent="0.2">
      <c r="G1385" s="123"/>
    </row>
    <row r="1386" spans="7:7" ht="12.75" x14ac:dyDescent="0.2">
      <c r="G1386" s="123"/>
    </row>
    <row r="1387" spans="7:7" ht="12.75" x14ac:dyDescent="0.2">
      <c r="G1387" s="123"/>
    </row>
    <row r="1388" spans="7:7" ht="12.75" x14ac:dyDescent="0.2">
      <c r="G1388" s="123"/>
    </row>
    <row r="1389" spans="7:7" ht="12.75" x14ac:dyDescent="0.2">
      <c r="G1389" s="123"/>
    </row>
    <row r="1390" spans="7:7" ht="12.75" x14ac:dyDescent="0.2">
      <c r="G1390" s="123"/>
    </row>
    <row r="1391" spans="7:7" ht="12.75" x14ac:dyDescent="0.2">
      <c r="G1391" s="123"/>
    </row>
    <row r="1392" spans="7:7" ht="12.75" x14ac:dyDescent="0.2">
      <c r="G1392" s="123"/>
    </row>
    <row r="1393" spans="7:7" ht="12.75" x14ac:dyDescent="0.2">
      <c r="G1393" s="123"/>
    </row>
    <row r="1394" spans="7:7" ht="12.75" x14ac:dyDescent="0.2">
      <c r="G1394" s="123"/>
    </row>
    <row r="1395" spans="7:7" ht="12.75" x14ac:dyDescent="0.2">
      <c r="G1395" s="123"/>
    </row>
    <row r="1396" spans="7:7" ht="12.75" x14ac:dyDescent="0.2">
      <c r="G1396" s="123"/>
    </row>
    <row r="1397" spans="7:7" ht="12.75" x14ac:dyDescent="0.2">
      <c r="G1397" s="123"/>
    </row>
    <row r="1398" spans="7:7" ht="12.75" x14ac:dyDescent="0.2">
      <c r="G1398" s="123"/>
    </row>
    <row r="1399" spans="7:7" ht="12.75" x14ac:dyDescent="0.2">
      <c r="G1399" s="123"/>
    </row>
    <row r="1400" spans="7:7" ht="12.75" x14ac:dyDescent="0.2">
      <c r="G1400" s="123"/>
    </row>
    <row r="1401" spans="7:7" ht="12.75" x14ac:dyDescent="0.2">
      <c r="G1401" s="123"/>
    </row>
    <row r="1402" spans="7:7" ht="12.75" x14ac:dyDescent="0.2">
      <c r="G1402" s="123"/>
    </row>
    <row r="1403" spans="7:7" ht="12.75" x14ac:dyDescent="0.2">
      <c r="G1403" s="123"/>
    </row>
    <row r="1404" spans="7:7" ht="12.75" x14ac:dyDescent="0.2">
      <c r="G1404" s="123"/>
    </row>
    <row r="1405" spans="7:7" ht="12.75" x14ac:dyDescent="0.2">
      <c r="G1405" s="123"/>
    </row>
    <row r="1406" spans="7:7" ht="12.75" x14ac:dyDescent="0.2">
      <c r="G1406" s="123"/>
    </row>
    <row r="1407" spans="7:7" ht="12.75" x14ac:dyDescent="0.2">
      <c r="G1407" s="123"/>
    </row>
    <row r="1408" spans="7:7" ht="12.75" x14ac:dyDescent="0.2">
      <c r="G1408" s="123"/>
    </row>
    <row r="1409" spans="7:7" ht="12.75" x14ac:dyDescent="0.2">
      <c r="G1409" s="123"/>
    </row>
    <row r="1410" spans="7:7" ht="12.75" x14ac:dyDescent="0.2">
      <c r="G1410" s="123"/>
    </row>
    <row r="1411" spans="7:7" ht="12.75" x14ac:dyDescent="0.2">
      <c r="G1411" s="123"/>
    </row>
    <row r="1412" spans="7:7" ht="12.75" x14ac:dyDescent="0.2">
      <c r="G1412" s="123"/>
    </row>
    <row r="1413" spans="7:7" ht="12.75" x14ac:dyDescent="0.2">
      <c r="G1413" s="123"/>
    </row>
    <row r="1414" spans="7:7" ht="12.75" x14ac:dyDescent="0.2">
      <c r="G1414" s="123"/>
    </row>
    <row r="1415" spans="7:7" ht="12.75" x14ac:dyDescent="0.2">
      <c r="G1415" s="123"/>
    </row>
    <row r="1416" spans="7:7" ht="12.75" x14ac:dyDescent="0.2">
      <c r="G1416" s="123"/>
    </row>
    <row r="1417" spans="7:7" ht="12.75" x14ac:dyDescent="0.2">
      <c r="G1417" s="123"/>
    </row>
    <row r="1418" spans="7:7" ht="12.75" x14ac:dyDescent="0.2">
      <c r="G1418" s="123"/>
    </row>
    <row r="1419" spans="7:7" ht="12.75" x14ac:dyDescent="0.2">
      <c r="G1419" s="123"/>
    </row>
    <row r="1420" spans="7:7" ht="12.75" x14ac:dyDescent="0.2">
      <c r="G1420" s="123"/>
    </row>
    <row r="1421" spans="7:7" ht="12.75" x14ac:dyDescent="0.2">
      <c r="G1421" s="123"/>
    </row>
    <row r="1422" spans="7:7" ht="12.75" x14ac:dyDescent="0.2">
      <c r="G1422" s="123"/>
    </row>
    <row r="1423" spans="7:7" ht="12.75" x14ac:dyDescent="0.2">
      <c r="G1423" s="123"/>
    </row>
    <row r="1424" spans="7:7" ht="12.75" x14ac:dyDescent="0.2">
      <c r="G1424" s="123"/>
    </row>
    <row r="1425" spans="7:7" ht="12.75" x14ac:dyDescent="0.2">
      <c r="G1425" s="123"/>
    </row>
    <row r="1426" spans="7:7" ht="12.75" x14ac:dyDescent="0.2">
      <c r="G1426" s="123"/>
    </row>
    <row r="1427" spans="7:7" ht="12.75" x14ac:dyDescent="0.2">
      <c r="G1427" s="123"/>
    </row>
    <row r="1428" spans="7:7" ht="12.75" x14ac:dyDescent="0.2">
      <c r="G1428" s="123"/>
    </row>
    <row r="1429" spans="7:7" ht="12.75" x14ac:dyDescent="0.2">
      <c r="G1429" s="123"/>
    </row>
    <row r="1430" spans="7:7" ht="12.75" x14ac:dyDescent="0.2">
      <c r="G1430" s="123"/>
    </row>
    <row r="1431" spans="7:7" ht="12.75" x14ac:dyDescent="0.2">
      <c r="G1431" s="123"/>
    </row>
    <row r="1432" spans="7:7" ht="12.75" x14ac:dyDescent="0.2">
      <c r="G1432" s="123"/>
    </row>
    <row r="1433" spans="7:7" ht="12.75" x14ac:dyDescent="0.2">
      <c r="G1433" s="123"/>
    </row>
    <row r="1434" spans="7:7" ht="12.75" x14ac:dyDescent="0.2">
      <c r="G1434" s="123"/>
    </row>
    <row r="1435" spans="7:7" ht="12.75" x14ac:dyDescent="0.2">
      <c r="G1435" s="123"/>
    </row>
    <row r="1436" spans="7:7" ht="12.75" x14ac:dyDescent="0.2">
      <c r="G1436" s="123"/>
    </row>
    <row r="1437" spans="7:7" ht="12.75" x14ac:dyDescent="0.2">
      <c r="G1437" s="123"/>
    </row>
    <row r="1438" spans="7:7" ht="12.75" x14ac:dyDescent="0.2">
      <c r="G1438" s="123"/>
    </row>
    <row r="1439" spans="7:7" ht="12.75" x14ac:dyDescent="0.2">
      <c r="G1439" s="123"/>
    </row>
    <row r="1440" spans="7:7" ht="12.75" x14ac:dyDescent="0.2">
      <c r="G1440" s="123"/>
    </row>
    <row r="1441" spans="7:7" ht="12.75" x14ac:dyDescent="0.2">
      <c r="G1441" s="123"/>
    </row>
    <row r="1442" spans="7:7" ht="12.75" x14ac:dyDescent="0.2">
      <c r="G1442" s="123"/>
    </row>
    <row r="1443" spans="7:7" ht="12.75" x14ac:dyDescent="0.2">
      <c r="G1443" s="123"/>
    </row>
    <row r="1444" spans="7:7" ht="12.75" x14ac:dyDescent="0.2">
      <c r="G1444" s="123"/>
    </row>
    <row r="1445" spans="7:7" ht="12.75" x14ac:dyDescent="0.2">
      <c r="G1445" s="123"/>
    </row>
    <row r="1446" spans="7:7" ht="12.75" x14ac:dyDescent="0.2">
      <c r="G1446" s="123"/>
    </row>
    <row r="1447" spans="7:7" ht="12.75" x14ac:dyDescent="0.2">
      <c r="G1447" s="123"/>
    </row>
    <row r="1448" spans="7:7" ht="12.75" x14ac:dyDescent="0.2">
      <c r="G1448" s="123"/>
    </row>
    <row r="1449" spans="7:7" ht="12.75" x14ac:dyDescent="0.2">
      <c r="G1449" s="123"/>
    </row>
    <row r="1450" spans="7:7" ht="12.75" x14ac:dyDescent="0.2">
      <c r="G1450" s="123"/>
    </row>
    <row r="1451" spans="7:7" ht="12.75" x14ac:dyDescent="0.2">
      <c r="G1451" s="123"/>
    </row>
    <row r="1452" spans="7:7" ht="12.75" x14ac:dyDescent="0.2">
      <c r="G1452" s="123"/>
    </row>
    <row r="1453" spans="7:7" ht="12.75" x14ac:dyDescent="0.2">
      <c r="G1453" s="123"/>
    </row>
    <row r="1454" spans="7:7" ht="12.75" x14ac:dyDescent="0.2">
      <c r="G1454" s="123"/>
    </row>
    <row r="1455" spans="7:7" ht="12.75" x14ac:dyDescent="0.2">
      <c r="G1455" s="123"/>
    </row>
    <row r="1456" spans="7:7" ht="12.75" x14ac:dyDescent="0.2">
      <c r="G1456" s="123"/>
    </row>
    <row r="1457" spans="7:7" ht="12.75" x14ac:dyDescent="0.2">
      <c r="G1457" s="123"/>
    </row>
    <row r="1458" spans="7:7" ht="12.75" x14ac:dyDescent="0.2">
      <c r="G1458" s="123"/>
    </row>
    <row r="1459" spans="7:7" ht="12.75" x14ac:dyDescent="0.2">
      <c r="G1459" s="123"/>
    </row>
    <row r="1460" spans="7:7" ht="12.75" x14ac:dyDescent="0.2">
      <c r="G1460" s="123"/>
    </row>
    <row r="1461" spans="7:7" ht="12.75" x14ac:dyDescent="0.2">
      <c r="G1461" s="123"/>
    </row>
    <row r="1462" spans="7:7" ht="12.75" x14ac:dyDescent="0.2">
      <c r="G1462" s="123"/>
    </row>
    <row r="1463" spans="7:7" ht="12.75" x14ac:dyDescent="0.2">
      <c r="G1463" s="123"/>
    </row>
    <row r="1464" spans="7:7" ht="12.75" x14ac:dyDescent="0.2">
      <c r="G1464" s="123"/>
    </row>
    <row r="1465" spans="7:7" ht="12.75" x14ac:dyDescent="0.2">
      <c r="G1465" s="123"/>
    </row>
    <row r="1466" spans="7:7" ht="12.75" x14ac:dyDescent="0.2">
      <c r="G1466" s="123"/>
    </row>
    <row r="1467" spans="7:7" ht="12.75" x14ac:dyDescent="0.2">
      <c r="G1467" s="123"/>
    </row>
    <row r="1468" spans="7:7" ht="12.75" x14ac:dyDescent="0.2">
      <c r="G1468" s="123"/>
    </row>
    <row r="1469" spans="7:7" ht="12.75" x14ac:dyDescent="0.2">
      <c r="G1469" s="123"/>
    </row>
    <row r="1470" spans="7:7" ht="12.75" x14ac:dyDescent="0.2">
      <c r="G1470" s="123"/>
    </row>
    <row r="1471" spans="7:7" ht="12.75" x14ac:dyDescent="0.2">
      <c r="G1471" s="123"/>
    </row>
    <row r="1472" spans="7:7" ht="12.75" x14ac:dyDescent="0.2">
      <c r="G1472" s="123"/>
    </row>
    <row r="1473" spans="7:7" ht="12.75" x14ac:dyDescent="0.2">
      <c r="G1473" s="123"/>
    </row>
    <row r="1474" spans="7:7" ht="12.75" x14ac:dyDescent="0.2">
      <c r="G1474" s="123"/>
    </row>
    <row r="1475" spans="7:7" ht="12.75" x14ac:dyDescent="0.2">
      <c r="G1475" s="123"/>
    </row>
    <row r="1476" spans="7:7" ht="12.75" x14ac:dyDescent="0.2">
      <c r="G1476" s="123"/>
    </row>
    <row r="1477" spans="7:7" ht="12.75" x14ac:dyDescent="0.2">
      <c r="G1477" s="123"/>
    </row>
    <row r="1478" spans="7:7" ht="12.75" x14ac:dyDescent="0.2">
      <c r="G1478" s="123"/>
    </row>
    <row r="1479" spans="7:7" ht="12.75" x14ac:dyDescent="0.2">
      <c r="G1479" s="123"/>
    </row>
    <row r="1480" spans="7:7" ht="12.75" x14ac:dyDescent="0.2">
      <c r="G1480" s="123"/>
    </row>
    <row r="1481" spans="7:7" ht="12.75" x14ac:dyDescent="0.2">
      <c r="G1481" s="123"/>
    </row>
    <row r="1482" spans="7:7" ht="12.75" x14ac:dyDescent="0.2">
      <c r="G1482" s="123"/>
    </row>
    <row r="1483" spans="7:7" ht="12.75" x14ac:dyDescent="0.2">
      <c r="G1483" s="123"/>
    </row>
    <row r="1484" spans="7:7" ht="12.75" x14ac:dyDescent="0.2">
      <c r="G1484" s="123"/>
    </row>
    <row r="1485" spans="7:7" ht="12.75" x14ac:dyDescent="0.2">
      <c r="G1485" s="123"/>
    </row>
    <row r="1486" spans="7:7" ht="12.75" x14ac:dyDescent="0.2">
      <c r="G1486" s="123"/>
    </row>
    <row r="1487" spans="7:7" ht="12.75" x14ac:dyDescent="0.2">
      <c r="G1487" s="123"/>
    </row>
    <row r="1488" spans="7:7" ht="12.75" x14ac:dyDescent="0.2">
      <c r="G1488" s="123"/>
    </row>
    <row r="1489" spans="7:7" ht="12.75" x14ac:dyDescent="0.2">
      <c r="G1489" s="123"/>
    </row>
    <row r="1490" spans="7:7" ht="12.75" x14ac:dyDescent="0.2">
      <c r="G1490" s="123"/>
    </row>
    <row r="1491" spans="7:7" ht="12.75" x14ac:dyDescent="0.2">
      <c r="G1491" s="123"/>
    </row>
    <row r="1492" spans="7:7" ht="12.75" x14ac:dyDescent="0.2">
      <c r="G1492" s="123"/>
    </row>
    <row r="1493" spans="7:7" ht="12.75" x14ac:dyDescent="0.2">
      <c r="G1493" s="123"/>
    </row>
    <row r="1494" spans="7:7" ht="12.75" x14ac:dyDescent="0.2">
      <c r="G1494" s="123"/>
    </row>
    <row r="1495" spans="7:7" ht="12.75" x14ac:dyDescent="0.2">
      <c r="G1495" s="123"/>
    </row>
    <row r="1496" spans="7:7" ht="12.75" x14ac:dyDescent="0.2">
      <c r="G1496" s="123"/>
    </row>
    <row r="1497" spans="7:7" ht="12.75" x14ac:dyDescent="0.2">
      <c r="G1497" s="123"/>
    </row>
    <row r="1498" spans="7:7" ht="12.75" x14ac:dyDescent="0.2">
      <c r="G1498" s="123"/>
    </row>
    <row r="1499" spans="7:7" ht="12.75" x14ac:dyDescent="0.2">
      <c r="G1499" s="123"/>
    </row>
    <row r="1500" spans="7:7" ht="12.75" x14ac:dyDescent="0.2">
      <c r="G1500" s="123"/>
    </row>
    <row r="1501" spans="7:7" ht="12.75" x14ac:dyDescent="0.2">
      <c r="G1501" s="123"/>
    </row>
    <row r="1502" spans="7:7" ht="12.75" x14ac:dyDescent="0.2">
      <c r="G1502" s="123"/>
    </row>
    <row r="1503" spans="7:7" ht="12.75" x14ac:dyDescent="0.2">
      <c r="G1503" s="123"/>
    </row>
    <row r="1504" spans="7:7" ht="12.75" x14ac:dyDescent="0.2">
      <c r="G1504" s="123"/>
    </row>
    <row r="1505" spans="7:7" ht="12.75" x14ac:dyDescent="0.2">
      <c r="G1505" s="123"/>
    </row>
    <row r="1506" spans="7:7" ht="12.75" x14ac:dyDescent="0.2">
      <c r="G1506" s="123"/>
    </row>
    <row r="1507" spans="7:7" ht="12.75" x14ac:dyDescent="0.2">
      <c r="G1507" s="123"/>
    </row>
    <row r="1508" spans="7:7" ht="12.75" x14ac:dyDescent="0.2">
      <c r="G1508" s="123"/>
    </row>
    <row r="1509" spans="7:7" ht="12.75" x14ac:dyDescent="0.2">
      <c r="G1509" s="123"/>
    </row>
    <row r="1510" spans="7:7" ht="12.75" x14ac:dyDescent="0.2">
      <c r="G1510" s="123"/>
    </row>
    <row r="1511" spans="7:7" ht="12.75" x14ac:dyDescent="0.2">
      <c r="G1511" s="123"/>
    </row>
    <row r="1512" spans="7:7" ht="12.75" x14ac:dyDescent="0.2">
      <c r="G1512" s="123"/>
    </row>
    <row r="1513" spans="7:7" ht="12.75" x14ac:dyDescent="0.2">
      <c r="G1513" s="123"/>
    </row>
    <row r="1514" spans="7:7" ht="12.75" x14ac:dyDescent="0.2">
      <c r="G1514" s="123"/>
    </row>
    <row r="1515" spans="7:7" ht="12.75" x14ac:dyDescent="0.2">
      <c r="G1515" s="123"/>
    </row>
    <row r="1516" spans="7:7" ht="12.75" x14ac:dyDescent="0.2">
      <c r="G1516" s="123"/>
    </row>
    <row r="1517" spans="7:7" ht="12.75" x14ac:dyDescent="0.2">
      <c r="G1517" s="123"/>
    </row>
    <row r="1518" spans="7:7" ht="12.75" x14ac:dyDescent="0.2">
      <c r="G1518" s="123"/>
    </row>
    <row r="1519" spans="7:7" ht="12.75" x14ac:dyDescent="0.2">
      <c r="G1519" s="123"/>
    </row>
    <row r="1520" spans="7:7" ht="12.75" x14ac:dyDescent="0.2">
      <c r="G1520" s="123"/>
    </row>
    <row r="1521" spans="7:7" ht="12.75" x14ac:dyDescent="0.2">
      <c r="G1521" s="123"/>
    </row>
    <row r="1522" spans="7:7" ht="12.75" x14ac:dyDescent="0.2">
      <c r="G1522" s="123"/>
    </row>
    <row r="1523" spans="7:7" ht="12.75" x14ac:dyDescent="0.2">
      <c r="G1523" s="123"/>
    </row>
    <row r="1524" spans="7:7" ht="12.75" x14ac:dyDescent="0.2">
      <c r="G1524" s="123"/>
    </row>
    <row r="1525" spans="7:7" ht="12.75" x14ac:dyDescent="0.2">
      <c r="G1525" s="123"/>
    </row>
    <row r="1526" spans="7:7" ht="12.75" x14ac:dyDescent="0.2">
      <c r="G1526" s="123"/>
    </row>
    <row r="1527" spans="7:7" ht="12.75" x14ac:dyDescent="0.2">
      <c r="G1527" s="123"/>
    </row>
    <row r="1528" spans="7:7" ht="12.75" x14ac:dyDescent="0.2">
      <c r="G1528" s="123"/>
    </row>
    <row r="1529" spans="7:7" ht="12.75" x14ac:dyDescent="0.2">
      <c r="G1529" s="123"/>
    </row>
    <row r="1530" spans="7:7" ht="12.75" x14ac:dyDescent="0.2">
      <c r="G1530" s="123"/>
    </row>
    <row r="1531" spans="7:7" ht="12.75" x14ac:dyDescent="0.2">
      <c r="G1531" s="123"/>
    </row>
    <row r="1532" spans="7:7" ht="12.75" x14ac:dyDescent="0.2">
      <c r="G1532" s="123"/>
    </row>
    <row r="1533" spans="7:7" ht="12.75" x14ac:dyDescent="0.2">
      <c r="G1533" s="123"/>
    </row>
    <row r="1534" spans="7:7" ht="12.75" x14ac:dyDescent="0.2">
      <c r="G1534" s="123"/>
    </row>
    <row r="1535" spans="7:7" ht="12.75" x14ac:dyDescent="0.2">
      <c r="G1535" s="123"/>
    </row>
    <row r="1536" spans="7:7" ht="12.75" x14ac:dyDescent="0.2">
      <c r="G1536" s="123"/>
    </row>
    <row r="1537" spans="7:7" ht="12.75" x14ac:dyDescent="0.2">
      <c r="G1537" s="123"/>
    </row>
    <row r="1538" spans="7:7" ht="12.75" x14ac:dyDescent="0.2">
      <c r="G1538" s="123"/>
    </row>
    <row r="1539" spans="7:7" ht="12.75" x14ac:dyDescent="0.2">
      <c r="G1539" s="123"/>
    </row>
    <row r="1540" spans="7:7" ht="12.75" x14ac:dyDescent="0.2">
      <c r="G1540" s="123"/>
    </row>
    <row r="1541" spans="7:7" ht="12.75" x14ac:dyDescent="0.2">
      <c r="G1541" s="123"/>
    </row>
    <row r="1542" spans="7:7" ht="12.75" x14ac:dyDescent="0.2">
      <c r="G1542" s="123"/>
    </row>
    <row r="1543" spans="7:7" ht="12.75" x14ac:dyDescent="0.2">
      <c r="G1543" s="123"/>
    </row>
    <row r="1544" spans="7:7" ht="12.75" x14ac:dyDescent="0.2">
      <c r="G1544" s="123"/>
    </row>
    <row r="1545" spans="7:7" ht="12.75" x14ac:dyDescent="0.2">
      <c r="G1545" s="123"/>
    </row>
    <row r="1546" spans="7:7" ht="12.75" x14ac:dyDescent="0.2">
      <c r="G1546" s="123"/>
    </row>
    <row r="1547" spans="7:7" ht="12.75" x14ac:dyDescent="0.2">
      <c r="G1547" s="123"/>
    </row>
    <row r="1548" spans="7:7" ht="12.75" x14ac:dyDescent="0.2">
      <c r="G1548" s="123"/>
    </row>
    <row r="1549" spans="7:7" ht="12.75" x14ac:dyDescent="0.2">
      <c r="G1549" s="123"/>
    </row>
    <row r="1550" spans="7:7" ht="12.75" x14ac:dyDescent="0.2">
      <c r="G1550" s="123"/>
    </row>
    <row r="1551" spans="7:7" ht="12.75" x14ac:dyDescent="0.2">
      <c r="G1551" s="123"/>
    </row>
    <row r="1552" spans="7:7" ht="12.75" x14ac:dyDescent="0.2">
      <c r="G1552" s="123"/>
    </row>
    <row r="1553" spans="7:7" ht="12.75" x14ac:dyDescent="0.2">
      <c r="G1553" s="123"/>
    </row>
    <row r="1554" spans="7:7" ht="12.75" x14ac:dyDescent="0.2">
      <c r="G1554" s="123"/>
    </row>
    <row r="1555" spans="7:7" ht="12.75" x14ac:dyDescent="0.2">
      <c r="G1555" s="123"/>
    </row>
    <row r="1556" spans="7:7" ht="12.75" x14ac:dyDescent="0.2">
      <c r="G1556" s="123"/>
    </row>
    <row r="1557" spans="7:7" ht="12.75" x14ac:dyDescent="0.2">
      <c r="G1557" s="123"/>
    </row>
    <row r="1558" spans="7:7" ht="12.75" x14ac:dyDescent="0.2">
      <c r="G1558" s="123"/>
    </row>
    <row r="1559" spans="7:7" ht="12.75" x14ac:dyDescent="0.2">
      <c r="G1559" s="123"/>
    </row>
    <row r="1560" spans="7:7" ht="12.75" x14ac:dyDescent="0.2">
      <c r="G1560" s="123"/>
    </row>
    <row r="1561" spans="7:7" ht="12.75" x14ac:dyDescent="0.2">
      <c r="G1561" s="123"/>
    </row>
    <row r="1562" spans="7:7" ht="12.75" x14ac:dyDescent="0.2">
      <c r="G1562" s="123"/>
    </row>
    <row r="1563" spans="7:7" ht="12.75" x14ac:dyDescent="0.2">
      <c r="G1563" s="123"/>
    </row>
    <row r="1564" spans="7:7" ht="12.75" x14ac:dyDescent="0.2">
      <c r="G1564" s="123"/>
    </row>
    <row r="1565" spans="7:7" ht="12.75" x14ac:dyDescent="0.2">
      <c r="G1565" s="123"/>
    </row>
    <row r="1566" spans="7:7" ht="12.75" x14ac:dyDescent="0.2">
      <c r="G1566" s="123"/>
    </row>
    <row r="1567" spans="7:7" ht="12.75" x14ac:dyDescent="0.2">
      <c r="G1567" s="123"/>
    </row>
    <row r="1568" spans="7:7" ht="12.75" x14ac:dyDescent="0.2">
      <c r="G1568" s="123"/>
    </row>
    <row r="1569" spans="7:7" ht="12.75" x14ac:dyDescent="0.2">
      <c r="G1569" s="123"/>
    </row>
    <row r="1570" spans="7:7" ht="12.75" x14ac:dyDescent="0.2">
      <c r="G1570" s="123"/>
    </row>
    <row r="1571" spans="7:7" ht="12.75" x14ac:dyDescent="0.2">
      <c r="G1571" s="123"/>
    </row>
    <row r="1572" spans="7:7" ht="12.75" x14ac:dyDescent="0.2">
      <c r="G1572" s="123"/>
    </row>
    <row r="1573" spans="7:7" ht="12.75" x14ac:dyDescent="0.2">
      <c r="G1573" s="123"/>
    </row>
    <row r="1574" spans="7:7" ht="12.75" x14ac:dyDescent="0.2">
      <c r="G1574" s="123"/>
    </row>
    <row r="1575" spans="7:7" ht="12.75" x14ac:dyDescent="0.2">
      <c r="G1575" s="123"/>
    </row>
    <row r="1576" spans="7:7" ht="12.75" x14ac:dyDescent="0.2">
      <c r="G1576" s="123"/>
    </row>
    <row r="1577" spans="7:7" ht="12.75" x14ac:dyDescent="0.2">
      <c r="G1577" s="123"/>
    </row>
    <row r="1578" spans="7:7" ht="12.75" x14ac:dyDescent="0.2">
      <c r="G1578" s="123"/>
    </row>
    <row r="1579" spans="7:7" ht="12.75" x14ac:dyDescent="0.2">
      <c r="G1579" s="123"/>
    </row>
    <row r="1580" spans="7:7" ht="12.75" x14ac:dyDescent="0.2">
      <c r="G1580" s="123"/>
    </row>
    <row r="1581" spans="7:7" ht="12.75" x14ac:dyDescent="0.2">
      <c r="G1581" s="123"/>
    </row>
    <row r="1582" spans="7:7" ht="12.75" x14ac:dyDescent="0.2">
      <c r="G1582" s="123"/>
    </row>
    <row r="1583" spans="7:7" ht="12.75" x14ac:dyDescent="0.2">
      <c r="G1583" s="123"/>
    </row>
    <row r="1584" spans="7:7" ht="12.75" x14ac:dyDescent="0.2">
      <c r="G1584" s="123"/>
    </row>
    <row r="1585" spans="7:7" ht="12.75" x14ac:dyDescent="0.2">
      <c r="G1585" s="123"/>
    </row>
    <row r="1586" spans="7:7" ht="12.75" x14ac:dyDescent="0.2">
      <c r="G1586" s="123"/>
    </row>
    <row r="1587" spans="7:7" ht="12.75" x14ac:dyDescent="0.2">
      <c r="G1587" s="123"/>
    </row>
    <row r="1588" spans="7:7" ht="12.75" x14ac:dyDescent="0.2">
      <c r="G1588" s="123"/>
    </row>
    <row r="1589" spans="7:7" ht="12.75" x14ac:dyDescent="0.2">
      <c r="G1589" s="123"/>
    </row>
    <row r="1590" spans="7:7" ht="12.75" x14ac:dyDescent="0.2">
      <c r="G1590" s="123"/>
    </row>
    <row r="1591" spans="7:7" ht="12.75" x14ac:dyDescent="0.2">
      <c r="G1591" s="123"/>
    </row>
    <row r="1592" spans="7:7" ht="12.75" x14ac:dyDescent="0.2">
      <c r="G1592" s="123"/>
    </row>
    <row r="1593" spans="7:7" ht="12.75" x14ac:dyDescent="0.2">
      <c r="G1593" s="123"/>
    </row>
    <row r="1594" spans="7:7" ht="12.75" x14ac:dyDescent="0.2">
      <c r="G1594" s="123"/>
    </row>
    <row r="1595" spans="7:7" ht="12.75" x14ac:dyDescent="0.2">
      <c r="G1595" s="123"/>
    </row>
    <row r="1596" spans="7:7" ht="12.75" x14ac:dyDescent="0.2">
      <c r="G1596" s="123"/>
    </row>
    <row r="1597" spans="7:7" ht="12.75" x14ac:dyDescent="0.2">
      <c r="G1597" s="123"/>
    </row>
    <row r="1598" spans="7:7" ht="12.75" x14ac:dyDescent="0.2">
      <c r="G1598" s="123"/>
    </row>
    <row r="1599" spans="7:7" ht="12.75" x14ac:dyDescent="0.2">
      <c r="G1599" s="123"/>
    </row>
    <row r="1600" spans="7:7" ht="12.75" x14ac:dyDescent="0.2">
      <c r="G1600" s="123"/>
    </row>
    <row r="1601" spans="7:7" ht="12.75" x14ac:dyDescent="0.2">
      <c r="G1601" s="123"/>
    </row>
    <row r="1602" spans="7:7" ht="12.75" x14ac:dyDescent="0.2">
      <c r="G1602" s="123"/>
    </row>
    <row r="1603" spans="7:7" ht="12.75" x14ac:dyDescent="0.2">
      <c r="G1603" s="123"/>
    </row>
    <row r="1604" spans="7:7" ht="12.75" x14ac:dyDescent="0.2">
      <c r="G1604" s="123"/>
    </row>
    <row r="1605" spans="7:7" ht="12.75" x14ac:dyDescent="0.2">
      <c r="G1605" s="123"/>
    </row>
    <row r="1606" spans="7:7" ht="12.75" x14ac:dyDescent="0.2">
      <c r="G1606" s="123"/>
    </row>
    <row r="1607" spans="7:7" ht="12.75" x14ac:dyDescent="0.2">
      <c r="G1607" s="123"/>
    </row>
    <row r="1608" spans="7:7" ht="12.75" x14ac:dyDescent="0.2">
      <c r="G1608" s="123"/>
    </row>
    <row r="1609" spans="7:7" ht="12.75" x14ac:dyDescent="0.2">
      <c r="G1609" s="123"/>
    </row>
    <row r="1610" spans="7:7" ht="12.75" x14ac:dyDescent="0.2">
      <c r="G1610" s="123"/>
    </row>
    <row r="1611" spans="7:7" ht="12.75" x14ac:dyDescent="0.2">
      <c r="G1611" s="123"/>
    </row>
    <row r="1612" spans="7:7" ht="12.75" x14ac:dyDescent="0.2">
      <c r="G1612" s="123"/>
    </row>
    <row r="1613" spans="7:7" ht="12.75" x14ac:dyDescent="0.2">
      <c r="G1613" s="123"/>
    </row>
    <row r="1614" spans="7:7" ht="12.75" x14ac:dyDescent="0.2">
      <c r="G1614" s="123"/>
    </row>
    <row r="1615" spans="7:7" ht="12.75" x14ac:dyDescent="0.2">
      <c r="G1615" s="123"/>
    </row>
    <row r="1616" spans="7:7" ht="12.75" x14ac:dyDescent="0.2">
      <c r="G1616" s="123"/>
    </row>
    <row r="1617" spans="7:7" ht="12.75" x14ac:dyDescent="0.2">
      <c r="G1617" s="123"/>
    </row>
    <row r="1618" spans="7:7" ht="12.75" x14ac:dyDescent="0.2">
      <c r="G1618" s="123"/>
    </row>
    <row r="1619" spans="7:7" ht="12.75" x14ac:dyDescent="0.2">
      <c r="G1619" s="123"/>
    </row>
    <row r="1620" spans="7:7" ht="12.75" x14ac:dyDescent="0.2">
      <c r="G1620" s="123"/>
    </row>
    <row r="1621" spans="7:7" ht="12.75" x14ac:dyDescent="0.2">
      <c r="G1621" s="123"/>
    </row>
    <row r="1622" spans="7:7" ht="12.75" x14ac:dyDescent="0.2">
      <c r="G1622" s="123"/>
    </row>
    <row r="1623" spans="7:7" ht="12.75" x14ac:dyDescent="0.2">
      <c r="G1623" s="123"/>
    </row>
    <row r="1624" spans="7:7" ht="12.75" x14ac:dyDescent="0.2">
      <c r="G1624" s="123"/>
    </row>
    <row r="1625" spans="7:7" ht="12.75" x14ac:dyDescent="0.2">
      <c r="G1625" s="123"/>
    </row>
    <row r="1626" spans="7:7" ht="12.75" x14ac:dyDescent="0.2">
      <c r="G1626" s="123"/>
    </row>
    <row r="1627" spans="7:7" ht="12.75" x14ac:dyDescent="0.2">
      <c r="G1627" s="123"/>
    </row>
    <row r="1628" spans="7:7" ht="12.75" x14ac:dyDescent="0.2">
      <c r="G1628" s="123"/>
    </row>
    <row r="1629" spans="7:7" ht="12.75" x14ac:dyDescent="0.2">
      <c r="G1629" s="123"/>
    </row>
    <row r="1630" spans="7:7" ht="12.75" x14ac:dyDescent="0.2">
      <c r="G1630" s="123"/>
    </row>
    <row r="1631" spans="7:7" ht="12.75" x14ac:dyDescent="0.2">
      <c r="G1631" s="123"/>
    </row>
    <row r="1632" spans="7:7" ht="12.75" x14ac:dyDescent="0.2">
      <c r="G1632" s="123"/>
    </row>
    <row r="1633" spans="7:7" ht="12.75" x14ac:dyDescent="0.2">
      <c r="G1633" s="123"/>
    </row>
    <row r="1634" spans="7:7" ht="12.75" x14ac:dyDescent="0.2">
      <c r="G1634" s="123"/>
    </row>
    <row r="1635" spans="7:7" ht="12.75" x14ac:dyDescent="0.2">
      <c r="G1635" s="123"/>
    </row>
    <row r="1636" spans="7:7" ht="12.75" x14ac:dyDescent="0.2">
      <c r="G1636" s="123"/>
    </row>
    <row r="1637" spans="7:7" ht="12.75" x14ac:dyDescent="0.2">
      <c r="G1637" s="123"/>
    </row>
    <row r="1638" spans="7:7" ht="12.75" x14ac:dyDescent="0.2">
      <c r="G1638" s="123"/>
    </row>
    <row r="1639" spans="7:7" ht="12.75" x14ac:dyDescent="0.2">
      <c r="G1639" s="123"/>
    </row>
    <row r="1640" spans="7:7" ht="12.75" x14ac:dyDescent="0.2">
      <c r="G1640" s="123"/>
    </row>
    <row r="1641" spans="7:7" ht="12.75" x14ac:dyDescent="0.2">
      <c r="G1641" s="123"/>
    </row>
    <row r="1642" spans="7:7" ht="12.75" x14ac:dyDescent="0.2">
      <c r="G1642" s="123"/>
    </row>
    <row r="1643" spans="7:7" ht="12.75" x14ac:dyDescent="0.2">
      <c r="G1643" s="123"/>
    </row>
    <row r="1644" spans="7:7" ht="12.75" x14ac:dyDescent="0.2">
      <c r="G1644" s="123"/>
    </row>
    <row r="1645" spans="7:7" ht="12.75" x14ac:dyDescent="0.2">
      <c r="G1645" s="123"/>
    </row>
    <row r="1646" spans="7:7" ht="12.75" x14ac:dyDescent="0.2">
      <c r="G1646" s="123"/>
    </row>
    <row r="1647" spans="7:7" ht="12.75" x14ac:dyDescent="0.2">
      <c r="G1647" s="123"/>
    </row>
    <row r="1648" spans="7:7" ht="12.75" x14ac:dyDescent="0.2">
      <c r="G1648" s="123"/>
    </row>
    <row r="1649" spans="7:7" ht="12.75" x14ac:dyDescent="0.2">
      <c r="G1649" s="123"/>
    </row>
    <row r="1650" spans="7:7" ht="12.75" x14ac:dyDescent="0.2">
      <c r="G1650" s="123"/>
    </row>
    <row r="1651" spans="7:7" ht="12.75" x14ac:dyDescent="0.2">
      <c r="G1651" s="123"/>
    </row>
    <row r="1652" spans="7:7" ht="12.75" x14ac:dyDescent="0.2">
      <c r="G1652" s="123"/>
    </row>
    <row r="1653" spans="7:7" ht="12.75" x14ac:dyDescent="0.2">
      <c r="G1653" s="123"/>
    </row>
    <row r="1654" spans="7:7" ht="12.75" x14ac:dyDescent="0.2">
      <c r="G1654" s="123"/>
    </row>
    <row r="1655" spans="7:7" ht="12.75" x14ac:dyDescent="0.2">
      <c r="G1655" s="123"/>
    </row>
    <row r="1656" spans="7:7" ht="12.75" x14ac:dyDescent="0.2">
      <c r="G1656" s="123"/>
    </row>
    <row r="1657" spans="7:7" ht="12.75" x14ac:dyDescent="0.2">
      <c r="G1657" s="123"/>
    </row>
    <row r="1658" spans="7:7" ht="12.75" x14ac:dyDescent="0.2">
      <c r="G1658" s="123"/>
    </row>
    <row r="1659" spans="7:7" ht="12.75" x14ac:dyDescent="0.2">
      <c r="G1659" s="123"/>
    </row>
    <row r="1660" spans="7:7" ht="12.75" x14ac:dyDescent="0.2">
      <c r="G1660" s="123"/>
    </row>
    <row r="1661" spans="7:7" ht="12.75" x14ac:dyDescent="0.2">
      <c r="G1661" s="123"/>
    </row>
    <row r="1662" spans="7:7" ht="12.75" x14ac:dyDescent="0.2">
      <c r="G1662" s="123"/>
    </row>
    <row r="1663" spans="7:7" ht="12.75" x14ac:dyDescent="0.2">
      <c r="G1663" s="123"/>
    </row>
    <row r="1664" spans="7:7" ht="12.75" x14ac:dyDescent="0.2">
      <c r="G1664" s="123"/>
    </row>
    <row r="1665" spans="7:7" ht="12.75" x14ac:dyDescent="0.2">
      <c r="G1665" s="123"/>
    </row>
    <row r="1666" spans="7:7" ht="12.75" x14ac:dyDescent="0.2">
      <c r="G1666" s="123"/>
    </row>
    <row r="1667" spans="7:7" ht="12.75" x14ac:dyDescent="0.2">
      <c r="G1667" s="123"/>
    </row>
    <row r="1668" spans="7:7" ht="12.75" x14ac:dyDescent="0.2">
      <c r="G1668" s="123"/>
    </row>
    <row r="1669" spans="7:7" ht="12.75" x14ac:dyDescent="0.2">
      <c r="G1669" s="123"/>
    </row>
    <row r="1670" spans="7:7" ht="12.75" x14ac:dyDescent="0.2">
      <c r="G1670" s="123"/>
    </row>
    <row r="1671" spans="7:7" ht="12.75" x14ac:dyDescent="0.2">
      <c r="G1671" s="123"/>
    </row>
    <row r="1672" spans="7:7" ht="12.75" x14ac:dyDescent="0.2">
      <c r="G1672" s="123"/>
    </row>
    <row r="1673" spans="7:7" ht="12.75" x14ac:dyDescent="0.2">
      <c r="G1673" s="123"/>
    </row>
    <row r="1674" spans="7:7" ht="12.75" x14ac:dyDescent="0.2">
      <c r="G1674" s="123"/>
    </row>
    <row r="1675" spans="7:7" ht="12.75" x14ac:dyDescent="0.2">
      <c r="G1675" s="123"/>
    </row>
    <row r="1676" spans="7:7" ht="12.75" x14ac:dyDescent="0.2">
      <c r="G1676" s="123"/>
    </row>
    <row r="1677" spans="7:7" ht="12.75" x14ac:dyDescent="0.2">
      <c r="G1677" s="123"/>
    </row>
    <row r="1678" spans="7:7" ht="12.75" x14ac:dyDescent="0.2">
      <c r="G1678" s="123"/>
    </row>
    <row r="1679" spans="7:7" ht="12.75" x14ac:dyDescent="0.2">
      <c r="G1679" s="123"/>
    </row>
    <row r="1680" spans="7:7" ht="12.75" x14ac:dyDescent="0.2">
      <c r="G1680" s="123"/>
    </row>
    <row r="1681" spans="7:7" ht="12.75" x14ac:dyDescent="0.2">
      <c r="G1681" s="123"/>
    </row>
    <row r="1682" spans="7:7" ht="12.75" x14ac:dyDescent="0.2">
      <c r="G1682" s="123"/>
    </row>
    <row r="1683" spans="7:7" ht="12.75" x14ac:dyDescent="0.2">
      <c r="G1683" s="123"/>
    </row>
    <row r="1684" spans="7:7" ht="12.75" x14ac:dyDescent="0.2">
      <c r="G1684" s="123"/>
    </row>
    <row r="1685" spans="7:7" ht="12.75" x14ac:dyDescent="0.2">
      <c r="G1685" s="123"/>
    </row>
    <row r="1686" spans="7:7" ht="12.75" x14ac:dyDescent="0.2">
      <c r="G1686" s="123"/>
    </row>
    <row r="1687" spans="7:7" ht="12.75" x14ac:dyDescent="0.2">
      <c r="G1687" s="123"/>
    </row>
    <row r="1688" spans="7:7" ht="12.75" x14ac:dyDescent="0.2">
      <c r="G1688" s="123"/>
    </row>
    <row r="1689" spans="7:7" ht="12.75" x14ac:dyDescent="0.2">
      <c r="G1689" s="123"/>
    </row>
    <row r="1690" spans="7:7" ht="12.75" x14ac:dyDescent="0.2">
      <c r="G1690" s="123"/>
    </row>
    <row r="1691" spans="7:7" ht="12.75" x14ac:dyDescent="0.2">
      <c r="G1691" s="123"/>
    </row>
    <row r="1692" spans="7:7" ht="12.75" x14ac:dyDescent="0.2">
      <c r="G1692" s="123"/>
    </row>
    <row r="1693" spans="7:7" ht="12.75" x14ac:dyDescent="0.2">
      <c r="G1693" s="123"/>
    </row>
    <row r="1694" spans="7:7" ht="12.75" x14ac:dyDescent="0.2">
      <c r="G1694" s="123"/>
    </row>
    <row r="1695" spans="7:7" ht="12.75" x14ac:dyDescent="0.2">
      <c r="G1695" s="123"/>
    </row>
    <row r="1696" spans="7:7" ht="12.75" x14ac:dyDescent="0.2">
      <c r="G1696" s="123"/>
    </row>
    <row r="1697" spans="7:7" ht="12.75" x14ac:dyDescent="0.2">
      <c r="G1697" s="123"/>
    </row>
    <row r="1698" spans="7:7" ht="12.75" x14ac:dyDescent="0.2">
      <c r="G1698" s="123"/>
    </row>
    <row r="1699" spans="7:7" ht="12.75" x14ac:dyDescent="0.2">
      <c r="G1699" s="123"/>
    </row>
    <row r="1700" spans="7:7" ht="12.75" x14ac:dyDescent="0.2">
      <c r="G1700" s="123"/>
    </row>
    <row r="1701" spans="7:7" ht="12.75" x14ac:dyDescent="0.2">
      <c r="G1701" s="123"/>
    </row>
    <row r="1702" spans="7:7" ht="12.75" x14ac:dyDescent="0.2">
      <c r="G1702" s="123"/>
    </row>
    <row r="1703" spans="7:7" ht="12.75" x14ac:dyDescent="0.2">
      <c r="G1703" s="123"/>
    </row>
    <row r="1704" spans="7:7" ht="12.75" x14ac:dyDescent="0.2">
      <c r="G1704" s="123"/>
    </row>
    <row r="1705" spans="7:7" ht="12.75" x14ac:dyDescent="0.2">
      <c r="G1705" s="123"/>
    </row>
    <row r="1706" spans="7:7" ht="12.75" x14ac:dyDescent="0.2">
      <c r="G1706" s="123"/>
    </row>
    <row r="1707" spans="7:7" ht="12.75" x14ac:dyDescent="0.2">
      <c r="G1707" s="123"/>
    </row>
    <row r="1708" spans="7:7" ht="12.75" x14ac:dyDescent="0.2">
      <c r="G1708" s="123"/>
    </row>
    <row r="1709" spans="7:7" ht="12.75" x14ac:dyDescent="0.2">
      <c r="G1709" s="123"/>
    </row>
    <row r="1710" spans="7:7" ht="12.75" x14ac:dyDescent="0.2">
      <c r="G1710" s="123"/>
    </row>
    <row r="1711" spans="7:7" ht="12.75" x14ac:dyDescent="0.2">
      <c r="G1711" s="123"/>
    </row>
    <row r="1712" spans="7:7" ht="12.75" x14ac:dyDescent="0.2">
      <c r="G1712" s="123"/>
    </row>
    <row r="1713" spans="7:7" ht="12.75" x14ac:dyDescent="0.2">
      <c r="G1713" s="123"/>
    </row>
    <row r="1714" spans="7:7" ht="12.75" x14ac:dyDescent="0.2">
      <c r="G1714" s="123"/>
    </row>
    <row r="1715" spans="7:7" ht="12.75" x14ac:dyDescent="0.2">
      <c r="G1715" s="123"/>
    </row>
    <row r="1716" spans="7:7" ht="12.75" x14ac:dyDescent="0.2">
      <c r="G1716" s="123"/>
    </row>
    <row r="1717" spans="7:7" ht="12.75" x14ac:dyDescent="0.2">
      <c r="G1717" s="123"/>
    </row>
    <row r="1718" spans="7:7" ht="12.75" x14ac:dyDescent="0.2">
      <c r="G1718" s="123"/>
    </row>
    <row r="1719" spans="7:7" ht="12.75" x14ac:dyDescent="0.2">
      <c r="G1719" s="123"/>
    </row>
    <row r="1720" spans="7:7" ht="12.75" x14ac:dyDescent="0.2">
      <c r="G1720" s="123"/>
    </row>
    <row r="1721" spans="7:7" ht="12.75" x14ac:dyDescent="0.2">
      <c r="G1721" s="123"/>
    </row>
    <row r="1722" spans="7:7" ht="12.75" x14ac:dyDescent="0.2">
      <c r="G1722" s="123"/>
    </row>
    <row r="1723" spans="7:7" ht="12.75" x14ac:dyDescent="0.2">
      <c r="G1723" s="123"/>
    </row>
    <row r="1724" spans="7:7" ht="12.75" x14ac:dyDescent="0.2">
      <c r="G1724" s="123"/>
    </row>
    <row r="1725" spans="7:7" ht="12.75" x14ac:dyDescent="0.2">
      <c r="G1725" s="123"/>
    </row>
    <row r="1726" spans="7:7" ht="12.75" x14ac:dyDescent="0.2">
      <c r="G1726" s="123"/>
    </row>
    <row r="1727" spans="7:7" ht="12.75" x14ac:dyDescent="0.2">
      <c r="G1727" s="123"/>
    </row>
    <row r="1728" spans="7:7" ht="12.75" x14ac:dyDescent="0.2">
      <c r="G1728" s="123"/>
    </row>
    <row r="1729" spans="7:7" ht="12.75" x14ac:dyDescent="0.2">
      <c r="G1729" s="123"/>
    </row>
    <row r="1730" spans="7:7" ht="12.75" x14ac:dyDescent="0.2">
      <c r="G1730" s="123"/>
    </row>
    <row r="1731" spans="7:7" ht="12.75" x14ac:dyDescent="0.2">
      <c r="G1731" s="123"/>
    </row>
    <row r="1732" spans="7:7" ht="12.75" x14ac:dyDescent="0.2">
      <c r="G1732" s="123"/>
    </row>
    <row r="1733" spans="7:7" ht="12.75" x14ac:dyDescent="0.2">
      <c r="G1733" s="123"/>
    </row>
    <row r="1734" spans="7:7" ht="12.75" x14ac:dyDescent="0.2">
      <c r="G1734" s="123"/>
    </row>
    <row r="1735" spans="7:7" ht="12.75" x14ac:dyDescent="0.2">
      <c r="G1735" s="123"/>
    </row>
    <row r="1736" spans="7:7" ht="12.75" x14ac:dyDescent="0.2">
      <c r="G1736" s="123"/>
    </row>
    <row r="1737" spans="7:7" ht="12.75" x14ac:dyDescent="0.2">
      <c r="G1737" s="123"/>
    </row>
    <row r="1738" spans="7:7" ht="12.75" x14ac:dyDescent="0.2">
      <c r="G1738" s="123"/>
    </row>
    <row r="1739" spans="7:7" ht="12.75" x14ac:dyDescent="0.2">
      <c r="G1739" s="123"/>
    </row>
    <row r="1740" spans="7:7" ht="12.75" x14ac:dyDescent="0.2">
      <c r="G1740" s="123"/>
    </row>
    <row r="1741" spans="7:7" ht="12.75" x14ac:dyDescent="0.2">
      <c r="G1741" s="123"/>
    </row>
    <row r="1742" spans="7:7" ht="12.75" x14ac:dyDescent="0.2">
      <c r="G1742" s="123"/>
    </row>
    <row r="1743" spans="7:7" ht="12.75" x14ac:dyDescent="0.2">
      <c r="G1743" s="123"/>
    </row>
    <row r="1744" spans="7:7" ht="12.75" x14ac:dyDescent="0.2">
      <c r="G1744" s="123"/>
    </row>
    <row r="1745" spans="7:7" ht="12.75" x14ac:dyDescent="0.2">
      <c r="G1745" s="123"/>
    </row>
    <row r="1746" spans="7:7" ht="12.75" x14ac:dyDescent="0.2">
      <c r="G1746" s="123"/>
    </row>
    <row r="1747" spans="7:7" ht="12.75" x14ac:dyDescent="0.2">
      <c r="G1747" s="123"/>
    </row>
    <row r="1748" spans="7:7" ht="12.75" x14ac:dyDescent="0.2">
      <c r="G1748" s="123"/>
    </row>
    <row r="1749" spans="7:7" ht="12.75" x14ac:dyDescent="0.2">
      <c r="G1749" s="123"/>
    </row>
    <row r="1750" spans="7:7" ht="12.75" x14ac:dyDescent="0.2">
      <c r="G1750" s="123"/>
    </row>
    <row r="1751" spans="7:7" ht="12.75" x14ac:dyDescent="0.2">
      <c r="G1751" s="123"/>
    </row>
    <row r="1752" spans="7:7" ht="12.75" x14ac:dyDescent="0.2">
      <c r="G1752" s="123"/>
    </row>
    <row r="1753" spans="7:7" ht="12.75" x14ac:dyDescent="0.2">
      <c r="G1753" s="123"/>
    </row>
    <row r="1754" spans="7:7" ht="12.75" x14ac:dyDescent="0.2">
      <c r="G1754" s="123"/>
    </row>
    <row r="1755" spans="7:7" ht="12.75" x14ac:dyDescent="0.2">
      <c r="G1755" s="123"/>
    </row>
    <row r="1756" spans="7:7" ht="12.75" x14ac:dyDescent="0.2">
      <c r="G1756" s="123"/>
    </row>
    <row r="1757" spans="7:7" ht="12.75" x14ac:dyDescent="0.2">
      <c r="G1757" s="123"/>
    </row>
    <row r="1758" spans="7:7" ht="12.75" x14ac:dyDescent="0.2">
      <c r="G1758" s="123"/>
    </row>
    <row r="1759" spans="7:7" ht="12.75" x14ac:dyDescent="0.2">
      <c r="G1759" s="123"/>
    </row>
    <row r="1760" spans="7:7" ht="12.75" x14ac:dyDescent="0.2">
      <c r="G1760" s="123"/>
    </row>
    <row r="1761" spans="7:7" ht="12.75" x14ac:dyDescent="0.2">
      <c r="G1761" s="123"/>
    </row>
    <row r="1762" spans="7:7" ht="12.75" x14ac:dyDescent="0.2">
      <c r="G1762" s="123"/>
    </row>
    <row r="1763" spans="7:7" ht="12.75" x14ac:dyDescent="0.2">
      <c r="G1763" s="123"/>
    </row>
    <row r="1764" spans="7:7" ht="12.75" x14ac:dyDescent="0.2">
      <c r="G1764" s="123"/>
    </row>
    <row r="1765" spans="7:7" ht="12.75" x14ac:dyDescent="0.2">
      <c r="G1765" s="123"/>
    </row>
    <row r="1766" spans="7:7" ht="12.75" x14ac:dyDescent="0.2">
      <c r="G1766" s="123"/>
    </row>
    <row r="1767" spans="7:7" ht="12.75" x14ac:dyDescent="0.2">
      <c r="G1767" s="123"/>
    </row>
    <row r="1768" spans="7:7" ht="12.75" x14ac:dyDescent="0.2">
      <c r="G1768" s="123"/>
    </row>
    <row r="1769" spans="7:7" ht="12.75" x14ac:dyDescent="0.2">
      <c r="G1769" s="123"/>
    </row>
    <row r="1770" spans="7:7" ht="12.75" x14ac:dyDescent="0.2">
      <c r="G1770" s="123"/>
    </row>
    <row r="1771" spans="7:7" ht="12.75" x14ac:dyDescent="0.2">
      <c r="G1771" s="123"/>
    </row>
    <row r="1772" spans="7:7" ht="12.75" x14ac:dyDescent="0.2">
      <c r="G1772" s="123"/>
    </row>
    <row r="1773" spans="7:7" ht="12.75" x14ac:dyDescent="0.2">
      <c r="G1773" s="123"/>
    </row>
    <row r="1774" spans="7:7" ht="12.75" x14ac:dyDescent="0.2">
      <c r="G1774" s="123"/>
    </row>
    <row r="1775" spans="7:7" ht="12.75" x14ac:dyDescent="0.2">
      <c r="G1775" s="123"/>
    </row>
    <row r="1776" spans="7:7" ht="12.75" x14ac:dyDescent="0.2">
      <c r="G1776" s="123"/>
    </row>
    <row r="1777" spans="7:7" ht="12.75" x14ac:dyDescent="0.2">
      <c r="G1777" s="123"/>
    </row>
    <row r="1778" spans="7:7" ht="12.75" x14ac:dyDescent="0.2">
      <c r="G1778" s="123"/>
    </row>
    <row r="1779" spans="7:7" ht="12.75" x14ac:dyDescent="0.2">
      <c r="G1779" s="123"/>
    </row>
    <row r="1780" spans="7:7" ht="12.75" x14ac:dyDescent="0.2">
      <c r="G1780" s="123"/>
    </row>
    <row r="1781" spans="7:7" ht="12.75" x14ac:dyDescent="0.2">
      <c r="G1781" s="123"/>
    </row>
    <row r="1782" spans="7:7" ht="12.75" x14ac:dyDescent="0.2">
      <c r="G1782" s="123"/>
    </row>
    <row r="1783" spans="7:7" ht="12.75" x14ac:dyDescent="0.2">
      <c r="G1783" s="123"/>
    </row>
    <row r="1784" spans="7:7" ht="12.75" x14ac:dyDescent="0.2">
      <c r="G1784" s="123"/>
    </row>
    <row r="1785" spans="7:7" ht="12.75" x14ac:dyDescent="0.2">
      <c r="G1785" s="123"/>
    </row>
    <row r="1786" spans="7:7" ht="12.75" x14ac:dyDescent="0.2">
      <c r="G1786" s="123"/>
    </row>
    <row r="1787" spans="7:7" ht="12.75" x14ac:dyDescent="0.2">
      <c r="G1787" s="123"/>
    </row>
    <row r="1788" spans="7:7" ht="12.75" x14ac:dyDescent="0.2">
      <c r="G1788" s="123"/>
    </row>
    <row r="1789" spans="7:7" ht="12.75" x14ac:dyDescent="0.2">
      <c r="G1789" s="123"/>
    </row>
    <row r="1790" spans="7:7" ht="12.75" x14ac:dyDescent="0.2">
      <c r="G1790" s="123"/>
    </row>
    <row r="1791" spans="7:7" ht="12.75" x14ac:dyDescent="0.2">
      <c r="G1791" s="123"/>
    </row>
    <row r="1792" spans="7:7" ht="12.75" x14ac:dyDescent="0.2">
      <c r="G1792" s="123"/>
    </row>
    <row r="1793" spans="7:7" ht="12.75" x14ac:dyDescent="0.2">
      <c r="G1793" s="123"/>
    </row>
    <row r="1794" spans="7:7" ht="12.75" x14ac:dyDescent="0.2">
      <c r="G1794" s="123"/>
    </row>
    <row r="1795" spans="7:7" ht="12.75" x14ac:dyDescent="0.2">
      <c r="G1795" s="123"/>
    </row>
    <row r="1796" spans="7:7" ht="12.75" x14ac:dyDescent="0.2">
      <c r="G1796" s="123"/>
    </row>
    <row r="1797" spans="7:7" ht="12.75" x14ac:dyDescent="0.2">
      <c r="G1797" s="123"/>
    </row>
    <row r="1798" spans="7:7" ht="12.75" x14ac:dyDescent="0.2">
      <c r="G1798" s="123"/>
    </row>
    <row r="1799" spans="7:7" ht="12.75" x14ac:dyDescent="0.2">
      <c r="G1799" s="123"/>
    </row>
    <row r="1800" spans="7:7" ht="12.75" x14ac:dyDescent="0.2">
      <c r="G1800" s="123"/>
    </row>
    <row r="1801" spans="7:7" ht="12.75" x14ac:dyDescent="0.2">
      <c r="G1801" s="123"/>
    </row>
    <row r="1802" spans="7:7" ht="12.75" x14ac:dyDescent="0.2">
      <c r="G1802" s="123"/>
    </row>
    <row r="1803" spans="7:7" ht="12.75" x14ac:dyDescent="0.2">
      <c r="G1803" s="123"/>
    </row>
    <row r="1804" spans="7:7" ht="12.75" x14ac:dyDescent="0.2">
      <c r="G1804" s="123"/>
    </row>
    <row r="1805" spans="7:7" ht="12.75" x14ac:dyDescent="0.2">
      <c r="G1805" s="123"/>
    </row>
    <row r="1806" spans="7:7" ht="12.75" x14ac:dyDescent="0.2">
      <c r="G1806" s="123"/>
    </row>
    <row r="1807" spans="7:7" ht="12.75" x14ac:dyDescent="0.2">
      <c r="G1807" s="123"/>
    </row>
    <row r="1808" spans="7:7" ht="12.75" x14ac:dyDescent="0.2">
      <c r="G1808" s="123"/>
    </row>
    <row r="1809" spans="7:7" ht="12.75" x14ac:dyDescent="0.2">
      <c r="G1809" s="123"/>
    </row>
    <row r="1810" spans="7:7" ht="12.75" x14ac:dyDescent="0.2">
      <c r="G1810" s="123"/>
    </row>
    <row r="1811" spans="7:7" ht="12.75" x14ac:dyDescent="0.2">
      <c r="G1811" s="123"/>
    </row>
    <row r="1812" spans="7:7" ht="12.75" x14ac:dyDescent="0.2">
      <c r="G1812" s="123"/>
    </row>
    <row r="1813" spans="7:7" ht="12.75" x14ac:dyDescent="0.2">
      <c r="G1813" s="123"/>
    </row>
    <row r="1814" spans="7:7" ht="12.75" x14ac:dyDescent="0.2">
      <c r="G1814" s="123"/>
    </row>
    <row r="1815" spans="7:7" ht="12.75" x14ac:dyDescent="0.2">
      <c r="G1815" s="123"/>
    </row>
    <row r="1816" spans="7:7" ht="12.75" x14ac:dyDescent="0.2">
      <c r="G1816" s="123"/>
    </row>
    <row r="1817" spans="7:7" ht="12.75" x14ac:dyDescent="0.2">
      <c r="G1817" s="123"/>
    </row>
    <row r="1818" spans="7:7" ht="12.75" x14ac:dyDescent="0.2">
      <c r="G1818" s="123"/>
    </row>
    <row r="1819" spans="7:7" ht="12.75" x14ac:dyDescent="0.2">
      <c r="G1819" s="123"/>
    </row>
    <row r="1820" spans="7:7" ht="12.75" x14ac:dyDescent="0.2">
      <c r="G1820" s="123"/>
    </row>
    <row r="1821" spans="7:7" ht="12.75" x14ac:dyDescent="0.2">
      <c r="G1821" s="123"/>
    </row>
    <row r="1822" spans="7:7" ht="12.75" x14ac:dyDescent="0.2">
      <c r="G1822" s="123"/>
    </row>
    <row r="1823" spans="7:7" ht="12.75" x14ac:dyDescent="0.2">
      <c r="G1823" s="123"/>
    </row>
    <row r="1824" spans="7:7" ht="12.75" x14ac:dyDescent="0.2">
      <c r="G1824" s="123"/>
    </row>
    <row r="1825" spans="7:7" ht="12.75" x14ac:dyDescent="0.2">
      <c r="G1825" s="123"/>
    </row>
    <row r="1826" spans="7:7" ht="12.75" x14ac:dyDescent="0.2">
      <c r="G1826" s="123"/>
    </row>
    <row r="1827" spans="7:7" ht="12.75" x14ac:dyDescent="0.2">
      <c r="G1827" s="123"/>
    </row>
    <row r="1828" spans="7:7" ht="12.75" x14ac:dyDescent="0.2">
      <c r="G1828" s="123"/>
    </row>
    <row r="1829" spans="7:7" ht="12.75" x14ac:dyDescent="0.2">
      <c r="G1829" s="123"/>
    </row>
    <row r="1830" spans="7:7" ht="12.75" x14ac:dyDescent="0.2">
      <c r="G1830" s="123"/>
    </row>
    <row r="1831" spans="7:7" ht="12.75" x14ac:dyDescent="0.2">
      <c r="G1831" s="123"/>
    </row>
    <row r="1832" spans="7:7" ht="12.75" x14ac:dyDescent="0.2">
      <c r="G1832" s="123"/>
    </row>
    <row r="1833" spans="7:7" ht="12.75" x14ac:dyDescent="0.2">
      <c r="G1833" s="123"/>
    </row>
    <row r="1834" spans="7:7" ht="12.75" x14ac:dyDescent="0.2">
      <c r="G1834" s="123"/>
    </row>
    <row r="1835" spans="7:7" ht="12.75" x14ac:dyDescent="0.2">
      <c r="G1835" s="123"/>
    </row>
    <row r="1836" spans="7:7" ht="12.75" x14ac:dyDescent="0.2">
      <c r="G1836" s="123"/>
    </row>
    <row r="1837" spans="7:7" ht="12.75" x14ac:dyDescent="0.2">
      <c r="G1837" s="123"/>
    </row>
    <row r="1838" spans="7:7" ht="12.75" x14ac:dyDescent="0.2">
      <c r="G1838" s="123"/>
    </row>
    <row r="1839" spans="7:7" ht="12.75" x14ac:dyDescent="0.2">
      <c r="G1839" s="123"/>
    </row>
    <row r="1840" spans="7:7" ht="12.75" x14ac:dyDescent="0.2">
      <c r="G1840" s="123"/>
    </row>
    <row r="1841" spans="7:7" ht="12.75" x14ac:dyDescent="0.2">
      <c r="G1841" s="123"/>
    </row>
    <row r="1842" spans="7:7" ht="12.75" x14ac:dyDescent="0.2">
      <c r="G1842" s="123"/>
    </row>
    <row r="1843" spans="7:7" ht="12.75" x14ac:dyDescent="0.2">
      <c r="G1843" s="123"/>
    </row>
    <row r="1844" spans="7:7" ht="12.75" x14ac:dyDescent="0.2">
      <c r="G1844" s="123"/>
    </row>
    <row r="1845" spans="7:7" ht="12.75" x14ac:dyDescent="0.2">
      <c r="G1845" s="123"/>
    </row>
    <row r="1846" spans="7:7" ht="12.75" x14ac:dyDescent="0.2">
      <c r="G1846" s="123"/>
    </row>
    <row r="1847" spans="7:7" ht="12.75" x14ac:dyDescent="0.2">
      <c r="G1847" s="123"/>
    </row>
    <row r="1848" spans="7:7" ht="12.75" x14ac:dyDescent="0.2">
      <c r="G1848" s="123"/>
    </row>
    <row r="1849" spans="7:7" ht="12.75" x14ac:dyDescent="0.2">
      <c r="G1849" s="123"/>
    </row>
    <row r="1850" spans="7:7" ht="12.75" x14ac:dyDescent="0.2">
      <c r="G1850" s="123"/>
    </row>
    <row r="1851" spans="7:7" ht="12.75" x14ac:dyDescent="0.2">
      <c r="G1851" s="123"/>
    </row>
    <row r="1852" spans="7:7" ht="12.75" x14ac:dyDescent="0.2">
      <c r="G1852" s="123"/>
    </row>
    <row r="1853" spans="7:7" ht="12.75" x14ac:dyDescent="0.2">
      <c r="G1853" s="123"/>
    </row>
    <row r="1854" spans="7:7" ht="12.75" x14ac:dyDescent="0.2">
      <c r="G1854" s="123"/>
    </row>
    <row r="1855" spans="7:7" ht="12.75" x14ac:dyDescent="0.2">
      <c r="G1855" s="123"/>
    </row>
    <row r="1856" spans="7:7" ht="12.75" x14ac:dyDescent="0.2">
      <c r="G1856" s="123"/>
    </row>
    <row r="1857" spans="7:7" ht="12.75" x14ac:dyDescent="0.2">
      <c r="G1857" s="123"/>
    </row>
    <row r="1858" spans="7:7" ht="12.75" x14ac:dyDescent="0.2">
      <c r="G1858" s="123"/>
    </row>
    <row r="1859" spans="7:7" ht="12.75" x14ac:dyDescent="0.2">
      <c r="G1859" s="123"/>
    </row>
    <row r="1860" spans="7:7" ht="12.75" x14ac:dyDescent="0.2">
      <c r="G1860" s="123"/>
    </row>
    <row r="1861" spans="7:7" ht="12.75" x14ac:dyDescent="0.2">
      <c r="G1861" s="123"/>
    </row>
    <row r="1862" spans="7:7" ht="12.75" x14ac:dyDescent="0.2">
      <c r="G1862" s="123"/>
    </row>
    <row r="1863" spans="7:7" ht="12.75" x14ac:dyDescent="0.2">
      <c r="G1863" s="123"/>
    </row>
    <row r="1864" spans="7:7" ht="12.75" x14ac:dyDescent="0.2">
      <c r="G1864" s="123"/>
    </row>
    <row r="1865" spans="7:7" ht="12.75" x14ac:dyDescent="0.2">
      <c r="G1865" s="123"/>
    </row>
    <row r="1866" spans="7:7" ht="12.75" x14ac:dyDescent="0.2">
      <c r="G1866" s="123"/>
    </row>
    <row r="1867" spans="7:7" ht="12.75" x14ac:dyDescent="0.2">
      <c r="G1867" s="123"/>
    </row>
    <row r="1868" spans="7:7" ht="12.75" x14ac:dyDescent="0.2">
      <c r="G1868" s="123"/>
    </row>
    <row r="1869" spans="7:7" ht="12.75" x14ac:dyDescent="0.2">
      <c r="G1869" s="123"/>
    </row>
    <row r="1870" spans="7:7" ht="12.75" x14ac:dyDescent="0.2">
      <c r="G1870" s="123"/>
    </row>
    <row r="1871" spans="7:7" ht="12.75" x14ac:dyDescent="0.2">
      <c r="G1871" s="123"/>
    </row>
    <row r="1872" spans="7:7" ht="12.75" x14ac:dyDescent="0.2">
      <c r="G1872" s="123"/>
    </row>
    <row r="1873" spans="7:7" ht="12.75" x14ac:dyDescent="0.2">
      <c r="G1873" s="123"/>
    </row>
    <row r="1874" spans="7:7" ht="12.75" x14ac:dyDescent="0.2">
      <c r="G1874" s="123"/>
    </row>
    <row r="1875" spans="7:7" ht="12.75" x14ac:dyDescent="0.2">
      <c r="G1875" s="123"/>
    </row>
    <row r="1876" spans="7:7" ht="12.75" x14ac:dyDescent="0.2">
      <c r="G1876" s="123"/>
    </row>
    <row r="1877" spans="7:7" ht="12.75" x14ac:dyDescent="0.2">
      <c r="G1877" s="123"/>
    </row>
    <row r="1878" spans="7:7" ht="12.75" x14ac:dyDescent="0.2">
      <c r="G1878" s="123"/>
    </row>
    <row r="1879" spans="7:7" ht="12.75" x14ac:dyDescent="0.2">
      <c r="G1879" s="123"/>
    </row>
    <row r="1880" spans="7:7" ht="12.75" x14ac:dyDescent="0.2">
      <c r="G1880" s="123"/>
    </row>
    <row r="1881" spans="7:7" ht="12.75" x14ac:dyDescent="0.2">
      <c r="G1881" s="123"/>
    </row>
    <row r="1882" spans="7:7" ht="12.75" x14ac:dyDescent="0.2">
      <c r="G1882" s="123"/>
    </row>
    <row r="1883" spans="7:7" ht="12.75" x14ac:dyDescent="0.2">
      <c r="G1883" s="123"/>
    </row>
    <row r="1884" spans="7:7" ht="12.75" x14ac:dyDescent="0.2">
      <c r="G1884" s="123"/>
    </row>
    <row r="1885" spans="7:7" ht="12.75" x14ac:dyDescent="0.2">
      <c r="G1885" s="123"/>
    </row>
    <row r="1886" spans="7:7" ht="12.75" x14ac:dyDescent="0.2">
      <c r="G1886" s="123"/>
    </row>
    <row r="1887" spans="7:7" ht="12.75" x14ac:dyDescent="0.2">
      <c r="G1887" s="123"/>
    </row>
    <row r="1888" spans="7:7" ht="12.75" x14ac:dyDescent="0.2">
      <c r="G1888" s="123"/>
    </row>
    <row r="1889" spans="7:7" ht="12.75" x14ac:dyDescent="0.2">
      <c r="G1889" s="123"/>
    </row>
    <row r="1890" spans="7:7" ht="12.75" x14ac:dyDescent="0.2">
      <c r="G1890" s="123"/>
    </row>
    <row r="1891" spans="7:7" ht="12.75" x14ac:dyDescent="0.2">
      <c r="G1891" s="123"/>
    </row>
    <row r="1892" spans="7:7" ht="12.75" x14ac:dyDescent="0.2">
      <c r="G1892" s="123"/>
    </row>
    <row r="1893" spans="7:7" ht="12.75" x14ac:dyDescent="0.2">
      <c r="G1893" s="123"/>
    </row>
    <row r="1894" spans="7:7" ht="12.75" x14ac:dyDescent="0.2">
      <c r="G1894" s="123"/>
    </row>
    <row r="1895" spans="7:7" ht="12.75" x14ac:dyDescent="0.2">
      <c r="G1895" s="123"/>
    </row>
    <row r="1896" spans="7:7" ht="12.75" x14ac:dyDescent="0.2">
      <c r="G1896" s="123"/>
    </row>
    <row r="1897" spans="7:7" ht="12.75" x14ac:dyDescent="0.2">
      <c r="G1897" s="123"/>
    </row>
    <row r="1898" spans="7:7" ht="12.75" x14ac:dyDescent="0.2">
      <c r="G1898" s="123"/>
    </row>
    <row r="1899" spans="7:7" ht="12.75" x14ac:dyDescent="0.2">
      <c r="G1899" s="123"/>
    </row>
    <row r="1900" spans="7:7" ht="12.75" x14ac:dyDescent="0.2">
      <c r="G1900" s="123"/>
    </row>
    <row r="1901" spans="7:7" ht="12.75" x14ac:dyDescent="0.2">
      <c r="G1901" s="123"/>
    </row>
    <row r="1902" spans="7:7" ht="12.75" x14ac:dyDescent="0.2">
      <c r="G1902" s="123"/>
    </row>
    <row r="1903" spans="7:7" ht="12.75" x14ac:dyDescent="0.2">
      <c r="G1903" s="123"/>
    </row>
    <row r="1904" spans="7:7" ht="12.75" x14ac:dyDescent="0.2">
      <c r="G1904" s="123"/>
    </row>
    <row r="1905" spans="7:7" ht="12.75" x14ac:dyDescent="0.2">
      <c r="G1905" s="123"/>
    </row>
    <row r="1906" spans="7:7" ht="12.75" x14ac:dyDescent="0.2">
      <c r="G1906" s="123"/>
    </row>
    <row r="1907" spans="7:7" ht="12.75" x14ac:dyDescent="0.2">
      <c r="G1907" s="123"/>
    </row>
    <row r="1908" spans="7:7" ht="12.75" x14ac:dyDescent="0.2">
      <c r="G1908" s="123"/>
    </row>
    <row r="1909" spans="7:7" ht="12.75" x14ac:dyDescent="0.2">
      <c r="G1909" s="123"/>
    </row>
    <row r="1910" spans="7:7" ht="12.75" x14ac:dyDescent="0.2">
      <c r="G1910" s="123"/>
    </row>
    <row r="1911" spans="7:7" ht="12.75" x14ac:dyDescent="0.2">
      <c r="G1911" s="123"/>
    </row>
    <row r="1912" spans="7:7" ht="12.75" x14ac:dyDescent="0.2">
      <c r="G1912" s="123"/>
    </row>
    <row r="1913" spans="7:7" ht="12.75" x14ac:dyDescent="0.2">
      <c r="G1913" s="123"/>
    </row>
    <row r="1914" spans="7:7" ht="12.75" x14ac:dyDescent="0.2">
      <c r="G1914" s="123"/>
    </row>
    <row r="1915" spans="7:7" ht="12.75" x14ac:dyDescent="0.2">
      <c r="G1915" s="123"/>
    </row>
    <row r="1916" spans="7:7" ht="12.75" x14ac:dyDescent="0.2">
      <c r="G1916" s="123"/>
    </row>
    <row r="1917" spans="7:7" ht="12.75" x14ac:dyDescent="0.2">
      <c r="G1917" s="123"/>
    </row>
    <row r="1918" spans="7:7" ht="12.75" x14ac:dyDescent="0.2">
      <c r="G1918" s="123"/>
    </row>
    <row r="1919" spans="7:7" ht="12.75" x14ac:dyDescent="0.2">
      <c r="G1919" s="123"/>
    </row>
    <row r="1920" spans="7:7" ht="12.75" x14ac:dyDescent="0.2">
      <c r="G1920" s="123"/>
    </row>
  </sheetData>
  <pageMargins left="0.74803149606299213" right="0.74803149606299213" top="0.19685039370078741" bottom="0.19685039370078741" header="0" footer="0"/>
  <pageSetup paperSize="9" scale="90" orientation="portrait" useFirstPageNumber="1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98"/>
  <sheetViews>
    <sheetView zoomScale="115" zoomScaleNormal="115" workbookViewId="0">
      <selection activeCell="I507" sqref="I507"/>
    </sheetView>
  </sheetViews>
  <sheetFormatPr baseColWidth="10" defaultColWidth="11.42578125" defaultRowHeight="13.15" customHeight="1" x14ac:dyDescent="0.25"/>
  <cols>
    <col min="1" max="1" width="42.5703125" style="211" customWidth="1"/>
    <col min="2" max="2" width="8" style="211" customWidth="1"/>
    <col min="3" max="3" width="3" style="211" customWidth="1"/>
    <col min="4" max="4" width="7.5703125" style="211" customWidth="1"/>
    <col min="5" max="5" width="13.85546875" style="211" customWidth="1"/>
    <col min="6" max="6" width="15.85546875" style="211" customWidth="1"/>
    <col min="7" max="7" width="13.5703125" style="211" customWidth="1"/>
    <col min="8" max="8" width="14.85546875" style="211" customWidth="1"/>
    <col min="9" max="9" width="11.42578125" style="211" customWidth="1"/>
    <col min="10" max="16384" width="11.42578125" style="211"/>
  </cols>
  <sheetData>
    <row r="1" spans="1:7" ht="12.75" x14ac:dyDescent="0.25">
      <c r="A1" s="212" t="s">
        <v>80</v>
      </c>
      <c r="B1" s="213"/>
      <c r="C1" s="213"/>
      <c r="D1" s="213"/>
      <c r="E1" s="214" t="s">
        <v>849</v>
      </c>
      <c r="F1" s="215"/>
      <c r="G1" s="215"/>
    </row>
    <row r="2" spans="1:7" ht="12.75" x14ac:dyDescent="0.25">
      <c r="A2" s="70" t="s">
        <v>303</v>
      </c>
      <c r="B2" s="142"/>
      <c r="C2" s="186"/>
      <c r="D2" s="216"/>
      <c r="E2" s="186">
        <v>0</v>
      </c>
    </row>
    <row r="3" spans="1:7" ht="12.75" x14ac:dyDescent="0.25">
      <c r="A3" s="70" t="s">
        <v>850</v>
      </c>
      <c r="B3" s="142"/>
      <c r="C3" s="186"/>
      <c r="D3" s="216"/>
      <c r="E3" s="186">
        <v>10663404.48</v>
      </c>
    </row>
    <row r="4" spans="1:7" ht="12.75" x14ac:dyDescent="0.25">
      <c r="A4" s="70" t="s">
        <v>308</v>
      </c>
      <c r="B4" s="142"/>
      <c r="C4" s="186"/>
      <c r="D4" s="216"/>
      <c r="E4" s="186">
        <v>0</v>
      </c>
    </row>
    <row r="5" spans="1:7" ht="12.75" x14ac:dyDescent="0.25">
      <c r="A5" s="70" t="s">
        <v>312</v>
      </c>
      <c r="B5" s="142"/>
      <c r="C5" s="186"/>
      <c r="D5" s="216"/>
      <c r="E5" s="186">
        <v>8464196.790000001</v>
      </c>
    </row>
    <row r="6" spans="1:7" ht="12.75" x14ac:dyDescent="0.25">
      <c r="A6" s="70" t="s">
        <v>309</v>
      </c>
      <c r="B6" s="142"/>
      <c r="C6" s="186"/>
      <c r="D6" s="216"/>
      <c r="E6" s="186">
        <v>-23141.31</v>
      </c>
    </row>
    <row r="7" spans="1:7" ht="12.75" x14ac:dyDescent="0.25">
      <c r="A7" s="70" t="s">
        <v>310</v>
      </c>
      <c r="B7" s="142"/>
      <c r="C7" s="186"/>
      <c r="D7" s="216"/>
      <c r="E7" s="186">
        <v>3926.88</v>
      </c>
    </row>
    <row r="8" spans="1:7" ht="12.75" x14ac:dyDescent="0.25">
      <c r="A8" s="70" t="s">
        <v>306</v>
      </c>
      <c r="B8" s="142"/>
      <c r="C8" s="186"/>
      <c r="D8" s="216"/>
      <c r="E8" s="186">
        <v>1445749.5</v>
      </c>
    </row>
    <row r="9" spans="1:7" ht="12.75" x14ac:dyDescent="0.25">
      <c r="A9" s="70" t="s">
        <v>851</v>
      </c>
      <c r="B9" s="142"/>
      <c r="C9" s="186"/>
      <c r="D9" s="216"/>
      <c r="E9" s="186">
        <v>1667959397.47</v>
      </c>
    </row>
    <row r="10" spans="1:7" ht="12.75" x14ac:dyDescent="0.25">
      <c r="A10" s="70" t="s">
        <v>316</v>
      </c>
      <c r="B10" s="142"/>
      <c r="C10" s="186"/>
      <c r="D10" s="216"/>
      <c r="E10" s="186">
        <v>0</v>
      </c>
    </row>
    <row r="11" spans="1:7" ht="12.75" x14ac:dyDescent="0.25">
      <c r="A11" s="70" t="s">
        <v>318</v>
      </c>
      <c r="B11" s="142"/>
      <c r="C11" s="186"/>
      <c r="D11" s="216"/>
      <c r="E11" s="186">
        <v>0</v>
      </c>
    </row>
    <row r="12" spans="1:7" ht="12" customHeight="1" x14ac:dyDescent="0.25">
      <c r="A12" s="70" t="s">
        <v>320</v>
      </c>
      <c r="B12" s="142"/>
      <c r="C12" s="186"/>
      <c r="D12" s="216"/>
      <c r="E12" s="186">
        <v>7866857.0800000001</v>
      </c>
    </row>
    <row r="13" spans="1:7" ht="12.75" x14ac:dyDescent="0.25">
      <c r="A13" s="70" t="s">
        <v>322</v>
      </c>
      <c r="B13" s="142"/>
      <c r="C13" s="186"/>
      <c r="D13" s="216"/>
      <c r="E13" s="186">
        <v>52018352.270000003</v>
      </c>
    </row>
    <row r="14" spans="1:7" ht="12.75" x14ac:dyDescent="0.25">
      <c r="A14" s="70" t="s">
        <v>323</v>
      </c>
      <c r="B14" s="142"/>
      <c r="C14" s="186"/>
      <c r="D14" s="216"/>
      <c r="E14" s="186">
        <v>528747.09</v>
      </c>
    </row>
    <row r="15" spans="1:7" ht="12.75" x14ac:dyDescent="0.25">
      <c r="A15" s="70" t="s">
        <v>327</v>
      </c>
      <c r="B15" s="142"/>
      <c r="C15" s="186"/>
      <c r="D15" s="216"/>
      <c r="E15" s="186">
        <v>243686.59</v>
      </c>
    </row>
    <row r="16" spans="1:7" ht="12.75" x14ac:dyDescent="0.25">
      <c r="A16" s="70" t="s">
        <v>329</v>
      </c>
      <c r="B16" s="142"/>
      <c r="C16" s="186"/>
      <c r="D16" s="216"/>
      <c r="E16" s="186">
        <v>203599.05000000002</v>
      </c>
    </row>
    <row r="17" spans="1:5" ht="12.75" x14ac:dyDescent="0.25">
      <c r="A17" s="70" t="s">
        <v>331</v>
      </c>
      <c r="B17" s="142"/>
      <c r="C17" s="186"/>
      <c r="D17" s="216"/>
      <c r="E17" s="186">
        <v>45551974.829999998</v>
      </c>
    </row>
    <row r="18" spans="1:5" ht="12.75" x14ac:dyDescent="0.25">
      <c r="A18" s="70" t="s">
        <v>332</v>
      </c>
      <c r="B18" s="142"/>
      <c r="C18" s="186"/>
      <c r="D18" s="216"/>
      <c r="E18" s="186">
        <v>26028040.719999999</v>
      </c>
    </row>
    <row r="19" spans="1:5" ht="12.75" x14ac:dyDescent="0.25">
      <c r="A19" s="70" t="s">
        <v>333</v>
      </c>
      <c r="B19" s="142"/>
      <c r="C19" s="186"/>
      <c r="D19" s="216"/>
      <c r="E19" s="186">
        <v>0</v>
      </c>
    </row>
    <row r="20" spans="1:5" ht="12.75" x14ac:dyDescent="0.25">
      <c r="A20" s="70" t="s">
        <v>336</v>
      </c>
      <c r="B20" s="142"/>
      <c r="C20" s="186"/>
      <c r="D20" s="216"/>
      <c r="E20" s="186">
        <v>95935319.460000008</v>
      </c>
    </row>
    <row r="21" spans="1:5" ht="12.75" x14ac:dyDescent="0.25">
      <c r="A21" s="70" t="s">
        <v>338</v>
      </c>
      <c r="B21" s="142"/>
      <c r="C21" s="186"/>
      <c r="D21" s="216"/>
      <c r="E21" s="186">
        <v>908.12</v>
      </c>
    </row>
    <row r="22" spans="1:5" ht="12.75" x14ac:dyDescent="0.25">
      <c r="A22" s="70" t="s">
        <v>346</v>
      </c>
      <c r="B22" s="142"/>
      <c r="C22" s="186"/>
      <c r="D22" s="216"/>
      <c r="E22" s="186">
        <v>17397227.48</v>
      </c>
    </row>
    <row r="23" spans="1:5" ht="12.75" x14ac:dyDescent="0.25">
      <c r="A23" s="70" t="s">
        <v>347</v>
      </c>
      <c r="B23" s="142"/>
      <c r="C23" s="186"/>
      <c r="D23" s="216"/>
      <c r="E23" s="186">
        <v>323000</v>
      </c>
    </row>
    <row r="24" spans="1:5" ht="12.75" x14ac:dyDescent="0.25">
      <c r="A24" s="70" t="s">
        <v>340</v>
      </c>
      <c r="B24" s="186"/>
      <c r="C24" s="186"/>
      <c r="D24" s="216"/>
      <c r="E24" s="186">
        <v>6297405.2199999997</v>
      </c>
    </row>
    <row r="25" spans="1:5" ht="12.75" x14ac:dyDescent="0.25">
      <c r="A25" s="70" t="s">
        <v>342</v>
      </c>
      <c r="B25" s="186"/>
      <c r="C25" s="186"/>
      <c r="D25" s="216"/>
      <c r="E25" s="186">
        <v>154199532</v>
      </c>
    </row>
    <row r="26" spans="1:5" ht="12.75" x14ac:dyDescent="0.25">
      <c r="A26" s="70" t="s">
        <v>350</v>
      </c>
      <c r="B26" s="142"/>
      <c r="C26" s="186"/>
      <c r="D26" s="216"/>
      <c r="E26" s="186">
        <v>108200</v>
      </c>
    </row>
    <row r="27" spans="1:5" ht="12.75" x14ac:dyDescent="0.25">
      <c r="A27" s="70" t="s">
        <v>352</v>
      </c>
      <c r="B27" s="142"/>
      <c r="C27" s="186"/>
      <c r="D27" s="216"/>
      <c r="E27" s="186">
        <v>7137147.1400000006</v>
      </c>
    </row>
    <row r="28" spans="1:5" ht="12.75" x14ac:dyDescent="0.25">
      <c r="A28" s="70" t="s">
        <v>354</v>
      </c>
      <c r="B28" s="70"/>
      <c r="C28" s="70"/>
      <c r="D28" s="70"/>
      <c r="E28" s="186">
        <v>2163642.25</v>
      </c>
    </row>
    <row r="29" spans="1:5" ht="12.75" x14ac:dyDescent="0.25">
      <c r="A29" s="70" t="s">
        <v>355</v>
      </c>
      <c r="B29" s="142"/>
      <c r="C29" s="186"/>
      <c r="D29" s="216"/>
      <c r="E29" s="186">
        <v>1676263.99</v>
      </c>
    </row>
    <row r="30" spans="1:5" ht="12.75" x14ac:dyDescent="0.25">
      <c r="A30" s="70" t="s">
        <v>356</v>
      </c>
      <c r="B30" s="142"/>
      <c r="C30" s="186"/>
      <c r="D30" s="216"/>
      <c r="E30" s="186">
        <v>8463010.9199999999</v>
      </c>
    </row>
    <row r="31" spans="1:5" ht="12.75" x14ac:dyDescent="0.25">
      <c r="A31" s="70" t="s">
        <v>357</v>
      </c>
      <c r="B31" s="142"/>
      <c r="C31" s="186"/>
      <c r="D31" s="216"/>
      <c r="E31" s="186">
        <v>5117083.33</v>
      </c>
    </row>
    <row r="32" spans="1:5" ht="12.75" x14ac:dyDescent="0.25">
      <c r="A32" s="70" t="s">
        <v>364</v>
      </c>
      <c r="B32" s="142"/>
      <c r="C32" s="186"/>
      <c r="D32" s="216"/>
      <c r="E32" s="186">
        <v>20790195.080000002</v>
      </c>
    </row>
    <row r="33" spans="1:8" ht="12.75" x14ac:dyDescent="0.25">
      <c r="A33" s="70" t="s">
        <v>371</v>
      </c>
      <c r="B33" s="142"/>
      <c r="C33" s="186"/>
      <c r="D33" s="216"/>
      <c r="E33" s="186">
        <v>23184450.990000002</v>
      </c>
    </row>
    <row r="34" spans="1:8" ht="12.75" x14ac:dyDescent="0.25">
      <c r="A34" s="70" t="s">
        <v>374</v>
      </c>
      <c r="B34" s="142"/>
      <c r="C34" s="186"/>
      <c r="D34" s="216"/>
      <c r="E34" s="186">
        <v>1598074.09</v>
      </c>
    </row>
    <row r="35" spans="1:8" ht="12.75" x14ac:dyDescent="0.25">
      <c r="A35" s="70" t="s">
        <v>358</v>
      </c>
      <c r="B35" s="142"/>
      <c r="C35" s="186"/>
      <c r="D35" s="216"/>
      <c r="E35" s="186">
        <v>-3124708.59</v>
      </c>
    </row>
    <row r="36" spans="1:8" ht="12.75" x14ac:dyDescent="0.25">
      <c r="A36" s="70" t="s">
        <v>360</v>
      </c>
      <c r="B36" s="142"/>
      <c r="C36" s="186"/>
      <c r="D36" s="216"/>
      <c r="E36" s="186">
        <v>-1499006.23</v>
      </c>
    </row>
    <row r="37" spans="1:8" ht="12.75" x14ac:dyDescent="0.25">
      <c r="A37" s="70" t="s">
        <v>362</v>
      </c>
      <c r="B37" s="142"/>
      <c r="C37" s="186"/>
      <c r="D37" s="216"/>
      <c r="E37" s="186">
        <v>-776376.57000000007</v>
      </c>
    </row>
    <row r="38" spans="1:8" ht="12.75" x14ac:dyDescent="0.25">
      <c r="A38" s="70" t="s">
        <v>365</v>
      </c>
      <c r="B38" s="142"/>
      <c r="C38" s="186"/>
      <c r="D38" s="216"/>
      <c r="E38" s="186">
        <v>-4436234.05</v>
      </c>
    </row>
    <row r="39" spans="1:8" ht="12.75" x14ac:dyDescent="0.25">
      <c r="A39" s="70" t="s">
        <v>367</v>
      </c>
      <c r="B39" s="142"/>
      <c r="C39" s="186"/>
      <c r="D39" s="216"/>
      <c r="E39" s="186">
        <v>-5117083.33</v>
      </c>
    </row>
    <row r="40" spans="1:8" ht="12.75" x14ac:dyDescent="0.25">
      <c r="A40" s="70" t="s">
        <v>369</v>
      </c>
      <c r="B40" s="142"/>
      <c r="C40" s="186"/>
      <c r="D40" s="216"/>
      <c r="E40" s="186">
        <v>-19606049.32</v>
      </c>
    </row>
    <row r="41" spans="1:8" ht="12.75" x14ac:dyDescent="0.25">
      <c r="A41" s="70" t="s">
        <v>372</v>
      </c>
      <c r="B41" s="142"/>
      <c r="C41" s="186"/>
      <c r="D41" s="216"/>
      <c r="E41" s="186">
        <v>-10204568.26</v>
      </c>
    </row>
    <row r="42" spans="1:8" ht="12.75" x14ac:dyDescent="0.25">
      <c r="A42" s="70" t="s">
        <v>375</v>
      </c>
      <c r="B42" s="142"/>
      <c r="C42" s="186"/>
      <c r="D42" s="216"/>
      <c r="E42" s="186">
        <v>-617752.65</v>
      </c>
    </row>
    <row r="43" spans="1:8" ht="12.75" x14ac:dyDescent="0.25">
      <c r="A43" s="70" t="s">
        <v>377</v>
      </c>
      <c r="B43" s="142"/>
      <c r="C43" s="186"/>
      <c r="D43" s="216"/>
      <c r="E43" s="186">
        <v>5439067</v>
      </c>
    </row>
    <row r="44" spans="1:8" ht="12.75" x14ac:dyDescent="0.25">
      <c r="A44" s="70" t="s">
        <v>852</v>
      </c>
      <c r="E44" s="186">
        <v>0</v>
      </c>
    </row>
    <row r="45" spans="1:8" ht="12.75" x14ac:dyDescent="0.25">
      <c r="A45" s="70" t="s">
        <v>325</v>
      </c>
      <c r="E45" s="186">
        <v>0</v>
      </c>
    </row>
    <row r="46" spans="1:8" ht="12.75" hidden="1" x14ac:dyDescent="0.25">
      <c r="A46" s="70" t="s">
        <v>378</v>
      </c>
      <c r="B46" s="142"/>
      <c r="C46" s="186"/>
      <c r="D46" s="216"/>
      <c r="E46" s="186">
        <v>32772165</v>
      </c>
    </row>
    <row r="47" spans="1:8" ht="12.75" hidden="1" x14ac:dyDescent="0.25">
      <c r="A47" s="70"/>
      <c r="B47" s="142"/>
      <c r="C47" s="186"/>
      <c r="D47" s="216"/>
      <c r="G47" s="217" t="s">
        <v>853</v>
      </c>
      <c r="H47" s="218" t="s">
        <v>445</v>
      </c>
    </row>
    <row r="48" spans="1:8" ht="12.75" hidden="1" x14ac:dyDescent="0.25">
      <c r="A48" s="70"/>
      <c r="B48" s="142"/>
      <c r="C48" s="186"/>
      <c r="D48" s="216"/>
      <c r="E48" s="186"/>
      <c r="H48" s="219"/>
    </row>
    <row r="49" spans="1:9" ht="12.75" hidden="1" x14ac:dyDescent="0.25">
      <c r="A49" s="70"/>
      <c r="B49" s="142"/>
      <c r="C49" s="186"/>
      <c r="D49" s="216"/>
      <c r="E49" s="186"/>
      <c r="H49" s="219"/>
    </row>
    <row r="50" spans="1:9" ht="12.75" x14ac:dyDescent="0.25">
      <c r="A50" s="70"/>
      <c r="B50" s="142"/>
      <c r="C50" s="186"/>
      <c r="D50" s="216"/>
      <c r="E50" s="186"/>
      <c r="H50" s="219"/>
    </row>
    <row r="51" spans="1:9" ht="12.75" x14ac:dyDescent="0.25">
      <c r="A51" s="142"/>
      <c r="B51" s="142"/>
      <c r="C51" s="186"/>
      <c r="D51" s="216"/>
      <c r="E51" s="186"/>
      <c r="H51" s="219"/>
    </row>
    <row r="52" spans="1:9" ht="12.75" x14ac:dyDescent="0.25">
      <c r="A52" s="142"/>
      <c r="B52" s="142"/>
      <c r="C52" s="186"/>
      <c r="D52" s="216"/>
      <c r="E52" s="186"/>
      <c r="G52" s="41">
        <v>2003976172.51</v>
      </c>
      <c r="H52" s="220">
        <f>+G52-E54</f>
        <v>-154199531.99999928</v>
      </c>
    </row>
    <row r="53" spans="1:9" ht="12.75" x14ac:dyDescent="0.25">
      <c r="A53" s="142"/>
      <c r="B53" s="142"/>
      <c r="C53" s="186"/>
      <c r="D53" s="216"/>
      <c r="E53" s="186"/>
      <c r="H53" s="41"/>
      <c r="I53" s="221"/>
    </row>
    <row r="54" spans="1:9" ht="12.75" x14ac:dyDescent="0.25">
      <c r="A54" s="142"/>
      <c r="B54" s="142"/>
      <c r="C54" s="186"/>
      <c r="D54" s="216"/>
      <c r="E54" s="41">
        <f>SUM(E2:E53)</f>
        <v>2158175704.5099993</v>
      </c>
      <c r="F54" s="41">
        <f>+SUM(SALDOS!G3:G61)</f>
        <v>2158175704.5099998</v>
      </c>
      <c r="G54" s="41">
        <f>+E54-F54</f>
        <v>0</v>
      </c>
    </row>
    <row r="55" spans="1:9" ht="12.75" x14ac:dyDescent="0.25">
      <c r="A55" s="142"/>
      <c r="B55" s="142"/>
      <c r="C55" s="186"/>
      <c r="D55" s="186"/>
      <c r="E55" s="186"/>
      <c r="F55" s="41">
        <f>+Balance!F21</f>
        <v>2158175704.5099998</v>
      </c>
      <c r="G55" s="41">
        <f>+F55-E54</f>
        <v>0</v>
      </c>
    </row>
    <row r="56" spans="1:9" ht="12.75" x14ac:dyDescent="0.25">
      <c r="A56" s="142"/>
      <c r="B56" s="142"/>
      <c r="C56" s="186"/>
      <c r="D56" s="186"/>
      <c r="E56" s="186"/>
      <c r="F56" s="221"/>
      <c r="G56" s="221"/>
    </row>
    <row r="57" spans="1:9" ht="12.75" hidden="1" x14ac:dyDescent="0.25">
      <c r="A57" s="142"/>
      <c r="B57" s="142"/>
      <c r="C57" s="186"/>
      <c r="D57" s="186"/>
      <c r="E57" s="186"/>
      <c r="F57" s="221"/>
      <c r="G57" s="221"/>
    </row>
    <row r="58" spans="1:9" s="222" customFormat="1" ht="12.75" hidden="1" x14ac:dyDescent="0.25">
      <c r="A58" s="223" t="s">
        <v>7</v>
      </c>
      <c r="B58" s="223"/>
      <c r="C58" s="223"/>
      <c r="D58" s="223"/>
      <c r="E58" s="223"/>
      <c r="F58" s="223" t="s">
        <v>854</v>
      </c>
      <c r="G58" s="223"/>
    </row>
    <row r="59" spans="1:9" ht="12.75" hidden="1" x14ac:dyDescent="0.25">
      <c r="A59" s="70" t="s">
        <v>381</v>
      </c>
      <c r="B59" s="142"/>
      <c r="C59" s="186"/>
      <c r="D59" s="186"/>
      <c r="E59" s="186">
        <v>112281.77</v>
      </c>
    </row>
    <row r="60" spans="1:9" ht="12.75" hidden="1" x14ac:dyDescent="0.25">
      <c r="A60" s="70" t="s">
        <v>383</v>
      </c>
      <c r="B60" s="142"/>
      <c r="C60" s="186"/>
      <c r="D60" s="186"/>
      <c r="E60" s="186">
        <v>-108900</v>
      </c>
    </row>
    <row r="61" spans="1:9" ht="12.75" hidden="1" x14ac:dyDescent="0.25">
      <c r="A61" s="70" t="s">
        <v>855</v>
      </c>
      <c r="B61" s="142"/>
      <c r="C61" s="186"/>
      <c r="D61" s="186"/>
      <c r="E61" s="186">
        <v>0</v>
      </c>
    </row>
    <row r="62" spans="1:9" ht="12.75" hidden="1" x14ac:dyDescent="0.25">
      <c r="A62" s="70" t="s">
        <v>384</v>
      </c>
      <c r="B62" s="142"/>
      <c r="C62" s="186"/>
      <c r="D62" s="186"/>
      <c r="E62" s="186">
        <v>-37700</v>
      </c>
    </row>
    <row r="63" spans="1:9" ht="12.75" hidden="1" x14ac:dyDescent="0.25">
      <c r="A63" s="70" t="s">
        <v>385</v>
      </c>
      <c r="B63" s="142"/>
      <c r="C63" s="186"/>
      <c r="D63" s="186"/>
      <c r="E63" s="186">
        <v>-45216.89</v>
      </c>
    </row>
    <row r="64" spans="1:9" ht="12.75" hidden="1" x14ac:dyDescent="0.25">
      <c r="A64" s="70" t="s">
        <v>386</v>
      </c>
      <c r="B64" s="142"/>
      <c r="C64" s="186"/>
      <c r="D64" s="186"/>
      <c r="E64" s="186">
        <v>379251.49</v>
      </c>
    </row>
    <row r="65" spans="1:5" ht="12.75" hidden="1" x14ac:dyDescent="0.25">
      <c r="A65" s="70" t="s">
        <v>387</v>
      </c>
      <c r="B65" s="142"/>
      <c r="C65" s="186"/>
      <c r="D65" s="186"/>
      <c r="E65" s="186">
        <v>-50000</v>
      </c>
    </row>
    <row r="66" spans="1:5" ht="12.75" hidden="1" x14ac:dyDescent="0.25">
      <c r="A66" s="70" t="s">
        <v>388</v>
      </c>
      <c r="B66" s="142"/>
      <c r="C66" s="186"/>
      <c r="D66" s="186"/>
      <c r="E66" s="186">
        <v>-20786.650000000001</v>
      </c>
    </row>
    <row r="67" spans="1:5" ht="12.75" hidden="1" x14ac:dyDescent="0.25">
      <c r="A67" s="70" t="s">
        <v>389</v>
      </c>
      <c r="B67" s="142"/>
      <c r="C67" s="186"/>
      <c r="D67" s="186"/>
      <c r="E67" s="186">
        <v>-3087400</v>
      </c>
    </row>
    <row r="68" spans="1:5" ht="12.75" hidden="1" x14ac:dyDescent="0.25">
      <c r="A68" s="70" t="s">
        <v>390</v>
      </c>
      <c r="B68" s="142"/>
      <c r="C68" s="186"/>
      <c r="D68" s="186"/>
      <c r="E68" s="186">
        <v>-107500</v>
      </c>
    </row>
    <row r="69" spans="1:5" ht="12.75" hidden="1" x14ac:dyDescent="0.25">
      <c r="A69" s="70" t="s">
        <v>391</v>
      </c>
      <c r="B69" s="142"/>
      <c r="C69" s="186"/>
      <c r="D69" s="186"/>
      <c r="E69" s="186">
        <v>602391.95000000007</v>
      </c>
    </row>
    <row r="70" spans="1:5" ht="12.75" hidden="1" x14ac:dyDescent="0.25">
      <c r="A70" s="70" t="s">
        <v>392</v>
      </c>
      <c r="B70" s="142"/>
      <c r="C70" s="186"/>
      <c r="D70" s="186"/>
      <c r="E70" s="186">
        <v>57904.46</v>
      </c>
    </row>
    <row r="71" spans="1:5" ht="12.75" hidden="1" x14ac:dyDescent="0.25">
      <c r="A71" s="70" t="s">
        <v>394</v>
      </c>
      <c r="B71" s="142"/>
      <c r="C71" s="186"/>
      <c r="D71" s="186"/>
      <c r="E71" s="186">
        <v>1474033.77</v>
      </c>
    </row>
    <row r="72" spans="1:5" ht="12.75" hidden="1" x14ac:dyDescent="0.25">
      <c r="A72" s="70" t="s">
        <v>395</v>
      </c>
      <c r="B72" s="142"/>
      <c r="C72" s="186"/>
      <c r="D72" s="186"/>
      <c r="E72" s="186">
        <v>-1600900.31</v>
      </c>
    </row>
    <row r="73" spans="1:5" ht="12.75" hidden="1" x14ac:dyDescent="0.25">
      <c r="A73" s="70" t="s">
        <v>396</v>
      </c>
      <c r="B73" s="142"/>
      <c r="C73" s="186"/>
      <c r="D73" s="186"/>
      <c r="E73" s="186">
        <v>-1200000</v>
      </c>
    </row>
    <row r="74" spans="1:5" ht="12.75" hidden="1" x14ac:dyDescent="0.25">
      <c r="A74" s="70" t="s">
        <v>397</v>
      </c>
      <c r="B74" s="142"/>
      <c r="C74" s="186"/>
      <c r="D74" s="186"/>
      <c r="E74" s="186">
        <v>4602127.71</v>
      </c>
    </row>
    <row r="75" spans="1:5" ht="12.75" hidden="1" x14ac:dyDescent="0.25">
      <c r="A75" s="70" t="s">
        <v>398</v>
      </c>
      <c r="B75" s="142"/>
      <c r="C75" s="186"/>
      <c r="D75" s="186"/>
      <c r="E75" s="186">
        <v>-670000</v>
      </c>
    </row>
    <row r="76" spans="1:5" ht="12.75" hidden="1" x14ac:dyDescent="0.25">
      <c r="A76" s="70" t="s">
        <v>399</v>
      </c>
      <c r="B76" s="142"/>
      <c r="C76" s="186"/>
      <c r="D76" s="186"/>
      <c r="E76" s="186">
        <v>-505770</v>
      </c>
    </row>
    <row r="77" spans="1:5" ht="12.75" hidden="1" x14ac:dyDescent="0.25">
      <c r="A77" s="70" t="s">
        <v>400</v>
      </c>
      <c r="B77" s="142"/>
      <c r="C77" s="186"/>
      <c r="D77" s="186"/>
      <c r="E77" s="186">
        <v>220000</v>
      </c>
    </row>
    <row r="78" spans="1:5" ht="12.75" hidden="1" x14ac:dyDescent="0.25">
      <c r="A78" s="70" t="s">
        <v>401</v>
      </c>
      <c r="B78" s="142"/>
      <c r="C78" s="186"/>
      <c r="D78" s="186"/>
      <c r="E78" s="186">
        <v>-72600</v>
      </c>
    </row>
    <row r="79" spans="1:5" ht="12.75" hidden="1" x14ac:dyDescent="0.25">
      <c r="A79" s="70" t="s">
        <v>856</v>
      </c>
      <c r="B79" s="142"/>
      <c r="C79" s="186"/>
      <c r="D79" s="186"/>
      <c r="E79" s="186">
        <v>0</v>
      </c>
    </row>
    <row r="80" spans="1:5" ht="12.75" hidden="1" x14ac:dyDescent="0.25">
      <c r="A80" s="70" t="s">
        <v>857</v>
      </c>
      <c r="B80" s="142"/>
      <c r="C80" s="186"/>
      <c r="D80" s="186"/>
      <c r="E80" s="186">
        <v>0</v>
      </c>
    </row>
    <row r="81" spans="1:8" ht="12.75" hidden="1" x14ac:dyDescent="0.25">
      <c r="A81" s="70" t="s">
        <v>403</v>
      </c>
      <c r="B81" s="142"/>
      <c r="C81" s="186"/>
      <c r="D81" s="186"/>
      <c r="E81" s="186">
        <v>576899.75</v>
      </c>
    </row>
    <row r="82" spans="1:8" ht="12.75" hidden="1" x14ac:dyDescent="0.25">
      <c r="A82" s="70" t="s">
        <v>404</v>
      </c>
      <c r="B82" s="142"/>
      <c r="C82" s="186"/>
      <c r="D82" s="186"/>
      <c r="E82" s="186">
        <v>5908.99</v>
      </c>
    </row>
    <row r="83" spans="1:8" ht="12.75" hidden="1" x14ac:dyDescent="0.25">
      <c r="A83" s="70" t="s">
        <v>405</v>
      </c>
      <c r="B83" s="142"/>
      <c r="C83" s="186"/>
      <c r="D83" s="186"/>
      <c r="E83" s="186">
        <v>-54.02</v>
      </c>
    </row>
    <row r="84" spans="1:8" ht="12.75" hidden="1" x14ac:dyDescent="0.25">
      <c r="A84" s="70" t="s">
        <v>858</v>
      </c>
      <c r="B84" s="142"/>
      <c r="C84" s="186"/>
      <c r="D84" s="186"/>
      <c r="E84" s="186">
        <v>0</v>
      </c>
    </row>
    <row r="85" spans="1:8" ht="12.75" hidden="1" x14ac:dyDescent="0.25">
      <c r="A85" s="70" t="s">
        <v>407</v>
      </c>
      <c r="B85" s="142"/>
      <c r="C85" s="186"/>
      <c r="D85" s="186"/>
      <c r="E85" s="186">
        <v>-69412.320000000007</v>
      </c>
    </row>
    <row r="86" spans="1:8" ht="12.75" hidden="1" x14ac:dyDescent="0.25">
      <c r="A86" s="70" t="s">
        <v>408</v>
      </c>
      <c r="B86" s="142"/>
      <c r="C86" s="186"/>
      <c r="D86" s="186"/>
      <c r="E86" s="186">
        <v>552223.43000000005</v>
      </c>
    </row>
    <row r="87" spans="1:8" ht="12.75" hidden="1" x14ac:dyDescent="0.25">
      <c r="A87" s="70" t="s">
        <v>409</v>
      </c>
      <c r="B87" s="142"/>
      <c r="C87" s="186"/>
      <c r="D87" s="186"/>
      <c r="E87" s="186">
        <v>-1034561.61</v>
      </c>
    </row>
    <row r="88" spans="1:8" ht="12.75" hidden="1" x14ac:dyDescent="0.25">
      <c r="A88" s="70" t="s">
        <v>410</v>
      </c>
      <c r="B88" s="142"/>
      <c r="C88" s="186"/>
      <c r="D88" s="216"/>
      <c r="E88" s="186">
        <v>-41000</v>
      </c>
      <c r="H88" s="221"/>
    </row>
    <row r="89" spans="1:8" ht="12.75" hidden="1" x14ac:dyDescent="0.25">
      <c r="A89" s="70" t="s">
        <v>859</v>
      </c>
      <c r="B89" s="142"/>
      <c r="C89" s="186"/>
      <c r="D89" s="186"/>
      <c r="E89" s="186">
        <v>0</v>
      </c>
    </row>
    <row r="90" spans="1:8" ht="12.75" hidden="1" x14ac:dyDescent="0.25">
      <c r="A90" s="70" t="s">
        <v>411</v>
      </c>
      <c r="B90" s="142"/>
      <c r="C90" s="186"/>
      <c r="D90" s="186"/>
      <c r="E90" s="186">
        <v>-586449.80000000005</v>
      </c>
    </row>
    <row r="91" spans="1:8" ht="12.75" hidden="1" x14ac:dyDescent="0.25">
      <c r="A91" s="70" t="s">
        <v>412</v>
      </c>
      <c r="B91" s="142"/>
      <c r="C91" s="186"/>
      <c r="D91" s="186"/>
      <c r="E91" s="186">
        <v>321371.55</v>
      </c>
    </row>
    <row r="92" spans="1:8" ht="12.75" hidden="1" x14ac:dyDescent="0.25">
      <c r="A92" s="70" t="s">
        <v>413</v>
      </c>
      <c r="B92" s="142"/>
      <c r="C92" s="186"/>
      <c r="D92" s="186"/>
      <c r="E92" s="186">
        <v>68889.09</v>
      </c>
    </row>
    <row r="93" spans="1:8" ht="12.75" hidden="1" x14ac:dyDescent="0.25">
      <c r="A93" s="70" t="s">
        <v>414</v>
      </c>
      <c r="B93" s="142"/>
      <c r="C93" s="186"/>
      <c r="D93" s="186"/>
      <c r="E93" s="186">
        <v>-571725</v>
      </c>
    </row>
    <row r="94" spans="1:8" ht="12.75" hidden="1" x14ac:dyDescent="0.25">
      <c r="A94" s="70" t="s">
        <v>416</v>
      </c>
      <c r="B94" s="142"/>
      <c r="C94" s="186"/>
      <c r="D94" s="186"/>
      <c r="E94" s="186">
        <v>-10000</v>
      </c>
    </row>
    <row r="95" spans="1:8" ht="12.75" hidden="1" x14ac:dyDescent="0.25">
      <c r="A95" s="70" t="s">
        <v>418</v>
      </c>
      <c r="B95" s="142"/>
      <c r="C95" s="186"/>
      <c r="D95" s="186"/>
      <c r="E95" s="186">
        <v>337561.59</v>
      </c>
    </row>
    <row r="96" spans="1:8" ht="12.75" hidden="1" x14ac:dyDescent="0.25">
      <c r="A96" s="70" t="s">
        <v>860</v>
      </c>
      <c r="B96" s="142"/>
      <c r="C96" s="186"/>
      <c r="D96" s="186"/>
      <c r="E96" s="186">
        <v>0</v>
      </c>
    </row>
    <row r="97" spans="1:5" ht="12.75" hidden="1" x14ac:dyDescent="0.25">
      <c r="A97" s="70" t="s">
        <v>861</v>
      </c>
      <c r="B97" s="142"/>
      <c r="C97" s="186"/>
      <c r="D97" s="186"/>
      <c r="E97" s="186">
        <v>0</v>
      </c>
    </row>
    <row r="98" spans="1:5" ht="12.75" hidden="1" x14ac:dyDescent="0.25">
      <c r="A98" s="70" t="s">
        <v>862</v>
      </c>
      <c r="B98" s="142"/>
      <c r="C98" s="186"/>
      <c r="D98" s="186"/>
      <c r="E98" s="186">
        <v>0</v>
      </c>
    </row>
    <row r="99" spans="1:5" ht="12.75" hidden="1" x14ac:dyDescent="0.25">
      <c r="A99" s="70" t="s">
        <v>863</v>
      </c>
      <c r="B99" s="142"/>
      <c r="C99" s="186"/>
      <c r="D99" s="186"/>
      <c r="E99" s="186">
        <v>0</v>
      </c>
    </row>
    <row r="100" spans="1:5" ht="12.75" hidden="1" x14ac:dyDescent="0.25">
      <c r="A100" s="70" t="s">
        <v>422</v>
      </c>
      <c r="B100" s="142"/>
      <c r="C100" s="186"/>
      <c r="D100" s="186"/>
      <c r="E100" s="186">
        <v>-57760</v>
      </c>
    </row>
    <row r="101" spans="1:5" ht="12.75" hidden="1" x14ac:dyDescent="0.25">
      <c r="A101" s="70" t="s">
        <v>452</v>
      </c>
      <c r="B101" s="142"/>
      <c r="C101" s="186"/>
      <c r="D101" s="186"/>
      <c r="E101" s="186">
        <v>-1335.23</v>
      </c>
    </row>
    <row r="102" spans="1:5" ht="12.75" hidden="1" x14ac:dyDescent="0.25">
      <c r="A102" s="70" t="s">
        <v>443</v>
      </c>
      <c r="B102" s="142"/>
      <c r="C102" s="186"/>
      <c r="D102" s="186"/>
      <c r="E102" s="186">
        <v>-45551975</v>
      </c>
    </row>
    <row r="103" spans="1:5" ht="12.75" hidden="1" x14ac:dyDescent="0.25">
      <c r="A103" s="70" t="s">
        <v>444</v>
      </c>
      <c r="B103" s="142"/>
      <c r="C103" s="186"/>
      <c r="D103" s="186"/>
      <c r="E103" s="186">
        <v>-772433.68</v>
      </c>
    </row>
    <row r="104" spans="1:5" ht="12.75" hidden="1" x14ac:dyDescent="0.25">
      <c r="A104" s="70" t="s">
        <v>448</v>
      </c>
      <c r="B104" s="142"/>
      <c r="C104" s="186"/>
      <c r="D104" s="186"/>
      <c r="E104" s="186">
        <v>-38149531.82</v>
      </c>
    </row>
    <row r="105" spans="1:5" ht="12.75" hidden="1" x14ac:dyDescent="0.25">
      <c r="A105" s="70" t="s">
        <v>437</v>
      </c>
      <c r="B105" s="142"/>
      <c r="C105" s="186"/>
      <c r="D105" s="186"/>
      <c r="E105" s="186">
        <v>-39510574.149999999</v>
      </c>
    </row>
    <row r="106" spans="1:5" ht="12.75" hidden="1" x14ac:dyDescent="0.25">
      <c r="A106" s="70" t="s">
        <v>436</v>
      </c>
      <c r="B106" s="142"/>
      <c r="C106" s="186"/>
      <c r="D106" s="186"/>
      <c r="E106" s="186">
        <v>-199168357.75999999</v>
      </c>
    </row>
    <row r="107" spans="1:5" ht="12.75" hidden="1" x14ac:dyDescent="0.25">
      <c r="A107" s="70" t="s">
        <v>453</v>
      </c>
      <c r="B107" s="142"/>
      <c r="C107" s="186"/>
      <c r="D107" s="186"/>
      <c r="E107" s="186">
        <v>-19744</v>
      </c>
    </row>
    <row r="108" spans="1:5" ht="12.75" hidden="1" x14ac:dyDescent="0.25">
      <c r="A108" s="70"/>
      <c r="B108" s="142"/>
      <c r="C108" s="186"/>
      <c r="D108" s="186"/>
      <c r="E108" s="186"/>
    </row>
    <row r="109" spans="1:5" ht="12.75" hidden="1" x14ac:dyDescent="0.25">
      <c r="A109" s="70"/>
      <c r="B109" s="142"/>
      <c r="C109" s="186"/>
      <c r="D109" s="186"/>
      <c r="E109" s="186"/>
    </row>
    <row r="110" spans="1:5" ht="12.75" hidden="1" x14ac:dyDescent="0.25">
      <c r="A110" s="70"/>
      <c r="B110" s="142"/>
      <c r="C110" s="186"/>
      <c r="D110" s="186"/>
      <c r="E110" s="186"/>
    </row>
    <row r="111" spans="1:5" ht="12.75" hidden="1" x14ac:dyDescent="0.25">
      <c r="A111" s="70"/>
      <c r="B111" s="142"/>
      <c r="C111" s="186"/>
      <c r="D111" s="186"/>
      <c r="E111" s="186"/>
    </row>
    <row r="112" spans="1:5" ht="12.75" hidden="1" x14ac:dyDescent="0.25">
      <c r="A112" s="70"/>
      <c r="B112" s="142"/>
      <c r="C112" s="186"/>
      <c r="D112" s="186"/>
      <c r="E112" s="186"/>
    </row>
    <row r="113" spans="1:5" ht="12.75" hidden="1" x14ac:dyDescent="0.25">
      <c r="A113" s="70"/>
      <c r="B113" s="142"/>
      <c r="C113" s="186"/>
      <c r="D113" s="186"/>
      <c r="E113" s="186"/>
    </row>
    <row r="114" spans="1:5" ht="12.75" hidden="1" x14ac:dyDescent="0.25">
      <c r="A114" s="70"/>
      <c r="B114" s="142"/>
      <c r="C114" s="186"/>
      <c r="D114" s="186"/>
      <c r="E114" s="186"/>
    </row>
    <row r="115" spans="1:5" ht="12.75" hidden="1" x14ac:dyDescent="0.25">
      <c r="A115" s="70"/>
      <c r="B115" s="142"/>
      <c r="C115" s="186"/>
      <c r="D115" s="186"/>
      <c r="E115" s="186"/>
    </row>
    <row r="116" spans="1:5" ht="12.75" hidden="1" x14ac:dyDescent="0.25">
      <c r="A116" s="70"/>
      <c r="B116" s="142"/>
      <c r="C116" s="186"/>
      <c r="D116" s="186"/>
      <c r="E116" s="186"/>
    </row>
    <row r="117" spans="1:5" ht="12.75" hidden="1" x14ac:dyDescent="0.25">
      <c r="A117" s="70"/>
      <c r="B117" s="142"/>
      <c r="C117" s="186"/>
      <c r="D117" s="186"/>
      <c r="E117" s="186"/>
    </row>
    <row r="118" spans="1:5" ht="12.75" hidden="1" x14ac:dyDescent="0.25">
      <c r="A118" s="70"/>
      <c r="B118" s="142"/>
      <c r="C118" s="186"/>
      <c r="D118" s="186"/>
      <c r="E118" s="186"/>
    </row>
    <row r="119" spans="1:5" ht="12.75" hidden="1" x14ac:dyDescent="0.25">
      <c r="A119" s="70"/>
      <c r="B119" s="142"/>
      <c r="C119" s="186"/>
      <c r="D119" s="186"/>
      <c r="E119" s="186"/>
    </row>
    <row r="120" spans="1:5" ht="12.75" hidden="1" x14ac:dyDescent="0.25">
      <c r="A120" s="70"/>
      <c r="B120" s="142"/>
      <c r="C120" s="186"/>
      <c r="D120" s="186"/>
      <c r="E120" s="186"/>
    </row>
    <row r="121" spans="1:5" ht="12.75" hidden="1" x14ac:dyDescent="0.25">
      <c r="A121" s="70"/>
      <c r="B121" s="142"/>
      <c r="C121" s="186"/>
      <c r="D121" s="186"/>
      <c r="E121" s="186"/>
    </row>
    <row r="122" spans="1:5" ht="12.75" hidden="1" x14ac:dyDescent="0.25">
      <c r="A122" s="70"/>
      <c r="B122" s="142"/>
      <c r="C122" s="186"/>
      <c r="D122" s="186"/>
      <c r="E122" s="186"/>
    </row>
    <row r="123" spans="1:5" ht="12.75" hidden="1" x14ac:dyDescent="0.25">
      <c r="A123" s="70"/>
      <c r="B123" s="142"/>
      <c r="C123" s="186"/>
      <c r="D123" s="186"/>
      <c r="E123" s="186"/>
    </row>
    <row r="124" spans="1:5" ht="12.75" hidden="1" x14ac:dyDescent="0.25">
      <c r="A124" s="70"/>
      <c r="B124" s="142"/>
      <c r="C124" s="186"/>
      <c r="D124" s="186"/>
      <c r="E124" s="186"/>
    </row>
    <row r="125" spans="1:5" ht="12.75" hidden="1" x14ac:dyDescent="0.25">
      <c r="A125" s="70"/>
      <c r="B125" s="142"/>
      <c r="C125" s="186"/>
      <c r="D125" s="186"/>
      <c r="E125" s="186"/>
    </row>
    <row r="126" spans="1:5" ht="12.75" hidden="1" x14ac:dyDescent="0.25">
      <c r="A126" s="70"/>
      <c r="B126" s="142"/>
      <c r="C126" s="186"/>
      <c r="D126" s="186"/>
      <c r="E126" s="186"/>
    </row>
    <row r="127" spans="1:5" ht="12.75" hidden="1" x14ac:dyDescent="0.25">
      <c r="A127" s="70"/>
      <c r="B127" s="142"/>
      <c r="C127" s="186"/>
      <c r="D127" s="186"/>
      <c r="E127" s="186"/>
    </row>
    <row r="128" spans="1:5" ht="12.75" hidden="1" x14ac:dyDescent="0.25">
      <c r="A128" s="70"/>
      <c r="B128" s="142"/>
      <c r="C128" s="186"/>
      <c r="D128" s="186"/>
      <c r="E128" s="186"/>
    </row>
    <row r="129" spans="1:5" ht="12.75" hidden="1" x14ac:dyDescent="0.25">
      <c r="A129" s="70"/>
      <c r="B129" s="142"/>
      <c r="C129" s="186"/>
      <c r="D129" s="186"/>
      <c r="E129" s="186"/>
    </row>
    <row r="130" spans="1:5" ht="12.75" hidden="1" x14ac:dyDescent="0.25">
      <c r="A130" s="70"/>
      <c r="B130" s="142"/>
      <c r="C130" s="186"/>
      <c r="D130" s="186"/>
      <c r="E130" s="186"/>
    </row>
    <row r="131" spans="1:5" ht="12.75" hidden="1" x14ac:dyDescent="0.25">
      <c r="A131" s="70"/>
      <c r="B131" s="142"/>
      <c r="C131" s="186"/>
      <c r="D131" s="186"/>
      <c r="E131" s="186"/>
    </row>
    <row r="132" spans="1:5" ht="12.75" hidden="1" x14ac:dyDescent="0.25">
      <c r="A132" s="70"/>
      <c r="B132" s="142"/>
      <c r="C132" s="186"/>
      <c r="D132" s="186"/>
      <c r="E132" s="186"/>
    </row>
    <row r="133" spans="1:5" ht="12.75" hidden="1" x14ac:dyDescent="0.25">
      <c r="A133" s="70"/>
      <c r="B133" s="142"/>
      <c r="C133" s="186"/>
      <c r="D133" s="186"/>
      <c r="E133" s="186"/>
    </row>
    <row r="134" spans="1:5" ht="12.75" hidden="1" x14ac:dyDescent="0.25">
      <c r="A134" s="70"/>
      <c r="B134" s="142"/>
      <c r="C134" s="186"/>
      <c r="D134" s="186"/>
      <c r="E134" s="186"/>
    </row>
    <row r="135" spans="1:5" ht="12.75" hidden="1" x14ac:dyDescent="0.25">
      <c r="A135" s="70"/>
      <c r="B135" s="142"/>
      <c r="C135" s="186"/>
      <c r="D135" s="186"/>
      <c r="E135" s="186"/>
    </row>
    <row r="136" spans="1:5" ht="12.75" hidden="1" x14ac:dyDescent="0.25">
      <c r="A136" s="70"/>
      <c r="B136" s="142"/>
      <c r="C136" s="186"/>
      <c r="D136" s="186"/>
      <c r="E136" s="186"/>
    </row>
    <row r="137" spans="1:5" ht="12.75" hidden="1" x14ac:dyDescent="0.25">
      <c r="A137" s="70"/>
      <c r="B137" s="142"/>
      <c r="C137" s="186"/>
      <c r="D137" s="186"/>
      <c r="E137" s="186"/>
    </row>
    <row r="138" spans="1:5" ht="12.75" hidden="1" x14ac:dyDescent="0.25">
      <c r="A138" s="70"/>
      <c r="B138" s="142"/>
      <c r="C138" s="186"/>
      <c r="D138" s="186"/>
      <c r="E138" s="186"/>
    </row>
    <row r="139" spans="1:5" ht="12.75" hidden="1" x14ac:dyDescent="0.25">
      <c r="A139" s="70"/>
      <c r="B139" s="142"/>
      <c r="C139" s="186"/>
      <c r="D139" s="186"/>
      <c r="E139" s="186"/>
    </row>
    <row r="140" spans="1:5" ht="12.75" hidden="1" x14ac:dyDescent="0.25">
      <c r="A140" s="70"/>
      <c r="B140" s="142"/>
      <c r="C140" s="186"/>
      <c r="D140" s="186"/>
      <c r="E140" s="186"/>
    </row>
    <row r="141" spans="1:5" ht="12.75" hidden="1" x14ac:dyDescent="0.25">
      <c r="A141" s="70"/>
      <c r="B141" s="142"/>
      <c r="C141" s="186"/>
      <c r="D141" s="186"/>
      <c r="E141" s="186"/>
    </row>
    <row r="142" spans="1:5" ht="12.75" hidden="1" x14ac:dyDescent="0.25">
      <c r="A142" s="70"/>
      <c r="B142" s="142"/>
      <c r="C142" s="186"/>
      <c r="D142" s="186"/>
      <c r="E142" s="186"/>
    </row>
    <row r="143" spans="1:5" ht="12.75" hidden="1" x14ac:dyDescent="0.25">
      <c r="A143" s="70"/>
      <c r="B143" s="142"/>
      <c r="C143" s="186"/>
      <c r="D143" s="186"/>
      <c r="E143" s="186"/>
    </row>
    <row r="144" spans="1:5" ht="12.75" hidden="1" x14ac:dyDescent="0.25">
      <c r="A144" s="70"/>
      <c r="B144" s="142"/>
      <c r="C144" s="186"/>
      <c r="D144" s="186"/>
      <c r="E144" s="186"/>
    </row>
    <row r="145" spans="1:5" ht="12.75" hidden="1" x14ac:dyDescent="0.25">
      <c r="A145" s="70"/>
      <c r="B145" s="142"/>
      <c r="C145" s="186"/>
      <c r="D145" s="186"/>
      <c r="E145" s="186"/>
    </row>
    <row r="146" spans="1:5" ht="12.75" hidden="1" x14ac:dyDescent="0.25">
      <c r="A146" s="70"/>
      <c r="B146" s="142"/>
      <c r="C146" s="186"/>
      <c r="D146" s="186"/>
      <c r="E146" s="186"/>
    </row>
    <row r="147" spans="1:5" ht="12.75" hidden="1" x14ac:dyDescent="0.25">
      <c r="A147" s="70"/>
      <c r="B147" s="142"/>
      <c r="C147" s="186"/>
      <c r="D147" s="186"/>
      <c r="E147" s="186"/>
    </row>
    <row r="148" spans="1:5" ht="12.75" hidden="1" x14ac:dyDescent="0.25">
      <c r="A148" s="70"/>
      <c r="B148" s="142"/>
      <c r="C148" s="186"/>
      <c r="D148" s="186"/>
      <c r="E148" s="186"/>
    </row>
    <row r="149" spans="1:5" ht="12.75" hidden="1" x14ac:dyDescent="0.25">
      <c r="A149" s="70"/>
      <c r="B149" s="142"/>
      <c r="C149" s="186"/>
      <c r="D149" s="186"/>
      <c r="E149" s="186"/>
    </row>
    <row r="150" spans="1:5" ht="12.75" hidden="1" x14ac:dyDescent="0.25">
      <c r="A150" s="70"/>
      <c r="B150" s="142"/>
      <c r="C150" s="186"/>
      <c r="D150" s="186"/>
      <c r="E150" s="186"/>
    </row>
    <row r="151" spans="1:5" ht="12.75" hidden="1" x14ac:dyDescent="0.25">
      <c r="A151" s="70"/>
      <c r="B151" s="142"/>
      <c r="C151" s="186"/>
      <c r="D151" s="186"/>
      <c r="E151" s="186"/>
    </row>
    <row r="152" spans="1:5" ht="12.75" hidden="1" x14ac:dyDescent="0.25">
      <c r="A152" s="70"/>
      <c r="B152" s="142"/>
      <c r="C152" s="186"/>
      <c r="D152" s="186"/>
      <c r="E152" s="186"/>
    </row>
    <row r="153" spans="1:5" ht="12.75" hidden="1" x14ac:dyDescent="0.25">
      <c r="A153" s="70"/>
      <c r="B153" s="142"/>
      <c r="C153" s="186"/>
      <c r="D153" s="186"/>
      <c r="E153" s="186"/>
    </row>
    <row r="154" spans="1:5" ht="12.75" hidden="1" x14ac:dyDescent="0.25">
      <c r="A154" s="70"/>
      <c r="B154" s="142"/>
      <c r="C154" s="186"/>
      <c r="D154" s="186"/>
      <c r="E154" s="186"/>
    </row>
    <row r="155" spans="1:5" ht="12.75" hidden="1" x14ac:dyDescent="0.25">
      <c r="A155" s="70"/>
      <c r="B155" s="142"/>
      <c r="C155" s="186"/>
      <c r="D155" s="186"/>
      <c r="E155" s="186"/>
    </row>
    <row r="156" spans="1:5" ht="12.75" hidden="1" x14ac:dyDescent="0.25">
      <c r="A156" s="70"/>
      <c r="B156" s="142"/>
      <c r="C156" s="186"/>
      <c r="D156" s="186"/>
      <c r="E156" s="186"/>
    </row>
    <row r="157" spans="1:5" ht="12.75" hidden="1" x14ac:dyDescent="0.25">
      <c r="A157" s="70"/>
      <c r="B157" s="142"/>
      <c r="C157" s="186"/>
      <c r="D157" s="186"/>
      <c r="E157" s="186"/>
    </row>
    <row r="158" spans="1:5" ht="12.75" hidden="1" x14ac:dyDescent="0.25">
      <c r="A158" s="70"/>
      <c r="B158" s="142"/>
      <c r="C158" s="186"/>
      <c r="D158" s="186"/>
      <c r="E158" s="186"/>
    </row>
    <row r="159" spans="1:5" ht="12.75" hidden="1" x14ac:dyDescent="0.25">
      <c r="A159" s="70"/>
      <c r="B159" s="142"/>
      <c r="C159" s="186"/>
      <c r="D159" s="186"/>
      <c r="E159" s="186"/>
    </row>
    <row r="160" spans="1:5" ht="12.75" hidden="1" x14ac:dyDescent="0.25">
      <c r="A160" s="70"/>
      <c r="B160" s="142"/>
      <c r="C160" s="186"/>
      <c r="D160" s="186"/>
      <c r="E160" s="186"/>
    </row>
    <row r="161" spans="1:5" ht="12.75" hidden="1" x14ac:dyDescent="0.25">
      <c r="A161" s="70"/>
      <c r="B161" s="142"/>
      <c r="C161" s="186"/>
      <c r="D161" s="186"/>
      <c r="E161" s="186"/>
    </row>
    <row r="162" spans="1:5" ht="12.75" hidden="1" x14ac:dyDescent="0.25">
      <c r="A162" s="70"/>
      <c r="B162" s="142"/>
      <c r="C162" s="186"/>
      <c r="D162" s="186"/>
      <c r="E162" s="186"/>
    </row>
    <row r="163" spans="1:5" ht="12.75" hidden="1" x14ac:dyDescent="0.25">
      <c r="A163" s="70"/>
      <c r="B163" s="142"/>
      <c r="C163" s="186"/>
      <c r="D163" s="186"/>
      <c r="E163" s="186"/>
    </row>
    <row r="164" spans="1:5" ht="12.75" hidden="1" x14ac:dyDescent="0.25">
      <c r="A164" s="70"/>
      <c r="B164" s="142"/>
      <c r="C164" s="186"/>
      <c r="D164" s="186"/>
      <c r="E164" s="186"/>
    </row>
    <row r="165" spans="1:5" ht="12.75" hidden="1" x14ac:dyDescent="0.25">
      <c r="A165" s="70"/>
      <c r="B165" s="142"/>
      <c r="C165" s="186"/>
      <c r="D165" s="186"/>
      <c r="E165" s="186"/>
    </row>
    <row r="166" spans="1:5" ht="12.75" hidden="1" x14ac:dyDescent="0.25">
      <c r="A166" s="70"/>
      <c r="B166" s="142"/>
      <c r="C166" s="186"/>
      <c r="D166" s="186"/>
      <c r="E166" s="186"/>
    </row>
    <row r="167" spans="1:5" ht="12.75" hidden="1" x14ac:dyDescent="0.25">
      <c r="A167" s="70"/>
      <c r="B167" s="142"/>
      <c r="C167" s="186"/>
      <c r="D167" s="186"/>
      <c r="E167" s="186"/>
    </row>
    <row r="168" spans="1:5" ht="12.75" hidden="1" x14ac:dyDescent="0.25">
      <c r="A168" s="70"/>
      <c r="B168" s="142"/>
      <c r="C168" s="186"/>
      <c r="D168" s="186"/>
      <c r="E168" s="186"/>
    </row>
    <row r="169" spans="1:5" ht="12.75" hidden="1" x14ac:dyDescent="0.25">
      <c r="A169" s="70"/>
      <c r="B169" s="142"/>
      <c r="C169" s="186"/>
      <c r="D169" s="186"/>
      <c r="E169" s="186"/>
    </row>
    <row r="170" spans="1:5" ht="12.75" hidden="1" x14ac:dyDescent="0.25">
      <c r="A170" s="70"/>
      <c r="B170" s="142"/>
      <c r="C170" s="186"/>
      <c r="D170" s="186"/>
      <c r="E170" s="186"/>
    </row>
    <row r="171" spans="1:5" ht="12.75" hidden="1" x14ac:dyDescent="0.25">
      <c r="A171" s="70"/>
      <c r="B171" s="142"/>
      <c r="C171" s="186"/>
      <c r="D171" s="186"/>
      <c r="E171" s="186"/>
    </row>
    <row r="172" spans="1:5" ht="12.75" hidden="1" x14ac:dyDescent="0.25">
      <c r="A172" s="70" t="s">
        <v>452</v>
      </c>
      <c r="B172" s="142"/>
      <c r="C172" s="186"/>
      <c r="D172" s="186"/>
      <c r="E172" s="186">
        <v>0</v>
      </c>
    </row>
    <row r="173" spans="1:5" ht="12.75" hidden="1" x14ac:dyDescent="0.25">
      <c r="A173" s="70" t="s">
        <v>443</v>
      </c>
      <c r="B173" s="142"/>
      <c r="C173" s="186"/>
      <c r="D173" s="186"/>
      <c r="E173" s="186">
        <v>0</v>
      </c>
    </row>
    <row r="174" spans="1:5" ht="12.75" hidden="1" x14ac:dyDescent="0.25">
      <c r="A174" s="70" t="s">
        <v>444</v>
      </c>
      <c r="B174" s="142"/>
      <c r="C174" s="186"/>
      <c r="D174" s="186"/>
      <c r="E174" s="186">
        <v>0</v>
      </c>
    </row>
    <row r="175" spans="1:5" ht="12.75" hidden="1" x14ac:dyDescent="0.25">
      <c r="A175" s="70" t="s">
        <v>448</v>
      </c>
      <c r="B175" s="142"/>
      <c r="C175" s="186"/>
      <c r="D175" s="186"/>
      <c r="E175" s="186">
        <v>0</v>
      </c>
    </row>
    <row r="176" spans="1:5" ht="12.75" hidden="1" x14ac:dyDescent="0.25">
      <c r="A176" s="70" t="s">
        <v>437</v>
      </c>
      <c r="B176" s="142"/>
      <c r="C176" s="186"/>
      <c r="D176" s="186"/>
      <c r="E176" s="186">
        <v>0</v>
      </c>
    </row>
    <row r="177" spans="1:5" ht="12.75" hidden="1" x14ac:dyDescent="0.25">
      <c r="A177" s="70" t="s">
        <v>436</v>
      </c>
      <c r="B177" s="142"/>
      <c r="C177" s="186"/>
      <c r="D177" s="186"/>
      <c r="E177" s="186">
        <v>0</v>
      </c>
    </row>
    <row r="178" spans="1:5" ht="12.75" hidden="1" x14ac:dyDescent="0.25">
      <c r="A178" s="70" t="s">
        <v>382</v>
      </c>
      <c r="E178" s="186">
        <v>-10759320</v>
      </c>
    </row>
    <row r="179" spans="1:5" ht="12.75" hidden="1" x14ac:dyDescent="0.25">
      <c r="A179" s="70" t="s">
        <v>393</v>
      </c>
      <c r="E179" s="186">
        <v>-10</v>
      </c>
    </row>
    <row r="180" spans="1:5" ht="12.75" hidden="1" x14ac:dyDescent="0.25">
      <c r="A180" s="70" t="s">
        <v>402</v>
      </c>
      <c r="E180" s="186">
        <v>-45033.68</v>
      </c>
    </row>
    <row r="181" spans="1:5" ht="12.75" hidden="1" x14ac:dyDescent="0.25">
      <c r="A181" s="70" t="s">
        <v>406</v>
      </c>
      <c r="E181" s="186">
        <v>-665863</v>
      </c>
    </row>
    <row r="182" spans="1:5" ht="12.75" hidden="1" x14ac:dyDescent="0.25">
      <c r="A182" s="70" t="s">
        <v>415</v>
      </c>
      <c r="E182" s="186">
        <v>-0.01</v>
      </c>
    </row>
    <row r="183" spans="1:5" ht="12.75" x14ac:dyDescent="0.25">
      <c r="A183" s="70" t="s">
        <v>417</v>
      </c>
      <c r="E183" s="186">
        <v>-21518640</v>
      </c>
    </row>
    <row r="184" spans="1:5" ht="12.75" x14ac:dyDescent="0.25">
      <c r="A184" s="70" t="s">
        <v>419</v>
      </c>
      <c r="E184" s="186">
        <v>-624188.76</v>
      </c>
    </row>
    <row r="185" spans="1:5" ht="12.75" hidden="1" x14ac:dyDescent="0.25">
      <c r="A185" s="70" t="s">
        <v>420</v>
      </c>
      <c r="E185" s="186">
        <v>-100</v>
      </c>
    </row>
    <row r="186" spans="1:5" ht="12.75" hidden="1" x14ac:dyDescent="0.25">
      <c r="A186" s="70" t="s">
        <v>421</v>
      </c>
      <c r="E186" s="186">
        <v>-0.01</v>
      </c>
    </row>
    <row r="187" spans="1:5" ht="12.75" hidden="1" x14ac:dyDescent="0.25">
      <c r="A187" s="70" t="s">
        <v>423</v>
      </c>
      <c r="E187" s="186">
        <v>-140263.20000000001</v>
      </c>
    </row>
    <row r="188" spans="1:5" ht="12.75" hidden="1" x14ac:dyDescent="0.25">
      <c r="A188" s="70" t="s">
        <v>424</v>
      </c>
      <c r="E188" s="186">
        <v>-0.01</v>
      </c>
    </row>
    <row r="189" spans="1:5" ht="12.75" x14ac:dyDescent="0.25">
      <c r="A189" s="70" t="s">
        <v>425</v>
      </c>
      <c r="E189" s="186">
        <v>-15427620</v>
      </c>
    </row>
    <row r="190" spans="1:5" ht="12.75" x14ac:dyDescent="0.25">
      <c r="A190" s="70" t="s">
        <v>426</v>
      </c>
      <c r="E190" s="186">
        <v>-43926480</v>
      </c>
    </row>
    <row r="191" spans="1:5" ht="12.75" x14ac:dyDescent="0.25">
      <c r="A191" s="70" t="s">
        <v>427</v>
      </c>
      <c r="E191" s="186">
        <v>-4483050</v>
      </c>
    </row>
    <row r="192" spans="1:5" ht="12.75" x14ac:dyDescent="0.25">
      <c r="A192" s="70" t="s">
        <v>428</v>
      </c>
      <c r="E192" s="186">
        <v>-280799.99</v>
      </c>
    </row>
    <row r="193" spans="1:5" ht="12.75" x14ac:dyDescent="0.25">
      <c r="A193" s="70" t="s">
        <v>429</v>
      </c>
      <c r="E193" s="186">
        <v>-933982.53</v>
      </c>
    </row>
    <row r="194" spans="1:5" ht="12.75" x14ac:dyDescent="0.25">
      <c r="A194" s="70" t="s">
        <v>430</v>
      </c>
      <c r="E194" s="186">
        <v>-7635100</v>
      </c>
    </row>
    <row r="195" spans="1:5" ht="12.75" x14ac:dyDescent="0.25">
      <c r="A195" s="70" t="s">
        <v>431</v>
      </c>
      <c r="E195" s="186">
        <v>7800</v>
      </c>
    </row>
    <row r="196" spans="1:5" ht="12.75" x14ac:dyDescent="0.25">
      <c r="A196" s="70" t="s">
        <v>432</v>
      </c>
      <c r="E196" s="186">
        <v>312023.95</v>
      </c>
    </row>
    <row r="197" spans="1:5" ht="12.75" x14ac:dyDescent="0.25">
      <c r="A197" s="70" t="s">
        <v>435</v>
      </c>
      <c r="E197" s="186">
        <v>-46874610.969999999</v>
      </c>
    </row>
    <row r="198" spans="1:5" ht="12.75" x14ac:dyDescent="0.25">
      <c r="A198" s="70" t="s">
        <v>453</v>
      </c>
      <c r="B198" s="142"/>
      <c r="C198" s="186"/>
      <c r="D198" s="186"/>
      <c r="E198" s="186">
        <v>0</v>
      </c>
    </row>
    <row r="199" spans="1:5" ht="12.75" x14ac:dyDescent="0.25">
      <c r="A199" s="70"/>
      <c r="B199" s="142"/>
      <c r="C199" s="186"/>
      <c r="D199" s="186"/>
      <c r="E199" s="186"/>
    </row>
    <row r="200" spans="1:5" ht="12.75" x14ac:dyDescent="0.25">
      <c r="A200" s="142"/>
      <c r="B200" s="142"/>
      <c r="C200" s="186"/>
      <c r="D200" s="186"/>
      <c r="E200" s="186"/>
    </row>
    <row r="201" spans="1:5" ht="12.75" x14ac:dyDescent="0.25">
      <c r="A201" s="142"/>
      <c r="B201" s="142"/>
      <c r="C201" s="186"/>
      <c r="D201" s="186"/>
      <c r="E201" s="186"/>
    </row>
    <row r="202" spans="1:5" ht="12.75" x14ac:dyDescent="0.25">
      <c r="B202" s="142"/>
      <c r="C202" s="186"/>
      <c r="D202" s="186"/>
      <c r="E202" s="186"/>
    </row>
    <row r="203" spans="1:5" ht="12.75" x14ac:dyDescent="0.25">
      <c r="C203" s="186"/>
      <c r="D203" s="216"/>
      <c r="E203" s="186"/>
    </row>
    <row r="204" spans="1:5" ht="12.75" x14ac:dyDescent="0.25">
      <c r="A204" s="70"/>
      <c r="C204" s="186"/>
      <c r="D204" s="216"/>
      <c r="E204" s="186"/>
    </row>
    <row r="205" spans="1:5" ht="12.75" x14ac:dyDescent="0.25"/>
    <row r="206" spans="1:5" ht="12.75" x14ac:dyDescent="0.25"/>
    <row r="207" spans="1:5" ht="12.75" x14ac:dyDescent="0.25">
      <c r="A207" s="142" t="s">
        <v>456</v>
      </c>
      <c r="B207" s="142"/>
      <c r="C207" s="186"/>
      <c r="D207" s="186"/>
      <c r="E207" s="186">
        <v>-14848645484</v>
      </c>
    </row>
    <row r="208" spans="1:5" ht="12.75" x14ac:dyDescent="0.25">
      <c r="A208" s="142" t="s">
        <v>458</v>
      </c>
      <c r="B208" s="142"/>
      <c r="C208" s="186"/>
      <c r="D208" s="186"/>
      <c r="E208" s="186">
        <v>-8</v>
      </c>
    </row>
    <row r="209" spans="1:5" ht="12.75" x14ac:dyDescent="0.25">
      <c r="A209" s="142" t="s">
        <v>459</v>
      </c>
      <c r="B209" s="142"/>
      <c r="C209" s="186"/>
      <c r="D209" s="186"/>
      <c r="E209" s="186">
        <v>817850864.26999998</v>
      </c>
    </row>
    <row r="210" spans="1:5" ht="12.75" x14ac:dyDescent="0.25">
      <c r="A210" s="142" t="s">
        <v>462</v>
      </c>
      <c r="B210" s="142"/>
      <c r="C210" s="186"/>
      <c r="D210" s="186"/>
      <c r="E210" s="186">
        <v>10676765879.860001</v>
      </c>
    </row>
    <row r="211" spans="1:5" ht="12.75" x14ac:dyDescent="0.25"/>
    <row r="212" spans="1:5" ht="12.75" x14ac:dyDescent="0.25"/>
    <row r="213" spans="1:5" ht="12.75" x14ac:dyDescent="0.25">
      <c r="A213" s="212" t="s">
        <v>864</v>
      </c>
      <c r="B213" s="224"/>
      <c r="C213" s="224"/>
      <c r="D213" s="224"/>
      <c r="E213" s="214" t="s">
        <v>849</v>
      </c>
    </row>
    <row r="214" spans="1:5" ht="12.75" x14ac:dyDescent="0.25">
      <c r="A214" s="70" t="s">
        <v>669</v>
      </c>
      <c r="C214" s="186"/>
      <c r="D214" s="216"/>
      <c r="E214" s="186">
        <v>0</v>
      </c>
    </row>
    <row r="215" spans="1:5" ht="12.75" x14ac:dyDescent="0.25">
      <c r="A215" s="70" t="s">
        <v>489</v>
      </c>
      <c r="B215" s="142"/>
      <c r="C215" s="186"/>
      <c r="D215" s="216"/>
      <c r="E215" s="186">
        <v>11619112.85</v>
      </c>
    </row>
    <row r="216" spans="1:5" ht="12.75" x14ac:dyDescent="0.25">
      <c r="A216" s="70" t="s">
        <v>490</v>
      </c>
      <c r="B216" s="142"/>
      <c r="C216" s="186"/>
      <c r="D216" s="216"/>
      <c r="E216" s="186">
        <v>146974706.71000001</v>
      </c>
    </row>
    <row r="217" spans="1:5" ht="12.75" x14ac:dyDescent="0.25">
      <c r="A217" s="70" t="s">
        <v>491</v>
      </c>
      <c r="B217" s="142"/>
      <c r="C217" s="186"/>
      <c r="D217" s="216"/>
      <c r="E217" s="186">
        <v>14081454.359999999</v>
      </c>
    </row>
    <row r="218" spans="1:5" s="225" customFormat="1" ht="12.75" x14ac:dyDescent="0.25">
      <c r="A218" s="226" t="s">
        <v>620</v>
      </c>
      <c r="B218" s="227"/>
      <c r="C218" s="41"/>
      <c r="D218" s="228"/>
      <c r="E218" s="41">
        <v>0</v>
      </c>
    </row>
    <row r="219" spans="1:5" ht="12.75" x14ac:dyDescent="0.25">
      <c r="A219" s="70" t="s">
        <v>682</v>
      </c>
      <c r="B219" s="142"/>
      <c r="C219" s="186"/>
      <c r="D219" s="216"/>
      <c r="E219" s="186">
        <v>0</v>
      </c>
    </row>
    <row r="220" spans="1:5" ht="12.75" x14ac:dyDescent="0.25">
      <c r="A220" s="70" t="s">
        <v>749</v>
      </c>
      <c r="B220" s="142"/>
      <c r="C220" s="186"/>
      <c r="D220" s="216"/>
      <c r="E220" s="186">
        <v>0</v>
      </c>
    </row>
    <row r="221" spans="1:5" ht="12.75" x14ac:dyDescent="0.25">
      <c r="A221" s="70" t="s">
        <v>513</v>
      </c>
      <c r="B221" s="142"/>
      <c r="C221" s="186"/>
      <c r="D221" s="216"/>
      <c r="E221" s="186">
        <v>0</v>
      </c>
    </row>
    <row r="222" spans="1:5" ht="12.75" x14ac:dyDescent="0.25">
      <c r="A222" s="70" t="s">
        <v>639</v>
      </c>
      <c r="B222" s="142"/>
      <c r="C222" s="186"/>
      <c r="D222" s="216"/>
      <c r="E222" s="186">
        <v>48607846.600000001</v>
      </c>
    </row>
    <row r="223" spans="1:5" ht="12.75" x14ac:dyDescent="0.25">
      <c r="A223" s="70" t="s">
        <v>496</v>
      </c>
      <c r="B223" s="142"/>
      <c r="C223" s="186"/>
      <c r="D223" s="216"/>
      <c r="E223" s="186">
        <v>0</v>
      </c>
    </row>
    <row r="224" spans="1:5" ht="12.75" x14ac:dyDescent="0.25">
      <c r="A224" s="70" t="s">
        <v>756</v>
      </c>
      <c r="B224" s="142"/>
      <c r="C224" s="186"/>
      <c r="D224" s="216"/>
      <c r="E224" s="186">
        <v>0</v>
      </c>
    </row>
    <row r="225" spans="1:6" ht="12.75" x14ac:dyDescent="0.25">
      <c r="A225" s="70" t="s">
        <v>715</v>
      </c>
      <c r="B225" s="142"/>
      <c r="C225" s="186"/>
      <c r="D225" s="216"/>
      <c r="E225" s="186">
        <v>0</v>
      </c>
    </row>
    <row r="226" spans="1:6" ht="12.75" x14ac:dyDescent="0.25">
      <c r="A226" s="70" t="s">
        <v>595</v>
      </c>
      <c r="B226" s="142"/>
      <c r="C226" s="186"/>
      <c r="D226" s="216"/>
      <c r="E226" s="186">
        <v>0</v>
      </c>
    </row>
    <row r="227" spans="1:6" ht="12.75" x14ac:dyDescent="0.25">
      <c r="A227" s="70" t="s">
        <v>602</v>
      </c>
      <c r="B227" s="142"/>
      <c r="C227" s="186"/>
      <c r="D227" s="216"/>
      <c r="E227" s="186">
        <v>0</v>
      </c>
    </row>
    <row r="228" spans="1:6" ht="12.75" x14ac:dyDescent="0.25">
      <c r="A228" s="70" t="s">
        <v>865</v>
      </c>
      <c r="B228" s="142"/>
      <c r="C228" s="186"/>
      <c r="D228" s="216"/>
      <c r="E228" s="186">
        <v>0</v>
      </c>
    </row>
    <row r="229" spans="1:6" ht="12.75" x14ac:dyDescent="0.25">
      <c r="A229" s="70" t="s">
        <v>608</v>
      </c>
      <c r="B229" s="142"/>
      <c r="C229" s="186"/>
      <c r="D229" s="216"/>
      <c r="E229" s="186">
        <v>62810190.490000002</v>
      </c>
    </row>
    <row r="230" spans="1:6" ht="12.75" x14ac:dyDescent="0.25">
      <c r="A230" s="70" t="s">
        <v>740</v>
      </c>
      <c r="B230" s="142"/>
      <c r="C230" s="186"/>
      <c r="D230" s="216"/>
      <c r="E230" s="186">
        <v>276280951</v>
      </c>
    </row>
    <row r="231" spans="1:6" ht="12.75" x14ac:dyDescent="0.25">
      <c r="A231" s="70" t="s">
        <v>866</v>
      </c>
      <c r="B231" s="142"/>
      <c r="C231" s="186"/>
      <c r="D231" s="216"/>
      <c r="E231" s="186">
        <v>51916602.990000002</v>
      </c>
      <c r="F231" s="221"/>
    </row>
    <row r="232" spans="1:6" ht="12.75" x14ac:dyDescent="0.25">
      <c r="A232" s="70" t="s">
        <v>666</v>
      </c>
      <c r="B232" s="142"/>
      <c r="C232" s="186"/>
      <c r="D232" s="216"/>
      <c r="E232" s="186">
        <v>4006957.04</v>
      </c>
      <c r="F232" s="221"/>
    </row>
    <row r="233" spans="1:6" ht="12.75" x14ac:dyDescent="0.25">
      <c r="A233" s="70" t="s">
        <v>493</v>
      </c>
      <c r="B233" s="142"/>
      <c r="C233" s="186"/>
      <c r="D233" s="216"/>
      <c r="E233" s="186">
        <v>1058304.4099999999</v>
      </c>
    </row>
    <row r="234" spans="1:6" ht="12.75" x14ac:dyDescent="0.25">
      <c r="A234" s="70" t="s">
        <v>601</v>
      </c>
      <c r="B234" s="142"/>
      <c r="C234" s="186"/>
      <c r="D234" s="216"/>
      <c r="E234" s="186">
        <v>0</v>
      </c>
    </row>
    <row r="235" spans="1:6" ht="12.75" x14ac:dyDescent="0.25">
      <c r="A235" s="70" t="s">
        <v>706</v>
      </c>
      <c r="B235" s="142"/>
      <c r="C235" s="186"/>
      <c r="D235" s="216"/>
      <c r="E235" s="186">
        <v>216447896.75999999</v>
      </c>
    </row>
    <row r="236" spans="1:6" ht="12.75" x14ac:dyDescent="0.25">
      <c r="A236" s="70" t="s">
        <v>728</v>
      </c>
      <c r="B236" s="142"/>
      <c r="C236" s="186"/>
      <c r="D236" s="216"/>
      <c r="E236" s="186">
        <v>0</v>
      </c>
    </row>
    <row r="237" spans="1:6" ht="12.75" x14ac:dyDescent="0.25">
      <c r="A237" s="70" t="s">
        <v>576</v>
      </c>
      <c r="B237" s="142"/>
      <c r="C237" s="186"/>
      <c r="D237" s="216"/>
      <c r="E237" s="186">
        <v>50644.39</v>
      </c>
    </row>
    <row r="238" spans="1:6" ht="12.75" x14ac:dyDescent="0.25">
      <c r="A238" s="70" t="s">
        <v>679</v>
      </c>
      <c r="B238" s="142"/>
      <c r="C238" s="186"/>
      <c r="D238" s="216"/>
      <c r="E238" s="186">
        <v>653893.77</v>
      </c>
    </row>
    <row r="239" spans="1:6" ht="12.75" x14ac:dyDescent="0.25">
      <c r="A239" s="70" t="s">
        <v>482</v>
      </c>
      <c r="B239" s="142"/>
      <c r="C239" s="186"/>
      <c r="D239" s="216"/>
      <c r="E239" s="186">
        <v>75509615</v>
      </c>
    </row>
    <row r="240" spans="1:6" ht="12.75" x14ac:dyDescent="0.25">
      <c r="A240" s="70" t="s">
        <v>689</v>
      </c>
      <c r="B240" s="142"/>
      <c r="C240" s="186"/>
      <c r="D240" s="216"/>
      <c r="E240" s="186">
        <v>783143.51</v>
      </c>
    </row>
    <row r="241" spans="1:5" ht="12.75" x14ac:dyDescent="0.25">
      <c r="A241" s="70" t="s">
        <v>592</v>
      </c>
      <c r="B241" s="142"/>
      <c r="C241" s="186"/>
      <c r="D241" s="216"/>
      <c r="E241" s="186">
        <v>9612863.0700000003</v>
      </c>
    </row>
    <row r="242" spans="1:5" ht="12.75" x14ac:dyDescent="0.25">
      <c r="A242" s="70" t="s">
        <v>598</v>
      </c>
      <c r="B242" s="142"/>
      <c r="C242" s="186"/>
      <c r="D242" s="216"/>
      <c r="E242" s="186">
        <v>22769032.280000001</v>
      </c>
    </row>
    <row r="243" spans="1:5" ht="12.75" x14ac:dyDescent="0.25">
      <c r="A243" s="70" t="s">
        <v>527</v>
      </c>
      <c r="B243" s="142"/>
      <c r="C243" s="186"/>
      <c r="D243" s="216"/>
      <c r="E243" s="186">
        <v>3502753.58</v>
      </c>
    </row>
    <row r="244" spans="1:5" ht="12.75" x14ac:dyDescent="0.25">
      <c r="A244" s="70" t="s">
        <v>541</v>
      </c>
      <c r="B244" s="142"/>
      <c r="C244" s="186"/>
      <c r="D244" s="216"/>
      <c r="E244" s="186">
        <v>0</v>
      </c>
    </row>
    <row r="245" spans="1:5" ht="12.75" x14ac:dyDescent="0.25">
      <c r="A245" s="70" t="s">
        <v>510</v>
      </c>
      <c r="B245" s="142"/>
      <c r="C245" s="186"/>
      <c r="D245" s="216"/>
      <c r="E245" s="186">
        <v>9520573.0899999999</v>
      </c>
    </row>
    <row r="246" spans="1:5" ht="12.75" x14ac:dyDescent="0.25">
      <c r="A246" s="70" t="s">
        <v>523</v>
      </c>
      <c r="B246" s="142"/>
      <c r="C246" s="186"/>
      <c r="D246" s="216"/>
      <c r="E246" s="186">
        <v>-6975688.5700000003</v>
      </c>
    </row>
    <row r="247" spans="1:5" ht="12.75" x14ac:dyDescent="0.25">
      <c r="A247" s="70" t="s">
        <v>774</v>
      </c>
      <c r="B247" s="142"/>
      <c r="C247" s="186"/>
      <c r="D247" s="216"/>
      <c r="E247" s="186">
        <v>1413626.44</v>
      </c>
    </row>
    <row r="248" spans="1:5" ht="12.75" x14ac:dyDescent="0.25">
      <c r="A248" s="70" t="s">
        <v>792</v>
      </c>
      <c r="B248" s="142"/>
      <c r="C248" s="186"/>
      <c r="D248" s="216"/>
      <c r="E248" s="186">
        <v>299800</v>
      </c>
    </row>
    <row r="249" spans="1:5" ht="12.75" x14ac:dyDescent="0.25">
      <c r="A249" s="70" t="s">
        <v>655</v>
      </c>
      <c r="B249" s="142"/>
      <c r="C249" s="186"/>
      <c r="D249" s="216"/>
      <c r="E249" s="186">
        <v>157000</v>
      </c>
    </row>
    <row r="250" spans="1:5" ht="12.75" x14ac:dyDescent="0.25">
      <c r="A250" s="70" t="s">
        <v>759</v>
      </c>
      <c r="B250" s="142"/>
      <c r="C250" s="186"/>
      <c r="D250" s="216"/>
      <c r="E250" s="186">
        <v>442383.7</v>
      </c>
    </row>
    <row r="251" spans="1:5" ht="12.75" x14ac:dyDescent="0.25">
      <c r="A251" s="70" t="s">
        <v>626</v>
      </c>
      <c r="B251" s="142"/>
      <c r="C251" s="186"/>
      <c r="D251" s="216"/>
      <c r="E251" s="186">
        <v>0</v>
      </c>
    </row>
    <row r="252" spans="1:5" ht="12.75" x14ac:dyDescent="0.25">
      <c r="A252" s="70" t="s">
        <v>767</v>
      </c>
      <c r="B252" s="142"/>
      <c r="C252" s="186"/>
      <c r="D252" s="216"/>
      <c r="E252" s="186">
        <v>152403.72</v>
      </c>
    </row>
    <row r="253" spans="1:5" ht="12.75" x14ac:dyDescent="0.25">
      <c r="A253" s="70" t="s">
        <v>476</v>
      </c>
      <c r="B253" s="142"/>
      <c r="C253" s="186"/>
      <c r="D253" s="216"/>
      <c r="E253" s="186">
        <v>0</v>
      </c>
    </row>
    <row r="254" spans="1:5" ht="12.75" x14ac:dyDescent="0.25">
      <c r="A254" s="70" t="s">
        <v>504</v>
      </c>
      <c r="B254" s="142"/>
      <c r="C254" s="186"/>
      <c r="D254" s="216"/>
      <c r="E254" s="186">
        <v>250000</v>
      </c>
    </row>
    <row r="255" spans="1:5" ht="12.75" x14ac:dyDescent="0.25">
      <c r="A255" s="70" t="s">
        <v>603</v>
      </c>
      <c r="B255" s="142"/>
      <c r="C255" s="186"/>
      <c r="D255" s="216"/>
      <c r="E255" s="186">
        <v>0</v>
      </c>
    </row>
    <row r="256" spans="1:5" ht="12.75" x14ac:dyDescent="0.25">
      <c r="A256" s="70" t="s">
        <v>805</v>
      </c>
      <c r="B256" s="142"/>
      <c r="C256" s="186"/>
      <c r="D256" s="216"/>
      <c r="E256" s="186">
        <v>0</v>
      </c>
    </row>
    <row r="257" spans="1:5" ht="12.75" x14ac:dyDescent="0.25">
      <c r="A257" s="70" t="s">
        <v>823</v>
      </c>
      <c r="B257" s="142"/>
      <c r="C257" s="186"/>
      <c r="D257" s="216"/>
      <c r="E257" s="186">
        <v>4013596.99</v>
      </c>
    </row>
    <row r="258" spans="1:5" ht="12.75" x14ac:dyDescent="0.25">
      <c r="A258" s="70" t="s">
        <v>667</v>
      </c>
      <c r="B258" s="142"/>
      <c r="C258" s="186"/>
      <c r="D258" s="216"/>
      <c r="E258" s="186">
        <v>23352516.59</v>
      </c>
    </row>
    <row r="259" spans="1:5" ht="12.75" x14ac:dyDescent="0.25">
      <c r="A259" s="70" t="s">
        <v>651</v>
      </c>
      <c r="B259" s="142"/>
      <c r="C259" s="186"/>
      <c r="D259" s="216"/>
      <c r="E259" s="186">
        <v>87312447.890000001</v>
      </c>
    </row>
    <row r="260" spans="1:5" ht="12.75" x14ac:dyDescent="0.25">
      <c r="A260" s="70" t="s">
        <v>502</v>
      </c>
      <c r="B260" s="142"/>
      <c r="C260" s="186"/>
      <c r="D260" s="216"/>
      <c r="E260" s="186">
        <v>3688960.9</v>
      </c>
    </row>
    <row r="261" spans="1:5" ht="12.75" x14ac:dyDescent="0.25">
      <c r="A261" s="70" t="s">
        <v>813</v>
      </c>
      <c r="B261" s="142"/>
      <c r="C261" s="186"/>
      <c r="D261" s="216"/>
      <c r="E261" s="186">
        <v>0</v>
      </c>
    </row>
    <row r="262" spans="1:5" ht="12.75" x14ac:dyDescent="0.25">
      <c r="A262" s="70" t="s">
        <v>775</v>
      </c>
      <c r="B262" s="142"/>
      <c r="C262" s="186"/>
      <c r="D262" s="216"/>
      <c r="E262" s="186">
        <v>16508205.74</v>
      </c>
    </row>
    <row r="263" spans="1:5" ht="12.75" x14ac:dyDescent="0.25">
      <c r="A263" s="70" t="s">
        <v>681</v>
      </c>
      <c r="B263" s="142"/>
      <c r="C263" s="186"/>
      <c r="D263" s="216"/>
      <c r="E263" s="186">
        <v>5565333.8500000006</v>
      </c>
    </row>
    <row r="264" spans="1:5" ht="12.75" x14ac:dyDescent="0.25">
      <c r="A264" s="70" t="s">
        <v>780</v>
      </c>
      <c r="B264" s="142"/>
      <c r="C264" s="186"/>
      <c r="D264" s="216"/>
      <c r="E264" s="186">
        <v>0</v>
      </c>
    </row>
    <row r="265" spans="1:5" ht="12.75" x14ac:dyDescent="0.25">
      <c r="A265" s="70" t="s">
        <v>512</v>
      </c>
      <c r="B265" s="142"/>
      <c r="C265" s="186"/>
      <c r="D265" s="216"/>
      <c r="E265" s="186">
        <v>815109.75</v>
      </c>
    </row>
    <row r="266" spans="1:5" ht="12.75" x14ac:dyDescent="0.25">
      <c r="A266" s="70" t="s">
        <v>690</v>
      </c>
      <c r="B266" s="142"/>
      <c r="C266" s="186"/>
      <c r="D266" s="216"/>
      <c r="E266" s="186">
        <v>7828411.8900000006</v>
      </c>
    </row>
    <row r="267" spans="1:5" ht="12.75" x14ac:dyDescent="0.25">
      <c r="A267" s="70" t="s">
        <v>542</v>
      </c>
      <c r="B267" s="142"/>
      <c r="C267" s="186"/>
      <c r="D267" s="216"/>
      <c r="E267" s="186">
        <v>3016013.02</v>
      </c>
    </row>
    <row r="268" spans="1:5" ht="12.75" x14ac:dyDescent="0.25">
      <c r="A268" s="70" t="s">
        <v>707</v>
      </c>
      <c r="B268" s="142"/>
      <c r="C268" s="186"/>
      <c r="D268" s="216"/>
      <c r="E268" s="186">
        <v>45688831.079999998</v>
      </c>
    </row>
    <row r="269" spans="1:5" ht="12.75" x14ac:dyDescent="0.25">
      <c r="A269" s="70" t="s">
        <v>803</v>
      </c>
      <c r="B269" s="142"/>
      <c r="C269" s="186"/>
      <c r="D269" s="216"/>
      <c r="E269" s="186">
        <v>7468721</v>
      </c>
    </row>
    <row r="270" spans="1:5" ht="12.75" x14ac:dyDescent="0.25">
      <c r="A270" s="70" t="s">
        <v>793</v>
      </c>
      <c r="B270" s="142"/>
      <c r="C270" s="186"/>
      <c r="D270" s="216"/>
      <c r="E270" s="186">
        <v>14367367.220000001</v>
      </c>
    </row>
    <row r="271" spans="1:5" ht="12.75" x14ac:dyDescent="0.25">
      <c r="A271" s="70" t="s">
        <v>657</v>
      </c>
      <c r="B271" s="142"/>
      <c r="C271" s="186"/>
      <c r="D271" s="216"/>
      <c r="E271" s="186">
        <v>51813355.109999999</v>
      </c>
    </row>
    <row r="272" spans="1:5" ht="12.75" x14ac:dyDescent="0.25">
      <c r="A272" s="70" t="s">
        <v>537</v>
      </c>
      <c r="B272" s="142"/>
      <c r="C272" s="186"/>
      <c r="D272" s="216"/>
      <c r="E272" s="186">
        <v>288818.78000000003</v>
      </c>
    </row>
    <row r="273" spans="1:5" ht="12.75" x14ac:dyDescent="0.25">
      <c r="A273" s="70" t="s">
        <v>625</v>
      </c>
      <c r="B273" s="142"/>
      <c r="C273" s="186"/>
      <c r="D273" s="216"/>
      <c r="E273" s="186">
        <v>832331.19000000006</v>
      </c>
    </row>
    <row r="274" spans="1:5" ht="12.75" x14ac:dyDescent="0.25">
      <c r="A274" s="70" t="s">
        <v>644</v>
      </c>
      <c r="B274" s="142"/>
      <c r="C274" s="186"/>
      <c r="D274" s="216"/>
      <c r="E274" s="186">
        <v>0</v>
      </c>
    </row>
    <row r="275" spans="1:5" ht="12.75" x14ac:dyDescent="0.25">
      <c r="A275" s="70" t="s">
        <v>587</v>
      </c>
      <c r="B275" s="142"/>
      <c r="C275" s="186"/>
      <c r="D275" s="216"/>
      <c r="E275" s="186">
        <v>0</v>
      </c>
    </row>
    <row r="276" spans="1:5" ht="12.75" x14ac:dyDescent="0.25">
      <c r="A276" s="70" t="s">
        <v>569</v>
      </c>
      <c r="B276" s="142"/>
      <c r="C276" s="186"/>
      <c r="D276" s="216"/>
      <c r="E276" s="186">
        <v>0</v>
      </c>
    </row>
    <row r="277" spans="1:5" ht="12.75" x14ac:dyDescent="0.25">
      <c r="A277" s="70" t="s">
        <v>549</v>
      </c>
      <c r="B277" s="142"/>
      <c r="C277" s="186"/>
      <c r="D277" s="216"/>
      <c r="E277" s="186">
        <v>2052084.4000000001</v>
      </c>
    </row>
    <row r="278" spans="1:5" ht="12.75" x14ac:dyDescent="0.25">
      <c r="A278" s="70" t="s">
        <v>524</v>
      </c>
      <c r="B278" s="142"/>
      <c r="C278" s="186"/>
      <c r="D278" s="216"/>
      <c r="E278" s="186">
        <v>3359784.46</v>
      </c>
    </row>
    <row r="279" spans="1:5" ht="12.75" x14ac:dyDescent="0.25">
      <c r="A279" s="70" t="s">
        <v>484</v>
      </c>
      <c r="B279" s="142"/>
      <c r="C279" s="186"/>
      <c r="D279" s="216"/>
      <c r="E279" s="186">
        <v>71304554.810000002</v>
      </c>
    </row>
    <row r="280" spans="1:5" ht="12.75" x14ac:dyDescent="0.25">
      <c r="A280" s="70" t="s">
        <v>748</v>
      </c>
      <c r="B280" s="142"/>
      <c r="C280" s="186"/>
      <c r="D280" s="216"/>
      <c r="E280" s="186">
        <v>489482.99</v>
      </c>
    </row>
    <row r="281" spans="1:5" ht="12.75" x14ac:dyDescent="0.25">
      <c r="A281" s="70" t="s">
        <v>766</v>
      </c>
      <c r="B281" s="142"/>
      <c r="C281" s="186"/>
      <c r="D281" s="216"/>
      <c r="E281" s="186">
        <v>615911.61</v>
      </c>
    </row>
    <row r="282" spans="1:5" ht="12.75" x14ac:dyDescent="0.25">
      <c r="A282" s="70" t="s">
        <v>784</v>
      </c>
      <c r="B282" s="142"/>
      <c r="C282" s="186"/>
      <c r="D282" s="216"/>
      <c r="E282" s="186">
        <v>101483.28</v>
      </c>
    </row>
    <row r="283" spans="1:5" ht="12.75" x14ac:dyDescent="0.25">
      <c r="A283" s="70" t="s">
        <v>757</v>
      </c>
      <c r="B283" s="142"/>
      <c r="C283" s="186"/>
      <c r="D283" s="216"/>
      <c r="E283" s="186">
        <v>3013363</v>
      </c>
    </row>
    <row r="284" spans="1:5" ht="12.75" x14ac:dyDescent="0.25">
      <c r="A284" s="70" t="s">
        <v>634</v>
      </c>
      <c r="B284" s="142"/>
      <c r="C284" s="186"/>
      <c r="D284" s="216"/>
      <c r="E284" s="186">
        <v>189946.28</v>
      </c>
    </row>
    <row r="285" spans="1:5" ht="12.75" x14ac:dyDescent="0.25">
      <c r="A285" s="70" t="s">
        <v>546</v>
      </c>
      <c r="B285" s="142"/>
      <c r="C285" s="186"/>
      <c r="D285" s="216"/>
      <c r="E285" s="186">
        <v>181818.18</v>
      </c>
    </row>
    <row r="286" spans="1:5" ht="12.75" x14ac:dyDescent="0.25">
      <c r="A286" s="70" t="s">
        <v>488</v>
      </c>
      <c r="B286" s="142"/>
      <c r="C286" s="186"/>
      <c r="D286" s="216"/>
      <c r="E286" s="186">
        <v>3950000</v>
      </c>
    </row>
    <row r="287" spans="1:5" ht="12.75" x14ac:dyDescent="0.25">
      <c r="A287" s="70" t="s">
        <v>832</v>
      </c>
      <c r="B287" s="142"/>
      <c r="C287" s="186"/>
      <c r="D287" s="216"/>
      <c r="E287" s="186">
        <v>914304.70000000007</v>
      </c>
    </row>
    <row r="288" spans="1:5" ht="12.75" x14ac:dyDescent="0.25">
      <c r="A288" s="70" t="s">
        <v>819</v>
      </c>
      <c r="B288" s="142"/>
      <c r="C288" s="186"/>
      <c r="D288" s="216"/>
      <c r="E288" s="186">
        <v>0</v>
      </c>
    </row>
    <row r="289" spans="1:5" ht="12.75" x14ac:dyDescent="0.25">
      <c r="A289" s="70" t="s">
        <v>867</v>
      </c>
      <c r="B289" s="142"/>
      <c r="C289" s="186"/>
      <c r="D289" s="216"/>
      <c r="E289" s="186">
        <v>44100</v>
      </c>
    </row>
    <row r="290" spans="1:5" ht="12.75" x14ac:dyDescent="0.25">
      <c r="A290" s="70" t="s">
        <v>731</v>
      </c>
      <c r="B290" s="142"/>
      <c r="C290" s="186"/>
      <c r="D290" s="216"/>
      <c r="E290" s="186">
        <v>5598557</v>
      </c>
    </row>
    <row r="291" spans="1:5" ht="12.75" x14ac:dyDescent="0.25">
      <c r="A291" s="70" t="s">
        <v>600</v>
      </c>
      <c r="B291" s="142"/>
      <c r="C291" s="186"/>
      <c r="D291" s="216"/>
      <c r="E291" s="186">
        <v>0</v>
      </c>
    </row>
    <row r="292" spans="1:5" ht="12.75" x14ac:dyDescent="0.25">
      <c r="A292" s="70" t="s">
        <v>648</v>
      </c>
      <c r="B292" s="142"/>
      <c r="C292" s="186"/>
      <c r="D292" s="216"/>
      <c r="E292" s="186">
        <v>18512.400000000001</v>
      </c>
    </row>
    <row r="293" spans="1:5" ht="12.75" x14ac:dyDescent="0.25">
      <c r="A293" s="70" t="s">
        <v>712</v>
      </c>
      <c r="B293" s="142"/>
      <c r="C293" s="186"/>
      <c r="D293" s="216"/>
      <c r="E293" s="186">
        <v>45070376.57</v>
      </c>
    </row>
    <row r="294" spans="1:5" ht="12.75" x14ac:dyDescent="0.25">
      <c r="A294" s="70" t="s">
        <v>652</v>
      </c>
      <c r="B294" s="142"/>
      <c r="C294" s="186"/>
      <c r="D294" s="216"/>
      <c r="E294" s="186">
        <v>0</v>
      </c>
    </row>
    <row r="295" spans="1:5" ht="12.75" x14ac:dyDescent="0.25">
      <c r="A295" s="70" t="s">
        <v>668</v>
      </c>
      <c r="B295" s="142"/>
      <c r="C295" s="186"/>
      <c r="D295" s="216"/>
      <c r="E295" s="186">
        <v>29800</v>
      </c>
    </row>
    <row r="296" spans="1:5" ht="12.75" x14ac:dyDescent="0.25">
      <c r="A296" s="70" t="s">
        <v>594</v>
      </c>
      <c r="B296" s="142"/>
      <c r="C296" s="186"/>
      <c r="D296" s="216"/>
      <c r="E296" s="186">
        <v>0</v>
      </c>
    </row>
    <row r="297" spans="1:5" ht="12.75" x14ac:dyDescent="0.25">
      <c r="A297" s="70" t="s">
        <v>691</v>
      </c>
      <c r="B297" s="142"/>
      <c r="C297" s="186"/>
      <c r="D297" s="216"/>
      <c r="E297" s="186">
        <v>0</v>
      </c>
    </row>
    <row r="298" spans="1:5" ht="12.75" x14ac:dyDescent="0.25">
      <c r="A298" s="70" t="s">
        <v>747</v>
      </c>
      <c r="B298" s="142"/>
      <c r="C298" s="186"/>
      <c r="D298" s="216"/>
      <c r="E298" s="186">
        <v>0</v>
      </c>
    </row>
    <row r="299" spans="1:5" ht="12.75" x14ac:dyDescent="0.25">
      <c r="A299" s="70" t="s">
        <v>658</v>
      </c>
      <c r="B299" s="142"/>
      <c r="C299" s="186"/>
      <c r="D299" s="216"/>
      <c r="E299" s="186">
        <v>0</v>
      </c>
    </row>
    <row r="300" spans="1:5" ht="12.75" x14ac:dyDescent="0.25">
      <c r="A300" s="70" t="s">
        <v>806</v>
      </c>
      <c r="B300" s="142"/>
      <c r="C300" s="186"/>
      <c r="D300" s="216"/>
      <c r="E300" s="186">
        <v>0</v>
      </c>
    </row>
    <row r="301" spans="1:5" ht="12.75" x14ac:dyDescent="0.25">
      <c r="A301" s="70" t="s">
        <v>683</v>
      </c>
      <c r="B301" s="142"/>
      <c r="C301" s="186"/>
      <c r="D301" s="216"/>
      <c r="E301" s="186">
        <v>0</v>
      </c>
    </row>
    <row r="302" spans="1:5" ht="12.75" x14ac:dyDescent="0.25">
      <c r="A302" s="70" t="s">
        <v>515</v>
      </c>
      <c r="B302" s="142"/>
      <c r="C302" s="186"/>
      <c r="D302" s="216"/>
      <c r="E302" s="186">
        <v>0</v>
      </c>
    </row>
    <row r="303" spans="1:5" ht="12.75" x14ac:dyDescent="0.25">
      <c r="A303" s="70" t="s">
        <v>770</v>
      </c>
      <c r="B303" s="142"/>
      <c r="C303" s="186"/>
      <c r="D303" s="216"/>
      <c r="E303" s="186">
        <v>0</v>
      </c>
    </row>
    <row r="304" spans="1:5" ht="12.75" x14ac:dyDescent="0.25">
      <c r="A304" s="70" t="s">
        <v>711</v>
      </c>
      <c r="B304" s="142"/>
      <c r="C304" s="186"/>
      <c r="D304" s="216"/>
      <c r="E304" s="186">
        <v>0</v>
      </c>
    </row>
    <row r="305" spans="1:6" ht="12.75" x14ac:dyDescent="0.25">
      <c r="A305" s="70" t="s">
        <v>753</v>
      </c>
      <c r="B305" s="142"/>
      <c r="C305" s="186"/>
      <c r="D305" s="216"/>
      <c r="E305" s="186">
        <v>0</v>
      </c>
    </row>
    <row r="306" spans="1:6" ht="12.75" x14ac:dyDescent="0.25">
      <c r="A306" s="70" t="s">
        <v>840</v>
      </c>
      <c r="B306" s="142"/>
      <c r="C306" s="186"/>
      <c r="D306" s="216"/>
      <c r="E306" s="186">
        <v>0</v>
      </c>
    </row>
    <row r="307" spans="1:6" ht="12.75" x14ac:dyDescent="0.25">
      <c r="A307" s="70" t="s">
        <v>617</v>
      </c>
      <c r="B307" s="142"/>
      <c r="C307" s="186"/>
      <c r="D307" s="216"/>
      <c r="E307" s="186">
        <v>0</v>
      </c>
    </row>
    <row r="308" spans="1:6" ht="12.75" x14ac:dyDescent="0.25">
      <c r="A308" s="70" t="s">
        <v>483</v>
      </c>
      <c r="B308" s="142"/>
      <c r="C308" s="186"/>
      <c r="D308" s="216"/>
      <c r="E308" s="186">
        <v>19677599.580000002</v>
      </c>
    </row>
    <row r="309" spans="1:6" ht="12.75" x14ac:dyDescent="0.25">
      <c r="A309" s="70" t="s">
        <v>838</v>
      </c>
      <c r="B309" s="142"/>
      <c r="C309" s="186"/>
      <c r="D309" s="216"/>
      <c r="E309" s="186">
        <v>358719.18</v>
      </c>
    </row>
    <row r="310" spans="1:6" ht="12.75" x14ac:dyDescent="0.25">
      <c r="A310" s="70" t="s">
        <v>804</v>
      </c>
      <c r="B310" s="142"/>
      <c r="C310" s="186"/>
      <c r="D310" s="216"/>
      <c r="E310" s="186">
        <v>7982322.7599999998</v>
      </c>
    </row>
    <row r="311" spans="1:6" ht="12.75" x14ac:dyDescent="0.25">
      <c r="A311" s="70" t="s">
        <v>752</v>
      </c>
      <c r="B311" s="142"/>
      <c r="C311" s="186"/>
      <c r="D311" s="216"/>
      <c r="E311" s="186">
        <v>236115665.5</v>
      </c>
    </row>
    <row r="312" spans="1:6" ht="12.75" x14ac:dyDescent="0.25">
      <c r="A312" s="70" t="s">
        <v>818</v>
      </c>
      <c r="B312" s="142"/>
      <c r="C312" s="186"/>
      <c r="D312" s="216"/>
      <c r="E312" s="186">
        <v>0</v>
      </c>
    </row>
    <row r="313" spans="1:6" ht="12.75" x14ac:dyDescent="0.25">
      <c r="A313" s="70" t="s">
        <v>675</v>
      </c>
      <c r="B313" s="142"/>
      <c r="C313" s="186"/>
      <c r="D313" s="216"/>
      <c r="E313" s="186">
        <v>0</v>
      </c>
    </row>
    <row r="314" spans="1:6" ht="12.75" x14ac:dyDescent="0.25">
      <c r="A314" s="70" t="s">
        <v>814</v>
      </c>
      <c r="B314" s="142"/>
      <c r="C314" s="186"/>
      <c r="D314" s="216"/>
      <c r="E314" s="186">
        <v>0</v>
      </c>
      <c r="F314" s="221"/>
    </row>
    <row r="315" spans="1:6" ht="12.75" x14ac:dyDescent="0.25">
      <c r="A315" s="70" t="s">
        <v>729</v>
      </c>
      <c r="B315" s="142"/>
      <c r="C315" s="186"/>
      <c r="D315" s="216"/>
      <c r="E315" s="186">
        <v>9064800</v>
      </c>
      <c r="F315" s="221"/>
    </row>
    <row r="316" spans="1:6" ht="12.75" x14ac:dyDescent="0.25">
      <c r="A316" s="70" t="s">
        <v>517</v>
      </c>
      <c r="B316" s="142"/>
      <c r="C316" s="186"/>
      <c r="D316" s="216"/>
      <c r="E316" s="186">
        <v>0</v>
      </c>
      <c r="F316" s="221"/>
    </row>
    <row r="317" spans="1:6" ht="12.75" x14ac:dyDescent="0.25">
      <c r="A317" s="70" t="s">
        <v>579</v>
      </c>
      <c r="B317" s="142"/>
      <c r="C317" s="186"/>
      <c r="D317" s="216"/>
      <c r="E317" s="186">
        <v>0</v>
      </c>
    </row>
    <row r="318" spans="1:6" ht="12.75" x14ac:dyDescent="0.25">
      <c r="A318" s="70" t="s">
        <v>573</v>
      </c>
      <c r="B318" s="142"/>
      <c r="C318" s="186"/>
      <c r="D318" s="216"/>
      <c r="E318" s="186">
        <v>0</v>
      </c>
    </row>
    <row r="319" spans="1:6" ht="12.75" x14ac:dyDescent="0.25">
      <c r="A319" s="70" t="s">
        <v>746</v>
      </c>
      <c r="B319" s="142"/>
      <c r="C319" s="186"/>
      <c r="D319" s="216"/>
      <c r="E319" s="186">
        <v>0</v>
      </c>
    </row>
    <row r="320" spans="1:6" ht="12.75" hidden="1" x14ac:dyDescent="0.25">
      <c r="A320" s="70" t="s">
        <v>614</v>
      </c>
      <c r="B320" s="142"/>
      <c r="C320" s="186"/>
      <c r="D320" s="216"/>
      <c r="E320" s="186">
        <v>0</v>
      </c>
    </row>
    <row r="321" spans="1:5" ht="12.75" hidden="1" x14ac:dyDescent="0.25">
      <c r="A321" s="70" t="s">
        <v>616</v>
      </c>
      <c r="B321" s="142"/>
      <c r="C321" s="186"/>
      <c r="D321" s="216"/>
      <c r="E321" s="186">
        <v>0</v>
      </c>
    </row>
    <row r="322" spans="1:5" ht="12.75" hidden="1" x14ac:dyDescent="0.25">
      <c r="A322" s="70" t="s">
        <v>716</v>
      </c>
      <c r="B322" s="142"/>
      <c r="C322" s="186"/>
      <c r="D322" s="216"/>
      <c r="E322" s="186">
        <v>13502481.6</v>
      </c>
    </row>
    <row r="323" spans="1:5" ht="12.75" hidden="1" x14ac:dyDescent="0.25">
      <c r="A323" s="70" t="s">
        <v>593</v>
      </c>
      <c r="B323" s="142"/>
      <c r="C323" s="186"/>
      <c r="D323" s="216"/>
      <c r="E323" s="186">
        <v>52020</v>
      </c>
    </row>
    <row r="324" spans="1:5" ht="12.75" hidden="1" x14ac:dyDescent="0.25">
      <c r="A324" s="70" t="s">
        <v>544</v>
      </c>
      <c r="B324" s="142"/>
      <c r="C324" s="186"/>
      <c r="D324" s="216"/>
      <c r="E324" s="186">
        <v>1836290.04</v>
      </c>
    </row>
    <row r="325" spans="1:5" ht="12.75" hidden="1" x14ac:dyDescent="0.25">
      <c r="A325" s="70" t="s">
        <v>828</v>
      </c>
      <c r="B325" s="142"/>
      <c r="C325" s="186"/>
      <c r="D325" s="216"/>
      <c r="E325" s="186">
        <v>4150213.41</v>
      </c>
    </row>
    <row r="326" spans="1:5" ht="12.75" hidden="1" x14ac:dyDescent="0.25">
      <c r="A326" s="70" t="s">
        <v>568</v>
      </c>
      <c r="B326" s="142"/>
      <c r="C326" s="186"/>
      <c r="D326" s="216"/>
      <c r="E326" s="186">
        <v>101825.60000000001</v>
      </c>
    </row>
    <row r="327" spans="1:5" ht="12.75" hidden="1" x14ac:dyDescent="0.25">
      <c r="A327" s="70" t="s">
        <v>790</v>
      </c>
      <c r="B327" s="142"/>
      <c r="C327" s="186"/>
      <c r="D327" s="216"/>
      <c r="E327" s="186">
        <v>8441197.290000001</v>
      </c>
    </row>
    <row r="328" spans="1:5" ht="12.75" hidden="1" x14ac:dyDescent="0.25">
      <c r="A328" s="70" t="s">
        <v>831</v>
      </c>
      <c r="B328" s="142"/>
      <c r="C328" s="186"/>
      <c r="D328" s="216"/>
      <c r="E328" s="186">
        <v>226987</v>
      </c>
    </row>
    <row r="329" spans="1:5" ht="12.75" hidden="1" x14ac:dyDescent="0.25">
      <c r="A329" s="70" t="s">
        <v>574</v>
      </c>
      <c r="B329" s="142"/>
      <c r="C329" s="186"/>
      <c r="D329" s="216"/>
      <c r="E329" s="186">
        <v>98618.72</v>
      </c>
    </row>
    <row r="330" spans="1:5" ht="12.75" hidden="1" x14ac:dyDescent="0.25">
      <c r="A330" s="142" t="s">
        <v>495</v>
      </c>
      <c r="B330" s="142"/>
      <c r="C330" s="186"/>
      <c r="D330" s="216"/>
      <c r="E330" s="186">
        <v>10490</v>
      </c>
    </row>
    <row r="331" spans="1:5" ht="12.75" hidden="1" x14ac:dyDescent="0.25">
      <c r="A331" s="142" t="s">
        <v>692</v>
      </c>
      <c r="B331" s="142"/>
      <c r="C331" s="186"/>
      <c r="D331" s="216"/>
      <c r="E331" s="186">
        <v>5099.17</v>
      </c>
    </row>
    <row r="332" spans="1:5" ht="12.75" hidden="1" x14ac:dyDescent="0.25">
      <c r="A332" s="142" t="s">
        <v>708</v>
      </c>
      <c r="B332" s="142"/>
      <c r="C332" s="186"/>
      <c r="D332" s="216"/>
      <c r="E332" s="186">
        <v>516529</v>
      </c>
    </row>
    <row r="333" spans="1:5" ht="12.75" hidden="1" x14ac:dyDescent="0.25">
      <c r="A333" s="142" t="s">
        <v>664</v>
      </c>
      <c r="B333" s="142"/>
      <c r="C333" s="186"/>
      <c r="D333" s="216"/>
      <c r="E333" s="186">
        <v>21735.54</v>
      </c>
    </row>
    <row r="334" spans="1:5" ht="12.75" hidden="1" x14ac:dyDescent="0.25">
      <c r="A334" s="142" t="s">
        <v>473</v>
      </c>
      <c r="B334" s="142"/>
      <c r="C334" s="186"/>
      <c r="D334" s="216"/>
      <c r="E334" s="186">
        <v>6840000</v>
      </c>
    </row>
    <row r="335" spans="1:5" ht="12.75" hidden="1" x14ac:dyDescent="0.25">
      <c r="A335" s="142" t="s">
        <v>686</v>
      </c>
      <c r="B335" s="142"/>
      <c r="C335" s="186"/>
      <c r="D335" s="216"/>
      <c r="E335" s="186">
        <v>1377362</v>
      </c>
    </row>
    <row r="336" spans="1:5" ht="12.75" hidden="1" x14ac:dyDescent="0.25">
      <c r="A336" s="70" t="s">
        <v>533</v>
      </c>
      <c r="B336" s="142"/>
      <c r="C336" s="186"/>
      <c r="D336" s="216"/>
      <c r="E336" s="186">
        <v>700000</v>
      </c>
    </row>
    <row r="337" spans="1:7" ht="12.75" hidden="1" x14ac:dyDescent="0.25">
      <c r="A337" s="70" t="s">
        <v>553</v>
      </c>
      <c r="B337" s="142"/>
      <c r="C337" s="186"/>
      <c r="D337" s="216"/>
      <c r="E337" s="186">
        <v>39000</v>
      </c>
    </row>
    <row r="338" spans="1:7" ht="12.75" hidden="1" x14ac:dyDescent="0.25">
      <c r="A338" s="70" t="s">
        <v>508</v>
      </c>
      <c r="B338" s="142"/>
      <c r="C338" s="186"/>
      <c r="D338" s="216"/>
      <c r="E338" s="186">
        <v>30000</v>
      </c>
    </row>
    <row r="339" spans="1:7" ht="12.75" hidden="1" x14ac:dyDescent="0.25">
      <c r="A339" s="70"/>
      <c r="B339" s="142"/>
      <c r="C339" s="186"/>
      <c r="D339" s="216"/>
      <c r="E339" s="186"/>
      <c r="F339" s="229" t="s">
        <v>868</v>
      </c>
      <c r="G339" s="230" t="s">
        <v>869</v>
      </c>
    </row>
    <row r="340" spans="1:7" s="226" customFormat="1" ht="10.15" hidden="1" customHeight="1" x14ac:dyDescent="0.25">
      <c r="A340" s="227"/>
      <c r="B340" s="227"/>
      <c r="C340" s="41"/>
      <c r="D340" s="228"/>
      <c r="E340" s="231">
        <f>SUM(E214:E338)</f>
        <v>1672589124.2599998</v>
      </c>
      <c r="F340" s="232">
        <f>+Resultados!C26</f>
        <v>-1672589124.26</v>
      </c>
      <c r="G340" s="233">
        <f>+F340+E340</f>
        <v>0</v>
      </c>
    </row>
    <row r="341" spans="1:7" ht="12.75" hidden="1" x14ac:dyDescent="0.25">
      <c r="A341" s="142"/>
      <c r="B341" s="142"/>
      <c r="C341" s="186"/>
      <c r="D341" s="216"/>
      <c r="E341" s="131"/>
    </row>
    <row r="342" spans="1:7" ht="13.5" hidden="1" customHeight="1" x14ac:dyDescent="0.25">
      <c r="A342" s="142"/>
      <c r="B342" s="142"/>
      <c r="C342" s="186"/>
      <c r="D342" s="216"/>
      <c r="E342" s="131"/>
    </row>
    <row r="343" spans="1:7" ht="12.75" hidden="1" x14ac:dyDescent="0.25">
      <c r="A343" s="142"/>
      <c r="B343" s="142"/>
      <c r="C343" s="186"/>
      <c r="D343" s="216"/>
      <c r="E343" s="131"/>
    </row>
    <row r="344" spans="1:7" ht="12.75" hidden="1" x14ac:dyDescent="0.25">
      <c r="A344" s="142"/>
      <c r="B344" s="142"/>
      <c r="C344" s="186"/>
      <c r="D344" s="216"/>
      <c r="E344" s="131"/>
    </row>
    <row r="345" spans="1:7" ht="12.75" x14ac:dyDescent="0.25">
      <c r="A345" s="142"/>
      <c r="B345" s="142"/>
      <c r="C345" s="186"/>
      <c r="D345" s="216"/>
      <c r="E345" s="131"/>
    </row>
    <row r="346" spans="1:7" ht="12.75" x14ac:dyDescent="0.25">
      <c r="A346" s="142"/>
      <c r="B346" s="142"/>
      <c r="C346" s="186"/>
      <c r="D346" s="216"/>
      <c r="E346" s="131"/>
    </row>
    <row r="347" spans="1:7" ht="12.75" x14ac:dyDescent="0.25">
      <c r="A347" s="142"/>
      <c r="B347" s="142"/>
      <c r="C347" s="186"/>
      <c r="D347" s="216"/>
      <c r="E347" s="131"/>
    </row>
    <row r="348" spans="1:7" ht="12.75" x14ac:dyDescent="0.25">
      <c r="A348" s="142"/>
      <c r="B348" s="142"/>
      <c r="C348" s="186"/>
      <c r="D348" s="216"/>
      <c r="E348" s="131"/>
    </row>
    <row r="349" spans="1:7" ht="12.75" x14ac:dyDescent="0.25">
      <c r="A349" s="142"/>
      <c r="B349" s="142"/>
      <c r="C349" s="186"/>
      <c r="D349" s="216"/>
      <c r="E349" s="131"/>
    </row>
    <row r="350" spans="1:7" ht="12.75" x14ac:dyDescent="0.25">
      <c r="A350" s="142"/>
      <c r="B350" s="142"/>
      <c r="C350" s="186"/>
      <c r="D350" s="216"/>
      <c r="E350" s="131"/>
    </row>
    <row r="351" spans="1:7" ht="12.75" x14ac:dyDescent="0.25">
      <c r="A351" s="142"/>
      <c r="B351" s="142"/>
      <c r="C351" s="186"/>
      <c r="D351" s="216"/>
      <c r="E351" s="131"/>
    </row>
    <row r="352" spans="1:7" ht="12.75" x14ac:dyDescent="0.25">
      <c r="A352" s="142"/>
      <c r="B352" s="142"/>
      <c r="C352" s="186"/>
      <c r="D352" s="216"/>
      <c r="E352" s="131"/>
    </row>
    <row r="353" spans="1:8" ht="12.75" x14ac:dyDescent="0.25">
      <c r="A353" s="142"/>
      <c r="B353" s="142"/>
      <c r="C353" s="186"/>
      <c r="D353" s="216"/>
      <c r="E353" s="131"/>
    </row>
    <row r="354" spans="1:8" ht="12.75" x14ac:dyDescent="0.25">
      <c r="A354" s="142"/>
      <c r="B354" s="142"/>
      <c r="C354" s="186"/>
      <c r="D354" s="216"/>
      <c r="E354" s="131"/>
    </row>
    <row r="355" spans="1:8" ht="12.75" x14ac:dyDescent="0.25">
      <c r="A355" s="142"/>
      <c r="B355" s="142"/>
      <c r="C355" s="186"/>
      <c r="D355" s="216"/>
      <c r="E355" s="131"/>
    </row>
    <row r="356" spans="1:8" ht="12.75" x14ac:dyDescent="0.25">
      <c r="A356" s="142"/>
      <c r="B356" s="142"/>
      <c r="C356" s="186"/>
      <c r="D356" s="216"/>
      <c r="E356" s="131"/>
    </row>
    <row r="357" spans="1:8" ht="12.75" x14ac:dyDescent="0.25">
      <c r="A357" s="142"/>
      <c r="B357" s="142"/>
      <c r="C357" s="186"/>
      <c r="D357" s="216"/>
      <c r="E357" s="131"/>
    </row>
    <row r="358" spans="1:8" ht="12.75" x14ac:dyDescent="0.25">
      <c r="A358" s="142"/>
      <c r="B358" s="142"/>
      <c r="C358" s="186"/>
      <c r="D358" s="216"/>
      <c r="E358" s="131"/>
    </row>
    <row r="359" spans="1:8" ht="12.75" x14ac:dyDescent="0.25">
      <c r="A359" s="142"/>
      <c r="B359" s="142"/>
      <c r="C359" s="186"/>
      <c r="D359" s="216"/>
      <c r="E359" s="131"/>
    </row>
    <row r="360" spans="1:8" ht="12.75" x14ac:dyDescent="0.25">
      <c r="A360" s="70"/>
      <c r="B360" s="142"/>
      <c r="C360" s="186"/>
      <c r="D360" s="216"/>
      <c r="E360" s="131"/>
    </row>
    <row r="361" spans="1:8" ht="12.75" x14ac:dyDescent="0.25">
      <c r="A361" s="70"/>
      <c r="B361" s="142"/>
      <c r="C361" s="186"/>
      <c r="D361" s="216"/>
      <c r="E361" s="131"/>
    </row>
    <row r="362" spans="1:8" ht="12.75" x14ac:dyDescent="0.25">
      <c r="A362" s="142"/>
      <c r="B362" s="142"/>
      <c r="C362" s="186"/>
      <c r="D362" s="216"/>
      <c r="E362" s="131"/>
    </row>
    <row r="363" spans="1:8" ht="12.75" x14ac:dyDescent="0.25">
      <c r="A363" s="142"/>
      <c r="B363" s="142"/>
      <c r="C363" s="186"/>
      <c r="D363" s="216"/>
      <c r="E363" s="131"/>
    </row>
    <row r="364" spans="1:8" ht="12.75" x14ac:dyDescent="0.25">
      <c r="A364" s="142"/>
      <c r="B364" s="142"/>
      <c r="C364" s="186"/>
      <c r="D364" s="216"/>
      <c r="E364" s="131"/>
    </row>
    <row r="365" spans="1:8" ht="12.75" x14ac:dyDescent="0.25">
      <c r="A365" s="142"/>
      <c r="B365" s="142"/>
      <c r="C365" s="186"/>
      <c r="D365" s="216"/>
      <c r="E365" s="131"/>
    </row>
    <row r="366" spans="1:8" ht="12.75" x14ac:dyDescent="0.25">
      <c r="A366" s="142"/>
      <c r="B366" s="142"/>
      <c r="C366" s="186"/>
      <c r="D366" s="216"/>
      <c r="E366" s="131"/>
      <c r="G366" s="234">
        <f>+SUM(E59:E201)</f>
        <v>-476736080.89999998</v>
      </c>
      <c r="H366" s="211" t="s">
        <v>133</v>
      </c>
    </row>
    <row r="367" spans="1:8" ht="12.75" x14ac:dyDescent="0.25">
      <c r="C367" s="186"/>
      <c r="D367" s="216"/>
      <c r="E367" s="41">
        <v>1672589124.26</v>
      </c>
      <c r="G367" s="216">
        <f>+SUM(E207:E210)</f>
        <v>-3354028747.8699989</v>
      </c>
      <c r="H367" s="70" t="s">
        <v>870</v>
      </c>
    </row>
    <row r="368" spans="1:8" ht="12.75" x14ac:dyDescent="0.25">
      <c r="C368" s="186"/>
      <c r="D368" s="216"/>
      <c r="E368" s="131"/>
      <c r="G368" s="216">
        <f>+SUM(E214:E338)</f>
        <v>1672589124.2599998</v>
      </c>
      <c r="H368" s="70" t="s">
        <v>55</v>
      </c>
    </row>
    <row r="369" spans="1:8" ht="12.75" x14ac:dyDescent="0.25">
      <c r="C369" s="186"/>
      <c r="D369" s="216"/>
      <c r="E369" s="131">
        <f>+E340-E367</f>
        <v>0</v>
      </c>
      <c r="G369" s="216"/>
      <c r="H369" s="70" t="s">
        <v>871</v>
      </c>
    </row>
    <row r="370" spans="1:8" ht="12.75" x14ac:dyDescent="0.25">
      <c r="C370" s="186"/>
      <c r="D370" s="216"/>
      <c r="E370" s="131"/>
    </row>
    <row r="371" spans="1:8" ht="12.75" x14ac:dyDescent="0.25">
      <c r="C371" s="186"/>
      <c r="D371" s="216"/>
      <c r="E371" s="131"/>
      <c r="G371" s="235" t="s">
        <v>871</v>
      </c>
      <c r="H371" s="236" t="s">
        <v>869</v>
      </c>
    </row>
    <row r="372" spans="1:8" ht="12.75" x14ac:dyDescent="0.25">
      <c r="C372" s="186"/>
      <c r="D372" s="216"/>
      <c r="E372" s="131"/>
      <c r="G372" s="41">
        <v>1539809930.04</v>
      </c>
      <c r="H372" s="237">
        <f>+G372-E340</f>
        <v>-132779194.21999979</v>
      </c>
    </row>
    <row r="373" spans="1:8" ht="12.75" x14ac:dyDescent="0.25">
      <c r="A373" s="70"/>
      <c r="B373" s="142"/>
      <c r="C373" s="186"/>
      <c r="D373" s="216"/>
      <c r="E373" s="131"/>
    </row>
    <row r="374" spans="1:8" ht="12.75" x14ac:dyDescent="0.25">
      <c r="A374" s="142"/>
      <c r="B374" s="142"/>
      <c r="C374" s="186"/>
      <c r="D374" s="216"/>
      <c r="E374" s="131"/>
    </row>
    <row r="375" spans="1:8" ht="12.75" x14ac:dyDescent="0.25">
      <c r="A375" s="142"/>
      <c r="B375" s="142"/>
      <c r="C375" s="186"/>
      <c r="D375" s="216"/>
      <c r="E375" s="131"/>
    </row>
    <row r="376" spans="1:8" ht="12.75" x14ac:dyDescent="0.25">
      <c r="A376" s="142"/>
      <c r="B376" s="142"/>
      <c r="C376" s="186"/>
      <c r="D376" s="216"/>
      <c r="E376" s="131"/>
    </row>
    <row r="377" spans="1:8" ht="12.75" x14ac:dyDescent="0.25">
      <c r="A377" s="142"/>
      <c r="B377" s="142"/>
      <c r="C377" s="186"/>
      <c r="D377" s="216"/>
      <c r="E377" s="131"/>
    </row>
    <row r="378" spans="1:8" ht="12.75" x14ac:dyDescent="0.25">
      <c r="A378" s="142"/>
      <c r="B378" s="142"/>
      <c r="C378" s="186"/>
      <c r="D378" s="216"/>
      <c r="E378" s="131"/>
    </row>
    <row r="379" spans="1:8" ht="12.75" x14ac:dyDescent="0.25">
      <c r="A379" s="142"/>
      <c r="B379" s="142"/>
      <c r="C379" s="186"/>
      <c r="D379" s="216"/>
      <c r="E379" s="131"/>
    </row>
    <row r="380" spans="1:8" ht="12.75" x14ac:dyDescent="0.25">
      <c r="A380" s="142"/>
      <c r="B380" s="142"/>
      <c r="C380" s="186"/>
      <c r="D380" s="216"/>
      <c r="E380" s="131"/>
    </row>
    <row r="381" spans="1:8" ht="12.75" x14ac:dyDescent="0.25">
      <c r="A381" s="142"/>
      <c r="B381" s="142"/>
      <c r="C381" s="186"/>
      <c r="D381" s="216"/>
      <c r="E381" s="131"/>
    </row>
    <row r="382" spans="1:8" ht="12.75" x14ac:dyDescent="0.25">
      <c r="A382" s="142"/>
      <c r="B382" s="142"/>
      <c r="C382" s="186"/>
      <c r="D382" s="216"/>
      <c r="E382" s="131"/>
    </row>
    <row r="383" spans="1:8" ht="12.75" x14ac:dyDescent="0.25">
      <c r="A383" s="142"/>
      <c r="B383" s="142"/>
      <c r="C383" s="186"/>
      <c r="D383" s="216"/>
      <c r="E383" s="131"/>
    </row>
    <row r="384" spans="1:8" ht="12.75" x14ac:dyDescent="0.25">
      <c r="A384" s="142"/>
      <c r="B384" s="142"/>
      <c r="C384" s="186"/>
      <c r="D384" s="216"/>
      <c r="E384" s="131"/>
    </row>
    <row r="385" spans="1:5" ht="12.75" x14ac:dyDescent="0.25">
      <c r="A385" s="142"/>
      <c r="B385" s="142"/>
      <c r="C385" s="186"/>
      <c r="D385" s="216"/>
      <c r="E385" s="131"/>
    </row>
    <row r="386" spans="1:5" ht="12.75" x14ac:dyDescent="0.25">
      <c r="A386" s="142"/>
      <c r="B386" s="142"/>
      <c r="C386" s="186"/>
      <c r="D386" s="216"/>
      <c r="E386" s="131"/>
    </row>
    <row r="387" spans="1:5" ht="12.75" x14ac:dyDescent="0.25">
      <c r="A387" s="142"/>
      <c r="B387" s="142"/>
      <c r="C387" s="186"/>
      <c r="D387" s="216"/>
      <c r="E387" s="131"/>
    </row>
    <row r="388" spans="1:5" ht="12.75" x14ac:dyDescent="0.25">
      <c r="A388" s="142"/>
      <c r="B388" s="142"/>
      <c r="C388" s="186"/>
      <c r="D388" s="216"/>
      <c r="E388" s="131"/>
    </row>
    <row r="389" spans="1:5" ht="12.75" x14ac:dyDescent="0.25">
      <c r="A389" s="142"/>
      <c r="B389" s="142"/>
      <c r="C389" s="186"/>
      <c r="D389" s="216"/>
      <c r="E389" s="131"/>
    </row>
    <row r="390" spans="1:5" ht="12.75" x14ac:dyDescent="0.25">
      <c r="A390" s="142"/>
      <c r="B390" s="142"/>
      <c r="C390" s="186"/>
      <c r="D390" s="216"/>
      <c r="E390" s="131"/>
    </row>
    <row r="391" spans="1:5" ht="12.75" x14ac:dyDescent="0.25">
      <c r="A391" s="142"/>
      <c r="B391" s="142"/>
      <c r="C391" s="186"/>
      <c r="D391" s="216"/>
      <c r="E391" s="131"/>
    </row>
    <row r="392" spans="1:5" ht="12.75" x14ac:dyDescent="0.25">
      <c r="A392" s="142"/>
      <c r="B392" s="142"/>
      <c r="C392" s="186"/>
      <c r="D392" s="216"/>
      <c r="E392" s="131"/>
    </row>
    <row r="393" spans="1:5" ht="12.75" x14ac:dyDescent="0.25">
      <c r="A393" s="142"/>
      <c r="B393" s="142"/>
      <c r="C393" s="186"/>
      <c r="D393" s="216"/>
      <c r="E393" s="131"/>
    </row>
    <row r="394" spans="1:5" ht="12.75" x14ac:dyDescent="0.25">
      <c r="A394" s="142"/>
      <c r="B394" s="142"/>
      <c r="C394" s="186"/>
      <c r="D394" s="216"/>
      <c r="E394" s="131"/>
    </row>
    <row r="395" spans="1:5" ht="12.75" x14ac:dyDescent="0.25">
      <c r="A395" s="142"/>
      <c r="B395" s="142"/>
      <c r="C395" s="186"/>
      <c r="D395" s="216"/>
      <c r="E395" s="131"/>
    </row>
    <row r="396" spans="1:5" ht="12.75" x14ac:dyDescent="0.25">
      <c r="A396" s="142"/>
      <c r="B396" s="142"/>
      <c r="C396" s="186"/>
      <c r="D396" s="216"/>
      <c r="E396" s="131"/>
    </row>
    <row r="397" spans="1:5" ht="12.75" x14ac:dyDescent="0.25">
      <c r="A397" s="142"/>
      <c r="B397" s="142"/>
      <c r="C397" s="186"/>
      <c r="D397" s="216"/>
      <c r="E397" s="131"/>
    </row>
    <row r="398" spans="1:5" ht="12.75" x14ac:dyDescent="0.25">
      <c r="A398" s="142"/>
      <c r="B398" s="142"/>
      <c r="C398" s="186"/>
      <c r="D398" s="216"/>
      <c r="E398" s="131"/>
    </row>
  </sheetData>
  <autoFilter ref="A191:H295" xr:uid="{00000000-0009-0000-0000-000007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4</vt:i4>
      </vt:variant>
    </vt:vector>
  </HeadingPairs>
  <TitlesOfParts>
    <vt:vector size="12" baseType="lpstr">
      <vt:lpstr>Balance</vt:lpstr>
      <vt:lpstr>Resultados</vt:lpstr>
      <vt:lpstr>Pat.Neto</vt:lpstr>
      <vt:lpstr>Activo y Pasivo</vt:lpstr>
      <vt:lpstr>Anexo I</vt:lpstr>
      <vt:lpstr>Anexo II</vt:lpstr>
      <vt:lpstr>SALDOS</vt:lpstr>
      <vt:lpstr>Hoja1</vt:lpstr>
      <vt:lpstr>_FilterDatabase</vt:lpstr>
      <vt:lpstr>'Anexo I'!Área_de_impresión</vt:lpstr>
      <vt:lpstr>'Anexo II'!Área_de_impresión</vt:lpstr>
      <vt:lpstr>Balance!Área_de_impresión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2019-09-03T14:29:34Z</cp:lastPrinted>
  <dcterms:created xsi:type="dcterms:W3CDTF">2001-07-23T19:33:40Z</dcterms:created>
  <dcterms:modified xsi:type="dcterms:W3CDTF">2026-07-30T20:44:38Z</dcterms:modified>
</cp:coreProperties>
</file>