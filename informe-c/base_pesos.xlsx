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moran\Downloads\"/>
    </mc:Choice>
  </mc:AlternateContent>
  <xr:revisionPtr revIDLastSave="0" documentId="8_{474113EB-708E-422B-8591-F21AFE2F0D90}" xr6:coauthVersionLast="47" xr6:coauthVersionMax="47" xr10:uidLastSave="{00000000-0000-0000-0000-000000000000}"/>
  <bookViews>
    <workbookView xWindow="3552" yWindow="3360" windowWidth="17280" windowHeight="8880" tabRatio="877"/>
  </bookViews>
  <sheets>
    <sheet name="Balance" sheetId="8" r:id="rId1"/>
    <sheet name="Resultados" sheetId="7" r:id="rId2"/>
    <sheet name="Pat.Neto" sheetId="6" r:id="rId3"/>
    <sheet name="Activo y Pasivo" sheetId="5" r:id="rId4"/>
    <sheet name="Anexo I" sheetId="12" r:id="rId5"/>
    <sheet name="Anexo II" sheetId="10" r:id="rId6"/>
    <sheet name="SALDOS" sheetId="14" state="hidden" r:id="rId7"/>
    <sheet name="Hoja1" sheetId="15" state="hidden" r:id="rId8"/>
  </sheets>
  <definedNames>
    <definedName name="_xlnm._FilterDatabase" localSheetId="5" hidden="1">'Anexo II'!$A$9:$J$105</definedName>
    <definedName name="_xlnm._FilterDatabase" localSheetId="7" hidden="1">Hoja1!$A$191:$H$295</definedName>
    <definedName name="_xlnm._FilterDatabase" localSheetId="6" hidden="1">SALDOS!$F$1:$F$512</definedName>
    <definedName name="_xlnm.Print_Area" localSheetId="4">'Anexo I'!$O$15:$O$23</definedName>
    <definedName name="_xlnm.Print_Area" localSheetId="5">'Anexo II'!$A$2:$J$113</definedName>
    <definedName name="_xlnm.Print_Area" localSheetId="0">Balance!$A$1:$L$34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7" i="15" l="1"/>
  <c r="G346" i="15"/>
  <c r="I142" i="14"/>
  <c r="I141" i="14"/>
  <c r="J12" i="6"/>
  <c r="I116" i="14"/>
  <c r="F170" i="14"/>
  <c r="G170" i="14"/>
  <c r="F81" i="10"/>
  <c r="E81" i="10"/>
  <c r="F413" i="14"/>
  <c r="F193" i="14"/>
  <c r="F419" i="14"/>
  <c r="F381" i="14"/>
  <c r="F394" i="14"/>
  <c r="F252" i="14"/>
  <c r="F345" i="14"/>
  <c r="F354" i="14"/>
  <c r="F431" i="14"/>
  <c r="F468" i="14"/>
  <c r="F182" i="14"/>
  <c r="F476" i="14"/>
  <c r="F444" i="14"/>
  <c r="F355" i="14"/>
  <c r="F373" i="14"/>
  <c r="F216" i="14"/>
  <c r="F297" i="14"/>
  <c r="F412" i="14"/>
  <c r="F306" i="14"/>
  <c r="F482" i="14"/>
  <c r="F318" i="14"/>
  <c r="F269" i="14"/>
  <c r="F416" i="14"/>
  <c r="F162" i="14"/>
  <c r="F481" i="14"/>
  <c r="G480" i="14"/>
  <c r="F65" i="10"/>
  <c r="E65" i="10"/>
  <c r="F197" i="14"/>
  <c r="F249" i="14"/>
  <c r="F287" i="14"/>
  <c r="F382" i="14"/>
  <c r="F223" i="14"/>
  <c r="F489" i="14"/>
  <c r="G489" i="14"/>
  <c r="H80" i="10"/>
  <c r="E80" i="10"/>
  <c r="F357" i="14"/>
  <c r="G61" i="14"/>
  <c r="F50" i="5"/>
  <c r="G8" i="14"/>
  <c r="F14" i="5"/>
  <c r="G16" i="14"/>
  <c r="F25" i="5"/>
  <c r="G37" i="14"/>
  <c r="F41" i="5"/>
  <c r="G42" i="14"/>
  <c r="F36" i="5"/>
  <c r="G47" i="14"/>
  <c r="E19" i="12"/>
  <c r="G58" i="14"/>
  <c r="E22" i="12"/>
  <c r="G53" i="14"/>
  <c r="J19" i="12"/>
  <c r="I53" i="14"/>
  <c r="J53" i="14"/>
  <c r="G59" i="14"/>
  <c r="J22" i="12"/>
  <c r="F293" i="14"/>
  <c r="F439" i="14"/>
  <c r="F153" i="14"/>
  <c r="G153" i="14"/>
  <c r="F91" i="10"/>
  <c r="E91" i="10"/>
  <c r="G18" i="14"/>
  <c r="F24" i="5"/>
  <c r="G23" i="14"/>
  <c r="F47" i="5"/>
  <c r="G25" i="14"/>
  <c r="F29" i="5"/>
  <c r="G45" i="14"/>
  <c r="E17" i="12"/>
  <c r="G52" i="14"/>
  <c r="E21" i="12"/>
  <c r="G55" i="14"/>
  <c r="J21" i="12"/>
  <c r="F275" i="14"/>
  <c r="F168" i="14"/>
  <c r="F374" i="14"/>
  <c r="F89" i="5"/>
  <c r="F77" i="5"/>
  <c r="F83" i="5"/>
  <c r="F84" i="5"/>
  <c r="F85" i="5"/>
  <c r="F82" i="5"/>
  <c r="F79" i="5"/>
  <c r="G19" i="14"/>
  <c r="F27" i="5"/>
  <c r="G30" i="14"/>
  <c r="F34" i="5"/>
  <c r="G33" i="14"/>
  <c r="F35" i="5"/>
  <c r="G46" i="14"/>
  <c r="E18" i="12"/>
  <c r="G56" i="14"/>
  <c r="E16" i="12"/>
  <c r="G51" i="14"/>
  <c r="J18" i="12"/>
  <c r="G57" i="14"/>
  <c r="J16" i="12"/>
  <c r="J37" i="6"/>
  <c r="F154" i="14"/>
  <c r="F74" i="5"/>
  <c r="F69" i="5"/>
  <c r="F70" i="5"/>
  <c r="F92" i="5"/>
  <c r="F81" i="5"/>
  <c r="F71" i="5"/>
  <c r="F80" i="5"/>
  <c r="F333" i="14"/>
  <c r="F352" i="14"/>
  <c r="F311" i="14"/>
  <c r="G311" i="14"/>
  <c r="F176" i="14"/>
  <c r="F270" i="14"/>
  <c r="F404" i="14"/>
  <c r="G404" i="14"/>
  <c r="H81" i="10"/>
  <c r="F334" i="14"/>
  <c r="F173" i="14"/>
  <c r="F372" i="14"/>
  <c r="F161" i="14"/>
  <c r="F273" i="14"/>
  <c r="F205" i="14"/>
  <c r="G205" i="14"/>
  <c r="F220" i="14"/>
  <c r="F190" i="14"/>
  <c r="F201" i="14"/>
  <c r="F438" i="14"/>
  <c r="F456" i="14"/>
  <c r="F325" i="14"/>
  <c r="F298" i="14"/>
  <c r="F155" i="14"/>
  <c r="F184" i="14"/>
  <c r="F277" i="14"/>
  <c r="F335" i="14"/>
  <c r="F347" i="14"/>
  <c r="F192" i="14"/>
  <c r="F221" i="14"/>
  <c r="F457" i="14"/>
  <c r="F327" i="14"/>
  <c r="F315" i="14"/>
  <c r="F263" i="14"/>
  <c r="F202" i="14"/>
  <c r="G201" i="14"/>
  <c r="F95" i="10"/>
  <c r="E95" i="10"/>
  <c r="F163" i="14"/>
  <c r="F430" i="14"/>
  <c r="F448" i="14"/>
  <c r="F225" i="14"/>
  <c r="F396" i="14"/>
  <c r="F274" i="14"/>
  <c r="F378" i="14"/>
  <c r="F322" i="14"/>
  <c r="F336" i="14"/>
  <c r="F356" i="14"/>
  <c r="F411" i="14"/>
  <c r="F328" i="14"/>
  <c r="F349" i="14"/>
  <c r="F434" i="14"/>
  <c r="F377" i="14"/>
  <c r="F501" i="14"/>
  <c r="G501" i="14"/>
  <c r="F499" i="14"/>
  <c r="G499" i="14"/>
  <c r="F467" i="14"/>
  <c r="F417" i="14"/>
  <c r="F342" i="14"/>
  <c r="F477" i="14"/>
  <c r="F395" i="14"/>
  <c r="G393" i="14"/>
  <c r="H52" i="10"/>
  <c r="E52" i="10"/>
  <c r="F255" i="14"/>
  <c r="F410" i="14"/>
  <c r="F289" i="14"/>
  <c r="F245" i="14"/>
  <c r="F492" i="14"/>
  <c r="G492" i="14"/>
  <c r="H93" i="10"/>
  <c r="E93" i="10"/>
  <c r="F250" i="14"/>
  <c r="F195" i="14"/>
  <c r="G24" i="14"/>
  <c r="F48" i="5"/>
  <c r="G29" i="14"/>
  <c r="F33" i="5"/>
  <c r="G38" i="14"/>
  <c r="F42" i="5"/>
  <c r="G31" i="14"/>
  <c r="F43" i="5"/>
  <c r="G49" i="14"/>
  <c r="J15" i="12"/>
  <c r="I49" i="14"/>
  <c r="J49" i="14"/>
  <c r="G50" i="14"/>
  <c r="J17" i="12"/>
  <c r="G54" i="14"/>
  <c r="J20" i="12"/>
  <c r="I54" i="14"/>
  <c r="J54" i="14"/>
  <c r="G5" i="14"/>
  <c r="F10" i="5"/>
  <c r="G11" i="14"/>
  <c r="F11" i="5"/>
  <c r="G6" i="14"/>
  <c r="F12" i="5"/>
  <c r="G15" i="14"/>
  <c r="F23" i="5"/>
  <c r="F276" i="14"/>
  <c r="F422" i="14"/>
  <c r="F290" i="14"/>
  <c r="F268" i="14"/>
  <c r="G9" i="14"/>
  <c r="F15" i="5"/>
  <c r="K23" i="6"/>
  <c r="F228" i="14"/>
  <c r="F156" i="14"/>
  <c r="E426" i="14"/>
  <c r="G7" i="14"/>
  <c r="F13" i="5"/>
  <c r="F188" i="14"/>
  <c r="G188" i="14"/>
  <c r="H16" i="10"/>
  <c r="E16" i="10"/>
  <c r="F283" i="14"/>
  <c r="G283" i="14"/>
  <c r="F157" i="14"/>
  <c r="F158" i="14"/>
  <c r="F160" i="14"/>
  <c r="F164" i="14"/>
  <c r="F165" i="14"/>
  <c r="F166" i="14"/>
  <c r="F167" i="14"/>
  <c r="F169" i="14"/>
  <c r="G169" i="14"/>
  <c r="F59" i="10"/>
  <c r="E59" i="10"/>
  <c r="F174" i="14"/>
  <c r="F175" i="14"/>
  <c r="G172" i="14"/>
  <c r="F177" i="14"/>
  <c r="F178" i="14"/>
  <c r="F179" i="14"/>
  <c r="G179" i="14"/>
  <c r="F87" i="10"/>
  <c r="E87" i="10"/>
  <c r="F181" i="14"/>
  <c r="G180" i="14"/>
  <c r="F45" i="10"/>
  <c r="E45" i="10"/>
  <c r="F183" i="14"/>
  <c r="F185" i="14"/>
  <c r="F191" i="14"/>
  <c r="F194" i="14"/>
  <c r="F196" i="14"/>
  <c r="F198" i="14"/>
  <c r="F199" i="14"/>
  <c r="F200" i="14"/>
  <c r="F206" i="14"/>
  <c r="F208" i="14"/>
  <c r="G207" i="14"/>
  <c r="F75" i="10"/>
  <c r="E75" i="10"/>
  <c r="F209" i="14"/>
  <c r="F211" i="14"/>
  <c r="F212" i="14"/>
  <c r="F213" i="14"/>
  <c r="G210" i="14"/>
  <c r="F73" i="10"/>
  <c r="E73" i="10"/>
  <c r="F214" i="14"/>
  <c r="F217" i="14"/>
  <c r="F218" i="14"/>
  <c r="F222" i="14"/>
  <c r="F224" i="14"/>
  <c r="F226" i="14"/>
  <c r="F229" i="14"/>
  <c r="F230" i="14"/>
  <c r="F232" i="14"/>
  <c r="F233" i="14"/>
  <c r="F236" i="14"/>
  <c r="F237" i="14"/>
  <c r="F238" i="14"/>
  <c r="F239" i="14"/>
  <c r="F241" i="14"/>
  <c r="F242" i="14"/>
  <c r="G241" i="14"/>
  <c r="F31" i="10"/>
  <c r="E31" i="10"/>
  <c r="F243" i="14"/>
  <c r="F244" i="14"/>
  <c r="F246" i="14"/>
  <c r="F248" i="14"/>
  <c r="F251" i="14"/>
  <c r="F253" i="14"/>
  <c r="F254" i="14"/>
  <c r="F256" i="14"/>
  <c r="F257" i="14"/>
  <c r="F260" i="14"/>
  <c r="F261" i="14"/>
  <c r="F262" i="14"/>
  <c r="F264" i="14"/>
  <c r="F266" i="14"/>
  <c r="F267" i="14"/>
  <c r="F272" i="14"/>
  <c r="G271" i="14"/>
  <c r="F57" i="10"/>
  <c r="E57" i="10"/>
  <c r="F278" i="14"/>
  <c r="F279" i="14"/>
  <c r="F280" i="14"/>
  <c r="F281" i="14"/>
  <c r="F284" i="14"/>
  <c r="G284" i="14"/>
  <c r="F285" i="14"/>
  <c r="G285" i="14"/>
  <c r="F288" i="14"/>
  <c r="F291" i="14"/>
  <c r="F292" i="14"/>
  <c r="F294" i="14"/>
  <c r="F296" i="14"/>
  <c r="F299" i="14"/>
  <c r="F300" i="14"/>
  <c r="F301" i="14"/>
  <c r="F302" i="14"/>
  <c r="F303" i="14"/>
  <c r="F305" i="14"/>
  <c r="F307" i="14"/>
  <c r="F308" i="14"/>
  <c r="F309" i="14"/>
  <c r="G308" i="14"/>
  <c r="H22" i="10"/>
  <c r="E22" i="10"/>
  <c r="F310" i="14"/>
  <c r="G310" i="14"/>
  <c r="F312" i="14"/>
  <c r="G312" i="14"/>
  <c r="H54" i="10"/>
  <c r="E54" i="10"/>
  <c r="F313" i="14"/>
  <c r="F314" i="14"/>
  <c r="F316" i="14"/>
  <c r="G316" i="14"/>
  <c r="H17" i="10"/>
  <c r="E17" i="10"/>
  <c r="F317" i="14"/>
  <c r="F319" i="14"/>
  <c r="G319" i="14"/>
  <c r="H78" i="10"/>
  <c r="E78" i="10"/>
  <c r="F321" i="14"/>
  <c r="F323" i="14"/>
  <c r="G320" i="14"/>
  <c r="H63" i="10"/>
  <c r="F326" i="14"/>
  <c r="F329" i="14"/>
  <c r="F330" i="14"/>
  <c r="F331" i="14"/>
  <c r="F332" i="14"/>
  <c r="F337" i="14"/>
  <c r="F338" i="14"/>
  <c r="F339" i="14"/>
  <c r="F341" i="14"/>
  <c r="F343" i="14"/>
  <c r="F344" i="14"/>
  <c r="F346" i="14"/>
  <c r="F348" i="14"/>
  <c r="F350" i="14"/>
  <c r="F351" i="14"/>
  <c r="F353" i="14"/>
  <c r="F358" i="14"/>
  <c r="F359" i="14"/>
  <c r="F361" i="14"/>
  <c r="G360" i="14"/>
  <c r="F362" i="14"/>
  <c r="F364" i="14"/>
  <c r="G363" i="14"/>
  <c r="H19" i="10"/>
  <c r="E19" i="10"/>
  <c r="F366" i="14"/>
  <c r="F367" i="14"/>
  <c r="F368" i="14"/>
  <c r="F371" i="14"/>
  <c r="F375" i="14"/>
  <c r="F379" i="14"/>
  <c r="F380" i="14"/>
  <c r="F383" i="14"/>
  <c r="F384" i="14"/>
  <c r="F385" i="14"/>
  <c r="F390" i="14"/>
  <c r="G390" i="14"/>
  <c r="H69" i="10"/>
  <c r="E69" i="10"/>
  <c r="F391" i="14"/>
  <c r="F397" i="14"/>
  <c r="F398" i="14"/>
  <c r="G396" i="14"/>
  <c r="F399" i="14"/>
  <c r="F401" i="14"/>
  <c r="G400" i="14"/>
  <c r="H18" i="10"/>
  <c r="E18" i="10"/>
  <c r="F403" i="14"/>
  <c r="G402" i="14"/>
  <c r="H38" i="10"/>
  <c r="E38" i="10"/>
  <c r="F406" i="14"/>
  <c r="F407" i="14"/>
  <c r="F414" i="14"/>
  <c r="F415" i="14"/>
  <c r="F420" i="14"/>
  <c r="F421" i="14"/>
  <c r="F423" i="14"/>
  <c r="F424" i="14"/>
  <c r="F425" i="14"/>
  <c r="F427" i="14"/>
  <c r="G427" i="14"/>
  <c r="H21" i="10"/>
  <c r="F429" i="14"/>
  <c r="F432" i="14"/>
  <c r="F433" i="14"/>
  <c r="F435" i="14"/>
  <c r="F436" i="14"/>
  <c r="F440" i="14"/>
  <c r="G437" i="14"/>
  <c r="F76" i="10"/>
  <c r="E76" i="10"/>
  <c r="F441" i="14"/>
  <c r="F445" i="14"/>
  <c r="F447" i="14"/>
  <c r="F449" i="14"/>
  <c r="F450" i="14"/>
  <c r="F452" i="14"/>
  <c r="F453" i="14"/>
  <c r="F454" i="14"/>
  <c r="F458" i="14"/>
  <c r="F459" i="14"/>
  <c r="F460" i="14"/>
  <c r="G460" i="14"/>
  <c r="F461" i="14"/>
  <c r="G461" i="14"/>
  <c r="F463" i="14"/>
  <c r="F464" i="14"/>
  <c r="F465" i="14"/>
  <c r="F466" i="14"/>
  <c r="F469" i="14"/>
  <c r="F470" i="14"/>
  <c r="G465" i="14"/>
  <c r="F37" i="10"/>
  <c r="E37" i="10"/>
  <c r="F471" i="14"/>
  <c r="F472" i="14"/>
  <c r="F473" i="14"/>
  <c r="F475" i="14"/>
  <c r="G474" i="14"/>
  <c r="F33" i="10"/>
  <c r="E33" i="10"/>
  <c r="F478" i="14"/>
  <c r="G478" i="14"/>
  <c r="H90" i="10"/>
  <c r="E90" i="10"/>
  <c r="F479" i="14"/>
  <c r="G479" i="14"/>
  <c r="F483" i="14"/>
  <c r="F484" i="14"/>
  <c r="F485" i="14"/>
  <c r="G483" i="14"/>
  <c r="F74" i="10"/>
  <c r="E74" i="10"/>
  <c r="F486" i="14"/>
  <c r="G486" i="14"/>
  <c r="C19" i="7"/>
  <c r="F487" i="14"/>
  <c r="G487" i="14"/>
  <c r="F488" i="14"/>
  <c r="G488" i="14"/>
  <c r="H79" i="10"/>
  <c r="E79" i="10"/>
  <c r="F490" i="14"/>
  <c r="G490" i="14"/>
  <c r="F72" i="10"/>
  <c r="E72" i="10"/>
  <c r="F491" i="14"/>
  <c r="G491" i="14"/>
  <c r="F77" i="10"/>
  <c r="E77" i="10"/>
  <c r="F493" i="14"/>
  <c r="G493" i="14"/>
  <c r="H94" i="10"/>
  <c r="E94" i="10"/>
  <c r="F494" i="14"/>
  <c r="G494" i="14"/>
  <c r="F495" i="14"/>
  <c r="H97" i="10"/>
  <c r="E97" i="10"/>
  <c r="F496" i="14"/>
  <c r="G496" i="14"/>
  <c r="F497" i="14"/>
  <c r="G497" i="14"/>
  <c r="H96" i="10"/>
  <c r="E96" i="10"/>
  <c r="F498" i="14"/>
  <c r="G498" i="14"/>
  <c r="F500" i="14"/>
  <c r="G500" i="14"/>
  <c r="H98" i="10"/>
  <c r="E98" i="10"/>
  <c r="F502" i="14"/>
  <c r="G502" i="14"/>
  <c r="H99" i="10"/>
  <c r="E99" i="10"/>
  <c r="F503" i="14"/>
  <c r="G503" i="14"/>
  <c r="H100" i="10"/>
  <c r="E100" i="10"/>
  <c r="F504" i="14"/>
  <c r="G504" i="14"/>
  <c r="H101" i="10"/>
  <c r="E101" i="10"/>
  <c r="F505" i="14"/>
  <c r="G505" i="14"/>
  <c r="H102" i="10"/>
  <c r="E102" i="10"/>
  <c r="G386" i="14"/>
  <c r="F85" i="10"/>
  <c r="E85" i="10"/>
  <c r="G442" i="14"/>
  <c r="H32" i="10"/>
  <c r="E32" i="10"/>
  <c r="F90" i="5"/>
  <c r="F91" i="5"/>
  <c r="F12" i="6"/>
  <c r="K12" i="6"/>
  <c r="F151" i="14"/>
  <c r="G151" i="14"/>
  <c r="C18" i="7"/>
  <c r="F152" i="14"/>
  <c r="F507" i="14"/>
  <c r="G152" i="14"/>
  <c r="G344" i="15"/>
  <c r="G12" i="14"/>
  <c r="F16" i="5"/>
  <c r="G345" i="15"/>
  <c r="G39" i="14"/>
  <c r="F54" i="5"/>
  <c r="F55" i="5"/>
  <c r="F10" i="8"/>
  <c r="G17" i="14"/>
  <c r="F26" i="5"/>
  <c r="F21" i="6"/>
  <c r="K21" i="6"/>
  <c r="F22" i="6"/>
  <c r="K22" i="6"/>
  <c r="I103" i="10"/>
  <c r="C14" i="7"/>
  <c r="G103" i="10"/>
  <c r="C12" i="7"/>
  <c r="G28" i="14"/>
  <c r="F32" i="5"/>
  <c r="G40" i="14"/>
  <c r="F21" i="5"/>
  <c r="G36" i="14"/>
  <c r="F40" i="5"/>
  <c r="G35" i="14"/>
  <c r="F39" i="5"/>
  <c r="G34" i="14"/>
  <c r="F38" i="5"/>
  <c r="G32" i="14"/>
  <c r="F44" i="5"/>
  <c r="G21" i="14"/>
  <c r="F45" i="5"/>
  <c r="G14" i="14"/>
  <c r="F22" i="5"/>
  <c r="G13" i="14"/>
  <c r="G10" i="14"/>
  <c r="F17" i="5"/>
  <c r="G144" i="14"/>
  <c r="G143" i="14"/>
  <c r="G48" i="14"/>
  <c r="E20" i="12"/>
  <c r="G60" i="14"/>
  <c r="F49" i="5"/>
  <c r="G44" i="14"/>
  <c r="E15" i="12"/>
  <c r="G43" i="14"/>
  <c r="F60" i="5"/>
  <c r="F61" i="5"/>
  <c r="F15" i="8"/>
  <c r="G41" i="14"/>
  <c r="F37" i="5"/>
  <c r="G22" i="14"/>
  <c r="F46" i="5"/>
  <c r="G20" i="14"/>
  <c r="F28" i="5"/>
  <c r="B103" i="10"/>
  <c r="F18" i="6"/>
  <c r="K18" i="6"/>
  <c r="F19" i="6"/>
  <c r="K19" i="6"/>
  <c r="F20" i="6"/>
  <c r="K20" i="6"/>
  <c r="G27" i="14"/>
  <c r="F31" i="5"/>
  <c r="G26" i="14"/>
  <c r="F30" i="5"/>
  <c r="G4" i="14"/>
  <c r="F9" i="5"/>
  <c r="F17" i="6"/>
  <c r="K17" i="6"/>
  <c r="F16" i="6"/>
  <c r="K16" i="6"/>
  <c r="G146" i="14"/>
  <c r="G187" i="14"/>
  <c r="G204" i="14"/>
  <c r="F24" i="10"/>
  <c r="E24" i="10"/>
  <c r="G234" i="14"/>
  <c r="F51" i="10"/>
  <c r="E51" i="10"/>
  <c r="G295" i="14"/>
  <c r="H61" i="10"/>
  <c r="E61" i="10"/>
  <c r="G340" i="14"/>
  <c r="G369" i="14"/>
  <c r="G387" i="14"/>
  <c r="H44" i="10"/>
  <c r="E44" i="10"/>
  <c r="G389" i="14"/>
  <c r="G392" i="14"/>
  <c r="G408" i="14"/>
  <c r="G418" i="14"/>
  <c r="H88" i="10"/>
  <c r="E88" i="10"/>
  <c r="G203" i="14"/>
  <c r="F92" i="10"/>
  <c r="E92" i="10"/>
  <c r="G258" i="14"/>
  <c r="F47" i="10"/>
  <c r="E47" i="10"/>
  <c r="G265" i="14"/>
  <c r="F84" i="10"/>
  <c r="E84" i="10"/>
  <c r="G388" i="14"/>
  <c r="G150" i="14"/>
  <c r="G149" i="14"/>
  <c r="G147" i="14"/>
  <c r="G148" i="14"/>
  <c r="H83" i="10"/>
  <c r="E83" i="10"/>
  <c r="G240" i="14"/>
  <c r="F41" i="10"/>
  <c r="E41" i="10"/>
  <c r="G235" i="14"/>
  <c r="F49" i="10"/>
  <c r="E49" i="10"/>
  <c r="G247" i="14"/>
  <c r="F86" i="10"/>
  <c r="E86" i="10"/>
  <c r="E23" i="10"/>
  <c r="E27" i="10"/>
  <c r="E29" i="10"/>
  <c r="E66" i="10"/>
  <c r="E68" i="10"/>
  <c r="E70" i="10"/>
  <c r="D14" i="6"/>
  <c r="D27" i="6"/>
  <c r="F24" i="12"/>
  <c r="J14" i="6"/>
  <c r="J35" i="12"/>
  <c r="J34" i="12"/>
  <c r="J33" i="12"/>
  <c r="F34" i="12"/>
  <c r="F33" i="12"/>
  <c r="B35" i="12"/>
  <c r="B34" i="12"/>
  <c r="B33" i="12"/>
  <c r="H112" i="10"/>
  <c r="H111" i="10"/>
  <c r="H110" i="10"/>
  <c r="F111" i="10"/>
  <c r="F110" i="10"/>
  <c r="D112" i="10"/>
  <c r="D111" i="10"/>
  <c r="D110" i="10"/>
  <c r="G104" i="5"/>
  <c r="G103" i="5"/>
  <c r="G102" i="5"/>
  <c r="E103" i="5"/>
  <c r="E102" i="5"/>
  <c r="C104" i="5"/>
  <c r="C103" i="5"/>
  <c r="C102" i="5"/>
  <c r="G38" i="6"/>
  <c r="G37" i="6"/>
  <c r="E41" i="7"/>
  <c r="E40" i="7"/>
  <c r="E39" i="7"/>
  <c r="C40" i="7"/>
  <c r="C39" i="7"/>
  <c r="A41" i="7"/>
  <c r="C39" i="6"/>
  <c r="A40" i="7"/>
  <c r="C38" i="6"/>
  <c r="A39" i="7"/>
  <c r="C37" i="6"/>
  <c r="H16" i="12"/>
  <c r="B24" i="12"/>
  <c r="H15" i="12"/>
  <c r="H17" i="12"/>
  <c r="H21" i="12"/>
  <c r="C10" i="7"/>
  <c r="E14" i="6"/>
  <c r="E27" i="6"/>
  <c r="F63" i="5"/>
  <c r="K5" i="6"/>
  <c r="C5" i="7"/>
  <c r="G8" i="8"/>
  <c r="G11" i="8"/>
  <c r="G17" i="8"/>
  <c r="G19" i="8"/>
  <c r="B5" i="7"/>
  <c r="F4" i="5"/>
  <c r="B2" i="5"/>
  <c r="E8" i="10"/>
  <c r="A4" i="10"/>
  <c r="J103" i="10"/>
  <c r="L5" i="8"/>
  <c r="B2" i="6"/>
  <c r="I27" i="6"/>
  <c r="G27" i="6"/>
  <c r="H27" i="6"/>
  <c r="A2" i="7"/>
  <c r="C14" i="6"/>
  <c r="C27" i="6"/>
  <c r="G24" i="12"/>
  <c r="D24" i="12"/>
  <c r="F78" i="5"/>
  <c r="G3" i="14"/>
  <c r="F426" i="14"/>
  <c r="G419" i="14"/>
  <c r="H82" i="10"/>
  <c r="E82" i="10"/>
  <c r="F171" i="14"/>
  <c r="G171" i="14"/>
  <c r="F21" i="10"/>
  <c r="E21" i="10"/>
  <c r="I126" i="14"/>
  <c r="I128" i="14"/>
  <c r="F68" i="5"/>
  <c r="F72" i="5"/>
  <c r="L8" i="8"/>
  <c r="G21" i="8"/>
  <c r="F14" i="6"/>
  <c r="F27" i="6"/>
  <c r="F86" i="5"/>
  <c r="L9" i="8"/>
  <c r="E318" i="15"/>
  <c r="H350" i="15"/>
  <c r="F282" i="14"/>
  <c r="G416" i="14"/>
  <c r="H48" i="10"/>
  <c r="E48" i="10"/>
  <c r="G198" i="14"/>
  <c r="G317" i="14"/>
  <c r="H43" i="10"/>
  <c r="E43" i="10"/>
  <c r="E52" i="15"/>
  <c r="H50" i="15"/>
  <c r="G154" i="14"/>
  <c r="F56" i="10"/>
  <c r="E56" i="10"/>
  <c r="G443" i="14"/>
  <c r="G232" i="14"/>
  <c r="G219" i="14"/>
  <c r="F40" i="10"/>
  <c r="E40" i="10"/>
  <c r="G370" i="14"/>
  <c r="F11" i="10"/>
  <c r="G236" i="14"/>
  <c r="F71" i="10"/>
  <c r="E71" i="10"/>
  <c r="F93" i="5"/>
  <c r="L10" i="8"/>
  <c r="F52" i="10"/>
  <c r="G341" i="14"/>
  <c r="F63" i="10"/>
  <c r="E63" i="10"/>
  <c r="G248" i="14"/>
  <c r="F62" i="10"/>
  <c r="E62" i="10"/>
  <c r="G313" i="14"/>
  <c r="H30" i="10"/>
  <c r="E30" i="10"/>
  <c r="G405" i="14"/>
  <c r="H15" i="10"/>
  <c r="E15" i="10"/>
  <c r="G304" i="14"/>
  <c r="H14" i="10"/>
  <c r="E14" i="10"/>
  <c r="G259" i="14"/>
  <c r="H13" i="10"/>
  <c r="E13" i="10"/>
  <c r="G344" i="14"/>
  <c r="F28" i="10"/>
  <c r="E28" i="10"/>
  <c r="G215" i="14"/>
  <c r="H36" i="10"/>
  <c r="G462" i="14"/>
  <c r="F46" i="10"/>
  <c r="E46" i="10"/>
  <c r="G446" i="14"/>
  <c r="F89" i="10"/>
  <c r="E89" i="10"/>
  <c r="G286" i="14"/>
  <c r="G451" i="14"/>
  <c r="H39" i="10"/>
  <c r="E39" i="10"/>
  <c r="G353" i="14"/>
  <c r="H25" i="10"/>
  <c r="E25" i="10"/>
  <c r="L12" i="8"/>
  <c r="L13" i="8"/>
  <c r="G282" i="14"/>
  <c r="C17" i="7"/>
  <c r="G245" i="14"/>
  <c r="H64" i="10"/>
  <c r="E64" i="10"/>
  <c r="G376" i="14"/>
  <c r="H12" i="10"/>
  <c r="E12" i="10"/>
  <c r="G365" i="14"/>
  <c r="F42" i="10"/>
  <c r="E42" i="10"/>
  <c r="F82" i="10"/>
  <c r="G159" i="14"/>
  <c r="F55" i="10"/>
  <c r="E55" i="10"/>
  <c r="G228" i="14"/>
  <c r="F67" i="10"/>
  <c r="E67" i="10"/>
  <c r="G428" i="14"/>
  <c r="F60" i="10"/>
  <c r="E60" i="10"/>
  <c r="G409" i="14"/>
  <c r="F34" i="10"/>
  <c r="E34" i="10"/>
  <c r="G495" i="14"/>
  <c r="G455" i="14"/>
  <c r="F50" i="10"/>
  <c r="E50" i="10"/>
  <c r="G296" i="14"/>
  <c r="H53" i="10"/>
  <c r="E53" i="10"/>
  <c r="G274" i="14"/>
  <c r="F58" i="10"/>
  <c r="E58" i="10"/>
  <c r="G324" i="14"/>
  <c r="H10" i="10"/>
  <c r="E10" i="10"/>
  <c r="G189" i="14"/>
  <c r="F36" i="10"/>
  <c r="E36" i="10"/>
  <c r="G332" i="14"/>
  <c r="H26" i="10"/>
  <c r="E26" i="10"/>
  <c r="G266" i="14"/>
  <c r="F35" i="10"/>
  <c r="E35" i="10"/>
  <c r="G508" i="14"/>
  <c r="F52" i="15"/>
  <c r="G52" i="15"/>
  <c r="I19" i="12"/>
  <c r="C20" i="12"/>
  <c r="K20" i="12"/>
  <c r="I50" i="14"/>
  <c r="J50" i="14"/>
  <c r="I17" i="12"/>
  <c r="K15" i="12"/>
  <c r="C15" i="12"/>
  <c r="K19" i="12"/>
  <c r="C19" i="12"/>
  <c r="F8" i="5"/>
  <c r="F18" i="5"/>
  <c r="F8" i="8"/>
  <c r="F12" i="8"/>
  <c r="I59" i="14"/>
  <c r="J59" i="14"/>
  <c r="I22" i="12"/>
  <c r="I51" i="14"/>
  <c r="J51" i="14"/>
  <c r="I18" i="12"/>
  <c r="I55" i="14"/>
  <c r="J55" i="14"/>
  <c r="I21" i="12"/>
  <c r="F51" i="5"/>
  <c r="F9" i="8"/>
  <c r="K16" i="12"/>
  <c r="C16" i="12"/>
  <c r="K21" i="12"/>
  <c r="C21" i="12"/>
  <c r="J24" i="12"/>
  <c r="I16" i="12"/>
  <c r="I57" i="14"/>
  <c r="J57" i="14"/>
  <c r="C18" i="12"/>
  <c r="K18" i="12"/>
  <c r="C17" i="12"/>
  <c r="K17" i="12"/>
  <c r="K22" i="12"/>
  <c r="C22" i="12"/>
  <c r="I15" i="12"/>
  <c r="E24" i="12"/>
  <c r="I61" i="14"/>
  <c r="I62" i="14"/>
  <c r="I20" i="12"/>
  <c r="I143" i="14"/>
  <c r="K14" i="6"/>
  <c r="F16" i="8"/>
  <c r="F19" i="8"/>
  <c r="K24" i="12"/>
  <c r="C24" i="12"/>
  <c r="I24" i="12"/>
  <c r="F20" i="10"/>
  <c r="F21" i="8"/>
  <c r="F53" i="15"/>
  <c r="G53" i="15"/>
  <c r="E20" i="10"/>
  <c r="F103" i="10"/>
  <c r="C13" i="7"/>
  <c r="H103" i="10"/>
  <c r="C15" i="7"/>
  <c r="E11" i="10"/>
  <c r="E103" i="10"/>
  <c r="F508" i="14"/>
  <c r="F509" i="14"/>
  <c r="G507" i="14"/>
  <c r="G509" i="14"/>
  <c r="G512" i="14"/>
  <c r="F510" i="14"/>
  <c r="F511" i="14"/>
  <c r="C22" i="7"/>
  <c r="C26" i="7"/>
  <c r="F318" i="15"/>
  <c r="G318" i="15"/>
  <c r="H507" i="14"/>
  <c r="I507" i="14"/>
  <c r="J25" i="6"/>
  <c r="J27" i="6"/>
  <c r="K25" i="6"/>
  <c r="K27" i="6"/>
  <c r="L17" i="8"/>
  <c r="L21" i="8"/>
</calcChain>
</file>

<file path=xl/sharedStrings.xml><?xml version="1.0" encoding="utf-8"?>
<sst xmlns="http://schemas.openxmlformats.org/spreadsheetml/2006/main" count="1332" uniqueCount="874">
  <si>
    <t>$</t>
  </si>
  <si>
    <t xml:space="preserve"> </t>
  </si>
  <si>
    <t>ACTIVO:</t>
  </si>
  <si>
    <t>PASIVO</t>
  </si>
  <si>
    <t>ACTIVO CORRIENTE</t>
  </si>
  <si>
    <t>PASIVO CORRIENTE</t>
  </si>
  <si>
    <t>Total del Activo corriente</t>
  </si>
  <si>
    <t>Total del Pasivo Corriente</t>
  </si>
  <si>
    <t>Total del Pasivo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</si>
  <si>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</si>
  <si>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</si>
  <si>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</si>
  <si>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</si>
  <si>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</si>
  <si>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</si>
  <si>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Ventas  y servicios netas</t>
  </si>
  <si>
    <t>Resultados</t>
  </si>
  <si>
    <t>Total del</t>
  </si>
  <si>
    <t>Reserva</t>
  </si>
  <si>
    <t xml:space="preserve">Otras </t>
  </si>
  <si>
    <t>no</t>
  </si>
  <si>
    <t>patrimonio</t>
  </si>
  <si>
    <t>Capital</t>
  </si>
  <si>
    <t>legal</t>
  </si>
  <si>
    <t>reservas</t>
  </si>
  <si>
    <t>asignados</t>
  </si>
  <si>
    <t>neto</t>
  </si>
  <si>
    <t>Saldos al inicio del ejercicio</t>
  </si>
  <si>
    <t>Ganancia (Pérdida) del ejercicio</t>
  </si>
  <si>
    <t>COMPOSICION DE LOS RUBROS</t>
  </si>
  <si>
    <t>ACTIVO</t>
  </si>
  <si>
    <t>Activo Corriente</t>
  </si>
  <si>
    <t>a.</t>
  </si>
  <si>
    <t>CONCEPTO</t>
  </si>
  <si>
    <t>TOTALES</t>
  </si>
  <si>
    <t>ANEXO II</t>
  </si>
  <si>
    <t>Información Requerida por el Art. 64 Inc. b) de la Ley 19.550</t>
  </si>
  <si>
    <t xml:space="preserve">GASTOS </t>
  </si>
  <si>
    <t>GASTOS</t>
  </si>
  <si>
    <t>AL</t>
  </si>
  <si>
    <t xml:space="preserve">DE </t>
  </si>
  <si>
    <t>ADMINISTRACION</t>
  </si>
  <si>
    <t>COMERCIALIZACION</t>
  </si>
  <si>
    <t>FINANCIEROS</t>
  </si>
  <si>
    <t xml:space="preserve">   </t>
  </si>
  <si>
    <t>- Caja</t>
  </si>
  <si>
    <t xml:space="preserve">                           CONCEPTOS</t>
  </si>
  <si>
    <t>Ganancias</t>
  </si>
  <si>
    <t>Reservadas</t>
  </si>
  <si>
    <t>31.03.02</t>
  </si>
  <si>
    <t>Impuesto a las Ganancias</t>
  </si>
  <si>
    <t>Historico</t>
  </si>
  <si>
    <t xml:space="preserve">                                             Aportes de los propietarios</t>
  </si>
  <si>
    <t>ESTADO DE SITUACION PATRIMONIAL</t>
  </si>
  <si>
    <t>31.03.04</t>
  </si>
  <si>
    <t>c.</t>
  </si>
  <si>
    <t>NOTA 4:</t>
  </si>
  <si>
    <t>Pasivo</t>
  </si>
  <si>
    <t>Pasivo Corriente</t>
  </si>
  <si>
    <t>Irrevocables</t>
  </si>
  <si>
    <t>Aportes</t>
  </si>
  <si>
    <t>-</t>
  </si>
  <si>
    <t>Costo de mercaderías vendidas</t>
  </si>
  <si>
    <t>Ganancia neta</t>
  </si>
  <si>
    <t>C.P.C.E.C.A.B.A. Tº176  Fº03</t>
  </si>
  <si>
    <t>Otros Activos</t>
  </si>
  <si>
    <t>integrado</t>
  </si>
  <si>
    <t>suscripto</t>
  </si>
  <si>
    <t xml:space="preserve"> Gerente</t>
  </si>
  <si>
    <t>Cuotas Pendientes de integracion</t>
  </si>
  <si>
    <t>d.</t>
  </si>
  <si>
    <t>Deudas Comerciales</t>
  </si>
  <si>
    <t xml:space="preserve"> - Proveedores</t>
  </si>
  <si>
    <t>e.</t>
  </si>
  <si>
    <t>Remuneraciones y Cargas Sociales</t>
  </si>
  <si>
    <t>Caja y Bancos (Nota 4.a)</t>
  </si>
  <si>
    <t>- Iva crédito fiscal</t>
  </si>
  <si>
    <t>- Iva saldo a favor</t>
  </si>
  <si>
    <t>- Retenciones y percepciones iva</t>
  </si>
  <si>
    <t>- Crédito Imp. L.25413</t>
  </si>
  <si>
    <t>- Southern Cooper Corporation Cta Part</t>
  </si>
  <si>
    <t>- Cía. Minera Los Tolmos S.A. Cta. Part.</t>
  </si>
  <si>
    <t>- Depósito en garantía alquiler</t>
  </si>
  <si>
    <t>- Sueldos a pagar</t>
  </si>
  <si>
    <t>- Socios</t>
  </si>
  <si>
    <t>Caja y Bancos</t>
  </si>
  <si>
    <t>Otros Créditos</t>
  </si>
  <si>
    <t>ESTADO DE RESULTADOS</t>
  </si>
  <si>
    <t>ESTADO DE EVOLUCION DEL PATRIMONIO NETO</t>
  </si>
  <si>
    <t>TxtCapitulo</t>
  </si>
  <si>
    <t>Texto72</t>
  </si>
  <si>
    <t>txtsaldop</t>
  </si>
  <si>
    <t>- Retenciones y percepciones IIBB</t>
  </si>
  <si>
    <t>Gastos de Exploración</t>
  </si>
  <si>
    <t>EXPLORACION</t>
  </si>
  <si>
    <t>ALOJAMIENTO</t>
  </si>
  <si>
    <t>PEAJES</t>
  </si>
  <si>
    <t>COMIDA</t>
  </si>
  <si>
    <t>TRASLADOS</t>
  </si>
  <si>
    <t>COMUNICACIONES</t>
  </si>
  <si>
    <t>COMBUSTIBLE</t>
  </si>
  <si>
    <t>MOVILIDAD Y VIATICOS</t>
  </si>
  <si>
    <t>SUELDOS</t>
  </si>
  <si>
    <t>CARGAS SOCIALES</t>
  </si>
  <si>
    <t>LIBRERIA Y PAPELERIA</t>
  </si>
  <si>
    <t>SERVICIOS</t>
  </si>
  <si>
    <t>DERECHOS DE EXPLORACION</t>
  </si>
  <si>
    <t>GS MANTENIMIENTO</t>
  </si>
  <si>
    <t>TASAS</t>
  </si>
  <si>
    <t>CONTROL ZOOFITOSANITARIA</t>
  </si>
  <si>
    <t>- Sicore a pagar</t>
  </si>
  <si>
    <t>- Tarjetas VISA</t>
  </si>
  <si>
    <t>COMISIONES</t>
  </si>
  <si>
    <t>EXPENSAS</t>
  </si>
  <si>
    <t>OBRA SOCIAL</t>
  </si>
  <si>
    <t>- IIBB saldo a favor</t>
  </si>
  <si>
    <t>Anexo II</t>
  </si>
  <si>
    <t>Gastos de comercialización (Anexo II)</t>
  </si>
  <si>
    <t>Gastos de administración (Anexo II)</t>
  </si>
  <si>
    <t>Gastos de financieros (Anexo II)</t>
  </si>
  <si>
    <t>ANEXO I</t>
  </si>
  <si>
    <t>BIENES DE USO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</si>
  <si>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</si>
  <si>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</si>
  <si>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</si>
  <si>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</si>
  <si>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</si>
  <si>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</si>
  <si>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</si>
  <si>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</si>
  <si>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</si>
  <si>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</si>
  <si>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</si>
  <si>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</si>
  <si>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</si>
  <si>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</si>
  <si>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</si>
  <si>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</si>
  <si>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</si>
  <si>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</si>
  <si>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- Muebles y Utiles</t>
  </si>
  <si>
    <t>- Equipos</t>
  </si>
  <si>
    <t>- Rodados</t>
  </si>
  <si>
    <t>11402001 - Southern Cooper Corporation Cta Part</t>
  </si>
  <si>
    <t>11402002 - Cía. Minera Los Tolmos S.A. Cta. Part.</t>
  </si>
  <si>
    <t>32201000 - Resultados no asignados</t>
  </si>
  <si>
    <t>42102000 - Honorarios profesionales</t>
  </si>
  <si>
    <t>42110000 - Eventos</t>
  </si>
  <si>
    <t>42202000 - Certificaciones</t>
  </si>
  <si>
    <t>42204000 - Sellados</t>
  </si>
  <si>
    <t>42207000 - Seguridad</t>
  </si>
  <si>
    <t>42209000 - Gastos de computacion</t>
  </si>
  <si>
    <t>42211000 - Patentes</t>
  </si>
  <si>
    <t>42213000 - Gastos en tramites</t>
  </si>
  <si>
    <t>42215000 - Mantenimiento Software</t>
  </si>
  <si>
    <t>42301000 - Gastos y comisiones bancarias</t>
  </si>
  <si>
    <t>42412000 - GS.EN PERSONAL</t>
  </si>
  <si>
    <t>42420000 - MOVILIDAD Y VIATICOS</t>
  </si>
  <si>
    <t>42421000 - ALOJAMIENTO</t>
  </si>
  <si>
    <t>42422000 - COMIDA</t>
  </si>
  <si>
    <t>42424000 - TRASLADOS</t>
  </si>
  <si>
    <t>42425000 - COMUNICACIONES</t>
  </si>
  <si>
    <t>42426000 - COMBUSTIBLE</t>
  </si>
  <si>
    <t>42429000 - GS.SUSCRIPCION EDITORIAL</t>
  </si>
  <si>
    <t>42431000 - ANALISIS MUESTRAS</t>
  </si>
  <si>
    <t>42432000 - REPARACIONES</t>
  </si>
  <si>
    <t>42438000 - INDUMENTARIA</t>
  </si>
  <si>
    <t>42439000 - GASTOS CAMPAMENTO</t>
  </si>
  <si>
    <t>42440000 - SUELDOS</t>
  </si>
  <si>
    <t>42460000 - LIBRERIA Y PAPELERIA</t>
  </si>
  <si>
    <t>42470000 - SERVICIOS</t>
  </si>
  <si>
    <t>42480000 - DERECHOS DE EXPLORACION</t>
  </si>
  <si>
    <t>42490000 - GS MANTENIMIENTO</t>
  </si>
  <si>
    <t>42491000 - GS VARIOS</t>
  </si>
  <si>
    <t>42492000 - TASAS</t>
  </si>
  <si>
    <t>42494000 - GASTOS VEHICULOS</t>
  </si>
  <si>
    <t>42496000 - EXPENSAS</t>
  </si>
  <si>
    <t>42497000 - GS RELAC ALQUILER</t>
  </si>
  <si>
    <t>42499000 - SEGUROS</t>
  </si>
  <si>
    <t>- Imp. Gcia. Mínima Presunta</t>
  </si>
  <si>
    <t>- Herramientas</t>
  </si>
  <si>
    <t>- Equipos de Computación</t>
  </si>
  <si>
    <t>- Software</t>
  </si>
  <si>
    <t>ANALISIS MUESTRAS</t>
  </si>
  <si>
    <t>REPARACIONES</t>
  </si>
  <si>
    <t>PLOTEOS</t>
  </si>
  <si>
    <t>GASTOS CAMPAMENTO</t>
  </si>
  <si>
    <t>Bienes de Uso (Anexo I)</t>
  </si>
  <si>
    <t>txtRazonSocial</t>
  </si>
  <si>
    <t>txtEjercicio</t>
  </si>
  <si>
    <t>- Banco de Crédito - BCP</t>
  </si>
  <si>
    <t>ALQUILERES (Inmuebles)</t>
  </si>
  <si>
    <t>42430000 - ALQUILERES INMUEBLES</t>
  </si>
  <si>
    <t>31100000 - Capital Suscripto</t>
  </si>
  <si>
    <t>42414000 - CANON</t>
  </si>
  <si>
    <t>CANON</t>
  </si>
  <si>
    <t>42101000 - Honorarios legales</t>
  </si>
  <si>
    <t>42111000 - Alquiler de Eq. De campo</t>
  </si>
  <si>
    <t>GASTOS EN CONSTRUCCIÓN</t>
  </si>
  <si>
    <t>Cargas Fiscales</t>
  </si>
  <si>
    <t>f.</t>
  </si>
  <si>
    <t>11405001 - Adelantos de Sueldos</t>
  </si>
  <si>
    <t>12407000 - Am. Ac. Muebles y Útiles</t>
  </si>
  <si>
    <t>12408000 - Am. Ac. Equipos</t>
  </si>
  <si>
    <t>12409000 - Am. Ac. Herramientas</t>
  </si>
  <si>
    <t>12412000 - Am. Ac. Eq. de Computación</t>
  </si>
  <si>
    <t>12413000 - Am. Ac. Software</t>
  </si>
  <si>
    <t>12414000 - Am. Ac. Rodados</t>
  </si>
  <si>
    <t>12416000 - Am. Ac. Equipamiento Exploración</t>
  </si>
  <si>
    <t>- Anticipos a proveedores</t>
  </si>
  <si>
    <t>- Equipamiento Exploración</t>
  </si>
  <si>
    <t>42203000 - Depreciaciones</t>
  </si>
  <si>
    <t>CERTIFICACIONES</t>
  </si>
  <si>
    <t>GASTOS BANCARIOS</t>
  </si>
  <si>
    <t>GASTOS VARIOS</t>
  </si>
  <si>
    <t>ALQUILERES EQ. DE CAMPO</t>
  </si>
  <si>
    <t>GASTOS DE COMPUTACIÓN</t>
  </si>
  <si>
    <t>GS. MANTENIMIENTO SOFTWARE</t>
  </si>
  <si>
    <t>GASTOS EN TRÁMITES</t>
  </si>
  <si>
    <t>GS. EN PERSONAL</t>
  </si>
  <si>
    <t>HONORARIOS PROFESIONALES</t>
  </si>
  <si>
    <t>HONORARIOS LEGALES</t>
  </si>
  <si>
    <t>MATRÍCULAS</t>
  </si>
  <si>
    <t>PATENTES</t>
  </si>
  <si>
    <t>SEGURIDAD</t>
  </si>
  <si>
    <t>SEGUROS</t>
  </si>
  <si>
    <t>SELLADOS</t>
  </si>
  <si>
    <t>EVENTOS</t>
  </si>
  <si>
    <t>- Adelantos de Sueldos</t>
  </si>
  <si>
    <t>GASTOS VEHÍCULOS</t>
  </si>
  <si>
    <t>- IVA débito fiscal</t>
  </si>
  <si>
    <t>12418000 - Am. Ac. Instalaciones</t>
  </si>
  <si>
    <t>42415000 - GS EXPLORACION</t>
  </si>
  <si>
    <t>GS. EXPLORACIÓN</t>
  </si>
  <si>
    <t>- Instalaciones</t>
  </si>
  <si>
    <t>- ICBC S.A. c/c</t>
  </si>
  <si>
    <t>21408000 - Imp. Gcia Mínima Presunta a pagar</t>
  </si>
  <si>
    <t>42216000 - Gratificaciones</t>
  </si>
  <si>
    <t>GRATIFICACIONES</t>
  </si>
  <si>
    <t>- Imp. Bienes, Acc. y Part. Soc. a pagar</t>
  </si>
  <si>
    <t>- Imp. Gcia Mínima Presunta a pagar</t>
  </si>
  <si>
    <t>42217000 - Publicaciones</t>
  </si>
  <si>
    <t>PUBLICACIONES</t>
  </si>
  <si>
    <t>- Sicoss a pagar</t>
  </si>
  <si>
    <t>21407000 - Sicoss a pagar</t>
  </si>
  <si>
    <t>Resultados financieros y por tenencia</t>
  </si>
  <si>
    <t>Pedro Nicholson</t>
  </si>
  <si>
    <t>Southern Copper Arg. S.R.L.</t>
  </si>
  <si>
    <t>42218000 - Gastos Médicos</t>
  </si>
  <si>
    <t>GASTOS MÉDICOS</t>
  </si>
  <si>
    <t>42428000 - GS.CAPACITACION</t>
  </si>
  <si>
    <t>GASTOS CAPACITACIÓN</t>
  </si>
  <si>
    <t>42433000 - PLOTEOS</t>
  </si>
  <si>
    <t>Otros ingresos y egresos</t>
  </si>
  <si>
    <t>41210000 - Resultado baja bien de Uso</t>
  </si>
  <si>
    <t>42411000 - MATRICULAS</t>
  </si>
  <si>
    <t>42413000 - ALQUILER DE VEHÍCULOS</t>
  </si>
  <si>
    <t>ALQUILER DE VEHÍCULOS</t>
  </si>
  <si>
    <t>21409000 - Retenciones SUSS a pagar</t>
  </si>
  <si>
    <t>- Retenciones SUSS a pagar</t>
  </si>
  <si>
    <t>42219000 - Donaciones</t>
  </si>
  <si>
    <t>DONACIONES</t>
  </si>
  <si>
    <t>MATERIALES DE CAMPO</t>
  </si>
  <si>
    <t>42436000 - ESTACIONAMIENTO</t>
  </si>
  <si>
    <t>42423000 - PEAJES</t>
  </si>
  <si>
    <t>42416000 - CONVENIO DE CESIÓN</t>
  </si>
  <si>
    <t>42417000 - ACUERDO DE INVERSIONES</t>
  </si>
  <si>
    <t>ACUERDO DE INVERSIONES</t>
  </si>
  <si>
    <t>CONVENIO DE CESIÓN</t>
  </si>
  <si>
    <t>21504000 - Cheques emitidos en cartera</t>
  </si>
  <si>
    <t xml:space="preserve"> - Cheques emitidos en cartera</t>
  </si>
  <si>
    <t>32203000 - A.R.E.A.</t>
  </si>
  <si>
    <t>42418000 - GASTOS TOPOGRAFICOS</t>
  </si>
  <si>
    <t>GASTOS TOPOGRÁFICOS</t>
  </si>
  <si>
    <t>REGALOS AL PERSONAL</t>
  </si>
  <si>
    <t>21410000 - Tasa Municipalidad Tolar Grande a pagar</t>
  </si>
  <si>
    <t>Resultados Extraordinarios</t>
  </si>
  <si>
    <t>11404002 - Adelanto Wilfredo Loza</t>
  </si>
  <si>
    <t>- AdelantoS Wilfredo Loza</t>
  </si>
  <si>
    <t>43200000 - PERDIDA DE MATERIALES</t>
  </si>
  <si>
    <t>PERDIDA DE MATERIALES</t>
  </si>
  <si>
    <t>43100000 - ROBO</t>
  </si>
  <si>
    <t>42498000 - OBRA SOCIAL</t>
  </si>
  <si>
    <t>11401013 - Saldo a Favor Gcia Minima Presunta</t>
  </si>
  <si>
    <t>- Ret/Perc. Ganancias</t>
  </si>
  <si>
    <t>- Saldo a Favor Gcia Minima Presunta</t>
  </si>
  <si>
    <t>- Saldo Favor Ganancias</t>
  </si>
  <si>
    <t>42489000 - GASTOS DE CONSTRUCCIÓN</t>
  </si>
  <si>
    <t>42441000 - ALQUILER DE MAQUINARIA</t>
  </si>
  <si>
    <t>42442000 - CATERING</t>
  </si>
  <si>
    <t>42443000 - FERRETERÍA</t>
  </si>
  <si>
    <t>ALQUILER DE MAQUINARIA</t>
  </si>
  <si>
    <t>CATERING</t>
  </si>
  <si>
    <t>FERRETERÍA</t>
  </si>
  <si>
    <t>41220000 - RECUPERO SINIESTRO</t>
  </si>
  <si>
    <t>42309000 - Multas</t>
  </si>
  <si>
    <t>INTERESES Y MULTAS</t>
  </si>
  <si>
    <t>42434000 - HABILITACIÓN COMERCIAL</t>
  </si>
  <si>
    <t>42107000 - Movilidad y viáticos Adm.</t>
  </si>
  <si>
    <t>42112000 - Gastos varios oficina</t>
  </si>
  <si>
    <t>42222000 - Mensajería</t>
  </si>
  <si>
    <t>42223000 - Alquileres varios</t>
  </si>
  <si>
    <t>GASTOS LIMPIEZA</t>
  </si>
  <si>
    <t>ALQUILERES VARIOS</t>
  </si>
  <si>
    <t>MENSAJERÍA</t>
  </si>
  <si>
    <t>42114000 - Gs. Limpieza</t>
  </si>
  <si>
    <t>42115000 - Inspecciones</t>
  </si>
  <si>
    <t>42220000 - Materiales de campo</t>
  </si>
  <si>
    <t>42221000 - Regalos al Personal</t>
  </si>
  <si>
    <t>42304000 - Intereses</t>
  </si>
  <si>
    <t>42437000 - Cuota Societaria - Camara de Mineria</t>
  </si>
  <si>
    <t>42208000 - Gastos Varios Campo</t>
  </si>
  <si>
    <t>42444000 - Consumos no reembolsables</t>
  </si>
  <si>
    <t>CONSUMOS NO REEMBOLSABLES</t>
  </si>
  <si>
    <t>42419000 - Servicios de Geofisica</t>
  </si>
  <si>
    <t>SERVICIOS DE GEOFÍSICA</t>
  </si>
  <si>
    <t>42308000 - Tasa Municipal Neuquén/ Río Negro</t>
  </si>
  <si>
    <t>11405002 - Anticipo Geologos</t>
  </si>
  <si>
    <t>- Anticipo Geólogos</t>
  </si>
  <si>
    <t>- Anticipo de Fondos</t>
  </si>
  <si>
    <t>42435000 - INFORMES AMBIENTALES</t>
  </si>
  <si>
    <t>INFORMES AMBIENTALES</t>
  </si>
  <si>
    <t>11401017 - Antic. Tributos Aduaneros</t>
  </si>
  <si>
    <t>- Antic. Tributos Aduaneros</t>
  </si>
  <si>
    <t>12301000 - Titulos Públicos</t>
  </si>
  <si>
    <t>Activo No Corriente</t>
  </si>
  <si>
    <t>Inversiones</t>
  </si>
  <si>
    <t>- Títulos Públicos</t>
  </si>
  <si>
    <t>g.</t>
  </si>
  <si>
    <t>- Seguros a devengar</t>
  </si>
  <si>
    <t>42433000 - Gs. Importación</t>
  </si>
  <si>
    <t>GASTOS IMPORTACIÓN</t>
  </si>
  <si>
    <t>42493000 - Gastos de Representación</t>
  </si>
  <si>
    <t>GASTOS DE REPRESENTACIÓN</t>
  </si>
  <si>
    <t>42310000 - II.BB. No Computable</t>
  </si>
  <si>
    <t>IMPUESTOS NO COMPUTABLE</t>
  </si>
  <si>
    <t>h.</t>
  </si>
  <si>
    <t>Otros Créditos  (Nota 4.c)</t>
  </si>
  <si>
    <t>Otros Activos (Nota 4.d)</t>
  </si>
  <si>
    <t>Inversiones (Nota 4.e)</t>
  </si>
  <si>
    <t>Deudas Comerciales (Nota 4.f)</t>
  </si>
  <si>
    <t>Cargas Fiscales (Nota 4.g)</t>
  </si>
  <si>
    <t>Remuneraciones y Cargas Sociales (Nota 4.h)</t>
  </si>
  <si>
    <t>41230000 - Envío muestras Chile</t>
  </si>
  <si>
    <t>41240000 - Resultado Venta Títulos Públicos</t>
  </si>
  <si>
    <t>42224000 - Recupero de Gastos</t>
  </si>
  <si>
    <t xml:space="preserve">RECUPERO GASTOS </t>
  </si>
  <si>
    <t>42311000 - Impuestos Varios</t>
  </si>
  <si>
    <t>42113000 - Tasas Retributivas Minería</t>
  </si>
  <si>
    <t>424270000 - Adquisición Información Geológica</t>
  </si>
  <si>
    <t>ADQUISICIÓN INFORMACIÓN GEOLÓGICA</t>
  </si>
  <si>
    <t>412500000 - Venta de bienes de uso</t>
  </si>
  <si>
    <t>424450000 - Tasas Ambientales</t>
  </si>
  <si>
    <t>412600000 - Recupero de Seguros</t>
  </si>
  <si>
    <t>Ganancia (Pérdida) antes de impuesto a las Ganancias</t>
  </si>
  <si>
    <t xml:space="preserve">Ganancia (Pérdida) del ejercicio  </t>
  </si>
  <si>
    <t>422240000 - Gastos de Espectrometria</t>
  </si>
  <si>
    <t>GASTOS DE ESPECTROMETRIA</t>
  </si>
  <si>
    <t>Proveedores</t>
  </si>
  <si>
    <t>424460000 - Gastos de Perforación</t>
  </si>
  <si>
    <t>GASTOS DE PERFORACIÓN</t>
  </si>
  <si>
    <t>11101002 - Caja Chica Los Menucos</t>
  </si>
  <si>
    <t>- Caja Los Menucos</t>
  </si>
  <si>
    <t>424810000 - Gastos Campamento</t>
  </si>
  <si>
    <t>424820000 - Remediación Ambiental</t>
  </si>
  <si>
    <t>REMEDIACIÓN AMBIENTAL</t>
  </si>
  <si>
    <t>426010000 - Servicios de geologia</t>
  </si>
  <si>
    <t>SERVICIOS DE GEOLOGÍA</t>
  </si>
  <si>
    <t>Miguel Ángel Alonso</t>
  </si>
  <si>
    <t>Contador Público (U.C.A.)</t>
  </si>
  <si>
    <t>Síndico</t>
  </si>
  <si>
    <t>423130000 - Imp. a los Débitos y Créditos no computables</t>
  </si>
  <si>
    <t>IMP. L. 25413 S/DÉBITOS Y CRÉDITOS</t>
  </si>
  <si>
    <t>114060002 - Zento S.A.</t>
  </si>
  <si>
    <t>424390000 - Adquisición Informacion Geologica</t>
  </si>
  <si>
    <t>- Zento S.A.</t>
  </si>
  <si>
    <t>313000000 - Ajuste de Capital</t>
  </si>
  <si>
    <t>424970000 - Servicios de Investigación</t>
  </si>
  <si>
    <t>SERVICIOS DE INVESTIGACION</t>
  </si>
  <si>
    <t>211050000 - Previsión AID</t>
  </si>
  <si>
    <t>211060000 - Previsión IGMP</t>
  </si>
  <si>
    <t>114010016 - Impuesto Credito Diferido</t>
  </si>
  <si>
    <t>Diferencia Resultados no Asignados</t>
  </si>
  <si>
    <t xml:space="preserve">Ajuste de </t>
  </si>
  <si>
    <t>125010001 - Cargos Diferidos Los Menucos</t>
  </si>
  <si>
    <t>125010002 - Cargos Diferidos Cañadón del Moro</t>
  </si>
  <si>
    <t>- Cargos Diferidos Los Menucos</t>
  </si>
  <si>
    <t>- Cargos Diferidos Cañadón del Moro</t>
  </si>
  <si>
    <t>-  Impuesto Credito Diferido</t>
  </si>
  <si>
    <t>- Previsión AID</t>
  </si>
  <si>
    <t>- Previsión IGMP</t>
  </si>
  <si>
    <t>116010001 - Socio Southern Copper Corporation</t>
  </si>
  <si>
    <t>212010001 - Sueldos a pagar</t>
  </si>
  <si>
    <t>421170000 - Gastos Legales</t>
  </si>
  <si>
    <t>- Southern Cooper Corporation</t>
  </si>
  <si>
    <t>425190000 - Honorarios Profesionales Adm. Gral.</t>
  </si>
  <si>
    <t>425120000 - Movilidad y Viáticos Adm. Gral.</t>
  </si>
  <si>
    <t>426130000 - Gastos de Limpieza Gs Campo</t>
  </si>
  <si>
    <t>427140000 - Gastos de limpieza Rel. comunitarias</t>
  </si>
  <si>
    <t>425300000 - Gst Varios Oficina Adm. Gral.</t>
  </si>
  <si>
    <t>426190000 - Gst Varios Oficina Gst Campo</t>
  </si>
  <si>
    <t>426270000 - Gst Varios Campo Gst Campo</t>
  </si>
  <si>
    <t>428100000 - Gastos Varios Campo Muestreo Geof. Sup</t>
  </si>
  <si>
    <t>426210000 - Servicios Infórmaticos Gst. Campo</t>
  </si>
  <si>
    <t>425170000 - Mensajeria Adm. Gral.</t>
  </si>
  <si>
    <t>426230000 - Mensajeria Gst Campo</t>
  </si>
  <si>
    <t>426170000 - Alquiler Cocheras Gst Campo</t>
  </si>
  <si>
    <t>427220000 - Alquileres varios Rel. comunitarias</t>
  </si>
  <si>
    <t>425220000 - Gastos y Comisiones Bancarias Adm. Gral</t>
  </si>
  <si>
    <t>427160000 - Gastos y comisiones bancarias Rel. comunitarias</t>
  </si>
  <si>
    <t>425230000 - Imp. a los Débitos y Créditos Bancarios Ad. Gral.</t>
  </si>
  <si>
    <t>425140000 - Intereses resarcitorios Adm. Gral.</t>
  </si>
  <si>
    <t>426280000 - Gst en Personal Gst Campo</t>
  </si>
  <si>
    <t>427150000 - Alquiler de vehículos Rel. comunitarias</t>
  </si>
  <si>
    <t>427210000 - Convenio de Acceso Rel. comunitarias</t>
  </si>
  <si>
    <t>426120000 - Movilidad y Viaticos Gs Campo</t>
  </si>
  <si>
    <t>427110000 - Movilidad y Viáticos Rel. comunitarias</t>
  </si>
  <si>
    <t>425700000 - Alojamiento Adm. Gral.</t>
  </si>
  <si>
    <t>426260000 - Alojamiento Gst de Campo</t>
  </si>
  <si>
    <t>427230000 - Alojamiento Rel. Comunitarias</t>
  </si>
  <si>
    <t>425110000 - Refrigerios Adm Gral.</t>
  </si>
  <si>
    <t>426110000 - Refrigerios Gs Campo</t>
  </si>
  <si>
    <t>427120000 - Refrigerios Rel. comunitarias</t>
  </si>
  <si>
    <t>425180000 - Comunicaciones Adm. Gral</t>
  </si>
  <si>
    <t>426160000 - Comunicaciones Gst Campo</t>
  </si>
  <si>
    <t>425200000 - Combustible Adm Gral.</t>
  </si>
  <si>
    <t>426200000 - Combustible Gst Campo</t>
  </si>
  <si>
    <t>427170000 - Combustible Rel. comunitarias</t>
  </si>
  <si>
    <t>425210000 - Gst de Capacitación Adm. Gral.</t>
  </si>
  <si>
    <t>425150000 - Alquiler Inmueble Adm. Gral.</t>
  </si>
  <si>
    <t>426220000 - Alquiler Inmueble Gst Campo</t>
  </si>
  <si>
    <t>425160000 - Cuota Societaria Minera Adm. Gral.</t>
  </si>
  <si>
    <t>427180000 - Gst de Ferreteria Rel. Comunitarias</t>
  </si>
  <si>
    <t>425500000 - Servicios Públicos Adm. Gral.</t>
  </si>
  <si>
    <t>426150000 - Servicios Públicos Gs Campo</t>
  </si>
  <si>
    <t>426180000 - Gst Campamento Gst Campo</t>
  </si>
  <si>
    <t>425600000 - Gst Mantenimiento Adm. Gral.</t>
  </si>
  <si>
    <t>426250000 - Gst de Mantenimiento Gst Campo</t>
  </si>
  <si>
    <t>426240000 - Gst de Vehículos Gst de Campo</t>
  </si>
  <si>
    <t>425130000 - Expensas Depto Geologos Adm Gral</t>
  </si>
  <si>
    <t>426140000 - Expensas Depto Geologos Gs Campo</t>
  </si>
  <si>
    <t>425240000 - Seguros Adm. Gral</t>
  </si>
  <si>
    <t>426470000 - Librería y Papelería Gs Campo</t>
  </si>
  <si>
    <t>426460000 - Traslados Gs de Campo</t>
  </si>
  <si>
    <t>426450000 - Gs Ferretería Gs Campo</t>
  </si>
  <si>
    <t>426440000 - Honorarios Profesionales Gs Campo</t>
  </si>
  <si>
    <t>426430000 - Serv. Digitalición Gs Campo</t>
  </si>
  <si>
    <t>426410000 - Sellados Gs de Campo</t>
  </si>
  <si>
    <t>426310000 - Alquileres Varios Gs de Campo</t>
  </si>
  <si>
    <t>426290000 - Convenio de Acceso Gs de Campo</t>
  </si>
  <si>
    <t>425930000 - Obra Social Adicional Adm Gral.</t>
  </si>
  <si>
    <t>425920000 - Libreria y papeleria Adm Gral.</t>
  </si>
  <si>
    <t>425910000 - Publicidad Adm Gral</t>
  </si>
  <si>
    <t>425900000 - Gs en Personal Adm Gral</t>
  </si>
  <si>
    <t>425800000 - Serv. de Cadetería Adm Gral</t>
  </si>
  <si>
    <t>425400000 - Servicios Informáticos Adm. Gral.</t>
  </si>
  <si>
    <t>SERVICIOS DE DIGITALIZACION</t>
  </si>
  <si>
    <t>PUBLICIDAD</t>
  </si>
  <si>
    <t>SERVICIOS DE CADETERIA</t>
  </si>
  <si>
    <t>425940000 - Honorarios Legales Adm. Gral</t>
  </si>
  <si>
    <t>425950000 - Seguridad Adm. Gral.</t>
  </si>
  <si>
    <t>425970000 - Gs Limpieza Adm Gral.</t>
  </si>
  <si>
    <t>425990000 - Gs Vehiculos Adm Gral</t>
  </si>
  <si>
    <t>426480000 - Adquisición Inf. Geólogica Gs de Campo</t>
  </si>
  <si>
    <t>426490000 - Remediación Ambiental Gs de Campo</t>
  </si>
  <si>
    <t>426500000 - Tasas Ambientales Gastos de Campo</t>
  </si>
  <si>
    <t>426600000 - Gastos Computacion Gs Campo</t>
  </si>
  <si>
    <t>428300000 - Mensajería Muestreo Geof. Sup.</t>
  </si>
  <si>
    <t>212010002 - Embargo por Alimentos</t>
  </si>
  <si>
    <t>- Embargo por alimentos</t>
  </si>
  <si>
    <t>426900000 - Serv. Seguridad e Investigación Gs Campo</t>
  </si>
  <si>
    <t>SERV DE SEGURIDAD E INV DE CAMPO</t>
  </si>
  <si>
    <t>429100000 - Librería y Papelería Perforación</t>
  </si>
  <si>
    <t>426800000 - Análisis Geoquimicos - Gtos Laboratorio Gs Campo</t>
  </si>
  <si>
    <t>426700000 - Impuesto varios Gasto de Campo.</t>
  </si>
  <si>
    <t>426100000 - Seguros Gs Campo</t>
  </si>
  <si>
    <t>425810000 - Tasa Municipal Adm. Gral.</t>
  </si>
  <si>
    <t>ANALISIS GEOQUIMICOS</t>
  </si>
  <si>
    <t>428200000 - Análisis de Muestras Muestreo Geof. Sup.</t>
  </si>
  <si>
    <t>426530000 - Gst de Capacitación. Gs de Campo</t>
  </si>
  <si>
    <t>425270000 - Impuestos Varios Adm Gral.</t>
  </si>
  <si>
    <t>425260000 - Sellados Adm Gral</t>
  </si>
  <si>
    <t>425820000 - Tasas Retributivas Minería Adm Gral.</t>
  </si>
  <si>
    <t>426320000 - Canon Gst Campo</t>
  </si>
  <si>
    <t>426330000 - Insumos de Campo Gst Campo</t>
  </si>
  <si>
    <t>211011474 - Telefonica Moviles Argentina S.A</t>
  </si>
  <si>
    <t>211011435 - SGS Peru S.A.C</t>
  </si>
  <si>
    <t>426550000 - Gastos y Comisiones Bancarias - Gasto de Campo</t>
  </si>
  <si>
    <t>422010000 - Tasas ambientales I- R. Ambiental</t>
  </si>
  <si>
    <t>426340000 - Catastro Minero Gs Campo</t>
  </si>
  <si>
    <t>424400000 - Sueldos Campo</t>
  </si>
  <si>
    <t>425250000 - Amortizaciones Adm. Gral.</t>
  </si>
  <si>
    <t>425280000 - Publicaciones Adm Gral</t>
  </si>
  <si>
    <t>426350000 - Patentes Gst Campo</t>
  </si>
  <si>
    <t>426510000 - Materiales de Campo. Gst de Campo</t>
  </si>
  <si>
    <t>426520000 - Alquiler Equipos. Gst de Campo</t>
  </si>
  <si>
    <t>427240000 - Gastos en Personal Rel. Comunitarias</t>
  </si>
  <si>
    <t>427250000 - Patentes Rel. Comunitarias</t>
  </si>
  <si>
    <t>- Cuentas por cobrar a Personal</t>
  </si>
  <si>
    <t>114050006 - Cuentas por cobrar a Personal</t>
  </si>
  <si>
    <t>421030000 - IVA crédito fiscal no computable</t>
  </si>
  <si>
    <t>421050000 - Sueldos Adm.</t>
  </si>
  <si>
    <t>421060000 - Cargas sociales Adm.</t>
  </si>
  <si>
    <t>424500000 - CARGAS SOCIALES CAMPO</t>
  </si>
  <si>
    <t>426540000 - Gastos Exploracion. Gst de Campo</t>
  </si>
  <si>
    <t>426910000 -  Indumentaria de Trabajo Gs campo</t>
  </si>
  <si>
    <t>426920000 - Intereses Gs Campo</t>
  </si>
  <si>
    <t>211010875 - Moyma SRL</t>
  </si>
  <si>
    <t>425290000 - Gs Computación Adm General</t>
  </si>
  <si>
    <t>426930000 - Informes Ambientales Gs Campo</t>
  </si>
  <si>
    <t>426940000 - Tasas Retributivas Minería Gts Campo</t>
  </si>
  <si>
    <t>429200000 - Gastos en Personal E. Perforacion</t>
  </si>
  <si>
    <t>429400000 - Comunicaciones E. Perforacion</t>
  </si>
  <si>
    <t>429500000 - Refrigerios E. Perforacion</t>
  </si>
  <si>
    <t>212010003 - Provisión Vacaciones</t>
  </si>
  <si>
    <t>425310000 - Vacaciones Adm Gral.</t>
  </si>
  <si>
    <t>421180000 - Vacaciones</t>
  </si>
  <si>
    <t>425320000 - Catastro Minero Adm Gral</t>
  </si>
  <si>
    <t>425960000 - Encomienda Adm. Gral.</t>
  </si>
  <si>
    <t>426360000 - Vacaciones Gs Campo</t>
  </si>
  <si>
    <t>429700000 - Seguros E. Perforacion</t>
  </si>
  <si>
    <t>429800000 - Combustible - E. Perforacion</t>
  </si>
  <si>
    <t>VACACIONES</t>
  </si>
  <si>
    <t>- Provisión Vacaciones</t>
  </si>
  <si>
    <t>111040020 - Tarjeta Corporativa E.Bernuy</t>
  </si>
  <si>
    <t>213010005 - Tasa Municipal Catamarca a pagar</t>
  </si>
  <si>
    <t>- Tasa Municipalidad a pagar</t>
  </si>
  <si>
    <t>422020000 - Remediación Ambiental I- R. Ambiental</t>
  </si>
  <si>
    <t>422080000 - Gastos Ferretería I -R.Ambiental</t>
  </si>
  <si>
    <t>429900000 - Alquiler varios - E. Perforacion</t>
  </si>
  <si>
    <t>426960000 - Análisis de Muestras Gs de Campo</t>
  </si>
  <si>
    <t>421010000 - Refrigerios - Adm Catamarca</t>
  </si>
  <si>
    <t>421020000 - Servicios Públicos - Adm Catamarca</t>
  </si>
  <si>
    <t>421110000 - Comunicaciones - Adm Catamarca</t>
  </si>
  <si>
    <t>421130000 - Ferreteria - Adm Catamarca</t>
  </si>
  <si>
    <t>421140000 - Gastos varios oficina - Adm Catamarca</t>
  </si>
  <si>
    <t>421150000 - Refrigerios Gs campo Catamarca</t>
  </si>
  <si>
    <t>421160000 - Alojamiento Gs de campo Catamarca.</t>
  </si>
  <si>
    <t>421170000 - Alojamiento Rel. Comunitarias Catamarca</t>
  </si>
  <si>
    <t>421180000 - Movilidad y viáticos Rel. Comunitarias Catamarca</t>
  </si>
  <si>
    <t>421190000 - Gastos en personal - Adm Catamarca</t>
  </si>
  <si>
    <t>421310000 - Honorarios Profesionales - Adm Catamarca</t>
  </si>
  <si>
    <t>421330000 - Refrigerios Rel. comunitarias Catamarca</t>
  </si>
  <si>
    <t>421320000 - Alquiler inmueble - Adm Catamarca</t>
  </si>
  <si>
    <t>421340000 - Gastos de limpieza - Adm Catamarca</t>
  </si>
  <si>
    <t>421360000 - Gastos Varios Rel. Comunitarias Catamarca</t>
  </si>
  <si>
    <t>421370000 - Gs Computación - Rel. Comunitarias Catamarca</t>
  </si>
  <si>
    <t>421380000 -  Libreria - Rel. Comunitarias Catamarca</t>
  </si>
  <si>
    <t>421350000 - Servicios movimiento de suelos -Rel.Com. Catamarca</t>
  </si>
  <si>
    <t>425100000 - Tasas Ambientales – Adm. General</t>
  </si>
  <si>
    <t>425980000 - Intereses Adm. Gral.</t>
  </si>
  <si>
    <t>421100000 - Seguridad - Adm Catamarca</t>
  </si>
  <si>
    <t>SERV DE MOVIMIENTOS DE SUELO</t>
  </si>
  <si>
    <t>421410000 - Combustible Gs de campo Catamarca</t>
  </si>
  <si>
    <t>421420000 - Gtos en personal Gs. de campo Catamarca</t>
  </si>
  <si>
    <t>421430000 - Honorarios legales  Adm Catamarca</t>
  </si>
  <si>
    <t>421440000 - Movilidad y Viáticos Adm Catamarca</t>
  </si>
  <si>
    <t>425830000 - Remediación Ambiental Adm General</t>
  </si>
  <si>
    <t>421450000 - Gs. en Personal Rel. Comunitarias Catamarca</t>
  </si>
  <si>
    <t>421460000 - Libreria y papeleria Adm catamarca</t>
  </si>
  <si>
    <t>421470000 - Análisis Muestras I - R. Ambiental Catamarca</t>
  </si>
  <si>
    <t>425330000 - Impuestos País - Adm Gral.</t>
  </si>
  <si>
    <t>427260000 - Gastos de vehiculos  Rel. Comunitarias</t>
  </si>
  <si>
    <t>427270000 - Comunicaciones Rel. Comunitarias</t>
  </si>
  <si>
    <t>427280000 - Gastos Varios Rel. Comunitarias</t>
  </si>
  <si>
    <t>114010018 - Percepcion RG 4815 35% computable Ganancias</t>
  </si>
  <si>
    <t>- Percepcion RG 4815 35% computable Ganancias</t>
  </si>
  <si>
    <t>421480000 - Canon Minero - Adm Catamarca</t>
  </si>
  <si>
    <t>421490000 - Alquiler Inmueble Gs. de campo Catamarca</t>
  </si>
  <si>
    <t>421500000 - Gastos de vehiculos Adm Catamarca.</t>
  </si>
  <si>
    <t>427290000 - Gastos en calefacción Rel. Comunitarias</t>
  </si>
  <si>
    <t>427300000 - Libreria y papeleria  Rel. Comunitarias</t>
  </si>
  <si>
    <t>GASTOS EN CALEFACCIÓN</t>
  </si>
  <si>
    <t>421600000 - Gastos Varios Gastos de Campo Catamarca</t>
  </si>
  <si>
    <t>421700000 - Indumentaria de Trabajo Gastos de campo Catamarca</t>
  </si>
  <si>
    <t>421800000 - Alquiler maquinaria limpieza Rel. Comun. Catamarca</t>
  </si>
  <si>
    <t>213010006 - Tasas Retributivas Mineras</t>
  </si>
  <si>
    <t>- Tasas Retributivas Mineras</t>
  </si>
  <si>
    <t>421510000 - Gs Computación - Adm Catamarca</t>
  </si>
  <si>
    <t>421120000 - Servicios Informaticos - Adm Catamarca</t>
  </si>
  <si>
    <t>421900000 - Encomienda Adm Catamarca</t>
  </si>
  <si>
    <t>426970000 - Encomienda Gs Campo</t>
  </si>
  <si>
    <t>421520000 - Alojamiento Adm gral Catamarca</t>
  </si>
  <si>
    <t>421530000 - Servicio de Internet Adm Catamarca.</t>
  </si>
  <si>
    <t>421540000 - Monitoreo de suelos y aguas - Gs de Campo Cat.</t>
  </si>
  <si>
    <t>MONITOREO DE SUELOS</t>
  </si>
  <si>
    <t>421080000 - Servicios de construccion Rel. Comunit. Catamarca</t>
  </si>
  <si>
    <t>421550000 -  Materiales de construccion Rel. Comunit. Catam</t>
  </si>
  <si>
    <t>421560000 - Alquileres varios - Adm Catamarca</t>
  </si>
  <si>
    <t>421570000 - Publicaciones -  Vigencia y Penalidades Catamarca</t>
  </si>
  <si>
    <t>426560000 - Publicaciones -  Vigencia y Penalidades</t>
  </si>
  <si>
    <t>426570000 - Tasas Retributivas Minería – Vigencia y Penalidades</t>
  </si>
  <si>
    <t>429210000 - Gastos Campamento - E. Perforacion</t>
  </si>
  <si>
    <t>429220000 - Ferreteria - E. Perforacion</t>
  </si>
  <si>
    <t>111020003 - Banco de Crédito - BCP</t>
  </si>
  <si>
    <t>429110000 - Remediación Ambiental E. Perforacion</t>
  </si>
  <si>
    <t>427400000 - Honorarios Profesionales - Rel. Comunitarias</t>
  </si>
  <si>
    <t>429260000 - Gastos de Seguridad - E. Perforación</t>
  </si>
  <si>
    <t>429240000 - Encomiendas - E. Perforacion</t>
  </si>
  <si>
    <t>429250000 - Análisis Geoquimicos - E. Perforación</t>
  </si>
  <si>
    <t>421210000 - Canon Minero - Vigencia y Penalidades</t>
  </si>
  <si>
    <t>426810000 - Gastos de limpieza Gts campo Catam</t>
  </si>
  <si>
    <t>426820000 - Obra social Adicional Gst de campo</t>
  </si>
  <si>
    <t>426990000 - Cuota Societaria Gs de Campo</t>
  </si>
  <si>
    <t>429270000 - Indumentaria de Trabajo - E. Perforacion</t>
  </si>
  <si>
    <t>429280000 - Análisis Muestras de agua- E. Perforación.</t>
  </si>
  <si>
    <t>429310000 - Gastos de vehiculos - E. Perforacion</t>
  </si>
  <si>
    <t>426580000 - Servicios de construccion Gs de Campo Catam.</t>
  </si>
  <si>
    <t>429920000 - Alojamiento E- Perforación</t>
  </si>
  <si>
    <t>429910000 - Movilidad y Viáticos E-Perforación</t>
  </si>
  <si>
    <t>421920000 - Libreria y Papeleria Gs Campo Catamarca</t>
  </si>
  <si>
    <t>421930000 - Gs Varios Oficina Gs Campo Catamarca</t>
  </si>
  <si>
    <t>421940000 - Alquiler Inmueble Rel. Comun. Catamarca</t>
  </si>
  <si>
    <t>421950000 - Mensajeria Muestreo Geof. Sup. Catamarca</t>
  </si>
  <si>
    <t>421970000 - Honorarios Profesionales Gs Campo Catamarca</t>
  </si>
  <si>
    <t>421980000 - Seguridad Gs Campo Catamarca</t>
  </si>
  <si>
    <t>421990000 - Mantenimiento Adm. Gral Catamarca</t>
  </si>
  <si>
    <t>422220000 - Análisis Muestras - R. Ambiental</t>
  </si>
  <si>
    <t>427500000 - Gastos de oficina - Relaciones Comun.</t>
  </si>
  <si>
    <t>429930000 - Tasa ambiental - E. Perforación</t>
  </si>
  <si>
    <t>429940000 - Análisis de Muestras - E. Perforación</t>
  </si>
  <si>
    <t>429950000 - Servicio de Transporte de muestras- E. Perforacion</t>
  </si>
  <si>
    <t>431010000 - Análisis Muestras- F Analisis Quimicos de Perf.</t>
  </si>
  <si>
    <t>431020000 - Libreria y Papeleria - F Analisis Quimico Perf. Catamarca</t>
  </si>
  <si>
    <t>431030000 - Adquisición de Inform. Geologica Gs de campo Cat</t>
  </si>
  <si>
    <t>421580000 - Servicio Notarial Rel Comunitaria Catamarca</t>
  </si>
  <si>
    <t>421590000 - Honorarios profesionales Rel Comunitaria Catamarca</t>
  </si>
  <si>
    <t>421610000 - Combustible Adm. Gral. Catamarca</t>
  </si>
  <si>
    <t>421620000 - Servicio de Topografia Gs Campo Catamarca</t>
  </si>
  <si>
    <t>421630000 - Mensajeria Gs Campo Catamarca</t>
  </si>
  <si>
    <t>421640000 - Gastos vehiculos Gs Campo Catamarca</t>
  </si>
  <si>
    <t>425840000 - Servicios Notariales Administracion Gral.</t>
  </si>
  <si>
    <t>426610000 - Movilidad y viáticos Gs Campo Catamarca</t>
  </si>
  <si>
    <t>SERVICIOS DE CARTOGRAFIA</t>
  </si>
  <si>
    <t>INSUMOS PARA MUESTRAS</t>
  </si>
  <si>
    <t>USO EVENTUAL DE AGUA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</si>
  <si>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</si>
  <si>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</si>
  <si>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</si>
  <si>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</si>
  <si>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431040000 - Gastos de vehículos - Vigencia y Penalidades</t>
  </si>
  <si>
    <t>111010001 - Caja</t>
  </si>
  <si>
    <t>111020001 - ICBC S.A. C/C</t>
  </si>
  <si>
    <t>114010001 - Iva crédito fiscal</t>
  </si>
  <si>
    <t>114010002 - Iva saldo a favor</t>
  </si>
  <si>
    <t>114010003 - Retenciones y percepciones iva</t>
  </si>
  <si>
    <t>114010004 - Retenciones y Percepciones II.BB.</t>
  </si>
  <si>
    <t>114010005 - Ingresos Brutos saldo a favor</t>
  </si>
  <si>
    <t>114010006 - Crédito Imp. L.25413</t>
  </si>
  <si>
    <t>114010010 - Imp. Gcia Mínima Presunta</t>
  </si>
  <si>
    <t>114010012 - Ret/Perc Ganancias</t>
  </si>
  <si>
    <t>114010014 - Saldo Favor Ganancias</t>
  </si>
  <si>
    <t>114050005 - Seguros a Devengar</t>
  </si>
  <si>
    <t>114050003 - Anticipo de Fondos</t>
  </si>
  <si>
    <t>122010000 - Depósito en garantía alquiler</t>
  </si>
  <si>
    <t>124010001 - Muebles y Utiles</t>
  </si>
  <si>
    <t>124010002 - Equipos</t>
  </si>
  <si>
    <t>124010003 - Herramientas</t>
  </si>
  <si>
    <t>429960000 - Donación - E. Perforación</t>
  </si>
  <si>
    <t>431060000 - Análisis de muestras Gs de Campo Catamarca</t>
  </si>
  <si>
    <t>431070000 - Indumentaria de Trabajo Adm. Catamarca</t>
  </si>
  <si>
    <t>431080000 - Impuestos no computables - Gs de campo</t>
  </si>
  <si>
    <t>111020006 - Banco Galicia c/c</t>
  </si>
  <si>
    <t>- Banco Galicia c/c</t>
  </si>
  <si>
    <t>427700000 - Comunicaciones Rel. comunitarias Catamarca</t>
  </si>
  <si>
    <t>421670000 - Comunicaciones Gs Campo Catamarca</t>
  </si>
  <si>
    <t>421680000 - Servicio de transporte Gs Campo Catamarca</t>
  </si>
  <si>
    <t>421690000 - Gs de Campamento Gs de Campo Catamarca</t>
  </si>
  <si>
    <t>426840000 - Expensas Gs Campo</t>
  </si>
  <si>
    <t>431090000 - Tasas Ambientales – Vigencia y Penalidades</t>
  </si>
  <si>
    <t>422090000 - Gs en personal R- Ambiental</t>
  </si>
  <si>
    <t>427800000 - Gst Vehículos Rel. comunitarias Catamarca</t>
  </si>
  <si>
    <t>427900000 - Donaciones Rel. comunitarias Catamarca</t>
  </si>
  <si>
    <t>422240000 - Honorarios profesionales - Remediación ambiental</t>
  </si>
  <si>
    <t>421820000 - Alquiler de vehiculos - Gs Campo Catamarca</t>
  </si>
  <si>
    <t>421810000 - Impuestos no computables Gs Campo Catamarca</t>
  </si>
  <si>
    <t>114050007 - Garantia a Cobrar/Recuperar</t>
  </si>
  <si>
    <t>211010402 - Crown Casino S.A.</t>
  </si>
  <si>
    <t>421710000 - Tasa Municipal Adm Catamarca</t>
  </si>
  <si>
    <t>421830000 - Capacitaciones Gs Campo Catamarca</t>
  </si>
  <si>
    <t>426640000 - Gasto de representación Gs. Campo</t>
  </si>
  <si>
    <t>431100000 - Imp. Bienes, Acc. y Part. Soc. – Adm. General</t>
  </si>
  <si>
    <t>- Garantia a Cobrar/Recuperar</t>
  </si>
  <si>
    <t>211070000 - Depósito efectivo Bco. Galicia</t>
  </si>
  <si>
    <t xml:space="preserve"> - Depósito efectivo Bco. Galicia</t>
  </si>
  <si>
    <t>111020001 - ICBC S.A. c/c</t>
  </si>
  <si>
    <t>114010002 - IVA saldo a favor</t>
  </si>
  <si>
    <t>114010003 - Ret. y Perc. IVA</t>
  </si>
  <si>
    <t>114010004 - Ret. y Perc. IIBB</t>
  </si>
  <si>
    <t>114010005 - IIBB saldo a favor</t>
  </si>
  <si>
    <t>114010010 - Imp. Gcia. Min. Presunta</t>
  </si>
  <si>
    <t>114010013 - GMP saldo a favor</t>
  </si>
  <si>
    <t>114010014 - Saldos a favor Ganancias</t>
  </si>
  <si>
    <t>114020001 - Southern Copper Corporation Cta. Part.</t>
  </si>
  <si>
    <t>124010004 - Equipos de Computaciòn</t>
  </si>
  <si>
    <t>124010005 - Software</t>
  </si>
  <si>
    <t>124010006 - Rodados</t>
  </si>
  <si>
    <t>124010007 - Equipamiento Exploración</t>
  </si>
  <si>
    <t>124010008 - Instalaciones</t>
  </si>
  <si>
    <t>124020001 - Dep. Ac. Muebles y Utiles</t>
  </si>
  <si>
    <t>124020002 - Dep. Ac. Equipos</t>
  </si>
  <si>
    <t>124020003 - Dep. Ac. Herramientas</t>
  </si>
  <si>
    <t>124020004 - Dep. Ac. Eq. de Computación</t>
  </si>
  <si>
    <t>124020005 - Dep. Ac. Software</t>
  </si>
  <si>
    <t>124020006 - Dep. Ac. Rodados</t>
  </si>
  <si>
    <t>124020007 - Dep. Ac. Equipamiento Exploración</t>
  </si>
  <si>
    <t>124020008 - Dep. Ac. Instalaciones</t>
  </si>
  <si>
    <t>212020001 - SICOSS a pagar</t>
  </si>
  <si>
    <t>213010001 - SICORE a pagar</t>
  </si>
  <si>
    <t>311000000 - Capital Suscripto</t>
  </si>
  <si>
    <t>321000000 - Resultados No Asignados</t>
  </si>
  <si>
    <t>323000000 - Resultado del Ejercicio</t>
  </si>
  <si>
    <t>421840000 - Alquiler Maquinaria Gs Campo Catamarca</t>
  </si>
  <si>
    <t>421850000 - Gst de Mantenimiento Gst Campo Catamarca</t>
  </si>
  <si>
    <t>423060000 - Diferencia de cambio $</t>
  </si>
  <si>
    <t>424500000 - Cargas sociales Campo</t>
  </si>
  <si>
    <t>426590000 - Alquiler de vehículos Gs Campo</t>
  </si>
  <si>
    <t>427310000 - Gs representación Rel. comunitarias</t>
  </si>
  <si>
    <t>429300000 - Servicio de Perforacion E. Perforacion</t>
  </si>
  <si>
    <t>211011225 - Coop. de Prov. de Serv. Tel. y otros servicios</t>
  </si>
  <si>
    <t>427510000 - Encomienda Rel. Com. Catamarca</t>
  </si>
  <si>
    <t>114010012 - Ret. y Perc. Ganancias</t>
  </si>
  <si>
    <t>114020002 - Cía. Minera Los Tolmos S.A. Cta. Part.</t>
  </si>
  <si>
    <t>114050004 - Anticipo a Proveedores</t>
  </si>
  <si>
    <t>211010404 - Camara Argentina de Empresarios Mineros</t>
  </si>
  <si>
    <t>211012090 - La Meseta S.R.L.</t>
  </si>
  <si>
    <t>421200000 - Intereses resarcitorios Adm Gral Catamarca</t>
  </si>
  <si>
    <t>426850000 - Donaciones Gs de Campo Catamarca</t>
  </si>
  <si>
    <t>426860000 - Ferretería Gs Campo Catamarca</t>
  </si>
  <si>
    <t>431110000 - Intereses - Adm. Catamarca</t>
  </si>
  <si>
    <t xml:space="preserve"> - Transferencia a debitar</t>
  </si>
  <si>
    <t>211080000 - Transferencia a debitar</t>
  </si>
  <si>
    <t>213010007 - Tasa Seguridad e Higiene a pagar</t>
  </si>
  <si>
    <t>426630000 - Honorarios profesionales Vigencia y Penalidades</t>
  </si>
  <si>
    <t>421090000 - Seguridad e Higiene Adm Gral Catamarca</t>
  </si>
  <si>
    <t>211011163 - Dash SRL</t>
  </si>
  <si>
    <t>211011323 - Toro Franco Erardo</t>
  </si>
  <si>
    <t>211012103 - De la Fuente Rolando Alberto</t>
  </si>
  <si>
    <t>- Tasa Seguridad e Higiene a pagar</t>
  </si>
  <si>
    <t>426870000 - Servicios publicos Gs. Campo Catamarca</t>
  </si>
  <si>
    <t>ADQUISICIÓN INFORMACIÓN GEOFÍSCA</t>
  </si>
  <si>
    <t>426650000 - Adquisición de inform. Geofísica Gs Campo Cat</t>
  </si>
  <si>
    <t>114010020 - Iva importación de servicios</t>
  </si>
  <si>
    <t>426370000 - Informes de evaluación económica Gs Campo</t>
  </si>
  <si>
    <t>426660000 - Informes Ambientales Gs Campo Cat</t>
  </si>
  <si>
    <t>427520000 - Combustibles Rel. Comunitarias Catamarca</t>
  </si>
  <si>
    <t>- Iva importación de servicios</t>
  </si>
  <si>
    <t>INFORMES DE EVALUACIÓN ECONÓMICA</t>
  </si>
  <si>
    <t>111020005 - Banco Macro Pesos</t>
  </si>
  <si>
    <t>426670000 - Patentes Gasto Campo Catamarca</t>
  </si>
  <si>
    <t>- Banco Macro USD</t>
  </si>
  <si>
    <t>- Banco Macro Pesos</t>
  </si>
  <si>
    <t>432010000 - Robo</t>
  </si>
  <si>
    <t>427320000 - Impuestos no computables Rel. Comunitarias</t>
  </si>
  <si>
    <t>211010448 - Alex Stewart (Assayers) Argentina S.A.</t>
  </si>
  <si>
    <t>211011780 - Andrade Ariel Gustavo</t>
  </si>
  <si>
    <t>426980000 - Donaciones Gs de Campo</t>
  </si>
  <si>
    <t>211010209 - IMC S.R.L</t>
  </si>
  <si>
    <t>211012167 - Caretta Arturo Aurelio</t>
  </si>
  <si>
    <t>431120000 - Análisis Muestras- F Analisis Quimicos de Perf Catamarca</t>
  </si>
  <si>
    <t>SyS</t>
  </si>
  <si>
    <t>PN</t>
  </si>
  <si>
    <t>115010001 - Fondo fima premiun</t>
  </si>
  <si>
    <t>- Fondo fima premiun</t>
  </si>
  <si>
    <t>211010134 - Li Zhi</t>
  </si>
  <si>
    <t>211010329 - Servicios Cipolletti S.A.</t>
  </si>
  <si>
    <t>211010436 - Bien del Sur S.R.L.</t>
  </si>
  <si>
    <t>211010473 - Construcciones Industriales S.A.</t>
  </si>
  <si>
    <t>211011554 - Salman Monica</t>
  </si>
  <si>
    <t>211011615 - Vega Suarez Roberto Giuliano</t>
  </si>
  <si>
    <t>211011624 - Alvarez Neumaticos S.A.</t>
  </si>
  <si>
    <t>427330000 - Impuestos no computables Rel. Comunitarias Catamarca</t>
  </si>
  <si>
    <t>412700000 - Intereses ganados</t>
  </si>
  <si>
    <t>211010081 - Polans S.R.L.</t>
  </si>
  <si>
    <t>211011181 - Zarate Roque Adrian</t>
  </si>
  <si>
    <t>211010773 - Camara de Mineria de Rio Negro</t>
  </si>
  <si>
    <t>211012087 - Maycar S.A.</t>
  </si>
  <si>
    <t>211012224 - Aitue Comunica S.A.</t>
  </si>
  <si>
    <t>421070000 - Movilidad y viáticos Adm.</t>
  </si>
  <si>
    <t>433010000 - Intereses Gs Campo Catamarca</t>
  </si>
  <si>
    <t>433020000 - Adquisición de inform. Geofísica Gs Campo</t>
  </si>
  <si>
    <t>211010258 - Edersa</t>
  </si>
  <si>
    <t>211011142 - Marin Maria Silvina</t>
  </si>
  <si>
    <t>211011167 - Manquilef Gustavo David</t>
  </si>
  <si>
    <t>211011195 - Telecom Argentina SA</t>
  </si>
  <si>
    <t>423100000 - II.BB. No Computable</t>
  </si>
  <si>
    <t>433030000 - Honorarios Profesionales Adm. Gral. USD</t>
  </si>
  <si>
    <t>433050000 - Comunicaciones Adm. Gral USD</t>
  </si>
  <si>
    <t>433080000 - Gastos Varios de Adm Gral USD</t>
  </si>
  <si>
    <t>111020007 - Banco Macro USD</t>
  </si>
  <si>
    <t>211011153 - Adaime Gonzalo</t>
  </si>
  <si>
    <t>211012268 - Major Perforaciones S.A.</t>
  </si>
  <si>
    <t>423050000 - Diferencia de Cambio USD</t>
  </si>
  <si>
    <t>433070000 - Gst de Vehículos Gst de Campo USD</t>
  </si>
  <si>
    <t>111020007 - Banco Macro (u$s)</t>
  </si>
  <si>
    <t>423010000 - Gastos y comisiones bancarias</t>
  </si>
  <si>
    <t>433100000 - Impuesto 25413 No Computable Adm General (u$s)</t>
  </si>
  <si>
    <t>433110000 - Gastos bancarios Adm general (u$s)</t>
  </si>
  <si>
    <t>433120000 - Movilidad y Viáticos Gastos de Campo (u$s)</t>
  </si>
  <si>
    <t>211030000 - Provision de Gastos</t>
  </si>
  <si>
    <t>- Provision de Gastos</t>
  </si>
  <si>
    <t>211012275 - Jorgra Jorge Rafael Vitale</t>
  </si>
  <si>
    <t>423040000 - Intereses</t>
  </si>
  <si>
    <t>211010004 - AMX Argentina</t>
  </si>
  <si>
    <t>211010038 - Nippon Car S.R.L.</t>
  </si>
  <si>
    <t>211010721 - Fly Corporate Travel S.R.L.</t>
  </si>
  <si>
    <t>211010747 - Daniel A. Castellaro</t>
  </si>
  <si>
    <t>211011079 - Carmen Wagner</t>
  </si>
  <si>
    <t>211011324 - GPA Consultoría Ambiental y Social SAS</t>
  </si>
  <si>
    <t>211012257 - Ecopartatles S.A</t>
  </si>
  <si>
    <t>211012277 - El Amucan S.R.L</t>
  </si>
  <si>
    <t>211012297 - Rradom S.A.</t>
  </si>
  <si>
    <t>211011394 - Robledo Pedro Justo</t>
  </si>
  <si>
    <t>426950000 - Servicio de Topografía Gs de Campo</t>
  </si>
  <si>
    <t>433060000 - Servicio de Internet Adm Catamarca.USD</t>
  </si>
  <si>
    <t>211012301 - Tecnira S.R.L</t>
  </si>
  <si>
    <t>111020002 - Banco Macro Cta. Especial en pesos</t>
  </si>
  <si>
    <t>- Banco Macro Pesos cta especial</t>
  </si>
  <si>
    <t>426880000 - Tasas Municipales Gs Campo</t>
  </si>
  <si>
    <t>213010010 - Patentes a pagar</t>
  </si>
  <si>
    <t>DE ACA VA A LAS NOTAS</t>
  </si>
  <si>
    <t>211012266 - Dominguez Jorge Alfredo</t>
  </si>
  <si>
    <t>211012360 - Datamine Chile S.A</t>
  </si>
  <si>
    <t>211012363 - Seequent Limited  usd</t>
  </si>
  <si>
    <t>212020002 - Retenciones SUSS a pagar</t>
  </si>
  <si>
    <t xml:space="preserve"> - Retención SUSS</t>
  </si>
  <si>
    <t>211012316 - Bayton S. A</t>
  </si>
  <si>
    <t>211010483 - Correa Claudio Ciro</t>
  </si>
  <si>
    <t>424220000 - Comida</t>
  </si>
  <si>
    <t>426380000 - Gastos de licitación Gst Campo</t>
  </si>
  <si>
    <t>433090000 - Comunicaciones Gastos de campo USD</t>
  </si>
  <si>
    <t>Agregada 04-26</t>
  </si>
  <si>
    <t>Agregada 03-26</t>
  </si>
  <si>
    <t>GASTOS LICITACIÓN</t>
  </si>
  <si>
    <t>No va en Anexo II</t>
  </si>
  <si>
    <t>211012138 - Mis Resto S.A.S</t>
  </si>
  <si>
    <t>211012288 - Obsesionario S. A. S.</t>
  </si>
  <si>
    <t>Alejandro Poletto</t>
  </si>
  <si>
    <t>DIF</t>
  </si>
  <si>
    <t>SALDO SyS</t>
  </si>
  <si>
    <t>114010021 - Ret. y Perc. IIBB San Juan</t>
  </si>
  <si>
    <t>- Ret. y Perc. IIBB San Juan</t>
  </si>
  <si>
    <t>211012459 - MARCOS ALFREDO DI PAOLA</t>
  </si>
  <si>
    <t>211011192 - T y R Ceferino S.R.L. en Formacion</t>
  </si>
  <si>
    <t>RESULTADO</t>
  </si>
  <si>
    <t>Dif</t>
  </si>
  <si>
    <t>VER - VA EN HOJA SALDOS DIRECTAMENTE</t>
  </si>
  <si>
    <t>Saldos</t>
  </si>
  <si>
    <t>Rdos</t>
  </si>
  <si>
    <t>Dif de cambio</t>
  </si>
  <si>
    <t xml:space="preserve">Anexo II </t>
  </si>
  <si>
    <t>Total</t>
  </si>
  <si>
    <t>dif</t>
  </si>
  <si>
    <t>AL 31.5.26</t>
  </si>
  <si>
    <t>30.06.2026</t>
  </si>
  <si>
    <t>Al 30 de junio 2026  - Cifras expresadas en pesos</t>
  </si>
  <si>
    <t>211010005 - Estudio Beccar Varela</t>
  </si>
  <si>
    <t>211012204 - Alonso Miguel Angel (u$s)</t>
  </si>
  <si>
    <t>211012247 - Tesacom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</si>
  <si>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</si>
  <si>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</si>
  <si>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</si>
  <si>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</si>
  <si>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211012480 - Ismar SRL</t>
  </si>
  <si>
    <t xml:space="preserve">Comprobación - Dif de cambio </t>
  </si>
  <si>
    <t>Saldos al 30.06.2026</t>
  </si>
  <si>
    <t>Total PN</t>
  </si>
  <si>
    <t xml:space="preserve">Pat. Neto </t>
  </si>
  <si>
    <t>Total Activo</t>
  </si>
  <si>
    <t>Control</t>
  </si>
  <si>
    <t>Ok con Anexo I</t>
  </si>
  <si>
    <t>Total al 30.06.2026</t>
  </si>
  <si>
    <t xml:space="preserve"> Correspondiente al  ejercicio económico finalizado el 30 de Junio de 2026</t>
  </si>
  <si>
    <t>Aumento de capital 16/06/2026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</si>
</sst>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1" formatCode="_-* #,##0.00\ _€_-;\-* #,##0.00\ _€_-;_-* &quot;-&quot;??\ _€_-;_-@_-"/>
    <numFmt numFmtId="178" formatCode="&quot;$&quot;\ #,##0;&quot;$&quot;\ \-#,##0"/>
    <numFmt numFmtId="185" formatCode="_ * #,##0.00_ ;_ * \-#,##0.00_ ;_ * &quot;-&quot;??_ ;_ @_ "/>
    <numFmt numFmtId="193" formatCode="_-* #,##0.00\ _$_-;\-* #,##0.00\ _$_-;_-* &quot;-&quot;??\ _$_-;_-@_-"/>
    <numFmt numFmtId="212" formatCode="#,##0.00_);\(#,##0.00\)"/>
    <numFmt numFmtId="213" formatCode="_ [$€]\ * #,##0.00_ ;_ [$€]\ * \-#,##0.00_ ;_ [$€]\ * &quot;-&quot;??_ ;_ @_ "/>
  </numFmts>
  <fonts count="71" x14ac:knownFonts="1">
    <font>
      <sz val="10"/>
      <name val="Arial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u/>
      <sz val="8"/>
      <name val="Arial"/>
      <family val="2"/>
    </font>
    <font>
      <sz val="10"/>
      <color indexed="8"/>
      <name val="Arial"/>
      <family val="2"/>
    </font>
    <font>
      <sz val="10"/>
      <name val="Tahoma"/>
      <family val="2"/>
    </font>
    <font>
      <sz val="8"/>
      <color indexed="8"/>
      <name val="Arial"/>
      <family val="2"/>
    </font>
    <font>
      <sz val="8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i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8"/>
      <name val="Arial"/>
      <family val="2"/>
    </font>
    <font>
      <b/>
      <sz val="9"/>
      <color indexed="8"/>
      <name val="Arial"/>
      <family val="2"/>
    </font>
    <font>
      <sz val="9"/>
      <name val="Arial"/>
      <family val="2"/>
    </font>
    <font>
      <sz val="8"/>
      <color indexed="8"/>
      <name val="Arial"/>
      <family val="2"/>
    </font>
    <font>
      <b/>
      <sz val="9"/>
      <name val="Arial"/>
      <family val="2"/>
    </font>
    <font>
      <i/>
      <sz val="8"/>
      <color indexed="8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8"/>
      <color theme="0"/>
      <name val="Arial"/>
      <family val="2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b/>
      <sz val="9"/>
      <color theme="1"/>
      <name val="Arial"/>
      <family val="2"/>
    </font>
    <font>
      <sz val="10"/>
      <color rgb="FFFF0000"/>
      <name val="Arial"/>
      <family val="2"/>
    </font>
    <font>
      <i/>
      <sz val="8"/>
      <color theme="0" tint="-0.249977111117893"/>
      <name val="Arial"/>
      <family val="2"/>
    </font>
    <font>
      <b/>
      <i/>
      <sz val="8"/>
      <color theme="0" tint="-0.249977111117893"/>
      <name val="Arial"/>
      <family val="2"/>
    </font>
    <font>
      <b/>
      <sz val="8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01">
    <xf numFmtId="0" fontId="0" fillId="0" borderId="0"/>
    <xf numFmtId="213" fontId="2" fillId="0" borderId="0" applyFont="0" applyFill="0" applyBorder="0" applyAlignment="0" applyProtection="0"/>
    <xf numFmtId="185" fontId="1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9" fillId="0" borderId="0" applyFont="0" applyFill="0" applyBorder="0" applyAlignment="0" applyProtection="0">
      <alignment vertical="top"/>
    </xf>
    <xf numFmtId="43" fontId="9" fillId="0" borderId="0" applyFont="0" applyFill="0" applyBorder="0" applyAlignment="0" applyProtection="0">
      <alignment vertical="top"/>
    </xf>
    <xf numFmtId="193" fontId="62" fillId="0" borderId="0" applyFont="0" applyFill="0" applyBorder="0" applyAlignment="0" applyProtection="0"/>
    <xf numFmtId="185" fontId="16" fillId="0" borderId="0" applyFont="0" applyFill="0" applyBorder="0" applyAlignment="0" applyProtection="0"/>
    <xf numFmtId="0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16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93" fontId="62" fillId="0" borderId="0" applyFont="0" applyFill="0" applyBorder="0" applyAlignment="0" applyProtection="0"/>
    <xf numFmtId="185" fontId="2" fillId="0" borderId="0" applyFont="0" applyFill="0" applyBorder="0" applyAlignment="0" applyProtection="0"/>
    <xf numFmtId="193" fontId="62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34" fillId="0" borderId="0" applyFont="0" applyFill="0" applyBorder="0" applyAlignment="0" applyProtection="0"/>
    <xf numFmtId="185" fontId="2" fillId="0" borderId="0" applyFont="0" applyFill="0" applyBorder="0" applyAlignment="0" applyProtection="0"/>
    <xf numFmtId="185" fontId="47" fillId="0" borderId="0" applyFont="0" applyFill="0" applyBorder="0" applyAlignment="0" applyProtection="0"/>
    <xf numFmtId="185" fontId="62" fillId="0" borderId="0" applyFont="0" applyFill="0" applyBorder="0" applyAlignment="0" applyProtection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62" fillId="0" borderId="0"/>
    <xf numFmtId="0" fontId="43" fillId="0" borderId="0">
      <alignment vertical="top"/>
    </xf>
    <xf numFmtId="0" fontId="9" fillId="0" borderId="0">
      <alignment vertical="top"/>
    </xf>
    <xf numFmtId="0" fontId="62" fillId="0" borderId="0"/>
    <xf numFmtId="0" fontId="2" fillId="0" borderId="0"/>
    <xf numFmtId="0" fontId="2" fillId="0" borderId="0"/>
    <xf numFmtId="0" fontId="9" fillId="0" borderId="0">
      <alignment vertical="top"/>
    </xf>
    <xf numFmtId="0" fontId="16" fillId="0" borderId="0"/>
    <xf numFmtId="0" fontId="9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2" fillId="0" borderId="0"/>
    <xf numFmtId="0" fontId="9" fillId="0" borderId="0">
      <alignment vertical="top"/>
    </xf>
    <xf numFmtId="0" fontId="16" fillId="0" borderId="0"/>
    <xf numFmtId="0" fontId="2" fillId="0" borderId="0"/>
    <xf numFmtId="0" fontId="2" fillId="0" borderId="0"/>
    <xf numFmtId="0" fontId="9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>
      <alignment vertical="top"/>
    </xf>
    <xf numFmtId="0" fontId="2" fillId="0" borderId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9" fillId="0" borderId="0"/>
    <xf numFmtId="0" fontId="17" fillId="0" borderId="0">
      <alignment vertical="top"/>
    </xf>
    <xf numFmtId="0" fontId="9" fillId="0" borderId="0">
      <alignment vertical="top"/>
    </xf>
    <xf numFmtId="0" fontId="17" fillId="0" borderId="0">
      <alignment vertical="top"/>
    </xf>
    <xf numFmtId="0" fontId="9" fillId="0" borderId="0">
      <alignment vertical="top"/>
    </xf>
    <xf numFmtId="0" fontId="13" fillId="0" borderId="0"/>
    <xf numFmtId="0" fontId="9" fillId="0" borderId="0"/>
    <xf numFmtId="9" fontId="1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</cellStyleXfs>
  <cellXfs count="466">
    <xf numFmtId="0" fontId="0" fillId="0" borderId="0" xfId="0"/>
    <xf numFmtId="0" fontId="3" fillId="0" borderId="0" xfId="0" applyFont="1"/>
    <xf numFmtId="0" fontId="5" fillId="0" borderId="0" xfId="0" applyFont="1" applyFill="1" applyAlignment="1">
      <alignment horizontal="left"/>
    </xf>
    <xf numFmtId="0" fontId="5" fillId="0" borderId="0" xfId="0" applyFont="1" applyFill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center"/>
    </xf>
    <xf numFmtId="4" fontId="7" fillId="0" borderId="0" xfId="0" applyNumberFormat="1" applyFont="1"/>
    <xf numFmtId="0" fontId="7" fillId="0" borderId="0" xfId="0" applyFont="1" applyFill="1"/>
    <xf numFmtId="0" fontId="7" fillId="0" borderId="0" xfId="0" applyFont="1" applyAlignment="1">
      <alignment horizontal="center"/>
    </xf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4" xfId="0" applyFont="1" applyBorder="1"/>
    <xf numFmtId="0" fontId="7" fillId="0" borderId="0" xfId="0" applyFont="1" applyBorder="1"/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14" fontId="7" fillId="0" borderId="5" xfId="0" applyNumberFormat="1" applyFont="1" applyBorder="1" applyAlignment="1">
      <alignment horizontal="center"/>
    </xf>
    <xf numFmtId="0" fontId="6" fillId="0" borderId="0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9" xfId="0" applyFont="1" applyBorder="1"/>
    <xf numFmtId="0" fontId="7" fillId="0" borderId="14" xfId="0" applyFont="1" applyBorder="1"/>
    <xf numFmtId="0" fontId="7" fillId="0" borderId="5" xfId="0" applyFont="1" applyBorder="1"/>
    <xf numFmtId="0" fontId="7" fillId="0" borderId="16" xfId="0" applyFont="1" applyBorder="1"/>
    <xf numFmtId="4" fontId="7" fillId="0" borderId="5" xfId="0" applyNumberFormat="1" applyFont="1" applyBorder="1"/>
    <xf numFmtId="4" fontId="7" fillId="0" borderId="5" xfId="2" applyNumberFormat="1" applyFont="1" applyBorder="1"/>
    <xf numFmtId="4" fontId="7" fillId="0" borderId="17" xfId="2" applyNumberFormat="1" applyFont="1" applyBorder="1"/>
    <xf numFmtId="4" fontId="7" fillId="0" borderId="17" xfId="0" applyNumberFormat="1" applyFont="1" applyBorder="1"/>
    <xf numFmtId="0" fontId="7" fillId="0" borderId="18" xfId="0" applyFont="1" applyBorder="1"/>
    <xf numFmtId="4" fontId="7" fillId="0" borderId="19" xfId="2" applyNumberFormat="1" applyFont="1" applyBorder="1"/>
    <xf numFmtId="4" fontId="7" fillId="0" borderId="19" xfId="0" applyNumberFormat="1" applyFont="1" applyBorder="1"/>
    <xf numFmtId="185" fontId="7" fillId="0" borderId="0" xfId="0" applyNumberFormat="1" applyFont="1" applyFill="1"/>
    <xf numFmtId="0" fontId="7" fillId="0" borderId="3" xfId="0" applyFont="1" applyBorder="1"/>
    <xf numFmtId="0" fontId="7" fillId="0" borderId="6" xfId="0" applyFont="1" applyBorder="1"/>
    <xf numFmtId="0" fontId="7" fillId="0" borderId="20" xfId="0" applyFont="1" applyBorder="1"/>
    <xf numFmtId="0" fontId="3" fillId="0" borderId="0" xfId="0" applyFont="1" applyBorder="1"/>
    <xf numFmtId="0" fontId="7" fillId="0" borderId="3" xfId="0" applyFont="1" applyFill="1" applyBorder="1"/>
    <xf numFmtId="14" fontId="7" fillId="0" borderId="5" xfId="0" applyNumberFormat="1" applyFont="1" applyFill="1" applyBorder="1" applyAlignment="1">
      <alignment horizontal="center"/>
    </xf>
    <xf numFmtId="0" fontId="7" fillId="0" borderId="6" xfId="0" applyFont="1" applyFill="1" applyBorder="1" applyAlignment="1">
      <alignment horizontal="center"/>
    </xf>
    <xf numFmtId="0" fontId="7" fillId="0" borderId="5" xfId="0" applyFont="1" applyFill="1" applyBorder="1"/>
    <xf numFmtId="4" fontId="7" fillId="0" borderId="5" xfId="2" applyNumberFormat="1" applyFont="1" applyFill="1" applyBorder="1"/>
    <xf numFmtId="4" fontId="7" fillId="0" borderId="19" xfId="2" applyNumberFormat="1" applyFont="1" applyFill="1" applyBorder="1"/>
    <xf numFmtId="0" fontId="7" fillId="0" borderId="21" xfId="0" applyFont="1" applyBorder="1"/>
    <xf numFmtId="0" fontId="6" fillId="0" borderId="21" xfId="0" applyFont="1" applyBorder="1"/>
    <xf numFmtId="4" fontId="7" fillId="0" borderId="22" xfId="2" applyNumberFormat="1" applyFont="1" applyBorder="1"/>
    <xf numFmtId="4" fontId="7" fillId="0" borderId="22" xfId="2" applyNumberFormat="1" applyFont="1" applyFill="1" applyBorder="1"/>
    <xf numFmtId="4" fontId="7" fillId="0" borderId="0" xfId="0" applyNumberFormat="1" applyFont="1" applyFill="1"/>
    <xf numFmtId="0" fontId="7" fillId="0" borderId="0" xfId="0" applyFont="1" applyAlignment="1">
      <alignment horizontal="right"/>
    </xf>
    <xf numFmtId="0" fontId="5" fillId="0" borderId="0" xfId="0" quotePrefix="1" applyFont="1" applyFill="1" applyAlignment="1">
      <alignment horizontal="left"/>
    </xf>
    <xf numFmtId="4" fontId="5" fillId="0" borderId="0" xfId="0" applyNumberFormat="1" applyFont="1" applyFill="1" applyAlignment="1">
      <alignment horizontal="right"/>
    </xf>
    <xf numFmtId="0" fontId="4" fillId="0" borderId="0" xfId="0" quotePrefix="1" applyFont="1" applyFill="1" applyAlignment="1">
      <alignment horizontal="left"/>
    </xf>
    <xf numFmtId="4" fontId="4" fillId="0" borderId="0" xfId="0" applyNumberFormat="1" applyFont="1" applyFill="1" applyAlignment="1">
      <alignment horizontal="right"/>
    </xf>
    <xf numFmtId="185" fontId="7" fillId="0" borderId="0" xfId="2" applyFont="1"/>
    <xf numFmtId="185" fontId="7" fillId="0" borderId="0" xfId="0" applyNumberFormat="1" applyFont="1"/>
    <xf numFmtId="14" fontId="7" fillId="0" borderId="23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16" xfId="0" applyFont="1" applyBorder="1"/>
    <xf numFmtId="0" fontId="10" fillId="0" borderId="4" xfId="0" applyFont="1" applyBorder="1"/>
    <xf numFmtId="0" fontId="10" fillId="0" borderId="0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0" fillId="0" borderId="27" xfId="0" applyFont="1" applyBorder="1"/>
    <xf numFmtId="0" fontId="10" fillId="0" borderId="14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9" xfId="0" applyFont="1" applyBorder="1"/>
    <xf numFmtId="0" fontId="10" fillId="0" borderId="5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5" xfId="0" applyFont="1" applyBorder="1"/>
    <xf numFmtId="0" fontId="10" fillId="0" borderId="6" xfId="0" applyFont="1" applyBorder="1"/>
    <xf numFmtId="0" fontId="10" fillId="0" borderId="30" xfId="0" applyFont="1" applyBorder="1"/>
    <xf numFmtId="0" fontId="10" fillId="0" borderId="5" xfId="0" applyFont="1" applyBorder="1"/>
    <xf numFmtId="0" fontId="10" fillId="0" borderId="29" xfId="0" applyFont="1" applyBorder="1"/>
    <xf numFmtId="0" fontId="10" fillId="0" borderId="9" xfId="0" quotePrefix="1" applyFont="1" applyBorder="1" applyAlignment="1">
      <alignment horizontal="left"/>
    </xf>
    <xf numFmtId="4" fontId="10" fillId="0" borderId="5" xfId="0" applyNumberFormat="1" applyFont="1" applyBorder="1" applyAlignment="1">
      <alignment horizontal="right"/>
    </xf>
    <xf numFmtId="4" fontId="10" fillId="0" borderId="5" xfId="0" applyNumberFormat="1" applyFont="1" applyFill="1" applyBorder="1" applyAlignment="1">
      <alignment horizontal="right"/>
    </xf>
    <xf numFmtId="4" fontId="10" fillId="0" borderId="29" xfId="0" applyNumberFormat="1" applyFont="1" applyBorder="1" applyAlignment="1">
      <alignment horizontal="right"/>
    </xf>
    <xf numFmtId="4" fontId="10" fillId="0" borderId="0" xfId="0" applyNumberFormat="1" applyFont="1"/>
    <xf numFmtId="4" fontId="10" fillId="0" borderId="6" xfId="0" applyNumberFormat="1" applyFont="1" applyBorder="1" applyAlignment="1">
      <alignment horizontal="right"/>
    </xf>
    <xf numFmtId="4" fontId="10" fillId="0" borderId="6" xfId="2" applyNumberFormat="1" applyFont="1" applyBorder="1" applyAlignment="1">
      <alignment horizontal="right"/>
    </xf>
    <xf numFmtId="4" fontId="10" fillId="0" borderId="6" xfId="2" applyNumberFormat="1" applyFont="1" applyFill="1" applyBorder="1" applyAlignment="1">
      <alignment horizontal="right"/>
    </xf>
    <xf numFmtId="4" fontId="10" fillId="0" borderId="30" xfId="2" applyNumberFormat="1" applyFont="1" applyBorder="1" applyAlignment="1">
      <alignment horizontal="right"/>
    </xf>
    <xf numFmtId="4" fontId="10" fillId="0" borderId="6" xfId="0" applyNumberFormat="1" applyFont="1" applyFill="1" applyBorder="1" applyAlignment="1">
      <alignment horizontal="right"/>
    </xf>
    <xf numFmtId="4" fontId="10" fillId="0" borderId="30" xfId="0" applyNumberFormat="1" applyFont="1" applyBorder="1" applyAlignment="1">
      <alignment horizontal="right"/>
    </xf>
    <xf numFmtId="9" fontId="10" fillId="0" borderId="5" xfId="97" applyFont="1" applyFill="1" applyBorder="1" applyAlignment="1">
      <alignment horizontal="right"/>
    </xf>
    <xf numFmtId="0" fontId="7" fillId="0" borderId="31" xfId="0" applyFont="1" applyBorder="1"/>
    <xf numFmtId="4" fontId="7" fillId="0" borderId="11" xfId="2" applyNumberFormat="1" applyFont="1" applyBorder="1"/>
    <xf numFmtId="0" fontId="13" fillId="0" borderId="0" xfId="95" applyFill="1" applyAlignment="1">
      <alignment horizontal="left"/>
    </xf>
    <xf numFmtId="4" fontId="7" fillId="0" borderId="5" xfId="0" applyNumberFormat="1" applyFont="1" applyFill="1" applyBorder="1" applyAlignment="1">
      <alignment horizontal="right"/>
    </xf>
    <xf numFmtId="0" fontId="11" fillId="0" borderId="0" xfId="0" applyFont="1" applyFill="1" applyAlignment="1">
      <alignment horizontal="left"/>
    </xf>
    <xf numFmtId="185" fontId="0" fillId="0" borderId="0" xfId="2" applyFont="1" applyFill="1"/>
    <xf numFmtId="4" fontId="7" fillId="0" borderId="10" xfId="0" applyNumberFormat="1" applyFont="1" applyBorder="1"/>
    <xf numFmtId="0" fontId="11" fillId="0" borderId="0" xfId="0" applyFont="1" applyFill="1" applyBorder="1" applyAlignment="1">
      <alignment horizontal="left"/>
    </xf>
    <xf numFmtId="0" fontId="11" fillId="0" borderId="0" xfId="95" applyFont="1" applyFill="1" applyBorder="1" applyAlignment="1">
      <alignment horizontal="left"/>
    </xf>
    <xf numFmtId="0" fontId="13" fillId="0" borderId="0" xfId="95" applyFill="1" applyBorder="1"/>
    <xf numFmtId="185" fontId="0" fillId="0" borderId="0" xfId="2" applyFont="1" applyFill="1" applyBorder="1"/>
    <xf numFmtId="0" fontId="13" fillId="0" borderId="0" xfId="95" applyFill="1"/>
    <xf numFmtId="0" fontId="4" fillId="0" borderId="0" xfId="96" applyFont="1" applyFill="1" applyBorder="1" applyAlignment="1">
      <alignment horizontal="left"/>
    </xf>
    <xf numFmtId="9" fontId="10" fillId="0" borderId="0" xfId="0" applyNumberFormat="1" applyFont="1"/>
    <xf numFmtId="4" fontId="7" fillId="0" borderId="17" xfId="2" applyNumberFormat="1" applyFont="1" applyFill="1" applyBorder="1" applyAlignment="1">
      <alignment horizontal="right"/>
    </xf>
    <xf numFmtId="0" fontId="7" fillId="0" borderId="0" xfId="0" applyFont="1" applyFill="1" applyAlignment="1">
      <alignment horizontal="center"/>
    </xf>
    <xf numFmtId="4" fontId="10" fillId="0" borderId="0" xfId="0" applyNumberFormat="1" applyFont="1" applyBorder="1"/>
    <xf numFmtId="4" fontId="10" fillId="0" borderId="0" xfId="0" applyNumberFormat="1" applyFont="1" applyBorder="1" applyAlignment="1">
      <alignment horizontal="right"/>
    </xf>
    <xf numFmtId="4" fontId="10" fillId="0" borderId="0" xfId="0" applyNumberFormat="1" applyFont="1" applyFill="1" applyBorder="1"/>
    <xf numFmtId="185" fontId="10" fillId="0" borderId="0" xfId="0" applyNumberFormat="1" applyFont="1" applyBorder="1"/>
    <xf numFmtId="185" fontId="0" fillId="0" borderId="0" xfId="2" applyFont="1" applyFill="1" applyBorder="1" applyProtection="1">
      <protection locked="0" hidden="1"/>
    </xf>
    <xf numFmtId="0" fontId="0" fillId="0" borderId="0" xfId="0" applyFill="1"/>
    <xf numFmtId="0" fontId="11" fillId="0" borderId="0" xfId="0" quotePrefix="1" applyFont="1" applyFill="1" applyAlignment="1">
      <alignment horizontal="left"/>
    </xf>
    <xf numFmtId="185" fontId="7" fillId="0" borderId="5" xfId="2" applyFont="1" applyFill="1" applyBorder="1"/>
    <xf numFmtId="4" fontId="7" fillId="0" borderId="5" xfId="0" applyNumberFormat="1" applyFont="1" applyFill="1" applyBorder="1"/>
    <xf numFmtId="4" fontId="11" fillId="0" borderId="0" xfId="0" applyNumberFormat="1" applyFont="1" applyFill="1" applyBorder="1" applyAlignment="1">
      <alignment horizontal="right"/>
    </xf>
    <xf numFmtId="0" fontId="4" fillId="0" borderId="0" xfId="95" applyFont="1" applyFill="1" applyBorder="1" applyAlignment="1">
      <alignment horizontal="left"/>
    </xf>
    <xf numFmtId="4" fontId="7" fillId="0" borderId="29" xfId="0" applyNumberFormat="1" applyFont="1" applyFill="1" applyBorder="1" applyAlignment="1">
      <alignment horizontal="right"/>
    </xf>
    <xf numFmtId="4" fontId="7" fillId="0" borderId="10" xfId="0" applyNumberFormat="1" applyFont="1" applyFill="1" applyBorder="1" applyAlignment="1">
      <alignment horizontal="right"/>
    </xf>
    <xf numFmtId="4" fontId="7" fillId="0" borderId="10" xfId="0" applyNumberFormat="1" applyFont="1" applyFill="1" applyBorder="1"/>
    <xf numFmtId="0" fontId="14" fillId="0" borderId="0" xfId="0" applyFont="1" applyFill="1" applyAlignment="1">
      <alignment vertical="top"/>
    </xf>
    <xf numFmtId="0" fontId="11" fillId="0" borderId="0" xfId="95" applyFont="1" applyFill="1" applyBorder="1" applyAlignment="1" applyProtection="1">
      <alignment horizontal="left"/>
      <protection locked="0" hidden="1"/>
    </xf>
    <xf numFmtId="0" fontId="14" fillId="0" borderId="0" xfId="0" quotePrefix="1" applyFont="1" applyFill="1" applyAlignment="1">
      <alignment vertical="top"/>
    </xf>
    <xf numFmtId="0" fontId="10" fillId="0" borderId="9" xfId="0" quotePrefix="1" applyFont="1" applyFill="1" applyBorder="1" applyAlignment="1">
      <alignment horizontal="left"/>
    </xf>
    <xf numFmtId="185" fontId="4" fillId="0" borderId="0" xfId="2" applyFont="1" applyFill="1" applyAlignment="1">
      <alignment horizontal="right"/>
    </xf>
    <xf numFmtId="0" fontId="18" fillId="0" borderId="0" xfId="0" quotePrefix="1" applyFont="1" applyFill="1" applyAlignment="1">
      <alignment vertical="top"/>
    </xf>
    <xf numFmtId="0" fontId="18" fillId="0" borderId="0" xfId="0" applyFont="1" applyFill="1" applyAlignment="1">
      <alignment vertical="top"/>
    </xf>
    <xf numFmtId="4" fontId="4" fillId="0" borderId="0" xfId="0" applyNumberFormat="1" applyFont="1" applyFill="1" applyAlignment="1">
      <alignment horizontal="right" vertical="top"/>
    </xf>
    <xf numFmtId="0" fontId="13" fillId="0" borderId="0" xfId="95" applyFill="1" applyProtection="1">
      <protection locked="0" hidden="1"/>
    </xf>
    <xf numFmtId="185" fontId="0" fillId="0" borderId="0" xfId="2" applyFont="1" applyFill="1" applyProtection="1">
      <protection locked="0" hidden="1"/>
    </xf>
    <xf numFmtId="4" fontId="15" fillId="0" borderId="0" xfId="0" applyNumberFormat="1" applyFont="1" applyFill="1" applyAlignment="1">
      <alignment horizontal="right" vertical="top"/>
    </xf>
    <xf numFmtId="4" fontId="14" fillId="0" borderId="0" xfId="0" applyNumberFormat="1" applyFont="1" applyFill="1" applyAlignment="1">
      <alignment horizontal="right" vertical="top"/>
    </xf>
    <xf numFmtId="0" fontId="11" fillId="0" borderId="0" xfId="0" applyFont="1" applyFill="1" applyAlignment="1"/>
    <xf numFmtId="0" fontId="19" fillId="0" borderId="0" xfId="0" applyFont="1" applyFill="1" applyAlignment="1">
      <alignment vertical="top"/>
    </xf>
    <xf numFmtId="4" fontId="7" fillId="0" borderId="32" xfId="2" applyNumberFormat="1" applyFont="1" applyFill="1" applyBorder="1"/>
    <xf numFmtId="185" fontId="20" fillId="0" borderId="0" xfId="2" applyFont="1" applyFill="1"/>
    <xf numFmtId="0" fontId="0" fillId="0" borderId="0" xfId="0" applyFill="1" applyProtection="1">
      <protection locked="0" hidden="1"/>
    </xf>
    <xf numFmtId="193" fontId="0" fillId="0" borderId="0" xfId="0" applyNumberFormat="1" applyFill="1"/>
    <xf numFmtId="185" fontId="0" fillId="0" borderId="0" xfId="0" applyNumberFormat="1" applyFill="1"/>
    <xf numFmtId="4" fontId="7" fillId="0" borderId="0" xfId="2" applyNumberFormat="1" applyFont="1" applyFill="1" applyBorder="1"/>
    <xf numFmtId="185" fontId="20" fillId="0" borderId="0" xfId="2" applyFont="1" applyFill="1" applyBorder="1"/>
    <xf numFmtId="0" fontId="6" fillId="0" borderId="0" xfId="0" applyFont="1" applyFill="1"/>
    <xf numFmtId="0" fontId="7" fillId="0" borderId="1" xfId="0" applyFont="1" applyFill="1" applyBorder="1"/>
    <xf numFmtId="0" fontId="7" fillId="0" borderId="2" xfId="0" applyFont="1" applyFill="1" applyBorder="1"/>
    <xf numFmtId="0" fontId="7" fillId="0" borderId="3" xfId="0" applyFont="1" applyFill="1" applyBorder="1" applyAlignment="1">
      <alignment horizontal="center"/>
    </xf>
    <xf numFmtId="0" fontId="7" fillId="0" borderId="33" xfId="0" applyFont="1" applyFill="1" applyBorder="1" applyAlignment="1">
      <alignment horizontal="center"/>
    </xf>
    <xf numFmtId="0" fontId="7" fillId="0" borderId="34" xfId="0" applyFont="1" applyFill="1" applyBorder="1" applyAlignment="1">
      <alignment horizontal="center"/>
    </xf>
    <xf numFmtId="0" fontId="7" fillId="0" borderId="4" xfId="0" applyFont="1" applyFill="1" applyBorder="1"/>
    <xf numFmtId="0" fontId="7" fillId="0" borderId="0" xfId="0" applyFont="1" applyFill="1" applyBorder="1"/>
    <xf numFmtId="0" fontId="7" fillId="0" borderId="5" xfId="0" applyFont="1" applyFill="1" applyBorder="1" applyAlignment="1">
      <alignment horizontal="center"/>
    </xf>
    <xf numFmtId="0" fontId="7" fillId="0" borderId="29" xfId="0" applyFont="1" applyFill="1" applyBorder="1" applyAlignment="1">
      <alignment horizontal="center"/>
    </xf>
    <xf numFmtId="0" fontId="7" fillId="0" borderId="16" xfId="0" applyFont="1" applyFill="1" applyBorder="1" applyAlignment="1">
      <alignment horizontal="center"/>
    </xf>
    <xf numFmtId="0" fontId="7" fillId="0" borderId="24" xfId="0" applyFont="1" applyFill="1" applyBorder="1"/>
    <xf numFmtId="0" fontId="7" fillId="0" borderId="25" xfId="0" applyFont="1" applyFill="1" applyBorder="1"/>
    <xf numFmtId="14" fontId="7" fillId="0" borderId="6" xfId="0" applyNumberFormat="1" applyFont="1" applyFill="1" applyBorder="1" applyAlignment="1">
      <alignment horizontal="center"/>
    </xf>
    <xf numFmtId="0" fontId="7" fillId="0" borderId="30" xfId="0" applyFont="1" applyFill="1" applyBorder="1" applyAlignment="1">
      <alignment horizontal="center"/>
    </xf>
    <xf numFmtId="14" fontId="7" fillId="0" borderId="26" xfId="0" applyNumberFormat="1" applyFont="1" applyFill="1" applyBorder="1" applyAlignment="1">
      <alignment horizontal="center"/>
    </xf>
    <xf numFmtId="0" fontId="7" fillId="0" borderId="14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4" fontId="7" fillId="0" borderId="16" xfId="0" applyNumberFormat="1" applyFont="1" applyFill="1" applyBorder="1" applyAlignment="1">
      <alignment horizontal="center"/>
    </xf>
    <xf numFmtId="0" fontId="7" fillId="0" borderId="35" xfId="0" applyFont="1" applyFill="1" applyBorder="1"/>
    <xf numFmtId="0" fontId="7" fillId="0" borderId="32" xfId="0" applyFont="1" applyFill="1" applyBorder="1"/>
    <xf numFmtId="4" fontId="7" fillId="0" borderId="36" xfId="2" applyNumberFormat="1" applyFont="1" applyFill="1" applyBorder="1"/>
    <xf numFmtId="4" fontId="7" fillId="0" borderId="0" xfId="0" applyNumberFormat="1" applyFont="1" applyFill="1" applyAlignment="1">
      <alignment horizontal="center"/>
    </xf>
    <xf numFmtId="4" fontId="7" fillId="0" borderId="0" xfId="0" applyNumberFormat="1" applyFont="1" applyFill="1" applyBorder="1"/>
    <xf numFmtId="4" fontId="7" fillId="0" borderId="11" xfId="0" applyNumberFormat="1" applyFont="1" applyFill="1" applyBorder="1"/>
    <xf numFmtId="0" fontId="7" fillId="0" borderId="16" xfId="0" applyFont="1" applyFill="1" applyBorder="1"/>
    <xf numFmtId="4" fontId="7" fillId="0" borderId="11" xfId="2" applyNumberFormat="1" applyFont="1" applyFill="1" applyBorder="1"/>
    <xf numFmtId="0" fontId="7" fillId="0" borderId="11" xfId="0" applyFont="1" applyFill="1" applyBorder="1"/>
    <xf numFmtId="4" fontId="7" fillId="0" borderId="37" xfId="2" applyNumberFormat="1" applyFont="1" applyFill="1" applyBorder="1"/>
    <xf numFmtId="0" fontId="21" fillId="0" borderId="0" xfId="0" applyFont="1" applyFill="1" applyAlignment="1">
      <alignment vertical="top"/>
    </xf>
    <xf numFmtId="0" fontId="22" fillId="0" borderId="0" xfId="0" applyFont="1" applyFill="1" applyAlignment="1">
      <alignment vertical="top"/>
    </xf>
    <xf numFmtId="4" fontId="22" fillId="0" borderId="0" xfId="0" applyNumberFormat="1" applyFont="1" applyFill="1" applyAlignment="1">
      <alignment horizontal="right" vertical="top"/>
    </xf>
    <xf numFmtId="0" fontId="22" fillId="0" borderId="0" xfId="0" applyNumberFormat="1" applyFont="1" applyFill="1" applyAlignment="1">
      <alignment horizontal="right" vertical="top"/>
    </xf>
    <xf numFmtId="0" fontId="25" fillId="0" borderId="0" xfId="0" applyFont="1" applyFill="1" applyAlignment="1">
      <alignment vertical="top"/>
    </xf>
    <xf numFmtId="0" fontId="25" fillId="0" borderId="0" xfId="0" applyNumberFormat="1" applyFont="1" applyFill="1" applyAlignment="1">
      <alignment horizontal="right" vertical="top"/>
    </xf>
    <xf numFmtId="4" fontId="24" fillId="0" borderId="0" xfId="0" applyNumberFormat="1" applyFont="1" applyFill="1" applyAlignment="1">
      <alignment horizontal="right" vertical="top"/>
    </xf>
    <xf numFmtId="193" fontId="0" fillId="0" borderId="0" xfId="3" applyNumberFormat="1" applyFont="1" applyFill="1"/>
    <xf numFmtId="4" fontId="26" fillId="0" borderId="0" xfId="0" applyNumberFormat="1" applyFont="1" applyFill="1" applyAlignment="1">
      <alignment horizontal="right" vertical="top"/>
    </xf>
    <xf numFmtId="0" fontId="62" fillId="0" borderId="0" xfId="39" applyFill="1"/>
    <xf numFmtId="193" fontId="62" fillId="0" borderId="0" xfId="26" applyFont="1" applyFill="1"/>
    <xf numFmtId="193" fontId="0" fillId="0" borderId="0" xfId="17" applyFont="1" applyFill="1"/>
    <xf numFmtId="0" fontId="29" fillId="0" borderId="0" xfId="0" applyFont="1" applyFill="1" applyAlignment="1">
      <alignment vertical="top"/>
    </xf>
    <xf numFmtId="4" fontId="29" fillId="0" borderId="0" xfId="0" applyNumberFormat="1" applyFont="1" applyAlignment="1">
      <alignment horizontal="right" vertical="top"/>
    </xf>
    <xf numFmtId="4" fontId="0" fillId="0" borderId="0" xfId="0" applyNumberFormat="1"/>
    <xf numFmtId="0" fontId="3" fillId="0" borderId="0" xfId="0" applyFont="1" applyFill="1"/>
    <xf numFmtId="0" fontId="7" fillId="0" borderId="33" xfId="0" applyFont="1" applyFill="1" applyBorder="1"/>
    <xf numFmtId="14" fontId="7" fillId="0" borderId="29" xfId="0" applyNumberFormat="1" applyFont="1" applyFill="1" applyBorder="1" applyAlignment="1">
      <alignment horizontal="center"/>
    </xf>
    <xf numFmtId="0" fontId="7" fillId="0" borderId="6" xfId="0" applyFont="1" applyFill="1" applyBorder="1"/>
    <xf numFmtId="0" fontId="7" fillId="0" borderId="29" xfId="0" applyFont="1" applyFill="1" applyBorder="1"/>
    <xf numFmtId="4" fontId="7" fillId="0" borderId="29" xfId="2" applyNumberFormat="1" applyFont="1" applyFill="1" applyBorder="1"/>
    <xf numFmtId="4" fontId="7" fillId="0" borderId="30" xfId="2" applyNumberFormat="1" applyFont="1" applyFill="1" applyBorder="1"/>
    <xf numFmtId="4" fontId="7" fillId="0" borderId="38" xfId="2" applyNumberFormat="1" applyFont="1" applyFill="1" applyBorder="1"/>
    <xf numFmtId="2" fontId="7" fillId="0" borderId="0" xfId="0" applyNumberFormat="1" applyFont="1" applyFill="1"/>
    <xf numFmtId="185" fontId="7" fillId="0" borderId="29" xfId="2" applyFont="1" applyFill="1" applyBorder="1"/>
    <xf numFmtId="0" fontId="7" fillId="0" borderId="20" xfId="0" applyFont="1" applyFill="1" applyBorder="1"/>
    <xf numFmtId="0" fontId="7" fillId="0" borderId="22" xfId="0" applyFont="1" applyFill="1" applyBorder="1"/>
    <xf numFmtId="185" fontId="7" fillId="0" borderId="39" xfId="2" applyFont="1" applyFill="1" applyBorder="1"/>
    <xf numFmtId="49" fontId="9" fillId="0" borderId="0" xfId="0" applyNumberFormat="1" applyFont="1" applyFill="1" applyBorder="1"/>
    <xf numFmtId="4" fontId="30" fillId="0" borderId="0" xfId="0" applyNumberFormat="1" applyFont="1" applyFill="1" applyAlignment="1">
      <alignment horizontal="right" vertical="top"/>
    </xf>
    <xf numFmtId="4" fontId="2" fillId="0" borderId="5" xfId="0" applyNumberFormat="1" applyFont="1" applyBorder="1"/>
    <xf numFmtId="0" fontId="31" fillId="0" borderId="0" xfId="0" applyFont="1" applyFill="1" applyAlignment="1">
      <alignment vertical="top"/>
    </xf>
    <xf numFmtId="4" fontId="33" fillId="0" borderId="0" xfId="0" applyNumberFormat="1" applyFont="1" applyFill="1" applyAlignment="1">
      <alignment horizontal="right" vertical="top"/>
    </xf>
    <xf numFmtId="0" fontId="33" fillId="0" borderId="0" xfId="0" applyFont="1" applyFill="1" applyAlignment="1">
      <alignment vertical="top"/>
    </xf>
    <xf numFmtId="0" fontId="32" fillId="0" borderId="0" xfId="0" applyFont="1" applyFill="1" applyAlignment="1">
      <alignment vertical="top"/>
    </xf>
    <xf numFmtId="0" fontId="7" fillId="0" borderId="33" xfId="0" applyFont="1" applyBorder="1"/>
    <xf numFmtId="14" fontId="7" fillId="0" borderId="2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28" xfId="0" applyFont="1" applyBorder="1"/>
    <xf numFmtId="4" fontId="7" fillId="0" borderId="29" xfId="2" applyNumberFormat="1" applyFont="1" applyBorder="1"/>
    <xf numFmtId="4" fontId="7" fillId="0" borderId="29" xfId="0" applyNumberFormat="1" applyFont="1" applyBorder="1"/>
    <xf numFmtId="0" fontId="7" fillId="0" borderId="30" xfId="0" applyFont="1" applyBorder="1"/>
    <xf numFmtId="4" fontId="7" fillId="0" borderId="38" xfId="2" applyNumberFormat="1" applyFont="1" applyBorder="1"/>
    <xf numFmtId="4" fontId="7" fillId="0" borderId="30" xfId="2" applyNumberFormat="1" applyFont="1" applyBorder="1"/>
    <xf numFmtId="4" fontId="7" fillId="0" borderId="39" xfId="2" applyNumberFormat="1" applyFont="1" applyBorder="1"/>
    <xf numFmtId="4" fontId="0" fillId="0" borderId="0" xfId="0" applyNumberFormat="1" applyFill="1"/>
    <xf numFmtId="0" fontId="4" fillId="0" borderId="0" xfId="95" applyFont="1" applyFill="1" applyAlignment="1">
      <alignment horizontal="left"/>
    </xf>
    <xf numFmtId="4" fontId="35" fillId="0" borderId="0" xfId="0" applyNumberFormat="1" applyFont="1" applyFill="1" applyAlignment="1">
      <alignment horizontal="right" vertical="top"/>
    </xf>
    <xf numFmtId="4" fontId="36" fillId="0" borderId="0" xfId="0" applyNumberFormat="1" applyFont="1" applyFill="1" applyAlignment="1">
      <alignment horizontal="right" vertical="top"/>
    </xf>
    <xf numFmtId="4" fontId="37" fillId="0" borderId="0" xfId="0" applyNumberFormat="1" applyFont="1" applyFill="1" applyAlignment="1">
      <alignment horizontal="right" vertical="top"/>
    </xf>
    <xf numFmtId="0" fontId="37" fillId="0" borderId="0" xfId="0" applyFont="1" applyFill="1" applyAlignment="1">
      <alignment vertical="top"/>
    </xf>
    <xf numFmtId="185" fontId="4" fillId="0" borderId="0" xfId="2" applyFont="1" applyFill="1" applyAlignment="1">
      <alignment horizontal="right" vertical="top"/>
    </xf>
    <xf numFmtId="0" fontId="35" fillId="0" borderId="0" xfId="0" applyNumberFormat="1" applyFont="1" applyFill="1" applyAlignment="1">
      <alignment horizontal="right" vertical="top"/>
    </xf>
    <xf numFmtId="0" fontId="35" fillId="0" borderId="0" xfId="0" applyFont="1" applyFill="1" applyAlignment="1">
      <alignment vertical="top"/>
    </xf>
    <xf numFmtId="4" fontId="38" fillId="0" borderId="0" xfId="0" applyNumberFormat="1" applyFont="1" applyAlignment="1">
      <alignment horizontal="right" vertical="top"/>
    </xf>
    <xf numFmtId="0" fontId="38" fillId="0" borderId="0" xfId="0" applyFont="1" applyFill="1" applyAlignment="1">
      <alignment vertical="top"/>
    </xf>
    <xf numFmtId="0" fontId="4" fillId="0" borderId="0" xfId="95" applyFont="1" applyFill="1" applyBorder="1" applyAlignment="1" applyProtection="1">
      <alignment horizontal="left"/>
      <protection locked="0" hidden="1"/>
    </xf>
    <xf numFmtId="0" fontId="39" fillId="0" borderId="0" xfId="0" applyFont="1" applyFill="1" applyAlignment="1">
      <alignment vertical="top"/>
    </xf>
    <xf numFmtId="0" fontId="41" fillId="0" borderId="0" xfId="0" applyNumberFormat="1" applyFont="1" applyFill="1" applyAlignment="1">
      <alignment horizontal="right" vertical="top"/>
    </xf>
    <xf numFmtId="14" fontId="8" fillId="0" borderId="0" xfId="0" applyNumberFormat="1" applyFont="1" applyFill="1" applyBorder="1" applyAlignment="1">
      <alignment horizontal="center"/>
    </xf>
    <xf numFmtId="0" fontId="8" fillId="0" borderId="0" xfId="0" applyFont="1" applyFill="1"/>
    <xf numFmtId="0" fontId="7" fillId="0" borderId="0" xfId="0" quotePrefix="1" applyFont="1" applyFill="1"/>
    <xf numFmtId="4" fontId="7" fillId="0" borderId="0" xfId="2" applyNumberFormat="1" applyFont="1" applyFill="1"/>
    <xf numFmtId="0" fontId="40" fillId="0" borderId="0" xfId="0" quotePrefix="1" applyFont="1" applyFill="1" applyAlignment="1">
      <alignment vertical="top"/>
    </xf>
    <xf numFmtId="4" fontId="7" fillId="0" borderId="32" xfId="0" applyNumberFormat="1" applyFont="1" applyFill="1" applyBorder="1"/>
    <xf numFmtId="0" fontId="43" fillId="0" borderId="0" xfId="40" applyFill="1">
      <alignment vertical="top"/>
    </xf>
    <xf numFmtId="0" fontId="4" fillId="0" borderId="0" xfId="0" quotePrefix="1" applyFont="1" applyFill="1" applyAlignment="1">
      <alignment vertical="top"/>
    </xf>
    <xf numFmtId="0" fontId="63" fillId="0" borderId="9" xfId="0" applyFont="1" applyBorder="1"/>
    <xf numFmtId="185" fontId="0" fillId="0" borderId="40" xfId="2" applyFont="1" applyFill="1" applyBorder="1"/>
    <xf numFmtId="4" fontId="4" fillId="0" borderId="40" xfId="0" applyNumberFormat="1" applyFont="1" applyFill="1" applyBorder="1" applyAlignment="1">
      <alignment horizontal="right" vertical="top"/>
    </xf>
    <xf numFmtId="185" fontId="4" fillId="0" borderId="40" xfId="2" applyFont="1" applyFill="1" applyBorder="1" applyAlignment="1">
      <alignment horizontal="right" vertical="top"/>
    </xf>
    <xf numFmtId="185" fontId="14" fillId="0" borderId="40" xfId="2" applyFont="1" applyFill="1" applyBorder="1" applyAlignment="1">
      <alignment horizontal="right" vertical="top"/>
    </xf>
    <xf numFmtId="185" fontId="13" fillId="0" borderId="41" xfId="2" applyFont="1" applyFill="1" applyBorder="1" applyAlignment="1">
      <alignment horizontal="left"/>
    </xf>
    <xf numFmtId="185" fontId="42" fillId="0" borderId="0" xfId="2" applyFont="1" applyFill="1" applyBorder="1"/>
    <xf numFmtId="185" fontId="42" fillId="0" borderId="0" xfId="2" applyFont="1" applyFill="1"/>
    <xf numFmtId="0" fontId="46" fillId="0" borderId="0" xfId="0" applyFont="1" applyFill="1" applyAlignment="1">
      <alignment horizontal="left" vertical="top"/>
    </xf>
    <xf numFmtId="0" fontId="45" fillId="0" borderId="0" xfId="40" applyFont="1" applyFill="1" applyAlignment="1">
      <alignment vertical="top"/>
    </xf>
    <xf numFmtId="0" fontId="49" fillId="0" borderId="0" xfId="0" applyFont="1" applyFill="1" applyAlignment="1">
      <alignment vertical="top"/>
    </xf>
    <xf numFmtId="0" fontId="45" fillId="0" borderId="0" xfId="0" applyFont="1" applyFill="1" applyAlignment="1">
      <alignment vertical="top"/>
    </xf>
    <xf numFmtId="0" fontId="4" fillId="0" borderId="0" xfId="0" applyFont="1" applyFill="1" applyAlignment="1">
      <alignment horizontal="left"/>
    </xf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vertical="top"/>
    </xf>
    <xf numFmtId="0" fontId="4" fillId="0" borderId="0" xfId="0" applyFont="1" applyFill="1" applyAlignment="1"/>
    <xf numFmtId="0" fontId="4" fillId="0" borderId="0" xfId="0" applyFont="1" applyFill="1" applyAlignment="1">
      <alignment horizontal="left" vertical="top"/>
    </xf>
    <xf numFmtId="0" fontId="9" fillId="0" borderId="0" xfId="0" applyFont="1" applyFill="1" applyAlignment="1">
      <alignment horizontal="left"/>
    </xf>
    <xf numFmtId="0" fontId="48" fillId="0" borderId="0" xfId="0" applyFont="1" applyFill="1" applyAlignment="1">
      <alignment vertical="top"/>
    </xf>
    <xf numFmtId="212" fontId="48" fillId="0" borderId="0" xfId="0" applyNumberFormat="1" applyFont="1" applyFill="1" applyAlignment="1">
      <alignment horizontal="right" vertical="top"/>
    </xf>
    <xf numFmtId="212" fontId="48" fillId="0" borderId="0" xfId="0" applyNumberFormat="1" applyFont="1" applyFill="1" applyAlignment="1">
      <alignment vertical="top"/>
    </xf>
    <xf numFmtId="0" fontId="48" fillId="0" borderId="0" xfId="0" applyFont="1" applyFill="1" applyAlignment="1">
      <alignment horizontal="left" vertical="top"/>
    </xf>
    <xf numFmtId="0" fontId="44" fillId="0" borderId="0" xfId="40" applyFont="1" applyFill="1" applyAlignment="1">
      <alignment vertical="top"/>
    </xf>
    <xf numFmtId="0" fontId="50" fillId="0" borderId="0" xfId="0" applyFont="1" applyFill="1" applyAlignment="1">
      <alignment vertical="top"/>
    </xf>
    <xf numFmtId="4" fontId="43" fillId="0" borderId="0" xfId="40" applyNumberFormat="1" applyFill="1">
      <alignment vertical="top"/>
    </xf>
    <xf numFmtId="212" fontId="4" fillId="0" borderId="0" xfId="0" applyNumberFormat="1" applyFont="1" applyFill="1" applyAlignment="1">
      <alignment horizontal="right" vertical="top"/>
    </xf>
    <xf numFmtId="212" fontId="43" fillId="0" borderId="0" xfId="40" applyNumberFormat="1" applyFill="1">
      <alignment vertical="top"/>
    </xf>
    <xf numFmtId="0" fontId="9" fillId="0" borderId="0" xfId="40" applyFont="1" applyFill="1">
      <alignment vertical="top"/>
    </xf>
    <xf numFmtId="4" fontId="7" fillId="0" borderId="19" xfId="0" applyNumberFormat="1" applyFont="1" applyFill="1" applyBorder="1"/>
    <xf numFmtId="0" fontId="51" fillId="0" borderId="0" xfId="0" applyFont="1" applyAlignment="1">
      <alignment vertical="top"/>
    </xf>
    <xf numFmtId="0" fontId="4" fillId="0" borderId="0" xfId="0" applyFont="1" applyAlignment="1">
      <alignment vertical="top"/>
    </xf>
    <xf numFmtId="212" fontId="15" fillId="0" borderId="0" xfId="0" applyNumberFormat="1" applyFont="1" applyAlignment="1">
      <alignment horizontal="right" vertical="top"/>
    </xf>
    <xf numFmtId="4" fontId="64" fillId="0" borderId="0" xfId="0" applyNumberFormat="1" applyFont="1" applyFill="1"/>
    <xf numFmtId="185" fontId="64" fillId="0" borderId="0" xfId="2" applyFont="1"/>
    <xf numFmtId="0" fontId="52" fillId="0" borderId="0" xfId="0" applyFont="1" applyAlignment="1">
      <alignment vertical="top"/>
    </xf>
    <xf numFmtId="185" fontId="54" fillId="0" borderId="40" xfId="2" applyFont="1" applyFill="1" applyBorder="1"/>
    <xf numFmtId="0" fontId="0" fillId="0" borderId="42" xfId="0" applyFill="1" applyBorder="1"/>
    <xf numFmtId="0" fontId="0" fillId="0" borderId="43" xfId="0" applyFill="1" applyBorder="1"/>
    <xf numFmtId="185" fontId="0" fillId="0" borderId="43" xfId="2" applyFont="1" applyFill="1" applyBorder="1"/>
    <xf numFmtId="185" fontId="2" fillId="0" borderId="0" xfId="2" applyFont="1" applyFill="1"/>
    <xf numFmtId="0" fontId="13" fillId="0" borderId="25" xfId="95" applyFill="1" applyBorder="1"/>
    <xf numFmtId="0" fontId="4" fillId="0" borderId="25" xfId="0" applyFont="1" applyFill="1" applyBorder="1" applyAlignment="1">
      <alignment horizontal="left"/>
    </xf>
    <xf numFmtId="185" fontId="4" fillId="0" borderId="25" xfId="2" applyFont="1" applyFill="1" applyBorder="1" applyAlignment="1">
      <alignment horizontal="right" vertical="top"/>
    </xf>
    <xf numFmtId="4" fontId="19" fillId="0" borderId="25" xfId="0" applyNumberFormat="1" applyFont="1" applyFill="1" applyBorder="1" applyAlignment="1">
      <alignment horizontal="right" vertical="top"/>
    </xf>
    <xf numFmtId="185" fontId="0" fillId="0" borderId="25" xfId="2" applyFont="1" applyFill="1" applyBorder="1"/>
    <xf numFmtId="0" fontId="4" fillId="0" borderId="25" xfId="0" applyFont="1" applyFill="1" applyBorder="1" applyAlignment="1">
      <alignment vertical="top"/>
    </xf>
    <xf numFmtId="0" fontId="0" fillId="0" borderId="25" xfId="0" applyFill="1" applyBorder="1"/>
    <xf numFmtId="185" fontId="7" fillId="0" borderId="0" xfId="2" applyFont="1" applyFill="1"/>
    <xf numFmtId="4" fontId="64" fillId="0" borderId="0" xfId="0" applyNumberFormat="1" applyFont="1"/>
    <xf numFmtId="4" fontId="41" fillId="0" borderId="40" xfId="0" applyNumberFormat="1" applyFont="1" applyFill="1" applyBorder="1" applyAlignment="1">
      <alignment horizontal="right" vertical="top"/>
    </xf>
    <xf numFmtId="0" fontId="52" fillId="0" borderId="0" xfId="0" applyFont="1" applyFill="1" applyAlignment="1">
      <alignment vertical="top"/>
    </xf>
    <xf numFmtId="4" fontId="39" fillId="0" borderId="40" xfId="0" applyNumberFormat="1" applyFont="1" applyFill="1" applyBorder="1" applyAlignment="1">
      <alignment horizontal="right" vertical="top"/>
    </xf>
    <xf numFmtId="212" fontId="49" fillId="0" borderId="40" xfId="0" applyNumberFormat="1" applyFont="1" applyFill="1" applyBorder="1" applyAlignment="1">
      <alignment horizontal="right" vertical="top"/>
    </xf>
    <xf numFmtId="185" fontId="40" fillId="0" borderId="40" xfId="2" applyFont="1" applyFill="1" applyBorder="1" applyAlignment="1">
      <alignment horizontal="right" vertical="top"/>
    </xf>
    <xf numFmtId="0" fontId="51" fillId="0" borderId="0" xfId="0" applyFont="1" applyFill="1" applyAlignment="1">
      <alignment vertical="top"/>
    </xf>
    <xf numFmtId="185" fontId="56" fillId="0" borderId="0" xfId="2" applyFont="1" applyFill="1" applyBorder="1"/>
    <xf numFmtId="0" fontId="11" fillId="0" borderId="25" xfId="0" applyFont="1" applyFill="1" applyBorder="1" applyAlignment="1">
      <alignment horizontal="left"/>
    </xf>
    <xf numFmtId="212" fontId="4" fillId="0" borderId="0" xfId="0" applyNumberFormat="1" applyFont="1" applyFill="1" applyBorder="1" applyAlignment="1">
      <alignment horizontal="right" vertical="top"/>
    </xf>
    <xf numFmtId="0" fontId="4" fillId="0" borderId="0" xfId="0" applyNumberFormat="1" applyFont="1" applyFill="1" applyAlignment="1">
      <alignment horizontal="right" vertical="top"/>
    </xf>
    <xf numFmtId="185" fontId="7" fillId="0" borderId="0" xfId="2" applyFont="1" applyFill="1" applyBorder="1"/>
    <xf numFmtId="185" fontId="65" fillId="0" borderId="44" xfId="2" applyFont="1" applyFill="1" applyBorder="1"/>
    <xf numFmtId="185" fontId="4" fillId="2" borderId="40" xfId="2" applyFont="1" applyFill="1" applyBorder="1" applyAlignment="1">
      <alignment horizontal="right" vertical="top"/>
    </xf>
    <xf numFmtId="0" fontId="4" fillId="3" borderId="0" xfId="0" applyFont="1" applyFill="1" applyBorder="1" applyAlignment="1">
      <alignment horizontal="left"/>
    </xf>
    <xf numFmtId="0" fontId="49" fillId="3" borderId="0" xfId="0" applyFont="1" applyFill="1" applyAlignment="1">
      <alignment vertical="top"/>
    </xf>
    <xf numFmtId="185" fontId="4" fillId="3" borderId="0" xfId="2" applyFont="1" applyFill="1" applyAlignment="1">
      <alignment horizontal="right" vertical="top"/>
    </xf>
    <xf numFmtId="185" fontId="4" fillId="3" borderId="40" xfId="2" applyFont="1" applyFill="1" applyBorder="1" applyAlignment="1">
      <alignment horizontal="right" vertical="top"/>
    </xf>
    <xf numFmtId="0" fontId="11" fillId="4" borderId="0" xfId="0" applyFont="1" applyFill="1" applyAlignment="1">
      <alignment horizontal="left"/>
    </xf>
    <xf numFmtId="49" fontId="9" fillId="4" borderId="0" xfId="0" applyNumberFormat="1" applyFont="1" applyFill="1" applyBorder="1"/>
    <xf numFmtId="185" fontId="4" fillId="4" borderId="0" xfId="2" applyFont="1" applyFill="1" applyAlignment="1">
      <alignment horizontal="right" vertical="top"/>
    </xf>
    <xf numFmtId="0" fontId="4" fillId="0" borderId="0" xfId="96" applyFont="1" applyFill="1" applyAlignment="1">
      <alignment horizontal="left"/>
    </xf>
    <xf numFmtId="185" fontId="54" fillId="0" borderId="0" xfId="2" applyFont="1" applyFill="1"/>
    <xf numFmtId="4" fontId="41" fillId="5" borderId="40" xfId="0" applyNumberFormat="1" applyFont="1" applyFill="1" applyBorder="1" applyAlignment="1">
      <alignment horizontal="right" vertical="top"/>
    </xf>
    <xf numFmtId="0" fontId="57" fillId="0" borderId="0" xfId="95" applyFont="1" applyFill="1" applyBorder="1" applyAlignment="1">
      <alignment horizontal="left"/>
    </xf>
    <xf numFmtId="4" fontId="57" fillId="0" borderId="0" xfId="0" applyNumberFormat="1" applyFont="1" applyFill="1" applyAlignment="1">
      <alignment horizontal="right" vertical="top"/>
    </xf>
    <xf numFmtId="185" fontId="57" fillId="0" borderId="0" xfId="2" applyFont="1" applyFill="1" applyAlignment="1">
      <alignment horizontal="right" vertical="top"/>
    </xf>
    <xf numFmtId="0" fontId="57" fillId="0" borderId="0" xfId="0" applyFont="1" applyFill="1" applyAlignment="1">
      <alignment vertical="top"/>
    </xf>
    <xf numFmtId="0" fontId="57" fillId="0" borderId="0" xfId="0" applyFont="1" applyFill="1" applyAlignment="1">
      <alignment horizontal="left"/>
    </xf>
    <xf numFmtId="4" fontId="10" fillId="0" borderId="29" xfId="0" applyNumberFormat="1" applyFont="1" applyFill="1" applyBorder="1" applyAlignment="1">
      <alignment horizontal="right"/>
    </xf>
    <xf numFmtId="4" fontId="10" fillId="0" borderId="0" xfId="0" applyNumberFormat="1" applyFont="1" applyFill="1"/>
    <xf numFmtId="0" fontId="10" fillId="0" borderId="0" xfId="0" applyFont="1" applyFill="1"/>
    <xf numFmtId="0" fontId="52" fillId="6" borderId="0" xfId="0" applyFont="1" applyFill="1" applyAlignment="1">
      <alignment horizontal="center" vertical="top"/>
    </xf>
    <xf numFmtId="0" fontId="43" fillId="6" borderId="0" xfId="40" applyFill="1" applyAlignment="1">
      <alignment horizontal="center" vertical="top"/>
    </xf>
    <xf numFmtId="212" fontId="15" fillId="6" borderId="0" xfId="0" applyNumberFormat="1" applyFont="1" applyFill="1" applyAlignment="1">
      <alignment horizontal="center" vertical="top"/>
    </xf>
    <xf numFmtId="0" fontId="4" fillId="0" borderId="0" xfId="40" applyFont="1" applyFill="1" applyAlignment="1">
      <alignment horizontal="center" vertical="top"/>
    </xf>
    <xf numFmtId="0" fontId="15" fillId="0" borderId="0" xfId="40" applyFont="1" applyFill="1" applyAlignment="1">
      <alignment horizontal="center" vertical="top"/>
    </xf>
    <xf numFmtId="0" fontId="15" fillId="0" borderId="25" xfId="40" applyFont="1" applyFill="1" applyBorder="1" applyAlignment="1">
      <alignment horizontal="center" vertical="top"/>
    </xf>
    <xf numFmtId="212" fontId="4" fillId="0" borderId="40" xfId="0" applyNumberFormat="1" applyFont="1" applyFill="1" applyBorder="1" applyAlignment="1">
      <alignment horizontal="right" vertical="top"/>
    </xf>
    <xf numFmtId="0" fontId="43" fillId="0" borderId="0" xfId="40" applyFill="1" applyBorder="1">
      <alignment vertical="top"/>
    </xf>
    <xf numFmtId="212" fontId="51" fillId="0" borderId="0" xfId="0" applyNumberFormat="1" applyFont="1" applyFill="1" applyBorder="1" applyAlignment="1">
      <alignment horizontal="right" vertical="top"/>
    </xf>
    <xf numFmtId="212" fontId="49" fillId="0" borderId="0" xfId="0" applyNumberFormat="1" applyFont="1" applyFill="1" applyBorder="1" applyAlignment="1">
      <alignment horizontal="right" vertical="top"/>
    </xf>
    <xf numFmtId="212" fontId="48" fillId="0" borderId="0" xfId="0" applyNumberFormat="1" applyFont="1" applyFill="1" applyBorder="1" applyAlignment="1">
      <alignment horizontal="right" vertical="top"/>
    </xf>
    <xf numFmtId="212" fontId="15" fillId="0" borderId="0" xfId="0" applyNumberFormat="1" applyFont="1" applyFill="1" applyBorder="1" applyAlignment="1">
      <alignment horizontal="right" vertical="top"/>
    </xf>
    <xf numFmtId="0" fontId="25" fillId="0" borderId="0" xfId="0" applyFont="1" applyFill="1" applyAlignment="1"/>
    <xf numFmtId="0" fontId="52" fillId="0" borderId="0" xfId="0" applyFont="1" applyFill="1" applyAlignment="1"/>
    <xf numFmtId="0" fontId="40" fillId="0" borderId="0" xfId="0" applyFont="1" applyFill="1" applyAlignment="1"/>
    <xf numFmtId="0" fontId="37" fillId="0" borderId="0" xfId="0" applyFont="1" applyFill="1" applyAlignment="1"/>
    <xf numFmtId="185" fontId="56" fillId="0" borderId="0" xfId="2" applyFont="1" applyFill="1" applyAlignment="1">
      <alignment horizontal="center"/>
    </xf>
    <xf numFmtId="185" fontId="56" fillId="0" borderId="0" xfId="2" applyFont="1" applyFill="1" applyAlignment="1" applyProtection="1">
      <alignment horizontal="center"/>
      <protection locked="0" hidden="1"/>
    </xf>
    <xf numFmtId="185" fontId="56" fillId="0" borderId="0" xfId="2" applyFont="1" applyFill="1" applyBorder="1" applyAlignment="1">
      <alignment horizontal="center"/>
    </xf>
    <xf numFmtId="4" fontId="53" fillId="0" borderId="0" xfId="0" applyNumberFormat="1" applyFont="1" applyFill="1" applyAlignment="1">
      <alignment horizontal="center" vertical="top"/>
    </xf>
    <xf numFmtId="171" fontId="53" fillId="0" borderId="0" xfId="0" applyNumberFormat="1" applyFont="1" applyFill="1" applyAlignment="1">
      <alignment horizontal="center" vertical="top"/>
    </xf>
    <xf numFmtId="0" fontId="53" fillId="0" borderId="0" xfId="0" applyFont="1" applyFill="1" applyAlignment="1">
      <alignment horizontal="center" vertical="top"/>
    </xf>
    <xf numFmtId="185" fontId="56" fillId="0" borderId="25" xfId="2" applyFont="1" applyFill="1" applyBorder="1" applyAlignment="1">
      <alignment horizontal="center"/>
    </xf>
    <xf numFmtId="4" fontId="53" fillId="0" borderId="0" xfId="37" applyNumberFormat="1" applyFont="1" applyFill="1" applyAlignment="1">
      <alignment horizontal="center" vertical="top"/>
    </xf>
    <xf numFmtId="4" fontId="56" fillId="0" borderId="0" xfId="2" applyNumberFormat="1" applyFont="1" applyFill="1" applyAlignment="1">
      <alignment horizontal="center"/>
    </xf>
    <xf numFmtId="0" fontId="66" fillId="0" borderId="0" xfId="39" applyFont="1" applyFill="1" applyAlignment="1">
      <alignment horizontal="center"/>
    </xf>
    <xf numFmtId="185" fontId="56" fillId="0" borderId="43" xfId="2" applyFont="1" applyFill="1" applyBorder="1" applyAlignment="1">
      <alignment horizontal="center"/>
    </xf>
    <xf numFmtId="0" fontId="4" fillId="0" borderId="0" xfId="0" applyFont="1" applyAlignment="1"/>
    <xf numFmtId="0" fontId="4" fillId="0" borderId="0" xfId="95" applyFont="1" applyFill="1"/>
    <xf numFmtId="0" fontId="4" fillId="0" borderId="0" xfId="95" applyFont="1" applyFill="1" applyProtection="1">
      <protection locked="0" hidden="1"/>
    </xf>
    <xf numFmtId="0" fontId="57" fillId="0" borderId="0" xfId="95" applyFont="1" applyFill="1"/>
    <xf numFmtId="0" fontId="4" fillId="0" borderId="0" xfId="40" applyFont="1" applyFill="1">
      <alignment vertical="top"/>
    </xf>
    <xf numFmtId="0" fontId="4" fillId="0" borderId="25" xfId="95" applyFont="1" applyFill="1" applyBorder="1"/>
    <xf numFmtId="185" fontId="7" fillId="0" borderId="43" xfId="2" applyFont="1" applyFill="1" applyBorder="1"/>
    <xf numFmtId="0" fontId="13" fillId="0" borderId="0" xfId="95" applyFill="1" applyAlignment="1"/>
    <xf numFmtId="0" fontId="18" fillId="0" borderId="0" xfId="0" applyFont="1" applyFill="1" applyAlignment="1"/>
    <xf numFmtId="0" fontId="33" fillId="0" borderId="0" xfId="0" applyFont="1" applyFill="1" applyAlignment="1"/>
    <xf numFmtId="0" fontId="14" fillId="0" borderId="0" xfId="0" applyFont="1" applyFill="1" applyAlignment="1"/>
    <xf numFmtId="0" fontId="57" fillId="0" borderId="0" xfId="0" applyFont="1" applyFill="1" applyAlignment="1"/>
    <xf numFmtId="0" fontId="55" fillId="0" borderId="0" xfId="0" applyFont="1" applyFill="1" applyAlignment="1">
      <alignment horizontal="left"/>
    </xf>
    <xf numFmtId="0" fontId="29" fillId="0" borderId="0" xfId="0" applyFont="1" applyFill="1" applyAlignment="1"/>
    <xf numFmtId="0" fontId="4" fillId="0" borderId="25" xfId="0" applyFont="1" applyFill="1" applyBorder="1" applyAlignment="1"/>
    <xf numFmtId="0" fontId="13" fillId="0" borderId="0" xfId="95" applyFill="1" applyBorder="1" applyAlignment="1"/>
    <xf numFmtId="0" fontId="19" fillId="0" borderId="0" xfId="0" applyFont="1" applyFill="1" applyAlignment="1"/>
    <xf numFmtId="0" fontId="22" fillId="0" borderId="0" xfId="0" applyFont="1" applyFill="1" applyAlignment="1"/>
    <xf numFmtId="0" fontId="21" fillId="0" borderId="0" xfId="0" applyFont="1" applyFill="1" applyAlignment="1"/>
    <xf numFmtId="0" fontId="28" fillId="0" borderId="0" xfId="0" applyFont="1" applyFill="1" applyAlignment="1"/>
    <xf numFmtId="0" fontId="49" fillId="0" borderId="0" xfId="0" applyFont="1" applyFill="1" applyAlignment="1"/>
    <xf numFmtId="185" fontId="0" fillId="0" borderId="0" xfId="2" applyFont="1" applyFill="1" applyAlignment="1"/>
    <xf numFmtId="0" fontId="0" fillId="0" borderId="0" xfId="0" applyFill="1" applyAlignment="1"/>
    <xf numFmtId="0" fontId="23" fillId="0" borderId="0" xfId="0" applyFont="1" applyFill="1" applyAlignment="1"/>
    <xf numFmtId="0" fontId="27" fillId="0" borderId="0" xfId="0" applyFont="1" applyFill="1" applyAlignment="1">
      <alignment horizontal="left"/>
    </xf>
    <xf numFmtId="0" fontId="35" fillId="0" borderId="0" xfId="0" applyFont="1" applyFill="1" applyAlignment="1"/>
    <xf numFmtId="0" fontId="51" fillId="0" borderId="0" xfId="0" applyFont="1" applyFill="1" applyAlignment="1"/>
    <xf numFmtId="0" fontId="4" fillId="0" borderId="0" xfId="42" applyFont="1" applyFill="1" applyAlignment="1"/>
    <xf numFmtId="0" fontId="0" fillId="0" borderId="43" xfId="0" applyFill="1" applyBorder="1" applyAlignment="1"/>
    <xf numFmtId="0" fontId="4" fillId="0" borderId="0" xfId="0" applyFont="1" applyBorder="1" applyAlignment="1">
      <alignment vertical="top"/>
    </xf>
    <xf numFmtId="0" fontId="4" fillId="0" borderId="0" xfId="0" applyFont="1" applyFill="1" applyBorder="1" applyAlignment="1">
      <alignment horizontal="left" vertical="top"/>
    </xf>
    <xf numFmtId="212" fontId="48" fillId="0" borderId="0" xfId="0" applyNumberFormat="1" applyFont="1" applyFill="1" applyBorder="1" applyAlignment="1">
      <alignment vertical="top"/>
    </xf>
    <xf numFmtId="4" fontId="43" fillId="0" borderId="0" xfId="40" applyNumberFormat="1" applyFill="1" applyBorder="1">
      <alignment vertical="top"/>
    </xf>
    <xf numFmtId="0" fontId="50" fillId="0" borderId="0" xfId="0" applyFont="1" applyFill="1" applyBorder="1" applyAlignment="1">
      <alignment vertical="top"/>
    </xf>
    <xf numFmtId="0" fontId="51" fillId="0" borderId="0" xfId="0" applyFont="1" applyBorder="1" applyAlignment="1">
      <alignment vertical="top"/>
    </xf>
    <xf numFmtId="0" fontId="48" fillId="0" borderId="0" xfId="0" applyFont="1" applyFill="1" applyBorder="1" applyAlignment="1">
      <alignment vertical="top"/>
    </xf>
    <xf numFmtId="0" fontId="44" fillId="0" borderId="45" xfId="40" applyFont="1" applyFill="1" applyBorder="1" applyAlignment="1">
      <alignment vertical="top"/>
    </xf>
    <xf numFmtId="0" fontId="44" fillId="0" borderId="46" xfId="40" applyFont="1" applyFill="1" applyBorder="1" applyAlignment="1">
      <alignment vertical="top"/>
    </xf>
    <xf numFmtId="0" fontId="43" fillId="0" borderId="46" xfId="40" applyFill="1" applyBorder="1">
      <alignment vertical="top"/>
    </xf>
    <xf numFmtId="0" fontId="44" fillId="0" borderId="45" xfId="40" applyFont="1" applyFill="1" applyBorder="1">
      <alignment vertical="top"/>
    </xf>
    <xf numFmtId="212" fontId="52" fillId="0" borderId="0" xfId="0" applyNumberFormat="1" applyFont="1" applyFill="1" applyBorder="1" applyAlignment="1">
      <alignment horizontal="right" vertical="top"/>
    </xf>
    <xf numFmtId="185" fontId="48" fillId="0" borderId="0" xfId="2" applyFont="1" applyFill="1" applyBorder="1" applyAlignment="1">
      <alignment horizontal="right" vertical="top"/>
    </xf>
    <xf numFmtId="185" fontId="50" fillId="0" borderId="0" xfId="2" applyFont="1" applyFill="1" applyBorder="1" applyAlignment="1">
      <alignment horizontal="right" vertical="top"/>
    </xf>
    <xf numFmtId="0" fontId="48" fillId="0" borderId="0" xfId="0" applyFont="1" applyFill="1" applyBorder="1" applyAlignment="1">
      <alignment horizontal="left" vertical="top"/>
    </xf>
    <xf numFmtId="185" fontId="4" fillId="0" borderId="0" xfId="2" applyFont="1" applyFill="1" applyBorder="1" applyAlignment="1">
      <alignment horizontal="right" vertical="top"/>
    </xf>
    <xf numFmtId="0" fontId="15" fillId="0" borderId="0" xfId="0" applyFont="1" applyFill="1" applyBorder="1" applyAlignment="1">
      <alignment horizontal="left" vertical="top"/>
    </xf>
    <xf numFmtId="212" fontId="15" fillId="0" borderId="0" xfId="0" applyNumberFormat="1" applyFont="1" applyFill="1" applyBorder="1" applyAlignment="1">
      <alignment vertical="top"/>
    </xf>
    <xf numFmtId="0" fontId="15" fillId="0" borderId="0" xfId="40" applyFont="1" applyFill="1" applyBorder="1">
      <alignment vertical="top"/>
    </xf>
    <xf numFmtId="0" fontId="64" fillId="0" borderId="0" xfId="40" applyFont="1" applyFill="1" applyAlignment="1">
      <alignment horizontal="center" vertical="top"/>
    </xf>
    <xf numFmtId="43" fontId="67" fillId="0" borderId="0" xfId="40" applyNumberFormat="1" applyFont="1" applyFill="1">
      <alignment vertical="top"/>
    </xf>
    <xf numFmtId="212" fontId="4" fillId="0" borderId="0" xfId="40" applyNumberFormat="1" applyFont="1" applyFill="1">
      <alignment vertical="top"/>
    </xf>
    <xf numFmtId="0" fontId="52" fillId="0" borderId="0" xfId="0" applyFont="1" applyFill="1" applyBorder="1" applyAlignment="1">
      <alignment vertical="top"/>
    </xf>
    <xf numFmtId="0" fontId="4" fillId="0" borderId="0" xfId="0" applyFont="1" applyFill="1" applyBorder="1" applyAlignment="1">
      <alignment vertical="top"/>
    </xf>
    <xf numFmtId="0" fontId="44" fillId="7" borderId="0" xfId="40" applyFont="1" applyFill="1" applyBorder="1" applyAlignment="1">
      <alignment vertical="top"/>
    </xf>
    <xf numFmtId="0" fontId="43" fillId="7" borderId="0" xfId="40" applyFill="1" applyBorder="1">
      <alignment vertical="top"/>
    </xf>
    <xf numFmtId="0" fontId="55" fillId="0" borderId="0" xfId="0" applyFont="1" applyFill="1" applyAlignment="1">
      <alignment vertical="top"/>
    </xf>
    <xf numFmtId="0" fontId="44" fillId="0" borderId="37" xfId="40" applyFont="1" applyFill="1" applyBorder="1" applyAlignment="1">
      <alignment horizontal="center" vertical="top"/>
    </xf>
    <xf numFmtId="185" fontId="15" fillId="8" borderId="0" xfId="2" applyFont="1" applyFill="1" applyBorder="1" applyAlignment="1">
      <alignment horizontal="right" vertical="top"/>
    </xf>
    <xf numFmtId="4" fontId="15" fillId="0" borderId="0" xfId="40" applyNumberFormat="1" applyFont="1" applyFill="1" applyBorder="1">
      <alignment vertical="top"/>
    </xf>
    <xf numFmtId="185" fontId="15" fillId="0" borderId="0" xfId="40" applyNumberFormat="1" applyFont="1" applyFill="1" applyBorder="1">
      <alignment vertical="top"/>
    </xf>
    <xf numFmtId="0" fontId="44" fillId="0" borderId="0" xfId="40" applyFont="1" applyFill="1" applyAlignment="1">
      <alignment horizontal="center" vertical="top"/>
    </xf>
    <xf numFmtId="0" fontId="13" fillId="0" borderId="47" xfId="95" applyFill="1" applyBorder="1"/>
    <xf numFmtId="0" fontId="4" fillId="0" borderId="47" xfId="95" applyFont="1" applyFill="1" applyBorder="1"/>
    <xf numFmtId="0" fontId="11" fillId="0" borderId="47" xfId="95" applyFont="1" applyFill="1" applyBorder="1" applyAlignment="1">
      <alignment horizontal="left"/>
    </xf>
    <xf numFmtId="185" fontId="4" fillId="0" borderId="47" xfId="2" applyFont="1" applyFill="1" applyBorder="1" applyAlignment="1">
      <alignment horizontal="right" vertical="top"/>
    </xf>
    <xf numFmtId="185" fontId="0" fillId="0" borderId="47" xfId="2" applyFont="1" applyFill="1" applyBorder="1"/>
    <xf numFmtId="185" fontId="56" fillId="0" borderId="47" xfId="2" applyFont="1" applyFill="1" applyBorder="1" applyAlignment="1">
      <alignment horizontal="center"/>
    </xf>
    <xf numFmtId="0" fontId="0" fillId="0" borderId="47" xfId="0" applyFill="1" applyBorder="1"/>
    <xf numFmtId="4" fontId="35" fillId="0" borderId="0" xfId="0" applyNumberFormat="1" applyFont="1" applyFill="1" applyBorder="1" applyAlignment="1">
      <alignment horizontal="right" vertical="top"/>
    </xf>
    <xf numFmtId="0" fontId="0" fillId="0" borderId="0" xfId="0" applyFill="1" applyBorder="1"/>
    <xf numFmtId="0" fontId="35" fillId="0" borderId="0" xfId="0" applyNumberFormat="1" applyFont="1" applyFill="1" applyBorder="1" applyAlignment="1">
      <alignment horizontal="right" vertical="top"/>
    </xf>
    <xf numFmtId="0" fontId="27" fillId="0" borderId="0" xfId="0" applyFont="1" applyFill="1" applyBorder="1" applyAlignment="1">
      <alignment horizontal="right" vertical="top"/>
    </xf>
    <xf numFmtId="4" fontId="53" fillId="0" borderId="0" xfId="0" applyNumberFormat="1" applyFont="1" applyFill="1" applyBorder="1" applyAlignment="1">
      <alignment horizontal="center" vertical="top"/>
    </xf>
    <xf numFmtId="185" fontId="0" fillId="0" borderId="0" xfId="0" applyNumberFormat="1" applyFill="1" applyBorder="1"/>
    <xf numFmtId="0" fontId="4" fillId="0" borderId="0" xfId="40" applyFont="1" applyFill="1" applyBorder="1" applyAlignment="1">
      <alignment vertical="top"/>
    </xf>
    <xf numFmtId="0" fontId="45" fillId="0" borderId="0" xfId="40" applyFont="1" applyFill="1" applyBorder="1" applyAlignment="1"/>
    <xf numFmtId="4" fontId="19" fillId="0" borderId="0" xfId="0" applyNumberFormat="1" applyFont="1" applyFill="1" applyBorder="1" applyAlignment="1">
      <alignment horizontal="right" vertical="top"/>
    </xf>
    <xf numFmtId="185" fontId="58" fillId="0" borderId="0" xfId="2" applyFont="1" applyFill="1"/>
    <xf numFmtId="185" fontId="58" fillId="9" borderId="0" xfId="2" applyFont="1" applyFill="1"/>
    <xf numFmtId="185" fontId="54" fillId="9" borderId="0" xfId="2" applyFont="1" applyFill="1"/>
    <xf numFmtId="185" fontId="54" fillId="9" borderId="40" xfId="2" applyFont="1" applyFill="1" applyBorder="1"/>
    <xf numFmtId="185" fontId="0" fillId="0" borderId="0" xfId="2" applyFont="1" applyFill="1" applyBorder="1" applyAlignment="1"/>
    <xf numFmtId="212" fontId="52" fillId="0" borderId="40" xfId="0" applyNumberFormat="1" applyFont="1" applyFill="1" applyBorder="1" applyAlignment="1">
      <alignment horizontal="right" vertical="top"/>
    </xf>
    <xf numFmtId="212" fontId="4" fillId="0" borderId="48" xfId="0" applyNumberFormat="1" applyFont="1" applyFill="1" applyBorder="1" applyAlignment="1">
      <alignment horizontal="right" vertical="top"/>
    </xf>
    <xf numFmtId="4" fontId="41" fillId="0" borderId="49" xfId="0" applyNumberFormat="1" applyFont="1" applyFill="1" applyBorder="1" applyAlignment="1">
      <alignment horizontal="right" vertical="top"/>
    </xf>
    <xf numFmtId="4" fontId="41" fillId="0" borderId="48" xfId="0" applyNumberFormat="1" applyFont="1" applyFill="1" applyBorder="1" applyAlignment="1">
      <alignment horizontal="right" vertical="top"/>
    </xf>
    <xf numFmtId="4" fontId="53" fillId="0" borderId="43" xfId="0" applyNumberFormat="1" applyFont="1" applyFill="1" applyBorder="1" applyAlignment="1">
      <alignment horizontal="right" vertical="top"/>
    </xf>
    <xf numFmtId="185" fontId="56" fillId="0" borderId="42" xfId="2" applyFont="1" applyFill="1" applyBorder="1"/>
    <xf numFmtId="185" fontId="58" fillId="0" borderId="0" xfId="2" applyFont="1" applyFill="1" applyAlignment="1">
      <alignment horizontal="center"/>
    </xf>
    <xf numFmtId="185" fontId="59" fillId="0" borderId="0" xfId="2" applyFont="1" applyFill="1" applyAlignment="1">
      <alignment horizontal="center"/>
    </xf>
    <xf numFmtId="212" fontId="60" fillId="0" borderId="0" xfId="0" applyNumberFormat="1" applyFont="1" applyAlignment="1">
      <alignment horizontal="right" vertical="top"/>
    </xf>
    <xf numFmtId="0" fontId="15" fillId="0" borderId="0" xfId="0" applyFont="1" applyFill="1" applyBorder="1" applyAlignment="1">
      <alignment vertical="top"/>
    </xf>
    <xf numFmtId="0" fontId="61" fillId="0" borderId="0" xfId="40" applyFont="1" applyFill="1" applyBorder="1">
      <alignment vertical="top"/>
    </xf>
    <xf numFmtId="0" fontId="55" fillId="0" borderId="0" xfId="0" applyFont="1" applyFill="1" applyAlignment="1">
      <alignment horizontal="left" vertical="top"/>
    </xf>
    <xf numFmtId="0" fontId="68" fillId="0" borderId="0" xfId="0" applyFont="1" applyFill="1"/>
    <xf numFmtId="185" fontId="68" fillId="0" borderId="0" xfId="2" applyFont="1" applyFill="1"/>
    <xf numFmtId="185" fontId="68" fillId="0" borderId="0" xfId="2" applyFont="1" applyFill="1" applyAlignment="1"/>
    <xf numFmtId="185" fontId="68" fillId="0" borderId="40" xfId="2" applyFont="1" applyFill="1" applyBorder="1"/>
    <xf numFmtId="185" fontId="69" fillId="0" borderId="0" xfId="2" applyFont="1" applyFill="1" applyAlignment="1">
      <alignment horizontal="center"/>
    </xf>
    <xf numFmtId="212" fontId="4" fillId="0" borderId="40" xfId="0" applyNumberFormat="1" applyFont="1" applyBorder="1" applyAlignment="1">
      <alignment horizontal="right" vertical="top"/>
    </xf>
    <xf numFmtId="185" fontId="53" fillId="0" borderId="44" xfId="2" applyFont="1" applyFill="1" applyBorder="1" applyAlignment="1">
      <alignment horizontal="right" vertical="top"/>
    </xf>
    <xf numFmtId="212" fontId="4" fillId="10" borderId="40" xfId="0" applyNumberFormat="1" applyFont="1" applyFill="1" applyBorder="1" applyAlignment="1">
      <alignment horizontal="right" vertical="top"/>
    </xf>
    <xf numFmtId="185" fontId="2" fillId="0" borderId="0" xfId="2" applyFont="1" applyFill="1" applyBorder="1"/>
    <xf numFmtId="4" fontId="53" fillId="11" borderId="0" xfId="0" applyNumberFormat="1" applyFont="1" applyFill="1" applyAlignment="1">
      <alignment horizontal="center" vertical="top"/>
    </xf>
    <xf numFmtId="4" fontId="57" fillId="11" borderId="40" xfId="0" applyNumberFormat="1" applyFont="1" applyFill="1" applyBorder="1" applyAlignment="1">
      <alignment horizontal="right" vertical="top"/>
    </xf>
    <xf numFmtId="0" fontId="4" fillId="0" borderId="0" xfId="0" applyFont="1" applyFill="1" applyAlignment="1">
      <alignment horizontal="right"/>
    </xf>
    <xf numFmtId="212" fontId="70" fillId="0" borderId="0" xfId="0" applyNumberFormat="1" applyFont="1" applyAlignment="1">
      <alignment horizontal="right" vertical="top"/>
    </xf>
    <xf numFmtId="0" fontId="7" fillId="0" borderId="14" xfId="0" applyFont="1" applyBorder="1" applyAlignment="1">
      <alignment horizontal="center" wrapText="1"/>
    </xf>
    <xf numFmtId="0" fontId="7" fillId="0" borderId="5" xfId="0" applyFont="1" applyBorder="1" applyAlignment="1">
      <alignment horizontal="center" wrapText="1"/>
    </xf>
    <xf numFmtId="0" fontId="10" fillId="0" borderId="4" xfId="0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4" xfId="0" applyFont="1" applyBorder="1" applyAlignment="1">
      <alignment horizontal="center"/>
    </xf>
    <xf numFmtId="0" fontId="10" fillId="0" borderId="45" xfId="0" applyFont="1" applyBorder="1" applyAlignment="1">
      <alignment horizontal="center"/>
    </xf>
    <xf numFmtId="0" fontId="10" fillId="0" borderId="37" xfId="0" applyFont="1" applyBorder="1" applyAlignment="1">
      <alignment horizontal="center"/>
    </xf>
  </cellXfs>
  <cellStyles count="101">
    <cellStyle name="Euro" xfId="1"/>
    <cellStyle name="Millares" xfId="2" builtinId="3"/>
    <cellStyle name="Millares 2" xfId="3"/>
    <cellStyle name="Millares 2 10" xfId="4"/>
    <cellStyle name="Millares 2 2" xfId="5"/>
    <cellStyle name="Millares 2 2 2" xfId="6"/>
    <cellStyle name="Millares 2 2 3" xfId="7"/>
    <cellStyle name="Millares 2 3" xfId="8"/>
    <cellStyle name="Millares 2 3 2" xfId="9"/>
    <cellStyle name="Millares 2 4" xfId="10"/>
    <cellStyle name="Millares 2 5" xfId="11"/>
    <cellStyle name="Millares 2 6" xfId="12"/>
    <cellStyle name="Millares 2 7" xfId="13"/>
    <cellStyle name="Millares 2 8" xfId="14"/>
    <cellStyle name="Millares 2 9" xfId="15"/>
    <cellStyle name="Millares 2 9 2" xfId="16"/>
    <cellStyle name="Millares 3" xfId="17"/>
    <cellStyle name="Millares 3 2" xfId="18"/>
    <cellStyle name="Millares 3 2 2" xfId="19"/>
    <cellStyle name="Millares 3 2 3" xfId="20"/>
    <cellStyle name="Millares 3 3" xfId="21"/>
    <cellStyle name="Millares 3 3 2" xfId="22"/>
    <cellStyle name="Millares 3 4" xfId="23"/>
    <cellStyle name="Millares 3 5" xfId="24"/>
    <cellStyle name="Millares 4 2" xfId="25"/>
    <cellStyle name="Millares 5" xfId="26"/>
    <cellStyle name="Millares 5 2" xfId="27"/>
    <cellStyle name="Millares 6" xfId="28"/>
    <cellStyle name="Millares 6 2" xfId="29"/>
    <cellStyle name="Millares 7" xfId="30"/>
    <cellStyle name="Millares 8" xfId="31"/>
    <cellStyle name="Normal" xfId="0" builtinId="0"/>
    <cellStyle name="Normal 10" xfId="32"/>
    <cellStyle name="Normal 10 2" xfId="33"/>
    <cellStyle name="Normal 11" xfId="34"/>
    <cellStyle name="Normal 11 2" xfId="35"/>
    <cellStyle name="Normal 12 2" xfId="36"/>
    <cellStyle name="Normal 13" xfId="37"/>
    <cellStyle name="Normal 13 2" xfId="38"/>
    <cellStyle name="Normal 14" xfId="39"/>
    <cellStyle name="Normal 15" xfId="40"/>
    <cellStyle name="Normal 15 2" xfId="41"/>
    <cellStyle name="Normal 15 3" xfId="42"/>
    <cellStyle name="Normal 2" xfId="43"/>
    <cellStyle name="Normal 2 10" xfId="44"/>
    <cellStyle name="Normal 2 11" xfId="45"/>
    <cellStyle name="Normal 2 2" xfId="46"/>
    <cellStyle name="Normal 2 2 10" xfId="47"/>
    <cellStyle name="Normal 2 2 2" xfId="48"/>
    <cellStyle name="Normal 2 2 2 2" xfId="49"/>
    <cellStyle name="Normal 2 2 2 2 2" xfId="50"/>
    <cellStyle name="Normal 2 2 2 2 3" xfId="51"/>
    <cellStyle name="Normal 2 2 2 3" xfId="52"/>
    <cellStyle name="Normal 2 2 2 4" xfId="53"/>
    <cellStyle name="Normal 2 2 2 5" xfId="54"/>
    <cellStyle name="Normal 2 2 2 6" xfId="55"/>
    <cellStyle name="Normal 2 2 2 7" xfId="56"/>
    <cellStyle name="Normal 2 2 2 8" xfId="57"/>
    <cellStyle name="Normal 2 2 3" xfId="58"/>
    <cellStyle name="Normal 2 2 4" xfId="59"/>
    <cellStyle name="Normal 2 2 5" xfId="60"/>
    <cellStyle name="Normal 2 2 6" xfId="61"/>
    <cellStyle name="Normal 2 2 7" xfId="62"/>
    <cellStyle name="Normal 2 2 8" xfId="63"/>
    <cellStyle name="Normal 2 2 9" xfId="64"/>
    <cellStyle name="Normal 2 3" xfId="65"/>
    <cellStyle name="Normal 2 4" xfId="66"/>
    <cellStyle name="Normal 2 4 2" xfId="67"/>
    <cellStyle name="Normal 2 5" xfId="68"/>
    <cellStyle name="Normal 2 6" xfId="69"/>
    <cellStyle name="Normal 2 7" xfId="70"/>
    <cellStyle name="Normal 2 8" xfId="71"/>
    <cellStyle name="Normal 2 9" xfId="72"/>
    <cellStyle name="Normal 3 2" xfId="73"/>
    <cellStyle name="Normal 3 2 2" xfId="74"/>
    <cellStyle name="Normal 3 2 3" xfId="75"/>
    <cellStyle name="Normal 3 2 4" xfId="76"/>
    <cellStyle name="Normal 3 3" xfId="77"/>
    <cellStyle name="Normal 3 3 2" xfId="78"/>
    <cellStyle name="Normal 3 4" xfId="79"/>
    <cellStyle name="Normal 3 4 2" xfId="80"/>
    <cellStyle name="Normal 3 5" xfId="81"/>
    <cellStyle name="Normal 4" xfId="82"/>
    <cellStyle name="Normal 4 2" xfId="83"/>
    <cellStyle name="Normal 4 3" xfId="84"/>
    <cellStyle name="Normal 4 4" xfId="85"/>
    <cellStyle name="Normal 5" xfId="86"/>
    <cellStyle name="Normal 5 2" xfId="87"/>
    <cellStyle name="Normal 6" xfId="88"/>
    <cellStyle name="Normal 6 2" xfId="89"/>
    <cellStyle name="Normal 7 2" xfId="90"/>
    <cellStyle name="Normal 8" xfId="91"/>
    <cellStyle name="Normal 8 2" xfId="92"/>
    <cellStyle name="Normal 9" xfId="93"/>
    <cellStyle name="Normal 9 2" xfId="94"/>
    <cellStyle name="Normal_Hoja1" xfId="95"/>
    <cellStyle name="Normal_SC BALANCE 30-09" xfId="96"/>
    <cellStyle name="Porcentaje" xfId="97" builtinId="5"/>
    <cellStyle name="Porcentaje 2" xfId="98"/>
    <cellStyle name="Porcentaje 2 2" xfId="99"/>
    <cellStyle name="Porcentaje 3" xfId="10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tabSelected="1" zoomScaleNormal="100" workbookViewId="0">
      <selection activeCell="E43" sqref="E43"/>
    </sheetView>
  </sheetViews>
  <sheetFormatPr baseColWidth="10" defaultColWidth="11.44140625" defaultRowHeight="10.199999999999999" x14ac:dyDescent="0.2"/>
  <cols>
    <col min="1" max="1" width="1.6640625" style="4" customWidth="1"/>
    <col min="2" max="2" width="1.88671875" style="4" customWidth="1"/>
    <col min="3" max="3" width="1.6640625" style="4" customWidth="1"/>
    <col min="4" max="4" width="11.44140625" style="4"/>
    <col min="5" max="5" width="20.88671875" style="4" customWidth="1"/>
    <col min="6" max="6" width="13.6640625" style="4" customWidth="1"/>
    <col min="7" max="7" width="11.44140625" style="4" hidden="1" customWidth="1"/>
    <col min="8" max="8" width="2.5546875" style="4" customWidth="1"/>
    <col min="9" max="9" width="1.88671875" style="4" customWidth="1"/>
    <col min="10" max="10" width="1.6640625" style="4" customWidth="1"/>
    <col min="11" max="11" width="33.6640625" style="4" customWidth="1"/>
    <col min="12" max="12" width="13.6640625" style="4" customWidth="1"/>
    <col min="13" max="14" width="13" style="4" bestFit="1" customWidth="1"/>
    <col min="15" max="16384" width="11.44140625" style="4"/>
  </cols>
  <sheetData>
    <row r="1" spans="1:15" ht="13.2" x14ac:dyDescent="0.25">
      <c r="A1" s="1" t="s">
        <v>53</v>
      </c>
    </row>
    <row r="2" spans="1:15" x14ac:dyDescent="0.2">
      <c r="A2" s="4" t="s">
        <v>855</v>
      </c>
      <c r="E2" s="7"/>
      <c r="F2" s="7"/>
      <c r="G2" s="7"/>
      <c r="H2" s="7"/>
      <c r="I2" s="7"/>
    </row>
    <row r="3" spans="1:15" ht="10.8" thickBot="1" x14ac:dyDescent="0.25">
      <c r="C3" s="4" t="s">
        <v>1</v>
      </c>
      <c r="E3" s="4" t="s">
        <v>1</v>
      </c>
      <c r="F3" s="4" t="s">
        <v>1</v>
      </c>
    </row>
    <row r="4" spans="1:15" ht="10.8" thickTop="1" x14ac:dyDescent="0.2">
      <c r="A4" s="9"/>
      <c r="B4" s="10" t="s">
        <v>1</v>
      </c>
      <c r="C4" s="10"/>
      <c r="D4" s="10"/>
      <c r="E4" s="10"/>
      <c r="F4" s="40" t="s">
        <v>1</v>
      </c>
      <c r="G4" s="44"/>
      <c r="H4" s="10"/>
      <c r="I4" s="10"/>
      <c r="J4" s="10"/>
      <c r="K4" s="10"/>
      <c r="L4" s="210"/>
    </row>
    <row r="5" spans="1:15" x14ac:dyDescent="0.2">
      <c r="A5" s="12"/>
      <c r="B5" s="13"/>
      <c r="C5" s="13" t="s">
        <v>1</v>
      </c>
      <c r="D5" s="13"/>
      <c r="E5" s="13"/>
      <c r="F5" s="16" t="s">
        <v>854</v>
      </c>
      <c r="G5" s="45" t="s">
        <v>54</v>
      </c>
      <c r="H5" s="13"/>
      <c r="I5" s="13"/>
      <c r="J5" s="13"/>
      <c r="K5" s="13"/>
      <c r="L5" s="211" t="str">
        <f>+F5</f>
        <v>30.06.2026</v>
      </c>
    </row>
    <row r="6" spans="1:15" x14ac:dyDescent="0.2">
      <c r="A6" s="12"/>
      <c r="B6" s="17" t="s">
        <v>2</v>
      </c>
      <c r="C6" s="13"/>
      <c r="D6" s="13"/>
      <c r="E6" s="13"/>
      <c r="F6" s="15"/>
      <c r="G6" s="46" t="s">
        <v>51</v>
      </c>
      <c r="H6" s="13"/>
      <c r="I6" s="17" t="s">
        <v>3</v>
      </c>
      <c r="J6" s="13"/>
      <c r="K6" s="13"/>
      <c r="L6" s="212"/>
    </row>
    <row r="7" spans="1:15" x14ac:dyDescent="0.2">
      <c r="A7" s="12"/>
      <c r="B7" s="13"/>
      <c r="C7" s="17" t="s">
        <v>4</v>
      </c>
      <c r="D7" s="13"/>
      <c r="E7" s="13"/>
      <c r="F7" s="29"/>
      <c r="G7" s="173"/>
      <c r="H7" s="13"/>
      <c r="I7" s="17" t="s">
        <v>5</v>
      </c>
      <c r="J7" s="13"/>
      <c r="K7" s="13"/>
      <c r="L7" s="213"/>
    </row>
    <row r="8" spans="1:15" x14ac:dyDescent="0.2">
      <c r="A8" s="12"/>
      <c r="B8" s="13"/>
      <c r="C8" s="13"/>
      <c r="D8" s="13" t="s">
        <v>75</v>
      </c>
      <c r="E8" s="13"/>
      <c r="F8" s="33">
        <f>+'Activo y Pasivo'!F18</f>
        <v>20554136.340000004</v>
      </c>
      <c r="G8" s="172" t="e">
        <f>+'Activo y Pasivo'!#REF!</f>
        <v>#REF!</v>
      </c>
      <c r="H8" s="13"/>
      <c r="I8" s="13"/>
      <c r="J8" s="13" t="s">
        <v>340</v>
      </c>
      <c r="K8" s="13"/>
      <c r="L8" s="214">
        <f>+'Activo y Pasivo'!F72</f>
        <v>106687518.28999999</v>
      </c>
      <c r="N8" s="6"/>
      <c r="O8" s="6"/>
    </row>
    <row r="9" spans="1:15" x14ac:dyDescent="0.2">
      <c r="A9" s="12"/>
      <c r="B9" s="13"/>
      <c r="C9" s="13"/>
      <c r="D9" s="13" t="s">
        <v>337</v>
      </c>
      <c r="E9" s="13"/>
      <c r="F9" s="33">
        <f>+'Activo y Pasivo'!F51</f>
        <v>2112873479.3799996</v>
      </c>
      <c r="G9" s="172"/>
      <c r="H9" s="13"/>
      <c r="I9" s="13"/>
      <c r="J9" s="13" t="s">
        <v>341</v>
      </c>
      <c r="K9" s="13"/>
      <c r="L9" s="214">
        <f>+'Activo y Pasivo'!F86</f>
        <v>283663377.49000001</v>
      </c>
      <c r="N9" s="6"/>
      <c r="O9" s="6"/>
    </row>
    <row r="10" spans="1:15" x14ac:dyDescent="0.2">
      <c r="A10" s="12"/>
      <c r="B10" s="13"/>
      <c r="C10" s="13"/>
      <c r="D10" s="13" t="s">
        <v>338</v>
      </c>
      <c r="E10" s="13"/>
      <c r="F10" s="32">
        <f>+'Activo y Pasivo'!F55</f>
        <v>0</v>
      </c>
      <c r="G10" s="172"/>
      <c r="H10" s="13"/>
      <c r="I10" s="13"/>
      <c r="J10" s="13" t="s">
        <v>342</v>
      </c>
      <c r="K10" s="13"/>
      <c r="L10" s="215">
        <f>+'Activo y Pasivo'!F93</f>
        <v>86385185.120000005</v>
      </c>
      <c r="N10" s="6"/>
      <c r="O10" s="6"/>
    </row>
    <row r="11" spans="1:15" x14ac:dyDescent="0.2">
      <c r="A11" s="12"/>
      <c r="B11" s="13"/>
      <c r="C11" s="13"/>
      <c r="D11" s="13"/>
      <c r="E11" s="13"/>
      <c r="F11" s="41"/>
      <c r="G11" s="174" t="e">
        <f>SUM(G8:G8)</f>
        <v>#REF!</v>
      </c>
      <c r="H11" s="13"/>
      <c r="I11" s="13"/>
      <c r="J11" s="13"/>
      <c r="K11" s="13"/>
      <c r="L11" s="216"/>
      <c r="N11" s="6"/>
    </row>
    <row r="12" spans="1:15" x14ac:dyDescent="0.2">
      <c r="A12" s="12"/>
      <c r="B12" s="13"/>
      <c r="C12" s="17" t="s">
        <v>6</v>
      </c>
      <c r="D12" s="13"/>
      <c r="E12" s="13"/>
      <c r="F12" s="37">
        <f>SUM(F8:F10)</f>
        <v>2133427615.7199996</v>
      </c>
      <c r="G12" s="48"/>
      <c r="H12" s="13"/>
      <c r="I12" s="17" t="s">
        <v>7</v>
      </c>
      <c r="J12" s="13"/>
      <c r="K12" s="13"/>
      <c r="L12" s="217">
        <f>SUM(L8:L10)</f>
        <v>476736080.89999998</v>
      </c>
      <c r="M12" s="6"/>
      <c r="N12" s="6"/>
    </row>
    <row r="13" spans="1:15" x14ac:dyDescent="0.2">
      <c r="A13" s="12"/>
      <c r="B13" s="13"/>
      <c r="C13" s="13" t="s">
        <v>1</v>
      </c>
      <c r="D13" s="13"/>
      <c r="E13" s="13"/>
      <c r="F13" s="33"/>
      <c r="G13" s="48"/>
      <c r="H13" s="13"/>
      <c r="I13" s="17" t="s">
        <v>8</v>
      </c>
      <c r="J13" s="13"/>
      <c r="K13" s="13"/>
      <c r="L13" s="218">
        <f>+L12</f>
        <v>476736080.89999998</v>
      </c>
      <c r="M13" s="6"/>
      <c r="N13" s="6"/>
    </row>
    <row r="14" spans="1:15" x14ac:dyDescent="0.2">
      <c r="A14" s="12"/>
      <c r="B14" s="13"/>
      <c r="C14" s="13"/>
      <c r="D14" s="13"/>
      <c r="E14" s="13"/>
      <c r="F14" s="30"/>
      <c r="G14" s="48"/>
      <c r="H14" s="13"/>
      <c r="I14" s="13"/>
      <c r="J14" s="13"/>
      <c r="K14" s="13"/>
      <c r="L14" s="214"/>
    </row>
    <row r="15" spans="1:15" x14ac:dyDescent="0.2">
      <c r="A15" s="12"/>
      <c r="B15" s="13"/>
      <c r="C15" s="13"/>
      <c r="D15" s="13" t="s">
        <v>339</v>
      </c>
      <c r="E15" s="13"/>
      <c r="F15" s="32">
        <f>+'Activo y Pasivo'!F61</f>
        <v>0</v>
      </c>
      <c r="G15" s="48"/>
      <c r="H15" s="13"/>
      <c r="I15" s="13"/>
      <c r="J15" s="13"/>
      <c r="K15" s="13"/>
      <c r="L15" s="214"/>
    </row>
    <row r="16" spans="1:15" x14ac:dyDescent="0.2">
      <c r="A16" s="12"/>
      <c r="B16" s="13"/>
      <c r="C16" s="17"/>
      <c r="D16" s="13" t="s">
        <v>187</v>
      </c>
      <c r="E16" s="13"/>
      <c r="F16" s="33">
        <f>+'Anexo I'!E24-'Anexo I'!J24</f>
        <v>24748088.790000007</v>
      </c>
      <c r="G16" s="48"/>
      <c r="H16" s="13"/>
      <c r="I16" s="13" t="s">
        <v>1</v>
      </c>
      <c r="J16" s="13" t="s">
        <v>1</v>
      </c>
      <c r="K16" s="13"/>
      <c r="L16" s="214"/>
      <c r="N16" s="6"/>
    </row>
    <row r="17" spans="1:15" x14ac:dyDescent="0.2">
      <c r="A17" s="12"/>
      <c r="B17" s="13"/>
      <c r="C17" s="13"/>
      <c r="D17" s="13"/>
      <c r="E17" s="13"/>
      <c r="F17" s="48"/>
      <c r="G17" s="48" t="e">
        <f>+#REF!</f>
        <v>#REF!</v>
      </c>
      <c r="H17" s="13"/>
      <c r="I17" s="13" t="s">
        <v>9</v>
      </c>
      <c r="J17" s="13"/>
      <c r="K17" s="13"/>
      <c r="L17" s="197">
        <f>+Pat.Neto!K27</f>
        <v>1681439623.6099989</v>
      </c>
      <c r="M17" s="6"/>
      <c r="N17" s="6"/>
      <c r="O17" s="6"/>
    </row>
    <row r="18" spans="1:15" x14ac:dyDescent="0.2">
      <c r="A18" s="12"/>
      <c r="B18" s="13"/>
      <c r="C18" s="13"/>
      <c r="D18" s="13"/>
      <c r="E18" s="13"/>
      <c r="F18" s="33"/>
      <c r="G18" s="48"/>
      <c r="H18" s="13"/>
      <c r="I18" s="13"/>
      <c r="J18" s="13"/>
      <c r="K18" s="13"/>
      <c r="L18" s="214"/>
      <c r="N18" s="6"/>
    </row>
    <row r="19" spans="1:15" x14ac:dyDescent="0.2">
      <c r="A19" s="12"/>
      <c r="B19" s="13"/>
      <c r="C19" s="17" t="s">
        <v>10</v>
      </c>
      <c r="D19" s="13"/>
      <c r="E19" s="13"/>
      <c r="F19" s="37">
        <f>SUM(F15:F18)</f>
        <v>24748088.790000007</v>
      </c>
      <c r="G19" s="49" t="e">
        <f>SUM(G17:G18)</f>
        <v>#REF!</v>
      </c>
      <c r="H19" s="13"/>
      <c r="I19" s="13"/>
      <c r="J19" s="13"/>
      <c r="K19" s="13" t="s">
        <v>1</v>
      </c>
      <c r="L19" s="214"/>
    </row>
    <row r="20" spans="1:15" x14ac:dyDescent="0.2">
      <c r="A20" s="12"/>
      <c r="B20" s="13"/>
      <c r="C20" s="13"/>
      <c r="D20" s="13"/>
      <c r="E20" s="13"/>
      <c r="F20" s="33"/>
      <c r="G20" s="48"/>
      <c r="H20" s="13"/>
      <c r="I20" s="13"/>
      <c r="J20" s="13"/>
      <c r="K20" s="13"/>
      <c r="L20" s="214"/>
    </row>
    <row r="21" spans="1:15" ht="10.8" thickBot="1" x14ac:dyDescent="0.25">
      <c r="A21" s="42"/>
      <c r="B21" s="50"/>
      <c r="C21" s="51" t="s">
        <v>11</v>
      </c>
      <c r="D21" s="50"/>
      <c r="E21" s="50"/>
      <c r="F21" s="52">
        <f>+F12+F19</f>
        <v>2158175704.5099998</v>
      </c>
      <c r="G21" s="53" t="e">
        <f>+G11+G19</f>
        <v>#REF!</v>
      </c>
      <c r="H21" s="50"/>
      <c r="I21" s="51" t="s">
        <v>12</v>
      </c>
      <c r="J21" s="50"/>
      <c r="K21" s="50"/>
      <c r="L21" s="219">
        <f>+L13+L17</f>
        <v>2158175704.5099988</v>
      </c>
      <c r="M21" s="6"/>
      <c r="N21" s="6"/>
    </row>
    <row r="22" spans="1:15" ht="10.8" thickTop="1" x14ac:dyDescent="0.2">
      <c r="F22" s="6"/>
      <c r="G22" s="54"/>
      <c r="K22" s="55"/>
      <c r="L22" s="290"/>
      <c r="M22" s="6"/>
      <c r="O22" s="6"/>
    </row>
    <row r="23" spans="1:15" x14ac:dyDescent="0.2">
      <c r="A23" s="4" t="s">
        <v>13</v>
      </c>
      <c r="K23" s="6"/>
      <c r="L23" s="290"/>
      <c r="M23" s="6"/>
    </row>
    <row r="24" spans="1:15" x14ac:dyDescent="0.2">
      <c r="A24" s="4" t="s">
        <v>14</v>
      </c>
      <c r="F24" s="6"/>
      <c r="K24" s="6"/>
      <c r="L24" s="274"/>
      <c r="M24" s="6"/>
    </row>
    <row r="25" spans="1:15" x14ac:dyDescent="0.2">
      <c r="F25" s="60"/>
      <c r="K25" s="6"/>
      <c r="L25" s="455"/>
      <c r="M25" s="6"/>
    </row>
    <row r="26" spans="1:15" hidden="1" x14ac:dyDescent="0.2">
      <c r="L26" s="275"/>
    </row>
    <row r="27" spans="1:15" hidden="1" x14ac:dyDescent="0.2">
      <c r="K27" s="6"/>
      <c r="L27" s="275"/>
    </row>
    <row r="28" spans="1:15" hidden="1" x14ac:dyDescent="0.2">
      <c r="L28" s="275"/>
    </row>
    <row r="29" spans="1:15" hidden="1" x14ac:dyDescent="0.2">
      <c r="L29" s="275"/>
    </row>
    <row r="30" spans="1:15" x14ac:dyDescent="0.2">
      <c r="A30" s="4" t="s">
        <v>1</v>
      </c>
      <c r="F30" s="61"/>
      <c r="K30" s="6"/>
      <c r="L30" s="275"/>
    </row>
    <row r="31" spans="1:15" x14ac:dyDescent="0.2">
      <c r="A31" s="4" t="s">
        <v>1</v>
      </c>
      <c r="L31" s="60"/>
    </row>
    <row r="32" spans="1:15" x14ac:dyDescent="0.2">
      <c r="D32" s="8" t="s">
        <v>368</v>
      </c>
      <c r="E32" s="8"/>
      <c r="F32" s="8" t="s">
        <v>246</v>
      </c>
      <c r="G32" s="31"/>
      <c r="K32" s="8" t="s">
        <v>837</v>
      </c>
      <c r="L32" s="60"/>
    </row>
    <row r="33" spans="1:12" x14ac:dyDescent="0.2">
      <c r="D33" s="8" t="s">
        <v>369</v>
      </c>
      <c r="E33" s="8"/>
      <c r="F33" s="8" t="s">
        <v>370</v>
      </c>
      <c r="H33" s="8"/>
      <c r="K33" s="8" t="s">
        <v>247</v>
      </c>
      <c r="L33" s="60"/>
    </row>
    <row r="34" spans="1:12" x14ac:dyDescent="0.2">
      <c r="D34" s="8" t="s">
        <v>64</v>
      </c>
      <c r="E34" s="8"/>
      <c r="K34" s="8" t="s">
        <v>68</v>
      </c>
    </row>
    <row r="36" spans="1:12" x14ac:dyDescent="0.2">
      <c r="A36" s="4" t="s">
        <v>1</v>
      </c>
    </row>
    <row r="37" spans="1:12" x14ac:dyDescent="0.2">
      <c r="A37" s="4" t="s">
        <v>1</v>
      </c>
      <c r="K37" s="6"/>
    </row>
    <row r="39" spans="1:12" x14ac:dyDescent="0.2">
      <c r="K39" s="6"/>
    </row>
  </sheetData>
  <phoneticPr fontId="0" type="noConversion"/>
  <pageMargins left="0.74803149606299213" right="0.6692913385826772" top="1.8897637795275593" bottom="0.98425196850393704" header="0.39370078740157483" footer="0"/>
  <pageSetup paperSize="9" orientation="landscape" r:id="rId1"/>
  <headerFooter alignWithMargins="0">
    <oddHeader xml:space="preserve">&amp;L&amp;"Book Antiqua,Normal"&amp;9Southern Copper Argentina SRL.
Tucuman 1
Ciudad Autónoma de Buenos Aires
Nºde Insc.en I.G.J.:11764 del Libro 135 de SRL.&amp;"Book Antiqua,Negrita"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zoomScaleNormal="100" workbookViewId="0"/>
  </sheetViews>
  <sheetFormatPr baseColWidth="10" defaultColWidth="11.44140625" defaultRowHeight="10.199999999999999" x14ac:dyDescent="0.2"/>
  <cols>
    <col min="1" max="1" width="44.33203125" style="7" customWidth="1"/>
    <col min="2" max="2" width="12.44140625" style="7" hidden="1" customWidth="1"/>
    <col min="3" max="3" width="13.5546875" style="7" customWidth="1"/>
    <col min="4" max="4" width="13.5546875" style="7" bestFit="1" customWidth="1"/>
    <col min="5" max="5" width="11.6640625" style="7" bestFit="1" customWidth="1"/>
    <col min="6" max="16384" width="11.44140625" style="7"/>
  </cols>
  <sheetData>
    <row r="1" spans="1:4" ht="13.2" x14ac:dyDescent="0.25">
      <c r="A1" s="190" t="s">
        <v>87</v>
      </c>
    </row>
    <row r="2" spans="1:4" x14ac:dyDescent="0.2">
      <c r="A2" s="7" t="str">
        <f>+Balance!A2</f>
        <v>Al 30 de junio 2026  - Cifras expresadas en pesos</v>
      </c>
    </row>
    <row r="3" spans="1:4" ht="10.8" thickBot="1" x14ac:dyDescent="0.25"/>
    <row r="4" spans="1:4" ht="10.8" thickTop="1" x14ac:dyDescent="0.2">
      <c r="A4" s="147"/>
      <c r="B4" s="44"/>
      <c r="C4" s="191"/>
    </row>
    <row r="5" spans="1:4" x14ac:dyDescent="0.2">
      <c r="A5" s="152"/>
      <c r="B5" s="45" t="str">
        <f>+Balance!F5</f>
        <v>30.06.2026</v>
      </c>
      <c r="C5" s="192" t="str">
        <f>+Balance!F5</f>
        <v>30.06.2026</v>
      </c>
    </row>
    <row r="6" spans="1:4" x14ac:dyDescent="0.2">
      <c r="A6" s="152"/>
      <c r="B6" s="193"/>
      <c r="C6" s="160"/>
    </row>
    <row r="7" spans="1:4" x14ac:dyDescent="0.2">
      <c r="A7" s="152"/>
      <c r="B7" s="47"/>
      <c r="C7" s="194"/>
    </row>
    <row r="8" spans="1:4" x14ac:dyDescent="0.2">
      <c r="A8" s="152" t="s">
        <v>15</v>
      </c>
      <c r="B8" s="47"/>
      <c r="C8" s="195">
        <v>0</v>
      </c>
    </row>
    <row r="9" spans="1:4" x14ac:dyDescent="0.2">
      <c r="A9" s="152" t="s">
        <v>62</v>
      </c>
      <c r="B9" s="47"/>
      <c r="C9" s="196">
        <v>0</v>
      </c>
    </row>
    <row r="10" spans="1:4" x14ac:dyDescent="0.2">
      <c r="A10" s="152" t="s">
        <v>63</v>
      </c>
      <c r="B10" s="47"/>
      <c r="C10" s="195">
        <f>+C8-C9</f>
        <v>0</v>
      </c>
    </row>
    <row r="11" spans="1:4" x14ac:dyDescent="0.2">
      <c r="A11" s="152"/>
      <c r="B11" s="47"/>
      <c r="C11" s="195"/>
    </row>
    <row r="12" spans="1:4" x14ac:dyDescent="0.2">
      <c r="A12" s="152" t="s">
        <v>117</v>
      </c>
      <c r="B12" s="47" t="s">
        <v>1</v>
      </c>
      <c r="C12" s="195">
        <f>+'Anexo II'!G103</f>
        <v>0</v>
      </c>
    </row>
    <row r="13" spans="1:4" x14ac:dyDescent="0.2">
      <c r="A13" s="152" t="s">
        <v>118</v>
      </c>
      <c r="B13" s="47"/>
      <c r="C13" s="195">
        <f>-'Anexo II'!F103</f>
        <v>-729617202.41999996</v>
      </c>
    </row>
    <row r="14" spans="1:4" x14ac:dyDescent="0.2">
      <c r="A14" s="152" t="s">
        <v>119</v>
      </c>
      <c r="B14" s="47"/>
      <c r="C14" s="195">
        <f>-'Anexo II'!I103</f>
        <v>0</v>
      </c>
    </row>
    <row r="15" spans="1:4" x14ac:dyDescent="0.2">
      <c r="A15" s="152" t="s">
        <v>93</v>
      </c>
      <c r="B15" s="47"/>
      <c r="C15" s="195">
        <f>-'Anexo II'!H103</f>
        <v>-880161731.35000014</v>
      </c>
      <c r="D15" s="54"/>
    </row>
    <row r="16" spans="1:4" x14ac:dyDescent="0.2">
      <c r="A16" s="152"/>
      <c r="B16" s="47"/>
      <c r="C16" s="195"/>
      <c r="D16" s="54"/>
    </row>
    <row r="17" spans="1:7" x14ac:dyDescent="0.2">
      <c r="A17" s="152" t="s">
        <v>245</v>
      </c>
      <c r="B17" s="47"/>
      <c r="C17" s="195">
        <f>-SALDOS!G282-SALDOS!G149</f>
        <v>-62810190.490000002</v>
      </c>
      <c r="D17" s="54"/>
      <c r="E17" s="54"/>
    </row>
    <row r="18" spans="1:7" x14ac:dyDescent="0.2">
      <c r="A18" s="152" t="s">
        <v>253</v>
      </c>
      <c r="B18" s="47"/>
      <c r="C18" s="195">
        <f>-SALDOS!G150-SALDOS!G151-SALDOS!G152</f>
        <v>0</v>
      </c>
    </row>
    <row r="19" spans="1:7" x14ac:dyDescent="0.2">
      <c r="A19" s="152" t="s">
        <v>276</v>
      </c>
      <c r="B19" s="47"/>
      <c r="C19" s="195">
        <f>-SALDOS!G486</f>
        <v>0</v>
      </c>
    </row>
    <row r="20" spans="1:7" x14ac:dyDescent="0.2">
      <c r="A20" s="152"/>
      <c r="B20" s="47"/>
      <c r="C20" s="195"/>
    </row>
    <row r="21" spans="1:7" x14ac:dyDescent="0.2">
      <c r="A21" s="152"/>
      <c r="B21" s="47"/>
      <c r="C21" s="195"/>
    </row>
    <row r="22" spans="1:7" x14ac:dyDescent="0.2">
      <c r="A22" s="152" t="s">
        <v>354</v>
      </c>
      <c r="B22" s="47"/>
      <c r="C22" s="197">
        <f>+C10+SUM(C12:C19)</f>
        <v>-1672589124.26</v>
      </c>
    </row>
    <row r="23" spans="1:7" x14ac:dyDescent="0.2">
      <c r="A23" s="152"/>
      <c r="B23" s="47"/>
      <c r="C23" s="195"/>
      <c r="D23" s="54"/>
    </row>
    <row r="24" spans="1:7" x14ac:dyDescent="0.2">
      <c r="A24" s="152" t="s">
        <v>50</v>
      </c>
      <c r="B24" s="47"/>
      <c r="C24" s="195">
        <v>0</v>
      </c>
    </row>
    <row r="25" spans="1:7" x14ac:dyDescent="0.2">
      <c r="A25" s="152"/>
      <c r="B25" s="47"/>
      <c r="C25" s="195"/>
      <c r="D25" s="198"/>
    </row>
    <row r="26" spans="1:7" x14ac:dyDescent="0.2">
      <c r="A26" s="152" t="s">
        <v>355</v>
      </c>
      <c r="B26" s="47"/>
      <c r="C26" s="197">
        <f>+C22-C24</f>
        <v>-1672589124.26</v>
      </c>
      <c r="D26" s="273"/>
      <c r="E26" s="54"/>
      <c r="F26" s="54"/>
    </row>
    <row r="27" spans="1:7" x14ac:dyDescent="0.2">
      <c r="A27" s="152"/>
      <c r="B27" s="47"/>
      <c r="C27" s="199"/>
      <c r="D27" s="54"/>
    </row>
    <row r="28" spans="1:7" ht="10.8" thickBot="1" x14ac:dyDescent="0.25">
      <c r="A28" s="200"/>
      <c r="B28" s="201"/>
      <c r="C28" s="202"/>
      <c r="E28" s="289"/>
      <c r="G28" s="54"/>
    </row>
    <row r="29" spans="1:7" ht="10.8" thickTop="1" x14ac:dyDescent="0.2">
      <c r="A29" s="153"/>
      <c r="B29" s="153"/>
      <c r="C29" s="169"/>
    </row>
    <row r="30" spans="1:7" x14ac:dyDescent="0.2">
      <c r="A30" s="153"/>
      <c r="B30" s="153"/>
      <c r="C30" s="169"/>
    </row>
    <row r="31" spans="1:7" x14ac:dyDescent="0.2">
      <c r="A31" s="7" t="s">
        <v>13</v>
      </c>
    </row>
    <row r="32" spans="1:7" x14ac:dyDescent="0.2">
      <c r="A32" s="7" t="s">
        <v>14</v>
      </c>
    </row>
    <row r="39" spans="1:5" x14ac:dyDescent="0.2">
      <c r="A39" s="110" t="str">
        <f>+Balance!D32</f>
        <v>Miguel Ángel Alonso</v>
      </c>
      <c r="C39" s="7" t="str">
        <f>+Balance!F32</f>
        <v>Pedro Nicholson</v>
      </c>
      <c r="E39" s="110" t="str">
        <f>+Balance!K32</f>
        <v>Alejandro Poletto</v>
      </c>
    </row>
    <row r="40" spans="1:5" x14ac:dyDescent="0.2">
      <c r="A40" s="110" t="str">
        <f>+Balance!D33</f>
        <v>Contador Público (U.C.A.)</v>
      </c>
      <c r="C40" s="110" t="str">
        <f>+Balance!F33</f>
        <v>Síndico</v>
      </c>
      <c r="E40" s="110" t="str">
        <f>+Balance!K33</f>
        <v>Southern Copper Arg. S.R.L.</v>
      </c>
    </row>
    <row r="41" spans="1:5" x14ac:dyDescent="0.2">
      <c r="A41" s="110" t="str">
        <f>+Balance!D34</f>
        <v>C.P.C.E.C.A.B.A. Tº176  Fº03</v>
      </c>
      <c r="C41" s="110"/>
      <c r="E41" s="110" t="str">
        <f>+Balance!K34</f>
        <v xml:space="preserve"> Gerente</v>
      </c>
    </row>
  </sheetData>
  <phoneticPr fontId="0" type="noConversion"/>
  <pageMargins left="0.78740157480314965" right="0.39370078740157483" top="2.1259842519685042" bottom="0.98425196850393704" header="0.39370078740157483" footer="0"/>
  <pageSetup paperSize="9" scale="99" orientation="portrait" r:id="rId1"/>
  <headerFooter alignWithMargins="0">
    <oddHeader xml:space="preserve">&amp;L&amp;"Book Antiqua,Normal"&amp;9Southern Copper Argentina SRL.
Tucuman 1
Ciudad Autónoma de Buenos Aires
Nºde Insc.en I.G.J.:11764 del Libro 135 de SRL.
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zoomScaleNormal="100" workbookViewId="0">
      <selection activeCell="B1" sqref="B1"/>
    </sheetView>
  </sheetViews>
  <sheetFormatPr baseColWidth="10" defaultColWidth="11.44140625" defaultRowHeight="10.199999999999999" x14ac:dyDescent="0.2"/>
  <cols>
    <col min="1" max="1" width="1" style="13" customWidth="1"/>
    <col min="2" max="2" width="29.5546875" style="4" customWidth="1"/>
    <col min="3" max="3" width="14.44140625" style="4" bestFit="1" customWidth="1"/>
    <col min="4" max="4" width="14.109375" style="4" customWidth="1"/>
    <col min="5" max="5" width="14" style="4" hidden="1" customWidth="1"/>
    <col min="6" max="6" width="15.33203125" style="4" customWidth="1"/>
    <col min="7" max="8" width="11.44140625" style="4"/>
    <col min="9" max="9" width="13.44140625" style="4" customWidth="1"/>
    <col min="10" max="10" width="20.88671875" style="4" bestFit="1" customWidth="1"/>
    <col min="11" max="11" width="14.44140625" style="4" bestFit="1" customWidth="1"/>
    <col min="12" max="12" width="11.88671875" style="4" bestFit="1" customWidth="1"/>
    <col min="13" max="13" width="11.44140625" style="4"/>
    <col min="14" max="15" width="12.5546875" style="4" bestFit="1" customWidth="1"/>
    <col min="16" max="16" width="12.33203125" style="4" bestFit="1" customWidth="1"/>
    <col min="17" max="16384" width="11.44140625" style="4"/>
  </cols>
  <sheetData>
    <row r="1" spans="1:13" ht="13.2" x14ac:dyDescent="0.25">
      <c r="A1" s="43" t="s">
        <v>88</v>
      </c>
    </row>
    <row r="2" spans="1:13" x14ac:dyDescent="0.2">
      <c r="B2" s="4" t="str">
        <f>+Balance!A2</f>
        <v>Al 30 de junio 2026  - Cifras expresadas en pesos</v>
      </c>
    </row>
    <row r="4" spans="1:13" ht="10.8" thickBot="1" x14ac:dyDescent="0.25">
      <c r="A4" s="13" t="s">
        <v>1</v>
      </c>
    </row>
    <row r="5" spans="1:13" ht="10.8" thickTop="1" x14ac:dyDescent="0.2">
      <c r="A5" s="5"/>
      <c r="B5" s="18"/>
      <c r="C5" s="19" t="s">
        <v>44</v>
      </c>
      <c r="D5" s="20"/>
      <c r="E5" s="20"/>
      <c r="F5" s="20"/>
      <c r="G5" s="19"/>
      <c r="H5" s="20"/>
      <c r="I5" s="11"/>
      <c r="J5" s="11"/>
      <c r="K5" s="62" t="str">
        <f>+Balance!F5</f>
        <v>30.06.2026</v>
      </c>
    </row>
    <row r="6" spans="1:13" x14ac:dyDescent="0.2">
      <c r="A6" s="5"/>
      <c r="B6" s="21" t="s">
        <v>33</v>
      </c>
      <c r="C6" s="22" t="s">
        <v>52</v>
      </c>
      <c r="D6" s="5"/>
      <c r="E6" s="5"/>
      <c r="F6" s="23"/>
      <c r="G6" s="24" t="s">
        <v>47</v>
      </c>
      <c r="H6" s="25" t="s">
        <v>48</v>
      </c>
      <c r="I6" s="23"/>
      <c r="J6" s="14" t="s">
        <v>16</v>
      </c>
      <c r="K6" s="14" t="s">
        <v>17</v>
      </c>
    </row>
    <row r="7" spans="1:13" ht="15" customHeight="1" x14ac:dyDescent="0.2">
      <c r="A7" s="5"/>
      <c r="B7" s="21"/>
      <c r="C7" s="26" t="s">
        <v>22</v>
      </c>
      <c r="D7" s="26" t="s">
        <v>383</v>
      </c>
      <c r="E7" s="456" t="s">
        <v>69</v>
      </c>
      <c r="F7" s="26" t="s">
        <v>22</v>
      </c>
      <c r="G7" s="22" t="s">
        <v>18</v>
      </c>
      <c r="H7" s="26" t="s">
        <v>19</v>
      </c>
      <c r="I7" s="14" t="s">
        <v>60</v>
      </c>
      <c r="J7" s="14" t="s">
        <v>20</v>
      </c>
      <c r="K7" s="14" t="s">
        <v>21</v>
      </c>
    </row>
    <row r="8" spans="1:13" x14ac:dyDescent="0.2">
      <c r="A8" s="5"/>
      <c r="B8" s="21"/>
      <c r="C8" s="14" t="s">
        <v>66</v>
      </c>
      <c r="D8" s="14" t="s">
        <v>22</v>
      </c>
      <c r="E8" s="457"/>
      <c r="F8" s="14" t="s">
        <v>67</v>
      </c>
      <c r="G8" s="22" t="s">
        <v>23</v>
      </c>
      <c r="H8" s="14" t="s">
        <v>24</v>
      </c>
      <c r="I8" s="14" t="s">
        <v>59</v>
      </c>
      <c r="J8" s="14" t="s">
        <v>25</v>
      </c>
      <c r="K8" s="14" t="s">
        <v>26</v>
      </c>
    </row>
    <row r="9" spans="1:13" x14ac:dyDescent="0.2">
      <c r="A9" s="5"/>
      <c r="B9" s="21"/>
      <c r="C9" s="14"/>
      <c r="D9" s="14"/>
      <c r="E9" s="457"/>
      <c r="F9" s="14"/>
      <c r="G9" s="22"/>
      <c r="H9" s="14"/>
      <c r="I9" s="14"/>
      <c r="J9" s="14"/>
      <c r="K9" s="14"/>
    </row>
    <row r="10" spans="1:13" x14ac:dyDescent="0.2">
      <c r="A10" s="5"/>
      <c r="B10" s="27"/>
      <c r="C10" s="15" t="s">
        <v>0</v>
      </c>
      <c r="D10" s="15"/>
      <c r="E10" s="15" t="s">
        <v>0</v>
      </c>
      <c r="F10" s="15" t="s">
        <v>0</v>
      </c>
      <c r="G10" s="24" t="s">
        <v>0</v>
      </c>
      <c r="H10" s="15" t="s">
        <v>0</v>
      </c>
      <c r="I10" s="15"/>
      <c r="J10" s="15" t="s">
        <v>0</v>
      </c>
      <c r="K10" s="15" t="s">
        <v>0</v>
      </c>
    </row>
    <row r="11" spans="1:13" x14ac:dyDescent="0.2">
      <c r="B11" s="28"/>
      <c r="C11" s="29"/>
      <c r="D11" s="95"/>
      <c r="E11" s="95"/>
      <c r="F11" s="29"/>
      <c r="G11" s="29"/>
      <c r="H11" s="29"/>
      <c r="I11" s="30"/>
      <c r="J11" s="47"/>
      <c r="K11" s="47"/>
    </row>
    <row r="12" spans="1:13" x14ac:dyDescent="0.2">
      <c r="B12" s="28" t="s">
        <v>27</v>
      </c>
      <c r="C12" s="33">
        <v>14700098884</v>
      </c>
      <c r="D12" s="96">
        <v>8</v>
      </c>
      <c r="E12" s="96">
        <v>0</v>
      </c>
      <c r="F12" s="33">
        <f>+C12+D12</f>
        <v>14700098892</v>
      </c>
      <c r="G12" s="30">
        <v>0</v>
      </c>
      <c r="H12" s="30">
        <v>0</v>
      </c>
      <c r="I12" s="30">
        <v>0</v>
      </c>
      <c r="J12" s="118">
        <f>+-SALDOS!G141-SALDOS!G142</f>
        <v>-11494616744.130001</v>
      </c>
      <c r="K12" s="119">
        <f>+J12+F12</f>
        <v>3205482147.8699989</v>
      </c>
      <c r="L12" s="101"/>
      <c r="M12" s="13"/>
    </row>
    <row r="13" spans="1:13" x14ac:dyDescent="0.2">
      <c r="B13" s="242" t="s">
        <v>382</v>
      </c>
      <c r="C13" s="33"/>
      <c r="D13" s="96"/>
      <c r="E13" s="96"/>
      <c r="F13" s="33"/>
      <c r="G13" s="32"/>
      <c r="H13" s="32"/>
      <c r="I13" s="32"/>
      <c r="J13" s="33"/>
      <c r="K13" s="48"/>
      <c r="L13" s="6"/>
      <c r="M13" s="129"/>
    </row>
    <row r="14" spans="1:13" ht="30" customHeight="1" thickBot="1" x14ac:dyDescent="0.25">
      <c r="B14" s="28"/>
      <c r="C14" s="34">
        <f>SUM(C12:C12)</f>
        <v>14700098884</v>
      </c>
      <c r="D14" s="34">
        <f>SUM(D12:D12)</f>
        <v>8</v>
      </c>
      <c r="E14" s="34">
        <f>SUM(E12:E12)</f>
        <v>0</v>
      </c>
      <c r="F14" s="34">
        <f>SUM(F12:F12)</f>
        <v>14700098892</v>
      </c>
      <c r="G14" s="35">
        <v>0</v>
      </c>
      <c r="H14" s="35">
        <v>0</v>
      </c>
      <c r="I14" s="35">
        <v>0</v>
      </c>
      <c r="J14" s="35">
        <f>SUM(J12:J13)</f>
        <v>-11494616744.130001</v>
      </c>
      <c r="K14" s="34">
        <f>+K12</f>
        <v>3205482147.8699989</v>
      </c>
      <c r="L14" s="6"/>
      <c r="M14" s="6"/>
    </row>
    <row r="15" spans="1:13" ht="10.8" thickTop="1" x14ac:dyDescent="0.2">
      <c r="B15" s="28"/>
      <c r="C15" s="32"/>
      <c r="D15" s="32"/>
      <c r="E15" s="33"/>
      <c r="F15" s="33"/>
      <c r="G15" s="32"/>
      <c r="H15" s="32"/>
      <c r="I15" s="32"/>
      <c r="J15" s="32"/>
      <c r="K15" s="33"/>
    </row>
    <row r="16" spans="1:13" hidden="1" x14ac:dyDescent="0.2">
      <c r="B16" s="28"/>
      <c r="C16" s="32"/>
      <c r="D16" s="32"/>
      <c r="E16" s="33"/>
      <c r="F16" s="33">
        <f t="shared" ref="F16:F22" si="0">+C16</f>
        <v>0</v>
      </c>
      <c r="G16" s="32"/>
      <c r="H16" s="32"/>
      <c r="I16" s="32"/>
      <c r="J16" s="32"/>
      <c r="K16" s="33">
        <f t="shared" ref="K16:K22" si="1">+F16</f>
        <v>0</v>
      </c>
      <c r="M16" s="6"/>
    </row>
    <row r="17" spans="2:13" hidden="1" x14ac:dyDescent="0.2">
      <c r="B17" s="28"/>
      <c r="C17" s="32"/>
      <c r="D17" s="32"/>
      <c r="E17" s="33"/>
      <c r="F17" s="33">
        <f t="shared" si="0"/>
        <v>0</v>
      </c>
      <c r="G17" s="32"/>
      <c r="H17" s="32"/>
      <c r="I17" s="32"/>
      <c r="J17" s="32"/>
      <c r="K17" s="33">
        <f t="shared" si="1"/>
        <v>0</v>
      </c>
      <c r="M17" s="6"/>
    </row>
    <row r="18" spans="2:13" hidden="1" x14ac:dyDescent="0.2">
      <c r="B18" s="28"/>
      <c r="C18" s="32"/>
      <c r="D18" s="32"/>
      <c r="E18" s="33"/>
      <c r="F18" s="33">
        <f t="shared" si="0"/>
        <v>0</v>
      </c>
      <c r="G18" s="32"/>
      <c r="H18" s="32"/>
      <c r="I18" s="32"/>
      <c r="J18" s="32"/>
      <c r="K18" s="33">
        <f t="shared" si="1"/>
        <v>0</v>
      </c>
      <c r="M18" s="6"/>
    </row>
    <row r="19" spans="2:13" hidden="1" x14ac:dyDescent="0.2">
      <c r="B19" s="28"/>
      <c r="C19" s="32"/>
      <c r="D19" s="32"/>
      <c r="E19" s="33"/>
      <c r="F19" s="33">
        <f t="shared" si="0"/>
        <v>0</v>
      </c>
      <c r="G19" s="32"/>
      <c r="H19" s="32"/>
      <c r="I19" s="32"/>
      <c r="J19" s="32"/>
      <c r="K19" s="33">
        <f t="shared" si="1"/>
        <v>0</v>
      </c>
      <c r="M19" s="6"/>
    </row>
    <row r="20" spans="2:13" hidden="1" x14ac:dyDescent="0.2">
      <c r="B20" s="28"/>
      <c r="C20" s="32"/>
      <c r="D20" s="32"/>
      <c r="E20" s="33"/>
      <c r="F20" s="33">
        <f t="shared" si="0"/>
        <v>0</v>
      </c>
      <c r="G20" s="32"/>
      <c r="H20" s="32"/>
      <c r="I20" s="32"/>
      <c r="J20" s="32"/>
      <c r="K20" s="33">
        <f t="shared" si="1"/>
        <v>0</v>
      </c>
      <c r="M20" s="6"/>
    </row>
    <row r="21" spans="2:13" hidden="1" x14ac:dyDescent="0.2">
      <c r="B21" s="28"/>
      <c r="C21" s="32"/>
      <c r="D21" s="32"/>
      <c r="E21" s="33"/>
      <c r="F21" s="33">
        <f t="shared" si="0"/>
        <v>0</v>
      </c>
      <c r="G21" s="32"/>
      <c r="H21" s="32"/>
      <c r="I21" s="32"/>
      <c r="J21" s="32"/>
      <c r="K21" s="33">
        <f t="shared" si="1"/>
        <v>0</v>
      </c>
      <c r="M21" s="6"/>
    </row>
    <row r="22" spans="2:13" x14ac:dyDescent="0.2">
      <c r="B22" s="28" t="s">
        <v>873</v>
      </c>
      <c r="C22" s="32">
        <v>148546600</v>
      </c>
      <c r="D22" s="32"/>
      <c r="E22" s="33"/>
      <c r="F22" s="33">
        <f t="shared" si="0"/>
        <v>148546600</v>
      </c>
      <c r="G22" s="32"/>
      <c r="H22" s="32"/>
      <c r="I22" s="32"/>
      <c r="J22" s="32"/>
      <c r="K22" s="33">
        <f t="shared" si="1"/>
        <v>148546600</v>
      </c>
      <c r="M22" s="6"/>
    </row>
    <row r="23" spans="2:13" x14ac:dyDescent="0.2">
      <c r="B23" s="28"/>
      <c r="C23" s="32"/>
      <c r="D23" s="32"/>
      <c r="E23" s="33"/>
      <c r="F23" s="33"/>
      <c r="G23" s="32"/>
      <c r="H23" s="32"/>
      <c r="I23" s="32"/>
      <c r="J23" s="32"/>
      <c r="K23" s="33">
        <f>+F23</f>
        <v>0</v>
      </c>
      <c r="M23" s="6"/>
    </row>
    <row r="24" spans="2:13" ht="7.5" customHeight="1" x14ac:dyDescent="0.2">
      <c r="B24" s="28"/>
      <c r="C24" s="32"/>
      <c r="D24" s="32"/>
      <c r="E24" s="33"/>
      <c r="F24" s="33"/>
      <c r="G24" s="32"/>
      <c r="H24" s="32"/>
      <c r="I24" s="32"/>
      <c r="J24" s="32"/>
      <c r="K24" s="33"/>
      <c r="M24" s="6"/>
    </row>
    <row r="25" spans="2:13" x14ac:dyDescent="0.2">
      <c r="B25" s="28" t="s">
        <v>28</v>
      </c>
      <c r="C25" s="32" t="s">
        <v>1</v>
      </c>
      <c r="D25" s="32"/>
      <c r="E25" s="33"/>
      <c r="F25" s="33"/>
      <c r="G25" s="32"/>
      <c r="H25" s="32"/>
      <c r="I25" s="32"/>
      <c r="J25" s="33">
        <f>+Resultados!C26</f>
        <v>-1672589124.26</v>
      </c>
      <c r="K25" s="48">
        <f>+J25</f>
        <v>-1672589124.26</v>
      </c>
    </row>
    <row r="26" spans="2:13" x14ac:dyDescent="0.2">
      <c r="B26" s="28"/>
      <c r="C26" s="32"/>
      <c r="D26" s="32"/>
      <c r="E26" s="33"/>
      <c r="F26" s="33"/>
      <c r="G26" s="32"/>
      <c r="H26" s="32"/>
      <c r="I26" s="32"/>
      <c r="J26" s="33"/>
      <c r="K26" s="33"/>
    </row>
    <row r="27" spans="2:13" x14ac:dyDescent="0.2">
      <c r="B27" s="36" t="s">
        <v>865</v>
      </c>
      <c r="C27" s="49">
        <f>SUM(C14:C25)</f>
        <v>14848645484</v>
      </c>
      <c r="D27" s="49">
        <f>SUM(D14:D26)</f>
        <v>8</v>
      </c>
      <c r="E27" s="49">
        <f>SUM(E14:E25)</f>
        <v>0</v>
      </c>
      <c r="F27" s="49">
        <f>SUM(F14:F25)</f>
        <v>14848645492</v>
      </c>
      <c r="G27" s="270">
        <f>+G14</f>
        <v>0</v>
      </c>
      <c r="H27" s="38">
        <f>+H14</f>
        <v>0</v>
      </c>
      <c r="I27" s="38">
        <f>+I14</f>
        <v>0</v>
      </c>
      <c r="J27" s="37">
        <f>+J14+J25</f>
        <v>-13167205868.390001</v>
      </c>
      <c r="K27" s="37">
        <f>SUM(K14:K25)</f>
        <v>1681439623.6099989</v>
      </c>
      <c r="L27" s="6"/>
    </row>
    <row r="28" spans="2:13" x14ac:dyDescent="0.2">
      <c r="C28" s="7"/>
      <c r="D28" s="7"/>
      <c r="E28" s="7"/>
      <c r="F28" s="7"/>
      <c r="G28" s="7"/>
      <c r="J28" s="6"/>
      <c r="K28" s="6"/>
      <c r="L28" s="6"/>
    </row>
    <row r="29" spans="2:13" x14ac:dyDescent="0.2">
      <c r="B29" s="4" t="s">
        <v>13</v>
      </c>
      <c r="F29" s="6"/>
      <c r="J29" s="39"/>
      <c r="K29" s="61"/>
    </row>
    <row r="30" spans="2:13" x14ac:dyDescent="0.2">
      <c r="B30" s="4" t="s">
        <v>14</v>
      </c>
      <c r="F30" s="60"/>
      <c r="I30" s="6"/>
      <c r="J30" s="6"/>
      <c r="K30" s="61"/>
    </row>
    <row r="31" spans="2:13" x14ac:dyDescent="0.2">
      <c r="C31" s="6"/>
      <c r="D31" s="229"/>
      <c r="F31" s="6"/>
      <c r="J31" s="60"/>
      <c r="K31" s="6"/>
    </row>
    <row r="32" spans="2:13" x14ac:dyDescent="0.2">
      <c r="C32" s="6"/>
      <c r="D32" s="6"/>
      <c r="E32" s="6"/>
      <c r="F32" s="6"/>
      <c r="J32" s="60"/>
    </row>
    <row r="33" spans="3:10" x14ac:dyDescent="0.2">
      <c r="C33" s="6"/>
      <c r="D33" s="6"/>
      <c r="F33" s="6"/>
    </row>
    <row r="34" spans="3:10" x14ac:dyDescent="0.2">
      <c r="C34" s="6"/>
      <c r="D34" s="6"/>
      <c r="F34" s="60"/>
    </row>
    <row r="35" spans="3:10" x14ac:dyDescent="0.2">
      <c r="C35" s="6"/>
      <c r="D35" s="6"/>
    </row>
    <row r="37" spans="3:10" x14ac:dyDescent="0.2">
      <c r="C37" s="8" t="str">
        <f>+Resultados!A39</f>
        <v>Miguel Ángel Alonso</v>
      </c>
      <c r="D37" s="8"/>
      <c r="E37" s="8"/>
      <c r="G37" s="4" t="str">
        <f>+Balance!F32</f>
        <v>Pedro Nicholson</v>
      </c>
      <c r="J37" s="8" t="str">
        <f>+Balance!K32</f>
        <v>Alejandro Poletto</v>
      </c>
    </row>
    <row r="38" spans="3:10" x14ac:dyDescent="0.2">
      <c r="C38" s="8" t="str">
        <f>+Resultados!A40</f>
        <v>Contador Público (U.C.A.)</v>
      </c>
      <c r="D38" s="8"/>
      <c r="E38" s="8"/>
      <c r="G38" s="8" t="str">
        <f>+Balance!F33</f>
        <v>Síndico</v>
      </c>
      <c r="J38" s="8" t="s">
        <v>247</v>
      </c>
    </row>
    <row r="39" spans="3:10" x14ac:dyDescent="0.2">
      <c r="C39" s="8" t="str">
        <f>+Resultados!A41</f>
        <v>C.P.C.E.C.A.B.A. Tº176  Fº03</v>
      </c>
      <c r="D39" s="8"/>
      <c r="E39" s="8"/>
      <c r="J39" s="8" t="s">
        <v>68</v>
      </c>
    </row>
  </sheetData>
  <mergeCells count="1">
    <mergeCell ref="E7:E9"/>
  </mergeCells>
  <phoneticPr fontId="0" type="noConversion"/>
  <pageMargins left="0.74803149606299213" right="0.19685039370078741" top="1.7716535433070868" bottom="0.98425196850393704" header="0.59055118110236227" footer="0"/>
  <pageSetup paperSize="9" scale="97" orientation="landscape" r:id="rId1"/>
  <headerFooter alignWithMargins="0">
    <oddHeader xml:space="preserve">&amp;L&amp;"Book Antiqua,Normal"&amp;9Southern Copper Argentina SRL.
Tucuman 1
Ciudad Autónoma de Buenos Aires
Nºde Insc.en I.G.J.:11764 del Libro 135 de SRL.
</oddHeader>
  </headerFooter>
  <ignoredErrors>
    <ignoredError sqref="D2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J104"/>
  <sheetViews>
    <sheetView zoomScaleNormal="100" workbookViewId="0"/>
  </sheetViews>
  <sheetFormatPr baseColWidth="10" defaultColWidth="11.33203125" defaultRowHeight="10.199999999999999" x14ac:dyDescent="0.2"/>
  <cols>
    <col min="1" max="1" width="6.109375" style="7" customWidth="1"/>
    <col min="2" max="2" width="3.6640625" style="7" customWidth="1"/>
    <col min="3" max="3" width="7.33203125" style="7" customWidth="1"/>
    <col min="4" max="4" width="3.6640625" style="7" customWidth="1"/>
    <col min="5" max="5" width="38.109375" style="7" customWidth="1"/>
    <col min="6" max="6" width="12.6640625" style="7" bestFit="1" customWidth="1"/>
    <col min="7" max="7" width="11.33203125" style="7"/>
    <col min="8" max="8" width="12.33203125" style="7" bestFit="1" customWidth="1"/>
    <col min="9" max="16384" width="11.33203125" style="7"/>
  </cols>
  <sheetData>
    <row r="1" spans="2:7" x14ac:dyDescent="0.2">
      <c r="B1" s="146" t="s">
        <v>56</v>
      </c>
      <c r="C1" s="146"/>
      <c r="D1" s="146" t="s">
        <v>29</v>
      </c>
      <c r="E1" s="146"/>
    </row>
    <row r="2" spans="2:7" x14ac:dyDescent="0.2">
      <c r="B2" s="7" t="str">
        <f>+Balance!A2</f>
        <v>Al 30 de junio 2026  - Cifras expresadas en pesos</v>
      </c>
    </row>
    <row r="4" spans="2:7" x14ac:dyDescent="0.2">
      <c r="F4" s="234" t="str">
        <f>+Balance!F5</f>
        <v>30.06.2026</v>
      </c>
    </row>
    <row r="5" spans="2:7" x14ac:dyDescent="0.2">
      <c r="B5" s="146" t="s">
        <v>30</v>
      </c>
    </row>
    <row r="6" spans="2:7" x14ac:dyDescent="0.2">
      <c r="B6" s="146" t="s">
        <v>31</v>
      </c>
    </row>
    <row r="7" spans="2:7" x14ac:dyDescent="0.2">
      <c r="B7" s="7" t="s">
        <v>32</v>
      </c>
      <c r="C7" s="235" t="s">
        <v>85</v>
      </c>
    </row>
    <row r="8" spans="2:7" x14ac:dyDescent="0.2">
      <c r="D8" s="236" t="s">
        <v>45</v>
      </c>
      <c r="F8" s="237">
        <f>+SALDOS!G3</f>
        <v>0</v>
      </c>
    </row>
    <row r="9" spans="2:7" x14ac:dyDescent="0.2">
      <c r="D9" s="236" t="s">
        <v>362</v>
      </c>
      <c r="F9" s="237">
        <f>+SALDOS!G4</f>
        <v>0</v>
      </c>
    </row>
    <row r="10" spans="2:7" x14ac:dyDescent="0.2">
      <c r="D10" s="56" t="s">
        <v>235</v>
      </c>
      <c r="F10" s="237">
        <f>+SALDOS!G5</f>
        <v>10663404.48</v>
      </c>
      <c r="G10" s="289"/>
    </row>
    <row r="11" spans="2:7" x14ac:dyDescent="0.2">
      <c r="D11" s="56" t="s">
        <v>190</v>
      </c>
      <c r="F11" s="237">
        <f>+SALDOS!G11</f>
        <v>8464196.790000001</v>
      </c>
      <c r="G11" s="289"/>
    </row>
    <row r="12" spans="2:7" x14ac:dyDescent="0.2">
      <c r="D12" s="58" t="s">
        <v>750</v>
      </c>
      <c r="F12" s="237">
        <f>+SALDOS!G6</f>
        <v>1445749.5</v>
      </c>
    </row>
    <row r="13" spans="2:7" x14ac:dyDescent="0.2">
      <c r="D13" s="58" t="s">
        <v>817</v>
      </c>
      <c r="F13" s="237">
        <f>+SALDOS!G7</f>
        <v>0</v>
      </c>
    </row>
    <row r="14" spans="2:7" x14ac:dyDescent="0.2">
      <c r="D14" s="58" t="s">
        <v>751</v>
      </c>
      <c r="F14" s="237">
        <f>+SALDOS!G8</f>
        <v>-23141.31</v>
      </c>
    </row>
    <row r="15" spans="2:7" x14ac:dyDescent="0.2">
      <c r="D15" s="238" t="s">
        <v>663</v>
      </c>
      <c r="F15" s="237">
        <f>+SALDOS!G9</f>
        <v>3926.88</v>
      </c>
    </row>
    <row r="16" spans="2:7" x14ac:dyDescent="0.2">
      <c r="D16" s="241" t="s">
        <v>763</v>
      </c>
      <c r="F16" s="237">
        <f>+SALDOS!G12</f>
        <v>0</v>
      </c>
    </row>
    <row r="17" spans="2:6" x14ac:dyDescent="0.2">
      <c r="D17" s="56" t="s">
        <v>111</v>
      </c>
      <c r="F17" s="237">
        <f>+SALDOS!G10</f>
        <v>0</v>
      </c>
    </row>
    <row r="18" spans="2:6" ht="10.8" thickBot="1" x14ac:dyDescent="0.25">
      <c r="C18" s="7" t="s">
        <v>1</v>
      </c>
      <c r="F18" s="139">
        <f>SUM(F8:F17)</f>
        <v>20554136.340000004</v>
      </c>
    </row>
    <row r="19" spans="2:6" ht="10.8" thickTop="1" x14ac:dyDescent="0.2">
      <c r="F19" s="144"/>
    </row>
    <row r="20" spans="2:6" x14ac:dyDescent="0.2">
      <c r="B20" s="7" t="s">
        <v>55</v>
      </c>
      <c r="C20" s="235" t="s">
        <v>86</v>
      </c>
      <c r="F20" s="144"/>
    </row>
    <row r="21" spans="2:6" x14ac:dyDescent="0.2">
      <c r="C21" s="235"/>
      <c r="D21" s="58" t="s">
        <v>375</v>
      </c>
      <c r="F21" s="144">
        <f>+SALDOS!G40</f>
        <v>0</v>
      </c>
    </row>
    <row r="22" spans="2:6" x14ac:dyDescent="0.2">
      <c r="C22" s="235"/>
      <c r="D22" s="56" t="s">
        <v>76</v>
      </c>
      <c r="F22" s="57">
        <f>+SALDOS!G14</f>
        <v>0</v>
      </c>
    </row>
    <row r="23" spans="2:6" x14ac:dyDescent="0.2">
      <c r="C23" s="235"/>
      <c r="D23" s="56" t="s">
        <v>77</v>
      </c>
      <c r="F23" s="57">
        <f>+SALDOS!G15</f>
        <v>1667959397.47</v>
      </c>
    </row>
    <row r="24" spans="2:6" x14ac:dyDescent="0.2">
      <c r="C24" s="235"/>
      <c r="D24" s="56" t="s">
        <v>115</v>
      </c>
      <c r="F24" s="57">
        <f>+SALDOS!G18</f>
        <v>7866857.0800000001</v>
      </c>
    </row>
    <row r="25" spans="2:6" x14ac:dyDescent="0.2">
      <c r="C25" s="235"/>
      <c r="D25" s="56" t="s">
        <v>78</v>
      </c>
      <c r="F25" s="54">
        <f>+SALDOS!G16</f>
        <v>0</v>
      </c>
    </row>
    <row r="26" spans="2:6" x14ac:dyDescent="0.2">
      <c r="C26" s="235"/>
      <c r="D26" s="56" t="s">
        <v>92</v>
      </c>
      <c r="F26" s="54">
        <f>+SALDOS!G17</f>
        <v>0</v>
      </c>
    </row>
    <row r="27" spans="2:6" x14ac:dyDescent="0.2">
      <c r="C27" s="235"/>
      <c r="D27" s="56" t="s">
        <v>79</v>
      </c>
      <c r="F27" s="57">
        <f>+SALDOS!G19</f>
        <v>52018352.270000003</v>
      </c>
    </row>
    <row r="28" spans="2:6" x14ac:dyDescent="0.2">
      <c r="C28" s="235"/>
      <c r="D28" s="56" t="s">
        <v>179</v>
      </c>
      <c r="F28" s="57">
        <f>+SALDOS!G20</f>
        <v>528747.09</v>
      </c>
    </row>
    <row r="29" spans="2:6" x14ac:dyDescent="0.2">
      <c r="C29" s="235"/>
      <c r="D29" s="58" t="s">
        <v>566</v>
      </c>
      <c r="F29" s="57">
        <f>+SALDOS!G25</f>
        <v>26028040.719999999</v>
      </c>
    </row>
    <row r="30" spans="2:6" x14ac:dyDescent="0.2">
      <c r="C30" s="235"/>
      <c r="D30" s="58" t="s">
        <v>841</v>
      </c>
      <c r="F30" s="57">
        <f>+SALDOS!G26</f>
        <v>0</v>
      </c>
    </row>
    <row r="31" spans="2:6" x14ac:dyDescent="0.2">
      <c r="C31" s="235"/>
      <c r="D31" s="130" t="s">
        <v>323</v>
      </c>
      <c r="F31" s="57">
        <f>+SALDOS!G27</f>
        <v>0</v>
      </c>
    </row>
    <row r="32" spans="2:6" x14ac:dyDescent="0.2">
      <c r="C32" s="235"/>
      <c r="D32" s="241" t="s">
        <v>746</v>
      </c>
      <c r="F32" s="57">
        <f>+SALDOS!G28</f>
        <v>0</v>
      </c>
    </row>
    <row r="33" spans="4:8" x14ac:dyDescent="0.2">
      <c r="D33" s="56" t="s">
        <v>80</v>
      </c>
      <c r="F33" s="57">
        <f>+SALDOS!G29</f>
        <v>95935319.460000008</v>
      </c>
    </row>
    <row r="34" spans="4:8" x14ac:dyDescent="0.2">
      <c r="D34" s="56" t="s">
        <v>81</v>
      </c>
      <c r="F34" s="57">
        <f>+SALDOS!G30</f>
        <v>908.12</v>
      </c>
    </row>
    <row r="35" spans="4:8" x14ac:dyDescent="0.2">
      <c r="D35" s="58" t="s">
        <v>394</v>
      </c>
      <c r="F35" s="57">
        <f>+SALDOS!G33</f>
        <v>154199532</v>
      </c>
    </row>
    <row r="36" spans="4:8" x14ac:dyDescent="0.2">
      <c r="D36" s="56" t="s">
        <v>82</v>
      </c>
      <c r="E36" s="3"/>
      <c r="F36" s="54">
        <f>+SALDOS!G42</f>
        <v>108200</v>
      </c>
    </row>
    <row r="37" spans="4:8" x14ac:dyDescent="0.2">
      <c r="D37" s="58" t="s">
        <v>682</v>
      </c>
      <c r="E37" s="3"/>
      <c r="F37" s="54">
        <f>+SALDOS!G41</f>
        <v>0</v>
      </c>
    </row>
    <row r="38" spans="4:8" x14ac:dyDescent="0.2">
      <c r="D38" s="58" t="s">
        <v>278</v>
      </c>
      <c r="E38" s="3"/>
      <c r="F38" s="54">
        <f>+SALDOS!G34</f>
        <v>0</v>
      </c>
    </row>
    <row r="39" spans="4:8" x14ac:dyDescent="0.2">
      <c r="D39" s="58" t="s">
        <v>228</v>
      </c>
      <c r="F39" s="54">
        <f>+SALDOS!G35</f>
        <v>0</v>
      </c>
    </row>
    <row r="40" spans="4:8" x14ac:dyDescent="0.2">
      <c r="D40" s="58" t="s">
        <v>318</v>
      </c>
      <c r="F40" s="54">
        <f>+SALDOS!G36</f>
        <v>0</v>
      </c>
    </row>
    <row r="41" spans="4:8" x14ac:dyDescent="0.2">
      <c r="D41" s="127" t="s">
        <v>319</v>
      </c>
      <c r="F41" s="54">
        <f>+SALDOS!G37</f>
        <v>17397227.48</v>
      </c>
    </row>
    <row r="42" spans="4:8" x14ac:dyDescent="0.2">
      <c r="D42" s="56" t="s">
        <v>209</v>
      </c>
      <c r="E42" s="3"/>
      <c r="F42" s="54">
        <f>+SALDOS!G38</f>
        <v>323000</v>
      </c>
      <c r="H42" s="54"/>
    </row>
    <row r="43" spans="4:8" x14ac:dyDescent="0.2">
      <c r="D43" s="58" t="s">
        <v>329</v>
      </c>
      <c r="E43" s="3"/>
      <c r="F43" s="54">
        <f>+SALDOS!G31</f>
        <v>6297405.2199999997</v>
      </c>
    </row>
    <row r="44" spans="4:8" x14ac:dyDescent="0.2">
      <c r="D44" s="58" t="s">
        <v>498</v>
      </c>
      <c r="E44" s="3"/>
      <c r="F44" s="54">
        <f>+SALDOS!G32</f>
        <v>0</v>
      </c>
    </row>
    <row r="45" spans="4:8" x14ac:dyDescent="0.2">
      <c r="D45" s="56" t="s">
        <v>284</v>
      </c>
      <c r="E45" s="3"/>
      <c r="F45" s="54">
        <f>+SALDOS!G21</f>
        <v>0</v>
      </c>
    </row>
    <row r="46" spans="4:8" x14ac:dyDescent="0.2">
      <c r="D46" s="117" t="s">
        <v>285</v>
      </c>
      <c r="E46" s="3"/>
      <c r="F46" s="54">
        <f>+SALDOS!G22</f>
        <v>243686.59</v>
      </c>
    </row>
    <row r="47" spans="4:8" x14ac:dyDescent="0.2">
      <c r="D47" s="117" t="s">
        <v>286</v>
      </c>
      <c r="E47" s="3"/>
      <c r="F47" s="54">
        <f>+SALDOS!G23</f>
        <v>203599.05000000002</v>
      </c>
    </row>
    <row r="48" spans="4:8" x14ac:dyDescent="0.2">
      <c r="D48" s="58" t="s">
        <v>388</v>
      </c>
      <c r="E48" s="3"/>
      <c r="F48" s="54">
        <f>+SALDOS!G24</f>
        <v>45551974.829999998</v>
      </c>
    </row>
    <row r="49" spans="2:10" x14ac:dyDescent="0.2">
      <c r="D49" s="58" t="s">
        <v>386</v>
      </c>
      <c r="E49" s="3"/>
      <c r="F49" s="54">
        <f>+SALDOS!G60</f>
        <v>5439067</v>
      </c>
    </row>
    <row r="50" spans="2:10" x14ac:dyDescent="0.2">
      <c r="D50" s="58" t="s">
        <v>387</v>
      </c>
      <c r="E50" s="3"/>
      <c r="F50" s="54">
        <f>+SALDOS!G61</f>
        <v>32772165</v>
      </c>
    </row>
    <row r="51" spans="2:10" ht="10.8" thickBot="1" x14ac:dyDescent="0.25">
      <c r="D51" s="2"/>
      <c r="E51" s="3"/>
      <c r="F51" s="239">
        <f>SUM(F21:F50)</f>
        <v>2112873479.3799996</v>
      </c>
      <c r="H51" s="39"/>
      <c r="I51" s="54"/>
      <c r="J51" s="54"/>
    </row>
    <row r="52" spans="2:10" ht="10.8" thickTop="1" x14ac:dyDescent="0.2">
      <c r="F52" s="144"/>
    </row>
    <row r="53" spans="2:10" x14ac:dyDescent="0.2">
      <c r="B53" s="7" t="s">
        <v>70</v>
      </c>
      <c r="C53" s="235" t="s">
        <v>65</v>
      </c>
    </row>
    <row r="54" spans="2:10" x14ac:dyDescent="0.2">
      <c r="D54" s="236" t="s">
        <v>84</v>
      </c>
      <c r="F54" s="54">
        <f>+SALDOS!G39</f>
        <v>0</v>
      </c>
      <c r="G54" s="54"/>
    </row>
    <row r="55" spans="2:10" ht="10.8" thickBot="1" x14ac:dyDescent="0.25">
      <c r="C55" s="7" t="s">
        <v>1</v>
      </c>
      <c r="F55" s="139">
        <f>SUM(F54:F54)</f>
        <v>0</v>
      </c>
    </row>
    <row r="56" spans="2:10" ht="10.8" thickTop="1" x14ac:dyDescent="0.2">
      <c r="F56" s="144"/>
    </row>
    <row r="57" spans="2:10" x14ac:dyDescent="0.2">
      <c r="B57" s="146" t="s">
        <v>325</v>
      </c>
      <c r="F57" s="144"/>
    </row>
    <row r="58" spans="2:10" x14ac:dyDescent="0.2">
      <c r="F58" s="144"/>
    </row>
    <row r="59" spans="2:10" x14ac:dyDescent="0.2">
      <c r="B59" s="7" t="s">
        <v>73</v>
      </c>
      <c r="C59" s="235" t="s">
        <v>326</v>
      </c>
      <c r="F59" s="144"/>
    </row>
    <row r="60" spans="2:10" x14ac:dyDescent="0.2">
      <c r="D60" s="236" t="s">
        <v>327</v>
      </c>
      <c r="F60" s="144">
        <f>+SALDOS!G43</f>
        <v>0</v>
      </c>
    </row>
    <row r="61" spans="2:10" ht="10.8" thickBot="1" x14ac:dyDescent="0.25">
      <c r="F61" s="139">
        <f>SUM(F60:F60)</f>
        <v>0</v>
      </c>
      <c r="G61" s="54"/>
      <c r="H61" s="54"/>
    </row>
    <row r="62" spans="2:10" ht="10.8" thickTop="1" x14ac:dyDescent="0.2">
      <c r="F62" s="144"/>
    </row>
    <row r="63" spans="2:10" x14ac:dyDescent="0.2">
      <c r="F63" s="234" t="str">
        <f>+Balance!F5</f>
        <v>30.06.2026</v>
      </c>
    </row>
    <row r="64" spans="2:10" x14ac:dyDescent="0.2">
      <c r="F64" s="163"/>
    </row>
    <row r="65" spans="2:10" x14ac:dyDescent="0.2">
      <c r="B65" s="146" t="s">
        <v>57</v>
      </c>
    </row>
    <row r="66" spans="2:10" x14ac:dyDescent="0.2">
      <c r="B66" s="146" t="s">
        <v>58</v>
      </c>
    </row>
    <row r="67" spans="2:10" x14ac:dyDescent="0.2">
      <c r="B67" s="7" t="s">
        <v>200</v>
      </c>
      <c r="C67" s="235" t="s">
        <v>71</v>
      </c>
    </row>
    <row r="68" spans="2:10" x14ac:dyDescent="0.2">
      <c r="C68" s="235"/>
      <c r="D68" s="7" t="s">
        <v>72</v>
      </c>
      <c r="F68" s="54">
        <f>-SALDOS!I116</f>
        <v>106687518.28999999</v>
      </c>
    </row>
    <row r="69" spans="2:10" x14ac:dyDescent="0.2">
      <c r="C69" s="235"/>
      <c r="D69" s="7" t="s">
        <v>270</v>
      </c>
      <c r="F69" s="54">
        <f>-SALDOS!G126</f>
        <v>0</v>
      </c>
    </row>
    <row r="70" spans="2:10" x14ac:dyDescent="0.2">
      <c r="C70" s="235"/>
      <c r="D70" s="58" t="s">
        <v>684</v>
      </c>
      <c r="F70" s="54">
        <f>-SALDOS!G129</f>
        <v>0</v>
      </c>
    </row>
    <row r="71" spans="2:10" x14ac:dyDescent="0.2">
      <c r="C71" s="235"/>
      <c r="D71" s="58" t="s">
        <v>730</v>
      </c>
      <c r="F71" s="54">
        <f>-SALDOS!G134</f>
        <v>0</v>
      </c>
    </row>
    <row r="72" spans="2:10" ht="10.8" thickBot="1" x14ac:dyDescent="0.25">
      <c r="B72" s="146"/>
      <c r="F72" s="239">
        <f>SUM(F68:F71)</f>
        <v>106687518.28999999</v>
      </c>
      <c r="H72" s="54"/>
      <c r="I72" s="54"/>
    </row>
    <row r="73" spans="2:10" ht="10.8" thickTop="1" x14ac:dyDescent="0.2">
      <c r="B73" s="7" t="s">
        <v>328</v>
      </c>
      <c r="C73" s="235" t="s">
        <v>199</v>
      </c>
      <c r="F73" s="169"/>
      <c r="J73" s="54"/>
    </row>
    <row r="74" spans="2:10" ht="13.2" x14ac:dyDescent="0.25">
      <c r="B74" s="146"/>
      <c r="D74" s="58" t="s">
        <v>110</v>
      </c>
      <c r="E74" s="116"/>
      <c r="F74" s="59">
        <f>-SALDOS!G121</f>
        <v>199168357.75999999</v>
      </c>
    </row>
    <row r="75" spans="2:10" ht="13.2" x14ac:dyDescent="0.25">
      <c r="B75" s="146"/>
      <c r="D75" s="58" t="s">
        <v>230</v>
      </c>
      <c r="E75" s="116"/>
      <c r="F75" s="59">
        <v>0</v>
      </c>
    </row>
    <row r="76" spans="2:10" ht="13.2" x14ac:dyDescent="0.25">
      <c r="B76" s="146"/>
      <c r="D76" s="58" t="s">
        <v>239</v>
      </c>
      <c r="E76" s="116"/>
      <c r="F76" s="59">
        <v>0</v>
      </c>
    </row>
    <row r="77" spans="2:10" ht="13.2" x14ac:dyDescent="0.25">
      <c r="B77" s="146"/>
      <c r="D77" s="58" t="s">
        <v>240</v>
      </c>
      <c r="E77" s="116"/>
      <c r="F77" s="59">
        <f>-SALDOS!G124</f>
        <v>0</v>
      </c>
    </row>
    <row r="78" spans="2:10" ht="13.2" x14ac:dyDescent="0.25">
      <c r="B78" s="146"/>
      <c r="D78" s="58" t="s">
        <v>526</v>
      </c>
      <c r="E78" s="116"/>
      <c r="F78" s="59">
        <f>-SALDOS!G123-SALDOS!G132</f>
        <v>0</v>
      </c>
    </row>
    <row r="79" spans="2:10" ht="13.2" x14ac:dyDescent="0.25">
      <c r="B79" s="146"/>
      <c r="D79" s="58" t="s">
        <v>738</v>
      </c>
      <c r="E79" s="116"/>
      <c r="F79" s="59">
        <f>-SALDOS!G136</f>
        <v>19744</v>
      </c>
    </row>
    <row r="80" spans="2:10" ht="13.2" x14ac:dyDescent="0.25">
      <c r="B80" s="146"/>
      <c r="D80" s="256" t="s">
        <v>825</v>
      </c>
      <c r="E80" s="116"/>
      <c r="F80" s="59">
        <f>-SALDOS!G137</f>
        <v>0</v>
      </c>
    </row>
    <row r="81" spans="2:8" ht="13.2" hidden="1" x14ac:dyDescent="0.25">
      <c r="B81" s="146"/>
      <c r="D81" s="58" t="s">
        <v>577</v>
      </c>
      <c r="E81" s="116"/>
      <c r="F81" s="59">
        <f>-SALDOS!G133</f>
        <v>0</v>
      </c>
    </row>
    <row r="82" spans="2:8" ht="13.2" x14ac:dyDescent="0.25">
      <c r="B82" s="146"/>
      <c r="D82" s="58" t="s">
        <v>800</v>
      </c>
      <c r="E82" s="116"/>
      <c r="F82" s="59">
        <f>-SALDOS!G135</f>
        <v>1335.23</v>
      </c>
    </row>
    <row r="83" spans="2:8" ht="13.2" x14ac:dyDescent="0.25">
      <c r="B83" s="146"/>
      <c r="D83" s="58" t="s">
        <v>389</v>
      </c>
      <c r="E83" s="116"/>
      <c r="F83" s="59">
        <f>-SALDOS!G127</f>
        <v>45551975</v>
      </c>
    </row>
    <row r="84" spans="2:8" ht="13.2" x14ac:dyDescent="0.25">
      <c r="B84" s="146"/>
      <c r="D84" s="58" t="s">
        <v>390</v>
      </c>
      <c r="E84" s="116"/>
      <c r="F84" s="59">
        <f>-SALDOS!G128</f>
        <v>772433.68</v>
      </c>
    </row>
    <row r="85" spans="2:8" ht="13.2" x14ac:dyDescent="0.25">
      <c r="B85" s="146"/>
      <c r="D85" s="58" t="s">
        <v>523</v>
      </c>
      <c r="E85" s="116"/>
      <c r="F85" s="59">
        <f>-SALDOS!G131</f>
        <v>38149531.82</v>
      </c>
    </row>
    <row r="86" spans="2:8" ht="13.8" thickBot="1" x14ac:dyDescent="0.3">
      <c r="B86" s="146"/>
      <c r="E86" s="116"/>
      <c r="F86" s="239">
        <f>SUM(F74:F85)</f>
        <v>283663377.49000001</v>
      </c>
    </row>
    <row r="87" spans="2:8" ht="13.8" thickTop="1" x14ac:dyDescent="0.25">
      <c r="B87" s="146"/>
      <c r="D87" s="58"/>
      <c r="E87" s="116"/>
      <c r="F87" s="59"/>
    </row>
    <row r="88" spans="2:8" ht="13.2" x14ac:dyDescent="0.25">
      <c r="B88" s="7" t="s">
        <v>336</v>
      </c>
      <c r="C88" s="235" t="s">
        <v>74</v>
      </c>
      <c r="D88" s="58"/>
      <c r="E88" s="116"/>
      <c r="F88" s="59"/>
    </row>
    <row r="89" spans="2:8" ht="13.2" x14ac:dyDescent="0.25">
      <c r="C89" s="235"/>
      <c r="D89" s="58" t="s">
        <v>83</v>
      </c>
      <c r="E89" s="116"/>
      <c r="F89" s="59">
        <f>-SALDOS!G120</f>
        <v>46874610.969999999</v>
      </c>
    </row>
    <row r="90" spans="2:8" ht="13.2" x14ac:dyDescent="0.25">
      <c r="B90" s="146"/>
      <c r="D90" s="58" t="s">
        <v>243</v>
      </c>
      <c r="E90" s="116"/>
      <c r="F90" s="59">
        <f>-SALDOS!G122</f>
        <v>39510574.149999999</v>
      </c>
    </row>
    <row r="91" spans="2:8" ht="13.2" x14ac:dyDescent="0.25">
      <c r="B91" s="146"/>
      <c r="D91" s="58" t="s">
        <v>259</v>
      </c>
      <c r="E91" s="116"/>
      <c r="F91" s="59">
        <f>-SALDOS!G125</f>
        <v>0</v>
      </c>
    </row>
    <row r="92" spans="2:8" ht="13.2" x14ac:dyDescent="0.25">
      <c r="B92" s="146"/>
      <c r="D92" s="58" t="s">
        <v>469</v>
      </c>
      <c r="E92" s="116"/>
      <c r="F92" s="59">
        <f>-SALDOS!G130</f>
        <v>0</v>
      </c>
    </row>
    <row r="93" spans="2:8" ht="10.8" thickBot="1" x14ac:dyDescent="0.25">
      <c r="F93" s="139">
        <f>SUM(F89:F92)</f>
        <v>86385185.120000005</v>
      </c>
      <c r="G93" s="54"/>
      <c r="H93" s="54"/>
    </row>
    <row r="94" spans="2:8" ht="10.8" thickTop="1" x14ac:dyDescent="0.2">
      <c r="F94" s="237"/>
    </row>
    <row r="95" spans="2:8" x14ac:dyDescent="0.2">
      <c r="B95" s="7" t="s">
        <v>13</v>
      </c>
    </row>
    <row r="96" spans="2:8" x14ac:dyDescent="0.2">
      <c r="B96" s="7" t="s">
        <v>14</v>
      </c>
      <c r="H96" s="54"/>
    </row>
    <row r="97" spans="3:8" x14ac:dyDescent="0.2">
      <c r="H97" s="39"/>
    </row>
    <row r="102" spans="3:8" x14ac:dyDescent="0.2">
      <c r="C102" s="110" t="str">
        <f>+Balance!D32</f>
        <v>Miguel Ángel Alonso</v>
      </c>
      <c r="D102" s="110"/>
      <c r="E102" s="110" t="str">
        <f>+Balance!F32</f>
        <v>Pedro Nicholson</v>
      </c>
      <c r="F102" s="110"/>
      <c r="G102" s="110" t="str">
        <f>+Balance!K32</f>
        <v>Alejandro Poletto</v>
      </c>
    </row>
    <row r="103" spans="3:8" x14ac:dyDescent="0.2">
      <c r="C103" s="110" t="str">
        <f>+Balance!D33</f>
        <v>Contador Público (U.C.A.)</v>
      </c>
      <c r="D103" s="110"/>
      <c r="E103" s="110" t="str">
        <f>+Balance!F33</f>
        <v>Síndico</v>
      </c>
      <c r="F103" s="110"/>
      <c r="G103" s="110" t="str">
        <f>+Balance!K33</f>
        <v>Southern Copper Arg. S.R.L.</v>
      </c>
    </row>
    <row r="104" spans="3:8" x14ac:dyDescent="0.2">
      <c r="C104" s="110" t="str">
        <f>+Balance!D34</f>
        <v>C.P.C.E.C.A.B.A. Tº176  Fº03</v>
      </c>
      <c r="D104" s="110"/>
      <c r="E104" s="110"/>
      <c r="F104" s="110"/>
      <c r="G104" s="110" t="str">
        <f>+Balance!K34</f>
        <v xml:space="preserve"> Gerente</v>
      </c>
    </row>
  </sheetData>
  <phoneticPr fontId="0" type="noConversion"/>
  <pageMargins left="0.74803149606299213" right="0.74803149606299213" top="1.5354330708661419" bottom="0.98425196850393704" header="0" footer="0"/>
  <pageSetup paperSize="9" scale="60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zoomScale="80" zoomScaleNormal="80" workbookViewId="0"/>
  </sheetViews>
  <sheetFormatPr baseColWidth="10" defaultColWidth="18.109375" defaultRowHeight="13.2" x14ac:dyDescent="0.25"/>
  <cols>
    <col min="1" max="1" width="29" style="63" customWidth="1"/>
    <col min="2" max="2" width="18.88671875" style="63" customWidth="1"/>
    <col min="3" max="3" width="14.6640625" style="63" bestFit="1" customWidth="1"/>
    <col min="4" max="4" width="15.44140625" style="63" customWidth="1"/>
    <col min="5" max="5" width="14.109375" style="63" bestFit="1" customWidth="1"/>
    <col min="6" max="6" width="18" style="63" customWidth="1"/>
    <col min="7" max="7" width="13.109375" style="63" customWidth="1"/>
    <col min="8" max="9" width="18.44140625" style="63" customWidth="1"/>
    <col min="10" max="10" width="21" style="63" customWidth="1"/>
    <col min="11" max="11" width="17.6640625" style="63" customWidth="1"/>
    <col min="12" max="16384" width="18.109375" style="63"/>
  </cols>
  <sheetData>
    <row r="1" spans="1:15" x14ac:dyDescent="0.25">
      <c r="K1" s="64" t="s">
        <v>120</v>
      </c>
    </row>
    <row r="3" spans="1:15" ht="13.8" thickBot="1" x14ac:dyDescent="0.3"/>
    <row r="4" spans="1:15" ht="13.8" thickTop="1" x14ac:dyDescent="0.25">
      <c r="A4" s="461" t="s">
        <v>121</v>
      </c>
      <c r="B4" s="462"/>
      <c r="C4" s="462"/>
      <c r="D4" s="462"/>
      <c r="E4" s="462"/>
      <c r="F4" s="462"/>
      <c r="G4" s="462"/>
      <c r="H4" s="462"/>
      <c r="I4" s="462"/>
      <c r="J4" s="462"/>
      <c r="K4" s="463"/>
    </row>
    <row r="5" spans="1:15" x14ac:dyDescent="0.25">
      <c r="A5" s="458" t="s">
        <v>872</v>
      </c>
      <c r="B5" s="459"/>
      <c r="C5" s="459"/>
      <c r="D5" s="459"/>
      <c r="E5" s="459"/>
      <c r="F5" s="459"/>
      <c r="G5" s="459"/>
      <c r="H5" s="459"/>
      <c r="I5" s="459"/>
      <c r="J5" s="459"/>
      <c r="K5" s="460"/>
    </row>
    <row r="6" spans="1:15" x14ac:dyDescent="0.25">
      <c r="A6" s="66" t="s">
        <v>1</v>
      </c>
      <c r="B6" s="67"/>
      <c r="C6" s="67"/>
      <c r="D6" s="67"/>
      <c r="E6" s="67"/>
      <c r="F6" s="67"/>
      <c r="G6" s="67"/>
      <c r="H6" s="67"/>
      <c r="I6" s="67"/>
      <c r="J6" s="67"/>
      <c r="K6" s="65"/>
    </row>
    <row r="7" spans="1:15" x14ac:dyDescent="0.25">
      <c r="A7" s="68" t="s">
        <v>1</v>
      </c>
      <c r="B7" s="69"/>
      <c r="C7" s="69"/>
      <c r="D7" s="69"/>
      <c r="E7" s="69"/>
      <c r="F7" s="69"/>
      <c r="G7" s="69"/>
      <c r="H7" s="69"/>
      <c r="I7" s="69"/>
      <c r="J7" s="69"/>
      <c r="K7" s="70"/>
    </row>
    <row r="8" spans="1:15" x14ac:dyDescent="0.25">
      <c r="A8" s="71" t="s">
        <v>1</v>
      </c>
      <c r="B8" s="72" t="s">
        <v>122</v>
      </c>
      <c r="C8" s="72"/>
      <c r="D8" s="72"/>
      <c r="E8" s="72"/>
      <c r="F8" s="72" t="s">
        <v>123</v>
      </c>
      <c r="G8" s="72"/>
      <c r="H8" s="72"/>
      <c r="I8" s="72"/>
      <c r="J8" s="72"/>
      <c r="K8" s="73"/>
    </row>
    <row r="9" spans="1:15" x14ac:dyDescent="0.25">
      <c r="A9" s="74"/>
      <c r="B9" s="75" t="s">
        <v>124</v>
      </c>
      <c r="C9" s="75"/>
      <c r="D9" s="75"/>
      <c r="E9" s="75" t="s">
        <v>124</v>
      </c>
      <c r="F9" s="75" t="s">
        <v>125</v>
      </c>
      <c r="G9" s="75"/>
      <c r="H9" s="464" t="s">
        <v>126</v>
      </c>
      <c r="I9" s="465"/>
      <c r="J9" s="75" t="s">
        <v>127</v>
      </c>
      <c r="K9" s="76" t="s">
        <v>128</v>
      </c>
    </row>
    <row r="10" spans="1:15" x14ac:dyDescent="0.25">
      <c r="A10" s="77" t="s">
        <v>33</v>
      </c>
      <c r="B10" s="75" t="s">
        <v>129</v>
      </c>
      <c r="C10" s="75" t="s">
        <v>130</v>
      </c>
      <c r="D10" s="75" t="s">
        <v>131</v>
      </c>
      <c r="E10" s="75" t="s">
        <v>132</v>
      </c>
      <c r="F10" s="75" t="s">
        <v>133</v>
      </c>
      <c r="G10" s="75" t="s">
        <v>134</v>
      </c>
      <c r="H10" s="75" t="s">
        <v>135</v>
      </c>
      <c r="I10" s="75" t="s">
        <v>136</v>
      </c>
      <c r="J10" s="75" t="s">
        <v>137</v>
      </c>
      <c r="K10" s="76" t="s">
        <v>138</v>
      </c>
    </row>
    <row r="11" spans="1:15" x14ac:dyDescent="0.25">
      <c r="A11" s="74"/>
      <c r="B11" s="75" t="s">
        <v>139</v>
      </c>
      <c r="C11" s="75"/>
      <c r="D11" s="75"/>
      <c r="E11" s="75" t="s">
        <v>139</v>
      </c>
      <c r="F11" s="75" t="s">
        <v>139</v>
      </c>
      <c r="G11" s="75"/>
      <c r="H11" s="75"/>
      <c r="I11" s="75" t="s">
        <v>126</v>
      </c>
      <c r="J11" s="75" t="s">
        <v>139</v>
      </c>
      <c r="K11" s="76" t="s">
        <v>853</v>
      </c>
    </row>
    <row r="12" spans="1:15" x14ac:dyDescent="0.25">
      <c r="A12" s="74"/>
      <c r="B12" s="75" t="s">
        <v>0</v>
      </c>
      <c r="C12" s="75" t="s">
        <v>0</v>
      </c>
      <c r="D12" s="75" t="s">
        <v>0</v>
      </c>
      <c r="E12" s="75" t="s">
        <v>0</v>
      </c>
      <c r="F12" s="75" t="s">
        <v>0</v>
      </c>
      <c r="G12" s="75" t="s">
        <v>0</v>
      </c>
      <c r="H12" s="75"/>
      <c r="I12" s="75" t="s">
        <v>0</v>
      </c>
      <c r="J12" s="75" t="s">
        <v>0</v>
      </c>
      <c r="K12" s="76" t="s">
        <v>0</v>
      </c>
    </row>
    <row r="13" spans="1:15" x14ac:dyDescent="0.25">
      <c r="A13" s="78"/>
      <c r="B13" s="79"/>
      <c r="C13" s="79"/>
      <c r="D13" s="79"/>
      <c r="E13" s="79"/>
      <c r="F13" s="79"/>
      <c r="G13" s="79"/>
      <c r="H13" s="79"/>
      <c r="I13" s="79"/>
      <c r="J13" s="79"/>
      <c r="K13" s="80"/>
    </row>
    <row r="14" spans="1:15" x14ac:dyDescent="0.25">
      <c r="A14" s="74"/>
      <c r="B14" s="81"/>
      <c r="C14" s="81"/>
      <c r="D14" s="81"/>
      <c r="E14" s="81"/>
      <c r="F14" s="81"/>
      <c r="G14" s="81"/>
      <c r="H14" s="81"/>
      <c r="I14" s="81"/>
      <c r="J14" s="81"/>
      <c r="K14" s="82"/>
    </row>
    <row r="15" spans="1:15" x14ac:dyDescent="0.25">
      <c r="A15" s="83" t="s">
        <v>140</v>
      </c>
      <c r="B15" s="84">
        <v>7137147.1400000006</v>
      </c>
      <c r="C15" s="84">
        <f>+E15-B15</f>
        <v>0</v>
      </c>
      <c r="D15" s="85">
        <v>0</v>
      </c>
      <c r="E15" s="85">
        <f>+SALDOS!G44</f>
        <v>7137147.1400000006</v>
      </c>
      <c r="F15" s="220">
        <v>2874614.2</v>
      </c>
      <c r="G15" s="84">
        <v>0</v>
      </c>
      <c r="H15" s="94">
        <f>10/100</f>
        <v>0.1</v>
      </c>
      <c r="I15" s="85">
        <f>+J15-F15+G15</f>
        <v>250094.38999999966</v>
      </c>
      <c r="J15" s="84">
        <f>-SALDOS!G49</f>
        <v>3124708.59</v>
      </c>
      <c r="K15" s="86">
        <f>+E15-J15</f>
        <v>4012438.5500000007</v>
      </c>
      <c r="L15" s="87"/>
      <c r="M15" s="87"/>
      <c r="O15" s="87"/>
    </row>
    <row r="16" spans="1:15" x14ac:dyDescent="0.25">
      <c r="A16" s="83" t="s">
        <v>210</v>
      </c>
      <c r="B16" s="84">
        <v>9983623.870000001</v>
      </c>
      <c r="C16" s="84">
        <f t="shared" ref="C16:C22" si="0">+E16-B16</f>
        <v>13200827.120000001</v>
      </c>
      <c r="D16" s="85">
        <v>0</v>
      </c>
      <c r="E16" s="85">
        <f>+SALDOS!G56</f>
        <v>23184450.990000002</v>
      </c>
      <c r="F16" s="220">
        <v>8824107.4299999997</v>
      </c>
      <c r="G16" s="84">
        <v>0</v>
      </c>
      <c r="H16" s="94">
        <f>33.3333333333333/100</f>
        <v>0.33333333333333337</v>
      </c>
      <c r="I16" s="85">
        <f t="shared" ref="I16:I22" si="1">+J16-F16+G16</f>
        <v>1380460.83</v>
      </c>
      <c r="J16" s="84">
        <f>-SALDOS!G57</f>
        <v>10204568.26</v>
      </c>
      <c r="K16" s="86">
        <f>+E16-J16</f>
        <v>12979882.730000002</v>
      </c>
      <c r="L16" s="87"/>
      <c r="M16" s="87"/>
      <c r="O16" s="87"/>
    </row>
    <row r="17" spans="1:15" x14ac:dyDescent="0.25">
      <c r="A17" s="83" t="s">
        <v>141</v>
      </c>
      <c r="B17" s="84">
        <v>2163642.25</v>
      </c>
      <c r="C17" s="84">
        <f t="shared" si="0"/>
        <v>0</v>
      </c>
      <c r="D17" s="85">
        <v>0</v>
      </c>
      <c r="E17" s="85">
        <f>+SALDOS!G45</f>
        <v>2163642.25</v>
      </c>
      <c r="F17" s="220">
        <v>1414600.93</v>
      </c>
      <c r="G17" s="84">
        <v>0</v>
      </c>
      <c r="H17" s="94">
        <f>20/100</f>
        <v>0.2</v>
      </c>
      <c r="I17" s="85">
        <f t="shared" si="1"/>
        <v>84405.300000000047</v>
      </c>
      <c r="J17" s="84">
        <f>-SALDOS!G50</f>
        <v>1499006.23</v>
      </c>
      <c r="K17" s="86">
        <f t="shared" ref="K17:K22" si="2">+E17-J17</f>
        <v>664636.02</v>
      </c>
      <c r="L17" s="87"/>
      <c r="M17" s="87"/>
      <c r="O17" s="87"/>
    </row>
    <row r="18" spans="1:15" x14ac:dyDescent="0.25">
      <c r="A18" s="128" t="s">
        <v>180</v>
      </c>
      <c r="B18" s="84">
        <v>1676263.99</v>
      </c>
      <c r="C18" s="84">
        <f t="shared" si="0"/>
        <v>0</v>
      </c>
      <c r="D18" s="85">
        <v>0</v>
      </c>
      <c r="E18" s="85">
        <f>+SALDOS!G46</f>
        <v>1676263.99</v>
      </c>
      <c r="F18" s="220">
        <v>711103.11</v>
      </c>
      <c r="G18" s="84">
        <v>0</v>
      </c>
      <c r="H18" s="94">
        <v>0.1</v>
      </c>
      <c r="I18" s="85">
        <f t="shared" si="1"/>
        <v>65273.460000000079</v>
      </c>
      <c r="J18" s="84">
        <f>-SALDOS!G51</f>
        <v>776376.57000000007</v>
      </c>
      <c r="K18" s="86">
        <f t="shared" si="2"/>
        <v>899887.41999999993</v>
      </c>
      <c r="L18" s="87"/>
      <c r="M18" s="87"/>
      <c r="O18" s="87"/>
    </row>
    <row r="19" spans="1:15" s="321" customFormat="1" x14ac:dyDescent="0.25">
      <c r="A19" s="128" t="s">
        <v>181</v>
      </c>
      <c r="B19" s="85">
        <v>5362126.4400000004</v>
      </c>
      <c r="C19" s="85">
        <f>+E19-B19</f>
        <v>3100884.4799999995</v>
      </c>
      <c r="D19" s="85">
        <v>0</v>
      </c>
      <c r="E19" s="85">
        <f>+SALDOS!G47</f>
        <v>8463010.9199999999</v>
      </c>
      <c r="F19" s="220">
        <v>3956712.12</v>
      </c>
      <c r="G19" s="85">
        <v>0</v>
      </c>
      <c r="H19" s="94">
        <v>0.2</v>
      </c>
      <c r="I19" s="85">
        <f t="shared" si="1"/>
        <v>479521.9299999997</v>
      </c>
      <c r="J19" s="85">
        <f>-SALDOS!G53</f>
        <v>4436234.05</v>
      </c>
      <c r="K19" s="319">
        <f t="shared" si="2"/>
        <v>4026776.87</v>
      </c>
      <c r="L19" s="320"/>
      <c r="M19" s="320"/>
      <c r="O19" s="320"/>
    </row>
    <row r="20" spans="1:15" x14ac:dyDescent="0.25">
      <c r="A20" s="128" t="s">
        <v>182</v>
      </c>
      <c r="B20" s="84">
        <v>5117083.33</v>
      </c>
      <c r="C20" s="84">
        <f t="shared" si="0"/>
        <v>0</v>
      </c>
      <c r="D20" s="85">
        <v>0</v>
      </c>
      <c r="E20" s="85">
        <f>+SALDOS!G48</f>
        <v>5117083.33</v>
      </c>
      <c r="F20" s="220">
        <v>5117083.33</v>
      </c>
      <c r="G20" s="84">
        <v>0</v>
      </c>
      <c r="H20" s="94">
        <v>0.2</v>
      </c>
      <c r="I20" s="85">
        <f t="shared" si="1"/>
        <v>0</v>
      </c>
      <c r="J20" s="84">
        <f>-SALDOS!G54</f>
        <v>5117083.33</v>
      </c>
      <c r="K20" s="86">
        <f t="shared" si="2"/>
        <v>0</v>
      </c>
      <c r="L20" s="87"/>
      <c r="M20" s="87"/>
      <c r="O20" s="87"/>
    </row>
    <row r="21" spans="1:15" x14ac:dyDescent="0.25">
      <c r="A21" s="128" t="s">
        <v>142</v>
      </c>
      <c r="B21" s="189">
        <v>20790195.080000002</v>
      </c>
      <c r="C21" s="84">
        <f t="shared" si="0"/>
        <v>0</v>
      </c>
      <c r="D21" s="205">
        <v>0</v>
      </c>
      <c r="E21" s="85">
        <f>+SALDOS!G52</f>
        <v>20790195.080000002</v>
      </c>
      <c r="F21" s="220">
        <v>18441673.780000001</v>
      </c>
      <c r="G21" s="205">
        <v>0</v>
      </c>
      <c r="H21" s="94">
        <f>20/100</f>
        <v>0.2</v>
      </c>
      <c r="I21" s="85">
        <f t="shared" si="1"/>
        <v>1164375.5399999991</v>
      </c>
      <c r="J21" s="84">
        <f>-SALDOS!G55</f>
        <v>19606049.32</v>
      </c>
      <c r="K21" s="86">
        <f t="shared" si="2"/>
        <v>1184145.7600000016</v>
      </c>
      <c r="L21" s="87"/>
      <c r="M21" s="87"/>
      <c r="O21" s="87"/>
    </row>
    <row r="22" spans="1:15" x14ac:dyDescent="0.25">
      <c r="A22" s="83" t="s">
        <v>234</v>
      </c>
      <c r="B22" s="84">
        <v>1598074.09</v>
      </c>
      <c r="C22" s="84">
        <f t="shared" si="0"/>
        <v>0</v>
      </c>
      <c r="D22" s="85">
        <v>0</v>
      </c>
      <c r="E22" s="85">
        <f>+SALDOS!G58</f>
        <v>1598074.09</v>
      </c>
      <c r="F22" s="220">
        <v>539130.52</v>
      </c>
      <c r="G22" s="84">
        <v>0</v>
      </c>
      <c r="H22" s="94">
        <v>0.1</v>
      </c>
      <c r="I22" s="85">
        <f t="shared" si="1"/>
        <v>78622.13</v>
      </c>
      <c r="J22" s="84">
        <f>-SALDOS!G59</f>
        <v>617752.65</v>
      </c>
      <c r="K22" s="86">
        <f t="shared" si="2"/>
        <v>980321.44000000006</v>
      </c>
      <c r="L22" s="87"/>
      <c r="M22" s="87"/>
      <c r="O22" s="87"/>
    </row>
    <row r="23" spans="1:15" x14ac:dyDescent="0.25">
      <c r="A23" s="78" t="s">
        <v>1</v>
      </c>
      <c r="B23" s="88"/>
      <c r="C23" s="90"/>
      <c r="D23" s="88"/>
      <c r="E23" s="89"/>
      <c r="F23" s="88"/>
      <c r="G23" s="88"/>
      <c r="H23" s="88"/>
      <c r="I23" s="90"/>
      <c r="J23" s="89"/>
      <c r="K23" s="91"/>
    </row>
    <row r="24" spans="1:15" x14ac:dyDescent="0.25">
      <c r="A24" s="78" t="s">
        <v>871</v>
      </c>
      <c r="B24" s="88">
        <f t="shared" ref="B24:G24" si="3">SUM(B15:B23)</f>
        <v>53828156.190000013</v>
      </c>
      <c r="C24" s="88">
        <f t="shared" si="3"/>
        <v>16301711.600000001</v>
      </c>
      <c r="D24" s="88">
        <f t="shared" si="3"/>
        <v>0</v>
      </c>
      <c r="E24" s="88">
        <f>SUM(E15:E23)</f>
        <v>70129867.790000007</v>
      </c>
      <c r="F24" s="88">
        <f t="shared" si="3"/>
        <v>41879025.420000002</v>
      </c>
      <c r="G24" s="88">
        <f t="shared" si="3"/>
        <v>0</v>
      </c>
      <c r="H24" s="88"/>
      <c r="I24" s="92">
        <f>SUM(I15:I23)</f>
        <v>3502753.5799999987</v>
      </c>
      <c r="J24" s="88">
        <f>SUM(J15:J23)</f>
        <v>45381779</v>
      </c>
      <c r="K24" s="93">
        <f>SUM(K15:K23)</f>
        <v>24748088.790000003</v>
      </c>
    </row>
    <row r="25" spans="1:15" x14ac:dyDescent="0.25">
      <c r="C25" s="87"/>
      <c r="D25" s="87"/>
      <c r="G25" s="87"/>
      <c r="K25" s="87"/>
    </row>
    <row r="26" spans="1:15" x14ac:dyDescent="0.25">
      <c r="A26" s="63" t="s">
        <v>13</v>
      </c>
      <c r="E26" s="87"/>
      <c r="F26" s="87"/>
      <c r="G26" s="87"/>
      <c r="H26" s="87"/>
      <c r="I26" s="188"/>
      <c r="J26" s="112"/>
      <c r="K26" s="111"/>
      <c r="L26" s="67"/>
    </row>
    <row r="27" spans="1:15" x14ac:dyDescent="0.25">
      <c r="A27" s="63" t="s">
        <v>14</v>
      </c>
      <c r="D27" s="87"/>
      <c r="E27" s="87"/>
      <c r="F27" s="87"/>
      <c r="G27" s="87"/>
      <c r="I27" s="113"/>
      <c r="J27" s="111"/>
      <c r="K27" s="111"/>
      <c r="L27" s="67"/>
    </row>
    <row r="28" spans="1:15" x14ac:dyDescent="0.25">
      <c r="C28" s="87"/>
      <c r="D28" s="87"/>
      <c r="E28" s="87"/>
      <c r="G28" s="87"/>
      <c r="H28" s="87"/>
      <c r="I28" s="114"/>
      <c r="J28" s="111"/>
      <c r="K28" s="111"/>
      <c r="L28" s="67"/>
    </row>
    <row r="29" spans="1:15" x14ac:dyDescent="0.25">
      <c r="C29" s="87"/>
      <c r="D29" s="87"/>
      <c r="E29" s="87"/>
      <c r="G29" s="87"/>
      <c r="H29" s="108"/>
      <c r="I29" s="114"/>
      <c r="J29" s="111"/>
      <c r="K29" s="67"/>
      <c r="L29" s="67"/>
    </row>
    <row r="30" spans="1:15" x14ac:dyDescent="0.25">
      <c r="E30" s="87"/>
      <c r="G30" s="87"/>
      <c r="J30" s="87"/>
    </row>
    <row r="31" spans="1:15" x14ac:dyDescent="0.25">
      <c r="C31" s="87"/>
      <c r="J31" s="87"/>
    </row>
    <row r="33" spans="2:10" x14ac:dyDescent="0.25">
      <c r="B33" s="64" t="str">
        <f>+Balance!D32</f>
        <v>Miguel Ángel Alonso</v>
      </c>
      <c r="F33" s="63" t="str">
        <f>+Balance!F32</f>
        <v>Pedro Nicholson</v>
      </c>
      <c r="J33" s="64" t="str">
        <f>+Balance!K32</f>
        <v>Alejandro Poletto</v>
      </c>
    </row>
    <row r="34" spans="2:10" x14ac:dyDescent="0.25">
      <c r="B34" s="64" t="str">
        <f>+Balance!D33</f>
        <v>Contador Público (U.C.A.)</v>
      </c>
      <c r="F34" s="64" t="str">
        <f>+Balance!F33</f>
        <v>Síndico</v>
      </c>
      <c r="J34" s="64" t="str">
        <f>+Balance!K33</f>
        <v>Southern Copper Arg. S.R.L.</v>
      </c>
    </row>
    <row r="35" spans="2:10" x14ac:dyDescent="0.25">
      <c r="B35" s="64" t="str">
        <f>+Balance!D34</f>
        <v>C.P.C.E.C.A.B.A. Tº176  Fº03</v>
      </c>
      <c r="F35" s="4"/>
      <c r="J35" s="64" t="str">
        <f>+Balance!K34</f>
        <v xml:space="preserve"> Gerente</v>
      </c>
    </row>
  </sheetData>
  <mergeCells count="3">
    <mergeCell ref="A5:K5"/>
    <mergeCell ref="A4:K4"/>
    <mergeCell ref="H9:I9"/>
  </mergeCells>
  <phoneticPr fontId="0" type="noConversion"/>
  <printOptions horizontalCentered="1"/>
  <pageMargins left="0.51181102362204722" right="0.19685039370078741" top="1.2204724409448819" bottom="0.98425196850393704" header="0.59055118110236227" footer="0"/>
  <pageSetup paperSize="9" orientation="landscape" r:id="rId1"/>
  <headerFooter alignWithMargins="0">
    <oddHeader xml:space="preserve">&amp;LSouthern Copper Argentina SRL.
Tucuman 1
Ciudad Autónoma de Buenos Aires
Nºde Insc.en I.G.J.:11764 del Libro 135 de SRL.
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zoomScaleNormal="100" workbookViewId="0"/>
  </sheetViews>
  <sheetFormatPr baseColWidth="10" defaultColWidth="11.44140625" defaultRowHeight="10.199999999999999" x14ac:dyDescent="0.2"/>
  <cols>
    <col min="1" max="1" width="2.88671875" style="7" customWidth="1"/>
    <col min="2" max="3" width="11.44140625" style="7"/>
    <col min="4" max="4" width="12" style="7" customWidth="1"/>
    <col min="5" max="5" width="17.5546875" style="7" customWidth="1"/>
    <col min="6" max="6" width="19.88671875" style="7" customWidth="1"/>
    <col min="7" max="8" width="20" style="7" customWidth="1"/>
    <col min="9" max="9" width="15.109375" style="7" customWidth="1"/>
    <col min="10" max="10" width="0" style="7" hidden="1" customWidth="1"/>
    <col min="11" max="16384" width="11.44140625" style="7"/>
  </cols>
  <sheetData>
    <row r="1" spans="1:10" x14ac:dyDescent="0.2">
      <c r="B1" s="7" t="s">
        <v>1</v>
      </c>
      <c r="J1" s="7" t="s">
        <v>35</v>
      </c>
    </row>
    <row r="2" spans="1:10" x14ac:dyDescent="0.2">
      <c r="A2" s="7" t="s">
        <v>1</v>
      </c>
      <c r="B2" s="7" t="s">
        <v>1</v>
      </c>
    </row>
    <row r="3" spans="1:10" x14ac:dyDescent="0.2">
      <c r="A3" s="146" t="s">
        <v>36</v>
      </c>
      <c r="I3" s="7" t="s">
        <v>116</v>
      </c>
    </row>
    <row r="4" spans="1:10" x14ac:dyDescent="0.2">
      <c r="A4" s="7" t="str">
        <f>+Balance!A2</f>
        <v>Al 30 de junio 2026  - Cifras expresadas en pesos</v>
      </c>
    </row>
    <row r="5" spans="1:10" ht="10.8" thickBot="1" x14ac:dyDescent="0.25">
      <c r="B5" s="7" t="s">
        <v>1</v>
      </c>
    </row>
    <row r="6" spans="1:10" ht="10.8" thickTop="1" x14ac:dyDescent="0.2">
      <c r="A6" s="147" t="s">
        <v>1</v>
      </c>
      <c r="B6" s="148"/>
      <c r="C6" s="148"/>
      <c r="D6" s="148"/>
      <c r="E6" s="149" t="s">
        <v>34</v>
      </c>
      <c r="F6" s="149" t="s">
        <v>37</v>
      </c>
      <c r="G6" s="149" t="s">
        <v>38</v>
      </c>
      <c r="H6" s="149" t="s">
        <v>38</v>
      </c>
      <c r="I6" s="150" t="s">
        <v>37</v>
      </c>
      <c r="J6" s="151" t="s">
        <v>34</v>
      </c>
    </row>
    <row r="7" spans="1:10" x14ac:dyDescent="0.2">
      <c r="A7" s="152" t="s">
        <v>1</v>
      </c>
      <c r="B7" s="153" t="s">
        <v>46</v>
      </c>
      <c r="C7" s="153"/>
      <c r="D7" s="153"/>
      <c r="E7" s="154" t="s">
        <v>39</v>
      </c>
      <c r="F7" s="154" t="s">
        <v>40</v>
      </c>
      <c r="G7" s="154" t="s">
        <v>40</v>
      </c>
      <c r="H7" s="154" t="s">
        <v>40</v>
      </c>
      <c r="I7" s="155"/>
      <c r="J7" s="156" t="s">
        <v>39</v>
      </c>
    </row>
    <row r="8" spans="1:10" x14ac:dyDescent="0.2">
      <c r="A8" s="157"/>
      <c r="B8" s="158"/>
      <c r="C8" s="158"/>
      <c r="D8" s="158"/>
      <c r="E8" s="159" t="str">
        <f>+Balance!F5</f>
        <v>30.06.2026</v>
      </c>
      <c r="F8" s="46" t="s">
        <v>41</v>
      </c>
      <c r="G8" s="46" t="s">
        <v>42</v>
      </c>
      <c r="H8" s="46" t="s">
        <v>94</v>
      </c>
      <c r="I8" s="160" t="s">
        <v>43</v>
      </c>
      <c r="J8" s="161" t="s">
        <v>49</v>
      </c>
    </row>
    <row r="9" spans="1:10" x14ac:dyDescent="0.2">
      <c r="A9" s="152"/>
      <c r="B9" s="153"/>
      <c r="C9" s="153"/>
      <c r="D9" s="153"/>
      <c r="E9" s="45"/>
      <c r="F9" s="154"/>
      <c r="G9" s="162"/>
      <c r="H9" s="163"/>
      <c r="I9" s="155"/>
      <c r="J9" s="164"/>
    </row>
    <row r="10" spans="1:10" x14ac:dyDescent="0.2">
      <c r="A10" s="152" t="s">
        <v>61</v>
      </c>
      <c r="B10" s="107" t="s">
        <v>95</v>
      </c>
      <c r="C10" s="153"/>
      <c r="D10" s="153"/>
      <c r="E10" s="98">
        <f>SUM(F10:I10)</f>
        <v>51970355.109999999</v>
      </c>
      <c r="F10" s="98"/>
      <c r="G10" s="119"/>
      <c r="H10" s="169">
        <f>+SALDOS!G324</f>
        <v>51970355.109999999</v>
      </c>
      <c r="I10" s="122"/>
      <c r="J10" s="164"/>
    </row>
    <row r="11" spans="1:10" x14ac:dyDescent="0.2">
      <c r="A11" s="152" t="s">
        <v>61</v>
      </c>
      <c r="B11" s="107" t="s">
        <v>191</v>
      </c>
      <c r="C11" s="153"/>
      <c r="D11" s="153"/>
      <c r="E11" s="98">
        <f t="shared" ref="E11:E75" si="0">SUM(F11:I11)</f>
        <v>262653256.83999997</v>
      </c>
      <c r="F11" s="98">
        <f>+SALDOS!G370</f>
        <v>262653256.83999997</v>
      </c>
      <c r="G11" s="119"/>
      <c r="H11" s="169"/>
      <c r="I11" s="122"/>
      <c r="J11" s="164"/>
    </row>
    <row r="12" spans="1:10" x14ac:dyDescent="0.2">
      <c r="A12" s="152" t="s">
        <v>61</v>
      </c>
      <c r="B12" s="107" t="s">
        <v>183</v>
      </c>
      <c r="C12" s="153"/>
      <c r="D12" s="153"/>
      <c r="E12" s="98">
        <f t="shared" si="0"/>
        <v>58572858.170000002</v>
      </c>
      <c r="F12" s="98"/>
      <c r="G12" s="119"/>
      <c r="H12" s="169">
        <f>+SALDOS!G376</f>
        <v>58572858.170000002</v>
      </c>
      <c r="I12" s="122"/>
      <c r="J12" s="164"/>
    </row>
    <row r="13" spans="1:10" x14ac:dyDescent="0.2">
      <c r="A13" s="152" t="s">
        <v>61</v>
      </c>
      <c r="B13" s="107" t="s">
        <v>303</v>
      </c>
      <c r="C13" s="153"/>
      <c r="D13" s="153"/>
      <c r="E13" s="98">
        <f t="shared" si="0"/>
        <v>0</v>
      </c>
      <c r="F13" s="98"/>
      <c r="G13" s="119"/>
      <c r="H13" s="169">
        <f>+SALDOS!G259</f>
        <v>0</v>
      </c>
      <c r="I13" s="122"/>
      <c r="J13" s="164"/>
    </row>
    <row r="14" spans="1:10" x14ac:dyDescent="0.2">
      <c r="A14" s="152" t="s">
        <v>61</v>
      </c>
      <c r="B14" s="107" t="s">
        <v>257</v>
      </c>
      <c r="C14" s="153"/>
      <c r="D14" s="153"/>
      <c r="E14" s="98">
        <f t="shared" si="0"/>
        <v>189946.28</v>
      </c>
      <c r="F14" s="98"/>
      <c r="G14" s="119"/>
      <c r="H14" s="169">
        <f>+SALDOS!G304</f>
        <v>189946.28</v>
      </c>
      <c r="I14" s="122"/>
      <c r="J14" s="164"/>
    </row>
    <row r="15" spans="1:10" x14ac:dyDescent="0.2">
      <c r="A15" s="152" t="s">
        <v>61</v>
      </c>
      <c r="B15" s="107" t="s">
        <v>291</v>
      </c>
      <c r="C15" s="153"/>
      <c r="D15" s="153"/>
      <c r="E15" s="98">
        <f t="shared" si="0"/>
        <v>0</v>
      </c>
      <c r="F15" s="98"/>
      <c r="G15" s="119"/>
      <c r="H15" s="169">
        <f>+SALDOS!G405</f>
        <v>0</v>
      </c>
      <c r="I15" s="122"/>
      <c r="J15" s="164"/>
    </row>
    <row r="16" spans="1:10" x14ac:dyDescent="0.2">
      <c r="A16" s="152" t="s">
        <v>61</v>
      </c>
      <c r="B16" s="107" t="s">
        <v>215</v>
      </c>
      <c r="C16" s="153"/>
      <c r="D16" s="153"/>
      <c r="E16" s="98">
        <f t="shared" si="0"/>
        <v>30000</v>
      </c>
      <c r="F16" s="98"/>
      <c r="G16" s="119"/>
      <c r="H16" s="169">
        <f>+SALDOS!G188</f>
        <v>30000</v>
      </c>
      <c r="I16" s="122"/>
      <c r="J16" s="164"/>
    </row>
    <row r="17" spans="1:10" x14ac:dyDescent="0.2">
      <c r="A17" s="152" t="s">
        <v>61</v>
      </c>
      <c r="B17" s="107" t="s">
        <v>267</v>
      </c>
      <c r="C17" s="153"/>
      <c r="D17" s="153"/>
      <c r="E17" s="98">
        <f t="shared" si="0"/>
        <v>0</v>
      </c>
      <c r="F17" s="98"/>
      <c r="G17" s="119"/>
      <c r="H17" s="169">
        <f>+SALDOS!G316</f>
        <v>0</v>
      </c>
      <c r="I17" s="122"/>
      <c r="J17" s="164"/>
    </row>
    <row r="18" spans="1:10" x14ac:dyDescent="0.2">
      <c r="A18" s="152" t="s">
        <v>61</v>
      </c>
      <c r="B18" s="107" t="s">
        <v>350</v>
      </c>
      <c r="C18" s="153"/>
      <c r="D18" s="153"/>
      <c r="E18" s="98">
        <f t="shared" si="0"/>
        <v>0</v>
      </c>
      <c r="F18" s="98"/>
      <c r="G18" s="119"/>
      <c r="H18" s="169">
        <f>+SALDOS!G360+SALDOS!G400</f>
        <v>0</v>
      </c>
      <c r="I18" s="122"/>
      <c r="J18" s="164"/>
    </row>
    <row r="19" spans="1:10" x14ac:dyDescent="0.2">
      <c r="A19" s="152" t="s">
        <v>61</v>
      </c>
      <c r="B19" s="107" t="s">
        <v>740</v>
      </c>
      <c r="C19" s="153"/>
      <c r="D19" s="153"/>
      <c r="E19" s="98">
        <f>SUM(F19:I19)</f>
        <v>0</v>
      </c>
      <c r="F19" s="98"/>
      <c r="G19" s="119"/>
      <c r="H19" s="169">
        <f>+SALDOS!G363</f>
        <v>0</v>
      </c>
      <c r="I19" s="122"/>
      <c r="J19" s="164"/>
    </row>
    <row r="20" spans="1:10" x14ac:dyDescent="0.2">
      <c r="A20" s="152" t="s">
        <v>61</v>
      </c>
      <c r="B20" s="107" t="s">
        <v>123</v>
      </c>
      <c r="C20" s="153"/>
      <c r="D20" s="153"/>
      <c r="E20" s="98">
        <f t="shared" si="0"/>
        <v>3502753.5799999987</v>
      </c>
      <c r="F20" s="98">
        <f>+'Anexo I'!I24</f>
        <v>3502753.5799999987</v>
      </c>
      <c r="G20" s="119"/>
      <c r="H20" s="169"/>
      <c r="I20" s="122"/>
      <c r="J20" s="164"/>
    </row>
    <row r="21" spans="1:10" x14ac:dyDescent="0.2">
      <c r="A21" s="152" t="s">
        <v>61</v>
      </c>
      <c r="B21" s="107" t="s">
        <v>103</v>
      </c>
      <c r="C21" s="153"/>
      <c r="D21" s="153"/>
      <c r="E21" s="98">
        <f t="shared" si="0"/>
        <v>65998057.350000001</v>
      </c>
      <c r="F21" s="98">
        <f>+SALDOS!G171</f>
        <v>14081454.359999999</v>
      </c>
      <c r="G21" s="119"/>
      <c r="H21" s="169">
        <f>+SALDOS!G427</f>
        <v>51916602.990000002</v>
      </c>
      <c r="I21" s="122"/>
      <c r="J21" s="164"/>
    </row>
    <row r="22" spans="1:10" x14ac:dyDescent="0.2">
      <c r="A22" s="152" t="s">
        <v>61</v>
      </c>
      <c r="B22" s="107" t="s">
        <v>195</v>
      </c>
      <c r="C22" s="153"/>
      <c r="D22" s="153"/>
      <c r="E22" s="98">
        <f t="shared" si="0"/>
        <v>48607846.600000001</v>
      </c>
      <c r="F22" s="98"/>
      <c r="G22" s="119"/>
      <c r="H22" s="169">
        <f>+SALDOS!G308+SALDOS!G310+SALDOS!G311+SALDOS!G309</f>
        <v>48607846.600000001</v>
      </c>
      <c r="I22" s="122"/>
      <c r="J22" s="164"/>
    </row>
    <row r="23" spans="1:10" x14ac:dyDescent="0.2">
      <c r="A23" s="152" t="s">
        <v>61</v>
      </c>
      <c r="B23" s="107" t="s">
        <v>292</v>
      </c>
      <c r="C23" s="153"/>
      <c r="D23" s="153"/>
      <c r="E23" s="98">
        <f t="shared" si="0"/>
        <v>0</v>
      </c>
      <c r="F23" s="98"/>
      <c r="G23" s="119"/>
      <c r="H23" s="169"/>
      <c r="I23" s="122"/>
      <c r="J23" s="164"/>
    </row>
    <row r="24" spans="1:10" x14ac:dyDescent="0.2">
      <c r="A24" s="152" t="s">
        <v>61</v>
      </c>
      <c r="B24" s="107" t="s">
        <v>212</v>
      </c>
      <c r="C24" s="153"/>
      <c r="D24" s="153"/>
      <c r="E24" s="98">
        <f t="shared" si="0"/>
        <v>0</v>
      </c>
      <c r="F24" s="98">
        <f>+SALDOS!G204</f>
        <v>0</v>
      </c>
      <c r="G24" s="119"/>
      <c r="H24" s="169"/>
      <c r="I24" s="122"/>
      <c r="J24" s="164"/>
    </row>
    <row r="25" spans="1:10" x14ac:dyDescent="0.2">
      <c r="A25" s="152" t="s">
        <v>61</v>
      </c>
      <c r="B25" s="107" t="s">
        <v>100</v>
      </c>
      <c r="C25" s="153"/>
      <c r="D25" s="153"/>
      <c r="E25" s="98">
        <f t="shared" si="0"/>
        <v>8616654.5700000003</v>
      </c>
      <c r="F25" s="98"/>
      <c r="G25" s="119"/>
      <c r="H25" s="169">
        <f>+SALDOS!G353</f>
        <v>8616654.5700000003</v>
      </c>
      <c r="I25" s="122"/>
      <c r="J25" s="164"/>
    </row>
    <row r="26" spans="1:10" x14ac:dyDescent="0.2">
      <c r="A26" s="152" t="s">
        <v>61</v>
      </c>
      <c r="B26" s="107" t="s">
        <v>97</v>
      </c>
      <c r="C26" s="153"/>
      <c r="D26" s="153"/>
      <c r="E26" s="98">
        <f t="shared" si="0"/>
        <v>27411009.170000002</v>
      </c>
      <c r="F26" s="98"/>
      <c r="G26" s="119"/>
      <c r="H26" s="169">
        <f>+SALDOS!G332</f>
        <v>27411009.170000002</v>
      </c>
      <c r="I26" s="122"/>
      <c r="J26" s="164"/>
    </row>
    <row r="27" spans="1:10" x14ac:dyDescent="0.2">
      <c r="A27" s="152" t="s">
        <v>61</v>
      </c>
      <c r="B27" s="107" t="s">
        <v>112</v>
      </c>
      <c r="C27" s="153"/>
      <c r="D27" s="153"/>
      <c r="E27" s="98">
        <f t="shared" si="0"/>
        <v>0</v>
      </c>
      <c r="F27" s="98"/>
      <c r="G27" s="119"/>
      <c r="H27" s="169"/>
      <c r="I27" s="122"/>
      <c r="J27" s="164"/>
    </row>
    <row r="28" spans="1:10" x14ac:dyDescent="0.2">
      <c r="A28" s="152" t="s">
        <v>61</v>
      </c>
      <c r="B28" s="107" t="s">
        <v>99</v>
      </c>
      <c r="C28" s="153"/>
      <c r="D28" s="153"/>
      <c r="E28" s="98">
        <f t="shared" si="0"/>
        <v>7955308.8000000007</v>
      </c>
      <c r="F28" s="98">
        <f>+SALDOS!G344+SALDOS!G498+SALDOS!G499</f>
        <v>7955308.8000000007</v>
      </c>
      <c r="G28" s="119"/>
      <c r="H28" s="169"/>
      <c r="I28" s="122"/>
      <c r="J28" s="164"/>
    </row>
    <row r="29" spans="1:10" x14ac:dyDescent="0.2">
      <c r="A29" s="152" t="s">
        <v>61</v>
      </c>
      <c r="B29" s="107" t="s">
        <v>109</v>
      </c>
      <c r="C29" s="153"/>
      <c r="D29" s="153"/>
      <c r="E29" s="98">
        <f t="shared" si="0"/>
        <v>0</v>
      </c>
      <c r="F29" s="98"/>
      <c r="G29" s="119"/>
      <c r="H29" s="169"/>
      <c r="I29" s="122"/>
      <c r="J29" s="164"/>
    </row>
    <row r="30" spans="1:10" x14ac:dyDescent="0.2">
      <c r="A30" s="152" t="s">
        <v>61</v>
      </c>
      <c r="B30" s="107" t="s">
        <v>268</v>
      </c>
      <c r="C30" s="153"/>
      <c r="D30" s="153"/>
      <c r="E30" s="98">
        <f t="shared" si="0"/>
        <v>0</v>
      </c>
      <c r="F30" s="98"/>
      <c r="G30" s="119"/>
      <c r="H30" s="169">
        <f>+SALDOS!G313</f>
        <v>0</v>
      </c>
      <c r="I30" s="122"/>
      <c r="J30" s="164"/>
    </row>
    <row r="31" spans="1:10" x14ac:dyDescent="0.2">
      <c r="A31" s="152" t="s">
        <v>61</v>
      </c>
      <c r="B31" s="107" t="s">
        <v>261</v>
      </c>
      <c r="C31" s="153"/>
      <c r="D31" s="153"/>
      <c r="E31" s="98">
        <f t="shared" si="0"/>
        <v>0</v>
      </c>
      <c r="F31" s="98">
        <f>+SALDOS!G241</f>
        <v>0</v>
      </c>
      <c r="G31" s="119"/>
      <c r="H31" s="169"/>
      <c r="I31" s="122"/>
      <c r="J31" s="164"/>
    </row>
    <row r="32" spans="1:10" x14ac:dyDescent="0.2">
      <c r="A32" s="152" t="s">
        <v>61</v>
      </c>
      <c r="B32" s="107" t="s">
        <v>106</v>
      </c>
      <c r="C32" s="153"/>
      <c r="D32" s="153"/>
      <c r="E32" s="98">
        <f t="shared" si="0"/>
        <v>0</v>
      </c>
      <c r="F32" s="98"/>
      <c r="G32" s="119"/>
      <c r="H32" s="169">
        <f>+SALDOS!G442</f>
        <v>0</v>
      </c>
      <c r="I32" s="122"/>
      <c r="J32" s="164"/>
    </row>
    <row r="33" spans="1:10" x14ac:dyDescent="0.2">
      <c r="A33" s="152" t="s">
        <v>61</v>
      </c>
      <c r="B33" s="107" t="s">
        <v>113</v>
      </c>
      <c r="C33" s="153"/>
      <c r="D33" s="153"/>
      <c r="E33" s="98">
        <f t="shared" si="0"/>
        <v>0</v>
      </c>
      <c r="F33" s="98">
        <f>+SALDOS!G474</f>
        <v>0</v>
      </c>
      <c r="G33" s="119"/>
      <c r="H33" s="169"/>
      <c r="I33" s="122"/>
      <c r="J33" s="164"/>
    </row>
    <row r="34" spans="1:10" x14ac:dyDescent="0.2">
      <c r="A34" s="152" t="s">
        <v>61</v>
      </c>
      <c r="B34" s="107" t="s">
        <v>293</v>
      </c>
      <c r="C34" s="153"/>
      <c r="D34" s="153"/>
      <c r="E34" s="98">
        <f t="shared" si="0"/>
        <v>489482.99</v>
      </c>
      <c r="F34" s="123">
        <f>+SALDOS!G409</f>
        <v>489482.99</v>
      </c>
      <c r="G34" s="119"/>
      <c r="H34" s="169"/>
      <c r="I34" s="122"/>
      <c r="J34" s="164"/>
    </row>
    <row r="35" spans="1:10" x14ac:dyDescent="0.2">
      <c r="A35" s="152" t="s">
        <v>61</v>
      </c>
      <c r="B35" s="153" t="s">
        <v>213</v>
      </c>
      <c r="C35" s="153"/>
      <c r="D35" s="153"/>
      <c r="E35" s="98">
        <f t="shared" si="0"/>
        <v>9664883.0700000003</v>
      </c>
      <c r="F35" s="122">
        <f>+SALDOS!G266</f>
        <v>9664883.0700000003</v>
      </c>
      <c r="G35" s="119"/>
      <c r="H35" s="119"/>
      <c r="I35" s="171"/>
      <c r="J35" s="164"/>
    </row>
    <row r="36" spans="1:10" x14ac:dyDescent="0.2">
      <c r="A36" s="152" t="s">
        <v>61</v>
      </c>
      <c r="B36" s="153" t="s">
        <v>214</v>
      </c>
      <c r="C36" s="153"/>
      <c r="D36" s="153"/>
      <c r="E36" s="98">
        <f t="shared" si="0"/>
        <v>16223058.620000001</v>
      </c>
      <c r="F36" s="98">
        <f>+SALDOS!G189</f>
        <v>10335682.84</v>
      </c>
      <c r="G36" s="119"/>
      <c r="H36" s="169">
        <f>+SALDOS!G215+SALDOS!G396+SALDOS!G460</f>
        <v>5887375.7800000003</v>
      </c>
      <c r="I36" s="122"/>
      <c r="J36" s="164"/>
    </row>
    <row r="37" spans="1:10" x14ac:dyDescent="0.2">
      <c r="A37" s="152" t="s">
        <v>61</v>
      </c>
      <c r="B37" s="107" t="s">
        <v>229</v>
      </c>
      <c r="C37" s="153"/>
      <c r="D37" s="153"/>
      <c r="E37" s="98">
        <f t="shared" si="0"/>
        <v>15451043.76</v>
      </c>
      <c r="F37" s="98">
        <f>+SALDOS!G465</f>
        <v>15451043.76</v>
      </c>
      <c r="G37" s="119"/>
      <c r="H37" s="169"/>
      <c r="I37" s="122"/>
      <c r="J37" s="164"/>
    </row>
    <row r="38" spans="1:10" x14ac:dyDescent="0.2">
      <c r="A38" s="152" t="s">
        <v>61</v>
      </c>
      <c r="B38" s="107" t="s">
        <v>186</v>
      </c>
      <c r="C38" s="153"/>
      <c r="D38" s="153"/>
      <c r="E38" s="98">
        <f t="shared" si="0"/>
        <v>0</v>
      </c>
      <c r="F38" s="98"/>
      <c r="G38" s="119"/>
      <c r="H38" s="169">
        <f>+SALDOS!G402+SALDOS!G443</f>
        <v>0</v>
      </c>
      <c r="I38" s="122"/>
      <c r="J38" s="164"/>
    </row>
    <row r="39" spans="1:10" x14ac:dyDescent="0.2">
      <c r="A39" s="152" t="s">
        <v>61</v>
      </c>
      <c r="B39" s="107" t="s">
        <v>198</v>
      </c>
      <c r="C39" s="153"/>
      <c r="D39" s="153"/>
      <c r="E39" s="98">
        <f t="shared" si="0"/>
        <v>8441197.290000001</v>
      </c>
      <c r="F39" s="98"/>
      <c r="G39" s="119"/>
      <c r="H39" s="169">
        <f>+SALDOS!G451</f>
        <v>8441197.290000001</v>
      </c>
      <c r="I39" s="122"/>
      <c r="J39" s="164"/>
    </row>
    <row r="40" spans="1:10" x14ac:dyDescent="0.2">
      <c r="A40" s="152" t="s">
        <v>61</v>
      </c>
      <c r="B40" s="153" t="s">
        <v>216</v>
      </c>
      <c r="C40" s="153"/>
      <c r="D40" s="153"/>
      <c r="E40" s="98">
        <f t="shared" si="0"/>
        <v>5034121.24</v>
      </c>
      <c r="F40" s="98">
        <f>+SALDOS!G219</f>
        <v>5034121.24</v>
      </c>
      <c r="G40" s="119"/>
      <c r="H40" s="169"/>
      <c r="I40" s="122"/>
      <c r="J40" s="164"/>
    </row>
    <row r="41" spans="1:10" x14ac:dyDescent="0.2">
      <c r="A41" s="152" t="s">
        <v>61</v>
      </c>
      <c r="B41" s="153" t="s">
        <v>249</v>
      </c>
      <c r="C41" s="153"/>
      <c r="D41" s="153"/>
      <c r="E41" s="98">
        <f t="shared" si="0"/>
        <v>0</v>
      </c>
      <c r="F41" s="98">
        <f>+SALDOS!G240</f>
        <v>0</v>
      </c>
      <c r="G41" s="119"/>
      <c r="H41" s="169"/>
      <c r="I41" s="122"/>
      <c r="J41" s="164"/>
    </row>
    <row r="42" spans="1:10" x14ac:dyDescent="0.2">
      <c r="A42" s="152" t="s">
        <v>61</v>
      </c>
      <c r="B42" s="153" t="s">
        <v>251</v>
      </c>
      <c r="C42" s="153"/>
      <c r="D42" s="153"/>
      <c r="E42" s="98">
        <f t="shared" si="0"/>
        <v>0</v>
      </c>
      <c r="F42" s="98">
        <f>+SALDOS!G365</f>
        <v>0</v>
      </c>
      <c r="G42" s="119"/>
      <c r="H42" s="169"/>
      <c r="I42" s="122"/>
      <c r="J42" s="164"/>
    </row>
    <row r="43" spans="1:10" x14ac:dyDescent="0.2">
      <c r="A43" s="152" t="s">
        <v>61</v>
      </c>
      <c r="B43" s="153" t="s">
        <v>273</v>
      </c>
      <c r="C43" s="153"/>
      <c r="D43" s="153"/>
      <c r="E43" s="98">
        <f t="shared" si="0"/>
        <v>18512.400000000001</v>
      </c>
      <c r="F43" s="98"/>
      <c r="G43" s="119"/>
      <c r="H43" s="169">
        <f>+SALDOS!G317</f>
        <v>18512.400000000001</v>
      </c>
      <c r="I43" s="122"/>
      <c r="J43" s="164"/>
    </row>
    <row r="44" spans="1:10" x14ac:dyDescent="0.2">
      <c r="A44" s="152" t="s">
        <v>61</v>
      </c>
      <c r="B44" s="153" t="s">
        <v>331</v>
      </c>
      <c r="C44" s="153"/>
      <c r="D44" s="153"/>
      <c r="E44" s="98">
        <f t="shared" si="0"/>
        <v>0</v>
      </c>
      <c r="F44" s="98"/>
      <c r="G44" s="119"/>
      <c r="H44" s="169">
        <f>+SALDOS!G387</f>
        <v>0</v>
      </c>
      <c r="I44" s="122"/>
      <c r="J44" s="164"/>
    </row>
    <row r="45" spans="1:10" x14ac:dyDescent="0.2">
      <c r="A45" s="152" t="s">
        <v>61</v>
      </c>
      <c r="B45" s="153" t="s">
        <v>302</v>
      </c>
      <c r="C45" s="153"/>
      <c r="D45" s="153"/>
      <c r="E45" s="98">
        <f t="shared" si="0"/>
        <v>3938960.9</v>
      </c>
      <c r="F45" s="98">
        <f>+SALDOS!G180</f>
        <v>3938960.9</v>
      </c>
      <c r="G45" s="119"/>
      <c r="H45" s="169"/>
      <c r="I45" s="122"/>
      <c r="J45" s="164"/>
    </row>
    <row r="46" spans="1:10" x14ac:dyDescent="0.2">
      <c r="A46" s="152" t="s">
        <v>61</v>
      </c>
      <c r="B46" s="153" t="s">
        <v>333</v>
      </c>
      <c r="C46" s="153"/>
      <c r="D46" s="153"/>
      <c r="E46" s="98">
        <f t="shared" si="0"/>
        <v>0</v>
      </c>
      <c r="F46" s="98">
        <f>+SALDOS!G462</f>
        <v>0</v>
      </c>
      <c r="G46" s="119"/>
      <c r="H46" s="169"/>
      <c r="I46" s="122"/>
      <c r="J46" s="164"/>
    </row>
    <row r="47" spans="1:10" x14ac:dyDescent="0.2">
      <c r="A47" s="152" t="s">
        <v>61</v>
      </c>
      <c r="B47" s="153" t="s">
        <v>357</v>
      </c>
      <c r="C47" s="153"/>
      <c r="D47" s="153"/>
      <c r="E47" s="98">
        <f t="shared" si="0"/>
        <v>0</v>
      </c>
      <c r="F47" s="98">
        <f>+SALDOS!G258</f>
        <v>0</v>
      </c>
      <c r="G47" s="119"/>
      <c r="H47" s="169"/>
      <c r="I47" s="122"/>
      <c r="J47" s="164"/>
    </row>
    <row r="48" spans="1:10" x14ac:dyDescent="0.2">
      <c r="A48" s="152" t="s">
        <v>61</v>
      </c>
      <c r="B48" s="153" t="s">
        <v>360</v>
      </c>
      <c r="C48" s="153"/>
      <c r="D48" s="153"/>
      <c r="E48" s="98">
        <f t="shared" si="0"/>
        <v>236115665.5</v>
      </c>
      <c r="F48" s="98"/>
      <c r="G48" s="119"/>
      <c r="H48" s="169">
        <f>+SALDOS!G416</f>
        <v>236115665.5</v>
      </c>
      <c r="I48" s="122"/>
      <c r="J48" s="164"/>
    </row>
    <row r="49" spans="1:10" x14ac:dyDescent="0.2">
      <c r="A49" s="152" t="s">
        <v>61</v>
      </c>
      <c r="B49" s="153" t="s">
        <v>238</v>
      </c>
      <c r="C49" s="153"/>
      <c r="D49" s="153"/>
      <c r="E49" s="98">
        <f t="shared" si="0"/>
        <v>0</v>
      </c>
      <c r="F49" s="98">
        <f>+SALDOS!G235</f>
        <v>0</v>
      </c>
      <c r="G49" s="119"/>
      <c r="H49" s="169"/>
      <c r="I49" s="122"/>
      <c r="J49" s="164"/>
    </row>
    <row r="50" spans="1:10" x14ac:dyDescent="0.2">
      <c r="A50" s="152" t="s">
        <v>61</v>
      </c>
      <c r="B50" s="107" t="s">
        <v>107</v>
      </c>
      <c r="C50" s="153"/>
      <c r="D50" s="153"/>
      <c r="E50" s="98">
        <f t="shared" si="0"/>
        <v>14667167.220000001</v>
      </c>
      <c r="F50" s="98">
        <f>+SALDOS!G455</f>
        <v>14667167.220000001</v>
      </c>
      <c r="G50" s="119"/>
      <c r="H50" s="169"/>
      <c r="I50" s="122"/>
      <c r="J50" s="164"/>
    </row>
    <row r="51" spans="1:10" x14ac:dyDescent="0.2">
      <c r="A51" s="152" t="s">
        <v>61</v>
      </c>
      <c r="B51" s="107" t="s">
        <v>217</v>
      </c>
      <c r="C51" s="153"/>
      <c r="D51" s="153"/>
      <c r="E51" s="98">
        <f t="shared" si="0"/>
        <v>0</v>
      </c>
      <c r="F51" s="98">
        <f>+SALDOS!G234</f>
        <v>0</v>
      </c>
      <c r="G51" s="119"/>
      <c r="H51" s="169"/>
      <c r="I51" s="122"/>
      <c r="J51" s="164"/>
    </row>
    <row r="52" spans="1:10" x14ac:dyDescent="0.2">
      <c r="A52" s="152" t="s">
        <v>61</v>
      </c>
      <c r="B52" s="107" t="s">
        <v>218</v>
      </c>
      <c r="C52" s="153"/>
      <c r="D52" s="153"/>
      <c r="E52" s="98">
        <f t="shared" si="0"/>
        <v>9103800</v>
      </c>
      <c r="F52" s="98">
        <f>+SALDOS!G187+SALDOS!G232+SALDOS!G369+SALDOS!G389</f>
        <v>39000</v>
      </c>
      <c r="G52" s="119"/>
      <c r="H52" s="169">
        <f>+SALDOS!G393</f>
        <v>9064800</v>
      </c>
      <c r="I52" s="122"/>
      <c r="J52" s="164"/>
    </row>
    <row r="53" spans="1:10" x14ac:dyDescent="0.2">
      <c r="A53" s="152" t="s">
        <v>61</v>
      </c>
      <c r="B53" s="107" t="s">
        <v>219</v>
      </c>
      <c r="C53" s="153"/>
      <c r="D53" s="153"/>
      <c r="E53" s="98">
        <f t="shared" si="0"/>
        <v>832331.19000000006</v>
      </c>
      <c r="F53" s="98"/>
      <c r="G53" s="119"/>
      <c r="H53" s="169">
        <f>+SALDOS!G296</f>
        <v>832331.19000000006</v>
      </c>
      <c r="I53" s="122"/>
      <c r="J53" s="164"/>
    </row>
    <row r="54" spans="1:10" x14ac:dyDescent="0.2">
      <c r="A54" s="152" t="s">
        <v>61</v>
      </c>
      <c r="B54" s="107" t="s">
        <v>233</v>
      </c>
      <c r="C54" s="153"/>
      <c r="D54" s="153"/>
      <c r="E54" s="98">
        <f t="shared" si="0"/>
        <v>0</v>
      </c>
      <c r="F54" s="98"/>
      <c r="G54" s="119"/>
      <c r="H54" s="169">
        <f>+SALDOS!G312</f>
        <v>0</v>
      </c>
      <c r="I54" s="122"/>
      <c r="J54" s="164"/>
    </row>
    <row r="55" spans="1:10" x14ac:dyDescent="0.2">
      <c r="A55" s="152" t="s">
        <v>61</v>
      </c>
      <c r="B55" s="153" t="s">
        <v>220</v>
      </c>
      <c r="C55" s="153"/>
      <c r="D55" s="153"/>
      <c r="E55" s="98">
        <f t="shared" si="0"/>
        <v>170441769.38999999</v>
      </c>
      <c r="F55" s="98">
        <f>+SALDOS!G159</f>
        <v>170441769.38999999</v>
      </c>
      <c r="G55" s="119"/>
      <c r="H55" s="169"/>
      <c r="I55" s="122"/>
      <c r="J55" s="164"/>
    </row>
    <row r="56" spans="1:10" x14ac:dyDescent="0.2">
      <c r="A56" s="152" t="s">
        <v>61</v>
      </c>
      <c r="B56" s="153" t="s">
        <v>221</v>
      </c>
      <c r="C56" s="153"/>
      <c r="D56" s="153"/>
      <c r="E56" s="98">
        <f t="shared" si="0"/>
        <v>0</v>
      </c>
      <c r="F56" s="123">
        <f>+SALDOS!G154</f>
        <v>0</v>
      </c>
      <c r="G56" s="124"/>
      <c r="H56" s="119"/>
      <c r="I56" s="122"/>
      <c r="J56" s="164"/>
    </row>
    <row r="57" spans="1:10" x14ac:dyDescent="0.2">
      <c r="A57" s="152" t="s">
        <v>61</v>
      </c>
      <c r="B57" s="153" t="s">
        <v>372</v>
      </c>
      <c r="C57" s="153"/>
      <c r="D57" s="153"/>
      <c r="E57" s="98">
        <f t="shared" si="0"/>
        <v>22769032.280000001</v>
      </c>
      <c r="F57" s="98">
        <f>+SALDOS!G271</f>
        <v>22769032.280000001</v>
      </c>
      <c r="G57" s="169"/>
      <c r="H57" s="119"/>
      <c r="I57" s="171"/>
      <c r="J57" s="164"/>
    </row>
    <row r="58" spans="1:10" x14ac:dyDescent="0.2">
      <c r="A58" s="152" t="s">
        <v>61</v>
      </c>
      <c r="B58" s="153" t="s">
        <v>296</v>
      </c>
      <c r="C58" s="153"/>
      <c r="D58" s="153"/>
      <c r="E58" s="98">
        <f t="shared" si="0"/>
        <v>0</v>
      </c>
      <c r="F58" s="98">
        <f>+SALDOS!G274+SALDOS!G284</f>
        <v>0</v>
      </c>
      <c r="G58" s="169"/>
      <c r="H58" s="119"/>
      <c r="I58" s="171"/>
      <c r="J58" s="164"/>
    </row>
    <row r="59" spans="1:10" x14ac:dyDescent="0.2">
      <c r="A59" s="152" t="s">
        <v>61</v>
      </c>
      <c r="B59" s="153" t="s">
        <v>335</v>
      </c>
      <c r="C59" s="153"/>
      <c r="D59" s="153"/>
      <c r="E59" s="98">
        <f t="shared" si="0"/>
        <v>11619112.85</v>
      </c>
      <c r="F59" s="98">
        <f>+SALDOS!G169+SALDOS!G285+SALDOS!G286+SALDOS!G496+SALDOS!F501</f>
        <v>11619112.85</v>
      </c>
      <c r="G59" s="170"/>
      <c r="H59" s="119"/>
      <c r="I59" s="171"/>
      <c r="J59" s="164"/>
    </row>
    <row r="60" spans="1:10" x14ac:dyDescent="0.2">
      <c r="A60" s="152" t="s">
        <v>61</v>
      </c>
      <c r="B60" s="107" t="s">
        <v>104</v>
      </c>
      <c r="C60" s="153"/>
      <c r="D60" s="153"/>
      <c r="E60" s="98">
        <f t="shared" si="0"/>
        <v>768315.33</v>
      </c>
      <c r="F60" s="98">
        <f>+SALDOS!G428</f>
        <v>768315.33</v>
      </c>
      <c r="G60" s="119"/>
      <c r="H60" s="169"/>
      <c r="I60" s="122"/>
      <c r="J60" s="164"/>
    </row>
    <row r="61" spans="1:10" x14ac:dyDescent="0.2">
      <c r="A61" s="152" t="s">
        <v>61</v>
      </c>
      <c r="B61" s="107" t="s">
        <v>222</v>
      </c>
      <c r="C61" s="153"/>
      <c r="D61" s="153"/>
      <c r="E61" s="98">
        <f t="shared" si="0"/>
        <v>0</v>
      </c>
      <c r="F61" s="98"/>
      <c r="G61" s="119"/>
      <c r="H61" s="169">
        <f>+SALDOS!G295</f>
        <v>0</v>
      </c>
      <c r="I61" s="122"/>
      <c r="J61" s="164"/>
    </row>
    <row r="62" spans="1:10" x14ac:dyDescent="0.2">
      <c r="A62" s="152" t="s">
        <v>61</v>
      </c>
      <c r="B62" s="107" t="s">
        <v>304</v>
      </c>
      <c r="C62" s="153"/>
      <c r="D62" s="153"/>
      <c r="E62" s="98">
        <f t="shared" si="0"/>
        <v>149263.10999999999</v>
      </c>
      <c r="F62" s="98">
        <f>+SALDOS!G248</f>
        <v>149263.10999999999</v>
      </c>
      <c r="G62" s="119"/>
      <c r="H62" s="169"/>
      <c r="I62" s="122"/>
      <c r="J62" s="164"/>
    </row>
    <row r="63" spans="1:10" x14ac:dyDescent="0.2">
      <c r="A63" s="152" t="s">
        <v>61</v>
      </c>
      <c r="B63" s="107" t="s">
        <v>101</v>
      </c>
      <c r="C63" s="153"/>
      <c r="D63" s="153"/>
      <c r="E63" s="98">
        <f t="shared" si="0"/>
        <v>88381242.299999997</v>
      </c>
      <c r="F63" s="98">
        <f>+SALDOS!G172+SALDOS!G340+SALDOS!G392+SALDOS!G341</f>
        <v>1068794.4099999999</v>
      </c>
      <c r="G63" s="119"/>
      <c r="H63" s="169">
        <f>+SALDOS!G320</f>
        <v>87312447.890000001</v>
      </c>
      <c r="I63" s="122"/>
      <c r="J63" s="164"/>
    </row>
    <row r="64" spans="1:10" x14ac:dyDescent="0.2">
      <c r="A64" s="152" t="s">
        <v>61</v>
      </c>
      <c r="B64" s="107" t="s">
        <v>262</v>
      </c>
      <c r="C64" s="153"/>
      <c r="D64" s="153"/>
      <c r="E64" s="98">
        <f t="shared" si="0"/>
        <v>101825.60000000001</v>
      </c>
      <c r="F64" s="98"/>
      <c r="G64" s="119"/>
      <c r="H64" s="169">
        <f>+SALDOS!G245</f>
        <v>101825.60000000001</v>
      </c>
      <c r="I64" s="122"/>
      <c r="J64" s="164"/>
    </row>
    <row r="65" spans="1:10" x14ac:dyDescent="0.2">
      <c r="A65" s="152" t="s">
        <v>61</v>
      </c>
      <c r="B65" s="107" t="s">
        <v>114</v>
      </c>
      <c r="C65" s="153"/>
      <c r="D65" s="153"/>
      <c r="E65" s="98">
        <f t="shared" si="0"/>
        <v>0</v>
      </c>
      <c r="F65" s="98">
        <f>+SALDOS!G480</f>
        <v>0</v>
      </c>
      <c r="G65" s="119"/>
      <c r="H65" s="169"/>
      <c r="I65" s="122"/>
      <c r="J65" s="164"/>
    </row>
    <row r="66" spans="1:10" x14ac:dyDescent="0.2">
      <c r="A66" s="152" t="s">
        <v>61</v>
      </c>
      <c r="B66" s="107" t="s">
        <v>96</v>
      </c>
      <c r="C66" s="153"/>
      <c r="D66" s="153"/>
      <c r="E66" s="98">
        <f t="shared" si="0"/>
        <v>0</v>
      </c>
      <c r="F66" s="98"/>
      <c r="G66" s="119"/>
      <c r="H66" s="169"/>
      <c r="I66" s="122"/>
      <c r="J66" s="164"/>
    </row>
    <row r="67" spans="1:10" x14ac:dyDescent="0.2">
      <c r="A67" s="152" t="s">
        <v>61</v>
      </c>
      <c r="B67" s="107" t="s">
        <v>223</v>
      </c>
      <c r="C67" s="153"/>
      <c r="D67" s="153"/>
      <c r="E67" s="98">
        <f t="shared" si="0"/>
        <v>2052084.4000000001</v>
      </c>
      <c r="F67" s="98">
        <f>+SALDOS!G228</f>
        <v>2052084.4000000001</v>
      </c>
      <c r="G67" s="119"/>
      <c r="H67" s="169"/>
      <c r="I67" s="122"/>
      <c r="J67" s="164"/>
    </row>
    <row r="68" spans="1:10" x14ac:dyDescent="0.2">
      <c r="A68" s="152" t="s">
        <v>61</v>
      </c>
      <c r="B68" s="107" t="s">
        <v>185</v>
      </c>
      <c r="C68" s="153"/>
      <c r="D68" s="153"/>
      <c r="E68" s="98">
        <f t="shared" si="0"/>
        <v>0</v>
      </c>
      <c r="F68" s="98"/>
      <c r="G68" s="119"/>
      <c r="H68" s="169"/>
      <c r="I68" s="122"/>
      <c r="J68" s="164"/>
    </row>
    <row r="69" spans="1:10" x14ac:dyDescent="0.2">
      <c r="A69" s="152" t="s">
        <v>61</v>
      </c>
      <c r="B69" s="107" t="s">
        <v>321</v>
      </c>
      <c r="C69" s="153"/>
      <c r="D69" s="153"/>
      <c r="E69" s="98">
        <f t="shared" si="0"/>
        <v>0</v>
      </c>
      <c r="F69" s="98"/>
      <c r="G69" s="119"/>
      <c r="H69" s="169">
        <f>+SALDOS!G390</f>
        <v>0</v>
      </c>
      <c r="I69" s="122"/>
      <c r="J69" s="164"/>
    </row>
    <row r="70" spans="1:10" x14ac:dyDescent="0.2">
      <c r="A70" s="152" t="s">
        <v>61</v>
      </c>
      <c r="B70" s="107" t="s">
        <v>280</v>
      </c>
      <c r="C70" s="153"/>
      <c r="D70" s="153"/>
      <c r="E70" s="98">
        <f t="shared" si="0"/>
        <v>0</v>
      </c>
      <c r="F70" s="98"/>
      <c r="G70" s="119"/>
      <c r="H70" s="169"/>
      <c r="I70" s="122"/>
      <c r="J70" s="164"/>
    </row>
    <row r="71" spans="1:10" x14ac:dyDescent="0.2">
      <c r="A71" s="152" t="s">
        <v>61</v>
      </c>
      <c r="B71" s="107" t="s">
        <v>242</v>
      </c>
      <c r="C71" s="153"/>
      <c r="D71" s="153"/>
      <c r="E71" s="98">
        <f t="shared" si="0"/>
        <v>0</v>
      </c>
      <c r="F71" s="98">
        <f>+SALDOS!G236</f>
        <v>0</v>
      </c>
      <c r="G71" s="119"/>
      <c r="H71" s="169"/>
      <c r="I71" s="122"/>
      <c r="J71" s="164"/>
    </row>
    <row r="72" spans="1:10" x14ac:dyDescent="0.2">
      <c r="A72" s="152" t="s">
        <v>61</v>
      </c>
      <c r="B72" s="107" t="s">
        <v>457</v>
      </c>
      <c r="C72" s="153"/>
      <c r="D72" s="153"/>
      <c r="E72" s="98">
        <f t="shared" si="0"/>
        <v>0</v>
      </c>
      <c r="F72" s="98">
        <f>+SALDOS!G490</f>
        <v>0</v>
      </c>
      <c r="G72" s="119"/>
      <c r="H72" s="169"/>
      <c r="I72" s="122"/>
      <c r="J72" s="164"/>
    </row>
    <row r="73" spans="1:10" x14ac:dyDescent="0.2">
      <c r="A73" s="152" t="s">
        <v>61</v>
      </c>
      <c r="B73" s="153" t="s">
        <v>224</v>
      </c>
      <c r="C73" s="153"/>
      <c r="D73" s="153"/>
      <c r="E73" s="98">
        <f t="shared" si="0"/>
        <v>700000</v>
      </c>
      <c r="F73" s="98">
        <f>+SALDOS!G210</f>
        <v>700000</v>
      </c>
      <c r="G73" s="119"/>
      <c r="H73" s="169"/>
      <c r="I73" s="122"/>
      <c r="J73" s="164"/>
    </row>
    <row r="74" spans="1:10" x14ac:dyDescent="0.2">
      <c r="A74" s="152" t="s">
        <v>61</v>
      </c>
      <c r="B74" s="153" t="s">
        <v>225</v>
      </c>
      <c r="C74" s="153"/>
      <c r="D74" s="153"/>
      <c r="E74" s="98">
        <f t="shared" si="0"/>
        <v>4013596.99</v>
      </c>
      <c r="F74" s="169">
        <f>+SALDOS!G483</f>
        <v>4013596.99</v>
      </c>
      <c r="G74" s="119"/>
      <c r="H74" s="169"/>
      <c r="I74" s="122"/>
      <c r="J74" s="164"/>
    </row>
    <row r="75" spans="1:10" x14ac:dyDescent="0.2">
      <c r="A75" s="152" t="s">
        <v>61</v>
      </c>
      <c r="B75" s="153" t="s">
        <v>226</v>
      </c>
      <c r="C75" s="153"/>
      <c r="D75" s="153"/>
      <c r="E75" s="98">
        <f t="shared" si="0"/>
        <v>0</v>
      </c>
      <c r="F75" s="122">
        <f>+SALDOS!G207</f>
        <v>0</v>
      </c>
      <c r="G75" s="119"/>
      <c r="H75" s="119"/>
      <c r="I75" s="171"/>
      <c r="J75" s="164"/>
    </row>
    <row r="76" spans="1:10" x14ac:dyDescent="0.2">
      <c r="A76" s="152" t="s">
        <v>61</v>
      </c>
      <c r="B76" s="107" t="s">
        <v>105</v>
      </c>
      <c r="C76" s="153"/>
      <c r="D76" s="153"/>
      <c r="E76" s="98">
        <f t="shared" ref="E76:E93" si="1">SUM(F76:I76)</f>
        <v>17921832.18</v>
      </c>
      <c r="F76" s="98">
        <f>+SALDOS!G437</f>
        <v>17921832.18</v>
      </c>
      <c r="G76" s="119"/>
      <c r="H76" s="169"/>
      <c r="I76" s="122"/>
      <c r="J76" s="164"/>
    </row>
    <row r="77" spans="1:10" x14ac:dyDescent="0.2">
      <c r="A77" s="152" t="s">
        <v>61</v>
      </c>
      <c r="B77" s="107" t="s">
        <v>458</v>
      </c>
      <c r="C77" s="153"/>
      <c r="D77" s="153"/>
      <c r="E77" s="98">
        <f t="shared" si="1"/>
        <v>0</v>
      </c>
      <c r="F77" s="98">
        <f>+SALDOS!G491</f>
        <v>0</v>
      </c>
      <c r="G77" s="119"/>
      <c r="H77" s="169"/>
      <c r="I77" s="122"/>
      <c r="J77" s="164"/>
    </row>
    <row r="78" spans="1:10" x14ac:dyDescent="0.2">
      <c r="A78" s="152" t="s">
        <v>61</v>
      </c>
      <c r="B78" s="107" t="s">
        <v>315</v>
      </c>
      <c r="C78" s="153"/>
      <c r="D78" s="153"/>
      <c r="E78" s="98">
        <f t="shared" si="1"/>
        <v>0</v>
      </c>
      <c r="F78" s="98"/>
      <c r="G78" s="119"/>
      <c r="H78" s="169">
        <f>+SALDOS!G319</f>
        <v>0</v>
      </c>
      <c r="I78" s="122"/>
      <c r="J78" s="164"/>
    </row>
    <row r="79" spans="1:10" x14ac:dyDescent="0.2">
      <c r="A79" s="152" t="s">
        <v>61</v>
      </c>
      <c r="B79" s="107" t="s">
        <v>367</v>
      </c>
      <c r="C79" s="153"/>
      <c r="D79" s="153"/>
      <c r="E79" s="98">
        <f t="shared" si="1"/>
        <v>0</v>
      </c>
      <c r="F79" s="98"/>
      <c r="G79" s="119"/>
      <c r="H79" s="169">
        <f>+SALDOS!G488</f>
        <v>0</v>
      </c>
      <c r="I79" s="122"/>
      <c r="J79" s="164"/>
    </row>
    <row r="80" spans="1:10" x14ac:dyDescent="0.2">
      <c r="A80" s="152" t="s">
        <v>61</v>
      </c>
      <c r="B80" s="107" t="s">
        <v>456</v>
      </c>
      <c r="C80" s="153"/>
      <c r="D80" s="153"/>
      <c r="E80" s="98">
        <f t="shared" si="1"/>
        <v>4150213.41</v>
      </c>
      <c r="F80" s="98"/>
      <c r="G80" s="119"/>
      <c r="H80" s="169">
        <f>+SALDOS!G489</f>
        <v>4150213.41</v>
      </c>
      <c r="I80" s="122"/>
      <c r="J80" s="164"/>
    </row>
    <row r="81" spans="1:10" x14ac:dyDescent="0.2">
      <c r="A81" s="152" t="s">
        <v>61</v>
      </c>
      <c r="B81" s="107" t="s">
        <v>102</v>
      </c>
      <c r="C81" s="153"/>
      <c r="D81" s="153"/>
      <c r="E81" s="98">
        <f t="shared" si="1"/>
        <v>423255657.71000004</v>
      </c>
      <c r="F81" s="98">
        <f>+SALDOS!G170</f>
        <v>146974706.71000001</v>
      </c>
      <c r="G81" s="119"/>
      <c r="H81" s="169">
        <f>+SALDOS!G404</f>
        <v>276280951</v>
      </c>
      <c r="I81" s="122"/>
      <c r="J81" s="164"/>
    </row>
    <row r="82" spans="1:10" x14ac:dyDescent="0.2">
      <c r="A82" s="152" t="s">
        <v>61</v>
      </c>
      <c r="B82" s="107" t="s">
        <v>108</v>
      </c>
      <c r="C82" s="153"/>
      <c r="D82" s="153"/>
      <c r="E82" s="98">
        <f t="shared" si="1"/>
        <v>3499846.7</v>
      </c>
      <c r="F82" s="98">
        <f>+SALDOS!G283+SALDOS!G198</f>
        <v>0</v>
      </c>
      <c r="G82" s="119"/>
      <c r="H82" s="169">
        <f>+SALDOS!G419</f>
        <v>3499846.7</v>
      </c>
      <c r="I82" s="122"/>
      <c r="J82" s="164"/>
    </row>
    <row r="83" spans="1:10" x14ac:dyDescent="0.2">
      <c r="A83" s="152" t="s">
        <v>61</v>
      </c>
      <c r="B83" s="107" t="s">
        <v>98</v>
      </c>
      <c r="C83" s="153"/>
      <c r="D83" s="153"/>
      <c r="E83" s="98">
        <f t="shared" si="1"/>
        <v>0</v>
      </c>
      <c r="F83" s="98">
        <v>0</v>
      </c>
      <c r="G83" s="119"/>
      <c r="H83" s="169">
        <f>+SALDOS!G148</f>
        <v>0</v>
      </c>
      <c r="I83" s="122"/>
      <c r="J83" s="164"/>
    </row>
    <row r="84" spans="1:10" x14ac:dyDescent="0.2">
      <c r="A84" s="152" t="s">
        <v>61</v>
      </c>
      <c r="B84" s="107" t="s">
        <v>346</v>
      </c>
      <c r="C84" s="153"/>
      <c r="D84" s="153"/>
      <c r="E84" s="98">
        <f t="shared" si="1"/>
        <v>0</v>
      </c>
      <c r="F84" s="98">
        <f>+SALDOS!G265</f>
        <v>0</v>
      </c>
      <c r="G84" s="119"/>
      <c r="H84" s="169"/>
      <c r="I84" s="122"/>
      <c r="J84" s="164"/>
    </row>
    <row r="85" spans="1:10" x14ac:dyDescent="0.2">
      <c r="A85" s="152" t="s">
        <v>61</v>
      </c>
      <c r="B85" s="107" t="s">
        <v>184</v>
      </c>
      <c r="C85" s="153"/>
      <c r="D85" s="153"/>
      <c r="E85" s="98">
        <f t="shared" si="1"/>
        <v>0</v>
      </c>
      <c r="F85" s="98">
        <f>+SALDOS!G386</f>
        <v>0</v>
      </c>
      <c r="G85" s="119"/>
      <c r="H85" s="169"/>
      <c r="I85" s="122"/>
      <c r="J85" s="164"/>
    </row>
    <row r="86" spans="1:10" x14ac:dyDescent="0.2">
      <c r="A86" s="152" t="s">
        <v>61</v>
      </c>
      <c r="B86" s="107" t="s">
        <v>274</v>
      </c>
      <c r="C86" s="153"/>
      <c r="D86" s="153"/>
      <c r="E86" s="98">
        <f t="shared" si="1"/>
        <v>0</v>
      </c>
      <c r="F86" s="98">
        <f>+SALDOS!G247</f>
        <v>0</v>
      </c>
      <c r="G86" s="119"/>
      <c r="H86" s="169"/>
      <c r="I86" s="122"/>
      <c r="J86" s="164"/>
    </row>
    <row r="87" spans="1:10" ht="10.5" customHeight="1" x14ac:dyDescent="0.2">
      <c r="A87" s="152" t="s">
        <v>61</v>
      </c>
      <c r="B87" s="107" t="s">
        <v>227</v>
      </c>
      <c r="C87" s="153"/>
      <c r="D87" s="153"/>
      <c r="E87" s="98">
        <f t="shared" si="1"/>
        <v>0</v>
      </c>
      <c r="F87" s="119">
        <f>+SALDOS!G179</f>
        <v>0</v>
      </c>
      <c r="G87" s="119"/>
      <c r="H87" s="169"/>
      <c r="I87" s="122"/>
      <c r="J87" s="164"/>
    </row>
    <row r="88" spans="1:10" ht="10.5" customHeight="1" x14ac:dyDescent="0.2">
      <c r="A88" s="152" t="s">
        <v>61</v>
      </c>
      <c r="B88" s="107" t="s">
        <v>313</v>
      </c>
      <c r="C88" s="153"/>
      <c r="D88" s="153"/>
      <c r="E88" s="98">
        <f t="shared" si="1"/>
        <v>0</v>
      </c>
      <c r="F88" s="119"/>
      <c r="G88" s="119"/>
      <c r="H88" s="169">
        <f>+SALDOS!G418</f>
        <v>0</v>
      </c>
      <c r="I88" s="122"/>
      <c r="J88" s="164"/>
    </row>
    <row r="89" spans="1:10" ht="10.5" customHeight="1" x14ac:dyDescent="0.2">
      <c r="A89" s="152" t="s">
        <v>61</v>
      </c>
      <c r="B89" s="107" t="s">
        <v>365</v>
      </c>
      <c r="C89" s="153"/>
      <c r="D89" s="153"/>
      <c r="E89" s="98">
        <f t="shared" si="1"/>
        <v>101483.28</v>
      </c>
      <c r="F89" s="119">
        <f>+SALDOS!G446</f>
        <v>101483.28</v>
      </c>
      <c r="G89" s="119"/>
      <c r="H89" s="169"/>
      <c r="I89" s="122"/>
      <c r="J89" s="164"/>
    </row>
    <row r="90" spans="1:10" ht="10.5" customHeight="1" x14ac:dyDescent="0.2">
      <c r="A90" s="152" t="s">
        <v>61</v>
      </c>
      <c r="B90" s="107" t="s">
        <v>378</v>
      </c>
      <c r="C90" s="153"/>
      <c r="D90" s="153"/>
      <c r="E90" s="98">
        <f t="shared" si="1"/>
        <v>0</v>
      </c>
      <c r="F90" s="119"/>
      <c r="G90" s="119"/>
      <c r="H90" s="169">
        <f>+SALDOS!G478</f>
        <v>0</v>
      </c>
      <c r="I90" s="122"/>
      <c r="J90" s="164"/>
    </row>
    <row r="91" spans="1:10" ht="10.5" customHeight="1" x14ac:dyDescent="0.2">
      <c r="A91" s="152" t="s">
        <v>61</v>
      </c>
      <c r="B91" s="311" t="s">
        <v>833</v>
      </c>
      <c r="C91" s="153"/>
      <c r="D91" s="153"/>
      <c r="E91" s="98">
        <f t="shared" si="1"/>
        <v>6840000</v>
      </c>
      <c r="F91" s="119">
        <f>+SALDOS!G153</f>
        <v>6840000</v>
      </c>
      <c r="G91" s="119"/>
      <c r="H91" s="169"/>
      <c r="I91" s="122"/>
      <c r="J91" s="164"/>
    </row>
    <row r="92" spans="1:10" ht="10.5" customHeight="1" x14ac:dyDescent="0.2">
      <c r="A92" s="152" t="s">
        <v>61</v>
      </c>
      <c r="B92" s="107" t="s">
        <v>221</v>
      </c>
      <c r="C92" s="153"/>
      <c r="D92" s="153"/>
      <c r="E92" s="98">
        <f t="shared" si="1"/>
        <v>0</v>
      </c>
      <c r="F92" s="119">
        <f>+SALDOS!G203</f>
        <v>0</v>
      </c>
      <c r="G92" s="119"/>
      <c r="H92" s="169"/>
      <c r="I92" s="122"/>
      <c r="J92" s="164"/>
    </row>
    <row r="93" spans="1:10" ht="10.5" customHeight="1" x14ac:dyDescent="0.2">
      <c r="A93" s="152"/>
      <c r="B93" s="107" t="s">
        <v>471</v>
      </c>
      <c r="C93" s="153"/>
      <c r="D93" s="153"/>
      <c r="E93" s="98">
        <f t="shared" si="1"/>
        <v>226987</v>
      </c>
      <c r="F93" s="119"/>
      <c r="G93" s="119"/>
      <c r="H93" s="169">
        <f>+SALDOS!G492</f>
        <v>226987</v>
      </c>
      <c r="I93" s="122"/>
      <c r="J93" s="164"/>
    </row>
    <row r="94" spans="1:10" ht="10.5" customHeight="1" x14ac:dyDescent="0.2">
      <c r="A94" s="152" t="s">
        <v>61</v>
      </c>
      <c r="B94" s="107" t="s">
        <v>477</v>
      </c>
      <c r="C94" s="153"/>
      <c r="D94" s="153"/>
      <c r="E94" s="98">
        <f t="shared" ref="E94:E102" si="2">SUM(F94:I94)</f>
        <v>914304.70000000007</v>
      </c>
      <c r="F94" s="119"/>
      <c r="G94" s="119"/>
      <c r="H94" s="169">
        <f>+SALDOS!G493+SALDOS!G494</f>
        <v>914304.70000000007</v>
      </c>
      <c r="I94" s="122"/>
      <c r="J94" s="164"/>
    </row>
    <row r="95" spans="1:10" ht="10.5" customHeight="1" x14ac:dyDescent="0.2">
      <c r="A95" s="152" t="s">
        <v>61</v>
      </c>
      <c r="B95" s="107" t="s">
        <v>522</v>
      </c>
      <c r="C95" s="153"/>
      <c r="D95" s="153"/>
      <c r="E95" s="98">
        <f t="shared" si="2"/>
        <v>-3615904.1100000003</v>
      </c>
      <c r="F95" s="119">
        <f>+SALDOS!G201</f>
        <v>-3615904.1100000003</v>
      </c>
      <c r="G95" s="119"/>
      <c r="H95" s="169"/>
      <c r="I95" s="122"/>
      <c r="J95" s="164"/>
    </row>
    <row r="96" spans="1:10" ht="10.5" customHeight="1" x14ac:dyDescent="0.2">
      <c r="A96" s="152" t="s">
        <v>61</v>
      </c>
      <c r="B96" s="107" t="s">
        <v>572</v>
      </c>
      <c r="C96" s="153"/>
      <c r="D96" s="153"/>
      <c r="E96" s="98">
        <f t="shared" si="2"/>
        <v>0</v>
      </c>
      <c r="F96" s="119"/>
      <c r="G96" s="119"/>
      <c r="H96" s="169">
        <f>+SALDOS!G497</f>
        <v>0</v>
      </c>
      <c r="I96" s="122"/>
      <c r="J96" s="164"/>
    </row>
    <row r="97" spans="1:10" ht="10.5" customHeight="1" x14ac:dyDescent="0.2">
      <c r="A97" s="152" t="s">
        <v>61</v>
      </c>
      <c r="B97" s="107" t="s">
        <v>552</v>
      </c>
      <c r="C97" s="153"/>
      <c r="D97" s="153"/>
      <c r="E97" s="98">
        <f t="shared" si="2"/>
        <v>0</v>
      </c>
      <c r="F97" s="119"/>
      <c r="G97" s="119"/>
      <c r="H97" s="169">
        <f>+SALDOS!F495</f>
        <v>0</v>
      </c>
      <c r="I97" s="122"/>
      <c r="J97" s="164"/>
    </row>
    <row r="98" spans="1:10" ht="10.5" customHeight="1" x14ac:dyDescent="0.2">
      <c r="A98" s="152" t="s">
        <v>61</v>
      </c>
      <c r="B98" s="107" t="s">
        <v>585</v>
      </c>
      <c r="C98" s="153"/>
      <c r="D98" s="153"/>
      <c r="E98" s="98">
        <f t="shared" si="2"/>
        <v>0</v>
      </c>
      <c r="F98" s="119"/>
      <c r="G98" s="119"/>
      <c r="H98" s="169">
        <f>+SALDOS!G500</f>
        <v>0</v>
      </c>
      <c r="I98" s="122"/>
      <c r="J98" s="164"/>
    </row>
    <row r="99" spans="1:10" ht="10.5" customHeight="1" x14ac:dyDescent="0.2">
      <c r="A99" s="152" t="s">
        <v>61</v>
      </c>
      <c r="B99" s="107" t="s">
        <v>633</v>
      </c>
      <c r="C99" s="153"/>
      <c r="D99" s="153"/>
      <c r="E99" s="98">
        <f t="shared" si="2"/>
        <v>0</v>
      </c>
      <c r="F99" s="119"/>
      <c r="G99" s="119"/>
      <c r="H99" s="169">
        <f>+SALDOS!G502</f>
        <v>0</v>
      </c>
      <c r="I99" s="122"/>
      <c r="J99" s="164"/>
    </row>
    <row r="100" spans="1:10" ht="10.5" customHeight="1" x14ac:dyDescent="0.2">
      <c r="A100" s="152" t="s">
        <v>61</v>
      </c>
      <c r="B100" s="107" t="s">
        <v>634</v>
      </c>
      <c r="C100" s="153"/>
      <c r="D100" s="153"/>
      <c r="E100" s="98">
        <f t="shared" si="2"/>
        <v>0</v>
      </c>
      <c r="F100" s="119"/>
      <c r="G100" s="119"/>
      <c r="H100" s="169">
        <f>+SALDOS!G503</f>
        <v>0</v>
      </c>
      <c r="I100" s="122"/>
      <c r="J100" s="164"/>
    </row>
    <row r="101" spans="1:10" ht="10.5" customHeight="1" x14ac:dyDescent="0.2">
      <c r="A101" s="152" t="s">
        <v>61</v>
      </c>
      <c r="B101" s="107" t="s">
        <v>635</v>
      </c>
      <c r="C101" s="153"/>
      <c r="D101" s="153"/>
      <c r="E101" s="98">
        <f t="shared" si="2"/>
        <v>0</v>
      </c>
      <c r="F101" s="119"/>
      <c r="G101" s="119"/>
      <c r="H101" s="169">
        <f>+SALDOS!G504</f>
        <v>0</v>
      </c>
      <c r="I101" s="122"/>
      <c r="J101" s="164"/>
    </row>
    <row r="102" spans="1:10" ht="10.5" customHeight="1" x14ac:dyDescent="0.2">
      <c r="A102" s="152" t="s">
        <v>61</v>
      </c>
      <c r="B102" s="153" t="s">
        <v>747</v>
      </c>
      <c r="C102" s="153"/>
      <c r="D102" s="153"/>
      <c r="E102" s="98">
        <f t="shared" si="2"/>
        <v>0</v>
      </c>
      <c r="F102" s="119"/>
      <c r="G102" s="119"/>
      <c r="H102" s="169">
        <f>+SALDOS!G505</f>
        <v>0</v>
      </c>
      <c r="I102" s="122"/>
      <c r="J102" s="164"/>
    </row>
    <row r="103" spans="1:10" ht="10.8" thickBot="1" x14ac:dyDescent="0.25">
      <c r="A103" s="165"/>
      <c r="B103" s="166" t="str">
        <f>+'Anexo I'!A24</f>
        <v>Total al 30.06.2026</v>
      </c>
      <c r="C103" s="166"/>
      <c r="D103" s="166"/>
      <c r="E103" s="109">
        <f>SUM(E10:E102)</f>
        <v>1609778933.7700005</v>
      </c>
      <c r="F103" s="109">
        <f>SUM(F10:F102)</f>
        <v>729617202.41999996</v>
      </c>
      <c r="G103" s="109">
        <f>SUM(G10:G102)</f>
        <v>0</v>
      </c>
      <c r="H103" s="109">
        <f>SUM(H10:H102)</f>
        <v>880161731.35000014</v>
      </c>
      <c r="I103" s="109">
        <f>SUM(I10:I102)</f>
        <v>0</v>
      </c>
      <c r="J103" s="167" t="e">
        <f>SUM(#REF!)</f>
        <v>#REF!</v>
      </c>
    </row>
    <row r="104" spans="1:10" ht="10.8" thickTop="1" x14ac:dyDescent="0.2">
      <c r="A104" s="7" t="s">
        <v>13</v>
      </c>
    </row>
    <row r="105" spans="1:10" x14ac:dyDescent="0.2">
      <c r="A105" s="7" t="s">
        <v>14</v>
      </c>
    </row>
    <row r="106" spans="1:10" x14ac:dyDescent="0.2">
      <c r="E106" s="39"/>
    </row>
    <row r="107" spans="1:10" x14ac:dyDescent="0.2">
      <c r="E107" s="54"/>
      <c r="F107" s="168"/>
      <c r="G107" s="54"/>
    </row>
    <row r="108" spans="1:10" x14ac:dyDescent="0.2">
      <c r="E108" s="39"/>
    </row>
    <row r="109" spans="1:10" x14ac:dyDescent="0.2">
      <c r="E109" s="54"/>
    </row>
    <row r="110" spans="1:10" x14ac:dyDescent="0.2">
      <c r="D110" s="110" t="str">
        <f>+Balance!D32</f>
        <v>Miguel Ángel Alonso</v>
      </c>
      <c r="F110" s="110" t="str">
        <f>+Balance!F32</f>
        <v>Pedro Nicholson</v>
      </c>
      <c r="H110" s="110" t="str">
        <f>+Balance!K32</f>
        <v>Alejandro Poletto</v>
      </c>
    </row>
    <row r="111" spans="1:10" x14ac:dyDescent="0.2">
      <c r="D111" s="110" t="str">
        <f>+Balance!D33</f>
        <v>Contador Público (U.C.A.)</v>
      </c>
      <c r="E111" s="110"/>
      <c r="F111" s="110" t="str">
        <f>+Balance!F33</f>
        <v>Síndico</v>
      </c>
      <c r="G111" s="110"/>
      <c r="H111" s="110" t="str">
        <f>+Balance!K33</f>
        <v>Southern Copper Arg. S.R.L.</v>
      </c>
    </row>
    <row r="112" spans="1:10" x14ac:dyDescent="0.2">
      <c r="D112" s="110" t="str">
        <f>+Balance!D34</f>
        <v>C.P.C.E.C.A.B.A. Tº176  Fº03</v>
      </c>
      <c r="E112" s="110"/>
      <c r="G112" s="110"/>
      <c r="H112" s="110" t="str">
        <f>+Balance!K34</f>
        <v xml:space="preserve"> Gerente</v>
      </c>
    </row>
    <row r="113" spans="5:8" x14ac:dyDescent="0.2">
      <c r="E113" s="110"/>
      <c r="G113" s="110"/>
      <c r="H113" s="110"/>
    </row>
  </sheetData>
  <phoneticPr fontId="0" type="noConversion"/>
  <pageMargins left="0.70866141732283472" right="0.59055118110236227" top="1.5748031496062993" bottom="0.98425196850393704" header="0.59055118110236227" footer="0"/>
  <pageSetup paperSize="9" scale="55" orientation="portrait" r:id="rId1"/>
  <headerFooter alignWithMargins="0">
    <oddHeader xml:space="preserve">&amp;L&amp;"Book Antiqua,Normal"Southern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3"/>
  <sheetViews>
    <sheetView topLeftCell="D490" zoomScale="115" zoomScaleNormal="115" workbookViewId="0">
      <selection activeCell="I507" sqref="I507"/>
    </sheetView>
  </sheetViews>
  <sheetFormatPr baseColWidth="10" defaultColWidth="11.44140625" defaultRowHeight="13.2" x14ac:dyDescent="0.25"/>
  <cols>
    <col min="1" max="1" width="5.5546875" style="116" customWidth="1"/>
    <col min="2" max="2" width="2.33203125" style="116" customWidth="1"/>
    <col min="3" max="3" width="12.5546875" style="289" customWidth="1"/>
    <col min="4" max="4" width="10.5546875" style="370" customWidth="1"/>
    <col min="5" max="5" width="37" style="100" customWidth="1"/>
    <col min="6" max="6" width="34.109375" style="100" customWidth="1"/>
    <col min="7" max="7" width="19.44140625" style="243" customWidth="1"/>
    <col min="8" max="8" width="17.44140625" style="100" customWidth="1"/>
    <col min="9" max="9" width="16.5546875" style="338" bestFit="1" customWidth="1"/>
    <col min="10" max="10" width="15.33203125" style="100" customWidth="1"/>
    <col min="11" max="11" width="14.44140625" style="100" customWidth="1"/>
    <col min="12" max="12" width="14.44140625" style="116" customWidth="1"/>
    <col min="13" max="16384" width="11.44140625" style="116"/>
  </cols>
  <sheetData>
    <row r="1" spans="1:11" x14ac:dyDescent="0.25">
      <c r="A1" s="97" t="s">
        <v>188</v>
      </c>
      <c r="B1" s="97" t="s">
        <v>189</v>
      </c>
      <c r="C1" s="221" t="s">
        <v>89</v>
      </c>
      <c r="D1" s="97" t="s">
        <v>90</v>
      </c>
      <c r="E1" s="97"/>
      <c r="F1" s="97"/>
      <c r="G1" s="247" t="s">
        <v>91</v>
      </c>
    </row>
    <row r="2" spans="1:11" x14ac:dyDescent="0.25">
      <c r="A2" s="106"/>
      <c r="B2" s="106"/>
      <c r="C2" s="221" t="s">
        <v>30</v>
      </c>
      <c r="D2" s="356"/>
      <c r="E2" s="106"/>
      <c r="F2" s="106"/>
      <c r="G2" s="246"/>
    </row>
    <row r="3" spans="1:11" x14ac:dyDescent="0.25">
      <c r="A3" s="106"/>
      <c r="B3" s="106"/>
      <c r="C3" s="350" t="s">
        <v>641</v>
      </c>
      <c r="D3" s="221" t="s">
        <v>641</v>
      </c>
      <c r="E3" s="222"/>
      <c r="F3" s="226"/>
      <c r="G3" s="313">
        <f>IFERROR(VLOOKUP(C3,Hoja1!$A$2:$E$53,5,FALSE),)</f>
        <v>0</v>
      </c>
    </row>
    <row r="4" spans="1:11" x14ac:dyDescent="0.25">
      <c r="A4" s="106"/>
      <c r="B4" s="106"/>
      <c r="C4" s="350" t="s">
        <v>361</v>
      </c>
      <c r="D4" s="334" t="s">
        <v>361</v>
      </c>
      <c r="E4" s="179"/>
      <c r="F4" s="226"/>
      <c r="G4" s="313">
        <f>IFERROR(VLOOKUP(C4,Hoja1!$A$2:$E$50,5,FALSE),)</f>
        <v>0</v>
      </c>
    </row>
    <row r="5" spans="1:11" x14ac:dyDescent="0.25">
      <c r="A5" s="106"/>
      <c r="B5" s="106"/>
      <c r="C5" s="350" t="s">
        <v>642</v>
      </c>
      <c r="D5" s="254" t="s">
        <v>642</v>
      </c>
      <c r="E5" s="222"/>
      <c r="F5" s="226"/>
      <c r="G5" s="313">
        <f>IFERROR(VLOOKUP(C5,Hoja1!$A$2:$E$53,5,FALSE),)</f>
        <v>10663404.48</v>
      </c>
    </row>
    <row r="6" spans="1:11" x14ac:dyDescent="0.25">
      <c r="A6" s="106"/>
      <c r="B6" s="106"/>
      <c r="C6" s="350" t="s">
        <v>794</v>
      </c>
      <c r="D6" s="257" t="s">
        <v>789</v>
      </c>
      <c r="E6" s="222"/>
      <c r="F6" s="226"/>
      <c r="G6" s="313">
        <f>IFERROR(VLOOKUP(C6,Hoja1!$A$2:$E$53,5,FALSE),)</f>
        <v>1445749.5</v>
      </c>
      <c r="H6" s="140"/>
    </row>
    <row r="7" spans="1:11" x14ac:dyDescent="0.25">
      <c r="A7" s="106"/>
      <c r="B7" s="106"/>
      <c r="C7" s="256" t="s">
        <v>816</v>
      </c>
      <c r="D7" s="335" t="s">
        <v>816</v>
      </c>
      <c r="E7" s="222"/>
      <c r="F7" s="226"/>
      <c r="G7" s="313">
        <f>IFERROR(VLOOKUP(C7,Hoja1!$A$2:$E$53,5,FALSE),)</f>
        <v>0</v>
      </c>
      <c r="H7" s="140"/>
    </row>
    <row r="8" spans="1:11" x14ac:dyDescent="0.25">
      <c r="A8" s="106"/>
      <c r="B8" s="106"/>
      <c r="C8" s="350" t="s">
        <v>748</v>
      </c>
      <c r="D8" s="257" t="s">
        <v>748</v>
      </c>
      <c r="E8" s="222"/>
      <c r="F8" s="226"/>
      <c r="G8" s="313">
        <f>IFERROR(VLOOKUP(C8,Hoja1!$A$2:$E$53,5,FALSE),)</f>
        <v>-23141.31</v>
      </c>
      <c r="H8" s="140"/>
    </row>
    <row r="9" spans="1:11" x14ac:dyDescent="0.25">
      <c r="A9" s="106"/>
      <c r="B9" s="106"/>
      <c r="C9" s="350" t="s">
        <v>662</v>
      </c>
      <c r="D9" s="336" t="s">
        <v>662</v>
      </c>
      <c r="E9" s="222"/>
      <c r="F9" s="226"/>
      <c r="G9" s="313">
        <f>IFERROR(VLOOKUP(C9,Hoja1!$A$2:$E$53,5,FALSE),)</f>
        <v>3926.88</v>
      </c>
      <c r="H9" s="140"/>
    </row>
    <row r="10" spans="1:11" x14ac:dyDescent="0.25">
      <c r="A10" s="106"/>
      <c r="B10" s="106"/>
      <c r="C10" s="350" t="s">
        <v>524</v>
      </c>
      <c r="D10" s="254" t="s">
        <v>524</v>
      </c>
      <c r="E10" s="222"/>
      <c r="F10" s="226"/>
      <c r="G10" s="313">
        <f>IFERROR(VLOOKUP(C10,Hoja1!$A$2:$E$53,5,FALSE),)</f>
        <v>0</v>
      </c>
      <c r="H10" s="105"/>
    </row>
    <row r="11" spans="1:11" x14ac:dyDescent="0.25">
      <c r="A11" s="106"/>
      <c r="B11" s="106"/>
      <c r="C11" s="350" t="s">
        <v>594</v>
      </c>
      <c r="D11" s="337" t="s">
        <v>594</v>
      </c>
      <c r="E11" s="255"/>
      <c r="F11" s="226"/>
      <c r="G11" s="313">
        <f>IFERROR(VLOOKUP(C11,Hoja1!$A$2:$E$53,5,FALSE),)</f>
        <v>8464196.790000001</v>
      </c>
      <c r="H11" s="105"/>
    </row>
    <row r="12" spans="1:11" x14ac:dyDescent="0.25">
      <c r="A12" s="106"/>
      <c r="B12" s="106"/>
      <c r="C12" s="350" t="s">
        <v>762</v>
      </c>
      <c r="D12" s="257" t="s">
        <v>762</v>
      </c>
      <c r="E12" s="255"/>
      <c r="F12" s="226"/>
      <c r="G12" s="313">
        <f>IFERROR(VLOOKUP(C12,Hoja1!$A$2:$E$53,5,FALSE),)</f>
        <v>0</v>
      </c>
      <c r="H12" s="105"/>
    </row>
    <row r="13" spans="1:11" x14ac:dyDescent="0.25">
      <c r="A13" s="106"/>
      <c r="B13" s="106"/>
      <c r="C13" s="350"/>
      <c r="D13" s="257"/>
      <c r="E13" s="257"/>
      <c r="F13" s="226"/>
      <c r="G13" s="291">
        <f>IFERROR(VLOOKUP(C13,Hoja1!$A$2:$E$47,5,FALSE),)</f>
        <v>0</v>
      </c>
    </row>
    <row r="14" spans="1:11" s="141" customFormat="1" x14ac:dyDescent="0.25">
      <c r="A14" s="133"/>
      <c r="B14" s="133"/>
      <c r="C14" s="351" t="s">
        <v>643</v>
      </c>
      <c r="D14" s="231" t="s">
        <v>643</v>
      </c>
      <c r="E14" s="126"/>
      <c r="F14" s="226"/>
      <c r="G14" s="291">
        <f>IFERROR(VLOOKUP(C14,Hoja1!$A$2:$E$47,5,FALSE),)</f>
        <v>0</v>
      </c>
      <c r="H14" s="115"/>
      <c r="I14" s="339"/>
      <c r="K14" s="134"/>
    </row>
    <row r="15" spans="1:11" x14ac:dyDescent="0.25">
      <c r="A15" s="106"/>
      <c r="B15" s="106"/>
      <c r="C15" s="350" t="s">
        <v>644</v>
      </c>
      <c r="D15" s="121" t="s">
        <v>644</v>
      </c>
      <c r="E15" s="222"/>
      <c r="F15" s="226"/>
      <c r="G15" s="291">
        <f>IFERROR(VLOOKUP(C15,Hoja1!$A$2:$E$53,5,FALSE),)</f>
        <v>1667959397.47</v>
      </c>
      <c r="H15" s="105"/>
    </row>
    <row r="16" spans="1:11" x14ac:dyDescent="0.25">
      <c r="A16" s="106"/>
      <c r="B16" s="106"/>
      <c r="C16" s="350" t="s">
        <v>687</v>
      </c>
      <c r="D16" s="121" t="s">
        <v>645</v>
      </c>
      <c r="E16" s="222"/>
      <c r="F16" s="226"/>
      <c r="G16" s="291">
        <f>IFERROR(VLOOKUP(C16,Hoja1!$A$2:$E$53,5,FALSE),)</f>
        <v>0</v>
      </c>
      <c r="H16" s="105"/>
    </row>
    <row r="17" spans="1:8" x14ac:dyDescent="0.25">
      <c r="A17" s="106"/>
      <c r="B17" s="106"/>
      <c r="C17" s="350" t="s">
        <v>688</v>
      </c>
      <c r="D17" s="121" t="s">
        <v>646</v>
      </c>
      <c r="E17" s="103"/>
      <c r="F17" s="226"/>
      <c r="G17" s="291">
        <f>IFERROR(VLOOKUP(C17,Hoja1!$A$2:$E$53,5,FALSE),)</f>
        <v>0</v>
      </c>
      <c r="H17" s="180"/>
    </row>
    <row r="18" spans="1:8" x14ac:dyDescent="0.25">
      <c r="A18" s="106"/>
      <c r="B18" s="106"/>
      <c r="C18" s="350" t="s">
        <v>689</v>
      </c>
      <c r="D18" s="121" t="s">
        <v>647</v>
      </c>
      <c r="E18" s="222"/>
      <c r="F18" s="226"/>
      <c r="G18" s="291">
        <f>IFERROR(VLOOKUP(C18,Hoja1!$A$2:$E$53,5,FALSE),)</f>
        <v>7866857.0800000001</v>
      </c>
      <c r="H18" s="105"/>
    </row>
    <row r="19" spans="1:8" x14ac:dyDescent="0.25">
      <c r="A19" s="106"/>
      <c r="B19" s="106"/>
      <c r="C19" s="350" t="s">
        <v>648</v>
      </c>
      <c r="D19" s="121" t="s">
        <v>648</v>
      </c>
      <c r="E19" s="222"/>
      <c r="F19" s="226"/>
      <c r="G19" s="291">
        <f>IFERROR(VLOOKUP(C19,Hoja1!$A$2:$E$53,5,FALSE),)</f>
        <v>52018352.270000003</v>
      </c>
      <c r="H19" s="105"/>
    </row>
    <row r="20" spans="1:8" x14ac:dyDescent="0.25">
      <c r="A20" s="106"/>
      <c r="B20" s="106"/>
      <c r="C20" s="350" t="s">
        <v>690</v>
      </c>
      <c r="D20" s="121" t="s">
        <v>649</v>
      </c>
      <c r="E20" s="222"/>
      <c r="F20" s="226"/>
      <c r="G20" s="291">
        <f>IFERROR(VLOOKUP(C20,Hoja1!$A$2:$E$53,5,FALSE),)</f>
        <v>528747.09</v>
      </c>
      <c r="H20" s="105"/>
    </row>
    <row r="21" spans="1:8" x14ac:dyDescent="0.25">
      <c r="A21" s="106"/>
      <c r="B21" s="106"/>
      <c r="C21" s="258" t="s">
        <v>721</v>
      </c>
      <c r="D21" s="254" t="s">
        <v>650</v>
      </c>
      <c r="E21" s="99"/>
      <c r="F21" s="226"/>
      <c r="G21" s="291">
        <f>IFERROR(VLOOKUP(C21,Hoja1!$A$2:$E$53,5,FALSE),)</f>
        <v>0</v>
      </c>
      <c r="H21" s="105"/>
    </row>
    <row r="22" spans="1:8" x14ac:dyDescent="0.25">
      <c r="A22" s="106"/>
      <c r="B22" s="106"/>
      <c r="C22" s="350" t="s">
        <v>691</v>
      </c>
      <c r="D22" s="99" t="s">
        <v>283</v>
      </c>
      <c r="E22" s="222"/>
      <c r="F22" s="226"/>
      <c r="G22" s="291">
        <f>IFERROR(VLOOKUP(C22,Hoja1!$A$2:$E$53,5,FALSE),)</f>
        <v>243686.59</v>
      </c>
      <c r="H22" s="105"/>
    </row>
    <row r="23" spans="1:8" x14ac:dyDescent="0.25">
      <c r="A23" s="106"/>
      <c r="B23" s="106"/>
      <c r="C23" s="256" t="s">
        <v>692</v>
      </c>
      <c r="D23" s="254" t="s">
        <v>651</v>
      </c>
      <c r="E23" s="222"/>
      <c r="F23" s="226"/>
      <c r="G23" s="291">
        <f>IFERROR(VLOOKUP(C23,Hoja1!$A$2:$E$53,5,FALSE),)</f>
        <v>203599.05000000002</v>
      </c>
      <c r="H23" s="105"/>
    </row>
    <row r="24" spans="1:8" x14ac:dyDescent="0.25">
      <c r="A24" s="106"/>
      <c r="B24" s="106"/>
      <c r="C24" s="350" t="s">
        <v>381</v>
      </c>
      <c r="D24" s="99" t="s">
        <v>381</v>
      </c>
      <c r="E24" s="222"/>
      <c r="F24" s="226"/>
      <c r="G24" s="291">
        <f>IFERROR(VLOOKUP(C24,Hoja1!$A$2:$E$53,5,FALSE),)</f>
        <v>45551974.829999998</v>
      </c>
      <c r="H24" s="105"/>
    </row>
    <row r="25" spans="1:8" x14ac:dyDescent="0.25">
      <c r="A25" s="106"/>
      <c r="B25" s="106"/>
      <c r="C25" s="350" t="s">
        <v>565</v>
      </c>
      <c r="D25" s="337" t="s">
        <v>565</v>
      </c>
      <c r="E25" s="103"/>
      <c r="F25" s="226"/>
      <c r="G25" s="291">
        <f>IFERROR(VLOOKUP(C25,Hoja1!$A$2:$E$53,5,FALSE),)</f>
        <v>26028040.719999999</v>
      </c>
      <c r="H25" s="105"/>
    </row>
    <row r="26" spans="1:8" x14ac:dyDescent="0.25">
      <c r="A26" s="106"/>
      <c r="B26" s="106"/>
      <c r="C26" s="272" t="s">
        <v>840</v>
      </c>
      <c r="D26" s="337" t="s">
        <v>840</v>
      </c>
      <c r="E26" s="103"/>
      <c r="F26" s="226"/>
      <c r="G26" s="291">
        <f>IFERROR(VLOOKUP(C26,Hoja1!$A$2:$E$47,5,FALSE),)</f>
        <v>0</v>
      </c>
      <c r="H26" s="105"/>
    </row>
    <row r="27" spans="1:8" x14ac:dyDescent="0.25">
      <c r="A27" s="106"/>
      <c r="B27" s="106"/>
      <c r="C27" s="350" t="s">
        <v>322</v>
      </c>
      <c r="D27" s="357" t="s">
        <v>322</v>
      </c>
      <c r="E27" s="131"/>
      <c r="F27" s="226"/>
      <c r="G27" s="291">
        <f>IFERROR(VLOOKUP(C27,Hoja1!$A$2:$E$47,5,FALSE),)</f>
        <v>0</v>
      </c>
      <c r="H27" s="105"/>
    </row>
    <row r="28" spans="1:8" x14ac:dyDescent="0.25">
      <c r="A28" s="106"/>
      <c r="B28" s="106"/>
      <c r="C28" s="350" t="s">
        <v>742</v>
      </c>
      <c r="D28" s="254" t="s">
        <v>742</v>
      </c>
      <c r="E28" s="131"/>
      <c r="F28" s="226"/>
      <c r="G28" s="291">
        <f>IFERROR(VLOOKUP(C28,Hoja1!$A$2:$E$47,5,FALSE),)</f>
        <v>0</v>
      </c>
      <c r="H28" s="105"/>
    </row>
    <row r="29" spans="1:8" x14ac:dyDescent="0.25">
      <c r="A29" s="106"/>
      <c r="B29" s="106"/>
      <c r="C29" s="258" t="s">
        <v>693</v>
      </c>
      <c r="D29" s="121" t="s">
        <v>143</v>
      </c>
      <c r="E29" s="222"/>
      <c r="F29" s="226"/>
      <c r="G29" s="291">
        <f>IFERROR(VLOOKUP(C29,Hoja1!$A$2:$E$53,5,FALSE),)</f>
        <v>95935319.460000008</v>
      </c>
      <c r="H29" s="105"/>
    </row>
    <row r="30" spans="1:8" x14ac:dyDescent="0.25">
      <c r="A30" s="106"/>
      <c r="B30" s="106"/>
      <c r="C30" s="258" t="s">
        <v>722</v>
      </c>
      <c r="D30" s="103" t="s">
        <v>144</v>
      </c>
      <c r="E30" s="227"/>
      <c r="F30" s="226"/>
      <c r="G30" s="291">
        <f>IFERROR(VLOOKUP(C30,Hoja1!$A$2:$E$53,5,FALSE),)</f>
        <v>908.12</v>
      </c>
      <c r="H30" s="105"/>
    </row>
    <row r="31" spans="1:8" x14ac:dyDescent="0.25">
      <c r="A31" s="106"/>
      <c r="B31" s="106"/>
      <c r="C31" s="350" t="s">
        <v>652</v>
      </c>
      <c r="D31" s="257" t="s">
        <v>652</v>
      </c>
      <c r="E31" s="222"/>
      <c r="F31" s="226"/>
      <c r="G31" s="291">
        <f>IFERROR(VLOOKUP(C31,Hoja1!$A$2:$E$53,5,FALSE),)</f>
        <v>6297405.2199999997</v>
      </c>
      <c r="H31" s="105"/>
    </row>
    <row r="32" spans="1:8" x14ac:dyDescent="0.25">
      <c r="A32" s="106"/>
      <c r="B32" s="106"/>
      <c r="C32" s="350" t="s">
        <v>499</v>
      </c>
      <c r="D32" s="358" t="s">
        <v>499</v>
      </c>
      <c r="E32" s="222"/>
      <c r="F32" s="226"/>
      <c r="G32" s="291">
        <f>IFERROR(VLOOKUP(C32,Hoja1!$A$2:$E$53,5,FALSE),)</f>
        <v>0</v>
      </c>
      <c r="H32" s="208"/>
    </row>
    <row r="33" spans="1:12" x14ac:dyDescent="0.25">
      <c r="A33" s="106"/>
      <c r="B33" s="106"/>
      <c r="C33" s="350" t="s">
        <v>391</v>
      </c>
      <c r="D33" s="357" t="s">
        <v>391</v>
      </c>
      <c r="E33" s="131"/>
      <c r="F33" s="226"/>
      <c r="G33" s="291">
        <f>IFERROR(VLOOKUP(C33,Hoja1!$A$2:$E$53,5,FALSE),)</f>
        <v>154199532</v>
      </c>
      <c r="H33" s="105"/>
    </row>
    <row r="34" spans="1:12" x14ac:dyDescent="0.25">
      <c r="A34" s="106"/>
      <c r="B34" s="106"/>
      <c r="C34" s="350" t="s">
        <v>277</v>
      </c>
      <c r="D34" s="99" t="s">
        <v>277</v>
      </c>
      <c r="E34" s="99"/>
      <c r="F34" s="226"/>
      <c r="G34" s="291">
        <f>IFERROR(VLOOKUP(C34,Hoja1!$A$2:$E$47,5,FALSE),)</f>
        <v>0</v>
      </c>
      <c r="H34" s="105"/>
    </row>
    <row r="35" spans="1:12" x14ac:dyDescent="0.25">
      <c r="A35" s="106"/>
      <c r="B35" s="106"/>
      <c r="C35" s="350" t="s">
        <v>201</v>
      </c>
      <c r="D35" s="99" t="s">
        <v>201</v>
      </c>
      <c r="E35" s="99"/>
      <c r="F35" s="226"/>
      <c r="G35" s="291">
        <f>IFERROR(VLOOKUP(C35,Hoja1!$A$2:$E$47,5,FALSE),)</f>
        <v>0</v>
      </c>
      <c r="H35" s="105"/>
    </row>
    <row r="36" spans="1:12" x14ac:dyDescent="0.25">
      <c r="A36" s="106"/>
      <c r="B36" s="106"/>
      <c r="C36" s="350" t="s">
        <v>317</v>
      </c>
      <c r="D36" s="359" t="s">
        <v>317</v>
      </c>
      <c r="E36" s="125"/>
      <c r="F36" s="226"/>
      <c r="G36" s="291">
        <f>IFERROR(VLOOKUP(C36,Hoja1!$A$2:$E$47,5,FALSE),)</f>
        <v>0</v>
      </c>
      <c r="H36" s="105"/>
    </row>
    <row r="37" spans="1:12" x14ac:dyDescent="0.25">
      <c r="A37" s="106"/>
      <c r="B37" s="106"/>
      <c r="C37" s="350" t="s">
        <v>653</v>
      </c>
      <c r="D37" s="257" t="s">
        <v>653</v>
      </c>
      <c r="E37" s="222"/>
      <c r="F37" s="226"/>
      <c r="G37" s="291">
        <f>IFERROR(VLOOKUP(C37,Hoja1!$A$2:$E$53,5,FALSE),)</f>
        <v>17397227.48</v>
      </c>
      <c r="H37" s="105"/>
    </row>
    <row r="38" spans="1:12" x14ac:dyDescent="0.25">
      <c r="A38" s="106"/>
      <c r="B38" s="106"/>
      <c r="C38" s="350" t="s">
        <v>723</v>
      </c>
      <c r="D38" s="257" t="s">
        <v>723</v>
      </c>
      <c r="E38" s="131"/>
      <c r="F38" s="226"/>
      <c r="G38" s="291">
        <f>IFERROR(VLOOKUP(C38,Hoja1!$A$2:$E$53,5,FALSE),)</f>
        <v>323000</v>
      </c>
      <c r="H38" s="105"/>
    </row>
    <row r="39" spans="1:12" x14ac:dyDescent="0.25">
      <c r="A39" s="106"/>
      <c r="B39" s="106"/>
      <c r="C39" s="256"/>
      <c r="D39" s="99"/>
      <c r="E39" s="99"/>
      <c r="F39" s="226"/>
      <c r="G39" s="291">
        <f>IFERROR(VLOOKUP(C39,Hoja1!$A$2:$E$53,5,FALSE),)</f>
        <v>0</v>
      </c>
      <c r="H39" s="105"/>
    </row>
    <row r="40" spans="1:12" x14ac:dyDescent="0.25">
      <c r="A40" s="106"/>
      <c r="B40" s="106"/>
      <c r="C40" s="350"/>
      <c r="D40" s="254" t="s">
        <v>373</v>
      </c>
      <c r="E40" s="254"/>
      <c r="F40" s="226"/>
      <c r="G40" s="291">
        <f>IFERROR(VLOOKUP(C40,Hoja1!$A$2:$E$53,5,FALSE),)</f>
        <v>0</v>
      </c>
      <c r="H40" s="105"/>
    </row>
    <row r="41" spans="1:12" x14ac:dyDescent="0.25">
      <c r="A41" s="106"/>
      <c r="B41" s="106"/>
      <c r="C41" s="258" t="s">
        <v>676</v>
      </c>
      <c r="D41" s="254" t="s">
        <v>676</v>
      </c>
      <c r="E41" s="254"/>
      <c r="F41" s="226"/>
      <c r="G41" s="291">
        <f>IFERROR(VLOOKUP(C41,Hoja1!$A$2:$E$53,5,FALSE),)</f>
        <v>0</v>
      </c>
      <c r="H41" s="105"/>
    </row>
    <row r="42" spans="1:12" x14ac:dyDescent="0.25">
      <c r="A42" s="106"/>
      <c r="B42" s="106"/>
      <c r="C42" s="258" t="s">
        <v>654</v>
      </c>
      <c r="D42" s="121" t="s">
        <v>654</v>
      </c>
      <c r="E42" s="222"/>
      <c r="F42" s="226"/>
      <c r="G42" s="291">
        <f>IFERROR(VLOOKUP(C42,Hoja1!$A$2:$E$53,5,FALSE),)</f>
        <v>108200</v>
      </c>
      <c r="H42" s="105"/>
      <c r="L42" s="142"/>
    </row>
    <row r="43" spans="1:12" x14ac:dyDescent="0.25">
      <c r="A43" s="106"/>
      <c r="B43" s="106"/>
      <c r="C43" s="350"/>
      <c r="D43" s="357" t="s">
        <v>324</v>
      </c>
      <c r="E43" s="131"/>
      <c r="F43" s="226"/>
      <c r="G43" s="291">
        <f>IFERROR(VLOOKUP(C43,Hoja1!$A$2:$E$53,5,FALSE),)</f>
        <v>0</v>
      </c>
      <c r="H43" s="105"/>
      <c r="L43" s="142"/>
    </row>
    <row r="44" spans="1:12" x14ac:dyDescent="0.25">
      <c r="A44" s="106"/>
      <c r="B44" s="106"/>
      <c r="C44" s="352" t="s">
        <v>655</v>
      </c>
      <c r="D44" s="314" t="s">
        <v>655</v>
      </c>
      <c r="E44" s="315"/>
      <c r="F44" s="316"/>
      <c r="G44" s="453">
        <f>IFERROR(VLOOKUP(C44,Hoja1!$A$2:$E$53,5,FALSE),)</f>
        <v>7137147.1400000006</v>
      </c>
      <c r="H44" s="454" t="s">
        <v>870</v>
      </c>
    </row>
    <row r="45" spans="1:12" x14ac:dyDescent="0.25">
      <c r="A45" s="106"/>
      <c r="B45" s="106"/>
      <c r="C45" s="352" t="s">
        <v>656</v>
      </c>
      <c r="D45" s="314" t="s">
        <v>656</v>
      </c>
      <c r="E45" s="315"/>
      <c r="F45" s="316"/>
      <c r="G45" s="453">
        <f>IFERROR(VLOOKUP(C45,Hoja1!$A$2:$E$53,5,FALSE),)</f>
        <v>2163642.25</v>
      </c>
      <c r="H45" s="454" t="s">
        <v>870</v>
      </c>
    </row>
    <row r="46" spans="1:12" x14ac:dyDescent="0.25">
      <c r="A46" s="106"/>
      <c r="B46" s="106"/>
      <c r="C46" s="352" t="s">
        <v>657</v>
      </c>
      <c r="D46" s="314" t="s">
        <v>657</v>
      </c>
      <c r="E46" s="315"/>
      <c r="F46" s="316"/>
      <c r="G46" s="453">
        <f>IFERROR(VLOOKUP(C46,Hoja1!$A$2:$E$53,5,FALSE),)</f>
        <v>1676263.99</v>
      </c>
      <c r="H46" s="454" t="s">
        <v>870</v>
      </c>
    </row>
    <row r="47" spans="1:12" x14ac:dyDescent="0.25">
      <c r="A47" s="106"/>
      <c r="B47" s="106"/>
      <c r="C47" s="352" t="s">
        <v>694</v>
      </c>
      <c r="D47" s="314" t="s">
        <v>694</v>
      </c>
      <c r="E47" s="315"/>
      <c r="F47" s="316"/>
      <c r="G47" s="453">
        <f>IFERROR(VLOOKUP(C47,Hoja1!$A$2:$E$53,5,FALSE),)</f>
        <v>8463010.9199999999</v>
      </c>
      <c r="H47" s="454" t="s">
        <v>870</v>
      </c>
    </row>
    <row r="48" spans="1:12" x14ac:dyDescent="0.25">
      <c r="A48" s="106"/>
      <c r="B48" s="106"/>
      <c r="C48" s="352" t="s">
        <v>695</v>
      </c>
      <c r="D48" s="360" t="s">
        <v>695</v>
      </c>
      <c r="E48" s="315"/>
      <c r="F48" s="316"/>
      <c r="G48" s="453">
        <f>IFERROR(VLOOKUP(C48,Hoja1!$A$2:$E$53,5,FALSE),)</f>
        <v>5117083.33</v>
      </c>
      <c r="H48" s="454" t="s">
        <v>870</v>
      </c>
    </row>
    <row r="49" spans="1:12" x14ac:dyDescent="0.25">
      <c r="A49" s="106"/>
      <c r="B49" s="106"/>
      <c r="C49" s="317" t="s">
        <v>699</v>
      </c>
      <c r="D49" s="318" t="s">
        <v>202</v>
      </c>
      <c r="E49" s="315"/>
      <c r="F49" s="316"/>
      <c r="G49" s="453">
        <f>IFERROR(VLOOKUP(C49,Hoja1!$A$2:$E$53,5,FALSE),)</f>
        <v>-3124708.59</v>
      </c>
      <c r="H49" s="454" t="s">
        <v>870</v>
      </c>
      <c r="I49" s="340">
        <f>+'Anexo I'!J15</f>
        <v>3124708.59</v>
      </c>
      <c r="J49" s="100">
        <f>+I49+G49</f>
        <v>0</v>
      </c>
    </row>
    <row r="50" spans="1:12" x14ac:dyDescent="0.25">
      <c r="A50" s="106"/>
      <c r="B50" s="106"/>
      <c r="C50" s="317" t="s">
        <v>700</v>
      </c>
      <c r="D50" s="318" t="s">
        <v>203</v>
      </c>
      <c r="E50" s="315"/>
      <c r="F50" s="316"/>
      <c r="G50" s="453">
        <f>IFERROR(VLOOKUP(C50,Hoja1!$A$2:$E$53,5,FALSE),)</f>
        <v>-1499006.23</v>
      </c>
      <c r="H50" s="454" t="s">
        <v>870</v>
      </c>
      <c r="I50" s="340">
        <f>+'Anexo I'!J17</f>
        <v>1499006.23</v>
      </c>
      <c r="J50" s="100">
        <f t="shared" ref="J50:J59" si="0">+I50+G50</f>
        <v>0</v>
      </c>
    </row>
    <row r="51" spans="1:12" x14ac:dyDescent="0.25">
      <c r="A51" s="106"/>
      <c r="B51" s="106"/>
      <c r="C51" s="317" t="s">
        <v>701</v>
      </c>
      <c r="D51" s="318" t="s">
        <v>204</v>
      </c>
      <c r="E51" s="315"/>
      <c r="F51" s="316"/>
      <c r="G51" s="453">
        <f>IFERROR(VLOOKUP(C51,Hoja1!$A$2:$E$53,5,FALSE),)</f>
        <v>-776376.57000000007</v>
      </c>
      <c r="H51" s="454" t="s">
        <v>870</v>
      </c>
      <c r="I51" s="340">
        <f>+'Anexo I'!J18</f>
        <v>776376.57000000007</v>
      </c>
      <c r="J51" s="100">
        <f t="shared" si="0"/>
        <v>0</v>
      </c>
    </row>
    <row r="52" spans="1:12" x14ac:dyDescent="0.25">
      <c r="A52" s="106"/>
      <c r="B52" s="106"/>
      <c r="C52" s="352" t="s">
        <v>696</v>
      </c>
      <c r="D52" s="360" t="s">
        <v>696</v>
      </c>
      <c r="E52" s="315"/>
      <c r="F52" s="316"/>
      <c r="G52" s="453">
        <f>IFERROR(VLOOKUP(C52,Hoja1!$A$2:$E$53,5,FALSE),)</f>
        <v>20790195.080000002</v>
      </c>
      <c r="H52" s="454" t="s">
        <v>870</v>
      </c>
      <c r="I52" s="340"/>
    </row>
    <row r="53" spans="1:12" x14ac:dyDescent="0.25">
      <c r="A53" s="106"/>
      <c r="B53" s="106"/>
      <c r="C53" s="317" t="s">
        <v>702</v>
      </c>
      <c r="D53" s="318" t="s">
        <v>205</v>
      </c>
      <c r="E53" s="315"/>
      <c r="F53" s="316"/>
      <c r="G53" s="453">
        <f>IFERROR(VLOOKUP(C53,Hoja1!$A$2:$E$53,5,FALSE),)</f>
        <v>-4436234.05</v>
      </c>
      <c r="H53" s="454" t="s">
        <v>870</v>
      </c>
      <c r="I53" s="340">
        <f>+'Anexo I'!J19</f>
        <v>4436234.05</v>
      </c>
      <c r="J53" s="100">
        <f t="shared" si="0"/>
        <v>0</v>
      </c>
    </row>
    <row r="54" spans="1:12" x14ac:dyDescent="0.25">
      <c r="A54" s="106"/>
      <c r="B54" s="106"/>
      <c r="C54" s="317" t="s">
        <v>703</v>
      </c>
      <c r="D54" s="318" t="s">
        <v>206</v>
      </c>
      <c r="E54" s="315"/>
      <c r="F54" s="316"/>
      <c r="G54" s="453">
        <f>IFERROR(VLOOKUP(C54,Hoja1!$A$2:$E$53,5,FALSE),)</f>
        <v>-5117083.33</v>
      </c>
      <c r="H54" s="454" t="s">
        <v>870</v>
      </c>
      <c r="I54" s="340">
        <f>+'Anexo I'!J20</f>
        <v>5117083.33</v>
      </c>
      <c r="J54" s="100">
        <f t="shared" si="0"/>
        <v>0</v>
      </c>
    </row>
    <row r="55" spans="1:12" x14ac:dyDescent="0.25">
      <c r="A55" s="106"/>
      <c r="B55" s="106"/>
      <c r="C55" s="317" t="s">
        <v>704</v>
      </c>
      <c r="D55" s="318" t="s">
        <v>207</v>
      </c>
      <c r="E55" s="315"/>
      <c r="F55" s="316"/>
      <c r="G55" s="453">
        <f>IFERROR(VLOOKUP(C55,Hoja1!$A$2:$E$53,5,FALSE),)</f>
        <v>-19606049.32</v>
      </c>
      <c r="H55" s="454" t="s">
        <v>870</v>
      </c>
      <c r="I55" s="340">
        <f>+'Anexo I'!J21</f>
        <v>19606049.32</v>
      </c>
      <c r="J55" s="100">
        <f t="shared" si="0"/>
        <v>0</v>
      </c>
    </row>
    <row r="56" spans="1:12" x14ac:dyDescent="0.25">
      <c r="A56" s="106"/>
      <c r="B56" s="106"/>
      <c r="C56" s="352" t="s">
        <v>697</v>
      </c>
      <c r="D56" s="360" t="s">
        <v>697</v>
      </c>
      <c r="E56" s="315"/>
      <c r="F56" s="316"/>
      <c r="G56" s="453">
        <f>IFERROR(VLOOKUP(C56,Hoja1!$A$2:$E$53,5,FALSE),)</f>
        <v>23184450.990000002</v>
      </c>
      <c r="H56" s="454" t="s">
        <v>870</v>
      </c>
      <c r="I56" s="340"/>
    </row>
    <row r="57" spans="1:12" x14ac:dyDescent="0.25">
      <c r="A57" s="106"/>
      <c r="B57" s="106"/>
      <c r="C57" s="317" t="s">
        <v>705</v>
      </c>
      <c r="D57" s="318" t="s">
        <v>208</v>
      </c>
      <c r="E57" s="315"/>
      <c r="F57" s="316"/>
      <c r="G57" s="453">
        <f>IFERROR(VLOOKUP(C57,Hoja1!$A$2:$E$53,5,FALSE),)</f>
        <v>-10204568.26</v>
      </c>
      <c r="H57" s="454" t="s">
        <v>870</v>
      </c>
      <c r="I57" s="340">
        <f>+'Anexo I'!J16</f>
        <v>10204568.26</v>
      </c>
      <c r="J57" s="100">
        <f t="shared" si="0"/>
        <v>0</v>
      </c>
    </row>
    <row r="58" spans="1:12" x14ac:dyDescent="0.25">
      <c r="A58" s="106"/>
      <c r="B58" s="106"/>
      <c r="C58" s="352" t="s">
        <v>698</v>
      </c>
      <c r="D58" s="360" t="s">
        <v>698</v>
      </c>
      <c r="E58" s="315"/>
      <c r="F58" s="316"/>
      <c r="G58" s="453">
        <f>IFERROR(VLOOKUP(C58,Hoja1!$A$2:$E$53,5,FALSE),)</f>
        <v>1598074.09</v>
      </c>
      <c r="H58" s="454" t="s">
        <v>870</v>
      </c>
      <c r="I58" s="340"/>
    </row>
    <row r="59" spans="1:12" x14ac:dyDescent="0.25">
      <c r="A59" s="106"/>
      <c r="B59" s="106"/>
      <c r="C59" s="317" t="s">
        <v>706</v>
      </c>
      <c r="D59" s="318" t="s">
        <v>231</v>
      </c>
      <c r="E59" s="315"/>
      <c r="F59" s="316"/>
      <c r="G59" s="453">
        <f>IFERROR(VLOOKUP(C59,Hoja1!$A$2:$E$53,5,FALSE),)</f>
        <v>-617752.65</v>
      </c>
      <c r="H59" s="454" t="s">
        <v>870</v>
      </c>
      <c r="I59" s="340">
        <f>+'Anexo I'!J22</f>
        <v>617752.65</v>
      </c>
      <c r="J59" s="100">
        <f t="shared" si="0"/>
        <v>0</v>
      </c>
      <c r="L59" s="143"/>
    </row>
    <row r="60" spans="1:12" x14ac:dyDescent="0.25">
      <c r="A60" s="106"/>
      <c r="B60" s="106"/>
      <c r="C60" s="350" t="s">
        <v>384</v>
      </c>
      <c r="D60" s="99" t="s">
        <v>384</v>
      </c>
      <c r="E60" s="222"/>
      <c r="F60" s="226"/>
      <c r="G60" s="291">
        <f>IFERROR(VLOOKUP(C60,Hoja1!$A$2:$E$53,5,FALSE),)</f>
        <v>5439067</v>
      </c>
      <c r="H60" s="120"/>
      <c r="I60" s="341"/>
      <c r="L60" s="143"/>
    </row>
    <row r="61" spans="1:12" x14ac:dyDescent="0.25">
      <c r="A61" s="106"/>
      <c r="B61" s="106"/>
      <c r="C61" s="350" t="s">
        <v>385</v>
      </c>
      <c r="D61" s="99" t="s">
        <v>385</v>
      </c>
      <c r="E61" s="222"/>
      <c r="F61" s="226"/>
      <c r="G61" s="291">
        <f>IFERROR(VLOOKUP(C61,Hoja1!$A$2:$E$53,5,FALSE),)</f>
        <v>32772165</v>
      </c>
      <c r="H61" s="120"/>
      <c r="I61" s="452">
        <f>SUM(G3:G61)</f>
        <v>2158175704.5099998</v>
      </c>
      <c r="J61" s="281" t="s">
        <v>868</v>
      </c>
      <c r="L61" s="143"/>
    </row>
    <row r="62" spans="1:12" x14ac:dyDescent="0.25">
      <c r="A62" s="106"/>
      <c r="B62" s="106"/>
      <c r="C62" s="350"/>
      <c r="D62" s="99"/>
      <c r="E62" s="99"/>
      <c r="F62" s="226"/>
      <c r="G62" s="293"/>
      <c r="H62" s="120"/>
      <c r="I62" s="341">
        <f>+Hoja1!E52-SALDOS!I61</f>
        <v>0</v>
      </c>
      <c r="J62" s="281" t="s">
        <v>869</v>
      </c>
      <c r="L62" s="143"/>
    </row>
    <row r="63" spans="1:12" x14ac:dyDescent="0.25">
      <c r="A63" s="106"/>
      <c r="B63" s="106"/>
      <c r="C63" s="350"/>
      <c r="D63" s="272" t="s">
        <v>803</v>
      </c>
      <c r="E63" s="99"/>
      <c r="F63" s="226"/>
      <c r="G63" s="448">
        <v>112281.77</v>
      </c>
      <c r="H63" s="207"/>
      <c r="I63" s="341"/>
      <c r="L63" s="143"/>
    </row>
    <row r="64" spans="1:12" x14ac:dyDescent="0.25">
      <c r="A64" s="106"/>
      <c r="B64" s="106"/>
      <c r="C64" s="350"/>
      <c r="D64" s="272" t="s">
        <v>856</v>
      </c>
      <c r="E64" s="99"/>
      <c r="F64" s="226"/>
      <c r="G64" s="448">
        <v>-10759320</v>
      </c>
      <c r="H64" s="207"/>
      <c r="I64" s="341"/>
      <c r="L64" s="143"/>
    </row>
    <row r="65" spans="1:12" x14ac:dyDescent="0.25">
      <c r="A65" s="106"/>
      <c r="B65" s="106"/>
      <c r="C65" s="350"/>
      <c r="D65" s="272" t="s">
        <v>804</v>
      </c>
      <c r="E65" s="99"/>
      <c r="F65" s="226"/>
      <c r="G65" s="448">
        <v>-108900</v>
      </c>
      <c r="H65" s="207"/>
      <c r="I65" s="341"/>
      <c r="L65" s="143"/>
    </row>
    <row r="66" spans="1:12" x14ac:dyDescent="0.25">
      <c r="A66" s="106"/>
      <c r="B66" s="106"/>
      <c r="C66" s="350"/>
      <c r="D66" s="272" t="s">
        <v>764</v>
      </c>
      <c r="E66" s="99"/>
      <c r="F66" s="226"/>
      <c r="G66" s="448">
        <v>-37700</v>
      </c>
      <c r="H66" s="207"/>
      <c r="I66" s="341"/>
      <c r="L66" s="143"/>
    </row>
    <row r="67" spans="1:12" x14ac:dyDescent="0.25">
      <c r="A67" s="106"/>
      <c r="B67" s="106"/>
      <c r="C67" s="350"/>
      <c r="D67" s="272" t="s">
        <v>757</v>
      </c>
      <c r="E67" s="99"/>
      <c r="F67" s="226"/>
      <c r="G67" s="448">
        <v>-45216.89</v>
      </c>
      <c r="H67" s="207"/>
      <c r="I67" s="341"/>
      <c r="L67" s="143"/>
    </row>
    <row r="68" spans="1:12" x14ac:dyDescent="0.25">
      <c r="A68" s="106"/>
      <c r="B68" s="106"/>
      <c r="C68" s="350"/>
      <c r="D68" s="272" t="s">
        <v>781</v>
      </c>
      <c r="E68" s="99"/>
      <c r="F68" s="226"/>
      <c r="G68" s="448">
        <v>379251.49</v>
      </c>
      <c r="H68" s="207"/>
      <c r="I68" s="341"/>
      <c r="L68" s="143"/>
    </row>
    <row r="69" spans="1:12" x14ac:dyDescent="0.25">
      <c r="A69" s="106"/>
      <c r="B69" s="106"/>
      <c r="C69" s="350"/>
      <c r="D69" s="272" t="s">
        <v>765</v>
      </c>
      <c r="E69" s="99"/>
      <c r="F69" s="226"/>
      <c r="G69" s="448">
        <v>-50000</v>
      </c>
      <c r="H69" s="207"/>
      <c r="I69" s="341"/>
      <c r="L69" s="143"/>
    </row>
    <row r="70" spans="1:12" x14ac:dyDescent="0.25">
      <c r="A70" s="106"/>
      <c r="B70" s="106"/>
      <c r="C70" s="350"/>
      <c r="D70" s="272" t="s">
        <v>677</v>
      </c>
      <c r="E70" s="99"/>
      <c r="F70" s="226"/>
      <c r="G70" s="448">
        <v>-20786.650000000001</v>
      </c>
      <c r="H70" s="207"/>
      <c r="I70" s="341"/>
      <c r="L70" s="143"/>
    </row>
    <row r="71" spans="1:12" x14ac:dyDescent="0.25">
      <c r="A71" s="106"/>
      <c r="B71" s="106"/>
      <c r="C71" s="350"/>
      <c r="D71" s="272" t="s">
        <v>724</v>
      </c>
      <c r="E71" s="99"/>
      <c r="F71" s="226"/>
      <c r="G71" s="448">
        <v>-3087400</v>
      </c>
      <c r="H71" s="207"/>
      <c r="I71" s="341"/>
      <c r="L71" s="143"/>
    </row>
    <row r="72" spans="1:12" x14ac:dyDescent="0.25">
      <c r="A72" s="106"/>
      <c r="B72" s="106"/>
      <c r="C72" s="350"/>
      <c r="D72" s="272" t="s">
        <v>766</v>
      </c>
      <c r="E72" s="99"/>
      <c r="F72" s="226"/>
      <c r="G72" s="448">
        <v>-107500</v>
      </c>
      <c r="H72" s="207"/>
      <c r="I72" s="341"/>
      <c r="L72" s="143"/>
    </row>
    <row r="73" spans="1:12" x14ac:dyDescent="0.25">
      <c r="A73" s="106"/>
      <c r="B73" s="106"/>
      <c r="C73" s="350"/>
      <c r="D73" s="272" t="s">
        <v>754</v>
      </c>
      <c r="E73" s="99"/>
      <c r="F73" s="226"/>
      <c r="G73" s="448">
        <v>602391.95000000007</v>
      </c>
      <c r="H73" s="207"/>
      <c r="I73" s="341"/>
      <c r="L73" s="143"/>
    </row>
    <row r="74" spans="1:12" x14ac:dyDescent="0.25">
      <c r="A74" s="106"/>
      <c r="B74" s="106"/>
      <c r="C74" s="350"/>
      <c r="D74" s="272" t="s">
        <v>767</v>
      </c>
      <c r="E74" s="99"/>
      <c r="F74" s="226"/>
      <c r="G74" s="448">
        <v>57904.46</v>
      </c>
      <c r="H74" s="120"/>
      <c r="I74" s="341"/>
      <c r="L74" s="143"/>
    </row>
    <row r="75" spans="1:12" x14ac:dyDescent="0.25">
      <c r="A75" s="106"/>
      <c r="B75" s="106"/>
      <c r="C75" s="350"/>
      <c r="D75" s="272" t="s">
        <v>827</v>
      </c>
      <c r="E75" s="99"/>
      <c r="F75" s="226"/>
      <c r="G75" s="448">
        <v>-10</v>
      </c>
      <c r="H75" s="120"/>
      <c r="I75" s="341"/>
      <c r="L75" s="143"/>
    </row>
    <row r="76" spans="1:12" x14ac:dyDescent="0.25">
      <c r="A76" s="106"/>
      <c r="B76" s="106"/>
      <c r="C76" s="350"/>
      <c r="D76" s="272" t="s">
        <v>805</v>
      </c>
      <c r="E76" s="99"/>
      <c r="F76" s="226"/>
      <c r="G76" s="448">
        <v>1474033.77</v>
      </c>
      <c r="H76" s="120"/>
      <c r="I76" s="341"/>
      <c r="L76" s="143"/>
    </row>
    <row r="77" spans="1:12" x14ac:dyDescent="0.25">
      <c r="A77" s="106"/>
      <c r="B77" s="106"/>
      <c r="C77" s="350"/>
      <c r="D77" s="272" t="s">
        <v>806</v>
      </c>
      <c r="E77" s="99"/>
      <c r="F77" s="226"/>
      <c r="G77" s="448">
        <v>-1600900.31</v>
      </c>
      <c r="H77" s="120"/>
      <c r="I77" s="341"/>
      <c r="L77" s="143"/>
    </row>
    <row r="78" spans="1:12" x14ac:dyDescent="0.25">
      <c r="A78" s="106"/>
      <c r="B78" s="106"/>
      <c r="C78" s="350"/>
      <c r="D78" s="272" t="s">
        <v>775</v>
      </c>
      <c r="E78" s="99"/>
      <c r="F78" s="226"/>
      <c r="G78" s="448">
        <v>-1200000</v>
      </c>
      <c r="H78" s="120"/>
      <c r="I78" s="341"/>
      <c r="L78" s="143"/>
    </row>
    <row r="79" spans="1:12" x14ac:dyDescent="0.25">
      <c r="A79" s="106"/>
      <c r="B79" s="106"/>
      <c r="C79" s="350"/>
      <c r="D79" s="272" t="s">
        <v>507</v>
      </c>
      <c r="E79" s="99"/>
      <c r="F79" s="226"/>
      <c r="G79" s="448">
        <v>4602127.71</v>
      </c>
      <c r="H79" s="120"/>
      <c r="I79" s="341"/>
      <c r="L79" s="143"/>
    </row>
    <row r="80" spans="1:12" x14ac:dyDescent="0.25">
      <c r="A80" s="106"/>
      <c r="B80" s="106"/>
      <c r="C80" s="350"/>
      <c r="D80" s="272" t="s">
        <v>807</v>
      </c>
      <c r="E80" s="99"/>
      <c r="F80" s="226"/>
      <c r="G80" s="448">
        <v>-670000</v>
      </c>
      <c r="H80" s="120"/>
      <c r="I80" s="341"/>
      <c r="L80" s="143"/>
    </row>
    <row r="81" spans="1:12" x14ac:dyDescent="0.25">
      <c r="A81" s="106"/>
      <c r="B81" s="106"/>
      <c r="C81" s="350"/>
      <c r="D81" s="272" t="s">
        <v>782</v>
      </c>
      <c r="E81" s="99"/>
      <c r="F81" s="226"/>
      <c r="G81" s="448">
        <v>-505770</v>
      </c>
      <c r="H81" s="120"/>
      <c r="I81" s="341"/>
      <c r="L81" s="143"/>
    </row>
    <row r="82" spans="1:12" x14ac:dyDescent="0.25">
      <c r="A82" s="106"/>
      <c r="B82" s="106"/>
      <c r="C82" s="350"/>
      <c r="D82" s="272" t="s">
        <v>790</v>
      </c>
      <c r="E82" s="99"/>
      <c r="F82" s="226"/>
      <c r="G82" s="448">
        <v>220000</v>
      </c>
      <c r="H82" s="120"/>
      <c r="I82" s="341"/>
      <c r="L82" s="143"/>
    </row>
    <row r="83" spans="1:12" x14ac:dyDescent="0.25">
      <c r="A83" s="106"/>
      <c r="B83" s="106"/>
      <c r="C83" s="350"/>
      <c r="D83" s="272" t="s">
        <v>735</v>
      </c>
      <c r="E83" s="99"/>
      <c r="F83" s="226"/>
      <c r="G83" s="448">
        <v>-72600</v>
      </c>
      <c r="H83" s="120"/>
      <c r="I83" s="341"/>
      <c r="L83" s="143"/>
    </row>
    <row r="84" spans="1:12" x14ac:dyDescent="0.25">
      <c r="A84" s="106"/>
      <c r="B84" s="106"/>
      <c r="C84" s="350"/>
      <c r="D84" s="272" t="s">
        <v>843</v>
      </c>
      <c r="E84" s="99"/>
      <c r="F84" s="226"/>
      <c r="G84" s="448">
        <v>-45033.68</v>
      </c>
      <c r="H84" s="120"/>
      <c r="I84" s="341"/>
      <c r="L84" s="143"/>
    </row>
    <row r="85" spans="1:12" x14ac:dyDescent="0.25">
      <c r="A85" s="106"/>
      <c r="B85" s="106"/>
      <c r="C85" s="350"/>
      <c r="D85" s="272" t="s">
        <v>784</v>
      </c>
      <c r="E85" s="99"/>
      <c r="F85" s="226"/>
      <c r="G85" s="448">
        <v>576899.75</v>
      </c>
      <c r="H85" s="120"/>
      <c r="I85" s="341"/>
      <c r="L85" s="143"/>
    </row>
    <row r="86" spans="1:12" x14ac:dyDescent="0.25">
      <c r="A86" s="106"/>
      <c r="B86" s="106"/>
      <c r="C86" s="350"/>
      <c r="D86" s="272" t="s">
        <v>719</v>
      </c>
      <c r="E86" s="99"/>
      <c r="F86" s="226"/>
      <c r="G86" s="448">
        <v>5908.99</v>
      </c>
      <c r="H86" s="120"/>
      <c r="I86" s="341"/>
      <c r="L86" s="143"/>
    </row>
    <row r="87" spans="1:12" x14ac:dyDescent="0.25">
      <c r="A87" s="106"/>
      <c r="B87" s="106"/>
      <c r="C87" s="350"/>
      <c r="D87" s="272" t="s">
        <v>736</v>
      </c>
      <c r="E87" s="99"/>
      <c r="F87" s="226"/>
      <c r="G87" s="448">
        <v>-54.02</v>
      </c>
      <c r="H87" s="120"/>
      <c r="I87" s="341"/>
      <c r="L87" s="143"/>
    </row>
    <row r="88" spans="1:12" x14ac:dyDescent="0.25">
      <c r="A88" s="106"/>
      <c r="B88" s="106"/>
      <c r="C88" s="350"/>
      <c r="D88" s="272" t="s">
        <v>812</v>
      </c>
      <c r="E88" s="99"/>
      <c r="F88" s="226"/>
      <c r="G88" s="448">
        <v>-665863</v>
      </c>
      <c r="H88" s="120"/>
      <c r="I88" s="341"/>
      <c r="L88" s="143"/>
    </row>
    <row r="89" spans="1:12" x14ac:dyDescent="0.25">
      <c r="A89" s="106"/>
      <c r="B89" s="106"/>
      <c r="C89" s="350"/>
      <c r="D89" s="272" t="s">
        <v>486</v>
      </c>
      <c r="E89" s="99"/>
      <c r="F89" s="226"/>
      <c r="G89" s="448">
        <v>-69412.320000000007</v>
      </c>
      <c r="H89" s="120"/>
      <c r="I89" s="341"/>
      <c r="L89" s="143"/>
    </row>
    <row r="90" spans="1:12" x14ac:dyDescent="0.25">
      <c r="A90" s="106"/>
      <c r="B90" s="106"/>
      <c r="C90" s="350"/>
      <c r="D90" s="272" t="s">
        <v>485</v>
      </c>
      <c r="E90" s="99"/>
      <c r="F90" s="226"/>
      <c r="G90" s="448">
        <v>552223.43000000005</v>
      </c>
      <c r="H90" s="120"/>
      <c r="I90" s="341"/>
      <c r="L90" s="143"/>
    </row>
    <row r="91" spans="1:12" x14ac:dyDescent="0.25">
      <c r="A91" s="106"/>
      <c r="B91" s="106"/>
      <c r="C91" s="350"/>
      <c r="D91" s="272" t="s">
        <v>768</v>
      </c>
      <c r="E91" s="99"/>
      <c r="F91" s="226"/>
      <c r="G91" s="448">
        <v>-1034561.61</v>
      </c>
      <c r="H91" s="120"/>
      <c r="I91" s="341"/>
      <c r="L91" s="143"/>
    </row>
    <row r="92" spans="1:12" x14ac:dyDescent="0.25">
      <c r="A92" s="106"/>
      <c r="B92" s="106"/>
      <c r="C92" s="350"/>
      <c r="D92" s="272" t="s">
        <v>769</v>
      </c>
      <c r="E92" s="99"/>
      <c r="F92" s="226"/>
      <c r="G92" s="448">
        <v>-41000</v>
      </c>
      <c r="H92" s="120"/>
      <c r="I92" s="341"/>
      <c r="L92" s="143"/>
    </row>
    <row r="93" spans="1:12" x14ac:dyDescent="0.25">
      <c r="A93" s="106"/>
      <c r="B93" s="106"/>
      <c r="C93" s="350"/>
      <c r="D93" s="272" t="s">
        <v>755</v>
      </c>
      <c r="E93" s="99"/>
      <c r="F93" s="226"/>
      <c r="G93" s="448">
        <v>-586449.80000000005</v>
      </c>
      <c r="H93" s="120"/>
      <c r="I93" s="341"/>
      <c r="L93" s="143"/>
    </row>
    <row r="94" spans="1:12" x14ac:dyDescent="0.25">
      <c r="A94" s="106"/>
      <c r="B94" s="106"/>
      <c r="C94" s="350"/>
      <c r="D94" s="272" t="s">
        <v>776</v>
      </c>
      <c r="E94" s="99"/>
      <c r="F94" s="226"/>
      <c r="G94" s="448">
        <v>321371.55</v>
      </c>
      <c r="H94" s="120"/>
      <c r="I94" s="341"/>
      <c r="L94" s="143"/>
    </row>
    <row r="95" spans="1:12" x14ac:dyDescent="0.25">
      <c r="A95" s="106"/>
      <c r="B95" s="106"/>
      <c r="C95" s="350"/>
      <c r="D95" s="272" t="s">
        <v>725</v>
      </c>
      <c r="E95" s="99"/>
      <c r="F95" s="226"/>
      <c r="G95" s="448">
        <v>68889.09</v>
      </c>
      <c r="H95" s="120"/>
      <c r="I95" s="341"/>
      <c r="L95" s="143"/>
    </row>
    <row r="96" spans="1:12" x14ac:dyDescent="0.25">
      <c r="A96" s="106"/>
      <c r="B96" s="106"/>
      <c r="C96" s="350"/>
      <c r="D96" s="272" t="s">
        <v>737</v>
      </c>
      <c r="E96" s="99"/>
      <c r="F96" s="226"/>
      <c r="G96" s="448">
        <v>-571725</v>
      </c>
      <c r="H96" s="120"/>
      <c r="I96" s="341"/>
      <c r="L96" s="143"/>
    </row>
    <row r="97" spans="1:12" x14ac:dyDescent="0.25">
      <c r="A97" s="106"/>
      <c r="B97" s="106"/>
      <c r="C97" s="350"/>
      <c r="D97" s="272" t="s">
        <v>835</v>
      </c>
      <c r="E97" s="99"/>
      <c r="F97" s="226"/>
      <c r="G97" s="448">
        <v>-0.01</v>
      </c>
      <c r="H97" s="120"/>
      <c r="I97" s="341"/>
      <c r="L97" s="143"/>
    </row>
    <row r="98" spans="1:12" x14ac:dyDescent="0.25">
      <c r="A98" s="106"/>
      <c r="B98" s="106"/>
      <c r="C98" s="350"/>
      <c r="D98" s="272" t="s">
        <v>758</v>
      </c>
      <c r="E98" s="99"/>
      <c r="F98" s="226"/>
      <c r="G98" s="448">
        <v>-10000</v>
      </c>
      <c r="H98" s="120"/>
      <c r="I98" s="341"/>
      <c r="L98" s="143"/>
    </row>
    <row r="99" spans="1:12" x14ac:dyDescent="0.25">
      <c r="A99" s="106"/>
      <c r="B99" s="106"/>
      <c r="C99" s="350"/>
      <c r="D99" s="272" t="s">
        <v>857</v>
      </c>
      <c r="E99" s="99"/>
      <c r="F99" s="226"/>
      <c r="G99" s="448">
        <v>-21518640</v>
      </c>
      <c r="H99" s="120"/>
      <c r="I99" s="341"/>
      <c r="L99" s="143"/>
    </row>
    <row r="100" spans="1:12" x14ac:dyDescent="0.25">
      <c r="A100" s="106"/>
      <c r="B100" s="106"/>
      <c r="C100" s="350"/>
      <c r="D100" s="272" t="s">
        <v>777</v>
      </c>
      <c r="E100" s="99"/>
      <c r="F100" s="226"/>
      <c r="G100" s="448">
        <v>337561.59</v>
      </c>
      <c r="H100" s="120"/>
      <c r="I100" s="341"/>
      <c r="L100" s="143"/>
    </row>
    <row r="101" spans="1:12" x14ac:dyDescent="0.25">
      <c r="A101" s="106"/>
      <c r="B101" s="106"/>
      <c r="C101" s="350"/>
      <c r="D101" s="272" t="s">
        <v>858</v>
      </c>
      <c r="E101" s="99"/>
      <c r="F101" s="226"/>
      <c r="G101" s="448">
        <v>-624188.76</v>
      </c>
      <c r="H101" s="120"/>
      <c r="I101" s="341"/>
      <c r="L101" s="143"/>
    </row>
    <row r="102" spans="1:12" ht="12" customHeight="1" x14ac:dyDescent="0.25">
      <c r="A102" s="106"/>
      <c r="B102" s="106"/>
      <c r="C102" s="350"/>
      <c r="D102" s="272" t="s">
        <v>821</v>
      </c>
      <c r="E102" s="99"/>
      <c r="F102" s="226"/>
      <c r="G102" s="448">
        <v>-100</v>
      </c>
      <c r="H102" s="120"/>
      <c r="I102" s="341"/>
      <c r="L102" s="143"/>
    </row>
    <row r="103" spans="1:12" x14ac:dyDescent="0.25">
      <c r="A103" s="106"/>
      <c r="B103" s="106"/>
      <c r="C103" s="350"/>
      <c r="D103" s="272" t="s">
        <v>836</v>
      </c>
      <c r="E103" s="99"/>
      <c r="F103" s="226"/>
      <c r="G103" s="448">
        <v>-0.01</v>
      </c>
      <c r="H103" s="120"/>
      <c r="I103" s="341"/>
      <c r="L103" s="143"/>
    </row>
    <row r="104" spans="1:12" x14ac:dyDescent="0.25">
      <c r="A104" s="106"/>
      <c r="B104" s="106"/>
      <c r="C104" s="350"/>
      <c r="D104" s="272" t="s">
        <v>811</v>
      </c>
      <c r="E104" s="99"/>
      <c r="F104" s="226"/>
      <c r="G104" s="448">
        <v>-57760</v>
      </c>
      <c r="H104" s="120"/>
      <c r="I104" s="341"/>
      <c r="L104" s="143"/>
    </row>
    <row r="105" spans="1:12" x14ac:dyDescent="0.25">
      <c r="A105" s="106"/>
      <c r="B105" s="106"/>
      <c r="C105" s="350"/>
      <c r="D105" s="272" t="s">
        <v>815</v>
      </c>
      <c r="E105" s="99"/>
      <c r="F105" s="226"/>
      <c r="G105" s="448">
        <v>-140263.20000000001</v>
      </c>
      <c r="H105" s="120"/>
      <c r="I105" s="341"/>
      <c r="L105" s="143"/>
    </row>
    <row r="106" spans="1:12" x14ac:dyDescent="0.25">
      <c r="A106" s="106"/>
      <c r="B106" s="106"/>
      <c r="C106" s="350"/>
      <c r="D106" s="272" t="s">
        <v>826</v>
      </c>
      <c r="E106" s="99"/>
      <c r="F106" s="226"/>
      <c r="G106" s="448">
        <v>-0.01</v>
      </c>
      <c r="H106" s="120"/>
      <c r="I106" s="341"/>
      <c r="L106" s="143"/>
    </row>
    <row r="107" spans="1:12" x14ac:dyDescent="0.25">
      <c r="A107" s="106"/>
      <c r="B107" s="106"/>
      <c r="C107" s="350"/>
      <c r="D107" s="272" t="s">
        <v>822</v>
      </c>
      <c r="E107" s="99"/>
      <c r="F107" s="226"/>
      <c r="G107" s="448">
        <v>-15427620</v>
      </c>
      <c r="H107" s="120"/>
      <c r="I107" s="341"/>
      <c r="L107" s="143"/>
    </row>
    <row r="108" spans="1:12" x14ac:dyDescent="0.25">
      <c r="A108" s="106"/>
      <c r="B108" s="106"/>
      <c r="C108" s="350"/>
      <c r="D108" s="272" t="s">
        <v>823</v>
      </c>
      <c r="E108" s="99"/>
      <c r="F108" s="226"/>
      <c r="G108" s="448">
        <v>-43926480</v>
      </c>
      <c r="H108" s="120"/>
      <c r="I108" s="341"/>
      <c r="L108" s="143"/>
    </row>
    <row r="109" spans="1:12" x14ac:dyDescent="0.25">
      <c r="A109" s="106"/>
      <c r="B109" s="106"/>
      <c r="C109" s="350"/>
      <c r="D109" s="272" t="s">
        <v>859</v>
      </c>
      <c r="E109" s="99"/>
      <c r="F109" s="226"/>
      <c r="G109" s="448">
        <v>-4483050</v>
      </c>
      <c r="H109" s="120"/>
      <c r="I109" s="341"/>
      <c r="L109" s="143"/>
    </row>
    <row r="110" spans="1:12" x14ac:dyDescent="0.25">
      <c r="A110" s="106"/>
      <c r="B110" s="106"/>
      <c r="C110" s="350"/>
      <c r="D110" s="272" t="s">
        <v>860</v>
      </c>
      <c r="E110" s="99"/>
      <c r="F110" s="226"/>
      <c r="G110" s="448">
        <v>-280799.99</v>
      </c>
      <c r="H110" s="120"/>
      <c r="I110" s="341"/>
      <c r="L110" s="143"/>
    </row>
    <row r="111" spans="1:12" x14ac:dyDescent="0.25">
      <c r="A111" s="106"/>
      <c r="B111" s="106"/>
      <c r="C111" s="350"/>
      <c r="D111" s="272" t="s">
        <v>861</v>
      </c>
      <c r="E111" s="99"/>
      <c r="F111" s="226"/>
      <c r="G111" s="448">
        <v>-933982.53</v>
      </c>
      <c r="H111" s="120"/>
      <c r="I111" s="341"/>
      <c r="L111" s="143"/>
    </row>
    <row r="112" spans="1:12" x14ac:dyDescent="0.25">
      <c r="A112" s="106"/>
      <c r="B112" s="106"/>
      <c r="C112" s="350"/>
      <c r="D112" s="272" t="s">
        <v>862</v>
      </c>
      <c r="E112" s="99"/>
      <c r="F112" s="226"/>
      <c r="G112" s="448">
        <v>-7635100</v>
      </c>
      <c r="H112" s="120"/>
      <c r="I112" s="341"/>
      <c r="L112" s="143"/>
    </row>
    <row r="113" spans="1:12" x14ac:dyDescent="0.25">
      <c r="A113" s="106"/>
      <c r="B113" s="106"/>
      <c r="C113" s="350"/>
      <c r="D113" s="272" t="s">
        <v>842</v>
      </c>
      <c r="E113" s="99"/>
      <c r="F113" s="226"/>
      <c r="G113" s="448">
        <v>7800</v>
      </c>
      <c r="H113" s="120"/>
      <c r="I113" s="341"/>
      <c r="L113" s="143"/>
    </row>
    <row r="114" spans="1:12" x14ac:dyDescent="0.25">
      <c r="A114" s="106"/>
      <c r="B114" s="106"/>
      <c r="C114" s="350"/>
      <c r="D114" s="272" t="s">
        <v>863</v>
      </c>
      <c r="E114" s="99"/>
      <c r="F114" s="226"/>
      <c r="G114" s="448">
        <v>312023.95</v>
      </c>
      <c r="H114" s="120"/>
      <c r="I114" s="341"/>
      <c r="L114" s="143"/>
    </row>
    <row r="115" spans="1:12" x14ac:dyDescent="0.25">
      <c r="A115" s="106"/>
      <c r="B115" s="106"/>
      <c r="C115" s="350"/>
      <c r="D115" s="361"/>
      <c r="E115" s="99"/>
      <c r="F115" s="226"/>
      <c r="G115" s="431"/>
      <c r="H115" s="120"/>
      <c r="I115" s="338" t="s">
        <v>358</v>
      </c>
      <c r="L115" s="143"/>
    </row>
    <row r="116" spans="1:12" x14ac:dyDescent="0.25">
      <c r="A116" s="106"/>
      <c r="B116" s="106"/>
      <c r="C116" s="350"/>
      <c r="D116" s="335"/>
      <c r="E116" s="99"/>
      <c r="F116" s="226"/>
      <c r="G116" s="294"/>
      <c r="H116" s="120"/>
      <c r="I116" s="338">
        <f>SUM(G63:G114)</f>
        <v>-106687518.28999999</v>
      </c>
      <c r="J116" s="281" t="s">
        <v>820</v>
      </c>
      <c r="L116" s="143"/>
    </row>
    <row r="117" spans="1:12" x14ac:dyDescent="0.25">
      <c r="A117" s="106"/>
      <c r="B117" s="106"/>
      <c r="C117" s="350"/>
      <c r="D117" s="335"/>
      <c r="E117" s="99"/>
      <c r="F117" s="226"/>
      <c r="G117" s="295"/>
      <c r="H117" s="120"/>
      <c r="I117" s="341"/>
      <c r="L117" s="143"/>
    </row>
    <row r="118" spans="1:12" x14ac:dyDescent="0.25">
      <c r="A118" s="106"/>
      <c r="B118" s="106"/>
      <c r="C118" s="350"/>
      <c r="D118" s="335"/>
      <c r="E118" s="256"/>
      <c r="F118" s="226"/>
      <c r="G118" s="293"/>
      <c r="H118" s="105"/>
      <c r="I118" s="340"/>
      <c r="L118" s="143"/>
    </row>
    <row r="119" spans="1:12" x14ac:dyDescent="0.25">
      <c r="A119" s="106"/>
      <c r="B119" s="106"/>
      <c r="C119" s="350"/>
      <c r="D119" s="254"/>
      <c r="E119" s="256"/>
      <c r="F119" s="226"/>
      <c r="G119" s="293"/>
      <c r="H119" s="105"/>
      <c r="I119" s="340"/>
      <c r="L119" s="143"/>
    </row>
    <row r="120" spans="1:12" x14ac:dyDescent="0.25">
      <c r="A120" s="106"/>
      <c r="B120" s="106"/>
      <c r="C120" s="258" t="s">
        <v>392</v>
      </c>
      <c r="D120" s="99" t="s">
        <v>392</v>
      </c>
      <c r="E120" s="99"/>
      <c r="F120" s="226"/>
      <c r="G120" s="328">
        <v>-46874610.969999999</v>
      </c>
      <c r="H120" s="105"/>
    </row>
    <row r="121" spans="1:12" x14ac:dyDescent="0.25">
      <c r="A121" s="106"/>
      <c r="B121" s="106"/>
      <c r="C121" s="256" t="s">
        <v>708</v>
      </c>
      <c r="D121" s="349" t="s">
        <v>708</v>
      </c>
      <c r="E121" s="222"/>
      <c r="F121" s="226"/>
      <c r="G121" s="328">
        <v>-199168357.75999999</v>
      </c>
      <c r="H121" s="105"/>
    </row>
    <row r="122" spans="1:12" x14ac:dyDescent="0.25">
      <c r="A122" s="106"/>
      <c r="B122" s="106"/>
      <c r="C122" s="350" t="s">
        <v>707</v>
      </c>
      <c r="D122" s="99" t="s">
        <v>244</v>
      </c>
      <c r="E122" s="222"/>
      <c r="F122" s="226"/>
      <c r="G122" s="328">
        <v>-39510574.149999999</v>
      </c>
      <c r="H122" s="105"/>
    </row>
    <row r="123" spans="1:12" x14ac:dyDescent="0.25">
      <c r="A123" s="106"/>
      <c r="B123" s="106"/>
      <c r="C123" s="350"/>
      <c r="D123" s="99" t="s">
        <v>275</v>
      </c>
      <c r="E123" s="99"/>
      <c r="F123" s="226"/>
      <c r="G123" s="328">
        <v>0</v>
      </c>
      <c r="H123" s="105"/>
    </row>
    <row r="124" spans="1:12" x14ac:dyDescent="0.25">
      <c r="A124" s="106"/>
      <c r="B124" s="106"/>
      <c r="C124" s="350"/>
      <c r="D124" s="99" t="s">
        <v>236</v>
      </c>
      <c r="E124" s="99"/>
      <c r="F124" s="226"/>
      <c r="G124" s="328">
        <v>0</v>
      </c>
      <c r="H124" s="105"/>
    </row>
    <row r="125" spans="1:12" x14ac:dyDescent="0.25">
      <c r="A125" s="106"/>
      <c r="B125" s="106"/>
      <c r="C125" s="350"/>
      <c r="D125" s="99" t="s">
        <v>258</v>
      </c>
      <c r="E125" s="99"/>
      <c r="F125" s="226"/>
      <c r="G125" s="328">
        <v>0</v>
      </c>
      <c r="H125" s="181"/>
    </row>
    <row r="126" spans="1:12" x14ac:dyDescent="0.25">
      <c r="A126" s="106"/>
      <c r="B126" s="106"/>
      <c r="C126" s="350"/>
      <c r="D126" s="99" t="s">
        <v>269</v>
      </c>
      <c r="E126" s="99"/>
      <c r="F126" s="226"/>
      <c r="G126" s="328">
        <v>0</v>
      </c>
      <c r="H126" s="105"/>
      <c r="I126" s="338">
        <f>SUM(G120:G137)</f>
        <v>-370048562.61000001</v>
      </c>
    </row>
    <row r="127" spans="1:12" x14ac:dyDescent="0.25">
      <c r="A127" s="106"/>
      <c r="B127" s="106"/>
      <c r="C127" s="350" t="s">
        <v>379</v>
      </c>
      <c r="D127" s="362" t="s">
        <v>379</v>
      </c>
      <c r="E127" s="222"/>
      <c r="F127" s="226"/>
      <c r="G127" s="328">
        <v>-45551975</v>
      </c>
      <c r="H127" s="187"/>
      <c r="I127" s="341"/>
      <c r="J127" s="187"/>
    </row>
    <row r="128" spans="1:12" x14ac:dyDescent="0.25">
      <c r="A128" s="106"/>
      <c r="B128" s="106"/>
      <c r="C128" s="350" t="s">
        <v>380</v>
      </c>
      <c r="D128" s="362" t="s">
        <v>380</v>
      </c>
      <c r="E128" s="222"/>
      <c r="F128" s="226"/>
      <c r="G128" s="328">
        <v>-772433.68</v>
      </c>
      <c r="H128" s="187"/>
      <c r="I128" s="273">
        <f>+-476736080.9-I126-I116</f>
        <v>0</v>
      </c>
      <c r="J128" s="256" t="s">
        <v>838</v>
      </c>
    </row>
    <row r="129" spans="1:14" x14ac:dyDescent="0.25">
      <c r="A129" s="106"/>
      <c r="B129" s="106"/>
      <c r="C129" s="350"/>
      <c r="D129" s="362" t="s">
        <v>683</v>
      </c>
      <c r="E129" s="222"/>
      <c r="F129" s="226"/>
      <c r="G129" s="328">
        <v>0</v>
      </c>
      <c r="H129" s="187"/>
      <c r="I129" s="342"/>
      <c r="J129" s="187"/>
    </row>
    <row r="130" spans="1:14" x14ac:dyDescent="0.25">
      <c r="A130" s="106"/>
      <c r="B130" s="106"/>
      <c r="C130" s="350"/>
      <c r="D130" s="362" t="s">
        <v>468</v>
      </c>
      <c r="E130" s="222"/>
      <c r="F130" s="226"/>
      <c r="G130" s="328">
        <v>0</v>
      </c>
      <c r="H130" s="187"/>
      <c r="I130" s="343"/>
      <c r="J130" s="187"/>
    </row>
    <row r="131" spans="1:14" x14ac:dyDescent="0.25">
      <c r="A131" s="106"/>
      <c r="B131" s="106"/>
      <c r="C131" s="256" t="s">
        <v>514</v>
      </c>
      <c r="D131" s="257" t="s">
        <v>514</v>
      </c>
      <c r="E131" s="222"/>
      <c r="F131" s="226"/>
      <c r="G131" s="328">
        <v>-38149531.82</v>
      </c>
      <c r="H131" s="105"/>
    </row>
    <row r="132" spans="1:14" x14ac:dyDescent="0.25">
      <c r="A132" s="106"/>
      <c r="B132" s="106"/>
      <c r="C132" s="350"/>
      <c r="D132" s="254" t="s">
        <v>525</v>
      </c>
      <c r="E132" s="99"/>
      <c r="F132" s="226"/>
      <c r="G132" s="328">
        <v>0</v>
      </c>
      <c r="H132" s="105"/>
    </row>
    <row r="133" spans="1:14" x14ac:dyDescent="0.25">
      <c r="A133" s="106"/>
      <c r="B133" s="106"/>
      <c r="C133" s="350"/>
      <c r="D133" s="337" t="s">
        <v>576</v>
      </c>
      <c r="E133" s="99"/>
      <c r="F133" s="226"/>
      <c r="G133" s="328">
        <v>0</v>
      </c>
      <c r="H133" s="105"/>
    </row>
    <row r="134" spans="1:14" x14ac:dyDescent="0.25">
      <c r="A134" s="106"/>
      <c r="B134" s="106"/>
      <c r="C134" s="350"/>
      <c r="D134" s="257" t="s">
        <v>731</v>
      </c>
      <c r="E134" s="99"/>
      <c r="F134" s="226"/>
      <c r="G134" s="328">
        <v>0</v>
      </c>
      <c r="H134" s="105"/>
    </row>
    <row r="135" spans="1:14" ht="12" customHeight="1" x14ac:dyDescent="0.25">
      <c r="A135" s="106"/>
      <c r="B135" s="106"/>
      <c r="C135" s="350" t="s">
        <v>799</v>
      </c>
      <c r="D135" s="257" t="s">
        <v>799</v>
      </c>
      <c r="E135" s="99"/>
      <c r="F135" s="226"/>
      <c r="G135" s="450">
        <v>-1335.23</v>
      </c>
      <c r="H135" s="105"/>
    </row>
    <row r="136" spans="1:14" x14ac:dyDescent="0.25">
      <c r="A136" s="106"/>
      <c r="B136" s="106"/>
      <c r="C136" s="353" t="s">
        <v>732</v>
      </c>
      <c r="D136" s="259" t="s">
        <v>732</v>
      </c>
      <c r="E136" s="99"/>
      <c r="F136" s="226"/>
      <c r="G136" s="450">
        <v>-19744</v>
      </c>
      <c r="H136" s="105"/>
    </row>
    <row r="137" spans="1:14" s="288" customFormat="1" x14ac:dyDescent="0.25">
      <c r="A137" s="282"/>
      <c r="B137" s="282"/>
      <c r="C137" s="287" t="s">
        <v>819</v>
      </c>
      <c r="D137" s="363" t="s">
        <v>824</v>
      </c>
      <c r="E137" s="298"/>
      <c r="F137" s="284"/>
      <c r="G137" s="432">
        <v>0</v>
      </c>
      <c r="H137" s="286"/>
      <c r="I137" s="344"/>
      <c r="J137" s="286"/>
      <c r="K137" s="286"/>
    </row>
    <row r="138" spans="1:14" s="416" customFormat="1" x14ac:dyDescent="0.25">
      <c r="A138" s="410"/>
      <c r="B138" s="410"/>
      <c r="C138" s="411"/>
      <c r="D138" s="412"/>
      <c r="E138" s="412"/>
      <c r="F138" s="413"/>
      <c r="G138" s="433"/>
      <c r="H138" s="414"/>
      <c r="I138" s="415"/>
      <c r="J138" s="414"/>
      <c r="K138" s="414"/>
    </row>
    <row r="139" spans="1:14" s="418" customFormat="1" x14ac:dyDescent="0.25">
      <c r="A139" s="104"/>
      <c r="B139" s="104"/>
      <c r="C139" s="401" t="s">
        <v>709</v>
      </c>
      <c r="D139" s="102" t="s">
        <v>193</v>
      </c>
      <c r="E139" s="417"/>
      <c r="F139" s="393"/>
      <c r="G139" s="328">
        <v>-14848645484</v>
      </c>
      <c r="H139" s="144"/>
      <c r="I139" s="340"/>
      <c r="J139" s="105"/>
      <c r="K139" s="105"/>
    </row>
    <row r="140" spans="1:14" s="418" customFormat="1" x14ac:dyDescent="0.25">
      <c r="A140" s="104"/>
      <c r="B140" s="104"/>
      <c r="C140" s="401" t="s">
        <v>376</v>
      </c>
      <c r="D140" s="102" t="s">
        <v>376</v>
      </c>
      <c r="E140" s="419"/>
      <c r="F140" s="393"/>
      <c r="G140" s="328">
        <v>-8</v>
      </c>
      <c r="H140" s="420"/>
      <c r="I140" s="421"/>
      <c r="J140" s="105"/>
      <c r="K140" s="105"/>
    </row>
    <row r="141" spans="1:14" s="418" customFormat="1" x14ac:dyDescent="0.25">
      <c r="A141" s="104"/>
      <c r="B141" s="104"/>
      <c r="C141" s="401" t="s">
        <v>710</v>
      </c>
      <c r="D141" s="102" t="s">
        <v>145</v>
      </c>
      <c r="E141" s="417"/>
      <c r="F141" s="393"/>
      <c r="G141" s="328">
        <v>817850864.26999998</v>
      </c>
      <c r="H141" s="297"/>
      <c r="I141" s="421">
        <f>SUM(G139:G142)</f>
        <v>-3354028747.8699989</v>
      </c>
      <c r="J141" s="451" t="s">
        <v>866</v>
      </c>
      <c r="K141" s="144"/>
      <c r="L141" s="422"/>
    </row>
    <row r="142" spans="1:14" s="418" customFormat="1" x14ac:dyDescent="0.25">
      <c r="A142" s="104"/>
      <c r="B142" s="104"/>
      <c r="C142" s="423" t="s">
        <v>711</v>
      </c>
      <c r="D142" s="424" t="s">
        <v>711</v>
      </c>
      <c r="E142" s="417"/>
      <c r="F142" s="393"/>
      <c r="G142" s="328">
        <v>10676765879.860001</v>
      </c>
      <c r="H142" s="105"/>
      <c r="I142" s="421">
        <f>+Pat.Neto!F27+Pat.Neto!J14</f>
        <v>3354028747.8699989</v>
      </c>
      <c r="J142" s="451" t="s">
        <v>867</v>
      </c>
      <c r="K142" s="144"/>
      <c r="L142" s="422"/>
    </row>
    <row r="143" spans="1:14" s="418" customFormat="1" x14ac:dyDescent="0.25">
      <c r="A143" s="104"/>
      <c r="B143" s="104"/>
      <c r="C143" s="401"/>
      <c r="D143" s="102" t="s">
        <v>271</v>
      </c>
      <c r="E143" s="102"/>
      <c r="F143" s="393"/>
      <c r="G143" s="291">
        <f>IFERROR(VLOOKUP(C143,Hoja1!$A$86:$E$188,5,FALSE),)</f>
        <v>0</v>
      </c>
      <c r="H143" s="425"/>
      <c r="I143" s="340">
        <f>+I141+I142</f>
        <v>0</v>
      </c>
      <c r="J143" s="451" t="s">
        <v>852</v>
      </c>
      <c r="K143" s="105"/>
    </row>
    <row r="144" spans="1:14" s="288" customFormat="1" x14ac:dyDescent="0.25">
      <c r="A144" s="282"/>
      <c r="B144" s="282"/>
      <c r="C144" s="354"/>
      <c r="D144" s="283" t="s">
        <v>382</v>
      </c>
      <c r="E144" s="283"/>
      <c r="F144" s="284"/>
      <c r="G144" s="434">
        <f>IFERROR(VLOOKUP(C144,Hoja1!$A$86:$E$188,5,FALSE),)</f>
        <v>0</v>
      </c>
      <c r="H144" s="285"/>
      <c r="I144" s="344"/>
      <c r="J144" s="287"/>
      <c r="K144" s="287"/>
      <c r="L144" s="287"/>
      <c r="M144" s="287"/>
      <c r="N144" s="287"/>
    </row>
    <row r="145" spans="1:9" x14ac:dyDescent="0.25">
      <c r="A145" s="106"/>
      <c r="B145" s="106"/>
      <c r="C145" s="350"/>
      <c r="D145" s="364"/>
      <c r="E145" s="104"/>
      <c r="F145" s="226"/>
      <c r="G145" s="245"/>
      <c r="H145" s="105"/>
      <c r="I145" s="345"/>
    </row>
    <row r="146" spans="1:9" x14ac:dyDescent="0.25">
      <c r="A146" s="106"/>
      <c r="B146" s="106"/>
      <c r="C146" s="350"/>
      <c r="D146" s="99" t="s">
        <v>254</v>
      </c>
      <c r="E146" s="99"/>
      <c r="F146" s="226"/>
      <c r="G146" s="245">
        <f t="shared" ref="G146:G151" si="1">+F146</f>
        <v>0</v>
      </c>
      <c r="H146" s="105"/>
      <c r="I146" s="346"/>
    </row>
    <row r="147" spans="1:9" x14ac:dyDescent="0.25">
      <c r="A147" s="106"/>
      <c r="B147" s="106"/>
      <c r="C147" s="350"/>
      <c r="D147" s="99" t="s">
        <v>294</v>
      </c>
      <c r="E147" s="99"/>
      <c r="F147" s="226"/>
      <c r="G147" s="245">
        <f t="shared" si="1"/>
        <v>0</v>
      </c>
      <c r="H147" s="105"/>
    </row>
    <row r="148" spans="1:9" x14ac:dyDescent="0.25">
      <c r="A148" s="106"/>
      <c r="B148" s="106"/>
      <c r="C148" s="350"/>
      <c r="D148" s="365" t="s">
        <v>343</v>
      </c>
      <c r="E148" s="138"/>
      <c r="F148" s="226"/>
      <c r="G148" s="245">
        <f t="shared" si="1"/>
        <v>0</v>
      </c>
      <c r="H148" s="105"/>
    </row>
    <row r="149" spans="1:9" x14ac:dyDescent="0.25">
      <c r="A149" s="106"/>
      <c r="B149" s="106"/>
      <c r="C149" s="350"/>
      <c r="D149" s="365" t="s">
        <v>344</v>
      </c>
      <c r="E149" s="138"/>
      <c r="F149" s="226"/>
      <c r="G149" s="245">
        <f t="shared" si="1"/>
        <v>0</v>
      </c>
      <c r="H149" s="105"/>
    </row>
    <row r="150" spans="1:9" x14ac:dyDescent="0.25">
      <c r="A150" s="106"/>
      <c r="B150" s="106"/>
      <c r="C150" s="350"/>
      <c r="D150" s="366" t="s">
        <v>351</v>
      </c>
      <c r="E150" s="228" t="s">
        <v>351</v>
      </c>
      <c r="F150" s="226"/>
      <c r="G150" s="245">
        <f t="shared" si="1"/>
        <v>0</v>
      </c>
      <c r="H150" s="105"/>
    </row>
    <row r="151" spans="1:9" x14ac:dyDescent="0.25">
      <c r="A151" s="106"/>
      <c r="B151" s="106"/>
      <c r="C151" s="350"/>
      <c r="D151" s="366" t="s">
        <v>353</v>
      </c>
      <c r="E151" s="176"/>
      <c r="F151" s="226">
        <f>IFERROR(VLOOKUP(D151,Hoja1!$A$86:$E$377,5,FALSE),)</f>
        <v>0</v>
      </c>
      <c r="G151" s="245">
        <f t="shared" si="1"/>
        <v>0</v>
      </c>
      <c r="H151" s="105"/>
    </row>
    <row r="152" spans="1:9" x14ac:dyDescent="0.25">
      <c r="A152" s="106"/>
      <c r="B152" s="106"/>
      <c r="C152" s="350"/>
      <c r="D152" s="366" t="s">
        <v>772</v>
      </c>
      <c r="E152" s="176"/>
      <c r="F152" s="226">
        <f>IFERROR(VLOOKUP(D152,Hoja1!$A$86:$E$377,5,FALSE),)</f>
        <v>0</v>
      </c>
      <c r="G152" s="245">
        <f>+F152</f>
        <v>0</v>
      </c>
      <c r="H152" s="105"/>
    </row>
    <row r="153" spans="1:9" x14ac:dyDescent="0.25">
      <c r="A153" s="106"/>
      <c r="B153" s="106"/>
      <c r="C153" s="350"/>
      <c r="D153" s="257" t="s">
        <v>829</v>
      </c>
      <c r="E153" s="176"/>
      <c r="F153" s="226">
        <f>IFERROR(VLOOKUP(D153,Hoja1!$A$86:$E$377,5,FALSE),)</f>
        <v>6840000</v>
      </c>
      <c r="G153" s="245">
        <f>+F153</f>
        <v>6840000</v>
      </c>
      <c r="H153" s="301" t="s">
        <v>832</v>
      </c>
    </row>
    <row r="154" spans="1:9" x14ac:dyDescent="0.25">
      <c r="A154" s="106"/>
      <c r="B154" s="106"/>
      <c r="C154" s="350"/>
      <c r="D154" s="99" t="s">
        <v>196</v>
      </c>
      <c r="E154" s="99"/>
      <c r="F154" s="226">
        <f>IFERROR(VLOOKUP(D154,Hoja1!$A$86:$E$377,5,FALSE),)</f>
        <v>0</v>
      </c>
      <c r="G154" s="245">
        <f>SUM(F155:F158)</f>
        <v>0</v>
      </c>
      <c r="H154" s="105"/>
    </row>
    <row r="155" spans="1:9" x14ac:dyDescent="0.25">
      <c r="A155" s="106"/>
      <c r="B155" s="106"/>
      <c r="C155" s="350"/>
      <c r="D155" s="99"/>
      <c r="E155" s="256" t="s">
        <v>459</v>
      </c>
      <c r="F155" s="226">
        <f>IFERROR(VLOOKUP(E155,Hoja1!$A$86:$E$377,5,FALSE),)</f>
        <v>0</v>
      </c>
      <c r="G155" s="245"/>
      <c r="H155" s="256"/>
      <c r="I155" s="343"/>
    </row>
    <row r="156" spans="1:9" x14ac:dyDescent="0.25">
      <c r="A156" s="106"/>
      <c r="B156" s="106"/>
      <c r="C156" s="350"/>
      <c r="D156" s="99"/>
      <c r="E156" s="228" t="s">
        <v>555</v>
      </c>
      <c r="F156" s="226">
        <f>IFERROR(VLOOKUP(E156,Hoja1!$A$86:$E$377,5,FALSE),)</f>
        <v>0</v>
      </c>
      <c r="G156" s="245"/>
      <c r="H156" s="256"/>
      <c r="I156" s="343"/>
    </row>
    <row r="157" spans="1:9" x14ac:dyDescent="0.25">
      <c r="A157" s="106"/>
      <c r="B157" s="106"/>
      <c r="C157" s="350"/>
      <c r="D157" s="99"/>
      <c r="E157" s="228" t="s">
        <v>625</v>
      </c>
      <c r="F157" s="226">
        <f>IFERROR(VLOOKUP(E157,Hoja1!$A$86:$E$377,5,FALSE),)</f>
        <v>0</v>
      </c>
      <c r="G157" s="245"/>
      <c r="H157" s="256"/>
      <c r="I157" s="343"/>
    </row>
    <row r="158" spans="1:9" x14ac:dyDescent="0.25">
      <c r="A158" s="106"/>
      <c r="B158" s="106"/>
      <c r="C158" s="350"/>
      <c r="D158" s="99"/>
      <c r="E158" s="228" t="s">
        <v>631</v>
      </c>
      <c r="F158" s="226">
        <f>IFERROR(VLOOKUP(E158,Hoja1!$A$86:$E$377,5,FALSE),)</f>
        <v>0</v>
      </c>
      <c r="G158" s="245"/>
      <c r="H158" s="256"/>
      <c r="I158" s="343"/>
    </row>
    <row r="159" spans="1:9" x14ac:dyDescent="0.25">
      <c r="A159" s="106"/>
      <c r="B159" s="106"/>
      <c r="C159" s="350"/>
      <c r="D159" s="99" t="s">
        <v>146</v>
      </c>
      <c r="E159" s="99"/>
      <c r="F159" s="226"/>
      <c r="G159" s="303">
        <f>SUM(F160:F168)</f>
        <v>170441769.38999999</v>
      </c>
      <c r="H159" s="105"/>
    </row>
    <row r="160" spans="1:9" ht="12.6" customHeight="1" x14ac:dyDescent="0.25">
      <c r="A160" s="106"/>
      <c r="B160" s="106"/>
      <c r="C160" s="350"/>
      <c r="D160" s="99"/>
      <c r="E160" s="256" t="s">
        <v>541</v>
      </c>
      <c r="F160" s="226">
        <f>IFERROR(VLOOKUP(E160,Hoja1!$A$86:$E$377,5,FALSE),)</f>
        <v>0</v>
      </c>
      <c r="G160" s="245"/>
      <c r="H160" s="105"/>
    </row>
    <row r="161" spans="1:13" x14ac:dyDescent="0.25">
      <c r="A161" s="106"/>
      <c r="B161" s="106"/>
      <c r="C161" s="350"/>
      <c r="D161" s="99"/>
      <c r="E161" s="256" t="s">
        <v>395</v>
      </c>
      <c r="F161" s="226">
        <f>IFERROR(VLOOKUP(E161,Hoja1!$A$86:$E$377,5,FALSE),)</f>
        <v>75509615</v>
      </c>
      <c r="G161" s="245"/>
      <c r="H161" s="105"/>
    </row>
    <row r="162" spans="1:13" x14ac:dyDescent="0.25">
      <c r="A162" s="106"/>
      <c r="B162" s="106"/>
      <c r="C162" s="350"/>
      <c r="D162" s="99"/>
      <c r="E162" s="256" t="s">
        <v>786</v>
      </c>
      <c r="F162" s="226">
        <f>IFERROR(VLOOKUP(E162,Hoja1!$A$86:$E$377,5,FALSE),)</f>
        <v>19677599.580000002</v>
      </c>
      <c r="G162" s="245"/>
      <c r="H162" s="105"/>
    </row>
    <row r="163" spans="1:13" x14ac:dyDescent="0.25">
      <c r="A163" s="106"/>
      <c r="B163" s="106"/>
      <c r="C163" s="350"/>
      <c r="D163" s="99"/>
      <c r="E163" s="256" t="s">
        <v>445</v>
      </c>
      <c r="F163" s="226">
        <f>IFERROR(VLOOKUP(E163,Hoja1!$A$86:$E$377,5,FALSE),)</f>
        <v>71304554.810000002</v>
      </c>
      <c r="G163" s="245"/>
      <c r="H163" s="105"/>
    </row>
    <row r="164" spans="1:13" x14ac:dyDescent="0.25">
      <c r="A164" s="106"/>
      <c r="B164" s="106"/>
      <c r="C164" s="350"/>
      <c r="D164" s="99"/>
      <c r="E164" s="256" t="s">
        <v>596</v>
      </c>
      <c r="F164" s="226">
        <f>IFERROR(VLOOKUP(E164,Hoja1!$A$86:$E$377,5,FALSE),)</f>
        <v>0</v>
      </c>
      <c r="G164" s="245"/>
      <c r="H164" s="105"/>
    </row>
    <row r="165" spans="1:13" x14ac:dyDescent="0.25">
      <c r="A165" s="106"/>
      <c r="B165" s="106"/>
      <c r="C165" s="350"/>
      <c r="D165" s="99"/>
      <c r="E165" s="256" t="s">
        <v>614</v>
      </c>
      <c r="F165" s="226">
        <f>IFERROR(VLOOKUP(E165,Hoja1!$A$86:$E$377,5,FALSE),)</f>
        <v>0</v>
      </c>
      <c r="G165" s="245"/>
      <c r="H165" s="105"/>
    </row>
    <row r="166" spans="1:13" x14ac:dyDescent="0.25">
      <c r="A166" s="106"/>
      <c r="B166" s="106"/>
      <c r="C166" s="350"/>
      <c r="D166" s="99"/>
      <c r="E166" s="256" t="s">
        <v>626</v>
      </c>
      <c r="F166" s="226">
        <f>IFERROR(VLOOKUP(E166,Hoja1!$A$86:$E$377,5,FALSE),)</f>
        <v>0</v>
      </c>
      <c r="G166" s="245"/>
      <c r="H166" s="105"/>
    </row>
    <row r="167" spans="1:13" x14ac:dyDescent="0.25">
      <c r="A167" s="106"/>
      <c r="B167" s="106"/>
      <c r="C167" s="350"/>
      <c r="D167" s="99"/>
      <c r="E167" s="256" t="s">
        <v>673</v>
      </c>
      <c r="F167" s="226">
        <f>IFERROR(VLOOKUP(E167,Hoja1!$A$86:$E$377,5,FALSE),)</f>
        <v>0</v>
      </c>
      <c r="G167" s="245"/>
      <c r="H167" s="105"/>
    </row>
    <row r="168" spans="1:13" x14ac:dyDescent="0.25">
      <c r="A168" s="106"/>
      <c r="B168" s="106"/>
      <c r="C168" s="350"/>
      <c r="D168" s="99"/>
      <c r="E168" s="256" t="s">
        <v>733</v>
      </c>
      <c r="F168" s="226">
        <f>IFERROR(VLOOKUP(E168,Hoja1!$A$86:$E$377,5,FALSE),)</f>
        <v>3950000</v>
      </c>
      <c r="G168" s="245"/>
      <c r="H168" s="105"/>
    </row>
    <row r="169" spans="1:13" x14ac:dyDescent="0.25">
      <c r="A169" s="106"/>
      <c r="B169" s="106"/>
      <c r="C169" s="350"/>
      <c r="D169" s="254" t="s">
        <v>500</v>
      </c>
      <c r="E169" s="203"/>
      <c r="F169" s="226">
        <f>IFERROR(VLOOKUP(D169,Hoja1!$A$86:$E$377,5,FALSE),)</f>
        <v>11619112.85</v>
      </c>
      <c r="G169" s="303">
        <f>+F169</f>
        <v>11619112.85</v>
      </c>
      <c r="H169" s="177"/>
    </row>
    <row r="170" spans="1:13" x14ac:dyDescent="0.25">
      <c r="A170" s="106"/>
      <c r="B170" s="106"/>
      <c r="C170" s="350"/>
      <c r="D170" s="254" t="s">
        <v>501</v>
      </c>
      <c r="E170" s="203"/>
      <c r="F170" s="226">
        <f>IFERROR(VLOOKUP(D170,Hoja1!$A$86:$E$377,5,FALSE),)</f>
        <v>146974706.71000001</v>
      </c>
      <c r="G170" s="303">
        <f>+F170</f>
        <v>146974706.71000001</v>
      </c>
      <c r="H170" s="105"/>
    </row>
    <row r="171" spans="1:13" x14ac:dyDescent="0.25">
      <c r="A171" s="106"/>
      <c r="B171" s="106"/>
      <c r="C171" s="350"/>
      <c r="D171" s="254" t="s">
        <v>502</v>
      </c>
      <c r="E171" s="203"/>
      <c r="F171" s="226">
        <f>IFERROR(VLOOKUP(D171,Hoja1!$A$86:$E$377,5,FALSE),)</f>
        <v>14081454.359999999</v>
      </c>
      <c r="G171" s="303">
        <f>+F171</f>
        <v>14081454.359999999</v>
      </c>
      <c r="H171" s="105"/>
      <c r="I171" s="343"/>
      <c r="J171" s="208"/>
      <c r="K171" s="208"/>
      <c r="L171" s="208"/>
      <c r="M171" s="208"/>
    </row>
    <row r="172" spans="1:13" x14ac:dyDescent="0.25">
      <c r="A172" s="106"/>
      <c r="B172" s="106"/>
      <c r="C172" s="350"/>
      <c r="D172" s="254" t="s">
        <v>298</v>
      </c>
      <c r="E172" s="203"/>
      <c r="F172" s="233"/>
      <c r="G172" s="303">
        <f>SUM(F173:F178)</f>
        <v>1068794.4099999999</v>
      </c>
      <c r="H172" s="105"/>
    </row>
    <row r="173" spans="1:13" x14ac:dyDescent="0.25">
      <c r="A173" s="106"/>
      <c r="B173" s="106"/>
      <c r="C173" s="350"/>
      <c r="D173" s="99"/>
      <c r="E173" s="256" t="s">
        <v>396</v>
      </c>
      <c r="F173" s="226">
        <f>IFERROR(VLOOKUP(E173,Hoja1!$A$86:$E$377,5,FALSE),)</f>
        <v>1058304.4099999999</v>
      </c>
      <c r="G173" s="245"/>
      <c r="H173" s="105"/>
    </row>
    <row r="174" spans="1:13" x14ac:dyDescent="0.25">
      <c r="A174" s="106"/>
      <c r="B174" s="106"/>
      <c r="C174" s="350"/>
      <c r="D174" s="99"/>
      <c r="E174" s="256" t="s">
        <v>798</v>
      </c>
      <c r="F174" s="226">
        <f>IFERROR(VLOOKUP(E174,Hoja1!$A$86:$E$377,5,FALSE),)</f>
        <v>0</v>
      </c>
      <c r="G174" s="245"/>
      <c r="H174" s="105"/>
    </row>
    <row r="175" spans="1:13" x14ac:dyDescent="0.25">
      <c r="A175" s="106"/>
      <c r="B175" s="106"/>
      <c r="C175" s="350"/>
      <c r="D175" s="99"/>
      <c r="E175" s="256" t="s">
        <v>778</v>
      </c>
      <c r="F175" s="226">
        <f>IFERROR(VLOOKUP(E175,Hoja1!$A$86:$E$377,5,FALSE),)</f>
        <v>10490</v>
      </c>
      <c r="G175" s="245"/>
      <c r="H175" s="105"/>
    </row>
    <row r="176" spans="1:13" x14ac:dyDescent="0.25">
      <c r="A176" s="106"/>
      <c r="B176" s="106"/>
      <c r="C176" s="350"/>
      <c r="D176" s="99"/>
      <c r="E176" s="228" t="s">
        <v>556</v>
      </c>
      <c r="F176" s="226">
        <f>IFERROR(VLOOKUP(E176,Hoja1!$A$86:$E$377,5,FALSE),)</f>
        <v>0</v>
      </c>
      <c r="G176" s="245"/>
      <c r="H176" s="105"/>
    </row>
    <row r="177" spans="1:9" x14ac:dyDescent="0.25">
      <c r="A177" s="106"/>
      <c r="B177" s="106"/>
      <c r="C177" s="350"/>
      <c r="D177" s="99"/>
      <c r="E177" s="228" t="s">
        <v>609</v>
      </c>
      <c r="F177" s="226">
        <f>IFERROR(VLOOKUP(E177,Hoja1!$A$86:$E$377,5,FALSE),)</f>
        <v>0</v>
      </c>
      <c r="G177" s="245"/>
      <c r="H177" s="105"/>
    </row>
    <row r="178" spans="1:9" x14ac:dyDescent="0.25">
      <c r="A178" s="106"/>
      <c r="B178" s="106"/>
      <c r="C178" s="350"/>
      <c r="D178" s="99"/>
      <c r="E178" s="228" t="s">
        <v>632</v>
      </c>
      <c r="F178" s="226">
        <f>IFERROR(VLOOKUP(E178,Hoja1!$A$86:$E$377,5,FALSE),)</f>
        <v>0</v>
      </c>
      <c r="G178" s="245"/>
      <c r="H178" s="105"/>
    </row>
    <row r="179" spans="1:9" x14ac:dyDescent="0.25">
      <c r="A179" s="106"/>
      <c r="B179" s="106"/>
      <c r="C179" s="350"/>
      <c r="D179" s="99" t="s">
        <v>147</v>
      </c>
      <c r="E179" s="99"/>
      <c r="F179" s="226">
        <f>IFERROR(VLOOKUP(D179,Hoja1!$A$86:$E$353,5,FALSE),)</f>
        <v>0</v>
      </c>
      <c r="G179" s="245">
        <f>+F179</f>
        <v>0</v>
      </c>
      <c r="H179" s="105"/>
    </row>
    <row r="180" spans="1:9" x14ac:dyDescent="0.25">
      <c r="A180" s="106"/>
      <c r="B180" s="106"/>
      <c r="C180" s="350"/>
      <c r="D180" s="99" t="s">
        <v>305</v>
      </c>
      <c r="E180" s="99"/>
      <c r="F180" s="226"/>
      <c r="G180" s="303">
        <f>SUM(F181:F186)</f>
        <v>3938960.9</v>
      </c>
      <c r="H180" s="105"/>
    </row>
    <row r="181" spans="1:9" x14ac:dyDescent="0.25">
      <c r="A181" s="106"/>
      <c r="B181" s="106"/>
      <c r="C181" s="350"/>
      <c r="D181" s="99"/>
      <c r="E181" s="256" t="s">
        <v>544</v>
      </c>
      <c r="F181" s="226">
        <f>IFERROR(VLOOKUP(E181,Hoja1!$A$86:$E$377,5,FALSE),)</f>
        <v>0</v>
      </c>
      <c r="G181" s="245"/>
      <c r="H181" s="105"/>
    </row>
    <row r="182" spans="1:9" x14ac:dyDescent="0.25">
      <c r="A182" s="106"/>
      <c r="B182" s="106"/>
      <c r="C182" s="350"/>
      <c r="D182" s="99"/>
      <c r="E182" s="256" t="s">
        <v>397</v>
      </c>
      <c r="F182" s="226">
        <f>IFERROR(VLOOKUP(E182,Hoja1!$A$86:$E$377,5,FALSE),)</f>
        <v>3688960.9</v>
      </c>
      <c r="G182" s="245"/>
      <c r="H182" s="105"/>
    </row>
    <row r="183" spans="1:9" x14ac:dyDescent="0.25">
      <c r="A183" s="106"/>
      <c r="B183" s="106"/>
      <c r="C183" s="350"/>
      <c r="D183" s="99"/>
      <c r="E183" s="256" t="s">
        <v>398</v>
      </c>
      <c r="F183" s="226">
        <f>IFERROR(VLOOKUP(E183,Hoja1!$A$86:$E$377,5,FALSE),)</f>
        <v>0</v>
      </c>
      <c r="G183" s="245"/>
      <c r="H183" s="105"/>
    </row>
    <row r="184" spans="1:9" x14ac:dyDescent="0.25">
      <c r="A184" s="106"/>
      <c r="B184" s="106"/>
      <c r="C184" s="350"/>
      <c r="D184" s="99"/>
      <c r="E184" s="256" t="s">
        <v>461</v>
      </c>
      <c r="F184" s="226">
        <f>IFERROR(VLOOKUP(E184,Hoja1!$A$86:$E$377,5,FALSE),)</f>
        <v>250000</v>
      </c>
      <c r="G184" s="245"/>
      <c r="H184" s="256"/>
      <c r="I184" s="343"/>
    </row>
    <row r="185" spans="1:9" x14ac:dyDescent="0.25">
      <c r="A185" s="106"/>
      <c r="B185" s="106"/>
      <c r="C185" s="350"/>
      <c r="D185" s="99"/>
      <c r="E185" s="230" t="s">
        <v>601</v>
      </c>
      <c r="F185" s="226">
        <f>IFERROR(VLOOKUP(E185,Hoja1!$A$86:$E$377,5,FALSE),)</f>
        <v>0</v>
      </c>
      <c r="G185" s="245"/>
      <c r="H185" s="256"/>
      <c r="I185" s="343"/>
    </row>
    <row r="186" spans="1:9" x14ac:dyDescent="0.25">
      <c r="A186" s="106"/>
      <c r="B186" s="106"/>
      <c r="C186" s="350"/>
      <c r="D186" s="99"/>
      <c r="E186" s="225"/>
      <c r="F186" s="226"/>
      <c r="G186" s="245"/>
      <c r="H186" s="256"/>
      <c r="I186" s="343"/>
    </row>
    <row r="187" spans="1:9" x14ac:dyDescent="0.25">
      <c r="A187" s="106"/>
      <c r="B187" s="106"/>
      <c r="C187" s="350"/>
      <c r="D187" s="99" t="s">
        <v>306</v>
      </c>
      <c r="E187" s="203"/>
      <c r="F187" s="226"/>
      <c r="G187" s="245">
        <f>+F187</f>
        <v>0</v>
      </c>
      <c r="H187" s="105"/>
    </row>
    <row r="188" spans="1:9" x14ac:dyDescent="0.25">
      <c r="A188" s="106"/>
      <c r="B188" s="106"/>
      <c r="C188" s="350"/>
      <c r="D188" s="103" t="s">
        <v>197</v>
      </c>
      <c r="E188" s="208" t="s">
        <v>495</v>
      </c>
      <c r="F188" s="226">
        <f>IFERROR(VLOOKUP(E188,Hoja1!$A$86:$E$377,5,FALSE),)</f>
        <v>30000</v>
      </c>
      <c r="G188" s="245">
        <f>+F188</f>
        <v>30000</v>
      </c>
      <c r="H188" s="208"/>
      <c r="I188" s="343"/>
    </row>
    <row r="189" spans="1:9" x14ac:dyDescent="0.25">
      <c r="A189" s="106"/>
      <c r="B189" s="106"/>
      <c r="C189" s="350"/>
      <c r="D189" s="99" t="s">
        <v>299</v>
      </c>
      <c r="E189" s="116"/>
      <c r="F189" s="226"/>
      <c r="G189" s="303">
        <f>SUM(F190:F197)</f>
        <v>10335682.84</v>
      </c>
      <c r="H189" s="105"/>
    </row>
    <row r="190" spans="1:9" x14ac:dyDescent="0.25">
      <c r="A190" s="106"/>
      <c r="B190" s="106"/>
      <c r="C190" s="350"/>
      <c r="D190" s="99"/>
      <c r="E190" s="256" t="s">
        <v>399</v>
      </c>
      <c r="F190" s="226">
        <f>IFERROR(VLOOKUP(E190,Hoja1!$A$86:$E$377,5,FALSE),)</f>
        <v>9520573.0899999999</v>
      </c>
      <c r="G190" s="245"/>
      <c r="H190" s="105"/>
    </row>
    <row r="191" spans="1:9" x14ac:dyDescent="0.25">
      <c r="A191" s="106"/>
      <c r="B191" s="106"/>
      <c r="C191" s="350"/>
      <c r="D191" s="99"/>
      <c r="E191" s="256" t="s">
        <v>788</v>
      </c>
      <c r="F191" s="226">
        <f>IFERROR(VLOOKUP(E191,Hoja1!$A$86:$E$377,5,FALSE),)</f>
        <v>0</v>
      </c>
      <c r="G191" s="245"/>
      <c r="H191" s="105"/>
    </row>
    <row r="192" spans="1:9" x14ac:dyDescent="0.25">
      <c r="A192" s="106"/>
      <c r="B192" s="106"/>
      <c r="C192" s="350"/>
      <c r="D192" s="99"/>
      <c r="E192" s="256" t="s">
        <v>400</v>
      </c>
      <c r="F192" s="226">
        <f>IFERROR(VLOOKUP(E192,Hoja1!$A$86:$E$377,5,FALSE),)</f>
        <v>815109.75</v>
      </c>
      <c r="G192" s="245"/>
      <c r="H192" s="105"/>
    </row>
    <row r="193" spans="1:14" x14ac:dyDescent="0.25">
      <c r="A193" s="106"/>
      <c r="B193" s="106"/>
      <c r="C193" s="350"/>
      <c r="D193" s="99"/>
      <c r="E193" s="256" t="s">
        <v>535</v>
      </c>
      <c r="F193" s="226">
        <f>IFERROR(VLOOKUP(E193,Hoja1!$A$86:$E$377,5,FALSE),)</f>
        <v>0</v>
      </c>
      <c r="G193" s="245"/>
      <c r="H193" s="105"/>
    </row>
    <row r="194" spans="1:14" x14ac:dyDescent="0.25">
      <c r="A194" s="106"/>
      <c r="B194" s="106"/>
      <c r="C194" s="350"/>
      <c r="D194" s="99"/>
      <c r="E194" s="256" t="s">
        <v>545</v>
      </c>
      <c r="F194" s="226">
        <f>IFERROR(VLOOKUP(E194,Hoja1!$A$86:$E$377,5,FALSE),)</f>
        <v>0</v>
      </c>
      <c r="G194" s="245"/>
      <c r="H194" s="105"/>
    </row>
    <row r="195" spans="1:14" x14ac:dyDescent="0.25">
      <c r="A195" s="106"/>
      <c r="B195" s="106"/>
      <c r="C195" s="350"/>
      <c r="D195" s="99"/>
      <c r="E195" s="228" t="s">
        <v>564</v>
      </c>
      <c r="F195" s="226">
        <f>IFERROR(VLOOKUP(E195,Hoja1!$A$86:$E$377,5,FALSE),)</f>
        <v>0</v>
      </c>
      <c r="G195" s="245"/>
      <c r="H195" s="105"/>
    </row>
    <row r="196" spans="1:14" x14ac:dyDescent="0.25">
      <c r="A196" s="106"/>
      <c r="B196" s="106"/>
      <c r="C196" s="350"/>
      <c r="D196" s="99"/>
      <c r="E196" s="232" t="s">
        <v>611</v>
      </c>
      <c r="F196" s="226">
        <f>IFERROR(VLOOKUP(E196,Hoja1!$A$86:$E$377,5,FALSE),)</f>
        <v>0</v>
      </c>
      <c r="G196" s="245"/>
      <c r="H196" s="105"/>
    </row>
    <row r="197" spans="1:14" x14ac:dyDescent="0.25">
      <c r="A197" s="106"/>
      <c r="B197" s="106"/>
      <c r="C197" s="350"/>
      <c r="D197" s="99"/>
      <c r="E197" s="232" t="s">
        <v>618</v>
      </c>
      <c r="F197" s="226">
        <f>IFERROR(VLOOKUP(E197,Hoja1!$A$86:$E$377,5,FALSE),)</f>
        <v>0</v>
      </c>
      <c r="G197" s="245"/>
      <c r="H197" s="105"/>
    </row>
    <row r="198" spans="1:14" x14ac:dyDescent="0.25">
      <c r="A198" s="106"/>
      <c r="B198" s="106"/>
      <c r="C198" s="350"/>
      <c r="D198" s="367" t="s">
        <v>348</v>
      </c>
      <c r="E198" s="208" t="s">
        <v>510</v>
      </c>
      <c r="F198" s="226">
        <f>IFERROR(VLOOKUP(E198,Hoja1!$A$86:$E$377,5,FALSE),)</f>
        <v>0</v>
      </c>
      <c r="G198" s="245">
        <f>+F198+F199+F200</f>
        <v>0</v>
      </c>
      <c r="H198" s="105"/>
    </row>
    <row r="199" spans="1:14" x14ac:dyDescent="0.25">
      <c r="A199" s="106"/>
      <c r="B199" s="106"/>
      <c r="C199" s="350"/>
      <c r="D199" s="367"/>
      <c r="E199" s="206" t="s">
        <v>482</v>
      </c>
      <c r="F199" s="226">
        <f>IFERROR(VLOOKUP(E199,Hoja1!$A$86:$E$377,5,FALSE),)</f>
        <v>0</v>
      </c>
      <c r="G199" s="245"/>
      <c r="H199" s="206"/>
      <c r="I199" s="343"/>
    </row>
    <row r="200" spans="1:14" x14ac:dyDescent="0.25">
      <c r="A200" s="106"/>
      <c r="B200" s="106"/>
      <c r="C200" s="350"/>
      <c r="D200" s="367"/>
      <c r="E200" s="225" t="s">
        <v>591</v>
      </c>
      <c r="F200" s="226">
        <f>IFERROR(VLOOKUP(E200,Hoja1!$A$86:$E$377,5,FALSE),)</f>
        <v>0</v>
      </c>
      <c r="G200" s="245"/>
      <c r="H200" s="206"/>
      <c r="I200" s="343"/>
    </row>
    <row r="201" spans="1:14" x14ac:dyDescent="0.25">
      <c r="A201" s="106"/>
      <c r="B201" s="106"/>
      <c r="C201" s="350"/>
      <c r="D201" s="257" t="s">
        <v>516</v>
      </c>
      <c r="E201" s="256" t="s">
        <v>515</v>
      </c>
      <c r="F201" s="226">
        <f>IFERROR(VLOOKUP(E201,Hoja1!$A$86:$E$377,5,FALSE),)</f>
        <v>-6975688.5700000003</v>
      </c>
      <c r="G201" s="303">
        <f>SUM(F201:F202)</f>
        <v>-3615904.1100000003</v>
      </c>
      <c r="H201" s="206"/>
      <c r="I201" s="343"/>
    </row>
    <row r="202" spans="1:14" x14ac:dyDescent="0.25">
      <c r="A202" s="106"/>
      <c r="B202" s="106"/>
      <c r="C202" s="350"/>
      <c r="D202" s="367"/>
      <c r="E202" s="256" t="s">
        <v>519</v>
      </c>
      <c r="F202" s="226">
        <f>IFERROR(VLOOKUP(E202,Hoja1!$A$86:$E$377,5,FALSE),)</f>
        <v>3359784.46</v>
      </c>
      <c r="G202" s="245"/>
      <c r="H202" s="206"/>
      <c r="I202" s="343"/>
    </row>
    <row r="203" spans="1:14" x14ac:dyDescent="0.25">
      <c r="A203" s="106"/>
      <c r="B203" s="106"/>
      <c r="C203" s="350"/>
      <c r="D203" s="367" t="s">
        <v>393</v>
      </c>
      <c r="E203" s="203"/>
      <c r="F203" s="226"/>
      <c r="G203" s="245">
        <f>+F203</f>
        <v>0</v>
      </c>
      <c r="H203" s="105"/>
    </row>
    <row r="204" spans="1:14" x14ac:dyDescent="0.25">
      <c r="A204" s="106"/>
      <c r="B204" s="106"/>
      <c r="C204" s="350"/>
      <c r="D204" s="99" t="s">
        <v>148</v>
      </c>
      <c r="E204" s="203"/>
      <c r="F204" s="226"/>
      <c r="G204" s="245">
        <f>+F204</f>
        <v>0</v>
      </c>
      <c r="H204" s="105"/>
      <c r="J204" s="208"/>
      <c r="K204" s="208"/>
      <c r="L204" s="208"/>
      <c r="M204" s="208"/>
      <c r="N204" s="208"/>
    </row>
    <row r="205" spans="1:14" x14ac:dyDescent="0.25">
      <c r="A205" s="106"/>
      <c r="B205" s="106"/>
      <c r="C205" s="350"/>
      <c r="D205" s="254" t="s">
        <v>211</v>
      </c>
      <c r="E205" s="208" t="s">
        <v>491</v>
      </c>
      <c r="F205" s="226">
        <f>IFERROR(VLOOKUP(E205,Hoja1!$A$86:$E$377,5,FALSE),)</f>
        <v>3502753.58</v>
      </c>
      <c r="G205" s="303">
        <f>+F205</f>
        <v>3502753.58</v>
      </c>
      <c r="H205" s="208"/>
      <c r="I205" s="343"/>
    </row>
    <row r="206" spans="1:14" x14ac:dyDescent="0.25">
      <c r="A206" s="106"/>
      <c r="B206" s="106"/>
      <c r="C206" s="350"/>
      <c r="D206" s="254"/>
      <c r="E206" s="254" t="s">
        <v>211</v>
      </c>
      <c r="F206" s="226">
        <f>IFERROR(VLOOKUP(E206,Hoja1!$A$86:$E$377,5,FALSE),)</f>
        <v>0</v>
      </c>
      <c r="G206" s="245"/>
      <c r="H206" s="105"/>
    </row>
    <row r="207" spans="1:14" x14ac:dyDescent="0.25">
      <c r="A207" s="106"/>
      <c r="B207" s="106"/>
      <c r="C207" s="350"/>
      <c r="D207" s="99" t="s">
        <v>149</v>
      </c>
      <c r="E207" s="203"/>
      <c r="F207" s="226"/>
      <c r="G207" s="245">
        <f>+F208</f>
        <v>0</v>
      </c>
      <c r="H207" s="105"/>
    </row>
    <row r="208" spans="1:14" x14ac:dyDescent="0.25">
      <c r="A208" s="106"/>
      <c r="B208" s="106"/>
      <c r="C208" s="350"/>
      <c r="D208" s="99"/>
      <c r="E208" s="256" t="s">
        <v>481</v>
      </c>
      <c r="F208" s="226">
        <f>IFERROR(VLOOKUP(E208,Hoja1!$A$86:$E$377,5,FALSE),)</f>
        <v>0</v>
      </c>
      <c r="G208" s="245"/>
      <c r="H208" s="105"/>
    </row>
    <row r="209" spans="1:14" x14ac:dyDescent="0.25">
      <c r="A209" s="106"/>
      <c r="B209" s="106"/>
      <c r="C209" s="350"/>
      <c r="D209" s="99"/>
      <c r="E209" s="203" t="s">
        <v>447</v>
      </c>
      <c r="F209" s="226">
        <f>IFERROR(VLOOKUP(E209,Hoja1!$A$86:$E$377,5,FALSE),)</f>
        <v>0</v>
      </c>
      <c r="G209" s="245"/>
      <c r="H209" s="105"/>
    </row>
    <row r="210" spans="1:14" x14ac:dyDescent="0.25">
      <c r="A210" s="106"/>
      <c r="B210" s="106"/>
      <c r="C210" s="350"/>
      <c r="D210" s="99" t="s">
        <v>150</v>
      </c>
      <c r="E210" s="203"/>
      <c r="F210" s="226"/>
      <c r="G210" s="245">
        <f>SUM(F211:F214)</f>
        <v>700000</v>
      </c>
      <c r="H210" s="105"/>
    </row>
    <row r="211" spans="1:14" x14ac:dyDescent="0.25">
      <c r="A211" s="106"/>
      <c r="B211" s="106"/>
      <c r="C211" s="350"/>
      <c r="D211" s="99"/>
      <c r="E211" s="256" t="s">
        <v>551</v>
      </c>
      <c r="F211" s="226">
        <f>IFERROR(VLOOKUP(E211,Hoja1!$A$86:$E$377,5,FALSE),)</f>
        <v>0</v>
      </c>
      <c r="G211" s="245"/>
      <c r="H211" s="105"/>
    </row>
    <row r="212" spans="1:14" x14ac:dyDescent="0.25">
      <c r="A212" s="106"/>
      <c r="B212" s="106"/>
      <c r="C212" s="350"/>
      <c r="D212" s="99"/>
      <c r="E212" s="256" t="s">
        <v>460</v>
      </c>
      <c r="F212" s="226">
        <f>IFERROR(VLOOKUP(E212,Hoja1!$A$86:$E$377,5,FALSE),)</f>
        <v>700000</v>
      </c>
      <c r="G212" s="245"/>
      <c r="H212" s="256"/>
      <c r="I212" s="343"/>
    </row>
    <row r="213" spans="1:14" x14ac:dyDescent="0.25">
      <c r="A213" s="106"/>
      <c r="B213" s="106"/>
      <c r="C213" s="350"/>
      <c r="D213" s="99"/>
      <c r="E213" s="256" t="s">
        <v>597</v>
      </c>
      <c r="F213" s="226">
        <f>IFERROR(VLOOKUP(E213,Hoja1!$A$86:$E$377,5,FALSE),)</f>
        <v>0</v>
      </c>
      <c r="G213" s="245"/>
      <c r="H213" s="256"/>
      <c r="I213" s="343"/>
    </row>
    <row r="214" spans="1:14" x14ac:dyDescent="0.25">
      <c r="A214" s="106"/>
      <c r="B214" s="106"/>
      <c r="C214" s="350"/>
      <c r="D214" s="99"/>
      <c r="E214" s="256" t="s">
        <v>615</v>
      </c>
      <c r="F214" s="226">
        <f>IFERROR(VLOOKUP(E214,Hoja1!$A$86:$E$377,5,FALSE),)</f>
        <v>0</v>
      </c>
      <c r="G214" s="245"/>
      <c r="H214" s="256"/>
      <c r="I214" s="343"/>
    </row>
    <row r="215" spans="1:14" x14ac:dyDescent="0.25">
      <c r="A215" s="106"/>
      <c r="B215" s="106"/>
      <c r="C215" s="350"/>
      <c r="D215" s="121" t="s">
        <v>311</v>
      </c>
      <c r="E215" s="203"/>
      <c r="F215" s="226"/>
      <c r="G215" s="303">
        <f>SUM(F215:F218)</f>
        <v>288818.78000000003</v>
      </c>
      <c r="H215" s="178"/>
    </row>
    <row r="216" spans="1:14" x14ac:dyDescent="0.25">
      <c r="A216" s="106"/>
      <c r="B216" s="106"/>
      <c r="C216" s="350"/>
      <c r="D216" s="121"/>
      <c r="E216" s="256" t="s">
        <v>401</v>
      </c>
      <c r="F216" s="226">
        <f>IFERROR(VLOOKUP(E216,Hoja1!$A$86:$E$377,5,FALSE),)</f>
        <v>288818.78000000003</v>
      </c>
      <c r="G216" s="245"/>
      <c r="H216" s="178"/>
    </row>
    <row r="217" spans="1:14" x14ac:dyDescent="0.25">
      <c r="A217" s="106"/>
      <c r="B217" s="106"/>
      <c r="C217" s="350"/>
      <c r="D217" s="121"/>
      <c r="E217" s="256" t="s">
        <v>402</v>
      </c>
      <c r="F217" s="226">
        <f>IFERROR(VLOOKUP(E217,Hoja1!$A$86:$E$377,5,FALSE),)</f>
        <v>0</v>
      </c>
      <c r="G217" s="245"/>
      <c r="H217" s="178"/>
    </row>
    <row r="218" spans="1:14" x14ac:dyDescent="0.25">
      <c r="A218" s="106"/>
      <c r="B218" s="106"/>
      <c r="C218" s="350"/>
      <c r="D218" s="121"/>
      <c r="E218" s="225" t="s">
        <v>573</v>
      </c>
      <c r="F218" s="226">
        <f>IFERROR(VLOOKUP(E218,Hoja1!$A$86:$E$377,5,FALSE),)</f>
        <v>0</v>
      </c>
      <c r="G218" s="245"/>
      <c r="H218" s="178"/>
    </row>
    <row r="219" spans="1:14" x14ac:dyDescent="0.25">
      <c r="A219" s="106"/>
      <c r="B219" s="106"/>
      <c r="C219" s="350"/>
      <c r="D219" s="103" t="s">
        <v>151</v>
      </c>
      <c r="E219" s="203"/>
      <c r="F219" s="226"/>
      <c r="G219" s="303">
        <f>SUM(F219:F226)</f>
        <v>5034121.24</v>
      </c>
      <c r="H219" s="105"/>
      <c r="J219" s="208"/>
      <c r="K219" s="208"/>
      <c r="L219" s="208"/>
      <c r="M219" s="208"/>
      <c r="N219" s="208"/>
    </row>
    <row r="220" spans="1:14" x14ac:dyDescent="0.25">
      <c r="A220" s="106"/>
      <c r="B220" s="106"/>
      <c r="C220" s="350"/>
      <c r="D220" s="103"/>
      <c r="E220" s="208" t="s">
        <v>508</v>
      </c>
      <c r="F220" s="226">
        <f>IFERROR(VLOOKUP(E220,Hoja1!$A$86:$E$377,5,FALSE),)</f>
        <v>0</v>
      </c>
      <c r="G220" s="245"/>
      <c r="H220" s="105"/>
    </row>
    <row r="221" spans="1:14" x14ac:dyDescent="0.25">
      <c r="A221" s="106"/>
      <c r="B221" s="106"/>
      <c r="C221" s="350"/>
      <c r="D221" s="103"/>
      <c r="E221" s="256" t="s">
        <v>403</v>
      </c>
      <c r="F221" s="226">
        <f>IFERROR(VLOOKUP(E221,Hoja1!$A$86:$E$377,5,FALSE),)</f>
        <v>3016013.02</v>
      </c>
      <c r="G221" s="245"/>
      <c r="H221" s="105"/>
    </row>
    <row r="222" spans="1:14" x14ac:dyDescent="0.25">
      <c r="A222" s="106"/>
      <c r="B222" s="106"/>
      <c r="C222" s="350"/>
      <c r="D222" s="103"/>
      <c r="E222" s="256" t="s">
        <v>578</v>
      </c>
      <c r="F222" s="226">
        <f>IFERROR(VLOOKUP(E222,Hoja1!$A$86:$E$377,5,FALSE),)</f>
        <v>0</v>
      </c>
      <c r="G222" s="245"/>
      <c r="H222" s="105"/>
    </row>
    <row r="223" spans="1:14" x14ac:dyDescent="0.25">
      <c r="A223" s="106"/>
      <c r="B223" s="106"/>
      <c r="C223" s="350"/>
      <c r="D223" s="103"/>
      <c r="E223" s="256" t="s">
        <v>455</v>
      </c>
      <c r="F223" s="226">
        <f>IFERROR(VLOOKUP(E223,Hoja1!$A$86:$E$377,5,FALSE),)</f>
        <v>1836290.04</v>
      </c>
      <c r="G223" s="245"/>
      <c r="H223" s="105"/>
    </row>
    <row r="224" spans="1:14" x14ac:dyDescent="0.25">
      <c r="A224" s="106"/>
      <c r="B224" s="106"/>
      <c r="C224" s="350"/>
      <c r="D224" s="103"/>
      <c r="E224" s="225" t="s">
        <v>579</v>
      </c>
      <c r="F224" s="226">
        <f>IFERROR(VLOOKUP(E224,Hoja1!$A$86:$E$377,5,FALSE),)</f>
        <v>0</v>
      </c>
      <c r="G224" s="245"/>
      <c r="H224" s="105"/>
    </row>
    <row r="225" spans="1:12" x14ac:dyDescent="0.25">
      <c r="A225" s="106"/>
      <c r="B225" s="106"/>
      <c r="C225" s="350"/>
      <c r="D225" s="103"/>
      <c r="E225" s="256" t="s">
        <v>466</v>
      </c>
      <c r="F225" s="226">
        <f>IFERROR(VLOOKUP(E225,Hoja1!$A$86:$E$377,5,FALSE),)</f>
        <v>181818.18</v>
      </c>
      <c r="G225" s="245"/>
      <c r="H225" s="256"/>
      <c r="I225" s="343"/>
    </row>
    <row r="226" spans="1:12" x14ac:dyDescent="0.25">
      <c r="A226" s="106"/>
      <c r="B226" s="106"/>
      <c r="C226" s="350"/>
      <c r="D226" s="103"/>
      <c r="E226" s="256" t="s">
        <v>546</v>
      </c>
      <c r="F226" s="226">
        <f>IFERROR(VLOOKUP(E226,Hoja1!$A$86:$E$377,5,FALSE),)</f>
        <v>0</v>
      </c>
      <c r="G226" s="245"/>
      <c r="H226" s="256"/>
      <c r="I226" s="343"/>
    </row>
    <row r="227" spans="1:12" x14ac:dyDescent="0.25">
      <c r="A227" s="106"/>
      <c r="B227" s="106"/>
      <c r="C227" s="350"/>
      <c r="D227" s="103"/>
      <c r="E227" s="256"/>
      <c r="F227" s="226"/>
      <c r="G227" s="245"/>
      <c r="H227" s="256"/>
      <c r="I227" s="343"/>
    </row>
    <row r="228" spans="1:12" x14ac:dyDescent="0.25">
      <c r="A228" s="106"/>
      <c r="B228" s="106"/>
      <c r="C228" s="350"/>
      <c r="D228" s="103" t="s">
        <v>152</v>
      </c>
      <c r="E228" s="208" t="s">
        <v>493</v>
      </c>
      <c r="F228" s="226">
        <f>IFERROR(VLOOKUP(E228,Hoja1!$A$86:$E$377,5,FALSE),)</f>
        <v>2052084.4000000001</v>
      </c>
      <c r="G228" s="303">
        <f>SUM(F228:F230)</f>
        <v>2052084.4000000001</v>
      </c>
      <c r="H228" s="208"/>
      <c r="I228" s="343"/>
    </row>
    <row r="229" spans="1:12" x14ac:dyDescent="0.25">
      <c r="A229" s="106"/>
      <c r="B229" s="106"/>
      <c r="C229" s="350"/>
      <c r="D229" s="103"/>
      <c r="E229" s="208" t="s">
        <v>497</v>
      </c>
      <c r="F229" s="226">
        <f>IFERROR(VLOOKUP(E229,Hoja1!$A$86:$E$377,5,FALSE),)</f>
        <v>0</v>
      </c>
      <c r="G229" s="245"/>
      <c r="H229" s="208"/>
      <c r="I229" s="343"/>
      <c r="J229" s="208"/>
      <c r="K229" s="208"/>
      <c r="L229" s="208"/>
    </row>
    <row r="230" spans="1:12" x14ac:dyDescent="0.25">
      <c r="A230" s="106"/>
      <c r="B230" s="106"/>
      <c r="C230" s="350"/>
      <c r="D230" s="103"/>
      <c r="E230" s="208" t="s">
        <v>749</v>
      </c>
      <c r="F230" s="226">
        <f>IFERROR(VLOOKUP(E230,Hoja1!$A$86:$E$377,5,FALSE),)</f>
        <v>0</v>
      </c>
      <c r="G230" s="245"/>
      <c r="H230" s="208"/>
      <c r="I230" s="343"/>
      <c r="J230" s="208"/>
      <c r="K230" s="208"/>
      <c r="L230" s="208"/>
    </row>
    <row r="231" spans="1:12" x14ac:dyDescent="0.25">
      <c r="A231" s="106"/>
      <c r="B231" s="106"/>
      <c r="C231" s="350"/>
      <c r="D231" s="103"/>
      <c r="E231" s="208"/>
      <c r="F231" s="226"/>
      <c r="G231" s="245"/>
      <c r="H231" s="208"/>
      <c r="I231" s="343"/>
      <c r="J231" s="208"/>
      <c r="K231" s="208"/>
      <c r="L231" s="208"/>
    </row>
    <row r="232" spans="1:12" x14ac:dyDescent="0.25">
      <c r="A232" s="106"/>
      <c r="B232" s="106"/>
      <c r="C232" s="350"/>
      <c r="D232" s="121" t="s">
        <v>153</v>
      </c>
      <c r="E232" s="209" t="s">
        <v>489</v>
      </c>
      <c r="F232" s="226">
        <f>IFERROR(VLOOKUP(E232,Hoja1!$A$86:$E$377,5,FALSE),)</f>
        <v>39000</v>
      </c>
      <c r="G232" s="245">
        <f>SUM(F232:F233)</f>
        <v>39000</v>
      </c>
      <c r="H232" s="105"/>
    </row>
    <row r="233" spans="1:12" x14ac:dyDescent="0.25">
      <c r="A233" s="106"/>
      <c r="B233" s="106"/>
      <c r="C233" s="350"/>
      <c r="D233" s="121"/>
      <c r="E233" s="256" t="s">
        <v>517</v>
      </c>
      <c r="F233" s="226">
        <f>IFERROR(VLOOKUP(E233,Hoja1!$A$86:$E$377,5,FALSE),)</f>
        <v>0</v>
      </c>
      <c r="G233" s="245"/>
      <c r="H233" s="105"/>
    </row>
    <row r="234" spans="1:12" x14ac:dyDescent="0.25">
      <c r="A234" s="106"/>
      <c r="B234" s="106"/>
      <c r="C234" s="350"/>
      <c r="D234" s="103" t="s">
        <v>154</v>
      </c>
      <c r="E234" s="103"/>
      <c r="F234" s="226"/>
      <c r="G234" s="245">
        <f>+F234</f>
        <v>0</v>
      </c>
      <c r="H234" s="105"/>
    </row>
    <row r="235" spans="1:12" x14ac:dyDescent="0.25">
      <c r="A235" s="106"/>
      <c r="B235" s="106"/>
      <c r="C235" s="350"/>
      <c r="D235" s="99" t="s">
        <v>237</v>
      </c>
      <c r="E235" s="99"/>
      <c r="F235" s="226"/>
      <c r="G235" s="245">
        <f>+F235</f>
        <v>0</v>
      </c>
      <c r="H235" s="105"/>
    </row>
    <row r="236" spans="1:12" x14ac:dyDescent="0.25">
      <c r="A236" s="106"/>
      <c r="B236" s="106"/>
      <c r="C236" s="350"/>
      <c r="D236" s="99" t="s">
        <v>241</v>
      </c>
      <c r="E236" s="208" t="s">
        <v>492</v>
      </c>
      <c r="F236" s="226">
        <f>IFERROR(VLOOKUP(E236,Hoja1!$A$86:$E$377,5,FALSE),)</f>
        <v>0</v>
      </c>
      <c r="G236" s="245">
        <f>+SUM(F236:F239)</f>
        <v>0</v>
      </c>
      <c r="H236" s="208"/>
      <c r="I236" s="343"/>
    </row>
    <row r="237" spans="1:12" x14ac:dyDescent="0.25">
      <c r="A237" s="106"/>
      <c r="B237" s="106"/>
      <c r="C237" s="350"/>
      <c r="D237" s="99"/>
      <c r="E237" s="225" t="s">
        <v>589</v>
      </c>
      <c r="F237" s="226">
        <f>IFERROR(VLOOKUP(E237,Hoja1!$A$86:$E$377,5,FALSE),)</f>
        <v>0</v>
      </c>
      <c r="G237" s="245"/>
      <c r="H237" s="208"/>
      <c r="I237" s="343"/>
    </row>
    <row r="238" spans="1:12" ht="12.75" customHeight="1" x14ac:dyDescent="0.25">
      <c r="A238" s="106"/>
      <c r="B238" s="106"/>
      <c r="C238" s="350"/>
      <c r="D238" s="99"/>
      <c r="E238" s="225" t="s">
        <v>590</v>
      </c>
      <c r="F238" s="226">
        <f>IFERROR(VLOOKUP(E238,Hoja1!$A$86:$E$377,5,FALSE),)</f>
        <v>0</v>
      </c>
      <c r="G238" s="245"/>
      <c r="H238" s="208"/>
      <c r="I238" s="343"/>
    </row>
    <row r="239" spans="1:12" x14ac:dyDescent="0.25">
      <c r="A239" s="106"/>
      <c r="B239" s="106"/>
      <c r="C239" s="350"/>
      <c r="D239" s="99"/>
      <c r="E239" s="208"/>
      <c r="F239" s="226">
        <f>IFERROR(VLOOKUP(E239,Hoja1!$A$86:$E$353,5,FALSE),)</f>
        <v>0</v>
      </c>
      <c r="G239" s="245"/>
      <c r="H239" s="208"/>
      <c r="I239" s="343"/>
    </row>
    <row r="240" spans="1:12" x14ac:dyDescent="0.25">
      <c r="A240" s="106"/>
      <c r="B240" s="106"/>
      <c r="C240" s="350"/>
      <c r="D240" s="99" t="s">
        <v>248</v>
      </c>
      <c r="E240" s="99"/>
      <c r="F240" s="226"/>
      <c r="G240" s="245">
        <f>+F240</f>
        <v>0</v>
      </c>
      <c r="H240" s="105"/>
    </row>
    <row r="241" spans="1:9" x14ac:dyDescent="0.25">
      <c r="A241" s="106"/>
      <c r="B241" s="106"/>
      <c r="C241" s="350"/>
      <c r="D241" s="99" t="s">
        <v>260</v>
      </c>
      <c r="E241" s="99" t="s">
        <v>658</v>
      </c>
      <c r="F241" s="226">
        <f>IFERROR(VLOOKUP(E241,Hoja1!$A$86:$E$377,5,FALSE),)</f>
        <v>0</v>
      </c>
      <c r="G241" s="245">
        <f>SUM(F241:F244)</f>
        <v>0</v>
      </c>
      <c r="H241" s="105"/>
    </row>
    <row r="242" spans="1:9" x14ac:dyDescent="0.25">
      <c r="A242" s="106"/>
      <c r="B242" s="106"/>
      <c r="C242" s="350"/>
      <c r="D242" s="99"/>
      <c r="E242" s="256" t="s">
        <v>672</v>
      </c>
      <c r="F242" s="226">
        <f>IFERROR(VLOOKUP(E242,Hoja1!$A$86:$E$377,5,FALSE),)</f>
        <v>0</v>
      </c>
      <c r="G242" s="245"/>
      <c r="H242" s="105"/>
    </row>
    <row r="243" spans="1:9" x14ac:dyDescent="0.25">
      <c r="A243" s="106"/>
      <c r="B243" s="106"/>
      <c r="C243" s="350"/>
      <c r="D243" s="99"/>
      <c r="E243" s="250" t="s">
        <v>727</v>
      </c>
      <c r="F243" s="226">
        <f>IFERROR(VLOOKUP(E243,Hoja1!$A$86:$E$377,5,FALSE),)</f>
        <v>0</v>
      </c>
      <c r="G243" s="245"/>
      <c r="H243" s="105"/>
    </row>
    <row r="244" spans="1:9" x14ac:dyDescent="0.25">
      <c r="A244" s="106"/>
      <c r="B244" s="106"/>
      <c r="C244" s="350"/>
      <c r="D244" s="99"/>
      <c r="E244" s="250" t="s">
        <v>756</v>
      </c>
      <c r="F244" s="226">
        <f>IFERROR(VLOOKUP(E244,Hoja1!$A$86:$E$377,5,FALSE),)</f>
        <v>0</v>
      </c>
      <c r="G244" s="245"/>
      <c r="H244" s="105"/>
    </row>
    <row r="245" spans="1:9" x14ac:dyDescent="0.25">
      <c r="A245" s="106"/>
      <c r="B245" s="106"/>
      <c r="C245" s="350"/>
      <c r="D245" s="99" t="s">
        <v>307</v>
      </c>
      <c r="E245" s="256" t="s">
        <v>494</v>
      </c>
      <c r="F245" s="226">
        <f>IFERROR(VLOOKUP(E245,Hoja1!$A$86:$E$377,5,FALSE),)</f>
        <v>101825.60000000001</v>
      </c>
      <c r="G245" s="303">
        <f>+F245+F246</f>
        <v>101825.60000000001</v>
      </c>
      <c r="H245" s="208"/>
      <c r="I245" s="343"/>
    </row>
    <row r="246" spans="1:9" x14ac:dyDescent="0.25">
      <c r="A246" s="106"/>
      <c r="B246" s="106"/>
      <c r="C246" s="350"/>
      <c r="D246" s="99"/>
      <c r="E246" s="256" t="s">
        <v>484</v>
      </c>
      <c r="F246" s="226">
        <f>IFERROR(VLOOKUP(E246,Hoja1!$A$86:$E$377,5,FALSE),)</f>
        <v>0</v>
      </c>
      <c r="G246" s="245"/>
      <c r="H246" s="256"/>
      <c r="I246" s="343"/>
    </row>
    <row r="247" spans="1:9" x14ac:dyDescent="0.25">
      <c r="A247" s="106"/>
      <c r="B247" s="106"/>
      <c r="C247" s="350"/>
      <c r="D247" s="99" t="s">
        <v>308</v>
      </c>
      <c r="E247" s="99"/>
      <c r="F247" s="226"/>
      <c r="G247" s="245">
        <f>+F247</f>
        <v>0</v>
      </c>
      <c r="H247" s="105"/>
    </row>
    <row r="248" spans="1:9" x14ac:dyDescent="0.25">
      <c r="A248" s="106"/>
      <c r="B248" s="106"/>
      <c r="C248" s="350"/>
      <c r="D248" s="99" t="s">
        <v>300</v>
      </c>
      <c r="E248" s="256" t="s">
        <v>518</v>
      </c>
      <c r="F248" s="226">
        <f>IFERROR(VLOOKUP(E248,Hoja1!$A$86:$E$377,5,FALSE),)</f>
        <v>0</v>
      </c>
      <c r="G248" s="303">
        <f>SUM(F248:F257)</f>
        <v>149263.10999999999</v>
      </c>
      <c r="H248" s="105"/>
    </row>
    <row r="249" spans="1:9" x14ac:dyDescent="0.25">
      <c r="A249" s="106"/>
      <c r="B249" s="106"/>
      <c r="C249" s="350"/>
      <c r="D249" s="99"/>
      <c r="E249" s="225" t="s">
        <v>580</v>
      </c>
      <c r="F249" s="226">
        <f>IFERROR(VLOOKUP(E249,Hoja1!$A$86:$E$377,5,FALSE),)</f>
        <v>0</v>
      </c>
      <c r="G249" s="245"/>
      <c r="H249" s="105"/>
    </row>
    <row r="250" spans="1:9" x14ac:dyDescent="0.25">
      <c r="A250" s="106"/>
      <c r="B250" s="106"/>
      <c r="C250" s="350"/>
      <c r="D250" s="99"/>
      <c r="E250" s="225" t="s">
        <v>581</v>
      </c>
      <c r="F250" s="226">
        <f>IFERROR(VLOOKUP(E250,Hoja1!$A$86:$E$377,5,FALSE),)</f>
        <v>98618.72</v>
      </c>
      <c r="G250" s="245"/>
      <c r="H250" s="105"/>
    </row>
    <row r="251" spans="1:9" x14ac:dyDescent="0.25">
      <c r="A251" s="106"/>
      <c r="B251" s="106"/>
      <c r="C251" s="350"/>
      <c r="D251" s="99"/>
      <c r="E251" s="256" t="s">
        <v>598</v>
      </c>
      <c r="F251" s="226">
        <f>IFERROR(VLOOKUP(E251,Hoja1!$A$86:$E$377,5,FALSE),)</f>
        <v>0</v>
      </c>
      <c r="G251" s="245"/>
      <c r="H251" s="105"/>
    </row>
    <row r="252" spans="1:9" x14ac:dyDescent="0.25">
      <c r="A252" s="106"/>
      <c r="B252" s="106"/>
      <c r="C252" s="350"/>
      <c r="D252" s="99"/>
      <c r="E252" s="256" t="s">
        <v>404</v>
      </c>
      <c r="F252" s="226">
        <f>IFERROR(VLOOKUP(E252,Hoja1!$A$86:$E$377,5,FALSE),)</f>
        <v>50644.39</v>
      </c>
      <c r="G252" s="245"/>
      <c r="H252" s="105"/>
    </row>
    <row r="253" spans="1:9" x14ac:dyDescent="0.25">
      <c r="A253" s="106"/>
      <c r="B253" s="106"/>
      <c r="C253" s="350"/>
      <c r="D253" s="99"/>
      <c r="E253" s="256" t="s">
        <v>720</v>
      </c>
      <c r="F253" s="226">
        <f>IFERROR(VLOOKUP(E253,Hoja1!$A$86:$E$377,5,FALSE),)</f>
        <v>0</v>
      </c>
      <c r="G253" s="245"/>
      <c r="H253" s="105"/>
    </row>
    <row r="254" spans="1:9" x14ac:dyDescent="0.25">
      <c r="A254" s="106"/>
      <c r="B254" s="106"/>
      <c r="C254" s="350"/>
      <c r="D254" s="99"/>
      <c r="E254" s="256" t="s">
        <v>405</v>
      </c>
      <c r="F254" s="226">
        <f>IFERROR(VLOOKUP(E254,Hoja1!$A$86:$E$377,5,FALSE),)</f>
        <v>0</v>
      </c>
      <c r="G254" s="245"/>
      <c r="H254" s="105"/>
    </row>
    <row r="255" spans="1:9" x14ac:dyDescent="0.25">
      <c r="A255" s="106"/>
      <c r="B255" s="106"/>
      <c r="C255" s="350"/>
      <c r="D255" s="99"/>
      <c r="E255" s="256" t="s">
        <v>467</v>
      </c>
      <c r="F255" s="226">
        <f>IFERROR(VLOOKUP(E255,Hoja1!$A$86:$E$377,5,FALSE),)</f>
        <v>0</v>
      </c>
      <c r="G255" s="245"/>
      <c r="H255" s="256"/>
      <c r="I255" s="343"/>
    </row>
    <row r="256" spans="1:9" x14ac:dyDescent="0.25">
      <c r="A256" s="106"/>
      <c r="B256" s="106"/>
      <c r="C256" s="350"/>
      <c r="D256" s="99"/>
      <c r="E256" s="256" t="s">
        <v>613</v>
      </c>
      <c r="F256" s="226">
        <f>IFERROR(VLOOKUP(E256,Hoja1!$A$86:$E$377,5,FALSE),)</f>
        <v>0</v>
      </c>
      <c r="G256" s="245"/>
      <c r="H256" s="256"/>
      <c r="I256" s="343"/>
    </row>
    <row r="257" spans="1:11" x14ac:dyDescent="0.25">
      <c r="A257" s="106"/>
      <c r="B257" s="106"/>
      <c r="C257" s="350"/>
      <c r="D257" s="99"/>
      <c r="E257" s="256" t="s">
        <v>629</v>
      </c>
      <c r="F257" s="226">
        <f>IFERROR(VLOOKUP(E257,Hoja1!$A$86:$E$377,5,FALSE),)</f>
        <v>0</v>
      </c>
      <c r="G257" s="245"/>
      <c r="H257" s="256"/>
      <c r="I257" s="343"/>
    </row>
    <row r="258" spans="1:11" x14ac:dyDescent="0.25">
      <c r="A258" s="106"/>
      <c r="B258" s="106"/>
      <c r="C258" s="350"/>
      <c r="D258" s="257" t="s">
        <v>356</v>
      </c>
      <c r="E258" s="203"/>
      <c r="F258" s="226"/>
      <c r="G258" s="245">
        <f>+F258</f>
        <v>0</v>
      </c>
      <c r="H258" s="105"/>
    </row>
    <row r="259" spans="1:11" x14ac:dyDescent="0.25">
      <c r="A259" s="106"/>
      <c r="B259" s="106"/>
      <c r="C259" s="350"/>
      <c r="D259" s="99" t="s">
        <v>301</v>
      </c>
      <c r="E259" s="203"/>
      <c r="F259" s="226"/>
      <c r="G259" s="245">
        <f>SUM(F259:F264)</f>
        <v>0</v>
      </c>
      <c r="H259" s="105"/>
    </row>
    <row r="260" spans="1:11" x14ac:dyDescent="0.25">
      <c r="A260" s="106"/>
      <c r="B260" s="106"/>
      <c r="C260" s="350"/>
      <c r="D260" s="99"/>
      <c r="E260" s="258" t="s">
        <v>529</v>
      </c>
      <c r="F260" s="226">
        <f>IFERROR(VLOOKUP(E260,Hoja1!$A$86:$E$377,5,FALSE),)</f>
        <v>0</v>
      </c>
      <c r="G260" s="245"/>
      <c r="H260" s="105"/>
    </row>
    <row r="261" spans="1:11" x14ac:dyDescent="0.25">
      <c r="A261" s="106"/>
      <c r="B261" s="106"/>
      <c r="C261" s="350"/>
      <c r="D261" s="99"/>
      <c r="E261" s="256" t="s">
        <v>406</v>
      </c>
      <c r="F261" s="226">
        <f>IFERROR(VLOOKUP(E261,Hoja1!$A$86:$E$377,5,FALSE),)</f>
        <v>0</v>
      </c>
      <c r="G261" s="245"/>
      <c r="H261" s="105"/>
    </row>
    <row r="262" spans="1:11" x14ac:dyDescent="0.25">
      <c r="A262" s="106"/>
      <c r="B262" s="106"/>
      <c r="C262" s="350"/>
      <c r="D262" s="99"/>
      <c r="E262" s="256" t="s">
        <v>407</v>
      </c>
      <c r="F262" s="226">
        <f>IFERROR(VLOOKUP(E262,Hoja1!$A$86:$E$377,5,FALSE),)</f>
        <v>0</v>
      </c>
      <c r="G262" s="245"/>
      <c r="H262" s="105"/>
    </row>
    <row r="263" spans="1:11" ht="12" customHeight="1" x14ac:dyDescent="0.25">
      <c r="A263" s="106"/>
      <c r="B263" s="106"/>
      <c r="C263" s="350"/>
      <c r="D263" s="99"/>
      <c r="E263" s="256" t="s">
        <v>448</v>
      </c>
      <c r="F263" s="226">
        <f>IFERROR(VLOOKUP(E263,Hoja1!$A$86:$E$377,5,FALSE),)</f>
        <v>0</v>
      </c>
      <c r="G263" s="245"/>
      <c r="H263" s="105"/>
    </row>
    <row r="264" spans="1:11" ht="12" customHeight="1" x14ac:dyDescent="0.25">
      <c r="A264" s="106"/>
      <c r="B264" s="106"/>
      <c r="C264" s="350"/>
      <c r="D264" s="99"/>
      <c r="E264" s="225" t="s">
        <v>588</v>
      </c>
      <c r="F264" s="226">
        <f>IFERROR(VLOOKUP(E264,Hoja1!$A$86:$E$377,5,FALSE),)</f>
        <v>0</v>
      </c>
      <c r="G264" s="245"/>
      <c r="H264" s="105"/>
    </row>
    <row r="265" spans="1:11" ht="12" customHeight="1" x14ac:dyDescent="0.25">
      <c r="A265" s="106"/>
      <c r="B265" s="106"/>
      <c r="C265" s="350"/>
      <c r="D265" s="254" t="s">
        <v>345</v>
      </c>
      <c r="E265" s="203"/>
      <c r="F265" s="226"/>
      <c r="G265" s="245">
        <f>+F265</f>
        <v>0</v>
      </c>
      <c r="H265" s="145"/>
      <c r="J265" s="140"/>
      <c r="K265" s="140"/>
    </row>
    <row r="266" spans="1:11" x14ac:dyDescent="0.25">
      <c r="A266" s="106"/>
      <c r="B266" s="106"/>
      <c r="C266" s="350"/>
      <c r="D266" s="103" t="s">
        <v>155</v>
      </c>
      <c r="E266" s="256" t="s">
        <v>487</v>
      </c>
      <c r="F266" s="226">
        <f>IFERROR(VLOOKUP(E266,Hoja1!$A$86:$E$377,5,FALSE),)</f>
        <v>0</v>
      </c>
      <c r="G266" s="303">
        <f>SUM(F266:F270)</f>
        <v>9664883.0700000003</v>
      </c>
      <c r="H266" s="105"/>
      <c r="J266" s="182"/>
    </row>
    <row r="267" spans="1:11" x14ac:dyDescent="0.25">
      <c r="A267" s="106"/>
      <c r="B267" s="106"/>
      <c r="C267" s="350"/>
      <c r="D267" s="103"/>
      <c r="E267" s="256" t="s">
        <v>408</v>
      </c>
      <c r="F267" s="226">
        <f>IFERROR(VLOOKUP(E267,Hoja1!$A$86:$E$377,5,FALSE),)</f>
        <v>9612863.0700000003</v>
      </c>
      <c r="G267" s="245"/>
      <c r="H267" s="105"/>
      <c r="J267" s="182"/>
    </row>
    <row r="268" spans="1:11" x14ac:dyDescent="0.25">
      <c r="A268" s="106"/>
      <c r="B268" s="106"/>
      <c r="C268" s="350"/>
      <c r="D268" s="103"/>
      <c r="E268" s="256" t="s">
        <v>797</v>
      </c>
      <c r="F268" s="226">
        <f>IFERROR(VLOOKUP(E268,Hoja1!$A$86:$E$377,5,FALSE),)</f>
        <v>52020</v>
      </c>
      <c r="G268" s="245"/>
      <c r="H268" s="105"/>
      <c r="J268" s="182"/>
    </row>
    <row r="269" spans="1:11" x14ac:dyDescent="0.25">
      <c r="A269" s="106"/>
      <c r="B269" s="106"/>
      <c r="C269" s="350"/>
      <c r="D269" s="103"/>
      <c r="E269" s="256" t="s">
        <v>409</v>
      </c>
      <c r="F269" s="226">
        <f>IFERROR(VLOOKUP(E269,Hoja1!$A$86:$E$377,5,FALSE),)</f>
        <v>0</v>
      </c>
      <c r="G269" s="245"/>
      <c r="H269" s="105"/>
      <c r="J269" s="182"/>
    </row>
    <row r="270" spans="1:11" x14ac:dyDescent="0.25">
      <c r="A270" s="106"/>
      <c r="B270" s="106"/>
      <c r="C270" s="350"/>
      <c r="D270" s="103"/>
      <c r="E270" s="256" t="s">
        <v>795</v>
      </c>
      <c r="F270" s="226">
        <f>IFERROR(VLOOKUP(E270,Hoja1!$A$86:$E$377,5,FALSE),)</f>
        <v>0</v>
      </c>
      <c r="G270" s="245"/>
      <c r="H270" s="105"/>
      <c r="J270" s="182"/>
    </row>
    <row r="271" spans="1:11" ht="14.4" x14ac:dyDescent="0.3">
      <c r="D271" s="99" t="s">
        <v>371</v>
      </c>
      <c r="E271" s="203"/>
      <c r="F271" s="226"/>
      <c r="G271" s="303">
        <f>SUM(F271:F273)</f>
        <v>22769032.280000001</v>
      </c>
      <c r="H271" s="183"/>
      <c r="I271" s="347"/>
      <c r="J271" s="184"/>
      <c r="K271" s="185"/>
    </row>
    <row r="272" spans="1:11" ht="14.4" x14ac:dyDescent="0.3">
      <c r="D272" s="368"/>
      <c r="E272" s="256" t="s">
        <v>796</v>
      </c>
      <c r="F272" s="226">
        <f>IFERROR(VLOOKUP(E272,Hoja1!$A$86:$E$377,5,FALSE),)</f>
        <v>0</v>
      </c>
      <c r="G272" s="245"/>
      <c r="H272" s="183"/>
      <c r="I272" s="347"/>
      <c r="J272" s="184"/>
      <c r="K272" s="185"/>
    </row>
    <row r="273" spans="4:11" ht="14.4" x14ac:dyDescent="0.3">
      <c r="D273" s="368"/>
      <c r="E273" s="256" t="s">
        <v>410</v>
      </c>
      <c r="F273" s="226">
        <f>IFERROR(VLOOKUP(E273,Hoja1!$A$86:$E$377,5,FALSE),)</f>
        <v>22769032.280000001</v>
      </c>
      <c r="G273" s="245"/>
      <c r="H273" s="183"/>
      <c r="I273" s="343"/>
      <c r="J273" s="184"/>
      <c r="K273" s="185"/>
    </row>
    <row r="274" spans="4:11" x14ac:dyDescent="0.25">
      <c r="D274" s="99" t="s">
        <v>309</v>
      </c>
      <c r="E274" s="208" t="s">
        <v>506</v>
      </c>
      <c r="F274" s="226">
        <f>IFERROR(VLOOKUP(E274,Hoja1!$A$86:$E$377,5,FALSE),)</f>
        <v>0</v>
      </c>
      <c r="G274" s="245">
        <f>SUM(F274:F281)</f>
        <v>0</v>
      </c>
      <c r="H274" s="105"/>
    </row>
    <row r="275" spans="4:11" x14ac:dyDescent="0.25">
      <c r="D275" s="99"/>
      <c r="E275" s="256" t="s">
        <v>411</v>
      </c>
      <c r="F275" s="226">
        <f>IFERROR(VLOOKUP(E275,Hoja1!$A$86:$E$377,5,FALSE),)</f>
        <v>0</v>
      </c>
      <c r="G275" s="245"/>
      <c r="H275" s="105"/>
    </row>
    <row r="276" spans="4:11" x14ac:dyDescent="0.25">
      <c r="D276" s="99"/>
      <c r="E276" s="256" t="s">
        <v>802</v>
      </c>
      <c r="F276" s="226">
        <f>IFERROR(VLOOKUP(E276,Hoja1!$A$86:$E$377,5,FALSE),)</f>
        <v>0</v>
      </c>
      <c r="G276" s="245"/>
      <c r="H276" s="105"/>
    </row>
    <row r="277" spans="4:11" x14ac:dyDescent="0.25">
      <c r="D277" s="99"/>
      <c r="E277" s="256" t="s">
        <v>550</v>
      </c>
      <c r="F277" s="226">
        <f>IFERROR(VLOOKUP(E277,Hoja1!$A$86:$E$377,5,FALSE),)</f>
        <v>0</v>
      </c>
      <c r="G277" s="245"/>
      <c r="H277" s="105"/>
    </row>
    <row r="278" spans="4:11" x14ac:dyDescent="0.25">
      <c r="D278" s="99"/>
      <c r="E278" s="250" t="s">
        <v>729</v>
      </c>
      <c r="F278" s="226">
        <f>IFERROR(VLOOKUP(E278,Hoja1!$A$86:$E$377,5,FALSE),)</f>
        <v>0</v>
      </c>
      <c r="G278" s="245"/>
      <c r="H278" s="105"/>
    </row>
    <row r="279" spans="4:11" x14ac:dyDescent="0.25">
      <c r="D279" s="99"/>
      <c r="E279" s="250" t="s">
        <v>726</v>
      </c>
      <c r="F279" s="226">
        <f>IFERROR(VLOOKUP(E279,Hoja1!$A$86:$E$377,5,FALSE),)</f>
        <v>0</v>
      </c>
      <c r="G279" s="245"/>
      <c r="H279" s="105"/>
    </row>
    <row r="280" spans="4:11" x14ac:dyDescent="0.25">
      <c r="D280" s="99"/>
      <c r="E280" s="250" t="s">
        <v>779</v>
      </c>
      <c r="F280" s="226">
        <f>IFERROR(VLOOKUP(E280,Hoja1!$A$86:$E$377,5,FALSE),)</f>
        <v>0</v>
      </c>
      <c r="G280" s="245"/>
      <c r="H280" s="105"/>
    </row>
    <row r="281" spans="4:11" x14ac:dyDescent="0.25">
      <c r="D281" s="99"/>
      <c r="E281" s="258" t="s">
        <v>771</v>
      </c>
      <c r="F281" s="226">
        <f>IFERROR(VLOOKUP(E281,Hoja1!$A$86:$E$377,5,FALSE),)</f>
        <v>0</v>
      </c>
      <c r="G281" s="245"/>
      <c r="H281" s="105"/>
    </row>
    <row r="282" spans="4:11" ht="12.6" customHeight="1" x14ac:dyDescent="0.25">
      <c r="D282" s="304" t="s">
        <v>714</v>
      </c>
      <c r="E282" s="305" t="s">
        <v>714</v>
      </c>
      <c r="F282" s="306">
        <f>+Hoja1!E206+Hoja1!E207</f>
        <v>62810190.490000002</v>
      </c>
      <c r="G282" s="307">
        <f>+F282</f>
        <v>62810190.490000002</v>
      </c>
      <c r="H282" s="267" t="s">
        <v>834</v>
      </c>
      <c r="J282" s="140"/>
      <c r="K282" s="140"/>
    </row>
    <row r="283" spans="4:11" x14ac:dyDescent="0.25">
      <c r="D283" s="254" t="s">
        <v>316</v>
      </c>
      <c r="E283" s="254"/>
      <c r="F283" s="226">
        <f>IFERROR(VLOOKUP(E283,Hoja1!$A$86:$E$377,5,FALSE),)</f>
        <v>0</v>
      </c>
      <c r="G283" s="245">
        <f>+F283</f>
        <v>0</v>
      </c>
      <c r="H283" s="105"/>
    </row>
    <row r="284" spans="4:11" x14ac:dyDescent="0.25">
      <c r="D284" s="99" t="s">
        <v>295</v>
      </c>
      <c r="E284" s="99"/>
      <c r="F284" s="226">
        <f>IFERROR(VLOOKUP(D284,Hoja1!$A$86:$E$353,5,FALSE),)</f>
        <v>0</v>
      </c>
      <c r="G284" s="245">
        <f>+F284</f>
        <v>0</v>
      </c>
      <c r="H284" s="105"/>
    </row>
    <row r="285" spans="4:11" x14ac:dyDescent="0.25">
      <c r="D285" s="137" t="s">
        <v>334</v>
      </c>
      <c r="E285" s="137"/>
      <c r="F285" s="226">
        <f>IFERROR(VLOOKUP(D285,Hoja1!$A$86:$E$353,5,FALSE),)</f>
        <v>0</v>
      </c>
      <c r="G285" s="245">
        <f>+F285</f>
        <v>0</v>
      </c>
      <c r="H285" s="186"/>
    </row>
    <row r="286" spans="4:11" x14ac:dyDescent="0.25">
      <c r="D286" s="257" t="s">
        <v>347</v>
      </c>
      <c r="E286" s="257"/>
      <c r="F286" s="226"/>
      <c r="G286" s="245">
        <f>SUM(F286:F294)</f>
        <v>0</v>
      </c>
      <c r="H286" s="105"/>
    </row>
    <row r="287" spans="4:11" ht="13.5" customHeight="1" x14ac:dyDescent="0.25">
      <c r="D287" s="257"/>
      <c r="E287" s="256" t="s">
        <v>480</v>
      </c>
      <c r="F287" s="226">
        <f>IFERROR(VLOOKUP(E287,Hoja1!$A$86:$E$377,5,FALSE),)</f>
        <v>0</v>
      </c>
      <c r="G287" s="245"/>
      <c r="H287" s="105"/>
    </row>
    <row r="288" spans="4:11" ht="13.5" customHeight="1" x14ac:dyDescent="0.25">
      <c r="D288" s="257"/>
      <c r="E288" s="256" t="s">
        <v>785</v>
      </c>
      <c r="F288" s="226">
        <f>IFERROR(VLOOKUP(E288,Hoja1!$A$86:$E$377,5,FALSE),)</f>
        <v>0</v>
      </c>
      <c r="G288" s="245"/>
      <c r="H288" s="105"/>
    </row>
    <row r="289" spans="4:13" ht="13.5" customHeight="1" x14ac:dyDescent="0.25">
      <c r="D289" s="257"/>
      <c r="E289" s="257" t="s">
        <v>474</v>
      </c>
      <c r="F289" s="226">
        <f>IFERROR(VLOOKUP(E289,Hoja1!$A$86:$E$377,5,FALSE),)</f>
        <v>0</v>
      </c>
      <c r="G289" s="245"/>
      <c r="H289" s="105"/>
    </row>
    <row r="290" spans="4:13" ht="13.5" customHeight="1" x14ac:dyDescent="0.25">
      <c r="D290" s="257"/>
      <c r="E290" s="257" t="s">
        <v>661</v>
      </c>
      <c r="F290" s="226">
        <f>IFERROR(VLOOKUP(E290,Hoja1!$A$86:$E$377,5,FALSE),)</f>
        <v>0</v>
      </c>
      <c r="G290" s="245"/>
      <c r="H290" s="105"/>
    </row>
    <row r="291" spans="4:13" ht="13.5" customHeight="1" x14ac:dyDescent="0.25">
      <c r="D291" s="257"/>
      <c r="E291" s="257" t="s">
        <v>675</v>
      </c>
      <c r="F291" s="226">
        <f>IFERROR(VLOOKUP(E291,Hoja1!$A$86:$E$377,5,FALSE),)</f>
        <v>0</v>
      </c>
      <c r="G291" s="245"/>
      <c r="H291" s="105"/>
    </row>
    <row r="292" spans="4:13" ht="13.5" customHeight="1" x14ac:dyDescent="0.25">
      <c r="D292" s="257"/>
      <c r="E292" s="257" t="s">
        <v>753</v>
      </c>
      <c r="F292" s="226">
        <f>IFERROR(VLOOKUP(E292,Hoja1!$A$86:$E$377,5,FALSE),)</f>
        <v>0</v>
      </c>
      <c r="G292" s="245"/>
      <c r="H292" s="105"/>
    </row>
    <row r="293" spans="4:13" ht="13.5" customHeight="1" x14ac:dyDescent="0.25">
      <c r="D293" s="257"/>
      <c r="E293" s="256" t="s">
        <v>734</v>
      </c>
      <c r="F293" s="226">
        <f>IFERROR(VLOOKUP(E293,Hoja1!$A$86:$E$377,5,FALSE),)</f>
        <v>0</v>
      </c>
      <c r="G293" s="245"/>
      <c r="H293" s="105"/>
    </row>
    <row r="294" spans="4:13" ht="13.5" customHeight="1" x14ac:dyDescent="0.25">
      <c r="D294" s="257"/>
      <c r="E294" s="257" t="s">
        <v>681</v>
      </c>
      <c r="F294" s="226">
        <f>IFERROR(VLOOKUP(E294,Hoja1!$A$86:$E$377,5,FALSE),)</f>
        <v>0</v>
      </c>
      <c r="G294" s="245"/>
      <c r="H294" s="248"/>
      <c r="J294" s="249"/>
      <c r="K294" s="249"/>
    </row>
    <row r="295" spans="4:13" x14ac:dyDescent="0.25">
      <c r="D295" s="99" t="s">
        <v>255</v>
      </c>
      <c r="E295" s="99"/>
      <c r="F295" s="226"/>
      <c r="G295" s="245">
        <f>+F295</f>
        <v>0</v>
      </c>
      <c r="H295" s="105"/>
    </row>
    <row r="296" spans="4:13" x14ac:dyDescent="0.25">
      <c r="D296" s="103" t="s">
        <v>156</v>
      </c>
      <c r="E296" s="208" t="s">
        <v>496</v>
      </c>
      <c r="F296" s="226">
        <f>IFERROR(VLOOKUP(E296,Hoja1!$A$86:$E$377,5,FALSE),)</f>
        <v>0</v>
      </c>
      <c r="G296" s="303">
        <f>SUM(F296:F303)</f>
        <v>832331.19000000006</v>
      </c>
      <c r="H296" s="208"/>
      <c r="I296" s="343"/>
      <c r="J296" s="208"/>
      <c r="K296" s="208"/>
      <c r="L296" s="208"/>
    </row>
    <row r="297" spans="4:13" x14ac:dyDescent="0.25">
      <c r="D297" s="103"/>
      <c r="E297" s="256" t="s">
        <v>412</v>
      </c>
      <c r="F297" s="226">
        <f>IFERROR(VLOOKUP(E297,Hoja1!$A$86:$E$377,5,FALSE),)</f>
        <v>832331.19000000006</v>
      </c>
      <c r="G297" s="245"/>
      <c r="H297" s="105"/>
    </row>
    <row r="298" spans="4:13" x14ac:dyDescent="0.25">
      <c r="D298" s="103"/>
      <c r="E298" s="256" t="s">
        <v>453</v>
      </c>
      <c r="F298" s="226">
        <f>IFERROR(VLOOKUP(E298,Hoja1!$A$86:$E$377,5,FALSE),)</f>
        <v>0</v>
      </c>
      <c r="G298" s="245"/>
      <c r="H298" s="105"/>
    </row>
    <row r="299" spans="4:13" x14ac:dyDescent="0.25">
      <c r="D299" s="103"/>
      <c r="E299" s="208" t="s">
        <v>511</v>
      </c>
      <c r="F299" s="226">
        <f>IFERROR(VLOOKUP(E299,Hoja1!$A$86:$E$377,5,FALSE),)</f>
        <v>0</v>
      </c>
      <c r="G299" s="245"/>
      <c r="H299" s="105"/>
      <c r="I299" s="343"/>
      <c r="J299" s="208"/>
      <c r="K299" s="208"/>
      <c r="L299" s="208"/>
      <c r="M299" s="208"/>
    </row>
    <row r="300" spans="4:13" x14ac:dyDescent="0.25">
      <c r="D300" s="103"/>
      <c r="E300" s="256" t="s">
        <v>540</v>
      </c>
      <c r="F300" s="226">
        <f>IFERROR(VLOOKUP(E300,Hoja1!$A$86:$E$377,5,FALSE),)</f>
        <v>0</v>
      </c>
      <c r="G300" s="245"/>
      <c r="H300" s="105"/>
      <c r="I300" s="343"/>
      <c r="J300" s="208"/>
      <c r="K300" s="208"/>
      <c r="L300" s="208"/>
      <c r="M300" s="208"/>
    </row>
    <row r="301" spans="4:13" x14ac:dyDescent="0.25">
      <c r="D301" s="103"/>
      <c r="E301" s="228" t="s">
        <v>554</v>
      </c>
      <c r="F301" s="226">
        <f>IFERROR(VLOOKUP(E301,Hoja1!$A$86:$E$377,5,FALSE),)</f>
        <v>0</v>
      </c>
      <c r="G301" s="245"/>
      <c r="H301" s="105"/>
      <c r="I301" s="343"/>
      <c r="J301" s="208"/>
      <c r="K301" s="208"/>
      <c r="L301" s="208"/>
      <c r="M301" s="208"/>
    </row>
    <row r="302" spans="4:13" x14ac:dyDescent="0.25">
      <c r="D302" s="103"/>
      <c r="E302" s="256" t="s">
        <v>670</v>
      </c>
      <c r="F302" s="226">
        <f>IFERROR(VLOOKUP(E302,Hoja1!$A$86:$E$377,5,FALSE),)</f>
        <v>0</v>
      </c>
      <c r="G302" s="245"/>
      <c r="H302" s="105"/>
      <c r="I302" s="343"/>
      <c r="J302" s="208"/>
      <c r="K302" s="208"/>
      <c r="L302" s="208"/>
      <c r="M302" s="208"/>
    </row>
    <row r="303" spans="4:13" x14ac:dyDescent="0.25">
      <c r="D303" s="103"/>
      <c r="E303" s="228" t="s">
        <v>558</v>
      </c>
      <c r="F303" s="226">
        <f>IFERROR(VLOOKUP(E303,Hoja1!$A$86:$E$377,5,FALSE),)</f>
        <v>0</v>
      </c>
      <c r="G303" s="245"/>
      <c r="H303" s="105"/>
      <c r="I303" s="343"/>
      <c r="J303" s="208"/>
      <c r="K303" s="208"/>
      <c r="L303" s="208"/>
      <c r="M303" s="208"/>
    </row>
    <row r="304" spans="4:13" x14ac:dyDescent="0.25">
      <c r="D304" s="99" t="s">
        <v>256</v>
      </c>
      <c r="E304" s="203"/>
      <c r="F304" s="226"/>
      <c r="G304" s="303">
        <f>SUM(F304:F307)</f>
        <v>189946.28</v>
      </c>
      <c r="H304" s="105"/>
    </row>
    <row r="305" spans="4:9" x14ac:dyDescent="0.25">
      <c r="D305" s="99"/>
      <c r="E305" s="256" t="s">
        <v>413</v>
      </c>
      <c r="F305" s="226">
        <f>IFERROR(VLOOKUP(E305,Hoja1!$A$86:$E$377,5,FALSE),)</f>
        <v>0</v>
      </c>
      <c r="G305" s="245"/>
      <c r="H305" s="105"/>
    </row>
    <row r="306" spans="4:9" x14ac:dyDescent="0.25">
      <c r="D306" s="99"/>
      <c r="E306" s="253" t="s">
        <v>716</v>
      </c>
      <c r="F306" s="226">
        <f>IFERROR(VLOOKUP(E306,Hoja1!$A$86:$E$377,5,FALSE),)</f>
        <v>189946.28</v>
      </c>
      <c r="G306" s="245"/>
      <c r="H306" s="105"/>
    </row>
    <row r="307" spans="4:9" x14ac:dyDescent="0.25">
      <c r="D307" s="99"/>
      <c r="E307" s="256" t="s">
        <v>674</v>
      </c>
      <c r="F307" s="226">
        <f>IFERROR(VLOOKUP(E307,Hoja1!$A$86:$E$377,5,FALSE),)</f>
        <v>0</v>
      </c>
      <c r="G307" s="245"/>
      <c r="H307" s="105"/>
    </row>
    <row r="308" spans="4:9" x14ac:dyDescent="0.25">
      <c r="D308" s="102" t="s">
        <v>194</v>
      </c>
      <c r="E308" s="203"/>
      <c r="F308" s="226">
        <f>IFERROR(VLOOKUP(E308,Hoja1!$A$86:$E$377,5,FALSE),)</f>
        <v>0</v>
      </c>
      <c r="G308" s="245">
        <f>+F309</f>
        <v>0</v>
      </c>
      <c r="H308" s="105"/>
    </row>
    <row r="309" spans="4:9" x14ac:dyDescent="0.25">
      <c r="D309" s="102"/>
      <c r="E309" s="206" t="s">
        <v>483</v>
      </c>
      <c r="F309" s="226">
        <f>IFERROR(VLOOKUP(E309,Hoja1!$A$86:$E$377,5,FALSE),)</f>
        <v>0</v>
      </c>
      <c r="G309" s="245"/>
      <c r="H309" s="206"/>
      <c r="I309" s="343"/>
    </row>
    <row r="310" spans="4:9" x14ac:dyDescent="0.25">
      <c r="D310" s="337" t="s">
        <v>567</v>
      </c>
      <c r="E310" s="206" t="s">
        <v>567</v>
      </c>
      <c r="F310" s="226">
        <f>IFERROR(VLOOKUP(E310,Hoja1!$A$86:$E$377,5,FALSE),)</f>
        <v>0</v>
      </c>
      <c r="G310" s="245">
        <f>+F310</f>
        <v>0</v>
      </c>
      <c r="H310" s="206"/>
      <c r="I310" s="343"/>
    </row>
    <row r="311" spans="4:9" x14ac:dyDescent="0.25">
      <c r="D311" s="369" t="s">
        <v>600</v>
      </c>
      <c r="E311" s="252" t="s">
        <v>600</v>
      </c>
      <c r="F311" s="226">
        <f>IFERROR(VLOOKUP(E311,Hoja1!$A$86:$E$377,5,FALSE),)</f>
        <v>48607846.600000001</v>
      </c>
      <c r="G311" s="303">
        <f>+F311</f>
        <v>48607846.600000001</v>
      </c>
      <c r="H311" s="206"/>
      <c r="I311" s="343"/>
    </row>
    <row r="312" spans="4:9" x14ac:dyDescent="0.25">
      <c r="D312" s="99" t="s">
        <v>232</v>
      </c>
      <c r="E312" s="252" t="s">
        <v>504</v>
      </c>
      <c r="F312" s="226">
        <f>IFERROR(VLOOKUP(E312,Hoja1!$A$86:$E$377,5,FALSE),)</f>
        <v>0</v>
      </c>
      <c r="G312" s="245">
        <f>+F312</f>
        <v>0</v>
      </c>
      <c r="H312" s="105"/>
    </row>
    <row r="313" spans="4:9" x14ac:dyDescent="0.25">
      <c r="D313" s="99" t="s">
        <v>265</v>
      </c>
      <c r="E313" s="203"/>
      <c r="F313" s="226">
        <f>IFERROR(VLOOKUP(E313,Hoja1!$A$86:$E$377,5,FALSE),)</f>
        <v>0</v>
      </c>
      <c r="G313" s="245">
        <f>SUM(F313:F315)</f>
        <v>0</v>
      </c>
      <c r="H313" s="105"/>
    </row>
    <row r="314" spans="4:9" x14ac:dyDescent="0.25">
      <c r="D314" s="99"/>
      <c r="E314" s="256" t="s">
        <v>414</v>
      </c>
      <c r="F314" s="226">
        <f>IFERROR(VLOOKUP(E314,Hoja1!$A$86:$E$377,5,FALSE),)</f>
        <v>0</v>
      </c>
      <c r="G314" s="245"/>
      <c r="H314" s="105"/>
    </row>
    <row r="315" spans="4:9" x14ac:dyDescent="0.25">
      <c r="D315" s="99"/>
      <c r="E315" s="256" t="s">
        <v>449</v>
      </c>
      <c r="F315" s="226">
        <f>IFERROR(VLOOKUP(E315,Hoja1!$A$86:$E$377,5,FALSE),)</f>
        <v>0</v>
      </c>
      <c r="G315" s="245"/>
      <c r="H315" s="105"/>
    </row>
    <row r="316" spans="4:9" x14ac:dyDescent="0.25">
      <c r="D316" s="99" t="s">
        <v>266</v>
      </c>
      <c r="E316" s="99"/>
      <c r="F316" s="226">
        <f>IFERROR(VLOOKUP(E316,Hoja1!$A$86:$E$377,5,FALSE),)</f>
        <v>0</v>
      </c>
      <c r="G316" s="245">
        <f>+F316</f>
        <v>0</v>
      </c>
      <c r="H316" s="105"/>
    </row>
    <row r="317" spans="4:9" x14ac:dyDescent="0.25">
      <c r="D317" s="99" t="s">
        <v>272</v>
      </c>
      <c r="E317" s="99" t="s">
        <v>628</v>
      </c>
      <c r="F317" s="226">
        <f>IFERROR(VLOOKUP(E317,Hoja1!$A$86:$E$377,5,FALSE),)</f>
        <v>0</v>
      </c>
      <c r="G317" s="303">
        <f>+F317+F318</f>
        <v>18512.400000000001</v>
      </c>
      <c r="H317" s="105"/>
    </row>
    <row r="318" spans="4:9" x14ac:dyDescent="0.25">
      <c r="D318" s="99"/>
      <c r="E318" s="296" t="s">
        <v>813</v>
      </c>
      <c r="F318" s="226">
        <f>IFERROR(VLOOKUP(E318,Hoja1!$A$86:$E$377,5,FALSE),)</f>
        <v>18512.400000000001</v>
      </c>
      <c r="G318" s="245"/>
      <c r="H318" s="105"/>
    </row>
    <row r="319" spans="4:9" x14ac:dyDescent="0.25">
      <c r="D319" s="359" t="s">
        <v>314</v>
      </c>
      <c r="E319" s="125"/>
      <c r="F319" s="226">
        <f>IFERROR(VLOOKUP(E319,Hoja1!$A$86:$E$377,5,FALSE),)</f>
        <v>0</v>
      </c>
      <c r="G319" s="245">
        <f>+F319</f>
        <v>0</v>
      </c>
      <c r="H319" s="132"/>
    </row>
    <row r="320" spans="4:9" ht="12.6" customHeight="1" x14ac:dyDescent="0.25">
      <c r="D320" s="99" t="s">
        <v>157</v>
      </c>
      <c r="E320" s="99"/>
      <c r="F320" s="226"/>
      <c r="G320" s="303">
        <f>SUM(F320:F323)</f>
        <v>87312447.890000001</v>
      </c>
      <c r="H320" s="136"/>
    </row>
    <row r="321" spans="4:9" x14ac:dyDescent="0.25">
      <c r="D321" s="99"/>
      <c r="E321" s="256" t="s">
        <v>415</v>
      </c>
      <c r="F321" s="226">
        <f>IFERROR(VLOOKUP(E321,Hoja1!$A$86:$E$377,5,FALSE),)</f>
        <v>87312447.890000001</v>
      </c>
      <c r="G321" s="244"/>
      <c r="H321" s="136"/>
    </row>
    <row r="322" spans="4:9" x14ac:dyDescent="0.25">
      <c r="D322" s="99"/>
      <c r="E322" s="256" t="s">
        <v>416</v>
      </c>
      <c r="F322" s="226">
        <f>IFERROR(VLOOKUP(E322,Hoja1!$A$86:$E$377,5,FALSE),)</f>
        <v>0</v>
      </c>
      <c r="G322" s="245"/>
      <c r="H322" s="136"/>
    </row>
    <row r="323" spans="4:9" x14ac:dyDescent="0.25">
      <c r="D323" s="99"/>
      <c r="E323" s="256" t="s">
        <v>539</v>
      </c>
      <c r="F323" s="226">
        <f>IFERROR(VLOOKUP(E323,Hoja1!$A$86:$E$377,5,FALSE),)</f>
        <v>0</v>
      </c>
      <c r="G323" s="245"/>
      <c r="H323" s="136"/>
      <c r="I323" s="341"/>
    </row>
    <row r="324" spans="4:9" x14ac:dyDescent="0.25">
      <c r="D324" s="99" t="s">
        <v>158</v>
      </c>
      <c r="E324" s="203"/>
      <c r="F324" s="226"/>
      <c r="G324" s="303">
        <f>SUM(F324:F331)</f>
        <v>51970355.109999999</v>
      </c>
      <c r="H324" s="105"/>
    </row>
    <row r="325" spans="4:9" x14ac:dyDescent="0.25">
      <c r="D325" s="99"/>
      <c r="E325" s="256" t="s">
        <v>417</v>
      </c>
      <c r="F325" s="226">
        <f>IFERROR(VLOOKUP(E325,Hoja1!$A$86:$E$377,5,FALSE),)</f>
        <v>157000</v>
      </c>
      <c r="G325" s="245"/>
      <c r="H325" s="105"/>
    </row>
    <row r="326" spans="4:9" x14ac:dyDescent="0.25">
      <c r="D326" s="99"/>
      <c r="E326" s="225" t="s">
        <v>582</v>
      </c>
      <c r="F326" s="226">
        <f>IFERROR(VLOOKUP(E326,Hoja1!$A$86:$E$377,5,FALSE),)</f>
        <v>0</v>
      </c>
      <c r="G326" s="245"/>
      <c r="H326" s="105"/>
    </row>
    <row r="327" spans="4:9" x14ac:dyDescent="0.25">
      <c r="D327" s="99"/>
      <c r="E327" s="256" t="s">
        <v>418</v>
      </c>
      <c r="F327" s="226">
        <f>IFERROR(VLOOKUP(E327,Hoja1!$A$86:$E$377,5,FALSE),)</f>
        <v>51813355.109999999</v>
      </c>
      <c r="G327" s="245"/>
      <c r="H327" s="105"/>
    </row>
    <row r="328" spans="4:9" x14ac:dyDescent="0.25">
      <c r="D328" s="99"/>
      <c r="E328" s="256" t="s">
        <v>419</v>
      </c>
      <c r="F328" s="226">
        <f>IFERROR(VLOOKUP(E328,Hoja1!$A$86:$E$377,5,FALSE),)</f>
        <v>0</v>
      </c>
      <c r="G328" s="245"/>
      <c r="H328" s="105"/>
    </row>
    <row r="329" spans="4:9" x14ac:dyDescent="0.25">
      <c r="D329" s="99"/>
      <c r="E329" s="256" t="s">
        <v>537</v>
      </c>
      <c r="F329" s="226">
        <f>IFERROR(VLOOKUP(E329,Hoja1!$A$86:$E$377,5,FALSE),)</f>
        <v>0</v>
      </c>
      <c r="G329" s="245"/>
      <c r="H329" s="105"/>
    </row>
    <row r="330" spans="4:9" x14ac:dyDescent="0.25">
      <c r="D330" s="99"/>
      <c r="E330" s="256" t="s">
        <v>538</v>
      </c>
      <c r="F330" s="226">
        <f>IFERROR(VLOOKUP(E330,Hoja1!$A$86:$E$377,5,FALSE),)</f>
        <v>0</v>
      </c>
      <c r="G330" s="245"/>
      <c r="H330" s="105"/>
    </row>
    <row r="331" spans="4:9" x14ac:dyDescent="0.25">
      <c r="D331" s="99"/>
      <c r="E331" s="256" t="s">
        <v>608</v>
      </c>
      <c r="F331" s="226">
        <f>IFERROR(VLOOKUP(E331,Hoja1!$A$86:$E$377,5,FALSE),)</f>
        <v>0</v>
      </c>
      <c r="G331" s="245"/>
      <c r="H331" s="105"/>
    </row>
    <row r="332" spans="4:9" x14ac:dyDescent="0.25">
      <c r="D332" s="99" t="s">
        <v>159</v>
      </c>
      <c r="E332" s="208" t="s">
        <v>513</v>
      </c>
      <c r="F332" s="226">
        <f>IFERROR(VLOOKUP(E332,Hoja1!$A$86:$E$377,5,FALSE),)</f>
        <v>0</v>
      </c>
      <c r="G332" s="303">
        <f>SUM(F332:F339)</f>
        <v>27411009.170000002</v>
      </c>
      <c r="H332" s="178"/>
    </row>
    <row r="333" spans="4:9" x14ac:dyDescent="0.25">
      <c r="D333" s="99"/>
      <c r="E333" s="442" t="s">
        <v>828</v>
      </c>
      <c r="F333" s="226">
        <f>IFERROR(VLOOKUP(E333,Hoja1!$A$86:$E$377,5,FALSE),)</f>
        <v>21735.54</v>
      </c>
      <c r="G333" s="245"/>
      <c r="H333" s="300" t="s">
        <v>831</v>
      </c>
    </row>
    <row r="334" spans="4:9" x14ac:dyDescent="0.25">
      <c r="D334" s="99"/>
      <c r="E334" s="256" t="s">
        <v>420</v>
      </c>
      <c r="F334" s="226">
        <f>IFERROR(VLOOKUP(E334,Hoja1!$A$86:$E$377,5,FALSE),)</f>
        <v>4006957.04</v>
      </c>
      <c r="G334" s="245"/>
      <c r="H334" s="178"/>
    </row>
    <row r="335" spans="4:9" x14ac:dyDescent="0.25">
      <c r="D335" s="99"/>
      <c r="E335" s="256" t="s">
        <v>421</v>
      </c>
      <c r="F335" s="226">
        <f>IFERROR(VLOOKUP(E335,Hoja1!$A$86:$E$377,5,FALSE),)</f>
        <v>23352516.59</v>
      </c>
      <c r="G335" s="245"/>
      <c r="H335" s="178"/>
    </row>
    <row r="336" spans="4:9" x14ac:dyDescent="0.25">
      <c r="D336" s="99"/>
      <c r="E336" s="256" t="s">
        <v>422</v>
      </c>
      <c r="F336" s="226">
        <f>IFERROR(VLOOKUP(E336,Hoja1!$A$86:$E$377,5,FALSE),)</f>
        <v>29800</v>
      </c>
      <c r="G336" s="245"/>
      <c r="H336" s="177"/>
    </row>
    <row r="337" spans="4:14" x14ac:dyDescent="0.25">
      <c r="D337" s="99"/>
      <c r="E337" s="228" t="s">
        <v>531</v>
      </c>
      <c r="F337" s="226">
        <f>IFERROR(VLOOKUP(E337,Hoja1!$A$86:$E$377,5,FALSE),)</f>
        <v>0</v>
      </c>
      <c r="G337" s="245"/>
      <c r="H337" s="177"/>
    </row>
    <row r="338" spans="4:14" x14ac:dyDescent="0.25">
      <c r="D338" s="99"/>
      <c r="E338" s="256" t="s">
        <v>536</v>
      </c>
      <c r="F338" s="226">
        <f>IFERROR(VLOOKUP(E338,Hoja1!$A$86:$E$377,5,FALSE),)</f>
        <v>0</v>
      </c>
      <c r="G338" s="245"/>
      <c r="H338" s="177"/>
    </row>
    <row r="339" spans="4:14" x14ac:dyDescent="0.25">
      <c r="D339" s="99"/>
      <c r="E339" s="256" t="s">
        <v>542</v>
      </c>
      <c r="F339" s="226">
        <f>IFERROR(VLOOKUP(E339,Hoja1!$A$86:$E$377,5,FALSE),)</f>
        <v>0</v>
      </c>
      <c r="G339" s="245"/>
      <c r="H339" s="177"/>
    </row>
    <row r="340" spans="4:14" x14ac:dyDescent="0.25">
      <c r="D340" s="99" t="s">
        <v>264</v>
      </c>
      <c r="E340" s="99"/>
      <c r="F340" s="226"/>
      <c r="G340" s="245">
        <f>+F340</f>
        <v>0</v>
      </c>
      <c r="H340" s="105"/>
    </row>
    <row r="341" spans="4:14" x14ac:dyDescent="0.25">
      <c r="D341" s="99" t="s">
        <v>160</v>
      </c>
      <c r="E341" s="256" t="s">
        <v>666</v>
      </c>
      <c r="F341" s="226">
        <f>IFERROR(VLOOKUP(E341,Hoja1!$A$86:$E$377,5,FALSE),)</f>
        <v>0</v>
      </c>
      <c r="G341" s="245">
        <f>+F341+F342+F343</f>
        <v>0</v>
      </c>
      <c r="H341" s="105"/>
    </row>
    <row r="342" spans="4:14" x14ac:dyDescent="0.25">
      <c r="D342" s="99"/>
      <c r="E342" s="99" t="s">
        <v>443</v>
      </c>
      <c r="F342" s="226">
        <f>IFERROR(VLOOKUP(E342,Hoja1!$A$86:$E$377,5,FALSE),)</f>
        <v>0</v>
      </c>
      <c r="G342" s="245"/>
      <c r="H342" s="105"/>
    </row>
    <row r="343" spans="4:14" x14ac:dyDescent="0.25">
      <c r="D343" s="99"/>
      <c r="E343" s="99" t="s">
        <v>621</v>
      </c>
      <c r="F343" s="226">
        <f>IFERROR(VLOOKUP(E343,Hoja1!$A$86:$E$377,5,FALSE),)</f>
        <v>0</v>
      </c>
      <c r="G343" s="245"/>
      <c r="H343" s="105"/>
    </row>
    <row r="344" spans="4:14" x14ac:dyDescent="0.25">
      <c r="D344" s="99" t="s">
        <v>161</v>
      </c>
      <c r="E344" s="208" t="s">
        <v>512</v>
      </c>
      <c r="F344" s="226">
        <f>IFERROR(VLOOKUP(E344,Hoja1!$A$86:$E$377,5,FALSE),)</f>
        <v>0</v>
      </c>
      <c r="G344" s="303">
        <f>SUM(F344:F352)</f>
        <v>7596589.620000001</v>
      </c>
      <c r="H344" s="105"/>
    </row>
    <row r="345" spans="4:14" x14ac:dyDescent="0.25">
      <c r="D345" s="99"/>
      <c r="E345" s="256" t="s">
        <v>423</v>
      </c>
      <c r="F345" s="226">
        <f>IFERROR(VLOOKUP(E345,Hoja1!$A$86:$E$377,5,FALSE),)</f>
        <v>653893.77</v>
      </c>
      <c r="G345" s="245"/>
      <c r="H345" s="105"/>
      <c r="J345" s="208"/>
      <c r="K345" s="208"/>
      <c r="L345" s="208"/>
      <c r="M345" s="208"/>
      <c r="N345" s="208"/>
    </row>
    <row r="346" spans="4:14" x14ac:dyDescent="0.25">
      <c r="D346" s="99"/>
      <c r="E346" s="256" t="s">
        <v>787</v>
      </c>
      <c r="F346" s="226">
        <f>IFERROR(VLOOKUP(E346,Hoja1!$A$86:$E$377,5,FALSE),)</f>
        <v>0</v>
      </c>
      <c r="G346" s="245"/>
      <c r="H346" s="105"/>
      <c r="J346" s="208"/>
      <c r="K346" s="208"/>
      <c r="L346" s="208"/>
      <c r="M346" s="208"/>
      <c r="N346" s="208"/>
    </row>
    <row r="347" spans="4:14" x14ac:dyDescent="0.25">
      <c r="D347" s="99"/>
      <c r="E347" s="256" t="s">
        <v>424</v>
      </c>
      <c r="F347" s="226">
        <f>IFERROR(VLOOKUP(E347,Hoja1!$A$86:$E$377,5,FALSE),)</f>
        <v>5565333.8500000006</v>
      </c>
      <c r="G347" s="245"/>
      <c r="H347" s="105"/>
    </row>
    <row r="348" spans="4:14" x14ac:dyDescent="0.25">
      <c r="D348" s="99"/>
      <c r="E348" s="256" t="s">
        <v>533</v>
      </c>
      <c r="F348" s="226">
        <f>IFERROR(VLOOKUP(E348,Hoja1!$A$86:$E$377,5,FALSE),)</f>
        <v>0</v>
      </c>
      <c r="G348" s="245"/>
      <c r="H348" s="105"/>
    </row>
    <row r="349" spans="4:14" x14ac:dyDescent="0.25">
      <c r="D349" s="99"/>
      <c r="E349" s="228" t="s">
        <v>563</v>
      </c>
      <c r="F349" s="226">
        <f>IFERROR(VLOOKUP(E349,Hoja1!$A$86:$E$377,5,FALSE),)</f>
        <v>0</v>
      </c>
      <c r="G349" s="245"/>
      <c r="H349" s="105"/>
    </row>
    <row r="350" spans="4:14" x14ac:dyDescent="0.25">
      <c r="D350" s="99"/>
      <c r="E350" s="256" t="s">
        <v>664</v>
      </c>
      <c r="F350" s="226">
        <f>IFERROR(VLOOKUP(E350,Hoja1!$A$86:$E$377,5,FALSE),)</f>
        <v>0</v>
      </c>
      <c r="G350" s="245"/>
      <c r="H350" s="105"/>
    </row>
    <row r="351" spans="4:14" x14ac:dyDescent="0.25">
      <c r="D351" s="99"/>
      <c r="E351" s="256" t="s">
        <v>665</v>
      </c>
      <c r="F351" s="226">
        <f>IFERROR(VLOOKUP(E351,Hoja1!$A$86:$E$377,5,FALSE),)</f>
        <v>0</v>
      </c>
      <c r="G351" s="245"/>
      <c r="H351" s="105"/>
    </row>
    <row r="352" spans="4:14" x14ac:dyDescent="0.25">
      <c r="D352" s="99"/>
      <c r="E352" s="258" t="s">
        <v>830</v>
      </c>
      <c r="F352" s="226">
        <f>IFERROR(VLOOKUP(E352,Hoja1!$A$86:$E$377,5,FALSE),)</f>
        <v>1377362</v>
      </c>
      <c r="G352" s="245"/>
      <c r="H352" s="132" t="s">
        <v>831</v>
      </c>
    </row>
    <row r="353" spans="4:13" x14ac:dyDescent="0.25">
      <c r="D353" s="99" t="s">
        <v>162</v>
      </c>
      <c r="E353" s="256" t="s">
        <v>521</v>
      </c>
      <c r="F353" s="226">
        <f>IFERROR(VLOOKUP(E353,Hoja1!$A$86:$E$377,5,FALSE),)</f>
        <v>0</v>
      </c>
      <c r="G353" s="303">
        <f>SUM(F353:F359)</f>
        <v>8616654.5700000003</v>
      </c>
      <c r="H353" s="177"/>
      <c r="I353" s="343"/>
      <c r="J353" s="208"/>
      <c r="K353" s="208"/>
      <c r="L353" s="208"/>
      <c r="M353" s="208"/>
    </row>
    <row r="354" spans="4:13" x14ac:dyDescent="0.25">
      <c r="D354" s="99"/>
      <c r="E354" s="256" t="s">
        <v>425</v>
      </c>
      <c r="F354" s="226">
        <f>IFERROR(VLOOKUP(E354,Hoja1!$A$86:$E$377,5,FALSE),)</f>
        <v>783143.51</v>
      </c>
      <c r="G354" s="245"/>
      <c r="H354" s="177"/>
    </row>
    <row r="355" spans="4:13" x14ac:dyDescent="0.25">
      <c r="D355" s="99"/>
      <c r="E355" s="256" t="s">
        <v>426</v>
      </c>
      <c r="F355" s="226">
        <f>IFERROR(VLOOKUP(E355,Hoja1!$A$86:$E$377,5,FALSE),)</f>
        <v>7828411.8900000006</v>
      </c>
      <c r="G355" s="245"/>
      <c r="H355" s="177"/>
    </row>
    <row r="356" spans="4:13" x14ac:dyDescent="0.25">
      <c r="D356" s="99"/>
      <c r="E356" s="256" t="s">
        <v>427</v>
      </c>
      <c r="F356" s="226">
        <f>IFERROR(VLOOKUP(E356,Hoja1!$A$86:$E$377,5,FALSE),)</f>
        <v>0</v>
      </c>
      <c r="G356" s="245"/>
      <c r="H356" s="177"/>
    </row>
    <row r="357" spans="4:13" x14ac:dyDescent="0.25">
      <c r="D357" s="99"/>
      <c r="E357" s="228" t="s">
        <v>553</v>
      </c>
      <c r="F357" s="226">
        <f>IFERROR(VLOOKUP(E357,Hoja1!$A$86:$E$377,5,FALSE),)</f>
        <v>5099.17</v>
      </c>
      <c r="G357" s="245"/>
      <c r="H357" s="177"/>
    </row>
    <row r="358" spans="4:13" x14ac:dyDescent="0.25">
      <c r="D358" s="99"/>
      <c r="E358" s="228" t="s">
        <v>627</v>
      </c>
      <c r="F358" s="226">
        <f>IFERROR(VLOOKUP(E358,Hoja1!$A$86:$E$377,5,FALSE),)</f>
        <v>0</v>
      </c>
      <c r="G358" s="245"/>
      <c r="H358" s="177"/>
    </row>
    <row r="359" spans="4:13" x14ac:dyDescent="0.25">
      <c r="D359" s="99"/>
      <c r="E359" s="228" t="s">
        <v>745</v>
      </c>
      <c r="F359" s="226">
        <f>IFERROR(VLOOKUP(E359,Hoja1!$A$86:$E$377,5,FALSE),)</f>
        <v>0</v>
      </c>
      <c r="G359" s="245"/>
      <c r="H359" s="177"/>
    </row>
    <row r="360" spans="4:13" x14ac:dyDescent="0.25">
      <c r="D360" s="367" t="s">
        <v>349</v>
      </c>
      <c r="E360" s="175"/>
      <c r="F360" s="226"/>
      <c r="G360" s="245">
        <f>+F360+F361+F362</f>
        <v>0</v>
      </c>
      <c r="H360" s="132"/>
    </row>
    <row r="361" spans="4:13" x14ac:dyDescent="0.25">
      <c r="E361" s="175" t="s">
        <v>624</v>
      </c>
      <c r="F361" s="226">
        <f>IFERROR(VLOOKUP(E361,Hoja1!$A$86:$E$377,5,FALSE),)</f>
        <v>0</v>
      </c>
      <c r="G361" s="245"/>
      <c r="H361" s="132"/>
    </row>
    <row r="362" spans="4:13" x14ac:dyDescent="0.25">
      <c r="E362" s="175" t="s">
        <v>780</v>
      </c>
      <c r="F362" s="226">
        <f>IFERROR(VLOOKUP(E362,Hoja1!$A$86:$E$377,5,FALSE),)</f>
        <v>0</v>
      </c>
      <c r="G362" s="245"/>
      <c r="H362" s="132"/>
    </row>
    <row r="363" spans="4:13" x14ac:dyDescent="0.25">
      <c r="D363" s="257" t="s">
        <v>741</v>
      </c>
      <c r="E363" s="175"/>
      <c r="F363" s="226"/>
      <c r="G363" s="245">
        <f>+F363+F364</f>
        <v>0</v>
      </c>
      <c r="H363" s="132"/>
    </row>
    <row r="364" spans="4:13" x14ac:dyDescent="0.25">
      <c r="D364" s="367"/>
      <c r="E364" s="256" t="s">
        <v>741</v>
      </c>
      <c r="F364" s="226">
        <f>IFERROR(VLOOKUP(E364,Hoja1!$A$86:$E$377,5,FALSE),)</f>
        <v>0</v>
      </c>
      <c r="G364" s="245"/>
      <c r="H364" s="132"/>
    </row>
    <row r="365" spans="4:13" x14ac:dyDescent="0.25">
      <c r="D365" s="99" t="s">
        <v>250</v>
      </c>
      <c r="E365" s="99"/>
      <c r="F365" s="226"/>
      <c r="G365" s="245">
        <f>SUM(F365:F368)</f>
        <v>0</v>
      </c>
      <c r="H365" s="105"/>
    </row>
    <row r="366" spans="4:13" x14ac:dyDescent="0.25">
      <c r="D366" s="99"/>
      <c r="E366" s="256" t="s">
        <v>428</v>
      </c>
      <c r="F366" s="226">
        <f>IFERROR(VLOOKUP(E366,Hoja1!$A$86:$E$377,5,FALSE),)</f>
        <v>0</v>
      </c>
      <c r="G366" s="245"/>
      <c r="H366" s="105"/>
    </row>
    <row r="367" spans="4:13" x14ac:dyDescent="0.25">
      <c r="D367" s="99"/>
      <c r="E367" s="256" t="s">
        <v>479</v>
      </c>
      <c r="F367" s="226">
        <f>IFERROR(VLOOKUP(E367,Hoja1!$A$86:$E$377,5,FALSE),)</f>
        <v>0</v>
      </c>
      <c r="G367" s="245"/>
      <c r="H367" s="105"/>
    </row>
    <row r="368" spans="4:13" x14ac:dyDescent="0.25">
      <c r="D368" s="99"/>
      <c r="E368" s="256" t="s">
        <v>679</v>
      </c>
      <c r="F368" s="226">
        <f>IFERROR(VLOOKUP(E368,Hoja1!$A$86:$E$377,5,FALSE),)</f>
        <v>0</v>
      </c>
      <c r="G368" s="245"/>
      <c r="H368" s="105"/>
    </row>
    <row r="369" spans="4:8" x14ac:dyDescent="0.25">
      <c r="D369" s="254" t="s">
        <v>163</v>
      </c>
      <c r="E369" s="203"/>
      <c r="F369" s="226"/>
      <c r="G369" s="245">
        <f>+F369</f>
        <v>0</v>
      </c>
      <c r="H369" s="105"/>
    </row>
    <row r="370" spans="4:8" x14ac:dyDescent="0.25">
      <c r="D370" s="99" t="s">
        <v>192</v>
      </c>
      <c r="E370" s="203"/>
      <c r="F370" s="226"/>
      <c r="G370" s="303">
        <f>SUM(F370:F375)</f>
        <v>262653256.83999997</v>
      </c>
      <c r="H370" s="105"/>
    </row>
    <row r="371" spans="4:8" x14ac:dyDescent="0.25">
      <c r="D371" s="99"/>
      <c r="E371" s="256" t="s">
        <v>543</v>
      </c>
      <c r="F371" s="226">
        <f>IFERROR(VLOOKUP(E371,Hoja1!$A$86:$E$377,5,FALSE),)</f>
        <v>0</v>
      </c>
      <c r="G371" s="245"/>
      <c r="H371" s="105"/>
    </row>
    <row r="372" spans="4:8" x14ac:dyDescent="0.25">
      <c r="D372" s="99"/>
      <c r="E372" s="256" t="s">
        <v>429</v>
      </c>
      <c r="F372" s="226">
        <f>IFERROR(VLOOKUP(E372,Hoja1!$A$86:$E$377,5,FALSE),)</f>
        <v>216447896.75999999</v>
      </c>
      <c r="G372" s="245"/>
      <c r="H372" s="105"/>
    </row>
    <row r="373" spans="4:8" x14ac:dyDescent="0.25">
      <c r="D373" s="99"/>
      <c r="E373" s="256" t="s">
        <v>430</v>
      </c>
      <c r="F373" s="226">
        <f>IFERROR(VLOOKUP(E373,Hoja1!$A$86:$E$377,5,FALSE),)</f>
        <v>45688831.079999998</v>
      </c>
      <c r="G373" s="245"/>
      <c r="H373" s="105"/>
    </row>
    <row r="374" spans="4:8" x14ac:dyDescent="0.25">
      <c r="D374" s="99"/>
      <c r="E374" s="225" t="s">
        <v>568</v>
      </c>
      <c r="F374" s="226">
        <f>IFERROR(VLOOKUP(E374,Hoja1!$A$86:$E$377,5,FALSE),)</f>
        <v>516529</v>
      </c>
      <c r="G374" s="245"/>
      <c r="H374" s="105"/>
    </row>
    <row r="375" spans="4:8" x14ac:dyDescent="0.25">
      <c r="D375" s="99"/>
      <c r="E375" s="225" t="s">
        <v>612</v>
      </c>
      <c r="F375" s="226">
        <f>IFERROR(VLOOKUP(E375,Hoja1!$A$86:$E$377,5,FALSE),)</f>
        <v>0</v>
      </c>
      <c r="G375" s="245"/>
      <c r="H375" s="105"/>
    </row>
    <row r="376" spans="4:8" x14ac:dyDescent="0.25">
      <c r="D376" s="99" t="s">
        <v>164</v>
      </c>
      <c r="E376" s="116"/>
      <c r="F376" s="226"/>
      <c r="G376" s="303">
        <f>SUM(F377:F385)</f>
        <v>58572858.170000002</v>
      </c>
      <c r="H376" s="105"/>
    </row>
    <row r="377" spans="4:8" x14ac:dyDescent="0.25">
      <c r="D377" s="99"/>
      <c r="E377" s="256" t="s">
        <v>478</v>
      </c>
      <c r="F377" s="226">
        <f>IFERROR(VLOOKUP(E377,Hoja1!$A$86:$E$377,5,FALSE),)</f>
        <v>0</v>
      </c>
      <c r="G377" s="245"/>
      <c r="H377" s="105"/>
    </row>
    <row r="378" spans="4:8" x14ac:dyDescent="0.25">
      <c r="D378" s="99"/>
      <c r="E378" s="256" t="s">
        <v>530</v>
      </c>
      <c r="F378" s="226">
        <f>IFERROR(VLOOKUP(E378,Hoja1!$A$86:$E$377,5,FALSE),)</f>
        <v>45070376.57</v>
      </c>
      <c r="G378" s="245"/>
      <c r="H378" s="105"/>
    </row>
    <row r="379" spans="4:8" x14ac:dyDescent="0.25">
      <c r="D379" s="99"/>
      <c r="E379" s="228" t="s">
        <v>560</v>
      </c>
      <c r="F379" s="226">
        <f>IFERROR(VLOOKUP(E379,Hoja1!$A$86:$E$377,5,FALSE),)</f>
        <v>0</v>
      </c>
      <c r="G379" s="245"/>
      <c r="H379" s="105"/>
    </row>
    <row r="380" spans="4:8" x14ac:dyDescent="0.25">
      <c r="D380" s="99"/>
      <c r="E380" s="230" t="s">
        <v>605</v>
      </c>
      <c r="F380" s="226">
        <f>IFERROR(VLOOKUP(E380,Hoja1!$A$86:$E$377,5,FALSE),)</f>
        <v>0</v>
      </c>
      <c r="G380" s="245"/>
      <c r="H380" s="105"/>
    </row>
    <row r="381" spans="4:8" x14ac:dyDescent="0.25">
      <c r="D381" s="99"/>
      <c r="E381" s="230" t="s">
        <v>617</v>
      </c>
      <c r="F381" s="226">
        <f>IFERROR(VLOOKUP(E381,Hoja1!$A$86:$E$377,5,FALSE),)</f>
        <v>0</v>
      </c>
      <c r="G381" s="245"/>
      <c r="H381" s="105"/>
    </row>
    <row r="382" spans="4:8" x14ac:dyDescent="0.25">
      <c r="D382" s="99"/>
      <c r="E382" s="230" t="s">
        <v>620</v>
      </c>
      <c r="F382" s="226">
        <f>IFERROR(VLOOKUP(E382,Hoja1!$A$86:$E$377,5,FALSE),)</f>
        <v>13502481.6</v>
      </c>
      <c r="G382" s="245"/>
      <c r="H382" s="105"/>
    </row>
    <row r="383" spans="4:8" x14ac:dyDescent="0.25">
      <c r="D383" s="99"/>
      <c r="E383" s="230" t="s">
        <v>622</v>
      </c>
      <c r="F383" s="226">
        <f>IFERROR(VLOOKUP(E383,Hoja1!$A$86:$E$377,5,FALSE),)</f>
        <v>0</v>
      </c>
      <c r="G383" s="245"/>
      <c r="H383" s="105"/>
    </row>
    <row r="384" spans="4:8" x14ac:dyDescent="0.25">
      <c r="D384" s="99"/>
      <c r="E384" s="230" t="s">
        <v>659</v>
      </c>
      <c r="F384" s="226">
        <f>IFERROR(VLOOKUP(E384,Hoja1!$A$86:$E$377,5,FALSE),)</f>
        <v>0</v>
      </c>
      <c r="G384" s="245"/>
      <c r="H384" s="105"/>
    </row>
    <row r="385" spans="4:15" x14ac:dyDescent="0.25">
      <c r="D385" s="99"/>
      <c r="E385" s="258" t="s">
        <v>759</v>
      </c>
      <c r="F385" s="226">
        <f>IFERROR(VLOOKUP(E385,Hoja1!$A$86:$E$377,5,FALSE),)</f>
        <v>0</v>
      </c>
      <c r="G385" s="245"/>
      <c r="H385" s="105"/>
    </row>
    <row r="386" spans="4:15" x14ac:dyDescent="0.25">
      <c r="D386" s="99" t="s">
        <v>165</v>
      </c>
      <c r="E386" s="99"/>
      <c r="F386" s="226"/>
      <c r="G386" s="245">
        <f t="shared" ref="G386:G392" si="2">+F386</f>
        <v>0</v>
      </c>
      <c r="H386" s="105"/>
    </row>
    <row r="387" spans="4:15" x14ac:dyDescent="0.25">
      <c r="D387" s="257" t="s">
        <v>330</v>
      </c>
      <c r="E387" s="256"/>
      <c r="F387" s="226"/>
      <c r="G387" s="245">
        <f t="shared" si="2"/>
        <v>0</v>
      </c>
      <c r="H387" s="105"/>
    </row>
    <row r="388" spans="4:15" x14ac:dyDescent="0.25">
      <c r="D388" s="99" t="s">
        <v>252</v>
      </c>
      <c r="E388" s="99"/>
      <c r="F388" s="226"/>
      <c r="G388" s="245">
        <f t="shared" si="2"/>
        <v>0</v>
      </c>
      <c r="H388" s="105"/>
    </row>
    <row r="389" spans="4:15" x14ac:dyDescent="0.25">
      <c r="D389" s="99" t="s">
        <v>297</v>
      </c>
      <c r="E389" s="99"/>
      <c r="F389" s="226"/>
      <c r="G389" s="245">
        <f t="shared" si="2"/>
        <v>0</v>
      </c>
      <c r="H389" s="105"/>
    </row>
    <row r="390" spans="4:15" x14ac:dyDescent="0.25">
      <c r="D390" s="121" t="s">
        <v>320</v>
      </c>
      <c r="E390" s="208" t="s">
        <v>509</v>
      </c>
      <c r="F390" s="226">
        <f>IFERROR(VLOOKUP(E390,Hoja1!$A$86:$E$377,5,FALSE),)</f>
        <v>0</v>
      </c>
      <c r="G390" s="245">
        <f>+F390+F391</f>
        <v>0</v>
      </c>
      <c r="H390" s="105"/>
    </row>
    <row r="391" spans="4:15" x14ac:dyDescent="0.25">
      <c r="D391" s="121"/>
      <c r="E391" s="208" t="s">
        <v>744</v>
      </c>
      <c r="F391" s="226">
        <f>IFERROR(VLOOKUP(E391,Hoja1!$A$86:$E$377,5,FALSE),)</f>
        <v>0</v>
      </c>
      <c r="G391" s="245"/>
      <c r="H391" s="105"/>
    </row>
    <row r="392" spans="4:15" x14ac:dyDescent="0.25">
      <c r="D392" s="99" t="s">
        <v>263</v>
      </c>
      <c r="E392" s="99"/>
      <c r="F392" s="226"/>
      <c r="G392" s="245">
        <f t="shared" si="2"/>
        <v>0</v>
      </c>
      <c r="H392" s="105"/>
    </row>
    <row r="393" spans="4:15" x14ac:dyDescent="0.25">
      <c r="D393" s="99" t="s">
        <v>310</v>
      </c>
      <c r="E393" s="99"/>
      <c r="F393" s="226"/>
      <c r="G393" s="303">
        <f>SUM(F393:F395)</f>
        <v>9064800</v>
      </c>
      <c r="H393" s="105"/>
      <c r="K393" s="208"/>
      <c r="L393" s="208"/>
      <c r="M393" s="208"/>
      <c r="N393" s="208"/>
      <c r="O393" s="208"/>
    </row>
    <row r="394" spans="4:15" x14ac:dyDescent="0.25">
      <c r="D394" s="99"/>
      <c r="E394" s="256" t="s">
        <v>431</v>
      </c>
      <c r="F394" s="226">
        <f>IFERROR(VLOOKUP(E394,Hoja1!$A$86:$E$377,5,FALSE),)</f>
        <v>0</v>
      </c>
      <c r="G394" s="245"/>
      <c r="H394" s="105"/>
      <c r="K394" s="208"/>
      <c r="L394" s="208"/>
      <c r="M394" s="208"/>
      <c r="N394" s="208"/>
      <c r="O394" s="208"/>
    </row>
    <row r="395" spans="4:15" x14ac:dyDescent="0.25">
      <c r="D395" s="99"/>
      <c r="E395" s="230" t="s">
        <v>603</v>
      </c>
      <c r="F395" s="226">
        <f>IFERROR(VLOOKUP(E395,Hoja1!$A$86:$E$377,5,FALSE),)</f>
        <v>9064800</v>
      </c>
      <c r="G395" s="245"/>
      <c r="H395" s="105"/>
      <c r="K395" s="208"/>
      <c r="L395" s="208"/>
      <c r="M395" s="208"/>
      <c r="N395" s="208"/>
      <c r="O395" s="208"/>
    </row>
    <row r="396" spans="4:15" x14ac:dyDescent="0.25">
      <c r="D396" s="99" t="s">
        <v>166</v>
      </c>
      <c r="E396" s="256" t="s">
        <v>505</v>
      </c>
      <c r="F396" s="226">
        <f>IFERROR(VLOOKUP(E396,Hoja1!$A$86:$E$377,5,FALSE),)</f>
        <v>5598557</v>
      </c>
      <c r="G396" s="245">
        <f>+F396+F397+F398+F399</f>
        <v>5598557</v>
      </c>
      <c r="H396" s="105"/>
    </row>
    <row r="397" spans="4:15" x14ac:dyDescent="0.25">
      <c r="D397" s="99"/>
      <c r="E397" s="225" t="s">
        <v>574</v>
      </c>
      <c r="F397" s="226">
        <f>IFERROR(VLOOKUP(E397,Hoja1!$A$86:$E$377,5,FALSE),)</f>
        <v>0</v>
      </c>
      <c r="G397" s="245"/>
      <c r="H397" s="105"/>
    </row>
    <row r="398" spans="4:15" x14ac:dyDescent="0.25">
      <c r="D398" s="99"/>
      <c r="E398" s="230" t="s">
        <v>604</v>
      </c>
      <c r="F398" s="226">
        <f>IFERROR(VLOOKUP(E398,Hoja1!$A$86:$E$377,5,FALSE),)</f>
        <v>0</v>
      </c>
      <c r="G398" s="245"/>
      <c r="H398" s="105"/>
    </row>
    <row r="399" spans="4:15" x14ac:dyDescent="0.25">
      <c r="D399" s="99"/>
      <c r="E399" s="230" t="s">
        <v>660</v>
      </c>
      <c r="F399" s="226">
        <f>IFERROR(VLOOKUP(E399,Hoja1!$A$86:$E$377,5,FALSE),)</f>
        <v>0</v>
      </c>
      <c r="G399" s="245"/>
      <c r="H399" s="105"/>
    </row>
    <row r="400" spans="4:15" x14ac:dyDescent="0.25">
      <c r="D400" s="254" t="s">
        <v>374</v>
      </c>
      <c r="E400" s="203"/>
      <c r="F400" s="226"/>
      <c r="G400" s="245">
        <f>SUM(F400:F401)</f>
        <v>0</v>
      </c>
      <c r="H400" s="105"/>
    </row>
    <row r="401" spans="4:14" x14ac:dyDescent="0.25">
      <c r="D401" s="257"/>
      <c r="E401" s="256" t="s">
        <v>463</v>
      </c>
      <c r="F401" s="226">
        <f>IFERROR(VLOOKUP(E401,Hoja1!$A$86:$E$377,5,FALSE),)</f>
        <v>0</v>
      </c>
      <c r="G401" s="245"/>
      <c r="H401" s="256"/>
    </row>
    <row r="402" spans="4:14" x14ac:dyDescent="0.25">
      <c r="D402" s="103" t="s">
        <v>167</v>
      </c>
      <c r="E402" s="203"/>
      <c r="F402" s="226"/>
      <c r="G402" s="245">
        <f>+F402+F403</f>
        <v>0</v>
      </c>
      <c r="H402" s="105"/>
    </row>
    <row r="403" spans="4:14" x14ac:dyDescent="0.25">
      <c r="D403" s="103"/>
      <c r="E403" s="225" t="s">
        <v>592</v>
      </c>
      <c r="F403" s="226">
        <f>IFERROR(VLOOKUP(E403,Hoja1!$A$86:$E$377,5,FALSE),)</f>
        <v>0</v>
      </c>
      <c r="G403" s="245"/>
      <c r="H403" s="105"/>
    </row>
    <row r="404" spans="4:14" x14ac:dyDescent="0.25">
      <c r="D404" s="99" t="s">
        <v>168</v>
      </c>
      <c r="E404" s="103" t="s">
        <v>490</v>
      </c>
      <c r="F404" s="226">
        <f>IFERROR(VLOOKUP(E404,Hoja1!$A$86:$E$377,5,FALSE),)</f>
        <v>276280951</v>
      </c>
      <c r="G404" s="303">
        <f>+F404</f>
        <v>276280951</v>
      </c>
      <c r="H404" s="105"/>
    </row>
    <row r="405" spans="4:14" ht="12.75" customHeight="1" x14ac:dyDescent="0.25">
      <c r="D405" s="99" t="s">
        <v>288</v>
      </c>
      <c r="E405" s="203"/>
      <c r="F405" s="226"/>
      <c r="G405" s="245">
        <f>+F406+F407</f>
        <v>0</v>
      </c>
      <c r="H405" s="105"/>
    </row>
    <row r="406" spans="4:14" ht="12.75" customHeight="1" x14ac:dyDescent="0.25">
      <c r="D406" s="99"/>
      <c r="E406" s="251" t="s">
        <v>712</v>
      </c>
      <c r="F406" s="226">
        <f>IFERROR(VLOOKUP(E406,Hoja1!$A$86:$E$377,5,FALSE),)</f>
        <v>0</v>
      </c>
      <c r="G406" s="245"/>
      <c r="H406" s="105"/>
    </row>
    <row r="407" spans="4:14" ht="12.75" customHeight="1" x14ac:dyDescent="0.25">
      <c r="D407" s="371"/>
      <c r="E407" s="225" t="s">
        <v>575</v>
      </c>
      <c r="F407" s="226">
        <f>IFERROR(VLOOKUP(E407,Hoja1!$A$86:$E$377,5,FALSE),)</f>
        <v>0</v>
      </c>
      <c r="G407" s="245"/>
      <c r="H407" s="105"/>
    </row>
    <row r="408" spans="4:14" ht="12.75" customHeight="1" x14ac:dyDescent="0.25">
      <c r="D408" s="99" t="s">
        <v>289</v>
      </c>
      <c r="E408" s="256"/>
      <c r="F408" s="226"/>
      <c r="G408" s="245">
        <f>+F408</f>
        <v>0</v>
      </c>
      <c r="H408" s="105"/>
    </row>
    <row r="409" spans="4:14" x14ac:dyDescent="0.25">
      <c r="D409" s="99" t="s">
        <v>290</v>
      </c>
      <c r="E409" s="99"/>
      <c r="F409" s="226"/>
      <c r="G409" s="303">
        <f>SUM(F409:F415)</f>
        <v>489482.99</v>
      </c>
      <c r="H409" s="105"/>
    </row>
    <row r="410" spans="4:14" x14ac:dyDescent="0.25">
      <c r="D410" s="99"/>
      <c r="E410" s="258" t="s">
        <v>528</v>
      </c>
      <c r="F410" s="226">
        <f>IFERROR(VLOOKUP(E410,Hoja1!$A$86:$E$377,5,FALSE),)</f>
        <v>0</v>
      </c>
      <c r="G410" s="245"/>
      <c r="H410" s="105"/>
    </row>
    <row r="411" spans="4:14" x14ac:dyDescent="0.25">
      <c r="D411" s="99"/>
      <c r="E411" s="256" t="s">
        <v>432</v>
      </c>
      <c r="F411" s="226">
        <f>IFERROR(VLOOKUP(E411,Hoja1!$A$86:$E$377,5,FALSE),)</f>
        <v>0</v>
      </c>
      <c r="G411" s="245"/>
      <c r="H411" s="105"/>
    </row>
    <row r="412" spans="4:14" x14ac:dyDescent="0.25">
      <c r="D412" s="99"/>
      <c r="E412" s="256" t="s">
        <v>444</v>
      </c>
      <c r="F412" s="226">
        <f>IFERROR(VLOOKUP(E412,Hoja1!$A$86:$E$377,5,FALSE),)</f>
        <v>489482.99</v>
      </c>
      <c r="G412" s="245"/>
      <c r="H412" s="105"/>
    </row>
    <row r="413" spans="4:14" x14ac:dyDescent="0.25">
      <c r="D413" s="99"/>
      <c r="E413" s="256" t="s">
        <v>534</v>
      </c>
      <c r="F413" s="226">
        <f>IFERROR(VLOOKUP(E413,Hoja1!$A$86:$E$377,5,FALSE),)</f>
        <v>0</v>
      </c>
      <c r="G413" s="245"/>
      <c r="H413" s="105"/>
    </row>
    <row r="414" spans="4:14" x14ac:dyDescent="0.25">
      <c r="D414" s="99"/>
      <c r="E414" s="250" t="s">
        <v>728</v>
      </c>
      <c r="F414" s="226">
        <f>IFERROR(VLOOKUP(E414,Hoja1!$A$86:$E$377,5,FALSE),)</f>
        <v>0</v>
      </c>
      <c r="G414" s="245"/>
      <c r="H414" s="105"/>
    </row>
    <row r="415" spans="4:14" x14ac:dyDescent="0.25">
      <c r="D415" s="99"/>
      <c r="E415" s="225" t="s">
        <v>593</v>
      </c>
      <c r="F415" s="226">
        <f>IFERROR(VLOOKUP(E415,Hoja1!$A$86:$E$377,5,FALSE),)</f>
        <v>0</v>
      </c>
      <c r="G415" s="245"/>
      <c r="H415" s="105"/>
    </row>
    <row r="416" spans="4:14" x14ac:dyDescent="0.25">
      <c r="D416" s="372" t="s">
        <v>359</v>
      </c>
      <c r="E416" s="253" t="s">
        <v>718</v>
      </c>
      <c r="F416" s="226">
        <f>IFERROR(VLOOKUP(E416,Hoja1!$A$86:$E$377,5,FALSE),)</f>
        <v>0</v>
      </c>
      <c r="G416" s="303">
        <f>+F416+F417</f>
        <v>236115665.5</v>
      </c>
      <c r="H416" s="105"/>
      <c r="J416" s="208"/>
      <c r="K416" s="208"/>
      <c r="L416" s="208"/>
      <c r="M416" s="208"/>
      <c r="N416" s="208"/>
    </row>
    <row r="417" spans="4:14" x14ac:dyDescent="0.25">
      <c r="D417" s="372"/>
      <c r="E417" s="256" t="s">
        <v>359</v>
      </c>
      <c r="F417" s="226">
        <f>IFERROR(VLOOKUP(E417,Hoja1!$A$86:$E$377,5,FALSE),)</f>
        <v>236115665.5</v>
      </c>
      <c r="G417" s="245"/>
      <c r="H417" s="105"/>
      <c r="J417" s="208"/>
      <c r="K417" s="208"/>
      <c r="L417" s="208"/>
      <c r="M417" s="208"/>
      <c r="N417" s="208"/>
    </row>
    <row r="418" spans="4:14" x14ac:dyDescent="0.25">
      <c r="D418" s="257" t="s">
        <v>312</v>
      </c>
      <c r="E418" s="256"/>
      <c r="F418" s="226"/>
      <c r="G418" s="245">
        <f>+F418</f>
        <v>0</v>
      </c>
      <c r="H418" s="105"/>
    </row>
    <row r="419" spans="4:14" x14ac:dyDescent="0.25">
      <c r="D419" s="366" t="s">
        <v>352</v>
      </c>
      <c r="E419" s="258" t="s">
        <v>488</v>
      </c>
      <c r="F419" s="226">
        <f>IFERROR(VLOOKUP(E419,Hoja1!$A$86:$E$377,5,FALSE),)</f>
        <v>0</v>
      </c>
      <c r="G419" s="303">
        <f>SUM(F419:F426)</f>
        <v>3499846.7</v>
      </c>
      <c r="H419" s="105"/>
    </row>
    <row r="420" spans="4:14" x14ac:dyDescent="0.25">
      <c r="D420" s="366"/>
      <c r="E420" s="256" t="s">
        <v>465</v>
      </c>
      <c r="F420" s="226">
        <f>IFERROR(VLOOKUP(E420,Hoja1!$A$86:$E$377,5,FALSE),)</f>
        <v>3013363</v>
      </c>
      <c r="G420" s="245"/>
      <c r="H420" s="256"/>
      <c r="I420" s="343"/>
    </row>
    <row r="421" spans="4:14" x14ac:dyDescent="0.25">
      <c r="D421" s="366"/>
      <c r="E421" s="256" t="s">
        <v>549</v>
      </c>
      <c r="F421" s="226">
        <f>IFERROR(VLOOKUP(E421,Hoja1!$A$86:$E$377,5,FALSE),)</f>
        <v>0</v>
      </c>
      <c r="G421" s="245"/>
      <c r="H421" s="256"/>
      <c r="I421" s="343"/>
    </row>
    <row r="422" spans="4:14" x14ac:dyDescent="0.25">
      <c r="D422" s="366"/>
      <c r="E422" s="256" t="s">
        <v>476</v>
      </c>
      <c r="F422" s="226">
        <f>IFERROR(VLOOKUP(E422,Hoja1!$A$86:$E$377,5,FALSE),)</f>
        <v>442383.7</v>
      </c>
      <c r="G422" s="245"/>
      <c r="H422" s="256"/>
      <c r="I422" s="343"/>
    </row>
    <row r="423" spans="4:14" x14ac:dyDescent="0.25">
      <c r="D423" s="366"/>
      <c r="E423" s="256" t="s">
        <v>678</v>
      </c>
      <c r="F423" s="226">
        <f>IFERROR(VLOOKUP(E423,Hoja1!$A$86:$E$377,5,FALSE),)</f>
        <v>0</v>
      </c>
      <c r="G423" s="245"/>
      <c r="H423" s="256"/>
      <c r="I423" s="343"/>
    </row>
    <row r="424" spans="4:14" x14ac:dyDescent="0.25">
      <c r="D424" s="366"/>
      <c r="E424" s="256" t="s">
        <v>619</v>
      </c>
      <c r="F424" s="226">
        <f>IFERROR(VLOOKUP(E424,Hoja1!$A$86:$E$377,5,FALSE),)</f>
        <v>0</v>
      </c>
      <c r="G424" s="245"/>
      <c r="H424" s="256"/>
      <c r="I424" s="343"/>
    </row>
    <row r="425" spans="4:14" x14ac:dyDescent="0.25">
      <c r="D425" s="366"/>
      <c r="E425" s="256" t="s">
        <v>669</v>
      </c>
      <c r="F425" s="226">
        <f>IFERROR(VLOOKUP(E425,Hoja1!$A$86:$E$377,5,FALSE),)</f>
        <v>0</v>
      </c>
      <c r="G425" s="245"/>
      <c r="H425" s="256"/>
      <c r="I425" s="343"/>
    </row>
    <row r="426" spans="4:14" x14ac:dyDescent="0.25">
      <c r="D426" s="366"/>
      <c r="E426" s="256" t="str">
        <f>+Hoja1!A267</f>
        <v>426880000 - Tasas Municipales Gs Campo</v>
      </c>
      <c r="F426" s="226">
        <f>IFERROR(VLOOKUP(E426,Hoja1!$A$86:$E$377,5,FALSE),)</f>
        <v>44100</v>
      </c>
      <c r="G426" s="245"/>
      <c r="H426" s="256"/>
      <c r="I426" s="343"/>
    </row>
    <row r="427" spans="4:14" x14ac:dyDescent="0.25">
      <c r="D427" s="254" t="s">
        <v>503</v>
      </c>
      <c r="E427" s="254"/>
      <c r="F427" s="226">
        <f>IFERROR(VLOOKUP(D427,Hoja1!$A$86:$E$377,5,FALSE),)</f>
        <v>51916602.990000002</v>
      </c>
      <c r="G427" s="303">
        <f>+F427</f>
        <v>51916602.990000002</v>
      </c>
      <c r="H427" s="105"/>
    </row>
    <row r="428" spans="4:14" x14ac:dyDescent="0.25">
      <c r="D428" s="99" t="s">
        <v>169</v>
      </c>
      <c r="E428" s="99"/>
      <c r="F428" s="226"/>
      <c r="G428" s="303">
        <f>SUM(F429:F436)</f>
        <v>768315.33</v>
      </c>
      <c r="H428" s="105"/>
    </row>
    <row r="429" spans="4:14" x14ac:dyDescent="0.25">
      <c r="D429" s="99"/>
      <c r="E429" s="256" t="s">
        <v>547</v>
      </c>
      <c r="F429" s="226">
        <f>IFERROR(VLOOKUP(E429,Hoja1!$A$86:$E$377,5,FALSE),)</f>
        <v>0</v>
      </c>
      <c r="G429" s="245"/>
      <c r="H429" s="105"/>
    </row>
    <row r="430" spans="4:14" x14ac:dyDescent="0.25">
      <c r="D430" s="371"/>
      <c r="E430" s="99" t="s">
        <v>442</v>
      </c>
      <c r="F430" s="226">
        <f>IFERROR(VLOOKUP(E430,Hoja1!$A$86:$E$377,5,FALSE),)</f>
        <v>615911.61</v>
      </c>
      <c r="G430" s="245"/>
      <c r="H430" s="105"/>
    </row>
    <row r="431" spans="4:14" x14ac:dyDescent="0.25">
      <c r="D431" s="371"/>
      <c r="E431" s="99" t="s">
        <v>451</v>
      </c>
      <c r="F431" s="226">
        <f>IFERROR(VLOOKUP(E431,Hoja1!$A$86:$E$377,5,FALSE),)</f>
        <v>152403.72</v>
      </c>
      <c r="G431" s="245"/>
      <c r="H431" s="105"/>
    </row>
    <row r="432" spans="4:14" x14ac:dyDescent="0.25">
      <c r="D432" s="371"/>
      <c r="E432" s="99" t="s">
        <v>472</v>
      </c>
      <c r="F432" s="226">
        <f>IFERROR(VLOOKUP(E432,Hoja1!$A$86:$E$377,5,FALSE),)</f>
        <v>0</v>
      </c>
      <c r="G432" s="245"/>
      <c r="H432" s="105"/>
    </row>
    <row r="433" spans="4:9" x14ac:dyDescent="0.25">
      <c r="D433" s="371"/>
      <c r="E433" s="228" t="s">
        <v>559</v>
      </c>
      <c r="F433" s="226">
        <f>IFERROR(VLOOKUP(E433,Hoja1!$A$86:$E$377,5,FALSE),)</f>
        <v>0</v>
      </c>
      <c r="G433" s="245"/>
      <c r="H433" s="105"/>
    </row>
    <row r="434" spans="4:9" x14ac:dyDescent="0.25">
      <c r="D434" s="371"/>
      <c r="E434" s="225" t="s">
        <v>571</v>
      </c>
      <c r="F434" s="226">
        <f>IFERROR(VLOOKUP(E434,Hoja1!$A$86:$E$377,5,FALSE),)</f>
        <v>0</v>
      </c>
      <c r="G434" s="245"/>
      <c r="H434" s="105"/>
    </row>
    <row r="435" spans="4:9" x14ac:dyDescent="0.25">
      <c r="D435" s="371"/>
      <c r="E435" s="232" t="s">
        <v>610</v>
      </c>
      <c r="F435" s="226">
        <f>IFERROR(VLOOKUP(E435,Hoja1!$A$86:$E$377,5,FALSE),)</f>
        <v>0</v>
      </c>
      <c r="G435" s="245"/>
      <c r="H435" s="105"/>
    </row>
    <row r="436" spans="4:9" x14ac:dyDescent="0.25">
      <c r="D436" s="371"/>
      <c r="E436" s="232" t="s">
        <v>623</v>
      </c>
      <c r="F436" s="226">
        <f>IFERROR(VLOOKUP(E436,Hoja1!$A$86:$E$377,5,FALSE),)</f>
        <v>0</v>
      </c>
      <c r="G436" s="245"/>
      <c r="H436" s="105"/>
    </row>
    <row r="437" spans="4:9" x14ac:dyDescent="0.25">
      <c r="D437" s="99" t="s">
        <v>170</v>
      </c>
      <c r="E437" s="99"/>
      <c r="F437" s="226"/>
      <c r="G437" s="303">
        <f>SUM(F437:F441)</f>
        <v>17921832.18</v>
      </c>
      <c r="H437" s="105"/>
    </row>
    <row r="438" spans="4:9" x14ac:dyDescent="0.25">
      <c r="D438" s="99"/>
      <c r="E438" s="256" t="s">
        <v>433</v>
      </c>
      <c r="F438" s="226">
        <f>IFERROR(VLOOKUP(E438,Hoja1!$A$86:$E$377,5,FALSE),)</f>
        <v>1413626.44</v>
      </c>
      <c r="G438" s="245"/>
      <c r="H438" s="105"/>
    </row>
    <row r="439" spans="4:9" x14ac:dyDescent="0.25">
      <c r="D439" s="99"/>
      <c r="E439" s="256" t="s">
        <v>434</v>
      </c>
      <c r="F439" s="226">
        <f>IFERROR(VLOOKUP(E439,Hoja1!$A$86:$E$377,5,FALSE),)</f>
        <v>16508205.74</v>
      </c>
      <c r="G439" s="245"/>
      <c r="H439" s="105"/>
    </row>
    <row r="440" spans="4:9" x14ac:dyDescent="0.25">
      <c r="D440" s="99"/>
      <c r="E440" s="256" t="s">
        <v>532</v>
      </c>
      <c r="F440" s="226">
        <f>IFERROR(VLOOKUP(E440,Hoja1!$A$86:$E$377,5,FALSE),)</f>
        <v>0</v>
      </c>
      <c r="G440" s="245"/>
      <c r="H440" s="105"/>
    </row>
    <row r="441" spans="4:9" x14ac:dyDescent="0.25">
      <c r="D441" s="99"/>
      <c r="E441" s="256" t="s">
        <v>739</v>
      </c>
      <c r="F441" s="226">
        <f>IFERROR(VLOOKUP(E441,Hoja1!$A$86:$E$377,5,FALSE),)</f>
        <v>0</v>
      </c>
      <c r="G441" s="245"/>
      <c r="H441" s="105"/>
    </row>
    <row r="442" spans="4:9" x14ac:dyDescent="0.25">
      <c r="D442" s="99" t="s">
        <v>171</v>
      </c>
      <c r="E442" s="203"/>
      <c r="F442" s="226"/>
      <c r="G442" s="245">
        <f>+F442</f>
        <v>0</v>
      </c>
      <c r="H442" s="105"/>
    </row>
    <row r="443" spans="4:9" x14ac:dyDescent="0.25">
      <c r="D443" s="334" t="s">
        <v>363</v>
      </c>
      <c r="E443" s="116"/>
      <c r="F443" s="226"/>
      <c r="G443" s="245">
        <f>SUM(F443:F445)</f>
        <v>0</v>
      </c>
      <c r="H443" s="105"/>
    </row>
    <row r="444" spans="4:9" ht="13.5" customHeight="1" x14ac:dyDescent="0.25">
      <c r="D444" s="334"/>
      <c r="E444" s="256" t="s">
        <v>435</v>
      </c>
      <c r="F444" s="226">
        <f>IFERROR(VLOOKUP(E444,Hoja1!$A$86:$E$377,5,FALSE),)</f>
        <v>0</v>
      </c>
      <c r="G444" s="245"/>
      <c r="H444" s="105"/>
    </row>
    <row r="445" spans="4:9" x14ac:dyDescent="0.25">
      <c r="D445" s="334"/>
      <c r="E445" s="256" t="s">
        <v>667</v>
      </c>
      <c r="F445" s="226">
        <f>IFERROR(VLOOKUP(E445,Hoja1!$A$86:$E$377,5,FALSE),)</f>
        <v>0</v>
      </c>
      <c r="G445" s="245"/>
      <c r="H445" s="105"/>
    </row>
    <row r="446" spans="4:9" x14ac:dyDescent="0.25">
      <c r="D446" s="254" t="s">
        <v>364</v>
      </c>
      <c r="E446" s="203"/>
      <c r="F446" s="226"/>
      <c r="G446" s="303">
        <f>SUM(F447:F450)</f>
        <v>101483.28</v>
      </c>
      <c r="H446" s="105"/>
    </row>
    <row r="447" spans="4:9" x14ac:dyDescent="0.25">
      <c r="D447" s="373"/>
      <c r="E447" s="258" t="s">
        <v>527</v>
      </c>
      <c r="F447" s="226">
        <f>IFERROR(VLOOKUP(E447,Hoja1!$A$86:$E$377,5,FALSE),)</f>
        <v>0</v>
      </c>
      <c r="G447" s="245"/>
      <c r="H447" s="105"/>
    </row>
    <row r="448" spans="4:9" x14ac:dyDescent="0.25">
      <c r="D448" s="373"/>
      <c r="E448" s="256" t="s">
        <v>464</v>
      </c>
      <c r="F448" s="226">
        <f>IFERROR(VLOOKUP(E448,Hoja1!$A$86:$E$377,5,FALSE),)</f>
        <v>101483.28</v>
      </c>
      <c r="G448" s="245"/>
      <c r="H448" s="256"/>
      <c r="I448" s="343"/>
    </row>
    <row r="449" spans="4:9" x14ac:dyDescent="0.25">
      <c r="D449" s="373"/>
      <c r="E449" s="228" t="s">
        <v>557</v>
      </c>
      <c r="F449" s="226">
        <f>IFERROR(VLOOKUP(E449,Hoja1!$A$86:$E$377,5,FALSE),)</f>
        <v>0</v>
      </c>
      <c r="G449" s="245"/>
      <c r="H449" s="256"/>
      <c r="I449" s="343"/>
    </row>
    <row r="450" spans="4:9" x14ac:dyDescent="0.25">
      <c r="D450" s="373"/>
      <c r="E450" s="225" t="s">
        <v>595</v>
      </c>
      <c r="F450" s="226">
        <f>IFERROR(VLOOKUP(E450,Hoja1!$A$86:$E$377,5,FALSE),)</f>
        <v>0</v>
      </c>
      <c r="G450" s="245"/>
      <c r="H450" s="256"/>
      <c r="I450" s="343"/>
    </row>
    <row r="451" spans="4:9" x14ac:dyDescent="0.25">
      <c r="D451" s="308" t="s">
        <v>287</v>
      </c>
      <c r="E451" s="309"/>
      <c r="F451" s="310"/>
      <c r="G451" s="303">
        <f>+F452+F453+F454</f>
        <v>8441197.290000001</v>
      </c>
      <c r="H451" s="105"/>
    </row>
    <row r="452" spans="4:9" x14ac:dyDescent="0.25">
      <c r="D452" s="99"/>
      <c r="E452" s="225" t="s">
        <v>586</v>
      </c>
      <c r="F452" s="226">
        <f>IFERROR(VLOOKUP(E452,Hoja1!$A$86:$E$377,5,FALSE),)</f>
        <v>0</v>
      </c>
      <c r="G452" s="245"/>
      <c r="H452" s="105"/>
    </row>
    <row r="453" spans="4:9" x14ac:dyDescent="0.25">
      <c r="D453" s="99"/>
      <c r="E453" s="225" t="s">
        <v>587</v>
      </c>
      <c r="F453" s="226">
        <f>IFERROR(VLOOKUP(E453,Hoja1!$A$86:$E$377,5,FALSE),)</f>
        <v>0</v>
      </c>
      <c r="G453" s="245"/>
      <c r="H453" s="105"/>
    </row>
    <row r="454" spans="4:9" x14ac:dyDescent="0.25">
      <c r="D454" s="99"/>
      <c r="E454" s="256" t="s">
        <v>607</v>
      </c>
      <c r="F454" s="226">
        <f>IFERROR(VLOOKUP(E454,Hoja1!$A$86:$E$377,5,FALSE),)</f>
        <v>8441197.290000001</v>
      </c>
      <c r="G454" s="245"/>
      <c r="H454" s="105"/>
    </row>
    <row r="455" spans="4:9" x14ac:dyDescent="0.25">
      <c r="D455" s="99" t="s">
        <v>172</v>
      </c>
      <c r="E455" s="203"/>
      <c r="F455" s="226"/>
      <c r="G455" s="303">
        <f>SUM(F456:F459)</f>
        <v>14667167.220000001</v>
      </c>
      <c r="H455" s="105"/>
    </row>
    <row r="456" spans="4:9" x14ac:dyDescent="0.25">
      <c r="D456" s="99"/>
      <c r="E456" s="256" t="s">
        <v>436</v>
      </c>
      <c r="F456" s="226">
        <f>IFERROR(VLOOKUP(E456,Hoja1!$A$86:$E$377,5,FALSE),)</f>
        <v>299800</v>
      </c>
      <c r="G456" s="245"/>
      <c r="H456" s="105"/>
    </row>
    <row r="457" spans="4:9" x14ac:dyDescent="0.25">
      <c r="D457" s="99"/>
      <c r="E457" s="256" t="s">
        <v>437</v>
      </c>
      <c r="F457" s="226">
        <f>IFERROR(VLOOKUP(E457,Hoja1!$A$86:$E$377,5,FALSE),)</f>
        <v>14367367.220000001</v>
      </c>
      <c r="G457" s="245"/>
      <c r="H457" s="105"/>
    </row>
    <row r="458" spans="4:9" x14ac:dyDescent="0.25">
      <c r="D458" s="99"/>
      <c r="E458" s="256" t="s">
        <v>616</v>
      </c>
      <c r="F458" s="226">
        <f>IFERROR(VLOOKUP(E458,Hoja1!$A$86:$E$377,5,FALSE),)</f>
        <v>0</v>
      </c>
      <c r="G458" s="245"/>
      <c r="H458" s="105"/>
    </row>
    <row r="459" spans="4:9" x14ac:dyDescent="0.25">
      <c r="D459" s="99"/>
      <c r="E459" s="256" t="s">
        <v>713</v>
      </c>
      <c r="F459" s="226">
        <f>IFERROR(VLOOKUP(E459,Hoja1!$A$86:$E$377,5,FALSE),)</f>
        <v>0</v>
      </c>
      <c r="G459" s="245"/>
      <c r="H459" s="105"/>
    </row>
    <row r="460" spans="4:9" x14ac:dyDescent="0.25">
      <c r="D460" s="99" t="s">
        <v>173</v>
      </c>
      <c r="E460" s="99"/>
      <c r="F460" s="226">
        <f>IFERROR(VLOOKUP(D460,Hoja1!$A$86:$C$353,3,FALSE),)</f>
        <v>0</v>
      </c>
      <c r="G460" s="245">
        <f>+F460</f>
        <v>0</v>
      </c>
      <c r="H460" s="105"/>
    </row>
    <row r="461" spans="4:9" x14ac:dyDescent="0.25">
      <c r="D461" s="103" t="s">
        <v>174</v>
      </c>
      <c r="E461" s="103"/>
      <c r="F461" s="226">
        <f>IFERROR(VLOOKUP(D461,Hoja1!$A$86:$C$353,3,FALSE),)</f>
        <v>0</v>
      </c>
      <c r="G461" s="245">
        <f>+F461</f>
        <v>0</v>
      </c>
      <c r="H461" s="105"/>
    </row>
    <row r="462" spans="4:9" x14ac:dyDescent="0.25">
      <c r="D462" s="257" t="s">
        <v>332</v>
      </c>
      <c r="E462" s="256"/>
      <c r="F462" s="226"/>
      <c r="G462" s="245">
        <f>+SUM(F463:F464)</f>
        <v>0</v>
      </c>
      <c r="H462" s="105"/>
    </row>
    <row r="463" spans="4:9" x14ac:dyDescent="0.25">
      <c r="D463" s="257"/>
      <c r="E463" s="256" t="s">
        <v>680</v>
      </c>
      <c r="F463" s="226">
        <f>IFERROR(VLOOKUP(E463,Hoja1!$A$86:$E$377,5,FALSE),)</f>
        <v>0</v>
      </c>
      <c r="G463" s="245"/>
      <c r="H463" s="105"/>
    </row>
    <row r="464" spans="4:9" x14ac:dyDescent="0.25">
      <c r="D464" s="257"/>
      <c r="E464" s="251" t="s">
        <v>717</v>
      </c>
      <c r="F464" s="226">
        <f>IFERROR(VLOOKUP(E464,Hoja1!$A$86:$E$377,5,FALSE),)</f>
        <v>0</v>
      </c>
      <c r="G464" s="245"/>
      <c r="H464" s="105"/>
    </row>
    <row r="465" spans="4:9" x14ac:dyDescent="0.25">
      <c r="D465" s="99" t="s">
        <v>175</v>
      </c>
      <c r="E465" s="99" t="s">
        <v>640</v>
      </c>
      <c r="F465" s="226">
        <f>IFERROR(VLOOKUP(E465,Hoja1!$A$86:$E$377,5,FALSE),)</f>
        <v>0</v>
      </c>
      <c r="G465" s="303">
        <f>SUM(F465:F473)</f>
        <v>15451043.76</v>
      </c>
      <c r="H465" s="178"/>
    </row>
    <row r="466" spans="4:9" ht="11.25" customHeight="1" x14ac:dyDescent="0.25">
      <c r="D466" s="99"/>
      <c r="E466" s="256" t="s">
        <v>438</v>
      </c>
      <c r="F466" s="226">
        <f>IFERROR(VLOOKUP(E466,Hoja1!$A$86:$E$377,5,FALSE),)</f>
        <v>7468721</v>
      </c>
      <c r="G466" s="245"/>
      <c r="H466" s="178"/>
    </row>
    <row r="467" spans="4:9" ht="11.25" customHeight="1" x14ac:dyDescent="0.25">
      <c r="D467" s="99"/>
      <c r="E467" s="256" t="s">
        <v>793</v>
      </c>
      <c r="F467" s="226">
        <f>IFERROR(VLOOKUP(E467,Hoja1!$A$86:$E$377,5,FALSE),)</f>
        <v>7982322.7599999998</v>
      </c>
      <c r="G467" s="245"/>
      <c r="H467" s="178"/>
    </row>
    <row r="468" spans="4:9" x14ac:dyDescent="0.25">
      <c r="D468" s="99"/>
      <c r="E468" s="256" t="s">
        <v>462</v>
      </c>
      <c r="F468" s="226">
        <f>IFERROR(VLOOKUP(E468,Hoja1!$A$86:$E$377,5,FALSE),)</f>
        <v>0</v>
      </c>
      <c r="G468" s="245"/>
      <c r="H468" s="256"/>
      <c r="I468" s="343"/>
    </row>
    <row r="469" spans="4:9" x14ac:dyDescent="0.25">
      <c r="D469" s="99"/>
      <c r="E469" s="228" t="s">
        <v>562</v>
      </c>
      <c r="F469" s="226">
        <f>IFERROR(VLOOKUP(E469,Hoja1!$A$86:$E$377,5,FALSE),)</f>
        <v>0</v>
      </c>
      <c r="G469" s="245"/>
      <c r="H469" s="256"/>
      <c r="I469" s="343"/>
    </row>
    <row r="470" spans="4:9" x14ac:dyDescent="0.25">
      <c r="D470" s="99"/>
      <c r="E470" s="225" t="s">
        <v>569</v>
      </c>
      <c r="F470" s="226">
        <f>IFERROR(VLOOKUP(E470,Hoja1!$A$86:$E$377,5,FALSE),)</f>
        <v>0</v>
      </c>
      <c r="G470" s="245"/>
      <c r="H470" s="256"/>
      <c r="I470" s="343"/>
    </row>
    <row r="471" spans="4:9" x14ac:dyDescent="0.25">
      <c r="D471" s="99"/>
      <c r="E471" s="230" t="s">
        <v>606</v>
      </c>
      <c r="F471" s="226">
        <f>IFERROR(VLOOKUP(E471,Hoja1!$A$86:$E$377,5,FALSE),)</f>
        <v>0</v>
      </c>
      <c r="G471" s="245"/>
      <c r="H471" s="256"/>
      <c r="I471" s="343"/>
    </row>
    <row r="472" spans="4:9" x14ac:dyDescent="0.25">
      <c r="D472" s="99"/>
      <c r="E472" s="256" t="s">
        <v>671</v>
      </c>
      <c r="F472" s="226">
        <f>IFERROR(VLOOKUP(E472,Hoja1!$A$86:$E$377,5,FALSE),)</f>
        <v>0</v>
      </c>
      <c r="G472" s="245"/>
      <c r="H472" s="256"/>
      <c r="I472" s="343"/>
    </row>
    <row r="473" spans="4:9" x14ac:dyDescent="0.25">
      <c r="D473" s="99"/>
      <c r="E473" s="230" t="s">
        <v>630</v>
      </c>
      <c r="F473" s="226">
        <f>IFERROR(VLOOKUP(E473,Hoja1!$A$86:$E$377,5,FALSE),)</f>
        <v>0</v>
      </c>
      <c r="G473" s="245"/>
      <c r="H473" s="256"/>
      <c r="I473" s="343"/>
    </row>
    <row r="474" spans="4:9" ht="10.95" customHeight="1" x14ac:dyDescent="0.25">
      <c r="D474" s="103" t="s">
        <v>176</v>
      </c>
      <c r="E474" s="203"/>
      <c r="F474" s="226"/>
      <c r="G474" s="245">
        <f>SUM(F474:F477)</f>
        <v>0</v>
      </c>
      <c r="H474" s="105"/>
    </row>
    <row r="475" spans="4:9" x14ac:dyDescent="0.25">
      <c r="D475" s="103"/>
      <c r="E475" s="256" t="s">
        <v>439</v>
      </c>
      <c r="F475" s="226">
        <f>IFERROR(VLOOKUP(E475,Hoja1!$A$86:$E$377,5,FALSE),)</f>
        <v>0</v>
      </c>
      <c r="G475" s="245"/>
      <c r="H475" s="105"/>
    </row>
    <row r="476" spans="4:9" x14ac:dyDescent="0.25">
      <c r="D476" s="103"/>
      <c r="E476" s="256" t="s">
        <v>440</v>
      </c>
      <c r="F476" s="226">
        <f>IFERROR(VLOOKUP(E476,Hoja1!$A$86:$E$377,5,FALSE),)</f>
        <v>0</v>
      </c>
      <c r="G476" s="245"/>
      <c r="H476" s="105"/>
    </row>
    <row r="477" spans="4:9" x14ac:dyDescent="0.25">
      <c r="D477" s="103"/>
      <c r="E477" s="256" t="s">
        <v>668</v>
      </c>
      <c r="F477" s="226">
        <f>IFERROR(VLOOKUP(E477,Hoja1!$A$86:$E$377,5,FALSE),)</f>
        <v>0</v>
      </c>
      <c r="G477" s="245"/>
      <c r="H477" s="105"/>
    </row>
    <row r="478" spans="4:9" x14ac:dyDescent="0.25">
      <c r="D478" s="362" t="s">
        <v>377</v>
      </c>
      <c r="E478" s="203"/>
      <c r="F478" s="226">
        <f>IFERROR(VLOOKUP(D478,Hoja1!$A$86:$C$353,5,FALSE),)</f>
        <v>0</v>
      </c>
      <c r="G478" s="245">
        <f>+F478</f>
        <v>0</v>
      </c>
      <c r="H478" s="105"/>
    </row>
    <row r="479" spans="4:9" x14ac:dyDescent="0.25">
      <c r="D479" s="99" t="s">
        <v>177</v>
      </c>
      <c r="E479" s="203"/>
      <c r="F479" s="226">
        <f>IFERROR(VLOOKUP(D479,Hoja1!$A$86:$C$353,5,FALSE),)</f>
        <v>0</v>
      </c>
      <c r="G479" s="245">
        <f>+F479</f>
        <v>0</v>
      </c>
      <c r="H479" s="105"/>
    </row>
    <row r="480" spans="4:9" x14ac:dyDescent="0.25">
      <c r="D480" s="99" t="s">
        <v>282</v>
      </c>
      <c r="E480" s="203"/>
      <c r="F480" s="226"/>
      <c r="G480" s="245">
        <f>+F480+F481+F482</f>
        <v>0</v>
      </c>
      <c r="H480" s="105"/>
    </row>
    <row r="481" spans="4:8" ht="11.25" customHeight="1" x14ac:dyDescent="0.25">
      <c r="D481" s="99"/>
      <c r="E481" s="256" t="s">
        <v>450</v>
      </c>
      <c r="F481" s="226">
        <f>IFERROR(VLOOKUP(E481,Hoja1!$A$86:$E$377,5,FALSE),)</f>
        <v>0</v>
      </c>
      <c r="G481" s="245"/>
      <c r="H481" s="105"/>
    </row>
    <row r="482" spans="4:8" ht="11.25" customHeight="1" x14ac:dyDescent="0.25">
      <c r="D482" s="99"/>
      <c r="E482" s="256" t="s">
        <v>602</v>
      </c>
      <c r="F482" s="226">
        <f>IFERROR(VLOOKUP(E482,Hoja1!$A$86:$E$377,5,FALSE),)</f>
        <v>0</v>
      </c>
      <c r="G482" s="245"/>
      <c r="H482" s="105"/>
    </row>
    <row r="483" spans="4:8" ht="11.25" customHeight="1" x14ac:dyDescent="0.25">
      <c r="D483" s="99" t="s">
        <v>178</v>
      </c>
      <c r="E483" s="256" t="s">
        <v>520</v>
      </c>
      <c r="F483" s="226">
        <f>IFERROR(VLOOKUP(E483,Hoja1!$A$86:$E$377,5,FALSE),)</f>
        <v>0</v>
      </c>
      <c r="G483" s="303">
        <f>SUM(F483:F485)</f>
        <v>4013596.99</v>
      </c>
      <c r="H483" s="105"/>
    </row>
    <row r="484" spans="4:8" x14ac:dyDescent="0.25">
      <c r="D484" s="99"/>
      <c r="E484" s="256" t="s">
        <v>441</v>
      </c>
      <c r="F484" s="226">
        <f>IFERROR(VLOOKUP(E484,Hoja1!$A$86:$E$377,5,FALSE),)</f>
        <v>0</v>
      </c>
      <c r="G484" s="245"/>
      <c r="H484" s="105"/>
    </row>
    <row r="485" spans="4:8" x14ac:dyDescent="0.25">
      <c r="D485" s="99"/>
      <c r="E485" s="256" t="s">
        <v>475</v>
      </c>
      <c r="F485" s="226">
        <f>IFERROR(VLOOKUP(E485,Hoja1!$A$86:$E$377,5,FALSE),)</f>
        <v>4013596.99</v>
      </c>
      <c r="G485" s="245"/>
      <c r="H485" s="105"/>
    </row>
    <row r="486" spans="4:8" x14ac:dyDescent="0.25">
      <c r="D486" s="99" t="s">
        <v>281</v>
      </c>
      <c r="E486" s="252" t="s">
        <v>752</v>
      </c>
      <c r="F486" s="226">
        <f>IFERROR(VLOOKUP(E486,Hoja1!$A$86:$E$377,5,FALSE),)</f>
        <v>0</v>
      </c>
      <c r="G486" s="245">
        <f t="shared" ref="G486:G491" si="3">+F486</f>
        <v>0</v>
      </c>
    </row>
    <row r="487" spans="4:8" x14ac:dyDescent="0.25">
      <c r="D487" s="99" t="s">
        <v>279</v>
      </c>
      <c r="E487" s="99"/>
      <c r="F487" s="226">
        <f>IFERROR(VLOOKUP(D487,Hoja1!$A$86:$E$377,5,FALSE),)</f>
        <v>0</v>
      </c>
      <c r="G487" s="245">
        <f t="shared" si="3"/>
        <v>0</v>
      </c>
    </row>
    <row r="488" spans="4:8" x14ac:dyDescent="0.25">
      <c r="D488" s="257" t="s">
        <v>366</v>
      </c>
      <c r="E488" s="256"/>
      <c r="F488" s="226">
        <f>IFERROR(VLOOKUP(D488,Hoja1!$A$86:$E$377,5,FALSE),)</f>
        <v>0</v>
      </c>
      <c r="G488" s="245">
        <f t="shared" si="3"/>
        <v>0</v>
      </c>
    </row>
    <row r="489" spans="4:8" x14ac:dyDescent="0.25">
      <c r="D489" s="254" t="s">
        <v>446</v>
      </c>
      <c r="E489" s="132"/>
      <c r="F489" s="226">
        <f>IFERROR(VLOOKUP(D489,Hoja1!$A$86:$E$377,5,FALSE),)</f>
        <v>4150213.41</v>
      </c>
      <c r="G489" s="303">
        <f t="shared" si="3"/>
        <v>4150213.41</v>
      </c>
    </row>
    <row r="490" spans="4:8" x14ac:dyDescent="0.25">
      <c r="D490" s="99" t="s">
        <v>452</v>
      </c>
      <c r="F490" s="226">
        <f>IFERROR(VLOOKUP(D490,Hoja1!$A$86:$E$377,5,FALSE),)</f>
        <v>0</v>
      </c>
      <c r="G490" s="245">
        <f t="shared" si="3"/>
        <v>0</v>
      </c>
    </row>
    <row r="491" spans="4:8" x14ac:dyDescent="0.25">
      <c r="D491" s="254" t="s">
        <v>454</v>
      </c>
      <c r="F491" s="226">
        <f>IFERROR(VLOOKUP(D491,Hoja1!$A$86:$E$377,5,FALSE),)</f>
        <v>0</v>
      </c>
      <c r="G491" s="245">
        <f t="shared" si="3"/>
        <v>0</v>
      </c>
    </row>
    <row r="492" spans="4:8" x14ac:dyDescent="0.25">
      <c r="D492" s="99" t="s">
        <v>470</v>
      </c>
      <c r="F492" s="226">
        <f>IFERROR(VLOOKUP(D492,Hoja1!$A$86:$E$377,5,FALSE),)</f>
        <v>226987</v>
      </c>
      <c r="G492" s="303">
        <f t="shared" ref="G492:G504" si="4">+F492</f>
        <v>226987</v>
      </c>
    </row>
    <row r="493" spans="4:8" x14ac:dyDescent="0.25">
      <c r="D493" s="254" t="s">
        <v>473</v>
      </c>
      <c r="F493" s="226">
        <f>IFERROR(VLOOKUP(D493,Hoja1!$A$86:$E$377,5,FALSE),)</f>
        <v>914304.70000000007</v>
      </c>
      <c r="G493" s="303">
        <f>+F493</f>
        <v>914304.70000000007</v>
      </c>
    </row>
    <row r="494" spans="4:8" x14ac:dyDescent="0.25">
      <c r="D494" s="257" t="s">
        <v>599</v>
      </c>
      <c r="F494" s="226">
        <f>IFERROR(VLOOKUP(D494,Hoja1!$A$86:$E$377,5,FALSE),)</f>
        <v>0</v>
      </c>
      <c r="G494" s="245">
        <f t="shared" si="4"/>
        <v>0</v>
      </c>
    </row>
    <row r="495" spans="4:8" x14ac:dyDescent="0.25">
      <c r="D495" s="257" t="s">
        <v>548</v>
      </c>
      <c r="E495" s="224"/>
      <c r="F495" s="226">
        <f>IFERROR(VLOOKUP(D495,Hoja1!$A$86:$E$377,5,FALSE),)</f>
        <v>0</v>
      </c>
      <c r="G495" s="245">
        <f t="shared" si="4"/>
        <v>0</v>
      </c>
    </row>
    <row r="496" spans="4:8" x14ac:dyDescent="0.25">
      <c r="D496" s="374" t="s">
        <v>561</v>
      </c>
      <c r="F496" s="226">
        <f>IFERROR(VLOOKUP(D496,Hoja1!$A$86:$E$377,5,FALSE),)</f>
        <v>0</v>
      </c>
      <c r="G496" s="245">
        <f>+F496</f>
        <v>0</v>
      </c>
    </row>
    <row r="497" spans="1:11" x14ac:dyDescent="0.25">
      <c r="D497" s="257" t="s">
        <v>570</v>
      </c>
      <c r="F497" s="226">
        <f>IFERROR(VLOOKUP(D497,Hoja1!$A$86:$E$377,5,FALSE),)</f>
        <v>0</v>
      </c>
      <c r="G497" s="245">
        <f t="shared" si="4"/>
        <v>0</v>
      </c>
    </row>
    <row r="498" spans="1:11" x14ac:dyDescent="0.25">
      <c r="D498" s="257" t="s">
        <v>583</v>
      </c>
      <c r="F498" s="226">
        <f>IFERROR(VLOOKUP(D498,Hoja1!$A$86:$E$377,5,FALSE),)</f>
        <v>0</v>
      </c>
      <c r="G498" s="245">
        <f t="shared" si="4"/>
        <v>0</v>
      </c>
    </row>
    <row r="499" spans="1:11" x14ac:dyDescent="0.25">
      <c r="D499" s="375" t="s">
        <v>814</v>
      </c>
      <c r="E499" s="296" t="s">
        <v>814</v>
      </c>
      <c r="F499" s="226">
        <f>IFERROR(VLOOKUP(D499,Hoja1!$A$86:$E$377,5,FALSE),)</f>
        <v>358719.18</v>
      </c>
      <c r="G499" s="303">
        <f t="shared" si="4"/>
        <v>358719.18</v>
      </c>
    </row>
    <row r="500" spans="1:11" x14ac:dyDescent="0.25">
      <c r="D500" s="257" t="s">
        <v>584</v>
      </c>
      <c r="F500" s="226">
        <f>IFERROR(VLOOKUP(D500,Hoja1!$A$86:$E$377,5,FALSE),)</f>
        <v>0</v>
      </c>
      <c r="G500" s="245">
        <f t="shared" si="4"/>
        <v>0</v>
      </c>
      <c r="H500" s="135"/>
    </row>
    <row r="501" spans="1:11" x14ac:dyDescent="0.25">
      <c r="D501" s="257" t="s">
        <v>636</v>
      </c>
      <c r="F501" s="226">
        <f>IFERROR(VLOOKUP(D501,Hoja1!$A$86:$E$377,5,FALSE),)</f>
        <v>0</v>
      </c>
      <c r="G501" s="245">
        <f>+F501</f>
        <v>0</v>
      </c>
      <c r="H501" s="135"/>
    </row>
    <row r="502" spans="1:11" x14ac:dyDescent="0.25">
      <c r="D502" s="257" t="s">
        <v>637</v>
      </c>
      <c r="F502" s="226">
        <f>IFERROR(VLOOKUP(D502,Hoja1!$A$86:$E$377,5,FALSE),)</f>
        <v>0</v>
      </c>
      <c r="G502" s="245">
        <f t="shared" si="4"/>
        <v>0</v>
      </c>
      <c r="H502" s="135"/>
    </row>
    <row r="503" spans="1:11" x14ac:dyDescent="0.25">
      <c r="D503" s="257" t="s">
        <v>638</v>
      </c>
      <c r="F503" s="226">
        <f>IFERROR(VLOOKUP(D503,Hoja1!$A$86:$E$377,5,FALSE),)</f>
        <v>0</v>
      </c>
      <c r="G503" s="245">
        <f t="shared" si="4"/>
        <v>0</v>
      </c>
      <c r="H503" s="135"/>
    </row>
    <row r="504" spans="1:11" x14ac:dyDescent="0.25">
      <c r="D504" s="257" t="s">
        <v>639</v>
      </c>
      <c r="F504" s="226">
        <f>IFERROR(VLOOKUP(D504,Hoja1!$A$86:$E$377,5,FALSE),)</f>
        <v>0</v>
      </c>
      <c r="G504" s="245">
        <f t="shared" si="4"/>
        <v>0</v>
      </c>
    </row>
    <row r="505" spans="1:11" x14ac:dyDescent="0.25">
      <c r="D505" s="376" t="s">
        <v>743</v>
      </c>
      <c r="F505" s="226">
        <f>IFERROR(VLOOKUP(D505,Hoja1!$A$86:$E$377,5,FALSE),)</f>
        <v>0</v>
      </c>
      <c r="G505" s="245">
        <f>+F505</f>
        <v>0</v>
      </c>
    </row>
    <row r="506" spans="1:11" ht="13.8" thickBot="1" x14ac:dyDescent="0.3">
      <c r="F506" s="204"/>
      <c r="H506" s="437" t="s">
        <v>16</v>
      </c>
      <c r="I506" s="437" t="s">
        <v>852</v>
      </c>
    </row>
    <row r="507" spans="1:11" ht="13.8" thickBot="1" x14ac:dyDescent="0.3">
      <c r="E507" s="436" t="s">
        <v>851</v>
      </c>
      <c r="F507" s="435">
        <f>SUM(F146:F505)</f>
        <v>1672589124.2600002</v>
      </c>
      <c r="G507" s="449">
        <f>SUM(G146:G505)</f>
        <v>1672589124.26</v>
      </c>
      <c r="H507" s="437">
        <f>+Resultados!C26</f>
        <v>-1672589124.26</v>
      </c>
      <c r="I507" s="437">
        <f>+H507+G507</f>
        <v>0</v>
      </c>
    </row>
    <row r="508" spans="1:11" x14ac:dyDescent="0.25">
      <c r="E508" s="426" t="s">
        <v>850</v>
      </c>
      <c r="F508" s="312">
        <f>+-'Anexo II'!E103</f>
        <v>-1609778933.7700005</v>
      </c>
      <c r="G508" s="277">
        <f>+Hoja1!E318</f>
        <v>1672589124.2599998</v>
      </c>
      <c r="H508" s="437"/>
      <c r="I508" s="438"/>
    </row>
    <row r="509" spans="1:11" x14ac:dyDescent="0.25">
      <c r="E509" s="427" t="s">
        <v>849</v>
      </c>
      <c r="F509" s="428">
        <f>+F507+F508</f>
        <v>62810190.489999771</v>
      </c>
      <c r="G509" s="429">
        <f>+G508-G507</f>
        <v>0</v>
      </c>
      <c r="H509" s="428"/>
    </row>
    <row r="510" spans="1:11" x14ac:dyDescent="0.25">
      <c r="F510" s="223">
        <f>+F509-F282</f>
        <v>-2.3096799850463867E-7</v>
      </c>
    </row>
    <row r="511" spans="1:11" s="443" customFormat="1" ht="10.8" thickBot="1" x14ac:dyDescent="0.25">
      <c r="C511" s="444"/>
      <c r="D511" s="445"/>
      <c r="E511" s="444" t="s">
        <v>864</v>
      </c>
      <c r="F511" s="444">
        <f>+F282-F509</f>
        <v>2.3096799850463867E-7</v>
      </c>
      <c r="G511" s="446"/>
      <c r="H511" s="444"/>
      <c r="I511" s="447"/>
      <c r="J511" s="444"/>
      <c r="K511" s="444"/>
    </row>
    <row r="512" spans="1:11" s="279" customFormat="1" ht="13.8" thickBot="1" x14ac:dyDescent="0.3">
      <c r="A512" s="278"/>
      <c r="C512" s="355"/>
      <c r="D512" s="377"/>
      <c r="E512" s="280"/>
      <c r="F512" s="280"/>
      <c r="G512" s="302">
        <f>SUM(G3:G506)</f>
        <v>-5.6513817980885506E-7</v>
      </c>
      <c r="H512" s="280"/>
      <c r="I512" s="348"/>
      <c r="J512" s="280"/>
      <c r="K512" s="280"/>
    </row>
    <row r="513" spans="3:11" x14ac:dyDescent="0.25">
      <c r="G513" s="105"/>
    </row>
    <row r="514" spans="3:11" s="418" customFormat="1" x14ac:dyDescent="0.25">
      <c r="C514" s="301"/>
      <c r="D514" s="430"/>
      <c r="E514" s="105"/>
      <c r="F514" s="105"/>
      <c r="G514" s="105"/>
      <c r="H514" s="105"/>
      <c r="I514" s="340"/>
      <c r="J514" s="105"/>
      <c r="K514" s="105"/>
    </row>
    <row r="515" spans="3:11" s="418" customFormat="1" x14ac:dyDescent="0.25">
      <c r="C515" s="301"/>
      <c r="D515" s="430"/>
      <c r="E515" s="105"/>
      <c r="F515" s="105"/>
      <c r="G515" s="105"/>
      <c r="H515" s="105"/>
      <c r="I515" s="340"/>
      <c r="J515" s="105"/>
      <c r="K515" s="105"/>
    </row>
    <row r="516" spans="3:11" s="418" customFormat="1" x14ac:dyDescent="0.25">
      <c r="C516" s="301"/>
      <c r="D516" s="430"/>
      <c r="E516" s="105"/>
      <c r="F516" s="105"/>
      <c r="G516" s="105"/>
      <c r="H516" s="105"/>
      <c r="I516" s="340"/>
      <c r="J516" s="105"/>
      <c r="K516" s="105"/>
    </row>
    <row r="517" spans="3:11" s="418" customFormat="1" x14ac:dyDescent="0.25">
      <c r="C517" s="301"/>
      <c r="D517" s="430"/>
      <c r="E517" s="105"/>
      <c r="F517" s="105"/>
      <c r="G517" s="105"/>
      <c r="H517" s="105"/>
      <c r="I517" s="340"/>
      <c r="J517" s="105"/>
      <c r="K517" s="105"/>
    </row>
    <row r="518" spans="3:11" s="418" customFormat="1" x14ac:dyDescent="0.25">
      <c r="C518" s="301"/>
      <c r="D518" s="430"/>
      <c r="E518" s="105"/>
      <c r="F518" s="105"/>
      <c r="G518" s="105"/>
      <c r="H518" s="105"/>
      <c r="I518" s="340"/>
      <c r="J518" s="105"/>
      <c r="K518" s="105"/>
    </row>
    <row r="519" spans="3:11" s="418" customFormat="1" x14ac:dyDescent="0.25">
      <c r="C519" s="301"/>
      <c r="D519" s="430"/>
      <c r="E519" s="105"/>
      <c r="F519" s="105"/>
      <c r="G519" s="105"/>
      <c r="H519" s="105"/>
      <c r="I519" s="340"/>
      <c r="J519" s="105"/>
      <c r="K519" s="105"/>
    </row>
    <row r="520" spans="3:11" s="418" customFormat="1" x14ac:dyDescent="0.25">
      <c r="C520" s="301"/>
      <c r="D520" s="430"/>
      <c r="E520" s="105"/>
      <c r="F520" s="105"/>
      <c r="G520" s="105"/>
      <c r="H520" s="105"/>
      <c r="I520" s="340"/>
      <c r="J520" s="105"/>
      <c r="K520" s="105"/>
    </row>
    <row r="521" spans="3:11" s="418" customFormat="1" x14ac:dyDescent="0.25">
      <c r="C521" s="301"/>
      <c r="D521" s="430"/>
      <c r="E521" s="105"/>
      <c r="F521" s="105"/>
      <c r="G521" s="105"/>
      <c r="H521" s="105"/>
      <c r="I521" s="340"/>
      <c r="J521" s="105"/>
      <c r="K521" s="105"/>
    </row>
    <row r="522" spans="3:11" s="418" customFormat="1" x14ac:dyDescent="0.25">
      <c r="C522" s="301"/>
      <c r="D522" s="430"/>
      <c r="E522" s="105"/>
      <c r="F522" s="105"/>
      <c r="G522" s="105"/>
      <c r="H522" s="105"/>
      <c r="I522" s="340"/>
      <c r="J522" s="105"/>
      <c r="K522" s="105"/>
    </row>
    <row r="523" spans="3:11" s="418" customFormat="1" x14ac:dyDescent="0.25">
      <c r="C523" s="301"/>
      <c r="D523" s="430"/>
      <c r="E523" s="105"/>
      <c r="F523" s="105"/>
      <c r="G523" s="105"/>
      <c r="H523" s="105"/>
      <c r="I523" s="340"/>
      <c r="J523" s="105"/>
      <c r="K523" s="105"/>
    </row>
    <row r="524" spans="3:11" s="418" customFormat="1" x14ac:dyDescent="0.25">
      <c r="C524" s="301"/>
      <c r="D524" s="430"/>
      <c r="E524" s="105"/>
      <c r="F524" s="105"/>
      <c r="G524" s="105"/>
      <c r="H524" s="105"/>
      <c r="I524" s="340"/>
      <c r="J524" s="105"/>
      <c r="K524" s="105"/>
    </row>
    <row r="525" spans="3:11" s="418" customFormat="1" x14ac:dyDescent="0.25">
      <c r="C525" s="301"/>
      <c r="D525" s="430"/>
      <c r="E525" s="105"/>
      <c r="F525" s="105"/>
      <c r="G525" s="105"/>
      <c r="H525" s="105"/>
      <c r="I525" s="340"/>
      <c r="J525" s="105"/>
      <c r="K525" s="105"/>
    </row>
    <row r="526" spans="3:11" s="418" customFormat="1" x14ac:dyDescent="0.25">
      <c r="C526" s="301"/>
      <c r="D526" s="430"/>
      <c r="E526" s="105"/>
      <c r="F526" s="105"/>
      <c r="G526" s="105"/>
      <c r="H526" s="105"/>
      <c r="I526" s="340"/>
      <c r="J526" s="105"/>
      <c r="K526" s="105"/>
    </row>
    <row r="527" spans="3:11" s="418" customFormat="1" x14ac:dyDescent="0.25">
      <c r="C527" s="301"/>
      <c r="D527" s="430"/>
      <c r="E527" s="105"/>
      <c r="F527" s="105"/>
      <c r="G527" s="105"/>
      <c r="H527" s="105"/>
      <c r="I527" s="340"/>
      <c r="J527" s="105"/>
      <c r="K527" s="105"/>
    </row>
    <row r="528" spans="3:11" s="418" customFormat="1" x14ac:dyDescent="0.25">
      <c r="C528" s="301"/>
      <c r="D528" s="430"/>
      <c r="E528" s="105"/>
      <c r="F528" s="105"/>
      <c r="G528" s="105"/>
      <c r="H528" s="105"/>
      <c r="I528" s="340"/>
      <c r="J528" s="105"/>
      <c r="K528" s="105"/>
    </row>
    <row r="529" spans="3:11" s="418" customFormat="1" x14ac:dyDescent="0.25">
      <c r="C529" s="301"/>
      <c r="D529" s="430"/>
      <c r="E529" s="105"/>
      <c r="F529" s="105"/>
      <c r="G529" s="105"/>
      <c r="H529" s="105"/>
      <c r="I529" s="340"/>
      <c r="J529" s="105"/>
      <c r="K529" s="105"/>
    </row>
    <row r="530" spans="3:11" s="418" customFormat="1" x14ac:dyDescent="0.25">
      <c r="C530" s="301"/>
      <c r="D530" s="430"/>
      <c r="E530" s="105"/>
      <c r="F530" s="105"/>
      <c r="G530" s="105"/>
      <c r="H530" s="105"/>
      <c r="I530" s="340"/>
      <c r="J530" s="105"/>
      <c r="K530" s="105"/>
    </row>
    <row r="531" spans="3:11" s="418" customFormat="1" x14ac:dyDescent="0.25">
      <c r="C531" s="301"/>
      <c r="D531" s="430"/>
      <c r="E531" s="105"/>
      <c r="F531" s="105"/>
      <c r="G531" s="105"/>
      <c r="H531" s="105"/>
      <c r="I531" s="340"/>
      <c r="J531" s="105"/>
      <c r="K531" s="105"/>
    </row>
    <row r="532" spans="3:11" s="418" customFormat="1" x14ac:dyDescent="0.25">
      <c r="C532" s="301"/>
      <c r="D532" s="430"/>
      <c r="E532" s="105"/>
      <c r="F532" s="105"/>
      <c r="G532" s="105"/>
      <c r="H532" s="105"/>
      <c r="I532" s="340"/>
      <c r="J532" s="105"/>
      <c r="K532" s="105"/>
    </row>
    <row r="533" spans="3:11" s="418" customFormat="1" x14ac:dyDescent="0.25">
      <c r="C533" s="301"/>
      <c r="D533" s="430"/>
      <c r="E533" s="105"/>
      <c r="F533" s="105"/>
      <c r="G533" s="105"/>
      <c r="H533" s="105"/>
      <c r="I533" s="340"/>
      <c r="J533" s="105"/>
      <c r="K533" s="105"/>
    </row>
    <row r="534" spans="3:11" s="418" customFormat="1" x14ac:dyDescent="0.25">
      <c r="C534" s="301"/>
      <c r="D534" s="430"/>
      <c r="E534" s="105"/>
      <c r="F534" s="105"/>
      <c r="G534" s="105"/>
      <c r="H534" s="105"/>
      <c r="I534" s="340"/>
      <c r="J534" s="105"/>
      <c r="K534" s="105"/>
    </row>
    <row r="535" spans="3:11" s="418" customFormat="1" x14ac:dyDescent="0.25">
      <c r="C535" s="301"/>
      <c r="D535" s="430"/>
      <c r="E535" s="105"/>
      <c r="F535" s="105"/>
      <c r="G535" s="105"/>
      <c r="H535" s="105"/>
      <c r="I535" s="340"/>
      <c r="J535" s="105"/>
      <c r="K535" s="105"/>
    </row>
    <row r="536" spans="3:11" s="418" customFormat="1" x14ac:dyDescent="0.25">
      <c r="C536" s="301"/>
      <c r="D536" s="430"/>
      <c r="E536" s="105"/>
      <c r="F536" s="105"/>
      <c r="G536" s="105"/>
      <c r="H536" s="105"/>
      <c r="I536" s="340"/>
      <c r="J536" s="105"/>
      <c r="K536" s="105"/>
    </row>
    <row r="537" spans="3:11" s="418" customFormat="1" x14ac:dyDescent="0.25">
      <c r="C537" s="301"/>
      <c r="D537" s="430"/>
      <c r="E537" s="105"/>
      <c r="F537" s="105"/>
      <c r="G537" s="105"/>
      <c r="H537" s="105"/>
      <c r="I537" s="340"/>
      <c r="J537" s="105"/>
      <c r="K537" s="105"/>
    </row>
    <row r="538" spans="3:11" s="418" customFormat="1" x14ac:dyDescent="0.25">
      <c r="C538" s="301"/>
      <c r="D538" s="430"/>
      <c r="E538" s="105"/>
      <c r="F538" s="105"/>
      <c r="G538" s="105"/>
      <c r="H538" s="105"/>
      <c r="I538" s="340"/>
      <c r="J538" s="105"/>
      <c r="K538" s="105"/>
    </row>
    <row r="539" spans="3:11" s="418" customFormat="1" x14ac:dyDescent="0.25">
      <c r="C539" s="301"/>
      <c r="D539" s="430"/>
      <c r="E539" s="105"/>
      <c r="F539" s="105"/>
      <c r="G539" s="105"/>
      <c r="H539" s="105"/>
      <c r="I539" s="340"/>
      <c r="J539" s="105"/>
      <c r="K539" s="105"/>
    </row>
    <row r="540" spans="3:11" s="418" customFormat="1" x14ac:dyDescent="0.25">
      <c r="C540" s="301"/>
      <c r="D540" s="430"/>
      <c r="E540" s="105"/>
      <c r="F540" s="105"/>
      <c r="G540" s="105"/>
      <c r="H540" s="105"/>
      <c r="I540" s="340"/>
      <c r="J540" s="105"/>
      <c r="K540" s="105"/>
    </row>
    <row r="541" spans="3:11" s="418" customFormat="1" x14ac:dyDescent="0.25">
      <c r="C541" s="301"/>
      <c r="D541" s="430"/>
      <c r="E541" s="105"/>
      <c r="F541" s="105"/>
      <c r="G541" s="105"/>
      <c r="H541" s="105"/>
      <c r="I541" s="340"/>
      <c r="J541" s="105"/>
      <c r="K541" s="105"/>
    </row>
    <row r="542" spans="3:11" s="418" customFormat="1" x14ac:dyDescent="0.25">
      <c r="C542" s="301"/>
      <c r="D542" s="430"/>
      <c r="E542" s="105"/>
      <c r="F542" s="105"/>
      <c r="G542" s="105"/>
      <c r="H542" s="105"/>
      <c r="I542" s="340"/>
      <c r="J542" s="105"/>
      <c r="K542" s="105"/>
    </row>
    <row r="543" spans="3:11" s="418" customFormat="1" x14ac:dyDescent="0.25">
      <c r="C543" s="301"/>
      <c r="D543" s="430"/>
      <c r="E543" s="105"/>
      <c r="F543" s="105"/>
      <c r="G543" s="105"/>
      <c r="H543" s="105"/>
      <c r="I543" s="340"/>
      <c r="J543" s="105"/>
      <c r="K543" s="105"/>
    </row>
    <row r="544" spans="3:11" s="418" customFormat="1" x14ac:dyDescent="0.25">
      <c r="C544" s="301"/>
      <c r="D544" s="430"/>
      <c r="E544" s="105"/>
      <c r="F544" s="105"/>
      <c r="G544" s="105"/>
      <c r="H544" s="105"/>
      <c r="I544" s="340"/>
      <c r="J544" s="105"/>
      <c r="K544" s="105"/>
    </row>
    <row r="545" spans="3:11" s="418" customFormat="1" x14ac:dyDescent="0.25">
      <c r="C545" s="301"/>
      <c r="D545" s="430"/>
      <c r="E545" s="105"/>
      <c r="F545" s="105"/>
      <c r="G545" s="105"/>
      <c r="H545" s="105"/>
      <c r="I545" s="340"/>
      <c r="J545" s="105"/>
      <c r="K545" s="105"/>
    </row>
    <row r="546" spans="3:11" s="418" customFormat="1" x14ac:dyDescent="0.25">
      <c r="C546" s="301"/>
      <c r="D546" s="430"/>
      <c r="E546" s="105"/>
      <c r="F546" s="105"/>
      <c r="G546" s="105"/>
      <c r="H546" s="105"/>
      <c r="I546" s="340"/>
      <c r="J546" s="105"/>
      <c r="K546" s="105"/>
    </row>
    <row r="547" spans="3:11" s="418" customFormat="1" x14ac:dyDescent="0.25">
      <c r="C547" s="301"/>
      <c r="D547" s="430"/>
      <c r="E547" s="105"/>
      <c r="F547" s="105"/>
      <c r="G547" s="105"/>
      <c r="H547" s="105"/>
      <c r="I547" s="340"/>
      <c r="J547" s="105"/>
      <c r="K547" s="105"/>
    </row>
    <row r="548" spans="3:11" s="418" customFormat="1" x14ac:dyDescent="0.25">
      <c r="C548" s="301"/>
      <c r="D548" s="430"/>
      <c r="E548" s="105"/>
      <c r="F548" s="105"/>
      <c r="G548" s="105"/>
      <c r="H548" s="105"/>
      <c r="I548" s="340"/>
      <c r="J548" s="105"/>
      <c r="K548" s="105"/>
    </row>
    <row r="549" spans="3:11" s="418" customFormat="1" x14ac:dyDescent="0.25">
      <c r="C549" s="301"/>
      <c r="D549" s="430"/>
      <c r="E549" s="105"/>
      <c r="F549" s="105"/>
      <c r="G549" s="105"/>
      <c r="H549" s="105"/>
      <c r="I549" s="340"/>
      <c r="J549" s="105"/>
      <c r="K549" s="105"/>
    </row>
    <row r="550" spans="3:11" s="418" customFormat="1" x14ac:dyDescent="0.25">
      <c r="C550" s="301"/>
      <c r="D550" s="430"/>
      <c r="E550" s="105"/>
      <c r="F550" s="105"/>
      <c r="G550" s="105"/>
      <c r="H550" s="105"/>
      <c r="I550" s="340"/>
      <c r="J550" s="105"/>
      <c r="K550" s="105"/>
    </row>
    <row r="551" spans="3:11" s="418" customFormat="1" x14ac:dyDescent="0.25">
      <c r="C551" s="301"/>
      <c r="D551" s="430"/>
      <c r="E551" s="105"/>
      <c r="F551" s="105"/>
      <c r="G551" s="105"/>
      <c r="H551" s="105"/>
      <c r="I551" s="340"/>
      <c r="J551" s="105"/>
      <c r="K551" s="105"/>
    </row>
    <row r="552" spans="3:11" s="418" customFormat="1" x14ac:dyDescent="0.25">
      <c r="C552" s="301"/>
      <c r="D552" s="430"/>
      <c r="E552" s="105"/>
      <c r="F552" s="105"/>
      <c r="G552" s="105"/>
      <c r="H552" s="105"/>
      <c r="I552" s="340"/>
      <c r="J552" s="105"/>
      <c r="K552" s="105"/>
    </row>
    <row r="553" spans="3:11" s="418" customFormat="1" x14ac:dyDescent="0.25">
      <c r="C553" s="301"/>
      <c r="D553" s="430"/>
      <c r="E553" s="105"/>
      <c r="F553" s="105"/>
      <c r="G553" s="105"/>
      <c r="H553" s="105"/>
      <c r="I553" s="340"/>
      <c r="J553" s="105"/>
      <c r="K553" s="105"/>
    </row>
    <row r="554" spans="3:11" s="418" customFormat="1" x14ac:dyDescent="0.25">
      <c r="C554" s="301"/>
      <c r="D554" s="430"/>
      <c r="E554" s="105"/>
      <c r="F554" s="105"/>
      <c r="G554" s="105"/>
      <c r="H554" s="105"/>
      <c r="I554" s="340"/>
      <c r="J554" s="105"/>
      <c r="K554" s="105"/>
    </row>
    <row r="555" spans="3:11" s="418" customFormat="1" x14ac:dyDescent="0.25">
      <c r="C555" s="301"/>
      <c r="D555" s="430"/>
      <c r="E555" s="105"/>
      <c r="F555" s="105"/>
      <c r="G555" s="105"/>
      <c r="H555" s="105"/>
      <c r="I555" s="340"/>
      <c r="J555" s="105"/>
      <c r="K555" s="105"/>
    </row>
    <row r="556" spans="3:11" s="418" customFormat="1" x14ac:dyDescent="0.25">
      <c r="C556" s="301"/>
      <c r="D556" s="430"/>
      <c r="E556" s="105"/>
      <c r="F556" s="105"/>
      <c r="G556" s="105"/>
      <c r="H556" s="105"/>
      <c r="I556" s="340"/>
      <c r="J556" s="105"/>
      <c r="K556" s="105"/>
    </row>
    <row r="557" spans="3:11" s="418" customFormat="1" x14ac:dyDescent="0.25">
      <c r="C557" s="301"/>
      <c r="D557" s="430"/>
      <c r="E557" s="105"/>
      <c r="F557" s="105"/>
      <c r="G557" s="105"/>
      <c r="H557" s="105"/>
      <c r="I557" s="340"/>
      <c r="J557" s="105"/>
      <c r="K557" s="105"/>
    </row>
    <row r="558" spans="3:11" s="418" customFormat="1" x14ac:dyDescent="0.25">
      <c r="C558" s="301"/>
      <c r="D558" s="430"/>
      <c r="E558" s="105"/>
      <c r="F558" s="105"/>
      <c r="G558" s="105"/>
      <c r="H558" s="105"/>
      <c r="I558" s="340"/>
      <c r="J558" s="105"/>
      <c r="K558" s="105"/>
    </row>
    <row r="559" spans="3:11" s="418" customFormat="1" x14ac:dyDescent="0.25">
      <c r="C559" s="301"/>
      <c r="D559" s="430"/>
      <c r="E559" s="105"/>
      <c r="F559" s="105"/>
      <c r="G559" s="105"/>
      <c r="H559" s="105"/>
      <c r="I559" s="340"/>
      <c r="J559" s="105"/>
      <c r="K559" s="105"/>
    </row>
    <row r="560" spans="3:11" s="418" customFormat="1" x14ac:dyDescent="0.25">
      <c r="C560" s="301"/>
      <c r="D560" s="430"/>
      <c r="E560" s="105"/>
      <c r="F560" s="105"/>
      <c r="G560" s="105"/>
      <c r="H560" s="105"/>
      <c r="I560" s="340"/>
      <c r="J560" s="105"/>
      <c r="K560" s="105"/>
    </row>
    <row r="561" spans="3:11" s="418" customFormat="1" x14ac:dyDescent="0.25">
      <c r="C561" s="301"/>
      <c r="D561" s="430"/>
      <c r="E561" s="105"/>
      <c r="F561" s="105"/>
      <c r="G561" s="105"/>
      <c r="H561" s="105"/>
      <c r="I561" s="340"/>
      <c r="J561" s="105"/>
      <c r="K561" s="105"/>
    </row>
    <row r="562" spans="3:11" s="418" customFormat="1" x14ac:dyDescent="0.25">
      <c r="C562" s="301"/>
      <c r="D562" s="430"/>
      <c r="E562" s="105"/>
      <c r="F562" s="105"/>
      <c r="G562" s="105"/>
      <c r="H562" s="105"/>
      <c r="I562" s="340"/>
      <c r="J562" s="105"/>
      <c r="K562" s="105"/>
    </row>
    <row r="563" spans="3:11" s="418" customFormat="1" x14ac:dyDescent="0.25">
      <c r="C563" s="301"/>
      <c r="D563" s="430"/>
      <c r="E563" s="105"/>
      <c r="F563" s="105"/>
      <c r="G563" s="105"/>
      <c r="H563" s="105"/>
      <c r="I563" s="340"/>
      <c r="J563" s="105"/>
      <c r="K563" s="105"/>
    </row>
    <row r="564" spans="3:11" s="418" customFormat="1" x14ac:dyDescent="0.25">
      <c r="C564" s="301"/>
      <c r="D564" s="430"/>
      <c r="E564" s="105"/>
      <c r="F564" s="105"/>
      <c r="G564" s="105"/>
      <c r="H564" s="105"/>
      <c r="I564" s="340"/>
      <c r="J564" s="105"/>
      <c r="K564" s="105"/>
    </row>
    <row r="565" spans="3:11" s="418" customFormat="1" x14ac:dyDescent="0.25">
      <c r="C565" s="301"/>
      <c r="D565" s="430"/>
      <c r="E565" s="105"/>
      <c r="F565" s="105"/>
      <c r="G565" s="105"/>
      <c r="H565" s="105"/>
      <c r="I565" s="340"/>
      <c r="J565" s="105"/>
      <c r="K565" s="105"/>
    </row>
    <row r="566" spans="3:11" s="418" customFormat="1" x14ac:dyDescent="0.25">
      <c r="C566" s="301"/>
      <c r="D566" s="430"/>
      <c r="E566" s="105"/>
      <c r="F566" s="105"/>
      <c r="G566" s="105"/>
      <c r="H566" s="105"/>
      <c r="I566" s="340"/>
      <c r="J566" s="105"/>
      <c r="K566" s="105"/>
    </row>
    <row r="567" spans="3:11" s="418" customFormat="1" x14ac:dyDescent="0.25">
      <c r="C567" s="301"/>
      <c r="D567" s="430"/>
      <c r="E567" s="105"/>
      <c r="F567" s="105"/>
      <c r="G567" s="105"/>
      <c r="H567" s="105"/>
      <c r="I567" s="340"/>
      <c r="J567" s="105"/>
      <c r="K567" s="105"/>
    </row>
    <row r="568" spans="3:11" s="418" customFormat="1" x14ac:dyDescent="0.25">
      <c r="C568" s="301"/>
      <c r="D568" s="430"/>
      <c r="E568" s="105"/>
      <c r="F568" s="105"/>
      <c r="G568" s="105"/>
      <c r="H568" s="105"/>
      <c r="I568" s="340"/>
      <c r="J568" s="105"/>
      <c r="K568" s="105"/>
    </row>
    <row r="569" spans="3:11" s="418" customFormat="1" x14ac:dyDescent="0.25">
      <c r="C569" s="301"/>
      <c r="D569" s="430"/>
      <c r="E569" s="105"/>
      <c r="F569" s="105"/>
      <c r="G569" s="105"/>
      <c r="H569" s="105"/>
      <c r="I569" s="340"/>
      <c r="J569" s="105"/>
      <c r="K569" s="105"/>
    </row>
    <row r="570" spans="3:11" s="418" customFormat="1" x14ac:dyDescent="0.25">
      <c r="C570" s="301"/>
      <c r="D570" s="430"/>
      <c r="E570" s="105"/>
      <c r="F570" s="105"/>
      <c r="G570" s="105"/>
      <c r="H570" s="105"/>
      <c r="I570" s="340"/>
      <c r="J570" s="105"/>
      <c r="K570" s="105"/>
    </row>
    <row r="571" spans="3:11" s="418" customFormat="1" x14ac:dyDescent="0.25">
      <c r="C571" s="301"/>
      <c r="D571" s="430"/>
      <c r="E571" s="105"/>
      <c r="F571" s="105"/>
      <c r="G571" s="105"/>
      <c r="H571" s="105"/>
      <c r="I571" s="340"/>
      <c r="J571" s="105"/>
      <c r="K571" s="105"/>
    </row>
    <row r="572" spans="3:11" s="418" customFormat="1" x14ac:dyDescent="0.25">
      <c r="C572" s="301"/>
      <c r="D572" s="430"/>
      <c r="E572" s="105"/>
      <c r="F572" s="105"/>
      <c r="G572" s="105"/>
      <c r="H572" s="105"/>
      <c r="I572" s="340"/>
      <c r="J572" s="105"/>
      <c r="K572" s="105"/>
    </row>
    <row r="573" spans="3:11" s="418" customFormat="1" x14ac:dyDescent="0.25">
      <c r="C573" s="301"/>
      <c r="D573" s="430"/>
      <c r="E573" s="105"/>
      <c r="F573" s="105"/>
      <c r="G573" s="105"/>
      <c r="H573" s="105"/>
      <c r="I573" s="340"/>
      <c r="J573" s="105"/>
      <c r="K573" s="105"/>
    </row>
    <row r="574" spans="3:11" s="418" customFormat="1" x14ac:dyDescent="0.25">
      <c r="C574" s="301"/>
      <c r="D574" s="430"/>
      <c r="E574" s="105"/>
      <c r="F574" s="105"/>
      <c r="G574" s="105"/>
      <c r="H574" s="105"/>
      <c r="I574" s="340"/>
      <c r="J574" s="105"/>
      <c r="K574" s="105"/>
    </row>
    <row r="575" spans="3:11" s="418" customFormat="1" x14ac:dyDescent="0.25">
      <c r="C575" s="301"/>
      <c r="D575" s="430"/>
      <c r="E575" s="105"/>
      <c r="F575" s="105"/>
      <c r="G575" s="105"/>
      <c r="H575" s="105"/>
      <c r="I575" s="340"/>
      <c r="J575" s="105"/>
      <c r="K575" s="105"/>
    </row>
    <row r="576" spans="3:11" s="418" customFormat="1" x14ac:dyDescent="0.25">
      <c r="C576" s="301"/>
      <c r="D576" s="430"/>
      <c r="E576" s="105"/>
      <c r="F576" s="105"/>
      <c r="G576" s="105"/>
      <c r="H576" s="105"/>
      <c r="I576" s="340"/>
      <c r="J576" s="105"/>
      <c r="K576" s="105"/>
    </row>
    <row r="577" spans="3:11" s="418" customFormat="1" x14ac:dyDescent="0.25">
      <c r="C577" s="301"/>
      <c r="D577" s="430"/>
      <c r="E577" s="105"/>
      <c r="F577" s="105"/>
      <c r="G577" s="105"/>
      <c r="H577" s="105"/>
      <c r="I577" s="340"/>
      <c r="J577" s="105"/>
      <c r="K577" s="105"/>
    </row>
    <row r="578" spans="3:11" s="418" customFormat="1" x14ac:dyDescent="0.25">
      <c r="C578" s="301"/>
      <c r="D578" s="430"/>
      <c r="E578" s="105"/>
      <c r="F578" s="105"/>
      <c r="G578" s="105"/>
      <c r="H578" s="105"/>
      <c r="I578" s="340"/>
      <c r="J578" s="105"/>
      <c r="K578" s="105"/>
    </row>
    <row r="579" spans="3:11" s="418" customFormat="1" x14ac:dyDescent="0.25">
      <c r="C579" s="301"/>
      <c r="D579" s="430"/>
      <c r="E579" s="105"/>
      <c r="F579" s="105"/>
      <c r="G579" s="105"/>
      <c r="H579" s="105"/>
      <c r="I579" s="340"/>
      <c r="J579" s="105"/>
      <c r="K579" s="105"/>
    </row>
    <row r="580" spans="3:11" s="418" customFormat="1" x14ac:dyDescent="0.25">
      <c r="C580" s="301"/>
      <c r="D580" s="430"/>
      <c r="E580" s="105"/>
      <c r="F580" s="105"/>
      <c r="G580" s="105"/>
      <c r="H580" s="105"/>
      <c r="I580" s="340"/>
      <c r="J580" s="105"/>
      <c r="K580" s="105"/>
    </row>
    <row r="581" spans="3:11" s="418" customFormat="1" x14ac:dyDescent="0.25">
      <c r="C581" s="301"/>
      <c r="D581" s="430"/>
      <c r="E581" s="105"/>
      <c r="F581" s="105"/>
      <c r="G581" s="105"/>
      <c r="H581" s="105"/>
      <c r="I581" s="340"/>
      <c r="J581" s="105"/>
      <c r="K581" s="105"/>
    </row>
    <row r="582" spans="3:11" s="418" customFormat="1" x14ac:dyDescent="0.25">
      <c r="C582" s="301"/>
      <c r="D582" s="430"/>
      <c r="E582" s="105"/>
      <c r="F582" s="105"/>
      <c r="G582" s="105"/>
      <c r="H582" s="105"/>
      <c r="I582" s="340"/>
      <c r="J582" s="105"/>
      <c r="K582" s="105"/>
    </row>
    <row r="583" spans="3:11" s="418" customFormat="1" x14ac:dyDescent="0.25">
      <c r="C583" s="301"/>
      <c r="D583" s="430"/>
      <c r="E583" s="105"/>
      <c r="F583" s="105"/>
      <c r="G583" s="105"/>
      <c r="H583" s="105"/>
      <c r="I583" s="340"/>
      <c r="J583" s="105"/>
      <c r="K583" s="105"/>
    </row>
    <row r="584" spans="3:11" s="418" customFormat="1" x14ac:dyDescent="0.25">
      <c r="C584" s="301"/>
      <c r="D584" s="430"/>
      <c r="E584" s="105"/>
      <c r="F584" s="105"/>
      <c r="G584" s="105"/>
      <c r="H584" s="105"/>
      <c r="I584" s="340"/>
      <c r="J584" s="105"/>
      <c r="K584" s="105"/>
    </row>
    <row r="585" spans="3:11" s="418" customFormat="1" x14ac:dyDescent="0.25">
      <c r="C585" s="301"/>
      <c r="D585" s="430"/>
      <c r="E585" s="105"/>
      <c r="F585" s="105"/>
      <c r="G585" s="105"/>
      <c r="H585" s="105"/>
      <c r="I585" s="340"/>
      <c r="J585" s="105"/>
      <c r="K585" s="105"/>
    </row>
    <row r="586" spans="3:11" s="418" customFormat="1" x14ac:dyDescent="0.25">
      <c r="C586" s="301"/>
      <c r="D586" s="430"/>
      <c r="E586" s="105"/>
      <c r="F586" s="105"/>
      <c r="G586" s="105"/>
      <c r="H586" s="105"/>
      <c r="I586" s="340"/>
      <c r="J586" s="105"/>
      <c r="K586" s="105"/>
    </row>
    <row r="587" spans="3:11" s="418" customFormat="1" x14ac:dyDescent="0.25">
      <c r="C587" s="301"/>
      <c r="D587" s="430"/>
      <c r="E587" s="105"/>
      <c r="F587" s="105"/>
      <c r="G587" s="105"/>
      <c r="H587" s="105"/>
      <c r="I587" s="340"/>
      <c r="J587" s="105"/>
      <c r="K587" s="105"/>
    </row>
    <row r="588" spans="3:11" s="418" customFormat="1" x14ac:dyDescent="0.25">
      <c r="C588" s="301"/>
      <c r="D588" s="430"/>
      <c r="E588" s="105"/>
      <c r="F588" s="105"/>
      <c r="G588" s="105"/>
      <c r="H588" s="105"/>
      <c r="I588" s="340"/>
      <c r="J588" s="105"/>
      <c r="K588" s="105"/>
    </row>
    <row r="589" spans="3:11" s="418" customFormat="1" x14ac:dyDescent="0.25">
      <c r="C589" s="301"/>
      <c r="D589" s="430"/>
      <c r="E589" s="105"/>
      <c r="F589" s="105"/>
      <c r="G589" s="105"/>
      <c r="H589" s="105"/>
      <c r="I589" s="340"/>
      <c r="J589" s="105"/>
      <c r="K589" s="105"/>
    </row>
    <row r="590" spans="3:11" s="418" customFormat="1" x14ac:dyDescent="0.25">
      <c r="C590" s="301"/>
      <c r="D590" s="430"/>
      <c r="E590" s="105"/>
      <c r="F590" s="105"/>
      <c r="G590" s="105"/>
      <c r="H590" s="105"/>
      <c r="I590" s="340"/>
      <c r="J590" s="105"/>
      <c r="K590" s="105"/>
    </row>
    <row r="591" spans="3:11" s="418" customFormat="1" x14ac:dyDescent="0.25">
      <c r="C591" s="301"/>
      <c r="D591" s="430"/>
      <c r="E591" s="105"/>
      <c r="F591" s="105"/>
      <c r="G591" s="105"/>
      <c r="H591" s="105"/>
      <c r="I591" s="340"/>
      <c r="J591" s="105"/>
      <c r="K591" s="105"/>
    </row>
    <row r="592" spans="3:11" s="418" customFormat="1" x14ac:dyDescent="0.25">
      <c r="C592" s="301"/>
      <c r="D592" s="430"/>
      <c r="E592" s="105"/>
      <c r="F592" s="105"/>
      <c r="G592" s="105"/>
      <c r="H592" s="105"/>
      <c r="I592" s="340"/>
      <c r="J592" s="105"/>
      <c r="K592" s="105"/>
    </row>
    <row r="593" spans="3:11" s="418" customFormat="1" x14ac:dyDescent="0.25">
      <c r="C593" s="301"/>
      <c r="D593" s="430"/>
      <c r="E593" s="105"/>
      <c r="F593" s="105"/>
      <c r="G593" s="105"/>
      <c r="H593" s="105"/>
      <c r="I593" s="340"/>
      <c r="J593" s="105"/>
      <c r="K593" s="105"/>
    </row>
    <row r="594" spans="3:11" s="418" customFormat="1" x14ac:dyDescent="0.25">
      <c r="C594" s="301"/>
      <c r="D594" s="430"/>
      <c r="E594" s="105"/>
      <c r="F594" s="105"/>
      <c r="G594" s="105"/>
      <c r="H594" s="105"/>
      <c r="I594" s="340"/>
      <c r="J594" s="105"/>
      <c r="K594" s="105"/>
    </row>
    <row r="595" spans="3:11" s="418" customFormat="1" x14ac:dyDescent="0.25">
      <c r="C595" s="301"/>
      <c r="D595" s="430"/>
      <c r="E595" s="105"/>
      <c r="F595" s="105"/>
      <c r="G595" s="105"/>
      <c r="H595" s="105"/>
      <c r="I595" s="340"/>
      <c r="J595" s="105"/>
      <c r="K595" s="105"/>
    </row>
    <row r="596" spans="3:11" s="418" customFormat="1" x14ac:dyDescent="0.25">
      <c r="C596" s="301"/>
      <c r="D596" s="430"/>
      <c r="E596" s="105"/>
      <c r="F596" s="105"/>
      <c r="G596" s="105"/>
      <c r="H596" s="105"/>
      <c r="I596" s="340"/>
      <c r="J596" s="105"/>
      <c r="K596" s="105"/>
    </row>
    <row r="597" spans="3:11" s="418" customFormat="1" x14ac:dyDescent="0.25">
      <c r="C597" s="301"/>
      <c r="D597" s="430"/>
      <c r="E597" s="105"/>
      <c r="F597" s="105"/>
      <c r="G597" s="105"/>
      <c r="H597" s="105"/>
      <c r="I597" s="340"/>
      <c r="J597" s="105"/>
      <c r="K597" s="105"/>
    </row>
    <row r="598" spans="3:11" s="418" customFormat="1" x14ac:dyDescent="0.25">
      <c r="C598" s="301"/>
      <c r="D598" s="430"/>
      <c r="E598" s="105"/>
      <c r="F598" s="105"/>
      <c r="G598" s="105"/>
      <c r="H598" s="105"/>
      <c r="I598" s="340"/>
      <c r="J598" s="105"/>
      <c r="K598" s="105"/>
    </row>
    <row r="599" spans="3:11" s="418" customFormat="1" x14ac:dyDescent="0.25">
      <c r="C599" s="301"/>
      <c r="D599" s="430"/>
      <c r="E599" s="105"/>
      <c r="F599" s="105"/>
      <c r="G599" s="105"/>
      <c r="H599" s="105"/>
      <c r="I599" s="340"/>
      <c r="J599" s="105"/>
      <c r="K599" s="105"/>
    </row>
    <row r="600" spans="3:11" s="418" customFormat="1" x14ac:dyDescent="0.25">
      <c r="C600" s="301"/>
      <c r="D600" s="430"/>
      <c r="E600" s="105"/>
      <c r="F600" s="105"/>
      <c r="G600" s="105"/>
      <c r="H600" s="105"/>
      <c r="I600" s="340"/>
      <c r="J600" s="105"/>
      <c r="K600" s="105"/>
    </row>
    <row r="601" spans="3:11" s="418" customFormat="1" x14ac:dyDescent="0.25">
      <c r="C601" s="301"/>
      <c r="D601" s="430"/>
      <c r="E601" s="105"/>
      <c r="F601" s="105"/>
      <c r="G601" s="105"/>
      <c r="H601" s="105"/>
      <c r="I601" s="340"/>
      <c r="J601" s="105"/>
      <c r="K601" s="105"/>
    </row>
    <row r="602" spans="3:11" s="418" customFormat="1" x14ac:dyDescent="0.25">
      <c r="C602" s="301"/>
      <c r="D602" s="430"/>
      <c r="E602" s="105"/>
      <c r="F602" s="105"/>
      <c r="G602" s="105"/>
      <c r="H602" s="105"/>
      <c r="I602" s="340"/>
      <c r="J602" s="105"/>
      <c r="K602" s="105"/>
    </row>
    <row r="603" spans="3:11" s="418" customFormat="1" x14ac:dyDescent="0.25">
      <c r="C603" s="301"/>
      <c r="D603" s="430"/>
      <c r="E603" s="105"/>
      <c r="F603" s="105"/>
      <c r="G603" s="105"/>
      <c r="H603" s="105"/>
      <c r="I603" s="340"/>
      <c r="J603" s="105"/>
      <c r="K603" s="105"/>
    </row>
    <row r="604" spans="3:11" s="418" customFormat="1" x14ac:dyDescent="0.25">
      <c r="C604" s="301"/>
      <c r="D604" s="430"/>
      <c r="E604" s="105"/>
      <c r="F604" s="105"/>
      <c r="G604" s="105"/>
      <c r="H604" s="105"/>
      <c r="I604" s="340"/>
      <c r="J604" s="105"/>
      <c r="K604" s="105"/>
    </row>
    <row r="605" spans="3:11" s="418" customFormat="1" x14ac:dyDescent="0.25">
      <c r="C605" s="301"/>
      <c r="D605" s="430"/>
      <c r="E605" s="105"/>
      <c r="F605" s="105"/>
      <c r="G605" s="105"/>
      <c r="H605" s="105"/>
      <c r="I605" s="340"/>
      <c r="J605" s="105"/>
      <c r="K605" s="105"/>
    </row>
    <row r="606" spans="3:11" s="418" customFormat="1" x14ac:dyDescent="0.25">
      <c r="C606" s="301"/>
      <c r="D606" s="430"/>
      <c r="E606" s="105"/>
      <c r="F606" s="105"/>
      <c r="G606" s="105"/>
      <c r="H606" s="105"/>
      <c r="I606" s="340"/>
      <c r="J606" s="105"/>
      <c r="K606" s="105"/>
    </row>
    <row r="607" spans="3:11" s="418" customFormat="1" x14ac:dyDescent="0.25">
      <c r="C607" s="301"/>
      <c r="D607" s="430"/>
      <c r="E607" s="105"/>
      <c r="F607" s="105"/>
      <c r="G607" s="105"/>
      <c r="H607" s="105"/>
      <c r="I607" s="340"/>
      <c r="J607" s="105"/>
      <c r="K607" s="105"/>
    </row>
    <row r="608" spans="3:11" s="418" customFormat="1" x14ac:dyDescent="0.25">
      <c r="C608" s="301"/>
      <c r="D608" s="430"/>
      <c r="E608" s="105"/>
      <c r="F608" s="105"/>
      <c r="G608" s="105"/>
      <c r="H608" s="105"/>
      <c r="I608" s="340"/>
      <c r="J608" s="105"/>
      <c r="K608" s="105"/>
    </row>
    <row r="609" spans="3:11" s="418" customFormat="1" x14ac:dyDescent="0.25">
      <c r="C609" s="301"/>
      <c r="D609" s="430"/>
      <c r="E609" s="105"/>
      <c r="F609" s="105"/>
      <c r="G609" s="105"/>
      <c r="H609" s="105"/>
      <c r="I609" s="340"/>
      <c r="J609" s="105"/>
      <c r="K609" s="105"/>
    </row>
    <row r="610" spans="3:11" s="418" customFormat="1" x14ac:dyDescent="0.25">
      <c r="C610" s="301"/>
      <c r="D610" s="430"/>
      <c r="E610" s="105"/>
      <c r="F610" s="105"/>
      <c r="G610" s="105"/>
      <c r="H610" s="105"/>
      <c r="I610" s="340"/>
      <c r="J610" s="105"/>
      <c r="K610" s="105"/>
    </row>
    <row r="611" spans="3:11" s="418" customFormat="1" x14ac:dyDescent="0.25">
      <c r="C611" s="301"/>
      <c r="D611" s="430"/>
      <c r="E611" s="105"/>
      <c r="F611" s="105"/>
      <c r="G611" s="105"/>
      <c r="H611" s="105"/>
      <c r="I611" s="340"/>
      <c r="J611" s="105"/>
      <c r="K611" s="105"/>
    </row>
    <row r="612" spans="3:11" s="418" customFormat="1" x14ac:dyDescent="0.25">
      <c r="C612" s="301"/>
      <c r="D612" s="430"/>
      <c r="E612" s="105"/>
      <c r="F612" s="105"/>
      <c r="G612" s="105"/>
      <c r="H612" s="105"/>
      <c r="I612" s="340"/>
      <c r="J612" s="105"/>
      <c r="K612" s="105"/>
    </row>
    <row r="613" spans="3:11" s="418" customFormat="1" x14ac:dyDescent="0.25">
      <c r="C613" s="301"/>
      <c r="D613" s="430"/>
      <c r="E613" s="105"/>
      <c r="F613" s="105"/>
      <c r="G613" s="105"/>
      <c r="H613" s="105"/>
      <c r="I613" s="340"/>
      <c r="J613" s="105"/>
      <c r="K613" s="105"/>
    </row>
    <row r="614" spans="3:11" s="418" customFormat="1" x14ac:dyDescent="0.25">
      <c r="C614" s="301"/>
      <c r="D614" s="430"/>
      <c r="E614" s="105"/>
      <c r="F614" s="105"/>
      <c r="G614" s="105"/>
      <c r="H614" s="105"/>
      <c r="I614" s="340"/>
      <c r="J614" s="105"/>
      <c r="K614" s="105"/>
    </row>
    <row r="615" spans="3:11" s="418" customFormat="1" x14ac:dyDescent="0.25">
      <c r="C615" s="301"/>
      <c r="D615" s="430"/>
      <c r="E615" s="105"/>
      <c r="F615" s="105"/>
      <c r="G615" s="105"/>
      <c r="H615" s="105"/>
      <c r="I615" s="340"/>
      <c r="J615" s="105"/>
      <c r="K615" s="105"/>
    </row>
    <row r="616" spans="3:11" s="418" customFormat="1" x14ac:dyDescent="0.25">
      <c r="C616" s="301"/>
      <c r="D616" s="430"/>
      <c r="E616" s="105"/>
      <c r="F616" s="105"/>
      <c r="G616" s="105"/>
      <c r="H616" s="105"/>
      <c r="I616" s="340"/>
      <c r="J616" s="105"/>
      <c r="K616" s="105"/>
    </row>
    <row r="617" spans="3:11" s="418" customFormat="1" x14ac:dyDescent="0.25">
      <c r="C617" s="301"/>
      <c r="D617" s="430"/>
      <c r="E617" s="105"/>
      <c r="F617" s="105"/>
      <c r="G617" s="105"/>
      <c r="H617" s="105"/>
      <c r="I617" s="340"/>
      <c r="J617" s="105"/>
      <c r="K617" s="105"/>
    </row>
    <row r="618" spans="3:11" s="418" customFormat="1" x14ac:dyDescent="0.25">
      <c r="C618" s="301"/>
      <c r="D618" s="430"/>
      <c r="E618" s="105"/>
      <c r="F618" s="105"/>
      <c r="G618" s="105"/>
      <c r="H618" s="105"/>
      <c r="I618" s="340"/>
      <c r="J618" s="105"/>
      <c r="K618" s="105"/>
    </row>
    <row r="619" spans="3:11" s="418" customFormat="1" x14ac:dyDescent="0.25">
      <c r="C619" s="301"/>
      <c r="D619" s="430"/>
      <c r="E619" s="105"/>
      <c r="F619" s="105"/>
      <c r="G619" s="105"/>
      <c r="H619" s="105"/>
      <c r="I619" s="340"/>
      <c r="J619" s="105"/>
      <c r="K619" s="105"/>
    </row>
    <row r="620" spans="3:11" s="418" customFormat="1" x14ac:dyDescent="0.25">
      <c r="C620" s="301"/>
      <c r="D620" s="430"/>
      <c r="E620" s="105"/>
      <c r="F620" s="105"/>
      <c r="G620" s="105"/>
      <c r="H620" s="105"/>
      <c r="I620" s="340"/>
      <c r="J620" s="105"/>
      <c r="K620" s="105"/>
    </row>
    <row r="621" spans="3:11" s="418" customFormat="1" x14ac:dyDescent="0.25">
      <c r="C621" s="301"/>
      <c r="D621" s="430"/>
      <c r="E621" s="105"/>
      <c r="F621" s="105"/>
      <c r="G621" s="105"/>
      <c r="H621" s="105"/>
      <c r="I621" s="340"/>
      <c r="J621" s="105"/>
      <c r="K621" s="105"/>
    </row>
    <row r="622" spans="3:11" s="418" customFormat="1" x14ac:dyDescent="0.25">
      <c r="C622" s="301"/>
      <c r="D622" s="430"/>
      <c r="E622" s="105"/>
      <c r="F622" s="105"/>
      <c r="G622" s="105"/>
      <c r="H622" s="105"/>
      <c r="I622" s="340"/>
      <c r="J622" s="105"/>
      <c r="K622" s="105"/>
    </row>
    <row r="623" spans="3:11" s="418" customFormat="1" x14ac:dyDescent="0.25">
      <c r="C623" s="301"/>
      <c r="D623" s="430"/>
      <c r="E623" s="105"/>
      <c r="F623" s="105"/>
      <c r="G623" s="105"/>
      <c r="H623" s="105"/>
      <c r="I623" s="340"/>
      <c r="J623" s="105"/>
      <c r="K623" s="105"/>
    </row>
    <row r="624" spans="3:11" s="418" customFormat="1" x14ac:dyDescent="0.25">
      <c r="C624" s="301"/>
      <c r="D624" s="430"/>
      <c r="E624" s="105"/>
      <c r="F624" s="105"/>
      <c r="G624" s="105"/>
      <c r="H624" s="105"/>
      <c r="I624" s="340"/>
      <c r="J624" s="105"/>
      <c r="K624" s="105"/>
    </row>
    <row r="625" spans="3:11" s="418" customFormat="1" x14ac:dyDescent="0.25">
      <c r="C625" s="301"/>
      <c r="D625" s="430"/>
      <c r="E625" s="105"/>
      <c r="F625" s="105"/>
      <c r="G625" s="105"/>
      <c r="H625" s="105"/>
      <c r="I625" s="340"/>
      <c r="J625" s="105"/>
      <c r="K625" s="105"/>
    </row>
    <row r="626" spans="3:11" s="418" customFormat="1" x14ac:dyDescent="0.25">
      <c r="C626" s="301"/>
      <c r="D626" s="430"/>
      <c r="E626" s="105"/>
      <c r="F626" s="105"/>
      <c r="G626" s="105"/>
      <c r="H626" s="105"/>
      <c r="I626" s="340"/>
      <c r="J626" s="105"/>
      <c r="K626" s="105"/>
    </row>
    <row r="627" spans="3:11" s="418" customFormat="1" x14ac:dyDescent="0.25">
      <c r="C627" s="301"/>
      <c r="D627" s="430"/>
      <c r="E627" s="105"/>
      <c r="F627" s="105"/>
      <c r="G627" s="105"/>
      <c r="H627" s="105"/>
      <c r="I627" s="340"/>
      <c r="J627" s="105"/>
      <c r="K627" s="105"/>
    </row>
    <row r="628" spans="3:11" s="418" customFormat="1" x14ac:dyDescent="0.25">
      <c r="C628" s="301"/>
      <c r="D628" s="430"/>
      <c r="E628" s="105"/>
      <c r="F628" s="105"/>
      <c r="G628" s="105"/>
      <c r="H628" s="105"/>
      <c r="I628" s="340"/>
      <c r="J628" s="105"/>
      <c r="K628" s="105"/>
    </row>
    <row r="629" spans="3:11" s="418" customFormat="1" x14ac:dyDescent="0.25">
      <c r="C629" s="301"/>
      <c r="D629" s="430"/>
      <c r="E629" s="105"/>
      <c r="F629" s="105"/>
      <c r="G629" s="105"/>
      <c r="H629" s="105"/>
      <c r="I629" s="340"/>
      <c r="J629" s="105"/>
      <c r="K629" s="105"/>
    </row>
    <row r="630" spans="3:11" s="418" customFormat="1" x14ac:dyDescent="0.25">
      <c r="C630" s="301"/>
      <c r="D630" s="430"/>
      <c r="E630" s="105"/>
      <c r="F630" s="105"/>
      <c r="G630" s="105"/>
      <c r="H630" s="105"/>
      <c r="I630" s="340"/>
      <c r="J630" s="105"/>
      <c r="K630" s="105"/>
    </row>
    <row r="631" spans="3:11" s="418" customFormat="1" x14ac:dyDescent="0.25">
      <c r="C631" s="301"/>
      <c r="D631" s="430"/>
      <c r="E631" s="105"/>
      <c r="F631" s="105"/>
      <c r="G631" s="105"/>
      <c r="H631" s="105"/>
      <c r="I631" s="340"/>
      <c r="J631" s="105"/>
      <c r="K631" s="105"/>
    </row>
    <row r="632" spans="3:11" s="418" customFormat="1" x14ac:dyDescent="0.25">
      <c r="C632" s="301"/>
      <c r="D632" s="430"/>
      <c r="E632" s="105"/>
      <c r="F632" s="105"/>
      <c r="G632" s="105"/>
      <c r="H632" s="105"/>
      <c r="I632" s="340"/>
      <c r="J632" s="105"/>
      <c r="K632" s="105"/>
    </row>
    <row r="633" spans="3:11" s="418" customFormat="1" x14ac:dyDescent="0.25">
      <c r="C633" s="301"/>
      <c r="D633" s="430"/>
      <c r="E633" s="105"/>
      <c r="F633" s="105"/>
      <c r="G633" s="105"/>
      <c r="H633" s="105"/>
      <c r="I633" s="340"/>
      <c r="J633" s="105"/>
      <c r="K633" s="105"/>
    </row>
    <row r="634" spans="3:11" s="418" customFormat="1" x14ac:dyDescent="0.25">
      <c r="C634" s="301"/>
      <c r="D634" s="430"/>
      <c r="E634" s="105"/>
      <c r="F634" s="105"/>
      <c r="G634" s="105"/>
      <c r="H634" s="105"/>
      <c r="I634" s="340"/>
      <c r="J634" s="105"/>
      <c r="K634" s="105"/>
    </row>
    <row r="635" spans="3:11" s="418" customFormat="1" x14ac:dyDescent="0.25">
      <c r="C635" s="301"/>
      <c r="D635" s="430"/>
      <c r="E635" s="105"/>
      <c r="F635" s="105"/>
      <c r="G635" s="105"/>
      <c r="H635" s="105"/>
      <c r="I635" s="340"/>
      <c r="J635" s="105"/>
      <c r="K635" s="105"/>
    </row>
    <row r="636" spans="3:11" s="418" customFormat="1" x14ac:dyDescent="0.25">
      <c r="C636" s="301"/>
      <c r="D636" s="430"/>
      <c r="E636" s="105"/>
      <c r="F636" s="105"/>
      <c r="G636" s="105"/>
      <c r="H636" s="105"/>
      <c r="I636" s="340"/>
      <c r="J636" s="105"/>
      <c r="K636" s="105"/>
    </row>
    <row r="637" spans="3:11" s="418" customFormat="1" x14ac:dyDescent="0.25">
      <c r="C637" s="301"/>
      <c r="D637" s="430"/>
      <c r="E637" s="105"/>
      <c r="F637" s="105"/>
      <c r="G637" s="105"/>
      <c r="H637" s="105"/>
      <c r="I637" s="340"/>
      <c r="J637" s="105"/>
      <c r="K637" s="105"/>
    </row>
    <row r="638" spans="3:11" s="418" customFormat="1" x14ac:dyDescent="0.25">
      <c r="C638" s="301"/>
      <c r="D638" s="430"/>
      <c r="E638" s="105"/>
      <c r="F638" s="105"/>
      <c r="G638" s="105"/>
      <c r="H638" s="105"/>
      <c r="I638" s="340"/>
      <c r="J638" s="105"/>
      <c r="K638" s="105"/>
    </row>
    <row r="639" spans="3:11" s="418" customFormat="1" x14ac:dyDescent="0.25">
      <c r="C639" s="301"/>
      <c r="D639" s="430"/>
      <c r="E639" s="105"/>
      <c r="F639" s="105"/>
      <c r="G639" s="105"/>
      <c r="H639" s="105"/>
      <c r="I639" s="340"/>
      <c r="J639" s="105"/>
      <c r="K639" s="105"/>
    </row>
    <row r="640" spans="3:11" s="418" customFormat="1" x14ac:dyDescent="0.25">
      <c r="C640" s="301"/>
      <c r="D640" s="430"/>
      <c r="E640" s="105"/>
      <c r="F640" s="105"/>
      <c r="G640" s="105"/>
      <c r="H640" s="105"/>
      <c r="I640" s="340"/>
      <c r="J640" s="105"/>
      <c r="K640" s="105"/>
    </row>
    <row r="641" spans="3:11" s="418" customFormat="1" x14ac:dyDescent="0.25">
      <c r="C641" s="301"/>
      <c r="D641" s="430"/>
      <c r="E641" s="105"/>
      <c r="F641" s="105"/>
      <c r="G641" s="105"/>
      <c r="H641" s="105"/>
      <c r="I641" s="340"/>
      <c r="J641" s="105"/>
      <c r="K641" s="105"/>
    </row>
    <row r="642" spans="3:11" s="418" customFormat="1" x14ac:dyDescent="0.25">
      <c r="C642" s="301"/>
      <c r="D642" s="430"/>
      <c r="E642" s="105"/>
      <c r="F642" s="105"/>
      <c r="G642" s="105"/>
      <c r="H642" s="105"/>
      <c r="I642" s="340"/>
      <c r="J642" s="105"/>
      <c r="K642" s="105"/>
    </row>
    <row r="643" spans="3:11" s="418" customFormat="1" x14ac:dyDescent="0.25">
      <c r="C643" s="301"/>
      <c r="D643" s="430"/>
      <c r="E643" s="105"/>
      <c r="F643" s="105"/>
      <c r="G643" s="105"/>
      <c r="H643" s="105"/>
      <c r="I643" s="340"/>
      <c r="J643" s="105"/>
      <c r="K643" s="105"/>
    </row>
    <row r="644" spans="3:11" s="418" customFormat="1" x14ac:dyDescent="0.25">
      <c r="C644" s="301"/>
      <c r="D644" s="430"/>
      <c r="E644" s="105"/>
      <c r="F644" s="105"/>
      <c r="G644" s="105"/>
      <c r="H644" s="105"/>
      <c r="I644" s="340"/>
      <c r="J644" s="105"/>
      <c r="K644" s="105"/>
    </row>
    <row r="645" spans="3:11" s="418" customFormat="1" x14ac:dyDescent="0.25">
      <c r="C645" s="301"/>
      <c r="D645" s="430"/>
      <c r="E645" s="105"/>
      <c r="F645" s="105"/>
      <c r="G645" s="105"/>
      <c r="H645" s="105"/>
      <c r="I645" s="340"/>
      <c r="J645" s="105"/>
      <c r="K645" s="105"/>
    </row>
    <row r="646" spans="3:11" s="418" customFormat="1" x14ac:dyDescent="0.25">
      <c r="C646" s="301"/>
      <c r="D646" s="430"/>
      <c r="E646" s="105"/>
      <c r="F646" s="105"/>
      <c r="G646" s="105"/>
      <c r="H646" s="105"/>
      <c r="I646" s="340"/>
      <c r="J646" s="105"/>
      <c r="K646" s="105"/>
    </row>
    <row r="647" spans="3:11" s="418" customFormat="1" x14ac:dyDescent="0.25">
      <c r="C647" s="301"/>
      <c r="D647" s="430"/>
      <c r="E647" s="105"/>
      <c r="F647" s="105"/>
      <c r="G647" s="105"/>
      <c r="H647" s="105"/>
      <c r="I647" s="340"/>
      <c r="J647" s="105"/>
      <c r="K647" s="105"/>
    </row>
    <row r="648" spans="3:11" s="418" customFormat="1" x14ac:dyDescent="0.25">
      <c r="C648" s="301"/>
      <c r="D648" s="430"/>
      <c r="E648" s="105"/>
      <c r="F648" s="105"/>
      <c r="G648" s="105"/>
      <c r="H648" s="105"/>
      <c r="I648" s="340"/>
      <c r="J648" s="105"/>
      <c r="K648" s="105"/>
    </row>
    <row r="649" spans="3:11" s="418" customFormat="1" x14ac:dyDescent="0.25">
      <c r="C649" s="301"/>
      <c r="D649" s="430"/>
      <c r="E649" s="105"/>
      <c r="F649" s="105"/>
      <c r="G649" s="105"/>
      <c r="H649" s="105"/>
      <c r="I649" s="340"/>
      <c r="J649" s="105"/>
      <c r="K649" s="105"/>
    </row>
    <row r="650" spans="3:11" s="418" customFormat="1" x14ac:dyDescent="0.25">
      <c r="C650" s="301"/>
      <c r="D650" s="430"/>
      <c r="E650" s="105"/>
      <c r="F650" s="105"/>
      <c r="G650" s="105"/>
      <c r="H650" s="105"/>
      <c r="I650" s="340"/>
      <c r="J650" s="105"/>
      <c r="K650" s="105"/>
    </row>
    <row r="651" spans="3:11" s="418" customFormat="1" x14ac:dyDescent="0.25">
      <c r="C651" s="301"/>
      <c r="D651" s="430"/>
      <c r="E651" s="105"/>
      <c r="F651" s="105"/>
      <c r="G651" s="105"/>
      <c r="H651" s="105"/>
      <c r="I651" s="340"/>
      <c r="J651" s="105"/>
      <c r="K651" s="105"/>
    </row>
    <row r="652" spans="3:11" s="418" customFormat="1" x14ac:dyDescent="0.25">
      <c r="C652" s="301"/>
      <c r="D652" s="430"/>
      <c r="E652" s="105"/>
      <c r="F652" s="105"/>
      <c r="G652" s="105"/>
      <c r="H652" s="105"/>
      <c r="I652" s="340"/>
      <c r="J652" s="105"/>
      <c r="K652" s="105"/>
    </row>
    <row r="653" spans="3:11" s="418" customFormat="1" x14ac:dyDescent="0.25">
      <c r="C653" s="301"/>
      <c r="D653" s="430"/>
      <c r="E653" s="105"/>
      <c r="F653" s="105"/>
      <c r="G653" s="105"/>
      <c r="H653" s="105"/>
      <c r="I653" s="340"/>
      <c r="J653" s="105"/>
      <c r="K653" s="105"/>
    </row>
    <row r="654" spans="3:11" s="418" customFormat="1" x14ac:dyDescent="0.25">
      <c r="C654" s="301"/>
      <c r="D654" s="430"/>
      <c r="E654" s="105"/>
      <c r="F654" s="105"/>
      <c r="G654" s="105"/>
      <c r="H654" s="105"/>
      <c r="I654" s="340"/>
      <c r="J654" s="105"/>
      <c r="K654" s="105"/>
    </row>
    <row r="655" spans="3:11" s="418" customFormat="1" x14ac:dyDescent="0.25">
      <c r="C655" s="301"/>
      <c r="D655" s="430"/>
      <c r="E655" s="105"/>
      <c r="F655" s="105"/>
      <c r="G655" s="105"/>
      <c r="H655" s="105"/>
      <c r="I655" s="340"/>
      <c r="J655" s="105"/>
      <c r="K655" s="105"/>
    </row>
    <row r="656" spans="3:11" s="418" customFormat="1" x14ac:dyDescent="0.25">
      <c r="C656" s="301"/>
      <c r="D656" s="430"/>
      <c r="E656" s="105"/>
      <c r="F656" s="105"/>
      <c r="G656" s="105"/>
      <c r="H656" s="105"/>
      <c r="I656" s="340"/>
      <c r="J656" s="105"/>
      <c r="K656" s="105"/>
    </row>
    <row r="657" spans="3:11" s="418" customFormat="1" x14ac:dyDescent="0.25">
      <c r="C657" s="301"/>
      <c r="D657" s="430"/>
      <c r="E657" s="105"/>
      <c r="F657" s="105"/>
      <c r="G657" s="105"/>
      <c r="H657" s="105"/>
      <c r="I657" s="340"/>
      <c r="J657" s="105"/>
      <c r="K657" s="105"/>
    </row>
    <row r="658" spans="3:11" s="418" customFormat="1" x14ac:dyDescent="0.25">
      <c r="C658" s="301"/>
      <c r="D658" s="430"/>
      <c r="E658" s="105"/>
      <c r="F658" s="105"/>
      <c r="G658" s="105"/>
      <c r="H658" s="105"/>
      <c r="I658" s="340"/>
      <c r="J658" s="105"/>
      <c r="K658" s="105"/>
    </row>
    <row r="659" spans="3:11" s="418" customFormat="1" x14ac:dyDescent="0.25">
      <c r="C659" s="301"/>
      <c r="D659" s="430"/>
      <c r="E659" s="105"/>
      <c r="F659" s="105"/>
      <c r="G659" s="105"/>
      <c r="H659" s="105"/>
      <c r="I659" s="340"/>
      <c r="J659" s="105"/>
      <c r="K659" s="105"/>
    </row>
    <row r="660" spans="3:11" s="418" customFormat="1" x14ac:dyDescent="0.25">
      <c r="C660" s="301"/>
      <c r="D660" s="430"/>
      <c r="E660" s="105"/>
      <c r="F660" s="105"/>
      <c r="G660" s="105"/>
      <c r="H660" s="105"/>
      <c r="I660" s="340"/>
      <c r="J660" s="105"/>
      <c r="K660" s="105"/>
    </row>
    <row r="661" spans="3:11" s="418" customFormat="1" x14ac:dyDescent="0.25">
      <c r="C661" s="301"/>
      <c r="D661" s="430"/>
      <c r="E661" s="105"/>
      <c r="F661" s="105"/>
      <c r="G661" s="105"/>
      <c r="H661" s="105"/>
      <c r="I661" s="340"/>
      <c r="J661" s="105"/>
      <c r="K661" s="105"/>
    </row>
    <row r="662" spans="3:11" s="418" customFormat="1" x14ac:dyDescent="0.25">
      <c r="C662" s="301"/>
      <c r="D662" s="430"/>
      <c r="E662" s="105"/>
      <c r="F662" s="105"/>
      <c r="G662" s="105"/>
      <c r="H662" s="105"/>
      <c r="I662" s="340"/>
      <c r="J662" s="105"/>
      <c r="K662" s="105"/>
    </row>
    <row r="663" spans="3:11" s="418" customFormat="1" x14ac:dyDescent="0.25">
      <c r="C663" s="301"/>
      <c r="D663" s="430"/>
      <c r="E663" s="105"/>
      <c r="F663" s="105"/>
      <c r="G663" s="105"/>
      <c r="H663" s="105"/>
      <c r="I663" s="340"/>
      <c r="J663" s="105"/>
      <c r="K663" s="105"/>
    </row>
    <row r="664" spans="3:11" s="418" customFormat="1" x14ac:dyDescent="0.25">
      <c r="C664" s="301"/>
      <c r="D664" s="430"/>
      <c r="E664" s="105"/>
      <c r="F664" s="105"/>
      <c r="G664" s="105"/>
      <c r="H664" s="105"/>
      <c r="I664" s="340"/>
      <c r="J664" s="105"/>
      <c r="K664" s="105"/>
    </row>
    <row r="665" spans="3:11" s="418" customFormat="1" x14ac:dyDescent="0.25">
      <c r="C665" s="301"/>
      <c r="D665" s="430"/>
      <c r="E665" s="105"/>
      <c r="F665" s="105"/>
      <c r="G665" s="105"/>
      <c r="H665" s="105"/>
      <c r="I665" s="340"/>
      <c r="J665" s="105"/>
      <c r="K665" s="105"/>
    </row>
    <row r="666" spans="3:11" s="418" customFormat="1" x14ac:dyDescent="0.25">
      <c r="C666" s="301"/>
      <c r="D666" s="430"/>
      <c r="E666" s="105"/>
      <c r="F666" s="105"/>
      <c r="G666" s="105"/>
      <c r="H666" s="105"/>
      <c r="I666" s="340"/>
      <c r="J666" s="105"/>
      <c r="K666" s="105"/>
    </row>
    <row r="667" spans="3:11" s="418" customFormat="1" x14ac:dyDescent="0.25">
      <c r="C667" s="301"/>
      <c r="D667" s="430"/>
      <c r="E667" s="105"/>
      <c r="F667" s="105"/>
      <c r="G667" s="105"/>
      <c r="H667" s="105"/>
      <c r="I667" s="340"/>
      <c r="J667" s="105"/>
      <c r="K667" s="105"/>
    </row>
    <row r="668" spans="3:11" s="418" customFormat="1" x14ac:dyDescent="0.25">
      <c r="C668" s="301"/>
      <c r="D668" s="430"/>
      <c r="E668" s="105"/>
      <c r="F668" s="105"/>
      <c r="G668" s="105"/>
      <c r="H668" s="105"/>
      <c r="I668" s="340"/>
      <c r="J668" s="105"/>
      <c r="K668" s="105"/>
    </row>
    <row r="669" spans="3:11" s="418" customFormat="1" x14ac:dyDescent="0.25">
      <c r="C669" s="301"/>
      <c r="D669" s="430"/>
      <c r="E669" s="105"/>
      <c r="F669" s="105"/>
      <c r="G669" s="105"/>
      <c r="H669" s="105"/>
      <c r="I669" s="340"/>
      <c r="J669" s="105"/>
      <c r="K669" s="105"/>
    </row>
    <row r="670" spans="3:11" s="418" customFormat="1" x14ac:dyDescent="0.25">
      <c r="C670" s="301"/>
      <c r="D670" s="430"/>
      <c r="E670" s="105"/>
      <c r="F670" s="105"/>
      <c r="G670" s="105"/>
      <c r="H670" s="105"/>
      <c r="I670" s="340"/>
      <c r="J670" s="105"/>
      <c r="K670" s="105"/>
    </row>
    <row r="671" spans="3:11" s="418" customFormat="1" x14ac:dyDescent="0.25">
      <c r="C671" s="301"/>
      <c r="D671" s="430"/>
      <c r="E671" s="105"/>
      <c r="F671" s="105"/>
      <c r="G671" s="105"/>
      <c r="H671" s="105"/>
      <c r="I671" s="340"/>
      <c r="J671" s="105"/>
      <c r="K671" s="105"/>
    </row>
    <row r="672" spans="3:11" s="418" customFormat="1" x14ac:dyDescent="0.25">
      <c r="C672" s="301"/>
      <c r="D672" s="430"/>
      <c r="E672" s="105"/>
      <c r="F672" s="105"/>
      <c r="G672" s="105"/>
      <c r="H672" s="105"/>
      <c r="I672" s="340"/>
      <c r="J672" s="105"/>
      <c r="K672" s="105"/>
    </row>
    <row r="673" spans="3:11" s="418" customFormat="1" x14ac:dyDescent="0.25">
      <c r="C673" s="301"/>
      <c r="D673" s="430"/>
      <c r="E673" s="105"/>
      <c r="F673" s="105"/>
      <c r="G673" s="105"/>
      <c r="H673" s="105"/>
      <c r="I673" s="340"/>
      <c r="J673" s="105"/>
      <c r="K673" s="105"/>
    </row>
    <row r="674" spans="3:11" s="418" customFormat="1" x14ac:dyDescent="0.25">
      <c r="C674" s="301"/>
      <c r="D674" s="430"/>
      <c r="E674" s="105"/>
      <c r="F674" s="105"/>
      <c r="G674" s="105"/>
      <c r="H674" s="105"/>
      <c r="I674" s="340"/>
      <c r="J674" s="105"/>
      <c r="K674" s="105"/>
    </row>
    <row r="675" spans="3:11" s="418" customFormat="1" x14ac:dyDescent="0.25">
      <c r="C675" s="301"/>
      <c r="D675" s="430"/>
      <c r="E675" s="105"/>
      <c r="F675" s="105"/>
      <c r="G675" s="105"/>
      <c r="H675" s="105"/>
      <c r="I675" s="340"/>
      <c r="J675" s="105"/>
      <c r="K675" s="105"/>
    </row>
    <row r="676" spans="3:11" s="418" customFormat="1" x14ac:dyDescent="0.25">
      <c r="C676" s="301"/>
      <c r="D676" s="430"/>
      <c r="E676" s="105"/>
      <c r="F676" s="105"/>
      <c r="G676" s="105"/>
      <c r="H676" s="105"/>
      <c r="I676" s="340"/>
      <c r="J676" s="105"/>
      <c r="K676" s="105"/>
    </row>
    <row r="677" spans="3:11" s="418" customFormat="1" x14ac:dyDescent="0.25">
      <c r="C677" s="301"/>
      <c r="D677" s="430"/>
      <c r="E677" s="105"/>
      <c r="F677" s="105"/>
      <c r="G677" s="105"/>
      <c r="H677" s="105"/>
      <c r="I677" s="340"/>
      <c r="J677" s="105"/>
      <c r="K677" s="105"/>
    </row>
    <row r="678" spans="3:11" s="418" customFormat="1" x14ac:dyDescent="0.25">
      <c r="C678" s="301"/>
      <c r="D678" s="430"/>
      <c r="E678" s="105"/>
      <c r="F678" s="105"/>
      <c r="G678" s="105"/>
      <c r="H678" s="105"/>
      <c r="I678" s="340"/>
      <c r="J678" s="105"/>
      <c r="K678" s="105"/>
    </row>
    <row r="679" spans="3:11" s="418" customFormat="1" x14ac:dyDescent="0.25">
      <c r="C679" s="301"/>
      <c r="D679" s="430"/>
      <c r="E679" s="105"/>
      <c r="F679" s="105"/>
      <c r="G679" s="105"/>
      <c r="H679" s="105"/>
      <c r="I679" s="340"/>
      <c r="J679" s="105"/>
      <c r="K679" s="105"/>
    </row>
    <row r="680" spans="3:11" s="418" customFormat="1" x14ac:dyDescent="0.25">
      <c r="C680" s="301"/>
      <c r="D680" s="430"/>
      <c r="E680" s="105"/>
      <c r="F680" s="105"/>
      <c r="G680" s="105"/>
      <c r="H680" s="105"/>
      <c r="I680" s="340"/>
      <c r="J680" s="105"/>
      <c r="K680" s="105"/>
    </row>
    <row r="681" spans="3:11" s="418" customFormat="1" x14ac:dyDescent="0.25">
      <c r="C681" s="301"/>
      <c r="D681" s="430"/>
      <c r="E681" s="105"/>
      <c r="F681" s="105"/>
      <c r="G681" s="105"/>
      <c r="H681" s="105"/>
      <c r="I681" s="340"/>
      <c r="J681" s="105"/>
      <c r="K681" s="105"/>
    </row>
    <row r="682" spans="3:11" s="418" customFormat="1" x14ac:dyDescent="0.25">
      <c r="C682" s="301"/>
      <c r="D682" s="430"/>
      <c r="E682" s="105"/>
      <c r="F682" s="105"/>
      <c r="G682" s="105"/>
      <c r="H682" s="105"/>
      <c r="I682" s="340"/>
      <c r="J682" s="105"/>
      <c r="K682" s="105"/>
    </row>
    <row r="683" spans="3:11" s="418" customFormat="1" x14ac:dyDescent="0.25">
      <c r="C683" s="301"/>
      <c r="D683" s="430"/>
      <c r="E683" s="105"/>
      <c r="F683" s="105"/>
      <c r="G683" s="105"/>
      <c r="H683" s="105"/>
      <c r="I683" s="340"/>
      <c r="J683" s="105"/>
      <c r="K683" s="105"/>
    </row>
    <row r="684" spans="3:11" s="418" customFormat="1" x14ac:dyDescent="0.25">
      <c r="C684" s="301"/>
      <c r="D684" s="430"/>
      <c r="E684" s="105"/>
      <c r="F684" s="105"/>
      <c r="G684" s="105"/>
      <c r="H684" s="105"/>
      <c r="I684" s="340"/>
      <c r="J684" s="105"/>
      <c r="K684" s="105"/>
    </row>
    <row r="685" spans="3:11" s="418" customFormat="1" x14ac:dyDescent="0.25">
      <c r="C685" s="301"/>
      <c r="D685" s="430"/>
      <c r="E685" s="105"/>
      <c r="F685" s="105"/>
      <c r="G685" s="105"/>
      <c r="H685" s="105"/>
      <c r="I685" s="340"/>
      <c r="J685" s="105"/>
      <c r="K685" s="105"/>
    </row>
    <row r="686" spans="3:11" s="418" customFormat="1" x14ac:dyDescent="0.25">
      <c r="C686" s="301"/>
      <c r="D686" s="430"/>
      <c r="E686" s="105"/>
      <c r="F686" s="105"/>
      <c r="G686" s="105"/>
      <c r="H686" s="105"/>
      <c r="I686" s="340"/>
      <c r="J686" s="105"/>
      <c r="K686" s="105"/>
    </row>
    <row r="687" spans="3:11" s="418" customFormat="1" x14ac:dyDescent="0.25">
      <c r="C687" s="301"/>
      <c r="D687" s="430"/>
      <c r="E687" s="105"/>
      <c r="F687" s="105"/>
      <c r="G687" s="105"/>
      <c r="H687" s="105"/>
      <c r="I687" s="340"/>
      <c r="J687" s="105"/>
      <c r="K687" s="105"/>
    </row>
    <row r="688" spans="3:11" s="418" customFormat="1" x14ac:dyDescent="0.25">
      <c r="C688" s="301"/>
      <c r="D688" s="430"/>
      <c r="E688" s="105"/>
      <c r="F688" s="105"/>
      <c r="G688" s="105"/>
      <c r="H688" s="105"/>
      <c r="I688" s="340"/>
      <c r="J688" s="105"/>
      <c r="K688" s="105"/>
    </row>
    <row r="689" spans="3:11" s="418" customFormat="1" x14ac:dyDescent="0.25">
      <c r="C689" s="301"/>
      <c r="D689" s="430"/>
      <c r="E689" s="105"/>
      <c r="F689" s="105"/>
      <c r="G689" s="105"/>
      <c r="H689" s="105"/>
      <c r="I689" s="340"/>
      <c r="J689" s="105"/>
      <c r="K689" s="105"/>
    </row>
    <row r="690" spans="3:11" s="418" customFormat="1" x14ac:dyDescent="0.25">
      <c r="C690" s="301"/>
      <c r="D690" s="430"/>
      <c r="E690" s="105"/>
      <c r="F690" s="105"/>
      <c r="G690" s="105"/>
      <c r="H690" s="105"/>
      <c r="I690" s="340"/>
      <c r="J690" s="105"/>
      <c r="K690" s="105"/>
    </row>
    <row r="691" spans="3:11" s="418" customFormat="1" x14ac:dyDescent="0.25">
      <c r="C691" s="301"/>
      <c r="D691" s="430"/>
      <c r="E691" s="105"/>
      <c r="F691" s="105"/>
      <c r="G691" s="105"/>
      <c r="H691" s="105"/>
      <c r="I691" s="340"/>
      <c r="J691" s="105"/>
      <c r="K691" s="105"/>
    </row>
    <row r="692" spans="3:11" s="418" customFormat="1" x14ac:dyDescent="0.25">
      <c r="C692" s="301"/>
      <c r="D692" s="430"/>
      <c r="E692" s="105"/>
      <c r="F692" s="105"/>
      <c r="G692" s="105"/>
      <c r="H692" s="105"/>
      <c r="I692" s="340"/>
      <c r="J692" s="105"/>
      <c r="K692" s="105"/>
    </row>
    <row r="693" spans="3:11" s="418" customFormat="1" x14ac:dyDescent="0.25">
      <c r="C693" s="301"/>
      <c r="D693" s="430"/>
      <c r="E693" s="105"/>
      <c r="F693" s="105"/>
      <c r="G693" s="105"/>
      <c r="H693" s="105"/>
      <c r="I693" s="340"/>
      <c r="J693" s="105"/>
      <c r="K693" s="105"/>
    </row>
    <row r="694" spans="3:11" s="418" customFormat="1" x14ac:dyDescent="0.25">
      <c r="C694" s="301"/>
      <c r="D694" s="430"/>
      <c r="E694" s="105"/>
      <c r="F694" s="105"/>
      <c r="G694" s="105"/>
      <c r="H694" s="105"/>
      <c r="I694" s="340"/>
      <c r="J694" s="105"/>
      <c r="K694" s="105"/>
    </row>
    <row r="695" spans="3:11" s="418" customFormat="1" x14ac:dyDescent="0.25">
      <c r="C695" s="301"/>
      <c r="D695" s="430"/>
      <c r="E695" s="105"/>
      <c r="F695" s="105"/>
      <c r="G695" s="105"/>
      <c r="H695" s="105"/>
      <c r="I695" s="340"/>
      <c r="J695" s="105"/>
      <c r="K695" s="105"/>
    </row>
    <row r="696" spans="3:11" s="418" customFormat="1" x14ac:dyDescent="0.25">
      <c r="C696" s="301"/>
      <c r="D696" s="430"/>
      <c r="E696" s="105"/>
      <c r="F696" s="105"/>
      <c r="G696" s="105"/>
      <c r="H696" s="105"/>
      <c r="I696" s="340"/>
      <c r="J696" s="105"/>
      <c r="K696" s="105"/>
    </row>
    <row r="697" spans="3:11" s="418" customFormat="1" x14ac:dyDescent="0.25">
      <c r="C697" s="301"/>
      <c r="D697" s="430"/>
      <c r="E697" s="105"/>
      <c r="F697" s="105"/>
      <c r="G697" s="105"/>
      <c r="H697" s="105"/>
      <c r="I697" s="340"/>
      <c r="J697" s="105"/>
      <c r="K697" s="105"/>
    </row>
    <row r="698" spans="3:11" s="418" customFormat="1" x14ac:dyDescent="0.25">
      <c r="C698" s="301"/>
      <c r="D698" s="430"/>
      <c r="E698" s="105"/>
      <c r="F698" s="105"/>
      <c r="G698" s="105"/>
      <c r="H698" s="105"/>
      <c r="I698" s="340"/>
      <c r="J698" s="105"/>
      <c r="K698" s="105"/>
    </row>
    <row r="699" spans="3:11" s="418" customFormat="1" x14ac:dyDescent="0.25">
      <c r="C699" s="301"/>
      <c r="D699" s="430"/>
      <c r="E699" s="105"/>
      <c r="F699" s="105"/>
      <c r="G699" s="105"/>
      <c r="H699" s="105"/>
      <c r="I699" s="340"/>
      <c r="J699" s="105"/>
      <c r="K699" s="105"/>
    </row>
    <row r="700" spans="3:11" s="418" customFormat="1" x14ac:dyDescent="0.25">
      <c r="C700" s="301"/>
      <c r="D700" s="430"/>
      <c r="E700" s="105"/>
      <c r="F700" s="105"/>
      <c r="G700" s="105"/>
      <c r="H700" s="105"/>
      <c r="I700" s="340"/>
      <c r="J700" s="105"/>
      <c r="K700" s="105"/>
    </row>
    <row r="701" spans="3:11" s="418" customFormat="1" x14ac:dyDescent="0.25">
      <c r="C701" s="301"/>
      <c r="D701" s="430"/>
      <c r="E701" s="105"/>
      <c r="F701" s="105"/>
      <c r="G701" s="105"/>
      <c r="H701" s="105"/>
      <c r="I701" s="340"/>
      <c r="J701" s="105"/>
      <c r="K701" s="105"/>
    </row>
    <row r="702" spans="3:11" s="418" customFormat="1" x14ac:dyDescent="0.25">
      <c r="C702" s="301"/>
      <c r="D702" s="430"/>
      <c r="E702" s="105"/>
      <c r="F702" s="105"/>
      <c r="G702" s="105"/>
      <c r="H702" s="105"/>
      <c r="I702" s="340"/>
      <c r="J702" s="105"/>
      <c r="K702" s="105"/>
    </row>
    <row r="703" spans="3:11" s="418" customFormat="1" x14ac:dyDescent="0.25">
      <c r="C703" s="301"/>
      <c r="D703" s="430"/>
      <c r="E703" s="105"/>
      <c r="F703" s="105"/>
      <c r="G703" s="105"/>
      <c r="H703" s="105"/>
      <c r="I703" s="340"/>
      <c r="J703" s="105"/>
      <c r="K703" s="105"/>
    </row>
    <row r="704" spans="3:11" s="418" customFormat="1" x14ac:dyDescent="0.25">
      <c r="C704" s="301"/>
      <c r="D704" s="430"/>
      <c r="E704" s="105"/>
      <c r="F704" s="105"/>
      <c r="G704" s="105"/>
      <c r="H704" s="105"/>
      <c r="I704" s="340"/>
      <c r="J704" s="105"/>
      <c r="K704" s="105"/>
    </row>
    <row r="705" spans="3:11" s="418" customFormat="1" x14ac:dyDescent="0.25">
      <c r="C705" s="301"/>
      <c r="D705" s="430"/>
      <c r="E705" s="105"/>
      <c r="F705" s="105"/>
      <c r="G705" s="105"/>
      <c r="H705" s="105"/>
      <c r="I705" s="340"/>
      <c r="J705" s="105"/>
      <c r="K705" s="105"/>
    </row>
    <row r="706" spans="3:11" s="418" customFormat="1" x14ac:dyDescent="0.25">
      <c r="C706" s="301"/>
      <c r="D706" s="430"/>
      <c r="E706" s="105"/>
      <c r="F706" s="105"/>
      <c r="G706" s="105"/>
      <c r="H706" s="105"/>
      <c r="I706" s="340"/>
      <c r="J706" s="105"/>
      <c r="K706" s="105"/>
    </row>
    <row r="707" spans="3:11" s="418" customFormat="1" x14ac:dyDescent="0.25">
      <c r="C707" s="301"/>
      <c r="D707" s="430"/>
      <c r="E707" s="105"/>
      <c r="F707" s="105"/>
      <c r="G707" s="105"/>
      <c r="H707" s="105"/>
      <c r="I707" s="340"/>
      <c r="J707" s="105"/>
      <c r="K707" s="105"/>
    </row>
    <row r="708" spans="3:11" s="418" customFormat="1" x14ac:dyDescent="0.25">
      <c r="C708" s="301"/>
      <c r="D708" s="430"/>
      <c r="E708" s="105"/>
      <c r="F708" s="105"/>
      <c r="G708" s="105"/>
      <c r="H708" s="105"/>
      <c r="I708" s="340"/>
      <c r="J708" s="105"/>
      <c r="K708" s="105"/>
    </row>
    <row r="709" spans="3:11" s="418" customFormat="1" x14ac:dyDescent="0.25">
      <c r="C709" s="301"/>
      <c r="D709" s="430"/>
      <c r="E709" s="105"/>
      <c r="F709" s="105"/>
      <c r="G709" s="105"/>
      <c r="H709" s="105"/>
      <c r="I709" s="340"/>
      <c r="J709" s="105"/>
      <c r="K709" s="105"/>
    </row>
    <row r="710" spans="3:11" s="418" customFormat="1" x14ac:dyDescent="0.25">
      <c r="C710" s="301"/>
      <c r="D710" s="430"/>
      <c r="E710" s="105"/>
      <c r="F710" s="105"/>
      <c r="G710" s="105"/>
      <c r="H710" s="105"/>
      <c r="I710" s="340"/>
      <c r="J710" s="105"/>
      <c r="K710" s="105"/>
    </row>
    <row r="711" spans="3:11" s="418" customFormat="1" x14ac:dyDescent="0.25">
      <c r="C711" s="301"/>
      <c r="D711" s="430"/>
      <c r="E711" s="105"/>
      <c r="F711" s="105"/>
      <c r="G711" s="105"/>
      <c r="H711" s="105"/>
      <c r="I711" s="340"/>
      <c r="J711" s="105"/>
      <c r="K711" s="105"/>
    </row>
    <row r="712" spans="3:11" s="418" customFormat="1" x14ac:dyDescent="0.25">
      <c r="C712" s="301"/>
      <c r="D712" s="430"/>
      <c r="E712" s="105"/>
      <c r="F712" s="105"/>
      <c r="G712" s="105"/>
      <c r="H712" s="105"/>
      <c r="I712" s="340"/>
      <c r="J712" s="105"/>
      <c r="K712" s="105"/>
    </row>
    <row r="713" spans="3:11" s="418" customFormat="1" x14ac:dyDescent="0.25">
      <c r="C713" s="301"/>
      <c r="D713" s="430"/>
      <c r="E713" s="105"/>
      <c r="F713" s="105"/>
      <c r="G713" s="105"/>
      <c r="H713" s="105"/>
      <c r="I713" s="340"/>
      <c r="J713" s="105"/>
      <c r="K713" s="105"/>
    </row>
    <row r="714" spans="3:11" s="418" customFormat="1" x14ac:dyDescent="0.25">
      <c r="C714" s="301"/>
      <c r="D714" s="430"/>
      <c r="E714" s="105"/>
      <c r="F714" s="105"/>
      <c r="G714" s="105"/>
      <c r="H714" s="105"/>
      <c r="I714" s="340"/>
      <c r="J714" s="105"/>
      <c r="K714" s="105"/>
    </row>
    <row r="715" spans="3:11" s="418" customFormat="1" x14ac:dyDescent="0.25">
      <c r="C715" s="301"/>
      <c r="D715" s="430"/>
      <c r="E715" s="105"/>
      <c r="F715" s="105"/>
      <c r="G715" s="105"/>
      <c r="H715" s="105"/>
      <c r="I715" s="340"/>
      <c r="J715" s="105"/>
      <c r="K715" s="105"/>
    </row>
    <row r="716" spans="3:11" s="418" customFormat="1" x14ac:dyDescent="0.25">
      <c r="C716" s="301"/>
      <c r="D716" s="430"/>
      <c r="E716" s="105"/>
      <c r="F716" s="105"/>
      <c r="G716" s="105"/>
      <c r="H716" s="105"/>
      <c r="I716" s="340"/>
      <c r="J716" s="105"/>
      <c r="K716" s="105"/>
    </row>
    <row r="717" spans="3:11" s="418" customFormat="1" x14ac:dyDescent="0.25">
      <c r="C717" s="301"/>
      <c r="D717" s="430"/>
      <c r="E717" s="105"/>
      <c r="F717" s="105"/>
      <c r="G717" s="105"/>
      <c r="H717" s="105"/>
      <c r="I717" s="340"/>
      <c r="J717" s="105"/>
      <c r="K717" s="105"/>
    </row>
    <row r="718" spans="3:11" s="418" customFormat="1" x14ac:dyDescent="0.25">
      <c r="C718" s="301"/>
      <c r="D718" s="430"/>
      <c r="E718" s="105"/>
      <c r="F718" s="105"/>
      <c r="G718" s="105"/>
      <c r="H718" s="105"/>
      <c r="I718" s="340"/>
      <c r="J718" s="105"/>
      <c r="K718" s="105"/>
    </row>
    <row r="719" spans="3:11" s="418" customFormat="1" x14ac:dyDescent="0.25">
      <c r="C719" s="301"/>
      <c r="D719" s="430"/>
      <c r="E719" s="105"/>
      <c r="F719" s="105"/>
      <c r="G719" s="105"/>
      <c r="H719" s="105"/>
      <c r="I719" s="340"/>
      <c r="J719" s="105"/>
      <c r="K719" s="105"/>
    </row>
    <row r="720" spans="3:11" s="418" customFormat="1" x14ac:dyDescent="0.25">
      <c r="C720" s="301"/>
      <c r="D720" s="430"/>
      <c r="E720" s="105"/>
      <c r="F720" s="105"/>
      <c r="G720" s="105"/>
      <c r="H720" s="105"/>
      <c r="I720" s="340"/>
      <c r="J720" s="105"/>
      <c r="K720" s="105"/>
    </row>
    <row r="721" spans="3:11" s="418" customFormat="1" x14ac:dyDescent="0.25">
      <c r="C721" s="301"/>
      <c r="D721" s="430"/>
      <c r="E721" s="105"/>
      <c r="F721" s="105"/>
      <c r="G721" s="105"/>
      <c r="H721" s="105"/>
      <c r="I721" s="340"/>
      <c r="J721" s="105"/>
      <c r="K721" s="105"/>
    </row>
    <row r="722" spans="3:11" s="418" customFormat="1" x14ac:dyDescent="0.25">
      <c r="C722" s="301"/>
      <c r="D722" s="430"/>
      <c r="E722" s="105"/>
      <c r="F722" s="105"/>
      <c r="G722" s="105"/>
      <c r="H722" s="105"/>
      <c r="I722" s="340"/>
      <c r="J722" s="105"/>
      <c r="K722" s="105"/>
    </row>
    <row r="723" spans="3:11" s="418" customFormat="1" x14ac:dyDescent="0.25">
      <c r="C723" s="301"/>
      <c r="D723" s="430"/>
      <c r="E723" s="105"/>
      <c r="F723" s="105"/>
      <c r="G723" s="105"/>
      <c r="H723" s="105"/>
      <c r="I723" s="340"/>
      <c r="J723" s="105"/>
      <c r="K723" s="105"/>
    </row>
    <row r="724" spans="3:11" s="418" customFormat="1" x14ac:dyDescent="0.25">
      <c r="C724" s="301"/>
      <c r="D724" s="430"/>
      <c r="E724" s="105"/>
      <c r="F724" s="105"/>
      <c r="G724" s="105"/>
      <c r="H724" s="105"/>
      <c r="I724" s="340"/>
      <c r="J724" s="105"/>
      <c r="K724" s="105"/>
    </row>
    <row r="725" spans="3:11" s="418" customFormat="1" x14ac:dyDescent="0.25">
      <c r="C725" s="301"/>
      <c r="D725" s="430"/>
      <c r="E725" s="105"/>
      <c r="F725" s="105"/>
      <c r="G725" s="105"/>
      <c r="H725" s="105"/>
      <c r="I725" s="340"/>
      <c r="J725" s="105"/>
      <c r="K725" s="105"/>
    </row>
    <row r="726" spans="3:11" s="418" customFormat="1" x14ac:dyDescent="0.25">
      <c r="C726" s="301"/>
      <c r="D726" s="430"/>
      <c r="E726" s="105"/>
      <c r="F726" s="105"/>
      <c r="G726" s="105"/>
      <c r="H726" s="105"/>
      <c r="I726" s="340"/>
      <c r="J726" s="105"/>
      <c r="K726" s="105"/>
    </row>
    <row r="727" spans="3:11" s="418" customFormat="1" x14ac:dyDescent="0.25">
      <c r="C727" s="301"/>
      <c r="D727" s="430"/>
      <c r="E727" s="105"/>
      <c r="F727" s="105"/>
      <c r="G727" s="105"/>
      <c r="H727" s="105"/>
      <c r="I727" s="340"/>
      <c r="J727" s="105"/>
      <c r="K727" s="105"/>
    </row>
    <row r="728" spans="3:11" s="418" customFormat="1" x14ac:dyDescent="0.25">
      <c r="C728" s="301"/>
      <c r="D728" s="430"/>
      <c r="E728" s="105"/>
      <c r="F728" s="105"/>
      <c r="G728" s="105"/>
      <c r="H728" s="105"/>
      <c r="I728" s="340"/>
      <c r="J728" s="105"/>
      <c r="K728" s="105"/>
    </row>
    <row r="729" spans="3:11" s="418" customFormat="1" x14ac:dyDescent="0.25">
      <c r="C729" s="301"/>
      <c r="D729" s="430"/>
      <c r="E729" s="105"/>
      <c r="F729" s="105"/>
      <c r="G729" s="105"/>
      <c r="H729" s="105"/>
      <c r="I729" s="340"/>
      <c r="J729" s="105"/>
      <c r="K729" s="105"/>
    </row>
    <row r="730" spans="3:11" s="418" customFormat="1" x14ac:dyDescent="0.25">
      <c r="C730" s="301"/>
      <c r="D730" s="430"/>
      <c r="E730" s="105"/>
      <c r="F730" s="105"/>
      <c r="G730" s="105"/>
      <c r="H730" s="105"/>
      <c r="I730" s="340"/>
      <c r="J730" s="105"/>
      <c r="K730" s="105"/>
    </row>
    <row r="731" spans="3:11" s="418" customFormat="1" x14ac:dyDescent="0.25">
      <c r="C731" s="301"/>
      <c r="D731" s="430"/>
      <c r="E731" s="105"/>
      <c r="F731" s="105"/>
      <c r="G731" s="105"/>
      <c r="H731" s="105"/>
      <c r="I731" s="340"/>
      <c r="J731" s="105"/>
      <c r="K731" s="105"/>
    </row>
    <row r="732" spans="3:11" s="418" customFormat="1" x14ac:dyDescent="0.25">
      <c r="C732" s="301"/>
      <c r="D732" s="430"/>
      <c r="E732" s="105"/>
      <c r="F732" s="105"/>
      <c r="G732" s="105"/>
      <c r="H732" s="105"/>
      <c r="I732" s="340"/>
      <c r="J732" s="105"/>
      <c r="K732" s="105"/>
    </row>
    <row r="733" spans="3:11" s="418" customFormat="1" x14ac:dyDescent="0.25">
      <c r="C733" s="301"/>
      <c r="D733" s="430"/>
      <c r="E733" s="105"/>
      <c r="F733" s="105"/>
      <c r="G733" s="105"/>
      <c r="H733" s="105"/>
      <c r="I733" s="340"/>
      <c r="J733" s="105"/>
      <c r="K733" s="105"/>
    </row>
    <row r="734" spans="3:11" s="418" customFormat="1" x14ac:dyDescent="0.25">
      <c r="C734" s="301"/>
      <c r="D734" s="430"/>
      <c r="E734" s="105"/>
      <c r="F734" s="105"/>
      <c r="G734" s="105"/>
      <c r="H734" s="105"/>
      <c r="I734" s="340"/>
      <c r="J734" s="105"/>
      <c r="K734" s="105"/>
    </row>
    <row r="735" spans="3:11" s="418" customFormat="1" x14ac:dyDescent="0.25">
      <c r="C735" s="301"/>
      <c r="D735" s="430"/>
      <c r="E735" s="105"/>
      <c r="F735" s="105"/>
      <c r="G735" s="105"/>
      <c r="H735" s="105"/>
      <c r="I735" s="340"/>
      <c r="J735" s="105"/>
      <c r="K735" s="105"/>
    </row>
    <row r="736" spans="3:11" s="418" customFormat="1" x14ac:dyDescent="0.25">
      <c r="C736" s="301"/>
      <c r="D736" s="430"/>
      <c r="E736" s="105"/>
      <c r="F736" s="105"/>
      <c r="G736" s="105"/>
      <c r="H736" s="105"/>
      <c r="I736" s="340"/>
      <c r="J736" s="105"/>
      <c r="K736" s="105"/>
    </row>
    <row r="737" spans="3:11" s="418" customFormat="1" x14ac:dyDescent="0.25">
      <c r="C737" s="301"/>
      <c r="D737" s="430"/>
      <c r="E737" s="105"/>
      <c r="F737" s="105"/>
      <c r="G737" s="105"/>
      <c r="H737" s="105"/>
      <c r="I737" s="340"/>
      <c r="J737" s="105"/>
      <c r="K737" s="105"/>
    </row>
    <row r="738" spans="3:11" s="418" customFormat="1" x14ac:dyDescent="0.25">
      <c r="C738" s="301"/>
      <c r="D738" s="430"/>
      <c r="E738" s="105"/>
      <c r="F738" s="105"/>
      <c r="G738" s="105"/>
      <c r="H738" s="105"/>
      <c r="I738" s="340"/>
      <c r="J738" s="105"/>
      <c r="K738" s="105"/>
    </row>
    <row r="739" spans="3:11" s="418" customFormat="1" x14ac:dyDescent="0.25">
      <c r="C739" s="301"/>
      <c r="D739" s="430"/>
      <c r="E739" s="105"/>
      <c r="F739" s="105"/>
      <c r="G739" s="105"/>
      <c r="H739" s="105"/>
      <c r="I739" s="340"/>
      <c r="J739" s="105"/>
      <c r="K739" s="105"/>
    </row>
    <row r="740" spans="3:11" s="418" customFormat="1" x14ac:dyDescent="0.25">
      <c r="C740" s="301"/>
      <c r="D740" s="430"/>
      <c r="E740" s="105"/>
      <c r="F740" s="105"/>
      <c r="G740" s="105"/>
      <c r="H740" s="105"/>
      <c r="I740" s="340"/>
      <c r="J740" s="105"/>
      <c r="K740" s="105"/>
    </row>
    <row r="741" spans="3:11" s="418" customFormat="1" x14ac:dyDescent="0.25">
      <c r="C741" s="301"/>
      <c r="D741" s="430"/>
      <c r="E741" s="105"/>
      <c r="F741" s="105"/>
      <c r="G741" s="105"/>
      <c r="H741" s="105"/>
      <c r="I741" s="340"/>
      <c r="J741" s="105"/>
      <c r="K741" s="105"/>
    </row>
    <row r="742" spans="3:11" s="418" customFormat="1" x14ac:dyDescent="0.25">
      <c r="C742" s="301"/>
      <c r="D742" s="430"/>
      <c r="E742" s="105"/>
      <c r="F742" s="105"/>
      <c r="G742" s="105"/>
      <c r="H742" s="105"/>
      <c r="I742" s="340"/>
      <c r="J742" s="105"/>
      <c r="K742" s="105"/>
    </row>
    <row r="743" spans="3:11" s="418" customFormat="1" x14ac:dyDescent="0.25">
      <c r="C743" s="301"/>
      <c r="D743" s="430"/>
      <c r="E743" s="105"/>
      <c r="F743" s="105"/>
      <c r="G743" s="105"/>
      <c r="H743" s="105"/>
      <c r="I743" s="340"/>
      <c r="J743" s="105"/>
      <c r="K743" s="105"/>
    </row>
    <row r="744" spans="3:11" s="418" customFormat="1" x14ac:dyDescent="0.25">
      <c r="C744" s="301"/>
      <c r="D744" s="430"/>
      <c r="E744" s="105"/>
      <c r="F744" s="105"/>
      <c r="G744" s="105"/>
      <c r="H744" s="105"/>
      <c r="I744" s="340"/>
      <c r="J744" s="105"/>
      <c r="K744" s="105"/>
    </row>
    <row r="745" spans="3:11" s="418" customFormat="1" x14ac:dyDescent="0.25">
      <c r="C745" s="301"/>
      <c r="D745" s="430"/>
      <c r="E745" s="105"/>
      <c r="F745" s="105"/>
      <c r="G745" s="105"/>
      <c r="H745" s="105"/>
      <c r="I745" s="340"/>
      <c r="J745" s="105"/>
      <c r="K745" s="105"/>
    </row>
    <row r="746" spans="3:11" s="418" customFormat="1" x14ac:dyDescent="0.25">
      <c r="C746" s="301"/>
      <c r="D746" s="430"/>
      <c r="E746" s="105"/>
      <c r="F746" s="105"/>
      <c r="G746" s="105"/>
      <c r="H746" s="105"/>
      <c r="I746" s="340"/>
      <c r="J746" s="105"/>
      <c r="K746" s="105"/>
    </row>
    <row r="747" spans="3:11" s="418" customFormat="1" x14ac:dyDescent="0.25">
      <c r="C747" s="301"/>
      <c r="D747" s="430"/>
      <c r="E747" s="105"/>
      <c r="F747" s="105"/>
      <c r="G747" s="105"/>
      <c r="H747" s="105"/>
      <c r="I747" s="340"/>
      <c r="J747" s="105"/>
      <c r="K747" s="105"/>
    </row>
    <row r="748" spans="3:11" s="418" customFormat="1" x14ac:dyDescent="0.25">
      <c r="C748" s="301"/>
      <c r="D748" s="430"/>
      <c r="E748" s="105"/>
      <c r="F748" s="105"/>
      <c r="G748" s="105"/>
      <c r="H748" s="105"/>
      <c r="I748" s="340"/>
      <c r="J748" s="105"/>
      <c r="K748" s="105"/>
    </row>
    <row r="749" spans="3:11" s="418" customFormat="1" x14ac:dyDescent="0.25">
      <c r="C749" s="301"/>
      <c r="D749" s="430"/>
      <c r="E749" s="105"/>
      <c r="F749" s="105"/>
      <c r="G749" s="105"/>
      <c r="H749" s="105"/>
      <c r="I749" s="340"/>
      <c r="J749" s="105"/>
      <c r="K749" s="105"/>
    </row>
    <row r="750" spans="3:11" s="418" customFormat="1" x14ac:dyDescent="0.25">
      <c r="C750" s="301"/>
      <c r="D750" s="430"/>
      <c r="E750" s="105"/>
      <c r="F750" s="105"/>
      <c r="G750" s="105"/>
      <c r="H750" s="105"/>
      <c r="I750" s="340"/>
      <c r="J750" s="105"/>
      <c r="K750" s="105"/>
    </row>
    <row r="751" spans="3:11" s="418" customFormat="1" x14ac:dyDescent="0.25">
      <c r="C751" s="301"/>
      <c r="D751" s="430"/>
      <c r="E751" s="105"/>
      <c r="F751" s="105"/>
      <c r="G751" s="105"/>
      <c r="H751" s="105"/>
      <c r="I751" s="340"/>
      <c r="J751" s="105"/>
      <c r="K751" s="105"/>
    </row>
    <row r="752" spans="3:11" s="418" customFormat="1" x14ac:dyDescent="0.25">
      <c r="C752" s="301"/>
      <c r="D752" s="430"/>
      <c r="E752" s="105"/>
      <c r="F752" s="105"/>
      <c r="G752" s="105"/>
      <c r="H752" s="105"/>
      <c r="I752" s="340"/>
      <c r="J752" s="105"/>
      <c r="K752" s="105"/>
    </row>
    <row r="753" spans="3:11" s="418" customFormat="1" x14ac:dyDescent="0.25">
      <c r="C753" s="301"/>
      <c r="D753" s="430"/>
      <c r="E753" s="105"/>
      <c r="F753" s="105"/>
      <c r="G753" s="105"/>
      <c r="H753" s="105"/>
      <c r="I753" s="340"/>
      <c r="J753" s="105"/>
      <c r="K753" s="105"/>
    </row>
    <row r="754" spans="3:11" s="418" customFormat="1" x14ac:dyDescent="0.25">
      <c r="C754" s="301"/>
      <c r="D754" s="430"/>
      <c r="E754" s="105"/>
      <c r="F754" s="105"/>
      <c r="G754" s="105"/>
      <c r="H754" s="105"/>
      <c r="I754" s="340"/>
      <c r="J754" s="105"/>
      <c r="K754" s="105"/>
    </row>
    <row r="755" spans="3:11" s="418" customFormat="1" x14ac:dyDescent="0.25">
      <c r="C755" s="301"/>
      <c r="D755" s="430"/>
      <c r="E755" s="105"/>
      <c r="F755" s="105"/>
      <c r="G755" s="105"/>
      <c r="H755" s="105"/>
      <c r="I755" s="340"/>
      <c r="J755" s="105"/>
      <c r="K755" s="105"/>
    </row>
    <row r="756" spans="3:11" s="418" customFormat="1" x14ac:dyDescent="0.25">
      <c r="C756" s="301"/>
      <c r="D756" s="430"/>
      <c r="E756" s="105"/>
      <c r="F756" s="105"/>
      <c r="G756" s="105"/>
      <c r="H756" s="105"/>
      <c r="I756" s="340"/>
      <c r="J756" s="105"/>
      <c r="K756" s="105"/>
    </row>
    <row r="757" spans="3:11" s="418" customFormat="1" x14ac:dyDescent="0.25">
      <c r="C757" s="301"/>
      <c r="D757" s="430"/>
      <c r="E757" s="105"/>
      <c r="F757" s="105"/>
      <c r="G757" s="105"/>
      <c r="H757" s="105"/>
      <c r="I757" s="340"/>
      <c r="J757" s="105"/>
      <c r="K757" s="105"/>
    </row>
    <row r="758" spans="3:11" s="418" customFormat="1" x14ac:dyDescent="0.25">
      <c r="C758" s="301"/>
      <c r="D758" s="430"/>
      <c r="E758" s="105"/>
      <c r="F758" s="105"/>
      <c r="G758" s="105"/>
      <c r="H758" s="105"/>
      <c r="I758" s="340"/>
      <c r="J758" s="105"/>
      <c r="K758" s="105"/>
    </row>
    <row r="759" spans="3:11" s="418" customFormat="1" x14ac:dyDescent="0.25">
      <c r="C759" s="301"/>
      <c r="D759" s="430"/>
      <c r="E759" s="105"/>
      <c r="F759" s="105"/>
      <c r="G759" s="105"/>
      <c r="H759" s="105"/>
      <c r="I759" s="340"/>
      <c r="J759" s="105"/>
      <c r="K759" s="105"/>
    </row>
    <row r="760" spans="3:11" s="418" customFormat="1" x14ac:dyDescent="0.25">
      <c r="C760" s="301"/>
      <c r="D760" s="430"/>
      <c r="E760" s="105"/>
      <c r="F760" s="105"/>
      <c r="G760" s="105"/>
      <c r="H760" s="105"/>
      <c r="I760" s="340"/>
      <c r="J760" s="105"/>
      <c r="K760" s="105"/>
    </row>
    <row r="761" spans="3:11" s="418" customFormat="1" x14ac:dyDescent="0.25">
      <c r="C761" s="301"/>
      <c r="D761" s="430"/>
      <c r="E761" s="105"/>
      <c r="F761" s="105"/>
      <c r="G761" s="105"/>
      <c r="H761" s="105"/>
      <c r="I761" s="340"/>
      <c r="J761" s="105"/>
      <c r="K761" s="105"/>
    </row>
    <row r="762" spans="3:11" s="418" customFormat="1" x14ac:dyDescent="0.25">
      <c r="C762" s="301"/>
      <c r="D762" s="430"/>
      <c r="E762" s="105"/>
      <c r="F762" s="105"/>
      <c r="G762" s="105"/>
      <c r="H762" s="105"/>
      <c r="I762" s="340"/>
      <c r="J762" s="105"/>
      <c r="K762" s="105"/>
    </row>
    <row r="763" spans="3:11" s="418" customFormat="1" x14ac:dyDescent="0.25">
      <c r="C763" s="301"/>
      <c r="D763" s="430"/>
      <c r="E763" s="105"/>
      <c r="F763" s="105"/>
      <c r="G763" s="105"/>
      <c r="H763" s="105"/>
      <c r="I763" s="340"/>
      <c r="J763" s="105"/>
      <c r="K763" s="105"/>
    </row>
    <row r="764" spans="3:11" s="418" customFormat="1" x14ac:dyDescent="0.25">
      <c r="C764" s="301"/>
      <c r="D764" s="430"/>
      <c r="E764" s="105"/>
      <c r="F764" s="105"/>
      <c r="G764" s="105"/>
      <c r="H764" s="105"/>
      <c r="I764" s="340"/>
      <c r="J764" s="105"/>
      <c r="K764" s="105"/>
    </row>
    <row r="765" spans="3:11" s="418" customFormat="1" x14ac:dyDescent="0.25">
      <c r="C765" s="301"/>
      <c r="D765" s="430"/>
      <c r="E765" s="105"/>
      <c r="F765" s="105"/>
      <c r="G765" s="105"/>
      <c r="H765" s="105"/>
      <c r="I765" s="340"/>
      <c r="J765" s="105"/>
      <c r="K765" s="105"/>
    </row>
    <row r="766" spans="3:11" s="418" customFormat="1" x14ac:dyDescent="0.25">
      <c r="C766" s="301"/>
      <c r="D766" s="430"/>
      <c r="E766" s="105"/>
      <c r="F766" s="105"/>
      <c r="G766" s="105"/>
      <c r="H766" s="105"/>
      <c r="I766" s="340"/>
      <c r="J766" s="105"/>
      <c r="K766" s="105"/>
    </row>
    <row r="767" spans="3:11" s="418" customFormat="1" x14ac:dyDescent="0.25">
      <c r="C767" s="301"/>
      <c r="D767" s="430"/>
      <c r="E767" s="105"/>
      <c r="F767" s="105"/>
      <c r="G767" s="105"/>
      <c r="H767" s="105"/>
      <c r="I767" s="340"/>
      <c r="J767" s="105"/>
      <c r="K767" s="105"/>
    </row>
    <row r="768" spans="3:11" s="418" customFormat="1" x14ac:dyDescent="0.25">
      <c r="C768" s="301"/>
      <c r="D768" s="430"/>
      <c r="E768" s="105"/>
      <c r="F768" s="105"/>
      <c r="G768" s="105"/>
      <c r="H768" s="105"/>
      <c r="I768" s="340"/>
      <c r="J768" s="105"/>
      <c r="K768" s="105"/>
    </row>
    <row r="769" spans="3:11" s="418" customFormat="1" x14ac:dyDescent="0.25">
      <c r="C769" s="301"/>
      <c r="D769" s="430"/>
      <c r="E769" s="105"/>
      <c r="F769" s="105"/>
      <c r="G769" s="105"/>
      <c r="H769" s="105"/>
      <c r="I769" s="340"/>
      <c r="J769" s="105"/>
      <c r="K769" s="105"/>
    </row>
    <row r="770" spans="3:11" s="418" customFormat="1" x14ac:dyDescent="0.25">
      <c r="C770" s="301"/>
      <c r="D770" s="430"/>
      <c r="E770" s="105"/>
      <c r="F770" s="105"/>
      <c r="G770" s="105"/>
      <c r="H770" s="105"/>
      <c r="I770" s="340"/>
      <c r="J770" s="105"/>
      <c r="K770" s="105"/>
    </row>
    <row r="771" spans="3:11" s="418" customFormat="1" x14ac:dyDescent="0.25">
      <c r="C771" s="301"/>
      <c r="D771" s="430"/>
      <c r="E771" s="105"/>
      <c r="F771" s="105"/>
      <c r="G771" s="105"/>
      <c r="H771" s="105"/>
      <c r="I771" s="340"/>
      <c r="J771" s="105"/>
      <c r="K771" s="105"/>
    </row>
    <row r="772" spans="3:11" s="418" customFormat="1" x14ac:dyDescent="0.25">
      <c r="C772" s="301"/>
      <c r="D772" s="430"/>
      <c r="E772" s="105"/>
      <c r="F772" s="105"/>
      <c r="G772" s="105"/>
      <c r="H772" s="105"/>
      <c r="I772" s="340"/>
      <c r="J772" s="105"/>
      <c r="K772" s="105"/>
    </row>
    <row r="773" spans="3:11" s="418" customFormat="1" x14ac:dyDescent="0.25">
      <c r="C773" s="301"/>
      <c r="D773" s="430"/>
      <c r="E773" s="105"/>
      <c r="F773" s="105"/>
      <c r="G773" s="105"/>
      <c r="H773" s="105"/>
      <c r="I773" s="340"/>
      <c r="J773" s="105"/>
      <c r="K773" s="105"/>
    </row>
    <row r="774" spans="3:11" s="418" customFormat="1" x14ac:dyDescent="0.25">
      <c r="C774" s="301"/>
      <c r="D774" s="430"/>
      <c r="E774" s="105"/>
      <c r="F774" s="105"/>
      <c r="G774" s="105"/>
      <c r="H774" s="105"/>
      <c r="I774" s="340"/>
      <c r="J774" s="105"/>
      <c r="K774" s="105"/>
    </row>
    <row r="775" spans="3:11" s="418" customFormat="1" x14ac:dyDescent="0.25">
      <c r="C775" s="301"/>
      <c r="D775" s="430"/>
      <c r="E775" s="105"/>
      <c r="F775" s="105"/>
      <c r="G775" s="105"/>
      <c r="H775" s="105"/>
      <c r="I775" s="340"/>
      <c r="J775" s="105"/>
      <c r="K775" s="105"/>
    </row>
    <row r="776" spans="3:11" s="418" customFormat="1" x14ac:dyDescent="0.25">
      <c r="C776" s="301"/>
      <c r="D776" s="430"/>
      <c r="E776" s="105"/>
      <c r="F776" s="105"/>
      <c r="G776" s="105"/>
      <c r="H776" s="105"/>
      <c r="I776" s="340"/>
      <c r="J776" s="105"/>
      <c r="K776" s="105"/>
    </row>
    <row r="777" spans="3:11" s="418" customFormat="1" x14ac:dyDescent="0.25">
      <c r="C777" s="301"/>
      <c r="D777" s="430"/>
      <c r="E777" s="105"/>
      <c r="F777" s="105"/>
      <c r="G777" s="105"/>
      <c r="H777" s="105"/>
      <c r="I777" s="340"/>
      <c r="J777" s="105"/>
      <c r="K777" s="105"/>
    </row>
    <row r="778" spans="3:11" s="418" customFormat="1" x14ac:dyDescent="0.25">
      <c r="C778" s="301"/>
      <c r="D778" s="430"/>
      <c r="E778" s="105"/>
      <c r="F778" s="105"/>
      <c r="G778" s="105"/>
      <c r="H778" s="105"/>
      <c r="I778" s="340"/>
      <c r="J778" s="105"/>
      <c r="K778" s="105"/>
    </row>
    <row r="779" spans="3:11" s="418" customFormat="1" x14ac:dyDescent="0.25">
      <c r="C779" s="301"/>
      <c r="D779" s="430"/>
      <c r="E779" s="105"/>
      <c r="F779" s="105"/>
      <c r="G779" s="105"/>
      <c r="H779" s="105"/>
      <c r="I779" s="340"/>
      <c r="J779" s="105"/>
      <c r="K779" s="105"/>
    </row>
    <row r="780" spans="3:11" s="418" customFormat="1" x14ac:dyDescent="0.25">
      <c r="C780" s="301"/>
      <c r="D780" s="430"/>
      <c r="E780" s="105"/>
      <c r="F780" s="105"/>
      <c r="G780" s="105"/>
      <c r="H780" s="105"/>
      <c r="I780" s="340"/>
      <c r="J780" s="105"/>
      <c r="K780" s="105"/>
    </row>
    <row r="781" spans="3:11" s="418" customFormat="1" x14ac:dyDescent="0.25">
      <c r="C781" s="301"/>
      <c r="D781" s="430"/>
      <c r="E781" s="105"/>
      <c r="F781" s="105"/>
      <c r="G781" s="105"/>
      <c r="H781" s="105"/>
      <c r="I781" s="340"/>
      <c r="J781" s="105"/>
      <c r="K781" s="105"/>
    </row>
    <row r="782" spans="3:11" s="418" customFormat="1" x14ac:dyDescent="0.25">
      <c r="C782" s="301"/>
      <c r="D782" s="430"/>
      <c r="E782" s="105"/>
      <c r="F782" s="105"/>
      <c r="G782" s="105"/>
      <c r="H782" s="105"/>
      <c r="I782" s="340"/>
      <c r="J782" s="105"/>
      <c r="K782" s="105"/>
    </row>
    <row r="783" spans="3:11" s="418" customFormat="1" x14ac:dyDescent="0.25">
      <c r="C783" s="301"/>
      <c r="D783" s="430"/>
      <c r="E783" s="105"/>
      <c r="F783" s="105"/>
      <c r="G783" s="105"/>
      <c r="H783" s="105"/>
      <c r="I783" s="340"/>
      <c r="J783" s="105"/>
      <c r="K783" s="105"/>
    </row>
    <row r="784" spans="3:11" s="418" customFormat="1" x14ac:dyDescent="0.25">
      <c r="C784" s="301"/>
      <c r="D784" s="430"/>
      <c r="E784" s="105"/>
      <c r="F784" s="105"/>
      <c r="G784" s="105"/>
      <c r="H784" s="105"/>
      <c r="I784" s="340"/>
      <c r="J784" s="105"/>
      <c r="K784" s="105"/>
    </row>
    <row r="785" spans="3:11" s="418" customFormat="1" x14ac:dyDescent="0.25">
      <c r="C785" s="301"/>
      <c r="D785" s="430"/>
      <c r="E785" s="105"/>
      <c r="F785" s="105"/>
      <c r="G785" s="105"/>
      <c r="H785" s="105"/>
      <c r="I785" s="340"/>
      <c r="J785" s="105"/>
      <c r="K785" s="105"/>
    </row>
    <row r="786" spans="3:11" s="418" customFormat="1" x14ac:dyDescent="0.25">
      <c r="C786" s="301"/>
      <c r="D786" s="430"/>
      <c r="E786" s="105"/>
      <c r="F786" s="105"/>
      <c r="G786" s="105"/>
      <c r="H786" s="105"/>
      <c r="I786" s="340"/>
      <c r="J786" s="105"/>
      <c r="K786" s="105"/>
    </row>
    <row r="787" spans="3:11" s="418" customFormat="1" x14ac:dyDescent="0.25">
      <c r="C787" s="301"/>
      <c r="D787" s="430"/>
      <c r="E787" s="105"/>
      <c r="F787" s="105"/>
      <c r="G787" s="105"/>
      <c r="H787" s="105"/>
      <c r="I787" s="340"/>
      <c r="J787" s="105"/>
      <c r="K787" s="105"/>
    </row>
    <row r="788" spans="3:11" s="418" customFormat="1" x14ac:dyDescent="0.25">
      <c r="C788" s="301"/>
      <c r="D788" s="430"/>
      <c r="E788" s="105"/>
      <c r="F788" s="105"/>
      <c r="G788" s="105"/>
      <c r="H788" s="105"/>
      <c r="I788" s="340"/>
      <c r="J788" s="105"/>
      <c r="K788" s="105"/>
    </row>
    <row r="789" spans="3:11" s="418" customFormat="1" x14ac:dyDescent="0.25">
      <c r="C789" s="301"/>
      <c r="D789" s="430"/>
      <c r="E789" s="105"/>
      <c r="F789" s="105"/>
      <c r="G789" s="105"/>
      <c r="H789" s="105"/>
      <c r="I789" s="340"/>
      <c r="J789" s="105"/>
      <c r="K789" s="105"/>
    </row>
    <row r="790" spans="3:11" s="418" customFormat="1" x14ac:dyDescent="0.25">
      <c r="C790" s="301"/>
      <c r="D790" s="430"/>
      <c r="E790" s="105"/>
      <c r="F790" s="105"/>
      <c r="G790" s="105"/>
      <c r="H790" s="105"/>
      <c r="I790" s="340"/>
      <c r="J790" s="105"/>
      <c r="K790" s="105"/>
    </row>
    <row r="791" spans="3:11" s="418" customFormat="1" x14ac:dyDescent="0.25">
      <c r="C791" s="301"/>
      <c r="D791" s="430"/>
      <c r="E791" s="105"/>
      <c r="F791" s="105"/>
      <c r="G791" s="105"/>
      <c r="H791" s="105"/>
      <c r="I791" s="340"/>
      <c r="J791" s="105"/>
      <c r="K791" s="105"/>
    </row>
    <row r="792" spans="3:11" s="418" customFormat="1" x14ac:dyDescent="0.25">
      <c r="C792" s="301"/>
      <c r="D792" s="430"/>
      <c r="E792" s="105"/>
      <c r="F792" s="105"/>
      <c r="G792" s="105"/>
      <c r="H792" s="105"/>
      <c r="I792" s="340"/>
      <c r="J792" s="105"/>
      <c r="K792" s="105"/>
    </row>
    <row r="793" spans="3:11" s="418" customFormat="1" x14ac:dyDescent="0.25">
      <c r="C793" s="301"/>
      <c r="D793" s="430"/>
      <c r="E793" s="105"/>
      <c r="F793" s="105"/>
      <c r="G793" s="105"/>
      <c r="H793" s="105"/>
      <c r="I793" s="340"/>
      <c r="J793" s="105"/>
      <c r="K793" s="105"/>
    </row>
    <row r="794" spans="3:11" s="418" customFormat="1" x14ac:dyDescent="0.25">
      <c r="C794" s="301"/>
      <c r="D794" s="430"/>
      <c r="E794" s="105"/>
      <c r="F794" s="105"/>
      <c r="G794" s="105"/>
      <c r="H794" s="105"/>
      <c r="I794" s="340"/>
      <c r="J794" s="105"/>
      <c r="K794" s="105"/>
    </row>
    <row r="795" spans="3:11" s="418" customFormat="1" x14ac:dyDescent="0.25">
      <c r="C795" s="301"/>
      <c r="D795" s="430"/>
      <c r="E795" s="105"/>
      <c r="F795" s="105"/>
      <c r="G795" s="105"/>
      <c r="H795" s="105"/>
      <c r="I795" s="340"/>
      <c r="J795" s="105"/>
      <c r="K795" s="105"/>
    </row>
    <row r="796" spans="3:11" s="418" customFormat="1" x14ac:dyDescent="0.25">
      <c r="C796" s="301"/>
      <c r="D796" s="430"/>
      <c r="E796" s="105"/>
      <c r="F796" s="105"/>
      <c r="G796" s="105"/>
      <c r="H796" s="105"/>
      <c r="I796" s="340"/>
      <c r="J796" s="105"/>
      <c r="K796" s="105"/>
    </row>
    <row r="797" spans="3:11" s="418" customFormat="1" x14ac:dyDescent="0.25">
      <c r="C797" s="301"/>
      <c r="D797" s="430"/>
      <c r="E797" s="105"/>
      <c r="F797" s="105"/>
      <c r="G797" s="105"/>
      <c r="H797" s="105"/>
      <c r="I797" s="340"/>
      <c r="J797" s="105"/>
      <c r="K797" s="105"/>
    </row>
    <row r="798" spans="3:11" s="418" customFormat="1" x14ac:dyDescent="0.25">
      <c r="C798" s="301"/>
      <c r="D798" s="430"/>
      <c r="E798" s="105"/>
      <c r="F798" s="105"/>
      <c r="G798" s="105"/>
      <c r="H798" s="105"/>
      <c r="I798" s="340"/>
      <c r="J798" s="105"/>
      <c r="K798" s="105"/>
    </row>
    <row r="799" spans="3:11" s="418" customFormat="1" x14ac:dyDescent="0.25">
      <c r="C799" s="301"/>
      <c r="D799" s="430"/>
      <c r="E799" s="105"/>
      <c r="F799" s="105"/>
      <c r="G799" s="105"/>
      <c r="H799" s="105"/>
      <c r="I799" s="340"/>
      <c r="J799" s="105"/>
      <c r="K799" s="105"/>
    </row>
    <row r="800" spans="3:11" s="418" customFormat="1" x14ac:dyDescent="0.25">
      <c r="C800" s="301"/>
      <c r="D800" s="430"/>
      <c r="E800" s="105"/>
      <c r="F800" s="105"/>
      <c r="G800" s="105"/>
      <c r="H800" s="105"/>
      <c r="I800" s="340"/>
      <c r="J800" s="105"/>
      <c r="K800" s="105"/>
    </row>
    <row r="801" spans="3:11" s="418" customFormat="1" x14ac:dyDescent="0.25">
      <c r="C801" s="301"/>
      <c r="D801" s="430"/>
      <c r="E801" s="105"/>
      <c r="F801" s="105"/>
      <c r="G801" s="105"/>
      <c r="H801" s="105"/>
      <c r="I801" s="340"/>
      <c r="J801" s="105"/>
      <c r="K801" s="105"/>
    </row>
    <row r="802" spans="3:11" s="418" customFormat="1" x14ac:dyDescent="0.25">
      <c r="C802" s="301"/>
      <c r="D802" s="430"/>
      <c r="E802" s="105"/>
      <c r="F802" s="105"/>
      <c r="G802" s="105"/>
      <c r="H802" s="105"/>
      <c r="I802" s="340"/>
      <c r="J802" s="105"/>
      <c r="K802" s="105"/>
    </row>
    <row r="803" spans="3:11" s="418" customFormat="1" x14ac:dyDescent="0.25">
      <c r="C803" s="301"/>
      <c r="D803" s="430"/>
      <c r="E803" s="105"/>
      <c r="F803" s="105"/>
      <c r="G803" s="105"/>
      <c r="H803" s="105"/>
      <c r="I803" s="340"/>
      <c r="J803" s="105"/>
      <c r="K803" s="105"/>
    </row>
    <row r="804" spans="3:11" s="418" customFormat="1" x14ac:dyDescent="0.25">
      <c r="C804" s="301"/>
      <c r="D804" s="430"/>
      <c r="E804" s="105"/>
      <c r="F804" s="105"/>
      <c r="G804" s="105"/>
      <c r="H804" s="105"/>
      <c r="I804" s="340"/>
      <c r="J804" s="105"/>
      <c r="K804" s="105"/>
    </row>
    <row r="805" spans="3:11" s="418" customFormat="1" x14ac:dyDescent="0.25">
      <c r="C805" s="301"/>
      <c r="D805" s="430"/>
      <c r="E805" s="105"/>
      <c r="F805" s="105"/>
      <c r="G805" s="105"/>
      <c r="H805" s="105"/>
      <c r="I805" s="340"/>
      <c r="J805" s="105"/>
      <c r="K805" s="105"/>
    </row>
    <row r="806" spans="3:11" s="418" customFormat="1" x14ac:dyDescent="0.25">
      <c r="C806" s="301"/>
      <c r="D806" s="430"/>
      <c r="E806" s="105"/>
      <c r="F806" s="105"/>
      <c r="G806" s="105"/>
      <c r="H806" s="105"/>
      <c r="I806" s="340"/>
      <c r="J806" s="105"/>
      <c r="K806" s="105"/>
    </row>
    <row r="807" spans="3:11" s="418" customFormat="1" x14ac:dyDescent="0.25">
      <c r="C807" s="301"/>
      <c r="D807" s="430"/>
      <c r="E807" s="105"/>
      <c r="F807" s="105"/>
      <c r="G807" s="105"/>
      <c r="H807" s="105"/>
      <c r="I807" s="340"/>
      <c r="J807" s="105"/>
      <c r="K807" s="105"/>
    </row>
    <row r="808" spans="3:11" s="418" customFormat="1" x14ac:dyDescent="0.25">
      <c r="C808" s="301"/>
      <c r="D808" s="430"/>
      <c r="E808" s="105"/>
      <c r="F808" s="105"/>
      <c r="G808" s="105"/>
      <c r="H808" s="105"/>
      <c r="I808" s="340"/>
      <c r="J808" s="105"/>
      <c r="K808" s="105"/>
    </row>
    <row r="809" spans="3:11" s="418" customFormat="1" x14ac:dyDescent="0.25">
      <c r="C809" s="301"/>
      <c r="D809" s="430"/>
      <c r="E809" s="105"/>
      <c r="F809" s="105"/>
      <c r="G809" s="105"/>
      <c r="H809" s="105"/>
      <c r="I809" s="340"/>
      <c r="J809" s="105"/>
      <c r="K809" s="105"/>
    </row>
    <row r="810" spans="3:11" s="418" customFormat="1" x14ac:dyDescent="0.25">
      <c r="C810" s="301"/>
      <c r="D810" s="430"/>
      <c r="E810" s="105"/>
      <c r="F810" s="105"/>
      <c r="G810" s="105"/>
      <c r="H810" s="105"/>
      <c r="I810" s="340"/>
      <c r="J810" s="105"/>
      <c r="K810" s="105"/>
    </row>
    <row r="811" spans="3:11" s="418" customFormat="1" x14ac:dyDescent="0.25">
      <c r="C811" s="301"/>
      <c r="D811" s="430"/>
      <c r="E811" s="105"/>
      <c r="F811" s="105"/>
      <c r="G811" s="105"/>
      <c r="H811" s="105"/>
      <c r="I811" s="340"/>
      <c r="J811" s="105"/>
      <c r="K811" s="105"/>
    </row>
    <row r="812" spans="3:11" s="418" customFormat="1" x14ac:dyDescent="0.25">
      <c r="C812" s="301"/>
      <c r="D812" s="430"/>
      <c r="E812" s="105"/>
      <c r="F812" s="105"/>
      <c r="G812" s="105"/>
      <c r="H812" s="105"/>
      <c r="I812" s="340"/>
      <c r="J812" s="105"/>
      <c r="K812" s="105"/>
    </row>
    <row r="813" spans="3:11" s="418" customFormat="1" x14ac:dyDescent="0.25">
      <c r="C813" s="301"/>
      <c r="D813" s="430"/>
      <c r="E813" s="105"/>
      <c r="F813" s="105"/>
      <c r="G813" s="105"/>
      <c r="H813" s="105"/>
      <c r="I813" s="340"/>
      <c r="J813" s="105"/>
      <c r="K813" s="105"/>
    </row>
    <row r="814" spans="3:11" s="418" customFormat="1" x14ac:dyDescent="0.25">
      <c r="C814" s="301"/>
      <c r="D814" s="430"/>
      <c r="E814" s="105"/>
      <c r="F814" s="105"/>
      <c r="G814" s="105"/>
      <c r="H814" s="105"/>
      <c r="I814" s="340"/>
      <c r="J814" s="105"/>
      <c r="K814" s="105"/>
    </row>
    <row r="815" spans="3:11" s="418" customFormat="1" x14ac:dyDescent="0.25">
      <c r="C815" s="301"/>
      <c r="D815" s="430"/>
      <c r="E815" s="105"/>
      <c r="F815" s="105"/>
      <c r="G815" s="105"/>
      <c r="H815" s="105"/>
      <c r="I815" s="340"/>
      <c r="J815" s="105"/>
      <c r="K815" s="105"/>
    </row>
    <row r="816" spans="3:11" s="418" customFormat="1" x14ac:dyDescent="0.25">
      <c r="C816" s="301"/>
      <c r="D816" s="430"/>
      <c r="E816" s="105"/>
      <c r="F816" s="105"/>
      <c r="G816" s="105"/>
      <c r="H816" s="105"/>
      <c r="I816" s="340"/>
      <c r="J816" s="105"/>
      <c r="K816" s="105"/>
    </row>
    <row r="817" spans="3:11" s="418" customFormat="1" x14ac:dyDescent="0.25">
      <c r="C817" s="301"/>
      <c r="D817" s="430"/>
      <c r="E817" s="105"/>
      <c r="F817" s="105"/>
      <c r="G817" s="105"/>
      <c r="H817" s="105"/>
      <c r="I817" s="340"/>
      <c r="J817" s="105"/>
      <c r="K817" s="105"/>
    </row>
    <row r="818" spans="3:11" s="418" customFormat="1" x14ac:dyDescent="0.25">
      <c r="C818" s="301"/>
      <c r="D818" s="430"/>
      <c r="E818" s="105"/>
      <c r="F818" s="105"/>
      <c r="G818" s="105"/>
      <c r="H818" s="105"/>
      <c r="I818" s="340"/>
      <c r="J818" s="105"/>
      <c r="K818" s="105"/>
    </row>
    <row r="819" spans="3:11" s="418" customFormat="1" x14ac:dyDescent="0.25">
      <c r="C819" s="301"/>
      <c r="D819" s="430"/>
      <c r="E819" s="105"/>
      <c r="F819" s="105"/>
      <c r="G819" s="105"/>
      <c r="H819" s="105"/>
      <c r="I819" s="340"/>
      <c r="J819" s="105"/>
      <c r="K819" s="105"/>
    </row>
    <row r="820" spans="3:11" s="418" customFormat="1" x14ac:dyDescent="0.25">
      <c r="C820" s="301"/>
      <c r="D820" s="430"/>
      <c r="E820" s="105"/>
      <c r="F820" s="105"/>
      <c r="G820" s="105"/>
      <c r="H820" s="105"/>
      <c r="I820" s="340"/>
      <c r="J820" s="105"/>
      <c r="K820" s="105"/>
    </row>
    <row r="821" spans="3:11" s="418" customFormat="1" x14ac:dyDescent="0.25">
      <c r="C821" s="301"/>
      <c r="D821" s="430"/>
      <c r="E821" s="105"/>
      <c r="F821" s="105"/>
      <c r="G821" s="105"/>
      <c r="H821" s="105"/>
      <c r="I821" s="340"/>
      <c r="J821" s="105"/>
      <c r="K821" s="105"/>
    </row>
    <row r="822" spans="3:11" s="418" customFormat="1" x14ac:dyDescent="0.25">
      <c r="C822" s="301"/>
      <c r="D822" s="430"/>
      <c r="E822" s="105"/>
      <c r="F822" s="105"/>
      <c r="G822" s="105"/>
      <c r="H822" s="105"/>
      <c r="I822" s="340"/>
      <c r="J822" s="105"/>
      <c r="K822" s="105"/>
    </row>
    <row r="823" spans="3:11" s="418" customFormat="1" x14ac:dyDescent="0.25">
      <c r="C823" s="301"/>
      <c r="D823" s="430"/>
      <c r="E823" s="105"/>
      <c r="F823" s="105"/>
      <c r="G823" s="105"/>
      <c r="H823" s="105"/>
      <c r="I823" s="340"/>
      <c r="J823" s="105"/>
      <c r="K823" s="105"/>
    </row>
    <row r="824" spans="3:11" s="418" customFormat="1" x14ac:dyDescent="0.25">
      <c r="C824" s="301"/>
      <c r="D824" s="430"/>
      <c r="E824" s="105"/>
      <c r="F824" s="105"/>
      <c r="G824" s="105"/>
      <c r="H824" s="105"/>
      <c r="I824" s="340"/>
      <c r="J824" s="105"/>
      <c r="K824" s="105"/>
    </row>
    <row r="825" spans="3:11" s="418" customFormat="1" x14ac:dyDescent="0.25">
      <c r="C825" s="301"/>
      <c r="D825" s="430"/>
      <c r="E825" s="105"/>
      <c r="F825" s="105"/>
      <c r="G825" s="105"/>
      <c r="H825" s="105"/>
      <c r="I825" s="340"/>
      <c r="J825" s="105"/>
      <c r="K825" s="105"/>
    </row>
    <row r="826" spans="3:11" s="418" customFormat="1" x14ac:dyDescent="0.25">
      <c r="C826" s="301"/>
      <c r="D826" s="430"/>
      <c r="E826" s="105"/>
      <c r="F826" s="105"/>
      <c r="G826" s="105"/>
      <c r="H826" s="105"/>
      <c r="I826" s="340"/>
      <c r="J826" s="105"/>
      <c r="K826" s="105"/>
    </row>
    <row r="827" spans="3:11" s="418" customFormat="1" x14ac:dyDescent="0.25">
      <c r="C827" s="301"/>
      <c r="D827" s="430"/>
      <c r="E827" s="105"/>
      <c r="F827" s="105"/>
      <c r="G827" s="105"/>
      <c r="H827" s="105"/>
      <c r="I827" s="340"/>
      <c r="J827" s="105"/>
      <c r="K827" s="105"/>
    </row>
    <row r="828" spans="3:11" s="418" customFormat="1" x14ac:dyDescent="0.25">
      <c r="C828" s="301"/>
      <c r="D828" s="430"/>
      <c r="E828" s="105"/>
      <c r="F828" s="105"/>
      <c r="G828" s="105"/>
      <c r="H828" s="105"/>
      <c r="I828" s="340"/>
      <c r="J828" s="105"/>
      <c r="K828" s="105"/>
    </row>
    <row r="829" spans="3:11" s="418" customFormat="1" x14ac:dyDescent="0.25">
      <c r="C829" s="301"/>
      <c r="D829" s="430"/>
      <c r="E829" s="105"/>
      <c r="F829" s="105"/>
      <c r="G829" s="105"/>
      <c r="H829" s="105"/>
      <c r="I829" s="340"/>
      <c r="J829" s="105"/>
      <c r="K829" s="105"/>
    </row>
    <row r="830" spans="3:11" s="418" customFormat="1" x14ac:dyDescent="0.25">
      <c r="C830" s="301"/>
      <c r="D830" s="430"/>
      <c r="E830" s="105"/>
      <c r="F830" s="105"/>
      <c r="G830" s="105"/>
      <c r="H830" s="105"/>
      <c r="I830" s="340"/>
      <c r="J830" s="105"/>
      <c r="K830" s="105"/>
    </row>
    <row r="831" spans="3:11" s="418" customFormat="1" x14ac:dyDescent="0.25">
      <c r="C831" s="301"/>
      <c r="D831" s="430"/>
      <c r="E831" s="105"/>
      <c r="F831" s="105"/>
      <c r="G831" s="105"/>
      <c r="H831" s="105"/>
      <c r="I831" s="340"/>
      <c r="J831" s="105"/>
      <c r="K831" s="105"/>
    </row>
    <row r="832" spans="3:11" s="418" customFormat="1" x14ac:dyDescent="0.25">
      <c r="C832" s="301"/>
      <c r="D832" s="430"/>
      <c r="E832" s="105"/>
      <c r="F832" s="105"/>
      <c r="G832" s="105"/>
      <c r="H832" s="105"/>
      <c r="I832" s="340"/>
      <c r="J832" s="105"/>
      <c r="K832" s="105"/>
    </row>
    <row r="833" spans="3:11" s="418" customFormat="1" x14ac:dyDescent="0.25">
      <c r="C833" s="301"/>
      <c r="D833" s="430"/>
      <c r="E833" s="105"/>
      <c r="F833" s="105"/>
      <c r="G833" s="105"/>
      <c r="H833" s="105"/>
      <c r="I833" s="340"/>
      <c r="J833" s="105"/>
      <c r="K833" s="105"/>
    </row>
    <row r="834" spans="3:11" s="418" customFormat="1" x14ac:dyDescent="0.25">
      <c r="C834" s="301"/>
      <c r="D834" s="430"/>
      <c r="E834" s="105"/>
      <c r="F834" s="105"/>
      <c r="G834" s="105"/>
      <c r="H834" s="105"/>
      <c r="I834" s="340"/>
      <c r="J834" s="105"/>
      <c r="K834" s="105"/>
    </row>
    <row r="835" spans="3:11" s="418" customFormat="1" x14ac:dyDescent="0.25">
      <c r="C835" s="301"/>
      <c r="D835" s="430"/>
      <c r="E835" s="105"/>
      <c r="F835" s="105"/>
      <c r="G835" s="105"/>
      <c r="H835" s="105"/>
      <c r="I835" s="340"/>
      <c r="J835" s="105"/>
      <c r="K835" s="105"/>
    </row>
    <row r="836" spans="3:11" s="418" customFormat="1" x14ac:dyDescent="0.25">
      <c r="C836" s="301"/>
      <c r="D836" s="430"/>
      <c r="E836" s="105"/>
      <c r="F836" s="105"/>
      <c r="G836" s="105"/>
      <c r="H836" s="105"/>
      <c r="I836" s="340"/>
      <c r="J836" s="105"/>
      <c r="K836" s="105"/>
    </row>
    <row r="837" spans="3:11" s="418" customFormat="1" x14ac:dyDescent="0.25">
      <c r="C837" s="301"/>
      <c r="D837" s="430"/>
      <c r="E837" s="105"/>
      <c r="F837" s="105"/>
      <c r="G837" s="105"/>
      <c r="H837" s="105"/>
      <c r="I837" s="340"/>
      <c r="J837" s="105"/>
      <c r="K837" s="105"/>
    </row>
    <row r="838" spans="3:11" s="418" customFormat="1" x14ac:dyDescent="0.25">
      <c r="C838" s="301"/>
      <c r="D838" s="430"/>
      <c r="E838" s="105"/>
      <c r="F838" s="105"/>
      <c r="G838" s="105"/>
      <c r="H838" s="105"/>
      <c r="I838" s="340"/>
      <c r="J838" s="105"/>
      <c r="K838" s="105"/>
    </row>
    <row r="839" spans="3:11" s="418" customFormat="1" x14ac:dyDescent="0.25">
      <c r="C839" s="301"/>
      <c r="D839" s="430"/>
      <c r="E839" s="105"/>
      <c r="F839" s="105"/>
      <c r="G839" s="105"/>
      <c r="H839" s="105"/>
      <c r="I839" s="340"/>
      <c r="J839" s="105"/>
      <c r="K839" s="105"/>
    </row>
    <row r="840" spans="3:11" s="418" customFormat="1" x14ac:dyDescent="0.25">
      <c r="C840" s="301"/>
      <c r="D840" s="430"/>
      <c r="E840" s="105"/>
      <c r="F840" s="105"/>
      <c r="G840" s="105"/>
      <c r="H840" s="105"/>
      <c r="I840" s="340"/>
      <c r="J840" s="105"/>
      <c r="K840" s="105"/>
    </row>
    <row r="841" spans="3:11" s="418" customFormat="1" x14ac:dyDescent="0.25">
      <c r="C841" s="301"/>
      <c r="D841" s="430"/>
      <c r="E841" s="105"/>
      <c r="F841" s="105"/>
      <c r="G841" s="105"/>
      <c r="H841" s="105"/>
      <c r="I841" s="340"/>
      <c r="J841" s="105"/>
      <c r="K841" s="105"/>
    </row>
    <row r="842" spans="3:11" s="418" customFormat="1" x14ac:dyDescent="0.25">
      <c r="C842" s="301"/>
      <c r="D842" s="430"/>
      <c r="E842" s="105"/>
      <c r="F842" s="105"/>
      <c r="G842" s="105"/>
      <c r="H842" s="105"/>
      <c r="I842" s="340"/>
      <c r="J842" s="105"/>
      <c r="K842" s="105"/>
    </row>
    <row r="843" spans="3:11" s="418" customFormat="1" x14ac:dyDescent="0.25">
      <c r="C843" s="301"/>
      <c r="D843" s="430"/>
      <c r="E843" s="105"/>
      <c r="F843" s="105"/>
      <c r="G843" s="105"/>
      <c r="H843" s="105"/>
      <c r="I843" s="340"/>
      <c r="J843" s="105"/>
      <c r="K843" s="105"/>
    </row>
    <row r="844" spans="3:11" s="418" customFormat="1" x14ac:dyDescent="0.25">
      <c r="C844" s="301"/>
      <c r="D844" s="430"/>
      <c r="E844" s="105"/>
      <c r="F844" s="105"/>
      <c r="G844" s="105"/>
      <c r="H844" s="105"/>
      <c r="I844" s="340"/>
      <c r="J844" s="105"/>
      <c r="K844" s="105"/>
    </row>
    <row r="845" spans="3:11" s="418" customFormat="1" x14ac:dyDescent="0.25">
      <c r="C845" s="301"/>
      <c r="D845" s="430"/>
      <c r="E845" s="105"/>
      <c r="F845" s="105"/>
      <c r="G845" s="105"/>
      <c r="H845" s="105"/>
      <c r="I845" s="340"/>
      <c r="J845" s="105"/>
      <c r="K845" s="105"/>
    </row>
    <row r="846" spans="3:11" s="418" customFormat="1" x14ac:dyDescent="0.25">
      <c r="C846" s="301"/>
      <c r="D846" s="430"/>
      <c r="E846" s="105"/>
      <c r="F846" s="105"/>
      <c r="G846" s="105"/>
      <c r="H846" s="105"/>
      <c r="I846" s="340"/>
      <c r="J846" s="105"/>
      <c r="K846" s="105"/>
    </row>
    <row r="847" spans="3:11" s="418" customFormat="1" x14ac:dyDescent="0.25">
      <c r="C847" s="301"/>
      <c r="D847" s="430"/>
      <c r="E847" s="105"/>
      <c r="F847" s="105"/>
      <c r="G847" s="105"/>
      <c r="H847" s="105"/>
      <c r="I847" s="340"/>
      <c r="J847" s="105"/>
      <c r="K847" s="105"/>
    </row>
    <row r="848" spans="3:11" s="418" customFormat="1" x14ac:dyDescent="0.25">
      <c r="C848" s="301"/>
      <c r="D848" s="430"/>
      <c r="E848" s="105"/>
      <c r="F848" s="105"/>
      <c r="G848" s="105"/>
      <c r="H848" s="105"/>
      <c r="I848" s="340"/>
      <c r="J848" s="105"/>
      <c r="K848" s="105"/>
    </row>
    <row r="849" spans="3:11" s="418" customFormat="1" x14ac:dyDescent="0.25">
      <c r="C849" s="301"/>
      <c r="D849" s="430"/>
      <c r="E849" s="105"/>
      <c r="F849" s="105"/>
      <c r="G849" s="105"/>
      <c r="H849" s="105"/>
      <c r="I849" s="340"/>
      <c r="J849" s="105"/>
      <c r="K849" s="105"/>
    </row>
    <row r="850" spans="3:11" s="418" customFormat="1" x14ac:dyDescent="0.25">
      <c r="C850" s="301"/>
      <c r="D850" s="430"/>
      <c r="E850" s="105"/>
      <c r="F850" s="105"/>
      <c r="G850" s="105"/>
      <c r="H850" s="105"/>
      <c r="I850" s="340"/>
      <c r="J850" s="105"/>
      <c r="K850" s="105"/>
    </row>
    <row r="851" spans="3:11" s="418" customFormat="1" x14ac:dyDescent="0.25">
      <c r="C851" s="301"/>
      <c r="D851" s="430"/>
      <c r="E851" s="105"/>
      <c r="F851" s="105"/>
      <c r="G851" s="105"/>
      <c r="H851" s="105"/>
      <c r="I851" s="340"/>
      <c r="J851" s="105"/>
      <c r="K851" s="105"/>
    </row>
    <row r="852" spans="3:11" s="418" customFormat="1" x14ac:dyDescent="0.25">
      <c r="C852" s="301"/>
      <c r="D852" s="430"/>
      <c r="E852" s="105"/>
      <c r="F852" s="105"/>
      <c r="G852" s="105"/>
      <c r="H852" s="105"/>
      <c r="I852" s="340"/>
      <c r="J852" s="105"/>
      <c r="K852" s="105"/>
    </row>
    <row r="853" spans="3:11" s="418" customFormat="1" x14ac:dyDescent="0.25">
      <c r="C853" s="301"/>
      <c r="D853" s="430"/>
      <c r="E853" s="105"/>
      <c r="F853" s="105"/>
      <c r="G853" s="105"/>
      <c r="H853" s="105"/>
      <c r="I853" s="340"/>
      <c r="J853" s="105"/>
      <c r="K853" s="105"/>
    </row>
    <row r="854" spans="3:11" s="418" customFormat="1" x14ac:dyDescent="0.25">
      <c r="C854" s="301"/>
      <c r="D854" s="430"/>
      <c r="E854" s="105"/>
      <c r="F854" s="105"/>
      <c r="G854" s="105"/>
      <c r="H854" s="105"/>
      <c r="I854" s="340"/>
      <c r="J854" s="105"/>
      <c r="K854" s="105"/>
    </row>
    <row r="855" spans="3:11" s="418" customFormat="1" x14ac:dyDescent="0.25">
      <c r="C855" s="301"/>
      <c r="D855" s="430"/>
      <c r="E855" s="105"/>
      <c r="F855" s="105"/>
      <c r="G855" s="105"/>
      <c r="H855" s="105"/>
      <c r="I855" s="340"/>
      <c r="J855" s="105"/>
      <c r="K855" s="105"/>
    </row>
    <row r="856" spans="3:11" s="418" customFormat="1" x14ac:dyDescent="0.25">
      <c r="C856" s="301"/>
      <c r="D856" s="430"/>
      <c r="E856" s="105"/>
      <c r="F856" s="105"/>
      <c r="G856" s="105"/>
      <c r="H856" s="105"/>
      <c r="I856" s="340"/>
      <c r="J856" s="105"/>
      <c r="K856" s="105"/>
    </row>
    <row r="857" spans="3:11" s="418" customFormat="1" x14ac:dyDescent="0.25">
      <c r="C857" s="301"/>
      <c r="D857" s="430"/>
      <c r="E857" s="105"/>
      <c r="F857" s="105"/>
      <c r="G857" s="105"/>
      <c r="H857" s="105"/>
      <c r="I857" s="340"/>
      <c r="J857" s="105"/>
      <c r="K857" s="105"/>
    </row>
    <row r="858" spans="3:11" s="418" customFormat="1" x14ac:dyDescent="0.25">
      <c r="C858" s="301"/>
      <c r="D858" s="430"/>
      <c r="E858" s="105"/>
      <c r="F858" s="105"/>
      <c r="G858" s="105"/>
      <c r="H858" s="105"/>
      <c r="I858" s="340"/>
      <c r="J858" s="105"/>
      <c r="K858" s="105"/>
    </row>
    <row r="859" spans="3:11" s="418" customFormat="1" x14ac:dyDescent="0.25">
      <c r="C859" s="301"/>
      <c r="D859" s="430"/>
      <c r="E859" s="105"/>
      <c r="F859" s="105"/>
      <c r="G859" s="105"/>
      <c r="H859" s="105"/>
      <c r="I859" s="340"/>
      <c r="J859" s="105"/>
      <c r="K859" s="105"/>
    </row>
    <row r="860" spans="3:11" s="418" customFormat="1" x14ac:dyDescent="0.25">
      <c r="C860" s="301"/>
      <c r="D860" s="430"/>
      <c r="E860" s="105"/>
      <c r="F860" s="105"/>
      <c r="G860" s="105"/>
      <c r="H860" s="105"/>
      <c r="I860" s="340"/>
      <c r="J860" s="105"/>
      <c r="K860" s="105"/>
    </row>
    <row r="861" spans="3:11" s="418" customFormat="1" x14ac:dyDescent="0.25">
      <c r="C861" s="301"/>
      <c r="D861" s="430"/>
      <c r="E861" s="105"/>
      <c r="F861" s="105"/>
      <c r="G861" s="105"/>
      <c r="H861" s="105"/>
      <c r="I861" s="340"/>
      <c r="J861" s="105"/>
      <c r="K861" s="105"/>
    </row>
    <row r="862" spans="3:11" s="418" customFormat="1" x14ac:dyDescent="0.25">
      <c r="C862" s="301"/>
      <c r="D862" s="430"/>
      <c r="E862" s="105"/>
      <c r="F862" s="105"/>
      <c r="G862" s="105"/>
      <c r="H862" s="105"/>
      <c r="I862" s="340"/>
      <c r="J862" s="105"/>
      <c r="K862" s="105"/>
    </row>
    <row r="863" spans="3:11" s="418" customFormat="1" x14ac:dyDescent="0.25">
      <c r="C863" s="301"/>
      <c r="D863" s="430"/>
      <c r="E863" s="105"/>
      <c r="F863" s="105"/>
      <c r="G863" s="105"/>
      <c r="H863" s="105"/>
      <c r="I863" s="340"/>
      <c r="J863" s="105"/>
      <c r="K863" s="105"/>
    </row>
    <row r="864" spans="3:11" s="418" customFormat="1" x14ac:dyDescent="0.25">
      <c r="C864" s="301"/>
      <c r="D864" s="430"/>
      <c r="E864" s="105"/>
      <c r="F864" s="105"/>
      <c r="G864" s="105"/>
      <c r="H864" s="105"/>
      <c r="I864" s="340"/>
      <c r="J864" s="105"/>
      <c r="K864" s="105"/>
    </row>
    <row r="865" spans="3:11" s="418" customFormat="1" x14ac:dyDescent="0.25">
      <c r="C865" s="301"/>
      <c r="D865" s="430"/>
      <c r="E865" s="105"/>
      <c r="F865" s="105"/>
      <c r="G865" s="105"/>
      <c r="H865" s="105"/>
      <c r="I865" s="340"/>
      <c r="J865" s="105"/>
      <c r="K865" s="105"/>
    </row>
    <row r="866" spans="3:11" s="418" customFormat="1" x14ac:dyDescent="0.25">
      <c r="C866" s="301"/>
      <c r="D866" s="430"/>
      <c r="E866" s="105"/>
      <c r="F866" s="105"/>
      <c r="G866" s="105"/>
      <c r="H866" s="105"/>
      <c r="I866" s="340"/>
      <c r="J866" s="105"/>
      <c r="K866" s="105"/>
    </row>
    <row r="867" spans="3:11" s="418" customFormat="1" x14ac:dyDescent="0.25">
      <c r="C867" s="301"/>
      <c r="D867" s="430"/>
      <c r="E867" s="105"/>
      <c r="F867" s="105"/>
      <c r="G867" s="105"/>
      <c r="H867" s="105"/>
      <c r="I867" s="340"/>
      <c r="J867" s="105"/>
      <c r="K867" s="105"/>
    </row>
    <row r="868" spans="3:11" s="418" customFormat="1" x14ac:dyDescent="0.25">
      <c r="C868" s="301"/>
      <c r="D868" s="430"/>
      <c r="E868" s="105"/>
      <c r="F868" s="105"/>
      <c r="G868" s="105"/>
      <c r="H868" s="105"/>
      <c r="I868" s="340"/>
      <c r="J868" s="105"/>
      <c r="K868" s="105"/>
    </row>
    <row r="869" spans="3:11" s="418" customFormat="1" x14ac:dyDescent="0.25">
      <c r="C869" s="301"/>
      <c r="D869" s="430"/>
      <c r="E869" s="105"/>
      <c r="F869" s="105"/>
      <c r="G869" s="105"/>
      <c r="H869" s="105"/>
      <c r="I869" s="340"/>
      <c r="J869" s="105"/>
      <c r="K869" s="105"/>
    </row>
    <row r="870" spans="3:11" s="418" customFormat="1" x14ac:dyDescent="0.25">
      <c r="C870" s="301"/>
      <c r="D870" s="430"/>
      <c r="E870" s="105"/>
      <c r="F870" s="105"/>
      <c r="G870" s="105"/>
      <c r="H870" s="105"/>
      <c r="I870" s="340"/>
      <c r="J870" s="105"/>
      <c r="K870" s="105"/>
    </row>
    <row r="871" spans="3:11" s="418" customFormat="1" x14ac:dyDescent="0.25">
      <c r="C871" s="301"/>
      <c r="D871" s="430"/>
      <c r="E871" s="105"/>
      <c r="F871" s="105"/>
      <c r="G871" s="105"/>
      <c r="H871" s="105"/>
      <c r="I871" s="340"/>
      <c r="J871" s="105"/>
      <c r="K871" s="105"/>
    </row>
    <row r="872" spans="3:11" s="418" customFormat="1" x14ac:dyDescent="0.25">
      <c r="C872" s="301"/>
      <c r="D872" s="430"/>
      <c r="E872" s="105"/>
      <c r="F872" s="105"/>
      <c r="G872" s="105"/>
      <c r="H872" s="105"/>
      <c r="I872" s="340"/>
      <c r="J872" s="105"/>
      <c r="K872" s="105"/>
    </row>
    <row r="873" spans="3:11" s="418" customFormat="1" x14ac:dyDescent="0.25">
      <c r="C873" s="301"/>
      <c r="D873" s="430"/>
      <c r="E873" s="105"/>
      <c r="F873" s="105"/>
      <c r="G873" s="105"/>
      <c r="H873" s="105"/>
      <c r="I873" s="340"/>
      <c r="J873" s="105"/>
      <c r="K873" s="105"/>
    </row>
    <row r="874" spans="3:11" s="418" customFormat="1" x14ac:dyDescent="0.25">
      <c r="C874" s="301"/>
      <c r="D874" s="430"/>
      <c r="E874" s="105"/>
      <c r="F874" s="105"/>
      <c r="G874" s="105"/>
      <c r="H874" s="105"/>
      <c r="I874" s="340"/>
      <c r="J874" s="105"/>
      <c r="K874" s="105"/>
    </row>
    <row r="875" spans="3:11" s="418" customFormat="1" x14ac:dyDescent="0.25">
      <c r="C875" s="301"/>
      <c r="D875" s="430"/>
      <c r="E875" s="105"/>
      <c r="F875" s="105"/>
      <c r="G875" s="105"/>
      <c r="H875" s="105"/>
      <c r="I875" s="340"/>
      <c r="J875" s="105"/>
      <c r="K875" s="105"/>
    </row>
    <row r="876" spans="3:11" s="418" customFormat="1" x14ac:dyDescent="0.25">
      <c r="C876" s="301"/>
      <c r="D876" s="430"/>
      <c r="E876" s="105"/>
      <c r="F876" s="105"/>
      <c r="G876" s="105"/>
      <c r="H876" s="105"/>
      <c r="I876" s="340"/>
      <c r="J876" s="105"/>
      <c r="K876" s="105"/>
    </row>
    <row r="877" spans="3:11" s="418" customFormat="1" x14ac:dyDescent="0.25">
      <c r="C877" s="301"/>
      <c r="D877" s="430"/>
      <c r="E877" s="105"/>
      <c r="F877" s="105"/>
      <c r="G877" s="105"/>
      <c r="H877" s="105"/>
      <c r="I877" s="340"/>
      <c r="J877" s="105"/>
      <c r="K877" s="105"/>
    </row>
    <row r="878" spans="3:11" s="418" customFormat="1" x14ac:dyDescent="0.25">
      <c r="C878" s="301"/>
      <c r="D878" s="430"/>
      <c r="E878" s="105"/>
      <c r="F878" s="105"/>
      <c r="G878" s="105"/>
      <c r="H878" s="105"/>
      <c r="I878" s="340"/>
      <c r="J878" s="105"/>
      <c r="K878" s="105"/>
    </row>
    <row r="879" spans="3:11" s="418" customFormat="1" x14ac:dyDescent="0.25">
      <c r="C879" s="301"/>
      <c r="D879" s="430"/>
      <c r="E879" s="105"/>
      <c r="F879" s="105"/>
      <c r="G879" s="105"/>
      <c r="H879" s="105"/>
      <c r="I879" s="340"/>
      <c r="J879" s="105"/>
      <c r="K879" s="105"/>
    </row>
    <row r="880" spans="3:11" s="418" customFormat="1" x14ac:dyDescent="0.25">
      <c r="C880" s="301"/>
      <c r="D880" s="430"/>
      <c r="E880" s="105"/>
      <c r="F880" s="105"/>
      <c r="G880" s="105"/>
      <c r="H880" s="105"/>
      <c r="I880" s="340"/>
      <c r="J880" s="105"/>
      <c r="K880" s="105"/>
    </row>
    <row r="881" spans="3:11" s="418" customFormat="1" x14ac:dyDescent="0.25">
      <c r="C881" s="301"/>
      <c r="D881" s="430"/>
      <c r="E881" s="105"/>
      <c r="F881" s="105"/>
      <c r="G881" s="105"/>
      <c r="H881" s="105"/>
      <c r="I881" s="340"/>
      <c r="J881" s="105"/>
      <c r="K881" s="105"/>
    </row>
    <row r="882" spans="3:11" s="418" customFormat="1" x14ac:dyDescent="0.25">
      <c r="C882" s="301"/>
      <c r="D882" s="430"/>
      <c r="E882" s="105"/>
      <c r="F882" s="105"/>
      <c r="G882" s="105"/>
      <c r="H882" s="105"/>
      <c r="I882" s="340"/>
      <c r="J882" s="105"/>
      <c r="K882" s="105"/>
    </row>
    <row r="883" spans="3:11" s="418" customFormat="1" x14ac:dyDescent="0.25">
      <c r="C883" s="301"/>
      <c r="D883" s="430"/>
      <c r="E883" s="105"/>
      <c r="F883" s="105"/>
      <c r="G883" s="105"/>
      <c r="H883" s="105"/>
      <c r="I883" s="340"/>
      <c r="J883" s="105"/>
      <c r="K883" s="105"/>
    </row>
    <row r="884" spans="3:11" s="418" customFormat="1" x14ac:dyDescent="0.25">
      <c r="C884" s="301"/>
      <c r="D884" s="430"/>
      <c r="E884" s="105"/>
      <c r="F884" s="105"/>
      <c r="G884" s="105"/>
      <c r="H884" s="105"/>
      <c r="I884" s="340"/>
      <c r="J884" s="105"/>
      <c r="K884" s="105"/>
    </row>
    <row r="885" spans="3:11" s="418" customFormat="1" x14ac:dyDescent="0.25">
      <c r="C885" s="301"/>
      <c r="D885" s="430"/>
      <c r="E885" s="105"/>
      <c r="F885" s="105"/>
      <c r="G885" s="105"/>
      <c r="H885" s="105"/>
      <c r="I885" s="340"/>
      <c r="J885" s="105"/>
      <c r="K885" s="105"/>
    </row>
    <row r="886" spans="3:11" s="418" customFormat="1" x14ac:dyDescent="0.25">
      <c r="C886" s="301"/>
      <c r="D886" s="430"/>
      <c r="E886" s="105"/>
      <c r="F886" s="105"/>
      <c r="G886" s="105"/>
      <c r="H886" s="105"/>
      <c r="I886" s="340"/>
      <c r="J886" s="105"/>
      <c r="K886" s="105"/>
    </row>
    <row r="887" spans="3:11" s="418" customFormat="1" x14ac:dyDescent="0.25">
      <c r="C887" s="301"/>
      <c r="D887" s="430"/>
      <c r="E887" s="105"/>
      <c r="F887" s="105"/>
      <c r="G887" s="105"/>
      <c r="H887" s="105"/>
      <c r="I887" s="340"/>
      <c r="J887" s="105"/>
      <c r="K887" s="105"/>
    </row>
    <row r="888" spans="3:11" s="418" customFormat="1" x14ac:dyDescent="0.25">
      <c r="C888" s="301"/>
      <c r="D888" s="430"/>
      <c r="E888" s="105"/>
      <c r="F888" s="105"/>
      <c r="G888" s="105"/>
      <c r="H888" s="105"/>
      <c r="I888" s="340"/>
      <c r="J888" s="105"/>
      <c r="K888" s="105"/>
    </row>
    <row r="889" spans="3:11" s="418" customFormat="1" x14ac:dyDescent="0.25">
      <c r="C889" s="301"/>
      <c r="D889" s="430"/>
      <c r="E889" s="105"/>
      <c r="F889" s="105"/>
      <c r="G889" s="105"/>
      <c r="H889" s="105"/>
      <c r="I889" s="340"/>
      <c r="J889" s="105"/>
      <c r="K889" s="105"/>
    </row>
    <row r="890" spans="3:11" s="418" customFormat="1" x14ac:dyDescent="0.25">
      <c r="C890" s="301"/>
      <c r="D890" s="430"/>
      <c r="E890" s="105"/>
      <c r="F890" s="105"/>
      <c r="G890" s="105"/>
      <c r="H890" s="105"/>
      <c r="I890" s="340"/>
      <c r="J890" s="105"/>
      <c r="K890" s="105"/>
    </row>
    <row r="891" spans="3:11" s="418" customFormat="1" x14ac:dyDescent="0.25">
      <c r="C891" s="301"/>
      <c r="D891" s="430"/>
      <c r="E891" s="105"/>
      <c r="F891" s="105"/>
      <c r="G891" s="105"/>
      <c r="H891" s="105"/>
      <c r="I891" s="340"/>
      <c r="J891" s="105"/>
      <c r="K891" s="105"/>
    </row>
    <row r="892" spans="3:11" s="418" customFormat="1" x14ac:dyDescent="0.25">
      <c r="C892" s="301"/>
      <c r="D892" s="430"/>
      <c r="E892" s="105"/>
      <c r="F892" s="105"/>
      <c r="G892" s="105"/>
      <c r="H892" s="105"/>
      <c r="I892" s="340"/>
      <c r="J892" s="105"/>
      <c r="K892" s="105"/>
    </row>
    <row r="893" spans="3:11" s="418" customFormat="1" x14ac:dyDescent="0.25">
      <c r="C893" s="301"/>
      <c r="D893" s="430"/>
      <c r="E893" s="105"/>
      <c r="F893" s="105"/>
      <c r="G893" s="105"/>
      <c r="H893" s="105"/>
      <c r="I893" s="340"/>
      <c r="J893" s="105"/>
      <c r="K893" s="105"/>
    </row>
    <row r="894" spans="3:11" s="418" customFormat="1" x14ac:dyDescent="0.25">
      <c r="C894" s="301"/>
      <c r="D894" s="430"/>
      <c r="E894" s="105"/>
      <c r="F894" s="105"/>
      <c r="G894" s="105"/>
      <c r="H894" s="105"/>
      <c r="I894" s="340"/>
      <c r="J894" s="105"/>
      <c r="K894" s="105"/>
    </row>
    <row r="895" spans="3:11" s="418" customFormat="1" x14ac:dyDescent="0.25">
      <c r="C895" s="301"/>
      <c r="D895" s="430"/>
      <c r="E895" s="105"/>
      <c r="F895" s="105"/>
      <c r="G895" s="105"/>
      <c r="H895" s="105"/>
      <c r="I895" s="340"/>
      <c r="J895" s="105"/>
      <c r="K895" s="105"/>
    </row>
    <row r="896" spans="3:11" s="418" customFormat="1" x14ac:dyDescent="0.25">
      <c r="C896" s="301"/>
      <c r="D896" s="430"/>
      <c r="E896" s="105"/>
      <c r="F896" s="105"/>
      <c r="G896" s="105"/>
      <c r="H896" s="105"/>
      <c r="I896" s="340"/>
      <c r="J896" s="105"/>
      <c r="K896" s="105"/>
    </row>
    <row r="897" spans="3:11" s="418" customFormat="1" x14ac:dyDescent="0.25">
      <c r="C897" s="301"/>
      <c r="D897" s="430"/>
      <c r="E897" s="105"/>
      <c r="F897" s="105"/>
      <c r="G897" s="105"/>
      <c r="H897" s="105"/>
      <c r="I897" s="340"/>
      <c r="J897" s="105"/>
      <c r="K897" s="105"/>
    </row>
    <row r="898" spans="3:11" s="418" customFormat="1" x14ac:dyDescent="0.25">
      <c r="C898" s="301"/>
      <c r="D898" s="430"/>
      <c r="E898" s="105"/>
      <c r="F898" s="105"/>
      <c r="G898" s="105"/>
      <c r="H898" s="105"/>
      <c r="I898" s="340"/>
      <c r="J898" s="105"/>
      <c r="K898" s="105"/>
    </row>
    <row r="899" spans="3:11" s="418" customFormat="1" x14ac:dyDescent="0.25">
      <c r="C899" s="301"/>
      <c r="D899" s="430"/>
      <c r="E899" s="105"/>
      <c r="F899" s="105"/>
      <c r="G899" s="105"/>
      <c r="H899" s="105"/>
      <c r="I899" s="340"/>
      <c r="J899" s="105"/>
      <c r="K899" s="105"/>
    </row>
    <row r="900" spans="3:11" s="418" customFormat="1" x14ac:dyDescent="0.25">
      <c r="C900" s="301"/>
      <c r="D900" s="430"/>
      <c r="E900" s="105"/>
      <c r="F900" s="105"/>
      <c r="G900" s="105"/>
      <c r="H900" s="105"/>
      <c r="I900" s="340"/>
      <c r="J900" s="105"/>
      <c r="K900" s="105"/>
    </row>
    <row r="901" spans="3:11" s="418" customFormat="1" x14ac:dyDescent="0.25">
      <c r="C901" s="301"/>
      <c r="D901" s="430"/>
      <c r="E901" s="105"/>
      <c r="F901" s="105"/>
      <c r="G901" s="105"/>
      <c r="H901" s="105"/>
      <c r="I901" s="340"/>
      <c r="J901" s="105"/>
      <c r="K901" s="105"/>
    </row>
    <row r="902" spans="3:11" s="418" customFormat="1" x14ac:dyDescent="0.25">
      <c r="C902" s="301"/>
      <c r="D902" s="430"/>
      <c r="E902" s="105"/>
      <c r="F902" s="105"/>
      <c r="G902" s="105"/>
      <c r="H902" s="105"/>
      <c r="I902" s="340"/>
      <c r="J902" s="105"/>
      <c r="K902" s="105"/>
    </row>
    <row r="903" spans="3:11" s="418" customFormat="1" x14ac:dyDescent="0.25">
      <c r="C903" s="301"/>
      <c r="D903" s="430"/>
      <c r="E903" s="105"/>
      <c r="F903" s="105"/>
      <c r="G903" s="105"/>
      <c r="H903" s="105"/>
      <c r="I903" s="340"/>
      <c r="J903" s="105"/>
      <c r="K903" s="105"/>
    </row>
    <row r="904" spans="3:11" s="418" customFormat="1" x14ac:dyDescent="0.25">
      <c r="C904" s="301"/>
      <c r="D904" s="430"/>
      <c r="E904" s="105"/>
      <c r="F904" s="105"/>
      <c r="G904" s="105"/>
      <c r="H904" s="105"/>
      <c r="I904" s="340"/>
      <c r="J904" s="105"/>
      <c r="K904" s="105"/>
    </row>
    <row r="905" spans="3:11" s="418" customFormat="1" x14ac:dyDescent="0.25">
      <c r="C905" s="301"/>
      <c r="D905" s="430"/>
      <c r="E905" s="105"/>
      <c r="F905" s="105"/>
      <c r="G905" s="105"/>
      <c r="H905" s="105"/>
      <c r="I905" s="340"/>
      <c r="J905" s="105"/>
      <c r="K905" s="105"/>
    </row>
    <row r="906" spans="3:11" s="418" customFormat="1" x14ac:dyDescent="0.25">
      <c r="C906" s="301"/>
      <c r="D906" s="430"/>
      <c r="E906" s="105"/>
      <c r="F906" s="105"/>
      <c r="G906" s="105"/>
      <c r="H906" s="105"/>
      <c r="I906" s="340"/>
      <c r="J906" s="105"/>
      <c r="K906" s="105"/>
    </row>
    <row r="907" spans="3:11" s="418" customFormat="1" x14ac:dyDescent="0.25">
      <c r="C907" s="301"/>
      <c r="D907" s="430"/>
      <c r="E907" s="105"/>
      <c r="F907" s="105"/>
      <c r="G907" s="105"/>
      <c r="H907" s="105"/>
      <c r="I907" s="340"/>
      <c r="J907" s="105"/>
      <c r="K907" s="105"/>
    </row>
    <row r="908" spans="3:11" s="418" customFormat="1" x14ac:dyDescent="0.25">
      <c r="C908" s="301"/>
      <c r="D908" s="430"/>
      <c r="E908" s="105"/>
      <c r="F908" s="105"/>
      <c r="G908" s="105"/>
      <c r="H908" s="105"/>
      <c r="I908" s="340"/>
      <c r="J908" s="105"/>
      <c r="K908" s="105"/>
    </row>
    <row r="909" spans="3:11" s="418" customFormat="1" x14ac:dyDescent="0.25">
      <c r="C909" s="301"/>
      <c r="D909" s="430"/>
      <c r="E909" s="105"/>
      <c r="F909" s="105"/>
      <c r="G909" s="105"/>
      <c r="H909" s="105"/>
      <c r="I909" s="340"/>
      <c r="J909" s="105"/>
      <c r="K909" s="105"/>
    </row>
    <row r="910" spans="3:11" s="418" customFormat="1" x14ac:dyDescent="0.25">
      <c r="C910" s="301"/>
      <c r="D910" s="430"/>
      <c r="E910" s="105"/>
      <c r="F910" s="105"/>
      <c r="G910" s="105"/>
      <c r="H910" s="105"/>
      <c r="I910" s="340"/>
      <c r="J910" s="105"/>
      <c r="K910" s="105"/>
    </row>
    <row r="911" spans="3:11" s="418" customFormat="1" x14ac:dyDescent="0.25">
      <c r="C911" s="301"/>
      <c r="D911" s="430"/>
      <c r="E911" s="105"/>
      <c r="F911" s="105"/>
      <c r="G911" s="105"/>
      <c r="H911" s="105"/>
      <c r="I911" s="340"/>
      <c r="J911" s="105"/>
      <c r="K911" s="105"/>
    </row>
    <row r="912" spans="3:11" s="418" customFormat="1" x14ac:dyDescent="0.25">
      <c r="C912" s="301"/>
      <c r="D912" s="430"/>
      <c r="E912" s="105"/>
      <c r="F912" s="105"/>
      <c r="G912" s="105"/>
      <c r="H912" s="105"/>
      <c r="I912" s="340"/>
      <c r="J912" s="105"/>
      <c r="K912" s="105"/>
    </row>
    <row r="913" spans="3:11" s="418" customFormat="1" x14ac:dyDescent="0.25">
      <c r="C913" s="301"/>
      <c r="D913" s="430"/>
      <c r="E913" s="105"/>
      <c r="F913" s="105"/>
      <c r="G913" s="105"/>
      <c r="H913" s="105"/>
      <c r="I913" s="340"/>
      <c r="J913" s="105"/>
      <c r="K913" s="105"/>
    </row>
    <row r="914" spans="3:11" s="418" customFormat="1" x14ac:dyDescent="0.25">
      <c r="C914" s="301"/>
      <c r="D914" s="430"/>
      <c r="E914" s="105"/>
      <c r="F914" s="105"/>
      <c r="G914" s="105"/>
      <c r="H914" s="105"/>
      <c r="I914" s="340"/>
      <c r="J914" s="105"/>
      <c r="K914" s="105"/>
    </row>
    <row r="915" spans="3:11" s="418" customFormat="1" x14ac:dyDescent="0.25">
      <c r="C915" s="301"/>
      <c r="D915" s="430"/>
      <c r="E915" s="105"/>
      <c r="F915" s="105"/>
      <c r="G915" s="105"/>
      <c r="H915" s="105"/>
      <c r="I915" s="340"/>
      <c r="J915" s="105"/>
      <c r="K915" s="105"/>
    </row>
    <row r="916" spans="3:11" s="418" customFormat="1" x14ac:dyDescent="0.25">
      <c r="C916" s="301"/>
      <c r="D916" s="430"/>
      <c r="E916" s="105"/>
      <c r="F916" s="105"/>
      <c r="G916" s="105"/>
      <c r="H916" s="105"/>
      <c r="I916" s="340"/>
      <c r="J916" s="105"/>
      <c r="K916" s="105"/>
    </row>
    <row r="917" spans="3:11" s="418" customFormat="1" x14ac:dyDescent="0.25">
      <c r="C917" s="301"/>
      <c r="D917" s="430"/>
      <c r="E917" s="105"/>
      <c r="F917" s="105"/>
      <c r="G917" s="105"/>
      <c r="H917" s="105"/>
      <c r="I917" s="340"/>
      <c r="J917" s="105"/>
      <c r="K917" s="105"/>
    </row>
    <row r="918" spans="3:11" s="418" customFormat="1" x14ac:dyDescent="0.25">
      <c r="C918" s="301"/>
      <c r="D918" s="430"/>
      <c r="E918" s="105"/>
      <c r="F918" s="105"/>
      <c r="G918" s="105"/>
      <c r="H918" s="105"/>
      <c r="I918" s="340"/>
      <c r="J918" s="105"/>
      <c r="K918" s="105"/>
    </row>
    <row r="919" spans="3:11" s="418" customFormat="1" x14ac:dyDescent="0.25">
      <c r="C919" s="301"/>
      <c r="D919" s="430"/>
      <c r="E919" s="105"/>
      <c r="F919" s="105"/>
      <c r="G919" s="105"/>
      <c r="H919" s="105"/>
      <c r="I919" s="340"/>
      <c r="J919" s="105"/>
      <c r="K919" s="105"/>
    </row>
    <row r="920" spans="3:11" s="418" customFormat="1" x14ac:dyDescent="0.25">
      <c r="C920" s="301"/>
      <c r="D920" s="430"/>
      <c r="E920" s="105"/>
      <c r="F920" s="105"/>
      <c r="G920" s="105"/>
      <c r="H920" s="105"/>
      <c r="I920" s="340"/>
      <c r="J920" s="105"/>
      <c r="K920" s="105"/>
    </row>
    <row r="921" spans="3:11" s="418" customFormat="1" x14ac:dyDescent="0.25">
      <c r="C921" s="301"/>
      <c r="D921" s="430"/>
      <c r="E921" s="105"/>
      <c r="F921" s="105"/>
      <c r="G921" s="105"/>
      <c r="H921" s="105"/>
      <c r="I921" s="340"/>
      <c r="J921" s="105"/>
      <c r="K921" s="105"/>
    </row>
    <row r="922" spans="3:11" s="418" customFormat="1" x14ac:dyDescent="0.25">
      <c r="C922" s="301"/>
      <c r="D922" s="430"/>
      <c r="E922" s="105"/>
      <c r="F922" s="105"/>
      <c r="G922" s="105"/>
      <c r="H922" s="105"/>
      <c r="I922" s="340"/>
      <c r="J922" s="105"/>
      <c r="K922" s="105"/>
    </row>
    <row r="923" spans="3:11" s="418" customFormat="1" x14ac:dyDescent="0.25">
      <c r="C923" s="301"/>
      <c r="D923" s="430"/>
      <c r="E923" s="105"/>
      <c r="F923" s="105"/>
      <c r="G923" s="105"/>
      <c r="H923" s="105"/>
      <c r="I923" s="340"/>
      <c r="J923" s="105"/>
      <c r="K923" s="105"/>
    </row>
    <row r="924" spans="3:11" s="418" customFormat="1" x14ac:dyDescent="0.25">
      <c r="C924" s="301"/>
      <c r="D924" s="430"/>
      <c r="E924" s="105"/>
      <c r="F924" s="105"/>
      <c r="G924" s="105"/>
      <c r="H924" s="105"/>
      <c r="I924" s="340"/>
      <c r="J924" s="105"/>
      <c r="K924" s="105"/>
    </row>
    <row r="925" spans="3:11" s="418" customFormat="1" x14ac:dyDescent="0.25">
      <c r="C925" s="301"/>
      <c r="D925" s="430"/>
      <c r="E925" s="105"/>
      <c r="F925" s="105"/>
      <c r="G925" s="105"/>
      <c r="H925" s="105"/>
      <c r="I925" s="340"/>
      <c r="J925" s="105"/>
      <c r="K925" s="105"/>
    </row>
    <row r="926" spans="3:11" s="418" customFormat="1" x14ac:dyDescent="0.25">
      <c r="C926" s="301"/>
      <c r="D926" s="430"/>
      <c r="E926" s="105"/>
      <c r="F926" s="105"/>
      <c r="G926" s="105"/>
      <c r="H926" s="105"/>
      <c r="I926" s="340"/>
      <c r="J926" s="105"/>
      <c r="K926" s="105"/>
    </row>
    <row r="927" spans="3:11" s="418" customFormat="1" x14ac:dyDescent="0.25">
      <c r="C927" s="301"/>
      <c r="D927" s="430"/>
      <c r="E927" s="105"/>
      <c r="F927" s="105"/>
      <c r="G927" s="105"/>
      <c r="H927" s="105"/>
      <c r="I927" s="340"/>
      <c r="J927" s="105"/>
      <c r="K927" s="105"/>
    </row>
    <row r="928" spans="3:11" s="418" customFormat="1" x14ac:dyDescent="0.25">
      <c r="C928" s="301"/>
      <c r="D928" s="430"/>
      <c r="E928" s="105"/>
      <c r="F928" s="105"/>
      <c r="G928" s="105"/>
      <c r="H928" s="105"/>
      <c r="I928" s="340"/>
      <c r="J928" s="105"/>
      <c r="K928" s="105"/>
    </row>
    <row r="929" spans="3:11" s="418" customFormat="1" x14ac:dyDescent="0.25">
      <c r="C929" s="301"/>
      <c r="D929" s="430"/>
      <c r="E929" s="105"/>
      <c r="F929" s="105"/>
      <c r="G929" s="105"/>
      <c r="H929" s="105"/>
      <c r="I929" s="340"/>
      <c r="J929" s="105"/>
      <c r="K929" s="105"/>
    </row>
    <row r="930" spans="3:11" s="418" customFormat="1" x14ac:dyDescent="0.25">
      <c r="C930" s="301"/>
      <c r="D930" s="430"/>
      <c r="E930" s="105"/>
      <c r="F930" s="105"/>
      <c r="G930" s="105"/>
      <c r="H930" s="105"/>
      <c r="I930" s="340"/>
      <c r="J930" s="105"/>
      <c r="K930" s="105"/>
    </row>
    <row r="931" spans="3:11" s="418" customFormat="1" x14ac:dyDescent="0.25">
      <c r="C931" s="301"/>
      <c r="D931" s="430"/>
      <c r="E931" s="105"/>
      <c r="F931" s="105"/>
      <c r="G931" s="105"/>
      <c r="H931" s="105"/>
      <c r="I931" s="340"/>
      <c r="J931" s="105"/>
      <c r="K931" s="105"/>
    </row>
    <row r="932" spans="3:11" s="418" customFormat="1" x14ac:dyDescent="0.25">
      <c r="C932" s="301"/>
      <c r="D932" s="430"/>
      <c r="E932" s="105"/>
      <c r="F932" s="105"/>
      <c r="G932" s="105"/>
      <c r="H932" s="105"/>
      <c r="I932" s="340"/>
      <c r="J932" s="105"/>
      <c r="K932" s="105"/>
    </row>
    <row r="933" spans="3:11" s="418" customFormat="1" x14ac:dyDescent="0.25">
      <c r="C933" s="301"/>
      <c r="D933" s="430"/>
      <c r="E933" s="105"/>
      <c r="F933" s="105"/>
      <c r="G933" s="105"/>
      <c r="H933" s="105"/>
      <c r="I933" s="340"/>
      <c r="J933" s="105"/>
      <c r="K933" s="105"/>
    </row>
    <row r="934" spans="3:11" s="418" customFormat="1" x14ac:dyDescent="0.25">
      <c r="C934" s="301"/>
      <c r="D934" s="430"/>
      <c r="E934" s="105"/>
      <c r="F934" s="105"/>
      <c r="G934" s="105"/>
      <c r="H934" s="105"/>
      <c r="I934" s="340"/>
      <c r="J934" s="105"/>
      <c r="K934" s="105"/>
    </row>
    <row r="935" spans="3:11" s="418" customFormat="1" x14ac:dyDescent="0.25">
      <c r="C935" s="301"/>
      <c r="D935" s="430"/>
      <c r="E935" s="105"/>
      <c r="F935" s="105"/>
      <c r="G935" s="105"/>
      <c r="H935" s="105"/>
      <c r="I935" s="340"/>
      <c r="J935" s="105"/>
      <c r="K935" s="105"/>
    </row>
    <row r="936" spans="3:11" s="418" customFormat="1" x14ac:dyDescent="0.25">
      <c r="C936" s="301"/>
      <c r="D936" s="430"/>
      <c r="E936" s="105"/>
      <c r="F936" s="105"/>
      <c r="G936" s="105"/>
      <c r="H936" s="105"/>
      <c r="I936" s="340"/>
      <c r="J936" s="105"/>
      <c r="K936" s="105"/>
    </row>
    <row r="937" spans="3:11" s="418" customFormat="1" x14ac:dyDescent="0.25">
      <c r="C937" s="301"/>
      <c r="D937" s="430"/>
      <c r="E937" s="105"/>
      <c r="F937" s="105"/>
      <c r="G937" s="105"/>
      <c r="H937" s="105"/>
      <c r="I937" s="340"/>
      <c r="J937" s="105"/>
      <c r="K937" s="105"/>
    </row>
    <row r="938" spans="3:11" s="418" customFormat="1" x14ac:dyDescent="0.25">
      <c r="C938" s="301"/>
      <c r="D938" s="430"/>
      <c r="E938" s="105"/>
      <c r="F938" s="105"/>
      <c r="G938" s="105"/>
      <c r="H938" s="105"/>
      <c r="I938" s="340"/>
      <c r="J938" s="105"/>
      <c r="K938" s="105"/>
    </row>
    <row r="939" spans="3:11" s="418" customFormat="1" x14ac:dyDescent="0.25">
      <c r="C939" s="301"/>
      <c r="D939" s="430"/>
      <c r="E939" s="105"/>
      <c r="F939" s="105"/>
      <c r="G939" s="105"/>
      <c r="H939" s="105"/>
      <c r="I939" s="340"/>
      <c r="J939" s="105"/>
      <c r="K939" s="105"/>
    </row>
    <row r="940" spans="3:11" s="418" customFormat="1" x14ac:dyDescent="0.25">
      <c r="C940" s="301"/>
      <c r="D940" s="430"/>
      <c r="E940" s="105"/>
      <c r="F940" s="105"/>
      <c r="G940" s="105"/>
      <c r="H940" s="105"/>
      <c r="I940" s="340"/>
      <c r="J940" s="105"/>
      <c r="K940" s="105"/>
    </row>
    <row r="941" spans="3:11" s="418" customFormat="1" x14ac:dyDescent="0.25">
      <c r="C941" s="301"/>
      <c r="D941" s="430"/>
      <c r="E941" s="105"/>
      <c r="F941" s="105"/>
      <c r="G941" s="105"/>
      <c r="H941" s="105"/>
      <c r="I941" s="340"/>
      <c r="J941" s="105"/>
      <c r="K941" s="105"/>
    </row>
    <row r="942" spans="3:11" s="418" customFormat="1" x14ac:dyDescent="0.25">
      <c r="C942" s="301"/>
      <c r="D942" s="430"/>
      <c r="E942" s="105"/>
      <c r="F942" s="105"/>
      <c r="G942" s="105"/>
      <c r="H942" s="105"/>
      <c r="I942" s="340"/>
      <c r="J942" s="105"/>
      <c r="K942" s="105"/>
    </row>
    <row r="943" spans="3:11" s="418" customFormat="1" x14ac:dyDescent="0.25">
      <c r="C943" s="301"/>
      <c r="D943" s="430"/>
      <c r="E943" s="105"/>
      <c r="F943" s="105"/>
      <c r="G943" s="105"/>
      <c r="H943" s="105"/>
      <c r="I943" s="340"/>
      <c r="J943" s="105"/>
      <c r="K943" s="105"/>
    </row>
    <row r="944" spans="3:11" s="418" customFormat="1" x14ac:dyDescent="0.25">
      <c r="C944" s="301"/>
      <c r="D944" s="430"/>
      <c r="E944" s="105"/>
      <c r="F944" s="105"/>
      <c r="G944" s="105"/>
      <c r="H944" s="105"/>
      <c r="I944" s="340"/>
      <c r="J944" s="105"/>
      <c r="K944" s="105"/>
    </row>
    <row r="945" spans="3:11" s="418" customFormat="1" x14ac:dyDescent="0.25">
      <c r="C945" s="301"/>
      <c r="D945" s="430"/>
      <c r="E945" s="105"/>
      <c r="F945" s="105"/>
      <c r="G945" s="105"/>
      <c r="H945" s="105"/>
      <c r="I945" s="340"/>
      <c r="J945" s="105"/>
      <c r="K945" s="105"/>
    </row>
    <row r="946" spans="3:11" s="418" customFormat="1" x14ac:dyDescent="0.25">
      <c r="C946" s="301"/>
      <c r="D946" s="430"/>
      <c r="E946" s="105"/>
      <c r="F946" s="105"/>
      <c r="G946" s="105"/>
      <c r="H946" s="105"/>
      <c r="I946" s="340"/>
      <c r="J946" s="105"/>
      <c r="K946" s="105"/>
    </row>
    <row r="947" spans="3:11" s="418" customFormat="1" x14ac:dyDescent="0.25">
      <c r="C947" s="301"/>
      <c r="D947" s="430"/>
      <c r="E947" s="105"/>
      <c r="F947" s="105"/>
      <c r="G947" s="105"/>
      <c r="H947" s="105"/>
      <c r="I947" s="340"/>
      <c r="J947" s="105"/>
      <c r="K947" s="105"/>
    </row>
    <row r="948" spans="3:11" s="418" customFormat="1" x14ac:dyDescent="0.25">
      <c r="C948" s="301"/>
      <c r="D948" s="430"/>
      <c r="E948" s="105"/>
      <c r="F948" s="105"/>
      <c r="G948" s="105"/>
      <c r="H948" s="105"/>
      <c r="I948" s="340"/>
      <c r="J948" s="105"/>
      <c r="K948" s="105"/>
    </row>
    <row r="949" spans="3:11" s="418" customFormat="1" x14ac:dyDescent="0.25">
      <c r="C949" s="301"/>
      <c r="D949" s="430"/>
      <c r="E949" s="105"/>
      <c r="F949" s="105"/>
      <c r="G949" s="105"/>
      <c r="H949" s="105"/>
      <c r="I949" s="340"/>
      <c r="J949" s="105"/>
      <c r="K949" s="105"/>
    </row>
    <row r="950" spans="3:11" s="418" customFormat="1" x14ac:dyDescent="0.25">
      <c r="C950" s="301"/>
      <c r="D950" s="430"/>
      <c r="E950" s="105"/>
      <c r="F950" s="105"/>
      <c r="G950" s="105"/>
      <c r="H950" s="105"/>
      <c r="I950" s="340"/>
      <c r="J950" s="105"/>
      <c r="K950" s="105"/>
    </row>
    <row r="951" spans="3:11" s="418" customFormat="1" x14ac:dyDescent="0.25">
      <c r="C951" s="301"/>
      <c r="D951" s="430"/>
      <c r="E951" s="105"/>
      <c r="F951" s="105"/>
      <c r="G951" s="105"/>
      <c r="H951" s="105"/>
      <c r="I951" s="340"/>
      <c r="J951" s="105"/>
      <c r="K951" s="105"/>
    </row>
    <row r="952" spans="3:11" s="418" customFormat="1" x14ac:dyDescent="0.25">
      <c r="C952" s="301"/>
      <c r="D952" s="430"/>
      <c r="E952" s="105"/>
      <c r="F952" s="105"/>
      <c r="G952" s="105"/>
      <c r="H952" s="105"/>
      <c r="I952" s="340"/>
      <c r="J952" s="105"/>
      <c r="K952" s="105"/>
    </row>
    <row r="953" spans="3:11" s="418" customFormat="1" x14ac:dyDescent="0.25">
      <c r="C953" s="301"/>
      <c r="D953" s="430"/>
      <c r="E953" s="105"/>
      <c r="F953" s="105"/>
      <c r="G953" s="105"/>
      <c r="H953" s="105"/>
      <c r="I953" s="340"/>
      <c r="J953" s="105"/>
      <c r="K953" s="105"/>
    </row>
    <row r="954" spans="3:11" s="418" customFormat="1" x14ac:dyDescent="0.25">
      <c r="C954" s="301"/>
      <c r="D954" s="430"/>
      <c r="E954" s="105"/>
      <c r="F954" s="105"/>
      <c r="G954" s="105"/>
      <c r="H954" s="105"/>
      <c r="I954" s="340"/>
      <c r="J954" s="105"/>
      <c r="K954" s="105"/>
    </row>
    <row r="955" spans="3:11" s="418" customFormat="1" x14ac:dyDescent="0.25">
      <c r="C955" s="301"/>
      <c r="D955" s="430"/>
      <c r="E955" s="105"/>
      <c r="F955" s="105"/>
      <c r="G955" s="105"/>
      <c r="H955" s="105"/>
      <c r="I955" s="340"/>
      <c r="J955" s="105"/>
      <c r="K955" s="105"/>
    </row>
    <row r="956" spans="3:11" s="418" customFormat="1" x14ac:dyDescent="0.25">
      <c r="C956" s="301"/>
      <c r="D956" s="430"/>
      <c r="E956" s="105"/>
      <c r="F956" s="105"/>
      <c r="G956" s="105"/>
      <c r="H956" s="105"/>
      <c r="I956" s="340"/>
      <c r="J956" s="105"/>
      <c r="K956" s="105"/>
    </row>
    <row r="957" spans="3:11" s="418" customFormat="1" x14ac:dyDescent="0.25">
      <c r="C957" s="301"/>
      <c r="D957" s="430"/>
      <c r="E957" s="105"/>
      <c r="F957" s="105"/>
      <c r="G957" s="105"/>
      <c r="H957" s="105"/>
      <c r="I957" s="340"/>
      <c r="J957" s="105"/>
      <c r="K957" s="105"/>
    </row>
    <row r="958" spans="3:11" s="418" customFormat="1" x14ac:dyDescent="0.25">
      <c r="C958" s="301"/>
      <c r="D958" s="430"/>
      <c r="E958" s="105"/>
      <c r="F958" s="105"/>
      <c r="G958" s="105"/>
      <c r="H958" s="105"/>
      <c r="I958" s="340"/>
      <c r="J958" s="105"/>
      <c r="K958" s="105"/>
    </row>
    <row r="959" spans="3:11" s="418" customFormat="1" x14ac:dyDescent="0.25">
      <c r="C959" s="301"/>
      <c r="D959" s="430"/>
      <c r="E959" s="105"/>
      <c r="F959" s="105"/>
      <c r="G959" s="105"/>
      <c r="H959" s="105"/>
      <c r="I959" s="340"/>
      <c r="J959" s="105"/>
      <c r="K959" s="105"/>
    </row>
    <row r="960" spans="3:11" s="418" customFormat="1" x14ac:dyDescent="0.25">
      <c r="C960" s="301"/>
      <c r="D960" s="430"/>
      <c r="E960" s="105"/>
      <c r="F960" s="105"/>
      <c r="G960" s="105"/>
      <c r="H960" s="105"/>
      <c r="I960" s="340"/>
      <c r="J960" s="105"/>
      <c r="K960" s="105"/>
    </row>
    <row r="961" spans="3:11" s="418" customFormat="1" x14ac:dyDescent="0.25">
      <c r="C961" s="301"/>
      <c r="D961" s="430"/>
      <c r="E961" s="105"/>
      <c r="F961" s="105"/>
      <c r="G961" s="105"/>
      <c r="H961" s="105"/>
      <c r="I961" s="340"/>
      <c r="J961" s="105"/>
      <c r="K961" s="105"/>
    </row>
    <row r="962" spans="3:11" s="418" customFormat="1" x14ac:dyDescent="0.25">
      <c r="C962" s="301"/>
      <c r="D962" s="430"/>
      <c r="E962" s="105"/>
      <c r="F962" s="105"/>
      <c r="G962" s="105"/>
      <c r="H962" s="105"/>
      <c r="I962" s="340"/>
      <c r="J962" s="105"/>
      <c r="K962" s="105"/>
    </row>
    <row r="963" spans="3:11" s="418" customFormat="1" x14ac:dyDescent="0.25">
      <c r="C963" s="301"/>
      <c r="D963" s="430"/>
      <c r="E963" s="105"/>
      <c r="F963" s="105"/>
      <c r="G963" s="105"/>
      <c r="H963" s="105"/>
      <c r="I963" s="340"/>
      <c r="J963" s="105"/>
      <c r="K963" s="105"/>
    </row>
    <row r="964" spans="3:11" s="418" customFormat="1" x14ac:dyDescent="0.25">
      <c r="C964" s="301"/>
      <c r="D964" s="430"/>
      <c r="E964" s="105"/>
      <c r="F964" s="105"/>
      <c r="G964" s="105"/>
      <c r="H964" s="105"/>
      <c r="I964" s="340"/>
      <c r="J964" s="105"/>
      <c r="K964" s="105"/>
    </row>
    <row r="965" spans="3:11" s="418" customFormat="1" x14ac:dyDescent="0.25">
      <c r="C965" s="301"/>
      <c r="D965" s="430"/>
      <c r="E965" s="105"/>
      <c r="F965" s="105"/>
      <c r="G965" s="105"/>
      <c r="H965" s="105"/>
      <c r="I965" s="340"/>
      <c r="J965" s="105"/>
      <c r="K965" s="105"/>
    </row>
    <row r="966" spans="3:11" s="418" customFormat="1" x14ac:dyDescent="0.25">
      <c r="C966" s="301"/>
      <c r="D966" s="430"/>
      <c r="E966" s="105"/>
      <c r="F966" s="105"/>
      <c r="G966" s="105"/>
      <c r="H966" s="105"/>
      <c r="I966" s="340"/>
      <c r="J966" s="105"/>
      <c r="K966" s="105"/>
    </row>
    <row r="967" spans="3:11" s="418" customFormat="1" x14ac:dyDescent="0.25">
      <c r="C967" s="301"/>
      <c r="D967" s="430"/>
      <c r="E967" s="105"/>
      <c r="F967" s="105"/>
      <c r="G967" s="105"/>
      <c r="H967" s="105"/>
      <c r="I967" s="340"/>
      <c r="J967" s="105"/>
      <c r="K967" s="105"/>
    </row>
    <row r="968" spans="3:11" s="418" customFormat="1" x14ac:dyDescent="0.25">
      <c r="C968" s="301"/>
      <c r="D968" s="430"/>
      <c r="E968" s="105"/>
      <c r="F968" s="105"/>
      <c r="G968" s="105"/>
      <c r="H968" s="105"/>
      <c r="I968" s="340"/>
      <c r="J968" s="105"/>
      <c r="K968" s="105"/>
    </row>
    <row r="969" spans="3:11" s="418" customFormat="1" x14ac:dyDescent="0.25">
      <c r="C969" s="301"/>
      <c r="D969" s="430"/>
      <c r="E969" s="105"/>
      <c r="F969" s="105"/>
      <c r="G969" s="105"/>
      <c r="H969" s="105"/>
      <c r="I969" s="340"/>
      <c r="J969" s="105"/>
      <c r="K969" s="105"/>
    </row>
    <row r="970" spans="3:11" s="418" customFormat="1" x14ac:dyDescent="0.25">
      <c r="C970" s="301"/>
      <c r="D970" s="430"/>
      <c r="E970" s="105"/>
      <c r="F970" s="105"/>
      <c r="G970" s="105"/>
      <c r="H970" s="105"/>
      <c r="I970" s="340"/>
      <c r="J970" s="105"/>
      <c r="K970" s="105"/>
    </row>
    <row r="971" spans="3:11" s="418" customFormat="1" x14ac:dyDescent="0.25">
      <c r="C971" s="301"/>
      <c r="D971" s="430"/>
      <c r="E971" s="105"/>
      <c r="F971" s="105"/>
      <c r="G971" s="105"/>
      <c r="H971" s="105"/>
      <c r="I971" s="340"/>
      <c r="J971" s="105"/>
      <c r="K971" s="105"/>
    </row>
    <row r="972" spans="3:11" s="418" customFormat="1" x14ac:dyDescent="0.25">
      <c r="C972" s="301"/>
      <c r="D972" s="430"/>
      <c r="E972" s="105"/>
      <c r="F972" s="105"/>
      <c r="G972" s="105"/>
      <c r="H972" s="105"/>
      <c r="I972" s="340"/>
      <c r="J972" s="105"/>
      <c r="K972" s="105"/>
    </row>
    <row r="973" spans="3:11" s="418" customFormat="1" x14ac:dyDescent="0.25">
      <c r="C973" s="301"/>
      <c r="D973" s="430"/>
      <c r="E973" s="105"/>
      <c r="F973" s="105"/>
      <c r="G973" s="105"/>
      <c r="H973" s="105"/>
      <c r="I973" s="340"/>
      <c r="J973" s="105"/>
      <c r="K973" s="105"/>
    </row>
    <row r="974" spans="3:11" s="418" customFormat="1" x14ac:dyDescent="0.25">
      <c r="C974" s="301"/>
      <c r="D974" s="430"/>
      <c r="E974" s="105"/>
      <c r="F974" s="105"/>
      <c r="G974" s="105"/>
      <c r="H974" s="105"/>
      <c r="I974" s="340"/>
      <c r="J974" s="105"/>
      <c r="K974" s="105"/>
    </row>
    <row r="975" spans="3:11" s="418" customFormat="1" x14ac:dyDescent="0.25">
      <c r="C975" s="301"/>
      <c r="D975" s="430"/>
      <c r="E975" s="105"/>
      <c r="F975" s="105"/>
      <c r="G975" s="105"/>
      <c r="H975" s="105"/>
      <c r="I975" s="340"/>
      <c r="J975" s="105"/>
      <c r="K975" s="105"/>
    </row>
    <row r="976" spans="3:11" s="418" customFormat="1" x14ac:dyDescent="0.25">
      <c r="C976" s="301"/>
      <c r="D976" s="430"/>
      <c r="E976" s="105"/>
      <c r="F976" s="105"/>
      <c r="G976" s="105"/>
      <c r="H976" s="105"/>
      <c r="I976" s="340"/>
      <c r="J976" s="105"/>
      <c r="K976" s="105"/>
    </row>
    <row r="977" spans="3:11" s="418" customFormat="1" x14ac:dyDescent="0.25">
      <c r="C977" s="301"/>
      <c r="D977" s="430"/>
      <c r="E977" s="105"/>
      <c r="F977" s="105"/>
      <c r="G977" s="105"/>
      <c r="H977" s="105"/>
      <c r="I977" s="340"/>
      <c r="J977" s="105"/>
      <c r="K977" s="105"/>
    </row>
    <row r="978" spans="3:11" s="418" customFormat="1" x14ac:dyDescent="0.25">
      <c r="C978" s="301"/>
      <c r="D978" s="430"/>
      <c r="E978" s="105"/>
      <c r="F978" s="105"/>
      <c r="G978" s="105"/>
      <c r="H978" s="105"/>
      <c r="I978" s="340"/>
      <c r="J978" s="105"/>
      <c r="K978" s="105"/>
    </row>
    <row r="979" spans="3:11" s="418" customFormat="1" x14ac:dyDescent="0.25">
      <c r="C979" s="301"/>
      <c r="D979" s="430"/>
      <c r="E979" s="105"/>
      <c r="F979" s="105"/>
      <c r="G979" s="105"/>
      <c r="H979" s="105"/>
      <c r="I979" s="340"/>
      <c r="J979" s="105"/>
      <c r="K979" s="105"/>
    </row>
    <row r="980" spans="3:11" s="418" customFormat="1" x14ac:dyDescent="0.25">
      <c r="C980" s="301"/>
      <c r="D980" s="430"/>
      <c r="E980" s="105"/>
      <c r="F980" s="105"/>
      <c r="G980" s="105"/>
      <c r="H980" s="105"/>
      <c r="I980" s="340"/>
      <c r="J980" s="105"/>
      <c r="K980" s="105"/>
    </row>
    <row r="981" spans="3:11" s="418" customFormat="1" x14ac:dyDescent="0.25">
      <c r="C981" s="301"/>
      <c r="D981" s="430"/>
      <c r="E981" s="105"/>
      <c r="F981" s="105"/>
      <c r="G981" s="105"/>
      <c r="H981" s="105"/>
      <c r="I981" s="340"/>
      <c r="J981" s="105"/>
      <c r="K981" s="105"/>
    </row>
    <row r="982" spans="3:11" s="418" customFormat="1" x14ac:dyDescent="0.25">
      <c r="C982" s="301"/>
      <c r="D982" s="430"/>
      <c r="E982" s="105"/>
      <c r="F982" s="105"/>
      <c r="G982" s="105"/>
      <c r="H982" s="105"/>
      <c r="I982" s="340"/>
      <c r="J982" s="105"/>
      <c r="K982" s="105"/>
    </row>
    <row r="983" spans="3:11" s="418" customFormat="1" x14ac:dyDescent="0.25">
      <c r="C983" s="301"/>
      <c r="D983" s="430"/>
      <c r="E983" s="105"/>
      <c r="F983" s="105"/>
      <c r="G983" s="105"/>
      <c r="H983" s="105"/>
      <c r="I983" s="340"/>
      <c r="J983" s="105"/>
      <c r="K983" s="105"/>
    </row>
    <row r="984" spans="3:11" s="418" customFormat="1" x14ac:dyDescent="0.25">
      <c r="C984" s="301"/>
      <c r="D984" s="430"/>
      <c r="E984" s="105"/>
      <c r="F984" s="105"/>
      <c r="G984" s="105"/>
      <c r="H984" s="105"/>
      <c r="I984" s="340"/>
      <c r="J984" s="105"/>
      <c r="K984" s="105"/>
    </row>
    <row r="985" spans="3:11" s="418" customFormat="1" x14ac:dyDescent="0.25">
      <c r="C985" s="301"/>
      <c r="D985" s="430"/>
      <c r="E985" s="105"/>
      <c r="F985" s="105"/>
      <c r="G985" s="105"/>
      <c r="H985" s="105"/>
      <c r="I985" s="340"/>
      <c r="J985" s="105"/>
      <c r="K985" s="105"/>
    </row>
    <row r="986" spans="3:11" s="418" customFormat="1" x14ac:dyDescent="0.25">
      <c r="C986" s="301"/>
      <c r="D986" s="430"/>
      <c r="E986" s="105"/>
      <c r="F986" s="105"/>
      <c r="G986" s="105"/>
      <c r="H986" s="105"/>
      <c r="I986" s="340"/>
      <c r="J986" s="105"/>
      <c r="K986" s="105"/>
    </row>
    <row r="987" spans="3:11" s="418" customFormat="1" x14ac:dyDescent="0.25">
      <c r="C987" s="301"/>
      <c r="D987" s="430"/>
      <c r="E987" s="105"/>
      <c r="F987" s="105"/>
      <c r="G987" s="105"/>
      <c r="H987" s="105"/>
      <c r="I987" s="340"/>
      <c r="J987" s="105"/>
      <c r="K987" s="105"/>
    </row>
    <row r="988" spans="3:11" s="418" customFormat="1" x14ac:dyDescent="0.25">
      <c r="C988" s="301"/>
      <c r="D988" s="430"/>
      <c r="E988" s="105"/>
      <c r="F988" s="105"/>
      <c r="G988" s="105"/>
      <c r="H988" s="105"/>
      <c r="I988" s="340"/>
      <c r="J988" s="105"/>
      <c r="K988" s="105"/>
    </row>
    <row r="989" spans="3:11" s="418" customFormat="1" x14ac:dyDescent="0.25">
      <c r="C989" s="301"/>
      <c r="D989" s="430"/>
      <c r="E989" s="105"/>
      <c r="F989" s="105"/>
      <c r="G989" s="105"/>
      <c r="H989" s="105"/>
      <c r="I989" s="340"/>
      <c r="J989" s="105"/>
      <c r="K989" s="105"/>
    </row>
    <row r="990" spans="3:11" s="418" customFormat="1" x14ac:dyDescent="0.25">
      <c r="C990" s="301"/>
      <c r="D990" s="430"/>
      <c r="E990" s="105"/>
      <c r="F990" s="105"/>
      <c r="G990" s="105"/>
      <c r="H990" s="105"/>
      <c r="I990" s="340"/>
      <c r="J990" s="105"/>
      <c r="K990" s="105"/>
    </row>
    <row r="991" spans="3:11" s="418" customFormat="1" x14ac:dyDescent="0.25">
      <c r="C991" s="301"/>
      <c r="D991" s="430"/>
      <c r="E991" s="105"/>
      <c r="F991" s="105"/>
      <c r="G991" s="105"/>
      <c r="H991" s="105"/>
      <c r="I991" s="340"/>
      <c r="J991" s="105"/>
      <c r="K991" s="105"/>
    </row>
    <row r="992" spans="3:11" s="418" customFormat="1" x14ac:dyDescent="0.25">
      <c r="C992" s="301"/>
      <c r="D992" s="430"/>
      <c r="E992" s="105"/>
      <c r="F992" s="105"/>
      <c r="G992" s="105"/>
      <c r="H992" s="105"/>
      <c r="I992" s="340"/>
      <c r="J992" s="105"/>
      <c r="K992" s="105"/>
    </row>
    <row r="993" spans="3:11" s="418" customFormat="1" x14ac:dyDescent="0.25">
      <c r="C993" s="301"/>
      <c r="D993" s="430"/>
      <c r="E993" s="105"/>
      <c r="F993" s="105"/>
      <c r="G993" s="105"/>
      <c r="H993" s="105"/>
      <c r="I993" s="340"/>
      <c r="J993" s="105"/>
      <c r="K993" s="105"/>
    </row>
    <row r="994" spans="3:11" s="418" customFormat="1" x14ac:dyDescent="0.25">
      <c r="C994" s="301"/>
      <c r="D994" s="430"/>
      <c r="E994" s="105"/>
      <c r="F994" s="105"/>
      <c r="G994" s="105"/>
      <c r="H994" s="105"/>
      <c r="I994" s="340"/>
      <c r="J994" s="105"/>
      <c r="K994" s="105"/>
    </row>
    <row r="995" spans="3:11" s="418" customFormat="1" x14ac:dyDescent="0.25">
      <c r="C995" s="301"/>
      <c r="D995" s="430"/>
      <c r="E995" s="105"/>
      <c r="F995" s="105"/>
      <c r="G995" s="105"/>
      <c r="H995" s="105"/>
      <c r="I995" s="340"/>
      <c r="J995" s="105"/>
      <c r="K995" s="105"/>
    </row>
    <row r="996" spans="3:11" s="418" customFormat="1" x14ac:dyDescent="0.25">
      <c r="C996" s="301"/>
      <c r="D996" s="430"/>
      <c r="E996" s="105"/>
      <c r="F996" s="105"/>
      <c r="G996" s="105"/>
      <c r="H996" s="105"/>
      <c r="I996" s="340"/>
      <c r="J996" s="105"/>
      <c r="K996" s="105"/>
    </row>
    <row r="997" spans="3:11" s="418" customFormat="1" x14ac:dyDescent="0.25">
      <c r="C997" s="301"/>
      <c r="D997" s="430"/>
      <c r="E997" s="105"/>
      <c r="F997" s="105"/>
      <c r="G997" s="105"/>
      <c r="H997" s="105"/>
      <c r="I997" s="340"/>
      <c r="J997" s="105"/>
      <c r="K997" s="105"/>
    </row>
    <row r="998" spans="3:11" s="418" customFormat="1" x14ac:dyDescent="0.25">
      <c r="C998" s="301"/>
      <c r="D998" s="430"/>
      <c r="E998" s="105"/>
      <c r="F998" s="105"/>
      <c r="G998" s="105"/>
      <c r="H998" s="105"/>
      <c r="I998" s="340"/>
      <c r="J998" s="105"/>
      <c r="K998" s="105"/>
    </row>
    <row r="999" spans="3:11" s="418" customFormat="1" x14ac:dyDescent="0.25">
      <c r="C999" s="301"/>
      <c r="D999" s="430"/>
      <c r="E999" s="105"/>
      <c r="F999" s="105"/>
      <c r="G999" s="105"/>
      <c r="H999" s="105"/>
      <c r="I999" s="340"/>
      <c r="J999" s="105"/>
      <c r="K999" s="105"/>
    </row>
    <row r="1000" spans="3:11" s="418" customFormat="1" x14ac:dyDescent="0.25">
      <c r="C1000" s="301"/>
      <c r="D1000" s="430"/>
      <c r="E1000" s="105"/>
      <c r="F1000" s="105"/>
      <c r="G1000" s="105"/>
      <c r="H1000" s="105"/>
      <c r="I1000" s="340"/>
      <c r="J1000" s="105"/>
      <c r="K1000" s="105"/>
    </row>
    <row r="1001" spans="3:11" s="418" customFormat="1" x14ac:dyDescent="0.25">
      <c r="C1001" s="301"/>
      <c r="D1001" s="430"/>
      <c r="E1001" s="105"/>
      <c r="F1001" s="105"/>
      <c r="G1001" s="105"/>
      <c r="H1001" s="105"/>
      <c r="I1001" s="340"/>
      <c r="J1001" s="105"/>
      <c r="K1001" s="105"/>
    </row>
    <row r="1002" spans="3:11" s="418" customFormat="1" x14ac:dyDescent="0.25">
      <c r="C1002" s="301"/>
      <c r="D1002" s="430"/>
      <c r="E1002" s="105"/>
      <c r="F1002" s="105"/>
      <c r="G1002" s="105"/>
      <c r="H1002" s="105"/>
      <c r="I1002" s="340"/>
      <c r="J1002" s="105"/>
      <c r="K1002" s="105"/>
    </row>
    <row r="1003" spans="3:11" s="418" customFormat="1" x14ac:dyDescent="0.25">
      <c r="C1003" s="301"/>
      <c r="D1003" s="430"/>
      <c r="E1003" s="105"/>
      <c r="F1003" s="105"/>
      <c r="G1003" s="105"/>
      <c r="H1003" s="105"/>
      <c r="I1003" s="340"/>
      <c r="J1003" s="105"/>
      <c r="K1003" s="105"/>
    </row>
    <row r="1004" spans="3:11" s="418" customFormat="1" x14ac:dyDescent="0.25">
      <c r="C1004" s="301"/>
      <c r="D1004" s="430"/>
      <c r="E1004" s="105"/>
      <c r="F1004" s="105"/>
      <c r="G1004" s="105"/>
      <c r="H1004" s="105"/>
      <c r="I1004" s="340"/>
      <c r="J1004" s="105"/>
      <c r="K1004" s="105"/>
    </row>
    <row r="1005" spans="3:11" s="418" customFormat="1" x14ac:dyDescent="0.25">
      <c r="C1005" s="301"/>
      <c r="D1005" s="430"/>
      <c r="E1005" s="105"/>
      <c r="F1005" s="105"/>
      <c r="G1005" s="105"/>
      <c r="H1005" s="105"/>
      <c r="I1005" s="340"/>
      <c r="J1005" s="105"/>
      <c r="K1005" s="105"/>
    </row>
    <row r="1006" spans="3:11" s="418" customFormat="1" x14ac:dyDescent="0.25">
      <c r="C1006" s="301"/>
      <c r="D1006" s="430"/>
      <c r="E1006" s="105"/>
      <c r="F1006" s="105"/>
      <c r="G1006" s="105"/>
      <c r="H1006" s="105"/>
      <c r="I1006" s="340"/>
      <c r="J1006" s="105"/>
      <c r="K1006" s="105"/>
    </row>
    <row r="1007" spans="3:11" s="418" customFormat="1" x14ac:dyDescent="0.25">
      <c r="C1007" s="301"/>
      <c r="D1007" s="430"/>
      <c r="E1007" s="105"/>
      <c r="F1007" s="105"/>
      <c r="G1007" s="105"/>
      <c r="H1007" s="105"/>
      <c r="I1007" s="340"/>
      <c r="J1007" s="105"/>
      <c r="K1007" s="105"/>
    </row>
    <row r="1008" spans="3:11" s="418" customFormat="1" x14ac:dyDescent="0.25">
      <c r="C1008" s="301"/>
      <c r="D1008" s="430"/>
      <c r="E1008" s="105"/>
      <c r="F1008" s="105"/>
      <c r="G1008" s="105"/>
      <c r="H1008" s="105"/>
      <c r="I1008" s="340"/>
      <c r="J1008" s="105"/>
      <c r="K1008" s="105"/>
    </row>
    <row r="1009" spans="3:11" s="418" customFormat="1" x14ac:dyDescent="0.25">
      <c r="C1009" s="301"/>
      <c r="D1009" s="430"/>
      <c r="E1009" s="105"/>
      <c r="F1009" s="105"/>
      <c r="G1009" s="105"/>
      <c r="H1009" s="105"/>
      <c r="I1009" s="340"/>
      <c r="J1009" s="105"/>
      <c r="K1009" s="105"/>
    </row>
    <row r="1010" spans="3:11" s="418" customFormat="1" x14ac:dyDescent="0.25">
      <c r="C1010" s="301"/>
      <c r="D1010" s="430"/>
      <c r="E1010" s="105"/>
      <c r="F1010" s="105"/>
      <c r="G1010" s="105"/>
      <c r="H1010" s="105"/>
      <c r="I1010" s="340"/>
      <c r="J1010" s="105"/>
      <c r="K1010" s="105"/>
    </row>
    <row r="1011" spans="3:11" s="418" customFormat="1" x14ac:dyDescent="0.25">
      <c r="C1011" s="301"/>
      <c r="D1011" s="430"/>
      <c r="E1011" s="105"/>
      <c r="F1011" s="105"/>
      <c r="G1011" s="105"/>
      <c r="H1011" s="105"/>
      <c r="I1011" s="340"/>
      <c r="J1011" s="105"/>
      <c r="K1011" s="105"/>
    </row>
    <row r="1012" spans="3:11" s="418" customFormat="1" x14ac:dyDescent="0.25">
      <c r="C1012" s="301"/>
      <c r="D1012" s="430"/>
      <c r="E1012" s="105"/>
      <c r="F1012" s="105"/>
      <c r="G1012" s="105"/>
      <c r="H1012" s="105"/>
      <c r="I1012" s="340"/>
      <c r="J1012" s="105"/>
      <c r="K1012" s="105"/>
    </row>
    <row r="1013" spans="3:11" s="418" customFormat="1" x14ac:dyDescent="0.25">
      <c r="C1013" s="301"/>
      <c r="D1013" s="430"/>
      <c r="E1013" s="105"/>
      <c r="F1013" s="105"/>
      <c r="G1013" s="105"/>
      <c r="H1013" s="105"/>
      <c r="I1013" s="340"/>
      <c r="J1013" s="105"/>
      <c r="K1013" s="105"/>
    </row>
    <row r="1014" spans="3:11" s="418" customFormat="1" x14ac:dyDescent="0.25">
      <c r="C1014" s="301"/>
      <c r="D1014" s="430"/>
      <c r="E1014" s="105"/>
      <c r="F1014" s="105"/>
      <c r="G1014" s="105"/>
      <c r="H1014" s="105"/>
      <c r="I1014" s="340"/>
      <c r="J1014" s="105"/>
      <c r="K1014" s="105"/>
    </row>
    <row r="1015" spans="3:11" s="418" customFormat="1" x14ac:dyDescent="0.25">
      <c r="C1015" s="301"/>
      <c r="D1015" s="430"/>
      <c r="E1015" s="105"/>
      <c r="F1015" s="105"/>
      <c r="G1015" s="105"/>
      <c r="H1015" s="105"/>
      <c r="I1015" s="340"/>
      <c r="J1015" s="105"/>
      <c r="K1015" s="105"/>
    </row>
    <row r="1016" spans="3:11" s="418" customFormat="1" x14ac:dyDescent="0.25">
      <c r="C1016" s="301"/>
      <c r="D1016" s="430"/>
      <c r="E1016" s="105"/>
      <c r="F1016" s="105"/>
      <c r="G1016" s="105"/>
      <c r="H1016" s="105"/>
      <c r="I1016" s="340"/>
      <c r="J1016" s="105"/>
      <c r="K1016" s="105"/>
    </row>
    <row r="1017" spans="3:11" s="418" customFormat="1" x14ac:dyDescent="0.25">
      <c r="C1017" s="301"/>
      <c r="D1017" s="430"/>
      <c r="E1017" s="105"/>
      <c r="F1017" s="105"/>
      <c r="G1017" s="105"/>
      <c r="H1017" s="105"/>
      <c r="I1017" s="340"/>
      <c r="J1017" s="105"/>
      <c r="K1017" s="105"/>
    </row>
    <row r="1018" spans="3:11" s="418" customFormat="1" x14ac:dyDescent="0.25">
      <c r="C1018" s="301"/>
      <c r="D1018" s="430"/>
      <c r="E1018" s="105"/>
      <c r="F1018" s="105"/>
      <c r="G1018" s="105"/>
      <c r="H1018" s="105"/>
      <c r="I1018" s="340"/>
      <c r="J1018" s="105"/>
      <c r="K1018" s="105"/>
    </row>
    <row r="1019" spans="3:11" s="418" customFormat="1" x14ac:dyDescent="0.25">
      <c r="C1019" s="301"/>
      <c r="D1019" s="430"/>
      <c r="E1019" s="105"/>
      <c r="F1019" s="105"/>
      <c r="G1019" s="105"/>
      <c r="H1019" s="105"/>
      <c r="I1019" s="340"/>
      <c r="J1019" s="105"/>
      <c r="K1019" s="105"/>
    </row>
    <row r="1020" spans="3:11" s="418" customFormat="1" x14ac:dyDescent="0.25">
      <c r="C1020" s="301"/>
      <c r="D1020" s="430"/>
      <c r="E1020" s="105"/>
      <c r="F1020" s="105"/>
      <c r="G1020" s="105"/>
      <c r="H1020" s="105"/>
      <c r="I1020" s="340"/>
      <c r="J1020" s="105"/>
      <c r="K1020" s="105"/>
    </row>
    <row r="1021" spans="3:11" s="418" customFormat="1" x14ac:dyDescent="0.25">
      <c r="C1021" s="301"/>
      <c r="D1021" s="430"/>
      <c r="E1021" s="105"/>
      <c r="F1021" s="105"/>
      <c r="G1021" s="105"/>
      <c r="H1021" s="105"/>
      <c r="I1021" s="340"/>
      <c r="J1021" s="105"/>
      <c r="K1021" s="105"/>
    </row>
    <row r="1022" spans="3:11" s="418" customFormat="1" x14ac:dyDescent="0.25">
      <c r="C1022" s="301"/>
      <c r="D1022" s="430"/>
      <c r="E1022" s="105"/>
      <c r="F1022" s="105"/>
      <c r="G1022" s="105"/>
      <c r="H1022" s="105"/>
      <c r="I1022" s="340"/>
      <c r="J1022" s="105"/>
      <c r="K1022" s="105"/>
    </row>
    <row r="1023" spans="3:11" s="418" customFormat="1" x14ac:dyDescent="0.25">
      <c r="C1023" s="301"/>
      <c r="D1023" s="430"/>
      <c r="E1023" s="105"/>
      <c r="F1023" s="105"/>
      <c r="G1023" s="105"/>
      <c r="H1023" s="105"/>
      <c r="I1023" s="340"/>
      <c r="J1023" s="105"/>
      <c r="K1023" s="105"/>
    </row>
    <row r="1024" spans="3:11" s="418" customFormat="1" x14ac:dyDescent="0.25">
      <c r="C1024" s="301"/>
      <c r="D1024" s="430"/>
      <c r="E1024" s="105"/>
      <c r="F1024" s="105"/>
      <c r="G1024" s="105"/>
      <c r="H1024" s="105"/>
      <c r="I1024" s="340"/>
      <c r="J1024" s="105"/>
      <c r="K1024" s="105"/>
    </row>
    <row r="1025" spans="3:11" s="418" customFormat="1" x14ac:dyDescent="0.25">
      <c r="C1025" s="301"/>
      <c r="D1025" s="430"/>
      <c r="E1025" s="105"/>
      <c r="F1025" s="105"/>
      <c r="G1025" s="105"/>
      <c r="H1025" s="105"/>
      <c r="I1025" s="340"/>
      <c r="J1025" s="105"/>
      <c r="K1025" s="105"/>
    </row>
    <row r="1026" spans="3:11" s="418" customFormat="1" x14ac:dyDescent="0.25">
      <c r="C1026" s="301"/>
      <c r="D1026" s="430"/>
      <c r="E1026" s="105"/>
      <c r="F1026" s="105"/>
      <c r="G1026" s="105"/>
      <c r="H1026" s="105"/>
      <c r="I1026" s="340"/>
      <c r="J1026" s="105"/>
      <c r="K1026" s="105"/>
    </row>
    <row r="1027" spans="3:11" s="418" customFormat="1" x14ac:dyDescent="0.25">
      <c r="C1027" s="301"/>
      <c r="D1027" s="430"/>
      <c r="E1027" s="105"/>
      <c r="F1027" s="105"/>
      <c r="G1027" s="105"/>
      <c r="H1027" s="105"/>
      <c r="I1027" s="340"/>
      <c r="J1027" s="105"/>
      <c r="K1027" s="105"/>
    </row>
    <row r="1028" spans="3:11" s="418" customFormat="1" x14ac:dyDescent="0.25">
      <c r="C1028" s="301"/>
      <c r="D1028" s="430"/>
      <c r="E1028" s="105"/>
      <c r="F1028" s="105"/>
      <c r="G1028" s="105"/>
      <c r="H1028" s="105"/>
      <c r="I1028" s="340"/>
      <c r="J1028" s="105"/>
      <c r="K1028" s="105"/>
    </row>
    <row r="1029" spans="3:11" s="418" customFormat="1" x14ac:dyDescent="0.25">
      <c r="C1029" s="301"/>
      <c r="D1029" s="430"/>
      <c r="E1029" s="105"/>
      <c r="F1029" s="105"/>
      <c r="G1029" s="105"/>
      <c r="H1029" s="105"/>
      <c r="I1029" s="340"/>
      <c r="J1029" s="105"/>
      <c r="K1029" s="105"/>
    </row>
    <row r="1030" spans="3:11" s="418" customFormat="1" x14ac:dyDescent="0.25">
      <c r="C1030" s="301"/>
      <c r="D1030" s="430"/>
      <c r="E1030" s="105"/>
      <c r="F1030" s="105"/>
      <c r="G1030" s="105"/>
      <c r="H1030" s="105"/>
      <c r="I1030" s="340"/>
      <c r="J1030" s="105"/>
      <c r="K1030" s="105"/>
    </row>
    <row r="1031" spans="3:11" s="418" customFormat="1" x14ac:dyDescent="0.25">
      <c r="C1031" s="301"/>
      <c r="D1031" s="430"/>
      <c r="E1031" s="105"/>
      <c r="F1031" s="105"/>
      <c r="G1031" s="105"/>
      <c r="H1031" s="105"/>
      <c r="I1031" s="340"/>
      <c r="J1031" s="105"/>
      <c r="K1031" s="105"/>
    </row>
    <row r="1032" spans="3:11" s="418" customFormat="1" x14ac:dyDescent="0.25">
      <c r="C1032" s="301"/>
      <c r="D1032" s="430"/>
      <c r="E1032" s="105"/>
      <c r="F1032" s="105"/>
      <c r="G1032" s="105"/>
      <c r="H1032" s="105"/>
      <c r="I1032" s="340"/>
      <c r="J1032" s="105"/>
      <c r="K1032" s="105"/>
    </row>
    <row r="1033" spans="3:11" s="418" customFormat="1" x14ac:dyDescent="0.25">
      <c r="C1033" s="301"/>
      <c r="D1033" s="430"/>
      <c r="E1033" s="105"/>
      <c r="F1033" s="105"/>
      <c r="G1033" s="105"/>
      <c r="H1033" s="105"/>
      <c r="I1033" s="340"/>
      <c r="J1033" s="105"/>
      <c r="K1033" s="105"/>
    </row>
    <row r="1034" spans="3:11" s="418" customFormat="1" x14ac:dyDescent="0.25">
      <c r="C1034" s="301"/>
      <c r="D1034" s="430"/>
      <c r="E1034" s="105"/>
      <c r="F1034" s="105"/>
      <c r="G1034" s="105"/>
      <c r="H1034" s="105"/>
      <c r="I1034" s="340"/>
      <c r="J1034" s="105"/>
      <c r="K1034" s="105"/>
    </row>
    <row r="1035" spans="3:11" s="418" customFormat="1" x14ac:dyDescent="0.25">
      <c r="C1035" s="301"/>
      <c r="D1035" s="430"/>
      <c r="E1035" s="105"/>
      <c r="F1035" s="105"/>
      <c r="G1035" s="105"/>
      <c r="H1035" s="105"/>
      <c r="I1035" s="340"/>
      <c r="J1035" s="105"/>
      <c r="K1035" s="105"/>
    </row>
    <row r="1036" spans="3:11" s="418" customFormat="1" x14ac:dyDescent="0.25">
      <c r="C1036" s="301"/>
      <c r="D1036" s="430"/>
      <c r="E1036" s="105"/>
      <c r="F1036" s="105"/>
      <c r="G1036" s="105"/>
      <c r="H1036" s="105"/>
      <c r="I1036" s="340"/>
      <c r="J1036" s="105"/>
      <c r="K1036" s="105"/>
    </row>
    <row r="1037" spans="3:11" s="418" customFormat="1" x14ac:dyDescent="0.25">
      <c r="C1037" s="301"/>
      <c r="D1037" s="430"/>
      <c r="E1037" s="105"/>
      <c r="F1037" s="105"/>
      <c r="G1037" s="105"/>
      <c r="H1037" s="105"/>
      <c r="I1037" s="340"/>
      <c r="J1037" s="105"/>
      <c r="K1037" s="105"/>
    </row>
    <row r="1038" spans="3:11" s="418" customFormat="1" x14ac:dyDescent="0.25">
      <c r="C1038" s="301"/>
      <c r="D1038" s="430"/>
      <c r="E1038" s="105"/>
      <c r="F1038" s="105"/>
      <c r="G1038" s="105"/>
      <c r="H1038" s="105"/>
      <c r="I1038" s="340"/>
      <c r="J1038" s="105"/>
      <c r="K1038" s="105"/>
    </row>
    <row r="1039" spans="3:11" s="418" customFormat="1" x14ac:dyDescent="0.25">
      <c r="C1039" s="301"/>
      <c r="D1039" s="430"/>
      <c r="E1039" s="105"/>
      <c r="F1039" s="105"/>
      <c r="G1039" s="105"/>
      <c r="H1039" s="105"/>
      <c r="I1039" s="340"/>
      <c r="J1039" s="105"/>
      <c r="K1039" s="105"/>
    </row>
    <row r="1040" spans="3:11" s="418" customFormat="1" x14ac:dyDescent="0.25">
      <c r="C1040" s="301"/>
      <c r="D1040" s="430"/>
      <c r="E1040" s="105"/>
      <c r="F1040" s="105"/>
      <c r="G1040" s="105"/>
      <c r="H1040" s="105"/>
      <c r="I1040" s="340"/>
      <c r="J1040" s="105"/>
      <c r="K1040" s="105"/>
    </row>
    <row r="1041" spans="3:11" s="418" customFormat="1" x14ac:dyDescent="0.25">
      <c r="C1041" s="301"/>
      <c r="D1041" s="430"/>
      <c r="E1041" s="105"/>
      <c r="F1041" s="105"/>
      <c r="G1041" s="105"/>
      <c r="H1041" s="105"/>
      <c r="I1041" s="340"/>
      <c r="J1041" s="105"/>
      <c r="K1041" s="105"/>
    </row>
    <row r="1042" spans="3:11" s="418" customFormat="1" x14ac:dyDescent="0.25">
      <c r="C1042" s="301"/>
      <c r="D1042" s="430"/>
      <c r="E1042" s="105"/>
      <c r="F1042" s="105"/>
      <c r="G1042" s="105"/>
      <c r="H1042" s="105"/>
      <c r="I1042" s="340"/>
      <c r="J1042" s="105"/>
      <c r="K1042" s="105"/>
    </row>
    <row r="1043" spans="3:11" s="418" customFormat="1" x14ac:dyDescent="0.25">
      <c r="C1043" s="301"/>
      <c r="D1043" s="430"/>
      <c r="E1043" s="105"/>
      <c r="F1043" s="105"/>
      <c r="G1043" s="105"/>
      <c r="H1043" s="105"/>
      <c r="I1043" s="340"/>
      <c r="J1043" s="105"/>
      <c r="K1043" s="105"/>
    </row>
    <row r="1044" spans="3:11" s="418" customFormat="1" x14ac:dyDescent="0.25">
      <c r="C1044" s="301"/>
      <c r="D1044" s="430"/>
      <c r="E1044" s="105"/>
      <c r="F1044" s="105"/>
      <c r="G1044" s="105"/>
      <c r="H1044" s="105"/>
      <c r="I1044" s="340"/>
      <c r="J1044" s="105"/>
      <c r="K1044" s="105"/>
    </row>
    <row r="1045" spans="3:11" s="418" customFormat="1" x14ac:dyDescent="0.25">
      <c r="C1045" s="301"/>
      <c r="D1045" s="430"/>
      <c r="E1045" s="105"/>
      <c r="F1045" s="105"/>
      <c r="G1045" s="105"/>
      <c r="H1045" s="105"/>
      <c r="I1045" s="340"/>
      <c r="J1045" s="105"/>
      <c r="K1045" s="105"/>
    </row>
    <row r="1046" spans="3:11" s="418" customFormat="1" x14ac:dyDescent="0.25">
      <c r="C1046" s="301"/>
      <c r="D1046" s="430"/>
      <c r="E1046" s="105"/>
      <c r="F1046" s="105"/>
      <c r="G1046" s="105"/>
      <c r="H1046" s="105"/>
      <c r="I1046" s="340"/>
      <c r="J1046" s="105"/>
      <c r="K1046" s="105"/>
    </row>
    <row r="1047" spans="3:11" s="418" customFormat="1" x14ac:dyDescent="0.25">
      <c r="C1047" s="301"/>
      <c r="D1047" s="430"/>
      <c r="E1047" s="105"/>
      <c r="F1047" s="105"/>
      <c r="G1047" s="105"/>
      <c r="H1047" s="105"/>
      <c r="I1047" s="340"/>
      <c r="J1047" s="105"/>
      <c r="K1047" s="105"/>
    </row>
    <row r="1048" spans="3:11" s="418" customFormat="1" x14ac:dyDescent="0.25">
      <c r="C1048" s="301"/>
      <c r="D1048" s="430"/>
      <c r="E1048" s="105"/>
      <c r="F1048" s="105"/>
      <c r="G1048" s="105"/>
      <c r="H1048" s="105"/>
      <c r="I1048" s="340"/>
      <c r="J1048" s="105"/>
      <c r="K1048" s="105"/>
    </row>
    <row r="1049" spans="3:11" s="418" customFormat="1" x14ac:dyDescent="0.25">
      <c r="C1049" s="301"/>
      <c r="D1049" s="430"/>
      <c r="E1049" s="105"/>
      <c r="F1049" s="105"/>
      <c r="G1049" s="105"/>
      <c r="H1049" s="105"/>
      <c r="I1049" s="340"/>
      <c r="J1049" s="105"/>
      <c r="K1049" s="105"/>
    </row>
    <row r="1050" spans="3:11" s="418" customFormat="1" x14ac:dyDescent="0.25">
      <c r="C1050" s="301"/>
      <c r="D1050" s="430"/>
      <c r="E1050" s="105"/>
      <c r="F1050" s="105"/>
      <c r="G1050" s="105"/>
      <c r="H1050" s="105"/>
      <c r="I1050" s="340"/>
      <c r="J1050" s="105"/>
      <c r="K1050" s="105"/>
    </row>
    <row r="1051" spans="3:11" s="418" customFormat="1" x14ac:dyDescent="0.25">
      <c r="C1051" s="301"/>
      <c r="D1051" s="430"/>
      <c r="E1051" s="105"/>
      <c r="F1051" s="105"/>
      <c r="G1051" s="105"/>
      <c r="H1051" s="105"/>
      <c r="I1051" s="340"/>
      <c r="J1051" s="105"/>
      <c r="K1051" s="105"/>
    </row>
    <row r="1052" spans="3:11" s="418" customFormat="1" x14ac:dyDescent="0.25">
      <c r="C1052" s="301"/>
      <c r="D1052" s="430"/>
      <c r="E1052" s="105"/>
      <c r="F1052" s="105"/>
      <c r="G1052" s="105"/>
      <c r="H1052" s="105"/>
      <c r="I1052" s="340"/>
      <c r="J1052" s="105"/>
      <c r="K1052" s="105"/>
    </row>
    <row r="1053" spans="3:11" s="418" customFormat="1" x14ac:dyDescent="0.25">
      <c r="C1053" s="301"/>
      <c r="D1053" s="430"/>
      <c r="E1053" s="105"/>
      <c r="F1053" s="105"/>
      <c r="G1053" s="105"/>
      <c r="H1053" s="105"/>
      <c r="I1053" s="340"/>
      <c r="J1053" s="105"/>
      <c r="K1053" s="105"/>
    </row>
    <row r="1054" spans="3:11" s="418" customFormat="1" x14ac:dyDescent="0.25">
      <c r="C1054" s="301"/>
      <c r="D1054" s="430"/>
      <c r="E1054" s="105"/>
      <c r="F1054" s="105"/>
      <c r="G1054" s="105"/>
      <c r="H1054" s="105"/>
      <c r="I1054" s="340"/>
      <c r="J1054" s="105"/>
      <c r="K1054" s="105"/>
    </row>
    <row r="1055" spans="3:11" s="418" customFormat="1" x14ac:dyDescent="0.25">
      <c r="C1055" s="301"/>
      <c r="D1055" s="430"/>
      <c r="E1055" s="105"/>
      <c r="F1055" s="105"/>
      <c r="G1055" s="105"/>
      <c r="H1055" s="105"/>
      <c r="I1055" s="340"/>
      <c r="J1055" s="105"/>
      <c r="K1055" s="105"/>
    </row>
    <row r="1056" spans="3:11" s="418" customFormat="1" x14ac:dyDescent="0.25">
      <c r="C1056" s="301"/>
      <c r="D1056" s="430"/>
      <c r="E1056" s="105"/>
      <c r="F1056" s="105"/>
      <c r="G1056" s="105"/>
      <c r="H1056" s="105"/>
      <c r="I1056" s="340"/>
      <c r="J1056" s="105"/>
      <c r="K1056" s="105"/>
    </row>
    <row r="1057" spans="3:11" s="418" customFormat="1" x14ac:dyDescent="0.25">
      <c r="C1057" s="301"/>
      <c r="D1057" s="430"/>
      <c r="E1057" s="105"/>
      <c r="F1057" s="105"/>
      <c r="G1057" s="105"/>
      <c r="H1057" s="105"/>
      <c r="I1057" s="340"/>
      <c r="J1057" s="105"/>
      <c r="K1057" s="105"/>
    </row>
    <row r="1058" spans="3:11" s="418" customFormat="1" x14ac:dyDescent="0.25">
      <c r="C1058" s="301"/>
      <c r="D1058" s="430"/>
      <c r="E1058" s="105"/>
      <c r="F1058" s="105"/>
      <c r="G1058" s="105"/>
      <c r="H1058" s="105"/>
      <c r="I1058" s="340"/>
      <c r="J1058" s="105"/>
      <c r="K1058" s="105"/>
    </row>
    <row r="1059" spans="3:11" s="418" customFormat="1" x14ac:dyDescent="0.25">
      <c r="C1059" s="301"/>
      <c r="D1059" s="430"/>
      <c r="E1059" s="105"/>
      <c r="F1059" s="105"/>
      <c r="G1059" s="105"/>
      <c r="H1059" s="105"/>
      <c r="I1059" s="340"/>
      <c r="J1059" s="105"/>
      <c r="K1059" s="105"/>
    </row>
    <row r="1060" spans="3:11" s="418" customFormat="1" x14ac:dyDescent="0.25">
      <c r="C1060" s="301"/>
      <c r="D1060" s="430"/>
      <c r="E1060" s="105"/>
      <c r="F1060" s="105"/>
      <c r="G1060" s="105"/>
      <c r="H1060" s="105"/>
      <c r="I1060" s="340"/>
      <c r="J1060" s="105"/>
      <c r="K1060" s="105"/>
    </row>
    <row r="1061" spans="3:11" s="418" customFormat="1" x14ac:dyDescent="0.25">
      <c r="C1061" s="301"/>
      <c r="D1061" s="430"/>
      <c r="E1061" s="105"/>
      <c r="F1061" s="105"/>
      <c r="G1061" s="105"/>
      <c r="H1061" s="105"/>
      <c r="I1061" s="340"/>
      <c r="J1061" s="105"/>
      <c r="K1061" s="105"/>
    </row>
    <row r="1062" spans="3:11" s="418" customFormat="1" x14ac:dyDescent="0.25">
      <c r="C1062" s="301"/>
      <c r="D1062" s="430"/>
      <c r="E1062" s="105"/>
      <c r="F1062" s="105"/>
      <c r="G1062" s="105"/>
      <c r="H1062" s="105"/>
      <c r="I1062" s="340"/>
      <c r="J1062" s="105"/>
      <c r="K1062" s="105"/>
    </row>
    <row r="1063" spans="3:11" s="418" customFormat="1" x14ac:dyDescent="0.25">
      <c r="C1063" s="301"/>
      <c r="D1063" s="430"/>
      <c r="E1063" s="105"/>
      <c r="F1063" s="105"/>
      <c r="G1063" s="105"/>
      <c r="H1063" s="105"/>
      <c r="I1063" s="340"/>
      <c r="J1063" s="105"/>
      <c r="K1063" s="105"/>
    </row>
    <row r="1064" spans="3:11" s="418" customFormat="1" x14ac:dyDescent="0.25">
      <c r="C1064" s="301"/>
      <c r="D1064" s="430"/>
      <c r="E1064" s="105"/>
      <c r="F1064" s="105"/>
      <c r="G1064" s="105"/>
      <c r="H1064" s="105"/>
      <c r="I1064" s="340"/>
      <c r="J1064" s="105"/>
      <c r="K1064" s="105"/>
    </row>
    <row r="1065" spans="3:11" s="418" customFormat="1" x14ac:dyDescent="0.25">
      <c r="C1065" s="301"/>
      <c r="D1065" s="430"/>
      <c r="E1065" s="105"/>
      <c r="F1065" s="105"/>
      <c r="G1065" s="105"/>
      <c r="H1065" s="105"/>
      <c r="I1065" s="340"/>
      <c r="J1065" s="105"/>
      <c r="K1065" s="105"/>
    </row>
    <row r="1066" spans="3:11" s="418" customFormat="1" x14ac:dyDescent="0.25">
      <c r="C1066" s="301"/>
      <c r="D1066" s="430"/>
      <c r="E1066" s="105"/>
      <c r="F1066" s="105"/>
      <c r="G1066" s="105"/>
      <c r="H1066" s="105"/>
      <c r="I1066" s="340"/>
      <c r="J1066" s="105"/>
      <c r="K1066" s="105"/>
    </row>
    <row r="1067" spans="3:11" s="418" customFormat="1" x14ac:dyDescent="0.25">
      <c r="C1067" s="301"/>
      <c r="D1067" s="430"/>
      <c r="E1067" s="105"/>
      <c r="F1067" s="105"/>
      <c r="G1067" s="105"/>
      <c r="H1067" s="105"/>
      <c r="I1067" s="340"/>
      <c r="J1067" s="105"/>
      <c r="K1067" s="105"/>
    </row>
    <row r="1068" spans="3:11" s="418" customFormat="1" x14ac:dyDescent="0.25">
      <c r="C1068" s="301"/>
      <c r="D1068" s="430"/>
      <c r="E1068" s="105"/>
      <c r="F1068" s="105"/>
      <c r="G1068" s="105"/>
      <c r="H1068" s="105"/>
      <c r="I1068" s="340"/>
      <c r="J1068" s="105"/>
      <c r="K1068" s="105"/>
    </row>
    <row r="1069" spans="3:11" s="418" customFormat="1" x14ac:dyDescent="0.25">
      <c r="C1069" s="301"/>
      <c r="D1069" s="430"/>
      <c r="E1069" s="105"/>
      <c r="F1069" s="105"/>
      <c r="G1069" s="105"/>
      <c r="H1069" s="105"/>
      <c r="I1069" s="340"/>
      <c r="J1069" s="105"/>
      <c r="K1069" s="105"/>
    </row>
    <row r="1070" spans="3:11" s="418" customFormat="1" x14ac:dyDescent="0.25">
      <c r="C1070" s="301"/>
      <c r="D1070" s="430"/>
      <c r="E1070" s="105"/>
      <c r="F1070" s="105"/>
      <c r="G1070" s="105"/>
      <c r="H1070" s="105"/>
      <c r="I1070" s="340"/>
      <c r="J1070" s="105"/>
      <c r="K1070" s="105"/>
    </row>
    <row r="1071" spans="3:11" s="418" customFormat="1" x14ac:dyDescent="0.25">
      <c r="C1071" s="301"/>
      <c r="D1071" s="430"/>
      <c r="E1071" s="105"/>
      <c r="F1071" s="105"/>
      <c r="G1071" s="105"/>
      <c r="H1071" s="105"/>
      <c r="I1071" s="340"/>
      <c r="J1071" s="105"/>
      <c r="K1071" s="105"/>
    </row>
    <row r="1072" spans="3:11" s="418" customFormat="1" x14ac:dyDescent="0.25">
      <c r="C1072" s="301"/>
      <c r="D1072" s="430"/>
      <c r="E1072" s="105"/>
      <c r="F1072" s="105"/>
      <c r="G1072" s="105"/>
      <c r="H1072" s="105"/>
      <c r="I1072" s="340"/>
      <c r="J1072" s="105"/>
      <c r="K1072" s="105"/>
    </row>
    <row r="1073" spans="3:11" s="418" customFormat="1" x14ac:dyDescent="0.25">
      <c r="C1073" s="301"/>
      <c r="D1073" s="430"/>
      <c r="E1073" s="105"/>
      <c r="F1073" s="105"/>
      <c r="G1073" s="105"/>
      <c r="H1073" s="105"/>
      <c r="I1073" s="340"/>
      <c r="J1073" s="105"/>
      <c r="K1073" s="105"/>
    </row>
    <row r="1074" spans="3:11" s="418" customFormat="1" x14ac:dyDescent="0.25">
      <c r="C1074" s="301"/>
      <c r="D1074" s="430"/>
      <c r="E1074" s="105"/>
      <c r="F1074" s="105"/>
      <c r="G1074" s="105"/>
      <c r="H1074" s="105"/>
      <c r="I1074" s="340"/>
      <c r="J1074" s="105"/>
      <c r="K1074" s="105"/>
    </row>
    <row r="1075" spans="3:11" s="418" customFormat="1" x14ac:dyDescent="0.25">
      <c r="C1075" s="301"/>
      <c r="D1075" s="430"/>
      <c r="E1075" s="105"/>
      <c r="F1075" s="105"/>
      <c r="G1075" s="105"/>
      <c r="H1075" s="105"/>
      <c r="I1075" s="340"/>
      <c r="J1075" s="105"/>
      <c r="K1075" s="105"/>
    </row>
    <row r="1076" spans="3:11" s="418" customFormat="1" x14ac:dyDescent="0.25">
      <c r="C1076" s="301"/>
      <c r="D1076" s="430"/>
      <c r="E1076" s="105"/>
      <c r="F1076" s="105"/>
      <c r="G1076" s="105"/>
      <c r="H1076" s="105"/>
      <c r="I1076" s="340"/>
      <c r="J1076" s="105"/>
      <c r="K1076" s="105"/>
    </row>
    <row r="1077" spans="3:11" s="418" customFormat="1" x14ac:dyDescent="0.25">
      <c r="C1077" s="301"/>
      <c r="D1077" s="430"/>
      <c r="E1077" s="105"/>
      <c r="F1077" s="105"/>
      <c r="G1077" s="105"/>
      <c r="H1077" s="105"/>
      <c r="I1077" s="340"/>
      <c r="J1077" s="105"/>
      <c r="K1077" s="105"/>
    </row>
    <row r="1078" spans="3:11" s="418" customFormat="1" x14ac:dyDescent="0.25">
      <c r="C1078" s="301"/>
      <c r="D1078" s="430"/>
      <c r="E1078" s="105"/>
      <c r="F1078" s="105"/>
      <c r="G1078" s="105"/>
      <c r="H1078" s="105"/>
      <c r="I1078" s="340"/>
      <c r="J1078" s="105"/>
      <c r="K1078" s="105"/>
    </row>
    <row r="1079" spans="3:11" s="418" customFormat="1" x14ac:dyDescent="0.25">
      <c r="C1079" s="301"/>
      <c r="D1079" s="430"/>
      <c r="E1079" s="105"/>
      <c r="F1079" s="105"/>
      <c r="G1079" s="105"/>
      <c r="H1079" s="105"/>
      <c r="I1079" s="340"/>
      <c r="J1079" s="105"/>
      <c r="K1079" s="105"/>
    </row>
    <row r="1080" spans="3:11" s="418" customFormat="1" x14ac:dyDescent="0.25">
      <c r="C1080" s="301"/>
      <c r="D1080" s="430"/>
      <c r="E1080" s="105"/>
      <c r="F1080" s="105"/>
      <c r="G1080" s="105"/>
      <c r="H1080" s="105"/>
      <c r="I1080" s="340"/>
      <c r="J1080" s="105"/>
      <c r="K1080" s="105"/>
    </row>
    <row r="1081" spans="3:11" s="418" customFormat="1" x14ac:dyDescent="0.25">
      <c r="C1081" s="301"/>
      <c r="D1081" s="430"/>
      <c r="E1081" s="105"/>
      <c r="F1081" s="105"/>
      <c r="G1081" s="105"/>
      <c r="H1081" s="105"/>
      <c r="I1081" s="340"/>
      <c r="J1081" s="105"/>
      <c r="K1081" s="105"/>
    </row>
    <row r="1082" spans="3:11" s="418" customFormat="1" x14ac:dyDescent="0.25">
      <c r="C1082" s="301"/>
      <c r="D1082" s="430"/>
      <c r="E1082" s="105"/>
      <c r="F1082" s="105"/>
      <c r="G1082" s="105"/>
      <c r="H1082" s="105"/>
      <c r="I1082" s="340"/>
      <c r="J1082" s="105"/>
      <c r="K1082" s="105"/>
    </row>
    <row r="1083" spans="3:11" s="418" customFormat="1" x14ac:dyDescent="0.25">
      <c r="C1083" s="301"/>
      <c r="D1083" s="430"/>
      <c r="E1083" s="105"/>
      <c r="F1083" s="105"/>
      <c r="G1083" s="105"/>
      <c r="H1083" s="105"/>
      <c r="I1083" s="340"/>
      <c r="J1083" s="105"/>
      <c r="K1083" s="105"/>
    </row>
    <row r="1084" spans="3:11" s="418" customFormat="1" x14ac:dyDescent="0.25">
      <c r="C1084" s="301"/>
      <c r="D1084" s="430"/>
      <c r="E1084" s="105"/>
      <c r="F1084" s="105"/>
      <c r="G1084" s="105"/>
      <c r="H1084" s="105"/>
      <c r="I1084" s="340"/>
      <c r="J1084" s="105"/>
      <c r="K1084" s="105"/>
    </row>
    <row r="1085" spans="3:11" s="418" customFormat="1" x14ac:dyDescent="0.25">
      <c r="C1085" s="301"/>
      <c r="D1085" s="430"/>
      <c r="E1085" s="105"/>
      <c r="F1085" s="105"/>
      <c r="G1085" s="105"/>
      <c r="H1085" s="105"/>
      <c r="I1085" s="340"/>
      <c r="J1085" s="105"/>
      <c r="K1085" s="105"/>
    </row>
    <row r="1086" spans="3:11" s="418" customFormat="1" x14ac:dyDescent="0.25">
      <c r="C1086" s="301"/>
      <c r="D1086" s="430"/>
      <c r="E1086" s="105"/>
      <c r="F1086" s="105"/>
      <c r="G1086" s="105"/>
      <c r="H1086" s="105"/>
      <c r="I1086" s="340"/>
      <c r="J1086" s="105"/>
      <c r="K1086" s="105"/>
    </row>
    <row r="1087" spans="3:11" s="418" customFormat="1" x14ac:dyDescent="0.25">
      <c r="C1087" s="301"/>
      <c r="D1087" s="430"/>
      <c r="E1087" s="105"/>
      <c r="F1087" s="105"/>
      <c r="G1087" s="105"/>
      <c r="H1087" s="105"/>
      <c r="I1087" s="340"/>
      <c r="J1087" s="105"/>
      <c r="K1087" s="105"/>
    </row>
    <row r="1088" spans="3:11" s="418" customFormat="1" x14ac:dyDescent="0.25">
      <c r="C1088" s="301"/>
      <c r="D1088" s="430"/>
      <c r="E1088" s="105"/>
      <c r="F1088" s="105"/>
      <c r="G1088" s="105"/>
      <c r="H1088" s="105"/>
      <c r="I1088" s="340"/>
      <c r="J1088" s="105"/>
      <c r="K1088" s="105"/>
    </row>
    <row r="1089" spans="3:11" s="418" customFormat="1" x14ac:dyDescent="0.25">
      <c r="C1089" s="301"/>
      <c r="D1089" s="430"/>
      <c r="E1089" s="105"/>
      <c r="F1089" s="105"/>
      <c r="G1089" s="105"/>
      <c r="H1089" s="105"/>
      <c r="I1089" s="340"/>
      <c r="J1089" s="105"/>
      <c r="K1089" s="105"/>
    </row>
    <row r="1090" spans="3:11" s="418" customFormat="1" x14ac:dyDescent="0.25">
      <c r="C1090" s="301"/>
      <c r="D1090" s="430"/>
      <c r="E1090" s="105"/>
      <c r="F1090" s="105"/>
      <c r="G1090" s="105"/>
      <c r="H1090" s="105"/>
      <c r="I1090" s="340"/>
      <c r="J1090" s="105"/>
      <c r="K1090" s="105"/>
    </row>
    <row r="1091" spans="3:11" s="418" customFormat="1" x14ac:dyDescent="0.25">
      <c r="C1091" s="301"/>
      <c r="D1091" s="430"/>
      <c r="E1091" s="105"/>
      <c r="F1091" s="105"/>
      <c r="G1091" s="105"/>
      <c r="H1091" s="105"/>
      <c r="I1091" s="340"/>
      <c r="J1091" s="105"/>
      <c r="K1091" s="105"/>
    </row>
    <row r="1092" spans="3:11" s="418" customFormat="1" x14ac:dyDescent="0.25">
      <c r="C1092" s="301"/>
      <c r="D1092" s="430"/>
      <c r="E1092" s="105"/>
      <c r="F1092" s="105"/>
      <c r="G1092" s="105"/>
      <c r="H1092" s="105"/>
      <c r="I1092" s="340"/>
      <c r="J1092" s="105"/>
      <c r="K1092" s="105"/>
    </row>
    <row r="1093" spans="3:11" s="418" customFormat="1" x14ac:dyDescent="0.25">
      <c r="C1093" s="301"/>
      <c r="D1093" s="430"/>
      <c r="E1093" s="105"/>
      <c r="F1093" s="105"/>
      <c r="G1093" s="105"/>
      <c r="H1093" s="105"/>
      <c r="I1093" s="340"/>
      <c r="J1093" s="105"/>
      <c r="K1093" s="105"/>
    </row>
    <row r="1094" spans="3:11" s="418" customFormat="1" x14ac:dyDescent="0.25">
      <c r="C1094" s="301"/>
      <c r="D1094" s="430"/>
      <c r="E1094" s="105"/>
      <c r="F1094" s="105"/>
      <c r="G1094" s="105"/>
      <c r="H1094" s="105"/>
      <c r="I1094" s="340"/>
      <c r="J1094" s="105"/>
      <c r="K1094" s="105"/>
    </row>
    <row r="1095" spans="3:11" s="418" customFormat="1" x14ac:dyDescent="0.25">
      <c r="C1095" s="301"/>
      <c r="D1095" s="430"/>
      <c r="E1095" s="105"/>
      <c r="F1095" s="105"/>
      <c r="G1095" s="105"/>
      <c r="H1095" s="105"/>
      <c r="I1095" s="340"/>
      <c r="J1095" s="105"/>
      <c r="K1095" s="105"/>
    </row>
    <row r="1096" spans="3:11" s="418" customFormat="1" x14ac:dyDescent="0.25">
      <c r="C1096" s="301"/>
      <c r="D1096" s="430"/>
      <c r="E1096" s="105"/>
      <c r="F1096" s="105"/>
      <c r="G1096" s="105"/>
      <c r="H1096" s="105"/>
      <c r="I1096" s="340"/>
      <c r="J1096" s="105"/>
      <c r="K1096" s="105"/>
    </row>
    <row r="1097" spans="3:11" s="418" customFormat="1" x14ac:dyDescent="0.25">
      <c r="C1097" s="301"/>
      <c r="D1097" s="430"/>
      <c r="E1097" s="105"/>
      <c r="F1097" s="105"/>
      <c r="G1097" s="105"/>
      <c r="H1097" s="105"/>
      <c r="I1097" s="340"/>
      <c r="J1097" s="105"/>
      <c r="K1097" s="105"/>
    </row>
    <row r="1098" spans="3:11" s="418" customFormat="1" x14ac:dyDescent="0.25">
      <c r="C1098" s="301"/>
      <c r="D1098" s="430"/>
      <c r="E1098" s="105"/>
      <c r="F1098" s="105"/>
      <c r="G1098" s="105"/>
      <c r="H1098" s="105"/>
      <c r="I1098" s="340"/>
      <c r="J1098" s="105"/>
      <c r="K1098" s="105"/>
    </row>
    <row r="1099" spans="3:11" s="418" customFormat="1" x14ac:dyDescent="0.25">
      <c r="C1099" s="301"/>
      <c r="D1099" s="430"/>
      <c r="E1099" s="105"/>
      <c r="F1099" s="105"/>
      <c r="G1099" s="105"/>
      <c r="H1099" s="105"/>
      <c r="I1099" s="340"/>
      <c r="J1099" s="105"/>
      <c r="K1099" s="105"/>
    </row>
    <row r="1100" spans="3:11" s="418" customFormat="1" x14ac:dyDescent="0.25">
      <c r="C1100" s="301"/>
      <c r="D1100" s="430"/>
      <c r="E1100" s="105"/>
      <c r="F1100" s="105"/>
      <c r="G1100" s="105"/>
      <c r="H1100" s="105"/>
      <c r="I1100" s="340"/>
      <c r="J1100" s="105"/>
      <c r="K1100" s="105"/>
    </row>
    <row r="1101" spans="3:11" s="418" customFormat="1" x14ac:dyDescent="0.25">
      <c r="C1101" s="301"/>
      <c r="D1101" s="430"/>
      <c r="E1101" s="105"/>
      <c r="F1101" s="105"/>
      <c r="G1101" s="105"/>
      <c r="H1101" s="105"/>
      <c r="I1101" s="340"/>
      <c r="J1101" s="105"/>
      <c r="K1101" s="105"/>
    </row>
    <row r="1102" spans="3:11" s="418" customFormat="1" x14ac:dyDescent="0.25">
      <c r="C1102" s="301"/>
      <c r="D1102" s="430"/>
      <c r="E1102" s="105"/>
      <c r="F1102" s="105"/>
      <c r="G1102" s="105"/>
      <c r="H1102" s="105"/>
      <c r="I1102" s="340"/>
      <c r="J1102" s="105"/>
      <c r="K1102" s="105"/>
    </row>
    <row r="1103" spans="3:11" s="418" customFormat="1" x14ac:dyDescent="0.25">
      <c r="C1103" s="301"/>
      <c r="D1103" s="430"/>
      <c r="E1103" s="105"/>
      <c r="F1103" s="105"/>
      <c r="G1103" s="105"/>
      <c r="H1103" s="105"/>
      <c r="I1103" s="340"/>
      <c r="J1103" s="105"/>
      <c r="K1103" s="105"/>
    </row>
    <row r="1104" spans="3:11" s="418" customFormat="1" x14ac:dyDescent="0.25">
      <c r="C1104" s="301"/>
      <c r="D1104" s="430"/>
      <c r="E1104" s="105"/>
      <c r="F1104" s="105"/>
      <c r="G1104" s="105"/>
      <c r="H1104" s="105"/>
      <c r="I1104" s="340"/>
      <c r="J1104" s="105"/>
      <c r="K1104" s="105"/>
    </row>
    <row r="1105" spans="3:11" s="418" customFormat="1" x14ac:dyDescent="0.25">
      <c r="C1105" s="301"/>
      <c r="D1105" s="430"/>
      <c r="E1105" s="105"/>
      <c r="F1105" s="105"/>
      <c r="G1105" s="105"/>
      <c r="H1105" s="105"/>
      <c r="I1105" s="340"/>
      <c r="J1105" s="105"/>
      <c r="K1105" s="105"/>
    </row>
    <row r="1106" spans="3:11" s="418" customFormat="1" x14ac:dyDescent="0.25">
      <c r="C1106" s="301"/>
      <c r="D1106" s="430"/>
      <c r="E1106" s="105"/>
      <c r="F1106" s="105"/>
      <c r="G1106" s="105"/>
      <c r="H1106" s="105"/>
      <c r="I1106" s="340"/>
      <c r="J1106" s="105"/>
      <c r="K1106" s="105"/>
    </row>
    <row r="1107" spans="3:11" s="418" customFormat="1" x14ac:dyDescent="0.25">
      <c r="C1107" s="301"/>
      <c r="D1107" s="430"/>
      <c r="E1107" s="105"/>
      <c r="F1107" s="105"/>
      <c r="G1107" s="105"/>
      <c r="H1107" s="105"/>
      <c r="I1107" s="340"/>
      <c r="J1107" s="105"/>
      <c r="K1107" s="105"/>
    </row>
    <row r="1108" spans="3:11" s="418" customFormat="1" x14ac:dyDescent="0.25">
      <c r="C1108" s="301"/>
      <c r="D1108" s="430"/>
      <c r="E1108" s="105"/>
      <c r="F1108" s="105"/>
      <c r="G1108" s="105"/>
      <c r="H1108" s="105"/>
      <c r="I1108" s="340"/>
      <c r="J1108" s="105"/>
      <c r="K1108" s="105"/>
    </row>
    <row r="1109" spans="3:11" s="418" customFormat="1" x14ac:dyDescent="0.25">
      <c r="C1109" s="301"/>
      <c r="D1109" s="430"/>
      <c r="E1109" s="105"/>
      <c r="F1109" s="105"/>
      <c r="G1109" s="105"/>
      <c r="H1109" s="105"/>
      <c r="I1109" s="340"/>
      <c r="J1109" s="105"/>
      <c r="K1109" s="105"/>
    </row>
    <row r="1110" spans="3:11" s="418" customFormat="1" x14ac:dyDescent="0.25">
      <c r="C1110" s="301"/>
      <c r="D1110" s="430"/>
      <c r="E1110" s="105"/>
      <c r="F1110" s="105"/>
      <c r="G1110" s="105"/>
      <c r="H1110" s="105"/>
      <c r="I1110" s="340"/>
      <c r="J1110" s="105"/>
      <c r="K1110" s="105"/>
    </row>
    <row r="1111" spans="3:11" s="418" customFormat="1" x14ac:dyDescent="0.25">
      <c r="C1111" s="301"/>
      <c r="D1111" s="430"/>
      <c r="E1111" s="105"/>
      <c r="F1111" s="105"/>
      <c r="G1111" s="105"/>
      <c r="H1111" s="105"/>
      <c r="I1111" s="340"/>
      <c r="J1111" s="105"/>
      <c r="K1111" s="105"/>
    </row>
    <row r="1112" spans="3:11" s="418" customFormat="1" x14ac:dyDescent="0.25">
      <c r="C1112" s="301"/>
      <c r="D1112" s="430"/>
      <c r="E1112" s="105"/>
      <c r="F1112" s="105"/>
      <c r="G1112" s="105"/>
      <c r="H1112" s="105"/>
      <c r="I1112" s="340"/>
      <c r="J1112" s="105"/>
      <c r="K1112" s="105"/>
    </row>
    <row r="1113" spans="3:11" s="418" customFormat="1" x14ac:dyDescent="0.25">
      <c r="C1113" s="301"/>
      <c r="D1113" s="430"/>
      <c r="E1113" s="105"/>
      <c r="F1113" s="105"/>
      <c r="G1113" s="105"/>
      <c r="H1113" s="105"/>
      <c r="I1113" s="340"/>
      <c r="J1113" s="105"/>
      <c r="K1113" s="105"/>
    </row>
    <row r="1114" spans="3:11" s="418" customFormat="1" x14ac:dyDescent="0.25">
      <c r="C1114" s="301"/>
      <c r="D1114" s="430"/>
      <c r="E1114" s="105"/>
      <c r="F1114" s="105"/>
      <c r="G1114" s="105"/>
      <c r="H1114" s="105"/>
      <c r="I1114" s="340"/>
      <c r="J1114" s="105"/>
      <c r="K1114" s="105"/>
    </row>
    <row r="1115" spans="3:11" s="418" customFormat="1" x14ac:dyDescent="0.25">
      <c r="C1115" s="301"/>
      <c r="D1115" s="430"/>
      <c r="E1115" s="105"/>
      <c r="F1115" s="105"/>
      <c r="G1115" s="105"/>
      <c r="H1115" s="105"/>
      <c r="I1115" s="340"/>
      <c r="J1115" s="105"/>
      <c r="K1115" s="105"/>
    </row>
    <row r="1116" spans="3:11" s="418" customFormat="1" x14ac:dyDescent="0.25">
      <c r="C1116" s="301"/>
      <c r="D1116" s="430"/>
      <c r="E1116" s="105"/>
      <c r="F1116" s="105"/>
      <c r="G1116" s="105"/>
      <c r="H1116" s="105"/>
      <c r="I1116" s="340"/>
      <c r="J1116" s="105"/>
      <c r="K1116" s="105"/>
    </row>
    <row r="1117" spans="3:11" s="418" customFormat="1" x14ac:dyDescent="0.25">
      <c r="C1117" s="301"/>
      <c r="D1117" s="430"/>
      <c r="E1117" s="105"/>
      <c r="F1117" s="105"/>
      <c r="G1117" s="105"/>
      <c r="H1117" s="105"/>
      <c r="I1117" s="340"/>
      <c r="J1117" s="105"/>
      <c r="K1117" s="105"/>
    </row>
    <row r="1118" spans="3:11" s="418" customFormat="1" x14ac:dyDescent="0.25">
      <c r="C1118" s="301"/>
      <c r="D1118" s="430"/>
      <c r="E1118" s="105"/>
      <c r="F1118" s="105"/>
      <c r="G1118" s="105"/>
      <c r="H1118" s="105"/>
      <c r="I1118" s="340"/>
      <c r="J1118" s="105"/>
      <c r="K1118" s="105"/>
    </row>
    <row r="1119" spans="3:11" s="418" customFormat="1" x14ac:dyDescent="0.25">
      <c r="C1119" s="301"/>
      <c r="D1119" s="430"/>
      <c r="E1119" s="105"/>
      <c r="F1119" s="105"/>
      <c r="G1119" s="105"/>
      <c r="H1119" s="105"/>
      <c r="I1119" s="340"/>
      <c r="J1119" s="105"/>
      <c r="K1119" s="105"/>
    </row>
    <row r="1120" spans="3:11" s="418" customFormat="1" x14ac:dyDescent="0.25">
      <c r="C1120" s="301"/>
      <c r="D1120" s="430"/>
      <c r="E1120" s="105"/>
      <c r="F1120" s="105"/>
      <c r="G1120" s="105"/>
      <c r="H1120" s="105"/>
      <c r="I1120" s="340"/>
      <c r="J1120" s="105"/>
      <c r="K1120" s="105"/>
    </row>
    <row r="1121" spans="3:11" s="418" customFormat="1" x14ac:dyDescent="0.25">
      <c r="C1121" s="301"/>
      <c r="D1121" s="430"/>
      <c r="E1121" s="105"/>
      <c r="F1121" s="105"/>
      <c r="G1121" s="105"/>
      <c r="H1121" s="105"/>
      <c r="I1121" s="340"/>
      <c r="J1121" s="105"/>
      <c r="K1121" s="105"/>
    </row>
    <row r="1122" spans="3:11" s="418" customFormat="1" x14ac:dyDescent="0.25">
      <c r="C1122" s="301"/>
      <c r="D1122" s="430"/>
      <c r="E1122" s="105"/>
      <c r="F1122" s="105"/>
      <c r="G1122" s="105"/>
      <c r="H1122" s="105"/>
      <c r="I1122" s="340"/>
      <c r="J1122" s="105"/>
      <c r="K1122" s="105"/>
    </row>
    <row r="1123" spans="3:11" s="418" customFormat="1" x14ac:dyDescent="0.25">
      <c r="C1123" s="301"/>
      <c r="D1123" s="430"/>
      <c r="E1123" s="105"/>
      <c r="F1123" s="105"/>
      <c r="G1123" s="105"/>
      <c r="H1123" s="105"/>
      <c r="I1123" s="340"/>
      <c r="J1123" s="105"/>
      <c r="K1123" s="105"/>
    </row>
    <row r="1124" spans="3:11" s="418" customFormat="1" x14ac:dyDescent="0.25">
      <c r="C1124" s="301"/>
      <c r="D1124" s="430"/>
      <c r="E1124" s="105"/>
      <c r="F1124" s="105"/>
      <c r="G1124" s="105"/>
      <c r="H1124" s="105"/>
      <c r="I1124" s="340"/>
      <c r="J1124" s="105"/>
      <c r="K1124" s="105"/>
    </row>
    <row r="1125" spans="3:11" s="418" customFormat="1" x14ac:dyDescent="0.25">
      <c r="C1125" s="301"/>
      <c r="D1125" s="430"/>
      <c r="E1125" s="105"/>
      <c r="F1125" s="105"/>
      <c r="G1125" s="105"/>
      <c r="H1125" s="105"/>
      <c r="I1125" s="340"/>
      <c r="J1125" s="105"/>
      <c r="K1125" s="105"/>
    </row>
    <row r="1126" spans="3:11" s="418" customFormat="1" x14ac:dyDescent="0.25">
      <c r="C1126" s="301"/>
      <c r="D1126" s="430"/>
      <c r="E1126" s="105"/>
      <c r="F1126" s="105"/>
      <c r="G1126" s="105"/>
      <c r="H1126" s="105"/>
      <c r="I1126" s="340"/>
      <c r="J1126" s="105"/>
      <c r="K1126" s="105"/>
    </row>
    <row r="1127" spans="3:11" s="418" customFormat="1" x14ac:dyDescent="0.25">
      <c r="C1127" s="301"/>
      <c r="D1127" s="430"/>
      <c r="E1127" s="105"/>
      <c r="F1127" s="105"/>
      <c r="G1127" s="105"/>
      <c r="H1127" s="105"/>
      <c r="I1127" s="340"/>
      <c r="J1127" s="105"/>
      <c r="K1127" s="105"/>
    </row>
    <row r="1128" spans="3:11" s="418" customFormat="1" x14ac:dyDescent="0.25">
      <c r="C1128" s="301"/>
      <c r="D1128" s="430"/>
      <c r="E1128" s="105"/>
      <c r="F1128" s="105"/>
      <c r="G1128" s="105"/>
      <c r="H1128" s="105"/>
      <c r="I1128" s="340"/>
      <c r="J1128" s="105"/>
      <c r="K1128" s="105"/>
    </row>
    <row r="1129" spans="3:11" s="418" customFormat="1" x14ac:dyDescent="0.25">
      <c r="C1129" s="301"/>
      <c r="D1129" s="430"/>
      <c r="E1129" s="105"/>
      <c r="F1129" s="105"/>
      <c r="G1129" s="105"/>
      <c r="H1129" s="105"/>
      <c r="I1129" s="340"/>
      <c r="J1129" s="105"/>
      <c r="K1129" s="105"/>
    </row>
    <row r="1130" spans="3:11" s="418" customFormat="1" x14ac:dyDescent="0.25">
      <c r="C1130" s="301"/>
      <c r="D1130" s="430"/>
      <c r="E1130" s="105"/>
      <c r="F1130" s="105"/>
      <c r="G1130" s="105"/>
      <c r="H1130" s="105"/>
      <c r="I1130" s="340"/>
      <c r="J1130" s="105"/>
      <c r="K1130" s="105"/>
    </row>
    <row r="1131" spans="3:11" s="418" customFormat="1" x14ac:dyDescent="0.25">
      <c r="C1131" s="301"/>
      <c r="D1131" s="430"/>
      <c r="E1131" s="105"/>
      <c r="F1131" s="105"/>
      <c r="G1131" s="105"/>
      <c r="H1131" s="105"/>
      <c r="I1131" s="340"/>
      <c r="J1131" s="105"/>
      <c r="K1131" s="105"/>
    </row>
    <row r="1132" spans="3:11" s="418" customFormat="1" x14ac:dyDescent="0.25">
      <c r="C1132" s="301"/>
      <c r="D1132" s="430"/>
      <c r="E1132" s="105"/>
      <c r="F1132" s="105"/>
      <c r="G1132" s="105"/>
      <c r="H1132" s="105"/>
      <c r="I1132" s="340"/>
      <c r="J1132" s="105"/>
      <c r="K1132" s="105"/>
    </row>
    <row r="1133" spans="3:11" s="418" customFormat="1" x14ac:dyDescent="0.25">
      <c r="C1133" s="301"/>
      <c r="D1133" s="430"/>
      <c r="E1133" s="105"/>
      <c r="F1133" s="105"/>
      <c r="G1133" s="105"/>
      <c r="H1133" s="105"/>
      <c r="I1133" s="340"/>
      <c r="J1133" s="105"/>
      <c r="K1133" s="105"/>
    </row>
    <row r="1134" spans="3:11" s="418" customFormat="1" x14ac:dyDescent="0.25">
      <c r="C1134" s="301"/>
      <c r="D1134" s="430"/>
      <c r="E1134" s="105"/>
      <c r="F1134" s="105"/>
      <c r="G1134" s="105"/>
      <c r="H1134" s="105"/>
      <c r="I1134" s="340"/>
      <c r="J1134" s="105"/>
      <c r="K1134" s="105"/>
    </row>
    <row r="1135" spans="3:11" s="418" customFormat="1" x14ac:dyDescent="0.25">
      <c r="C1135" s="301"/>
      <c r="D1135" s="430"/>
      <c r="E1135" s="105"/>
      <c r="F1135" s="105"/>
      <c r="G1135" s="105"/>
      <c r="H1135" s="105"/>
      <c r="I1135" s="340"/>
      <c r="J1135" s="105"/>
      <c r="K1135" s="105"/>
    </row>
    <row r="1136" spans="3:11" s="418" customFormat="1" x14ac:dyDescent="0.25">
      <c r="C1136" s="301"/>
      <c r="D1136" s="430"/>
      <c r="E1136" s="105"/>
      <c r="F1136" s="105"/>
      <c r="G1136" s="105"/>
      <c r="H1136" s="105"/>
      <c r="I1136" s="340"/>
      <c r="J1136" s="105"/>
      <c r="K1136" s="105"/>
    </row>
    <row r="1137" spans="3:11" s="418" customFormat="1" x14ac:dyDescent="0.25">
      <c r="C1137" s="301"/>
      <c r="D1137" s="430"/>
      <c r="E1137" s="105"/>
      <c r="F1137" s="105"/>
      <c r="G1137" s="105"/>
      <c r="H1137" s="105"/>
      <c r="I1137" s="340"/>
      <c r="J1137" s="105"/>
      <c r="K1137" s="105"/>
    </row>
    <row r="1138" spans="3:11" s="418" customFormat="1" x14ac:dyDescent="0.25">
      <c r="C1138" s="301"/>
      <c r="D1138" s="430"/>
      <c r="E1138" s="105"/>
      <c r="F1138" s="105"/>
      <c r="G1138" s="105"/>
      <c r="H1138" s="105"/>
      <c r="I1138" s="340"/>
      <c r="J1138" s="105"/>
      <c r="K1138" s="105"/>
    </row>
    <row r="1139" spans="3:11" s="418" customFormat="1" x14ac:dyDescent="0.25">
      <c r="C1139" s="301"/>
      <c r="D1139" s="430"/>
      <c r="E1139" s="105"/>
      <c r="F1139" s="105"/>
      <c r="G1139" s="105"/>
      <c r="H1139" s="105"/>
      <c r="I1139" s="340"/>
      <c r="J1139" s="105"/>
      <c r="K1139" s="105"/>
    </row>
    <row r="1140" spans="3:11" s="418" customFormat="1" x14ac:dyDescent="0.25">
      <c r="C1140" s="301"/>
      <c r="D1140" s="430"/>
      <c r="E1140" s="105"/>
      <c r="F1140" s="105"/>
      <c r="G1140" s="105"/>
      <c r="H1140" s="105"/>
      <c r="I1140" s="340"/>
      <c r="J1140" s="105"/>
      <c r="K1140" s="105"/>
    </row>
    <row r="1141" spans="3:11" s="418" customFormat="1" x14ac:dyDescent="0.25">
      <c r="C1141" s="301"/>
      <c r="D1141" s="430"/>
      <c r="E1141" s="105"/>
      <c r="F1141" s="105"/>
      <c r="G1141" s="105"/>
      <c r="H1141" s="105"/>
      <c r="I1141" s="340"/>
      <c r="J1141" s="105"/>
      <c r="K1141" s="105"/>
    </row>
    <row r="1142" spans="3:11" s="418" customFormat="1" x14ac:dyDescent="0.25">
      <c r="C1142" s="301"/>
      <c r="D1142" s="430"/>
      <c r="E1142" s="105"/>
      <c r="F1142" s="105"/>
      <c r="G1142" s="105"/>
      <c r="H1142" s="105"/>
      <c r="I1142" s="340"/>
      <c r="J1142" s="105"/>
      <c r="K1142" s="105"/>
    </row>
    <row r="1143" spans="3:11" s="418" customFormat="1" x14ac:dyDescent="0.25">
      <c r="C1143" s="301"/>
      <c r="D1143" s="430"/>
      <c r="E1143" s="105"/>
      <c r="F1143" s="105"/>
      <c r="G1143" s="105"/>
      <c r="H1143" s="105"/>
      <c r="I1143" s="340"/>
      <c r="J1143" s="105"/>
      <c r="K1143" s="105"/>
    </row>
    <row r="1144" spans="3:11" s="418" customFormat="1" x14ac:dyDescent="0.25">
      <c r="C1144" s="301"/>
      <c r="D1144" s="430"/>
      <c r="E1144" s="105"/>
      <c r="F1144" s="105"/>
      <c r="G1144" s="105"/>
      <c r="H1144" s="105"/>
      <c r="I1144" s="340"/>
      <c r="J1144" s="105"/>
      <c r="K1144" s="105"/>
    </row>
    <row r="1145" spans="3:11" s="418" customFormat="1" x14ac:dyDescent="0.25">
      <c r="C1145" s="301"/>
      <c r="D1145" s="430"/>
      <c r="E1145" s="105"/>
      <c r="F1145" s="105"/>
      <c r="G1145" s="105"/>
      <c r="H1145" s="105"/>
      <c r="I1145" s="340"/>
      <c r="J1145" s="105"/>
      <c r="K1145" s="105"/>
    </row>
    <row r="1146" spans="3:11" s="418" customFormat="1" x14ac:dyDescent="0.25">
      <c r="C1146" s="301"/>
      <c r="D1146" s="430"/>
      <c r="E1146" s="105"/>
      <c r="F1146" s="105"/>
      <c r="G1146" s="105"/>
      <c r="H1146" s="105"/>
      <c r="I1146" s="340"/>
      <c r="J1146" s="105"/>
      <c r="K1146" s="105"/>
    </row>
    <row r="1147" spans="3:11" s="418" customFormat="1" x14ac:dyDescent="0.25">
      <c r="C1147" s="301"/>
      <c r="D1147" s="430"/>
      <c r="E1147" s="105"/>
      <c r="F1147" s="105"/>
      <c r="G1147" s="105"/>
      <c r="H1147" s="105"/>
      <c r="I1147" s="340"/>
      <c r="J1147" s="105"/>
      <c r="K1147" s="105"/>
    </row>
    <row r="1148" spans="3:11" s="418" customFormat="1" x14ac:dyDescent="0.25">
      <c r="C1148" s="301"/>
      <c r="D1148" s="430"/>
      <c r="E1148" s="105"/>
      <c r="F1148" s="105"/>
      <c r="G1148" s="105"/>
      <c r="H1148" s="105"/>
      <c r="I1148" s="340"/>
      <c r="J1148" s="105"/>
      <c r="K1148" s="105"/>
    </row>
    <row r="1149" spans="3:11" s="418" customFormat="1" x14ac:dyDescent="0.25">
      <c r="C1149" s="301"/>
      <c r="D1149" s="430"/>
      <c r="E1149" s="105"/>
      <c r="F1149" s="105"/>
      <c r="G1149" s="105"/>
      <c r="H1149" s="105"/>
      <c r="I1149" s="340"/>
      <c r="J1149" s="105"/>
      <c r="K1149" s="105"/>
    </row>
    <row r="1150" spans="3:11" s="418" customFormat="1" x14ac:dyDescent="0.25">
      <c r="C1150" s="301"/>
      <c r="D1150" s="430"/>
      <c r="E1150" s="105"/>
      <c r="F1150" s="105"/>
      <c r="G1150" s="105"/>
      <c r="H1150" s="105"/>
      <c r="I1150" s="340"/>
      <c r="J1150" s="105"/>
      <c r="K1150" s="105"/>
    </row>
    <row r="1151" spans="3:11" s="418" customFormat="1" x14ac:dyDescent="0.25">
      <c r="C1151" s="301"/>
      <c r="D1151" s="430"/>
      <c r="E1151" s="105"/>
      <c r="F1151" s="105"/>
      <c r="G1151" s="105"/>
      <c r="H1151" s="105"/>
      <c r="I1151" s="340"/>
      <c r="J1151" s="105"/>
      <c r="K1151" s="105"/>
    </row>
    <row r="1152" spans="3:11" s="418" customFormat="1" x14ac:dyDescent="0.25">
      <c r="C1152" s="301"/>
      <c r="D1152" s="430"/>
      <c r="E1152" s="105"/>
      <c r="F1152" s="105"/>
      <c r="G1152" s="105"/>
      <c r="H1152" s="105"/>
      <c r="I1152" s="340"/>
      <c r="J1152" s="105"/>
      <c r="K1152" s="105"/>
    </row>
    <row r="1153" spans="3:11" s="418" customFormat="1" x14ac:dyDescent="0.25">
      <c r="C1153" s="301"/>
      <c r="D1153" s="430"/>
      <c r="E1153" s="105"/>
      <c r="F1153" s="105"/>
      <c r="G1153" s="105"/>
      <c r="H1153" s="105"/>
      <c r="I1153" s="340"/>
      <c r="J1153" s="105"/>
      <c r="K1153" s="105"/>
    </row>
    <row r="1154" spans="3:11" s="418" customFormat="1" x14ac:dyDescent="0.25">
      <c r="C1154" s="301"/>
      <c r="D1154" s="430"/>
      <c r="E1154" s="105"/>
      <c r="F1154" s="105"/>
      <c r="G1154" s="105"/>
      <c r="H1154" s="105"/>
      <c r="I1154" s="340"/>
      <c r="J1154" s="105"/>
      <c r="K1154" s="105"/>
    </row>
    <row r="1155" spans="3:11" s="418" customFormat="1" x14ac:dyDescent="0.25">
      <c r="C1155" s="301"/>
      <c r="D1155" s="430"/>
      <c r="E1155" s="105"/>
      <c r="F1155" s="105"/>
      <c r="G1155" s="105"/>
      <c r="H1155" s="105"/>
      <c r="I1155" s="340"/>
      <c r="J1155" s="105"/>
      <c r="K1155" s="105"/>
    </row>
    <row r="1156" spans="3:11" s="418" customFormat="1" x14ac:dyDescent="0.25">
      <c r="C1156" s="301"/>
      <c r="D1156" s="430"/>
      <c r="E1156" s="105"/>
      <c r="F1156" s="105"/>
      <c r="G1156" s="105"/>
      <c r="H1156" s="105"/>
      <c r="I1156" s="340"/>
      <c r="J1156" s="105"/>
      <c r="K1156" s="105"/>
    </row>
    <row r="1157" spans="3:11" s="418" customFormat="1" x14ac:dyDescent="0.25">
      <c r="C1157" s="301"/>
      <c r="D1157" s="430"/>
      <c r="E1157" s="105"/>
      <c r="F1157" s="105"/>
      <c r="G1157" s="105"/>
      <c r="H1157" s="105"/>
      <c r="I1157" s="340"/>
      <c r="J1157" s="105"/>
      <c r="K1157" s="105"/>
    </row>
    <row r="1158" spans="3:11" s="418" customFormat="1" x14ac:dyDescent="0.25">
      <c r="C1158" s="301"/>
      <c r="D1158" s="430"/>
      <c r="E1158" s="105"/>
      <c r="F1158" s="105"/>
      <c r="G1158" s="105"/>
      <c r="H1158" s="105"/>
      <c r="I1158" s="340"/>
      <c r="J1158" s="105"/>
      <c r="K1158" s="105"/>
    </row>
    <row r="1159" spans="3:11" s="418" customFormat="1" x14ac:dyDescent="0.25">
      <c r="C1159" s="301"/>
      <c r="D1159" s="430"/>
      <c r="E1159" s="105"/>
      <c r="F1159" s="105"/>
      <c r="G1159" s="105"/>
      <c r="H1159" s="105"/>
      <c r="I1159" s="340"/>
      <c r="J1159" s="105"/>
      <c r="K1159" s="105"/>
    </row>
    <row r="1160" spans="3:11" s="418" customFormat="1" x14ac:dyDescent="0.25">
      <c r="C1160" s="301"/>
      <c r="D1160" s="430"/>
      <c r="E1160" s="105"/>
      <c r="F1160" s="105"/>
      <c r="G1160" s="105"/>
      <c r="H1160" s="105"/>
      <c r="I1160" s="340"/>
      <c r="J1160" s="105"/>
      <c r="K1160" s="105"/>
    </row>
    <row r="1161" spans="3:11" s="418" customFormat="1" x14ac:dyDescent="0.25">
      <c r="C1161" s="301"/>
      <c r="D1161" s="430"/>
      <c r="E1161" s="105"/>
      <c r="F1161" s="105"/>
      <c r="G1161" s="105"/>
      <c r="H1161" s="105"/>
      <c r="I1161" s="340"/>
      <c r="J1161" s="105"/>
      <c r="K1161" s="105"/>
    </row>
    <row r="1162" spans="3:11" s="418" customFormat="1" x14ac:dyDescent="0.25">
      <c r="C1162" s="301"/>
      <c r="D1162" s="430"/>
      <c r="E1162" s="105"/>
      <c r="F1162" s="105"/>
      <c r="G1162" s="105"/>
      <c r="H1162" s="105"/>
      <c r="I1162" s="340"/>
      <c r="J1162" s="105"/>
      <c r="K1162" s="105"/>
    </row>
    <row r="1163" spans="3:11" s="418" customFormat="1" x14ac:dyDescent="0.25">
      <c r="C1163" s="301"/>
      <c r="D1163" s="430"/>
      <c r="E1163" s="105"/>
      <c r="F1163" s="105"/>
      <c r="G1163" s="105"/>
      <c r="H1163" s="105"/>
      <c r="I1163" s="340"/>
      <c r="J1163" s="105"/>
      <c r="K1163" s="105"/>
    </row>
    <row r="1164" spans="3:11" s="418" customFormat="1" x14ac:dyDescent="0.25">
      <c r="C1164" s="301"/>
      <c r="D1164" s="430"/>
      <c r="E1164" s="105"/>
      <c r="F1164" s="105"/>
      <c r="G1164" s="105"/>
      <c r="H1164" s="105"/>
      <c r="I1164" s="340"/>
      <c r="J1164" s="105"/>
      <c r="K1164" s="105"/>
    </row>
    <row r="1165" spans="3:11" s="418" customFormat="1" x14ac:dyDescent="0.25">
      <c r="C1165" s="301"/>
      <c r="D1165" s="430"/>
      <c r="E1165" s="105"/>
      <c r="F1165" s="105"/>
      <c r="G1165" s="105"/>
      <c r="H1165" s="105"/>
      <c r="I1165" s="340"/>
      <c r="J1165" s="105"/>
      <c r="K1165" s="105"/>
    </row>
    <row r="1166" spans="3:11" s="418" customFormat="1" x14ac:dyDescent="0.25">
      <c r="C1166" s="301"/>
      <c r="D1166" s="430"/>
      <c r="E1166" s="105"/>
      <c r="F1166" s="105"/>
      <c r="G1166" s="105"/>
      <c r="H1166" s="105"/>
      <c r="I1166" s="340"/>
      <c r="J1166" s="105"/>
      <c r="K1166" s="105"/>
    </row>
    <row r="1167" spans="3:11" s="418" customFormat="1" x14ac:dyDescent="0.25">
      <c r="C1167" s="301"/>
      <c r="D1167" s="430"/>
      <c r="E1167" s="105"/>
      <c r="F1167" s="105"/>
      <c r="G1167" s="105"/>
      <c r="H1167" s="105"/>
      <c r="I1167" s="340"/>
      <c r="J1167" s="105"/>
      <c r="K1167" s="105"/>
    </row>
    <row r="1168" spans="3:11" s="418" customFormat="1" x14ac:dyDescent="0.25">
      <c r="C1168" s="301"/>
      <c r="D1168" s="430"/>
      <c r="E1168" s="105"/>
      <c r="F1168" s="105"/>
      <c r="G1168" s="105"/>
      <c r="H1168" s="105"/>
      <c r="I1168" s="340"/>
      <c r="J1168" s="105"/>
      <c r="K1168" s="105"/>
    </row>
    <row r="1169" spans="3:11" s="418" customFormat="1" x14ac:dyDescent="0.25">
      <c r="C1169" s="301"/>
      <c r="D1169" s="430"/>
      <c r="E1169" s="105"/>
      <c r="F1169" s="105"/>
      <c r="G1169" s="105"/>
      <c r="H1169" s="105"/>
      <c r="I1169" s="340"/>
      <c r="J1169" s="105"/>
      <c r="K1169" s="105"/>
    </row>
    <row r="1170" spans="3:11" s="418" customFormat="1" x14ac:dyDescent="0.25">
      <c r="C1170" s="301"/>
      <c r="D1170" s="430"/>
      <c r="E1170" s="105"/>
      <c r="F1170" s="105"/>
      <c r="G1170" s="105"/>
      <c r="H1170" s="105"/>
      <c r="I1170" s="340"/>
      <c r="J1170" s="105"/>
      <c r="K1170" s="105"/>
    </row>
    <row r="1171" spans="3:11" s="418" customFormat="1" x14ac:dyDescent="0.25">
      <c r="C1171" s="301"/>
      <c r="D1171" s="430"/>
      <c r="E1171" s="105"/>
      <c r="F1171" s="105"/>
      <c r="G1171" s="105"/>
      <c r="H1171" s="105"/>
      <c r="I1171" s="340"/>
      <c r="J1171" s="105"/>
      <c r="K1171" s="105"/>
    </row>
    <row r="1172" spans="3:11" s="418" customFormat="1" x14ac:dyDescent="0.25">
      <c r="C1172" s="301"/>
      <c r="D1172" s="430"/>
      <c r="E1172" s="105"/>
      <c r="F1172" s="105"/>
      <c r="G1172" s="105"/>
      <c r="H1172" s="105"/>
      <c r="I1172" s="340"/>
      <c r="J1172" s="105"/>
      <c r="K1172" s="105"/>
    </row>
    <row r="1173" spans="3:11" s="418" customFormat="1" x14ac:dyDescent="0.25">
      <c r="C1173" s="301"/>
      <c r="D1173" s="430"/>
      <c r="E1173" s="105"/>
      <c r="F1173" s="105"/>
      <c r="G1173" s="105"/>
      <c r="H1173" s="105"/>
      <c r="I1173" s="340"/>
      <c r="J1173" s="105"/>
      <c r="K1173" s="105"/>
    </row>
    <row r="1174" spans="3:11" s="418" customFormat="1" x14ac:dyDescent="0.25">
      <c r="C1174" s="301"/>
      <c r="D1174" s="430"/>
      <c r="E1174" s="105"/>
      <c r="F1174" s="105"/>
      <c r="G1174" s="105"/>
      <c r="H1174" s="105"/>
      <c r="I1174" s="340"/>
      <c r="J1174" s="105"/>
      <c r="K1174" s="105"/>
    </row>
    <row r="1175" spans="3:11" s="418" customFormat="1" x14ac:dyDescent="0.25">
      <c r="C1175" s="301"/>
      <c r="D1175" s="430"/>
      <c r="E1175" s="105"/>
      <c r="F1175" s="105"/>
      <c r="G1175" s="105"/>
      <c r="H1175" s="105"/>
      <c r="I1175" s="340"/>
      <c r="J1175" s="105"/>
      <c r="K1175" s="105"/>
    </row>
    <row r="1176" spans="3:11" s="418" customFormat="1" x14ac:dyDescent="0.25">
      <c r="C1176" s="301"/>
      <c r="D1176" s="430"/>
      <c r="E1176" s="105"/>
      <c r="F1176" s="105"/>
      <c r="G1176" s="105"/>
      <c r="H1176" s="105"/>
      <c r="I1176" s="340"/>
      <c r="J1176" s="105"/>
      <c r="K1176" s="105"/>
    </row>
    <row r="1177" spans="3:11" s="418" customFormat="1" x14ac:dyDescent="0.25">
      <c r="C1177" s="301"/>
      <c r="D1177" s="430"/>
      <c r="E1177" s="105"/>
      <c r="F1177" s="105"/>
      <c r="G1177" s="105"/>
      <c r="H1177" s="105"/>
      <c r="I1177" s="340"/>
      <c r="J1177" s="105"/>
      <c r="K1177" s="105"/>
    </row>
    <row r="1178" spans="3:11" s="418" customFormat="1" x14ac:dyDescent="0.25">
      <c r="C1178" s="301"/>
      <c r="D1178" s="430"/>
      <c r="E1178" s="105"/>
      <c r="F1178" s="105"/>
      <c r="G1178" s="105"/>
      <c r="H1178" s="105"/>
      <c r="I1178" s="340"/>
      <c r="J1178" s="105"/>
      <c r="K1178" s="105"/>
    </row>
    <row r="1179" spans="3:11" s="418" customFormat="1" x14ac:dyDescent="0.25">
      <c r="C1179" s="301"/>
      <c r="D1179" s="430"/>
      <c r="E1179" s="105"/>
      <c r="F1179" s="105"/>
      <c r="G1179" s="105"/>
      <c r="H1179" s="105"/>
      <c r="I1179" s="340"/>
      <c r="J1179" s="105"/>
      <c r="K1179" s="105"/>
    </row>
    <row r="1180" spans="3:11" s="418" customFormat="1" x14ac:dyDescent="0.25">
      <c r="C1180" s="301"/>
      <c r="D1180" s="430"/>
      <c r="E1180" s="105"/>
      <c r="F1180" s="105"/>
      <c r="G1180" s="105"/>
      <c r="H1180" s="105"/>
      <c r="I1180" s="340"/>
      <c r="J1180" s="105"/>
      <c r="K1180" s="105"/>
    </row>
    <row r="1181" spans="3:11" s="418" customFormat="1" x14ac:dyDescent="0.25">
      <c r="C1181" s="301"/>
      <c r="D1181" s="430"/>
      <c r="E1181" s="105"/>
      <c r="F1181" s="105"/>
      <c r="G1181" s="105"/>
      <c r="H1181" s="105"/>
      <c r="I1181" s="340"/>
      <c r="J1181" s="105"/>
      <c r="K1181" s="105"/>
    </row>
    <row r="1182" spans="3:11" s="418" customFormat="1" x14ac:dyDescent="0.25">
      <c r="C1182" s="301"/>
      <c r="D1182" s="430"/>
      <c r="E1182" s="105"/>
      <c r="F1182" s="105"/>
      <c r="G1182" s="105"/>
      <c r="H1182" s="105"/>
      <c r="I1182" s="340"/>
      <c r="J1182" s="105"/>
      <c r="K1182" s="105"/>
    </row>
    <row r="1183" spans="3:11" s="418" customFormat="1" x14ac:dyDescent="0.25">
      <c r="C1183" s="301"/>
      <c r="D1183" s="430"/>
      <c r="E1183" s="105"/>
      <c r="F1183" s="105"/>
      <c r="G1183" s="105"/>
      <c r="H1183" s="105"/>
      <c r="I1183" s="340"/>
      <c r="J1183" s="105"/>
      <c r="K1183" s="105"/>
    </row>
    <row r="1184" spans="3:11" s="418" customFormat="1" x14ac:dyDescent="0.25">
      <c r="C1184" s="301"/>
      <c r="D1184" s="430"/>
      <c r="E1184" s="105"/>
      <c r="F1184" s="105"/>
      <c r="G1184" s="105"/>
      <c r="H1184" s="105"/>
      <c r="I1184" s="340"/>
      <c r="J1184" s="105"/>
      <c r="K1184" s="105"/>
    </row>
    <row r="1185" spans="3:11" s="418" customFormat="1" x14ac:dyDescent="0.25">
      <c r="C1185" s="301"/>
      <c r="D1185" s="430"/>
      <c r="E1185" s="105"/>
      <c r="F1185" s="105"/>
      <c r="G1185" s="105"/>
      <c r="H1185" s="105"/>
      <c r="I1185" s="340"/>
      <c r="J1185" s="105"/>
      <c r="K1185" s="105"/>
    </row>
    <row r="1186" spans="3:11" s="418" customFormat="1" x14ac:dyDescent="0.25">
      <c r="C1186" s="301"/>
      <c r="D1186" s="430"/>
      <c r="E1186" s="105"/>
      <c r="F1186" s="105"/>
      <c r="G1186" s="105"/>
      <c r="H1186" s="105"/>
      <c r="I1186" s="340"/>
      <c r="J1186" s="105"/>
      <c r="K1186" s="105"/>
    </row>
    <row r="1187" spans="3:11" s="418" customFormat="1" x14ac:dyDescent="0.25">
      <c r="C1187" s="301"/>
      <c r="D1187" s="430"/>
      <c r="E1187" s="105"/>
      <c r="F1187" s="105"/>
      <c r="G1187" s="105"/>
      <c r="H1187" s="105"/>
      <c r="I1187" s="340"/>
      <c r="J1187" s="105"/>
      <c r="K1187" s="105"/>
    </row>
    <row r="1188" spans="3:11" s="418" customFormat="1" x14ac:dyDescent="0.25">
      <c r="C1188" s="301"/>
      <c r="D1188" s="430"/>
      <c r="E1188" s="105"/>
      <c r="F1188" s="105"/>
      <c r="G1188" s="105"/>
      <c r="H1188" s="105"/>
      <c r="I1188" s="340"/>
      <c r="J1188" s="105"/>
      <c r="K1188" s="105"/>
    </row>
    <row r="1189" spans="3:11" s="418" customFormat="1" x14ac:dyDescent="0.25">
      <c r="C1189" s="301"/>
      <c r="D1189" s="430"/>
      <c r="E1189" s="105"/>
      <c r="F1189" s="105"/>
      <c r="G1189" s="105"/>
      <c r="H1189" s="105"/>
      <c r="I1189" s="340"/>
      <c r="J1189" s="105"/>
      <c r="K1189" s="105"/>
    </row>
    <row r="1190" spans="3:11" s="418" customFormat="1" x14ac:dyDescent="0.25">
      <c r="C1190" s="301"/>
      <c r="D1190" s="430"/>
      <c r="E1190" s="105"/>
      <c r="F1190" s="105"/>
      <c r="G1190" s="105"/>
      <c r="H1190" s="105"/>
      <c r="I1190" s="340"/>
      <c r="J1190" s="105"/>
      <c r="K1190" s="105"/>
    </row>
    <row r="1191" spans="3:11" s="418" customFormat="1" x14ac:dyDescent="0.25">
      <c r="C1191" s="301"/>
      <c r="D1191" s="430"/>
      <c r="E1191" s="105"/>
      <c r="F1191" s="105"/>
      <c r="G1191" s="105"/>
      <c r="H1191" s="105"/>
      <c r="I1191" s="340"/>
      <c r="J1191" s="105"/>
      <c r="K1191" s="105"/>
    </row>
    <row r="1192" spans="3:11" s="418" customFormat="1" x14ac:dyDescent="0.25">
      <c r="C1192" s="301"/>
      <c r="D1192" s="430"/>
      <c r="E1192" s="105"/>
      <c r="F1192" s="105"/>
      <c r="G1192" s="105"/>
      <c r="H1192" s="105"/>
      <c r="I1192" s="340"/>
      <c r="J1192" s="105"/>
      <c r="K1192" s="105"/>
    </row>
    <row r="1193" spans="3:11" s="418" customFormat="1" x14ac:dyDescent="0.25">
      <c r="C1193" s="301"/>
      <c r="D1193" s="430"/>
      <c r="E1193" s="105"/>
      <c r="F1193" s="105"/>
      <c r="G1193" s="105"/>
      <c r="H1193" s="105"/>
      <c r="I1193" s="340"/>
      <c r="J1193" s="105"/>
      <c r="K1193" s="105"/>
    </row>
    <row r="1194" spans="3:11" s="418" customFormat="1" x14ac:dyDescent="0.25">
      <c r="C1194" s="301"/>
      <c r="D1194" s="430"/>
      <c r="E1194" s="105"/>
      <c r="F1194" s="105"/>
      <c r="G1194" s="105"/>
      <c r="H1194" s="105"/>
      <c r="I1194" s="340"/>
      <c r="J1194" s="105"/>
      <c r="K1194" s="105"/>
    </row>
    <row r="1195" spans="3:11" s="418" customFormat="1" x14ac:dyDescent="0.25">
      <c r="C1195" s="301"/>
      <c r="D1195" s="430"/>
      <c r="E1195" s="105"/>
      <c r="F1195" s="105"/>
      <c r="G1195" s="105"/>
      <c r="H1195" s="105"/>
      <c r="I1195" s="340"/>
      <c r="J1195" s="105"/>
      <c r="K1195" s="105"/>
    </row>
    <row r="1196" spans="3:11" s="418" customFormat="1" x14ac:dyDescent="0.25">
      <c r="C1196" s="301"/>
      <c r="D1196" s="430"/>
      <c r="E1196" s="105"/>
      <c r="F1196" s="105"/>
      <c r="G1196" s="105"/>
      <c r="H1196" s="105"/>
      <c r="I1196" s="340"/>
      <c r="J1196" s="105"/>
      <c r="K1196" s="105"/>
    </row>
    <row r="1197" spans="3:11" s="418" customFormat="1" x14ac:dyDescent="0.25">
      <c r="C1197" s="301"/>
      <c r="D1197" s="430"/>
      <c r="E1197" s="105"/>
      <c r="F1197" s="105"/>
      <c r="G1197" s="105"/>
      <c r="H1197" s="105"/>
      <c r="I1197" s="340"/>
      <c r="J1197" s="105"/>
      <c r="K1197" s="105"/>
    </row>
    <row r="1198" spans="3:11" s="418" customFormat="1" x14ac:dyDescent="0.25">
      <c r="C1198" s="301"/>
      <c r="D1198" s="430"/>
      <c r="E1198" s="105"/>
      <c r="F1198" s="105"/>
      <c r="G1198" s="105"/>
      <c r="H1198" s="105"/>
      <c r="I1198" s="340"/>
      <c r="J1198" s="105"/>
      <c r="K1198" s="105"/>
    </row>
    <row r="1199" spans="3:11" s="418" customFormat="1" x14ac:dyDescent="0.25">
      <c r="C1199" s="301"/>
      <c r="D1199" s="430"/>
      <c r="E1199" s="105"/>
      <c r="F1199" s="105"/>
      <c r="G1199" s="105"/>
      <c r="H1199" s="105"/>
      <c r="I1199" s="340"/>
      <c r="J1199" s="105"/>
      <c r="K1199" s="105"/>
    </row>
    <row r="1200" spans="3:11" s="418" customFormat="1" x14ac:dyDescent="0.25">
      <c r="C1200" s="301"/>
      <c r="D1200" s="430"/>
      <c r="E1200" s="105"/>
      <c r="F1200" s="105"/>
      <c r="G1200" s="105"/>
      <c r="H1200" s="105"/>
      <c r="I1200" s="340"/>
      <c r="J1200" s="105"/>
      <c r="K1200" s="105"/>
    </row>
    <row r="1201" spans="3:11" s="418" customFormat="1" x14ac:dyDescent="0.25">
      <c r="C1201" s="301"/>
      <c r="D1201" s="430"/>
      <c r="E1201" s="105"/>
      <c r="F1201" s="105"/>
      <c r="G1201" s="105"/>
      <c r="H1201" s="105"/>
      <c r="I1201" s="340"/>
      <c r="J1201" s="105"/>
      <c r="K1201" s="105"/>
    </row>
    <row r="1202" spans="3:11" s="418" customFormat="1" x14ac:dyDescent="0.25">
      <c r="C1202" s="301"/>
      <c r="D1202" s="430"/>
      <c r="E1202" s="105"/>
      <c r="F1202" s="105"/>
      <c r="G1202" s="105"/>
      <c r="H1202" s="105"/>
      <c r="I1202" s="340"/>
      <c r="J1202" s="105"/>
      <c r="K1202" s="105"/>
    </row>
    <row r="1203" spans="3:11" s="418" customFormat="1" x14ac:dyDescent="0.25">
      <c r="C1203" s="301"/>
      <c r="D1203" s="430"/>
      <c r="E1203" s="105"/>
      <c r="F1203" s="105"/>
      <c r="G1203" s="105"/>
      <c r="H1203" s="105"/>
      <c r="I1203" s="340"/>
      <c r="J1203" s="105"/>
      <c r="K1203" s="105"/>
    </row>
    <row r="1204" spans="3:11" s="418" customFormat="1" x14ac:dyDescent="0.25">
      <c r="C1204" s="301"/>
      <c r="D1204" s="430"/>
      <c r="E1204" s="105"/>
      <c r="F1204" s="105"/>
      <c r="G1204" s="105"/>
      <c r="H1204" s="105"/>
      <c r="I1204" s="340"/>
      <c r="J1204" s="105"/>
      <c r="K1204" s="105"/>
    </row>
    <row r="1205" spans="3:11" s="418" customFormat="1" x14ac:dyDescent="0.25">
      <c r="C1205" s="301"/>
      <c r="D1205" s="430"/>
      <c r="E1205" s="105"/>
      <c r="F1205" s="105"/>
      <c r="G1205" s="105"/>
      <c r="H1205" s="105"/>
      <c r="I1205" s="340"/>
      <c r="J1205" s="105"/>
      <c r="K1205" s="105"/>
    </row>
    <row r="1206" spans="3:11" s="418" customFormat="1" x14ac:dyDescent="0.25">
      <c r="C1206" s="301"/>
      <c r="D1206" s="430"/>
      <c r="E1206" s="105"/>
      <c r="F1206" s="105"/>
      <c r="G1206" s="105"/>
      <c r="H1206" s="105"/>
      <c r="I1206" s="340"/>
      <c r="J1206" s="105"/>
      <c r="K1206" s="105"/>
    </row>
    <row r="1207" spans="3:11" s="418" customFormat="1" x14ac:dyDescent="0.25">
      <c r="C1207" s="301"/>
      <c r="D1207" s="430"/>
      <c r="E1207" s="105"/>
      <c r="F1207" s="105"/>
      <c r="G1207" s="105"/>
      <c r="H1207" s="105"/>
      <c r="I1207" s="340"/>
      <c r="J1207" s="105"/>
      <c r="K1207" s="105"/>
    </row>
    <row r="1208" spans="3:11" s="418" customFormat="1" x14ac:dyDescent="0.25">
      <c r="C1208" s="301"/>
      <c r="D1208" s="430"/>
      <c r="E1208" s="105"/>
      <c r="F1208" s="105"/>
      <c r="G1208" s="105"/>
      <c r="H1208" s="105"/>
      <c r="I1208" s="340"/>
      <c r="J1208" s="105"/>
      <c r="K1208" s="105"/>
    </row>
    <row r="1209" spans="3:11" s="418" customFormat="1" x14ac:dyDescent="0.25">
      <c r="C1209" s="301"/>
      <c r="D1209" s="430"/>
      <c r="E1209" s="105"/>
      <c r="F1209" s="105"/>
      <c r="G1209" s="105"/>
      <c r="H1209" s="105"/>
      <c r="I1209" s="340"/>
      <c r="J1209" s="105"/>
      <c r="K1209" s="105"/>
    </row>
    <row r="1210" spans="3:11" s="418" customFormat="1" x14ac:dyDescent="0.25">
      <c r="C1210" s="301"/>
      <c r="D1210" s="430"/>
      <c r="E1210" s="105"/>
      <c r="F1210" s="105"/>
      <c r="G1210" s="105"/>
      <c r="H1210" s="105"/>
      <c r="I1210" s="340"/>
      <c r="J1210" s="105"/>
      <c r="K1210" s="105"/>
    </row>
    <row r="1211" spans="3:11" s="418" customFormat="1" x14ac:dyDescent="0.25">
      <c r="C1211" s="301"/>
      <c r="D1211" s="430"/>
      <c r="E1211" s="105"/>
      <c r="F1211" s="105"/>
      <c r="G1211" s="105"/>
      <c r="H1211" s="105"/>
      <c r="I1211" s="340"/>
      <c r="J1211" s="105"/>
      <c r="K1211" s="105"/>
    </row>
    <row r="1212" spans="3:11" s="418" customFormat="1" x14ac:dyDescent="0.25">
      <c r="C1212" s="301"/>
      <c r="D1212" s="430"/>
      <c r="E1212" s="105"/>
      <c r="F1212" s="105"/>
      <c r="G1212" s="105"/>
      <c r="H1212" s="105"/>
      <c r="I1212" s="340"/>
      <c r="J1212" s="105"/>
      <c r="K1212" s="105"/>
    </row>
    <row r="1213" spans="3:11" s="418" customFormat="1" x14ac:dyDescent="0.25">
      <c r="C1213" s="301"/>
      <c r="D1213" s="430"/>
      <c r="E1213" s="105"/>
      <c r="F1213" s="105"/>
      <c r="G1213" s="105"/>
      <c r="H1213" s="105"/>
      <c r="I1213" s="340"/>
      <c r="J1213" s="105"/>
      <c r="K1213" s="105"/>
    </row>
    <row r="1214" spans="3:11" s="418" customFormat="1" x14ac:dyDescent="0.25">
      <c r="C1214" s="301"/>
      <c r="D1214" s="430"/>
      <c r="E1214" s="105"/>
      <c r="F1214" s="105"/>
      <c r="G1214" s="105"/>
      <c r="H1214" s="105"/>
      <c r="I1214" s="340"/>
      <c r="J1214" s="105"/>
      <c r="K1214" s="105"/>
    </row>
    <row r="1215" spans="3:11" s="418" customFormat="1" x14ac:dyDescent="0.25">
      <c r="C1215" s="301"/>
      <c r="D1215" s="430"/>
      <c r="E1215" s="105"/>
      <c r="F1215" s="105"/>
      <c r="G1215" s="105"/>
      <c r="H1215" s="105"/>
      <c r="I1215" s="340"/>
      <c r="J1215" s="105"/>
      <c r="K1215" s="105"/>
    </row>
    <row r="1216" spans="3:11" s="418" customFormat="1" x14ac:dyDescent="0.25">
      <c r="C1216" s="301"/>
      <c r="D1216" s="430"/>
      <c r="E1216" s="105"/>
      <c r="F1216" s="105"/>
      <c r="G1216" s="105"/>
      <c r="H1216" s="105"/>
      <c r="I1216" s="340"/>
      <c r="J1216" s="105"/>
      <c r="K1216" s="105"/>
    </row>
    <row r="1217" spans="3:11" s="418" customFormat="1" x14ac:dyDescent="0.25">
      <c r="C1217" s="301"/>
      <c r="D1217" s="430"/>
      <c r="E1217" s="105"/>
      <c r="F1217" s="105"/>
      <c r="G1217" s="105"/>
      <c r="H1217" s="105"/>
      <c r="I1217" s="340"/>
      <c r="J1217" s="105"/>
      <c r="K1217" s="105"/>
    </row>
    <row r="1218" spans="3:11" s="418" customFormat="1" x14ac:dyDescent="0.25">
      <c r="C1218" s="301"/>
      <c r="D1218" s="430"/>
      <c r="E1218" s="105"/>
      <c r="F1218" s="105"/>
      <c r="G1218" s="105"/>
      <c r="H1218" s="105"/>
      <c r="I1218" s="340"/>
      <c r="J1218" s="105"/>
      <c r="K1218" s="105"/>
    </row>
    <row r="1219" spans="3:11" s="418" customFormat="1" x14ac:dyDescent="0.25">
      <c r="C1219" s="301"/>
      <c r="D1219" s="430"/>
      <c r="E1219" s="105"/>
      <c r="F1219" s="105"/>
      <c r="G1219" s="105"/>
      <c r="H1219" s="105"/>
      <c r="I1219" s="340"/>
      <c r="J1219" s="105"/>
      <c r="K1219" s="105"/>
    </row>
    <row r="1220" spans="3:11" s="418" customFormat="1" x14ac:dyDescent="0.25">
      <c r="C1220" s="301"/>
      <c r="D1220" s="430"/>
      <c r="E1220" s="105"/>
      <c r="F1220" s="105"/>
      <c r="G1220" s="105"/>
      <c r="H1220" s="105"/>
      <c r="I1220" s="340"/>
      <c r="J1220" s="105"/>
      <c r="K1220" s="105"/>
    </row>
    <row r="1221" spans="3:11" s="418" customFormat="1" x14ac:dyDescent="0.25">
      <c r="C1221" s="301"/>
      <c r="D1221" s="430"/>
      <c r="E1221" s="105"/>
      <c r="F1221" s="105"/>
      <c r="G1221" s="105"/>
      <c r="H1221" s="105"/>
      <c r="I1221" s="340"/>
      <c r="J1221" s="105"/>
      <c r="K1221" s="105"/>
    </row>
    <row r="1222" spans="3:11" s="418" customFormat="1" x14ac:dyDescent="0.25">
      <c r="C1222" s="301"/>
      <c r="D1222" s="430"/>
      <c r="E1222" s="105"/>
      <c r="F1222" s="105"/>
      <c r="G1222" s="105"/>
      <c r="H1222" s="105"/>
      <c r="I1222" s="340"/>
      <c r="J1222" s="105"/>
      <c r="K1222" s="105"/>
    </row>
    <row r="1223" spans="3:11" s="418" customFormat="1" x14ac:dyDescent="0.25">
      <c r="C1223" s="301"/>
      <c r="D1223" s="430"/>
      <c r="E1223" s="105"/>
      <c r="F1223" s="105"/>
      <c r="G1223" s="105"/>
      <c r="H1223" s="105"/>
      <c r="I1223" s="340"/>
      <c r="J1223" s="105"/>
      <c r="K1223" s="105"/>
    </row>
    <row r="1224" spans="3:11" s="418" customFormat="1" x14ac:dyDescent="0.25">
      <c r="C1224" s="301"/>
      <c r="D1224" s="430"/>
      <c r="E1224" s="105"/>
      <c r="F1224" s="105"/>
      <c r="G1224" s="105"/>
      <c r="H1224" s="105"/>
      <c r="I1224" s="340"/>
      <c r="J1224" s="105"/>
      <c r="K1224" s="105"/>
    </row>
    <row r="1225" spans="3:11" s="418" customFormat="1" x14ac:dyDescent="0.25">
      <c r="C1225" s="301"/>
      <c r="D1225" s="430"/>
      <c r="E1225" s="105"/>
      <c r="F1225" s="105"/>
      <c r="G1225" s="105"/>
      <c r="H1225" s="105"/>
      <c r="I1225" s="340"/>
      <c r="J1225" s="105"/>
      <c r="K1225" s="105"/>
    </row>
    <row r="1226" spans="3:11" s="418" customFormat="1" x14ac:dyDescent="0.25">
      <c r="C1226" s="301"/>
      <c r="D1226" s="430"/>
      <c r="E1226" s="105"/>
      <c r="F1226" s="105"/>
      <c r="G1226" s="105"/>
      <c r="H1226" s="105"/>
      <c r="I1226" s="340"/>
      <c r="J1226" s="105"/>
      <c r="K1226" s="105"/>
    </row>
    <row r="1227" spans="3:11" s="418" customFormat="1" x14ac:dyDescent="0.25">
      <c r="C1227" s="301"/>
      <c r="D1227" s="430"/>
      <c r="E1227" s="105"/>
      <c r="F1227" s="105"/>
      <c r="G1227" s="105"/>
      <c r="H1227" s="105"/>
      <c r="I1227" s="340"/>
      <c r="J1227" s="105"/>
      <c r="K1227" s="105"/>
    </row>
    <row r="1228" spans="3:11" s="418" customFormat="1" x14ac:dyDescent="0.25">
      <c r="C1228" s="301"/>
      <c r="D1228" s="430"/>
      <c r="E1228" s="105"/>
      <c r="F1228" s="105"/>
      <c r="G1228" s="105"/>
      <c r="H1228" s="105"/>
      <c r="I1228" s="340"/>
      <c r="J1228" s="105"/>
      <c r="K1228" s="105"/>
    </row>
    <row r="1229" spans="3:11" s="418" customFormat="1" x14ac:dyDescent="0.25">
      <c r="C1229" s="301"/>
      <c r="D1229" s="430"/>
      <c r="E1229" s="105"/>
      <c r="F1229" s="105"/>
      <c r="G1229" s="105"/>
      <c r="H1229" s="105"/>
      <c r="I1229" s="340"/>
      <c r="J1229" s="105"/>
      <c r="K1229" s="105"/>
    </row>
    <row r="1230" spans="3:11" s="418" customFormat="1" x14ac:dyDescent="0.25">
      <c r="C1230" s="301"/>
      <c r="D1230" s="430"/>
      <c r="E1230" s="105"/>
      <c r="F1230" s="105"/>
      <c r="G1230" s="105"/>
      <c r="H1230" s="105"/>
      <c r="I1230" s="340"/>
      <c r="J1230" s="105"/>
      <c r="K1230" s="105"/>
    </row>
    <row r="1231" spans="3:11" s="418" customFormat="1" x14ac:dyDescent="0.25">
      <c r="C1231" s="301"/>
      <c r="D1231" s="430"/>
      <c r="E1231" s="105"/>
      <c r="F1231" s="105"/>
      <c r="G1231" s="105"/>
      <c r="H1231" s="105"/>
      <c r="I1231" s="340"/>
      <c r="J1231" s="105"/>
      <c r="K1231" s="105"/>
    </row>
    <row r="1232" spans="3:11" s="418" customFormat="1" x14ac:dyDescent="0.25">
      <c r="C1232" s="301"/>
      <c r="D1232" s="430"/>
      <c r="E1232" s="105"/>
      <c r="F1232" s="105"/>
      <c r="G1232" s="105"/>
      <c r="H1232" s="105"/>
      <c r="I1232" s="340"/>
      <c r="J1232" s="105"/>
      <c r="K1232" s="105"/>
    </row>
    <row r="1233" spans="3:11" s="418" customFormat="1" x14ac:dyDescent="0.25">
      <c r="C1233" s="301"/>
      <c r="D1233" s="430"/>
      <c r="E1233" s="105"/>
      <c r="F1233" s="105"/>
      <c r="G1233" s="105"/>
      <c r="H1233" s="105"/>
      <c r="I1233" s="340"/>
      <c r="J1233" s="105"/>
      <c r="K1233" s="105"/>
    </row>
    <row r="1234" spans="3:11" s="418" customFormat="1" x14ac:dyDescent="0.25">
      <c r="C1234" s="301"/>
      <c r="D1234" s="430"/>
      <c r="E1234" s="105"/>
      <c r="F1234" s="105"/>
      <c r="G1234" s="105"/>
      <c r="H1234" s="105"/>
      <c r="I1234" s="340"/>
      <c r="J1234" s="105"/>
      <c r="K1234" s="105"/>
    </row>
    <row r="1235" spans="3:11" s="418" customFormat="1" x14ac:dyDescent="0.25">
      <c r="C1235" s="301"/>
      <c r="D1235" s="430"/>
      <c r="E1235" s="105"/>
      <c r="F1235" s="105"/>
      <c r="G1235" s="105"/>
      <c r="H1235" s="105"/>
      <c r="I1235" s="340"/>
      <c r="J1235" s="105"/>
      <c r="K1235" s="105"/>
    </row>
    <row r="1236" spans="3:11" s="418" customFormat="1" x14ac:dyDescent="0.25">
      <c r="C1236" s="301"/>
      <c r="D1236" s="430"/>
      <c r="E1236" s="105"/>
      <c r="F1236" s="105"/>
      <c r="G1236" s="105"/>
      <c r="H1236" s="105"/>
      <c r="I1236" s="340"/>
      <c r="J1236" s="105"/>
      <c r="K1236" s="105"/>
    </row>
    <row r="1237" spans="3:11" s="418" customFormat="1" x14ac:dyDescent="0.25">
      <c r="C1237" s="301"/>
      <c r="D1237" s="430"/>
      <c r="E1237" s="105"/>
      <c r="F1237" s="105"/>
      <c r="G1237" s="105"/>
      <c r="H1237" s="105"/>
      <c r="I1237" s="340"/>
      <c r="J1237" s="105"/>
      <c r="K1237" s="105"/>
    </row>
    <row r="1238" spans="3:11" s="418" customFormat="1" x14ac:dyDescent="0.25">
      <c r="C1238" s="301"/>
      <c r="D1238" s="430"/>
      <c r="E1238" s="105"/>
      <c r="F1238" s="105"/>
      <c r="G1238" s="105"/>
      <c r="H1238" s="105"/>
      <c r="I1238" s="340"/>
      <c r="J1238" s="105"/>
      <c r="K1238" s="105"/>
    </row>
    <row r="1239" spans="3:11" s="418" customFormat="1" x14ac:dyDescent="0.25">
      <c r="C1239" s="301"/>
      <c r="D1239" s="430"/>
      <c r="E1239" s="105"/>
      <c r="F1239" s="105"/>
      <c r="G1239" s="105"/>
      <c r="H1239" s="105"/>
      <c r="I1239" s="340"/>
      <c r="J1239" s="105"/>
      <c r="K1239" s="105"/>
    </row>
    <row r="1240" spans="3:11" s="418" customFormat="1" x14ac:dyDescent="0.25">
      <c r="C1240" s="301"/>
      <c r="D1240" s="430"/>
      <c r="E1240" s="105"/>
      <c r="F1240" s="105"/>
      <c r="G1240" s="105"/>
      <c r="H1240" s="105"/>
      <c r="I1240" s="340"/>
      <c r="J1240" s="105"/>
      <c r="K1240" s="105"/>
    </row>
    <row r="1241" spans="3:11" s="418" customFormat="1" x14ac:dyDescent="0.25">
      <c r="C1241" s="301"/>
      <c r="D1241" s="430"/>
      <c r="E1241" s="105"/>
      <c r="F1241" s="105"/>
      <c r="G1241" s="105"/>
      <c r="H1241" s="105"/>
      <c r="I1241" s="340"/>
      <c r="J1241" s="105"/>
      <c r="K1241" s="105"/>
    </row>
    <row r="1242" spans="3:11" s="418" customFormat="1" x14ac:dyDescent="0.25">
      <c r="C1242" s="301"/>
      <c r="D1242" s="430"/>
      <c r="E1242" s="105"/>
      <c r="F1242" s="105"/>
      <c r="G1242" s="105"/>
      <c r="H1242" s="105"/>
      <c r="I1242" s="340"/>
      <c r="J1242" s="105"/>
      <c r="K1242" s="105"/>
    </row>
    <row r="1243" spans="3:11" s="418" customFormat="1" x14ac:dyDescent="0.25">
      <c r="C1243" s="301"/>
      <c r="D1243" s="430"/>
      <c r="E1243" s="105"/>
      <c r="F1243" s="105"/>
      <c r="G1243" s="105"/>
      <c r="H1243" s="105"/>
      <c r="I1243" s="340"/>
      <c r="J1243" s="105"/>
      <c r="K1243" s="105"/>
    </row>
    <row r="1244" spans="3:11" s="418" customFormat="1" x14ac:dyDescent="0.25">
      <c r="C1244" s="301"/>
      <c r="D1244" s="430"/>
      <c r="E1244" s="105"/>
      <c r="F1244" s="105"/>
      <c r="G1244" s="105"/>
      <c r="H1244" s="105"/>
      <c r="I1244" s="340"/>
      <c r="J1244" s="105"/>
      <c r="K1244" s="105"/>
    </row>
    <row r="1245" spans="3:11" s="418" customFormat="1" x14ac:dyDescent="0.25">
      <c r="C1245" s="301"/>
      <c r="D1245" s="430"/>
      <c r="E1245" s="105"/>
      <c r="F1245" s="105"/>
      <c r="G1245" s="105"/>
      <c r="H1245" s="105"/>
      <c r="I1245" s="340"/>
      <c r="J1245" s="105"/>
      <c r="K1245" s="105"/>
    </row>
    <row r="1246" spans="3:11" s="418" customFormat="1" x14ac:dyDescent="0.25">
      <c r="C1246" s="301"/>
      <c r="D1246" s="430"/>
      <c r="E1246" s="105"/>
      <c r="F1246" s="105"/>
      <c r="G1246" s="105"/>
      <c r="H1246" s="105"/>
      <c r="I1246" s="340"/>
      <c r="J1246" s="105"/>
      <c r="K1246" s="105"/>
    </row>
    <row r="1247" spans="3:11" s="418" customFormat="1" x14ac:dyDescent="0.25">
      <c r="C1247" s="301"/>
      <c r="D1247" s="430"/>
      <c r="E1247" s="105"/>
      <c r="F1247" s="105"/>
      <c r="G1247" s="105"/>
      <c r="H1247" s="105"/>
      <c r="I1247" s="340"/>
      <c r="J1247" s="105"/>
      <c r="K1247" s="105"/>
    </row>
    <row r="1248" spans="3:11" s="418" customFormat="1" x14ac:dyDescent="0.25">
      <c r="C1248" s="301"/>
      <c r="D1248" s="430"/>
      <c r="E1248" s="105"/>
      <c r="F1248" s="105"/>
      <c r="G1248" s="105"/>
      <c r="H1248" s="105"/>
      <c r="I1248" s="340"/>
      <c r="J1248" s="105"/>
      <c r="K1248" s="105"/>
    </row>
    <row r="1249" spans="3:11" s="418" customFormat="1" x14ac:dyDescent="0.25">
      <c r="C1249" s="301"/>
      <c r="D1249" s="430"/>
      <c r="E1249" s="105"/>
      <c r="F1249" s="105"/>
      <c r="G1249" s="105"/>
      <c r="H1249" s="105"/>
      <c r="I1249" s="340"/>
      <c r="J1249" s="105"/>
      <c r="K1249" s="105"/>
    </row>
    <row r="1250" spans="3:11" s="418" customFormat="1" x14ac:dyDescent="0.25">
      <c r="C1250" s="301"/>
      <c r="D1250" s="430"/>
      <c r="E1250" s="105"/>
      <c r="F1250" s="105"/>
      <c r="G1250" s="105"/>
      <c r="H1250" s="105"/>
      <c r="I1250" s="340"/>
      <c r="J1250" s="105"/>
      <c r="K1250" s="105"/>
    </row>
    <row r="1251" spans="3:11" s="418" customFormat="1" x14ac:dyDescent="0.25">
      <c r="C1251" s="301"/>
      <c r="D1251" s="430"/>
      <c r="E1251" s="105"/>
      <c r="F1251" s="105"/>
      <c r="G1251" s="105"/>
      <c r="H1251" s="105"/>
      <c r="I1251" s="340"/>
      <c r="J1251" s="105"/>
      <c r="K1251" s="105"/>
    </row>
    <row r="1252" spans="3:11" s="418" customFormat="1" x14ac:dyDescent="0.25">
      <c r="C1252" s="301"/>
      <c r="D1252" s="430"/>
      <c r="E1252" s="105"/>
      <c r="F1252" s="105"/>
      <c r="G1252" s="105"/>
      <c r="H1252" s="105"/>
      <c r="I1252" s="340"/>
      <c r="J1252" s="105"/>
      <c r="K1252" s="105"/>
    </row>
    <row r="1253" spans="3:11" s="418" customFormat="1" x14ac:dyDescent="0.25">
      <c r="C1253" s="301"/>
      <c r="D1253" s="430"/>
      <c r="E1253" s="105"/>
      <c r="F1253" s="105"/>
      <c r="G1253" s="105"/>
      <c r="H1253" s="105"/>
      <c r="I1253" s="340"/>
      <c r="J1253" s="105"/>
      <c r="K1253" s="105"/>
    </row>
    <row r="1254" spans="3:11" s="418" customFormat="1" x14ac:dyDescent="0.25">
      <c r="C1254" s="301"/>
      <c r="D1254" s="430"/>
      <c r="E1254" s="105"/>
      <c r="F1254" s="105"/>
      <c r="G1254" s="105"/>
      <c r="H1254" s="105"/>
      <c r="I1254" s="340"/>
      <c r="J1254" s="105"/>
      <c r="K1254" s="105"/>
    </row>
    <row r="1255" spans="3:11" s="418" customFormat="1" x14ac:dyDescent="0.25">
      <c r="C1255" s="301"/>
      <c r="D1255" s="430"/>
      <c r="E1255" s="105"/>
      <c r="F1255" s="105"/>
      <c r="G1255" s="105"/>
      <c r="H1255" s="105"/>
      <c r="I1255" s="340"/>
      <c r="J1255" s="105"/>
      <c r="K1255" s="105"/>
    </row>
    <row r="1256" spans="3:11" s="418" customFormat="1" x14ac:dyDescent="0.25">
      <c r="C1256" s="301"/>
      <c r="D1256" s="430"/>
      <c r="E1256" s="105"/>
      <c r="F1256" s="105"/>
      <c r="G1256" s="105"/>
      <c r="H1256" s="105"/>
      <c r="I1256" s="340"/>
      <c r="J1256" s="105"/>
      <c r="K1256" s="105"/>
    </row>
    <row r="1257" spans="3:11" s="418" customFormat="1" x14ac:dyDescent="0.25">
      <c r="C1257" s="301"/>
      <c r="D1257" s="430"/>
      <c r="E1257" s="105"/>
      <c r="F1257" s="105"/>
      <c r="G1257" s="105"/>
      <c r="H1257" s="105"/>
      <c r="I1257" s="340"/>
      <c r="J1257" s="105"/>
      <c r="K1257" s="105"/>
    </row>
    <row r="1258" spans="3:11" s="418" customFormat="1" x14ac:dyDescent="0.25">
      <c r="C1258" s="301"/>
      <c r="D1258" s="430"/>
      <c r="E1258" s="105"/>
      <c r="F1258" s="105"/>
      <c r="G1258" s="105"/>
      <c r="H1258" s="105"/>
      <c r="I1258" s="340"/>
      <c r="J1258" s="105"/>
      <c r="K1258" s="105"/>
    </row>
    <row r="1259" spans="3:11" s="418" customFormat="1" x14ac:dyDescent="0.25">
      <c r="C1259" s="301"/>
      <c r="D1259" s="430"/>
      <c r="E1259" s="105"/>
      <c r="F1259" s="105"/>
      <c r="G1259" s="105"/>
      <c r="H1259" s="105"/>
      <c r="I1259" s="340"/>
      <c r="J1259" s="105"/>
      <c r="K1259" s="105"/>
    </row>
    <row r="1260" spans="3:11" s="418" customFormat="1" x14ac:dyDescent="0.25">
      <c r="C1260" s="301"/>
      <c r="D1260" s="430"/>
      <c r="E1260" s="105"/>
      <c r="F1260" s="105"/>
      <c r="G1260" s="105"/>
      <c r="H1260" s="105"/>
      <c r="I1260" s="340"/>
      <c r="J1260" s="105"/>
      <c r="K1260" s="105"/>
    </row>
    <row r="1261" spans="3:11" s="418" customFormat="1" x14ac:dyDescent="0.25">
      <c r="C1261" s="301"/>
      <c r="D1261" s="430"/>
      <c r="E1261" s="105"/>
      <c r="F1261" s="105"/>
      <c r="G1261" s="105"/>
      <c r="H1261" s="105"/>
      <c r="I1261" s="340"/>
      <c r="J1261" s="105"/>
      <c r="K1261" s="105"/>
    </row>
    <row r="1262" spans="3:11" s="418" customFormat="1" x14ac:dyDescent="0.25">
      <c r="C1262" s="301"/>
      <c r="D1262" s="430"/>
      <c r="E1262" s="105"/>
      <c r="F1262" s="105"/>
      <c r="G1262" s="105"/>
      <c r="H1262" s="105"/>
      <c r="I1262" s="340"/>
      <c r="J1262" s="105"/>
      <c r="K1262" s="105"/>
    </row>
    <row r="1263" spans="3:11" s="418" customFormat="1" x14ac:dyDescent="0.25">
      <c r="C1263" s="301"/>
      <c r="D1263" s="430"/>
      <c r="E1263" s="105"/>
      <c r="F1263" s="105"/>
      <c r="G1263" s="105"/>
      <c r="H1263" s="105"/>
      <c r="I1263" s="340"/>
      <c r="J1263" s="105"/>
      <c r="K1263" s="105"/>
    </row>
    <row r="1264" spans="3:11" s="418" customFormat="1" x14ac:dyDescent="0.25">
      <c r="C1264" s="301"/>
      <c r="D1264" s="430"/>
      <c r="E1264" s="105"/>
      <c r="F1264" s="105"/>
      <c r="G1264" s="105"/>
      <c r="H1264" s="105"/>
      <c r="I1264" s="340"/>
      <c r="J1264" s="105"/>
      <c r="K1264" s="105"/>
    </row>
    <row r="1265" spans="3:11" s="418" customFormat="1" x14ac:dyDescent="0.25">
      <c r="C1265" s="301"/>
      <c r="D1265" s="430"/>
      <c r="E1265" s="105"/>
      <c r="F1265" s="105"/>
      <c r="G1265" s="105"/>
      <c r="H1265" s="105"/>
      <c r="I1265" s="340"/>
      <c r="J1265" s="105"/>
      <c r="K1265" s="105"/>
    </row>
    <row r="1266" spans="3:11" s="418" customFormat="1" x14ac:dyDescent="0.25">
      <c r="C1266" s="301"/>
      <c r="D1266" s="430"/>
      <c r="E1266" s="105"/>
      <c r="F1266" s="105"/>
      <c r="G1266" s="105"/>
      <c r="H1266" s="105"/>
      <c r="I1266" s="340"/>
      <c r="J1266" s="105"/>
      <c r="K1266" s="105"/>
    </row>
    <row r="1267" spans="3:11" s="418" customFormat="1" x14ac:dyDescent="0.25">
      <c r="C1267" s="301"/>
      <c r="D1267" s="430"/>
      <c r="E1267" s="105"/>
      <c r="F1267" s="105"/>
      <c r="G1267" s="105"/>
      <c r="H1267" s="105"/>
      <c r="I1267" s="340"/>
      <c r="J1267" s="105"/>
      <c r="K1267" s="105"/>
    </row>
    <row r="1268" spans="3:11" s="418" customFormat="1" x14ac:dyDescent="0.25">
      <c r="C1268" s="301"/>
      <c r="D1268" s="430"/>
      <c r="E1268" s="105"/>
      <c r="F1268" s="105"/>
      <c r="G1268" s="105"/>
      <c r="H1268" s="105"/>
      <c r="I1268" s="340"/>
      <c r="J1268" s="105"/>
      <c r="K1268" s="105"/>
    </row>
    <row r="1269" spans="3:11" s="418" customFormat="1" x14ac:dyDescent="0.25">
      <c r="C1269" s="301"/>
      <c r="D1269" s="430"/>
      <c r="E1269" s="105"/>
      <c r="F1269" s="105"/>
      <c r="G1269" s="105"/>
      <c r="H1269" s="105"/>
      <c r="I1269" s="340"/>
      <c r="J1269" s="105"/>
      <c r="K1269" s="105"/>
    </row>
    <row r="1270" spans="3:11" s="418" customFormat="1" x14ac:dyDescent="0.25">
      <c r="C1270" s="301"/>
      <c r="D1270" s="430"/>
      <c r="E1270" s="105"/>
      <c r="F1270" s="105"/>
      <c r="G1270" s="105"/>
      <c r="H1270" s="105"/>
      <c r="I1270" s="340"/>
      <c r="J1270" s="105"/>
      <c r="K1270" s="105"/>
    </row>
    <row r="1271" spans="3:11" s="418" customFormat="1" x14ac:dyDescent="0.25">
      <c r="C1271" s="301"/>
      <c r="D1271" s="430"/>
      <c r="E1271" s="105"/>
      <c r="F1271" s="105"/>
      <c r="G1271" s="105"/>
      <c r="H1271" s="105"/>
      <c r="I1271" s="340"/>
      <c r="J1271" s="105"/>
      <c r="K1271" s="105"/>
    </row>
    <row r="1272" spans="3:11" s="418" customFormat="1" x14ac:dyDescent="0.25">
      <c r="C1272" s="301"/>
      <c r="D1272" s="430"/>
      <c r="E1272" s="105"/>
      <c r="F1272" s="105"/>
      <c r="G1272" s="105"/>
      <c r="H1272" s="105"/>
      <c r="I1272" s="340"/>
      <c r="J1272" s="105"/>
      <c r="K1272" s="105"/>
    </row>
    <row r="1273" spans="3:11" s="418" customFormat="1" x14ac:dyDescent="0.25">
      <c r="C1273" s="301"/>
      <c r="D1273" s="430"/>
      <c r="E1273" s="105"/>
      <c r="F1273" s="105"/>
      <c r="G1273" s="105"/>
      <c r="H1273" s="105"/>
      <c r="I1273" s="340"/>
      <c r="J1273" s="105"/>
      <c r="K1273" s="105"/>
    </row>
    <row r="1274" spans="3:11" s="418" customFormat="1" x14ac:dyDescent="0.25">
      <c r="C1274" s="301"/>
      <c r="D1274" s="430"/>
      <c r="E1274" s="105"/>
      <c r="F1274" s="105"/>
      <c r="G1274" s="105"/>
      <c r="H1274" s="105"/>
      <c r="I1274" s="340"/>
      <c r="J1274" s="105"/>
      <c r="K1274" s="105"/>
    </row>
    <row r="1275" spans="3:11" s="418" customFormat="1" x14ac:dyDescent="0.25">
      <c r="C1275" s="301"/>
      <c r="D1275" s="430"/>
      <c r="E1275" s="105"/>
      <c r="F1275" s="105"/>
      <c r="G1275" s="105"/>
      <c r="H1275" s="105"/>
      <c r="I1275" s="340"/>
      <c r="J1275" s="105"/>
      <c r="K1275" s="105"/>
    </row>
    <row r="1276" spans="3:11" s="418" customFormat="1" x14ac:dyDescent="0.25">
      <c r="C1276" s="301"/>
      <c r="D1276" s="430"/>
      <c r="E1276" s="105"/>
      <c r="F1276" s="105"/>
      <c r="G1276" s="105"/>
      <c r="H1276" s="105"/>
      <c r="I1276" s="340"/>
      <c r="J1276" s="105"/>
      <c r="K1276" s="105"/>
    </row>
    <row r="1277" spans="3:11" s="418" customFormat="1" x14ac:dyDescent="0.25">
      <c r="C1277" s="301"/>
      <c r="D1277" s="430"/>
      <c r="E1277" s="105"/>
      <c r="F1277" s="105"/>
      <c r="G1277" s="105"/>
      <c r="H1277" s="105"/>
      <c r="I1277" s="340"/>
      <c r="J1277" s="105"/>
      <c r="K1277" s="105"/>
    </row>
    <row r="1278" spans="3:11" s="418" customFormat="1" x14ac:dyDescent="0.25">
      <c r="C1278" s="301"/>
      <c r="D1278" s="430"/>
      <c r="E1278" s="105"/>
      <c r="F1278" s="105"/>
      <c r="G1278" s="105"/>
      <c r="H1278" s="105"/>
      <c r="I1278" s="340"/>
      <c r="J1278" s="105"/>
      <c r="K1278" s="105"/>
    </row>
    <row r="1279" spans="3:11" s="418" customFormat="1" x14ac:dyDescent="0.25">
      <c r="C1279" s="301"/>
      <c r="D1279" s="430"/>
      <c r="E1279" s="105"/>
      <c r="F1279" s="105"/>
      <c r="G1279" s="105"/>
      <c r="H1279" s="105"/>
      <c r="I1279" s="340"/>
      <c r="J1279" s="105"/>
      <c r="K1279" s="105"/>
    </row>
    <row r="1280" spans="3:11" s="418" customFormat="1" x14ac:dyDescent="0.25">
      <c r="C1280" s="301"/>
      <c r="D1280" s="430"/>
      <c r="E1280" s="105"/>
      <c r="F1280" s="105"/>
      <c r="G1280" s="105"/>
      <c r="H1280" s="105"/>
      <c r="I1280" s="340"/>
      <c r="J1280" s="105"/>
      <c r="K1280" s="105"/>
    </row>
    <row r="1281" spans="3:11" s="418" customFormat="1" x14ac:dyDescent="0.25">
      <c r="C1281" s="301"/>
      <c r="D1281" s="430"/>
      <c r="E1281" s="105"/>
      <c r="F1281" s="105"/>
      <c r="G1281" s="105"/>
      <c r="H1281" s="105"/>
      <c r="I1281" s="340"/>
      <c r="J1281" s="105"/>
      <c r="K1281" s="105"/>
    </row>
    <row r="1282" spans="3:11" s="418" customFormat="1" x14ac:dyDescent="0.25">
      <c r="C1282" s="301"/>
      <c r="D1282" s="430"/>
      <c r="E1282" s="105"/>
      <c r="F1282" s="105"/>
      <c r="G1282" s="105"/>
      <c r="H1282" s="105"/>
      <c r="I1282" s="340"/>
      <c r="J1282" s="105"/>
      <c r="K1282" s="105"/>
    </row>
    <row r="1283" spans="3:11" s="418" customFormat="1" x14ac:dyDescent="0.25">
      <c r="C1283" s="301"/>
      <c r="D1283" s="430"/>
      <c r="E1283" s="105"/>
      <c r="F1283" s="105"/>
      <c r="G1283" s="105"/>
      <c r="H1283" s="105"/>
      <c r="I1283" s="340"/>
      <c r="J1283" s="105"/>
      <c r="K1283" s="105"/>
    </row>
    <row r="1284" spans="3:11" s="418" customFormat="1" x14ac:dyDescent="0.25">
      <c r="C1284" s="301"/>
      <c r="D1284" s="430"/>
      <c r="E1284" s="105"/>
      <c r="F1284" s="105"/>
      <c r="G1284" s="105"/>
      <c r="H1284" s="105"/>
      <c r="I1284" s="340"/>
      <c r="J1284" s="105"/>
      <c r="K1284" s="105"/>
    </row>
    <row r="1285" spans="3:11" s="418" customFormat="1" x14ac:dyDescent="0.25">
      <c r="C1285" s="301"/>
      <c r="D1285" s="430"/>
      <c r="E1285" s="105"/>
      <c r="F1285" s="105"/>
      <c r="G1285" s="105"/>
      <c r="H1285" s="105"/>
      <c r="I1285" s="340"/>
      <c r="J1285" s="105"/>
      <c r="K1285" s="105"/>
    </row>
    <row r="1286" spans="3:11" s="418" customFormat="1" x14ac:dyDescent="0.25">
      <c r="C1286" s="301"/>
      <c r="D1286" s="430"/>
      <c r="E1286" s="105"/>
      <c r="F1286" s="105"/>
      <c r="G1286" s="105"/>
      <c r="H1286" s="105"/>
      <c r="I1286" s="340"/>
      <c r="J1286" s="105"/>
      <c r="K1286" s="105"/>
    </row>
    <row r="1287" spans="3:11" s="418" customFormat="1" x14ac:dyDescent="0.25">
      <c r="C1287" s="301"/>
      <c r="D1287" s="430"/>
      <c r="E1287" s="105"/>
      <c r="F1287" s="105"/>
      <c r="G1287" s="105"/>
      <c r="H1287" s="105"/>
      <c r="I1287" s="340"/>
      <c r="J1287" s="105"/>
      <c r="K1287" s="105"/>
    </row>
    <row r="1288" spans="3:11" s="418" customFormat="1" x14ac:dyDescent="0.25">
      <c r="C1288" s="301"/>
      <c r="D1288" s="430"/>
      <c r="E1288" s="105"/>
      <c r="F1288" s="105"/>
      <c r="G1288" s="105"/>
      <c r="H1288" s="105"/>
      <c r="I1288" s="340"/>
      <c r="J1288" s="105"/>
      <c r="K1288" s="105"/>
    </row>
    <row r="1289" spans="3:11" s="418" customFormat="1" x14ac:dyDescent="0.25">
      <c r="C1289" s="301"/>
      <c r="D1289" s="430"/>
      <c r="E1289" s="105"/>
      <c r="F1289" s="105"/>
      <c r="G1289" s="105"/>
      <c r="H1289" s="105"/>
      <c r="I1289" s="340"/>
      <c r="J1289" s="105"/>
      <c r="K1289" s="105"/>
    </row>
    <row r="1290" spans="3:11" s="418" customFormat="1" x14ac:dyDescent="0.25">
      <c r="C1290" s="301"/>
      <c r="D1290" s="430"/>
      <c r="E1290" s="105"/>
      <c r="F1290" s="105"/>
      <c r="G1290" s="105"/>
      <c r="H1290" s="105"/>
      <c r="I1290" s="340"/>
      <c r="J1290" s="105"/>
      <c r="K1290" s="105"/>
    </row>
    <row r="1291" spans="3:11" s="418" customFormat="1" x14ac:dyDescent="0.25">
      <c r="C1291" s="301"/>
      <c r="D1291" s="430"/>
      <c r="E1291" s="105"/>
      <c r="F1291" s="105"/>
      <c r="G1291" s="105"/>
      <c r="H1291" s="105"/>
      <c r="I1291" s="340"/>
      <c r="J1291" s="105"/>
      <c r="K1291" s="105"/>
    </row>
    <row r="1292" spans="3:11" s="418" customFormat="1" x14ac:dyDescent="0.25">
      <c r="C1292" s="301"/>
      <c r="D1292" s="430"/>
      <c r="E1292" s="105"/>
      <c r="F1292" s="105"/>
      <c r="G1292" s="105"/>
      <c r="H1292" s="105"/>
      <c r="I1292" s="340"/>
      <c r="J1292" s="105"/>
      <c r="K1292" s="105"/>
    </row>
    <row r="1293" spans="3:11" s="418" customFormat="1" x14ac:dyDescent="0.25">
      <c r="C1293" s="301"/>
      <c r="D1293" s="430"/>
      <c r="E1293" s="105"/>
      <c r="F1293" s="105"/>
      <c r="G1293" s="105"/>
      <c r="H1293" s="105"/>
      <c r="I1293" s="340"/>
      <c r="J1293" s="105"/>
      <c r="K1293" s="105"/>
    </row>
    <row r="1294" spans="3:11" s="418" customFormat="1" x14ac:dyDescent="0.25">
      <c r="C1294" s="301"/>
      <c r="D1294" s="430"/>
      <c r="E1294" s="105"/>
      <c r="F1294" s="105"/>
      <c r="G1294" s="105"/>
      <c r="H1294" s="105"/>
      <c r="I1294" s="340"/>
      <c r="J1294" s="105"/>
      <c r="K1294" s="105"/>
    </row>
    <row r="1295" spans="3:11" s="418" customFormat="1" x14ac:dyDescent="0.25">
      <c r="C1295" s="301"/>
      <c r="D1295" s="430"/>
      <c r="E1295" s="105"/>
      <c r="F1295" s="105"/>
      <c r="G1295" s="105"/>
      <c r="H1295" s="105"/>
      <c r="I1295" s="340"/>
      <c r="J1295" s="105"/>
      <c r="K1295" s="105"/>
    </row>
    <row r="1296" spans="3:11" s="418" customFormat="1" x14ac:dyDescent="0.25">
      <c r="C1296" s="301"/>
      <c r="D1296" s="430"/>
      <c r="E1296" s="105"/>
      <c r="F1296" s="105"/>
      <c r="G1296" s="105"/>
      <c r="H1296" s="105"/>
      <c r="I1296" s="340"/>
      <c r="J1296" s="105"/>
      <c r="K1296" s="105"/>
    </row>
    <row r="1297" spans="3:11" s="418" customFormat="1" x14ac:dyDescent="0.25">
      <c r="C1297" s="301"/>
      <c r="D1297" s="430"/>
      <c r="E1297" s="105"/>
      <c r="F1297" s="105"/>
      <c r="G1297" s="105"/>
      <c r="H1297" s="105"/>
      <c r="I1297" s="340"/>
      <c r="J1297" s="105"/>
      <c r="K1297" s="105"/>
    </row>
    <row r="1298" spans="3:11" s="418" customFormat="1" x14ac:dyDescent="0.25">
      <c r="C1298" s="301"/>
      <c r="D1298" s="430"/>
      <c r="E1298" s="105"/>
      <c r="F1298" s="105"/>
      <c r="G1298" s="105"/>
      <c r="H1298" s="105"/>
      <c r="I1298" s="340"/>
      <c r="J1298" s="105"/>
      <c r="K1298" s="105"/>
    </row>
    <row r="1299" spans="3:11" s="418" customFormat="1" x14ac:dyDescent="0.25">
      <c r="C1299" s="301"/>
      <c r="D1299" s="430"/>
      <c r="E1299" s="105"/>
      <c r="F1299" s="105"/>
      <c r="G1299" s="105"/>
      <c r="H1299" s="105"/>
      <c r="I1299" s="340"/>
      <c r="J1299" s="105"/>
      <c r="K1299" s="105"/>
    </row>
    <row r="1300" spans="3:11" s="418" customFormat="1" x14ac:dyDescent="0.25">
      <c r="C1300" s="301"/>
      <c r="D1300" s="430"/>
      <c r="E1300" s="105"/>
      <c r="F1300" s="105"/>
      <c r="G1300" s="105"/>
      <c r="H1300" s="105"/>
      <c r="I1300" s="340"/>
      <c r="J1300" s="105"/>
      <c r="K1300" s="105"/>
    </row>
    <row r="1301" spans="3:11" s="418" customFormat="1" x14ac:dyDescent="0.25">
      <c r="C1301" s="301"/>
      <c r="D1301" s="430"/>
      <c r="E1301" s="105"/>
      <c r="F1301" s="105"/>
      <c r="G1301" s="105"/>
      <c r="H1301" s="105"/>
      <c r="I1301" s="340"/>
      <c r="J1301" s="105"/>
      <c r="K1301" s="105"/>
    </row>
    <row r="1302" spans="3:11" s="418" customFormat="1" x14ac:dyDescent="0.25">
      <c r="C1302" s="301"/>
      <c r="D1302" s="430"/>
      <c r="E1302" s="105"/>
      <c r="F1302" s="105"/>
      <c r="G1302" s="105"/>
      <c r="H1302" s="105"/>
      <c r="I1302" s="340"/>
      <c r="J1302" s="105"/>
      <c r="K1302" s="105"/>
    </row>
    <row r="1303" spans="3:11" s="418" customFormat="1" x14ac:dyDescent="0.25">
      <c r="C1303" s="301"/>
      <c r="D1303" s="430"/>
      <c r="E1303" s="105"/>
      <c r="F1303" s="105"/>
      <c r="G1303" s="105"/>
      <c r="H1303" s="105"/>
      <c r="I1303" s="340"/>
      <c r="J1303" s="105"/>
      <c r="K1303" s="105"/>
    </row>
    <row r="1304" spans="3:11" s="418" customFormat="1" x14ac:dyDescent="0.25">
      <c r="C1304" s="301"/>
      <c r="D1304" s="430"/>
      <c r="E1304" s="105"/>
      <c r="F1304" s="105"/>
      <c r="G1304" s="105"/>
      <c r="H1304" s="105"/>
      <c r="I1304" s="340"/>
      <c r="J1304" s="105"/>
      <c r="K1304" s="105"/>
    </row>
    <row r="1305" spans="3:11" s="418" customFormat="1" x14ac:dyDescent="0.25">
      <c r="C1305" s="301"/>
      <c r="D1305" s="430"/>
      <c r="E1305" s="105"/>
      <c r="F1305" s="105"/>
      <c r="G1305" s="105"/>
      <c r="H1305" s="105"/>
      <c r="I1305" s="340"/>
      <c r="J1305" s="105"/>
      <c r="K1305" s="105"/>
    </row>
    <row r="1306" spans="3:11" s="418" customFormat="1" x14ac:dyDescent="0.25">
      <c r="C1306" s="301"/>
      <c r="D1306" s="430"/>
      <c r="E1306" s="105"/>
      <c r="F1306" s="105"/>
      <c r="G1306" s="105"/>
      <c r="H1306" s="105"/>
      <c r="I1306" s="340"/>
      <c r="J1306" s="105"/>
      <c r="K1306" s="105"/>
    </row>
    <row r="1307" spans="3:11" s="418" customFormat="1" x14ac:dyDescent="0.25">
      <c r="C1307" s="301"/>
      <c r="D1307" s="430"/>
      <c r="E1307" s="105"/>
      <c r="F1307" s="105"/>
      <c r="G1307" s="105"/>
      <c r="H1307" s="105"/>
      <c r="I1307" s="340"/>
      <c r="J1307" s="105"/>
      <c r="K1307" s="105"/>
    </row>
    <row r="1308" spans="3:11" s="418" customFormat="1" x14ac:dyDescent="0.25">
      <c r="C1308" s="301"/>
      <c r="D1308" s="430"/>
      <c r="E1308" s="105"/>
      <c r="F1308" s="105"/>
      <c r="G1308" s="105"/>
      <c r="H1308" s="105"/>
      <c r="I1308" s="340"/>
      <c r="J1308" s="105"/>
      <c r="K1308" s="105"/>
    </row>
    <row r="1309" spans="3:11" s="418" customFormat="1" x14ac:dyDescent="0.25">
      <c r="C1309" s="301"/>
      <c r="D1309" s="430"/>
      <c r="E1309" s="105"/>
      <c r="F1309" s="105"/>
      <c r="G1309" s="105"/>
      <c r="H1309" s="105"/>
      <c r="I1309" s="340"/>
      <c r="J1309" s="105"/>
      <c r="K1309" s="105"/>
    </row>
    <row r="1310" spans="3:11" s="418" customFormat="1" x14ac:dyDescent="0.25">
      <c r="C1310" s="301"/>
      <c r="D1310" s="430"/>
      <c r="E1310" s="105"/>
      <c r="F1310" s="105"/>
      <c r="G1310" s="105"/>
      <c r="H1310" s="105"/>
      <c r="I1310" s="340"/>
      <c r="J1310" s="105"/>
      <c r="K1310" s="105"/>
    </row>
    <row r="1311" spans="3:11" s="418" customFormat="1" x14ac:dyDescent="0.25">
      <c r="C1311" s="301"/>
      <c r="D1311" s="430"/>
      <c r="E1311" s="105"/>
      <c r="F1311" s="105"/>
      <c r="G1311" s="105"/>
      <c r="H1311" s="105"/>
      <c r="I1311" s="340"/>
      <c r="J1311" s="105"/>
      <c r="K1311" s="105"/>
    </row>
    <row r="1312" spans="3:11" s="418" customFormat="1" x14ac:dyDescent="0.25">
      <c r="C1312" s="301"/>
      <c r="D1312" s="430"/>
      <c r="E1312" s="105"/>
      <c r="F1312" s="105"/>
      <c r="G1312" s="105"/>
      <c r="H1312" s="105"/>
      <c r="I1312" s="340"/>
      <c r="J1312" s="105"/>
      <c r="K1312" s="105"/>
    </row>
    <row r="1313" spans="3:11" s="418" customFormat="1" x14ac:dyDescent="0.25">
      <c r="C1313" s="301"/>
      <c r="D1313" s="430"/>
      <c r="E1313" s="105"/>
      <c r="F1313" s="105"/>
      <c r="G1313" s="105"/>
      <c r="H1313" s="105"/>
      <c r="I1313" s="340"/>
      <c r="J1313" s="105"/>
      <c r="K1313" s="105"/>
    </row>
    <row r="1314" spans="3:11" s="418" customFormat="1" x14ac:dyDescent="0.25">
      <c r="C1314" s="301"/>
      <c r="D1314" s="430"/>
      <c r="E1314" s="105"/>
      <c r="F1314" s="105"/>
      <c r="G1314" s="105"/>
      <c r="H1314" s="105"/>
      <c r="I1314" s="340"/>
      <c r="J1314" s="105"/>
      <c r="K1314" s="105"/>
    </row>
    <row r="1315" spans="3:11" s="418" customFormat="1" x14ac:dyDescent="0.25">
      <c r="C1315" s="301"/>
      <c r="D1315" s="430"/>
      <c r="E1315" s="105"/>
      <c r="F1315" s="105"/>
      <c r="G1315" s="105"/>
      <c r="H1315" s="105"/>
      <c r="I1315" s="340"/>
      <c r="J1315" s="105"/>
      <c r="K1315" s="105"/>
    </row>
    <row r="1316" spans="3:11" s="418" customFormat="1" x14ac:dyDescent="0.25">
      <c r="C1316" s="301"/>
      <c r="D1316" s="430"/>
      <c r="E1316" s="105"/>
      <c r="F1316" s="105"/>
      <c r="G1316" s="105"/>
      <c r="H1316" s="105"/>
      <c r="I1316" s="340"/>
      <c r="J1316" s="105"/>
      <c r="K1316" s="105"/>
    </row>
    <row r="1317" spans="3:11" s="418" customFormat="1" x14ac:dyDescent="0.25">
      <c r="C1317" s="301"/>
      <c r="D1317" s="430"/>
      <c r="E1317" s="105"/>
      <c r="F1317" s="105"/>
      <c r="G1317" s="105"/>
      <c r="H1317" s="105"/>
      <c r="I1317" s="340"/>
      <c r="J1317" s="105"/>
      <c r="K1317" s="105"/>
    </row>
    <row r="1318" spans="3:11" s="418" customFormat="1" x14ac:dyDescent="0.25">
      <c r="C1318" s="301"/>
      <c r="D1318" s="430"/>
      <c r="E1318" s="105"/>
      <c r="F1318" s="105"/>
      <c r="G1318" s="105"/>
      <c r="H1318" s="105"/>
      <c r="I1318" s="340"/>
      <c r="J1318" s="105"/>
      <c r="K1318" s="105"/>
    </row>
    <row r="1319" spans="3:11" s="418" customFormat="1" x14ac:dyDescent="0.25">
      <c r="C1319" s="301"/>
      <c r="D1319" s="430"/>
      <c r="E1319" s="105"/>
      <c r="F1319" s="105"/>
      <c r="G1319" s="105"/>
      <c r="H1319" s="105"/>
      <c r="I1319" s="340"/>
      <c r="J1319" s="105"/>
      <c r="K1319" s="105"/>
    </row>
    <row r="1320" spans="3:11" s="418" customFormat="1" x14ac:dyDescent="0.25">
      <c r="C1320" s="301"/>
      <c r="D1320" s="430"/>
      <c r="E1320" s="105"/>
      <c r="F1320" s="105"/>
      <c r="G1320" s="105"/>
      <c r="H1320" s="105"/>
      <c r="I1320" s="340"/>
      <c r="J1320" s="105"/>
      <c r="K1320" s="105"/>
    </row>
    <row r="1321" spans="3:11" s="418" customFormat="1" x14ac:dyDescent="0.25">
      <c r="C1321" s="301"/>
      <c r="D1321" s="430"/>
      <c r="E1321" s="105"/>
      <c r="F1321" s="105"/>
      <c r="G1321" s="105"/>
      <c r="H1321" s="105"/>
      <c r="I1321" s="340"/>
      <c r="J1321" s="105"/>
      <c r="K1321" s="105"/>
    </row>
    <row r="1322" spans="3:11" s="418" customFormat="1" x14ac:dyDescent="0.25">
      <c r="C1322" s="301"/>
      <c r="D1322" s="430"/>
      <c r="E1322" s="105"/>
      <c r="F1322" s="105"/>
      <c r="G1322" s="105"/>
      <c r="H1322" s="105"/>
      <c r="I1322" s="340"/>
      <c r="J1322" s="105"/>
      <c r="K1322" s="105"/>
    </row>
    <row r="1323" spans="3:11" s="418" customFormat="1" x14ac:dyDescent="0.25">
      <c r="C1323" s="301"/>
      <c r="D1323" s="430"/>
      <c r="E1323" s="105"/>
      <c r="F1323" s="105"/>
      <c r="G1323" s="105"/>
      <c r="H1323" s="105"/>
      <c r="I1323" s="340"/>
      <c r="J1323" s="105"/>
      <c r="K1323" s="105"/>
    </row>
    <row r="1324" spans="3:11" s="418" customFormat="1" x14ac:dyDescent="0.25">
      <c r="C1324" s="301"/>
      <c r="D1324" s="430"/>
      <c r="E1324" s="105"/>
      <c r="F1324" s="105"/>
      <c r="G1324" s="105"/>
      <c r="H1324" s="105"/>
      <c r="I1324" s="340"/>
      <c r="J1324" s="105"/>
      <c r="K1324" s="105"/>
    </row>
    <row r="1325" spans="3:11" s="418" customFormat="1" x14ac:dyDescent="0.25">
      <c r="C1325" s="301"/>
      <c r="D1325" s="430"/>
      <c r="E1325" s="105"/>
      <c r="F1325" s="105"/>
      <c r="G1325" s="105"/>
      <c r="H1325" s="105"/>
      <c r="I1325" s="340"/>
      <c r="J1325" s="105"/>
      <c r="K1325" s="105"/>
    </row>
    <row r="1326" spans="3:11" s="418" customFormat="1" x14ac:dyDescent="0.25">
      <c r="C1326" s="301"/>
      <c r="D1326" s="430"/>
      <c r="E1326" s="105"/>
      <c r="F1326" s="105"/>
      <c r="G1326" s="105"/>
      <c r="H1326" s="105"/>
      <c r="I1326" s="340"/>
      <c r="J1326" s="105"/>
      <c r="K1326" s="105"/>
    </row>
    <row r="1327" spans="3:11" s="418" customFormat="1" x14ac:dyDescent="0.25">
      <c r="C1327" s="301"/>
      <c r="D1327" s="430"/>
      <c r="E1327" s="105"/>
      <c r="F1327" s="105"/>
      <c r="G1327" s="105"/>
      <c r="H1327" s="105"/>
      <c r="I1327" s="340"/>
      <c r="J1327" s="105"/>
      <c r="K1327" s="105"/>
    </row>
    <row r="1328" spans="3:11" s="418" customFormat="1" x14ac:dyDescent="0.25">
      <c r="C1328" s="301"/>
      <c r="D1328" s="430"/>
      <c r="E1328" s="105"/>
      <c r="F1328" s="105"/>
      <c r="G1328" s="105"/>
      <c r="H1328" s="105"/>
      <c r="I1328" s="340"/>
      <c r="J1328" s="105"/>
      <c r="K1328" s="105"/>
    </row>
    <row r="1329" spans="3:11" s="418" customFormat="1" x14ac:dyDescent="0.25">
      <c r="C1329" s="301"/>
      <c r="D1329" s="430"/>
      <c r="E1329" s="105"/>
      <c r="F1329" s="105"/>
      <c r="G1329" s="105"/>
      <c r="H1329" s="105"/>
      <c r="I1329" s="340"/>
      <c r="J1329" s="105"/>
      <c r="K1329" s="105"/>
    </row>
    <row r="1330" spans="3:11" s="418" customFormat="1" x14ac:dyDescent="0.25">
      <c r="C1330" s="301"/>
      <c r="D1330" s="430"/>
      <c r="E1330" s="105"/>
      <c r="F1330" s="105"/>
      <c r="G1330" s="105"/>
      <c r="H1330" s="105"/>
      <c r="I1330" s="340"/>
      <c r="J1330" s="105"/>
      <c r="K1330" s="105"/>
    </row>
    <row r="1331" spans="3:11" s="418" customFormat="1" x14ac:dyDescent="0.25">
      <c r="C1331" s="301"/>
      <c r="D1331" s="430"/>
      <c r="E1331" s="105"/>
      <c r="F1331" s="105"/>
      <c r="G1331" s="105"/>
      <c r="H1331" s="105"/>
      <c r="I1331" s="340"/>
      <c r="J1331" s="105"/>
      <c r="K1331" s="105"/>
    </row>
    <row r="1332" spans="3:11" s="418" customFormat="1" x14ac:dyDescent="0.25">
      <c r="C1332" s="301"/>
      <c r="D1332" s="430"/>
      <c r="E1332" s="105"/>
      <c r="F1332" s="105"/>
      <c r="G1332" s="105"/>
      <c r="H1332" s="105"/>
      <c r="I1332" s="340"/>
      <c r="J1332" s="105"/>
      <c r="K1332" s="105"/>
    </row>
    <row r="1333" spans="3:11" s="418" customFormat="1" x14ac:dyDescent="0.25">
      <c r="C1333" s="301"/>
      <c r="D1333" s="430"/>
      <c r="E1333" s="105"/>
      <c r="F1333" s="105"/>
      <c r="G1333" s="105"/>
      <c r="H1333" s="105"/>
      <c r="I1333" s="340"/>
      <c r="J1333" s="105"/>
      <c r="K1333" s="105"/>
    </row>
    <row r="1334" spans="3:11" s="418" customFormat="1" x14ac:dyDescent="0.25">
      <c r="C1334" s="301"/>
      <c r="D1334" s="430"/>
      <c r="E1334" s="105"/>
      <c r="F1334" s="105"/>
      <c r="G1334" s="105"/>
      <c r="H1334" s="105"/>
      <c r="I1334" s="340"/>
      <c r="J1334" s="105"/>
      <c r="K1334" s="105"/>
    </row>
    <row r="1335" spans="3:11" s="418" customFormat="1" x14ac:dyDescent="0.25">
      <c r="C1335" s="301"/>
      <c r="D1335" s="430"/>
      <c r="E1335" s="105"/>
      <c r="F1335" s="105"/>
      <c r="G1335" s="105"/>
      <c r="H1335" s="105"/>
      <c r="I1335" s="340"/>
      <c r="J1335" s="105"/>
      <c r="K1335" s="105"/>
    </row>
    <row r="1336" spans="3:11" s="418" customFormat="1" x14ac:dyDescent="0.25">
      <c r="C1336" s="301"/>
      <c r="D1336" s="430"/>
      <c r="E1336" s="105"/>
      <c r="F1336" s="105"/>
      <c r="G1336" s="105"/>
      <c r="H1336" s="105"/>
      <c r="I1336" s="340"/>
      <c r="J1336" s="105"/>
      <c r="K1336" s="105"/>
    </row>
    <row r="1337" spans="3:11" s="418" customFormat="1" x14ac:dyDescent="0.25">
      <c r="C1337" s="301"/>
      <c r="D1337" s="430"/>
      <c r="E1337" s="105"/>
      <c r="F1337" s="105"/>
      <c r="G1337" s="105"/>
      <c r="H1337" s="105"/>
      <c r="I1337" s="340"/>
      <c r="J1337" s="105"/>
      <c r="K1337" s="105"/>
    </row>
    <row r="1338" spans="3:11" s="418" customFormat="1" x14ac:dyDescent="0.25">
      <c r="C1338" s="301"/>
      <c r="D1338" s="430"/>
      <c r="E1338" s="105"/>
      <c r="F1338" s="105"/>
      <c r="G1338" s="105"/>
      <c r="H1338" s="105"/>
      <c r="I1338" s="340"/>
      <c r="J1338" s="105"/>
      <c r="K1338" s="105"/>
    </row>
    <row r="1339" spans="3:11" s="418" customFormat="1" x14ac:dyDescent="0.25">
      <c r="C1339" s="301"/>
      <c r="D1339" s="430"/>
      <c r="E1339" s="105"/>
      <c r="F1339" s="105"/>
      <c r="G1339" s="105"/>
      <c r="H1339" s="105"/>
      <c r="I1339" s="340"/>
      <c r="J1339" s="105"/>
      <c r="K1339" s="105"/>
    </row>
    <row r="1340" spans="3:11" s="418" customFormat="1" x14ac:dyDescent="0.25">
      <c r="C1340" s="301"/>
      <c r="D1340" s="430"/>
      <c r="E1340" s="105"/>
      <c r="F1340" s="105"/>
      <c r="G1340" s="105"/>
      <c r="H1340" s="105"/>
      <c r="I1340" s="340"/>
      <c r="J1340" s="105"/>
      <c r="K1340" s="105"/>
    </row>
    <row r="1341" spans="3:11" s="418" customFormat="1" x14ac:dyDescent="0.25">
      <c r="C1341" s="301"/>
      <c r="D1341" s="430"/>
      <c r="E1341" s="105"/>
      <c r="F1341" s="105"/>
      <c r="G1341" s="105"/>
      <c r="H1341" s="105"/>
      <c r="I1341" s="340"/>
      <c r="J1341" s="105"/>
      <c r="K1341" s="105"/>
    </row>
    <row r="1342" spans="3:11" s="418" customFormat="1" x14ac:dyDescent="0.25">
      <c r="C1342" s="301"/>
      <c r="D1342" s="430"/>
      <c r="E1342" s="105"/>
      <c r="F1342" s="105"/>
      <c r="G1342" s="105"/>
      <c r="H1342" s="105"/>
      <c r="I1342" s="340"/>
      <c r="J1342" s="105"/>
      <c r="K1342" s="105"/>
    </row>
    <row r="1343" spans="3:11" s="418" customFormat="1" x14ac:dyDescent="0.25">
      <c r="C1343" s="301"/>
      <c r="D1343" s="430"/>
      <c r="E1343" s="105"/>
      <c r="F1343" s="105"/>
      <c r="G1343" s="105"/>
      <c r="H1343" s="105"/>
      <c r="I1343" s="340"/>
      <c r="J1343" s="105"/>
      <c r="K1343" s="105"/>
    </row>
    <row r="1344" spans="3:11" s="418" customFormat="1" x14ac:dyDescent="0.25">
      <c r="C1344" s="301"/>
      <c r="D1344" s="430"/>
      <c r="E1344" s="105"/>
      <c r="F1344" s="105"/>
      <c r="G1344" s="105"/>
      <c r="H1344" s="105"/>
      <c r="I1344" s="340"/>
      <c r="J1344" s="105"/>
      <c r="K1344" s="105"/>
    </row>
    <row r="1345" spans="3:11" s="418" customFormat="1" x14ac:dyDescent="0.25">
      <c r="C1345" s="301"/>
      <c r="D1345" s="430"/>
      <c r="E1345" s="105"/>
      <c r="F1345" s="105"/>
      <c r="G1345" s="105"/>
      <c r="H1345" s="105"/>
      <c r="I1345" s="340"/>
      <c r="J1345" s="105"/>
      <c r="K1345" s="105"/>
    </row>
    <row r="1346" spans="3:11" s="418" customFormat="1" x14ac:dyDescent="0.25">
      <c r="C1346" s="301"/>
      <c r="D1346" s="430"/>
      <c r="E1346" s="105"/>
      <c r="F1346" s="105"/>
      <c r="G1346" s="105"/>
      <c r="H1346" s="105"/>
      <c r="I1346" s="340"/>
      <c r="J1346" s="105"/>
      <c r="K1346" s="105"/>
    </row>
    <row r="1347" spans="3:11" s="418" customFormat="1" x14ac:dyDescent="0.25">
      <c r="C1347" s="301"/>
      <c r="D1347" s="430"/>
      <c r="E1347" s="105"/>
      <c r="F1347" s="105"/>
      <c r="G1347" s="105"/>
      <c r="H1347" s="105"/>
      <c r="I1347" s="340"/>
      <c r="J1347" s="105"/>
      <c r="K1347" s="105"/>
    </row>
    <row r="1348" spans="3:11" s="418" customFormat="1" x14ac:dyDescent="0.25">
      <c r="C1348" s="301"/>
      <c r="D1348" s="430"/>
      <c r="E1348" s="105"/>
      <c r="F1348" s="105"/>
      <c r="G1348" s="105"/>
      <c r="H1348" s="105"/>
      <c r="I1348" s="340"/>
      <c r="J1348" s="105"/>
      <c r="K1348" s="105"/>
    </row>
    <row r="1349" spans="3:11" s="418" customFormat="1" x14ac:dyDescent="0.25">
      <c r="C1349" s="301"/>
      <c r="D1349" s="430"/>
      <c r="E1349" s="105"/>
      <c r="F1349" s="105"/>
      <c r="G1349" s="105"/>
      <c r="H1349" s="105"/>
      <c r="I1349" s="340"/>
      <c r="J1349" s="105"/>
      <c r="K1349" s="105"/>
    </row>
    <row r="1350" spans="3:11" s="418" customFormat="1" x14ac:dyDescent="0.25">
      <c r="C1350" s="301"/>
      <c r="D1350" s="430"/>
      <c r="E1350" s="105"/>
      <c r="F1350" s="105"/>
      <c r="G1350" s="105"/>
      <c r="H1350" s="105"/>
      <c r="I1350" s="340"/>
      <c r="J1350" s="105"/>
      <c r="K1350" s="105"/>
    </row>
    <row r="1351" spans="3:11" s="418" customFormat="1" x14ac:dyDescent="0.25">
      <c r="C1351" s="301"/>
      <c r="D1351" s="430"/>
      <c r="E1351" s="105"/>
      <c r="F1351" s="105"/>
      <c r="G1351" s="105"/>
      <c r="H1351" s="105"/>
      <c r="I1351" s="340"/>
      <c r="J1351" s="105"/>
      <c r="K1351" s="105"/>
    </row>
    <row r="1352" spans="3:11" s="418" customFormat="1" x14ac:dyDescent="0.25">
      <c r="C1352" s="301"/>
      <c r="D1352" s="430"/>
      <c r="E1352" s="105"/>
      <c r="F1352" s="105"/>
      <c r="G1352" s="105"/>
      <c r="H1352" s="105"/>
      <c r="I1352" s="340"/>
      <c r="J1352" s="105"/>
      <c r="K1352" s="105"/>
    </row>
    <row r="1353" spans="3:11" s="418" customFormat="1" x14ac:dyDescent="0.25">
      <c r="C1353" s="301"/>
      <c r="D1353" s="430"/>
      <c r="E1353" s="105"/>
      <c r="F1353" s="105"/>
      <c r="G1353" s="105"/>
      <c r="H1353" s="105"/>
      <c r="I1353" s="340"/>
      <c r="J1353" s="105"/>
      <c r="K1353" s="105"/>
    </row>
    <row r="1354" spans="3:11" s="418" customFormat="1" x14ac:dyDescent="0.25">
      <c r="C1354" s="301"/>
      <c r="D1354" s="430"/>
      <c r="E1354" s="105"/>
      <c r="F1354" s="105"/>
      <c r="G1354" s="105"/>
      <c r="H1354" s="105"/>
      <c r="I1354" s="340"/>
      <c r="J1354" s="105"/>
      <c r="K1354" s="105"/>
    </row>
    <row r="1355" spans="3:11" s="418" customFormat="1" x14ac:dyDescent="0.25">
      <c r="C1355" s="301"/>
      <c r="D1355" s="430"/>
      <c r="E1355" s="105"/>
      <c r="F1355" s="105"/>
      <c r="G1355" s="105"/>
      <c r="H1355" s="105"/>
      <c r="I1355" s="340"/>
      <c r="J1355" s="105"/>
      <c r="K1355" s="105"/>
    </row>
    <row r="1356" spans="3:11" s="418" customFormat="1" x14ac:dyDescent="0.25">
      <c r="C1356" s="301"/>
      <c r="D1356" s="430"/>
      <c r="E1356" s="105"/>
      <c r="F1356" s="105"/>
      <c r="G1356" s="105"/>
      <c r="H1356" s="105"/>
      <c r="I1356" s="340"/>
      <c r="J1356" s="105"/>
      <c r="K1356" s="105"/>
    </row>
    <row r="1357" spans="3:11" s="418" customFormat="1" x14ac:dyDescent="0.25">
      <c r="C1357" s="301"/>
      <c r="D1357" s="430"/>
      <c r="E1357" s="105"/>
      <c r="F1357" s="105"/>
      <c r="G1357" s="105"/>
      <c r="H1357" s="105"/>
      <c r="I1357" s="340"/>
      <c r="J1357" s="105"/>
      <c r="K1357" s="105"/>
    </row>
    <row r="1358" spans="3:11" s="418" customFormat="1" x14ac:dyDescent="0.25">
      <c r="C1358" s="301"/>
      <c r="D1358" s="430"/>
      <c r="E1358" s="105"/>
      <c r="F1358" s="105"/>
      <c r="G1358" s="105"/>
      <c r="H1358" s="105"/>
      <c r="I1358" s="340"/>
      <c r="J1358" s="105"/>
      <c r="K1358" s="105"/>
    </row>
    <row r="1359" spans="3:11" s="418" customFormat="1" x14ac:dyDescent="0.25">
      <c r="C1359" s="301"/>
      <c r="D1359" s="430"/>
      <c r="E1359" s="105"/>
      <c r="F1359" s="105"/>
      <c r="G1359" s="105"/>
      <c r="H1359" s="105"/>
      <c r="I1359" s="340"/>
      <c r="J1359" s="105"/>
      <c r="K1359" s="105"/>
    </row>
    <row r="1360" spans="3:11" s="418" customFormat="1" x14ac:dyDescent="0.25">
      <c r="C1360" s="301"/>
      <c r="D1360" s="430"/>
      <c r="E1360" s="105"/>
      <c r="F1360" s="105"/>
      <c r="G1360" s="105"/>
      <c r="H1360" s="105"/>
      <c r="I1360" s="340"/>
      <c r="J1360" s="105"/>
      <c r="K1360" s="105"/>
    </row>
    <row r="1361" spans="3:11" s="418" customFormat="1" x14ac:dyDescent="0.25">
      <c r="C1361" s="301"/>
      <c r="D1361" s="430"/>
      <c r="E1361" s="105"/>
      <c r="F1361" s="105"/>
      <c r="G1361" s="105"/>
      <c r="H1361" s="105"/>
      <c r="I1361" s="340"/>
      <c r="J1361" s="105"/>
      <c r="K1361" s="105"/>
    </row>
    <row r="1362" spans="3:11" s="418" customFormat="1" x14ac:dyDescent="0.25">
      <c r="C1362" s="301"/>
      <c r="D1362" s="430"/>
      <c r="E1362" s="105"/>
      <c r="F1362" s="105"/>
      <c r="G1362" s="105"/>
      <c r="H1362" s="105"/>
      <c r="I1362" s="340"/>
      <c r="J1362" s="105"/>
      <c r="K1362" s="105"/>
    </row>
    <row r="1363" spans="3:11" s="418" customFormat="1" x14ac:dyDescent="0.25">
      <c r="C1363" s="301"/>
      <c r="D1363" s="430"/>
      <c r="E1363" s="105"/>
      <c r="F1363" s="105"/>
      <c r="G1363" s="105"/>
      <c r="H1363" s="105"/>
      <c r="I1363" s="340"/>
      <c r="J1363" s="105"/>
      <c r="K1363" s="105"/>
    </row>
    <row r="1364" spans="3:11" s="418" customFormat="1" x14ac:dyDescent="0.25">
      <c r="C1364" s="301"/>
      <c r="D1364" s="430"/>
      <c r="E1364" s="105"/>
      <c r="F1364" s="105"/>
      <c r="G1364" s="105"/>
      <c r="H1364" s="105"/>
      <c r="I1364" s="340"/>
      <c r="J1364" s="105"/>
      <c r="K1364" s="105"/>
    </row>
    <row r="1365" spans="3:11" s="418" customFormat="1" x14ac:dyDescent="0.25">
      <c r="C1365" s="301"/>
      <c r="D1365" s="430"/>
      <c r="E1365" s="105"/>
      <c r="F1365" s="105"/>
      <c r="G1365" s="105"/>
      <c r="H1365" s="105"/>
      <c r="I1365" s="340"/>
      <c r="J1365" s="105"/>
      <c r="K1365" s="105"/>
    </row>
    <row r="1366" spans="3:11" s="418" customFormat="1" x14ac:dyDescent="0.25">
      <c r="C1366" s="301"/>
      <c r="D1366" s="430"/>
      <c r="E1366" s="105"/>
      <c r="F1366" s="105"/>
      <c r="G1366" s="105"/>
      <c r="H1366" s="105"/>
      <c r="I1366" s="340"/>
      <c r="J1366" s="105"/>
      <c r="K1366" s="105"/>
    </row>
    <row r="1367" spans="3:11" s="418" customFormat="1" x14ac:dyDescent="0.25">
      <c r="C1367" s="301"/>
      <c r="D1367" s="430"/>
      <c r="E1367" s="105"/>
      <c r="F1367" s="105"/>
      <c r="G1367" s="105"/>
      <c r="H1367" s="105"/>
      <c r="I1367" s="340"/>
      <c r="J1367" s="105"/>
      <c r="K1367" s="105"/>
    </row>
    <row r="1368" spans="3:11" s="418" customFormat="1" x14ac:dyDescent="0.25">
      <c r="C1368" s="301"/>
      <c r="D1368" s="430"/>
      <c r="E1368" s="105"/>
      <c r="F1368" s="105"/>
      <c r="G1368" s="105"/>
      <c r="H1368" s="105"/>
      <c r="I1368" s="340"/>
      <c r="J1368" s="105"/>
      <c r="K1368" s="105"/>
    </row>
    <row r="1369" spans="3:11" s="418" customFormat="1" x14ac:dyDescent="0.25">
      <c r="C1369" s="301"/>
      <c r="D1369" s="430"/>
      <c r="E1369" s="105"/>
      <c r="F1369" s="105"/>
      <c r="G1369" s="105"/>
      <c r="H1369" s="105"/>
      <c r="I1369" s="340"/>
      <c r="J1369" s="105"/>
      <c r="K1369" s="105"/>
    </row>
    <row r="1370" spans="3:11" s="418" customFormat="1" x14ac:dyDescent="0.25">
      <c r="C1370" s="301"/>
      <c r="D1370" s="430"/>
      <c r="E1370" s="105"/>
      <c r="F1370" s="105"/>
      <c r="G1370" s="105"/>
      <c r="H1370" s="105"/>
      <c r="I1370" s="340"/>
      <c r="J1370" s="105"/>
      <c r="K1370" s="105"/>
    </row>
    <row r="1371" spans="3:11" s="418" customFormat="1" x14ac:dyDescent="0.25">
      <c r="C1371" s="301"/>
      <c r="D1371" s="430"/>
      <c r="E1371" s="105"/>
      <c r="F1371" s="105"/>
      <c r="G1371" s="105"/>
      <c r="H1371" s="105"/>
      <c r="I1371" s="340"/>
      <c r="J1371" s="105"/>
      <c r="K1371" s="105"/>
    </row>
    <row r="1372" spans="3:11" s="418" customFormat="1" x14ac:dyDescent="0.25">
      <c r="C1372" s="301"/>
      <c r="D1372" s="430"/>
      <c r="E1372" s="105"/>
      <c r="F1372" s="105"/>
      <c r="G1372" s="105"/>
      <c r="H1372" s="105"/>
      <c r="I1372" s="340"/>
      <c r="J1372" s="105"/>
      <c r="K1372" s="105"/>
    </row>
    <row r="1373" spans="3:11" s="418" customFormat="1" x14ac:dyDescent="0.25">
      <c r="C1373" s="301"/>
      <c r="D1373" s="430"/>
      <c r="E1373" s="105"/>
      <c r="F1373" s="105"/>
      <c r="G1373" s="105"/>
      <c r="H1373" s="105"/>
      <c r="I1373" s="340"/>
      <c r="J1373" s="105"/>
      <c r="K1373" s="105"/>
    </row>
    <row r="1374" spans="3:11" s="418" customFormat="1" x14ac:dyDescent="0.25">
      <c r="C1374" s="301"/>
      <c r="D1374" s="430"/>
      <c r="E1374" s="105"/>
      <c r="F1374" s="105"/>
      <c r="G1374" s="105"/>
      <c r="H1374" s="105"/>
      <c r="I1374" s="340"/>
      <c r="J1374" s="105"/>
      <c r="K1374" s="105"/>
    </row>
    <row r="1375" spans="3:11" s="418" customFormat="1" x14ac:dyDescent="0.25">
      <c r="C1375" s="301"/>
      <c r="D1375" s="430"/>
      <c r="E1375" s="105"/>
      <c r="F1375" s="105"/>
      <c r="G1375" s="105"/>
      <c r="H1375" s="105"/>
      <c r="I1375" s="340"/>
      <c r="J1375" s="105"/>
      <c r="K1375" s="105"/>
    </row>
    <row r="1376" spans="3:11" s="418" customFormat="1" x14ac:dyDescent="0.25">
      <c r="C1376" s="301"/>
      <c r="D1376" s="430"/>
      <c r="E1376" s="105"/>
      <c r="F1376" s="105"/>
      <c r="G1376" s="105"/>
      <c r="H1376" s="105"/>
      <c r="I1376" s="340"/>
      <c r="J1376" s="105"/>
      <c r="K1376" s="105"/>
    </row>
    <row r="1377" spans="3:11" s="418" customFormat="1" x14ac:dyDescent="0.25">
      <c r="C1377" s="301"/>
      <c r="D1377" s="430"/>
      <c r="E1377" s="105"/>
      <c r="F1377" s="105"/>
      <c r="G1377" s="105"/>
      <c r="H1377" s="105"/>
      <c r="I1377" s="340"/>
      <c r="J1377" s="105"/>
      <c r="K1377" s="105"/>
    </row>
    <row r="1378" spans="3:11" s="418" customFormat="1" x14ac:dyDescent="0.25">
      <c r="C1378" s="301"/>
      <c r="D1378" s="430"/>
      <c r="E1378" s="105"/>
      <c r="F1378" s="105"/>
      <c r="G1378" s="105"/>
      <c r="H1378" s="105"/>
      <c r="I1378" s="340"/>
      <c r="J1378" s="105"/>
      <c r="K1378" s="105"/>
    </row>
    <row r="1379" spans="3:11" s="418" customFormat="1" x14ac:dyDescent="0.25">
      <c r="C1379" s="301"/>
      <c r="D1379" s="430"/>
      <c r="E1379" s="105"/>
      <c r="F1379" s="105"/>
      <c r="G1379" s="105"/>
      <c r="H1379" s="105"/>
      <c r="I1379" s="340"/>
      <c r="J1379" s="105"/>
      <c r="K1379" s="105"/>
    </row>
    <row r="1380" spans="3:11" s="418" customFormat="1" x14ac:dyDescent="0.25">
      <c r="C1380" s="301"/>
      <c r="D1380" s="430"/>
      <c r="E1380" s="105"/>
      <c r="F1380" s="105"/>
      <c r="G1380" s="105"/>
      <c r="H1380" s="105"/>
      <c r="I1380" s="340"/>
      <c r="J1380" s="105"/>
      <c r="K1380" s="105"/>
    </row>
    <row r="1381" spans="3:11" s="418" customFormat="1" x14ac:dyDescent="0.25">
      <c r="C1381" s="301"/>
      <c r="D1381" s="430"/>
      <c r="E1381" s="105"/>
      <c r="F1381" s="105"/>
      <c r="G1381" s="105"/>
      <c r="H1381" s="105"/>
      <c r="I1381" s="340"/>
      <c r="J1381" s="105"/>
      <c r="K1381" s="105"/>
    </row>
    <row r="1382" spans="3:11" s="418" customFormat="1" x14ac:dyDescent="0.25">
      <c r="C1382" s="301"/>
      <c r="D1382" s="430"/>
      <c r="E1382" s="105"/>
      <c r="F1382" s="105"/>
      <c r="G1382" s="105"/>
      <c r="H1382" s="105"/>
      <c r="I1382" s="340"/>
      <c r="J1382" s="105"/>
      <c r="K1382" s="105"/>
    </row>
    <row r="1383" spans="3:11" s="418" customFormat="1" x14ac:dyDescent="0.25">
      <c r="C1383" s="301"/>
      <c r="D1383" s="430"/>
      <c r="E1383" s="105"/>
      <c r="F1383" s="105"/>
      <c r="G1383" s="105"/>
      <c r="H1383" s="105"/>
      <c r="I1383" s="340"/>
      <c r="J1383" s="105"/>
      <c r="K1383" s="105"/>
    </row>
    <row r="1384" spans="3:11" s="418" customFormat="1" x14ac:dyDescent="0.25">
      <c r="C1384" s="301"/>
      <c r="D1384" s="430"/>
      <c r="E1384" s="105"/>
      <c r="F1384" s="105"/>
      <c r="G1384" s="105"/>
      <c r="H1384" s="105"/>
      <c r="I1384" s="340"/>
      <c r="J1384" s="105"/>
      <c r="K1384" s="105"/>
    </row>
    <row r="1385" spans="3:11" s="418" customFormat="1" x14ac:dyDescent="0.25">
      <c r="C1385" s="301"/>
      <c r="D1385" s="430"/>
      <c r="E1385" s="105"/>
      <c r="F1385" s="105"/>
      <c r="G1385" s="105"/>
      <c r="H1385" s="105"/>
      <c r="I1385" s="340"/>
      <c r="J1385" s="105"/>
      <c r="K1385" s="105"/>
    </row>
    <row r="1386" spans="3:11" s="418" customFormat="1" x14ac:dyDescent="0.25">
      <c r="C1386" s="301"/>
      <c r="D1386" s="430"/>
      <c r="E1386" s="105"/>
      <c r="F1386" s="105"/>
      <c r="G1386" s="105"/>
      <c r="H1386" s="105"/>
      <c r="I1386" s="340"/>
      <c r="J1386" s="105"/>
      <c r="K1386" s="105"/>
    </row>
    <row r="1387" spans="3:11" s="418" customFormat="1" x14ac:dyDescent="0.25">
      <c r="C1387" s="301"/>
      <c r="D1387" s="430"/>
      <c r="E1387" s="105"/>
      <c r="F1387" s="105"/>
      <c r="G1387" s="105"/>
      <c r="H1387" s="105"/>
      <c r="I1387" s="340"/>
      <c r="J1387" s="105"/>
      <c r="K1387" s="105"/>
    </row>
    <row r="1388" spans="3:11" s="418" customFormat="1" x14ac:dyDescent="0.25">
      <c r="C1388" s="301"/>
      <c r="D1388" s="430"/>
      <c r="E1388" s="105"/>
      <c r="F1388" s="105"/>
      <c r="G1388" s="105"/>
      <c r="H1388" s="105"/>
      <c r="I1388" s="340"/>
      <c r="J1388" s="105"/>
      <c r="K1388" s="105"/>
    </row>
    <row r="1389" spans="3:11" s="418" customFormat="1" x14ac:dyDescent="0.25">
      <c r="C1389" s="301"/>
      <c r="D1389" s="430"/>
      <c r="E1389" s="105"/>
      <c r="F1389" s="105"/>
      <c r="G1389" s="105"/>
      <c r="H1389" s="105"/>
      <c r="I1389" s="340"/>
      <c r="J1389" s="105"/>
      <c r="K1389" s="105"/>
    </row>
    <row r="1390" spans="3:11" s="418" customFormat="1" x14ac:dyDescent="0.25">
      <c r="C1390" s="301"/>
      <c r="D1390" s="430"/>
      <c r="E1390" s="105"/>
      <c r="F1390" s="105"/>
      <c r="G1390" s="105"/>
      <c r="H1390" s="105"/>
      <c r="I1390" s="340"/>
      <c r="J1390" s="105"/>
      <c r="K1390" s="105"/>
    </row>
    <row r="1391" spans="3:11" s="418" customFormat="1" x14ac:dyDescent="0.25">
      <c r="C1391" s="301"/>
      <c r="D1391" s="430"/>
      <c r="E1391" s="105"/>
      <c r="F1391" s="105"/>
      <c r="G1391" s="105"/>
      <c r="H1391" s="105"/>
      <c r="I1391" s="340"/>
      <c r="J1391" s="105"/>
      <c r="K1391" s="105"/>
    </row>
    <row r="1392" spans="3:11" s="418" customFormat="1" x14ac:dyDescent="0.25">
      <c r="C1392" s="301"/>
      <c r="D1392" s="430"/>
      <c r="E1392" s="105"/>
      <c r="F1392" s="105"/>
      <c r="G1392" s="105"/>
      <c r="H1392" s="105"/>
      <c r="I1392" s="340"/>
      <c r="J1392" s="105"/>
      <c r="K1392" s="105"/>
    </row>
    <row r="1393" spans="3:11" s="418" customFormat="1" x14ac:dyDescent="0.25">
      <c r="C1393" s="301"/>
      <c r="D1393" s="430"/>
      <c r="E1393" s="105"/>
      <c r="F1393" s="105"/>
      <c r="G1393" s="105"/>
      <c r="H1393" s="105"/>
      <c r="I1393" s="340"/>
      <c r="J1393" s="105"/>
      <c r="K1393" s="105"/>
    </row>
    <row r="1394" spans="3:11" s="418" customFormat="1" x14ac:dyDescent="0.25">
      <c r="C1394" s="301"/>
      <c r="D1394" s="430"/>
      <c r="E1394" s="105"/>
      <c r="F1394" s="105"/>
      <c r="G1394" s="105"/>
      <c r="H1394" s="105"/>
      <c r="I1394" s="340"/>
      <c r="J1394" s="105"/>
      <c r="K1394" s="105"/>
    </row>
    <row r="1395" spans="3:11" s="418" customFormat="1" x14ac:dyDescent="0.25">
      <c r="C1395" s="301"/>
      <c r="D1395" s="430"/>
      <c r="E1395" s="105"/>
      <c r="F1395" s="105"/>
      <c r="G1395" s="105"/>
      <c r="H1395" s="105"/>
      <c r="I1395" s="340"/>
      <c r="J1395" s="105"/>
      <c r="K1395" s="105"/>
    </row>
    <row r="1396" spans="3:11" s="418" customFormat="1" x14ac:dyDescent="0.25">
      <c r="C1396" s="301"/>
      <c r="D1396" s="430"/>
      <c r="E1396" s="105"/>
      <c r="F1396" s="105"/>
      <c r="G1396" s="105"/>
      <c r="H1396" s="105"/>
      <c r="I1396" s="340"/>
      <c r="J1396" s="105"/>
      <c r="K1396" s="105"/>
    </row>
    <row r="1397" spans="3:11" s="418" customFormat="1" x14ac:dyDescent="0.25">
      <c r="C1397" s="301"/>
      <c r="D1397" s="430"/>
      <c r="E1397" s="105"/>
      <c r="F1397" s="105"/>
      <c r="G1397" s="105"/>
      <c r="H1397" s="105"/>
      <c r="I1397" s="340"/>
      <c r="J1397" s="105"/>
      <c r="K1397" s="105"/>
    </row>
    <row r="1398" spans="3:11" s="418" customFormat="1" x14ac:dyDescent="0.25">
      <c r="C1398" s="301"/>
      <c r="D1398" s="430"/>
      <c r="E1398" s="105"/>
      <c r="F1398" s="105"/>
      <c r="G1398" s="105"/>
      <c r="H1398" s="105"/>
      <c r="I1398" s="340"/>
      <c r="J1398" s="105"/>
      <c r="K1398" s="105"/>
    </row>
    <row r="1399" spans="3:11" s="418" customFormat="1" x14ac:dyDescent="0.25">
      <c r="C1399" s="301"/>
      <c r="D1399" s="430"/>
      <c r="E1399" s="105"/>
      <c r="F1399" s="105"/>
      <c r="G1399" s="105"/>
      <c r="H1399" s="105"/>
      <c r="I1399" s="340"/>
      <c r="J1399" s="105"/>
      <c r="K1399" s="105"/>
    </row>
    <row r="1400" spans="3:11" s="418" customFormat="1" x14ac:dyDescent="0.25">
      <c r="C1400" s="301"/>
      <c r="D1400" s="430"/>
      <c r="E1400" s="105"/>
      <c r="F1400" s="105"/>
      <c r="G1400" s="105"/>
      <c r="H1400" s="105"/>
      <c r="I1400" s="340"/>
      <c r="J1400" s="105"/>
      <c r="K1400" s="105"/>
    </row>
    <row r="1401" spans="3:11" s="418" customFormat="1" x14ac:dyDescent="0.25">
      <c r="C1401" s="301"/>
      <c r="D1401" s="430"/>
      <c r="E1401" s="105"/>
      <c r="F1401" s="105"/>
      <c r="G1401" s="105"/>
      <c r="H1401" s="105"/>
      <c r="I1401" s="340"/>
      <c r="J1401" s="105"/>
      <c r="K1401" s="105"/>
    </row>
    <row r="1402" spans="3:11" s="418" customFormat="1" x14ac:dyDescent="0.25">
      <c r="C1402" s="301"/>
      <c r="D1402" s="430"/>
      <c r="E1402" s="105"/>
      <c r="F1402" s="105"/>
      <c r="G1402" s="105"/>
      <c r="H1402" s="105"/>
      <c r="I1402" s="340"/>
      <c r="J1402" s="105"/>
      <c r="K1402" s="105"/>
    </row>
    <row r="1403" spans="3:11" s="418" customFormat="1" x14ac:dyDescent="0.25">
      <c r="C1403" s="301"/>
      <c r="D1403" s="430"/>
      <c r="E1403" s="105"/>
      <c r="F1403" s="105"/>
      <c r="G1403" s="105"/>
      <c r="H1403" s="105"/>
      <c r="I1403" s="340"/>
      <c r="J1403" s="105"/>
      <c r="K1403" s="105"/>
    </row>
    <row r="1404" spans="3:11" s="418" customFormat="1" x14ac:dyDescent="0.25">
      <c r="C1404" s="301"/>
      <c r="D1404" s="430"/>
      <c r="E1404" s="105"/>
      <c r="F1404" s="105"/>
      <c r="G1404" s="105"/>
      <c r="H1404" s="105"/>
      <c r="I1404" s="340"/>
      <c r="J1404" s="105"/>
      <c r="K1404" s="105"/>
    </row>
    <row r="1405" spans="3:11" s="418" customFormat="1" x14ac:dyDescent="0.25">
      <c r="C1405" s="301"/>
      <c r="D1405" s="430"/>
      <c r="E1405" s="105"/>
      <c r="F1405" s="105"/>
      <c r="G1405" s="105"/>
      <c r="H1405" s="105"/>
      <c r="I1405" s="340"/>
      <c r="J1405" s="105"/>
      <c r="K1405" s="105"/>
    </row>
    <row r="1406" spans="3:11" s="418" customFormat="1" x14ac:dyDescent="0.25">
      <c r="C1406" s="301"/>
      <c r="D1406" s="430"/>
      <c r="E1406" s="105"/>
      <c r="F1406" s="105"/>
      <c r="G1406" s="105"/>
      <c r="H1406" s="105"/>
      <c r="I1406" s="340"/>
      <c r="J1406" s="105"/>
      <c r="K1406" s="105"/>
    </row>
    <row r="1407" spans="3:11" s="418" customFormat="1" x14ac:dyDescent="0.25">
      <c r="C1407" s="301"/>
      <c r="D1407" s="430"/>
      <c r="E1407" s="105"/>
      <c r="F1407" s="105"/>
      <c r="G1407" s="105"/>
      <c r="H1407" s="105"/>
      <c r="I1407" s="340"/>
      <c r="J1407" s="105"/>
      <c r="K1407" s="105"/>
    </row>
    <row r="1408" spans="3:11" s="418" customFormat="1" x14ac:dyDescent="0.25">
      <c r="C1408" s="301"/>
      <c r="D1408" s="430"/>
      <c r="E1408" s="105"/>
      <c r="F1408" s="105"/>
      <c r="G1408" s="105"/>
      <c r="H1408" s="105"/>
      <c r="I1408" s="340"/>
      <c r="J1408" s="105"/>
      <c r="K1408" s="105"/>
    </row>
    <row r="1409" spans="3:11" s="418" customFormat="1" x14ac:dyDescent="0.25">
      <c r="C1409" s="301"/>
      <c r="D1409" s="430"/>
      <c r="E1409" s="105"/>
      <c r="F1409" s="105"/>
      <c r="G1409" s="105"/>
      <c r="H1409" s="105"/>
      <c r="I1409" s="340"/>
      <c r="J1409" s="105"/>
      <c r="K1409" s="105"/>
    </row>
    <row r="1410" spans="3:11" s="418" customFormat="1" x14ac:dyDescent="0.25">
      <c r="C1410" s="301"/>
      <c r="D1410" s="430"/>
      <c r="E1410" s="105"/>
      <c r="F1410" s="105"/>
      <c r="G1410" s="105"/>
      <c r="H1410" s="105"/>
      <c r="I1410" s="340"/>
      <c r="J1410" s="105"/>
      <c r="K1410" s="105"/>
    </row>
    <row r="1411" spans="3:11" s="418" customFormat="1" x14ac:dyDescent="0.25">
      <c r="C1411" s="301"/>
      <c r="D1411" s="430"/>
      <c r="E1411" s="105"/>
      <c r="F1411" s="105"/>
      <c r="G1411" s="105"/>
      <c r="H1411" s="105"/>
      <c r="I1411" s="340"/>
      <c r="J1411" s="105"/>
      <c r="K1411" s="105"/>
    </row>
    <row r="1412" spans="3:11" s="418" customFormat="1" x14ac:dyDescent="0.25">
      <c r="C1412" s="301"/>
      <c r="D1412" s="430"/>
      <c r="E1412" s="105"/>
      <c r="F1412" s="105"/>
      <c r="G1412" s="105"/>
      <c r="H1412" s="105"/>
      <c r="I1412" s="340"/>
      <c r="J1412" s="105"/>
      <c r="K1412" s="105"/>
    </row>
    <row r="1413" spans="3:11" s="418" customFormat="1" x14ac:dyDescent="0.25">
      <c r="C1413" s="301"/>
      <c r="D1413" s="430"/>
      <c r="E1413" s="105"/>
      <c r="F1413" s="105"/>
      <c r="G1413" s="105"/>
      <c r="H1413" s="105"/>
      <c r="I1413" s="340"/>
      <c r="J1413" s="105"/>
      <c r="K1413" s="105"/>
    </row>
    <row r="1414" spans="3:11" s="418" customFormat="1" x14ac:dyDescent="0.25">
      <c r="C1414" s="301"/>
      <c r="D1414" s="430"/>
      <c r="E1414" s="105"/>
      <c r="F1414" s="105"/>
      <c r="G1414" s="105"/>
      <c r="H1414" s="105"/>
      <c r="I1414" s="340"/>
      <c r="J1414" s="105"/>
      <c r="K1414" s="105"/>
    </row>
    <row r="1415" spans="3:11" s="418" customFormat="1" x14ac:dyDescent="0.25">
      <c r="C1415" s="301"/>
      <c r="D1415" s="430"/>
      <c r="E1415" s="105"/>
      <c r="F1415" s="105"/>
      <c r="G1415" s="105"/>
      <c r="H1415" s="105"/>
      <c r="I1415" s="340"/>
      <c r="J1415" s="105"/>
      <c r="K1415" s="105"/>
    </row>
    <row r="1416" spans="3:11" s="418" customFormat="1" x14ac:dyDescent="0.25">
      <c r="C1416" s="301"/>
      <c r="D1416" s="430"/>
      <c r="E1416" s="105"/>
      <c r="F1416" s="105"/>
      <c r="G1416" s="105"/>
      <c r="H1416" s="105"/>
      <c r="I1416" s="340"/>
      <c r="J1416" s="105"/>
      <c r="K1416" s="105"/>
    </row>
    <row r="1417" spans="3:11" s="418" customFormat="1" x14ac:dyDescent="0.25">
      <c r="C1417" s="301"/>
      <c r="D1417" s="430"/>
      <c r="E1417" s="105"/>
      <c r="F1417" s="105"/>
      <c r="G1417" s="105"/>
      <c r="H1417" s="105"/>
      <c r="I1417" s="340"/>
      <c r="J1417" s="105"/>
      <c r="K1417" s="105"/>
    </row>
    <row r="1418" spans="3:11" s="418" customFormat="1" x14ac:dyDescent="0.25">
      <c r="C1418" s="301"/>
      <c r="D1418" s="430"/>
      <c r="E1418" s="105"/>
      <c r="F1418" s="105"/>
      <c r="G1418" s="105"/>
      <c r="H1418" s="105"/>
      <c r="I1418" s="340"/>
      <c r="J1418" s="105"/>
      <c r="K1418" s="105"/>
    </row>
    <row r="1419" spans="3:11" s="418" customFormat="1" x14ac:dyDescent="0.25">
      <c r="C1419" s="301"/>
      <c r="D1419" s="430"/>
      <c r="E1419" s="105"/>
      <c r="F1419" s="105"/>
      <c r="G1419" s="105"/>
      <c r="H1419" s="105"/>
      <c r="I1419" s="340"/>
      <c r="J1419" s="105"/>
      <c r="K1419" s="105"/>
    </row>
    <row r="1420" spans="3:11" s="418" customFormat="1" x14ac:dyDescent="0.25">
      <c r="C1420" s="301"/>
      <c r="D1420" s="430"/>
      <c r="E1420" s="105"/>
      <c r="F1420" s="105"/>
      <c r="G1420" s="105"/>
      <c r="H1420" s="105"/>
      <c r="I1420" s="340"/>
      <c r="J1420" s="105"/>
      <c r="K1420" s="105"/>
    </row>
    <row r="1421" spans="3:11" s="418" customFormat="1" x14ac:dyDescent="0.25">
      <c r="C1421" s="301"/>
      <c r="D1421" s="430"/>
      <c r="E1421" s="105"/>
      <c r="F1421" s="105"/>
      <c r="G1421" s="105"/>
      <c r="H1421" s="105"/>
      <c r="I1421" s="340"/>
      <c r="J1421" s="105"/>
      <c r="K1421" s="105"/>
    </row>
    <row r="1422" spans="3:11" s="418" customFormat="1" x14ac:dyDescent="0.25">
      <c r="C1422" s="301"/>
      <c r="D1422" s="430"/>
      <c r="E1422" s="105"/>
      <c r="F1422" s="105"/>
      <c r="G1422" s="105"/>
      <c r="H1422" s="105"/>
      <c r="I1422" s="340"/>
      <c r="J1422" s="105"/>
      <c r="K1422" s="105"/>
    </row>
    <row r="1423" spans="3:11" s="418" customFormat="1" x14ac:dyDescent="0.25">
      <c r="C1423" s="301"/>
      <c r="D1423" s="430"/>
      <c r="E1423" s="105"/>
      <c r="F1423" s="105"/>
      <c r="G1423" s="105"/>
      <c r="H1423" s="105"/>
      <c r="I1423" s="340"/>
      <c r="J1423" s="105"/>
      <c r="K1423" s="105"/>
    </row>
    <row r="1424" spans="3:11" s="418" customFormat="1" x14ac:dyDescent="0.25">
      <c r="C1424" s="301"/>
      <c r="D1424" s="430"/>
      <c r="E1424" s="105"/>
      <c r="F1424" s="105"/>
      <c r="G1424" s="105"/>
      <c r="H1424" s="105"/>
      <c r="I1424" s="340"/>
      <c r="J1424" s="105"/>
      <c r="K1424" s="105"/>
    </row>
    <row r="1425" spans="3:11" s="418" customFormat="1" x14ac:dyDescent="0.25">
      <c r="C1425" s="301"/>
      <c r="D1425" s="430"/>
      <c r="E1425" s="105"/>
      <c r="F1425" s="105"/>
      <c r="G1425" s="105"/>
      <c r="H1425" s="105"/>
      <c r="I1425" s="340"/>
      <c r="J1425" s="105"/>
      <c r="K1425" s="105"/>
    </row>
    <row r="1426" spans="3:11" s="418" customFormat="1" x14ac:dyDescent="0.25">
      <c r="C1426" s="301"/>
      <c r="D1426" s="430"/>
      <c r="E1426" s="105"/>
      <c r="F1426" s="105"/>
      <c r="G1426" s="105"/>
      <c r="H1426" s="105"/>
      <c r="I1426" s="340"/>
      <c r="J1426" s="105"/>
      <c r="K1426" s="105"/>
    </row>
    <row r="1427" spans="3:11" s="418" customFormat="1" x14ac:dyDescent="0.25">
      <c r="C1427" s="301"/>
      <c r="D1427" s="430"/>
      <c r="E1427" s="105"/>
      <c r="F1427" s="105"/>
      <c r="G1427" s="105"/>
      <c r="H1427" s="105"/>
      <c r="I1427" s="340"/>
      <c r="J1427" s="105"/>
      <c r="K1427" s="105"/>
    </row>
    <row r="1428" spans="3:11" s="418" customFormat="1" x14ac:dyDescent="0.25">
      <c r="C1428" s="301"/>
      <c r="D1428" s="430"/>
      <c r="E1428" s="105"/>
      <c r="F1428" s="105"/>
      <c r="G1428" s="105"/>
      <c r="H1428" s="105"/>
      <c r="I1428" s="340"/>
      <c r="J1428" s="105"/>
      <c r="K1428" s="105"/>
    </row>
    <row r="1429" spans="3:11" s="418" customFormat="1" x14ac:dyDescent="0.25">
      <c r="C1429" s="301"/>
      <c r="D1429" s="430"/>
      <c r="E1429" s="105"/>
      <c r="F1429" s="105"/>
      <c r="G1429" s="105"/>
      <c r="H1429" s="105"/>
      <c r="I1429" s="340"/>
      <c r="J1429" s="105"/>
      <c r="K1429" s="105"/>
    </row>
    <row r="1430" spans="3:11" s="418" customFormat="1" x14ac:dyDescent="0.25">
      <c r="C1430" s="301"/>
      <c r="D1430" s="430"/>
      <c r="E1430" s="105"/>
      <c r="F1430" s="105"/>
      <c r="G1430" s="105"/>
      <c r="H1430" s="105"/>
      <c r="I1430" s="340"/>
      <c r="J1430" s="105"/>
      <c r="K1430" s="105"/>
    </row>
    <row r="1431" spans="3:11" s="418" customFormat="1" x14ac:dyDescent="0.25">
      <c r="C1431" s="301"/>
      <c r="D1431" s="430"/>
      <c r="E1431" s="105"/>
      <c r="F1431" s="105"/>
      <c r="G1431" s="105"/>
      <c r="H1431" s="105"/>
      <c r="I1431" s="340"/>
      <c r="J1431" s="105"/>
      <c r="K1431" s="105"/>
    </row>
    <row r="1432" spans="3:11" s="418" customFormat="1" x14ac:dyDescent="0.25">
      <c r="C1432" s="301"/>
      <c r="D1432" s="430"/>
      <c r="E1432" s="105"/>
      <c r="F1432" s="105"/>
      <c r="G1432" s="105"/>
      <c r="H1432" s="105"/>
      <c r="I1432" s="340"/>
      <c r="J1432" s="105"/>
      <c r="K1432" s="105"/>
    </row>
    <row r="1433" spans="3:11" s="418" customFormat="1" x14ac:dyDescent="0.25">
      <c r="C1433" s="301"/>
      <c r="D1433" s="430"/>
      <c r="E1433" s="105"/>
      <c r="F1433" s="105"/>
      <c r="G1433" s="105"/>
      <c r="H1433" s="105"/>
      <c r="I1433" s="340"/>
      <c r="J1433" s="105"/>
      <c r="K1433" s="105"/>
    </row>
    <row r="1434" spans="3:11" s="418" customFormat="1" x14ac:dyDescent="0.25">
      <c r="C1434" s="301"/>
      <c r="D1434" s="430"/>
      <c r="E1434" s="105"/>
      <c r="F1434" s="105"/>
      <c r="G1434" s="105"/>
      <c r="H1434" s="105"/>
      <c r="I1434" s="340"/>
      <c r="J1434" s="105"/>
      <c r="K1434" s="105"/>
    </row>
    <row r="1435" spans="3:11" s="418" customFormat="1" x14ac:dyDescent="0.25">
      <c r="C1435" s="301"/>
      <c r="D1435" s="430"/>
      <c r="E1435" s="105"/>
      <c r="F1435" s="105"/>
      <c r="G1435" s="105"/>
      <c r="H1435" s="105"/>
      <c r="I1435" s="340"/>
      <c r="J1435" s="105"/>
      <c r="K1435" s="105"/>
    </row>
    <row r="1436" spans="3:11" s="418" customFormat="1" x14ac:dyDescent="0.25">
      <c r="C1436" s="301"/>
      <c r="D1436" s="430"/>
      <c r="E1436" s="105"/>
      <c r="F1436" s="105"/>
      <c r="G1436" s="105"/>
      <c r="H1436" s="105"/>
      <c r="I1436" s="340"/>
      <c r="J1436" s="105"/>
      <c r="K1436" s="105"/>
    </row>
    <row r="1437" spans="3:11" s="418" customFormat="1" x14ac:dyDescent="0.25">
      <c r="C1437" s="301"/>
      <c r="D1437" s="430"/>
      <c r="E1437" s="105"/>
      <c r="F1437" s="105"/>
      <c r="G1437" s="105"/>
      <c r="H1437" s="105"/>
      <c r="I1437" s="340"/>
      <c r="J1437" s="105"/>
      <c r="K1437" s="105"/>
    </row>
    <row r="1438" spans="3:11" s="418" customFormat="1" x14ac:dyDescent="0.25">
      <c r="C1438" s="301"/>
      <c r="D1438" s="430"/>
      <c r="E1438" s="105"/>
      <c r="F1438" s="105"/>
      <c r="G1438" s="105"/>
      <c r="H1438" s="105"/>
      <c r="I1438" s="340"/>
      <c r="J1438" s="105"/>
      <c r="K1438" s="105"/>
    </row>
    <row r="1439" spans="3:11" s="418" customFormat="1" x14ac:dyDescent="0.25">
      <c r="C1439" s="301"/>
      <c r="D1439" s="430"/>
      <c r="E1439" s="105"/>
      <c r="F1439" s="105"/>
      <c r="G1439" s="105"/>
      <c r="H1439" s="105"/>
      <c r="I1439" s="340"/>
      <c r="J1439" s="105"/>
      <c r="K1439" s="105"/>
    </row>
    <row r="1440" spans="3:11" s="418" customFormat="1" x14ac:dyDescent="0.25">
      <c r="C1440" s="301"/>
      <c r="D1440" s="430"/>
      <c r="E1440" s="105"/>
      <c r="F1440" s="105"/>
      <c r="G1440" s="105"/>
      <c r="H1440" s="105"/>
      <c r="I1440" s="340"/>
      <c r="J1440" s="105"/>
      <c r="K1440" s="105"/>
    </row>
    <row r="1441" spans="3:11" s="418" customFormat="1" x14ac:dyDescent="0.25">
      <c r="C1441" s="301"/>
      <c r="D1441" s="430"/>
      <c r="E1441" s="105"/>
      <c r="F1441" s="105"/>
      <c r="G1441" s="105"/>
      <c r="H1441" s="105"/>
      <c r="I1441" s="340"/>
      <c r="J1441" s="105"/>
      <c r="K1441" s="105"/>
    </row>
    <row r="1442" spans="3:11" s="418" customFormat="1" x14ac:dyDescent="0.25">
      <c r="C1442" s="301"/>
      <c r="D1442" s="430"/>
      <c r="E1442" s="105"/>
      <c r="F1442" s="105"/>
      <c r="G1442" s="105"/>
      <c r="H1442" s="105"/>
      <c r="I1442" s="340"/>
      <c r="J1442" s="105"/>
      <c r="K1442" s="105"/>
    </row>
    <row r="1443" spans="3:11" s="418" customFormat="1" x14ac:dyDescent="0.25">
      <c r="C1443" s="301"/>
      <c r="D1443" s="430"/>
      <c r="E1443" s="105"/>
      <c r="F1443" s="105"/>
      <c r="G1443" s="105"/>
      <c r="H1443" s="105"/>
      <c r="I1443" s="340"/>
      <c r="J1443" s="105"/>
      <c r="K1443" s="105"/>
    </row>
    <row r="1444" spans="3:11" s="418" customFormat="1" x14ac:dyDescent="0.25">
      <c r="C1444" s="301"/>
      <c r="D1444" s="430"/>
      <c r="E1444" s="105"/>
      <c r="F1444" s="105"/>
      <c r="G1444" s="105"/>
      <c r="H1444" s="105"/>
      <c r="I1444" s="340"/>
      <c r="J1444" s="105"/>
      <c r="K1444" s="105"/>
    </row>
    <row r="1445" spans="3:11" s="418" customFormat="1" x14ac:dyDescent="0.25">
      <c r="C1445" s="301"/>
      <c r="D1445" s="430"/>
      <c r="E1445" s="105"/>
      <c r="F1445" s="105"/>
      <c r="G1445" s="105"/>
      <c r="H1445" s="105"/>
      <c r="I1445" s="340"/>
      <c r="J1445" s="105"/>
      <c r="K1445" s="105"/>
    </row>
    <row r="1446" spans="3:11" s="418" customFormat="1" x14ac:dyDescent="0.25">
      <c r="C1446" s="301"/>
      <c r="D1446" s="430"/>
      <c r="E1446" s="105"/>
      <c r="F1446" s="105"/>
      <c r="G1446" s="105"/>
      <c r="H1446" s="105"/>
      <c r="I1446" s="340"/>
      <c r="J1446" s="105"/>
      <c r="K1446" s="105"/>
    </row>
    <row r="1447" spans="3:11" s="418" customFormat="1" x14ac:dyDescent="0.25">
      <c r="C1447" s="301"/>
      <c r="D1447" s="430"/>
      <c r="E1447" s="105"/>
      <c r="F1447" s="105"/>
      <c r="G1447" s="105"/>
      <c r="H1447" s="105"/>
      <c r="I1447" s="340"/>
      <c r="J1447" s="105"/>
      <c r="K1447" s="105"/>
    </row>
    <row r="1448" spans="3:11" s="418" customFormat="1" x14ac:dyDescent="0.25">
      <c r="C1448" s="301"/>
      <c r="D1448" s="430"/>
      <c r="E1448" s="105"/>
      <c r="F1448" s="105"/>
      <c r="G1448" s="105"/>
      <c r="H1448" s="105"/>
      <c r="I1448" s="340"/>
      <c r="J1448" s="105"/>
      <c r="K1448" s="105"/>
    </row>
    <row r="1449" spans="3:11" s="418" customFormat="1" x14ac:dyDescent="0.25">
      <c r="C1449" s="301"/>
      <c r="D1449" s="430"/>
      <c r="E1449" s="105"/>
      <c r="F1449" s="105"/>
      <c r="G1449" s="105"/>
      <c r="H1449" s="105"/>
      <c r="I1449" s="340"/>
      <c r="J1449" s="105"/>
      <c r="K1449" s="105"/>
    </row>
    <row r="1450" spans="3:11" s="418" customFormat="1" x14ac:dyDescent="0.25">
      <c r="C1450" s="301"/>
      <c r="D1450" s="430"/>
      <c r="E1450" s="105"/>
      <c r="F1450" s="105"/>
      <c r="G1450" s="105"/>
      <c r="H1450" s="105"/>
      <c r="I1450" s="340"/>
      <c r="J1450" s="105"/>
      <c r="K1450" s="105"/>
    </row>
    <row r="1451" spans="3:11" s="418" customFormat="1" x14ac:dyDescent="0.25">
      <c r="C1451" s="301"/>
      <c r="D1451" s="430"/>
      <c r="E1451" s="105"/>
      <c r="F1451" s="105"/>
      <c r="G1451" s="105"/>
      <c r="H1451" s="105"/>
      <c r="I1451" s="340"/>
      <c r="J1451" s="105"/>
      <c r="K1451" s="105"/>
    </row>
    <row r="1452" spans="3:11" s="418" customFormat="1" x14ac:dyDescent="0.25">
      <c r="C1452" s="301"/>
      <c r="D1452" s="430"/>
      <c r="E1452" s="105"/>
      <c r="F1452" s="105"/>
      <c r="G1452" s="105"/>
      <c r="H1452" s="105"/>
      <c r="I1452" s="340"/>
      <c r="J1452" s="105"/>
      <c r="K1452" s="105"/>
    </row>
    <row r="1453" spans="3:11" s="418" customFormat="1" x14ac:dyDescent="0.25">
      <c r="C1453" s="301"/>
      <c r="D1453" s="430"/>
      <c r="E1453" s="105"/>
      <c r="F1453" s="105"/>
      <c r="G1453" s="105"/>
      <c r="H1453" s="105"/>
      <c r="I1453" s="340"/>
      <c r="J1453" s="105"/>
      <c r="K1453" s="105"/>
    </row>
    <row r="1454" spans="3:11" s="418" customFormat="1" x14ac:dyDescent="0.25">
      <c r="C1454" s="301"/>
      <c r="D1454" s="430"/>
      <c r="E1454" s="105"/>
      <c r="F1454" s="105"/>
      <c r="G1454" s="105"/>
      <c r="H1454" s="105"/>
      <c r="I1454" s="340"/>
      <c r="J1454" s="105"/>
      <c r="K1454" s="105"/>
    </row>
    <row r="1455" spans="3:11" s="418" customFormat="1" x14ac:dyDescent="0.25">
      <c r="C1455" s="301"/>
      <c r="D1455" s="430"/>
      <c r="E1455" s="105"/>
      <c r="F1455" s="105"/>
      <c r="G1455" s="105"/>
      <c r="H1455" s="105"/>
      <c r="I1455" s="340"/>
      <c r="J1455" s="105"/>
      <c r="K1455" s="105"/>
    </row>
    <row r="1456" spans="3:11" s="418" customFormat="1" x14ac:dyDescent="0.25">
      <c r="C1456" s="301"/>
      <c r="D1456" s="430"/>
      <c r="E1456" s="105"/>
      <c r="F1456" s="105"/>
      <c r="G1456" s="105"/>
      <c r="H1456" s="105"/>
      <c r="I1456" s="340"/>
      <c r="J1456" s="105"/>
      <c r="K1456" s="105"/>
    </row>
    <row r="1457" spans="3:11" s="418" customFormat="1" x14ac:dyDescent="0.25">
      <c r="C1457" s="301"/>
      <c r="D1457" s="430"/>
      <c r="E1457" s="105"/>
      <c r="F1457" s="105"/>
      <c r="G1457" s="105"/>
      <c r="H1457" s="105"/>
      <c r="I1457" s="340"/>
      <c r="J1457" s="105"/>
      <c r="K1457" s="105"/>
    </row>
    <row r="1458" spans="3:11" s="418" customFormat="1" x14ac:dyDescent="0.25">
      <c r="C1458" s="301"/>
      <c r="D1458" s="430"/>
      <c r="E1458" s="105"/>
      <c r="F1458" s="105"/>
      <c r="G1458" s="105"/>
      <c r="H1458" s="105"/>
      <c r="I1458" s="340"/>
      <c r="J1458" s="105"/>
      <c r="K1458" s="105"/>
    </row>
    <row r="1459" spans="3:11" s="418" customFormat="1" x14ac:dyDescent="0.25">
      <c r="C1459" s="301"/>
      <c r="D1459" s="430"/>
      <c r="E1459" s="105"/>
      <c r="F1459" s="105"/>
      <c r="G1459" s="105"/>
      <c r="H1459" s="105"/>
      <c r="I1459" s="340"/>
      <c r="J1459" s="105"/>
      <c r="K1459" s="105"/>
    </row>
    <row r="1460" spans="3:11" s="418" customFormat="1" x14ac:dyDescent="0.25">
      <c r="C1460" s="301"/>
      <c r="D1460" s="430"/>
      <c r="E1460" s="105"/>
      <c r="F1460" s="105"/>
      <c r="G1460" s="105"/>
      <c r="H1460" s="105"/>
      <c r="I1460" s="340"/>
      <c r="J1460" s="105"/>
      <c r="K1460" s="105"/>
    </row>
    <row r="1461" spans="3:11" s="418" customFormat="1" x14ac:dyDescent="0.25">
      <c r="C1461" s="301"/>
      <c r="D1461" s="430"/>
      <c r="E1461" s="105"/>
      <c r="F1461" s="105"/>
      <c r="G1461" s="105"/>
      <c r="H1461" s="105"/>
      <c r="I1461" s="340"/>
      <c r="J1461" s="105"/>
      <c r="K1461" s="105"/>
    </row>
    <row r="1462" spans="3:11" s="418" customFormat="1" x14ac:dyDescent="0.25">
      <c r="C1462" s="301"/>
      <c r="D1462" s="430"/>
      <c r="E1462" s="105"/>
      <c r="F1462" s="105"/>
      <c r="G1462" s="105"/>
      <c r="H1462" s="105"/>
      <c r="I1462" s="340"/>
      <c r="J1462" s="105"/>
      <c r="K1462" s="105"/>
    </row>
    <row r="1463" spans="3:11" s="418" customFormat="1" x14ac:dyDescent="0.25">
      <c r="C1463" s="301"/>
      <c r="D1463" s="430"/>
      <c r="E1463" s="105"/>
      <c r="F1463" s="105"/>
      <c r="G1463" s="105"/>
      <c r="H1463" s="105"/>
      <c r="I1463" s="340"/>
      <c r="J1463" s="105"/>
      <c r="K1463" s="105"/>
    </row>
    <row r="1464" spans="3:11" s="418" customFormat="1" x14ac:dyDescent="0.25">
      <c r="C1464" s="301"/>
      <c r="D1464" s="430"/>
      <c r="E1464" s="105"/>
      <c r="F1464" s="105"/>
      <c r="G1464" s="105"/>
      <c r="H1464" s="105"/>
      <c r="I1464" s="340"/>
      <c r="J1464" s="105"/>
      <c r="K1464" s="105"/>
    </row>
    <row r="1465" spans="3:11" s="418" customFormat="1" x14ac:dyDescent="0.25">
      <c r="C1465" s="301"/>
      <c r="D1465" s="430"/>
      <c r="E1465" s="105"/>
      <c r="F1465" s="105"/>
      <c r="G1465" s="105"/>
      <c r="H1465" s="105"/>
      <c r="I1465" s="340"/>
      <c r="J1465" s="105"/>
      <c r="K1465" s="105"/>
    </row>
    <row r="1466" spans="3:11" s="418" customFormat="1" x14ac:dyDescent="0.25">
      <c r="C1466" s="301"/>
      <c r="D1466" s="430"/>
      <c r="E1466" s="105"/>
      <c r="F1466" s="105"/>
      <c r="G1466" s="105"/>
      <c r="H1466" s="105"/>
      <c r="I1466" s="340"/>
      <c r="J1466" s="105"/>
      <c r="K1466" s="105"/>
    </row>
    <row r="1467" spans="3:11" s="418" customFormat="1" x14ac:dyDescent="0.25">
      <c r="C1467" s="301"/>
      <c r="D1467" s="430"/>
      <c r="E1467" s="105"/>
      <c r="F1467" s="105"/>
      <c r="G1467" s="105"/>
      <c r="H1467" s="105"/>
      <c r="I1467" s="340"/>
      <c r="J1467" s="105"/>
      <c r="K1467" s="105"/>
    </row>
    <row r="1468" spans="3:11" s="418" customFormat="1" x14ac:dyDescent="0.25">
      <c r="C1468" s="301"/>
      <c r="D1468" s="430"/>
      <c r="E1468" s="105"/>
      <c r="F1468" s="105"/>
      <c r="G1468" s="105"/>
      <c r="H1468" s="105"/>
      <c r="I1468" s="340"/>
      <c r="J1468" s="105"/>
      <c r="K1468" s="105"/>
    </row>
    <row r="1469" spans="3:11" s="418" customFormat="1" x14ac:dyDescent="0.25">
      <c r="C1469" s="301"/>
      <c r="D1469" s="430"/>
      <c r="E1469" s="105"/>
      <c r="F1469" s="105"/>
      <c r="G1469" s="105"/>
      <c r="H1469" s="105"/>
      <c r="I1469" s="340"/>
      <c r="J1469" s="105"/>
      <c r="K1469" s="105"/>
    </row>
    <row r="1470" spans="3:11" s="418" customFormat="1" x14ac:dyDescent="0.25">
      <c r="C1470" s="301"/>
      <c r="D1470" s="430"/>
      <c r="E1470" s="105"/>
      <c r="F1470" s="105"/>
      <c r="G1470" s="105"/>
      <c r="H1470" s="105"/>
      <c r="I1470" s="340"/>
      <c r="J1470" s="105"/>
      <c r="K1470" s="105"/>
    </row>
    <row r="1471" spans="3:11" s="418" customFormat="1" x14ac:dyDescent="0.25">
      <c r="C1471" s="301"/>
      <c r="D1471" s="430"/>
      <c r="E1471" s="105"/>
      <c r="F1471" s="105"/>
      <c r="G1471" s="105"/>
      <c r="H1471" s="105"/>
      <c r="I1471" s="340"/>
      <c r="J1471" s="105"/>
      <c r="K1471" s="105"/>
    </row>
    <row r="1472" spans="3:11" s="418" customFormat="1" x14ac:dyDescent="0.25">
      <c r="C1472" s="301"/>
      <c r="D1472" s="430"/>
      <c r="E1472" s="105"/>
      <c r="F1472" s="105"/>
      <c r="G1472" s="105"/>
      <c r="H1472" s="105"/>
      <c r="I1472" s="340"/>
      <c r="J1472" s="105"/>
      <c r="K1472" s="105"/>
    </row>
    <row r="1473" spans="3:11" s="418" customFormat="1" x14ac:dyDescent="0.25">
      <c r="C1473" s="301"/>
      <c r="D1473" s="430"/>
      <c r="E1473" s="105"/>
      <c r="F1473" s="105"/>
      <c r="G1473" s="105"/>
      <c r="H1473" s="105"/>
      <c r="I1473" s="340"/>
      <c r="J1473" s="105"/>
      <c r="K1473" s="105"/>
    </row>
    <row r="1474" spans="3:11" s="418" customFormat="1" x14ac:dyDescent="0.25">
      <c r="C1474" s="301"/>
      <c r="D1474" s="430"/>
      <c r="E1474" s="105"/>
      <c r="F1474" s="105"/>
      <c r="G1474" s="105"/>
      <c r="H1474" s="105"/>
      <c r="I1474" s="340"/>
      <c r="J1474" s="105"/>
      <c r="K1474" s="105"/>
    </row>
    <row r="1475" spans="3:11" s="418" customFormat="1" x14ac:dyDescent="0.25">
      <c r="C1475" s="301"/>
      <c r="D1475" s="430"/>
      <c r="E1475" s="105"/>
      <c r="F1475" s="105"/>
      <c r="G1475" s="105"/>
      <c r="H1475" s="105"/>
      <c r="I1475" s="340"/>
      <c r="J1475" s="105"/>
      <c r="K1475" s="105"/>
    </row>
    <row r="1476" spans="3:11" s="418" customFormat="1" x14ac:dyDescent="0.25">
      <c r="C1476" s="301"/>
      <c r="D1476" s="430"/>
      <c r="E1476" s="105"/>
      <c r="F1476" s="105"/>
      <c r="G1476" s="105"/>
      <c r="H1476" s="105"/>
      <c r="I1476" s="340"/>
      <c r="J1476" s="105"/>
      <c r="K1476" s="105"/>
    </row>
    <row r="1477" spans="3:11" s="418" customFormat="1" x14ac:dyDescent="0.25">
      <c r="C1477" s="301"/>
      <c r="D1477" s="430"/>
      <c r="E1477" s="105"/>
      <c r="F1477" s="105"/>
      <c r="G1477" s="105"/>
      <c r="H1477" s="105"/>
      <c r="I1477" s="340"/>
      <c r="J1477" s="105"/>
      <c r="K1477" s="105"/>
    </row>
    <row r="1478" spans="3:11" s="418" customFormat="1" x14ac:dyDescent="0.25">
      <c r="C1478" s="301"/>
      <c r="D1478" s="430"/>
      <c r="E1478" s="105"/>
      <c r="F1478" s="105"/>
      <c r="G1478" s="105"/>
      <c r="H1478" s="105"/>
      <c r="I1478" s="340"/>
      <c r="J1478" s="105"/>
      <c r="K1478" s="105"/>
    </row>
    <row r="1479" spans="3:11" s="418" customFormat="1" x14ac:dyDescent="0.25">
      <c r="C1479" s="301"/>
      <c r="D1479" s="430"/>
      <c r="E1479" s="105"/>
      <c r="F1479" s="105"/>
      <c r="G1479" s="105"/>
      <c r="H1479" s="105"/>
      <c r="I1479" s="340"/>
      <c r="J1479" s="105"/>
      <c r="K1479" s="105"/>
    </row>
    <row r="1480" spans="3:11" s="418" customFormat="1" x14ac:dyDescent="0.25">
      <c r="C1480" s="301"/>
      <c r="D1480" s="430"/>
      <c r="E1480" s="105"/>
      <c r="F1480" s="105"/>
      <c r="G1480" s="105"/>
      <c r="H1480" s="105"/>
      <c r="I1480" s="340"/>
      <c r="J1480" s="105"/>
      <c r="K1480" s="105"/>
    </row>
    <row r="1481" spans="3:11" s="418" customFormat="1" x14ac:dyDescent="0.25">
      <c r="C1481" s="301"/>
      <c r="D1481" s="430"/>
      <c r="E1481" s="105"/>
      <c r="F1481" s="105"/>
      <c r="G1481" s="105"/>
      <c r="H1481" s="105"/>
      <c r="I1481" s="340"/>
      <c r="J1481" s="105"/>
      <c r="K1481" s="105"/>
    </row>
    <row r="1482" spans="3:11" s="418" customFormat="1" x14ac:dyDescent="0.25">
      <c r="C1482" s="301"/>
      <c r="D1482" s="430"/>
      <c r="E1482" s="105"/>
      <c r="F1482" s="105"/>
      <c r="G1482" s="105"/>
      <c r="H1482" s="105"/>
      <c r="I1482" s="340"/>
      <c r="J1482" s="105"/>
      <c r="K1482" s="105"/>
    </row>
    <row r="1483" spans="3:11" s="418" customFormat="1" x14ac:dyDescent="0.25">
      <c r="C1483" s="301"/>
      <c r="D1483" s="430"/>
      <c r="E1483" s="105"/>
      <c r="F1483" s="105"/>
      <c r="G1483" s="105"/>
      <c r="H1483" s="105"/>
      <c r="I1483" s="340"/>
      <c r="J1483" s="105"/>
      <c r="K1483" s="105"/>
    </row>
    <row r="1484" spans="3:11" s="418" customFormat="1" x14ac:dyDescent="0.25">
      <c r="C1484" s="301"/>
      <c r="D1484" s="430"/>
      <c r="E1484" s="105"/>
      <c r="F1484" s="105"/>
      <c r="G1484" s="105"/>
      <c r="H1484" s="105"/>
      <c r="I1484" s="340"/>
      <c r="J1484" s="105"/>
      <c r="K1484" s="105"/>
    </row>
    <row r="1485" spans="3:11" s="418" customFormat="1" x14ac:dyDescent="0.25">
      <c r="C1485" s="301"/>
      <c r="D1485" s="430"/>
      <c r="E1485" s="105"/>
      <c r="F1485" s="105"/>
      <c r="G1485" s="105"/>
      <c r="H1485" s="105"/>
      <c r="I1485" s="340"/>
      <c r="J1485" s="105"/>
      <c r="K1485" s="105"/>
    </row>
    <row r="1486" spans="3:11" s="418" customFormat="1" x14ac:dyDescent="0.25">
      <c r="C1486" s="301"/>
      <c r="D1486" s="430"/>
      <c r="E1486" s="105"/>
      <c r="F1486" s="105"/>
      <c r="G1486" s="105"/>
      <c r="H1486" s="105"/>
      <c r="I1486" s="340"/>
      <c r="J1486" s="105"/>
      <c r="K1486" s="105"/>
    </row>
    <row r="1487" spans="3:11" s="418" customFormat="1" x14ac:dyDescent="0.25">
      <c r="C1487" s="301"/>
      <c r="D1487" s="430"/>
      <c r="E1487" s="105"/>
      <c r="F1487" s="105"/>
      <c r="G1487" s="105"/>
      <c r="H1487" s="105"/>
      <c r="I1487" s="340"/>
      <c r="J1487" s="105"/>
      <c r="K1487" s="105"/>
    </row>
    <row r="1488" spans="3:11" s="418" customFormat="1" x14ac:dyDescent="0.25">
      <c r="C1488" s="301"/>
      <c r="D1488" s="430"/>
      <c r="E1488" s="105"/>
      <c r="F1488" s="105"/>
      <c r="G1488" s="105"/>
      <c r="H1488" s="105"/>
      <c r="I1488" s="340"/>
      <c r="J1488" s="105"/>
      <c r="K1488" s="105"/>
    </row>
    <row r="1489" spans="3:11" s="418" customFormat="1" x14ac:dyDescent="0.25">
      <c r="C1489" s="301"/>
      <c r="D1489" s="430"/>
      <c r="E1489" s="105"/>
      <c r="F1489" s="105"/>
      <c r="G1489" s="105"/>
      <c r="H1489" s="105"/>
      <c r="I1489" s="340"/>
      <c r="J1489" s="105"/>
      <c r="K1489" s="105"/>
    </row>
    <row r="1490" spans="3:11" s="418" customFormat="1" x14ac:dyDescent="0.25">
      <c r="C1490" s="301"/>
      <c r="D1490" s="430"/>
      <c r="E1490" s="105"/>
      <c r="F1490" s="105"/>
      <c r="G1490" s="105"/>
      <c r="H1490" s="105"/>
      <c r="I1490" s="340"/>
      <c r="J1490" s="105"/>
      <c r="K1490" s="105"/>
    </row>
    <row r="1491" spans="3:11" s="418" customFormat="1" x14ac:dyDescent="0.25">
      <c r="C1491" s="301"/>
      <c r="D1491" s="430"/>
      <c r="E1491" s="105"/>
      <c r="F1491" s="105"/>
      <c r="G1491" s="105"/>
      <c r="H1491" s="105"/>
      <c r="I1491" s="340"/>
      <c r="J1491" s="105"/>
      <c r="K1491" s="105"/>
    </row>
    <row r="1492" spans="3:11" s="418" customFormat="1" x14ac:dyDescent="0.25">
      <c r="C1492" s="301"/>
      <c r="D1492" s="430"/>
      <c r="E1492" s="105"/>
      <c r="F1492" s="105"/>
      <c r="G1492" s="105"/>
      <c r="H1492" s="105"/>
      <c r="I1492" s="340"/>
      <c r="J1492" s="105"/>
      <c r="K1492" s="105"/>
    </row>
    <row r="1493" spans="3:11" s="418" customFormat="1" x14ac:dyDescent="0.25">
      <c r="C1493" s="301"/>
      <c r="D1493" s="430"/>
      <c r="E1493" s="105"/>
      <c r="F1493" s="105"/>
      <c r="G1493" s="105"/>
      <c r="H1493" s="105"/>
      <c r="I1493" s="340"/>
      <c r="J1493" s="105"/>
      <c r="K1493" s="105"/>
    </row>
    <row r="1494" spans="3:11" s="418" customFormat="1" x14ac:dyDescent="0.25">
      <c r="C1494" s="301"/>
      <c r="D1494" s="430"/>
      <c r="E1494" s="105"/>
      <c r="F1494" s="105"/>
      <c r="G1494" s="105"/>
      <c r="H1494" s="105"/>
      <c r="I1494" s="340"/>
      <c r="J1494" s="105"/>
      <c r="K1494" s="105"/>
    </row>
    <row r="1495" spans="3:11" s="418" customFormat="1" x14ac:dyDescent="0.25">
      <c r="C1495" s="301"/>
      <c r="D1495" s="430"/>
      <c r="E1495" s="105"/>
      <c r="F1495" s="105"/>
      <c r="G1495" s="105"/>
      <c r="H1495" s="105"/>
      <c r="I1495" s="340"/>
      <c r="J1495" s="105"/>
      <c r="K1495" s="105"/>
    </row>
    <row r="1496" spans="3:11" s="418" customFormat="1" x14ac:dyDescent="0.25">
      <c r="C1496" s="301"/>
      <c r="D1496" s="430"/>
      <c r="E1496" s="105"/>
      <c r="F1496" s="105"/>
      <c r="G1496" s="105"/>
      <c r="H1496" s="105"/>
      <c r="I1496" s="340"/>
      <c r="J1496" s="105"/>
      <c r="K1496" s="105"/>
    </row>
    <row r="1497" spans="3:11" s="418" customFormat="1" x14ac:dyDescent="0.25">
      <c r="C1497" s="301"/>
      <c r="D1497" s="430"/>
      <c r="E1497" s="105"/>
      <c r="F1497" s="105"/>
      <c r="G1497" s="105"/>
      <c r="H1497" s="105"/>
      <c r="I1497" s="340"/>
      <c r="J1497" s="105"/>
      <c r="K1497" s="105"/>
    </row>
    <row r="1498" spans="3:11" s="418" customFormat="1" x14ac:dyDescent="0.25">
      <c r="C1498" s="301"/>
      <c r="D1498" s="430"/>
      <c r="E1498" s="105"/>
      <c r="F1498" s="105"/>
      <c r="G1498" s="105"/>
      <c r="H1498" s="105"/>
      <c r="I1498" s="340"/>
      <c r="J1498" s="105"/>
      <c r="K1498" s="105"/>
    </row>
    <row r="1499" spans="3:11" s="418" customFormat="1" x14ac:dyDescent="0.25">
      <c r="C1499" s="301"/>
      <c r="D1499" s="430"/>
      <c r="E1499" s="105"/>
      <c r="F1499" s="105"/>
      <c r="G1499" s="105"/>
      <c r="H1499" s="105"/>
      <c r="I1499" s="340"/>
      <c r="J1499" s="105"/>
      <c r="K1499" s="105"/>
    </row>
    <row r="1500" spans="3:11" s="418" customFormat="1" x14ac:dyDescent="0.25">
      <c r="C1500" s="301"/>
      <c r="D1500" s="430"/>
      <c r="E1500" s="105"/>
      <c r="F1500" s="105"/>
      <c r="G1500" s="105"/>
      <c r="H1500" s="105"/>
      <c r="I1500" s="340"/>
      <c r="J1500" s="105"/>
      <c r="K1500" s="105"/>
    </row>
    <row r="1501" spans="3:11" s="418" customFormat="1" x14ac:dyDescent="0.25">
      <c r="C1501" s="301"/>
      <c r="D1501" s="430"/>
      <c r="E1501" s="105"/>
      <c r="F1501" s="105"/>
      <c r="G1501" s="105"/>
      <c r="H1501" s="105"/>
      <c r="I1501" s="340"/>
      <c r="J1501" s="105"/>
      <c r="K1501" s="105"/>
    </row>
    <row r="1502" spans="3:11" s="418" customFormat="1" x14ac:dyDescent="0.25">
      <c r="C1502" s="301"/>
      <c r="D1502" s="430"/>
      <c r="E1502" s="105"/>
      <c r="F1502" s="105"/>
      <c r="G1502" s="105"/>
      <c r="H1502" s="105"/>
      <c r="I1502" s="340"/>
      <c r="J1502" s="105"/>
      <c r="K1502" s="105"/>
    </row>
    <row r="1503" spans="3:11" s="418" customFormat="1" x14ac:dyDescent="0.25">
      <c r="C1503" s="301"/>
      <c r="D1503" s="430"/>
      <c r="E1503" s="105"/>
      <c r="F1503" s="105"/>
      <c r="G1503" s="105"/>
      <c r="H1503" s="105"/>
      <c r="I1503" s="340"/>
      <c r="J1503" s="105"/>
      <c r="K1503" s="105"/>
    </row>
    <row r="1504" spans="3:11" s="418" customFormat="1" x14ac:dyDescent="0.25">
      <c r="C1504" s="301"/>
      <c r="D1504" s="430"/>
      <c r="E1504" s="105"/>
      <c r="F1504" s="105"/>
      <c r="G1504" s="105"/>
      <c r="H1504" s="105"/>
      <c r="I1504" s="340"/>
      <c r="J1504" s="105"/>
      <c r="K1504" s="105"/>
    </row>
    <row r="1505" spans="3:11" s="418" customFormat="1" x14ac:dyDescent="0.25">
      <c r="C1505" s="301"/>
      <c r="D1505" s="430"/>
      <c r="E1505" s="105"/>
      <c r="F1505" s="105"/>
      <c r="G1505" s="105"/>
      <c r="H1505" s="105"/>
      <c r="I1505" s="340"/>
      <c r="J1505" s="105"/>
      <c r="K1505" s="105"/>
    </row>
    <row r="1506" spans="3:11" s="418" customFormat="1" x14ac:dyDescent="0.25">
      <c r="C1506" s="301"/>
      <c r="D1506" s="430"/>
      <c r="E1506" s="105"/>
      <c r="F1506" s="105"/>
      <c r="G1506" s="105"/>
      <c r="H1506" s="105"/>
      <c r="I1506" s="340"/>
      <c r="J1506" s="105"/>
      <c r="K1506" s="105"/>
    </row>
    <row r="1507" spans="3:11" s="418" customFormat="1" x14ac:dyDescent="0.25">
      <c r="C1507" s="301"/>
      <c r="D1507" s="430"/>
      <c r="E1507" s="105"/>
      <c r="F1507" s="105"/>
      <c r="G1507" s="105"/>
      <c r="H1507" s="105"/>
      <c r="I1507" s="340"/>
      <c r="J1507" s="105"/>
      <c r="K1507" s="105"/>
    </row>
    <row r="1508" spans="3:11" s="418" customFormat="1" x14ac:dyDescent="0.25">
      <c r="C1508" s="301"/>
      <c r="D1508" s="430"/>
      <c r="E1508" s="105"/>
      <c r="F1508" s="105"/>
      <c r="G1508" s="105"/>
      <c r="H1508" s="105"/>
      <c r="I1508" s="340"/>
      <c r="J1508" s="105"/>
      <c r="K1508" s="105"/>
    </row>
    <row r="1509" spans="3:11" s="418" customFormat="1" x14ac:dyDescent="0.25">
      <c r="C1509" s="301"/>
      <c r="D1509" s="430"/>
      <c r="E1509" s="105"/>
      <c r="F1509" s="105"/>
      <c r="G1509" s="105"/>
      <c r="H1509" s="105"/>
      <c r="I1509" s="340"/>
      <c r="J1509" s="105"/>
      <c r="K1509" s="105"/>
    </row>
    <row r="1510" spans="3:11" s="418" customFormat="1" x14ac:dyDescent="0.25">
      <c r="C1510" s="301"/>
      <c r="D1510" s="430"/>
      <c r="E1510" s="105"/>
      <c r="F1510" s="105"/>
      <c r="G1510" s="105"/>
      <c r="H1510" s="105"/>
      <c r="I1510" s="340"/>
      <c r="J1510" s="105"/>
      <c r="K1510" s="105"/>
    </row>
    <row r="1511" spans="3:11" s="418" customFormat="1" x14ac:dyDescent="0.25">
      <c r="C1511" s="301"/>
      <c r="D1511" s="430"/>
      <c r="E1511" s="105"/>
      <c r="F1511" s="105"/>
      <c r="G1511" s="105"/>
      <c r="H1511" s="105"/>
      <c r="I1511" s="340"/>
      <c r="J1511" s="105"/>
      <c r="K1511" s="105"/>
    </row>
    <row r="1512" spans="3:11" s="418" customFormat="1" x14ac:dyDescent="0.25">
      <c r="C1512" s="301"/>
      <c r="D1512" s="430"/>
      <c r="E1512" s="105"/>
      <c r="F1512" s="105"/>
      <c r="G1512" s="105"/>
      <c r="H1512" s="105"/>
      <c r="I1512" s="340"/>
      <c r="J1512" s="105"/>
      <c r="K1512" s="105"/>
    </row>
    <row r="1513" spans="3:11" s="418" customFormat="1" x14ac:dyDescent="0.25">
      <c r="C1513" s="301"/>
      <c r="D1513" s="430"/>
      <c r="E1513" s="105"/>
      <c r="F1513" s="105"/>
      <c r="G1513" s="105"/>
      <c r="H1513" s="105"/>
      <c r="I1513" s="340"/>
      <c r="J1513" s="105"/>
      <c r="K1513" s="105"/>
    </row>
    <row r="1514" spans="3:11" s="418" customFormat="1" x14ac:dyDescent="0.25">
      <c r="C1514" s="301"/>
      <c r="D1514" s="430"/>
      <c r="E1514" s="105"/>
      <c r="F1514" s="105"/>
      <c r="G1514" s="105"/>
      <c r="H1514" s="105"/>
      <c r="I1514" s="340"/>
      <c r="J1514" s="105"/>
      <c r="K1514" s="105"/>
    </row>
    <row r="1515" spans="3:11" s="418" customFormat="1" x14ac:dyDescent="0.25">
      <c r="C1515" s="301"/>
      <c r="D1515" s="430"/>
      <c r="E1515" s="105"/>
      <c r="F1515" s="105"/>
      <c r="G1515" s="105"/>
      <c r="H1515" s="105"/>
      <c r="I1515" s="340"/>
      <c r="J1515" s="105"/>
      <c r="K1515" s="105"/>
    </row>
    <row r="1516" spans="3:11" s="418" customFormat="1" x14ac:dyDescent="0.25">
      <c r="C1516" s="301"/>
      <c r="D1516" s="430"/>
      <c r="E1516" s="105"/>
      <c r="F1516" s="105"/>
      <c r="G1516" s="105"/>
      <c r="H1516" s="105"/>
      <c r="I1516" s="340"/>
      <c r="J1516" s="105"/>
      <c r="K1516" s="105"/>
    </row>
    <row r="1517" spans="3:11" s="418" customFormat="1" x14ac:dyDescent="0.25">
      <c r="C1517" s="301"/>
      <c r="D1517" s="430"/>
      <c r="E1517" s="105"/>
      <c r="F1517" s="105"/>
      <c r="G1517" s="105"/>
      <c r="H1517" s="105"/>
      <c r="I1517" s="340"/>
      <c r="J1517" s="105"/>
      <c r="K1517" s="105"/>
    </row>
    <row r="1518" spans="3:11" s="418" customFormat="1" x14ac:dyDescent="0.25">
      <c r="C1518" s="301"/>
      <c r="D1518" s="430"/>
      <c r="E1518" s="105"/>
      <c r="F1518" s="105"/>
      <c r="G1518" s="105"/>
      <c r="H1518" s="105"/>
      <c r="I1518" s="340"/>
      <c r="J1518" s="105"/>
      <c r="K1518" s="105"/>
    </row>
    <row r="1519" spans="3:11" s="418" customFormat="1" x14ac:dyDescent="0.25">
      <c r="C1519" s="301"/>
      <c r="D1519" s="430"/>
      <c r="E1519" s="105"/>
      <c r="F1519" s="105"/>
      <c r="G1519" s="105"/>
      <c r="H1519" s="105"/>
      <c r="I1519" s="340"/>
      <c r="J1519" s="105"/>
      <c r="K1519" s="105"/>
    </row>
    <row r="1520" spans="3:11" s="418" customFormat="1" x14ac:dyDescent="0.25">
      <c r="C1520" s="301"/>
      <c r="D1520" s="430"/>
      <c r="E1520" s="105"/>
      <c r="F1520" s="105"/>
      <c r="G1520" s="105"/>
      <c r="H1520" s="105"/>
      <c r="I1520" s="340"/>
      <c r="J1520" s="105"/>
      <c r="K1520" s="105"/>
    </row>
    <row r="1521" spans="3:11" s="418" customFormat="1" x14ac:dyDescent="0.25">
      <c r="C1521" s="301"/>
      <c r="D1521" s="430"/>
      <c r="E1521" s="105"/>
      <c r="F1521" s="105"/>
      <c r="G1521" s="105"/>
      <c r="H1521" s="105"/>
      <c r="I1521" s="340"/>
      <c r="J1521" s="105"/>
      <c r="K1521" s="105"/>
    </row>
    <row r="1522" spans="3:11" s="418" customFormat="1" x14ac:dyDescent="0.25">
      <c r="C1522" s="301"/>
      <c r="D1522" s="430"/>
      <c r="E1522" s="105"/>
      <c r="F1522" s="105"/>
      <c r="G1522" s="105"/>
      <c r="H1522" s="105"/>
      <c r="I1522" s="340"/>
      <c r="J1522" s="105"/>
      <c r="K1522" s="105"/>
    </row>
    <row r="1523" spans="3:11" s="418" customFormat="1" x14ac:dyDescent="0.25">
      <c r="C1523" s="301"/>
      <c r="D1523" s="430"/>
      <c r="E1523" s="105"/>
      <c r="F1523" s="105"/>
      <c r="G1523" s="105"/>
      <c r="H1523" s="105"/>
      <c r="I1523" s="340"/>
      <c r="J1523" s="105"/>
      <c r="K1523" s="105"/>
    </row>
    <row r="1524" spans="3:11" s="418" customFormat="1" x14ac:dyDescent="0.25">
      <c r="C1524" s="301"/>
      <c r="D1524" s="430"/>
      <c r="E1524" s="105"/>
      <c r="F1524" s="105"/>
      <c r="G1524" s="105"/>
      <c r="H1524" s="105"/>
      <c r="I1524" s="340"/>
      <c r="J1524" s="105"/>
      <c r="K1524" s="105"/>
    </row>
    <row r="1525" spans="3:11" s="418" customFormat="1" x14ac:dyDescent="0.25">
      <c r="C1525" s="301"/>
      <c r="D1525" s="430"/>
      <c r="E1525" s="105"/>
      <c r="F1525" s="105"/>
      <c r="G1525" s="105"/>
      <c r="H1525" s="105"/>
      <c r="I1525" s="340"/>
      <c r="J1525" s="105"/>
      <c r="K1525" s="105"/>
    </row>
    <row r="1526" spans="3:11" s="418" customFormat="1" x14ac:dyDescent="0.25">
      <c r="C1526" s="301"/>
      <c r="D1526" s="430"/>
      <c r="E1526" s="105"/>
      <c r="F1526" s="105"/>
      <c r="G1526" s="105"/>
      <c r="H1526" s="105"/>
      <c r="I1526" s="340"/>
      <c r="J1526" s="105"/>
      <c r="K1526" s="105"/>
    </row>
    <row r="1527" spans="3:11" s="418" customFormat="1" x14ac:dyDescent="0.25">
      <c r="C1527" s="301"/>
      <c r="D1527" s="430"/>
      <c r="E1527" s="105"/>
      <c r="F1527" s="105"/>
      <c r="G1527" s="105"/>
      <c r="H1527" s="105"/>
      <c r="I1527" s="340"/>
      <c r="J1527" s="105"/>
      <c r="K1527" s="105"/>
    </row>
    <row r="1528" spans="3:11" s="418" customFormat="1" x14ac:dyDescent="0.25">
      <c r="C1528" s="301"/>
      <c r="D1528" s="430"/>
      <c r="E1528" s="105"/>
      <c r="F1528" s="105"/>
      <c r="G1528" s="105"/>
      <c r="H1528" s="105"/>
      <c r="I1528" s="340"/>
      <c r="J1528" s="105"/>
      <c r="K1528" s="105"/>
    </row>
    <row r="1529" spans="3:11" s="418" customFormat="1" x14ac:dyDescent="0.25">
      <c r="C1529" s="301"/>
      <c r="D1529" s="430"/>
      <c r="E1529" s="105"/>
      <c r="F1529" s="105"/>
      <c r="G1529" s="105"/>
      <c r="H1529" s="105"/>
      <c r="I1529" s="340"/>
      <c r="J1529" s="105"/>
      <c r="K1529" s="105"/>
    </row>
    <row r="1530" spans="3:11" s="418" customFormat="1" x14ac:dyDescent="0.25">
      <c r="C1530" s="301"/>
      <c r="D1530" s="430"/>
      <c r="E1530" s="105"/>
      <c r="F1530" s="105"/>
      <c r="G1530" s="105"/>
      <c r="H1530" s="105"/>
      <c r="I1530" s="340"/>
      <c r="J1530" s="105"/>
      <c r="K1530" s="105"/>
    </row>
    <row r="1531" spans="3:11" s="418" customFormat="1" x14ac:dyDescent="0.25">
      <c r="C1531" s="301"/>
      <c r="D1531" s="430"/>
      <c r="E1531" s="105"/>
      <c r="F1531" s="105"/>
      <c r="G1531" s="105"/>
      <c r="H1531" s="105"/>
      <c r="I1531" s="340"/>
      <c r="J1531" s="105"/>
      <c r="K1531" s="105"/>
    </row>
    <row r="1532" spans="3:11" s="418" customFormat="1" x14ac:dyDescent="0.25">
      <c r="C1532" s="301"/>
      <c r="D1532" s="430"/>
      <c r="E1532" s="105"/>
      <c r="F1532" s="105"/>
      <c r="G1532" s="105"/>
      <c r="H1532" s="105"/>
      <c r="I1532" s="340"/>
      <c r="J1532" s="105"/>
      <c r="K1532" s="105"/>
    </row>
    <row r="1533" spans="3:11" s="418" customFormat="1" x14ac:dyDescent="0.25">
      <c r="C1533" s="301"/>
      <c r="D1533" s="430"/>
      <c r="E1533" s="105"/>
      <c r="F1533" s="105"/>
      <c r="G1533" s="105"/>
      <c r="H1533" s="105"/>
      <c r="I1533" s="340"/>
      <c r="J1533" s="105"/>
      <c r="K1533" s="105"/>
    </row>
    <row r="1534" spans="3:11" s="418" customFormat="1" x14ac:dyDescent="0.25">
      <c r="C1534" s="301"/>
      <c r="D1534" s="430"/>
      <c r="E1534" s="105"/>
      <c r="F1534" s="105"/>
      <c r="G1534" s="105"/>
      <c r="H1534" s="105"/>
      <c r="I1534" s="340"/>
      <c r="J1534" s="105"/>
      <c r="K1534" s="105"/>
    </row>
    <row r="1535" spans="3:11" s="418" customFormat="1" x14ac:dyDescent="0.25">
      <c r="C1535" s="301"/>
      <c r="D1535" s="430"/>
      <c r="E1535" s="105"/>
      <c r="F1535" s="105"/>
      <c r="G1535" s="105"/>
      <c r="H1535" s="105"/>
      <c r="I1535" s="340"/>
      <c r="J1535" s="105"/>
      <c r="K1535" s="105"/>
    </row>
    <row r="1536" spans="3:11" s="418" customFormat="1" x14ac:dyDescent="0.25">
      <c r="C1536" s="301"/>
      <c r="D1536" s="430"/>
      <c r="E1536" s="105"/>
      <c r="F1536" s="105"/>
      <c r="G1536" s="105"/>
      <c r="H1536" s="105"/>
      <c r="I1536" s="340"/>
      <c r="J1536" s="105"/>
      <c r="K1536" s="105"/>
    </row>
    <row r="1537" spans="3:11" s="418" customFormat="1" x14ac:dyDescent="0.25">
      <c r="C1537" s="301"/>
      <c r="D1537" s="430"/>
      <c r="E1537" s="105"/>
      <c r="F1537" s="105"/>
      <c r="G1537" s="105"/>
      <c r="H1537" s="105"/>
      <c r="I1537" s="340"/>
      <c r="J1537" s="105"/>
      <c r="K1537" s="105"/>
    </row>
    <row r="1538" spans="3:11" s="418" customFormat="1" x14ac:dyDescent="0.25">
      <c r="C1538" s="301"/>
      <c r="D1538" s="430"/>
      <c r="E1538" s="105"/>
      <c r="F1538" s="105"/>
      <c r="G1538" s="105"/>
      <c r="H1538" s="105"/>
      <c r="I1538" s="340"/>
      <c r="J1538" s="105"/>
      <c r="K1538" s="105"/>
    </row>
    <row r="1539" spans="3:11" s="418" customFormat="1" x14ac:dyDescent="0.25">
      <c r="C1539" s="301"/>
      <c r="D1539" s="430"/>
      <c r="E1539" s="105"/>
      <c r="F1539" s="105"/>
      <c r="G1539" s="105"/>
      <c r="H1539" s="105"/>
      <c r="I1539" s="340"/>
      <c r="J1539" s="105"/>
      <c r="K1539" s="105"/>
    </row>
    <row r="1540" spans="3:11" s="418" customFormat="1" x14ac:dyDescent="0.25">
      <c r="C1540" s="301"/>
      <c r="D1540" s="430"/>
      <c r="E1540" s="105"/>
      <c r="F1540" s="105"/>
      <c r="G1540" s="105"/>
      <c r="H1540" s="105"/>
      <c r="I1540" s="340"/>
      <c r="J1540" s="105"/>
      <c r="K1540" s="105"/>
    </row>
    <row r="1541" spans="3:11" s="418" customFormat="1" x14ac:dyDescent="0.25">
      <c r="C1541" s="301"/>
      <c r="D1541" s="430"/>
      <c r="E1541" s="105"/>
      <c r="F1541" s="105"/>
      <c r="G1541" s="105"/>
      <c r="H1541" s="105"/>
      <c r="I1541" s="340"/>
      <c r="J1541" s="105"/>
      <c r="K1541" s="105"/>
    </row>
    <row r="1542" spans="3:11" s="418" customFormat="1" x14ac:dyDescent="0.25">
      <c r="C1542" s="301"/>
      <c r="D1542" s="430"/>
      <c r="E1542" s="105"/>
      <c r="F1542" s="105"/>
      <c r="G1542" s="105"/>
      <c r="H1542" s="105"/>
      <c r="I1542" s="340"/>
      <c r="J1542" s="105"/>
      <c r="K1542" s="105"/>
    </row>
    <row r="1543" spans="3:11" s="418" customFormat="1" x14ac:dyDescent="0.25">
      <c r="C1543" s="301"/>
      <c r="D1543" s="430"/>
      <c r="E1543" s="105"/>
      <c r="F1543" s="105"/>
      <c r="G1543" s="105"/>
      <c r="H1543" s="105"/>
      <c r="I1543" s="340"/>
      <c r="J1543" s="105"/>
      <c r="K1543" s="105"/>
    </row>
    <row r="1544" spans="3:11" s="418" customFormat="1" x14ac:dyDescent="0.25">
      <c r="C1544" s="301"/>
      <c r="D1544" s="430"/>
      <c r="E1544" s="105"/>
      <c r="F1544" s="105"/>
      <c r="G1544" s="105"/>
      <c r="H1544" s="105"/>
      <c r="I1544" s="340"/>
      <c r="J1544" s="105"/>
      <c r="K1544" s="105"/>
    </row>
    <row r="1545" spans="3:11" s="418" customFormat="1" x14ac:dyDescent="0.25">
      <c r="C1545" s="301"/>
      <c r="D1545" s="430"/>
      <c r="E1545" s="105"/>
      <c r="F1545" s="105"/>
      <c r="G1545" s="105"/>
      <c r="H1545" s="105"/>
      <c r="I1545" s="340"/>
      <c r="J1545" s="105"/>
      <c r="K1545" s="105"/>
    </row>
    <row r="1546" spans="3:11" s="418" customFormat="1" x14ac:dyDescent="0.25">
      <c r="C1546" s="301"/>
      <c r="D1546" s="430"/>
      <c r="E1546" s="105"/>
      <c r="F1546" s="105"/>
      <c r="G1546" s="105"/>
      <c r="H1546" s="105"/>
      <c r="I1546" s="340"/>
      <c r="J1546" s="105"/>
      <c r="K1546" s="105"/>
    </row>
    <row r="1547" spans="3:11" s="418" customFormat="1" x14ac:dyDescent="0.25">
      <c r="C1547" s="301"/>
      <c r="D1547" s="430"/>
      <c r="E1547" s="105"/>
      <c r="F1547" s="105"/>
      <c r="G1547" s="105"/>
      <c r="H1547" s="105"/>
      <c r="I1547" s="340"/>
      <c r="J1547" s="105"/>
      <c r="K1547" s="105"/>
    </row>
    <row r="1548" spans="3:11" s="418" customFormat="1" x14ac:dyDescent="0.25">
      <c r="C1548" s="301"/>
      <c r="D1548" s="430"/>
      <c r="E1548" s="105"/>
      <c r="F1548" s="105"/>
      <c r="G1548" s="105"/>
      <c r="H1548" s="105"/>
      <c r="I1548" s="340"/>
      <c r="J1548" s="105"/>
      <c r="K1548" s="105"/>
    </row>
    <row r="1549" spans="3:11" s="418" customFormat="1" x14ac:dyDescent="0.25">
      <c r="C1549" s="301"/>
      <c r="D1549" s="430"/>
      <c r="E1549" s="105"/>
      <c r="F1549" s="105"/>
      <c r="G1549" s="105"/>
      <c r="H1549" s="105"/>
      <c r="I1549" s="340"/>
      <c r="J1549" s="105"/>
      <c r="K1549" s="105"/>
    </row>
    <row r="1550" spans="3:11" s="418" customFormat="1" x14ac:dyDescent="0.25">
      <c r="C1550" s="301"/>
      <c r="D1550" s="430"/>
      <c r="E1550" s="105"/>
      <c r="F1550" s="105"/>
      <c r="G1550" s="105"/>
      <c r="H1550" s="105"/>
      <c r="I1550" s="340"/>
      <c r="J1550" s="105"/>
      <c r="K1550" s="105"/>
    </row>
    <row r="1551" spans="3:11" s="418" customFormat="1" x14ac:dyDescent="0.25">
      <c r="C1551" s="301"/>
      <c r="D1551" s="430"/>
      <c r="E1551" s="105"/>
      <c r="F1551" s="105"/>
      <c r="G1551" s="105"/>
      <c r="H1551" s="105"/>
      <c r="I1551" s="340"/>
      <c r="J1551" s="105"/>
      <c r="K1551" s="105"/>
    </row>
    <row r="1552" spans="3:11" s="418" customFormat="1" x14ac:dyDescent="0.25">
      <c r="C1552" s="301"/>
      <c r="D1552" s="430"/>
      <c r="E1552" s="105"/>
      <c r="F1552" s="105"/>
      <c r="G1552" s="105"/>
      <c r="H1552" s="105"/>
      <c r="I1552" s="340"/>
      <c r="J1552" s="105"/>
      <c r="K1552" s="105"/>
    </row>
    <row r="1553" spans="3:11" s="418" customFormat="1" x14ac:dyDescent="0.25">
      <c r="C1553" s="301"/>
      <c r="D1553" s="430"/>
      <c r="E1553" s="105"/>
      <c r="F1553" s="105"/>
      <c r="G1553" s="105"/>
      <c r="H1553" s="105"/>
      <c r="I1553" s="340"/>
      <c r="J1553" s="105"/>
      <c r="K1553" s="105"/>
    </row>
    <row r="1554" spans="3:11" s="418" customFormat="1" x14ac:dyDescent="0.25">
      <c r="C1554" s="301"/>
      <c r="D1554" s="430"/>
      <c r="E1554" s="105"/>
      <c r="F1554" s="105"/>
      <c r="G1554" s="105"/>
      <c r="H1554" s="105"/>
      <c r="I1554" s="340"/>
      <c r="J1554" s="105"/>
      <c r="K1554" s="105"/>
    </row>
    <row r="1555" spans="3:11" s="418" customFormat="1" x14ac:dyDescent="0.25">
      <c r="C1555" s="301"/>
      <c r="D1555" s="430"/>
      <c r="E1555" s="105"/>
      <c r="F1555" s="105"/>
      <c r="G1555" s="105"/>
      <c r="H1555" s="105"/>
      <c r="I1555" s="340"/>
      <c r="J1555" s="105"/>
      <c r="K1555" s="105"/>
    </row>
    <row r="1556" spans="3:11" s="418" customFormat="1" x14ac:dyDescent="0.25">
      <c r="C1556" s="301"/>
      <c r="D1556" s="430"/>
      <c r="E1556" s="105"/>
      <c r="F1556" s="105"/>
      <c r="G1556" s="105"/>
      <c r="H1556" s="105"/>
      <c r="I1556" s="340"/>
      <c r="J1556" s="105"/>
      <c r="K1556" s="105"/>
    </row>
    <row r="1557" spans="3:11" s="418" customFormat="1" x14ac:dyDescent="0.25">
      <c r="C1557" s="301"/>
      <c r="D1557" s="430"/>
      <c r="E1557" s="105"/>
      <c r="F1557" s="105"/>
      <c r="G1557" s="105"/>
      <c r="H1557" s="105"/>
      <c r="I1557" s="340"/>
      <c r="J1557" s="105"/>
      <c r="K1557" s="105"/>
    </row>
    <row r="1558" spans="3:11" s="418" customFormat="1" x14ac:dyDescent="0.25">
      <c r="C1558" s="301"/>
      <c r="D1558" s="430"/>
      <c r="E1558" s="105"/>
      <c r="F1558" s="105"/>
      <c r="G1558" s="105"/>
      <c r="H1558" s="105"/>
      <c r="I1558" s="340"/>
      <c r="J1558" s="105"/>
      <c r="K1558" s="105"/>
    </row>
    <row r="1559" spans="3:11" s="418" customFormat="1" x14ac:dyDescent="0.25">
      <c r="C1559" s="301"/>
      <c r="D1559" s="430"/>
      <c r="E1559" s="105"/>
      <c r="F1559" s="105"/>
      <c r="G1559" s="105"/>
      <c r="H1559" s="105"/>
      <c r="I1559" s="340"/>
      <c r="J1559" s="105"/>
      <c r="K1559" s="105"/>
    </row>
    <row r="1560" spans="3:11" s="418" customFormat="1" x14ac:dyDescent="0.25">
      <c r="C1560" s="301"/>
      <c r="D1560" s="430"/>
      <c r="E1560" s="105"/>
      <c r="F1560" s="105"/>
      <c r="G1560" s="105"/>
      <c r="H1560" s="105"/>
      <c r="I1560" s="340"/>
      <c r="J1560" s="105"/>
      <c r="K1560" s="105"/>
    </row>
    <row r="1561" spans="3:11" s="418" customFormat="1" x14ac:dyDescent="0.25">
      <c r="C1561" s="301"/>
      <c r="D1561" s="430"/>
      <c r="E1561" s="105"/>
      <c r="F1561" s="105"/>
      <c r="G1561" s="105"/>
      <c r="H1561" s="105"/>
      <c r="I1561" s="340"/>
      <c r="J1561" s="105"/>
      <c r="K1561" s="105"/>
    </row>
    <row r="1562" spans="3:11" s="418" customFormat="1" x14ac:dyDescent="0.25">
      <c r="C1562" s="301"/>
      <c r="D1562" s="430"/>
      <c r="E1562" s="105"/>
      <c r="F1562" s="105"/>
      <c r="G1562" s="105"/>
      <c r="H1562" s="105"/>
      <c r="I1562" s="340"/>
      <c r="J1562" s="105"/>
      <c r="K1562" s="105"/>
    </row>
    <row r="1563" spans="3:11" s="418" customFormat="1" x14ac:dyDescent="0.25">
      <c r="C1563" s="301"/>
      <c r="D1563" s="430"/>
      <c r="E1563" s="105"/>
      <c r="F1563" s="105"/>
      <c r="G1563" s="105"/>
      <c r="H1563" s="105"/>
      <c r="I1563" s="340"/>
      <c r="J1563" s="105"/>
      <c r="K1563" s="105"/>
    </row>
    <row r="1564" spans="3:11" s="418" customFormat="1" x14ac:dyDescent="0.25">
      <c r="C1564" s="301"/>
      <c r="D1564" s="430"/>
      <c r="E1564" s="105"/>
      <c r="F1564" s="105"/>
      <c r="G1564" s="105"/>
      <c r="H1564" s="105"/>
      <c r="I1564" s="340"/>
      <c r="J1564" s="105"/>
      <c r="K1564" s="105"/>
    </row>
    <row r="1565" spans="3:11" s="418" customFormat="1" x14ac:dyDescent="0.25">
      <c r="C1565" s="301"/>
      <c r="D1565" s="430"/>
      <c r="E1565" s="105"/>
      <c r="F1565" s="105"/>
      <c r="G1565" s="105"/>
      <c r="H1565" s="105"/>
      <c r="I1565" s="340"/>
      <c r="J1565" s="105"/>
      <c r="K1565" s="105"/>
    </row>
    <row r="1566" spans="3:11" s="418" customFormat="1" x14ac:dyDescent="0.25">
      <c r="C1566" s="301"/>
      <c r="D1566" s="430"/>
      <c r="E1566" s="105"/>
      <c r="F1566" s="105"/>
      <c r="G1566" s="105"/>
      <c r="H1566" s="105"/>
      <c r="I1566" s="340"/>
      <c r="J1566" s="105"/>
      <c r="K1566" s="105"/>
    </row>
    <row r="1567" spans="3:11" s="418" customFormat="1" x14ac:dyDescent="0.25">
      <c r="C1567" s="301"/>
      <c r="D1567" s="430"/>
      <c r="E1567" s="105"/>
      <c r="F1567" s="105"/>
      <c r="G1567" s="105"/>
      <c r="H1567" s="105"/>
      <c r="I1567" s="340"/>
      <c r="J1567" s="105"/>
      <c r="K1567" s="105"/>
    </row>
    <row r="1568" spans="3:11" s="418" customFormat="1" x14ac:dyDescent="0.25">
      <c r="C1568" s="301"/>
      <c r="D1568" s="430"/>
      <c r="E1568" s="105"/>
      <c r="F1568" s="105"/>
      <c r="G1568" s="105"/>
      <c r="H1568" s="105"/>
      <c r="I1568" s="340"/>
      <c r="J1568" s="105"/>
      <c r="K1568" s="105"/>
    </row>
    <row r="1569" spans="3:11" s="418" customFormat="1" x14ac:dyDescent="0.25">
      <c r="C1569" s="301"/>
      <c r="D1569" s="430"/>
      <c r="E1569" s="105"/>
      <c r="F1569" s="105"/>
      <c r="G1569" s="105"/>
      <c r="H1569" s="105"/>
      <c r="I1569" s="340"/>
      <c r="J1569" s="105"/>
      <c r="K1569" s="105"/>
    </row>
    <row r="1570" spans="3:11" s="418" customFormat="1" x14ac:dyDescent="0.25">
      <c r="C1570" s="301"/>
      <c r="D1570" s="430"/>
      <c r="E1570" s="105"/>
      <c r="F1570" s="105"/>
      <c r="G1570" s="105"/>
      <c r="H1570" s="105"/>
      <c r="I1570" s="340"/>
      <c r="J1570" s="105"/>
      <c r="K1570" s="105"/>
    </row>
    <row r="1571" spans="3:11" s="418" customFormat="1" x14ac:dyDescent="0.25">
      <c r="C1571" s="301"/>
      <c r="D1571" s="430"/>
      <c r="E1571" s="105"/>
      <c r="F1571" s="105"/>
      <c r="G1571" s="105"/>
      <c r="H1571" s="105"/>
      <c r="I1571" s="340"/>
      <c r="J1571" s="105"/>
      <c r="K1571" s="105"/>
    </row>
    <row r="1572" spans="3:11" s="418" customFormat="1" x14ac:dyDescent="0.25">
      <c r="C1572" s="301"/>
      <c r="D1572" s="430"/>
      <c r="E1572" s="105"/>
      <c r="F1572" s="105"/>
      <c r="G1572" s="105"/>
      <c r="H1572" s="105"/>
      <c r="I1572" s="340"/>
      <c r="J1572" s="105"/>
      <c r="K1572" s="105"/>
    </row>
    <row r="1573" spans="3:11" s="418" customFormat="1" x14ac:dyDescent="0.25">
      <c r="C1573" s="301"/>
      <c r="D1573" s="430"/>
      <c r="E1573" s="105"/>
      <c r="F1573" s="105"/>
      <c r="G1573" s="105"/>
      <c r="H1573" s="105"/>
      <c r="I1573" s="340"/>
      <c r="J1573" s="105"/>
      <c r="K1573" s="105"/>
    </row>
    <row r="1574" spans="3:11" s="418" customFormat="1" x14ac:dyDescent="0.25">
      <c r="C1574" s="301"/>
      <c r="D1574" s="430"/>
      <c r="E1574" s="105"/>
      <c r="F1574" s="105"/>
      <c r="G1574" s="105"/>
      <c r="H1574" s="105"/>
      <c r="I1574" s="340"/>
      <c r="J1574" s="105"/>
      <c r="K1574" s="105"/>
    </row>
    <row r="1575" spans="3:11" s="418" customFormat="1" x14ac:dyDescent="0.25">
      <c r="C1575" s="301"/>
      <c r="D1575" s="430"/>
      <c r="E1575" s="105"/>
      <c r="F1575" s="105"/>
      <c r="G1575" s="105"/>
      <c r="H1575" s="105"/>
      <c r="I1575" s="340"/>
      <c r="J1575" s="105"/>
      <c r="K1575" s="105"/>
    </row>
    <row r="1576" spans="3:11" s="418" customFormat="1" x14ac:dyDescent="0.25">
      <c r="C1576" s="301"/>
      <c r="D1576" s="430"/>
      <c r="E1576" s="105"/>
      <c r="F1576" s="105"/>
      <c r="G1576" s="105"/>
      <c r="H1576" s="105"/>
      <c r="I1576" s="340"/>
      <c r="J1576" s="105"/>
      <c r="K1576" s="105"/>
    </row>
    <row r="1577" spans="3:11" s="418" customFormat="1" x14ac:dyDescent="0.25">
      <c r="C1577" s="301"/>
      <c r="D1577" s="430"/>
      <c r="E1577" s="105"/>
      <c r="F1577" s="105"/>
      <c r="G1577" s="105"/>
      <c r="H1577" s="105"/>
      <c r="I1577" s="340"/>
      <c r="J1577" s="105"/>
      <c r="K1577" s="105"/>
    </row>
    <row r="1578" spans="3:11" s="418" customFormat="1" x14ac:dyDescent="0.25">
      <c r="C1578" s="301"/>
      <c r="D1578" s="430"/>
      <c r="E1578" s="105"/>
      <c r="F1578" s="105"/>
      <c r="G1578" s="105"/>
      <c r="H1578" s="105"/>
      <c r="I1578" s="340"/>
      <c r="J1578" s="105"/>
      <c r="K1578" s="105"/>
    </row>
    <row r="1579" spans="3:11" s="418" customFormat="1" x14ac:dyDescent="0.25">
      <c r="C1579" s="301"/>
      <c r="D1579" s="430"/>
      <c r="E1579" s="105"/>
      <c r="F1579" s="105"/>
      <c r="G1579" s="105"/>
      <c r="H1579" s="105"/>
      <c r="I1579" s="340"/>
      <c r="J1579" s="105"/>
      <c r="K1579" s="105"/>
    </row>
    <row r="1580" spans="3:11" s="418" customFormat="1" x14ac:dyDescent="0.25">
      <c r="C1580" s="301"/>
      <c r="D1580" s="430"/>
      <c r="E1580" s="105"/>
      <c r="F1580" s="105"/>
      <c r="G1580" s="105"/>
      <c r="H1580" s="105"/>
      <c r="I1580" s="340"/>
      <c r="J1580" s="105"/>
      <c r="K1580" s="105"/>
    </row>
    <row r="1581" spans="3:11" s="418" customFormat="1" x14ac:dyDescent="0.25">
      <c r="C1581" s="301"/>
      <c r="D1581" s="430"/>
      <c r="E1581" s="105"/>
      <c r="F1581" s="105"/>
      <c r="G1581" s="105"/>
      <c r="H1581" s="105"/>
      <c r="I1581" s="340"/>
      <c r="J1581" s="105"/>
      <c r="K1581" s="105"/>
    </row>
    <row r="1582" spans="3:11" s="418" customFormat="1" x14ac:dyDescent="0.25">
      <c r="C1582" s="301"/>
      <c r="D1582" s="430"/>
      <c r="E1582" s="105"/>
      <c r="F1582" s="105"/>
      <c r="G1582" s="105"/>
      <c r="H1582" s="105"/>
      <c r="I1582" s="340"/>
      <c r="J1582" s="105"/>
      <c r="K1582" s="105"/>
    </row>
    <row r="1583" spans="3:11" s="418" customFormat="1" x14ac:dyDescent="0.25">
      <c r="C1583" s="301"/>
      <c r="D1583" s="430"/>
      <c r="E1583" s="105"/>
      <c r="F1583" s="105"/>
      <c r="G1583" s="105"/>
      <c r="H1583" s="105"/>
      <c r="I1583" s="340"/>
      <c r="J1583" s="105"/>
      <c r="K1583" s="105"/>
    </row>
    <row r="1584" spans="3:11" s="418" customFormat="1" x14ac:dyDescent="0.25">
      <c r="C1584" s="301"/>
      <c r="D1584" s="430"/>
      <c r="E1584" s="105"/>
      <c r="F1584" s="105"/>
      <c r="G1584" s="105"/>
      <c r="H1584" s="105"/>
      <c r="I1584" s="340"/>
      <c r="J1584" s="105"/>
      <c r="K1584" s="105"/>
    </row>
    <row r="1585" spans="3:11" s="418" customFormat="1" x14ac:dyDescent="0.25">
      <c r="C1585" s="301"/>
      <c r="D1585" s="430"/>
      <c r="E1585" s="105"/>
      <c r="F1585" s="105"/>
      <c r="G1585" s="105"/>
      <c r="H1585" s="105"/>
      <c r="I1585" s="340"/>
      <c r="J1585" s="105"/>
      <c r="K1585" s="105"/>
    </row>
    <row r="1586" spans="3:11" s="418" customFormat="1" x14ac:dyDescent="0.25">
      <c r="C1586" s="301"/>
      <c r="D1586" s="430"/>
      <c r="E1586" s="105"/>
      <c r="F1586" s="105"/>
      <c r="G1586" s="105"/>
      <c r="H1586" s="105"/>
      <c r="I1586" s="340"/>
      <c r="J1586" s="105"/>
      <c r="K1586" s="105"/>
    </row>
    <row r="1587" spans="3:11" s="418" customFormat="1" x14ac:dyDescent="0.25">
      <c r="C1587" s="301"/>
      <c r="D1587" s="430"/>
      <c r="E1587" s="105"/>
      <c r="F1587" s="105"/>
      <c r="G1587" s="105"/>
      <c r="H1587" s="105"/>
      <c r="I1587" s="340"/>
      <c r="J1587" s="105"/>
      <c r="K1587" s="105"/>
    </row>
    <row r="1588" spans="3:11" s="418" customFormat="1" x14ac:dyDescent="0.25">
      <c r="C1588" s="301"/>
      <c r="D1588" s="430"/>
      <c r="E1588" s="105"/>
      <c r="F1588" s="105"/>
      <c r="G1588" s="105"/>
      <c r="H1588" s="105"/>
      <c r="I1588" s="340"/>
      <c r="J1588" s="105"/>
      <c r="K1588" s="105"/>
    </row>
    <row r="1589" spans="3:11" s="418" customFormat="1" x14ac:dyDescent="0.25">
      <c r="C1589" s="301"/>
      <c r="D1589" s="430"/>
      <c r="E1589" s="105"/>
      <c r="F1589" s="105"/>
      <c r="G1589" s="105"/>
      <c r="H1589" s="105"/>
      <c r="I1589" s="340"/>
      <c r="J1589" s="105"/>
      <c r="K1589" s="105"/>
    </row>
    <row r="1590" spans="3:11" s="418" customFormat="1" x14ac:dyDescent="0.25">
      <c r="C1590" s="301"/>
      <c r="D1590" s="430"/>
      <c r="E1590" s="105"/>
      <c r="F1590" s="105"/>
      <c r="G1590" s="105"/>
      <c r="H1590" s="105"/>
      <c r="I1590" s="340"/>
      <c r="J1590" s="105"/>
      <c r="K1590" s="105"/>
    </row>
    <row r="1591" spans="3:11" s="418" customFormat="1" x14ac:dyDescent="0.25">
      <c r="C1591" s="301"/>
      <c r="D1591" s="430"/>
      <c r="E1591" s="105"/>
      <c r="F1591" s="105"/>
      <c r="G1591" s="105"/>
      <c r="H1591" s="105"/>
      <c r="I1591" s="340"/>
      <c r="J1591" s="105"/>
      <c r="K1591" s="105"/>
    </row>
    <row r="1592" spans="3:11" s="418" customFormat="1" x14ac:dyDescent="0.25">
      <c r="C1592" s="301"/>
      <c r="D1592" s="430"/>
      <c r="E1592" s="105"/>
      <c r="F1592" s="105"/>
      <c r="G1592" s="105"/>
      <c r="H1592" s="105"/>
      <c r="I1592" s="340"/>
      <c r="J1592" s="105"/>
      <c r="K1592" s="105"/>
    </row>
    <row r="1593" spans="3:11" s="418" customFormat="1" x14ac:dyDescent="0.25">
      <c r="C1593" s="301"/>
      <c r="D1593" s="430"/>
      <c r="E1593" s="105"/>
      <c r="F1593" s="105"/>
      <c r="G1593" s="105"/>
      <c r="H1593" s="105"/>
      <c r="I1593" s="340"/>
      <c r="J1593" s="105"/>
      <c r="K1593" s="105"/>
    </row>
    <row r="1594" spans="3:11" s="418" customFormat="1" x14ac:dyDescent="0.25">
      <c r="C1594" s="301"/>
      <c r="D1594" s="430"/>
      <c r="E1594" s="105"/>
      <c r="F1594" s="105"/>
      <c r="G1594" s="105"/>
      <c r="H1594" s="105"/>
      <c r="I1594" s="340"/>
      <c r="J1594" s="105"/>
      <c r="K1594" s="105"/>
    </row>
    <row r="1595" spans="3:11" s="418" customFormat="1" x14ac:dyDescent="0.25">
      <c r="C1595" s="301"/>
      <c r="D1595" s="430"/>
      <c r="E1595" s="105"/>
      <c r="F1595" s="105"/>
      <c r="G1595" s="105"/>
      <c r="H1595" s="105"/>
      <c r="I1595" s="340"/>
      <c r="J1595" s="105"/>
      <c r="K1595" s="105"/>
    </row>
    <row r="1596" spans="3:11" s="418" customFormat="1" x14ac:dyDescent="0.25">
      <c r="C1596" s="301"/>
      <c r="D1596" s="430"/>
      <c r="E1596" s="105"/>
      <c r="F1596" s="105"/>
      <c r="G1596" s="105"/>
      <c r="H1596" s="105"/>
      <c r="I1596" s="340"/>
      <c r="J1596" s="105"/>
      <c r="K1596" s="105"/>
    </row>
    <row r="1597" spans="3:11" s="418" customFormat="1" x14ac:dyDescent="0.25">
      <c r="C1597" s="301"/>
      <c r="D1597" s="430"/>
      <c r="E1597" s="105"/>
      <c r="F1597" s="105"/>
      <c r="G1597" s="105"/>
      <c r="H1597" s="105"/>
      <c r="I1597" s="340"/>
      <c r="J1597" s="105"/>
      <c r="K1597" s="105"/>
    </row>
    <row r="1598" spans="3:11" s="418" customFormat="1" x14ac:dyDescent="0.25">
      <c r="C1598" s="301"/>
      <c r="D1598" s="430"/>
      <c r="E1598" s="105"/>
      <c r="F1598" s="105"/>
      <c r="G1598" s="105"/>
      <c r="H1598" s="105"/>
      <c r="I1598" s="340"/>
      <c r="J1598" s="105"/>
      <c r="K1598" s="105"/>
    </row>
    <row r="1599" spans="3:11" s="418" customFormat="1" x14ac:dyDescent="0.25">
      <c r="C1599" s="301"/>
      <c r="D1599" s="430"/>
      <c r="E1599" s="105"/>
      <c r="F1599" s="105"/>
      <c r="G1599" s="105"/>
      <c r="H1599" s="105"/>
      <c r="I1599" s="340"/>
      <c r="J1599" s="105"/>
      <c r="K1599" s="105"/>
    </row>
    <row r="1600" spans="3:11" s="418" customFormat="1" x14ac:dyDescent="0.25">
      <c r="C1600" s="301"/>
      <c r="D1600" s="430"/>
      <c r="E1600" s="105"/>
      <c r="F1600" s="105"/>
      <c r="G1600" s="105"/>
      <c r="H1600" s="105"/>
      <c r="I1600" s="340"/>
      <c r="J1600" s="105"/>
      <c r="K1600" s="105"/>
    </row>
    <row r="1601" spans="3:11" s="418" customFormat="1" x14ac:dyDescent="0.25">
      <c r="C1601" s="301"/>
      <c r="D1601" s="430"/>
      <c r="E1601" s="105"/>
      <c r="F1601" s="105"/>
      <c r="G1601" s="105"/>
      <c r="H1601" s="105"/>
      <c r="I1601" s="340"/>
      <c r="J1601" s="105"/>
      <c r="K1601" s="105"/>
    </row>
    <row r="1602" spans="3:11" s="418" customFormat="1" x14ac:dyDescent="0.25">
      <c r="C1602" s="301"/>
      <c r="D1602" s="430"/>
      <c r="E1602" s="105"/>
      <c r="F1602" s="105"/>
      <c r="G1602" s="105"/>
      <c r="H1602" s="105"/>
      <c r="I1602" s="340"/>
      <c r="J1602" s="105"/>
      <c r="K1602" s="105"/>
    </row>
    <row r="1603" spans="3:11" s="418" customFormat="1" x14ac:dyDescent="0.25">
      <c r="C1603" s="301"/>
      <c r="D1603" s="430"/>
      <c r="E1603" s="105"/>
      <c r="F1603" s="105"/>
      <c r="G1603" s="105"/>
      <c r="H1603" s="105"/>
      <c r="I1603" s="340"/>
      <c r="J1603" s="105"/>
      <c r="K1603" s="105"/>
    </row>
    <row r="1604" spans="3:11" s="418" customFormat="1" x14ac:dyDescent="0.25">
      <c r="C1604" s="301"/>
      <c r="D1604" s="430"/>
      <c r="E1604" s="105"/>
      <c r="F1604" s="105"/>
      <c r="G1604" s="105"/>
      <c r="H1604" s="105"/>
      <c r="I1604" s="340"/>
      <c r="J1604" s="105"/>
      <c r="K1604" s="105"/>
    </row>
    <row r="1605" spans="3:11" s="418" customFormat="1" x14ac:dyDescent="0.25">
      <c r="C1605" s="301"/>
      <c r="D1605" s="430"/>
      <c r="E1605" s="105"/>
      <c r="F1605" s="105"/>
      <c r="G1605" s="105"/>
      <c r="H1605" s="105"/>
      <c r="I1605" s="340"/>
      <c r="J1605" s="105"/>
      <c r="K1605" s="105"/>
    </row>
    <row r="1606" spans="3:11" s="418" customFormat="1" x14ac:dyDescent="0.25">
      <c r="C1606" s="301"/>
      <c r="D1606" s="430"/>
      <c r="E1606" s="105"/>
      <c r="F1606" s="105"/>
      <c r="G1606" s="105"/>
      <c r="H1606" s="105"/>
      <c r="I1606" s="340"/>
      <c r="J1606" s="105"/>
      <c r="K1606" s="105"/>
    </row>
    <row r="1607" spans="3:11" s="418" customFormat="1" x14ac:dyDescent="0.25">
      <c r="C1607" s="301"/>
      <c r="D1607" s="430"/>
      <c r="E1607" s="105"/>
      <c r="F1607" s="105"/>
      <c r="G1607" s="105"/>
      <c r="H1607" s="105"/>
      <c r="I1607" s="340"/>
      <c r="J1607" s="105"/>
      <c r="K1607" s="105"/>
    </row>
    <row r="1608" spans="3:11" s="418" customFormat="1" x14ac:dyDescent="0.25">
      <c r="C1608" s="301"/>
      <c r="D1608" s="430"/>
      <c r="E1608" s="105"/>
      <c r="F1608" s="105"/>
      <c r="G1608" s="105"/>
      <c r="H1608" s="105"/>
      <c r="I1608" s="340"/>
      <c r="J1608" s="105"/>
      <c r="K1608" s="105"/>
    </row>
    <row r="1609" spans="3:11" s="418" customFormat="1" x14ac:dyDescent="0.25">
      <c r="C1609" s="301"/>
      <c r="D1609" s="430"/>
      <c r="E1609" s="105"/>
      <c r="F1609" s="105"/>
      <c r="G1609" s="105"/>
      <c r="H1609" s="105"/>
      <c r="I1609" s="340"/>
      <c r="J1609" s="105"/>
      <c r="K1609" s="105"/>
    </row>
    <row r="1610" spans="3:11" s="418" customFormat="1" x14ac:dyDescent="0.25">
      <c r="C1610" s="301"/>
      <c r="D1610" s="430"/>
      <c r="E1610" s="105"/>
      <c r="F1610" s="105"/>
      <c r="G1610" s="105"/>
      <c r="H1610" s="105"/>
      <c r="I1610" s="340"/>
      <c r="J1610" s="105"/>
      <c r="K1610" s="105"/>
    </row>
    <row r="1611" spans="3:11" s="418" customFormat="1" x14ac:dyDescent="0.25">
      <c r="C1611" s="301"/>
      <c r="D1611" s="430"/>
      <c r="E1611" s="105"/>
      <c r="F1611" s="105"/>
      <c r="G1611" s="105"/>
      <c r="H1611" s="105"/>
      <c r="I1611" s="340"/>
      <c r="J1611" s="105"/>
      <c r="K1611" s="105"/>
    </row>
    <row r="1612" spans="3:11" s="418" customFormat="1" x14ac:dyDescent="0.25">
      <c r="C1612" s="301"/>
      <c r="D1612" s="430"/>
      <c r="E1612" s="105"/>
      <c r="F1612" s="105"/>
      <c r="G1612" s="105"/>
      <c r="H1612" s="105"/>
      <c r="I1612" s="340"/>
      <c r="J1612" s="105"/>
      <c r="K1612" s="105"/>
    </row>
    <row r="1613" spans="3:11" s="418" customFormat="1" x14ac:dyDescent="0.25">
      <c r="C1613" s="301"/>
      <c r="D1613" s="430"/>
      <c r="E1613" s="105"/>
      <c r="F1613" s="105"/>
      <c r="G1613" s="105"/>
      <c r="H1613" s="105"/>
      <c r="I1613" s="340"/>
      <c r="J1613" s="105"/>
      <c r="K1613" s="105"/>
    </row>
    <row r="1614" spans="3:11" s="418" customFormat="1" x14ac:dyDescent="0.25">
      <c r="C1614" s="301"/>
      <c r="D1614" s="430"/>
      <c r="E1614" s="105"/>
      <c r="F1614" s="105"/>
      <c r="G1614" s="105"/>
      <c r="H1614" s="105"/>
      <c r="I1614" s="340"/>
      <c r="J1614" s="105"/>
      <c r="K1614" s="105"/>
    </row>
    <row r="1615" spans="3:11" s="418" customFormat="1" x14ac:dyDescent="0.25">
      <c r="C1615" s="301"/>
      <c r="D1615" s="430"/>
      <c r="E1615" s="105"/>
      <c r="F1615" s="105"/>
      <c r="G1615" s="105"/>
      <c r="H1615" s="105"/>
      <c r="I1615" s="340"/>
      <c r="J1615" s="105"/>
      <c r="K1615" s="105"/>
    </row>
    <row r="1616" spans="3:11" s="418" customFormat="1" x14ac:dyDescent="0.25">
      <c r="C1616" s="301"/>
      <c r="D1616" s="430"/>
      <c r="E1616" s="105"/>
      <c r="F1616" s="105"/>
      <c r="G1616" s="105"/>
      <c r="H1616" s="105"/>
      <c r="I1616" s="340"/>
      <c r="J1616" s="105"/>
      <c r="K1616" s="105"/>
    </row>
    <row r="1617" spans="3:11" s="418" customFormat="1" x14ac:dyDescent="0.25">
      <c r="C1617" s="301"/>
      <c r="D1617" s="430"/>
      <c r="E1617" s="105"/>
      <c r="F1617" s="105"/>
      <c r="G1617" s="105"/>
      <c r="H1617" s="105"/>
      <c r="I1617" s="340"/>
      <c r="J1617" s="105"/>
      <c r="K1617" s="105"/>
    </row>
    <row r="1618" spans="3:11" s="418" customFormat="1" x14ac:dyDescent="0.25">
      <c r="C1618" s="301"/>
      <c r="D1618" s="430"/>
      <c r="E1618" s="105"/>
      <c r="F1618" s="105"/>
      <c r="G1618" s="105"/>
      <c r="H1618" s="105"/>
      <c r="I1618" s="340"/>
      <c r="J1618" s="105"/>
      <c r="K1618" s="105"/>
    </row>
    <row r="1619" spans="3:11" s="418" customFormat="1" x14ac:dyDescent="0.25">
      <c r="C1619" s="301"/>
      <c r="D1619" s="430"/>
      <c r="E1619" s="105"/>
      <c r="F1619" s="105"/>
      <c r="G1619" s="105"/>
      <c r="H1619" s="105"/>
      <c r="I1619" s="340"/>
      <c r="J1619" s="105"/>
      <c r="K1619" s="105"/>
    </row>
    <row r="1620" spans="3:11" s="418" customFormat="1" x14ac:dyDescent="0.25">
      <c r="C1620" s="301"/>
      <c r="D1620" s="430"/>
      <c r="E1620" s="105"/>
      <c r="F1620" s="105"/>
      <c r="G1620" s="105"/>
      <c r="H1620" s="105"/>
      <c r="I1620" s="340"/>
      <c r="J1620" s="105"/>
      <c r="K1620" s="105"/>
    </row>
    <row r="1621" spans="3:11" s="418" customFormat="1" x14ac:dyDescent="0.25">
      <c r="C1621" s="301"/>
      <c r="D1621" s="430"/>
      <c r="E1621" s="105"/>
      <c r="F1621" s="105"/>
      <c r="G1621" s="105"/>
      <c r="H1621" s="105"/>
      <c r="I1621" s="340"/>
      <c r="J1621" s="105"/>
      <c r="K1621" s="105"/>
    </row>
    <row r="1622" spans="3:11" s="418" customFormat="1" x14ac:dyDescent="0.25">
      <c r="C1622" s="301"/>
      <c r="D1622" s="430"/>
      <c r="E1622" s="105"/>
      <c r="F1622" s="105"/>
      <c r="G1622" s="105"/>
      <c r="H1622" s="105"/>
      <c r="I1622" s="340"/>
      <c r="J1622" s="105"/>
      <c r="K1622" s="105"/>
    </row>
    <row r="1623" spans="3:11" s="418" customFormat="1" x14ac:dyDescent="0.25">
      <c r="C1623" s="301"/>
      <c r="D1623" s="430"/>
      <c r="E1623" s="105"/>
      <c r="F1623" s="105"/>
      <c r="G1623" s="105"/>
      <c r="H1623" s="105"/>
      <c r="I1623" s="340"/>
      <c r="J1623" s="105"/>
      <c r="K1623" s="105"/>
    </row>
    <row r="1624" spans="3:11" s="418" customFormat="1" x14ac:dyDescent="0.25">
      <c r="C1624" s="301"/>
      <c r="D1624" s="430"/>
      <c r="E1624" s="105"/>
      <c r="F1624" s="105"/>
      <c r="G1624" s="105"/>
      <c r="H1624" s="105"/>
      <c r="I1624" s="340"/>
      <c r="J1624" s="105"/>
      <c r="K1624" s="105"/>
    </row>
    <row r="1625" spans="3:11" s="418" customFormat="1" x14ac:dyDescent="0.25">
      <c r="C1625" s="301"/>
      <c r="D1625" s="430"/>
      <c r="E1625" s="105"/>
      <c r="F1625" s="105"/>
      <c r="G1625" s="105"/>
      <c r="H1625" s="105"/>
      <c r="I1625" s="340"/>
      <c r="J1625" s="105"/>
      <c r="K1625" s="105"/>
    </row>
    <row r="1626" spans="3:11" s="418" customFormat="1" x14ac:dyDescent="0.25">
      <c r="C1626" s="301"/>
      <c r="D1626" s="430"/>
      <c r="E1626" s="105"/>
      <c r="F1626" s="105"/>
      <c r="G1626" s="105"/>
      <c r="H1626" s="105"/>
      <c r="I1626" s="340"/>
      <c r="J1626" s="105"/>
      <c r="K1626" s="105"/>
    </row>
    <row r="1627" spans="3:11" s="418" customFormat="1" x14ac:dyDescent="0.25">
      <c r="C1627" s="301"/>
      <c r="D1627" s="430"/>
      <c r="E1627" s="105"/>
      <c r="F1627" s="105"/>
      <c r="G1627" s="105"/>
      <c r="H1627" s="105"/>
      <c r="I1627" s="340"/>
      <c r="J1627" s="105"/>
      <c r="K1627" s="105"/>
    </row>
    <row r="1628" spans="3:11" s="418" customFormat="1" x14ac:dyDescent="0.25">
      <c r="C1628" s="301"/>
      <c r="D1628" s="430"/>
      <c r="E1628" s="105"/>
      <c r="F1628" s="105"/>
      <c r="G1628" s="105"/>
      <c r="H1628" s="105"/>
      <c r="I1628" s="340"/>
      <c r="J1628" s="105"/>
      <c r="K1628" s="105"/>
    </row>
    <row r="1629" spans="3:11" s="418" customFormat="1" x14ac:dyDescent="0.25">
      <c r="C1629" s="301"/>
      <c r="D1629" s="430"/>
      <c r="E1629" s="105"/>
      <c r="F1629" s="105"/>
      <c r="G1629" s="105"/>
      <c r="H1629" s="105"/>
      <c r="I1629" s="340"/>
      <c r="J1629" s="105"/>
      <c r="K1629" s="105"/>
    </row>
    <row r="1630" spans="3:11" s="418" customFormat="1" x14ac:dyDescent="0.25">
      <c r="C1630" s="301"/>
      <c r="D1630" s="430"/>
      <c r="E1630" s="105"/>
      <c r="F1630" s="105"/>
      <c r="G1630" s="105"/>
      <c r="H1630" s="105"/>
      <c r="I1630" s="340"/>
      <c r="J1630" s="105"/>
      <c r="K1630" s="105"/>
    </row>
    <row r="1631" spans="3:11" s="418" customFormat="1" x14ac:dyDescent="0.25">
      <c r="C1631" s="301"/>
      <c r="D1631" s="430"/>
      <c r="E1631" s="105"/>
      <c r="F1631" s="105"/>
      <c r="G1631" s="105"/>
      <c r="H1631" s="105"/>
      <c r="I1631" s="340"/>
      <c r="J1631" s="105"/>
      <c r="K1631" s="105"/>
    </row>
    <row r="1632" spans="3:11" s="418" customFormat="1" x14ac:dyDescent="0.25">
      <c r="C1632" s="301"/>
      <c r="D1632" s="430"/>
      <c r="E1632" s="105"/>
      <c r="F1632" s="105"/>
      <c r="G1632" s="105"/>
      <c r="H1632" s="105"/>
      <c r="I1632" s="340"/>
      <c r="J1632" s="105"/>
      <c r="K1632" s="105"/>
    </row>
    <row r="1633" spans="3:11" s="418" customFormat="1" x14ac:dyDescent="0.25">
      <c r="C1633" s="301"/>
      <c r="D1633" s="430"/>
      <c r="E1633" s="105"/>
      <c r="F1633" s="105"/>
      <c r="G1633" s="105"/>
      <c r="H1633" s="105"/>
      <c r="I1633" s="340"/>
      <c r="J1633" s="105"/>
      <c r="K1633" s="105"/>
    </row>
    <row r="1634" spans="3:11" s="418" customFormat="1" x14ac:dyDescent="0.25">
      <c r="C1634" s="301"/>
      <c r="D1634" s="430"/>
      <c r="E1634" s="105"/>
      <c r="F1634" s="105"/>
      <c r="G1634" s="105"/>
      <c r="H1634" s="105"/>
      <c r="I1634" s="340"/>
      <c r="J1634" s="105"/>
      <c r="K1634" s="105"/>
    </row>
    <row r="1635" spans="3:11" s="418" customFormat="1" x14ac:dyDescent="0.25">
      <c r="C1635" s="301"/>
      <c r="D1635" s="430"/>
      <c r="E1635" s="105"/>
      <c r="F1635" s="105"/>
      <c r="G1635" s="105"/>
      <c r="H1635" s="105"/>
      <c r="I1635" s="340"/>
      <c r="J1635" s="105"/>
      <c r="K1635" s="105"/>
    </row>
    <row r="1636" spans="3:11" s="418" customFormat="1" x14ac:dyDescent="0.25">
      <c r="C1636" s="301"/>
      <c r="D1636" s="430"/>
      <c r="E1636" s="105"/>
      <c r="F1636" s="105"/>
      <c r="G1636" s="105"/>
      <c r="H1636" s="105"/>
      <c r="I1636" s="340"/>
      <c r="J1636" s="105"/>
      <c r="K1636" s="105"/>
    </row>
    <row r="1637" spans="3:11" s="418" customFormat="1" x14ac:dyDescent="0.25">
      <c r="C1637" s="301"/>
      <c r="D1637" s="430"/>
      <c r="E1637" s="105"/>
      <c r="F1637" s="105"/>
      <c r="G1637" s="105"/>
      <c r="H1637" s="105"/>
      <c r="I1637" s="340"/>
      <c r="J1637" s="105"/>
      <c r="K1637" s="105"/>
    </row>
    <row r="1638" spans="3:11" s="418" customFormat="1" x14ac:dyDescent="0.25">
      <c r="C1638" s="301"/>
      <c r="D1638" s="430"/>
      <c r="E1638" s="105"/>
      <c r="F1638" s="105"/>
      <c r="G1638" s="105"/>
      <c r="H1638" s="105"/>
      <c r="I1638" s="340"/>
      <c r="J1638" s="105"/>
      <c r="K1638" s="105"/>
    </row>
    <row r="1639" spans="3:11" s="418" customFormat="1" x14ac:dyDescent="0.25">
      <c r="C1639" s="301"/>
      <c r="D1639" s="430"/>
      <c r="E1639" s="105"/>
      <c r="F1639" s="105"/>
      <c r="G1639" s="105"/>
      <c r="H1639" s="105"/>
      <c r="I1639" s="340"/>
      <c r="J1639" s="105"/>
      <c r="K1639" s="105"/>
    </row>
    <row r="1640" spans="3:11" s="418" customFormat="1" x14ac:dyDescent="0.25">
      <c r="C1640" s="301"/>
      <c r="D1640" s="430"/>
      <c r="E1640" s="105"/>
      <c r="F1640" s="105"/>
      <c r="G1640" s="105"/>
      <c r="H1640" s="105"/>
      <c r="I1640" s="340"/>
      <c r="J1640" s="105"/>
      <c r="K1640" s="105"/>
    </row>
    <row r="1641" spans="3:11" s="418" customFormat="1" x14ac:dyDescent="0.25">
      <c r="C1641" s="301"/>
      <c r="D1641" s="430"/>
      <c r="E1641" s="105"/>
      <c r="F1641" s="105"/>
      <c r="G1641" s="105"/>
      <c r="H1641" s="105"/>
      <c r="I1641" s="340"/>
      <c r="J1641" s="105"/>
      <c r="K1641" s="105"/>
    </row>
    <row r="1642" spans="3:11" s="418" customFormat="1" x14ac:dyDescent="0.25">
      <c r="C1642" s="301"/>
      <c r="D1642" s="430"/>
      <c r="E1642" s="105"/>
      <c r="F1642" s="105"/>
      <c r="G1642" s="105"/>
      <c r="H1642" s="105"/>
      <c r="I1642" s="340"/>
      <c r="J1642" s="105"/>
      <c r="K1642" s="105"/>
    </row>
    <row r="1643" spans="3:11" s="418" customFormat="1" x14ac:dyDescent="0.25">
      <c r="C1643" s="301"/>
      <c r="D1643" s="430"/>
      <c r="E1643" s="105"/>
      <c r="F1643" s="105"/>
      <c r="G1643" s="105"/>
      <c r="H1643" s="105"/>
      <c r="I1643" s="340"/>
      <c r="J1643" s="105"/>
      <c r="K1643" s="105"/>
    </row>
    <row r="1644" spans="3:11" s="418" customFormat="1" x14ac:dyDescent="0.25">
      <c r="C1644" s="301"/>
      <c r="D1644" s="430"/>
      <c r="E1644" s="105"/>
      <c r="F1644" s="105"/>
      <c r="G1644" s="105"/>
      <c r="H1644" s="105"/>
      <c r="I1644" s="340"/>
      <c r="J1644" s="105"/>
      <c r="K1644" s="105"/>
    </row>
    <row r="1645" spans="3:11" s="418" customFormat="1" x14ac:dyDescent="0.25">
      <c r="C1645" s="301"/>
      <c r="D1645" s="430"/>
      <c r="E1645" s="105"/>
      <c r="F1645" s="105"/>
      <c r="G1645" s="105"/>
      <c r="H1645" s="105"/>
      <c r="I1645" s="340"/>
      <c r="J1645" s="105"/>
      <c r="K1645" s="105"/>
    </row>
    <row r="1646" spans="3:11" s="418" customFormat="1" x14ac:dyDescent="0.25">
      <c r="C1646" s="301"/>
      <c r="D1646" s="430"/>
      <c r="E1646" s="105"/>
      <c r="F1646" s="105"/>
      <c r="G1646" s="105"/>
      <c r="H1646" s="105"/>
      <c r="I1646" s="340"/>
      <c r="J1646" s="105"/>
      <c r="K1646" s="105"/>
    </row>
    <row r="1647" spans="3:11" s="418" customFormat="1" x14ac:dyDescent="0.25">
      <c r="C1647" s="301"/>
      <c r="D1647" s="430"/>
      <c r="E1647" s="105"/>
      <c r="F1647" s="105"/>
      <c r="G1647" s="105"/>
      <c r="H1647" s="105"/>
      <c r="I1647" s="340"/>
      <c r="J1647" s="105"/>
      <c r="K1647" s="105"/>
    </row>
    <row r="1648" spans="3:11" s="418" customFormat="1" x14ac:dyDescent="0.25">
      <c r="C1648" s="301"/>
      <c r="D1648" s="430"/>
      <c r="E1648" s="105"/>
      <c r="F1648" s="105"/>
      <c r="G1648" s="105"/>
      <c r="H1648" s="105"/>
      <c r="I1648" s="340"/>
      <c r="J1648" s="105"/>
      <c r="K1648" s="105"/>
    </row>
    <row r="1649" spans="3:11" s="418" customFormat="1" x14ac:dyDescent="0.25">
      <c r="C1649" s="301"/>
      <c r="D1649" s="430"/>
      <c r="E1649" s="105"/>
      <c r="F1649" s="105"/>
      <c r="G1649" s="105"/>
      <c r="H1649" s="105"/>
      <c r="I1649" s="340"/>
      <c r="J1649" s="105"/>
      <c r="K1649" s="105"/>
    </row>
    <row r="1650" spans="3:11" s="418" customFormat="1" x14ac:dyDescent="0.25">
      <c r="C1650" s="301"/>
      <c r="D1650" s="430"/>
      <c r="E1650" s="105"/>
      <c r="F1650" s="105"/>
      <c r="G1650" s="105"/>
      <c r="H1650" s="105"/>
      <c r="I1650" s="340"/>
      <c r="J1650" s="105"/>
      <c r="K1650" s="105"/>
    </row>
    <row r="1651" spans="3:11" s="418" customFormat="1" x14ac:dyDescent="0.25">
      <c r="C1651" s="301"/>
      <c r="D1651" s="430"/>
      <c r="E1651" s="105"/>
      <c r="F1651" s="105"/>
      <c r="G1651" s="105"/>
      <c r="H1651" s="105"/>
      <c r="I1651" s="340"/>
      <c r="J1651" s="105"/>
      <c r="K1651" s="105"/>
    </row>
    <row r="1652" spans="3:11" s="418" customFormat="1" x14ac:dyDescent="0.25">
      <c r="C1652" s="301"/>
      <c r="D1652" s="430"/>
      <c r="E1652" s="105"/>
      <c r="F1652" s="105"/>
      <c r="G1652" s="105"/>
      <c r="H1652" s="105"/>
      <c r="I1652" s="340"/>
      <c r="J1652" s="105"/>
      <c r="K1652" s="105"/>
    </row>
    <row r="1653" spans="3:11" s="418" customFormat="1" x14ac:dyDescent="0.25">
      <c r="C1653" s="301"/>
      <c r="D1653" s="430"/>
      <c r="E1653" s="105"/>
      <c r="F1653" s="105"/>
      <c r="G1653" s="105"/>
      <c r="H1653" s="105"/>
      <c r="I1653" s="340"/>
      <c r="J1653" s="105"/>
      <c r="K1653" s="105"/>
    </row>
    <row r="1654" spans="3:11" s="418" customFormat="1" x14ac:dyDescent="0.25">
      <c r="C1654" s="301"/>
      <c r="D1654" s="430"/>
      <c r="E1654" s="105"/>
      <c r="F1654" s="105"/>
      <c r="G1654" s="105"/>
      <c r="H1654" s="105"/>
      <c r="I1654" s="340"/>
      <c r="J1654" s="105"/>
      <c r="K1654" s="105"/>
    </row>
    <row r="1655" spans="3:11" s="418" customFormat="1" x14ac:dyDescent="0.25">
      <c r="C1655" s="301"/>
      <c r="D1655" s="430"/>
      <c r="E1655" s="105"/>
      <c r="F1655" s="105"/>
      <c r="G1655" s="105"/>
      <c r="H1655" s="105"/>
      <c r="I1655" s="340"/>
      <c r="J1655" s="105"/>
      <c r="K1655" s="105"/>
    </row>
    <row r="1656" spans="3:11" s="418" customFormat="1" x14ac:dyDescent="0.25">
      <c r="C1656" s="301"/>
      <c r="D1656" s="430"/>
      <c r="E1656" s="105"/>
      <c r="F1656" s="105"/>
      <c r="G1656" s="105"/>
      <c r="H1656" s="105"/>
      <c r="I1656" s="340"/>
      <c r="J1656" s="105"/>
      <c r="K1656" s="105"/>
    </row>
    <row r="1657" spans="3:11" s="418" customFormat="1" x14ac:dyDescent="0.25">
      <c r="C1657" s="301"/>
      <c r="D1657" s="430"/>
      <c r="E1657" s="105"/>
      <c r="F1657" s="105"/>
      <c r="G1657" s="105"/>
      <c r="H1657" s="105"/>
      <c r="I1657" s="340"/>
      <c r="J1657" s="105"/>
      <c r="K1657" s="105"/>
    </row>
    <row r="1658" spans="3:11" s="418" customFormat="1" x14ac:dyDescent="0.25">
      <c r="C1658" s="301"/>
      <c r="D1658" s="430"/>
      <c r="E1658" s="105"/>
      <c r="F1658" s="105"/>
      <c r="G1658" s="105"/>
      <c r="H1658" s="105"/>
      <c r="I1658" s="340"/>
      <c r="J1658" s="105"/>
      <c r="K1658" s="105"/>
    </row>
    <row r="1659" spans="3:11" s="418" customFormat="1" x14ac:dyDescent="0.25">
      <c r="C1659" s="301"/>
      <c r="D1659" s="430"/>
      <c r="E1659" s="105"/>
      <c r="F1659" s="105"/>
      <c r="G1659" s="105"/>
      <c r="H1659" s="105"/>
      <c r="I1659" s="340"/>
      <c r="J1659" s="105"/>
      <c r="K1659" s="105"/>
    </row>
    <row r="1660" spans="3:11" s="418" customFormat="1" x14ac:dyDescent="0.25">
      <c r="C1660" s="301"/>
      <c r="D1660" s="430"/>
      <c r="E1660" s="105"/>
      <c r="F1660" s="105"/>
      <c r="G1660" s="105"/>
      <c r="H1660" s="105"/>
      <c r="I1660" s="340"/>
      <c r="J1660" s="105"/>
      <c r="K1660" s="105"/>
    </row>
    <row r="1661" spans="3:11" s="418" customFormat="1" x14ac:dyDescent="0.25">
      <c r="C1661" s="301"/>
      <c r="D1661" s="430"/>
      <c r="E1661" s="105"/>
      <c r="F1661" s="105"/>
      <c r="G1661" s="105"/>
      <c r="H1661" s="105"/>
      <c r="I1661" s="340"/>
      <c r="J1661" s="105"/>
      <c r="K1661" s="105"/>
    </row>
    <row r="1662" spans="3:11" s="418" customFormat="1" x14ac:dyDescent="0.25">
      <c r="C1662" s="301"/>
      <c r="D1662" s="430"/>
      <c r="E1662" s="105"/>
      <c r="F1662" s="105"/>
      <c r="G1662" s="105"/>
      <c r="H1662" s="105"/>
      <c r="I1662" s="340"/>
      <c r="J1662" s="105"/>
      <c r="K1662" s="105"/>
    </row>
    <row r="1663" spans="3:11" s="418" customFormat="1" x14ac:dyDescent="0.25">
      <c r="C1663" s="301"/>
      <c r="D1663" s="430"/>
      <c r="E1663" s="105"/>
      <c r="F1663" s="105"/>
      <c r="G1663" s="105"/>
      <c r="H1663" s="105"/>
      <c r="I1663" s="340"/>
      <c r="J1663" s="105"/>
      <c r="K1663" s="105"/>
    </row>
    <row r="1664" spans="3:11" s="418" customFormat="1" x14ac:dyDescent="0.25">
      <c r="C1664" s="301"/>
      <c r="D1664" s="430"/>
      <c r="E1664" s="105"/>
      <c r="F1664" s="105"/>
      <c r="G1664" s="105"/>
      <c r="H1664" s="105"/>
      <c r="I1664" s="340"/>
      <c r="J1664" s="105"/>
      <c r="K1664" s="105"/>
    </row>
    <row r="1665" spans="3:11" s="418" customFormat="1" x14ac:dyDescent="0.25">
      <c r="C1665" s="301"/>
      <c r="D1665" s="430"/>
      <c r="E1665" s="105"/>
      <c r="F1665" s="105"/>
      <c r="G1665" s="105"/>
      <c r="H1665" s="105"/>
      <c r="I1665" s="340"/>
      <c r="J1665" s="105"/>
      <c r="K1665" s="105"/>
    </row>
    <row r="1666" spans="3:11" s="418" customFormat="1" x14ac:dyDescent="0.25">
      <c r="C1666" s="301"/>
      <c r="D1666" s="430"/>
      <c r="E1666" s="105"/>
      <c r="F1666" s="105"/>
      <c r="G1666" s="105"/>
      <c r="H1666" s="105"/>
      <c r="I1666" s="340"/>
      <c r="J1666" s="105"/>
      <c r="K1666" s="105"/>
    </row>
    <row r="1667" spans="3:11" s="418" customFormat="1" x14ac:dyDescent="0.25">
      <c r="C1667" s="301"/>
      <c r="D1667" s="430"/>
      <c r="E1667" s="105"/>
      <c r="F1667" s="105"/>
      <c r="G1667" s="105"/>
      <c r="H1667" s="105"/>
      <c r="I1667" s="340"/>
      <c r="J1667" s="105"/>
      <c r="K1667" s="105"/>
    </row>
    <row r="1668" spans="3:11" s="418" customFormat="1" x14ac:dyDescent="0.25">
      <c r="C1668" s="301"/>
      <c r="D1668" s="430"/>
      <c r="E1668" s="105"/>
      <c r="F1668" s="105"/>
      <c r="G1668" s="105"/>
      <c r="H1668" s="105"/>
      <c r="I1668" s="340"/>
      <c r="J1668" s="105"/>
      <c r="K1668" s="105"/>
    </row>
    <row r="1669" spans="3:11" s="418" customFormat="1" x14ac:dyDescent="0.25">
      <c r="C1669" s="301"/>
      <c r="D1669" s="430"/>
      <c r="E1669" s="105"/>
      <c r="F1669" s="105"/>
      <c r="G1669" s="105"/>
      <c r="H1669" s="105"/>
      <c r="I1669" s="340"/>
      <c r="J1669" s="105"/>
      <c r="K1669" s="105"/>
    </row>
    <row r="1670" spans="3:11" s="418" customFormat="1" x14ac:dyDescent="0.25">
      <c r="C1670" s="301"/>
      <c r="D1670" s="430"/>
      <c r="E1670" s="105"/>
      <c r="F1670" s="105"/>
      <c r="G1670" s="105"/>
      <c r="H1670" s="105"/>
      <c r="I1670" s="340"/>
      <c r="J1670" s="105"/>
      <c r="K1670" s="105"/>
    </row>
    <row r="1671" spans="3:11" s="418" customFormat="1" x14ac:dyDescent="0.25">
      <c r="C1671" s="301"/>
      <c r="D1671" s="430"/>
      <c r="E1671" s="105"/>
      <c r="F1671" s="105"/>
      <c r="G1671" s="105"/>
      <c r="H1671" s="105"/>
      <c r="I1671" s="340"/>
      <c r="J1671" s="105"/>
      <c r="K1671" s="105"/>
    </row>
    <row r="1672" spans="3:11" s="418" customFormat="1" x14ac:dyDescent="0.25">
      <c r="C1672" s="301"/>
      <c r="D1672" s="430"/>
      <c r="E1672" s="105"/>
      <c r="F1672" s="105"/>
      <c r="G1672" s="105"/>
      <c r="H1672" s="105"/>
      <c r="I1672" s="340"/>
      <c r="J1672" s="105"/>
      <c r="K1672" s="105"/>
    </row>
    <row r="1673" spans="3:11" s="418" customFormat="1" x14ac:dyDescent="0.25">
      <c r="C1673" s="301"/>
      <c r="D1673" s="430"/>
      <c r="E1673" s="105"/>
      <c r="F1673" s="105"/>
      <c r="G1673" s="105"/>
      <c r="H1673" s="105"/>
      <c r="I1673" s="340"/>
      <c r="J1673" s="105"/>
      <c r="K1673" s="105"/>
    </row>
    <row r="1674" spans="3:11" s="418" customFormat="1" x14ac:dyDescent="0.25">
      <c r="C1674" s="301"/>
      <c r="D1674" s="430"/>
      <c r="E1674" s="105"/>
      <c r="F1674" s="105"/>
      <c r="G1674" s="105"/>
      <c r="H1674" s="105"/>
      <c r="I1674" s="340"/>
      <c r="J1674" s="105"/>
      <c r="K1674" s="105"/>
    </row>
    <row r="1675" spans="3:11" s="418" customFormat="1" x14ac:dyDescent="0.25">
      <c r="C1675" s="301"/>
      <c r="D1675" s="430"/>
      <c r="E1675" s="105"/>
      <c r="F1675" s="105"/>
      <c r="G1675" s="105"/>
      <c r="H1675" s="105"/>
      <c r="I1675" s="340"/>
      <c r="J1675" s="105"/>
      <c r="K1675" s="105"/>
    </row>
    <row r="1676" spans="3:11" s="418" customFormat="1" x14ac:dyDescent="0.25">
      <c r="C1676" s="301"/>
      <c r="D1676" s="430"/>
      <c r="E1676" s="105"/>
      <c r="F1676" s="105"/>
      <c r="G1676" s="105"/>
      <c r="H1676" s="105"/>
      <c r="I1676" s="340"/>
      <c r="J1676" s="105"/>
      <c r="K1676" s="105"/>
    </row>
    <row r="1677" spans="3:11" s="418" customFormat="1" x14ac:dyDescent="0.25">
      <c r="C1677" s="301"/>
      <c r="D1677" s="430"/>
      <c r="E1677" s="105"/>
      <c r="F1677" s="105"/>
      <c r="G1677" s="105"/>
      <c r="H1677" s="105"/>
      <c r="I1677" s="340"/>
      <c r="J1677" s="105"/>
      <c r="K1677" s="105"/>
    </row>
    <row r="1678" spans="3:11" s="418" customFormat="1" x14ac:dyDescent="0.25">
      <c r="C1678" s="301"/>
      <c r="D1678" s="430"/>
      <c r="E1678" s="105"/>
      <c r="F1678" s="105"/>
      <c r="G1678" s="105"/>
      <c r="H1678" s="105"/>
      <c r="I1678" s="340"/>
      <c r="J1678" s="105"/>
      <c r="K1678" s="105"/>
    </row>
    <row r="1679" spans="3:11" s="418" customFormat="1" x14ac:dyDescent="0.25">
      <c r="C1679" s="301"/>
      <c r="D1679" s="430"/>
      <c r="E1679" s="105"/>
      <c r="F1679" s="105"/>
      <c r="G1679" s="105"/>
      <c r="H1679" s="105"/>
      <c r="I1679" s="340"/>
      <c r="J1679" s="105"/>
      <c r="K1679" s="105"/>
    </row>
    <row r="1680" spans="3:11" s="418" customFormat="1" x14ac:dyDescent="0.25">
      <c r="C1680" s="301"/>
      <c r="D1680" s="430"/>
      <c r="E1680" s="105"/>
      <c r="F1680" s="105"/>
      <c r="G1680" s="105"/>
      <c r="H1680" s="105"/>
      <c r="I1680" s="340"/>
      <c r="J1680" s="105"/>
      <c r="K1680" s="105"/>
    </row>
    <row r="1681" spans="3:11" s="418" customFormat="1" x14ac:dyDescent="0.25">
      <c r="C1681" s="301"/>
      <c r="D1681" s="430"/>
      <c r="E1681" s="105"/>
      <c r="F1681" s="105"/>
      <c r="G1681" s="105"/>
      <c r="H1681" s="105"/>
      <c r="I1681" s="340"/>
      <c r="J1681" s="105"/>
      <c r="K1681" s="105"/>
    </row>
    <row r="1682" spans="3:11" s="418" customFormat="1" x14ac:dyDescent="0.25">
      <c r="C1682" s="301"/>
      <c r="D1682" s="430"/>
      <c r="E1682" s="105"/>
      <c r="F1682" s="105"/>
      <c r="G1682" s="105"/>
      <c r="H1682" s="105"/>
      <c r="I1682" s="340"/>
      <c r="J1682" s="105"/>
      <c r="K1682" s="105"/>
    </row>
    <row r="1683" spans="3:11" s="418" customFormat="1" x14ac:dyDescent="0.25">
      <c r="C1683" s="301"/>
      <c r="D1683" s="430"/>
      <c r="E1683" s="105"/>
      <c r="F1683" s="105"/>
      <c r="G1683" s="105"/>
      <c r="H1683" s="105"/>
      <c r="I1683" s="340"/>
      <c r="J1683" s="105"/>
      <c r="K1683" s="105"/>
    </row>
    <row r="1684" spans="3:11" s="418" customFormat="1" x14ac:dyDescent="0.25">
      <c r="C1684" s="301"/>
      <c r="D1684" s="430"/>
      <c r="E1684" s="105"/>
      <c r="F1684" s="105"/>
      <c r="G1684" s="105"/>
      <c r="H1684" s="105"/>
      <c r="I1684" s="340"/>
      <c r="J1684" s="105"/>
      <c r="K1684" s="105"/>
    </row>
    <row r="1685" spans="3:11" s="418" customFormat="1" x14ac:dyDescent="0.25">
      <c r="C1685" s="301"/>
      <c r="D1685" s="430"/>
      <c r="E1685" s="105"/>
      <c r="F1685" s="105"/>
      <c r="G1685" s="105"/>
      <c r="H1685" s="105"/>
      <c r="I1685" s="340"/>
      <c r="J1685" s="105"/>
      <c r="K1685" s="105"/>
    </row>
    <row r="1686" spans="3:11" s="418" customFormat="1" x14ac:dyDescent="0.25">
      <c r="C1686" s="301"/>
      <c r="D1686" s="430"/>
      <c r="E1686" s="105"/>
      <c r="F1686" s="105"/>
      <c r="G1686" s="105"/>
      <c r="H1686" s="105"/>
      <c r="I1686" s="340"/>
      <c r="J1686" s="105"/>
      <c r="K1686" s="105"/>
    </row>
    <row r="1687" spans="3:11" s="418" customFormat="1" x14ac:dyDescent="0.25">
      <c r="C1687" s="301"/>
      <c r="D1687" s="430"/>
      <c r="E1687" s="105"/>
      <c r="F1687" s="105"/>
      <c r="G1687" s="105"/>
      <c r="H1687" s="105"/>
      <c r="I1687" s="340"/>
      <c r="J1687" s="105"/>
      <c r="K1687" s="105"/>
    </row>
    <row r="1688" spans="3:11" s="418" customFormat="1" x14ac:dyDescent="0.25">
      <c r="C1688" s="301"/>
      <c r="D1688" s="430"/>
      <c r="E1688" s="105"/>
      <c r="F1688" s="105"/>
      <c r="G1688" s="105"/>
      <c r="H1688" s="105"/>
      <c r="I1688" s="340"/>
      <c r="J1688" s="105"/>
      <c r="K1688" s="105"/>
    </row>
    <row r="1689" spans="3:11" s="418" customFormat="1" x14ac:dyDescent="0.25">
      <c r="C1689" s="301"/>
      <c r="D1689" s="430"/>
      <c r="E1689" s="105"/>
      <c r="F1689" s="105"/>
      <c r="G1689" s="105"/>
      <c r="H1689" s="105"/>
      <c r="I1689" s="340"/>
      <c r="J1689" s="105"/>
      <c r="K1689" s="105"/>
    </row>
    <row r="1690" spans="3:11" s="418" customFormat="1" x14ac:dyDescent="0.25">
      <c r="C1690" s="301"/>
      <c r="D1690" s="430"/>
      <c r="E1690" s="105"/>
      <c r="F1690" s="105"/>
      <c r="G1690" s="105"/>
      <c r="H1690" s="105"/>
      <c r="I1690" s="340"/>
      <c r="J1690" s="105"/>
      <c r="K1690" s="105"/>
    </row>
    <row r="1691" spans="3:11" s="418" customFormat="1" x14ac:dyDescent="0.25">
      <c r="C1691" s="301"/>
      <c r="D1691" s="430"/>
      <c r="E1691" s="105"/>
      <c r="F1691" s="105"/>
      <c r="G1691" s="105"/>
      <c r="H1691" s="105"/>
      <c r="I1691" s="340"/>
      <c r="J1691" s="105"/>
      <c r="K1691" s="105"/>
    </row>
    <row r="1692" spans="3:11" s="418" customFormat="1" x14ac:dyDescent="0.25">
      <c r="C1692" s="301"/>
      <c r="D1692" s="430"/>
      <c r="E1692" s="105"/>
      <c r="F1692" s="105"/>
      <c r="G1692" s="105"/>
      <c r="H1692" s="105"/>
      <c r="I1692" s="340"/>
      <c r="J1692" s="105"/>
      <c r="K1692" s="105"/>
    </row>
    <row r="1693" spans="3:11" s="418" customFormat="1" x14ac:dyDescent="0.25">
      <c r="C1693" s="301"/>
      <c r="D1693" s="430"/>
      <c r="E1693" s="105"/>
      <c r="F1693" s="105"/>
      <c r="G1693" s="105"/>
      <c r="H1693" s="105"/>
      <c r="I1693" s="340"/>
      <c r="J1693" s="105"/>
      <c r="K1693" s="105"/>
    </row>
    <row r="1694" spans="3:11" s="418" customFormat="1" x14ac:dyDescent="0.25">
      <c r="C1694" s="301"/>
      <c r="D1694" s="430"/>
      <c r="E1694" s="105"/>
      <c r="F1694" s="105"/>
      <c r="G1694" s="105"/>
      <c r="H1694" s="105"/>
      <c r="I1694" s="340"/>
      <c r="J1694" s="105"/>
      <c r="K1694" s="105"/>
    </row>
    <row r="1695" spans="3:11" s="418" customFormat="1" x14ac:dyDescent="0.25">
      <c r="C1695" s="301"/>
      <c r="D1695" s="430"/>
      <c r="E1695" s="105"/>
      <c r="F1695" s="105"/>
      <c r="G1695" s="105"/>
      <c r="H1695" s="105"/>
      <c r="I1695" s="340"/>
      <c r="J1695" s="105"/>
      <c r="K1695" s="105"/>
    </row>
    <row r="1696" spans="3:11" s="418" customFormat="1" x14ac:dyDescent="0.25">
      <c r="C1696" s="301"/>
      <c r="D1696" s="430"/>
      <c r="E1696" s="105"/>
      <c r="F1696" s="105"/>
      <c r="G1696" s="105"/>
      <c r="H1696" s="105"/>
      <c r="I1696" s="340"/>
      <c r="J1696" s="105"/>
      <c r="K1696" s="105"/>
    </row>
    <row r="1697" spans="3:11" s="418" customFormat="1" x14ac:dyDescent="0.25">
      <c r="C1697" s="301"/>
      <c r="D1697" s="430"/>
      <c r="E1697" s="105"/>
      <c r="F1697" s="105"/>
      <c r="G1697" s="105"/>
      <c r="H1697" s="105"/>
      <c r="I1697" s="340"/>
      <c r="J1697" s="105"/>
      <c r="K1697" s="105"/>
    </row>
    <row r="1698" spans="3:11" s="418" customFormat="1" x14ac:dyDescent="0.25">
      <c r="C1698" s="301"/>
      <c r="D1698" s="430"/>
      <c r="E1698" s="105"/>
      <c r="F1698" s="105"/>
      <c r="G1698" s="105"/>
      <c r="H1698" s="105"/>
      <c r="I1698" s="340"/>
      <c r="J1698" s="105"/>
      <c r="K1698" s="105"/>
    </row>
    <row r="1699" spans="3:11" s="418" customFormat="1" x14ac:dyDescent="0.25">
      <c r="C1699" s="301"/>
      <c r="D1699" s="430"/>
      <c r="E1699" s="105"/>
      <c r="F1699" s="105"/>
      <c r="G1699" s="105"/>
      <c r="H1699" s="105"/>
      <c r="I1699" s="340"/>
      <c r="J1699" s="105"/>
      <c r="K1699" s="105"/>
    </row>
    <row r="1700" spans="3:11" s="418" customFormat="1" x14ac:dyDescent="0.25">
      <c r="C1700" s="301"/>
      <c r="D1700" s="430"/>
      <c r="E1700" s="105"/>
      <c r="F1700" s="105"/>
      <c r="G1700" s="105"/>
      <c r="H1700" s="105"/>
      <c r="I1700" s="340"/>
      <c r="J1700" s="105"/>
      <c r="K1700" s="105"/>
    </row>
    <row r="1701" spans="3:11" s="418" customFormat="1" x14ac:dyDescent="0.25">
      <c r="C1701" s="301"/>
      <c r="D1701" s="430"/>
      <c r="E1701" s="105"/>
      <c r="F1701" s="105"/>
      <c r="G1701" s="105"/>
      <c r="H1701" s="105"/>
      <c r="I1701" s="340"/>
      <c r="J1701" s="105"/>
      <c r="K1701" s="105"/>
    </row>
    <row r="1702" spans="3:11" s="418" customFormat="1" x14ac:dyDescent="0.25">
      <c r="C1702" s="301"/>
      <c r="D1702" s="430"/>
      <c r="E1702" s="105"/>
      <c r="F1702" s="105"/>
      <c r="G1702" s="105"/>
      <c r="H1702" s="105"/>
      <c r="I1702" s="340"/>
      <c r="J1702" s="105"/>
      <c r="K1702" s="105"/>
    </row>
    <row r="1703" spans="3:11" s="418" customFormat="1" x14ac:dyDescent="0.25">
      <c r="C1703" s="301"/>
      <c r="D1703" s="430"/>
      <c r="E1703" s="105"/>
      <c r="F1703" s="105"/>
      <c r="G1703" s="105"/>
      <c r="H1703" s="105"/>
      <c r="I1703" s="340"/>
      <c r="J1703" s="105"/>
      <c r="K1703" s="105"/>
    </row>
    <row r="1704" spans="3:11" s="418" customFormat="1" x14ac:dyDescent="0.25">
      <c r="C1704" s="301"/>
      <c r="D1704" s="430"/>
      <c r="E1704" s="105"/>
      <c r="F1704" s="105"/>
      <c r="G1704" s="105"/>
      <c r="H1704" s="105"/>
      <c r="I1704" s="340"/>
      <c r="J1704" s="105"/>
      <c r="K1704" s="105"/>
    </row>
    <row r="1705" spans="3:11" s="418" customFormat="1" x14ac:dyDescent="0.25">
      <c r="C1705" s="301"/>
      <c r="D1705" s="430"/>
      <c r="E1705" s="105"/>
      <c r="F1705" s="105"/>
      <c r="G1705" s="105"/>
      <c r="H1705" s="105"/>
      <c r="I1705" s="340"/>
      <c r="J1705" s="105"/>
      <c r="K1705" s="105"/>
    </row>
    <row r="1706" spans="3:11" s="418" customFormat="1" x14ac:dyDescent="0.25">
      <c r="C1706" s="301"/>
      <c r="D1706" s="430"/>
      <c r="E1706" s="105"/>
      <c r="F1706" s="105"/>
      <c r="G1706" s="105"/>
      <c r="H1706" s="105"/>
      <c r="I1706" s="340"/>
      <c r="J1706" s="105"/>
      <c r="K1706" s="105"/>
    </row>
    <row r="1707" spans="3:11" s="418" customFormat="1" x14ac:dyDescent="0.25">
      <c r="C1707" s="301"/>
      <c r="D1707" s="430"/>
      <c r="E1707" s="105"/>
      <c r="F1707" s="105"/>
      <c r="G1707" s="105"/>
      <c r="H1707" s="105"/>
      <c r="I1707" s="340"/>
      <c r="J1707" s="105"/>
      <c r="K1707" s="105"/>
    </row>
    <row r="1708" spans="3:11" s="418" customFormat="1" x14ac:dyDescent="0.25">
      <c r="C1708" s="301"/>
      <c r="D1708" s="430"/>
      <c r="E1708" s="105"/>
      <c r="F1708" s="105"/>
      <c r="G1708" s="105"/>
      <c r="H1708" s="105"/>
      <c r="I1708" s="340"/>
      <c r="J1708" s="105"/>
      <c r="K1708" s="105"/>
    </row>
    <row r="1709" spans="3:11" s="418" customFormat="1" x14ac:dyDescent="0.25">
      <c r="C1709" s="301"/>
      <c r="D1709" s="430"/>
      <c r="E1709" s="105"/>
      <c r="F1709" s="105"/>
      <c r="G1709" s="105"/>
      <c r="H1709" s="105"/>
      <c r="I1709" s="340"/>
      <c r="J1709" s="105"/>
      <c r="K1709" s="105"/>
    </row>
    <row r="1710" spans="3:11" s="418" customFormat="1" x14ac:dyDescent="0.25">
      <c r="C1710" s="301"/>
      <c r="D1710" s="430"/>
      <c r="E1710" s="105"/>
      <c r="F1710" s="105"/>
      <c r="G1710" s="105"/>
      <c r="H1710" s="105"/>
      <c r="I1710" s="340"/>
      <c r="J1710" s="105"/>
      <c r="K1710" s="105"/>
    </row>
    <row r="1711" spans="3:11" s="418" customFormat="1" x14ac:dyDescent="0.25">
      <c r="C1711" s="301"/>
      <c r="D1711" s="430"/>
      <c r="E1711" s="105"/>
      <c r="F1711" s="105"/>
      <c r="G1711" s="105"/>
      <c r="H1711" s="105"/>
      <c r="I1711" s="340"/>
      <c r="J1711" s="105"/>
      <c r="K1711" s="105"/>
    </row>
    <row r="1712" spans="3:11" s="418" customFormat="1" x14ac:dyDescent="0.25">
      <c r="C1712" s="301"/>
      <c r="D1712" s="430"/>
      <c r="E1712" s="105"/>
      <c r="F1712" s="105"/>
      <c r="G1712" s="105"/>
      <c r="H1712" s="105"/>
      <c r="I1712" s="340"/>
      <c r="J1712" s="105"/>
      <c r="K1712" s="105"/>
    </row>
    <row r="1713" spans="3:11" s="418" customFormat="1" x14ac:dyDescent="0.25">
      <c r="C1713" s="301"/>
      <c r="D1713" s="430"/>
      <c r="E1713" s="105"/>
      <c r="F1713" s="105"/>
      <c r="G1713" s="105"/>
      <c r="H1713" s="105"/>
      <c r="I1713" s="340"/>
      <c r="J1713" s="105"/>
      <c r="K1713" s="105"/>
    </row>
    <row r="1714" spans="3:11" s="418" customFormat="1" x14ac:dyDescent="0.25">
      <c r="C1714" s="301"/>
      <c r="D1714" s="430"/>
      <c r="E1714" s="105"/>
      <c r="F1714" s="105"/>
      <c r="G1714" s="105"/>
      <c r="H1714" s="105"/>
      <c r="I1714" s="340"/>
      <c r="J1714" s="105"/>
      <c r="K1714" s="105"/>
    </row>
    <row r="1715" spans="3:11" s="418" customFormat="1" x14ac:dyDescent="0.25">
      <c r="C1715" s="301"/>
      <c r="D1715" s="430"/>
      <c r="E1715" s="105"/>
      <c r="F1715" s="105"/>
      <c r="G1715" s="105"/>
      <c r="H1715" s="105"/>
      <c r="I1715" s="340"/>
      <c r="J1715" s="105"/>
      <c r="K1715" s="105"/>
    </row>
    <row r="1716" spans="3:11" s="418" customFormat="1" x14ac:dyDescent="0.25">
      <c r="C1716" s="301"/>
      <c r="D1716" s="430"/>
      <c r="E1716" s="105"/>
      <c r="F1716" s="105"/>
      <c r="G1716" s="105"/>
      <c r="H1716" s="105"/>
      <c r="I1716" s="340"/>
      <c r="J1716" s="105"/>
      <c r="K1716" s="105"/>
    </row>
    <row r="1717" spans="3:11" s="418" customFormat="1" x14ac:dyDescent="0.25">
      <c r="C1717" s="301"/>
      <c r="D1717" s="430"/>
      <c r="E1717" s="105"/>
      <c r="F1717" s="105"/>
      <c r="G1717" s="105"/>
      <c r="H1717" s="105"/>
      <c r="I1717" s="340"/>
      <c r="J1717" s="105"/>
      <c r="K1717" s="105"/>
    </row>
    <row r="1718" spans="3:11" s="418" customFormat="1" x14ac:dyDescent="0.25">
      <c r="C1718" s="301"/>
      <c r="D1718" s="430"/>
      <c r="E1718" s="105"/>
      <c r="F1718" s="105"/>
      <c r="G1718" s="105"/>
      <c r="H1718" s="105"/>
      <c r="I1718" s="340"/>
      <c r="J1718" s="105"/>
      <c r="K1718" s="105"/>
    </row>
    <row r="1719" spans="3:11" s="418" customFormat="1" x14ac:dyDescent="0.25">
      <c r="C1719" s="301"/>
      <c r="D1719" s="430"/>
      <c r="E1719" s="105"/>
      <c r="F1719" s="105"/>
      <c r="G1719" s="105"/>
      <c r="H1719" s="105"/>
      <c r="I1719" s="340"/>
      <c r="J1719" s="105"/>
      <c r="K1719" s="105"/>
    </row>
    <row r="1720" spans="3:11" s="418" customFormat="1" x14ac:dyDescent="0.25">
      <c r="C1720" s="301"/>
      <c r="D1720" s="430"/>
      <c r="E1720" s="105"/>
      <c r="F1720" s="105"/>
      <c r="G1720" s="105"/>
      <c r="H1720" s="105"/>
      <c r="I1720" s="340"/>
      <c r="J1720" s="105"/>
      <c r="K1720" s="105"/>
    </row>
    <row r="1721" spans="3:11" s="418" customFormat="1" x14ac:dyDescent="0.25">
      <c r="C1721" s="301"/>
      <c r="D1721" s="430"/>
      <c r="E1721" s="105"/>
      <c r="F1721" s="105"/>
      <c r="G1721" s="105"/>
      <c r="H1721" s="105"/>
      <c r="I1721" s="340"/>
      <c r="J1721" s="105"/>
      <c r="K1721" s="105"/>
    </row>
    <row r="1722" spans="3:11" s="418" customFormat="1" x14ac:dyDescent="0.25">
      <c r="C1722" s="301"/>
      <c r="D1722" s="430"/>
      <c r="E1722" s="105"/>
      <c r="F1722" s="105"/>
      <c r="G1722" s="105"/>
      <c r="H1722" s="105"/>
      <c r="I1722" s="340"/>
      <c r="J1722" s="105"/>
      <c r="K1722" s="105"/>
    </row>
    <row r="1723" spans="3:11" s="418" customFormat="1" x14ac:dyDescent="0.25">
      <c r="C1723" s="301"/>
      <c r="D1723" s="430"/>
      <c r="E1723" s="105"/>
      <c r="F1723" s="105"/>
      <c r="G1723" s="105"/>
      <c r="H1723" s="105"/>
      <c r="I1723" s="340"/>
      <c r="J1723" s="105"/>
      <c r="K1723" s="105"/>
    </row>
    <row r="1724" spans="3:11" s="418" customFormat="1" x14ac:dyDescent="0.25">
      <c r="C1724" s="301"/>
      <c r="D1724" s="430"/>
      <c r="E1724" s="105"/>
      <c r="F1724" s="105"/>
      <c r="G1724" s="105"/>
      <c r="H1724" s="105"/>
      <c r="I1724" s="340"/>
      <c r="J1724" s="105"/>
      <c r="K1724" s="105"/>
    </row>
    <row r="1725" spans="3:11" s="418" customFormat="1" x14ac:dyDescent="0.25">
      <c r="C1725" s="301"/>
      <c r="D1725" s="430"/>
      <c r="E1725" s="105"/>
      <c r="F1725" s="105"/>
      <c r="G1725" s="105"/>
      <c r="H1725" s="105"/>
      <c r="I1725" s="340"/>
      <c r="J1725" s="105"/>
      <c r="K1725" s="105"/>
    </row>
    <row r="1726" spans="3:11" s="418" customFormat="1" x14ac:dyDescent="0.25">
      <c r="C1726" s="301"/>
      <c r="D1726" s="430"/>
      <c r="E1726" s="105"/>
      <c r="F1726" s="105"/>
      <c r="G1726" s="105"/>
      <c r="H1726" s="105"/>
      <c r="I1726" s="340"/>
      <c r="J1726" s="105"/>
      <c r="K1726" s="105"/>
    </row>
    <row r="1727" spans="3:11" s="418" customFormat="1" x14ac:dyDescent="0.25">
      <c r="C1727" s="301"/>
      <c r="D1727" s="430"/>
      <c r="E1727" s="105"/>
      <c r="F1727" s="105"/>
      <c r="G1727" s="105"/>
      <c r="H1727" s="105"/>
      <c r="I1727" s="340"/>
      <c r="J1727" s="105"/>
      <c r="K1727" s="105"/>
    </row>
    <row r="1728" spans="3:11" s="418" customFormat="1" x14ac:dyDescent="0.25">
      <c r="C1728" s="301"/>
      <c r="D1728" s="430"/>
      <c r="E1728" s="105"/>
      <c r="F1728" s="105"/>
      <c r="G1728" s="105"/>
      <c r="H1728" s="105"/>
      <c r="I1728" s="340"/>
      <c r="J1728" s="105"/>
      <c r="K1728" s="105"/>
    </row>
    <row r="1729" spans="3:11" s="418" customFormat="1" x14ac:dyDescent="0.25">
      <c r="C1729" s="301"/>
      <c r="D1729" s="430"/>
      <c r="E1729" s="105"/>
      <c r="F1729" s="105"/>
      <c r="G1729" s="105"/>
      <c r="H1729" s="105"/>
      <c r="I1729" s="340"/>
      <c r="J1729" s="105"/>
      <c r="K1729" s="105"/>
    </row>
    <row r="1730" spans="3:11" s="418" customFormat="1" x14ac:dyDescent="0.25">
      <c r="C1730" s="301"/>
      <c r="D1730" s="430"/>
      <c r="E1730" s="105"/>
      <c r="F1730" s="105"/>
      <c r="G1730" s="105"/>
      <c r="H1730" s="105"/>
      <c r="I1730" s="340"/>
      <c r="J1730" s="105"/>
      <c r="K1730" s="105"/>
    </row>
    <row r="1731" spans="3:11" s="418" customFormat="1" x14ac:dyDescent="0.25">
      <c r="C1731" s="301"/>
      <c r="D1731" s="430"/>
      <c r="E1731" s="105"/>
      <c r="F1731" s="105"/>
      <c r="G1731" s="105"/>
      <c r="H1731" s="105"/>
      <c r="I1731" s="340"/>
      <c r="J1731" s="105"/>
      <c r="K1731" s="105"/>
    </row>
    <row r="1732" spans="3:11" s="418" customFormat="1" x14ac:dyDescent="0.25">
      <c r="C1732" s="301"/>
      <c r="D1732" s="430"/>
      <c r="E1732" s="105"/>
      <c r="F1732" s="105"/>
      <c r="G1732" s="105"/>
      <c r="H1732" s="105"/>
      <c r="I1732" s="340"/>
      <c r="J1732" s="105"/>
      <c r="K1732" s="105"/>
    </row>
    <row r="1733" spans="3:11" s="418" customFormat="1" x14ac:dyDescent="0.25">
      <c r="C1733" s="301"/>
      <c r="D1733" s="430"/>
      <c r="E1733" s="105"/>
      <c r="F1733" s="105"/>
      <c r="G1733" s="105"/>
      <c r="H1733" s="105"/>
      <c r="I1733" s="340"/>
      <c r="J1733" s="105"/>
      <c r="K1733" s="105"/>
    </row>
    <row r="1734" spans="3:11" s="418" customFormat="1" x14ac:dyDescent="0.25">
      <c r="C1734" s="301"/>
      <c r="D1734" s="430"/>
      <c r="E1734" s="105"/>
      <c r="F1734" s="105"/>
      <c r="G1734" s="105"/>
      <c r="H1734" s="105"/>
      <c r="I1734" s="340"/>
      <c r="J1734" s="105"/>
      <c r="K1734" s="105"/>
    </row>
    <row r="1735" spans="3:11" s="418" customFormat="1" x14ac:dyDescent="0.25">
      <c r="C1735" s="301"/>
      <c r="D1735" s="430"/>
      <c r="E1735" s="105"/>
      <c r="F1735" s="105"/>
      <c r="G1735" s="105"/>
      <c r="H1735" s="105"/>
      <c r="I1735" s="340"/>
      <c r="J1735" s="105"/>
      <c r="K1735" s="105"/>
    </row>
    <row r="1736" spans="3:11" s="418" customFormat="1" x14ac:dyDescent="0.25">
      <c r="C1736" s="301"/>
      <c r="D1736" s="430"/>
      <c r="E1736" s="105"/>
      <c r="F1736" s="105"/>
      <c r="G1736" s="105"/>
      <c r="H1736" s="105"/>
      <c r="I1736" s="340"/>
      <c r="J1736" s="105"/>
      <c r="K1736" s="105"/>
    </row>
    <row r="1737" spans="3:11" s="418" customFormat="1" x14ac:dyDescent="0.25">
      <c r="C1737" s="301"/>
      <c r="D1737" s="430"/>
      <c r="E1737" s="105"/>
      <c r="F1737" s="105"/>
      <c r="G1737" s="105"/>
      <c r="H1737" s="105"/>
      <c r="I1737" s="340"/>
      <c r="J1737" s="105"/>
      <c r="K1737" s="105"/>
    </row>
    <row r="1738" spans="3:11" s="418" customFormat="1" x14ac:dyDescent="0.25">
      <c r="C1738" s="301"/>
      <c r="D1738" s="430"/>
      <c r="E1738" s="105"/>
      <c r="F1738" s="105"/>
      <c r="G1738" s="105"/>
      <c r="H1738" s="105"/>
      <c r="I1738" s="340"/>
      <c r="J1738" s="105"/>
      <c r="K1738" s="105"/>
    </row>
    <row r="1739" spans="3:11" s="418" customFormat="1" x14ac:dyDescent="0.25">
      <c r="C1739" s="301"/>
      <c r="D1739" s="430"/>
      <c r="E1739" s="105"/>
      <c r="F1739" s="105"/>
      <c r="G1739" s="105"/>
      <c r="H1739" s="105"/>
      <c r="I1739" s="340"/>
      <c r="J1739" s="105"/>
      <c r="K1739" s="105"/>
    </row>
    <row r="1740" spans="3:11" s="418" customFormat="1" x14ac:dyDescent="0.25">
      <c r="C1740" s="301"/>
      <c r="D1740" s="430"/>
      <c r="E1740" s="105"/>
      <c r="F1740" s="105"/>
      <c r="G1740" s="105"/>
      <c r="H1740" s="105"/>
      <c r="I1740" s="340"/>
      <c r="J1740" s="105"/>
      <c r="K1740" s="105"/>
    </row>
    <row r="1741" spans="3:11" s="418" customFormat="1" x14ac:dyDescent="0.25">
      <c r="C1741" s="301"/>
      <c r="D1741" s="430"/>
      <c r="E1741" s="105"/>
      <c r="F1741" s="105"/>
      <c r="G1741" s="105"/>
      <c r="H1741" s="105"/>
      <c r="I1741" s="340"/>
      <c r="J1741" s="105"/>
      <c r="K1741" s="105"/>
    </row>
    <row r="1742" spans="3:11" s="418" customFormat="1" x14ac:dyDescent="0.25">
      <c r="C1742" s="301"/>
      <c r="D1742" s="430"/>
      <c r="E1742" s="105"/>
      <c r="F1742" s="105"/>
      <c r="G1742" s="105"/>
      <c r="H1742" s="105"/>
      <c r="I1742" s="340"/>
      <c r="J1742" s="105"/>
      <c r="K1742" s="105"/>
    </row>
    <row r="1743" spans="3:11" s="418" customFormat="1" x14ac:dyDescent="0.25">
      <c r="C1743" s="301"/>
      <c r="D1743" s="430"/>
      <c r="E1743" s="105"/>
      <c r="F1743" s="105"/>
      <c r="G1743" s="105"/>
      <c r="H1743" s="105"/>
      <c r="I1743" s="340"/>
      <c r="J1743" s="105"/>
      <c r="K1743" s="105"/>
    </row>
    <row r="1744" spans="3:11" s="418" customFormat="1" x14ac:dyDescent="0.25">
      <c r="C1744" s="301"/>
      <c r="D1744" s="430"/>
      <c r="E1744" s="105"/>
      <c r="F1744" s="105"/>
      <c r="G1744" s="105"/>
      <c r="H1744" s="105"/>
      <c r="I1744" s="340"/>
      <c r="J1744" s="105"/>
      <c r="K1744" s="105"/>
    </row>
    <row r="1745" spans="3:11" s="418" customFormat="1" x14ac:dyDescent="0.25">
      <c r="C1745" s="301"/>
      <c r="D1745" s="430"/>
      <c r="E1745" s="105"/>
      <c r="F1745" s="105"/>
      <c r="G1745" s="105"/>
      <c r="H1745" s="105"/>
      <c r="I1745" s="340"/>
      <c r="J1745" s="105"/>
      <c r="K1745" s="105"/>
    </row>
    <row r="1746" spans="3:11" s="418" customFormat="1" x14ac:dyDescent="0.25">
      <c r="C1746" s="301"/>
      <c r="D1746" s="430"/>
      <c r="E1746" s="105"/>
      <c r="F1746" s="105"/>
      <c r="G1746" s="105"/>
      <c r="H1746" s="105"/>
      <c r="I1746" s="340"/>
      <c r="J1746" s="105"/>
      <c r="K1746" s="105"/>
    </row>
    <row r="1747" spans="3:11" s="418" customFormat="1" x14ac:dyDescent="0.25">
      <c r="C1747" s="301"/>
      <c r="D1747" s="430"/>
      <c r="E1747" s="105"/>
      <c r="F1747" s="105"/>
      <c r="G1747" s="105"/>
      <c r="H1747" s="105"/>
      <c r="I1747" s="340"/>
      <c r="J1747" s="105"/>
      <c r="K1747" s="105"/>
    </row>
    <row r="1748" spans="3:11" s="418" customFormat="1" x14ac:dyDescent="0.25">
      <c r="C1748" s="301"/>
      <c r="D1748" s="430"/>
      <c r="E1748" s="105"/>
      <c r="F1748" s="105"/>
      <c r="G1748" s="105"/>
      <c r="H1748" s="105"/>
      <c r="I1748" s="340"/>
      <c r="J1748" s="105"/>
      <c r="K1748" s="105"/>
    </row>
    <row r="1749" spans="3:11" s="418" customFormat="1" x14ac:dyDescent="0.25">
      <c r="C1749" s="301"/>
      <c r="D1749" s="430"/>
      <c r="E1749" s="105"/>
      <c r="F1749" s="105"/>
      <c r="G1749" s="105"/>
      <c r="H1749" s="105"/>
      <c r="I1749" s="340"/>
      <c r="J1749" s="105"/>
      <c r="K1749" s="105"/>
    </row>
    <row r="1750" spans="3:11" s="418" customFormat="1" x14ac:dyDescent="0.25">
      <c r="C1750" s="301"/>
      <c r="D1750" s="430"/>
      <c r="E1750" s="105"/>
      <c r="F1750" s="105"/>
      <c r="G1750" s="105"/>
      <c r="H1750" s="105"/>
      <c r="I1750" s="340"/>
      <c r="J1750" s="105"/>
      <c r="K1750" s="105"/>
    </row>
    <row r="1751" spans="3:11" s="418" customFormat="1" x14ac:dyDescent="0.25">
      <c r="C1751" s="301"/>
      <c r="D1751" s="430"/>
      <c r="E1751" s="105"/>
      <c r="F1751" s="105"/>
      <c r="G1751" s="105"/>
      <c r="H1751" s="105"/>
      <c r="I1751" s="340"/>
      <c r="J1751" s="105"/>
      <c r="K1751" s="105"/>
    </row>
    <row r="1752" spans="3:11" s="418" customFormat="1" x14ac:dyDescent="0.25">
      <c r="C1752" s="301"/>
      <c r="D1752" s="430"/>
      <c r="E1752" s="105"/>
      <c r="F1752" s="105"/>
      <c r="G1752" s="105"/>
      <c r="H1752" s="105"/>
      <c r="I1752" s="340"/>
      <c r="J1752" s="105"/>
      <c r="K1752" s="105"/>
    </row>
    <row r="1753" spans="3:11" s="418" customFormat="1" x14ac:dyDescent="0.25">
      <c r="C1753" s="301"/>
      <c r="D1753" s="430"/>
      <c r="E1753" s="105"/>
      <c r="F1753" s="105"/>
      <c r="G1753" s="105"/>
      <c r="H1753" s="105"/>
      <c r="I1753" s="340"/>
      <c r="J1753" s="105"/>
      <c r="K1753" s="105"/>
    </row>
    <row r="1754" spans="3:11" s="418" customFormat="1" x14ac:dyDescent="0.25">
      <c r="C1754" s="301"/>
      <c r="D1754" s="430"/>
      <c r="E1754" s="105"/>
      <c r="F1754" s="105"/>
      <c r="G1754" s="105"/>
      <c r="H1754" s="105"/>
      <c r="I1754" s="340"/>
      <c r="J1754" s="105"/>
      <c r="K1754" s="105"/>
    </row>
    <row r="1755" spans="3:11" s="418" customFormat="1" x14ac:dyDescent="0.25">
      <c r="C1755" s="301"/>
      <c r="D1755" s="430"/>
      <c r="E1755" s="105"/>
      <c r="F1755" s="105"/>
      <c r="G1755" s="105"/>
      <c r="H1755" s="105"/>
      <c r="I1755" s="340"/>
      <c r="J1755" s="105"/>
      <c r="K1755" s="105"/>
    </row>
    <row r="1756" spans="3:11" s="418" customFormat="1" x14ac:dyDescent="0.25">
      <c r="C1756" s="301"/>
      <c r="D1756" s="430"/>
      <c r="E1756" s="105"/>
      <c r="F1756" s="105"/>
      <c r="G1756" s="105"/>
      <c r="H1756" s="105"/>
      <c r="I1756" s="340"/>
      <c r="J1756" s="105"/>
      <c r="K1756" s="105"/>
    </row>
    <row r="1757" spans="3:11" s="418" customFormat="1" x14ac:dyDescent="0.25">
      <c r="C1757" s="301"/>
      <c r="D1757" s="430"/>
      <c r="E1757" s="105"/>
      <c r="F1757" s="105"/>
      <c r="G1757" s="105"/>
      <c r="H1757" s="105"/>
      <c r="I1757" s="340"/>
      <c r="J1757" s="105"/>
      <c r="K1757" s="105"/>
    </row>
    <row r="1758" spans="3:11" s="418" customFormat="1" x14ac:dyDescent="0.25">
      <c r="C1758" s="301"/>
      <c r="D1758" s="430"/>
      <c r="E1758" s="105"/>
      <c r="F1758" s="105"/>
      <c r="G1758" s="105"/>
      <c r="H1758" s="105"/>
      <c r="I1758" s="340"/>
      <c r="J1758" s="105"/>
      <c r="K1758" s="105"/>
    </row>
    <row r="1759" spans="3:11" s="418" customFormat="1" x14ac:dyDescent="0.25">
      <c r="C1759" s="301"/>
      <c r="D1759" s="430"/>
      <c r="E1759" s="105"/>
      <c r="F1759" s="105"/>
      <c r="G1759" s="105"/>
      <c r="H1759" s="105"/>
      <c r="I1759" s="340"/>
      <c r="J1759" s="105"/>
      <c r="K1759" s="105"/>
    </row>
    <row r="1760" spans="3:11" s="418" customFormat="1" x14ac:dyDescent="0.25">
      <c r="C1760" s="301"/>
      <c r="D1760" s="430"/>
      <c r="E1760" s="105"/>
      <c r="F1760" s="105"/>
      <c r="G1760" s="105"/>
      <c r="H1760" s="105"/>
      <c r="I1760" s="340"/>
      <c r="J1760" s="105"/>
      <c r="K1760" s="105"/>
    </row>
    <row r="1761" spans="3:11" s="418" customFormat="1" x14ac:dyDescent="0.25">
      <c r="C1761" s="301"/>
      <c r="D1761" s="430"/>
      <c r="E1761" s="105"/>
      <c r="F1761" s="105"/>
      <c r="G1761" s="105"/>
      <c r="H1761" s="105"/>
      <c r="I1761" s="340"/>
      <c r="J1761" s="105"/>
      <c r="K1761" s="105"/>
    </row>
    <row r="1762" spans="3:11" s="418" customFormat="1" x14ac:dyDescent="0.25">
      <c r="C1762" s="301"/>
      <c r="D1762" s="430"/>
      <c r="E1762" s="105"/>
      <c r="F1762" s="105"/>
      <c r="G1762" s="105"/>
      <c r="H1762" s="105"/>
      <c r="I1762" s="340"/>
      <c r="J1762" s="105"/>
      <c r="K1762" s="105"/>
    </row>
    <row r="1763" spans="3:11" s="418" customFormat="1" x14ac:dyDescent="0.25">
      <c r="C1763" s="301"/>
      <c r="D1763" s="430"/>
      <c r="E1763" s="105"/>
      <c r="F1763" s="105"/>
      <c r="G1763" s="105"/>
      <c r="H1763" s="105"/>
      <c r="I1763" s="340"/>
      <c r="J1763" s="105"/>
      <c r="K1763" s="105"/>
    </row>
    <row r="1764" spans="3:11" s="418" customFormat="1" x14ac:dyDescent="0.25">
      <c r="C1764" s="301"/>
      <c r="D1764" s="430"/>
      <c r="E1764" s="105"/>
      <c r="F1764" s="105"/>
      <c r="G1764" s="105"/>
      <c r="H1764" s="105"/>
      <c r="I1764" s="340"/>
      <c r="J1764" s="105"/>
      <c r="K1764" s="105"/>
    </row>
    <row r="1765" spans="3:11" s="418" customFormat="1" x14ac:dyDescent="0.25">
      <c r="C1765" s="301"/>
      <c r="D1765" s="430"/>
      <c r="E1765" s="105"/>
      <c r="F1765" s="105"/>
      <c r="G1765" s="105"/>
      <c r="H1765" s="105"/>
      <c r="I1765" s="340"/>
      <c r="J1765" s="105"/>
      <c r="K1765" s="105"/>
    </row>
    <row r="1766" spans="3:11" s="418" customFormat="1" x14ac:dyDescent="0.25">
      <c r="C1766" s="301"/>
      <c r="D1766" s="430"/>
      <c r="E1766" s="105"/>
      <c r="F1766" s="105"/>
      <c r="G1766" s="105"/>
      <c r="H1766" s="105"/>
      <c r="I1766" s="340"/>
      <c r="J1766" s="105"/>
      <c r="K1766" s="105"/>
    </row>
    <row r="1767" spans="3:11" s="418" customFormat="1" x14ac:dyDescent="0.25">
      <c r="C1767" s="301"/>
      <c r="D1767" s="430"/>
      <c r="E1767" s="105"/>
      <c r="F1767" s="105"/>
      <c r="G1767" s="105"/>
      <c r="H1767" s="105"/>
      <c r="I1767" s="340"/>
      <c r="J1767" s="105"/>
      <c r="K1767" s="105"/>
    </row>
    <row r="1768" spans="3:11" s="418" customFormat="1" x14ac:dyDescent="0.25">
      <c r="C1768" s="301"/>
      <c r="D1768" s="430"/>
      <c r="E1768" s="105"/>
      <c r="F1768" s="105"/>
      <c r="G1768" s="105"/>
      <c r="H1768" s="105"/>
      <c r="I1768" s="340"/>
      <c r="J1768" s="105"/>
      <c r="K1768" s="105"/>
    </row>
    <row r="1769" spans="3:11" s="418" customFormat="1" x14ac:dyDescent="0.25">
      <c r="C1769" s="301"/>
      <c r="D1769" s="430"/>
      <c r="E1769" s="105"/>
      <c r="F1769" s="105"/>
      <c r="G1769" s="105"/>
      <c r="H1769" s="105"/>
      <c r="I1769" s="340"/>
      <c r="J1769" s="105"/>
      <c r="K1769" s="105"/>
    </row>
    <row r="1770" spans="3:11" s="418" customFormat="1" x14ac:dyDescent="0.25">
      <c r="C1770" s="301"/>
      <c r="D1770" s="430"/>
      <c r="E1770" s="105"/>
      <c r="F1770" s="105"/>
      <c r="G1770" s="105"/>
      <c r="H1770" s="105"/>
      <c r="I1770" s="340"/>
      <c r="J1770" s="105"/>
      <c r="K1770" s="105"/>
    </row>
    <row r="1771" spans="3:11" s="418" customFormat="1" x14ac:dyDescent="0.25">
      <c r="C1771" s="301"/>
      <c r="D1771" s="430"/>
      <c r="E1771" s="105"/>
      <c r="F1771" s="105"/>
      <c r="G1771" s="105"/>
      <c r="H1771" s="105"/>
      <c r="I1771" s="340"/>
      <c r="J1771" s="105"/>
      <c r="K1771" s="105"/>
    </row>
    <row r="1772" spans="3:11" s="418" customFormat="1" x14ac:dyDescent="0.25">
      <c r="C1772" s="301"/>
      <c r="D1772" s="430"/>
      <c r="E1772" s="105"/>
      <c r="F1772" s="105"/>
      <c r="G1772" s="105"/>
      <c r="H1772" s="105"/>
      <c r="I1772" s="340"/>
      <c r="J1772" s="105"/>
      <c r="K1772" s="105"/>
    </row>
    <row r="1773" spans="3:11" s="418" customFormat="1" x14ac:dyDescent="0.25">
      <c r="C1773" s="301"/>
      <c r="D1773" s="430"/>
      <c r="E1773" s="105"/>
      <c r="F1773" s="105"/>
      <c r="G1773" s="105"/>
      <c r="H1773" s="105"/>
      <c r="I1773" s="340"/>
      <c r="J1773" s="105"/>
      <c r="K1773" s="105"/>
    </row>
    <row r="1774" spans="3:11" s="418" customFormat="1" x14ac:dyDescent="0.25">
      <c r="C1774" s="301"/>
      <c r="D1774" s="430"/>
      <c r="E1774" s="105"/>
      <c r="F1774" s="105"/>
      <c r="G1774" s="105"/>
      <c r="H1774" s="105"/>
      <c r="I1774" s="340"/>
      <c r="J1774" s="105"/>
      <c r="K1774" s="105"/>
    </row>
    <row r="1775" spans="3:11" s="418" customFormat="1" x14ac:dyDescent="0.25">
      <c r="C1775" s="301"/>
      <c r="D1775" s="430"/>
      <c r="E1775" s="105"/>
      <c r="F1775" s="105"/>
      <c r="G1775" s="105"/>
      <c r="H1775" s="105"/>
      <c r="I1775" s="340"/>
      <c r="J1775" s="105"/>
      <c r="K1775" s="105"/>
    </row>
    <row r="1776" spans="3:11" s="418" customFormat="1" x14ac:dyDescent="0.25">
      <c r="C1776" s="301"/>
      <c r="D1776" s="430"/>
      <c r="E1776" s="105"/>
      <c r="F1776" s="105"/>
      <c r="G1776" s="105"/>
      <c r="H1776" s="105"/>
      <c r="I1776" s="340"/>
      <c r="J1776" s="105"/>
      <c r="K1776" s="105"/>
    </row>
    <row r="1777" spans="3:11" s="418" customFormat="1" x14ac:dyDescent="0.25">
      <c r="C1777" s="301"/>
      <c r="D1777" s="430"/>
      <c r="E1777" s="105"/>
      <c r="F1777" s="105"/>
      <c r="G1777" s="105"/>
      <c r="H1777" s="105"/>
      <c r="I1777" s="340"/>
      <c r="J1777" s="105"/>
      <c r="K1777" s="105"/>
    </row>
    <row r="1778" spans="3:11" s="418" customFormat="1" x14ac:dyDescent="0.25">
      <c r="C1778" s="301"/>
      <c r="D1778" s="430"/>
      <c r="E1778" s="105"/>
      <c r="F1778" s="105"/>
      <c r="G1778" s="105"/>
      <c r="H1778" s="105"/>
      <c r="I1778" s="340"/>
      <c r="J1778" s="105"/>
      <c r="K1778" s="105"/>
    </row>
    <row r="1779" spans="3:11" s="418" customFormat="1" x14ac:dyDescent="0.25">
      <c r="C1779" s="301"/>
      <c r="D1779" s="430"/>
      <c r="E1779" s="105"/>
      <c r="F1779" s="105"/>
      <c r="G1779" s="105"/>
      <c r="H1779" s="105"/>
      <c r="I1779" s="340"/>
      <c r="J1779" s="105"/>
      <c r="K1779" s="105"/>
    </row>
    <row r="1780" spans="3:11" s="418" customFormat="1" x14ac:dyDescent="0.25">
      <c r="C1780" s="301"/>
      <c r="D1780" s="430"/>
      <c r="E1780" s="105"/>
      <c r="F1780" s="105"/>
      <c r="G1780" s="105"/>
      <c r="H1780" s="105"/>
      <c r="I1780" s="340"/>
      <c r="J1780" s="105"/>
      <c r="K1780" s="105"/>
    </row>
    <row r="1781" spans="3:11" s="418" customFormat="1" x14ac:dyDescent="0.25">
      <c r="C1781" s="301"/>
      <c r="D1781" s="430"/>
      <c r="E1781" s="105"/>
      <c r="F1781" s="105"/>
      <c r="G1781" s="105"/>
      <c r="H1781" s="105"/>
      <c r="I1781" s="340"/>
      <c r="J1781" s="105"/>
      <c r="K1781" s="105"/>
    </row>
    <row r="1782" spans="3:11" s="418" customFormat="1" x14ac:dyDescent="0.25">
      <c r="C1782" s="301"/>
      <c r="D1782" s="430"/>
      <c r="E1782" s="105"/>
      <c r="F1782" s="105"/>
      <c r="G1782" s="105"/>
      <c r="H1782" s="105"/>
      <c r="I1782" s="340"/>
      <c r="J1782" s="105"/>
      <c r="K1782" s="105"/>
    </row>
    <row r="1783" spans="3:11" s="418" customFormat="1" x14ac:dyDescent="0.25">
      <c r="C1783" s="301"/>
      <c r="D1783" s="430"/>
      <c r="E1783" s="105"/>
      <c r="F1783" s="105"/>
      <c r="G1783" s="105"/>
      <c r="H1783" s="105"/>
      <c r="I1783" s="340"/>
      <c r="J1783" s="105"/>
      <c r="K1783" s="105"/>
    </row>
    <row r="1784" spans="3:11" s="418" customFormat="1" x14ac:dyDescent="0.25">
      <c r="C1784" s="301"/>
      <c r="D1784" s="430"/>
      <c r="E1784" s="105"/>
      <c r="F1784" s="105"/>
      <c r="G1784" s="105"/>
      <c r="H1784" s="105"/>
      <c r="I1784" s="340"/>
      <c r="J1784" s="105"/>
      <c r="K1784" s="105"/>
    </row>
    <row r="1785" spans="3:11" s="418" customFormat="1" x14ac:dyDescent="0.25">
      <c r="C1785" s="301"/>
      <c r="D1785" s="430"/>
      <c r="E1785" s="105"/>
      <c r="F1785" s="105"/>
      <c r="G1785" s="105"/>
      <c r="H1785" s="105"/>
      <c r="I1785" s="340"/>
      <c r="J1785" s="105"/>
      <c r="K1785" s="105"/>
    </row>
    <row r="1786" spans="3:11" s="418" customFormat="1" x14ac:dyDescent="0.25">
      <c r="C1786" s="301"/>
      <c r="D1786" s="430"/>
      <c r="E1786" s="105"/>
      <c r="F1786" s="105"/>
      <c r="G1786" s="105"/>
      <c r="H1786" s="105"/>
      <c r="I1786" s="340"/>
      <c r="J1786" s="105"/>
      <c r="K1786" s="105"/>
    </row>
    <row r="1787" spans="3:11" s="418" customFormat="1" x14ac:dyDescent="0.25">
      <c r="C1787" s="301"/>
      <c r="D1787" s="430"/>
      <c r="E1787" s="105"/>
      <c r="F1787" s="105"/>
      <c r="G1787" s="105"/>
      <c r="H1787" s="105"/>
      <c r="I1787" s="340"/>
      <c r="J1787" s="105"/>
      <c r="K1787" s="105"/>
    </row>
    <row r="1788" spans="3:11" s="418" customFormat="1" x14ac:dyDescent="0.25">
      <c r="C1788" s="301"/>
      <c r="D1788" s="430"/>
      <c r="E1788" s="105"/>
      <c r="F1788" s="105"/>
      <c r="G1788" s="105"/>
      <c r="H1788" s="105"/>
      <c r="I1788" s="340"/>
      <c r="J1788" s="105"/>
      <c r="K1788" s="105"/>
    </row>
    <row r="1789" spans="3:11" s="418" customFormat="1" x14ac:dyDescent="0.25">
      <c r="C1789" s="301"/>
      <c r="D1789" s="430"/>
      <c r="E1789" s="105"/>
      <c r="F1789" s="105"/>
      <c r="G1789" s="105"/>
      <c r="H1789" s="105"/>
      <c r="I1789" s="340"/>
      <c r="J1789" s="105"/>
      <c r="K1789" s="105"/>
    </row>
    <row r="1790" spans="3:11" s="418" customFormat="1" x14ac:dyDescent="0.25">
      <c r="C1790" s="301"/>
      <c r="D1790" s="430"/>
      <c r="E1790" s="105"/>
      <c r="F1790" s="105"/>
      <c r="G1790" s="105"/>
      <c r="H1790" s="105"/>
      <c r="I1790" s="340"/>
      <c r="J1790" s="105"/>
      <c r="K1790" s="105"/>
    </row>
    <row r="1791" spans="3:11" s="418" customFormat="1" x14ac:dyDescent="0.25">
      <c r="C1791" s="301"/>
      <c r="D1791" s="430"/>
      <c r="E1791" s="105"/>
      <c r="F1791" s="105"/>
      <c r="G1791" s="105"/>
      <c r="H1791" s="105"/>
      <c r="I1791" s="340"/>
      <c r="J1791" s="105"/>
      <c r="K1791" s="105"/>
    </row>
    <row r="1792" spans="3:11" s="418" customFormat="1" x14ac:dyDescent="0.25">
      <c r="C1792" s="301"/>
      <c r="D1792" s="430"/>
      <c r="E1792" s="105"/>
      <c r="F1792" s="105"/>
      <c r="G1792" s="105"/>
      <c r="H1792" s="105"/>
      <c r="I1792" s="340"/>
      <c r="J1792" s="105"/>
      <c r="K1792" s="105"/>
    </row>
    <row r="1793" spans="3:11" s="418" customFormat="1" x14ac:dyDescent="0.25">
      <c r="C1793" s="301"/>
      <c r="D1793" s="430"/>
      <c r="E1793" s="105"/>
      <c r="F1793" s="105"/>
      <c r="G1793" s="105"/>
      <c r="H1793" s="105"/>
      <c r="I1793" s="340"/>
      <c r="J1793" s="105"/>
      <c r="K1793" s="105"/>
    </row>
    <row r="1794" spans="3:11" s="418" customFormat="1" x14ac:dyDescent="0.25">
      <c r="C1794" s="301"/>
      <c r="D1794" s="430"/>
      <c r="E1794" s="105"/>
      <c r="F1794" s="105"/>
      <c r="G1794" s="105"/>
      <c r="H1794" s="105"/>
      <c r="I1794" s="340"/>
      <c r="J1794" s="105"/>
      <c r="K1794" s="105"/>
    </row>
    <row r="1795" spans="3:11" s="418" customFormat="1" x14ac:dyDescent="0.25">
      <c r="C1795" s="301"/>
      <c r="D1795" s="430"/>
      <c r="E1795" s="105"/>
      <c r="F1795" s="105"/>
      <c r="G1795" s="105"/>
      <c r="H1795" s="105"/>
      <c r="I1795" s="340"/>
      <c r="J1795" s="105"/>
      <c r="K1795" s="105"/>
    </row>
    <row r="1796" spans="3:11" s="418" customFormat="1" x14ac:dyDescent="0.25">
      <c r="C1796" s="301"/>
      <c r="D1796" s="430"/>
      <c r="E1796" s="105"/>
      <c r="F1796" s="105"/>
      <c r="G1796" s="105"/>
      <c r="H1796" s="105"/>
      <c r="I1796" s="340"/>
      <c r="J1796" s="105"/>
      <c r="K1796" s="105"/>
    </row>
    <row r="1797" spans="3:11" s="418" customFormat="1" x14ac:dyDescent="0.25">
      <c r="C1797" s="301"/>
      <c r="D1797" s="430"/>
      <c r="E1797" s="105"/>
      <c r="F1797" s="105"/>
      <c r="G1797" s="105"/>
      <c r="H1797" s="105"/>
      <c r="I1797" s="340"/>
      <c r="J1797" s="105"/>
      <c r="K1797" s="105"/>
    </row>
    <row r="1798" spans="3:11" s="418" customFormat="1" x14ac:dyDescent="0.25">
      <c r="C1798" s="301"/>
      <c r="D1798" s="430"/>
      <c r="E1798" s="105"/>
      <c r="F1798" s="105"/>
      <c r="G1798" s="105"/>
      <c r="H1798" s="105"/>
      <c r="I1798" s="340"/>
      <c r="J1798" s="105"/>
      <c r="K1798" s="105"/>
    </row>
    <row r="1799" spans="3:11" s="418" customFormat="1" x14ac:dyDescent="0.25">
      <c r="C1799" s="301"/>
      <c r="D1799" s="430"/>
      <c r="E1799" s="105"/>
      <c r="F1799" s="105"/>
      <c r="G1799" s="105"/>
      <c r="H1799" s="105"/>
      <c r="I1799" s="340"/>
      <c r="J1799" s="105"/>
      <c r="K1799" s="105"/>
    </row>
    <row r="1800" spans="3:11" s="418" customFormat="1" x14ac:dyDescent="0.25">
      <c r="C1800" s="301"/>
      <c r="D1800" s="430"/>
      <c r="E1800" s="105"/>
      <c r="F1800" s="105"/>
      <c r="G1800" s="105"/>
      <c r="H1800" s="105"/>
      <c r="I1800" s="340"/>
      <c r="J1800" s="105"/>
      <c r="K1800" s="105"/>
    </row>
    <row r="1801" spans="3:11" s="418" customFormat="1" x14ac:dyDescent="0.25">
      <c r="C1801" s="301"/>
      <c r="D1801" s="430"/>
      <c r="E1801" s="105"/>
      <c r="F1801" s="105"/>
      <c r="G1801" s="105"/>
      <c r="H1801" s="105"/>
      <c r="I1801" s="340"/>
      <c r="J1801" s="105"/>
      <c r="K1801" s="105"/>
    </row>
    <row r="1802" spans="3:11" s="418" customFormat="1" x14ac:dyDescent="0.25">
      <c r="C1802" s="301"/>
      <c r="D1802" s="430"/>
      <c r="E1802" s="105"/>
      <c r="F1802" s="105"/>
      <c r="G1802" s="105"/>
      <c r="H1802" s="105"/>
      <c r="I1802" s="340"/>
      <c r="J1802" s="105"/>
      <c r="K1802" s="105"/>
    </row>
    <row r="1803" spans="3:11" s="418" customFormat="1" x14ac:dyDescent="0.25">
      <c r="C1803" s="301"/>
      <c r="D1803" s="430"/>
      <c r="E1803" s="105"/>
      <c r="F1803" s="105"/>
      <c r="G1803" s="105"/>
      <c r="H1803" s="105"/>
      <c r="I1803" s="340"/>
      <c r="J1803" s="105"/>
      <c r="K1803" s="105"/>
    </row>
    <row r="1804" spans="3:11" s="418" customFormat="1" x14ac:dyDescent="0.25">
      <c r="C1804" s="301"/>
      <c r="D1804" s="430"/>
      <c r="E1804" s="105"/>
      <c r="F1804" s="105"/>
      <c r="G1804" s="105"/>
      <c r="H1804" s="105"/>
      <c r="I1804" s="340"/>
      <c r="J1804" s="105"/>
      <c r="K1804" s="105"/>
    </row>
    <row r="1805" spans="3:11" s="418" customFormat="1" x14ac:dyDescent="0.25">
      <c r="C1805" s="301"/>
      <c r="D1805" s="430"/>
      <c r="E1805" s="105"/>
      <c r="F1805" s="105"/>
      <c r="G1805" s="105"/>
      <c r="H1805" s="105"/>
      <c r="I1805" s="340"/>
      <c r="J1805" s="105"/>
      <c r="K1805" s="105"/>
    </row>
    <row r="1806" spans="3:11" s="418" customFormat="1" x14ac:dyDescent="0.25">
      <c r="C1806" s="301"/>
      <c r="D1806" s="430"/>
      <c r="E1806" s="105"/>
      <c r="F1806" s="105"/>
      <c r="G1806" s="105"/>
      <c r="H1806" s="105"/>
      <c r="I1806" s="340"/>
      <c r="J1806" s="105"/>
      <c r="K1806" s="105"/>
    </row>
    <row r="1807" spans="3:11" s="418" customFormat="1" x14ac:dyDescent="0.25">
      <c r="C1807" s="301"/>
      <c r="D1807" s="430"/>
      <c r="E1807" s="105"/>
      <c r="F1807" s="105"/>
      <c r="G1807" s="105"/>
      <c r="H1807" s="105"/>
      <c r="I1807" s="340"/>
      <c r="J1807" s="105"/>
      <c r="K1807" s="105"/>
    </row>
    <row r="1808" spans="3:11" s="418" customFormat="1" x14ac:dyDescent="0.25">
      <c r="C1808" s="301"/>
      <c r="D1808" s="430"/>
      <c r="E1808" s="105"/>
      <c r="F1808" s="105"/>
      <c r="G1808" s="105"/>
      <c r="H1808" s="105"/>
      <c r="I1808" s="340"/>
      <c r="J1808" s="105"/>
      <c r="K1808" s="105"/>
    </row>
    <row r="1809" spans="3:11" s="418" customFormat="1" x14ac:dyDescent="0.25">
      <c r="C1809" s="301"/>
      <c r="D1809" s="430"/>
      <c r="E1809" s="105"/>
      <c r="F1809" s="105"/>
      <c r="G1809" s="105"/>
      <c r="H1809" s="105"/>
      <c r="I1809" s="340"/>
      <c r="J1809" s="105"/>
      <c r="K1809" s="105"/>
    </row>
    <row r="1810" spans="3:11" s="418" customFormat="1" x14ac:dyDescent="0.25">
      <c r="C1810" s="301"/>
      <c r="D1810" s="430"/>
      <c r="E1810" s="105"/>
      <c r="F1810" s="105"/>
      <c r="G1810" s="105"/>
      <c r="H1810" s="105"/>
      <c r="I1810" s="340"/>
      <c r="J1810" s="105"/>
      <c r="K1810" s="105"/>
    </row>
    <row r="1811" spans="3:11" s="418" customFormat="1" x14ac:dyDescent="0.25">
      <c r="C1811" s="301"/>
      <c r="D1811" s="430"/>
      <c r="E1811" s="105"/>
      <c r="F1811" s="105"/>
      <c r="G1811" s="105"/>
      <c r="H1811" s="105"/>
      <c r="I1811" s="340"/>
      <c r="J1811" s="105"/>
      <c r="K1811" s="105"/>
    </row>
    <row r="1812" spans="3:11" s="418" customFormat="1" x14ac:dyDescent="0.25">
      <c r="C1812" s="301"/>
      <c r="D1812" s="430"/>
      <c r="E1812" s="105"/>
      <c r="F1812" s="105"/>
      <c r="G1812" s="105"/>
      <c r="H1812" s="105"/>
      <c r="I1812" s="340"/>
      <c r="J1812" s="105"/>
      <c r="K1812" s="105"/>
    </row>
    <row r="1813" spans="3:11" s="418" customFormat="1" x14ac:dyDescent="0.25">
      <c r="C1813" s="301"/>
      <c r="D1813" s="430"/>
      <c r="E1813" s="105"/>
      <c r="F1813" s="105"/>
      <c r="G1813" s="105"/>
      <c r="H1813" s="105"/>
      <c r="I1813" s="340"/>
      <c r="J1813" s="105"/>
      <c r="K1813" s="105"/>
    </row>
    <row r="1814" spans="3:11" s="418" customFormat="1" x14ac:dyDescent="0.25">
      <c r="C1814" s="301"/>
      <c r="D1814" s="430"/>
      <c r="E1814" s="105"/>
      <c r="F1814" s="105"/>
      <c r="G1814" s="105"/>
      <c r="H1814" s="105"/>
      <c r="I1814" s="340"/>
      <c r="J1814" s="105"/>
      <c r="K1814" s="105"/>
    </row>
    <row r="1815" spans="3:11" s="418" customFormat="1" x14ac:dyDescent="0.25">
      <c r="C1815" s="301"/>
      <c r="D1815" s="430"/>
      <c r="E1815" s="105"/>
      <c r="F1815" s="105"/>
      <c r="G1815" s="105"/>
      <c r="H1815" s="105"/>
      <c r="I1815" s="340"/>
      <c r="J1815" s="105"/>
      <c r="K1815" s="105"/>
    </row>
    <row r="1816" spans="3:11" s="418" customFormat="1" x14ac:dyDescent="0.25">
      <c r="C1816" s="301"/>
      <c r="D1816" s="430"/>
      <c r="E1816" s="105"/>
      <c r="F1816" s="105"/>
      <c r="G1816" s="105"/>
      <c r="H1816" s="105"/>
      <c r="I1816" s="340"/>
      <c r="J1816" s="105"/>
      <c r="K1816" s="105"/>
    </row>
    <row r="1817" spans="3:11" s="418" customFormat="1" x14ac:dyDescent="0.25">
      <c r="C1817" s="301"/>
      <c r="D1817" s="430"/>
      <c r="E1817" s="105"/>
      <c r="F1817" s="105"/>
      <c r="G1817" s="105"/>
      <c r="H1817" s="105"/>
      <c r="I1817" s="340"/>
      <c r="J1817" s="105"/>
      <c r="K1817" s="105"/>
    </row>
    <row r="1818" spans="3:11" s="418" customFormat="1" x14ac:dyDescent="0.25">
      <c r="C1818" s="301"/>
      <c r="D1818" s="430"/>
      <c r="E1818" s="105"/>
      <c r="F1818" s="105"/>
      <c r="G1818" s="105"/>
      <c r="H1818" s="105"/>
      <c r="I1818" s="340"/>
      <c r="J1818" s="105"/>
      <c r="K1818" s="105"/>
    </row>
    <row r="1819" spans="3:11" s="418" customFormat="1" x14ac:dyDescent="0.25">
      <c r="C1819" s="301"/>
      <c r="D1819" s="430"/>
      <c r="E1819" s="105"/>
      <c r="F1819" s="105"/>
      <c r="G1819" s="105"/>
      <c r="H1819" s="105"/>
      <c r="I1819" s="340"/>
      <c r="J1819" s="105"/>
      <c r="K1819" s="105"/>
    </row>
    <row r="1820" spans="3:11" s="418" customFormat="1" x14ac:dyDescent="0.25">
      <c r="C1820" s="301"/>
      <c r="D1820" s="430"/>
      <c r="E1820" s="105"/>
      <c r="F1820" s="105"/>
      <c r="G1820" s="105"/>
      <c r="H1820" s="105"/>
      <c r="I1820" s="340"/>
      <c r="J1820" s="105"/>
      <c r="K1820" s="105"/>
    </row>
    <row r="1821" spans="3:11" s="418" customFormat="1" x14ac:dyDescent="0.25">
      <c r="C1821" s="301"/>
      <c r="D1821" s="430"/>
      <c r="E1821" s="105"/>
      <c r="F1821" s="105"/>
      <c r="G1821" s="105"/>
      <c r="H1821" s="105"/>
      <c r="I1821" s="340"/>
      <c r="J1821" s="105"/>
      <c r="K1821" s="105"/>
    </row>
    <row r="1822" spans="3:11" s="418" customFormat="1" x14ac:dyDescent="0.25">
      <c r="C1822" s="301"/>
      <c r="D1822" s="430"/>
      <c r="E1822" s="105"/>
      <c r="F1822" s="105"/>
      <c r="G1822" s="105"/>
      <c r="H1822" s="105"/>
      <c r="I1822" s="340"/>
      <c r="J1822" s="105"/>
      <c r="K1822" s="105"/>
    </row>
    <row r="1823" spans="3:11" s="418" customFormat="1" x14ac:dyDescent="0.25">
      <c r="C1823" s="301"/>
      <c r="D1823" s="430"/>
      <c r="E1823" s="105"/>
      <c r="F1823" s="105"/>
      <c r="G1823" s="105"/>
      <c r="H1823" s="105"/>
      <c r="I1823" s="340"/>
      <c r="J1823" s="105"/>
      <c r="K1823" s="105"/>
    </row>
    <row r="1824" spans="3:11" s="418" customFormat="1" x14ac:dyDescent="0.25">
      <c r="C1824" s="301"/>
      <c r="D1824" s="430"/>
      <c r="E1824" s="105"/>
      <c r="F1824" s="105"/>
      <c r="G1824" s="105"/>
      <c r="H1824" s="105"/>
      <c r="I1824" s="340"/>
      <c r="J1824" s="105"/>
      <c r="K1824" s="105"/>
    </row>
    <row r="1825" spans="3:11" s="418" customFormat="1" x14ac:dyDescent="0.25">
      <c r="C1825" s="301"/>
      <c r="D1825" s="430"/>
      <c r="E1825" s="105"/>
      <c r="F1825" s="105"/>
      <c r="G1825" s="105"/>
      <c r="H1825" s="105"/>
      <c r="I1825" s="340"/>
      <c r="J1825" s="105"/>
      <c r="K1825" s="105"/>
    </row>
    <row r="1826" spans="3:11" s="418" customFormat="1" x14ac:dyDescent="0.25">
      <c r="C1826" s="301"/>
      <c r="D1826" s="430"/>
      <c r="E1826" s="105"/>
      <c r="F1826" s="105"/>
      <c r="G1826" s="105"/>
      <c r="H1826" s="105"/>
      <c r="I1826" s="340"/>
      <c r="J1826" s="105"/>
      <c r="K1826" s="105"/>
    </row>
    <row r="1827" spans="3:11" s="418" customFormat="1" x14ac:dyDescent="0.25">
      <c r="C1827" s="301"/>
      <c r="D1827" s="430"/>
      <c r="E1827" s="105"/>
      <c r="F1827" s="105"/>
      <c r="G1827" s="105"/>
      <c r="H1827" s="105"/>
      <c r="I1827" s="340"/>
      <c r="J1827" s="105"/>
      <c r="K1827" s="105"/>
    </row>
    <row r="1828" spans="3:11" s="418" customFormat="1" x14ac:dyDescent="0.25">
      <c r="C1828" s="301"/>
      <c r="D1828" s="430"/>
      <c r="E1828" s="105"/>
      <c r="F1828" s="105"/>
      <c r="G1828" s="105"/>
      <c r="H1828" s="105"/>
      <c r="I1828" s="340"/>
      <c r="J1828" s="105"/>
      <c r="K1828" s="105"/>
    </row>
    <row r="1829" spans="3:11" s="418" customFormat="1" x14ac:dyDescent="0.25">
      <c r="C1829" s="301"/>
      <c r="D1829" s="430"/>
      <c r="E1829" s="105"/>
      <c r="F1829" s="105"/>
      <c r="G1829" s="105"/>
      <c r="H1829" s="105"/>
      <c r="I1829" s="340"/>
      <c r="J1829" s="105"/>
      <c r="K1829" s="105"/>
    </row>
    <row r="1830" spans="3:11" s="418" customFormat="1" x14ac:dyDescent="0.25">
      <c r="C1830" s="301"/>
      <c r="D1830" s="430"/>
      <c r="E1830" s="105"/>
      <c r="F1830" s="105"/>
      <c r="G1830" s="105"/>
      <c r="H1830" s="105"/>
      <c r="I1830" s="340"/>
      <c r="J1830" s="105"/>
      <c r="K1830" s="105"/>
    </row>
    <row r="1831" spans="3:11" s="418" customFormat="1" x14ac:dyDescent="0.25">
      <c r="C1831" s="301"/>
      <c r="D1831" s="430"/>
      <c r="E1831" s="105"/>
      <c r="F1831" s="105"/>
      <c r="G1831" s="105"/>
      <c r="H1831" s="105"/>
      <c r="I1831" s="340"/>
      <c r="J1831" s="105"/>
      <c r="K1831" s="105"/>
    </row>
    <row r="1832" spans="3:11" s="418" customFormat="1" x14ac:dyDescent="0.25">
      <c r="C1832" s="301"/>
      <c r="D1832" s="430"/>
      <c r="E1832" s="105"/>
      <c r="F1832" s="105"/>
      <c r="G1832" s="105"/>
      <c r="H1832" s="105"/>
      <c r="I1832" s="340"/>
      <c r="J1832" s="105"/>
      <c r="K1832" s="105"/>
    </row>
    <row r="1833" spans="3:11" s="418" customFormat="1" x14ac:dyDescent="0.25">
      <c r="C1833" s="301"/>
      <c r="D1833" s="430"/>
      <c r="E1833" s="105"/>
      <c r="F1833" s="105"/>
      <c r="G1833" s="105"/>
      <c r="H1833" s="105"/>
      <c r="I1833" s="340"/>
      <c r="J1833" s="105"/>
      <c r="K1833" s="105"/>
    </row>
    <row r="1834" spans="3:11" s="418" customFormat="1" x14ac:dyDescent="0.25">
      <c r="C1834" s="301"/>
      <c r="D1834" s="430"/>
      <c r="E1834" s="105"/>
      <c r="F1834" s="105"/>
      <c r="G1834" s="105"/>
      <c r="H1834" s="105"/>
      <c r="I1834" s="340"/>
      <c r="J1834" s="105"/>
      <c r="K1834" s="105"/>
    </row>
    <row r="1835" spans="3:11" s="418" customFormat="1" x14ac:dyDescent="0.25">
      <c r="C1835" s="301"/>
      <c r="D1835" s="430"/>
      <c r="E1835" s="105"/>
      <c r="F1835" s="105"/>
      <c r="G1835" s="105"/>
      <c r="H1835" s="105"/>
      <c r="I1835" s="340"/>
      <c r="J1835" s="105"/>
      <c r="K1835" s="105"/>
    </row>
    <row r="1836" spans="3:11" s="418" customFormat="1" x14ac:dyDescent="0.25">
      <c r="C1836" s="301"/>
      <c r="D1836" s="430"/>
      <c r="E1836" s="105"/>
      <c r="F1836" s="105"/>
      <c r="G1836" s="105"/>
      <c r="H1836" s="105"/>
      <c r="I1836" s="340"/>
      <c r="J1836" s="105"/>
      <c r="K1836" s="105"/>
    </row>
    <row r="1837" spans="3:11" s="418" customFormat="1" x14ac:dyDescent="0.25">
      <c r="C1837" s="301"/>
      <c r="D1837" s="430"/>
      <c r="E1837" s="105"/>
      <c r="F1837" s="105"/>
      <c r="G1837" s="105"/>
      <c r="H1837" s="105"/>
      <c r="I1837" s="340"/>
      <c r="J1837" s="105"/>
      <c r="K1837" s="105"/>
    </row>
    <row r="1838" spans="3:11" s="418" customFormat="1" x14ac:dyDescent="0.25">
      <c r="C1838" s="301"/>
      <c r="D1838" s="430"/>
      <c r="E1838" s="105"/>
      <c r="F1838" s="105"/>
      <c r="G1838" s="105"/>
      <c r="H1838" s="105"/>
      <c r="I1838" s="340"/>
      <c r="J1838" s="105"/>
      <c r="K1838" s="105"/>
    </row>
    <row r="1839" spans="3:11" s="418" customFormat="1" x14ac:dyDescent="0.25">
      <c r="C1839" s="301"/>
      <c r="D1839" s="430"/>
      <c r="E1839" s="105"/>
      <c r="F1839" s="105"/>
      <c r="G1839" s="105"/>
      <c r="H1839" s="105"/>
      <c r="I1839" s="340"/>
      <c r="J1839" s="105"/>
      <c r="K1839" s="105"/>
    </row>
    <row r="1840" spans="3:11" s="418" customFormat="1" x14ac:dyDescent="0.25">
      <c r="C1840" s="301"/>
      <c r="D1840" s="430"/>
      <c r="E1840" s="105"/>
      <c r="F1840" s="105"/>
      <c r="G1840" s="105"/>
      <c r="H1840" s="105"/>
      <c r="I1840" s="340"/>
      <c r="J1840" s="105"/>
      <c r="K1840" s="105"/>
    </row>
    <row r="1841" spans="3:11" s="418" customFormat="1" x14ac:dyDescent="0.25">
      <c r="C1841" s="301"/>
      <c r="D1841" s="430"/>
      <c r="E1841" s="105"/>
      <c r="F1841" s="105"/>
      <c r="G1841" s="105"/>
      <c r="H1841" s="105"/>
      <c r="I1841" s="340"/>
      <c r="J1841" s="105"/>
      <c r="K1841" s="105"/>
    </row>
    <row r="1842" spans="3:11" s="418" customFormat="1" x14ac:dyDescent="0.25">
      <c r="C1842" s="301"/>
      <c r="D1842" s="430"/>
      <c r="E1842" s="105"/>
      <c r="F1842" s="105"/>
      <c r="G1842" s="105"/>
      <c r="H1842" s="105"/>
      <c r="I1842" s="340"/>
      <c r="J1842" s="105"/>
      <c r="K1842" s="105"/>
    </row>
    <row r="1843" spans="3:11" s="418" customFormat="1" x14ac:dyDescent="0.25">
      <c r="C1843" s="301"/>
      <c r="D1843" s="430"/>
      <c r="E1843" s="105"/>
      <c r="F1843" s="105"/>
      <c r="G1843" s="105"/>
      <c r="H1843" s="105"/>
      <c r="I1843" s="340"/>
      <c r="J1843" s="105"/>
      <c r="K1843" s="105"/>
    </row>
    <row r="1844" spans="3:11" s="418" customFormat="1" x14ac:dyDescent="0.25">
      <c r="C1844" s="301"/>
      <c r="D1844" s="430"/>
      <c r="E1844" s="105"/>
      <c r="F1844" s="105"/>
      <c r="G1844" s="105"/>
      <c r="H1844" s="105"/>
      <c r="I1844" s="340"/>
      <c r="J1844" s="105"/>
      <c r="K1844" s="105"/>
    </row>
    <row r="1845" spans="3:11" s="418" customFormat="1" x14ac:dyDescent="0.25">
      <c r="C1845" s="301"/>
      <c r="D1845" s="430"/>
      <c r="E1845" s="105"/>
      <c r="F1845" s="105"/>
      <c r="G1845" s="105"/>
      <c r="H1845" s="105"/>
      <c r="I1845" s="340"/>
      <c r="J1845" s="105"/>
      <c r="K1845" s="105"/>
    </row>
    <row r="1846" spans="3:11" s="418" customFormat="1" x14ac:dyDescent="0.25">
      <c r="C1846" s="301"/>
      <c r="D1846" s="430"/>
      <c r="E1846" s="105"/>
      <c r="F1846" s="105"/>
      <c r="G1846" s="105"/>
      <c r="H1846" s="105"/>
      <c r="I1846" s="340"/>
      <c r="J1846" s="105"/>
      <c r="K1846" s="105"/>
    </row>
    <row r="1847" spans="3:11" s="418" customFormat="1" x14ac:dyDescent="0.25">
      <c r="C1847" s="301"/>
      <c r="D1847" s="430"/>
      <c r="E1847" s="105"/>
      <c r="F1847" s="105"/>
      <c r="G1847" s="105"/>
      <c r="H1847" s="105"/>
      <c r="I1847" s="340"/>
      <c r="J1847" s="105"/>
      <c r="K1847" s="105"/>
    </row>
    <row r="1848" spans="3:11" s="418" customFormat="1" x14ac:dyDescent="0.25">
      <c r="C1848" s="301"/>
      <c r="D1848" s="430"/>
      <c r="E1848" s="105"/>
      <c r="F1848" s="105"/>
      <c r="G1848" s="105"/>
      <c r="H1848" s="105"/>
      <c r="I1848" s="340"/>
      <c r="J1848" s="105"/>
      <c r="K1848" s="105"/>
    </row>
    <row r="1849" spans="3:11" s="418" customFormat="1" x14ac:dyDescent="0.25">
      <c r="C1849" s="301"/>
      <c r="D1849" s="430"/>
      <c r="E1849" s="105"/>
      <c r="F1849" s="105"/>
      <c r="G1849" s="105"/>
      <c r="H1849" s="105"/>
      <c r="I1849" s="340"/>
      <c r="J1849" s="105"/>
      <c r="K1849" s="105"/>
    </row>
    <row r="1850" spans="3:11" s="418" customFormat="1" x14ac:dyDescent="0.25">
      <c r="C1850" s="301"/>
      <c r="D1850" s="430"/>
      <c r="E1850" s="105"/>
      <c r="F1850" s="105"/>
      <c r="G1850" s="105"/>
      <c r="H1850" s="105"/>
      <c r="I1850" s="340"/>
      <c r="J1850" s="105"/>
      <c r="K1850" s="105"/>
    </row>
    <row r="1851" spans="3:11" s="418" customFormat="1" x14ac:dyDescent="0.25">
      <c r="C1851" s="301"/>
      <c r="D1851" s="430"/>
      <c r="E1851" s="105"/>
      <c r="F1851" s="105"/>
      <c r="G1851" s="105"/>
      <c r="H1851" s="105"/>
      <c r="I1851" s="340"/>
      <c r="J1851" s="105"/>
      <c r="K1851" s="105"/>
    </row>
    <row r="1852" spans="3:11" s="418" customFormat="1" x14ac:dyDescent="0.25">
      <c r="C1852" s="301"/>
      <c r="D1852" s="430"/>
      <c r="E1852" s="105"/>
      <c r="F1852" s="105"/>
      <c r="G1852" s="105"/>
      <c r="H1852" s="105"/>
      <c r="I1852" s="340"/>
      <c r="J1852" s="105"/>
      <c r="K1852" s="105"/>
    </row>
    <row r="1853" spans="3:11" s="418" customFormat="1" x14ac:dyDescent="0.25">
      <c r="C1853" s="301"/>
      <c r="D1853" s="430"/>
      <c r="E1853" s="105"/>
      <c r="F1853" s="105"/>
      <c r="G1853" s="105"/>
      <c r="H1853" s="105"/>
      <c r="I1853" s="340"/>
      <c r="J1853" s="105"/>
      <c r="K1853" s="105"/>
    </row>
    <row r="1854" spans="3:11" s="418" customFormat="1" x14ac:dyDescent="0.25">
      <c r="C1854" s="301"/>
      <c r="D1854" s="430"/>
      <c r="E1854" s="105"/>
      <c r="F1854" s="105"/>
      <c r="G1854" s="105"/>
      <c r="H1854" s="105"/>
      <c r="I1854" s="340"/>
      <c r="J1854" s="105"/>
      <c r="K1854" s="105"/>
    </row>
    <row r="1855" spans="3:11" s="418" customFormat="1" x14ac:dyDescent="0.25">
      <c r="C1855" s="301"/>
      <c r="D1855" s="430"/>
      <c r="E1855" s="105"/>
      <c r="F1855" s="105"/>
      <c r="G1855" s="105"/>
      <c r="H1855" s="105"/>
      <c r="I1855" s="340"/>
      <c r="J1855" s="105"/>
      <c r="K1855" s="105"/>
    </row>
    <row r="1856" spans="3:11" s="418" customFormat="1" x14ac:dyDescent="0.25">
      <c r="C1856" s="301"/>
      <c r="D1856" s="430"/>
      <c r="E1856" s="105"/>
      <c r="F1856" s="105"/>
      <c r="G1856" s="105"/>
      <c r="H1856" s="105"/>
      <c r="I1856" s="340"/>
      <c r="J1856" s="105"/>
      <c r="K1856" s="105"/>
    </row>
    <row r="1857" spans="3:11" s="418" customFormat="1" x14ac:dyDescent="0.25">
      <c r="C1857" s="301"/>
      <c r="D1857" s="430"/>
      <c r="E1857" s="105"/>
      <c r="F1857" s="105"/>
      <c r="G1857" s="105"/>
      <c r="H1857" s="105"/>
      <c r="I1857" s="340"/>
      <c r="J1857" s="105"/>
      <c r="K1857" s="105"/>
    </row>
    <row r="1858" spans="3:11" s="418" customFormat="1" x14ac:dyDescent="0.25">
      <c r="C1858" s="301"/>
      <c r="D1858" s="430"/>
      <c r="E1858" s="105"/>
      <c r="F1858" s="105"/>
      <c r="G1858" s="105"/>
      <c r="H1858" s="105"/>
      <c r="I1858" s="340"/>
      <c r="J1858" s="105"/>
      <c r="K1858" s="105"/>
    </row>
    <row r="1859" spans="3:11" s="418" customFormat="1" x14ac:dyDescent="0.25">
      <c r="C1859" s="301"/>
      <c r="D1859" s="430"/>
      <c r="E1859" s="105"/>
      <c r="F1859" s="105"/>
      <c r="G1859" s="105"/>
      <c r="H1859" s="105"/>
      <c r="I1859" s="340"/>
      <c r="J1859" s="105"/>
      <c r="K1859" s="105"/>
    </row>
    <row r="1860" spans="3:11" s="418" customFormat="1" x14ac:dyDescent="0.25">
      <c r="C1860" s="301"/>
      <c r="D1860" s="430"/>
      <c r="E1860" s="105"/>
      <c r="F1860" s="105"/>
      <c r="G1860" s="105"/>
      <c r="H1860" s="105"/>
      <c r="I1860" s="340"/>
      <c r="J1860" s="105"/>
      <c r="K1860" s="105"/>
    </row>
    <row r="1861" spans="3:11" s="418" customFormat="1" x14ac:dyDescent="0.25">
      <c r="C1861" s="301"/>
      <c r="D1861" s="430"/>
      <c r="E1861" s="105"/>
      <c r="F1861" s="105"/>
      <c r="G1861" s="105"/>
      <c r="H1861" s="105"/>
      <c r="I1861" s="340"/>
      <c r="J1861" s="105"/>
      <c r="K1861" s="105"/>
    </row>
    <row r="1862" spans="3:11" s="418" customFormat="1" x14ac:dyDescent="0.25">
      <c r="C1862" s="301"/>
      <c r="D1862" s="430"/>
      <c r="E1862" s="105"/>
      <c r="F1862" s="105"/>
      <c r="G1862" s="105"/>
      <c r="H1862" s="105"/>
      <c r="I1862" s="340"/>
      <c r="J1862" s="105"/>
      <c r="K1862" s="105"/>
    </row>
    <row r="1863" spans="3:11" s="418" customFormat="1" x14ac:dyDescent="0.25">
      <c r="C1863" s="301"/>
      <c r="D1863" s="430"/>
      <c r="E1863" s="105"/>
      <c r="F1863" s="105"/>
      <c r="G1863" s="105"/>
      <c r="H1863" s="105"/>
      <c r="I1863" s="340"/>
      <c r="J1863" s="105"/>
      <c r="K1863" s="105"/>
    </row>
    <row r="1864" spans="3:11" s="418" customFormat="1" x14ac:dyDescent="0.25">
      <c r="C1864" s="301"/>
      <c r="D1864" s="430"/>
      <c r="E1864" s="105"/>
      <c r="F1864" s="105"/>
      <c r="G1864" s="105"/>
      <c r="H1864" s="105"/>
      <c r="I1864" s="340"/>
      <c r="J1864" s="105"/>
      <c r="K1864" s="105"/>
    </row>
    <row r="1865" spans="3:11" s="418" customFormat="1" x14ac:dyDescent="0.25">
      <c r="C1865" s="301"/>
      <c r="D1865" s="430"/>
      <c r="E1865" s="105"/>
      <c r="F1865" s="105"/>
      <c r="G1865" s="105"/>
      <c r="H1865" s="105"/>
      <c r="I1865" s="340"/>
      <c r="J1865" s="105"/>
      <c r="K1865" s="105"/>
    </row>
    <row r="1866" spans="3:11" s="418" customFormat="1" x14ac:dyDescent="0.25">
      <c r="C1866" s="301"/>
      <c r="D1866" s="430"/>
      <c r="E1866" s="105"/>
      <c r="F1866" s="105"/>
      <c r="G1866" s="105"/>
      <c r="H1866" s="105"/>
      <c r="I1866" s="340"/>
      <c r="J1866" s="105"/>
      <c r="K1866" s="105"/>
    </row>
    <row r="1867" spans="3:11" s="418" customFormat="1" x14ac:dyDescent="0.25">
      <c r="C1867" s="301"/>
      <c r="D1867" s="430"/>
      <c r="E1867" s="105"/>
      <c r="F1867" s="105"/>
      <c r="G1867" s="105"/>
      <c r="H1867" s="105"/>
      <c r="I1867" s="340"/>
      <c r="J1867" s="105"/>
      <c r="K1867" s="105"/>
    </row>
    <row r="1868" spans="3:11" s="418" customFormat="1" x14ac:dyDescent="0.25">
      <c r="C1868" s="301"/>
      <c r="D1868" s="430"/>
      <c r="E1868" s="105"/>
      <c r="F1868" s="105"/>
      <c r="G1868" s="105"/>
      <c r="H1868" s="105"/>
      <c r="I1868" s="340"/>
      <c r="J1868" s="105"/>
      <c r="K1868" s="105"/>
    </row>
    <row r="1869" spans="3:11" s="418" customFormat="1" x14ac:dyDescent="0.25">
      <c r="C1869" s="301"/>
      <c r="D1869" s="430"/>
      <c r="E1869" s="105"/>
      <c r="F1869" s="105"/>
      <c r="G1869" s="105"/>
      <c r="H1869" s="105"/>
      <c r="I1869" s="340"/>
      <c r="J1869" s="105"/>
      <c r="K1869" s="105"/>
    </row>
    <row r="1870" spans="3:11" s="418" customFormat="1" x14ac:dyDescent="0.25">
      <c r="C1870" s="301"/>
      <c r="D1870" s="430"/>
      <c r="E1870" s="105"/>
      <c r="F1870" s="105"/>
      <c r="G1870" s="105"/>
      <c r="H1870" s="105"/>
      <c r="I1870" s="340"/>
      <c r="J1870" s="105"/>
      <c r="K1870" s="105"/>
    </row>
    <row r="1871" spans="3:11" s="418" customFormat="1" x14ac:dyDescent="0.25">
      <c r="C1871" s="301"/>
      <c r="D1871" s="430"/>
      <c r="E1871" s="105"/>
      <c r="F1871" s="105"/>
      <c r="G1871" s="105"/>
      <c r="H1871" s="105"/>
      <c r="I1871" s="340"/>
      <c r="J1871" s="105"/>
      <c r="K1871" s="105"/>
    </row>
    <row r="1872" spans="3:11" s="418" customFormat="1" x14ac:dyDescent="0.25">
      <c r="C1872" s="301"/>
      <c r="D1872" s="430"/>
      <c r="E1872" s="105"/>
      <c r="F1872" s="105"/>
      <c r="G1872" s="105"/>
      <c r="H1872" s="105"/>
      <c r="I1872" s="340"/>
      <c r="J1872" s="105"/>
      <c r="K1872" s="105"/>
    </row>
    <row r="1873" spans="3:11" s="418" customFormat="1" x14ac:dyDescent="0.25">
      <c r="C1873" s="301"/>
      <c r="D1873" s="430"/>
      <c r="E1873" s="105"/>
      <c r="F1873" s="105"/>
      <c r="G1873" s="105"/>
      <c r="H1873" s="105"/>
      <c r="I1873" s="340"/>
      <c r="J1873" s="105"/>
      <c r="K1873" s="105"/>
    </row>
    <row r="1874" spans="3:11" s="418" customFormat="1" x14ac:dyDescent="0.25">
      <c r="C1874" s="301"/>
      <c r="D1874" s="430"/>
      <c r="E1874" s="105"/>
      <c r="F1874" s="105"/>
      <c r="G1874" s="105"/>
      <c r="H1874" s="105"/>
      <c r="I1874" s="340"/>
      <c r="J1874" s="105"/>
      <c r="K1874" s="105"/>
    </row>
    <row r="1875" spans="3:11" s="418" customFormat="1" x14ac:dyDescent="0.25">
      <c r="C1875" s="301"/>
      <c r="D1875" s="430"/>
      <c r="E1875" s="105"/>
      <c r="F1875" s="105"/>
      <c r="G1875" s="105"/>
      <c r="H1875" s="105"/>
      <c r="I1875" s="340"/>
      <c r="J1875" s="105"/>
      <c r="K1875" s="105"/>
    </row>
    <row r="1876" spans="3:11" s="418" customFormat="1" x14ac:dyDescent="0.25">
      <c r="C1876" s="301"/>
      <c r="D1876" s="430"/>
      <c r="E1876" s="105"/>
      <c r="F1876" s="105"/>
      <c r="G1876" s="105"/>
      <c r="H1876" s="105"/>
      <c r="I1876" s="340"/>
      <c r="J1876" s="105"/>
      <c r="K1876" s="105"/>
    </row>
    <row r="1877" spans="3:11" s="418" customFormat="1" x14ac:dyDescent="0.25">
      <c r="C1877" s="301"/>
      <c r="D1877" s="430"/>
      <c r="E1877" s="105"/>
      <c r="F1877" s="105"/>
      <c r="G1877" s="105"/>
      <c r="H1877" s="105"/>
      <c r="I1877" s="340"/>
      <c r="J1877" s="105"/>
      <c r="K1877" s="105"/>
    </row>
    <row r="1878" spans="3:11" s="418" customFormat="1" x14ac:dyDescent="0.25">
      <c r="C1878" s="301"/>
      <c r="D1878" s="430"/>
      <c r="E1878" s="105"/>
      <c r="F1878" s="105"/>
      <c r="G1878" s="105"/>
      <c r="H1878" s="105"/>
      <c r="I1878" s="340"/>
      <c r="J1878" s="105"/>
      <c r="K1878" s="105"/>
    </row>
    <row r="1879" spans="3:11" s="418" customFormat="1" x14ac:dyDescent="0.25">
      <c r="C1879" s="301"/>
      <c r="D1879" s="430"/>
      <c r="E1879" s="105"/>
      <c r="F1879" s="105"/>
      <c r="G1879" s="105"/>
      <c r="H1879" s="105"/>
      <c r="I1879" s="340"/>
      <c r="J1879" s="105"/>
      <c r="K1879" s="105"/>
    </row>
    <row r="1880" spans="3:11" s="418" customFormat="1" x14ac:dyDescent="0.25">
      <c r="C1880" s="301"/>
      <c r="D1880" s="430"/>
      <c r="E1880" s="105"/>
      <c r="F1880" s="105"/>
      <c r="G1880" s="105"/>
      <c r="H1880" s="105"/>
      <c r="I1880" s="340"/>
      <c r="J1880" s="105"/>
      <c r="K1880" s="105"/>
    </row>
    <row r="1881" spans="3:11" s="418" customFormat="1" x14ac:dyDescent="0.25">
      <c r="C1881" s="301"/>
      <c r="D1881" s="430"/>
      <c r="E1881" s="105"/>
      <c r="F1881" s="105"/>
      <c r="G1881" s="105"/>
      <c r="H1881" s="105"/>
      <c r="I1881" s="340"/>
      <c r="J1881" s="105"/>
      <c r="K1881" s="105"/>
    </row>
    <row r="1882" spans="3:11" s="418" customFormat="1" x14ac:dyDescent="0.25">
      <c r="C1882" s="301"/>
      <c r="D1882" s="430"/>
      <c r="E1882" s="105"/>
      <c r="F1882" s="105"/>
      <c r="G1882" s="105"/>
      <c r="H1882" s="105"/>
      <c r="I1882" s="340"/>
      <c r="J1882" s="105"/>
      <c r="K1882" s="105"/>
    </row>
    <row r="1883" spans="3:11" s="418" customFormat="1" x14ac:dyDescent="0.25">
      <c r="C1883" s="301"/>
      <c r="D1883" s="430"/>
      <c r="E1883" s="105"/>
      <c r="F1883" s="105"/>
      <c r="G1883" s="105"/>
      <c r="H1883" s="105"/>
      <c r="I1883" s="340"/>
      <c r="J1883" s="105"/>
      <c r="K1883" s="105"/>
    </row>
    <row r="1884" spans="3:11" s="418" customFormat="1" x14ac:dyDescent="0.25">
      <c r="C1884" s="301"/>
      <c r="D1884" s="430"/>
      <c r="E1884" s="105"/>
      <c r="F1884" s="105"/>
      <c r="G1884" s="105"/>
      <c r="H1884" s="105"/>
      <c r="I1884" s="340"/>
      <c r="J1884" s="105"/>
      <c r="K1884" s="105"/>
    </row>
    <row r="1885" spans="3:11" s="418" customFormat="1" x14ac:dyDescent="0.25">
      <c r="C1885" s="301"/>
      <c r="D1885" s="430"/>
      <c r="E1885" s="105"/>
      <c r="F1885" s="105"/>
      <c r="G1885" s="105"/>
      <c r="H1885" s="105"/>
      <c r="I1885" s="340"/>
      <c r="J1885" s="105"/>
      <c r="K1885" s="105"/>
    </row>
    <row r="1886" spans="3:11" s="418" customFormat="1" x14ac:dyDescent="0.25">
      <c r="C1886" s="301"/>
      <c r="D1886" s="430"/>
      <c r="E1886" s="105"/>
      <c r="F1886" s="105"/>
      <c r="G1886" s="105"/>
      <c r="H1886" s="105"/>
      <c r="I1886" s="340"/>
      <c r="J1886" s="105"/>
      <c r="K1886" s="105"/>
    </row>
    <row r="1887" spans="3:11" s="418" customFormat="1" x14ac:dyDescent="0.25">
      <c r="C1887" s="301"/>
      <c r="D1887" s="430"/>
      <c r="E1887" s="105"/>
      <c r="F1887" s="105"/>
      <c r="G1887" s="105"/>
      <c r="H1887" s="105"/>
      <c r="I1887" s="340"/>
      <c r="J1887" s="105"/>
      <c r="K1887" s="105"/>
    </row>
    <row r="1888" spans="3:11" s="418" customFormat="1" x14ac:dyDescent="0.25">
      <c r="C1888" s="301"/>
      <c r="D1888" s="430"/>
      <c r="E1888" s="105"/>
      <c r="F1888" s="105"/>
      <c r="G1888" s="105"/>
      <c r="H1888" s="105"/>
      <c r="I1888" s="340"/>
      <c r="J1888" s="105"/>
      <c r="K1888" s="105"/>
    </row>
    <row r="1889" spans="3:11" s="418" customFormat="1" x14ac:dyDescent="0.25">
      <c r="C1889" s="301"/>
      <c r="D1889" s="430"/>
      <c r="E1889" s="105"/>
      <c r="F1889" s="105"/>
      <c r="G1889" s="105"/>
      <c r="H1889" s="105"/>
      <c r="I1889" s="340"/>
      <c r="J1889" s="105"/>
      <c r="K1889" s="105"/>
    </row>
    <row r="1890" spans="3:11" s="418" customFormat="1" x14ac:dyDescent="0.25">
      <c r="C1890" s="301"/>
      <c r="D1890" s="430"/>
      <c r="E1890" s="105"/>
      <c r="F1890" s="105"/>
      <c r="G1890" s="105"/>
      <c r="H1890" s="105"/>
      <c r="I1890" s="340"/>
      <c r="J1890" s="105"/>
      <c r="K1890" s="105"/>
    </row>
    <row r="1891" spans="3:11" s="418" customFormat="1" x14ac:dyDescent="0.25">
      <c r="C1891" s="301"/>
      <c r="D1891" s="430"/>
      <c r="E1891" s="105"/>
      <c r="F1891" s="105"/>
      <c r="G1891" s="105"/>
      <c r="H1891" s="105"/>
      <c r="I1891" s="340"/>
      <c r="J1891" s="105"/>
      <c r="K1891" s="105"/>
    </row>
    <row r="1892" spans="3:11" s="418" customFormat="1" x14ac:dyDescent="0.25">
      <c r="C1892" s="301"/>
      <c r="D1892" s="430"/>
      <c r="E1892" s="105"/>
      <c r="F1892" s="105"/>
      <c r="G1892" s="105"/>
      <c r="H1892" s="105"/>
      <c r="I1892" s="340"/>
      <c r="J1892" s="105"/>
      <c r="K1892" s="105"/>
    </row>
    <row r="1893" spans="3:11" s="418" customFormat="1" x14ac:dyDescent="0.25">
      <c r="C1893" s="301"/>
      <c r="D1893" s="430"/>
      <c r="E1893" s="105"/>
      <c r="F1893" s="105"/>
      <c r="G1893" s="105"/>
      <c r="H1893" s="105"/>
      <c r="I1893" s="340"/>
      <c r="J1893" s="105"/>
      <c r="K1893" s="105"/>
    </row>
    <row r="1894" spans="3:11" s="418" customFormat="1" x14ac:dyDescent="0.25">
      <c r="C1894" s="301"/>
      <c r="D1894" s="430"/>
      <c r="E1894" s="105"/>
      <c r="F1894" s="105"/>
      <c r="G1894" s="105"/>
      <c r="H1894" s="105"/>
      <c r="I1894" s="340"/>
      <c r="J1894" s="105"/>
      <c r="K1894" s="105"/>
    </row>
    <row r="1895" spans="3:11" s="418" customFormat="1" x14ac:dyDescent="0.25">
      <c r="C1895" s="301"/>
      <c r="D1895" s="430"/>
      <c r="E1895" s="105"/>
      <c r="F1895" s="105"/>
      <c r="G1895" s="105"/>
      <c r="H1895" s="105"/>
      <c r="I1895" s="340"/>
      <c r="J1895" s="105"/>
      <c r="K1895" s="105"/>
    </row>
    <row r="1896" spans="3:11" s="418" customFormat="1" x14ac:dyDescent="0.25">
      <c r="C1896" s="301"/>
      <c r="D1896" s="430"/>
      <c r="E1896" s="105"/>
      <c r="F1896" s="105"/>
      <c r="G1896" s="105"/>
      <c r="H1896" s="105"/>
      <c r="I1896" s="340"/>
      <c r="J1896" s="105"/>
      <c r="K1896" s="105"/>
    </row>
    <row r="1897" spans="3:11" s="418" customFormat="1" x14ac:dyDescent="0.25">
      <c r="C1897" s="301"/>
      <c r="D1897" s="430"/>
      <c r="E1897" s="105"/>
      <c r="F1897" s="105"/>
      <c r="G1897" s="105"/>
      <c r="H1897" s="105"/>
      <c r="I1897" s="340"/>
      <c r="J1897" s="105"/>
      <c r="K1897" s="105"/>
    </row>
    <row r="1898" spans="3:11" s="418" customFormat="1" x14ac:dyDescent="0.25">
      <c r="C1898" s="301"/>
      <c r="D1898" s="430"/>
      <c r="E1898" s="105"/>
      <c r="F1898" s="105"/>
      <c r="G1898" s="105"/>
      <c r="H1898" s="105"/>
      <c r="I1898" s="340"/>
      <c r="J1898" s="105"/>
      <c r="K1898" s="105"/>
    </row>
    <row r="1899" spans="3:11" s="418" customFormat="1" x14ac:dyDescent="0.25">
      <c r="C1899" s="301"/>
      <c r="D1899" s="430"/>
      <c r="E1899" s="105"/>
      <c r="F1899" s="105"/>
      <c r="G1899" s="105"/>
      <c r="H1899" s="105"/>
      <c r="I1899" s="340"/>
      <c r="J1899" s="105"/>
      <c r="K1899" s="105"/>
    </row>
    <row r="1900" spans="3:11" s="418" customFormat="1" x14ac:dyDescent="0.25">
      <c r="C1900" s="301"/>
      <c r="D1900" s="430"/>
      <c r="E1900" s="105"/>
      <c r="F1900" s="105"/>
      <c r="G1900" s="105"/>
      <c r="H1900" s="105"/>
      <c r="I1900" s="340"/>
      <c r="J1900" s="105"/>
      <c r="K1900" s="105"/>
    </row>
    <row r="1901" spans="3:11" s="418" customFormat="1" x14ac:dyDescent="0.25">
      <c r="C1901" s="301"/>
      <c r="D1901" s="430"/>
      <c r="E1901" s="105"/>
      <c r="F1901" s="105"/>
      <c r="G1901" s="105"/>
      <c r="H1901" s="105"/>
      <c r="I1901" s="340"/>
      <c r="J1901" s="105"/>
      <c r="K1901" s="105"/>
    </row>
    <row r="1902" spans="3:11" s="418" customFormat="1" x14ac:dyDescent="0.25">
      <c r="C1902" s="301"/>
      <c r="D1902" s="430"/>
      <c r="E1902" s="105"/>
      <c r="F1902" s="105"/>
      <c r="G1902" s="105"/>
      <c r="H1902" s="105"/>
      <c r="I1902" s="340"/>
      <c r="J1902" s="105"/>
      <c r="K1902" s="105"/>
    </row>
    <row r="1903" spans="3:11" s="418" customFormat="1" x14ac:dyDescent="0.25">
      <c r="C1903" s="301"/>
      <c r="D1903" s="430"/>
      <c r="E1903" s="105"/>
      <c r="F1903" s="105"/>
      <c r="G1903" s="105"/>
      <c r="H1903" s="105"/>
      <c r="I1903" s="340"/>
      <c r="J1903" s="105"/>
      <c r="K1903" s="105"/>
    </row>
    <row r="1904" spans="3:11" s="418" customFormat="1" x14ac:dyDescent="0.25">
      <c r="C1904" s="301"/>
      <c r="D1904" s="430"/>
      <c r="E1904" s="105"/>
      <c r="F1904" s="105"/>
      <c r="G1904" s="105"/>
      <c r="H1904" s="105"/>
      <c r="I1904" s="340"/>
      <c r="J1904" s="105"/>
      <c r="K1904" s="105"/>
    </row>
    <row r="1905" spans="3:11" s="418" customFormat="1" x14ac:dyDescent="0.25">
      <c r="C1905" s="301"/>
      <c r="D1905" s="430"/>
      <c r="E1905" s="105"/>
      <c r="F1905" s="105"/>
      <c r="G1905" s="105"/>
      <c r="H1905" s="105"/>
      <c r="I1905" s="340"/>
      <c r="J1905" s="105"/>
      <c r="K1905" s="105"/>
    </row>
    <row r="1906" spans="3:11" s="418" customFormat="1" x14ac:dyDescent="0.25">
      <c r="C1906" s="301"/>
      <c r="D1906" s="430"/>
      <c r="E1906" s="105"/>
      <c r="F1906" s="105"/>
      <c r="G1906" s="105"/>
      <c r="H1906" s="105"/>
      <c r="I1906" s="340"/>
      <c r="J1906" s="105"/>
      <c r="K1906" s="105"/>
    </row>
    <row r="1907" spans="3:11" s="418" customFormat="1" x14ac:dyDescent="0.25">
      <c r="C1907" s="301"/>
      <c r="D1907" s="430"/>
      <c r="E1907" s="105"/>
      <c r="F1907" s="105"/>
      <c r="G1907" s="105"/>
      <c r="H1907" s="105"/>
      <c r="I1907" s="340"/>
      <c r="J1907" s="105"/>
      <c r="K1907" s="105"/>
    </row>
    <row r="1908" spans="3:11" s="418" customFormat="1" x14ac:dyDescent="0.25">
      <c r="C1908" s="301"/>
      <c r="D1908" s="430"/>
      <c r="E1908" s="105"/>
      <c r="F1908" s="105"/>
      <c r="G1908" s="105"/>
      <c r="H1908" s="105"/>
      <c r="I1908" s="340"/>
      <c r="J1908" s="105"/>
      <c r="K1908" s="105"/>
    </row>
    <row r="1909" spans="3:11" s="418" customFormat="1" x14ac:dyDescent="0.25">
      <c r="C1909" s="301"/>
      <c r="D1909" s="430"/>
      <c r="E1909" s="105"/>
      <c r="F1909" s="105"/>
      <c r="G1909" s="105"/>
      <c r="H1909" s="105"/>
      <c r="I1909" s="340"/>
      <c r="J1909" s="105"/>
      <c r="K1909" s="105"/>
    </row>
    <row r="1910" spans="3:11" s="418" customFormat="1" x14ac:dyDescent="0.25">
      <c r="C1910" s="301"/>
      <c r="D1910" s="430"/>
      <c r="E1910" s="105"/>
      <c r="F1910" s="105"/>
      <c r="G1910" s="105"/>
      <c r="H1910" s="105"/>
      <c r="I1910" s="340"/>
      <c r="J1910" s="105"/>
      <c r="K1910" s="105"/>
    </row>
    <row r="1911" spans="3:11" s="418" customFormat="1" x14ac:dyDescent="0.25">
      <c r="C1911" s="301"/>
      <c r="D1911" s="430"/>
      <c r="E1911" s="105"/>
      <c r="F1911" s="105"/>
      <c r="G1911" s="105"/>
      <c r="H1911" s="105"/>
      <c r="I1911" s="340"/>
      <c r="J1911" s="105"/>
      <c r="K1911" s="105"/>
    </row>
    <row r="1912" spans="3:11" s="418" customFormat="1" x14ac:dyDescent="0.25">
      <c r="C1912" s="301"/>
      <c r="D1912" s="430"/>
      <c r="E1912" s="105"/>
      <c r="F1912" s="105"/>
      <c r="G1912" s="105"/>
      <c r="H1912" s="105"/>
      <c r="I1912" s="340"/>
      <c r="J1912" s="105"/>
      <c r="K1912" s="105"/>
    </row>
    <row r="1913" spans="3:11" s="418" customFormat="1" x14ac:dyDescent="0.25">
      <c r="C1913" s="301"/>
      <c r="D1913" s="430"/>
      <c r="E1913" s="105"/>
      <c r="F1913" s="105"/>
      <c r="G1913" s="105"/>
      <c r="H1913" s="105"/>
      <c r="I1913" s="340"/>
      <c r="J1913" s="105"/>
      <c r="K1913" s="105"/>
    </row>
    <row r="1914" spans="3:11" s="418" customFormat="1" x14ac:dyDescent="0.25">
      <c r="C1914" s="301"/>
      <c r="D1914" s="430"/>
      <c r="E1914" s="105"/>
      <c r="F1914" s="105"/>
      <c r="G1914" s="105"/>
      <c r="H1914" s="105"/>
      <c r="I1914" s="340"/>
      <c r="J1914" s="105"/>
      <c r="K1914" s="105"/>
    </row>
    <row r="1915" spans="3:11" s="418" customFormat="1" x14ac:dyDescent="0.25">
      <c r="C1915" s="301"/>
      <c r="D1915" s="430"/>
      <c r="E1915" s="105"/>
      <c r="F1915" s="105"/>
      <c r="G1915" s="105"/>
      <c r="H1915" s="105"/>
      <c r="I1915" s="340"/>
      <c r="J1915" s="105"/>
      <c r="K1915" s="105"/>
    </row>
    <row r="1916" spans="3:11" s="418" customFormat="1" x14ac:dyDescent="0.25">
      <c r="C1916" s="301"/>
      <c r="D1916" s="430"/>
      <c r="E1916" s="105"/>
      <c r="F1916" s="105"/>
      <c r="G1916" s="105"/>
      <c r="H1916" s="105"/>
      <c r="I1916" s="340"/>
      <c r="J1916" s="105"/>
      <c r="K1916" s="105"/>
    </row>
    <row r="1917" spans="3:11" s="418" customFormat="1" x14ac:dyDescent="0.25">
      <c r="C1917" s="301"/>
      <c r="D1917" s="430"/>
      <c r="E1917" s="105"/>
      <c r="F1917" s="105"/>
      <c r="G1917" s="105"/>
      <c r="H1917" s="105"/>
      <c r="I1917" s="340"/>
      <c r="J1917" s="105"/>
      <c r="K1917" s="105"/>
    </row>
    <row r="1918" spans="3:11" s="418" customFormat="1" x14ac:dyDescent="0.25">
      <c r="C1918" s="301"/>
      <c r="D1918" s="430"/>
      <c r="E1918" s="105"/>
      <c r="F1918" s="105"/>
      <c r="G1918" s="105"/>
      <c r="H1918" s="105"/>
      <c r="I1918" s="340"/>
      <c r="J1918" s="105"/>
      <c r="K1918" s="105"/>
    </row>
    <row r="1919" spans="3:11" s="418" customFormat="1" x14ac:dyDescent="0.25">
      <c r="C1919" s="301"/>
      <c r="D1919" s="430"/>
      <c r="E1919" s="105"/>
      <c r="F1919" s="105"/>
      <c r="G1919" s="105"/>
      <c r="H1919" s="105"/>
      <c r="I1919" s="340"/>
      <c r="J1919" s="105"/>
      <c r="K1919" s="105"/>
    </row>
    <row r="1920" spans="3:11" s="418" customFormat="1" x14ac:dyDescent="0.25">
      <c r="C1920" s="301"/>
      <c r="D1920" s="430"/>
      <c r="E1920" s="105"/>
      <c r="F1920" s="105"/>
      <c r="G1920" s="105"/>
      <c r="H1920" s="105"/>
      <c r="I1920" s="340"/>
      <c r="J1920" s="105"/>
      <c r="K1920" s="105"/>
    </row>
    <row r="1921" spans="3:11" s="418" customFormat="1" x14ac:dyDescent="0.25">
      <c r="C1921" s="301"/>
      <c r="D1921" s="430"/>
      <c r="E1921" s="105"/>
      <c r="F1921" s="105"/>
      <c r="G1921" s="105"/>
      <c r="H1921" s="105"/>
      <c r="I1921" s="340"/>
      <c r="J1921" s="105"/>
      <c r="K1921" s="105"/>
    </row>
    <row r="1922" spans="3:11" s="418" customFormat="1" x14ac:dyDescent="0.25">
      <c r="C1922" s="301"/>
      <c r="D1922" s="430"/>
      <c r="E1922" s="105"/>
      <c r="F1922" s="105"/>
      <c r="G1922" s="105"/>
      <c r="H1922" s="105"/>
      <c r="I1922" s="340"/>
      <c r="J1922" s="105"/>
      <c r="K1922" s="105"/>
    </row>
    <row r="1923" spans="3:11" s="418" customFormat="1" x14ac:dyDescent="0.25">
      <c r="C1923" s="301"/>
      <c r="D1923" s="430"/>
      <c r="E1923" s="105"/>
      <c r="F1923" s="105"/>
      <c r="G1923" s="105"/>
      <c r="H1923" s="105"/>
      <c r="I1923" s="340"/>
      <c r="J1923" s="105"/>
      <c r="K1923" s="105"/>
    </row>
  </sheetData>
  <phoneticPr fontId="12" type="noConversion"/>
  <pageMargins left="0.74803149606299213" right="0.74803149606299213" top="0.19685039370078741" bottom="0.19685039370078741" header="0" footer="0"/>
  <pageSetup paperSize="9" scale="90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6"/>
  <sheetViews>
    <sheetView topLeftCell="A313" zoomScale="115" zoomScaleNormal="115" workbookViewId="0">
      <selection activeCell="I507" sqref="I507"/>
    </sheetView>
  </sheetViews>
  <sheetFormatPr baseColWidth="10" defaultColWidth="11.44140625" defaultRowHeight="13.2" x14ac:dyDescent="0.25"/>
  <cols>
    <col min="1" max="1" width="42.5546875" style="240" customWidth="1"/>
    <col min="2" max="2" width="8" style="240" customWidth="1"/>
    <col min="3" max="3" width="3" style="240" customWidth="1"/>
    <col min="4" max="4" width="7.5546875" style="240" customWidth="1"/>
    <col min="5" max="5" width="13.88671875" style="329" bestFit="1" customWidth="1"/>
    <col min="6" max="6" width="15.88671875" style="240" customWidth="1"/>
    <col min="7" max="7" width="13.5546875" style="240" bestFit="1" customWidth="1"/>
    <col min="8" max="8" width="14.88671875" style="240" bestFit="1" customWidth="1"/>
    <col min="9" max="16384" width="11.44140625" style="240"/>
  </cols>
  <sheetData>
    <row r="1" spans="1:7" x14ac:dyDescent="0.25">
      <c r="A1" s="385" t="s">
        <v>30</v>
      </c>
      <c r="B1" s="386"/>
      <c r="C1" s="386"/>
      <c r="D1" s="386"/>
      <c r="E1" s="405" t="s">
        <v>847</v>
      </c>
      <c r="F1" s="264"/>
      <c r="G1" s="264"/>
    </row>
    <row r="2" spans="1:7" x14ac:dyDescent="0.25">
      <c r="A2" s="276" t="s">
        <v>641</v>
      </c>
      <c r="B2" s="258"/>
      <c r="C2" s="261"/>
      <c r="D2" s="262"/>
      <c r="E2" s="389">
        <v>0</v>
      </c>
    </row>
    <row r="3" spans="1:7" x14ac:dyDescent="0.25">
      <c r="A3" s="276" t="s">
        <v>685</v>
      </c>
      <c r="B3" s="258"/>
      <c r="C3" s="261"/>
      <c r="D3" s="262"/>
      <c r="E3" s="389">
        <v>10663404.48</v>
      </c>
    </row>
    <row r="4" spans="1:7" x14ac:dyDescent="0.25">
      <c r="A4" s="292" t="s">
        <v>816</v>
      </c>
      <c r="B4" s="258"/>
      <c r="C4" s="261"/>
      <c r="D4" s="262"/>
      <c r="E4" s="389">
        <v>0</v>
      </c>
    </row>
    <row r="5" spans="1:7" x14ac:dyDescent="0.25">
      <c r="A5" s="292" t="s">
        <v>594</v>
      </c>
      <c r="B5" s="258"/>
      <c r="C5" s="261"/>
      <c r="D5" s="262"/>
      <c r="E5" s="389">
        <v>8464196.790000001</v>
      </c>
    </row>
    <row r="6" spans="1:7" x14ac:dyDescent="0.25">
      <c r="A6" s="292" t="s">
        <v>748</v>
      </c>
      <c r="B6" s="258"/>
      <c r="C6" s="261"/>
      <c r="D6" s="262"/>
      <c r="E6" s="389">
        <v>-23141.31</v>
      </c>
    </row>
    <row r="7" spans="1:7" x14ac:dyDescent="0.25">
      <c r="A7" s="292" t="s">
        <v>662</v>
      </c>
      <c r="B7" s="258"/>
      <c r="C7" s="261"/>
      <c r="D7" s="262"/>
      <c r="E7" s="389">
        <v>3926.88</v>
      </c>
    </row>
    <row r="8" spans="1:7" x14ac:dyDescent="0.25">
      <c r="A8" s="276" t="s">
        <v>794</v>
      </c>
      <c r="B8" s="258"/>
      <c r="C8" s="261"/>
      <c r="D8" s="262"/>
      <c r="E8" s="389">
        <v>1445749.5</v>
      </c>
    </row>
    <row r="9" spans="1:7" x14ac:dyDescent="0.25">
      <c r="A9" s="276" t="s">
        <v>686</v>
      </c>
      <c r="B9" s="258"/>
      <c r="C9" s="261"/>
      <c r="D9" s="262"/>
      <c r="E9" s="389">
        <v>1667959397.47</v>
      </c>
    </row>
    <row r="10" spans="1:7" x14ac:dyDescent="0.25">
      <c r="A10" s="276" t="s">
        <v>687</v>
      </c>
      <c r="B10" s="258"/>
      <c r="C10" s="261"/>
      <c r="D10" s="262"/>
      <c r="E10" s="389">
        <v>0</v>
      </c>
    </row>
    <row r="11" spans="1:7" x14ac:dyDescent="0.25">
      <c r="A11" s="276" t="s">
        <v>688</v>
      </c>
      <c r="B11" s="258"/>
      <c r="C11" s="261"/>
      <c r="D11" s="262"/>
      <c r="E11" s="389">
        <v>0</v>
      </c>
    </row>
    <row r="12" spans="1:7" ht="12" customHeight="1" x14ac:dyDescent="0.25">
      <c r="A12" s="276" t="s">
        <v>689</v>
      </c>
      <c r="B12" s="258"/>
      <c r="C12" s="261"/>
      <c r="D12" s="262"/>
      <c r="E12" s="389">
        <v>7866857.0800000001</v>
      </c>
    </row>
    <row r="13" spans="1:7" x14ac:dyDescent="0.25">
      <c r="A13" s="276" t="s">
        <v>648</v>
      </c>
      <c r="B13" s="258"/>
      <c r="C13" s="261"/>
      <c r="D13" s="262"/>
      <c r="E13" s="389">
        <v>52018352.270000003</v>
      </c>
    </row>
    <row r="14" spans="1:7" x14ac:dyDescent="0.25">
      <c r="A14" s="276" t="s">
        <v>690</v>
      </c>
      <c r="B14" s="258"/>
      <c r="C14" s="261"/>
      <c r="D14" s="262"/>
      <c r="E14" s="389">
        <v>528747.09</v>
      </c>
    </row>
    <row r="15" spans="1:7" x14ac:dyDescent="0.25">
      <c r="A15" s="276" t="s">
        <v>691</v>
      </c>
      <c r="B15" s="258"/>
      <c r="C15" s="261"/>
      <c r="D15" s="262"/>
      <c r="E15" s="389">
        <v>243686.59</v>
      </c>
    </row>
    <row r="16" spans="1:7" x14ac:dyDescent="0.25">
      <c r="A16" s="276" t="s">
        <v>692</v>
      </c>
      <c r="B16" s="258"/>
      <c r="C16" s="261"/>
      <c r="D16" s="262"/>
      <c r="E16" s="389">
        <v>203599.05000000002</v>
      </c>
    </row>
    <row r="17" spans="1:8" x14ac:dyDescent="0.25">
      <c r="A17" s="276" t="s">
        <v>381</v>
      </c>
      <c r="B17" s="258"/>
      <c r="C17" s="261"/>
      <c r="D17" s="262"/>
      <c r="E17" s="389">
        <v>45551974.829999998</v>
      </c>
    </row>
    <row r="18" spans="1:8" x14ac:dyDescent="0.25">
      <c r="A18" s="276" t="s">
        <v>565</v>
      </c>
      <c r="B18" s="258"/>
      <c r="C18" s="261"/>
      <c r="D18" s="262"/>
      <c r="E18" s="389">
        <v>26028040.719999999</v>
      </c>
    </row>
    <row r="19" spans="1:8" x14ac:dyDescent="0.25">
      <c r="A19" s="272" t="s">
        <v>840</v>
      </c>
      <c r="B19" s="258"/>
      <c r="C19" s="261"/>
      <c r="D19" s="262"/>
      <c r="E19" s="389">
        <v>0</v>
      </c>
    </row>
    <row r="20" spans="1:8" x14ac:dyDescent="0.25">
      <c r="A20" s="276" t="s">
        <v>693</v>
      </c>
      <c r="B20" s="258"/>
      <c r="C20" s="261"/>
      <c r="D20" s="262"/>
      <c r="E20" s="389">
        <v>95935319.460000008</v>
      </c>
    </row>
    <row r="21" spans="1:8" x14ac:dyDescent="0.25">
      <c r="A21" s="276" t="s">
        <v>722</v>
      </c>
      <c r="B21" s="258"/>
      <c r="C21" s="261"/>
      <c r="D21" s="262"/>
      <c r="E21" s="389">
        <v>908.12</v>
      </c>
    </row>
    <row r="22" spans="1:8" x14ac:dyDescent="0.25">
      <c r="A22" s="276" t="s">
        <v>653</v>
      </c>
      <c r="B22" s="258"/>
      <c r="C22" s="261"/>
      <c r="D22" s="262"/>
      <c r="E22" s="389">
        <v>17397227.48</v>
      </c>
    </row>
    <row r="23" spans="1:8" x14ac:dyDescent="0.25">
      <c r="A23" s="276" t="s">
        <v>723</v>
      </c>
      <c r="B23" s="258"/>
      <c r="C23" s="261"/>
      <c r="D23" s="262"/>
      <c r="E23" s="389">
        <v>323000</v>
      </c>
    </row>
    <row r="24" spans="1:8" x14ac:dyDescent="0.25">
      <c r="A24" s="276" t="s">
        <v>652</v>
      </c>
      <c r="B24" s="261"/>
      <c r="C24" s="261"/>
      <c r="D24" s="262"/>
      <c r="E24" s="389">
        <v>6297405.2199999997</v>
      </c>
    </row>
    <row r="25" spans="1:8" x14ac:dyDescent="0.25">
      <c r="A25" s="404" t="s">
        <v>391</v>
      </c>
      <c r="B25" s="261"/>
      <c r="C25" s="261"/>
      <c r="D25" s="262"/>
      <c r="E25" s="389">
        <v>154199532</v>
      </c>
    </row>
    <row r="26" spans="1:8" x14ac:dyDescent="0.25">
      <c r="A26" s="276" t="s">
        <v>654</v>
      </c>
      <c r="B26" s="258"/>
      <c r="C26" s="261"/>
      <c r="D26" s="262"/>
      <c r="E26" s="389">
        <v>108200</v>
      </c>
    </row>
    <row r="27" spans="1:8" x14ac:dyDescent="0.25">
      <c r="A27" s="276" t="s">
        <v>655</v>
      </c>
      <c r="B27" s="258"/>
      <c r="C27" s="261"/>
      <c r="D27" s="262"/>
      <c r="E27" s="389">
        <v>7137147.1400000006</v>
      </c>
    </row>
    <row r="28" spans="1:8" x14ac:dyDescent="0.25">
      <c r="A28" s="276" t="s">
        <v>656</v>
      </c>
      <c r="B28" s="265"/>
      <c r="C28" s="265"/>
      <c r="D28" s="265"/>
      <c r="E28" s="389">
        <v>2163642.25</v>
      </c>
    </row>
    <row r="29" spans="1:8" x14ac:dyDescent="0.25">
      <c r="A29" s="276" t="s">
        <v>657</v>
      </c>
      <c r="B29" s="258"/>
      <c r="C29" s="261"/>
      <c r="D29" s="262"/>
      <c r="E29" s="389">
        <v>1676263.99</v>
      </c>
    </row>
    <row r="30" spans="1:8" x14ac:dyDescent="0.25">
      <c r="A30" s="276" t="s">
        <v>694</v>
      </c>
      <c r="B30" s="258"/>
      <c r="C30" s="261"/>
      <c r="D30" s="262"/>
      <c r="E30" s="389">
        <v>8463010.9199999999</v>
      </c>
      <c r="H30" s="269"/>
    </row>
    <row r="31" spans="1:8" x14ac:dyDescent="0.25">
      <c r="A31" s="276" t="s">
        <v>695</v>
      </c>
      <c r="B31" s="258"/>
      <c r="C31" s="261"/>
      <c r="D31" s="262"/>
      <c r="E31" s="389">
        <v>5117083.33</v>
      </c>
    </row>
    <row r="32" spans="1:8" x14ac:dyDescent="0.25">
      <c r="A32" s="276" t="s">
        <v>696</v>
      </c>
      <c r="B32" s="258"/>
      <c r="C32" s="261"/>
      <c r="D32" s="262"/>
      <c r="E32" s="389">
        <v>20790195.080000002</v>
      </c>
    </row>
    <row r="33" spans="1:8" x14ac:dyDescent="0.25">
      <c r="A33" s="276" t="s">
        <v>697</v>
      </c>
      <c r="B33" s="258"/>
      <c r="C33" s="261"/>
      <c r="D33" s="262"/>
      <c r="E33" s="389">
        <v>23184450.990000002</v>
      </c>
    </row>
    <row r="34" spans="1:8" x14ac:dyDescent="0.25">
      <c r="A34" s="276" t="s">
        <v>698</v>
      </c>
      <c r="B34" s="258"/>
      <c r="C34" s="261"/>
      <c r="D34" s="262"/>
      <c r="E34" s="389">
        <v>1598074.09</v>
      </c>
    </row>
    <row r="35" spans="1:8" x14ac:dyDescent="0.25">
      <c r="A35" s="276" t="s">
        <v>699</v>
      </c>
      <c r="B35" s="258"/>
      <c r="C35" s="261"/>
      <c r="D35" s="262"/>
      <c r="E35" s="389">
        <v>-3124708.59</v>
      </c>
    </row>
    <row r="36" spans="1:8" x14ac:dyDescent="0.25">
      <c r="A36" s="276" t="s">
        <v>700</v>
      </c>
      <c r="B36" s="258"/>
      <c r="C36" s="261"/>
      <c r="D36" s="262"/>
      <c r="E36" s="389">
        <v>-1499006.23</v>
      </c>
    </row>
    <row r="37" spans="1:8" x14ac:dyDescent="0.25">
      <c r="A37" s="276" t="s">
        <v>701</v>
      </c>
      <c r="B37" s="258"/>
      <c r="C37" s="261"/>
      <c r="D37" s="262"/>
      <c r="E37" s="389">
        <v>-776376.57000000007</v>
      </c>
    </row>
    <row r="38" spans="1:8" x14ac:dyDescent="0.25">
      <c r="A38" s="276" t="s">
        <v>702</v>
      </c>
      <c r="B38" s="258"/>
      <c r="C38" s="261"/>
      <c r="D38" s="262"/>
      <c r="E38" s="389">
        <v>-4436234.05</v>
      </c>
    </row>
    <row r="39" spans="1:8" x14ac:dyDescent="0.25">
      <c r="A39" s="276" t="s">
        <v>703</v>
      </c>
      <c r="B39" s="258"/>
      <c r="C39" s="261"/>
      <c r="D39" s="262"/>
      <c r="E39" s="389">
        <v>-5117083.33</v>
      </c>
    </row>
    <row r="40" spans="1:8" x14ac:dyDescent="0.25">
      <c r="A40" s="276" t="s">
        <v>704</v>
      </c>
      <c r="B40" s="258"/>
      <c r="C40" s="261"/>
      <c r="D40" s="262"/>
      <c r="E40" s="389">
        <v>-19606049.32</v>
      </c>
    </row>
    <row r="41" spans="1:8" x14ac:dyDescent="0.25">
      <c r="A41" s="276" t="s">
        <v>705</v>
      </c>
      <c r="B41" s="258"/>
      <c r="C41" s="261"/>
      <c r="D41" s="262"/>
      <c r="E41" s="389">
        <v>-10204568.26</v>
      </c>
    </row>
    <row r="42" spans="1:8" x14ac:dyDescent="0.25">
      <c r="A42" s="276" t="s">
        <v>706</v>
      </c>
      <c r="B42" s="258"/>
      <c r="C42" s="261"/>
      <c r="D42" s="262"/>
      <c r="E42" s="389">
        <v>-617752.65</v>
      </c>
    </row>
    <row r="43" spans="1:8" x14ac:dyDescent="0.25">
      <c r="A43" s="276" t="s">
        <v>384</v>
      </c>
      <c r="B43" s="258"/>
      <c r="C43" s="261"/>
      <c r="D43" s="262"/>
      <c r="E43" s="389">
        <v>5439067</v>
      </c>
    </row>
    <row r="44" spans="1:8" x14ac:dyDescent="0.25">
      <c r="A44" s="276" t="s">
        <v>385</v>
      </c>
      <c r="B44" s="258"/>
      <c r="C44" s="261"/>
      <c r="D44" s="262"/>
      <c r="E44" s="389">
        <v>32772165</v>
      </c>
    </row>
    <row r="45" spans="1:8" x14ac:dyDescent="0.25">
      <c r="A45" s="271"/>
      <c r="B45" s="258"/>
      <c r="C45" s="261"/>
      <c r="D45" s="262"/>
      <c r="G45" s="327" t="s">
        <v>839</v>
      </c>
      <c r="H45" s="322" t="s">
        <v>838</v>
      </c>
    </row>
    <row r="46" spans="1:8" hidden="1" x14ac:dyDescent="0.25">
      <c r="A46" s="271"/>
      <c r="B46" s="258"/>
      <c r="C46" s="261"/>
      <c r="D46" s="262"/>
      <c r="E46" s="330"/>
      <c r="H46" s="323"/>
    </row>
    <row r="47" spans="1:8" hidden="1" x14ac:dyDescent="0.25">
      <c r="A47" s="271"/>
      <c r="B47" s="258"/>
      <c r="C47" s="261"/>
      <c r="D47" s="262"/>
      <c r="E47" s="330"/>
      <c r="H47" s="323"/>
    </row>
    <row r="48" spans="1:8" hidden="1" x14ac:dyDescent="0.25">
      <c r="A48" s="271"/>
      <c r="B48" s="258"/>
      <c r="C48" s="261"/>
      <c r="D48" s="262"/>
      <c r="E48" s="330"/>
      <c r="H48" s="323"/>
    </row>
    <row r="49" spans="1:9" hidden="1" x14ac:dyDescent="0.25">
      <c r="A49" s="258"/>
      <c r="B49" s="258"/>
      <c r="C49" s="261"/>
      <c r="D49" s="262"/>
      <c r="E49" s="331"/>
      <c r="H49" s="323"/>
    </row>
    <row r="50" spans="1:9" x14ac:dyDescent="0.25">
      <c r="A50" s="258"/>
      <c r="B50" s="258"/>
      <c r="C50" s="261"/>
      <c r="D50" s="262"/>
      <c r="E50" s="332"/>
      <c r="G50" s="439">
        <v>2003976172.51</v>
      </c>
      <c r="H50" s="324">
        <f>+G50-E52</f>
        <v>-154199531.99999928</v>
      </c>
    </row>
    <row r="51" spans="1:9" x14ac:dyDescent="0.25">
      <c r="A51" s="258"/>
      <c r="B51" s="258"/>
      <c r="C51" s="261"/>
      <c r="D51" s="262"/>
      <c r="E51" s="332"/>
      <c r="H51" s="273"/>
      <c r="I51" s="266"/>
    </row>
    <row r="52" spans="1:9" x14ac:dyDescent="0.25">
      <c r="A52" s="258"/>
      <c r="B52" s="258"/>
      <c r="C52" s="261"/>
      <c r="D52" s="262"/>
      <c r="E52" s="333">
        <f>SUM(E2:E51)</f>
        <v>2158175704.5099993</v>
      </c>
      <c r="F52" s="273">
        <f>+SUM(SALDOS!G3:G61)</f>
        <v>2158175704.5099998</v>
      </c>
      <c r="G52" s="273">
        <f>+E52-F52</f>
        <v>0</v>
      </c>
    </row>
    <row r="53" spans="1:9" x14ac:dyDescent="0.25">
      <c r="A53" s="258"/>
      <c r="B53" s="258"/>
      <c r="C53" s="267"/>
      <c r="D53" s="267"/>
      <c r="E53" s="299"/>
      <c r="F53" s="273">
        <f>+Balance!F21</f>
        <v>2158175704.5099998</v>
      </c>
      <c r="G53" s="273">
        <f>+F53-E52</f>
        <v>0</v>
      </c>
    </row>
    <row r="54" spans="1:9" x14ac:dyDescent="0.25">
      <c r="A54" s="258"/>
      <c r="B54" s="258"/>
      <c r="C54" s="267"/>
      <c r="D54" s="267"/>
      <c r="E54" s="299"/>
      <c r="F54" s="266"/>
      <c r="G54" s="266"/>
    </row>
    <row r="55" spans="1:9" x14ac:dyDescent="0.25">
      <c r="A55" s="258"/>
      <c r="B55" s="258"/>
      <c r="C55" s="267"/>
      <c r="D55" s="267"/>
      <c r="E55" s="299"/>
      <c r="F55" s="266"/>
      <c r="G55" s="266"/>
    </row>
    <row r="56" spans="1:9" s="403" customFormat="1" x14ac:dyDescent="0.25">
      <c r="A56" s="402" t="s">
        <v>3</v>
      </c>
      <c r="B56" s="402"/>
      <c r="C56" s="402"/>
      <c r="D56" s="402"/>
      <c r="E56" s="402"/>
      <c r="F56" s="402" t="s">
        <v>846</v>
      </c>
      <c r="G56" s="402"/>
    </row>
    <row r="57" spans="1:9" s="329" customFormat="1" hidden="1" x14ac:dyDescent="0.25">
      <c r="A57" s="378" t="s">
        <v>803</v>
      </c>
      <c r="B57" s="379"/>
      <c r="C57" s="299"/>
      <c r="D57" s="299"/>
      <c r="E57" s="299"/>
    </row>
    <row r="58" spans="1:9" s="329" customFormat="1" hidden="1" x14ac:dyDescent="0.25">
      <c r="A58" s="378" t="s">
        <v>804</v>
      </c>
      <c r="B58" s="379"/>
      <c r="C58" s="299"/>
      <c r="D58" s="299"/>
      <c r="E58" s="299"/>
    </row>
    <row r="59" spans="1:9" s="329" customFormat="1" hidden="1" x14ac:dyDescent="0.25">
      <c r="A59" s="378" t="s">
        <v>773</v>
      </c>
      <c r="B59" s="379"/>
      <c r="C59" s="299"/>
      <c r="D59" s="299"/>
      <c r="E59" s="299"/>
    </row>
    <row r="60" spans="1:9" s="329" customFormat="1" hidden="1" x14ac:dyDescent="0.25">
      <c r="A60" s="378" t="s">
        <v>764</v>
      </c>
      <c r="B60" s="379"/>
      <c r="C60" s="299"/>
      <c r="D60" s="299"/>
      <c r="E60" s="299"/>
    </row>
    <row r="61" spans="1:9" s="329" customFormat="1" hidden="1" x14ac:dyDescent="0.25">
      <c r="A61" s="378" t="s">
        <v>757</v>
      </c>
      <c r="B61" s="379"/>
      <c r="C61" s="299"/>
      <c r="D61" s="299"/>
      <c r="E61" s="299"/>
    </row>
    <row r="62" spans="1:9" s="329" customFormat="1" hidden="1" x14ac:dyDescent="0.25">
      <c r="A62" s="378" t="s">
        <v>781</v>
      </c>
      <c r="B62" s="379"/>
      <c r="C62" s="299"/>
      <c r="D62" s="299"/>
      <c r="E62" s="299"/>
    </row>
    <row r="63" spans="1:9" s="329" customFormat="1" hidden="1" x14ac:dyDescent="0.25">
      <c r="A63" s="378" t="s">
        <v>765</v>
      </c>
      <c r="B63" s="379"/>
      <c r="C63" s="299"/>
      <c r="D63" s="299"/>
      <c r="E63" s="299"/>
    </row>
    <row r="64" spans="1:9" s="329" customFormat="1" hidden="1" x14ac:dyDescent="0.25">
      <c r="A64" s="378" t="s">
        <v>677</v>
      </c>
      <c r="B64" s="379"/>
      <c r="C64" s="299"/>
      <c r="D64" s="299"/>
      <c r="E64" s="299"/>
    </row>
    <row r="65" spans="1:5" s="329" customFormat="1" hidden="1" x14ac:dyDescent="0.25">
      <c r="A65" s="378" t="s">
        <v>724</v>
      </c>
      <c r="B65" s="379"/>
      <c r="C65" s="299"/>
      <c r="D65" s="299"/>
      <c r="E65" s="299"/>
    </row>
    <row r="66" spans="1:5" s="329" customFormat="1" hidden="1" x14ac:dyDescent="0.25">
      <c r="A66" s="378" t="s">
        <v>766</v>
      </c>
      <c r="B66" s="379"/>
      <c r="C66" s="299"/>
      <c r="D66" s="299"/>
      <c r="E66" s="299"/>
    </row>
    <row r="67" spans="1:5" s="329" customFormat="1" hidden="1" x14ac:dyDescent="0.25">
      <c r="A67" s="378" t="s">
        <v>754</v>
      </c>
      <c r="B67" s="379"/>
      <c r="C67" s="299"/>
      <c r="D67" s="299"/>
      <c r="E67" s="299"/>
    </row>
    <row r="68" spans="1:5" s="329" customFormat="1" hidden="1" x14ac:dyDescent="0.25">
      <c r="A68" s="378" t="s">
        <v>767</v>
      </c>
      <c r="B68" s="379"/>
      <c r="C68" s="299"/>
      <c r="D68" s="299"/>
      <c r="E68" s="299"/>
    </row>
    <row r="69" spans="1:5" s="329" customFormat="1" hidden="1" x14ac:dyDescent="0.25">
      <c r="A69" s="378" t="s">
        <v>805</v>
      </c>
      <c r="B69" s="379"/>
      <c r="C69" s="299"/>
      <c r="D69" s="299"/>
      <c r="E69" s="299"/>
    </row>
    <row r="70" spans="1:5" s="329" customFormat="1" hidden="1" x14ac:dyDescent="0.25">
      <c r="A70" s="378" t="s">
        <v>806</v>
      </c>
      <c r="B70" s="379"/>
      <c r="C70" s="299"/>
      <c r="D70" s="299"/>
      <c r="E70" s="299"/>
    </row>
    <row r="71" spans="1:5" s="329" customFormat="1" hidden="1" x14ac:dyDescent="0.25">
      <c r="A71" s="378" t="s">
        <v>775</v>
      </c>
      <c r="B71" s="379"/>
      <c r="C71" s="299"/>
      <c r="D71" s="299"/>
      <c r="E71" s="299"/>
    </row>
    <row r="72" spans="1:5" s="329" customFormat="1" hidden="1" x14ac:dyDescent="0.25">
      <c r="A72" s="378" t="s">
        <v>507</v>
      </c>
      <c r="B72" s="379"/>
      <c r="C72" s="299"/>
      <c r="D72" s="299"/>
      <c r="E72" s="299"/>
    </row>
    <row r="73" spans="1:5" s="329" customFormat="1" hidden="1" x14ac:dyDescent="0.25">
      <c r="A73" s="378" t="s">
        <v>807</v>
      </c>
      <c r="B73" s="379"/>
      <c r="C73" s="299"/>
      <c r="D73" s="299"/>
      <c r="E73" s="299"/>
    </row>
    <row r="74" spans="1:5" s="329" customFormat="1" hidden="1" x14ac:dyDescent="0.25">
      <c r="A74" s="378" t="s">
        <v>782</v>
      </c>
      <c r="B74" s="379"/>
      <c r="C74" s="299"/>
      <c r="D74" s="299"/>
      <c r="E74" s="299"/>
    </row>
    <row r="75" spans="1:5" s="329" customFormat="1" hidden="1" x14ac:dyDescent="0.25">
      <c r="A75" s="378" t="s">
        <v>790</v>
      </c>
      <c r="B75" s="379"/>
      <c r="C75" s="299"/>
      <c r="D75" s="299"/>
      <c r="E75" s="299"/>
    </row>
    <row r="76" spans="1:5" s="329" customFormat="1" hidden="1" x14ac:dyDescent="0.25">
      <c r="A76" s="378" t="s">
        <v>735</v>
      </c>
      <c r="B76" s="379"/>
      <c r="C76" s="299"/>
      <c r="D76" s="299"/>
      <c r="E76" s="299"/>
    </row>
    <row r="77" spans="1:5" s="329" customFormat="1" hidden="1" x14ac:dyDescent="0.25">
      <c r="A77" s="378" t="s">
        <v>783</v>
      </c>
      <c r="B77" s="379"/>
      <c r="C77" s="299"/>
      <c r="D77" s="299"/>
      <c r="E77" s="299"/>
    </row>
    <row r="78" spans="1:5" s="329" customFormat="1" hidden="1" x14ac:dyDescent="0.25">
      <c r="A78" s="378" t="s">
        <v>774</v>
      </c>
      <c r="B78" s="379"/>
      <c r="C78" s="299"/>
      <c r="D78" s="299"/>
      <c r="E78" s="299"/>
    </row>
    <row r="79" spans="1:5" s="329" customFormat="1" hidden="1" x14ac:dyDescent="0.25">
      <c r="A79" s="378" t="s">
        <v>784</v>
      </c>
      <c r="B79" s="379"/>
      <c r="C79" s="299"/>
      <c r="D79" s="299"/>
      <c r="E79" s="299"/>
    </row>
    <row r="80" spans="1:5" s="329" customFormat="1" hidden="1" x14ac:dyDescent="0.25">
      <c r="A80" s="378" t="s">
        <v>719</v>
      </c>
      <c r="B80" s="379"/>
      <c r="C80" s="299"/>
      <c r="D80" s="299"/>
      <c r="E80" s="299"/>
    </row>
    <row r="81" spans="1:8" s="329" customFormat="1" hidden="1" x14ac:dyDescent="0.25">
      <c r="A81" s="378" t="s">
        <v>736</v>
      </c>
      <c r="B81" s="379"/>
      <c r="C81" s="299"/>
      <c r="D81" s="299"/>
      <c r="E81" s="299"/>
    </row>
    <row r="82" spans="1:8" s="329" customFormat="1" hidden="1" x14ac:dyDescent="0.25">
      <c r="A82" s="378" t="s">
        <v>808</v>
      </c>
      <c r="B82" s="379"/>
      <c r="C82" s="299"/>
      <c r="D82" s="299"/>
      <c r="E82" s="299"/>
    </row>
    <row r="83" spans="1:8" s="329" customFormat="1" hidden="1" x14ac:dyDescent="0.25">
      <c r="A83" s="378" t="s">
        <v>486</v>
      </c>
      <c r="B83" s="379"/>
      <c r="C83" s="299"/>
      <c r="D83" s="299"/>
      <c r="E83" s="299"/>
    </row>
    <row r="84" spans="1:8" s="329" customFormat="1" hidden="1" x14ac:dyDescent="0.25">
      <c r="A84" s="378" t="s">
        <v>485</v>
      </c>
      <c r="B84" s="379"/>
      <c r="C84" s="299"/>
      <c r="D84" s="299"/>
      <c r="E84" s="299"/>
    </row>
    <row r="85" spans="1:8" s="329" customFormat="1" hidden="1" x14ac:dyDescent="0.25">
      <c r="A85" s="378" t="s">
        <v>768</v>
      </c>
      <c r="B85" s="379"/>
      <c r="C85" s="299"/>
      <c r="D85" s="299"/>
      <c r="E85" s="299"/>
    </row>
    <row r="86" spans="1:8" s="329" customFormat="1" hidden="1" x14ac:dyDescent="0.25">
      <c r="A86" s="378" t="s">
        <v>769</v>
      </c>
      <c r="B86" s="379"/>
      <c r="C86" s="332"/>
      <c r="D86" s="380"/>
      <c r="E86" s="299"/>
      <c r="H86" s="381"/>
    </row>
    <row r="87" spans="1:8" s="329" customFormat="1" hidden="1" x14ac:dyDescent="0.25">
      <c r="A87" s="378" t="s">
        <v>770</v>
      </c>
      <c r="B87" s="379"/>
      <c r="C87" s="299"/>
      <c r="D87" s="299"/>
      <c r="E87" s="299"/>
    </row>
    <row r="88" spans="1:8" s="329" customFormat="1" hidden="1" x14ac:dyDescent="0.25">
      <c r="A88" s="378" t="s">
        <v>755</v>
      </c>
      <c r="B88" s="379"/>
      <c r="C88" s="299"/>
      <c r="D88" s="299"/>
      <c r="E88" s="299"/>
    </row>
    <row r="89" spans="1:8" s="329" customFormat="1" hidden="1" x14ac:dyDescent="0.25">
      <c r="A89" s="378" t="s">
        <v>776</v>
      </c>
      <c r="B89" s="379"/>
      <c r="C89" s="299"/>
      <c r="D89" s="299"/>
      <c r="E89" s="299"/>
    </row>
    <row r="90" spans="1:8" s="329" customFormat="1" hidden="1" x14ac:dyDescent="0.25">
      <c r="A90" s="378" t="s">
        <v>725</v>
      </c>
      <c r="B90" s="379"/>
      <c r="C90" s="299"/>
      <c r="D90" s="299"/>
      <c r="E90" s="299"/>
    </row>
    <row r="91" spans="1:8" s="329" customFormat="1" hidden="1" x14ac:dyDescent="0.25">
      <c r="A91" s="378" t="s">
        <v>737</v>
      </c>
      <c r="B91" s="379"/>
      <c r="C91" s="299"/>
      <c r="D91" s="299"/>
      <c r="E91" s="299"/>
    </row>
    <row r="92" spans="1:8" s="329" customFormat="1" hidden="1" x14ac:dyDescent="0.25">
      <c r="A92" s="378" t="s">
        <v>758</v>
      </c>
      <c r="B92" s="379"/>
      <c r="C92" s="299"/>
      <c r="D92" s="299"/>
      <c r="E92" s="299"/>
    </row>
    <row r="93" spans="1:8" s="329" customFormat="1" hidden="1" x14ac:dyDescent="0.25">
      <c r="A93" s="378" t="s">
        <v>777</v>
      </c>
      <c r="B93" s="379"/>
      <c r="C93" s="299"/>
      <c r="D93" s="299"/>
      <c r="E93" s="299"/>
    </row>
    <row r="94" spans="1:8" s="329" customFormat="1" hidden="1" x14ac:dyDescent="0.25">
      <c r="A94" s="378" t="s">
        <v>809</v>
      </c>
      <c r="B94" s="379"/>
      <c r="C94" s="299"/>
      <c r="D94" s="299"/>
      <c r="E94" s="299"/>
    </row>
    <row r="95" spans="1:8" s="329" customFormat="1" hidden="1" x14ac:dyDescent="0.25">
      <c r="A95" s="378" t="s">
        <v>791</v>
      </c>
      <c r="B95" s="379"/>
      <c r="C95" s="299"/>
      <c r="D95" s="299"/>
      <c r="E95" s="299"/>
    </row>
    <row r="96" spans="1:8" s="329" customFormat="1" hidden="1" x14ac:dyDescent="0.25">
      <c r="A96" s="378" t="s">
        <v>801</v>
      </c>
      <c r="B96" s="379"/>
      <c r="C96" s="299"/>
      <c r="D96" s="299"/>
      <c r="E96" s="299"/>
    </row>
    <row r="97" spans="1:5" s="329" customFormat="1" hidden="1" x14ac:dyDescent="0.25">
      <c r="A97" s="378" t="s">
        <v>810</v>
      </c>
      <c r="B97" s="379"/>
      <c r="C97" s="299"/>
      <c r="D97" s="299"/>
      <c r="E97" s="299"/>
    </row>
    <row r="98" spans="1:5" s="329" customFormat="1" hidden="1" x14ac:dyDescent="0.25">
      <c r="A98" s="378" t="s">
        <v>811</v>
      </c>
      <c r="B98" s="379"/>
      <c r="C98" s="299"/>
      <c r="D98" s="299"/>
      <c r="E98" s="299"/>
    </row>
    <row r="99" spans="1:5" s="329" customFormat="1" hidden="1" x14ac:dyDescent="0.25">
      <c r="A99" s="378" t="s">
        <v>799</v>
      </c>
      <c r="B99" s="379"/>
      <c r="C99" s="299"/>
      <c r="D99" s="299"/>
      <c r="E99" s="299"/>
    </row>
    <row r="100" spans="1:5" s="329" customFormat="1" hidden="1" x14ac:dyDescent="0.25">
      <c r="A100" s="378" t="s">
        <v>379</v>
      </c>
      <c r="B100" s="379"/>
      <c r="C100" s="299"/>
      <c r="D100" s="299"/>
      <c r="E100" s="299"/>
    </row>
    <row r="101" spans="1:5" s="329" customFormat="1" hidden="1" x14ac:dyDescent="0.25">
      <c r="A101" s="378" t="s">
        <v>380</v>
      </c>
      <c r="B101" s="379"/>
      <c r="C101" s="299"/>
      <c r="D101" s="299"/>
      <c r="E101" s="299"/>
    </row>
    <row r="102" spans="1:5" s="329" customFormat="1" hidden="1" x14ac:dyDescent="0.25">
      <c r="A102" s="378" t="s">
        <v>514</v>
      </c>
      <c r="B102" s="379"/>
      <c r="C102" s="299"/>
      <c r="D102" s="299"/>
      <c r="E102" s="299"/>
    </row>
    <row r="103" spans="1:5" s="329" customFormat="1" hidden="1" x14ac:dyDescent="0.25">
      <c r="A103" s="378" t="s">
        <v>707</v>
      </c>
      <c r="B103" s="379"/>
      <c r="C103" s="299"/>
      <c r="D103" s="299"/>
      <c r="E103" s="299"/>
    </row>
    <row r="104" spans="1:5" s="329" customFormat="1" hidden="1" x14ac:dyDescent="0.25">
      <c r="A104" s="378" t="s">
        <v>708</v>
      </c>
      <c r="B104" s="379"/>
      <c r="C104" s="299"/>
      <c r="D104" s="299"/>
      <c r="E104" s="299"/>
    </row>
    <row r="105" spans="1:5" s="329" customFormat="1" hidden="1" x14ac:dyDescent="0.25">
      <c r="A105" s="378" t="s">
        <v>732</v>
      </c>
      <c r="B105" s="379"/>
      <c r="C105" s="299"/>
      <c r="D105" s="299"/>
      <c r="E105" s="299"/>
    </row>
    <row r="106" spans="1:5" s="329" customFormat="1" hidden="1" x14ac:dyDescent="0.25">
      <c r="A106" s="382"/>
      <c r="B106" s="379"/>
      <c r="C106" s="299"/>
      <c r="D106" s="299"/>
      <c r="E106" s="331"/>
    </row>
    <row r="107" spans="1:5" s="329" customFormat="1" hidden="1" x14ac:dyDescent="0.25">
      <c r="A107" s="382"/>
      <c r="B107" s="379"/>
      <c r="C107" s="299"/>
      <c r="D107" s="299"/>
      <c r="E107" s="331"/>
    </row>
    <row r="108" spans="1:5" s="329" customFormat="1" hidden="1" x14ac:dyDescent="0.25">
      <c r="A108" s="382"/>
      <c r="B108" s="379"/>
      <c r="C108" s="299"/>
      <c r="D108" s="299"/>
      <c r="E108" s="331"/>
    </row>
    <row r="109" spans="1:5" s="329" customFormat="1" hidden="1" x14ac:dyDescent="0.25">
      <c r="A109" s="382"/>
      <c r="B109" s="379"/>
      <c r="C109" s="299"/>
      <c r="D109" s="299"/>
      <c r="E109" s="331"/>
    </row>
    <row r="110" spans="1:5" s="329" customFormat="1" hidden="1" x14ac:dyDescent="0.25">
      <c r="A110" s="382"/>
      <c r="B110" s="379"/>
      <c r="C110" s="299"/>
      <c r="D110" s="299"/>
      <c r="E110" s="331"/>
    </row>
    <row r="111" spans="1:5" s="329" customFormat="1" hidden="1" x14ac:dyDescent="0.25">
      <c r="A111" s="382"/>
      <c r="B111" s="379"/>
      <c r="C111" s="299"/>
      <c r="D111" s="299"/>
      <c r="E111" s="331"/>
    </row>
    <row r="112" spans="1:5" s="329" customFormat="1" hidden="1" x14ac:dyDescent="0.25">
      <c r="A112" s="382"/>
      <c r="B112" s="379"/>
      <c r="C112" s="299"/>
      <c r="D112" s="299"/>
      <c r="E112" s="331"/>
    </row>
    <row r="113" spans="1:5" s="329" customFormat="1" hidden="1" x14ac:dyDescent="0.25">
      <c r="A113" s="382"/>
      <c r="B113" s="379"/>
      <c r="C113" s="299"/>
      <c r="D113" s="299"/>
      <c r="E113" s="331"/>
    </row>
    <row r="114" spans="1:5" s="329" customFormat="1" hidden="1" x14ac:dyDescent="0.25">
      <c r="A114" s="382"/>
      <c r="B114" s="379"/>
      <c r="C114" s="299"/>
      <c r="D114" s="299"/>
      <c r="E114" s="331"/>
    </row>
    <row r="115" spans="1:5" s="329" customFormat="1" hidden="1" x14ac:dyDescent="0.25">
      <c r="A115" s="382"/>
      <c r="B115" s="379"/>
      <c r="C115" s="299"/>
      <c r="D115" s="299"/>
      <c r="E115" s="331"/>
    </row>
    <row r="116" spans="1:5" s="329" customFormat="1" hidden="1" x14ac:dyDescent="0.25">
      <c r="A116" s="382"/>
      <c r="B116" s="379"/>
      <c r="C116" s="299"/>
      <c r="D116" s="299"/>
      <c r="E116" s="331"/>
    </row>
    <row r="117" spans="1:5" s="329" customFormat="1" hidden="1" x14ac:dyDescent="0.25">
      <c r="A117" s="382"/>
      <c r="B117" s="379"/>
      <c r="C117" s="299"/>
      <c r="D117" s="299"/>
      <c r="E117" s="331"/>
    </row>
    <row r="118" spans="1:5" s="329" customFormat="1" hidden="1" x14ac:dyDescent="0.25">
      <c r="A118" s="382"/>
      <c r="B118" s="379"/>
      <c r="C118" s="299"/>
      <c r="D118" s="299"/>
      <c r="E118" s="331"/>
    </row>
    <row r="119" spans="1:5" s="329" customFormat="1" hidden="1" x14ac:dyDescent="0.25">
      <c r="A119" s="382"/>
      <c r="B119" s="379"/>
      <c r="C119" s="299"/>
      <c r="D119" s="299"/>
      <c r="E119" s="331"/>
    </row>
    <row r="120" spans="1:5" s="329" customFormat="1" hidden="1" x14ac:dyDescent="0.25">
      <c r="A120" s="382"/>
      <c r="B120" s="379"/>
      <c r="C120" s="299"/>
      <c r="D120" s="299"/>
      <c r="E120" s="331"/>
    </row>
    <row r="121" spans="1:5" s="329" customFormat="1" hidden="1" x14ac:dyDescent="0.25">
      <c r="A121" s="382"/>
      <c r="B121" s="379"/>
      <c r="C121" s="299"/>
      <c r="D121" s="299"/>
      <c r="E121" s="331"/>
    </row>
    <row r="122" spans="1:5" s="329" customFormat="1" hidden="1" x14ac:dyDescent="0.25">
      <c r="A122" s="382"/>
      <c r="B122" s="379"/>
      <c r="C122" s="299"/>
      <c r="D122" s="299"/>
      <c r="E122" s="331"/>
    </row>
    <row r="123" spans="1:5" s="329" customFormat="1" hidden="1" x14ac:dyDescent="0.25">
      <c r="A123" s="382"/>
      <c r="B123" s="379"/>
      <c r="C123" s="299"/>
      <c r="D123" s="299"/>
      <c r="E123" s="331"/>
    </row>
    <row r="124" spans="1:5" s="329" customFormat="1" hidden="1" x14ac:dyDescent="0.25">
      <c r="A124" s="382"/>
      <c r="B124" s="379"/>
      <c r="C124" s="299"/>
      <c r="D124" s="299"/>
      <c r="E124" s="331"/>
    </row>
    <row r="125" spans="1:5" s="329" customFormat="1" hidden="1" x14ac:dyDescent="0.25">
      <c r="A125" s="382"/>
      <c r="B125" s="379"/>
      <c r="C125" s="299"/>
      <c r="D125" s="299"/>
      <c r="E125" s="331"/>
    </row>
    <row r="126" spans="1:5" s="329" customFormat="1" hidden="1" x14ac:dyDescent="0.25">
      <c r="A126" s="382"/>
      <c r="B126" s="379"/>
      <c r="C126" s="299"/>
      <c r="D126" s="299"/>
      <c r="E126" s="331"/>
    </row>
    <row r="127" spans="1:5" s="329" customFormat="1" hidden="1" x14ac:dyDescent="0.25">
      <c r="A127" s="382"/>
      <c r="B127" s="379"/>
      <c r="C127" s="299"/>
      <c r="D127" s="299"/>
      <c r="E127" s="331"/>
    </row>
    <row r="128" spans="1:5" s="329" customFormat="1" hidden="1" x14ac:dyDescent="0.25">
      <c r="A128" s="382"/>
      <c r="B128" s="379"/>
      <c r="C128" s="299"/>
      <c r="D128" s="299"/>
      <c r="E128" s="331"/>
    </row>
    <row r="129" spans="1:5" s="329" customFormat="1" hidden="1" x14ac:dyDescent="0.25">
      <c r="A129" s="382"/>
      <c r="B129" s="379"/>
      <c r="C129" s="299"/>
      <c r="D129" s="299"/>
      <c r="E129" s="331"/>
    </row>
    <row r="130" spans="1:5" s="329" customFormat="1" hidden="1" x14ac:dyDescent="0.25">
      <c r="A130" s="382"/>
      <c r="B130" s="379"/>
      <c r="C130" s="299"/>
      <c r="D130" s="299"/>
      <c r="E130" s="331"/>
    </row>
    <row r="131" spans="1:5" s="329" customFormat="1" hidden="1" x14ac:dyDescent="0.25">
      <c r="A131" s="382"/>
      <c r="B131" s="379"/>
      <c r="C131" s="299"/>
      <c r="D131" s="299"/>
      <c r="E131" s="331"/>
    </row>
    <row r="132" spans="1:5" s="329" customFormat="1" hidden="1" x14ac:dyDescent="0.25">
      <c r="A132" s="382"/>
      <c r="B132" s="379"/>
      <c r="C132" s="299"/>
      <c r="D132" s="299"/>
      <c r="E132" s="331"/>
    </row>
    <row r="133" spans="1:5" s="329" customFormat="1" hidden="1" x14ac:dyDescent="0.25">
      <c r="A133" s="382"/>
      <c r="B133" s="379"/>
      <c r="C133" s="299"/>
      <c r="D133" s="299"/>
      <c r="E133" s="331"/>
    </row>
    <row r="134" spans="1:5" s="329" customFormat="1" hidden="1" x14ac:dyDescent="0.25">
      <c r="A134" s="382"/>
      <c r="B134" s="379"/>
      <c r="C134" s="299"/>
      <c r="D134" s="299"/>
      <c r="E134" s="331"/>
    </row>
    <row r="135" spans="1:5" s="329" customFormat="1" hidden="1" x14ac:dyDescent="0.25">
      <c r="A135" s="382"/>
      <c r="B135" s="379"/>
      <c r="C135" s="299"/>
      <c r="D135" s="299"/>
      <c r="E135" s="331"/>
    </row>
    <row r="136" spans="1:5" s="329" customFormat="1" hidden="1" x14ac:dyDescent="0.25">
      <c r="A136" s="382"/>
      <c r="B136" s="379"/>
      <c r="C136" s="299"/>
      <c r="D136" s="299"/>
      <c r="E136" s="331"/>
    </row>
    <row r="137" spans="1:5" s="329" customFormat="1" hidden="1" x14ac:dyDescent="0.25">
      <c r="A137" s="382"/>
      <c r="B137" s="379"/>
      <c r="C137" s="299"/>
      <c r="D137" s="299"/>
      <c r="E137" s="331"/>
    </row>
    <row r="138" spans="1:5" s="329" customFormat="1" hidden="1" x14ac:dyDescent="0.25">
      <c r="A138" s="382"/>
      <c r="B138" s="379"/>
      <c r="C138" s="299"/>
      <c r="D138" s="299"/>
      <c r="E138" s="331"/>
    </row>
    <row r="139" spans="1:5" s="329" customFormat="1" hidden="1" x14ac:dyDescent="0.25">
      <c r="A139" s="382"/>
      <c r="B139" s="379"/>
      <c r="C139" s="299"/>
      <c r="D139" s="299"/>
      <c r="E139" s="331"/>
    </row>
    <row r="140" spans="1:5" s="329" customFormat="1" hidden="1" x14ac:dyDescent="0.25">
      <c r="A140" s="382"/>
      <c r="B140" s="379"/>
      <c r="C140" s="299"/>
      <c r="D140" s="299"/>
      <c r="E140" s="331"/>
    </row>
    <row r="141" spans="1:5" s="329" customFormat="1" hidden="1" x14ac:dyDescent="0.25">
      <c r="A141" s="382"/>
      <c r="B141" s="379"/>
      <c r="C141" s="299"/>
      <c r="D141" s="299"/>
      <c r="E141" s="331"/>
    </row>
    <row r="142" spans="1:5" s="329" customFormat="1" hidden="1" x14ac:dyDescent="0.25">
      <c r="A142" s="382"/>
      <c r="B142" s="379"/>
      <c r="C142" s="299"/>
      <c r="D142" s="299"/>
      <c r="E142" s="331"/>
    </row>
    <row r="143" spans="1:5" s="329" customFormat="1" hidden="1" x14ac:dyDescent="0.25">
      <c r="A143" s="382"/>
      <c r="B143" s="379"/>
      <c r="C143" s="299"/>
      <c r="D143" s="299"/>
      <c r="E143" s="331"/>
    </row>
    <row r="144" spans="1:5" s="329" customFormat="1" hidden="1" x14ac:dyDescent="0.25">
      <c r="A144" s="382"/>
      <c r="B144" s="379"/>
      <c r="C144" s="299"/>
      <c r="D144" s="299"/>
      <c r="E144" s="331"/>
    </row>
    <row r="145" spans="1:5" s="329" customFormat="1" hidden="1" x14ac:dyDescent="0.25">
      <c r="A145" s="382"/>
      <c r="B145" s="379"/>
      <c r="C145" s="299"/>
      <c r="D145" s="299"/>
      <c r="E145" s="331"/>
    </row>
    <row r="146" spans="1:5" s="329" customFormat="1" hidden="1" x14ac:dyDescent="0.25">
      <c r="A146" s="382"/>
      <c r="B146" s="379"/>
      <c r="C146" s="299"/>
      <c r="D146" s="299"/>
      <c r="E146" s="331"/>
    </row>
    <row r="147" spans="1:5" s="329" customFormat="1" hidden="1" x14ac:dyDescent="0.25">
      <c r="A147" s="382"/>
      <c r="B147" s="379"/>
      <c r="C147" s="299"/>
      <c r="D147" s="299"/>
      <c r="E147" s="331"/>
    </row>
    <row r="148" spans="1:5" s="329" customFormat="1" hidden="1" x14ac:dyDescent="0.25">
      <c r="A148" s="382"/>
      <c r="B148" s="379"/>
      <c r="C148" s="299"/>
      <c r="D148" s="299"/>
      <c r="E148" s="331"/>
    </row>
    <row r="149" spans="1:5" s="329" customFormat="1" hidden="1" x14ac:dyDescent="0.25">
      <c r="A149" s="382"/>
      <c r="B149" s="379"/>
      <c r="C149" s="299"/>
      <c r="D149" s="299"/>
      <c r="E149" s="331"/>
    </row>
    <row r="150" spans="1:5" s="329" customFormat="1" hidden="1" x14ac:dyDescent="0.25">
      <c r="A150" s="382"/>
      <c r="B150" s="379"/>
      <c r="C150" s="299"/>
      <c r="D150" s="299"/>
      <c r="E150" s="331"/>
    </row>
    <row r="151" spans="1:5" s="329" customFormat="1" hidden="1" x14ac:dyDescent="0.25">
      <c r="A151" s="382"/>
      <c r="B151" s="379"/>
      <c r="C151" s="299"/>
      <c r="D151" s="299"/>
      <c r="E151" s="331"/>
    </row>
    <row r="152" spans="1:5" s="329" customFormat="1" hidden="1" x14ac:dyDescent="0.25">
      <c r="A152" s="382"/>
      <c r="B152" s="379"/>
      <c r="C152" s="299"/>
      <c r="D152" s="299"/>
      <c r="E152" s="331"/>
    </row>
    <row r="153" spans="1:5" s="329" customFormat="1" hidden="1" x14ac:dyDescent="0.25">
      <c r="A153" s="382"/>
      <c r="B153" s="379"/>
      <c r="C153" s="299"/>
      <c r="D153" s="299"/>
      <c r="E153" s="331"/>
    </row>
    <row r="154" spans="1:5" s="329" customFormat="1" hidden="1" x14ac:dyDescent="0.25">
      <c r="A154" s="382"/>
      <c r="B154" s="379"/>
      <c r="C154" s="299"/>
      <c r="D154" s="299"/>
      <c r="E154" s="331"/>
    </row>
    <row r="155" spans="1:5" s="329" customFormat="1" hidden="1" x14ac:dyDescent="0.25">
      <c r="A155" s="382"/>
      <c r="B155" s="379"/>
      <c r="C155" s="299"/>
      <c r="D155" s="299"/>
      <c r="E155" s="331"/>
    </row>
    <row r="156" spans="1:5" s="329" customFormat="1" hidden="1" x14ac:dyDescent="0.25">
      <c r="A156" s="382"/>
      <c r="B156" s="379"/>
      <c r="C156" s="299"/>
      <c r="D156" s="299"/>
      <c r="E156" s="331"/>
    </row>
    <row r="157" spans="1:5" s="329" customFormat="1" hidden="1" x14ac:dyDescent="0.25">
      <c r="A157" s="382"/>
      <c r="B157" s="379"/>
      <c r="C157" s="299"/>
      <c r="D157" s="299"/>
      <c r="E157" s="331"/>
    </row>
    <row r="158" spans="1:5" s="329" customFormat="1" hidden="1" x14ac:dyDescent="0.25">
      <c r="A158" s="382"/>
      <c r="B158" s="379"/>
      <c r="C158" s="299"/>
      <c r="D158" s="299"/>
      <c r="E158" s="331"/>
    </row>
    <row r="159" spans="1:5" s="329" customFormat="1" hidden="1" x14ac:dyDescent="0.25">
      <c r="A159" s="382"/>
      <c r="B159" s="379"/>
      <c r="C159" s="299"/>
      <c r="D159" s="299"/>
      <c r="E159" s="331"/>
    </row>
    <row r="160" spans="1:5" s="329" customFormat="1" hidden="1" x14ac:dyDescent="0.25">
      <c r="A160" s="382"/>
      <c r="B160" s="379"/>
      <c r="C160" s="299"/>
      <c r="D160" s="299"/>
      <c r="E160" s="331"/>
    </row>
    <row r="161" spans="1:5" s="329" customFormat="1" hidden="1" x14ac:dyDescent="0.25">
      <c r="A161" s="382"/>
      <c r="B161" s="379"/>
      <c r="C161" s="299"/>
      <c r="D161" s="299"/>
      <c r="E161" s="331"/>
    </row>
    <row r="162" spans="1:5" s="329" customFormat="1" hidden="1" x14ac:dyDescent="0.25">
      <c r="A162" s="382"/>
      <c r="B162" s="379"/>
      <c r="C162" s="299"/>
      <c r="D162" s="299"/>
      <c r="E162" s="331"/>
    </row>
    <row r="163" spans="1:5" s="329" customFormat="1" hidden="1" x14ac:dyDescent="0.25">
      <c r="A163" s="382"/>
      <c r="B163" s="379"/>
      <c r="C163" s="299"/>
      <c r="D163" s="299"/>
      <c r="E163" s="331"/>
    </row>
    <row r="164" spans="1:5" s="329" customFormat="1" hidden="1" x14ac:dyDescent="0.25">
      <c r="A164" s="382"/>
      <c r="B164" s="379"/>
      <c r="C164" s="299"/>
      <c r="D164" s="299"/>
      <c r="E164" s="331"/>
    </row>
    <row r="165" spans="1:5" s="329" customFormat="1" hidden="1" x14ac:dyDescent="0.25">
      <c r="A165" s="382"/>
      <c r="B165" s="379"/>
      <c r="C165" s="299"/>
      <c r="D165" s="299"/>
      <c r="E165" s="331"/>
    </row>
    <row r="166" spans="1:5" s="329" customFormat="1" hidden="1" x14ac:dyDescent="0.25">
      <c r="A166" s="382"/>
      <c r="B166" s="379"/>
      <c r="C166" s="299"/>
      <c r="D166" s="299"/>
      <c r="E166" s="331"/>
    </row>
    <row r="167" spans="1:5" s="329" customFormat="1" hidden="1" x14ac:dyDescent="0.25">
      <c r="A167" s="382"/>
      <c r="B167" s="379"/>
      <c r="C167" s="299"/>
      <c r="D167" s="299"/>
      <c r="E167" s="331"/>
    </row>
    <row r="168" spans="1:5" s="329" customFormat="1" hidden="1" x14ac:dyDescent="0.25">
      <c r="A168" s="382"/>
      <c r="B168" s="379"/>
      <c r="C168" s="299"/>
      <c r="D168" s="299"/>
      <c r="E168" s="331"/>
    </row>
    <row r="169" spans="1:5" s="329" customFormat="1" hidden="1" x14ac:dyDescent="0.25">
      <c r="A169" s="382"/>
      <c r="B169" s="379"/>
      <c r="C169" s="299"/>
      <c r="D169" s="299"/>
      <c r="E169" s="331"/>
    </row>
    <row r="170" spans="1:5" s="329" customFormat="1" hidden="1" x14ac:dyDescent="0.25">
      <c r="A170" s="383" t="s">
        <v>799</v>
      </c>
      <c r="B170" s="379"/>
      <c r="C170" s="299"/>
      <c r="D170" s="299"/>
      <c r="E170" s="330"/>
    </row>
    <row r="171" spans="1:5" s="329" customFormat="1" hidden="1" x14ac:dyDescent="0.25">
      <c r="A171" s="383" t="s">
        <v>379</v>
      </c>
      <c r="B171" s="379"/>
      <c r="C171" s="299"/>
      <c r="D171" s="299"/>
      <c r="E171" s="330"/>
    </row>
    <row r="172" spans="1:5" s="329" customFormat="1" hidden="1" x14ac:dyDescent="0.25">
      <c r="A172" s="383" t="s">
        <v>380</v>
      </c>
      <c r="B172" s="379"/>
      <c r="C172" s="299"/>
      <c r="D172" s="299"/>
      <c r="E172" s="330"/>
    </row>
    <row r="173" spans="1:5" s="329" customFormat="1" hidden="1" x14ac:dyDescent="0.25">
      <c r="A173" s="383" t="s">
        <v>514</v>
      </c>
      <c r="B173" s="379"/>
      <c r="C173" s="299"/>
      <c r="D173" s="299"/>
      <c r="E173" s="330"/>
    </row>
    <row r="174" spans="1:5" s="329" customFormat="1" hidden="1" x14ac:dyDescent="0.25">
      <c r="A174" s="383" t="s">
        <v>707</v>
      </c>
      <c r="B174" s="379"/>
      <c r="C174" s="299"/>
      <c r="D174" s="299"/>
      <c r="E174" s="330"/>
    </row>
    <row r="175" spans="1:5" s="329" customFormat="1" hidden="1" x14ac:dyDescent="0.25">
      <c r="A175" s="383" t="s">
        <v>708</v>
      </c>
      <c r="B175" s="379"/>
      <c r="C175" s="299"/>
      <c r="D175" s="299"/>
      <c r="E175" s="330"/>
    </row>
    <row r="176" spans="1:5" s="329" customFormat="1" hidden="1" x14ac:dyDescent="0.25">
      <c r="A176" s="383" t="s">
        <v>732</v>
      </c>
      <c r="B176" s="379"/>
      <c r="C176" s="299"/>
      <c r="D176" s="299"/>
      <c r="E176" s="330"/>
    </row>
    <row r="177" spans="1:5" s="329" customFormat="1" hidden="1" x14ac:dyDescent="0.25">
      <c r="A177" s="383"/>
      <c r="B177" s="379"/>
      <c r="C177" s="299"/>
      <c r="D177" s="299"/>
      <c r="E177" s="330"/>
    </row>
    <row r="178" spans="1:5" s="329" customFormat="1" hidden="1" x14ac:dyDescent="0.25">
      <c r="A178" s="379"/>
      <c r="B178" s="379"/>
      <c r="C178" s="299"/>
      <c r="D178" s="299"/>
      <c r="E178" s="299"/>
    </row>
    <row r="179" spans="1:5" s="329" customFormat="1" hidden="1" x14ac:dyDescent="0.25">
      <c r="A179" s="379"/>
      <c r="B179" s="379"/>
      <c r="C179" s="299"/>
      <c r="D179" s="299"/>
      <c r="E179" s="299"/>
    </row>
    <row r="180" spans="1:5" s="329" customFormat="1" hidden="1" x14ac:dyDescent="0.25">
      <c r="B180" s="379"/>
      <c r="C180" s="299"/>
      <c r="D180" s="299"/>
      <c r="E180" s="299"/>
    </row>
    <row r="181" spans="1:5" s="329" customFormat="1" hidden="1" x14ac:dyDescent="0.25">
      <c r="C181" s="332"/>
      <c r="D181" s="380"/>
      <c r="E181" s="332"/>
    </row>
    <row r="182" spans="1:5" s="329" customFormat="1" hidden="1" x14ac:dyDescent="0.25">
      <c r="A182" s="384"/>
      <c r="C182" s="332"/>
      <c r="D182" s="380"/>
      <c r="E182" s="332"/>
    </row>
    <row r="183" spans="1:5" s="329" customFormat="1" hidden="1" x14ac:dyDescent="0.25"/>
    <row r="184" spans="1:5" s="329" customFormat="1" hidden="1" x14ac:dyDescent="0.25"/>
    <row r="185" spans="1:5" s="329" customFormat="1" hidden="1" x14ac:dyDescent="0.25">
      <c r="A185" s="379" t="s">
        <v>709</v>
      </c>
      <c r="B185" s="379"/>
      <c r="C185" s="299"/>
      <c r="D185" s="299"/>
      <c r="E185" s="330"/>
    </row>
    <row r="186" spans="1:5" s="329" customFormat="1" hidden="1" x14ac:dyDescent="0.25">
      <c r="A186" s="379" t="s">
        <v>376</v>
      </c>
      <c r="B186" s="379"/>
      <c r="C186" s="299"/>
      <c r="D186" s="299"/>
      <c r="E186" s="330"/>
    </row>
    <row r="187" spans="1:5" s="329" customFormat="1" hidden="1" x14ac:dyDescent="0.25">
      <c r="A187" s="379" t="s">
        <v>710</v>
      </c>
      <c r="B187" s="379"/>
      <c r="C187" s="299"/>
      <c r="D187" s="299"/>
      <c r="E187" s="330"/>
    </row>
    <row r="188" spans="1:5" s="329" customFormat="1" hidden="1" x14ac:dyDescent="0.25">
      <c r="A188" s="379" t="s">
        <v>711</v>
      </c>
      <c r="B188" s="379"/>
      <c r="C188" s="299"/>
      <c r="D188" s="299"/>
      <c r="E188" s="330"/>
    </row>
    <row r="189" spans="1:5" s="329" customFormat="1" hidden="1" x14ac:dyDescent="0.25"/>
    <row r="190" spans="1:5" s="329" customFormat="1" x14ac:dyDescent="0.25"/>
    <row r="191" spans="1:5" s="329" customFormat="1" x14ac:dyDescent="0.25">
      <c r="A191" s="388" t="s">
        <v>844</v>
      </c>
      <c r="B191" s="387"/>
      <c r="C191" s="387"/>
      <c r="D191" s="387"/>
      <c r="E191" s="405" t="s">
        <v>847</v>
      </c>
    </row>
    <row r="192" spans="1:5" s="329" customFormat="1" x14ac:dyDescent="0.25">
      <c r="A192" s="400" t="s">
        <v>531</v>
      </c>
      <c r="C192" s="332"/>
      <c r="D192" s="380"/>
      <c r="E192" s="389">
        <v>0</v>
      </c>
    </row>
    <row r="193" spans="1:5" s="329" customFormat="1" x14ac:dyDescent="0.25">
      <c r="A193" s="400" t="s">
        <v>500</v>
      </c>
      <c r="B193" s="392"/>
      <c r="C193" s="332"/>
      <c r="D193" s="380"/>
      <c r="E193" s="389">
        <v>11619112.85</v>
      </c>
    </row>
    <row r="194" spans="1:5" s="329" customFormat="1" x14ac:dyDescent="0.25">
      <c r="A194" s="400" t="s">
        <v>501</v>
      </c>
      <c r="B194" s="392"/>
      <c r="C194" s="332"/>
      <c r="D194" s="380"/>
      <c r="E194" s="389">
        <v>146974706.71000001</v>
      </c>
    </row>
    <row r="195" spans="1:5" s="329" customFormat="1" x14ac:dyDescent="0.25">
      <c r="A195" s="400" t="s">
        <v>502</v>
      </c>
      <c r="B195" s="392"/>
      <c r="C195" s="332"/>
      <c r="D195" s="380"/>
      <c r="E195" s="389">
        <v>14081454.359999999</v>
      </c>
    </row>
    <row r="196" spans="1:5" s="441" customFormat="1" x14ac:dyDescent="0.25">
      <c r="A196" s="440" t="s">
        <v>734</v>
      </c>
      <c r="B196" s="394"/>
      <c r="C196" s="333"/>
      <c r="D196" s="395"/>
      <c r="E196" s="333">
        <v>0</v>
      </c>
    </row>
    <row r="197" spans="1:5" s="329" customFormat="1" x14ac:dyDescent="0.25">
      <c r="A197" s="400" t="s">
        <v>533</v>
      </c>
      <c r="B197" s="392"/>
      <c r="C197" s="332"/>
      <c r="D197" s="380"/>
      <c r="E197" s="389">
        <v>0</v>
      </c>
    </row>
    <row r="198" spans="1:5" s="329" customFormat="1" x14ac:dyDescent="0.25">
      <c r="A198" s="400" t="s">
        <v>534</v>
      </c>
      <c r="B198" s="392"/>
      <c r="C198" s="332"/>
      <c r="D198" s="380"/>
      <c r="E198" s="389">
        <v>0</v>
      </c>
    </row>
    <row r="199" spans="1:5" s="329" customFormat="1" x14ac:dyDescent="0.25">
      <c r="A199" s="400" t="s">
        <v>535</v>
      </c>
      <c r="B199" s="392"/>
      <c r="C199" s="332"/>
      <c r="D199" s="380"/>
      <c r="E199" s="389">
        <v>0</v>
      </c>
    </row>
    <row r="200" spans="1:5" s="329" customFormat="1" x14ac:dyDescent="0.25">
      <c r="A200" s="400" t="s">
        <v>600</v>
      </c>
      <c r="B200" s="392"/>
      <c r="C200" s="332"/>
      <c r="D200" s="380"/>
      <c r="E200" s="389">
        <v>48607846.600000001</v>
      </c>
    </row>
    <row r="201" spans="1:5" s="329" customFormat="1" x14ac:dyDescent="0.25">
      <c r="A201" s="400" t="s">
        <v>556</v>
      </c>
      <c r="B201" s="392"/>
      <c r="C201" s="332"/>
      <c r="D201" s="380"/>
      <c r="E201" s="389">
        <v>0</v>
      </c>
    </row>
    <row r="202" spans="1:5" s="329" customFormat="1" x14ac:dyDescent="0.25">
      <c r="A202" s="400" t="s">
        <v>488</v>
      </c>
      <c r="B202" s="392"/>
      <c r="C202" s="332"/>
      <c r="D202" s="380"/>
      <c r="E202" s="389">
        <v>0</v>
      </c>
    </row>
    <row r="203" spans="1:5" s="329" customFormat="1" x14ac:dyDescent="0.25">
      <c r="A203" s="400" t="s">
        <v>617</v>
      </c>
      <c r="B203" s="392"/>
      <c r="C203" s="332"/>
      <c r="D203" s="380"/>
      <c r="E203" s="389">
        <v>0</v>
      </c>
    </row>
    <row r="204" spans="1:5" s="329" customFormat="1" x14ac:dyDescent="0.25">
      <c r="A204" s="400" t="s">
        <v>795</v>
      </c>
      <c r="B204" s="392"/>
      <c r="C204" s="332"/>
      <c r="D204" s="380"/>
      <c r="E204" s="389">
        <v>0</v>
      </c>
    </row>
    <row r="205" spans="1:5" s="329" customFormat="1" x14ac:dyDescent="0.25">
      <c r="A205" s="400" t="s">
        <v>802</v>
      </c>
      <c r="B205" s="392"/>
      <c r="C205" s="332"/>
      <c r="D205" s="380"/>
      <c r="E205" s="389">
        <v>0</v>
      </c>
    </row>
    <row r="206" spans="1:5" s="329" customFormat="1" x14ac:dyDescent="0.25">
      <c r="A206" s="400" t="s">
        <v>792</v>
      </c>
      <c r="B206" s="392"/>
      <c r="C206" s="332"/>
      <c r="D206" s="380"/>
      <c r="E206" s="389">
        <v>0</v>
      </c>
    </row>
    <row r="207" spans="1:5" s="329" customFormat="1" x14ac:dyDescent="0.25">
      <c r="A207" s="400" t="s">
        <v>714</v>
      </c>
      <c r="B207" s="392"/>
      <c r="C207" s="332"/>
      <c r="D207" s="380"/>
      <c r="E207" s="389">
        <v>62810190.490000002</v>
      </c>
    </row>
    <row r="208" spans="1:5" s="329" customFormat="1" x14ac:dyDescent="0.25">
      <c r="A208" s="400" t="s">
        <v>490</v>
      </c>
      <c r="B208" s="392"/>
      <c r="C208" s="332"/>
      <c r="D208" s="380"/>
      <c r="E208" s="389">
        <v>276280951</v>
      </c>
    </row>
    <row r="209" spans="1:6" s="329" customFormat="1" x14ac:dyDescent="0.25">
      <c r="A209" s="400" t="s">
        <v>715</v>
      </c>
      <c r="B209" s="392"/>
      <c r="C209" s="332"/>
      <c r="D209" s="380"/>
      <c r="E209" s="389">
        <v>51916602.990000002</v>
      </c>
      <c r="F209" s="381"/>
    </row>
    <row r="210" spans="1:6" s="329" customFormat="1" x14ac:dyDescent="0.25">
      <c r="A210" s="400" t="s">
        <v>420</v>
      </c>
      <c r="B210" s="392"/>
      <c r="C210" s="332"/>
      <c r="D210" s="380"/>
      <c r="E210" s="389">
        <v>4006957.04</v>
      </c>
      <c r="F210" s="381"/>
    </row>
    <row r="211" spans="1:6" s="329" customFormat="1" x14ac:dyDescent="0.25">
      <c r="A211" s="400" t="s">
        <v>396</v>
      </c>
      <c r="B211" s="392"/>
      <c r="C211" s="332"/>
      <c r="D211" s="380"/>
      <c r="E211" s="389">
        <v>1058304.4099999999</v>
      </c>
    </row>
    <row r="212" spans="1:6" s="329" customFormat="1" x14ac:dyDescent="0.25">
      <c r="A212" s="400" t="s">
        <v>411</v>
      </c>
      <c r="B212" s="392"/>
      <c r="C212" s="332"/>
      <c r="D212" s="380"/>
      <c r="E212" s="389">
        <v>0</v>
      </c>
    </row>
    <row r="213" spans="1:6" s="329" customFormat="1" x14ac:dyDescent="0.25">
      <c r="A213" s="400" t="s">
        <v>429</v>
      </c>
      <c r="B213" s="392"/>
      <c r="C213" s="332"/>
      <c r="D213" s="380"/>
      <c r="E213" s="389">
        <v>216447896.75999999</v>
      </c>
    </row>
    <row r="214" spans="1:6" s="329" customFormat="1" x14ac:dyDescent="0.25">
      <c r="A214" s="400" t="s">
        <v>431</v>
      </c>
      <c r="B214" s="392"/>
      <c r="C214" s="332"/>
      <c r="D214" s="380"/>
      <c r="E214" s="389">
        <v>0</v>
      </c>
    </row>
    <row r="215" spans="1:6" s="329" customFormat="1" x14ac:dyDescent="0.25">
      <c r="A215" s="400" t="s">
        <v>404</v>
      </c>
      <c r="B215" s="392"/>
      <c r="C215" s="332"/>
      <c r="D215" s="380"/>
      <c r="E215" s="389">
        <v>50644.39</v>
      </c>
    </row>
    <row r="216" spans="1:6" s="329" customFormat="1" x14ac:dyDescent="0.25">
      <c r="A216" s="400" t="s">
        <v>423</v>
      </c>
      <c r="B216" s="392"/>
      <c r="C216" s="332"/>
      <c r="D216" s="380"/>
      <c r="E216" s="389">
        <v>653893.77</v>
      </c>
    </row>
    <row r="217" spans="1:6" s="329" customFormat="1" x14ac:dyDescent="0.25">
      <c r="A217" s="400" t="s">
        <v>395</v>
      </c>
      <c r="B217" s="392"/>
      <c r="C217" s="332"/>
      <c r="D217" s="380"/>
      <c r="E217" s="389">
        <v>75509615</v>
      </c>
    </row>
    <row r="218" spans="1:6" s="329" customFormat="1" x14ac:dyDescent="0.25">
      <c r="A218" s="400" t="s">
        <v>425</v>
      </c>
      <c r="B218" s="392"/>
      <c r="C218" s="332"/>
      <c r="D218" s="380"/>
      <c r="E218" s="389">
        <v>783143.51</v>
      </c>
    </row>
    <row r="219" spans="1:6" s="329" customFormat="1" x14ac:dyDescent="0.25">
      <c r="A219" s="400" t="s">
        <v>408</v>
      </c>
      <c r="B219" s="392"/>
      <c r="C219" s="332"/>
      <c r="D219" s="380"/>
      <c r="E219" s="389">
        <v>9612863.0700000003</v>
      </c>
    </row>
    <row r="220" spans="1:6" s="329" customFormat="1" x14ac:dyDescent="0.25">
      <c r="A220" s="400" t="s">
        <v>410</v>
      </c>
      <c r="B220" s="392"/>
      <c r="C220" s="332"/>
      <c r="D220" s="380"/>
      <c r="E220" s="389">
        <v>22769032.280000001</v>
      </c>
    </row>
    <row r="221" spans="1:6" s="329" customFormat="1" x14ac:dyDescent="0.25">
      <c r="A221" s="400" t="s">
        <v>491</v>
      </c>
      <c r="B221" s="392"/>
      <c r="C221" s="332"/>
      <c r="D221" s="380"/>
      <c r="E221" s="389">
        <v>3502753.58</v>
      </c>
    </row>
    <row r="222" spans="1:6" s="329" customFormat="1" x14ac:dyDescent="0.25">
      <c r="A222" s="400" t="s">
        <v>508</v>
      </c>
      <c r="B222" s="392"/>
      <c r="C222" s="332"/>
      <c r="D222" s="380"/>
      <c r="E222" s="389">
        <v>0</v>
      </c>
    </row>
    <row r="223" spans="1:6" s="329" customFormat="1" x14ac:dyDescent="0.25">
      <c r="A223" s="400" t="s">
        <v>399</v>
      </c>
      <c r="B223" s="392"/>
      <c r="C223" s="332"/>
      <c r="D223" s="380"/>
      <c r="E223" s="389">
        <v>9520573.0899999999</v>
      </c>
    </row>
    <row r="224" spans="1:6" s="329" customFormat="1" x14ac:dyDescent="0.25">
      <c r="A224" s="400" t="s">
        <v>515</v>
      </c>
      <c r="B224" s="392"/>
      <c r="C224" s="332"/>
      <c r="D224" s="380"/>
      <c r="E224" s="389">
        <v>-6975688.5700000003</v>
      </c>
    </row>
    <row r="225" spans="1:5" s="329" customFormat="1" x14ac:dyDescent="0.25">
      <c r="A225" s="400" t="s">
        <v>433</v>
      </c>
      <c r="B225" s="392"/>
      <c r="C225" s="332"/>
      <c r="D225" s="380"/>
      <c r="E225" s="389">
        <v>1413626.44</v>
      </c>
    </row>
    <row r="226" spans="1:5" s="329" customFormat="1" x14ac:dyDescent="0.25">
      <c r="A226" s="400" t="s">
        <v>436</v>
      </c>
      <c r="B226" s="392"/>
      <c r="C226" s="332"/>
      <c r="D226" s="380"/>
      <c r="E226" s="389">
        <v>299800</v>
      </c>
    </row>
    <row r="227" spans="1:5" s="329" customFormat="1" x14ac:dyDescent="0.25">
      <c r="A227" s="400" t="s">
        <v>417</v>
      </c>
      <c r="B227" s="392"/>
      <c r="C227" s="332"/>
      <c r="D227" s="380"/>
      <c r="E227" s="389">
        <v>157000</v>
      </c>
    </row>
    <row r="228" spans="1:5" s="329" customFormat="1" x14ac:dyDescent="0.25">
      <c r="A228" s="400" t="s">
        <v>476</v>
      </c>
      <c r="B228" s="392"/>
      <c r="C228" s="332"/>
      <c r="D228" s="380"/>
      <c r="E228" s="389">
        <v>442383.7</v>
      </c>
    </row>
    <row r="229" spans="1:5" s="329" customFormat="1" x14ac:dyDescent="0.25">
      <c r="A229" s="400" t="s">
        <v>453</v>
      </c>
      <c r="B229" s="392"/>
      <c r="C229" s="332"/>
      <c r="D229" s="380"/>
      <c r="E229" s="389">
        <v>0</v>
      </c>
    </row>
    <row r="230" spans="1:5" s="329" customFormat="1" x14ac:dyDescent="0.25">
      <c r="A230" s="400" t="s">
        <v>451</v>
      </c>
      <c r="B230" s="392"/>
      <c r="C230" s="332"/>
      <c r="D230" s="380"/>
      <c r="E230" s="389">
        <v>152403.72</v>
      </c>
    </row>
    <row r="231" spans="1:5" s="329" customFormat="1" x14ac:dyDescent="0.25">
      <c r="A231" s="400" t="s">
        <v>459</v>
      </c>
      <c r="B231" s="392"/>
      <c r="C231" s="332"/>
      <c r="D231" s="380"/>
      <c r="E231" s="389">
        <v>0</v>
      </c>
    </row>
    <row r="232" spans="1:5" s="329" customFormat="1" x14ac:dyDescent="0.25">
      <c r="A232" s="400" t="s">
        <v>461</v>
      </c>
      <c r="B232" s="392"/>
      <c r="C232" s="332"/>
      <c r="D232" s="380"/>
      <c r="E232" s="389">
        <v>250000</v>
      </c>
    </row>
    <row r="233" spans="1:5" s="329" customFormat="1" x14ac:dyDescent="0.25">
      <c r="A233" s="400" t="s">
        <v>550</v>
      </c>
      <c r="B233" s="392"/>
      <c r="C233" s="332"/>
      <c r="D233" s="380"/>
      <c r="E233" s="389">
        <v>0</v>
      </c>
    </row>
    <row r="234" spans="1:5" s="329" customFormat="1" x14ac:dyDescent="0.25">
      <c r="A234" s="400" t="s">
        <v>462</v>
      </c>
      <c r="B234" s="392"/>
      <c r="C234" s="332"/>
      <c r="D234" s="380"/>
      <c r="E234" s="389">
        <v>0</v>
      </c>
    </row>
    <row r="235" spans="1:5" s="329" customFormat="1" x14ac:dyDescent="0.25">
      <c r="A235" s="400" t="s">
        <v>475</v>
      </c>
      <c r="B235" s="392"/>
      <c r="C235" s="332"/>
      <c r="D235" s="380"/>
      <c r="E235" s="389">
        <v>4013596.99</v>
      </c>
    </row>
    <row r="236" spans="1:5" s="329" customFormat="1" x14ac:dyDescent="0.25">
      <c r="A236" s="400" t="s">
        <v>421</v>
      </c>
      <c r="B236" s="392"/>
      <c r="C236" s="332"/>
      <c r="D236" s="380"/>
      <c r="E236" s="389">
        <v>23352516.59</v>
      </c>
    </row>
    <row r="237" spans="1:5" s="329" customFormat="1" x14ac:dyDescent="0.25">
      <c r="A237" s="400" t="s">
        <v>415</v>
      </c>
      <c r="B237" s="392"/>
      <c r="C237" s="332"/>
      <c r="D237" s="380"/>
      <c r="E237" s="389">
        <v>87312447.890000001</v>
      </c>
    </row>
    <row r="238" spans="1:5" s="329" customFormat="1" x14ac:dyDescent="0.25">
      <c r="A238" s="400" t="s">
        <v>397</v>
      </c>
      <c r="B238" s="392"/>
      <c r="C238" s="332"/>
      <c r="D238" s="380"/>
      <c r="E238" s="389">
        <v>3688960.9</v>
      </c>
    </row>
    <row r="239" spans="1:5" s="329" customFormat="1" x14ac:dyDescent="0.25">
      <c r="A239" s="400" t="s">
        <v>440</v>
      </c>
      <c r="B239" s="392"/>
      <c r="C239" s="332"/>
      <c r="D239" s="380"/>
      <c r="E239" s="389">
        <v>0</v>
      </c>
    </row>
    <row r="240" spans="1:5" s="329" customFormat="1" x14ac:dyDescent="0.25">
      <c r="A240" s="400" t="s">
        <v>434</v>
      </c>
      <c r="B240" s="392"/>
      <c r="C240" s="332"/>
      <c r="D240" s="380"/>
      <c r="E240" s="389">
        <v>16508205.74</v>
      </c>
    </row>
    <row r="241" spans="1:5" s="329" customFormat="1" x14ac:dyDescent="0.25">
      <c r="A241" s="400" t="s">
        <v>424</v>
      </c>
      <c r="B241" s="392"/>
      <c r="C241" s="332"/>
      <c r="D241" s="380"/>
      <c r="E241" s="389">
        <v>5565333.8500000006</v>
      </c>
    </row>
    <row r="242" spans="1:5" s="329" customFormat="1" x14ac:dyDescent="0.25">
      <c r="A242" s="400" t="s">
        <v>435</v>
      </c>
      <c r="B242" s="392"/>
      <c r="C242" s="332"/>
      <c r="D242" s="380"/>
      <c r="E242" s="389">
        <v>0</v>
      </c>
    </row>
    <row r="243" spans="1:5" s="329" customFormat="1" x14ac:dyDescent="0.25">
      <c r="A243" s="400" t="s">
        <v>400</v>
      </c>
      <c r="B243" s="392"/>
      <c r="C243" s="332"/>
      <c r="D243" s="380"/>
      <c r="E243" s="389">
        <v>815109.75</v>
      </c>
    </row>
    <row r="244" spans="1:5" s="329" customFormat="1" x14ac:dyDescent="0.25">
      <c r="A244" s="400" t="s">
        <v>426</v>
      </c>
      <c r="B244" s="392"/>
      <c r="C244" s="332"/>
      <c r="D244" s="380"/>
      <c r="E244" s="389">
        <v>7828411.8900000006</v>
      </c>
    </row>
    <row r="245" spans="1:5" s="329" customFormat="1" x14ac:dyDescent="0.25">
      <c r="A245" s="400" t="s">
        <v>403</v>
      </c>
      <c r="B245" s="392"/>
      <c r="C245" s="332"/>
      <c r="D245" s="380"/>
      <c r="E245" s="389">
        <v>3016013.02</v>
      </c>
    </row>
    <row r="246" spans="1:5" s="329" customFormat="1" x14ac:dyDescent="0.25">
      <c r="A246" s="400" t="s">
        <v>430</v>
      </c>
      <c r="B246" s="392"/>
      <c r="C246" s="332"/>
      <c r="D246" s="380"/>
      <c r="E246" s="389">
        <v>45688831.079999998</v>
      </c>
    </row>
    <row r="247" spans="1:5" s="329" customFormat="1" x14ac:dyDescent="0.25">
      <c r="A247" s="400" t="s">
        <v>438</v>
      </c>
      <c r="B247" s="392"/>
      <c r="C247" s="332"/>
      <c r="D247" s="380"/>
      <c r="E247" s="389">
        <v>7468721</v>
      </c>
    </row>
    <row r="248" spans="1:5" s="329" customFormat="1" x14ac:dyDescent="0.25">
      <c r="A248" s="400" t="s">
        <v>437</v>
      </c>
      <c r="B248" s="392"/>
      <c r="C248" s="332"/>
      <c r="D248" s="380"/>
      <c r="E248" s="389">
        <v>14367367.220000001</v>
      </c>
    </row>
    <row r="249" spans="1:5" s="329" customFormat="1" x14ac:dyDescent="0.25">
      <c r="A249" s="400" t="s">
        <v>418</v>
      </c>
      <c r="B249" s="392"/>
      <c r="C249" s="332"/>
      <c r="D249" s="380"/>
      <c r="E249" s="389">
        <v>51813355.109999999</v>
      </c>
    </row>
    <row r="250" spans="1:5" s="329" customFormat="1" x14ac:dyDescent="0.25">
      <c r="A250" s="400" t="s">
        <v>401</v>
      </c>
      <c r="B250" s="392"/>
      <c r="C250" s="332"/>
      <c r="D250" s="380"/>
      <c r="E250" s="389">
        <v>288818.78000000003</v>
      </c>
    </row>
    <row r="251" spans="1:5" s="329" customFormat="1" x14ac:dyDescent="0.25">
      <c r="A251" s="400" t="s">
        <v>412</v>
      </c>
      <c r="B251" s="392"/>
      <c r="C251" s="332"/>
      <c r="D251" s="380"/>
      <c r="E251" s="389">
        <v>832331.19000000006</v>
      </c>
    </row>
    <row r="252" spans="1:5" s="329" customFormat="1" x14ac:dyDescent="0.25">
      <c r="A252" s="400" t="s">
        <v>449</v>
      </c>
      <c r="B252" s="392"/>
      <c r="C252" s="332"/>
      <c r="D252" s="380"/>
      <c r="E252" s="389">
        <v>0</v>
      </c>
    </row>
    <row r="253" spans="1:5" s="329" customFormat="1" x14ac:dyDescent="0.25">
      <c r="A253" s="400" t="s">
        <v>448</v>
      </c>
      <c r="B253" s="392"/>
      <c r="C253" s="332"/>
      <c r="D253" s="380"/>
      <c r="E253" s="389">
        <v>0</v>
      </c>
    </row>
    <row r="254" spans="1:5" s="329" customFormat="1" x14ac:dyDescent="0.25">
      <c r="A254" s="400" t="s">
        <v>484</v>
      </c>
      <c r="B254" s="392"/>
      <c r="C254" s="332"/>
      <c r="D254" s="380"/>
      <c r="E254" s="389">
        <v>0</v>
      </c>
    </row>
    <row r="255" spans="1:5" s="329" customFormat="1" x14ac:dyDescent="0.25">
      <c r="A255" s="400" t="s">
        <v>493</v>
      </c>
      <c r="B255" s="392"/>
      <c r="C255" s="332"/>
      <c r="D255" s="380"/>
      <c r="E255" s="389">
        <v>2052084.4000000001</v>
      </c>
    </row>
    <row r="256" spans="1:5" s="329" customFormat="1" x14ac:dyDescent="0.25">
      <c r="A256" s="400" t="s">
        <v>519</v>
      </c>
      <c r="B256" s="392"/>
      <c r="C256" s="332"/>
      <c r="D256" s="380"/>
      <c r="E256" s="389">
        <v>3359784.46</v>
      </c>
    </row>
    <row r="257" spans="1:5" s="329" customFormat="1" x14ac:dyDescent="0.25">
      <c r="A257" s="400" t="s">
        <v>445</v>
      </c>
      <c r="B257" s="392"/>
      <c r="C257" s="332"/>
      <c r="D257" s="380"/>
      <c r="E257" s="389">
        <v>71304554.810000002</v>
      </c>
    </row>
    <row r="258" spans="1:5" s="329" customFormat="1" x14ac:dyDescent="0.25">
      <c r="A258" s="400" t="s">
        <v>444</v>
      </c>
      <c r="B258" s="392"/>
      <c r="C258" s="332"/>
      <c r="D258" s="380"/>
      <c r="E258" s="389">
        <v>489482.99</v>
      </c>
    </row>
    <row r="259" spans="1:5" s="329" customFormat="1" x14ac:dyDescent="0.25">
      <c r="A259" s="400" t="s">
        <v>442</v>
      </c>
      <c r="B259" s="392"/>
      <c r="C259" s="332"/>
      <c r="D259" s="380"/>
      <c r="E259" s="389">
        <v>615911.61</v>
      </c>
    </row>
    <row r="260" spans="1:5" s="329" customFormat="1" x14ac:dyDescent="0.25">
      <c r="A260" s="400" t="s">
        <v>464</v>
      </c>
      <c r="B260" s="392"/>
      <c r="C260" s="332"/>
      <c r="D260" s="380"/>
      <c r="E260" s="389">
        <v>101483.28</v>
      </c>
    </row>
    <row r="261" spans="1:5" s="329" customFormat="1" x14ac:dyDescent="0.25">
      <c r="A261" s="400" t="s">
        <v>465</v>
      </c>
      <c r="B261" s="392"/>
      <c r="C261" s="332"/>
      <c r="D261" s="380"/>
      <c r="E261" s="389">
        <v>3013363</v>
      </c>
    </row>
    <row r="262" spans="1:5" s="329" customFormat="1" x14ac:dyDescent="0.25">
      <c r="A262" s="400" t="s">
        <v>716</v>
      </c>
      <c r="B262" s="392"/>
      <c r="C262" s="332"/>
      <c r="D262" s="380"/>
      <c r="E262" s="389">
        <v>189946.28</v>
      </c>
    </row>
    <row r="263" spans="1:5" s="329" customFormat="1" x14ac:dyDescent="0.25">
      <c r="A263" s="400" t="s">
        <v>466</v>
      </c>
      <c r="B263" s="392"/>
      <c r="C263" s="332"/>
      <c r="D263" s="380"/>
      <c r="E263" s="389">
        <v>181818.18</v>
      </c>
    </row>
    <row r="264" spans="1:5" s="329" customFormat="1" x14ac:dyDescent="0.25">
      <c r="A264" s="400" t="s">
        <v>733</v>
      </c>
      <c r="B264" s="392"/>
      <c r="C264" s="332"/>
      <c r="D264" s="380"/>
      <c r="E264" s="389">
        <v>3950000</v>
      </c>
    </row>
    <row r="265" spans="1:5" s="329" customFormat="1" x14ac:dyDescent="0.25">
      <c r="A265" s="400" t="s">
        <v>473</v>
      </c>
      <c r="B265" s="392"/>
      <c r="C265" s="332"/>
      <c r="D265" s="380"/>
      <c r="E265" s="389">
        <v>914304.70000000007</v>
      </c>
    </row>
    <row r="266" spans="1:5" s="329" customFormat="1" x14ac:dyDescent="0.25">
      <c r="A266" s="400" t="s">
        <v>602</v>
      </c>
      <c r="B266" s="392"/>
      <c r="C266" s="332"/>
      <c r="D266" s="380"/>
      <c r="E266" s="389">
        <v>0</v>
      </c>
    </row>
    <row r="267" spans="1:5" s="329" customFormat="1" x14ac:dyDescent="0.25">
      <c r="A267" s="400" t="s">
        <v>818</v>
      </c>
      <c r="B267" s="392"/>
      <c r="C267" s="332"/>
      <c r="D267" s="380"/>
      <c r="E267" s="389">
        <v>44100</v>
      </c>
    </row>
    <row r="268" spans="1:5" s="329" customFormat="1" x14ac:dyDescent="0.25">
      <c r="A268" s="400" t="s">
        <v>505</v>
      </c>
      <c r="B268" s="392"/>
      <c r="C268" s="332"/>
      <c r="D268" s="380"/>
      <c r="E268" s="389">
        <v>5598557</v>
      </c>
    </row>
    <row r="269" spans="1:5" s="329" customFormat="1" x14ac:dyDescent="0.25">
      <c r="A269" s="400" t="s">
        <v>506</v>
      </c>
      <c r="B269" s="392"/>
      <c r="C269" s="332"/>
      <c r="D269" s="380"/>
      <c r="E269" s="389">
        <v>0</v>
      </c>
    </row>
    <row r="270" spans="1:5" s="329" customFormat="1" x14ac:dyDescent="0.25">
      <c r="A270" s="400" t="s">
        <v>813</v>
      </c>
      <c r="B270" s="392"/>
      <c r="C270" s="332"/>
      <c r="D270" s="380"/>
      <c r="E270" s="389">
        <v>18512.400000000001</v>
      </c>
    </row>
    <row r="271" spans="1:5" s="329" customFormat="1" x14ac:dyDescent="0.25">
      <c r="A271" s="400" t="s">
        <v>530</v>
      </c>
      <c r="B271" s="392"/>
      <c r="C271" s="332"/>
      <c r="D271" s="380"/>
      <c r="E271" s="389">
        <v>45070376.57</v>
      </c>
    </row>
    <row r="272" spans="1:5" s="329" customFormat="1" x14ac:dyDescent="0.25">
      <c r="A272" s="400" t="s">
        <v>416</v>
      </c>
      <c r="B272" s="392"/>
      <c r="C272" s="332"/>
      <c r="D272" s="380"/>
      <c r="E272" s="389">
        <v>0</v>
      </c>
    </row>
    <row r="273" spans="1:5" s="329" customFormat="1" x14ac:dyDescent="0.25">
      <c r="A273" s="400" t="s">
        <v>422</v>
      </c>
      <c r="B273" s="392"/>
      <c r="C273" s="332"/>
      <c r="D273" s="380"/>
      <c r="E273" s="389">
        <v>29800</v>
      </c>
    </row>
    <row r="274" spans="1:5" s="329" customFormat="1" x14ac:dyDescent="0.25">
      <c r="A274" s="400" t="s">
        <v>409</v>
      </c>
      <c r="B274" s="392"/>
      <c r="C274" s="332"/>
      <c r="D274" s="380"/>
      <c r="E274" s="389">
        <v>0</v>
      </c>
    </row>
    <row r="275" spans="1:5" s="329" customFormat="1" x14ac:dyDescent="0.25">
      <c r="A275" s="400" t="s">
        <v>427</v>
      </c>
      <c r="B275" s="392"/>
      <c r="C275" s="332"/>
      <c r="D275" s="380"/>
      <c r="E275" s="389">
        <v>0</v>
      </c>
    </row>
    <row r="276" spans="1:5" s="329" customFormat="1" x14ac:dyDescent="0.25">
      <c r="A276" s="400" t="s">
        <v>432</v>
      </c>
      <c r="B276" s="392"/>
      <c r="C276" s="332"/>
      <c r="D276" s="380"/>
      <c r="E276" s="389">
        <v>0</v>
      </c>
    </row>
    <row r="277" spans="1:5" s="329" customFormat="1" x14ac:dyDescent="0.25">
      <c r="A277" s="400" t="s">
        <v>419</v>
      </c>
      <c r="B277" s="392"/>
      <c r="C277" s="332"/>
      <c r="D277" s="380"/>
      <c r="E277" s="389">
        <v>0</v>
      </c>
    </row>
    <row r="278" spans="1:5" s="329" customFormat="1" x14ac:dyDescent="0.25">
      <c r="A278" s="400" t="s">
        <v>562</v>
      </c>
      <c r="B278" s="392"/>
      <c r="C278" s="332"/>
      <c r="D278" s="380"/>
      <c r="E278" s="389">
        <v>0</v>
      </c>
    </row>
    <row r="279" spans="1:5" s="329" customFormat="1" x14ac:dyDescent="0.25">
      <c r="A279" s="400" t="s">
        <v>563</v>
      </c>
      <c r="B279" s="392"/>
      <c r="C279" s="332"/>
      <c r="D279" s="380"/>
      <c r="E279" s="389">
        <v>0</v>
      </c>
    </row>
    <row r="280" spans="1:5" s="329" customFormat="1" x14ac:dyDescent="0.25">
      <c r="A280" s="400" t="s">
        <v>564</v>
      </c>
      <c r="B280" s="392"/>
      <c r="C280" s="332"/>
      <c r="D280" s="380"/>
      <c r="E280" s="389">
        <v>0</v>
      </c>
    </row>
    <row r="281" spans="1:5" s="329" customFormat="1" x14ac:dyDescent="0.25">
      <c r="A281" s="400" t="s">
        <v>571</v>
      </c>
      <c r="B281" s="392"/>
      <c r="C281" s="332"/>
      <c r="D281" s="380"/>
      <c r="E281" s="389">
        <v>0</v>
      </c>
    </row>
    <row r="282" spans="1:5" s="329" customFormat="1" x14ac:dyDescent="0.25">
      <c r="A282" s="400" t="s">
        <v>478</v>
      </c>
      <c r="B282" s="392"/>
      <c r="C282" s="332"/>
      <c r="D282" s="380"/>
      <c r="E282" s="389">
        <v>0</v>
      </c>
    </row>
    <row r="283" spans="1:5" s="329" customFormat="1" x14ac:dyDescent="0.25">
      <c r="A283" s="400" t="s">
        <v>718</v>
      </c>
      <c r="B283" s="392"/>
      <c r="C283" s="332"/>
      <c r="D283" s="380"/>
      <c r="E283" s="389">
        <v>0</v>
      </c>
    </row>
    <row r="284" spans="1:5" s="329" customFormat="1" x14ac:dyDescent="0.25">
      <c r="A284" s="400" t="s">
        <v>636</v>
      </c>
      <c r="B284" s="392"/>
      <c r="C284" s="332"/>
      <c r="D284" s="380"/>
      <c r="E284" s="389">
        <v>0</v>
      </c>
    </row>
    <row r="285" spans="1:5" s="329" customFormat="1" x14ac:dyDescent="0.25">
      <c r="A285" s="400" t="s">
        <v>661</v>
      </c>
      <c r="B285" s="392"/>
      <c r="C285" s="332"/>
      <c r="D285" s="380"/>
      <c r="E285" s="389">
        <v>0</v>
      </c>
    </row>
    <row r="286" spans="1:5" s="329" customFormat="1" x14ac:dyDescent="0.25">
      <c r="A286" s="400" t="s">
        <v>786</v>
      </c>
      <c r="B286" s="392"/>
      <c r="C286" s="332"/>
      <c r="D286" s="380"/>
      <c r="E286" s="389">
        <v>19677599.580000002</v>
      </c>
    </row>
    <row r="287" spans="1:5" s="329" customFormat="1" x14ac:dyDescent="0.25">
      <c r="A287" s="400" t="s">
        <v>814</v>
      </c>
      <c r="B287" s="392"/>
      <c r="C287" s="332"/>
      <c r="D287" s="380"/>
      <c r="E287" s="389">
        <v>358719.18</v>
      </c>
    </row>
    <row r="288" spans="1:5" s="329" customFormat="1" x14ac:dyDescent="0.25">
      <c r="A288" s="400" t="s">
        <v>793</v>
      </c>
      <c r="B288" s="392"/>
      <c r="C288" s="332"/>
      <c r="D288" s="380"/>
      <c r="E288" s="389">
        <v>7982322.7599999998</v>
      </c>
    </row>
    <row r="289" spans="1:6" s="329" customFormat="1" x14ac:dyDescent="0.25">
      <c r="A289" s="401" t="s">
        <v>359</v>
      </c>
      <c r="B289" s="392"/>
      <c r="C289" s="332"/>
      <c r="D289" s="380"/>
      <c r="E289" s="389">
        <v>236115665.5</v>
      </c>
    </row>
    <row r="290" spans="1:6" s="329" customFormat="1" x14ac:dyDescent="0.25">
      <c r="A290" s="401" t="s">
        <v>450</v>
      </c>
      <c r="B290" s="392"/>
      <c r="C290" s="332"/>
      <c r="D290" s="380"/>
      <c r="E290" s="389">
        <v>0</v>
      </c>
    </row>
    <row r="291" spans="1:6" s="329" customFormat="1" x14ac:dyDescent="0.25">
      <c r="A291" s="401" t="s">
        <v>443</v>
      </c>
      <c r="B291" s="392"/>
      <c r="C291" s="332"/>
      <c r="D291" s="380"/>
      <c r="E291" s="389">
        <v>0</v>
      </c>
    </row>
    <row r="292" spans="1:6" s="329" customFormat="1" x14ac:dyDescent="0.25">
      <c r="A292" s="401" t="s">
        <v>668</v>
      </c>
      <c r="B292" s="392"/>
      <c r="C292" s="332"/>
      <c r="D292" s="380"/>
      <c r="E292" s="389">
        <v>0</v>
      </c>
      <c r="F292" s="381"/>
    </row>
    <row r="293" spans="1:6" s="329" customFormat="1" x14ac:dyDescent="0.25">
      <c r="A293" s="401" t="s">
        <v>603</v>
      </c>
      <c r="B293" s="392"/>
      <c r="C293" s="332"/>
      <c r="D293" s="380"/>
      <c r="E293" s="389">
        <v>9064800</v>
      </c>
      <c r="F293" s="381"/>
    </row>
    <row r="294" spans="1:6" s="329" customFormat="1" x14ac:dyDescent="0.25">
      <c r="A294" s="401" t="s">
        <v>618</v>
      </c>
      <c r="B294" s="392"/>
      <c r="C294" s="332"/>
      <c r="D294" s="380"/>
      <c r="E294" s="389">
        <v>0</v>
      </c>
      <c r="F294" s="381"/>
    </row>
    <row r="295" spans="1:6" s="329" customFormat="1" x14ac:dyDescent="0.25">
      <c r="A295" s="401" t="s">
        <v>467</v>
      </c>
      <c r="B295" s="392"/>
      <c r="C295" s="332"/>
      <c r="D295" s="380"/>
      <c r="E295" s="389">
        <v>0</v>
      </c>
    </row>
    <row r="296" spans="1:6" s="329" customFormat="1" x14ac:dyDescent="0.25">
      <c r="A296" s="401" t="s">
        <v>580</v>
      </c>
      <c r="B296" s="392"/>
      <c r="C296" s="332"/>
      <c r="D296" s="380"/>
      <c r="E296" s="389">
        <v>0</v>
      </c>
    </row>
    <row r="297" spans="1:6" s="329" customFormat="1" x14ac:dyDescent="0.25">
      <c r="A297" s="401" t="s">
        <v>528</v>
      </c>
      <c r="B297" s="392"/>
      <c r="C297" s="332"/>
      <c r="D297" s="380"/>
      <c r="E297" s="389">
        <v>0</v>
      </c>
    </row>
    <row r="298" spans="1:6" s="329" customFormat="1" x14ac:dyDescent="0.25">
      <c r="A298" s="401" t="s">
        <v>480</v>
      </c>
      <c r="B298" s="392"/>
      <c r="C298" s="332"/>
      <c r="D298" s="380"/>
      <c r="E298" s="389">
        <v>0</v>
      </c>
    </row>
    <row r="299" spans="1:6" s="329" customFormat="1" x14ac:dyDescent="0.25">
      <c r="A299" s="401" t="s">
        <v>474</v>
      </c>
      <c r="B299" s="392"/>
      <c r="C299" s="332"/>
      <c r="D299" s="380"/>
      <c r="E299" s="389">
        <v>0</v>
      </c>
    </row>
    <row r="300" spans="1:6" s="329" customFormat="1" x14ac:dyDescent="0.25">
      <c r="A300" s="401" t="s">
        <v>620</v>
      </c>
      <c r="B300" s="392"/>
      <c r="C300" s="332"/>
      <c r="D300" s="380"/>
      <c r="E300" s="389">
        <v>13502481.6</v>
      </c>
    </row>
    <row r="301" spans="1:6" s="329" customFormat="1" x14ac:dyDescent="0.25">
      <c r="A301" s="401" t="s">
        <v>797</v>
      </c>
      <c r="B301" s="392"/>
      <c r="C301" s="332"/>
      <c r="D301" s="380"/>
      <c r="E301" s="389">
        <v>52020</v>
      </c>
    </row>
    <row r="302" spans="1:6" s="329" customFormat="1" x14ac:dyDescent="0.25">
      <c r="A302" s="401" t="s">
        <v>455</v>
      </c>
      <c r="B302" s="392"/>
      <c r="C302" s="332"/>
      <c r="D302" s="380"/>
      <c r="E302" s="389">
        <v>1836290.04</v>
      </c>
    </row>
    <row r="303" spans="1:6" s="329" customFormat="1" x14ac:dyDescent="0.25">
      <c r="A303" s="401" t="s">
        <v>446</v>
      </c>
      <c r="B303" s="392"/>
      <c r="C303" s="332"/>
      <c r="D303" s="380"/>
      <c r="E303" s="389">
        <v>4150213.41</v>
      </c>
    </row>
    <row r="304" spans="1:6" s="329" customFormat="1" x14ac:dyDescent="0.25">
      <c r="A304" s="401" t="s">
        <v>494</v>
      </c>
      <c r="B304" s="392"/>
      <c r="C304" s="332"/>
      <c r="D304" s="380"/>
      <c r="E304" s="389">
        <v>101825.60000000001</v>
      </c>
    </row>
    <row r="305" spans="1:7" s="329" customFormat="1" x14ac:dyDescent="0.25">
      <c r="A305" s="401" t="s">
        <v>607</v>
      </c>
      <c r="B305" s="392"/>
      <c r="C305" s="332"/>
      <c r="D305" s="380"/>
      <c r="E305" s="389">
        <v>8441197.290000001</v>
      </c>
    </row>
    <row r="306" spans="1:7" s="329" customFormat="1" x14ac:dyDescent="0.25">
      <c r="A306" s="401" t="s">
        <v>470</v>
      </c>
      <c r="B306" s="392"/>
      <c r="C306" s="332"/>
      <c r="D306" s="380"/>
      <c r="E306" s="389">
        <v>226987</v>
      </c>
    </row>
    <row r="307" spans="1:7" s="329" customFormat="1" x14ac:dyDescent="0.25">
      <c r="A307" s="401" t="s">
        <v>581</v>
      </c>
      <c r="B307" s="392"/>
      <c r="C307" s="332"/>
      <c r="D307" s="380"/>
      <c r="E307" s="389">
        <v>98618.72</v>
      </c>
    </row>
    <row r="308" spans="1:7" s="329" customFormat="1" x14ac:dyDescent="0.25">
      <c r="A308" s="379" t="s">
        <v>778</v>
      </c>
      <c r="B308" s="392"/>
      <c r="C308" s="332"/>
      <c r="D308" s="380"/>
      <c r="E308" s="389">
        <v>10490</v>
      </c>
    </row>
    <row r="309" spans="1:7" s="329" customFormat="1" x14ac:dyDescent="0.25">
      <c r="A309" s="379" t="s">
        <v>553</v>
      </c>
      <c r="B309" s="392"/>
      <c r="C309" s="332"/>
      <c r="D309" s="380"/>
      <c r="E309" s="389">
        <v>5099.17</v>
      </c>
    </row>
    <row r="310" spans="1:7" s="329" customFormat="1" x14ac:dyDescent="0.25">
      <c r="A310" s="379" t="s">
        <v>568</v>
      </c>
      <c r="B310" s="392"/>
      <c r="C310" s="332"/>
      <c r="D310" s="380"/>
      <c r="E310" s="389">
        <v>516529</v>
      </c>
    </row>
    <row r="311" spans="1:7" s="329" customFormat="1" x14ac:dyDescent="0.25">
      <c r="A311" s="379" t="s">
        <v>828</v>
      </c>
      <c r="B311" s="392"/>
      <c r="C311" s="332"/>
      <c r="D311" s="380"/>
      <c r="E311" s="389">
        <v>21735.54</v>
      </c>
    </row>
    <row r="312" spans="1:7" s="329" customFormat="1" x14ac:dyDescent="0.25">
      <c r="A312" s="379" t="s">
        <v>829</v>
      </c>
      <c r="B312" s="392"/>
      <c r="C312" s="332"/>
      <c r="D312" s="380"/>
      <c r="E312" s="389">
        <v>6840000</v>
      </c>
    </row>
    <row r="313" spans="1:7" s="329" customFormat="1" x14ac:dyDescent="0.25">
      <c r="A313" s="379" t="s">
        <v>830</v>
      </c>
      <c r="B313" s="392"/>
      <c r="C313" s="332"/>
      <c r="D313" s="380"/>
      <c r="E313" s="389">
        <v>1377362</v>
      </c>
    </row>
    <row r="314" spans="1:7" x14ac:dyDescent="0.25">
      <c r="A314" s="256" t="s">
        <v>460</v>
      </c>
      <c r="B314" s="263"/>
      <c r="C314" s="261"/>
      <c r="D314" s="262"/>
      <c r="E314" s="389">
        <v>700000</v>
      </c>
    </row>
    <row r="315" spans="1:7" x14ac:dyDescent="0.25">
      <c r="A315" s="272" t="s">
        <v>489</v>
      </c>
      <c r="B315" s="263"/>
      <c r="C315" s="261"/>
      <c r="D315" s="262"/>
      <c r="E315" s="389">
        <v>39000</v>
      </c>
    </row>
    <row r="316" spans="1:7" x14ac:dyDescent="0.25">
      <c r="A316" s="272" t="s">
        <v>495</v>
      </c>
      <c r="B316" s="263"/>
      <c r="C316" s="261"/>
      <c r="D316" s="262"/>
      <c r="E316" s="389">
        <v>30000</v>
      </c>
    </row>
    <row r="317" spans="1:7" x14ac:dyDescent="0.25">
      <c r="A317" s="272"/>
      <c r="B317" s="263"/>
      <c r="C317" s="261"/>
      <c r="D317" s="262"/>
      <c r="E317" s="389"/>
      <c r="F317" s="326" t="s">
        <v>848</v>
      </c>
      <c r="G317" s="409" t="s">
        <v>845</v>
      </c>
    </row>
    <row r="318" spans="1:7" s="396" customFormat="1" ht="10.199999999999999" x14ac:dyDescent="0.25">
      <c r="A318" s="394"/>
      <c r="B318" s="394"/>
      <c r="C318" s="333"/>
      <c r="D318" s="395"/>
      <c r="E318" s="406">
        <f>SUM(E192:E316)</f>
        <v>1672589124.2599998</v>
      </c>
      <c r="F318" s="407">
        <f>+Resultados!C26</f>
        <v>-1672589124.26</v>
      </c>
      <c r="G318" s="408">
        <f>+F318+E318</f>
        <v>0</v>
      </c>
    </row>
    <row r="319" spans="1:7" x14ac:dyDescent="0.25">
      <c r="A319" s="263"/>
      <c r="B319" s="263"/>
      <c r="C319" s="261"/>
      <c r="D319" s="262"/>
      <c r="E319" s="390"/>
    </row>
    <row r="320" spans="1:7" ht="13.5" hidden="1" customHeight="1" x14ac:dyDescent="0.25">
      <c r="A320" s="263"/>
      <c r="B320" s="263"/>
      <c r="C320" s="261"/>
      <c r="D320" s="262"/>
      <c r="E320" s="390"/>
    </row>
    <row r="321" spans="1:5" hidden="1" x14ac:dyDescent="0.25">
      <c r="A321" s="263"/>
      <c r="B321" s="263"/>
      <c r="C321" s="261"/>
      <c r="D321" s="262"/>
      <c r="E321" s="390"/>
    </row>
    <row r="322" spans="1:5" hidden="1" x14ac:dyDescent="0.25">
      <c r="A322" s="263"/>
      <c r="B322" s="263"/>
      <c r="C322" s="261"/>
      <c r="D322" s="262"/>
      <c r="E322" s="390"/>
    </row>
    <row r="323" spans="1:5" hidden="1" x14ac:dyDescent="0.25">
      <c r="A323" s="263"/>
      <c r="B323" s="263"/>
      <c r="C323" s="261"/>
      <c r="D323" s="262"/>
      <c r="E323" s="390"/>
    </row>
    <row r="324" spans="1:5" hidden="1" x14ac:dyDescent="0.25">
      <c r="A324" s="263"/>
      <c r="B324" s="263"/>
      <c r="C324" s="261"/>
      <c r="D324" s="262"/>
      <c r="E324" s="390"/>
    </row>
    <row r="325" spans="1:5" hidden="1" x14ac:dyDescent="0.25">
      <c r="A325" s="263"/>
      <c r="B325" s="263"/>
      <c r="C325" s="261"/>
      <c r="D325" s="262"/>
      <c r="E325" s="390"/>
    </row>
    <row r="326" spans="1:5" hidden="1" x14ac:dyDescent="0.25">
      <c r="A326" s="263"/>
      <c r="B326" s="263"/>
      <c r="C326" s="261"/>
      <c r="D326" s="262"/>
      <c r="E326" s="390"/>
    </row>
    <row r="327" spans="1:5" hidden="1" x14ac:dyDescent="0.25">
      <c r="A327" s="263"/>
      <c r="B327" s="263"/>
      <c r="C327" s="261"/>
      <c r="D327" s="262"/>
      <c r="E327" s="390"/>
    </row>
    <row r="328" spans="1:5" hidden="1" x14ac:dyDescent="0.25">
      <c r="A328" s="263"/>
      <c r="B328" s="263"/>
      <c r="C328" s="261"/>
      <c r="D328" s="262"/>
      <c r="E328" s="390"/>
    </row>
    <row r="329" spans="1:5" hidden="1" x14ac:dyDescent="0.25">
      <c r="A329" s="263"/>
      <c r="B329" s="263"/>
      <c r="C329" s="261"/>
      <c r="D329" s="262"/>
      <c r="E329" s="390"/>
    </row>
    <row r="330" spans="1:5" hidden="1" x14ac:dyDescent="0.25">
      <c r="A330" s="263"/>
      <c r="B330" s="263"/>
      <c r="C330" s="261"/>
      <c r="D330" s="262"/>
      <c r="E330" s="390"/>
    </row>
    <row r="331" spans="1:5" hidden="1" x14ac:dyDescent="0.25">
      <c r="A331" s="263"/>
      <c r="B331" s="263"/>
      <c r="C331" s="261"/>
      <c r="D331" s="262"/>
      <c r="E331" s="390"/>
    </row>
    <row r="332" spans="1:5" hidden="1" x14ac:dyDescent="0.25">
      <c r="A332" s="263"/>
      <c r="B332" s="263"/>
      <c r="C332" s="261"/>
      <c r="D332" s="262"/>
      <c r="E332" s="390"/>
    </row>
    <row r="333" spans="1:5" hidden="1" x14ac:dyDescent="0.25">
      <c r="A333" s="263"/>
      <c r="B333" s="263"/>
      <c r="C333" s="261"/>
      <c r="D333" s="262"/>
      <c r="E333" s="390"/>
    </row>
    <row r="334" spans="1:5" hidden="1" x14ac:dyDescent="0.25">
      <c r="A334" s="263"/>
      <c r="B334" s="263"/>
      <c r="C334" s="261"/>
      <c r="D334" s="262"/>
      <c r="E334" s="390"/>
    </row>
    <row r="335" spans="1:5" hidden="1" x14ac:dyDescent="0.25">
      <c r="A335" s="263"/>
      <c r="B335" s="263"/>
      <c r="C335" s="261"/>
      <c r="D335" s="262"/>
      <c r="E335" s="390"/>
    </row>
    <row r="336" spans="1:5" hidden="1" x14ac:dyDescent="0.25">
      <c r="A336" s="263"/>
      <c r="B336" s="263"/>
      <c r="C336" s="261"/>
      <c r="D336" s="262"/>
      <c r="E336" s="390"/>
    </row>
    <row r="337" spans="1:8" hidden="1" x14ac:dyDescent="0.25">
      <c r="A337" s="263"/>
      <c r="B337" s="263"/>
      <c r="C337" s="261"/>
      <c r="D337" s="262"/>
      <c r="E337" s="390"/>
    </row>
    <row r="338" spans="1:8" hidden="1" x14ac:dyDescent="0.25">
      <c r="A338" s="260"/>
      <c r="B338" s="263"/>
      <c r="C338" s="261"/>
      <c r="D338" s="262"/>
      <c r="E338" s="390"/>
    </row>
    <row r="339" spans="1:8" hidden="1" x14ac:dyDescent="0.25">
      <c r="A339" s="265"/>
      <c r="B339" s="263"/>
      <c r="C339" s="261"/>
      <c r="D339" s="262"/>
      <c r="E339" s="391"/>
    </row>
    <row r="340" spans="1:8" hidden="1" x14ac:dyDescent="0.25">
      <c r="A340" s="263"/>
      <c r="B340" s="263"/>
      <c r="C340" s="261"/>
      <c r="D340" s="262"/>
      <c r="E340" s="391"/>
    </row>
    <row r="341" spans="1:8" hidden="1" x14ac:dyDescent="0.25">
      <c r="A341" s="263"/>
      <c r="B341" s="263"/>
      <c r="C341" s="261"/>
      <c r="D341" s="262"/>
      <c r="E341" s="391"/>
    </row>
    <row r="342" spans="1:8" hidden="1" x14ac:dyDescent="0.25">
      <c r="A342" s="263"/>
      <c r="B342" s="263"/>
      <c r="C342" s="261"/>
      <c r="D342" s="262"/>
      <c r="E342" s="391"/>
    </row>
    <row r="343" spans="1:8" hidden="1" x14ac:dyDescent="0.25">
      <c r="A343" s="263"/>
      <c r="B343" s="263"/>
      <c r="C343" s="261"/>
      <c r="D343" s="262"/>
      <c r="E343" s="391"/>
    </row>
    <row r="344" spans="1:8" hidden="1" x14ac:dyDescent="0.25">
      <c r="A344" s="263"/>
      <c r="B344" s="263"/>
      <c r="C344" s="261"/>
      <c r="D344" s="262"/>
      <c r="E344" s="391"/>
      <c r="G344" s="268">
        <f>+SUM(E57:E179)</f>
        <v>0</v>
      </c>
      <c r="H344" s="269" t="s">
        <v>57</v>
      </c>
    </row>
    <row r="345" spans="1:8" x14ac:dyDescent="0.25">
      <c r="C345" s="261"/>
      <c r="D345" s="262"/>
      <c r="E345" s="273">
        <v>1672589124.26</v>
      </c>
      <c r="G345" s="399">
        <f>+SUM(E185:E188)</f>
        <v>0</v>
      </c>
      <c r="H345" s="353" t="s">
        <v>761</v>
      </c>
    </row>
    <row r="346" spans="1:8" x14ac:dyDescent="0.25">
      <c r="C346" s="261"/>
      <c r="D346" s="262"/>
      <c r="E346" s="391"/>
      <c r="G346" s="399">
        <f>+SUM(E192:E316)</f>
        <v>1672589124.2599998</v>
      </c>
      <c r="H346" s="353" t="s">
        <v>16</v>
      </c>
    </row>
    <row r="347" spans="1:8" x14ac:dyDescent="0.25">
      <c r="C347" s="261"/>
      <c r="D347" s="262"/>
      <c r="E347" s="391">
        <f>+E318-E345</f>
        <v>0</v>
      </c>
      <c r="G347" s="399"/>
      <c r="H347" s="353" t="s">
        <v>760</v>
      </c>
    </row>
    <row r="348" spans="1:8" x14ac:dyDescent="0.25">
      <c r="C348" s="261"/>
      <c r="D348" s="262"/>
      <c r="E348" s="391"/>
    </row>
    <row r="349" spans="1:8" x14ac:dyDescent="0.25">
      <c r="C349" s="261"/>
      <c r="D349" s="262"/>
      <c r="E349" s="391"/>
      <c r="G349" s="325" t="s">
        <v>760</v>
      </c>
      <c r="H349" s="397" t="s">
        <v>845</v>
      </c>
    </row>
    <row r="350" spans="1:8" x14ac:dyDescent="0.25">
      <c r="C350" s="261"/>
      <c r="D350" s="262"/>
      <c r="E350" s="390"/>
      <c r="G350" s="273">
        <v>1539809930.04</v>
      </c>
      <c r="H350" s="398">
        <f>+G350-E318</f>
        <v>-132779194.21999979</v>
      </c>
    </row>
    <row r="351" spans="1:8" x14ac:dyDescent="0.25">
      <c r="A351" s="265"/>
      <c r="B351" s="263"/>
      <c r="C351" s="261"/>
      <c r="D351" s="262"/>
      <c r="E351" s="390"/>
    </row>
    <row r="352" spans="1:8" x14ac:dyDescent="0.25">
      <c r="A352" s="263"/>
      <c r="B352" s="263"/>
      <c r="C352" s="261"/>
      <c r="D352" s="262"/>
      <c r="E352" s="390"/>
    </row>
    <row r="353" spans="1:5" x14ac:dyDescent="0.25">
      <c r="A353" s="263"/>
      <c r="B353" s="263"/>
      <c r="C353" s="261"/>
      <c r="D353" s="262"/>
      <c r="E353" s="390"/>
    </row>
    <row r="354" spans="1:5" x14ac:dyDescent="0.25">
      <c r="A354" s="263"/>
      <c r="B354" s="263"/>
      <c r="C354" s="261"/>
      <c r="D354" s="262"/>
      <c r="E354" s="390"/>
    </row>
    <row r="355" spans="1:5" x14ac:dyDescent="0.25">
      <c r="A355" s="263"/>
      <c r="B355" s="263"/>
      <c r="C355" s="261"/>
      <c r="D355" s="262"/>
      <c r="E355" s="390"/>
    </row>
    <row r="356" spans="1:5" x14ac:dyDescent="0.25">
      <c r="A356" s="263"/>
      <c r="B356" s="263"/>
      <c r="C356" s="261"/>
      <c r="D356" s="262"/>
      <c r="E356" s="390"/>
    </row>
    <row r="357" spans="1:5" x14ac:dyDescent="0.25">
      <c r="A357" s="263"/>
      <c r="B357" s="263"/>
      <c r="C357" s="261"/>
      <c r="D357" s="262"/>
      <c r="E357" s="390"/>
    </row>
    <row r="358" spans="1:5" x14ac:dyDescent="0.25">
      <c r="A358" s="263"/>
      <c r="B358" s="263"/>
      <c r="C358" s="261"/>
      <c r="D358" s="262"/>
      <c r="E358" s="390"/>
    </row>
    <row r="359" spans="1:5" x14ac:dyDescent="0.25">
      <c r="A359" s="263"/>
      <c r="B359" s="263"/>
      <c r="C359" s="261"/>
      <c r="D359" s="262"/>
      <c r="E359" s="390"/>
    </row>
    <row r="360" spans="1:5" x14ac:dyDescent="0.25">
      <c r="A360" s="263"/>
      <c r="B360" s="263"/>
      <c r="C360" s="261"/>
      <c r="D360" s="262"/>
      <c r="E360" s="390"/>
    </row>
    <row r="361" spans="1:5" x14ac:dyDescent="0.25">
      <c r="A361" s="263"/>
      <c r="B361" s="263"/>
      <c r="C361" s="261"/>
      <c r="D361" s="262"/>
      <c r="E361" s="390"/>
    </row>
    <row r="362" spans="1:5" x14ac:dyDescent="0.25">
      <c r="A362" s="263"/>
      <c r="B362" s="263"/>
      <c r="C362" s="261"/>
      <c r="D362" s="262"/>
      <c r="E362" s="390"/>
    </row>
    <row r="363" spans="1:5" x14ac:dyDescent="0.25">
      <c r="A363" s="263"/>
      <c r="B363" s="263"/>
      <c r="C363" s="261"/>
      <c r="D363" s="262"/>
      <c r="E363" s="390"/>
    </row>
    <row r="364" spans="1:5" x14ac:dyDescent="0.25">
      <c r="A364" s="263"/>
      <c r="B364" s="263"/>
      <c r="C364" s="261"/>
      <c r="D364" s="262"/>
      <c r="E364" s="390"/>
    </row>
    <row r="365" spans="1:5" x14ac:dyDescent="0.25">
      <c r="A365" s="263"/>
      <c r="B365" s="263"/>
      <c r="C365" s="261"/>
      <c r="D365" s="262"/>
      <c r="E365" s="390"/>
    </row>
    <row r="366" spans="1:5" x14ac:dyDescent="0.25">
      <c r="A366" s="263"/>
      <c r="B366" s="263"/>
      <c r="C366" s="261"/>
      <c r="D366" s="262"/>
      <c r="E366" s="390"/>
    </row>
    <row r="367" spans="1:5" x14ac:dyDescent="0.25">
      <c r="A367" s="263"/>
      <c r="B367" s="263"/>
      <c r="C367" s="261"/>
      <c r="D367" s="262"/>
      <c r="E367" s="390"/>
    </row>
    <row r="368" spans="1:5" x14ac:dyDescent="0.25">
      <c r="A368" s="263"/>
      <c r="B368" s="263"/>
      <c r="C368" s="261"/>
      <c r="D368" s="262"/>
      <c r="E368" s="390"/>
    </row>
    <row r="369" spans="1:5" x14ac:dyDescent="0.25">
      <c r="A369" s="263"/>
      <c r="B369" s="263"/>
      <c r="C369" s="261"/>
      <c r="D369" s="262"/>
      <c r="E369" s="390"/>
    </row>
    <row r="370" spans="1:5" x14ac:dyDescent="0.25">
      <c r="A370" s="263"/>
      <c r="B370" s="263"/>
      <c r="C370" s="261"/>
      <c r="D370" s="262"/>
      <c r="E370" s="390"/>
    </row>
    <row r="371" spans="1:5" x14ac:dyDescent="0.25">
      <c r="A371" s="263"/>
      <c r="B371" s="263"/>
      <c r="C371" s="261"/>
      <c r="D371" s="262"/>
      <c r="E371" s="390"/>
    </row>
    <row r="372" spans="1:5" x14ac:dyDescent="0.25">
      <c r="A372" s="263"/>
      <c r="B372" s="263"/>
      <c r="C372" s="261"/>
      <c r="D372" s="262"/>
      <c r="E372" s="390"/>
    </row>
    <row r="373" spans="1:5" x14ac:dyDescent="0.25">
      <c r="A373" s="263"/>
      <c r="B373" s="263"/>
      <c r="C373" s="261"/>
      <c r="D373" s="262"/>
      <c r="E373" s="390"/>
    </row>
    <row r="374" spans="1:5" x14ac:dyDescent="0.25">
      <c r="A374" s="258"/>
      <c r="B374" s="263"/>
      <c r="C374" s="261"/>
      <c r="D374" s="262"/>
      <c r="E374" s="390"/>
    </row>
    <row r="375" spans="1:5" x14ac:dyDescent="0.25">
      <c r="A375" s="263"/>
      <c r="B375" s="263"/>
      <c r="C375" s="261"/>
      <c r="D375" s="262"/>
      <c r="E375" s="390"/>
    </row>
    <row r="376" spans="1:5" x14ac:dyDescent="0.25">
      <c r="A376" s="263"/>
      <c r="B376" s="263"/>
      <c r="C376" s="261"/>
      <c r="D376" s="262"/>
      <c r="E376" s="39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3</vt:i4>
      </vt:variant>
    </vt:vector>
  </HeadingPairs>
  <TitlesOfParts>
    <vt:vector size="11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  <vt:lpstr>'Anexo I'!Área_de_impresión</vt:lpstr>
      <vt:lpstr>'Anexo II'!Área_de_impresión</vt:lpstr>
      <vt:lpstr>Balance!Área_de_impresión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2019-09-03T14:29:34Z</cp:lastPrinted>
  <dcterms:created xsi:type="dcterms:W3CDTF">2001-07-23T19:33:40Z</dcterms:created>
  <dcterms:modified xsi:type="dcterms:W3CDTF">2026-07-28T17:31:34Z</dcterms:modified>
</cp:coreProperties>
</file>