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SALDOS!$F$1:$F$509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<sst xmlns="http://schemas.openxmlformats.org/spreadsheetml/2006/main" count="1352" uniqueCount="871">
  <si>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</si>
  <si>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</si>
  <si>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</si>
  <si>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</si>
  <si>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</si>
  <si>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</si>
  <si>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</si>
  <si>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</si>
  <si>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</si>
  <si>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</si>
  <si>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</si>
  <si>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</si>
  <si>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</si>
  <si>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</si>
  <si>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</si>
  <si>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</si>
  <si>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</si>
  <si>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</si>
  <si>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</si>
  <si>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</si>
  <si>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</si>
  <si>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</si>
  <si>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</si>
  <si>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</si>
  <si>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</si>
  <si>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</si>
  <si>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</si>
  <si>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</si>
  <si>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</si>
  <si>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</si>
  <si>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</si>
  <si>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</si>
  <si>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</si>
  <si>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</si>
  <si>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</si>
  <si>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</si>
  <si>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</si>
  <si>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</si>
  <si>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</si>
  <si>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</si>
  <si>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</si>
  <si>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</si>
  <si>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</si>
  <si>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</si>
  <si>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</si>
  <si>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</si>
  <si>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</si>
  <si>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</si>
  <si>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</si>
  <si>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</si>
  <si>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</si>
  <si>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</si>
  <si>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</si>
  <si>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</si>
  <si>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</si>
  <si>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</si>
  <si>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</si>
  <si>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</si>
  <si>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</si>
  <si>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</si>
  <si>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</si>
  <si>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</si>
  <si>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</si>
  <si>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</si>
  <si>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</si>
  <si>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</si>
  <si>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</si>
  <si>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</si>
  <si>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</si>
  <si>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</si>
  <si>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</si>
  <si>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</si>
  <si>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</si>
  <si>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</si>
  <si>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</si>
  <si>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</si>
  <si>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</si>
  <si>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</si>
  <si>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</si>
  <si>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</si>
  <si>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</si>
  <si>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</si>
  <si>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</si>
  <si>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</si>
  <si>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</si>
  <si>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</si>
  <si>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</si>
  <si>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</si>
  <si>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</si>
  <si>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</si>
  <si>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</si>
  <si>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</si>
  <si>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</si>
  <si>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</si>
  <si>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</si>
  <si>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</si>
  <si>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</si>
  <si>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</si>
  <si>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</si>
  <si>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</si>
  <si>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</si>
  <si>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</si>
  <si>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</si>
  <si>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</si>
  <si>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</si>
  <si>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</si>
  <si>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</si>
  <si>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</si>
  <si>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</si>
  <si>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</si>
  <si>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</si>
  <si>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</si>
  <si>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</si>
  <si>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</si>
  <si>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</si>
  <si>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</si>
  <si>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</si>
  <si>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</si>
  <si>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</si>
  <si>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</si>
  <si>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</si>
  <si>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</si>
  <si>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</si>
  <si>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</si>
  <si>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</si>
  <si>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</si>
  <si>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</si>
  <si>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</si>
  <si>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</si>
  <si>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</si>
  <si>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</si>
  <si>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</si>
  <si>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</si>
  <si>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</si>
  <si>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</si>
  <si>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</si>
  <si>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</si>
  <si>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</si>
  <si>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</si>
  <si>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</si>
  <si>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</si>
  <si>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</si>
  <si>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</si>
  <si>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</si>
  <si>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</si>
  <si>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</si>
  <si>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</si>
  <si>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</si>
  <si>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>- Patentes a pagar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</si>
  <si>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</si>
  <si>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</si>
  <si>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</si>
  <si>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</si>
  <si>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</si>
  <si>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</si>
  <si>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</si>
  <si>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</si>
  <si>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</si>
  <si>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</si>
  <si>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</si>
  <si>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</si>
  <si>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</si>
  <si>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</si>
  <si>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</si>
  <si>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</si>
  <si>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</si>
  <si>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</si>
  <si>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</si>
  <si>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</si>
  <si>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</si>
  <si>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</si>
  <si>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</si>
  <si>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</si>
  <si>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</si>
  <si>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</si>
  <si>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</si>
  <si>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</si>
  <si>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</si>
  <si>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</si>
  <si>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</si>
  <si>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</si>
  <si>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30.6.26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</si>
  <si>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</si>
  <si>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</si>
  <si>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</si>
  <si>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</si>
  <si>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</si>
  <si>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</si>
  <si>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</si>
  <si>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</si>
  <si>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</si>
  <si>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</si>
  <si>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</si>
  <si>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</si>
  <si>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</si>
  <si>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</si>
  <si>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</si>
  <si>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</si>
  <si>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</si>
  <si>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</si>
  <si>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</si>
  <si>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</si>
  <si>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</si>
  <si>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</si>
  <si>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</si>
  <si>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</si>
  <si>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</si>
  <si>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</si>
  <si>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</si>
  <si>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</si>
  <si>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</si>
  <si>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</si>
  <si>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</si>
  <si>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</si>
  <si>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</si>
  <si>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</si>
  <si>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</si>
  <si>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</si>
  <si>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</si>
  <si>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</si>
  <si>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</si>
  <si>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</si>
  <si>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</si>
  <si>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</si>
  <si>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</si>
  <si>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</si>
  <si>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</si>
  <si>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</si>
  <si>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</si>
  <si>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</si>
  <si>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</si>
  <si>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</si>
  <si>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</si>
  <si>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</si>
  <si>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</si>
  <si>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</si>
  <si>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</si>
  <si>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</si>
  <si>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</si>
  <si>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</si>
  <si>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</si>
  <si>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</si>
  <si>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</si>
  <si>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</si>
  <si>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</si>
  <si>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</si>
  <si>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</si>
  <si>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</si>
  <si>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</si>
  <si>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</si>
  <si>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</si>
  <si>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</si>
  <si>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</si>
  <si>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</si>
  <si>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</si>
  <si>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</si>
  <si>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</si>
  <si>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</si>
  <si>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</si>
  <si>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</si>
  <si>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</si>
  <si>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</si>
  <si>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</si>
  <si>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</si>
  <si>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</si>
  <si>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</si>
  <si>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</si>
  <si>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</si>
  <si>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</si>
  <si>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</si>
  <si>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</si>
  <si>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</si>
  <si>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</si>
  <si>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</si>
  <si>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</si>
  <si>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</si>
  <si>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</si>
  <si>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</si>
  <si>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</si>
  <si>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</si>
  <si>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</si>
  <si>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</si>
  <si>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</si>
  <si>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</si>
  <si>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</si>
  <si>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</si>
  <si>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</si>
  <si>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</si>
  <si>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</si>
  <si>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</si>
  <si>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</si>
  <si>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</si>
  <si>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</si>
  <si>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</si>
  <si>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</si>
  <si>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</si>
  <si>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</si>
  <si>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</si>
  <si>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</si>
  <si>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</si>
  <si>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</si>
  <si>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</si>
  <si>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</si>
  <si>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</si>
  <si>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</si>
  <si>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</si>
  <si>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</si>
  <si>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</si>
  <si>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</si>
  <si>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</si>
  <si>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</si>
  <si>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</si>
  <si>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</si>
  <si>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</si>
  <si>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</si>
  <si>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</si>
  <si>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</si>
  <si>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</si>
  <si>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</si>
  <si>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</si>
  <si>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</si>
  <si>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</si>
  <si>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</si>
  <si>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</si>
  <si>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</si>
  <si>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</si>
  <si>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</si>
  <si>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</si>
  <si>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</si>
  <si>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</si>
  <si>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</si>
  <si>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</si>
  <si>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</si>
  <si>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</si>
  <si>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</si>
  <si>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</si>
  <si>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</si>
  <si>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</si>
  <si>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</si>
  <si>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</si>
  <si>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</si>
  <si>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</si>
  <si>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</si>
  <si>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</si>
  <si>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</si>
  <si>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</si>
  <si>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</si>
  <si>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</si>
  <si>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</si>
  <si>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</si>
  <si>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123010000 - Titulos Públicos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</si>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</sst>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15" outlineLevelRow="0" outlineLevelCol="0" x14ac:dyDescent="0.2" defaultColWidth="11.28515625" customHeight="1"/>
  <cols>
    <col min="1" max="1" width="6.140625" style="1" customWidth="1"/>
    <col min="2" max="2" width="3.7109375" style="1" customWidth="1"/>
    <col min="3" max="3" width="7.28515625" style="1" customWidth="1"/>
    <col min="4" max="4" width="3.7109375" style="1" customWidth="1"/>
    <col min="5" max="5" width="38.140625" style="1" customWidth="1"/>
    <col min="6" max="6" width="12.7109375" style="1" customWidth="1"/>
    <col min="7" max="7" width="11.28515625" style="1" customWidth="1"/>
    <col min="8" max="8" width="12.28515625" style="1" customWidth="1"/>
    <col min="9" max="16384" width="11.285156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2" x14ac:dyDescent="0.25">
      <c r="A5" s="1"/>
      <c r="B5" s="10" t="s">
        <v>80</v>
      </c>
    </row>
    <row r="6" ht="11.25" customHeight="1" spans="1:2" x14ac:dyDescent="0.25">
      <c r="A6" s="1"/>
      <c r="B6" s="10" t="s">
        <v>81</v>
      </c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9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9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9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9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/>
      <c r="E54" s="1"/>
      <c r="F54" s="19"/>
      <c r="G54" s="19"/>
    </row>
    <row r="55" ht="10.9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128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129</v>
      </c>
      <c r="C59" s="70" t="s">
        <v>130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131</v>
      </c>
      <c r="E60" s="1"/>
      <c r="F60" s="19">
        <f>+SALDOS!G43</f>
        <v>0</v>
      </c>
    </row>
    <row r="61" ht="10.9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132</v>
      </c>
    </row>
    <row r="66" ht="11.25" customHeight="1" spans="1:2" x14ac:dyDescent="0.25">
      <c r="A66" s="1"/>
      <c r="B66" s="10" t="s">
        <v>133</v>
      </c>
    </row>
    <row r="67" ht="11.25" customHeight="1" spans="1:3" x14ac:dyDescent="0.25">
      <c r="A67" s="1"/>
      <c r="B67" s="1" t="s">
        <v>134</v>
      </c>
      <c r="C67" s="70" t="s">
        <v>135</v>
      </c>
    </row>
    <row r="68" ht="11.25" customHeight="1" spans="1:6" x14ac:dyDescent="0.25">
      <c r="A68" s="1"/>
      <c r="B68" s="1"/>
      <c r="C68" s="70"/>
      <c r="D68" s="1" t="s">
        <v>136</v>
      </c>
      <c r="E68" s="1"/>
      <c r="F68" s="19">
        <f>-SALDOS!I116</f>
        <v>106687518.28999999</v>
      </c>
    </row>
    <row r="69" ht="11.25" customHeight="1" spans="1:6" x14ac:dyDescent="0.25">
      <c r="A69" s="1"/>
      <c r="B69" s="1"/>
      <c r="C69" s="70"/>
      <c r="D69" s="1" t="s">
        <v>137</v>
      </c>
      <c r="E69" s="1"/>
      <c r="F69" s="19">
        <f>-SALDOS!G126</f>
        <v>0</v>
      </c>
    </row>
    <row r="70" ht="11.25" customHeight="1" spans="1:6" x14ac:dyDescent="0.25">
      <c r="A70" s="1"/>
      <c r="B70" s="1"/>
      <c r="C70" s="70"/>
      <c r="D70" s="71" t="s">
        <v>138</v>
      </c>
      <c r="E70" s="1"/>
      <c r="F70" s="19">
        <f>-SALDOS!G129</f>
        <v>0</v>
      </c>
    </row>
    <row r="71" ht="11.25" customHeight="1" spans="1:6" x14ac:dyDescent="0.25">
      <c r="A71" s="1"/>
      <c r="B71" s="1"/>
      <c r="C71" s="70"/>
      <c r="D71" s="71" t="s">
        <v>139</v>
      </c>
      <c r="E71" s="1"/>
      <c r="F71" s="19">
        <f>-SALDOS!G134</f>
        <v>0</v>
      </c>
    </row>
    <row r="72" ht="10.9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9" customHeight="1" spans="1:10" x14ac:dyDescent="0.25">
      <c r="A73" s="1"/>
      <c r="B73" s="1" t="s">
        <v>140</v>
      </c>
      <c r="C73" s="70" t="s">
        <v>141</v>
      </c>
      <c r="D73" s="1"/>
      <c r="E73" s="1"/>
      <c r="F73" s="19"/>
      <c r="G73" s="1"/>
      <c r="H73" s="1"/>
      <c r="I73" s="1"/>
      <c r="J73" s="19"/>
    </row>
    <row r="74" ht="13.15" customHeight="1" spans="1:6" x14ac:dyDescent="0.25">
      <c r="A74" s="1"/>
      <c r="B74" s="10"/>
      <c r="C74" s="1"/>
      <c r="D74" s="71" t="s">
        <v>142</v>
      </c>
      <c r="E74" s="76"/>
      <c r="F74" s="74">
        <f>-SALDOS!G121</f>
        <v>199168357.76</v>
      </c>
    </row>
    <row r="75" ht="13.15" customHeight="1" spans="1:6" x14ac:dyDescent="0.25">
      <c r="A75" s="1"/>
      <c r="B75" s="10"/>
      <c r="C75" s="1"/>
      <c r="D75" s="71" t="s">
        <v>143</v>
      </c>
      <c r="E75" s="76"/>
      <c r="F75" s="74">
        <v>0</v>
      </c>
    </row>
    <row r="76" ht="13.15" customHeight="1" spans="1:6" x14ac:dyDescent="0.25">
      <c r="A76" s="1"/>
      <c r="B76" s="10"/>
      <c r="C76" s="1"/>
      <c r="D76" s="71" t="s">
        <v>144</v>
      </c>
      <c r="E76" s="76"/>
      <c r="F76" s="74">
        <v>0</v>
      </c>
    </row>
    <row r="77" ht="13.15" customHeight="1" spans="1:6" x14ac:dyDescent="0.25">
      <c r="A77" s="1"/>
      <c r="B77" s="10"/>
      <c r="C77" s="1"/>
      <c r="D77" s="71" t="s">
        <v>145</v>
      </c>
      <c r="E77" s="76"/>
      <c r="F77" s="74">
        <f>-SALDOS!G124</f>
        <v>0</v>
      </c>
    </row>
    <row r="78" ht="13.15" customHeight="1" spans="1:6" x14ac:dyDescent="0.25">
      <c r="A78" s="1"/>
      <c r="B78" s="10"/>
      <c r="C78" s="1"/>
      <c r="D78" s="71" t="s">
        <v>146</v>
      </c>
      <c r="E78" s="76"/>
      <c r="F78" s="74">
        <f>-SALDOS!G123-SALDOS!G132</f>
        <v>0</v>
      </c>
    </row>
    <row r="79" ht="13.15" customHeight="1" spans="1:6" x14ac:dyDescent="0.25">
      <c r="A79" s="1"/>
      <c r="B79" s="10"/>
      <c r="C79" s="1"/>
      <c r="D79" s="71" t="s">
        <v>147</v>
      </c>
      <c r="E79" s="76"/>
      <c r="F79" s="74">
        <f>-SALDOS!G136</f>
        <v>19744</v>
      </c>
    </row>
    <row r="80" ht="13.15" customHeight="1" spans="1:6" x14ac:dyDescent="0.25">
      <c r="A80" s="1"/>
      <c r="B80" s="10"/>
      <c r="C80" s="1"/>
      <c r="D80" s="72" t="s">
        <v>148</v>
      </c>
      <c r="E80" s="76"/>
      <c r="F80" s="74">
        <f>-SALDOS!G137</f>
        <v>0</v>
      </c>
    </row>
    <row r="81" ht="13.15" customHeight="1" hidden="1" spans="1:6" x14ac:dyDescent="0.25">
      <c r="A81" s="1"/>
      <c r="B81" s="10"/>
      <c r="C81" s="1"/>
      <c r="D81" s="71" t="s">
        <v>149</v>
      </c>
      <c r="E81" s="76"/>
      <c r="F81" s="74">
        <f>-SALDOS!G133</f>
        <v>0</v>
      </c>
    </row>
    <row r="82" ht="13.15" customHeight="1" spans="1:6" x14ac:dyDescent="0.25">
      <c r="A82" s="1"/>
      <c r="B82" s="10"/>
      <c r="C82" s="1"/>
      <c r="D82" s="71" t="s">
        <v>150</v>
      </c>
      <c r="E82" s="76"/>
      <c r="F82" s="74">
        <f>-SALDOS!G135</f>
        <v>1335.23</v>
      </c>
    </row>
    <row r="83" ht="13.15" customHeight="1" spans="1:6" x14ac:dyDescent="0.25">
      <c r="A83" s="1"/>
      <c r="B83" s="10"/>
      <c r="C83" s="1"/>
      <c r="D83" s="71" t="s">
        <v>151</v>
      </c>
      <c r="E83" s="76"/>
      <c r="F83" s="74">
        <f>-SALDOS!G127</f>
        <v>45551975</v>
      </c>
    </row>
    <row r="84" ht="13.15" customHeight="1" spans="1:6" x14ac:dyDescent="0.25">
      <c r="A84" s="1"/>
      <c r="B84" s="10"/>
      <c r="C84" s="1"/>
      <c r="D84" s="71" t="s">
        <v>152</v>
      </c>
      <c r="E84" s="76"/>
      <c r="F84" s="74">
        <f>-SALDOS!G128</f>
        <v>772433.68</v>
      </c>
    </row>
    <row r="85" ht="13.15" customHeight="1" spans="1:6" x14ac:dyDescent="0.25">
      <c r="A85" s="1"/>
      <c r="B85" s="10"/>
      <c r="C85" s="1"/>
      <c r="D85" s="71" t="s">
        <v>153</v>
      </c>
      <c r="E85" s="76"/>
      <c r="F85" s="74">
        <f>-SALDOS!G131</f>
        <v>38149531.82</v>
      </c>
    </row>
    <row r="86" ht="13.9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9" customHeight="1" spans="1:6" x14ac:dyDescent="0.25">
      <c r="A87" s="1"/>
      <c r="B87" s="10"/>
      <c r="C87" s="1"/>
      <c r="D87" s="71"/>
      <c r="E87" s="76"/>
      <c r="F87" s="74"/>
    </row>
    <row r="88" ht="13.15" customHeight="1" spans="1:6" x14ac:dyDescent="0.25">
      <c r="A88" s="1"/>
      <c r="B88" s="1" t="s">
        <v>154</v>
      </c>
      <c r="C88" s="70" t="s">
        <v>155</v>
      </c>
      <c r="D88" s="71"/>
      <c r="E88" s="76"/>
      <c r="F88" s="74"/>
    </row>
    <row r="89" ht="13.15" customHeight="1" spans="1:6" x14ac:dyDescent="0.25">
      <c r="A89" s="1"/>
      <c r="B89" s="1"/>
      <c r="C89" s="70"/>
      <c r="D89" s="71" t="s">
        <v>156</v>
      </c>
      <c r="E89" s="76"/>
      <c r="F89" s="74">
        <f>-SALDOS!G120</f>
        <v>46874610.97</v>
      </c>
    </row>
    <row r="90" ht="13.15" customHeight="1" spans="1:6" x14ac:dyDescent="0.25">
      <c r="A90" s="1"/>
      <c r="B90" s="10"/>
      <c r="C90" s="1"/>
      <c r="D90" s="71" t="s">
        <v>157</v>
      </c>
      <c r="E90" s="76"/>
      <c r="F90" s="74">
        <f>-SALDOS!G122</f>
        <v>39510574.15</v>
      </c>
    </row>
    <row r="91" ht="13.15" customHeight="1" spans="1:6" x14ac:dyDescent="0.25">
      <c r="A91" s="1"/>
      <c r="B91" s="10"/>
      <c r="C91" s="1"/>
      <c r="D91" s="71" t="s">
        <v>158</v>
      </c>
      <c r="E91" s="76"/>
      <c r="F91" s="74">
        <f>-SALDOS!G125</f>
        <v>0</v>
      </c>
    </row>
    <row r="92" ht="13.15" customHeight="1" spans="1:6" x14ac:dyDescent="0.25">
      <c r="A92" s="1"/>
      <c r="B92" s="10"/>
      <c r="C92" s="1"/>
      <c r="D92" s="71" t="s">
        <v>159</v>
      </c>
      <c r="E92" s="76"/>
      <c r="F92" s="74">
        <f>-SALDOS!G130</f>
        <v>0</v>
      </c>
    </row>
    <row r="93" ht="10.9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9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15" outlineLevelRow="0" outlineLevelCol="0" x14ac:dyDescent="0.2" defaultColWidth="11.42578125" customHeight="1"/>
  <cols>
    <col min="1" max="1" width="1" style="1" customWidth="1"/>
    <col min="2" max="2" width="29.5703125" style="1" customWidth="1"/>
    <col min="3" max="3" width="14.42578125" style="1" customWidth="1"/>
    <col min="4" max="4" width="14.140625" style="1" customWidth="1"/>
    <col min="5" max="5" width="14" style="1" hidden="1" customWidth="1"/>
    <col min="6" max="6" width="15.28515625" style="1" customWidth="1"/>
    <col min="7" max="8" width="11.42578125" style="1" customWidth="1"/>
    <col min="9" max="9" width="13.42578125" style="1" customWidth="1"/>
    <col min="10" max="10" width="20.85546875" style="1" customWidth="1"/>
    <col min="11" max="11" width="14.42578125" style="1" customWidth="1"/>
    <col min="12" max="12" width="11.85546875" style="1" customWidth="1"/>
    <col min="13" max="13" width="11.42578125" style="1" customWidth="1"/>
    <col min="14" max="15" width="12.5703125" style="1" customWidth="1"/>
    <col min="16" max="16" width="12.28515625" style="1" customWidth="1"/>
    <col min="17" max="16384" width="11.42578125" style="1" customWidth="1"/>
  </cols>
  <sheetData>
    <row r="1" ht="13.15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0.9" customHeight="1" spans="1:1" x14ac:dyDescent="0.25">
      <c r="A4" s="1" t="s">
        <v>2</v>
      </c>
    </row>
    <row r="5" ht="10.9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9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44.28515625" style="1" customWidth="1"/>
    <col min="2" max="2" width="12.42578125" style="1" hidden="1" customWidth="1"/>
    <col min="3" max="4" width="13.5703125" style="1" customWidth="1"/>
    <col min="5" max="5" width="11.7109375" style="1" customWidth="1"/>
    <col min="6" max="16384" width="11.42578125" style="1" customWidth="1"/>
  </cols>
  <sheetData>
    <row r="1" ht="13.15" customHeight="1" spans="1:1" x14ac:dyDescent="0.25">
      <c r="A1" s="2" t="s">
        <v>35</v>
      </c>
    </row>
    <row r="2" ht="11.25" customHeight="1" spans="1:1" x14ac:dyDescent="0.25">
      <c r="A2" s="1" t="str">
        <f>+Balance!A2</f>
        <v>Al 30 de junio 2026  - Cifras expresadas en pesos</v>
      </c>
    </row>
    <row r="3" ht="10.9" customHeight="1" x14ac:dyDescent="0.25"/>
    <row r="4" ht="10.9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-729617202.42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-880161731.3500001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-SALDOS!G280-SALDOS!G149</f>
        <v>-62810190.49</v>
      </c>
      <c r="D17" s="19"/>
      <c r="E17" s="19"/>
    </row>
    <row r="18" ht="11.25" customHeight="1" spans="1:3" x14ac:dyDescent="0.25">
      <c r="A18" s="7" t="s">
        <v>44</v>
      </c>
      <c r="B18" s="26"/>
      <c r="C18" s="18">
        <f>-SALDOS!G150-SALDOS!G151-SALDOS!G152</f>
        <v>0</v>
      </c>
    </row>
    <row r="19" ht="11.25" customHeight="1" spans="1:3" x14ac:dyDescent="0.25">
      <c r="A19" s="7" t="s">
        <v>45</v>
      </c>
      <c r="B19" s="26"/>
      <c r="C19" s="18">
        <f>-SALDOS!G483</f>
        <v>0</v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-1672589124.26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" customHeight="1" spans="1:7" x14ac:dyDescent="0.25">
      <c r="A28" s="27"/>
      <c r="B28" s="43"/>
      <c r="C28" s="44"/>
      <c r="D28" s="1"/>
      <c r="E28" s="34"/>
      <c r="F28" s="1"/>
      <c r="G28" s="19"/>
    </row>
    <row r="29" ht="10.9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15" outlineLevelRow="0" outlineLevelCol="0" x14ac:dyDescent="0.2" defaultColWidth="11.42578125" customHeight="1"/>
  <cols>
    <col min="1" max="1" width="1.7109375" style="1" customWidth="1"/>
    <col min="2" max="2" width="1.85546875" style="1" customWidth="1"/>
    <col min="3" max="3" width="1.7109375" style="1" customWidth="1"/>
    <col min="4" max="4" width="11.42578125" style="1" customWidth="1"/>
    <col min="5" max="5" width="20.85546875" style="1" customWidth="1"/>
    <col min="6" max="6" width="13.7109375" style="1" customWidth="1"/>
    <col min="7" max="7" width="11.42578125" style="1" hidden="1" customWidth="1"/>
    <col min="8" max="8" width="2.5703125" style="1" customWidth="1"/>
    <col min="9" max="9" width="1.85546875" style="1" customWidth="1"/>
    <col min="10" max="10" width="1.7109375" style="1" customWidth="1"/>
    <col min="11" max="11" width="33.7109375" style="1" customWidth="1"/>
    <col min="12" max="12" width="13.7109375" style="1" customWidth="1"/>
    <col min="13" max="14" width="13" style="1" customWidth="1"/>
    <col min="15" max="16384" width="11.42578125" style="1" customWidth="1"/>
  </cols>
  <sheetData>
    <row r="1" ht="13.15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/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/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/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/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/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9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2.85546875" style="1" customWidth="1"/>
    <col min="2" max="3" width="11.42578125" style="1" customWidth="1"/>
    <col min="4" max="4" width="12" style="1" customWidth="1"/>
    <col min="5" max="5" width="17.5703125" style="1" customWidth="1"/>
    <col min="6" max="6" width="19.85546875" style="1" customWidth="1"/>
    <col min="7" max="8" width="20" style="1" customWidth="1"/>
    <col min="9" max="9" width="15.140625" style="1" customWidth="1"/>
    <col min="10" max="10" width="9" style="1" hidden="1" customWidth="1"/>
    <col min="11" max="16384" width="11.425781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191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192</v>
      </c>
      <c r="B3" s="1"/>
      <c r="C3" s="1"/>
      <c r="D3" s="1"/>
      <c r="E3" s="1"/>
      <c r="F3" s="1"/>
      <c r="G3" s="1"/>
      <c r="H3" s="1"/>
      <c r="I3" s="1" t="s">
        <v>193</v>
      </c>
    </row>
    <row r="4" ht="11.25" customHeight="1" spans="1:1" x14ac:dyDescent="0.25">
      <c r="A4" s="1" t="str">
        <f>+Balance!A2</f>
        <v>Al 30 de junio 2026  - Cifras expresadas en pesos</v>
      </c>
    </row>
    <row r="5" ht="10.9" customHeight="1" spans="1:2" x14ac:dyDescent="0.25">
      <c r="A5" s="1"/>
      <c r="B5" s="1" t="s">
        <v>2</v>
      </c>
    </row>
    <row r="6" ht="10.9" customHeight="1" spans="1:10" x14ac:dyDescent="0.25">
      <c r="A6" s="3" t="s">
        <v>2</v>
      </c>
      <c r="B6" s="4"/>
      <c r="C6" s="4"/>
      <c r="D6" s="4"/>
      <c r="E6" s="48" t="s">
        <v>194</v>
      </c>
      <c r="F6" s="48" t="s">
        <v>195</v>
      </c>
      <c r="G6" s="48" t="s">
        <v>196</v>
      </c>
      <c r="H6" s="48" t="s">
        <v>196</v>
      </c>
      <c r="I6" s="115" t="s">
        <v>195</v>
      </c>
      <c r="J6" s="116" t="s">
        <v>194</v>
      </c>
    </row>
    <row r="7" ht="11.25" customHeight="1" spans="1:10" x14ac:dyDescent="0.25">
      <c r="A7" s="7" t="s">
        <v>2</v>
      </c>
      <c r="B7" s="1" t="s">
        <v>197</v>
      </c>
      <c r="C7" s="1"/>
      <c r="D7" s="1"/>
      <c r="E7" s="55" t="s">
        <v>198</v>
      </c>
      <c r="F7" s="55" t="s">
        <v>199</v>
      </c>
      <c r="G7" s="55" t="s">
        <v>199</v>
      </c>
      <c r="H7" s="55" t="s">
        <v>199</v>
      </c>
      <c r="I7" s="117"/>
      <c r="J7" s="118" t="s">
        <v>198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200</v>
      </c>
      <c r="G8" s="11" t="s">
        <v>201</v>
      </c>
      <c r="H8" s="11" t="s">
        <v>202</v>
      </c>
      <c r="I8" s="12" t="s">
        <v>203</v>
      </c>
      <c r="J8" s="122" t="s">
        <v>204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205</v>
      </c>
      <c r="B10" s="71" t="s">
        <v>206</v>
      </c>
      <c r="C10" s="1"/>
      <c r="D10" s="1"/>
      <c r="E10" s="124">
        <f>SUM(F10:I10)</f>
        <v>51970355.11</v>
      </c>
      <c r="F10" s="124"/>
      <c r="G10" s="16"/>
      <c r="H10" s="19">
        <f>+SALDOS!G322</f>
        <v>51970355.11</v>
      </c>
      <c r="I10" s="125"/>
      <c r="J10" s="123"/>
    </row>
    <row r="11" ht="11.25" customHeight="1" spans="1:10" x14ac:dyDescent="0.25">
      <c r="A11" s="7" t="s">
        <v>205</v>
      </c>
      <c r="B11" s="71" t="s">
        <v>207</v>
      </c>
      <c r="C11" s="1"/>
      <c r="D11" s="1"/>
      <c r="E11" s="124">
        <f>SUM(F11:I11)</f>
        <v>262653256.83999997</v>
      </c>
      <c r="F11" s="124">
        <f>+SALDOS!G368</f>
        <v>262653256.83999997</v>
      </c>
      <c r="G11" s="16"/>
      <c r="H11" s="19"/>
      <c r="I11" s="125"/>
      <c r="J11" s="123"/>
    </row>
    <row r="12" ht="11.25" customHeight="1" spans="1:10" x14ac:dyDescent="0.25">
      <c r="A12" s="7" t="s">
        <v>205</v>
      </c>
      <c r="B12" s="71" t="s">
        <v>208</v>
      </c>
      <c r="C12" s="1"/>
      <c r="D12" s="1"/>
      <c r="E12" s="124">
        <f>SUM(F12:I12)</f>
        <v>58572858.17</v>
      </c>
      <c r="F12" s="124"/>
      <c r="G12" s="16"/>
      <c r="H12" s="19">
        <f>+SALDOS!G374</f>
        <v>58572858.17</v>
      </c>
      <c r="I12" s="125"/>
      <c r="J12" s="123"/>
    </row>
    <row r="13" ht="11.25" customHeight="1" spans="1:10" x14ac:dyDescent="0.25">
      <c r="A13" s="7" t="s">
        <v>205</v>
      </c>
      <c r="B13" s="71" t="s">
        <v>209</v>
      </c>
      <c r="C13" s="1"/>
      <c r="D13" s="1"/>
      <c r="E13" s="124">
        <f>SUM(F13:I13)</f>
        <v>0</v>
      </c>
      <c r="F13" s="124"/>
      <c r="G13" s="16"/>
      <c r="H13" s="19">
        <f>+SALDOS!G257</f>
        <v>0</v>
      </c>
      <c r="I13" s="125"/>
      <c r="J13" s="123"/>
    </row>
    <row r="14" ht="11.25" customHeight="1" spans="1:10" x14ac:dyDescent="0.25">
      <c r="A14" s="7" t="s">
        <v>205</v>
      </c>
      <c r="B14" s="71" t="s">
        <v>210</v>
      </c>
      <c r="C14" s="1"/>
      <c r="D14" s="1"/>
      <c r="E14" s="124">
        <f>SUM(F14:I14)</f>
        <v>189946.28</v>
      </c>
      <c r="F14" s="124"/>
      <c r="G14" s="16"/>
      <c r="H14" s="19">
        <f>+SALDOS!G302</f>
        <v>189946.28</v>
      </c>
      <c r="I14" s="125"/>
      <c r="J14" s="123"/>
    </row>
    <row r="15" ht="11.25" customHeight="1" spans="1:10" x14ac:dyDescent="0.25">
      <c r="A15" s="7" t="s">
        <v>205</v>
      </c>
      <c r="B15" s="71" t="s">
        <v>211</v>
      </c>
      <c r="C15" s="1"/>
      <c r="D15" s="1"/>
      <c r="E15" s="124">
        <f>SUM(F15:I15)</f>
        <v>0</v>
      </c>
      <c r="F15" s="124"/>
      <c r="G15" s="16"/>
      <c r="H15" s="19">
        <f>+SALDOS!G402</f>
        <v>0</v>
      </c>
      <c r="I15" s="125"/>
      <c r="J15" s="123"/>
    </row>
    <row r="16" ht="11.25" customHeight="1" spans="1:10" x14ac:dyDescent="0.25">
      <c r="A16" s="7" t="s">
        <v>205</v>
      </c>
      <c r="B16" s="71" t="s">
        <v>212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ht="11.25" customHeight="1" spans="1:10" x14ac:dyDescent="0.25">
      <c r="A17" s="7" t="s">
        <v>205</v>
      </c>
      <c r="B17" s="71" t="s">
        <v>213</v>
      </c>
      <c r="C17" s="1"/>
      <c r="D17" s="1"/>
      <c r="E17" s="124">
        <f>SUM(F17:I17)</f>
        <v>0</v>
      </c>
      <c r="F17" s="124"/>
      <c r="G17" s="16"/>
      <c r="H17" s="19">
        <f>+SALDOS!G314</f>
        <v>0</v>
      </c>
      <c r="I17" s="125"/>
      <c r="J17" s="123"/>
    </row>
    <row r="18" ht="11.25" customHeight="1" spans="1:10" x14ac:dyDescent="0.25">
      <c r="A18" s="7" t="s">
        <v>205</v>
      </c>
      <c r="B18" s="71" t="s">
        <v>214</v>
      </c>
      <c r="C18" s="1"/>
      <c r="D18" s="1"/>
      <c r="E18" s="124">
        <f>SUM(F18:I18)</f>
        <v>0</v>
      </c>
      <c r="F18" s="124"/>
      <c r="G18" s="16"/>
      <c r="H18" s="19">
        <f>+SALDOS!G358+SALDOS!G397</f>
        <v>0</v>
      </c>
      <c r="I18" s="125"/>
      <c r="J18" s="123"/>
    </row>
    <row r="19" ht="11.25" customHeight="1" spans="1:10" x14ac:dyDescent="0.25">
      <c r="A19" s="7" t="s">
        <v>205</v>
      </c>
      <c r="B19" s="71" t="s">
        <v>215</v>
      </c>
      <c r="C19" s="1"/>
      <c r="D19" s="1"/>
      <c r="E19" s="124">
        <f>SUM(F19:I19)</f>
        <v>0</v>
      </c>
      <c r="F19" s="124"/>
      <c r="G19" s="16"/>
      <c r="H19" s="19">
        <f>+SALDOS!G361</f>
        <v>0</v>
      </c>
      <c r="I19" s="125"/>
      <c r="J19" s="123"/>
    </row>
    <row r="20" ht="11.25" customHeight="1" spans="1:10" x14ac:dyDescent="0.25">
      <c r="A20" s="7" t="s">
        <v>205</v>
      </c>
      <c r="B20" s="71" t="s">
        <v>164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ht="11.25" customHeight="1" spans="1:10" x14ac:dyDescent="0.25">
      <c r="A21" s="7" t="s">
        <v>205</v>
      </c>
      <c r="B21" s="71" t="s">
        <v>216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+SALDOS!G424</f>
        <v>51916602.99</v>
      </c>
      <c r="I21" s="125"/>
      <c r="J21" s="123"/>
    </row>
    <row r="22" ht="11.25" customHeight="1" spans="1:10" x14ac:dyDescent="0.25">
      <c r="A22" s="7" t="s">
        <v>205</v>
      </c>
      <c r="B22" s="71" t="s">
        <v>217</v>
      </c>
      <c r="C22" s="1"/>
      <c r="D22" s="1"/>
      <c r="E22" s="124">
        <f>SUM(F22:I22)</f>
        <v>48607846.6</v>
      </c>
      <c r="F22" s="124"/>
      <c r="G22" s="16"/>
      <c r="H22" s="19">
        <f>+SALDOS!G306+SALDOS!G308+SALDOS!G309+SALDOS!G307</f>
        <v>48607846.6</v>
      </c>
      <c r="I22" s="125"/>
      <c r="J22" s="123"/>
    </row>
    <row r="23" ht="11.25" customHeight="1" spans="1:10" x14ac:dyDescent="0.25">
      <c r="A23" s="7" t="s">
        <v>205</v>
      </c>
      <c r="B23" s="71" t="s">
        <v>218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205</v>
      </c>
      <c r="B24" s="71" t="s">
        <v>219</v>
      </c>
      <c r="C24" s="1"/>
      <c r="D24" s="1"/>
      <c r="E24" s="124">
        <f>SUM(F24:I24)</f>
        <v>0</v>
      </c>
      <c r="F24" s="124">
        <f>+SALDOS!G202</f>
        <v>0</v>
      </c>
      <c r="G24" s="16"/>
      <c r="H24" s="19"/>
      <c r="I24" s="125"/>
      <c r="J24" s="123"/>
    </row>
    <row r="25" ht="11.25" customHeight="1" spans="1:10" x14ac:dyDescent="0.25">
      <c r="A25" s="7" t="s">
        <v>205</v>
      </c>
      <c r="B25" s="71" t="s">
        <v>220</v>
      </c>
      <c r="C25" s="1"/>
      <c r="D25" s="1"/>
      <c r="E25" s="124">
        <f>SUM(F25:I25)</f>
        <v>8616654.57</v>
      </c>
      <c r="F25" s="124"/>
      <c r="G25" s="16"/>
      <c r="H25" s="19">
        <f>+SALDOS!G351</f>
        <v>8616654.57</v>
      </c>
      <c r="I25" s="125"/>
      <c r="J25" s="123"/>
    </row>
    <row r="26" ht="11.25" customHeight="1" spans="1:10" x14ac:dyDescent="0.25">
      <c r="A26" s="7" t="s">
        <v>205</v>
      </c>
      <c r="B26" s="71" t="s">
        <v>221</v>
      </c>
      <c r="C26" s="1"/>
      <c r="D26" s="1"/>
      <c r="E26" s="124">
        <f>SUM(F26:I26)</f>
        <v>27411009.17</v>
      </c>
      <c r="F26" s="124"/>
      <c r="G26" s="16"/>
      <c r="H26" s="19">
        <f>+SALDOS!G330</f>
        <v>27411009.17</v>
      </c>
      <c r="I26" s="125"/>
      <c r="J26" s="123"/>
    </row>
    <row r="27" ht="11.25" customHeight="1" spans="1:10" x14ac:dyDescent="0.25">
      <c r="A27" s="7" t="s">
        <v>205</v>
      </c>
      <c r="B27" s="71" t="s">
        <v>222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205</v>
      </c>
      <c r="B28" s="71" t="s">
        <v>223</v>
      </c>
      <c r="C28" s="1"/>
      <c r="D28" s="1"/>
      <c r="E28" s="124">
        <f>SUM(F28:I28)</f>
        <v>7955308.800000001</v>
      </c>
      <c r="F28" s="124">
        <f>+SALDOS!G342+SALDOS!G495+SALDOS!G496</f>
        <v>7955308.800000001</v>
      </c>
      <c r="G28" s="16"/>
      <c r="H28" s="19"/>
      <c r="I28" s="125"/>
      <c r="J28" s="123"/>
    </row>
    <row r="29" ht="11.25" customHeight="1" spans="1:10" x14ac:dyDescent="0.25">
      <c r="A29" s="7" t="s">
        <v>205</v>
      </c>
      <c r="B29" s="71" t="s">
        <v>224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205</v>
      </c>
      <c r="B30" s="71" t="s">
        <v>225</v>
      </c>
      <c r="C30" s="1"/>
      <c r="D30" s="1"/>
      <c r="E30" s="124">
        <f>SUM(F30:I30)</f>
        <v>0</v>
      </c>
      <c r="F30" s="124"/>
      <c r="G30" s="16"/>
      <c r="H30" s="19">
        <f>+SALDOS!G311</f>
        <v>0</v>
      </c>
      <c r="I30" s="125"/>
      <c r="J30" s="123"/>
    </row>
    <row r="31" ht="11.25" customHeight="1" spans="1:10" x14ac:dyDescent="0.25">
      <c r="A31" s="7" t="s">
        <v>205</v>
      </c>
      <c r="B31" s="71" t="s">
        <v>226</v>
      </c>
      <c r="C31" s="1"/>
      <c r="D31" s="1"/>
      <c r="E31" s="124">
        <f>SUM(F31:I31)</f>
        <v>0</v>
      </c>
      <c r="F31" s="124">
        <f>+SALDOS!G239</f>
        <v>0</v>
      </c>
      <c r="G31" s="16"/>
      <c r="H31" s="19"/>
      <c r="I31" s="125"/>
      <c r="J31" s="123"/>
    </row>
    <row r="32" ht="11.25" customHeight="1" spans="1:10" x14ac:dyDescent="0.25">
      <c r="A32" s="7" t="s">
        <v>205</v>
      </c>
      <c r="B32" s="71" t="s">
        <v>227</v>
      </c>
      <c r="C32" s="1"/>
      <c r="D32" s="1"/>
      <c r="E32" s="124">
        <f>SUM(F32:I32)</f>
        <v>0</v>
      </c>
      <c r="F32" s="124"/>
      <c r="G32" s="16"/>
      <c r="H32" s="19">
        <f>+SALDOS!G439</f>
        <v>0</v>
      </c>
      <c r="I32" s="125"/>
      <c r="J32" s="123"/>
    </row>
    <row r="33" ht="11.25" customHeight="1" spans="1:10" x14ac:dyDescent="0.25">
      <c r="A33" s="7" t="s">
        <v>205</v>
      </c>
      <c r="B33" s="71" t="s">
        <v>228</v>
      </c>
      <c r="C33" s="1"/>
      <c r="D33" s="1"/>
      <c r="E33" s="124">
        <f>SUM(F33:I33)</f>
        <v>0</v>
      </c>
      <c r="F33" s="124">
        <f>+SALDOS!G471</f>
        <v>0</v>
      </c>
      <c r="G33" s="16"/>
      <c r="H33" s="19"/>
      <c r="I33" s="125"/>
      <c r="J33" s="123"/>
    </row>
    <row r="34" ht="11.25" customHeight="1" spans="1:10" x14ac:dyDescent="0.25">
      <c r="A34" s="7" t="s">
        <v>205</v>
      </c>
      <c r="B34" s="71" t="s">
        <v>229</v>
      </c>
      <c r="C34" s="1"/>
      <c r="D34" s="1"/>
      <c r="E34" s="124">
        <f>SUM(F34:I34)</f>
        <v>489482.99</v>
      </c>
      <c r="F34" s="126">
        <f>+SALDOS!G406</f>
        <v>489482.99</v>
      </c>
      <c r="G34" s="16"/>
      <c r="H34" s="19"/>
      <c r="I34" s="125"/>
      <c r="J34" s="123"/>
    </row>
    <row r="35" ht="11.25" customHeight="1" spans="1:10" x14ac:dyDescent="0.25">
      <c r="A35" s="7" t="s">
        <v>205</v>
      </c>
      <c r="B35" s="1" t="s">
        <v>230</v>
      </c>
      <c r="C35" s="1"/>
      <c r="D35" s="1"/>
      <c r="E35" s="124">
        <f>SUM(F35:I35)</f>
        <v>9664883.07</v>
      </c>
      <c r="F35" s="125">
        <f>+SALDOS!G264</f>
        <v>9664883.07</v>
      </c>
      <c r="G35" s="16"/>
      <c r="H35" s="16"/>
      <c r="I35" s="38"/>
      <c r="J35" s="123"/>
    </row>
    <row r="36" ht="11.25" customHeight="1" spans="1:10" x14ac:dyDescent="0.25">
      <c r="A36" s="7" t="s">
        <v>205</v>
      </c>
      <c r="B36" s="1" t="s">
        <v>231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+SALDOS!G213+SALDOS!G393+SALDOS!G457</f>
        <v>5887375.78</v>
      </c>
      <c r="I36" s="125"/>
      <c r="J36" s="123"/>
    </row>
    <row r="37" ht="11.25" customHeight="1" spans="1:10" x14ac:dyDescent="0.25">
      <c r="A37" s="7" t="s">
        <v>205</v>
      </c>
      <c r="B37" s="71" t="s">
        <v>232</v>
      </c>
      <c r="C37" s="1"/>
      <c r="D37" s="1"/>
      <c r="E37" s="124">
        <f>SUM(F37:I37)</f>
        <v>15451043.76</v>
      </c>
      <c r="F37" s="124">
        <f>+SALDOS!G462</f>
        <v>15451043.76</v>
      </c>
      <c r="G37" s="16"/>
      <c r="H37" s="19"/>
      <c r="I37" s="125"/>
      <c r="J37" s="123"/>
    </row>
    <row r="38" ht="11.25" customHeight="1" spans="1:10" x14ac:dyDescent="0.25">
      <c r="A38" s="7" t="s">
        <v>205</v>
      </c>
      <c r="B38" s="71" t="s">
        <v>233</v>
      </c>
      <c r="C38" s="1"/>
      <c r="D38" s="1"/>
      <c r="E38" s="124">
        <f>SUM(F38:I38)</f>
        <v>0</v>
      </c>
      <c r="F38" s="124"/>
      <c r="G38" s="16"/>
      <c r="H38" s="19">
        <f>+SALDOS!G399+SALDOS!G440</f>
        <v>0</v>
      </c>
      <c r="I38" s="125"/>
      <c r="J38" s="123"/>
    </row>
    <row r="39" ht="11.25" customHeight="1" spans="1:10" x14ac:dyDescent="0.25">
      <c r="A39" s="7" t="s">
        <v>205</v>
      </c>
      <c r="B39" s="71" t="s">
        <v>234</v>
      </c>
      <c r="C39" s="1"/>
      <c r="D39" s="1"/>
      <c r="E39" s="124">
        <f>SUM(F39:I39)</f>
        <v>8441197.290000001</v>
      </c>
      <c r="F39" s="124"/>
      <c r="G39" s="16"/>
      <c r="H39" s="19">
        <f>+SALDOS!G448</f>
        <v>8441197.290000001</v>
      </c>
      <c r="I39" s="125"/>
      <c r="J39" s="123"/>
    </row>
    <row r="40" ht="11.25" customHeight="1" spans="1:10" x14ac:dyDescent="0.25">
      <c r="A40" s="7" t="s">
        <v>205</v>
      </c>
      <c r="B40" s="1" t="s">
        <v>235</v>
      </c>
      <c r="C40" s="1"/>
      <c r="D40" s="1"/>
      <c r="E40" s="124">
        <f>SUM(F40:I40)</f>
        <v>5034121.24</v>
      </c>
      <c r="F40" s="124">
        <f>+SALDOS!G217</f>
        <v>5034121.24</v>
      </c>
      <c r="G40" s="16"/>
      <c r="H40" s="19"/>
      <c r="I40" s="125"/>
      <c r="J40" s="123"/>
    </row>
    <row r="41" ht="11.25" customHeight="1" spans="1:10" x14ac:dyDescent="0.25">
      <c r="A41" s="7" t="s">
        <v>205</v>
      </c>
      <c r="B41" s="1" t="s">
        <v>236</v>
      </c>
      <c r="C41" s="1"/>
      <c r="D41" s="1"/>
      <c r="E41" s="124">
        <f>SUM(F41:I41)</f>
        <v>0</v>
      </c>
      <c r="F41" s="124">
        <f>+SALDOS!G238</f>
        <v>0</v>
      </c>
      <c r="G41" s="16"/>
      <c r="H41" s="19"/>
      <c r="I41" s="125"/>
      <c r="J41" s="123"/>
    </row>
    <row r="42" ht="11.25" customHeight="1" spans="1:10" x14ac:dyDescent="0.25">
      <c r="A42" s="7" t="s">
        <v>205</v>
      </c>
      <c r="B42" s="1" t="s">
        <v>237</v>
      </c>
      <c r="C42" s="1"/>
      <c r="D42" s="1"/>
      <c r="E42" s="124">
        <f>SUM(F42:I42)</f>
        <v>0</v>
      </c>
      <c r="F42" s="124">
        <f>+SALDOS!G363</f>
        <v>0</v>
      </c>
      <c r="G42" s="16"/>
      <c r="H42" s="19"/>
      <c r="I42" s="125"/>
      <c r="J42" s="123"/>
    </row>
    <row r="43" ht="11.25" customHeight="1" spans="1:10" x14ac:dyDescent="0.25">
      <c r="A43" s="7" t="s">
        <v>205</v>
      </c>
      <c r="B43" s="1" t="s">
        <v>238</v>
      </c>
      <c r="C43" s="1"/>
      <c r="D43" s="1"/>
      <c r="E43" s="124">
        <f>SUM(F43:I43)</f>
        <v>18512.4</v>
      </c>
      <c r="F43" s="124"/>
      <c r="G43" s="16"/>
      <c r="H43" s="19">
        <f>+SALDOS!G315</f>
        <v>18512.4</v>
      </c>
      <c r="I43" s="125"/>
      <c r="J43" s="123"/>
    </row>
    <row r="44" ht="11.25" customHeight="1" spans="1:10" x14ac:dyDescent="0.25">
      <c r="A44" s="7" t="s">
        <v>205</v>
      </c>
      <c r="B44" s="1" t="s">
        <v>239</v>
      </c>
      <c r="C44" s="1"/>
      <c r="D44" s="1"/>
      <c r="E44" s="124">
        <f>SUM(F44:I44)</f>
        <v>0</v>
      </c>
      <c r="F44" s="124"/>
      <c r="G44" s="16"/>
      <c r="H44" s="19">
        <f>+SALDOS!G385</f>
        <v>0</v>
      </c>
      <c r="I44" s="125"/>
      <c r="J44" s="123"/>
    </row>
    <row r="45" ht="11.25" customHeight="1" spans="1:10" x14ac:dyDescent="0.25">
      <c r="A45" s="7" t="s">
        <v>205</v>
      </c>
      <c r="B45" s="1" t="s">
        <v>240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ht="11.25" customHeight="1" spans="1:10" x14ac:dyDescent="0.25">
      <c r="A46" s="7" t="s">
        <v>205</v>
      </c>
      <c r="B46" s="1" t="s">
        <v>241</v>
      </c>
      <c r="C46" s="1"/>
      <c r="D46" s="1"/>
      <c r="E46" s="124">
        <f>SUM(F46:I46)</f>
        <v>0</v>
      </c>
      <c r="F46" s="124">
        <f>+SALDOS!G459</f>
        <v>0</v>
      </c>
      <c r="G46" s="16"/>
      <c r="H46" s="19"/>
      <c r="I46" s="125"/>
      <c r="J46" s="123"/>
    </row>
    <row r="47" ht="11.25" customHeight="1" spans="1:10" x14ac:dyDescent="0.25">
      <c r="A47" s="7" t="s">
        <v>205</v>
      </c>
      <c r="B47" s="1" t="s">
        <v>242</v>
      </c>
      <c r="C47" s="1"/>
      <c r="D47" s="1"/>
      <c r="E47" s="124">
        <f>SUM(F47:I47)</f>
        <v>0</v>
      </c>
      <c r="F47" s="124">
        <f>+SALDOS!G256</f>
        <v>0</v>
      </c>
      <c r="G47" s="16"/>
      <c r="H47" s="19"/>
      <c r="I47" s="125"/>
      <c r="J47" s="123"/>
    </row>
    <row r="48" ht="11.25" customHeight="1" spans="1:10" x14ac:dyDescent="0.25">
      <c r="A48" s="7" t="s">
        <v>205</v>
      </c>
      <c r="B48" s="1" t="s">
        <v>243</v>
      </c>
      <c r="C48" s="1"/>
      <c r="D48" s="1"/>
      <c r="E48" s="124">
        <f>SUM(F48:I48)</f>
        <v>236115665.5</v>
      </c>
      <c r="F48" s="124"/>
      <c r="G48" s="16"/>
      <c r="H48" s="19">
        <f>+SALDOS!G413</f>
        <v>236115665.5</v>
      </c>
      <c r="I48" s="125"/>
      <c r="J48" s="123"/>
    </row>
    <row r="49" ht="11.25" customHeight="1" spans="1:10" x14ac:dyDescent="0.25">
      <c r="A49" s="7" t="s">
        <v>205</v>
      </c>
      <c r="B49" s="1" t="s">
        <v>244</v>
      </c>
      <c r="C49" s="1"/>
      <c r="D49" s="1"/>
      <c r="E49" s="124">
        <f>SUM(F49:I49)</f>
        <v>0</v>
      </c>
      <c r="F49" s="124">
        <f>+SALDOS!G233</f>
        <v>0</v>
      </c>
      <c r="G49" s="16"/>
      <c r="H49" s="19"/>
      <c r="I49" s="125"/>
      <c r="J49" s="123"/>
    </row>
    <row r="50" ht="11.25" customHeight="1" spans="1:10" x14ac:dyDescent="0.25">
      <c r="A50" s="7" t="s">
        <v>205</v>
      </c>
      <c r="B50" s="71" t="s">
        <v>245</v>
      </c>
      <c r="C50" s="1"/>
      <c r="D50" s="1"/>
      <c r="E50" s="124">
        <f>SUM(F50:I50)</f>
        <v>14667167.22</v>
      </c>
      <c r="F50" s="124">
        <f>+SALDOS!G452</f>
        <v>14667167.22</v>
      </c>
      <c r="G50" s="16"/>
      <c r="H50" s="19"/>
      <c r="I50" s="125"/>
      <c r="J50" s="123"/>
    </row>
    <row r="51" ht="11.25" customHeight="1" spans="1:10" x14ac:dyDescent="0.25">
      <c r="A51" s="7" t="s">
        <v>205</v>
      </c>
      <c r="B51" s="71" t="s">
        <v>246</v>
      </c>
      <c r="C51" s="1"/>
      <c r="D51" s="1"/>
      <c r="E51" s="124">
        <f>SUM(F51:I51)</f>
        <v>0</v>
      </c>
      <c r="F51" s="124">
        <f>+SALDOS!G232</f>
        <v>0</v>
      </c>
      <c r="G51" s="16"/>
      <c r="H51" s="19"/>
      <c r="I51" s="125"/>
      <c r="J51" s="123"/>
    </row>
    <row r="52" ht="11.25" customHeight="1" spans="1:10" x14ac:dyDescent="0.25">
      <c r="A52" s="7" t="s">
        <v>205</v>
      </c>
      <c r="B52" s="71" t="s">
        <v>247</v>
      </c>
      <c r="C52" s="1"/>
      <c r="D52" s="1"/>
      <c r="E52" s="124">
        <f>SUM(F52:I52)</f>
        <v>9103800</v>
      </c>
      <c r="F52" s="124">
        <f>+SALDOS!G186+SALDOS!G230+SALDOS!G367+SALDOS!G386</f>
        <v>39000</v>
      </c>
      <c r="G52" s="16"/>
      <c r="H52" s="19">
        <f>+SALDOS!G390</f>
        <v>9064800</v>
      </c>
      <c r="I52" s="125"/>
      <c r="J52" s="123"/>
    </row>
    <row r="53" ht="11.25" customHeight="1" spans="1:10" x14ac:dyDescent="0.25">
      <c r="A53" s="7" t="s">
        <v>205</v>
      </c>
      <c r="B53" s="71" t="s">
        <v>248</v>
      </c>
      <c r="C53" s="1"/>
      <c r="D53" s="1"/>
      <c r="E53" s="124">
        <f>SUM(F53:I53)</f>
        <v>832331.1900000001</v>
      </c>
      <c r="F53" s="124"/>
      <c r="G53" s="16"/>
      <c r="H53" s="19">
        <f>+SALDOS!G294</f>
        <v>832331.1900000001</v>
      </c>
      <c r="I53" s="125"/>
      <c r="J53" s="123"/>
    </row>
    <row r="54" ht="11.25" customHeight="1" spans="1:10" x14ac:dyDescent="0.25">
      <c r="A54" s="7" t="s">
        <v>205</v>
      </c>
      <c r="B54" s="71" t="s">
        <v>249</v>
      </c>
      <c r="C54" s="1"/>
      <c r="D54" s="1"/>
      <c r="E54" s="124">
        <f>SUM(F54:I54)</f>
        <v>0</v>
      </c>
      <c r="F54" s="124"/>
      <c r="G54" s="16"/>
      <c r="H54" s="19">
        <f>+SALDOS!G310</f>
        <v>0</v>
      </c>
      <c r="I54" s="125"/>
      <c r="J54" s="123"/>
    </row>
    <row r="55" ht="11.25" customHeight="1" spans="1:10" x14ac:dyDescent="0.25">
      <c r="A55" s="7" t="s">
        <v>205</v>
      </c>
      <c r="B55" s="1" t="s">
        <v>250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ht="11.25" customHeight="1" spans="1:10" x14ac:dyDescent="0.25">
      <c r="A56" s="7" t="s">
        <v>205</v>
      </c>
      <c r="B56" s="1" t="s">
        <v>251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ht="11.25" customHeight="1" spans="1:10" x14ac:dyDescent="0.25">
      <c r="A57" s="7" t="s">
        <v>205</v>
      </c>
      <c r="B57" s="1" t="s">
        <v>252</v>
      </c>
      <c r="C57" s="1"/>
      <c r="D57" s="1"/>
      <c r="E57" s="124">
        <f>SUM(F57:I57)</f>
        <v>22769032.28</v>
      </c>
      <c r="F57" s="124">
        <f>+SALDOS!G269</f>
        <v>22769032.28</v>
      </c>
      <c r="G57" s="19"/>
      <c r="H57" s="16"/>
      <c r="I57" s="38"/>
      <c r="J57" s="123"/>
    </row>
    <row r="58" ht="11.25" customHeight="1" spans="1:10" x14ac:dyDescent="0.25">
      <c r="A58" s="7" t="s">
        <v>205</v>
      </c>
      <c r="B58" s="1" t="s">
        <v>253</v>
      </c>
      <c r="C58" s="1"/>
      <c r="D58" s="1"/>
      <c r="E58" s="124">
        <f>SUM(F58:I58)</f>
        <v>0</v>
      </c>
      <c r="F58" s="124">
        <f>+SALDOS!G272+SALDOS!G282</f>
        <v>0</v>
      </c>
      <c r="G58" s="19"/>
      <c r="H58" s="16"/>
      <c r="I58" s="38"/>
      <c r="J58" s="123"/>
    </row>
    <row r="59" ht="11.25" customHeight="1" spans="1:10" x14ac:dyDescent="0.25">
      <c r="A59" s="7" t="s">
        <v>205</v>
      </c>
      <c r="B59" s="1" t="s">
        <v>254</v>
      </c>
      <c r="C59" s="1"/>
      <c r="D59" s="1"/>
      <c r="E59" s="124">
        <f>SUM(F59:I59)</f>
        <v>11619112.85</v>
      </c>
      <c r="F59" s="124">
        <f>+SALDOS!G168+SALDOS!G283+SALDOS!G284+SALDOS!G493+SALDOS!F498</f>
        <v>11619112.85</v>
      </c>
      <c r="G59" s="17"/>
      <c r="H59" s="16"/>
      <c r="I59" s="38"/>
      <c r="J59" s="123"/>
    </row>
    <row r="60" ht="11.25" customHeight="1" spans="1:10" x14ac:dyDescent="0.25">
      <c r="A60" s="7" t="s">
        <v>205</v>
      </c>
      <c r="B60" s="71" t="s">
        <v>255</v>
      </c>
      <c r="C60" s="1"/>
      <c r="D60" s="1"/>
      <c r="E60" s="124">
        <f>SUM(F60:I60)</f>
        <v>768315.33</v>
      </c>
      <c r="F60" s="124">
        <f>+SALDOS!G425</f>
        <v>768315.33</v>
      </c>
      <c r="G60" s="16"/>
      <c r="H60" s="19"/>
      <c r="I60" s="125"/>
      <c r="J60" s="123"/>
    </row>
    <row r="61" ht="11.25" customHeight="1" spans="1:10" x14ac:dyDescent="0.25">
      <c r="A61" s="7" t="s">
        <v>205</v>
      </c>
      <c r="B61" s="71" t="s">
        <v>256</v>
      </c>
      <c r="C61" s="1"/>
      <c r="D61" s="1"/>
      <c r="E61" s="124">
        <f>SUM(F61:I61)</f>
        <v>0</v>
      </c>
      <c r="F61" s="124"/>
      <c r="G61" s="16"/>
      <c r="H61" s="19">
        <f>+SALDOS!G293</f>
        <v>0</v>
      </c>
      <c r="I61" s="125"/>
      <c r="J61" s="123"/>
    </row>
    <row r="62" ht="11.25" customHeight="1" spans="1:10" x14ac:dyDescent="0.25">
      <c r="A62" s="7" t="s">
        <v>205</v>
      </c>
      <c r="B62" s="71" t="s">
        <v>257</v>
      </c>
      <c r="C62" s="1"/>
      <c r="D62" s="1"/>
      <c r="E62" s="124">
        <f>SUM(F62:I62)</f>
        <v>149263.11</v>
      </c>
      <c r="F62" s="124">
        <f>+SALDOS!G246</f>
        <v>149263.11</v>
      </c>
      <c r="G62" s="16"/>
      <c r="H62" s="19"/>
      <c r="I62" s="125"/>
      <c r="J62" s="123"/>
    </row>
    <row r="63" ht="11.25" customHeight="1" spans="1:10" x14ac:dyDescent="0.25">
      <c r="A63" s="7" t="s">
        <v>205</v>
      </c>
      <c r="B63" s="71" t="s">
        <v>258</v>
      </c>
      <c r="C63" s="1"/>
      <c r="D63" s="1"/>
      <c r="E63" s="124">
        <f>SUM(F63:I63)</f>
        <v>88381242.3</v>
      </c>
      <c r="F63" s="124">
        <f>+SALDOS!G171+SALDOS!G338+SALDOS!G389+SALDOS!G339</f>
        <v>1068794.41</v>
      </c>
      <c r="G63" s="16"/>
      <c r="H63" s="19">
        <f>+SALDOS!G318</f>
        <v>87312447.89</v>
      </c>
      <c r="I63" s="125"/>
      <c r="J63" s="123"/>
    </row>
    <row r="64" ht="11.25" customHeight="1" spans="1:10" x14ac:dyDescent="0.25">
      <c r="A64" s="7" t="s">
        <v>205</v>
      </c>
      <c r="B64" s="71" t="s">
        <v>259</v>
      </c>
      <c r="C64" s="1"/>
      <c r="D64" s="1"/>
      <c r="E64" s="124">
        <f>SUM(F64:I64)</f>
        <v>101825.6</v>
      </c>
      <c r="F64" s="124"/>
      <c r="G64" s="16"/>
      <c r="H64" s="19">
        <f>+SALDOS!G243</f>
        <v>101825.6</v>
      </c>
      <c r="I64" s="125"/>
      <c r="J64" s="123"/>
    </row>
    <row r="65" ht="11.25" customHeight="1" spans="1:10" x14ac:dyDescent="0.25">
      <c r="A65" s="7" t="s">
        <v>205</v>
      </c>
      <c r="B65" s="71" t="s">
        <v>260</v>
      </c>
      <c r="C65" s="1"/>
      <c r="D65" s="1"/>
      <c r="E65" s="124">
        <f>SUM(F65:I65)</f>
        <v>0</v>
      </c>
      <c r="F65" s="124">
        <f>+SALDOS!G477</f>
        <v>0</v>
      </c>
      <c r="G65" s="16"/>
      <c r="H65" s="19"/>
      <c r="I65" s="125"/>
      <c r="J65" s="123"/>
    </row>
    <row r="66" ht="11.25" customHeight="1" spans="1:10" x14ac:dyDescent="0.25">
      <c r="A66" s="7" t="s">
        <v>205</v>
      </c>
      <c r="B66" s="71" t="s">
        <v>261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205</v>
      </c>
      <c r="B67" s="71" t="s">
        <v>262</v>
      </c>
      <c r="C67" s="1"/>
      <c r="D67" s="1"/>
      <c r="E67" s="124">
        <f>SUM(F67:I67)</f>
        <v>2052084.4000000001</v>
      </c>
      <c r="F67" s="124">
        <f>+SALDOS!G226</f>
        <v>2052084.4000000001</v>
      </c>
      <c r="G67" s="16"/>
      <c r="H67" s="19"/>
      <c r="I67" s="125"/>
      <c r="J67" s="123"/>
    </row>
    <row r="68" ht="11.25" customHeight="1" spans="1:10" x14ac:dyDescent="0.25">
      <c r="A68" s="7" t="s">
        <v>205</v>
      </c>
      <c r="B68" s="71" t="s">
        <v>263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205</v>
      </c>
      <c r="B69" s="71" t="s">
        <v>264</v>
      </c>
      <c r="C69" s="1"/>
      <c r="D69" s="1"/>
      <c r="E69" s="124">
        <f>SUM(F69:I69)</f>
        <v>0</v>
      </c>
      <c r="F69" s="124"/>
      <c r="G69" s="16"/>
      <c r="H69" s="19">
        <f>+SALDOS!G387</f>
        <v>0</v>
      </c>
      <c r="I69" s="125"/>
      <c r="J69" s="123"/>
    </row>
    <row r="70" ht="11.25" customHeight="1" spans="1:10" x14ac:dyDescent="0.25">
      <c r="A70" s="7" t="s">
        <v>205</v>
      </c>
      <c r="B70" s="71" t="s">
        <v>265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205</v>
      </c>
      <c r="B71" s="71" t="s">
        <v>266</v>
      </c>
      <c r="C71" s="1"/>
      <c r="D71" s="1"/>
      <c r="E71" s="124">
        <f>SUM(F71:I71)</f>
        <v>0</v>
      </c>
      <c r="F71" s="124">
        <f>+SALDOS!G234</f>
        <v>0</v>
      </c>
      <c r="G71" s="16"/>
      <c r="H71" s="19"/>
      <c r="I71" s="125"/>
      <c r="J71" s="123"/>
    </row>
    <row r="72" ht="11.25" customHeight="1" spans="1:10" x14ac:dyDescent="0.25">
      <c r="A72" s="7" t="s">
        <v>205</v>
      </c>
      <c r="B72" s="71" t="s">
        <v>267</v>
      </c>
      <c r="C72" s="1"/>
      <c r="D72" s="1"/>
      <c r="E72" s="124">
        <f>SUM(F72:I72)</f>
        <v>0</v>
      </c>
      <c r="F72" s="124">
        <f>+SALDOS!G487</f>
        <v>0</v>
      </c>
      <c r="G72" s="16"/>
      <c r="H72" s="19"/>
      <c r="I72" s="125"/>
      <c r="J72" s="123"/>
    </row>
    <row r="73" ht="11.25" customHeight="1" spans="1:10" x14ac:dyDescent="0.25">
      <c r="A73" s="7" t="s">
        <v>205</v>
      </c>
      <c r="B73" s="1" t="s">
        <v>268</v>
      </c>
      <c r="C73" s="1"/>
      <c r="D73" s="1"/>
      <c r="E73" s="124">
        <f>SUM(F73:I73)</f>
        <v>700000</v>
      </c>
      <c r="F73" s="124">
        <f>+SALDOS!G208</f>
        <v>700000</v>
      </c>
      <c r="G73" s="16"/>
      <c r="H73" s="19"/>
      <c r="I73" s="125"/>
      <c r="J73" s="123"/>
    </row>
    <row r="74" ht="11.25" customHeight="1" spans="1:10" x14ac:dyDescent="0.25">
      <c r="A74" s="7" t="s">
        <v>205</v>
      </c>
      <c r="B74" s="1" t="s">
        <v>269</v>
      </c>
      <c r="C74" s="1"/>
      <c r="D74" s="1"/>
      <c r="E74" s="124">
        <f>SUM(F74:I74)</f>
        <v>4013596.99</v>
      </c>
      <c r="F74" s="19">
        <f>+SALDOS!G480</f>
        <v>4013596.99</v>
      </c>
      <c r="G74" s="16"/>
      <c r="H74" s="19"/>
      <c r="I74" s="125"/>
      <c r="J74" s="123"/>
    </row>
    <row r="75" ht="11.25" customHeight="1" spans="1:10" x14ac:dyDescent="0.25">
      <c r="A75" s="7" t="s">
        <v>205</v>
      </c>
      <c r="B75" s="1" t="s">
        <v>270</v>
      </c>
      <c r="C75" s="1"/>
      <c r="D75" s="1"/>
      <c r="E75" s="124">
        <f>SUM(F75:I75)</f>
        <v>0</v>
      </c>
      <c r="F75" s="125">
        <f>+SALDOS!G205</f>
        <v>0</v>
      </c>
      <c r="G75" s="16"/>
      <c r="H75" s="16"/>
      <c r="I75" s="38"/>
      <c r="J75" s="123"/>
    </row>
    <row r="76" ht="11.25" customHeight="1" spans="1:10" x14ac:dyDescent="0.25">
      <c r="A76" s="7" t="s">
        <v>205</v>
      </c>
      <c r="B76" s="71" t="s">
        <v>271</v>
      </c>
      <c r="C76" s="1"/>
      <c r="D76" s="1"/>
      <c r="E76" s="124">
        <f>SUM(F76:I76)</f>
        <v>17921832.18</v>
      </c>
      <c r="F76" s="124">
        <f>+SALDOS!G434</f>
        <v>17921832.18</v>
      </c>
      <c r="G76" s="16"/>
      <c r="H76" s="19"/>
      <c r="I76" s="125"/>
      <c r="J76" s="123"/>
    </row>
    <row r="77" ht="11.25" customHeight="1" spans="1:10" x14ac:dyDescent="0.25">
      <c r="A77" s="7" t="s">
        <v>205</v>
      </c>
      <c r="B77" s="71" t="s">
        <v>272</v>
      </c>
      <c r="C77" s="1"/>
      <c r="D77" s="1"/>
      <c r="E77" s="124">
        <f>SUM(F77:I77)</f>
        <v>0</v>
      </c>
      <c r="F77" s="124">
        <f>+SALDOS!G488</f>
        <v>0</v>
      </c>
      <c r="G77" s="16"/>
      <c r="H77" s="19"/>
      <c r="I77" s="125"/>
      <c r="J77" s="123"/>
    </row>
    <row r="78" ht="11.25" customHeight="1" spans="1:10" x14ac:dyDescent="0.25">
      <c r="A78" s="7" t="s">
        <v>205</v>
      </c>
      <c r="B78" s="71" t="s">
        <v>273</v>
      </c>
      <c r="C78" s="1"/>
      <c r="D78" s="1"/>
      <c r="E78" s="124">
        <f>SUM(F78:I78)</f>
        <v>0</v>
      </c>
      <c r="F78" s="124"/>
      <c r="G78" s="16"/>
      <c r="H78" s="19">
        <f>+SALDOS!G317</f>
        <v>0</v>
      </c>
      <c r="I78" s="125"/>
      <c r="J78" s="123"/>
    </row>
    <row r="79" ht="11.25" customHeight="1" spans="1:10" x14ac:dyDescent="0.25">
      <c r="A79" s="7" t="s">
        <v>205</v>
      </c>
      <c r="B79" s="71" t="s">
        <v>274</v>
      </c>
      <c r="C79" s="1"/>
      <c r="D79" s="1"/>
      <c r="E79" s="124">
        <f>SUM(F79:I79)</f>
        <v>0</v>
      </c>
      <c r="F79" s="124"/>
      <c r="G79" s="16"/>
      <c r="H79" s="19">
        <f>+SALDOS!G485</f>
        <v>0</v>
      </c>
      <c r="I79" s="125"/>
      <c r="J79" s="123"/>
    </row>
    <row r="80" ht="11.25" customHeight="1" spans="1:10" x14ac:dyDescent="0.25">
      <c r="A80" s="7" t="s">
        <v>205</v>
      </c>
      <c r="B80" s="71" t="s">
        <v>275</v>
      </c>
      <c r="C80" s="1"/>
      <c r="D80" s="1"/>
      <c r="E80" s="124">
        <f>SUM(F80:I80)</f>
        <v>4150213.41</v>
      </c>
      <c r="F80" s="124"/>
      <c r="G80" s="16"/>
      <c r="H80" s="19">
        <f>+SALDOS!G486</f>
        <v>4150213.41</v>
      </c>
      <c r="I80" s="125"/>
      <c r="J80" s="123"/>
    </row>
    <row r="81" ht="11.25" customHeight="1" spans="1:10" x14ac:dyDescent="0.25">
      <c r="A81" s="7" t="s">
        <v>205</v>
      </c>
      <c r="B81" s="71" t="s">
        <v>276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+SALDOS!G401</f>
        <v>276280951</v>
      </c>
      <c r="I81" s="125"/>
      <c r="J81" s="123"/>
    </row>
    <row r="82" ht="11.25" customHeight="1" spans="1:10" x14ac:dyDescent="0.25">
      <c r="A82" s="7" t="s">
        <v>205</v>
      </c>
      <c r="B82" s="71" t="s">
        <v>277</v>
      </c>
      <c r="C82" s="1"/>
      <c r="D82" s="1"/>
      <c r="E82" s="124">
        <f>SUM(F82:I82)</f>
        <v>3499846.7</v>
      </c>
      <c r="F82" s="124">
        <f>+SALDOS!G281+SALDOS!G197</f>
        <v>0</v>
      </c>
      <c r="G82" s="16"/>
      <c r="H82" s="19">
        <f>+SALDOS!G416</f>
        <v>3499846.7</v>
      </c>
      <c r="I82" s="125"/>
      <c r="J82" s="123"/>
    </row>
    <row r="83" ht="11.25" customHeight="1" spans="1:10" x14ac:dyDescent="0.25">
      <c r="A83" s="7" t="s">
        <v>205</v>
      </c>
      <c r="B83" s="71" t="s">
        <v>278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ht="11.25" customHeight="1" spans="1:10" x14ac:dyDescent="0.25">
      <c r="A84" s="7" t="s">
        <v>205</v>
      </c>
      <c r="B84" s="71" t="s">
        <v>279</v>
      </c>
      <c r="C84" s="1"/>
      <c r="D84" s="1"/>
      <c r="E84" s="124">
        <f>SUM(F84:I84)</f>
        <v>0</v>
      </c>
      <c r="F84" s="124">
        <f>+SALDOS!G263</f>
        <v>0</v>
      </c>
      <c r="G84" s="16"/>
      <c r="H84" s="19"/>
      <c r="I84" s="125"/>
      <c r="J84" s="123"/>
    </row>
    <row r="85" ht="11.25" customHeight="1" spans="1:10" x14ac:dyDescent="0.25">
      <c r="A85" s="7" t="s">
        <v>205</v>
      </c>
      <c r="B85" s="71" t="s">
        <v>280</v>
      </c>
      <c r="C85" s="1"/>
      <c r="D85" s="1"/>
      <c r="E85" s="124">
        <f>SUM(F85:I85)</f>
        <v>0</v>
      </c>
      <c r="F85" s="124">
        <f>+SALDOS!G384</f>
        <v>0</v>
      </c>
      <c r="G85" s="16"/>
      <c r="H85" s="19"/>
      <c r="I85" s="125"/>
      <c r="J85" s="123"/>
    </row>
    <row r="86" ht="11.25" customHeight="1" spans="1:10" x14ac:dyDescent="0.25">
      <c r="A86" s="7" t="s">
        <v>205</v>
      </c>
      <c r="B86" s="71" t="s">
        <v>281</v>
      </c>
      <c r="C86" s="1"/>
      <c r="D86" s="1"/>
      <c r="E86" s="124">
        <f>SUM(F86:I86)</f>
        <v>0</v>
      </c>
      <c r="F86" s="124">
        <f>+SALDOS!G245</f>
        <v>0</v>
      </c>
      <c r="G86" s="16"/>
      <c r="H86" s="19"/>
      <c r="I86" s="125"/>
      <c r="J86" s="123"/>
    </row>
    <row r="87" ht="10.5" customHeight="1" spans="1:10" x14ac:dyDescent="0.25">
      <c r="A87" s="7" t="s">
        <v>205</v>
      </c>
      <c r="B87" s="71" t="s">
        <v>282</v>
      </c>
      <c r="C87" s="1"/>
      <c r="D87" s="1"/>
      <c r="E87" s="124">
        <f>SUM(F87:I87)</f>
        <v>0</v>
      </c>
      <c r="F87" s="16">
        <f>+SALDOS!G178</f>
        <v>0</v>
      </c>
      <c r="G87" s="16"/>
      <c r="H87" s="19"/>
      <c r="I87" s="125"/>
      <c r="J87" s="123"/>
    </row>
    <row r="88" ht="10.5" customHeight="1" spans="1:10" x14ac:dyDescent="0.25">
      <c r="A88" s="7" t="s">
        <v>205</v>
      </c>
      <c r="B88" s="71" t="s">
        <v>283</v>
      </c>
      <c r="C88" s="1"/>
      <c r="D88" s="1"/>
      <c r="E88" s="124">
        <f>SUM(F88:I88)</f>
        <v>0</v>
      </c>
      <c r="F88" s="16"/>
      <c r="G88" s="16"/>
      <c r="H88" s="19">
        <f>+SALDOS!G415</f>
        <v>0</v>
      </c>
      <c r="I88" s="125"/>
      <c r="J88" s="123"/>
    </row>
    <row r="89" ht="10.5" customHeight="1" spans="1:10" x14ac:dyDescent="0.25">
      <c r="A89" s="7" t="s">
        <v>205</v>
      </c>
      <c r="B89" s="71" t="s">
        <v>284</v>
      </c>
      <c r="C89" s="1"/>
      <c r="D89" s="1"/>
      <c r="E89" s="124">
        <f>SUM(F89:I89)</f>
        <v>101483.28</v>
      </c>
      <c r="F89" s="16">
        <f>+SALDOS!G443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205</v>
      </c>
      <c r="B90" s="71" t="s">
        <v>285</v>
      </c>
      <c r="C90" s="1"/>
      <c r="D90" s="1"/>
      <c r="E90" s="124">
        <f>SUM(F90:I90)</f>
        <v>0</v>
      </c>
      <c r="F90" s="16"/>
      <c r="G90" s="16"/>
      <c r="H90" s="19">
        <f>+SALDOS!G475</f>
        <v>0</v>
      </c>
      <c r="I90" s="125"/>
      <c r="J90" s="123"/>
    </row>
    <row r="91" ht="10.5" customHeight="1" spans="1:10" x14ac:dyDescent="0.25">
      <c r="A91" s="7" t="s">
        <v>205</v>
      </c>
      <c r="B91" s="71" t="s">
        <v>286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205</v>
      </c>
      <c r="B92" s="71" t="s">
        <v>251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287</v>
      </c>
      <c r="C93" s="1"/>
      <c r="D93" s="1"/>
      <c r="E93" s="124">
        <f>SUM(F93:I93)</f>
        <v>226987</v>
      </c>
      <c r="F93" s="16"/>
      <c r="G93" s="16"/>
      <c r="H93" s="19">
        <f>+SALDOS!G489</f>
        <v>226987</v>
      </c>
      <c r="I93" s="125"/>
      <c r="J93" s="123"/>
    </row>
    <row r="94" ht="10.5" customHeight="1" spans="1:10" x14ac:dyDescent="0.25">
      <c r="A94" s="7" t="s">
        <v>205</v>
      </c>
      <c r="B94" s="71" t="s">
        <v>288</v>
      </c>
      <c r="C94" s="1"/>
      <c r="D94" s="1"/>
      <c r="E94" s="124">
        <f>SUM(F94:I94)</f>
        <v>914304.7000000001</v>
      </c>
      <c r="F94" s="16"/>
      <c r="G94" s="16"/>
      <c r="H94" s="19">
        <f>+SALDOS!G490+SALDOS!G491</f>
        <v>914304.7000000001</v>
      </c>
      <c r="I94" s="125"/>
      <c r="J94" s="123"/>
    </row>
    <row r="95" ht="10.5" customHeight="1" spans="1:10" x14ac:dyDescent="0.25">
      <c r="A95" s="7" t="s">
        <v>205</v>
      </c>
      <c r="B95" s="71" t="s">
        <v>289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205</v>
      </c>
      <c r="B96" s="71" t="s">
        <v>290</v>
      </c>
      <c r="C96" s="1"/>
      <c r="D96" s="1"/>
      <c r="E96" s="124">
        <f>SUM(F96:I96)</f>
        <v>0</v>
      </c>
      <c r="F96" s="16"/>
      <c r="G96" s="16"/>
      <c r="H96" s="19">
        <f>+SALDOS!G494</f>
        <v>0</v>
      </c>
      <c r="I96" s="125"/>
      <c r="J96" s="123"/>
    </row>
    <row r="97" ht="10.5" customHeight="1" spans="1:10" x14ac:dyDescent="0.25">
      <c r="A97" s="7" t="s">
        <v>205</v>
      </c>
      <c r="B97" s="71" t="s">
        <v>291</v>
      </c>
      <c r="C97" s="1"/>
      <c r="D97" s="1"/>
      <c r="E97" s="124">
        <f>SUM(F97:I97)</f>
        <v>0</v>
      </c>
      <c r="F97" s="16"/>
      <c r="G97" s="16"/>
      <c r="H97" s="19">
        <f>+SALDOS!F492</f>
        <v>0</v>
      </c>
      <c r="I97" s="125"/>
      <c r="J97" s="123"/>
    </row>
    <row r="98" ht="10.5" customHeight="1" spans="1:10" x14ac:dyDescent="0.25">
      <c r="A98" s="7" t="s">
        <v>205</v>
      </c>
      <c r="B98" s="71" t="s">
        <v>292</v>
      </c>
      <c r="C98" s="1"/>
      <c r="D98" s="1"/>
      <c r="E98" s="124">
        <f>SUM(F98:I98)</f>
        <v>0</v>
      </c>
      <c r="F98" s="16"/>
      <c r="G98" s="16"/>
      <c r="H98" s="19">
        <f>+SALDOS!G497</f>
        <v>0</v>
      </c>
      <c r="I98" s="125"/>
      <c r="J98" s="123"/>
    </row>
    <row r="99" ht="10.5" customHeight="1" spans="1:10" x14ac:dyDescent="0.25">
      <c r="A99" s="7" t="s">
        <v>205</v>
      </c>
      <c r="B99" s="71" t="s">
        <v>293</v>
      </c>
      <c r="C99" s="1"/>
      <c r="D99" s="1"/>
      <c r="E99" s="124">
        <f>SUM(F99:I99)</f>
        <v>0</v>
      </c>
      <c r="F99" s="16"/>
      <c r="G99" s="16"/>
      <c r="H99" s="19">
        <f>+SALDOS!G499</f>
        <v>0</v>
      </c>
      <c r="I99" s="125"/>
      <c r="J99" s="123"/>
    </row>
    <row r="100" ht="10.5" customHeight="1" spans="1:10" x14ac:dyDescent="0.25">
      <c r="A100" s="7" t="s">
        <v>205</v>
      </c>
      <c r="B100" s="71" t="s">
        <v>294</v>
      </c>
      <c r="C100" s="1"/>
      <c r="D100" s="1"/>
      <c r="E100" s="124">
        <f>SUM(F100:I100)</f>
        <v>0</v>
      </c>
      <c r="F100" s="16"/>
      <c r="G100" s="16"/>
      <c r="H100" s="19">
        <f>+SALDOS!G500</f>
        <v>0</v>
      </c>
      <c r="I100" s="125"/>
      <c r="J100" s="123"/>
    </row>
    <row r="101" ht="10.5" customHeight="1" spans="1:10" x14ac:dyDescent="0.25">
      <c r="A101" s="7" t="s">
        <v>205</v>
      </c>
      <c r="B101" s="71" t="s">
        <v>295</v>
      </c>
      <c r="C101" s="1"/>
      <c r="D101" s="1"/>
      <c r="E101" s="124">
        <f>SUM(F101:I101)</f>
        <v>0</v>
      </c>
      <c r="F101" s="16"/>
      <c r="G101" s="16"/>
      <c r="H101" s="19">
        <f>+SALDOS!G501</f>
        <v>0</v>
      </c>
      <c r="I101" s="125"/>
      <c r="J101" s="123"/>
    </row>
    <row r="102" ht="10.5" customHeight="1" spans="1:10" x14ac:dyDescent="0.25">
      <c r="A102" s="7" t="s">
        <v>205</v>
      </c>
      <c r="B102" s="1" t="s">
        <v>296</v>
      </c>
      <c r="C102" s="1"/>
      <c r="D102" s="1"/>
      <c r="E102" s="124">
        <f>SUM(F102:I102)</f>
        <v>0</v>
      </c>
      <c r="F102" s="16"/>
      <c r="G102" s="16"/>
      <c r="H102" s="19">
        <f>+SALDOS!G502</f>
        <v>0</v>
      </c>
      <c r="I102" s="125"/>
      <c r="J102" s="123"/>
    </row>
    <row r="103" ht="10.9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/>
    </row>
    <row r="104" ht="10.9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15" outlineLevelRow="0" outlineLevelCol="0" x14ac:dyDescent="0.2" defaultColWidth="18.140625" customHeight="1"/>
  <cols>
    <col min="1" max="1" width="29" style="77" customWidth="1"/>
    <col min="2" max="2" width="18.85546875" style="77" customWidth="1"/>
    <col min="3" max="3" width="14.7109375" style="77" customWidth="1"/>
    <col min="4" max="4" width="15.42578125" style="77" customWidth="1"/>
    <col min="5" max="5" width="14.140625" style="77" customWidth="1"/>
    <col min="6" max="6" width="18" style="77" customWidth="1"/>
    <col min="7" max="7" width="13.140625" style="77" customWidth="1"/>
    <col min="8" max="9" width="18.42578125" style="77" customWidth="1"/>
    <col min="10" max="10" width="21" style="77" customWidth="1"/>
    <col min="11" max="11" width="17.7109375" style="77" customWidth="1"/>
    <col min="12" max="16384" width="18.14062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160</v>
      </c>
    </row>
    <row r="3" ht="13.9" customHeight="1" x14ac:dyDescent="0.25"/>
    <row r="4" ht="13.9" customHeight="1" spans="1:11" x14ac:dyDescent="0.25">
      <c r="A4" s="79" t="s">
        <v>161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162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163</v>
      </c>
      <c r="C8" s="90"/>
      <c r="D8" s="90"/>
      <c r="E8" s="90"/>
      <c r="F8" s="90" t="s">
        <v>164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165</v>
      </c>
      <c r="C9" s="93"/>
      <c r="D9" s="93"/>
      <c r="E9" s="93" t="s">
        <v>165</v>
      </c>
      <c r="F9" s="93" t="s">
        <v>166</v>
      </c>
      <c r="G9" s="93"/>
      <c r="H9" s="94" t="s">
        <v>167</v>
      </c>
      <c r="I9" s="95"/>
      <c r="J9" s="93" t="s">
        <v>168</v>
      </c>
      <c r="K9" s="96" t="s">
        <v>169</v>
      </c>
    </row>
    <row r="10" ht="12.75" customHeight="1" spans="1:11" x14ac:dyDescent="0.25">
      <c r="A10" s="97" t="s">
        <v>51</v>
      </c>
      <c r="B10" s="93" t="s">
        <v>170</v>
      </c>
      <c r="C10" s="93" t="s">
        <v>171</v>
      </c>
      <c r="D10" s="93" t="s">
        <v>172</v>
      </c>
      <c r="E10" s="93" t="s">
        <v>173</v>
      </c>
      <c r="F10" s="93" t="s">
        <v>174</v>
      </c>
      <c r="G10" s="93" t="s">
        <v>175</v>
      </c>
      <c r="H10" s="93" t="s">
        <v>176</v>
      </c>
      <c r="I10" s="93" t="s">
        <v>177</v>
      </c>
      <c r="J10" s="93" t="s">
        <v>178</v>
      </c>
      <c r="K10" s="96" t="s">
        <v>179</v>
      </c>
    </row>
    <row r="11" ht="12.75" customHeight="1" spans="1:11" x14ac:dyDescent="0.25">
      <c r="A11" s="92"/>
      <c r="B11" s="93" t="s">
        <v>180</v>
      </c>
      <c r="C11" s="93"/>
      <c r="D11" s="93"/>
      <c r="E11" s="93" t="s">
        <v>180</v>
      </c>
      <c r="F11" s="93" t="s">
        <v>180</v>
      </c>
      <c r="G11" s="93"/>
      <c r="H11" s="93"/>
      <c r="I11" s="93" t="s">
        <v>167</v>
      </c>
      <c r="J11" s="93" t="s">
        <v>180</v>
      </c>
      <c r="K11" s="96" t="s">
        <v>181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182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ht="12.75" customHeight="1" spans="1:15" x14ac:dyDescent="0.25">
      <c r="A16" s="103" t="s">
        <v>183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ht="12.75" customHeight="1" spans="1:15" x14ac:dyDescent="0.25">
      <c r="A17" s="103" t="s">
        <v>184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ht="12.75" customHeight="1" spans="1:15" x14ac:dyDescent="0.25">
      <c r="A18" s="103" t="s">
        <v>185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ht="12.75" customHeight="1" spans="1:15" x14ac:dyDescent="0.25">
      <c r="A19" s="103" t="s">
        <v>186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ht="12.75" customHeight="1" spans="1:15" x14ac:dyDescent="0.25">
      <c r="A20" s="103" t="s">
        <v>187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188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ht="12.75" customHeight="1" spans="1:15" x14ac:dyDescent="0.25">
      <c r="A22" s="103" t="s">
        <v>189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190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0"/>
  <sheetViews>
    <sheetView workbookViewId="0" zoomScale="115" zoomScaleNormal="115">
      <selection activeCell="I507" sqref="I507"/>
    </sheetView>
  </sheetViews>
  <sheetFormatPr defaultRowHeight="13.15" outlineLevelRow="0" outlineLevelCol="0" x14ac:dyDescent="0.2" defaultColWidth="11.42578125" customHeight="1"/>
  <cols>
    <col min="1" max="1" width="5.5703125" style="76" customWidth="1"/>
    <col min="2" max="2" width="2.28515625" style="76" customWidth="1"/>
    <col min="3" max="3" width="12.5703125" style="34" customWidth="1"/>
    <col min="4" max="4" width="10.5703125" style="132" customWidth="1"/>
    <col min="5" max="5" width="37" style="132" customWidth="1"/>
    <col min="6" max="6" width="34.140625" style="132" customWidth="1"/>
    <col min="7" max="7" width="19.42578125" style="133" customWidth="1"/>
    <col min="8" max="8" width="17.42578125" style="132" customWidth="1"/>
    <col min="9" max="9" width="16.5703125" style="134" customWidth="1"/>
    <col min="10" max="10" width="15.28515625" style="132" customWidth="1"/>
    <col min="11" max="11" width="14.42578125" style="132" customWidth="1"/>
    <col min="12" max="12" width="14.42578125" style="76" customWidth="1"/>
    <col min="13" max="16384" width="11.42578125" style="76" customWidth="1"/>
  </cols>
  <sheetData>
    <row r="1" ht="12.75" customHeight="1" spans="1:7" x14ac:dyDescent="0.25">
      <c r="A1" s="135" t="s">
        <v>297</v>
      </c>
      <c r="B1" s="135" t="s">
        <v>298</v>
      </c>
      <c r="C1" s="71" t="s">
        <v>299</v>
      </c>
      <c r="D1" s="135" t="s">
        <v>300</v>
      </c>
      <c r="E1" s="135"/>
      <c r="F1" s="135"/>
      <c r="G1" s="136" t="s">
        <v>301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302</v>
      </c>
      <c r="D3" s="71" t="s">
        <v>302</v>
      </c>
      <c r="E3" s="68"/>
      <c r="F3" s="140"/>
      <c r="G3" s="141">
        <f>IFERROR(VLOOKUP(C3,Hoja1!$A$2:$E$338,5,FALSE),)</f>
        <v>0</v>
      </c>
    </row>
    <row r="4" ht="12.75" customHeight="1" spans="1:7" x14ac:dyDescent="0.25">
      <c r="A4" s="137"/>
      <c r="B4" s="137"/>
      <c r="C4" s="139" t="s">
        <v>303</v>
      </c>
      <c r="D4" s="139" t="s">
        <v>303</v>
      </c>
      <c r="E4" s="72"/>
      <c r="F4" s="140"/>
      <c r="G4" s="141">
        <f>IFERROR(VLOOKUP(C4,Hoja1!$A$2:$E$338,5,FALSE),)</f>
        <v>0</v>
      </c>
    </row>
    <row r="5" ht="12.75" customHeight="1" spans="1:7" x14ac:dyDescent="0.25">
      <c r="A5" s="137"/>
      <c r="B5" s="137"/>
      <c r="C5" s="139" t="s">
        <v>304</v>
      </c>
      <c r="D5" s="71" t="s">
        <v>304</v>
      </c>
      <c r="E5" s="68"/>
      <c r="F5" s="140"/>
      <c r="G5" s="141">
        <f>IFERROR(VLOOKUP(C5,Hoja1!$A$2:$E$338,5,FALSE),)</f>
        <v>10663404.48</v>
      </c>
    </row>
    <row r="6" ht="12.75" customHeight="1" spans="1:8" x14ac:dyDescent="0.25">
      <c r="A6" s="137"/>
      <c r="B6" s="137"/>
      <c r="C6" s="139" t="s">
        <v>305</v>
      </c>
      <c r="D6" s="139" t="s">
        <v>306</v>
      </c>
      <c r="E6" s="68"/>
      <c r="F6" s="140"/>
      <c r="G6" s="141">
        <f>IFERROR(VLOOKUP(C6,Hoja1!$A$2:$E$338,5,FALSE),)</f>
        <v>1445749.5</v>
      </c>
      <c r="H6" s="142"/>
    </row>
    <row r="7" ht="12.75" customHeight="1" spans="1:8" x14ac:dyDescent="0.25">
      <c r="A7" s="137"/>
      <c r="B7" s="137"/>
      <c r="C7" s="72" t="s">
        <v>307</v>
      </c>
      <c r="D7" s="139" t="s">
        <v>307</v>
      </c>
      <c r="E7" s="68"/>
      <c r="F7" s="140"/>
      <c r="G7" s="141">
        <f>IFERROR(VLOOKUP(C7,Hoja1!$A$2:$E$338,5,FALSE),)</f>
        <v>0</v>
      </c>
      <c r="H7" s="142"/>
    </row>
    <row r="8" ht="12.75" customHeight="1" spans="1:8" x14ac:dyDescent="0.25">
      <c r="A8" s="137"/>
      <c r="B8" s="137"/>
      <c r="C8" s="139" t="s">
        <v>308</v>
      </c>
      <c r="D8" s="139" t="s">
        <v>308</v>
      </c>
      <c r="E8" s="68"/>
      <c r="F8" s="140"/>
      <c r="G8" s="141">
        <f>IFERROR(VLOOKUP(C8,Hoja1!$A$2:$E$338,5,FALSE),)</f>
        <v>-23141.31</v>
      </c>
      <c r="H8" s="142"/>
    </row>
    <row r="9" ht="12.75" customHeight="1" spans="1:8" x14ac:dyDescent="0.25">
      <c r="A9" s="137"/>
      <c r="B9" s="137"/>
      <c r="C9" s="139" t="s">
        <v>309</v>
      </c>
      <c r="D9" s="139" t="s">
        <v>309</v>
      </c>
      <c r="E9" s="68"/>
      <c r="F9" s="140"/>
      <c r="G9" s="141">
        <f>IFERROR(VLOOKUP(C9,Hoja1!$A$2:$E$338,5,FALSE),)</f>
        <v>3926.88</v>
      </c>
      <c r="H9" s="142"/>
    </row>
    <row r="10" ht="12.75" customHeight="1" spans="1:7" x14ac:dyDescent="0.25">
      <c r="A10" s="137"/>
      <c r="B10" s="137"/>
      <c r="C10" s="139" t="s">
        <v>310</v>
      </c>
      <c r="D10" s="71" t="s">
        <v>310</v>
      </c>
      <c r="E10" s="68"/>
      <c r="F10" s="140"/>
      <c r="G10" s="141">
        <f>IFERROR(VLOOKUP(C10,Hoja1!$A$2:$E$338,5,FALSE),)</f>
        <v>0</v>
      </c>
    </row>
    <row r="11" ht="12.75" customHeight="1" spans="1:7" x14ac:dyDescent="0.25">
      <c r="A11" s="137"/>
      <c r="B11" s="137"/>
      <c r="C11" s="139" t="s">
        <v>311</v>
      </c>
      <c r="D11" s="139" t="s">
        <v>311</v>
      </c>
      <c r="E11" s="71"/>
      <c r="F11" s="140"/>
      <c r="G11" s="141">
        <f>IFERROR(VLOOKUP(C11,Hoja1!$A$2:$E$338,5,FALSE),)</f>
        <v>8464196.790000001</v>
      </c>
    </row>
    <row r="12" ht="12.75" customHeight="1" spans="1:7" x14ac:dyDescent="0.25">
      <c r="A12" s="137"/>
      <c r="B12" s="137"/>
      <c r="C12" s="139" t="s">
        <v>312</v>
      </c>
      <c r="D12" s="139" t="s">
        <v>312</v>
      </c>
      <c r="E12" s="71"/>
      <c r="F12" s="140"/>
      <c r="G12" s="141">
        <f>IFERROR(VLOOKUP(C12,Hoja1!$A$2:$E$338,5,FALSE),)</f>
        <v>0</v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IFERROR(VLOOKUP(C13,Hoja1!$A$2:$E$338,5,FALSE),)</f>
        <v>0</v>
      </c>
    </row>
    <row r="14" ht="12.75" customHeight="1" spans="1:11" s="144" customFormat="1" x14ac:dyDescent="0.25">
      <c r="A14" s="145"/>
      <c r="B14" s="145"/>
      <c r="C14" s="146" t="s">
        <v>313</v>
      </c>
      <c r="D14" s="147" t="s">
        <v>313</v>
      </c>
      <c r="E14" s="147"/>
      <c r="F14" s="140"/>
      <c r="G14" s="143">
        <f>IFERROR(VLOOKUP(C14,Hoja1!$A$2:$E$338,5,FALSE),)</f>
        <v>0</v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314</v>
      </c>
      <c r="D15" s="71" t="s">
        <v>314</v>
      </c>
      <c r="E15" s="68"/>
      <c r="F15" s="140"/>
      <c r="G15" s="143">
        <f>IFERROR(VLOOKUP(C15,Hoja1!$A$2:$E$338,5,FALSE),)</f>
        <v>1667959397.47</v>
      </c>
    </row>
    <row r="16" ht="12.75" customHeight="1" spans="1:7" x14ac:dyDescent="0.25">
      <c r="A16" s="137"/>
      <c r="B16" s="137"/>
      <c r="C16" s="139" t="s">
        <v>315</v>
      </c>
      <c r="D16" s="71" t="s">
        <v>316</v>
      </c>
      <c r="E16" s="68"/>
      <c r="F16" s="140"/>
      <c r="G16" s="143">
        <f>IFERROR(VLOOKUP(C16,Hoja1!$A$2:$E$338,5,FALSE),)</f>
        <v>0</v>
      </c>
    </row>
    <row r="17" ht="12.75" customHeight="1" spans="1:8" x14ac:dyDescent="0.25">
      <c r="A17" s="137"/>
      <c r="B17" s="137"/>
      <c r="C17" s="139" t="s">
        <v>317</v>
      </c>
      <c r="D17" s="71" t="s">
        <v>318</v>
      </c>
      <c r="E17" s="71"/>
      <c r="F17" s="140"/>
      <c r="G17" s="143">
        <f>IFERROR(VLOOKUP(C17,Hoja1!$A$2:$E$338,5,FALSE),)</f>
        <v>0</v>
      </c>
      <c r="H17" s="150"/>
    </row>
    <row r="18" ht="12.75" customHeight="1" spans="1:7" x14ac:dyDescent="0.25">
      <c r="A18" s="137"/>
      <c r="B18" s="137"/>
      <c r="C18" s="139" t="s">
        <v>319</v>
      </c>
      <c r="D18" s="71" t="s">
        <v>320</v>
      </c>
      <c r="E18" s="68"/>
      <c r="F18" s="140"/>
      <c r="G18" s="143">
        <f>IFERROR(VLOOKUP(C18,Hoja1!$A$2:$E$338,5,FALSE),)</f>
        <v>7866857.08</v>
      </c>
    </row>
    <row r="19" ht="12.75" customHeight="1" spans="1:7" x14ac:dyDescent="0.25">
      <c r="A19" s="137"/>
      <c r="B19" s="137"/>
      <c r="C19" s="139" t="s">
        <v>321</v>
      </c>
      <c r="D19" s="71" t="s">
        <v>321</v>
      </c>
      <c r="E19" s="68"/>
      <c r="F19" s="140"/>
      <c r="G19" s="143">
        <f>IFERROR(VLOOKUP(C19,Hoja1!$A$2:$E$338,5,FALSE),)</f>
        <v>52018352.27</v>
      </c>
    </row>
    <row r="20" ht="12.75" customHeight="1" spans="1:7" x14ac:dyDescent="0.25">
      <c r="A20" s="137"/>
      <c r="B20" s="137"/>
      <c r="C20" s="139" t="s">
        <v>322</v>
      </c>
      <c r="D20" s="71" t="s">
        <v>323</v>
      </c>
      <c r="E20" s="68"/>
      <c r="F20" s="140"/>
      <c r="G20" s="143">
        <f>IFERROR(VLOOKUP(C20,Hoja1!$A$2:$E$338,5,FALSE),)</f>
        <v>528747.09</v>
      </c>
    </row>
    <row r="21" ht="12.75" customHeight="1" spans="1:7" x14ac:dyDescent="0.25">
      <c r="A21" s="137"/>
      <c r="B21" s="137"/>
      <c r="C21" s="151" t="s">
        <v>324</v>
      </c>
      <c r="D21" s="71" t="s">
        <v>325</v>
      </c>
      <c r="E21" s="71"/>
      <c r="F21" s="140"/>
      <c r="G21" s="143">
        <f>IFERROR(VLOOKUP(C21,Hoja1!$A$2:$E$338,5,FALSE),)</f>
        <v>0</v>
      </c>
    </row>
    <row r="22" ht="12.75" customHeight="1" spans="1:7" x14ac:dyDescent="0.25">
      <c r="A22" s="137"/>
      <c r="B22" s="137"/>
      <c r="C22" s="139" t="s">
        <v>326</v>
      </c>
      <c r="D22" s="71" t="s">
        <v>327</v>
      </c>
      <c r="E22" s="68"/>
      <c r="F22" s="140"/>
      <c r="G22" s="143">
        <f>IFERROR(VLOOKUP(C22,Hoja1!$A$2:$E$338,5,FALSE),)</f>
        <v>243686.59</v>
      </c>
    </row>
    <row r="23" ht="12.75" customHeight="1" spans="1:7" x14ac:dyDescent="0.25">
      <c r="A23" s="137"/>
      <c r="B23" s="137"/>
      <c r="C23" s="72" t="s">
        <v>328</v>
      </c>
      <c r="D23" s="71" t="s">
        <v>329</v>
      </c>
      <c r="E23" s="68"/>
      <c r="F23" s="140"/>
      <c r="G23" s="143">
        <f>IFERROR(VLOOKUP(C23,Hoja1!$A$2:$E$338,5,FALSE),)</f>
        <v>203599.05000000002</v>
      </c>
    </row>
    <row r="24" ht="12.75" customHeight="1" spans="1:7" x14ac:dyDescent="0.25">
      <c r="A24" s="137"/>
      <c r="B24" s="137"/>
      <c r="C24" s="139" t="s">
        <v>330</v>
      </c>
      <c r="D24" s="71" t="s">
        <v>330</v>
      </c>
      <c r="E24" s="68"/>
      <c r="F24" s="140"/>
      <c r="G24" s="143">
        <f>IFERROR(VLOOKUP(C24,Hoja1!$A$2:$E$338,5,FALSE),)</f>
        <v>45551974.83</v>
      </c>
    </row>
    <row r="25" ht="12.75" customHeight="1" spans="1:7" x14ac:dyDescent="0.25">
      <c r="A25" s="137"/>
      <c r="B25" s="137"/>
      <c r="C25" s="139" t="s">
        <v>331</v>
      </c>
      <c r="D25" s="139" t="s">
        <v>331</v>
      </c>
      <c r="E25" s="71"/>
      <c r="F25" s="140"/>
      <c r="G25" s="143">
        <f>IFERROR(VLOOKUP(C25,Hoja1!$A$2:$E$338,5,FALSE),)</f>
        <v>26028040.72</v>
      </c>
    </row>
    <row r="26" ht="12.75" customHeight="1" spans="1:7" x14ac:dyDescent="0.25">
      <c r="A26" s="137"/>
      <c r="B26" s="137"/>
      <c r="C26" s="72" t="s">
        <v>332</v>
      </c>
      <c r="D26" s="139" t="s">
        <v>332</v>
      </c>
      <c r="E26" s="71"/>
      <c r="F26" s="140"/>
      <c r="G26" s="143">
        <f>IFERROR(VLOOKUP(C26,Hoja1!$A$2:$E$338,5,FALSE),)</f>
        <v>0</v>
      </c>
    </row>
    <row r="27" ht="12.75" customHeight="1" spans="1:7" x14ac:dyDescent="0.25">
      <c r="A27" s="137"/>
      <c r="B27" s="137"/>
      <c r="C27" s="139" t="s">
        <v>333</v>
      </c>
      <c r="D27" s="139" t="s">
        <v>333</v>
      </c>
      <c r="E27" s="72"/>
      <c r="F27" s="140"/>
      <c r="G27" s="143">
        <f>IFERROR(VLOOKUP(C27,Hoja1!$A$2:$E$338,5,FALSE),)</f>
        <v>0</v>
      </c>
    </row>
    <row r="28" ht="12.75" customHeight="1" spans="1:7" x14ac:dyDescent="0.25">
      <c r="A28" s="137"/>
      <c r="B28" s="137"/>
      <c r="C28" s="139" t="s">
        <v>334</v>
      </c>
      <c r="D28" s="71" t="s">
        <v>334</v>
      </c>
      <c r="E28" s="72"/>
      <c r="F28" s="140"/>
      <c r="G28" s="143">
        <f>IFERROR(VLOOKUP(C28,Hoja1!$A$2:$E$338,5,FALSE),)</f>
        <v>0</v>
      </c>
    </row>
    <row r="29" ht="12.75" customHeight="1" spans="1:7" x14ac:dyDescent="0.25">
      <c r="A29" s="137"/>
      <c r="B29" s="137"/>
      <c r="C29" s="151" t="s">
        <v>335</v>
      </c>
      <c r="D29" s="71" t="s">
        <v>336</v>
      </c>
      <c r="E29" s="68"/>
      <c r="F29" s="140"/>
      <c r="G29" s="143">
        <f>IFERROR(VLOOKUP(C29,Hoja1!$A$2:$E$338,5,FALSE),)</f>
        <v>95935319.46000001</v>
      </c>
    </row>
    <row r="30" ht="12.75" customHeight="1" spans="1:7" x14ac:dyDescent="0.25">
      <c r="A30" s="137"/>
      <c r="B30" s="137"/>
      <c r="C30" s="151" t="s">
        <v>337</v>
      </c>
      <c r="D30" s="71" t="s">
        <v>338</v>
      </c>
      <c r="E30" s="150"/>
      <c r="F30" s="140"/>
      <c r="G30" s="143">
        <f>IFERROR(VLOOKUP(C30,Hoja1!$A$2:$E$338,5,FALSE),)</f>
        <v>908.12</v>
      </c>
    </row>
    <row r="31" ht="12.75" customHeight="1" spans="1:7" x14ac:dyDescent="0.25">
      <c r="A31" s="137"/>
      <c r="B31" s="137"/>
      <c r="C31" s="139" t="s">
        <v>339</v>
      </c>
      <c r="D31" s="139" t="s">
        <v>339</v>
      </c>
      <c r="E31" s="68"/>
      <c r="F31" s="140"/>
      <c r="G31" s="143">
        <f>IFERROR(VLOOKUP(C31,Hoja1!$A$2:$E$338,5,FALSE),)</f>
        <v>6297405.22</v>
      </c>
    </row>
    <row r="32" ht="12.75" customHeight="1" spans="1:8" x14ac:dyDescent="0.25">
      <c r="A32" s="137"/>
      <c r="B32" s="137"/>
      <c r="C32" s="139" t="s">
        <v>340</v>
      </c>
      <c r="D32" s="139" t="s">
        <v>340</v>
      </c>
      <c r="E32" s="68"/>
      <c r="F32" s="140"/>
      <c r="G32" s="143">
        <f>IFERROR(VLOOKUP(C32,Hoja1!$A$2:$E$338,5,FALSE),)</f>
        <v>0</v>
      </c>
      <c r="H32" s="72"/>
    </row>
    <row r="33" ht="12.75" customHeight="1" spans="1:7" x14ac:dyDescent="0.25">
      <c r="A33" s="137"/>
      <c r="B33" s="137"/>
      <c r="C33" s="139" t="s">
        <v>341</v>
      </c>
      <c r="D33" s="139" t="s">
        <v>341</v>
      </c>
      <c r="E33" s="72"/>
      <c r="F33" s="140"/>
      <c r="G33" s="143">
        <f>IFERROR(VLOOKUP(C33,Hoja1!$A$2:$E$338,5,FALSE),)</f>
        <v>154199532</v>
      </c>
    </row>
    <row r="34" ht="12.75" customHeight="1" spans="1:7" x14ac:dyDescent="0.25">
      <c r="A34" s="137"/>
      <c r="B34" s="137"/>
      <c r="C34" s="139" t="s">
        <v>342</v>
      </c>
      <c r="D34" s="71" t="s">
        <v>342</v>
      </c>
      <c r="E34" s="71"/>
      <c r="F34" s="140"/>
      <c r="G34" s="143">
        <f>IFERROR(VLOOKUP(C34,Hoja1!$A$2:$E$338,5,FALSE),)</f>
        <v>0</v>
      </c>
    </row>
    <row r="35" ht="12.75" customHeight="1" spans="1:7" x14ac:dyDescent="0.25">
      <c r="A35" s="137"/>
      <c r="B35" s="137"/>
      <c r="C35" s="139" t="s">
        <v>343</v>
      </c>
      <c r="D35" s="71" t="s">
        <v>343</v>
      </c>
      <c r="E35" s="71"/>
      <c r="F35" s="140"/>
      <c r="G35" s="143">
        <f>IFERROR(VLOOKUP(C35,Hoja1!$A$2:$E$338,5,FALSE),)</f>
        <v>0</v>
      </c>
    </row>
    <row r="36" ht="12.75" customHeight="1" spans="1:7" x14ac:dyDescent="0.25">
      <c r="A36" s="137"/>
      <c r="B36" s="137"/>
      <c r="C36" s="139" t="s">
        <v>344</v>
      </c>
      <c r="D36" s="139" t="s">
        <v>344</v>
      </c>
      <c r="E36" s="72"/>
      <c r="F36" s="140"/>
      <c r="G36" s="143">
        <f>IFERROR(VLOOKUP(C36,Hoja1!$A$2:$E$338,5,FALSE),)</f>
        <v>0</v>
      </c>
    </row>
    <row r="37" ht="12.75" customHeight="1" spans="1:7" x14ac:dyDescent="0.25">
      <c r="A37" s="137"/>
      <c r="B37" s="137"/>
      <c r="C37" s="139" t="s">
        <v>345</v>
      </c>
      <c r="D37" s="139" t="s">
        <v>345</v>
      </c>
      <c r="E37" s="68"/>
      <c r="F37" s="140"/>
      <c r="G37" s="143">
        <f>IFERROR(VLOOKUP(C37,Hoja1!$A$2:$E$338,5,FALSE),)</f>
        <v>17397227.48</v>
      </c>
    </row>
    <row r="38" ht="12.75" customHeight="1" spans="1:7" x14ac:dyDescent="0.25">
      <c r="A38" s="137"/>
      <c r="B38" s="137"/>
      <c r="C38" s="139" t="s">
        <v>346</v>
      </c>
      <c r="D38" s="139" t="s">
        <v>346</v>
      </c>
      <c r="E38" s="72"/>
      <c r="F38" s="140"/>
      <c r="G38" s="143">
        <f>IFERROR(VLOOKUP(C38,Hoja1!$A$2:$E$338,5,FALSE),)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IFERROR(VLOOKUP(C39,Hoja1!$A$2:$E$338,5,FALSE),)</f>
        <v>0</v>
      </c>
    </row>
    <row r="40" ht="12.75" customHeight="1" spans="1:7" x14ac:dyDescent="0.25">
      <c r="A40" s="137"/>
      <c r="B40" s="137"/>
      <c r="C40" s="151" t="s">
        <v>347</v>
      </c>
      <c r="D40" s="71" t="s">
        <v>347</v>
      </c>
      <c r="E40" s="71"/>
      <c r="F40" s="140"/>
      <c r="G40" s="143">
        <f>IFERROR(VLOOKUP(C40,Hoja1!$A$2:$E$338,5,FALSE),)</f>
        <v>0</v>
      </c>
    </row>
    <row r="41" ht="12.75" customHeight="1" spans="1:7" x14ac:dyDescent="0.25">
      <c r="A41" s="137"/>
      <c r="B41" s="137"/>
      <c r="C41" s="151" t="s">
        <v>348</v>
      </c>
      <c r="D41" s="71" t="s">
        <v>348</v>
      </c>
      <c r="E41" s="71"/>
      <c r="F41" s="140"/>
      <c r="G41" s="143">
        <f>IFERROR(VLOOKUP(C41,Hoja1!$A$2:$E$338,5,FALSE),)</f>
        <v>0</v>
      </c>
    </row>
    <row r="42" ht="12.75" customHeight="1" spans="1:12" x14ac:dyDescent="0.25">
      <c r="A42" s="137"/>
      <c r="B42" s="137"/>
      <c r="C42" s="151" t="s">
        <v>349</v>
      </c>
      <c r="D42" s="71" t="s">
        <v>349</v>
      </c>
      <c r="E42" s="68"/>
      <c r="F42" s="140"/>
      <c r="G42" s="143">
        <f>IFERROR(VLOOKUP(C42,Hoja1!$A$2:$E$338,5,FALSE),)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51" t="s">
        <v>350</v>
      </c>
      <c r="D43" s="139" t="s">
        <v>351</v>
      </c>
      <c r="E43" s="72"/>
      <c r="F43" s="140"/>
      <c r="G43" s="143">
        <f>IFERROR(VLOOKUP(C43,Hoja1!$A$2:$E$338,5,FALSE),)</f>
        <v>0</v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352</v>
      </c>
      <c r="D44" s="154" t="s">
        <v>352</v>
      </c>
      <c r="E44" s="155"/>
      <c r="F44" s="156"/>
      <c r="G44" s="157">
        <f>IFERROR(VLOOKUP(C44,Hoja1!$A$2:$E$338,5,FALSE),)</f>
        <v>7137147.140000001</v>
      </c>
      <c r="H44" s="75" t="s">
        <v>353</v>
      </c>
    </row>
    <row r="45" ht="12.75" customHeight="1" spans="1:8" x14ac:dyDescent="0.25">
      <c r="A45" s="137"/>
      <c r="B45" s="137"/>
      <c r="C45" s="153" t="s">
        <v>354</v>
      </c>
      <c r="D45" s="154" t="s">
        <v>354</v>
      </c>
      <c r="E45" s="155"/>
      <c r="F45" s="156"/>
      <c r="G45" s="157">
        <f>IFERROR(VLOOKUP(C45,Hoja1!$A$2:$E$338,5,FALSE),)</f>
        <v>2163642.25</v>
      </c>
      <c r="H45" s="75" t="s">
        <v>353</v>
      </c>
    </row>
    <row r="46" ht="12.75" customHeight="1" spans="1:8" x14ac:dyDescent="0.25">
      <c r="A46" s="137"/>
      <c r="B46" s="137"/>
      <c r="C46" s="153" t="s">
        <v>355</v>
      </c>
      <c r="D46" s="154" t="s">
        <v>355</v>
      </c>
      <c r="E46" s="155"/>
      <c r="F46" s="156"/>
      <c r="G46" s="157">
        <f>IFERROR(VLOOKUP(C46,Hoja1!$A$2:$E$338,5,FALSE),)</f>
        <v>1676263.99</v>
      </c>
      <c r="H46" s="75" t="s">
        <v>353</v>
      </c>
    </row>
    <row r="47" ht="12.75" customHeight="1" spans="1:8" x14ac:dyDescent="0.25">
      <c r="A47" s="137"/>
      <c r="B47" s="137"/>
      <c r="C47" s="153" t="s">
        <v>356</v>
      </c>
      <c r="D47" s="154" t="s">
        <v>356</v>
      </c>
      <c r="E47" s="155"/>
      <c r="F47" s="156"/>
      <c r="G47" s="157">
        <f>IFERROR(VLOOKUP(C47,Hoja1!$A$2:$E$338,5,FALSE),)</f>
        <v>8463010.92</v>
      </c>
      <c r="H47" s="75" t="s">
        <v>353</v>
      </c>
    </row>
    <row r="48" ht="12.75" customHeight="1" spans="1:8" x14ac:dyDescent="0.25">
      <c r="A48" s="137"/>
      <c r="B48" s="137"/>
      <c r="C48" s="153" t="s">
        <v>357</v>
      </c>
      <c r="D48" s="153" t="s">
        <v>357</v>
      </c>
      <c r="E48" s="155"/>
      <c r="F48" s="156"/>
      <c r="G48" s="157">
        <f>IFERROR(VLOOKUP(C48,Hoja1!$A$2:$E$338,5,FALSE),)</f>
        <v>5117083.33</v>
      </c>
      <c r="H48" s="75" t="s">
        <v>353</v>
      </c>
    </row>
    <row r="49" ht="12.75" customHeight="1" spans="1:10" x14ac:dyDescent="0.25">
      <c r="A49" s="137"/>
      <c r="B49" s="137"/>
      <c r="C49" s="158" t="s">
        <v>358</v>
      </c>
      <c r="D49" s="154" t="s">
        <v>359</v>
      </c>
      <c r="E49" s="155"/>
      <c r="F49" s="156"/>
      <c r="G49" s="157">
        <f>IFERROR(VLOOKUP(C49,Hoja1!$A$2:$E$338,5,FALSE),)</f>
        <v>-3124708.59</v>
      </c>
      <c r="H49" s="75" t="s">
        <v>353</v>
      </c>
      <c r="I49" s="134">
        <f>+'Anexo I'!J15</f>
        <v>3124708.59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360</v>
      </c>
      <c r="D50" s="154" t="s">
        <v>361</v>
      </c>
      <c r="E50" s="155"/>
      <c r="F50" s="156"/>
      <c r="G50" s="157">
        <f>IFERROR(VLOOKUP(C50,Hoja1!$A$2:$E$338,5,FALSE),)</f>
        <v>-1499006.23</v>
      </c>
      <c r="H50" s="75" t="s">
        <v>353</v>
      </c>
      <c r="I50" s="134">
        <f>+'Anexo I'!J17</f>
        <v>1499006.23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362</v>
      </c>
      <c r="D51" s="154" t="s">
        <v>363</v>
      </c>
      <c r="E51" s="155"/>
      <c r="F51" s="156"/>
      <c r="G51" s="157">
        <f>IFERROR(VLOOKUP(C51,Hoja1!$A$2:$E$338,5,FALSE),)</f>
        <v>-776376.5700000001</v>
      </c>
      <c r="H51" s="75" t="s">
        <v>353</v>
      </c>
      <c r="I51" s="134">
        <f>+'Anexo I'!J18</f>
        <v>776376.5700000001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364</v>
      </c>
      <c r="D52" s="153" t="s">
        <v>364</v>
      </c>
      <c r="E52" s="155"/>
      <c r="F52" s="156"/>
      <c r="G52" s="157">
        <f>IFERROR(VLOOKUP(C52,Hoja1!$A$2:$E$338,5,FALSE),)</f>
        <v>20790195.080000002</v>
      </c>
      <c r="H52" s="75" t="s">
        <v>353</v>
      </c>
    </row>
    <row r="53" ht="12.75" customHeight="1" spans="1:10" x14ac:dyDescent="0.25">
      <c r="A53" s="137"/>
      <c r="B53" s="137"/>
      <c r="C53" s="158" t="s">
        <v>365</v>
      </c>
      <c r="D53" s="154" t="s">
        <v>366</v>
      </c>
      <c r="E53" s="155"/>
      <c r="F53" s="156"/>
      <c r="G53" s="157">
        <f>IFERROR(VLOOKUP(C53,Hoja1!$A$2:$E$338,5,FALSE),)</f>
        <v>-4436234.05</v>
      </c>
      <c r="H53" s="75" t="s">
        <v>353</v>
      </c>
      <c r="I53" s="134">
        <f>+'Anexo I'!J19</f>
        <v>4436234.05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367</v>
      </c>
      <c r="D54" s="154" t="s">
        <v>368</v>
      </c>
      <c r="E54" s="155"/>
      <c r="F54" s="156"/>
      <c r="G54" s="157">
        <f>IFERROR(VLOOKUP(C54,Hoja1!$A$2:$E$338,5,FALSE),)</f>
        <v>-5117083.33</v>
      </c>
      <c r="H54" s="75" t="s">
        <v>353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369</v>
      </c>
      <c r="D55" s="154" t="s">
        <v>370</v>
      </c>
      <c r="E55" s="155"/>
      <c r="F55" s="156"/>
      <c r="G55" s="157">
        <f>IFERROR(VLOOKUP(C55,Hoja1!$A$2:$E$338,5,FALSE),)</f>
        <v>-19606049.32</v>
      </c>
      <c r="H55" s="75" t="s">
        <v>353</v>
      </c>
      <c r="I55" s="134">
        <f>+'Anexo I'!J21</f>
        <v>19606049.32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371</v>
      </c>
      <c r="D56" s="153" t="s">
        <v>371</v>
      </c>
      <c r="E56" s="155"/>
      <c r="F56" s="156"/>
      <c r="G56" s="157">
        <f>IFERROR(VLOOKUP(C56,Hoja1!$A$2:$E$338,5,FALSE),)</f>
        <v>23184450.990000002</v>
      </c>
      <c r="H56" s="75" t="s">
        <v>353</v>
      </c>
    </row>
    <row r="57" ht="12.75" customHeight="1" spans="1:10" x14ac:dyDescent="0.25">
      <c r="A57" s="137"/>
      <c r="B57" s="137"/>
      <c r="C57" s="158" t="s">
        <v>372</v>
      </c>
      <c r="D57" s="154" t="s">
        <v>373</v>
      </c>
      <c r="E57" s="155"/>
      <c r="F57" s="156"/>
      <c r="G57" s="157">
        <f>IFERROR(VLOOKUP(C57,Hoja1!$A$2:$E$338,5,FALSE),)</f>
        <v>-10204568.26</v>
      </c>
      <c r="H57" s="75" t="s">
        <v>353</v>
      </c>
      <c r="I57" s="134">
        <f>+'Anexo I'!J16</f>
        <v>10204568.26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374</v>
      </c>
      <c r="D58" s="153" t="s">
        <v>374</v>
      </c>
      <c r="E58" s="155"/>
      <c r="F58" s="156"/>
      <c r="G58" s="157">
        <f>IFERROR(VLOOKUP(C58,Hoja1!$A$2:$E$338,5,FALSE),)</f>
        <v>1598074.09</v>
      </c>
      <c r="H58" s="75" t="s">
        <v>353</v>
      </c>
    </row>
    <row r="59" ht="12.75" customHeight="1" spans="1:12" x14ac:dyDescent="0.25">
      <c r="A59" s="137"/>
      <c r="B59" s="137"/>
      <c r="C59" s="158" t="s">
        <v>375</v>
      </c>
      <c r="D59" s="154" t="s">
        <v>376</v>
      </c>
      <c r="E59" s="155"/>
      <c r="F59" s="156"/>
      <c r="G59" s="157">
        <f>IFERROR(VLOOKUP(C59,Hoja1!$A$2:$E$338,5,FALSE),)</f>
        <v>-617752.65</v>
      </c>
      <c r="H59" s="75" t="s">
        <v>353</v>
      </c>
      <c r="I59" s="134">
        <f>+'Anexo I'!J22</f>
        <v>617752.65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377</v>
      </c>
      <c r="D60" s="71" t="s">
        <v>377</v>
      </c>
      <c r="E60" s="68"/>
      <c r="F60" s="140"/>
      <c r="G60" s="143">
        <f>IFERROR(VLOOKUP(C60,Hoja1!$A$2:$E$338,5,FALSE),)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378</v>
      </c>
      <c r="D61" s="71" t="s">
        <v>378</v>
      </c>
      <c r="E61" s="68"/>
      <c r="F61" s="140"/>
      <c r="G61" s="143">
        <f>IFERROR(VLOOKUP(C61,Hoja1!$A$2:$E$338,5,FALSE),)</f>
        <v>32772165</v>
      </c>
      <c r="H61" s="74"/>
      <c r="I61" s="160">
        <f>SUM(G3:G61)</f>
        <v>2158175704.5099998</v>
      </c>
      <c r="J61" s="142" t="s">
        <v>379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+Hoja1!E54-SALDOS!I61</f>
        <v>0</v>
      </c>
      <c r="J62" s="142" t="s">
        <v>380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381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382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383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384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385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386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387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388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389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390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391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392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393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394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395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396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397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398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399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400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401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402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403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404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405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406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407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408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409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410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411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412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413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414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415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416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417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418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419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420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421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422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423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424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425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426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427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428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ht="12.75" customHeight="1" spans="1:12" x14ac:dyDescent="0.25">
      <c r="A111" s="137"/>
      <c r="B111" s="137"/>
      <c r="C111" s="139"/>
      <c r="D111" s="72" t="s">
        <v>429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ht="12.75" customHeight="1" spans="1:12" x14ac:dyDescent="0.25">
      <c r="A112" s="137"/>
      <c r="B112" s="137"/>
      <c r="C112" s="139"/>
      <c r="D112" s="72" t="s">
        <v>430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431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432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433</v>
      </c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434</v>
      </c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7" x14ac:dyDescent="0.25">
      <c r="A120" s="137"/>
      <c r="B120" s="137"/>
      <c r="C120" s="151" t="s">
        <v>435</v>
      </c>
      <c r="D120" s="71" t="s">
        <v>435</v>
      </c>
      <c r="E120" s="71"/>
      <c r="F120" s="140"/>
      <c r="G120" s="161">
        <v>-46874610.97</v>
      </c>
    </row>
    <row r="121" ht="12.75" customHeight="1" spans="1:7" x14ac:dyDescent="0.25">
      <c r="A121" s="137"/>
      <c r="B121" s="137"/>
      <c r="C121" s="72" t="s">
        <v>436</v>
      </c>
      <c r="D121" s="139" t="s">
        <v>436</v>
      </c>
      <c r="E121" s="68"/>
      <c r="F121" s="140"/>
      <c r="G121" s="161">
        <v>-199168357.76</v>
      </c>
    </row>
    <row r="122" ht="12.75" customHeight="1" spans="1:7" x14ac:dyDescent="0.25">
      <c r="A122" s="137"/>
      <c r="B122" s="137"/>
      <c r="C122" s="139" t="s">
        <v>437</v>
      </c>
      <c r="D122" s="71" t="s">
        <v>438</v>
      </c>
      <c r="E122" s="68"/>
      <c r="F122" s="140"/>
      <c r="G122" s="161">
        <v>-39510574.15</v>
      </c>
    </row>
    <row r="123" ht="12.75" customHeight="1" spans="1:7" x14ac:dyDescent="0.25">
      <c r="A123" s="137"/>
      <c r="B123" s="137"/>
      <c r="C123" s="139"/>
      <c r="D123" s="71" t="s">
        <v>439</v>
      </c>
      <c r="E123" s="71"/>
      <c r="F123" s="140"/>
      <c r="G123" s="161">
        <v>0</v>
      </c>
    </row>
    <row r="124" ht="12.75" customHeight="1" spans="1:7" x14ac:dyDescent="0.25">
      <c r="A124" s="137"/>
      <c r="B124" s="137"/>
      <c r="C124" s="139"/>
      <c r="D124" s="71" t="s">
        <v>440</v>
      </c>
      <c r="E124" s="71"/>
      <c r="F124" s="140"/>
      <c r="G124" s="161">
        <v>0</v>
      </c>
    </row>
    <row r="125" ht="12.75" customHeight="1" spans="1:8" x14ac:dyDescent="0.25">
      <c r="A125" s="137"/>
      <c r="B125" s="137"/>
      <c r="C125" s="139" t="s">
        <v>441</v>
      </c>
      <c r="D125" s="71"/>
      <c r="E125" s="71"/>
      <c r="F125" s="140"/>
      <c r="G125" s="161">
        <v>0</v>
      </c>
      <c r="H125" s="162"/>
    </row>
    <row r="126" ht="12.75" customHeight="1" spans="1:9" x14ac:dyDescent="0.25">
      <c r="A126" s="137"/>
      <c r="B126" s="137"/>
      <c r="C126" s="139"/>
      <c r="D126" s="71" t="s">
        <v>442</v>
      </c>
      <c r="E126" s="71"/>
      <c r="F126" s="140"/>
      <c r="G126" s="161">
        <v>0</v>
      </c>
      <c r="H126" s="132"/>
      <c r="I126" s="134">
        <f>SUM(G120:G137)</f>
        <v>-370048562.61</v>
      </c>
    </row>
    <row r="127" ht="12.75" customHeight="1" spans="1:10" x14ac:dyDescent="0.25">
      <c r="A127" s="137"/>
      <c r="B127" s="137"/>
      <c r="C127" s="139" t="s">
        <v>443</v>
      </c>
      <c r="D127" s="139" t="s">
        <v>443</v>
      </c>
      <c r="E127" s="68"/>
      <c r="F127" s="140"/>
      <c r="G127" s="161">
        <v>-45551975</v>
      </c>
      <c r="H127" s="72"/>
      <c r="I127" s="159"/>
      <c r="J127" s="72"/>
    </row>
    <row r="128" ht="12.75" customHeight="1" spans="1:10" x14ac:dyDescent="0.25">
      <c r="A128" s="137"/>
      <c r="B128" s="137"/>
      <c r="C128" s="139" t="s">
        <v>444</v>
      </c>
      <c r="D128" s="139" t="s">
        <v>444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445</v>
      </c>
    </row>
    <row r="129" ht="12.75" customHeight="1" spans="1:10" x14ac:dyDescent="0.25">
      <c r="A129" s="137"/>
      <c r="B129" s="137"/>
      <c r="C129" s="139"/>
      <c r="D129" s="139" t="s">
        <v>446</v>
      </c>
      <c r="E129" s="68"/>
      <c r="F129" s="140"/>
      <c r="G129" s="161">
        <v>0</v>
      </c>
      <c r="H129" s="72"/>
      <c r="I129" s="163"/>
      <c r="J129" s="72"/>
    </row>
    <row r="130" ht="12.75" customHeight="1" spans="1:10" x14ac:dyDescent="0.25">
      <c r="A130" s="137"/>
      <c r="B130" s="137"/>
      <c r="C130" s="139"/>
      <c r="D130" s="139" t="s">
        <v>447</v>
      </c>
      <c r="E130" s="68"/>
      <c r="F130" s="140"/>
      <c r="G130" s="161">
        <v>0</v>
      </c>
      <c r="H130" s="72"/>
      <c r="I130" s="164"/>
      <c r="J130" s="72"/>
    </row>
    <row r="131" ht="12.75" customHeight="1" spans="1:7" x14ac:dyDescent="0.25">
      <c r="A131" s="137"/>
      <c r="B131" s="137"/>
      <c r="C131" s="72" t="s">
        <v>448</v>
      </c>
      <c r="D131" s="139" t="s">
        <v>448</v>
      </c>
      <c r="E131" s="68"/>
      <c r="F131" s="140"/>
      <c r="G131" s="161">
        <v>-38149531.82</v>
      </c>
    </row>
    <row r="132" ht="12.75" customHeight="1" spans="1:7" x14ac:dyDescent="0.25">
      <c r="A132" s="137"/>
      <c r="B132" s="137"/>
      <c r="C132" s="139"/>
      <c r="D132" s="71" t="s">
        <v>449</v>
      </c>
      <c r="E132" s="71"/>
      <c r="F132" s="140"/>
      <c r="G132" s="161">
        <v>0</v>
      </c>
    </row>
    <row r="133" ht="12.75" customHeight="1" spans="1:7" x14ac:dyDescent="0.25">
      <c r="A133" s="137"/>
      <c r="B133" s="137"/>
      <c r="C133" s="139"/>
      <c r="D133" s="139" t="s">
        <v>450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451</v>
      </c>
      <c r="E134" s="71"/>
      <c r="F134" s="140"/>
      <c r="G134" s="161">
        <v>0</v>
      </c>
    </row>
    <row r="135" ht="12" customHeight="1" spans="1:7" x14ac:dyDescent="0.25">
      <c r="A135" s="137"/>
      <c r="B135" s="137"/>
      <c r="C135" s="139" t="s">
        <v>452</v>
      </c>
      <c r="D135" s="139" t="s">
        <v>452</v>
      </c>
      <c r="E135" s="71"/>
      <c r="F135" s="140"/>
      <c r="G135" s="165">
        <v>-1335.23</v>
      </c>
    </row>
    <row r="136" ht="12.75" customHeight="1" spans="1:7" x14ac:dyDescent="0.25">
      <c r="A136" s="137"/>
      <c r="B136" s="137"/>
      <c r="C136" s="72" t="s">
        <v>453</v>
      </c>
      <c r="D136" s="135" t="s">
        <v>453</v>
      </c>
      <c r="E136" s="71"/>
      <c r="F136" s="140"/>
      <c r="G136" s="165">
        <v>-19744</v>
      </c>
    </row>
    <row r="137" ht="12.75" customHeight="1" spans="1:11" s="166" customFormat="1" x14ac:dyDescent="0.25">
      <c r="A137" s="167"/>
      <c r="B137" s="167"/>
      <c r="C137" s="168" t="s">
        <v>454</v>
      </c>
      <c r="D137" s="169" t="s">
        <v>454</v>
      </c>
      <c r="E137" s="170"/>
      <c r="F137" s="171"/>
      <c r="G137" s="172">
        <v>0</v>
      </c>
      <c r="H137" s="173"/>
      <c r="I137" s="174"/>
      <c r="J137" s="173"/>
      <c r="K137" s="173"/>
    </row>
    <row r="138" ht="12.75" customHeight="1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ht="12.75" customHeight="1" spans="1:8" x14ac:dyDescent="0.25">
      <c r="A139" s="137"/>
      <c r="B139" s="137"/>
      <c r="C139" s="72" t="s">
        <v>455</v>
      </c>
      <c r="D139" s="71" t="s">
        <v>456</v>
      </c>
      <c r="E139" s="68"/>
      <c r="F139" s="140"/>
      <c r="G139" s="161">
        <v>-14848645484</v>
      </c>
      <c r="H139" s="19"/>
    </row>
    <row r="140" ht="12.75" customHeight="1" spans="1:9" x14ac:dyDescent="0.25">
      <c r="A140" s="137"/>
      <c r="B140" s="137"/>
      <c r="C140" s="72" t="s">
        <v>457</v>
      </c>
      <c r="D140" s="71" t="s">
        <v>457</v>
      </c>
      <c r="E140" s="150"/>
      <c r="F140" s="140"/>
      <c r="G140" s="161">
        <v>-8</v>
      </c>
      <c r="H140" s="150"/>
      <c r="I140" s="159"/>
    </row>
    <row r="141" ht="12.75" customHeight="1" spans="1:12" x14ac:dyDescent="0.25">
      <c r="A141" s="137"/>
      <c r="B141" s="137"/>
      <c r="C141" s="72" t="s">
        <v>458</v>
      </c>
      <c r="D141" s="71" t="s">
        <v>459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460</v>
      </c>
      <c r="K141" s="19"/>
      <c r="L141" s="132"/>
    </row>
    <row r="142" ht="12.75" customHeight="1" spans="1:12" x14ac:dyDescent="0.25">
      <c r="A142" s="137"/>
      <c r="B142" s="137"/>
      <c r="C142" s="72" t="s">
        <v>461</v>
      </c>
      <c r="D142" s="139" t="s">
        <v>461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462</v>
      </c>
      <c r="K142" s="19"/>
      <c r="L142" s="132"/>
    </row>
    <row r="143" ht="12.75" customHeight="1" spans="1:10" x14ac:dyDescent="0.25">
      <c r="A143" s="137"/>
      <c r="B143" s="137"/>
      <c r="C143" s="72"/>
      <c r="D143" s="71" t="s">
        <v>463</v>
      </c>
      <c r="E143" s="71"/>
      <c r="F143" s="140"/>
      <c r="G143" s="143">
        <f>IFERROR(VLOOKUP(C143,Hoja1!$A$2:$E$338,5,FALSE),)</f>
        <v>0</v>
      </c>
      <c r="H143" s="68"/>
      <c r="I143" s="134">
        <f>+I141+I142</f>
        <v>0</v>
      </c>
      <c r="J143" s="142" t="s">
        <v>464</v>
      </c>
    </row>
    <row r="144" ht="12.75" customHeight="1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IFERROR(VLOOKUP(C144,Hoja1!$A$2:$E$338,5,FALSE),)</f>
        <v>0</v>
      </c>
      <c r="H144" s="185"/>
      <c r="I144" s="174"/>
      <c r="J144" s="168"/>
      <c r="K144" s="168"/>
      <c r="L144" s="168"/>
      <c r="M144" s="168"/>
      <c r="N144" s="168"/>
    </row>
    <row r="145" ht="12.75" customHeight="1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ht="12.75" customHeight="1" spans="1:9" x14ac:dyDescent="0.25">
      <c r="A146" s="137"/>
      <c r="B146" s="137"/>
      <c r="C146" s="139"/>
      <c r="D146" s="71" t="s">
        <v>465</v>
      </c>
      <c r="E146" s="71"/>
      <c r="F146" s="140"/>
      <c r="G146" s="138">
        <f>+F146</f>
        <v>0</v>
      </c>
      <c r="H146" s="132"/>
      <c r="I146" s="186"/>
    </row>
    <row r="147" ht="12.75" customHeight="1" spans="1:7" x14ac:dyDescent="0.25">
      <c r="A147" s="137"/>
      <c r="B147" s="137"/>
      <c r="C147" s="139"/>
      <c r="D147" s="71" t="s">
        <v>466</v>
      </c>
      <c r="E147" s="71"/>
      <c r="F147" s="140"/>
      <c r="G147" s="138">
        <f>+F147</f>
        <v>0</v>
      </c>
    </row>
    <row r="148" ht="12.75" customHeight="1" spans="1:7" x14ac:dyDescent="0.25">
      <c r="A148" s="137"/>
      <c r="B148" s="137"/>
      <c r="C148" s="139"/>
      <c r="D148" s="139" t="s">
        <v>467</v>
      </c>
      <c r="E148" s="72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468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469</v>
      </c>
      <c r="E150" s="72" t="s">
        <v>469</v>
      </c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470</v>
      </c>
      <c r="E151" s="72"/>
      <c r="F151" s="140">
        <f>IFERROR(VLOOKUP(D151,Hoja1!$A$2:$E$399,5,FALSE),)</f>
        <v>0</v>
      </c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471</v>
      </c>
      <c r="E152" s="72"/>
      <c r="F152" s="140">
        <f>IFERROR(VLOOKUP(D152,Hoja1!$A$2:$E$399,5,FALSE),)</f>
        <v>0</v>
      </c>
      <c r="G152" s="138">
        <f>+F152</f>
        <v>0</v>
      </c>
    </row>
    <row r="153" ht="12.75" customHeight="1" spans="1:8" x14ac:dyDescent="0.25">
      <c r="A153" s="137"/>
      <c r="B153" s="137"/>
      <c r="C153" s="139"/>
      <c r="D153" s="139" t="s">
        <v>472</v>
      </c>
      <c r="E153" s="72"/>
      <c r="F153" s="140">
        <f>IFERROR(VLOOKUP(D153,Hoja1!$A$2:$E$399,5,FALSE),)</f>
        <v>6840000</v>
      </c>
      <c r="G153" s="138">
        <f>+F153</f>
        <v>6840000</v>
      </c>
      <c r="H153" s="34" t="s">
        <v>473</v>
      </c>
    </row>
    <row r="154" ht="12.75" customHeight="1" spans="1:7" x14ac:dyDescent="0.25">
      <c r="A154" s="137"/>
      <c r="B154" s="137"/>
      <c r="C154" s="139"/>
      <c r="D154" s="71" t="s">
        <v>474</v>
      </c>
      <c r="E154" s="71"/>
      <c r="F154" s="140">
        <f>IFERROR(VLOOKUP(D154,Hoja1!$A$2:$E$399,5,FALSE),)</f>
        <v>0</v>
      </c>
      <c r="G154" s="138">
        <f>SUM(F155:F158)</f>
        <v>0</v>
      </c>
    </row>
    <row r="155" ht="12.75" customHeight="1" spans="1:9" x14ac:dyDescent="0.25">
      <c r="A155" s="137"/>
      <c r="B155" s="137"/>
      <c r="C155" s="139"/>
      <c r="D155" s="71"/>
      <c r="E155" s="72" t="s">
        <v>475</v>
      </c>
      <c r="F155" s="140">
        <f>IFERROR(VLOOKUP(E155,Hoja1!$A$2:$E$399,5,FALSE),)</f>
        <v>0</v>
      </c>
      <c r="G155" s="138"/>
      <c r="H155" s="72"/>
      <c r="I155" s="164"/>
    </row>
    <row r="156" ht="12.75" customHeight="1" spans="1:9" x14ac:dyDescent="0.25">
      <c r="A156" s="137"/>
      <c r="B156" s="137"/>
      <c r="C156" s="139"/>
      <c r="D156" s="71"/>
      <c r="E156" s="72" t="s">
        <v>476</v>
      </c>
      <c r="F156" s="140">
        <f>IFERROR(VLOOKUP(E156,Hoja1!$A$2:$E$399,5,FALSE),)</f>
        <v>0</v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477</v>
      </c>
      <c r="F157" s="140">
        <f>IFERROR(VLOOKUP(E157,Hoja1!$A$2:$E$399,5,FALSE),)</f>
        <v>0</v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478</v>
      </c>
      <c r="F158" s="140">
        <f>IFERROR(VLOOKUP(E158,Hoja1!$A$2:$E$399,5,FALSE),)</f>
        <v>0</v>
      </c>
      <c r="G158" s="138"/>
      <c r="H158" s="72"/>
      <c r="I158" s="164"/>
    </row>
    <row r="159" ht="12.75" customHeight="1" spans="1:7" x14ac:dyDescent="0.25">
      <c r="A159" s="137"/>
      <c r="B159" s="137"/>
      <c r="C159" s="139"/>
      <c r="D159" s="71" t="s">
        <v>479</v>
      </c>
      <c r="E159" s="71"/>
      <c r="F159" s="140"/>
      <c r="G159" s="187">
        <f>SUM(F160:F167)</f>
        <v>170441769.39</v>
      </c>
    </row>
    <row r="160" ht="12.6" customHeight="1" spans="1:7" x14ac:dyDescent="0.25">
      <c r="A160" s="137"/>
      <c r="B160" s="137"/>
      <c r="C160" s="139"/>
      <c r="D160" s="71"/>
      <c r="E160" s="72" t="s">
        <v>480</v>
      </c>
      <c r="F160" s="140">
        <f>IFERROR(VLOOKUP(E160,Hoja1!$A$2:$E$399,5,FALSE),)</f>
        <v>0</v>
      </c>
      <c r="G160" s="138"/>
    </row>
    <row r="161" ht="12.75" customHeight="1" spans="1:7" x14ac:dyDescent="0.25">
      <c r="A161" s="137"/>
      <c r="B161" s="137"/>
      <c r="C161" s="139"/>
      <c r="D161" s="71"/>
      <c r="E161" s="72" t="s">
        <v>481</v>
      </c>
      <c r="F161" s="140">
        <f>IFERROR(VLOOKUP(E161,Hoja1!$A$2:$E$399,5,FALSE),)</f>
        <v>75509615</v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482</v>
      </c>
      <c r="F162" s="140">
        <f>IFERROR(VLOOKUP(E162,Hoja1!$A$2:$E$399,5,FALSE),)</f>
        <v>19677599.580000002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483</v>
      </c>
      <c r="F163" s="140">
        <f>IFERROR(VLOOKUP(E163,Hoja1!$A$2:$E$399,5,FALSE),)</f>
        <v>71304554.81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484</v>
      </c>
      <c r="F164" s="140">
        <f>IFERROR(VLOOKUP(E164,Hoja1!$A$2:$E$399,5,FALSE),)</f>
        <v>0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485</v>
      </c>
      <c r="F165" s="140">
        <f>IFERROR(VLOOKUP(E165,Hoja1!$A$2:$E$399,5,FALSE),)</f>
        <v>0</v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486</v>
      </c>
      <c r="F166" s="140">
        <f>IFERROR(VLOOKUP(E166,Hoja1!$A$2:$E$399,5,FALSE),)</f>
        <v>0</v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487</v>
      </c>
      <c r="F167" s="140">
        <f>IFERROR(VLOOKUP(E167,Hoja1!$A$2:$E$399,5,FALSE),)</f>
        <v>3950000</v>
      </c>
      <c r="G167" s="138"/>
    </row>
    <row r="168" ht="12.75" customHeight="1" spans="1:8" x14ac:dyDescent="0.25">
      <c r="A168" s="137"/>
      <c r="B168" s="137"/>
      <c r="C168" s="139"/>
      <c r="D168" s="71" t="s">
        <v>488</v>
      </c>
      <c r="E168" s="188"/>
      <c r="F168" s="140">
        <f>IFERROR(VLOOKUP(D168,Hoja1!$A$2:$E$399,5,FALSE),)</f>
        <v>11619112.85</v>
      </c>
      <c r="G168" s="187">
        <f>+F168</f>
        <v>11619112.85</v>
      </c>
      <c r="H168" s="68"/>
    </row>
    <row r="169" ht="12.75" customHeight="1" spans="1:7" x14ac:dyDescent="0.25">
      <c r="A169" s="137"/>
      <c r="B169" s="137"/>
      <c r="C169" s="139"/>
      <c r="D169" s="71" t="s">
        <v>489</v>
      </c>
      <c r="E169" s="188"/>
      <c r="F169" s="140">
        <f>IFERROR(VLOOKUP(D169,Hoja1!$A$2:$E$399,5,FALSE),)</f>
        <v>146974706.71</v>
      </c>
      <c r="G169" s="187">
        <f>+F169</f>
        <v>146974706.71</v>
      </c>
    </row>
    <row r="170" ht="12.75" customHeight="1" spans="1:13" x14ac:dyDescent="0.25">
      <c r="A170" s="137"/>
      <c r="B170" s="137"/>
      <c r="C170" s="139"/>
      <c r="D170" s="71" t="s">
        <v>490</v>
      </c>
      <c r="E170" s="188"/>
      <c r="F170" s="140">
        <f>IFERROR(VLOOKUP(D170,Hoja1!$A$2:$E$399,5,FALSE),)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ht="12.75" customHeight="1" spans="1:7" x14ac:dyDescent="0.25">
      <c r="A171" s="137"/>
      <c r="B171" s="137"/>
      <c r="C171" s="139"/>
      <c r="D171" s="71" t="s">
        <v>491</v>
      </c>
      <c r="E171" s="188"/>
      <c r="F171" s="150"/>
      <c r="G171" s="187">
        <f>SUM(F172:F177)</f>
        <v>1068794.41</v>
      </c>
    </row>
    <row r="172" ht="12.75" customHeight="1" spans="1:7" x14ac:dyDescent="0.25">
      <c r="A172" s="137"/>
      <c r="B172" s="137"/>
      <c r="C172" s="139"/>
      <c r="D172" s="71"/>
      <c r="E172" s="72" t="s">
        <v>492</v>
      </c>
      <c r="F172" s="140">
        <f>IFERROR(VLOOKUP(E172,Hoja1!$A$2:$E$399,5,FALSE),)</f>
        <v>1058304.41</v>
      </c>
      <c r="G172" s="138"/>
    </row>
    <row r="173" ht="12.75" customHeight="1" spans="1:7" x14ac:dyDescent="0.25">
      <c r="A173" s="137"/>
      <c r="B173" s="137"/>
      <c r="C173" s="139"/>
      <c r="D173" s="71"/>
      <c r="E173" s="72" t="s">
        <v>493</v>
      </c>
      <c r="F173" s="140">
        <f>IFERROR(VLOOKUP(E173,Hoja1!$A$2:$E$399,5,FALSE),)</f>
        <v>0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494</v>
      </c>
      <c r="F174" s="140">
        <f>IFERROR(VLOOKUP(E174,Hoja1!$A$2:$E$399,5,FALSE),)</f>
        <v>10490</v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495</v>
      </c>
      <c r="F175" s="140">
        <f>IFERROR(VLOOKUP(E175,Hoja1!$A$2:$E$399,5,FALSE),)</f>
        <v>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496</v>
      </c>
      <c r="F176" s="140">
        <f>IFERROR(VLOOKUP(E176,Hoja1!$A$2:$E$399,5,FALSE),)</f>
        <v>0</v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497</v>
      </c>
      <c r="F177" s="140">
        <f>IFERROR(VLOOKUP(E177,Hoja1!$A$2:$E$399,5,FALSE),)</f>
        <v>0</v>
      </c>
      <c r="G177" s="138"/>
    </row>
    <row r="178" ht="12.75" customHeight="1" spans="1:7" x14ac:dyDescent="0.25">
      <c r="A178" s="137"/>
      <c r="B178" s="137"/>
      <c r="C178" s="139"/>
      <c r="D178" s="71" t="s">
        <v>498</v>
      </c>
      <c r="E178" s="71"/>
      <c r="F178" s="140">
        <f>IFERROR(VLOOKUP(D178,Hoja1!$A$2:$E$375,5,FALSE),)</f>
        <v>0</v>
      </c>
      <c r="G178" s="138">
        <f>+F178</f>
        <v>0</v>
      </c>
    </row>
    <row r="179" ht="12.75" customHeight="1" spans="1:7" x14ac:dyDescent="0.25">
      <c r="A179" s="137"/>
      <c r="B179" s="137"/>
      <c r="C179" s="139"/>
      <c r="D179" s="71" t="s">
        <v>499</v>
      </c>
      <c r="E179" s="71"/>
      <c r="F179" s="140"/>
      <c r="G179" s="187">
        <f>SUM(F180:F185)</f>
        <v>3938960.9</v>
      </c>
    </row>
    <row r="180" ht="12.75" customHeight="1" spans="1:7" x14ac:dyDescent="0.25">
      <c r="A180" s="137"/>
      <c r="B180" s="137"/>
      <c r="C180" s="139"/>
      <c r="D180" s="71"/>
      <c r="E180" s="72" t="s">
        <v>500</v>
      </c>
      <c r="F180" s="140">
        <f>IFERROR(VLOOKUP(E180,Hoja1!$A$2:$E$399,5,FALSE),)</f>
        <v>0</v>
      </c>
      <c r="G180" s="138"/>
    </row>
    <row r="181" ht="12.75" customHeight="1" spans="1:7" x14ac:dyDescent="0.25">
      <c r="A181" s="137"/>
      <c r="B181" s="137"/>
      <c r="C181" s="139"/>
      <c r="D181" s="71"/>
      <c r="E181" s="72" t="s">
        <v>501</v>
      </c>
      <c r="F181" s="140">
        <f>IFERROR(VLOOKUP(E181,Hoja1!$A$2:$E$399,5,FALSE),)</f>
        <v>3688960.9</v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502</v>
      </c>
      <c r="F182" s="140">
        <f>IFERROR(VLOOKUP(E182,Hoja1!$A$2:$E$399,5,FALSE),)</f>
        <v>0</v>
      </c>
      <c r="G182" s="138"/>
    </row>
    <row r="183" ht="12.75" customHeight="1" spans="1:9" x14ac:dyDescent="0.25">
      <c r="A183" s="137"/>
      <c r="B183" s="137"/>
      <c r="C183" s="139"/>
      <c r="D183" s="71"/>
      <c r="E183" s="72" t="s">
        <v>503</v>
      </c>
      <c r="F183" s="140">
        <f>IFERROR(VLOOKUP(E183,Hoja1!$A$2:$E$399,5,FALSE),)</f>
        <v>250000</v>
      </c>
      <c r="G183" s="138"/>
      <c r="H183" s="72"/>
      <c r="I183" s="164"/>
    </row>
    <row r="184" ht="12.75" customHeight="1" spans="1:9" x14ac:dyDescent="0.25">
      <c r="A184" s="137"/>
      <c r="B184" s="137"/>
      <c r="C184" s="139"/>
      <c r="D184" s="71"/>
      <c r="E184" s="72" t="s">
        <v>504</v>
      </c>
      <c r="F184" s="140">
        <f>IFERROR(VLOOKUP(E184,Hoja1!$A$2:$E$399,5,FALSE),)</f>
        <v>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ht="12.75" customHeight="1" spans="1:7" x14ac:dyDescent="0.25">
      <c r="A186" s="137"/>
      <c r="B186" s="137"/>
      <c r="C186" s="139"/>
      <c r="D186" s="71" t="s">
        <v>505</v>
      </c>
      <c r="E186" s="188"/>
      <c r="F186" s="140"/>
      <c r="G186" s="138">
        <f>+F186</f>
        <v>0</v>
      </c>
    </row>
    <row r="187" ht="12.75" customHeight="1" spans="1:9" x14ac:dyDescent="0.25">
      <c r="A187" s="137"/>
      <c r="B187" s="137"/>
      <c r="C187" s="139"/>
      <c r="D187" s="71" t="s">
        <v>506</v>
      </c>
      <c r="E187" s="72" t="s">
        <v>507</v>
      </c>
      <c r="F187" s="140">
        <f>IFERROR(VLOOKUP(E187,Hoja1!$A$2:$E$399,5,FALSE),)</f>
        <v>30000</v>
      </c>
      <c r="G187" s="138">
        <f>+F187</f>
        <v>30000</v>
      </c>
      <c r="H187" s="72"/>
      <c r="I187" s="164"/>
    </row>
    <row r="188" ht="12.75" customHeight="1" spans="1:7" x14ac:dyDescent="0.25">
      <c r="A188" s="137"/>
      <c r="B188" s="137"/>
      <c r="C188" s="139"/>
      <c r="D188" s="71" t="s">
        <v>508</v>
      </c>
      <c r="E188" s="76"/>
      <c r="F188" s="140"/>
      <c r="G188" s="187">
        <f>SUM(F189:F196)</f>
        <v>10335682.84</v>
      </c>
    </row>
    <row r="189" ht="12.75" customHeight="1" spans="1:7" x14ac:dyDescent="0.25">
      <c r="A189" s="137"/>
      <c r="B189" s="137"/>
      <c r="C189" s="139"/>
      <c r="D189" s="71"/>
      <c r="E189" s="72" t="s">
        <v>509</v>
      </c>
      <c r="F189" s="140">
        <f>IFERROR(VLOOKUP(E189,Hoja1!$A$2:$E$399,5,FALSE),)</f>
        <v>9520573.09</v>
      </c>
      <c r="G189" s="138"/>
    </row>
    <row r="190" ht="12.75" customHeight="1" spans="1:7" x14ac:dyDescent="0.25">
      <c r="A190" s="137"/>
      <c r="B190" s="137"/>
      <c r="C190" s="139"/>
      <c r="D190" s="71"/>
      <c r="E190" s="72" t="s">
        <v>510</v>
      </c>
      <c r="F190" s="140">
        <f>IFERROR(VLOOKUP(E190,Hoja1!$A$2:$E$399,5,FALSE),)</f>
        <v>0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511</v>
      </c>
      <c r="F191" s="140">
        <f>IFERROR(VLOOKUP(E191,Hoja1!$A$2:$E$399,5,FALSE),)</f>
        <v>815109.75</v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512</v>
      </c>
      <c r="F192" s="140">
        <f>IFERROR(VLOOKUP(E192,Hoja1!$A$2:$E$399,5,FALSE),)</f>
        <v>0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513</v>
      </c>
      <c r="F193" s="140">
        <f>IFERROR(VLOOKUP(E193,Hoja1!$A$2:$E$399,5,FALSE),)</f>
        <v>0</v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514</v>
      </c>
      <c r="F194" s="140">
        <f>IFERROR(VLOOKUP(E194,Hoja1!$A$2:$E$399,5,FALSE),)</f>
        <v>0</v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515</v>
      </c>
      <c r="F195" s="140">
        <f>IFERROR(VLOOKUP(E195,Hoja1!$A$2:$E$399,5,FALSE),)</f>
        <v>0</v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516</v>
      </c>
      <c r="F196" s="140">
        <f>IFERROR(VLOOKUP(E196,Hoja1!$A$2:$E$399,5,FALSE),)</f>
        <v>0</v>
      </c>
      <c r="G196" s="138"/>
    </row>
    <row r="197" ht="12.75" customHeight="1" spans="1:7" x14ac:dyDescent="0.25">
      <c r="A197" s="137"/>
      <c r="B197" s="137"/>
      <c r="C197" s="139"/>
      <c r="D197" s="139" t="s">
        <v>517</v>
      </c>
      <c r="E197" s="72" t="s">
        <v>518</v>
      </c>
      <c r="F197" s="140">
        <f>IFERROR(VLOOKUP(E197,Hoja1!$A$2:$E$399,5,FALSE),)</f>
        <v>0</v>
      </c>
      <c r="G197" s="138">
        <f>+F197+F198+F199</f>
        <v>0</v>
      </c>
    </row>
    <row r="198" ht="12.75" customHeight="1" spans="1:9" x14ac:dyDescent="0.25">
      <c r="A198" s="137"/>
      <c r="B198" s="137"/>
      <c r="C198" s="139"/>
      <c r="D198" s="139"/>
      <c r="E198" s="72" t="s">
        <v>519</v>
      </c>
      <c r="F198" s="140">
        <f>IFERROR(VLOOKUP(E198,Hoja1!$A$2:$E$399,5,FALSE),)</f>
        <v>0</v>
      </c>
      <c r="G198" s="138"/>
      <c r="H198" s="72"/>
      <c r="I198" s="164"/>
    </row>
    <row r="199" ht="12.75" customHeight="1" spans="1:9" x14ac:dyDescent="0.25">
      <c r="A199" s="137"/>
      <c r="B199" s="137"/>
      <c r="C199" s="139"/>
      <c r="D199" s="139"/>
      <c r="E199" s="72" t="s">
        <v>520</v>
      </c>
      <c r="F199" s="140">
        <f>IFERROR(VLOOKUP(E199,Hoja1!$A$2:$E$399,5,FALSE),)</f>
        <v>0</v>
      </c>
      <c r="G199" s="138"/>
      <c r="H199" s="72"/>
      <c r="I199" s="164"/>
    </row>
    <row r="200" ht="12.75" customHeight="1" spans="1:9" x14ac:dyDescent="0.25">
      <c r="A200" s="137"/>
      <c r="B200" s="137"/>
      <c r="C200" s="139"/>
      <c r="D200" s="139" t="s">
        <v>521</v>
      </c>
      <c r="E200" s="72" t="s">
        <v>522</v>
      </c>
      <c r="F200" s="140">
        <f>IFERROR(VLOOKUP(E200,Hoja1!$A$2:$E$399,5,FALSE),)</f>
        <v>-6975688.57</v>
      </c>
      <c r="G200" s="187">
        <f>SUM(F200:F201)</f>
        <v>-3615904.1100000003</v>
      </c>
      <c r="H200" s="72"/>
      <c r="I200" s="164"/>
    </row>
    <row r="201" ht="12.75" customHeight="1" spans="1:9" x14ac:dyDescent="0.25">
      <c r="A201" s="137"/>
      <c r="B201" s="137"/>
      <c r="C201" s="139"/>
      <c r="D201" s="139"/>
      <c r="E201" s="72" t="s">
        <v>523</v>
      </c>
      <c r="F201" s="140">
        <f>IFERROR(VLOOKUP(E201,Hoja1!$A$2:$E$399,5,FALSE),)</f>
        <v>3359784.46</v>
      </c>
      <c r="G201" s="138"/>
      <c r="H201" s="72"/>
      <c r="I201" s="164"/>
    </row>
    <row r="202" ht="12.75" customHeight="1" spans="1:14" x14ac:dyDescent="0.25">
      <c r="A202" s="137"/>
      <c r="B202" s="137"/>
      <c r="C202" s="139"/>
      <c r="D202" s="71" t="s">
        <v>524</v>
      </c>
      <c r="E202" s="188"/>
      <c r="F202" s="140"/>
      <c r="G202" s="138">
        <f>+F202</f>
        <v>0</v>
      </c>
      <c r="H202" s="132"/>
      <c r="I202" s="134"/>
      <c r="J202" s="72"/>
      <c r="K202" s="72"/>
      <c r="L202" s="72"/>
      <c r="M202" s="72"/>
      <c r="N202" s="72"/>
    </row>
    <row r="203" ht="12.75" customHeight="1" spans="1:9" x14ac:dyDescent="0.25">
      <c r="A203" s="137"/>
      <c r="B203" s="137"/>
      <c r="C203" s="139"/>
      <c r="D203" s="71" t="s">
        <v>525</v>
      </c>
      <c r="E203" s="72" t="s">
        <v>526</v>
      </c>
      <c r="F203" s="140">
        <f>IFERROR(VLOOKUP(E203,Hoja1!$A$2:$E$399,5,FALSE),)</f>
        <v>3502753.58</v>
      </c>
      <c r="G203" s="187">
        <f>+F203</f>
        <v>3502753.58</v>
      </c>
      <c r="H203" s="72"/>
      <c r="I203" s="164"/>
    </row>
    <row r="204" ht="12.75" customHeight="1" spans="1:7" x14ac:dyDescent="0.25">
      <c r="A204" s="137"/>
      <c r="B204" s="137"/>
      <c r="C204" s="139"/>
      <c r="D204" s="71"/>
      <c r="E204" s="71" t="s">
        <v>525</v>
      </c>
      <c r="F204" s="140">
        <f>IFERROR(VLOOKUP(E204,Hoja1!$A$2:$E$399,5,FALSE),)</f>
        <v>0</v>
      </c>
      <c r="G204" s="138"/>
    </row>
    <row r="205" ht="12.75" customHeight="1" spans="1:7" x14ac:dyDescent="0.25">
      <c r="A205" s="137"/>
      <c r="B205" s="137"/>
      <c r="C205" s="139"/>
      <c r="D205" s="71" t="s">
        <v>527</v>
      </c>
      <c r="E205" s="188"/>
      <c r="F205" s="140"/>
      <c r="G205" s="138">
        <f>+F206</f>
        <v>0</v>
      </c>
    </row>
    <row r="206" ht="12.75" customHeight="1" spans="1:7" x14ac:dyDescent="0.25">
      <c r="A206" s="137"/>
      <c r="B206" s="137"/>
      <c r="C206" s="139"/>
      <c r="D206" s="71"/>
      <c r="E206" s="72" t="s">
        <v>528</v>
      </c>
      <c r="F206" s="140">
        <f>IFERROR(VLOOKUP(E206,Hoja1!$A$2:$E$399,5,FALSE),)</f>
        <v>0</v>
      </c>
      <c r="G206" s="138"/>
    </row>
    <row r="207" ht="12.75" customHeight="1" spans="1:7" x14ac:dyDescent="0.25">
      <c r="A207" s="137"/>
      <c r="B207" s="137"/>
      <c r="C207" s="139"/>
      <c r="D207" s="71"/>
      <c r="E207" s="188" t="s">
        <v>529</v>
      </c>
      <c r="F207" s="140">
        <f>IFERROR(VLOOKUP(E207,Hoja1!$A$2:$E$399,5,FALSE),)</f>
        <v>0</v>
      </c>
      <c r="G207" s="138"/>
    </row>
    <row r="208" ht="12.75" customHeight="1" spans="1:7" x14ac:dyDescent="0.25">
      <c r="A208" s="137"/>
      <c r="B208" s="137"/>
      <c r="C208" s="139"/>
      <c r="D208" s="71" t="s">
        <v>530</v>
      </c>
      <c r="E208" s="188"/>
      <c r="F208" s="140"/>
      <c r="G208" s="138">
        <f>SUM(F209:F212)</f>
        <v>700000</v>
      </c>
    </row>
    <row r="209" ht="12.75" customHeight="1" spans="1:7" x14ac:dyDescent="0.25">
      <c r="A209" s="137"/>
      <c r="B209" s="137"/>
      <c r="C209" s="139"/>
      <c r="D209" s="71"/>
      <c r="E209" s="72" t="s">
        <v>531</v>
      </c>
      <c r="F209" s="140">
        <f>IFERROR(VLOOKUP(E209,Hoja1!$A$2:$E$399,5,FALSE),)</f>
        <v>0</v>
      </c>
      <c r="G209" s="138"/>
    </row>
    <row r="210" ht="12.75" customHeight="1" spans="1:9" x14ac:dyDescent="0.25">
      <c r="A210" s="137"/>
      <c r="B210" s="137"/>
      <c r="C210" s="139"/>
      <c r="D210" s="71"/>
      <c r="E210" s="72" t="s">
        <v>532</v>
      </c>
      <c r="F210" s="140">
        <f>IFERROR(VLOOKUP(E210,Hoja1!$A$2:$E$399,5,FALSE),)</f>
        <v>700000</v>
      </c>
      <c r="G210" s="138"/>
      <c r="H210" s="72"/>
      <c r="I210" s="164"/>
    </row>
    <row r="211" ht="12.75" customHeight="1" spans="1:9" x14ac:dyDescent="0.25">
      <c r="A211" s="137"/>
      <c r="B211" s="137"/>
      <c r="C211" s="139"/>
      <c r="D211" s="71"/>
      <c r="E211" s="72" t="s">
        <v>533</v>
      </c>
      <c r="F211" s="140">
        <f>IFERROR(VLOOKUP(E211,Hoja1!$A$2:$E$399,5,FALSE),)</f>
        <v>0</v>
      </c>
      <c r="G211" s="138"/>
      <c r="H211" s="72"/>
      <c r="I211" s="164"/>
    </row>
    <row r="212" ht="12.75" customHeight="1" spans="1:9" x14ac:dyDescent="0.25">
      <c r="A212" s="137"/>
      <c r="B212" s="137"/>
      <c r="C212" s="139"/>
      <c r="D212" s="71"/>
      <c r="E212" s="72" t="s">
        <v>534</v>
      </c>
      <c r="F212" s="140">
        <f>IFERROR(VLOOKUP(E212,Hoja1!$A$2:$E$399,5,FALSE),)</f>
        <v>0</v>
      </c>
      <c r="G212" s="138"/>
      <c r="H212" s="72"/>
      <c r="I212" s="164"/>
    </row>
    <row r="213" ht="12.75" customHeight="1" spans="1:8" x14ac:dyDescent="0.25">
      <c r="A213" s="137"/>
      <c r="B213" s="137"/>
      <c r="C213" s="139"/>
      <c r="D213" s="71" t="s">
        <v>535</v>
      </c>
      <c r="E213" s="188"/>
      <c r="F213" s="140"/>
      <c r="G213" s="187">
        <f>SUM(F213:F216)</f>
        <v>288818.78</v>
      </c>
      <c r="H213" s="150"/>
    </row>
    <row r="214" ht="12.75" customHeight="1" spans="1:8" x14ac:dyDescent="0.25">
      <c r="A214" s="137"/>
      <c r="B214" s="137"/>
      <c r="C214" s="139"/>
      <c r="D214" s="71"/>
      <c r="E214" s="72" t="s">
        <v>536</v>
      </c>
      <c r="F214" s="140">
        <f>IFERROR(VLOOKUP(E214,Hoja1!$A$2:$E$399,5,FALSE),)</f>
        <v>288818.78</v>
      </c>
      <c r="G214" s="138"/>
      <c r="H214" s="150"/>
    </row>
    <row r="215" ht="12.75" customHeight="1" spans="1:8" x14ac:dyDescent="0.25">
      <c r="A215" s="137"/>
      <c r="B215" s="137"/>
      <c r="C215" s="139"/>
      <c r="D215" s="71"/>
      <c r="E215" s="72" t="s">
        <v>537</v>
      </c>
      <c r="F215" s="140">
        <f>IFERROR(VLOOKUP(E215,Hoja1!$A$2:$E$399,5,FALSE),)</f>
        <v>0</v>
      </c>
      <c r="G215" s="138"/>
      <c r="H215" s="150"/>
    </row>
    <row r="216" ht="12.75" customHeight="1" spans="1:8" x14ac:dyDescent="0.25">
      <c r="A216" s="137"/>
      <c r="B216" s="137"/>
      <c r="C216" s="139"/>
      <c r="D216" s="71"/>
      <c r="E216" s="72" t="s">
        <v>538</v>
      </c>
      <c r="F216" s="140">
        <f>IFERROR(VLOOKUP(E216,Hoja1!$A$2:$E$399,5,FALSE),)</f>
        <v>0</v>
      </c>
      <c r="G216" s="138"/>
      <c r="H216" s="150"/>
    </row>
    <row r="217" ht="12.75" customHeight="1" spans="1:14" x14ac:dyDescent="0.25">
      <c r="A217" s="137"/>
      <c r="B217" s="137"/>
      <c r="C217" s="139"/>
      <c r="D217" s="71" t="s">
        <v>539</v>
      </c>
      <c r="E217" s="188"/>
      <c r="F217" s="140"/>
      <c r="G217" s="187">
        <f>SUM(F217:F224)</f>
        <v>5034121.24</v>
      </c>
      <c r="H217" s="132"/>
      <c r="I217" s="134"/>
      <c r="J217" s="72"/>
      <c r="K217" s="72"/>
      <c r="L217" s="72"/>
      <c r="M217" s="72"/>
      <c r="N217" s="72"/>
    </row>
    <row r="218" ht="12.75" customHeight="1" spans="1:7" x14ac:dyDescent="0.25">
      <c r="A218" s="137"/>
      <c r="B218" s="137"/>
      <c r="C218" s="139"/>
      <c r="D218" s="71"/>
      <c r="E218" s="72" t="s">
        <v>540</v>
      </c>
      <c r="F218" s="140">
        <f>IFERROR(VLOOKUP(E218,Hoja1!$A$2:$E$399,5,FALSE),)</f>
        <v>0</v>
      </c>
      <c r="G218" s="138"/>
    </row>
    <row r="219" ht="12.75" customHeight="1" spans="1:7" x14ac:dyDescent="0.25">
      <c r="A219" s="137"/>
      <c r="B219" s="137"/>
      <c r="C219" s="139"/>
      <c r="D219" s="71"/>
      <c r="E219" s="72" t="s">
        <v>541</v>
      </c>
      <c r="F219" s="140">
        <f>IFERROR(VLOOKUP(E219,Hoja1!$A$2:$E$399,5,FALSE),)</f>
        <v>3016013.02</v>
      </c>
      <c r="G219" s="138"/>
    </row>
    <row r="220" ht="12.75" customHeight="1" spans="1:7" x14ac:dyDescent="0.25">
      <c r="A220" s="137"/>
      <c r="B220" s="137"/>
      <c r="C220" s="139"/>
      <c r="D220" s="71"/>
      <c r="E220" s="72" t="s">
        <v>542</v>
      </c>
      <c r="F220" s="140">
        <f>IFERROR(VLOOKUP(E220,Hoja1!$A$2:$E$399,5,FALSE),)</f>
        <v>0</v>
      </c>
      <c r="G220" s="138"/>
    </row>
    <row r="221" ht="12.75" customHeight="1" spans="1:7" x14ac:dyDescent="0.25">
      <c r="A221" s="137"/>
      <c r="B221" s="137"/>
      <c r="C221" s="139"/>
      <c r="D221" s="71"/>
      <c r="E221" s="72" t="s">
        <v>543</v>
      </c>
      <c r="F221" s="140">
        <f>IFERROR(VLOOKUP(E221,Hoja1!$A$2:$E$399,5,FALSE),)</f>
        <v>1836290.04</v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544</v>
      </c>
      <c r="F222" s="140">
        <f>IFERROR(VLOOKUP(E222,Hoja1!$A$2:$E$399,5,FALSE),)</f>
        <v>0</v>
      </c>
      <c r="G222" s="138"/>
    </row>
    <row r="223" ht="12.75" customHeight="1" spans="1:9" x14ac:dyDescent="0.25">
      <c r="A223" s="137"/>
      <c r="B223" s="137"/>
      <c r="C223" s="139"/>
      <c r="D223" s="71"/>
      <c r="E223" s="72" t="s">
        <v>545</v>
      </c>
      <c r="F223" s="140">
        <f>IFERROR(VLOOKUP(E223,Hoja1!$A$2:$E$399,5,FALSE),)</f>
        <v>181818.18</v>
      </c>
      <c r="G223" s="138"/>
      <c r="H223" s="72"/>
      <c r="I223" s="164"/>
    </row>
    <row r="224" ht="12.75" customHeight="1" spans="1:9" x14ac:dyDescent="0.25">
      <c r="A224" s="137"/>
      <c r="B224" s="137"/>
      <c r="C224" s="139"/>
      <c r="D224" s="71"/>
      <c r="E224" s="72" t="s">
        <v>546</v>
      </c>
      <c r="F224" s="140">
        <f>IFERROR(VLOOKUP(E224,Hoja1!$A$2:$E$399,5,FALSE),)</f>
        <v>0</v>
      </c>
      <c r="G224" s="138"/>
      <c r="H224" s="72"/>
      <c r="I224" s="164"/>
    </row>
    <row r="225" ht="12.75" customHeight="1" spans="1:9" x14ac:dyDescent="0.25">
      <c r="A225" s="137"/>
      <c r="B225" s="137"/>
      <c r="C225" s="139"/>
      <c r="D225" s="71"/>
      <c r="E225" s="72"/>
      <c r="F225" s="140"/>
      <c r="G225" s="138"/>
      <c r="H225" s="72"/>
      <c r="I225" s="164"/>
    </row>
    <row r="226" ht="12.75" customHeight="1" spans="1:9" x14ac:dyDescent="0.25">
      <c r="A226" s="137"/>
      <c r="B226" s="137"/>
      <c r="C226" s="139"/>
      <c r="D226" s="71" t="s">
        <v>547</v>
      </c>
      <c r="E226" s="72" t="s">
        <v>548</v>
      </c>
      <c r="F226" s="140">
        <f>IFERROR(VLOOKUP(E226,Hoja1!$A$2:$E$399,5,FALSE),)</f>
        <v>2052084.4000000001</v>
      </c>
      <c r="G226" s="187">
        <f>SUM(F226:F228)</f>
        <v>2052084.4000000001</v>
      </c>
      <c r="H226" s="72"/>
      <c r="I226" s="164"/>
    </row>
    <row r="227" ht="12.75" customHeight="1" spans="1:12" x14ac:dyDescent="0.25">
      <c r="A227" s="137"/>
      <c r="B227" s="137"/>
      <c r="C227" s="139"/>
      <c r="D227" s="71"/>
      <c r="E227" s="72" t="s">
        <v>549</v>
      </c>
      <c r="F227" s="140">
        <f>IFERROR(VLOOKUP(E227,Hoja1!$A$2:$E$399,5,FALSE),)</f>
        <v>0</v>
      </c>
      <c r="G227" s="138"/>
      <c r="H227" s="72"/>
      <c r="I227" s="164"/>
      <c r="J227" s="72"/>
      <c r="K227" s="72"/>
      <c r="L227" s="72"/>
    </row>
    <row r="228" ht="12.75" customHeight="1" spans="1:12" x14ac:dyDescent="0.25">
      <c r="A228" s="137"/>
      <c r="B228" s="137"/>
      <c r="C228" s="139"/>
      <c r="D228" s="71"/>
      <c r="E228" s="72" t="s">
        <v>550</v>
      </c>
      <c r="F228" s="140">
        <f>IFERROR(VLOOKUP(E228,Hoja1!$A$2:$E$399,5,FALSE),)</f>
        <v>0</v>
      </c>
      <c r="G228" s="138"/>
      <c r="H228" s="72"/>
      <c r="I228" s="164"/>
      <c r="J228" s="72"/>
      <c r="K228" s="72"/>
      <c r="L228" s="72"/>
    </row>
    <row r="229" ht="12.75" customHeight="1" spans="1:12" x14ac:dyDescent="0.25">
      <c r="A229" s="137"/>
      <c r="B229" s="137"/>
      <c r="C229" s="139"/>
      <c r="D229" s="71"/>
      <c r="E229" s="72"/>
      <c r="F229" s="140"/>
      <c r="G229" s="138"/>
      <c r="H229" s="72"/>
      <c r="I229" s="164"/>
      <c r="J229" s="72"/>
      <c r="K229" s="72"/>
      <c r="L229" s="72"/>
    </row>
    <row r="230" ht="12.75" customHeight="1" spans="1:7" x14ac:dyDescent="0.25">
      <c r="A230" s="137"/>
      <c r="B230" s="137"/>
      <c r="C230" s="139"/>
      <c r="D230" s="71" t="s">
        <v>551</v>
      </c>
      <c r="E230" s="72" t="s">
        <v>552</v>
      </c>
      <c r="F230" s="140">
        <f>IFERROR(VLOOKUP(E230,Hoja1!$A$2:$E$399,5,FALSE),)</f>
        <v>39000</v>
      </c>
      <c r="G230" s="138">
        <f>SUM(F230:F231)</f>
        <v>39000</v>
      </c>
    </row>
    <row r="231" ht="12.75" customHeight="1" spans="1:7" x14ac:dyDescent="0.25">
      <c r="A231" s="137"/>
      <c r="B231" s="137"/>
      <c r="C231" s="139"/>
      <c r="D231" s="71"/>
      <c r="E231" s="72" t="s">
        <v>553</v>
      </c>
      <c r="F231" s="140">
        <f>IFERROR(VLOOKUP(E231,Hoja1!$A$2:$E$399,5,FALSE),)</f>
        <v>0</v>
      </c>
      <c r="G231" s="138"/>
    </row>
    <row r="232" ht="12.75" customHeight="1" spans="1:7" x14ac:dyDescent="0.25">
      <c r="A232" s="137"/>
      <c r="B232" s="137"/>
      <c r="C232" s="139"/>
      <c r="D232" s="71" t="s">
        <v>554</v>
      </c>
      <c r="E232" s="71"/>
      <c r="F232" s="140"/>
      <c r="G232" s="138">
        <f>+F232</f>
        <v>0</v>
      </c>
    </row>
    <row r="233" ht="12.75" customHeight="1" spans="1:7" x14ac:dyDescent="0.25">
      <c r="A233" s="137"/>
      <c r="B233" s="137"/>
      <c r="C233" s="139"/>
      <c r="D233" s="71" t="s">
        <v>555</v>
      </c>
      <c r="E233" s="71"/>
      <c r="F233" s="140"/>
      <c r="G233" s="138">
        <f>+F233</f>
        <v>0</v>
      </c>
    </row>
    <row r="234" ht="12.75" customHeight="1" spans="1:9" x14ac:dyDescent="0.25">
      <c r="A234" s="137"/>
      <c r="B234" s="137"/>
      <c r="C234" s="139"/>
      <c r="D234" s="71" t="s">
        <v>556</v>
      </c>
      <c r="E234" s="72" t="s">
        <v>557</v>
      </c>
      <c r="F234" s="140">
        <f>IFERROR(VLOOKUP(E234,Hoja1!$A$2:$E$399,5,FALSE),)</f>
        <v>0</v>
      </c>
      <c r="G234" s="138">
        <f>+SUM(F234:F237)</f>
        <v>0</v>
      </c>
      <c r="H234" s="72"/>
      <c r="I234" s="164"/>
    </row>
    <row r="235" ht="12.75" customHeight="1" spans="1:9" x14ac:dyDescent="0.25">
      <c r="A235" s="137"/>
      <c r="B235" s="137"/>
      <c r="C235" s="139"/>
      <c r="D235" s="71"/>
      <c r="E235" s="72" t="s">
        <v>558</v>
      </c>
      <c r="F235" s="140">
        <f>IFERROR(VLOOKUP(E235,Hoja1!$A$2:$E$399,5,FALSE),)</f>
        <v>0</v>
      </c>
      <c r="G235" s="138"/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559</v>
      </c>
      <c r="F236" s="140">
        <f>IFERROR(VLOOKUP(E236,Hoja1!$A$2:$E$399,5,FALSE),)</f>
        <v>0</v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/>
      <c r="F237" s="140">
        <f>IFERROR(VLOOKUP(E237,Hoja1!$A$2:$E$375,5,FALSE),)</f>
        <v>0</v>
      </c>
      <c r="G237" s="138"/>
      <c r="H237" s="72"/>
      <c r="I237" s="164"/>
    </row>
    <row r="238" ht="12.75" customHeight="1" spans="1:7" x14ac:dyDescent="0.25">
      <c r="A238" s="137"/>
      <c r="B238" s="137"/>
      <c r="C238" s="139"/>
      <c r="D238" s="71" t="s">
        <v>560</v>
      </c>
      <c r="E238" s="71"/>
      <c r="F238" s="140"/>
      <c r="G238" s="138">
        <f>+F238</f>
        <v>0</v>
      </c>
    </row>
    <row r="239" ht="12.75" customHeight="1" spans="1:7" x14ac:dyDescent="0.25">
      <c r="A239" s="137"/>
      <c r="B239" s="137"/>
      <c r="C239" s="139"/>
      <c r="D239" s="71" t="s">
        <v>561</v>
      </c>
      <c r="E239" s="71" t="s">
        <v>562</v>
      </c>
      <c r="F239" s="140">
        <f>IFERROR(VLOOKUP(E239,Hoja1!$A$2:$E$399,5,FALSE),)</f>
        <v>0</v>
      </c>
      <c r="G239" s="138">
        <f>SUM(F239:F242)</f>
        <v>0</v>
      </c>
    </row>
    <row r="240" ht="12.75" customHeight="1" spans="1:7" x14ac:dyDescent="0.25">
      <c r="A240" s="137"/>
      <c r="B240" s="137"/>
      <c r="C240" s="139"/>
      <c r="D240" s="71"/>
      <c r="E240" s="72" t="s">
        <v>563</v>
      </c>
      <c r="F240" s="140">
        <f>IFERROR(VLOOKUP(E240,Hoja1!$A$2:$E$399,5,FALSE),)</f>
        <v>0</v>
      </c>
      <c r="G240" s="138"/>
    </row>
    <row r="241" ht="12.75" customHeight="1" spans="1:7" x14ac:dyDescent="0.25">
      <c r="A241" s="137"/>
      <c r="B241" s="137"/>
      <c r="C241" s="139"/>
      <c r="D241" s="71"/>
      <c r="E241" s="151" t="s">
        <v>564</v>
      </c>
      <c r="F241" s="140">
        <f>IFERROR(VLOOKUP(E241,Hoja1!$A$2:$E$399,5,FALSE),)</f>
        <v>0</v>
      </c>
      <c r="G241" s="138"/>
    </row>
    <row r="242" ht="12.75" customHeight="1" spans="1:7" x14ac:dyDescent="0.25">
      <c r="A242" s="137"/>
      <c r="B242" s="137"/>
      <c r="C242" s="139"/>
      <c r="D242" s="71"/>
      <c r="E242" s="151" t="s">
        <v>565</v>
      </c>
      <c r="F242" s="140">
        <f>IFERROR(VLOOKUP(E242,Hoja1!$A$2:$E$399,5,FALSE),)</f>
        <v>0</v>
      </c>
      <c r="G242" s="138"/>
    </row>
    <row r="243" ht="12.75" customHeight="1" spans="1:9" x14ac:dyDescent="0.25">
      <c r="A243" s="137"/>
      <c r="B243" s="137"/>
      <c r="C243" s="139"/>
      <c r="D243" s="71" t="s">
        <v>566</v>
      </c>
      <c r="E243" s="72" t="s">
        <v>567</v>
      </c>
      <c r="F243" s="140">
        <f>IFERROR(VLOOKUP(E243,Hoja1!$A$2:$E$399,5,FALSE),)</f>
        <v>101825.6</v>
      </c>
      <c r="G243" s="187">
        <f>+F243+F244</f>
        <v>101825.6</v>
      </c>
      <c r="H243" s="72"/>
      <c r="I243" s="164"/>
    </row>
    <row r="244" ht="12.75" customHeight="1" spans="1:9" x14ac:dyDescent="0.25">
      <c r="A244" s="137"/>
      <c r="B244" s="137"/>
      <c r="C244" s="139"/>
      <c r="D244" s="71"/>
      <c r="E244" s="72" t="s">
        <v>568</v>
      </c>
      <c r="F244" s="140">
        <f>IFERROR(VLOOKUP(E244,Hoja1!$A$2:$E$399,5,FALSE),)</f>
        <v>0</v>
      </c>
      <c r="G244" s="138"/>
      <c r="H244" s="72"/>
      <c r="I244" s="164"/>
    </row>
    <row r="245" ht="12.75" customHeight="1" spans="1:7" x14ac:dyDescent="0.25">
      <c r="A245" s="137"/>
      <c r="B245" s="137"/>
      <c r="C245" s="139"/>
      <c r="D245" s="71" t="s">
        <v>569</v>
      </c>
      <c r="E245" s="71"/>
      <c r="F245" s="140"/>
      <c r="G245" s="138">
        <f>+F245</f>
        <v>0</v>
      </c>
    </row>
    <row r="246" ht="12.75" customHeight="1" spans="1:7" x14ac:dyDescent="0.25">
      <c r="A246" s="137"/>
      <c r="B246" s="137"/>
      <c r="C246" s="139"/>
      <c r="D246" s="71" t="s">
        <v>570</v>
      </c>
      <c r="E246" s="72" t="s">
        <v>571</v>
      </c>
      <c r="F246" s="140">
        <f>IFERROR(VLOOKUP(E246,Hoja1!$A$2:$E$399,5,FALSE),)</f>
        <v>0</v>
      </c>
      <c r="G246" s="187">
        <f>SUM(F246:F255)</f>
        <v>149263.11</v>
      </c>
    </row>
    <row r="247" ht="12.75" customHeight="1" spans="1:7" x14ac:dyDescent="0.25">
      <c r="A247" s="137"/>
      <c r="B247" s="137"/>
      <c r="C247" s="139"/>
      <c r="D247" s="71"/>
      <c r="E247" s="72" t="s">
        <v>572</v>
      </c>
      <c r="F247" s="140">
        <f>IFERROR(VLOOKUP(E247,Hoja1!$A$2:$E$399,5,FALSE),)</f>
        <v>0</v>
      </c>
      <c r="G247" s="138"/>
    </row>
    <row r="248" ht="12.75" customHeight="1" spans="1:7" x14ac:dyDescent="0.25">
      <c r="A248" s="137"/>
      <c r="B248" s="137"/>
      <c r="C248" s="139"/>
      <c r="D248" s="71"/>
      <c r="E248" s="72" t="s">
        <v>573</v>
      </c>
      <c r="F248" s="140">
        <f>IFERROR(VLOOKUP(E248,Hoja1!$A$2:$E$399,5,FALSE),)</f>
        <v>98618.72</v>
      </c>
      <c r="G248" s="138"/>
    </row>
    <row r="249" ht="12.75" customHeight="1" spans="1:7" x14ac:dyDescent="0.25">
      <c r="A249" s="137"/>
      <c r="B249" s="137"/>
      <c r="C249" s="139"/>
      <c r="D249" s="71"/>
      <c r="E249" s="72" t="s">
        <v>574</v>
      </c>
      <c r="F249" s="140">
        <f>IFERROR(VLOOKUP(E249,Hoja1!$A$2:$E$399,5,FALSE),)</f>
        <v>0</v>
      </c>
      <c r="G249" s="138"/>
    </row>
    <row r="250" ht="12.75" customHeight="1" spans="1:7" x14ac:dyDescent="0.25">
      <c r="A250" s="137"/>
      <c r="B250" s="137"/>
      <c r="C250" s="139"/>
      <c r="D250" s="71"/>
      <c r="E250" s="72" t="s">
        <v>575</v>
      </c>
      <c r="F250" s="140">
        <f>IFERROR(VLOOKUP(E250,Hoja1!$A$2:$E$399,5,FALSE),)</f>
        <v>50644.39</v>
      </c>
      <c r="G250" s="138"/>
    </row>
    <row r="251" ht="12.75" customHeight="1" spans="1:7" x14ac:dyDescent="0.25">
      <c r="A251" s="137"/>
      <c r="B251" s="137"/>
      <c r="C251" s="139"/>
      <c r="D251" s="71"/>
      <c r="E251" s="72" t="s">
        <v>576</v>
      </c>
      <c r="F251" s="140">
        <f>IFERROR(VLOOKUP(E251,Hoja1!$A$2:$E$399,5,FALSE),)</f>
        <v>0</v>
      </c>
      <c r="G251" s="138"/>
    </row>
    <row r="252" ht="12.75" customHeight="1" spans="1:7" x14ac:dyDescent="0.25">
      <c r="A252" s="137"/>
      <c r="B252" s="137"/>
      <c r="C252" s="139"/>
      <c r="D252" s="71"/>
      <c r="E252" s="72" t="s">
        <v>577</v>
      </c>
      <c r="F252" s="140">
        <f>IFERROR(VLOOKUP(E252,Hoja1!$A$2:$E$399,5,FALSE),)</f>
        <v>0</v>
      </c>
      <c r="G252" s="138"/>
    </row>
    <row r="253" ht="12.75" customHeight="1" spans="1:9" x14ac:dyDescent="0.25">
      <c r="A253" s="137"/>
      <c r="B253" s="137"/>
      <c r="C253" s="139"/>
      <c r="D253" s="71"/>
      <c r="E253" s="72" t="s">
        <v>578</v>
      </c>
      <c r="F253" s="140">
        <f>IFERROR(VLOOKUP(E253,Hoja1!$A$2:$E$399,5,FALSE),)</f>
        <v>0</v>
      </c>
      <c r="G253" s="138"/>
      <c r="H253" s="72"/>
      <c r="I253" s="164"/>
    </row>
    <row r="254" ht="12.75" customHeight="1" spans="1:9" x14ac:dyDescent="0.25">
      <c r="A254" s="137"/>
      <c r="B254" s="137"/>
      <c r="C254" s="139"/>
      <c r="D254" s="71"/>
      <c r="E254" s="72" t="s">
        <v>579</v>
      </c>
      <c r="F254" s="140">
        <f>IFERROR(VLOOKUP(E254,Hoja1!$A$2:$E$399,5,FALSE),)</f>
        <v>0</v>
      </c>
      <c r="G254" s="138"/>
      <c r="H254" s="72"/>
      <c r="I254" s="164"/>
    </row>
    <row r="255" ht="12.75" customHeight="1" spans="1:9" x14ac:dyDescent="0.25">
      <c r="A255" s="137"/>
      <c r="B255" s="137"/>
      <c r="C255" s="139"/>
      <c r="D255" s="71"/>
      <c r="E255" s="72" t="s">
        <v>580</v>
      </c>
      <c r="F255" s="140">
        <f>IFERROR(VLOOKUP(E255,Hoja1!$A$2:$E$399,5,FALSE),)</f>
        <v>0</v>
      </c>
      <c r="G255" s="138"/>
      <c r="H255" s="72"/>
      <c r="I255" s="164"/>
    </row>
    <row r="256" ht="12.75" customHeight="1" spans="1:7" x14ac:dyDescent="0.25">
      <c r="A256" s="137"/>
      <c r="B256" s="137"/>
      <c r="C256" s="139"/>
      <c r="D256" s="139" t="s">
        <v>581</v>
      </c>
      <c r="E256" s="188"/>
      <c r="F256" s="140"/>
      <c r="G256" s="138">
        <f>+F256</f>
        <v>0</v>
      </c>
    </row>
    <row r="257" ht="12.75" customHeight="1" spans="1:7" x14ac:dyDescent="0.25">
      <c r="A257" s="137"/>
      <c r="B257" s="137"/>
      <c r="C257" s="139"/>
      <c r="D257" s="71" t="s">
        <v>582</v>
      </c>
      <c r="E257" s="188"/>
      <c r="F257" s="140"/>
      <c r="G257" s="138">
        <f>SUM(F257:F262)</f>
        <v>0</v>
      </c>
    </row>
    <row r="258" ht="12.75" customHeight="1" spans="1:7" x14ac:dyDescent="0.25">
      <c r="A258" s="137"/>
      <c r="B258" s="137"/>
      <c r="C258" s="139"/>
      <c r="D258" s="71"/>
      <c r="E258" s="151" t="s">
        <v>583</v>
      </c>
      <c r="F258" s="140">
        <f>IFERROR(VLOOKUP(E258,Hoja1!$A$2:$E$399,5,FALSE),)</f>
        <v>0</v>
      </c>
      <c r="G258" s="138"/>
    </row>
    <row r="259" ht="12.75" customHeight="1" spans="1:7" x14ac:dyDescent="0.25">
      <c r="A259" s="137"/>
      <c r="B259" s="137"/>
      <c r="C259" s="139"/>
      <c r="D259" s="71"/>
      <c r="E259" s="72" t="s">
        <v>584</v>
      </c>
      <c r="F259" s="140">
        <f>IFERROR(VLOOKUP(E259,Hoja1!$A$2:$E$399,5,FALSE),)</f>
        <v>0</v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585</v>
      </c>
      <c r="F260" s="140">
        <f>IFERROR(VLOOKUP(E260,Hoja1!$A$2:$E$399,5,FALSE),)</f>
        <v>0</v>
      </c>
      <c r="G260" s="138"/>
    </row>
    <row r="261" ht="12" customHeight="1" spans="1:7" x14ac:dyDescent="0.25">
      <c r="A261" s="137"/>
      <c r="B261" s="137"/>
      <c r="C261" s="139"/>
      <c r="D261" s="71"/>
      <c r="E261" s="72" t="s">
        <v>586</v>
      </c>
      <c r="F261" s="140">
        <f>IFERROR(VLOOKUP(E261,Hoja1!$A$2:$E$399,5,FALSE),)</f>
        <v>0</v>
      </c>
      <c r="G261" s="138"/>
    </row>
    <row r="262" ht="12" customHeight="1" spans="1:7" x14ac:dyDescent="0.25">
      <c r="A262" s="137"/>
      <c r="B262" s="137"/>
      <c r="C262" s="139"/>
      <c r="D262" s="71"/>
      <c r="E262" s="72" t="s">
        <v>587</v>
      </c>
      <c r="F262" s="140">
        <f>IFERROR(VLOOKUP(E262,Hoja1!$A$2:$E$399,5,FALSE),)</f>
        <v>0</v>
      </c>
      <c r="G262" s="138"/>
    </row>
    <row r="263" ht="12" customHeight="1" spans="1:11" x14ac:dyDescent="0.25">
      <c r="A263" s="137"/>
      <c r="B263" s="137"/>
      <c r="C263" s="139"/>
      <c r="D263" s="71" t="s">
        <v>588</v>
      </c>
      <c r="E263" s="188"/>
      <c r="F263" s="140"/>
      <c r="G263" s="138">
        <f>+F263</f>
        <v>0</v>
      </c>
      <c r="H263" s="142"/>
      <c r="I263" s="134"/>
      <c r="J263" s="142"/>
      <c r="K263" s="142"/>
    </row>
    <row r="264" ht="12.75" customHeight="1" spans="1:10" x14ac:dyDescent="0.25">
      <c r="A264" s="137"/>
      <c r="B264" s="137"/>
      <c r="C264" s="139"/>
      <c r="D264" s="71" t="s">
        <v>589</v>
      </c>
      <c r="E264" s="72" t="s">
        <v>590</v>
      </c>
      <c r="F264" s="140">
        <f>IFERROR(VLOOKUP(E264,Hoja1!$A$2:$E$399,5,FALSE),)</f>
        <v>0</v>
      </c>
      <c r="G264" s="187">
        <f>SUM(F264:F268)</f>
        <v>9664883.07</v>
      </c>
      <c r="H264" s="132"/>
      <c r="I264" s="134"/>
      <c r="J264" s="152"/>
    </row>
    <row r="265" ht="12.75" customHeight="1" spans="1:10" x14ac:dyDescent="0.25">
      <c r="A265" s="137"/>
      <c r="B265" s="137"/>
      <c r="C265" s="139"/>
      <c r="D265" s="71"/>
      <c r="E265" s="72" t="s">
        <v>591</v>
      </c>
      <c r="F265" s="140">
        <f>IFERROR(VLOOKUP(E265,Hoja1!$A$2:$E$399,5,FALSE),)</f>
        <v>9612863.07</v>
      </c>
      <c r="G265" s="138"/>
      <c r="H265" s="132"/>
      <c r="I265" s="134"/>
      <c r="J265" s="152"/>
    </row>
    <row r="266" ht="12.75" customHeight="1" spans="1:10" x14ac:dyDescent="0.25">
      <c r="A266" s="137"/>
      <c r="B266" s="137"/>
      <c r="C266" s="139"/>
      <c r="D266" s="71"/>
      <c r="E266" s="72" t="s">
        <v>592</v>
      </c>
      <c r="F266" s="140">
        <f>IFERROR(VLOOKUP(E266,Hoja1!$A$2:$E$399,5,FALSE),)</f>
        <v>52020</v>
      </c>
      <c r="G266" s="138"/>
      <c r="H266" s="132"/>
      <c r="I266" s="134"/>
      <c r="J266" s="152"/>
    </row>
    <row r="267" ht="12.75" customHeight="1" spans="1:10" x14ac:dyDescent="0.25">
      <c r="A267" s="137"/>
      <c r="B267" s="137"/>
      <c r="C267" s="139"/>
      <c r="D267" s="71"/>
      <c r="E267" s="72" t="s">
        <v>593</v>
      </c>
      <c r="F267" s="140">
        <f>IFERROR(VLOOKUP(E267,Hoja1!$A$2:$E$399,5,FALSE),)</f>
        <v>0</v>
      </c>
      <c r="G267" s="138"/>
      <c r="H267" s="132"/>
      <c r="I267" s="134"/>
      <c r="J267" s="152"/>
    </row>
    <row r="268" ht="12.75" customHeight="1" spans="1:10" x14ac:dyDescent="0.25">
      <c r="A268" s="137"/>
      <c r="B268" s="137"/>
      <c r="C268" s="139"/>
      <c r="D268" s="71"/>
      <c r="E268" s="72" t="s">
        <v>594</v>
      </c>
      <c r="F268" s="140">
        <f>IFERROR(VLOOKUP(E268,Hoja1!$A$2:$E$399,5,FALSE),)</f>
        <v>0</v>
      </c>
      <c r="G268" s="138"/>
      <c r="H268" s="132"/>
      <c r="I268" s="134"/>
      <c r="J268" s="152"/>
    </row>
    <row r="269" ht="14.45" customHeight="1" spans="1:11" x14ac:dyDescent="0.25">
      <c r="A269" s="76"/>
      <c r="B269" s="76"/>
      <c r="C269" s="34"/>
      <c r="D269" s="71" t="s">
        <v>595</v>
      </c>
      <c r="E269" s="188"/>
      <c r="F269" s="140"/>
      <c r="G269" s="187">
        <f>SUM(F269:F271)</f>
        <v>22769032.28</v>
      </c>
      <c r="H269" s="68"/>
      <c r="I269" s="189"/>
      <c r="J269" s="132"/>
      <c r="K269" s="190"/>
    </row>
    <row r="270" ht="14.45" customHeight="1" spans="1:11" x14ac:dyDescent="0.25">
      <c r="A270" s="76"/>
      <c r="B270" s="76"/>
      <c r="C270" s="34"/>
      <c r="D270" s="139"/>
      <c r="E270" s="72" t="s">
        <v>596</v>
      </c>
      <c r="F270" s="140">
        <f>IFERROR(VLOOKUP(E270,Hoja1!$A$2:$E$399,5,FALSE),)</f>
        <v>0</v>
      </c>
      <c r="G270" s="138"/>
      <c r="H270" s="68"/>
      <c r="I270" s="189"/>
      <c r="J270" s="132"/>
      <c r="K270" s="190"/>
    </row>
    <row r="271" ht="14.45" customHeight="1" spans="1:11" x14ac:dyDescent="0.25">
      <c r="A271" s="76"/>
      <c r="B271" s="76"/>
      <c r="C271" s="34"/>
      <c r="D271" s="139"/>
      <c r="E271" s="72" t="s">
        <v>597</v>
      </c>
      <c r="F271" s="140">
        <f>IFERROR(VLOOKUP(E271,Hoja1!$A$2:$E$399,5,FALSE),)</f>
        <v>22769032.28</v>
      </c>
      <c r="G271" s="138"/>
      <c r="H271" s="68"/>
      <c r="I271" s="164"/>
      <c r="J271" s="132"/>
      <c r="K271" s="190"/>
    </row>
    <row r="272" ht="12.75" customHeight="1" spans="1:7" x14ac:dyDescent="0.25">
      <c r="A272" s="76"/>
      <c r="B272" s="76"/>
      <c r="C272" s="34"/>
      <c r="D272" s="71" t="s">
        <v>598</v>
      </c>
      <c r="E272" s="72" t="s">
        <v>599</v>
      </c>
      <c r="F272" s="140">
        <f>IFERROR(VLOOKUP(E272,Hoja1!$A$2:$E$399,5,FALSE),)</f>
        <v>0</v>
      </c>
      <c r="G272" s="138">
        <f>SUM(F272:F279)</f>
        <v>0</v>
      </c>
    </row>
    <row r="273" ht="12.75" customHeight="1" spans="1:7" x14ac:dyDescent="0.25">
      <c r="A273" s="76"/>
      <c r="B273" s="76"/>
      <c r="C273" s="34"/>
      <c r="D273" s="71"/>
      <c r="E273" s="72" t="s">
        <v>600</v>
      </c>
      <c r="F273" s="140">
        <f>IFERROR(VLOOKUP(E273,Hoja1!$A$2:$E$399,5,FALSE),)</f>
        <v>0</v>
      </c>
      <c r="G273" s="138"/>
    </row>
    <row r="274" ht="12.75" customHeight="1" spans="1:7" x14ac:dyDescent="0.25">
      <c r="A274" s="76"/>
      <c r="B274" s="76"/>
      <c r="C274" s="34"/>
      <c r="D274" s="71"/>
      <c r="E274" s="72" t="s">
        <v>601</v>
      </c>
      <c r="F274" s="140">
        <f>IFERROR(VLOOKUP(E274,Hoja1!$A$2:$E$399,5,FALSE),)</f>
        <v>0</v>
      </c>
      <c r="G274" s="138"/>
    </row>
    <row r="275" ht="12.75" customHeight="1" spans="1:7" x14ac:dyDescent="0.25">
      <c r="A275" s="76"/>
      <c r="B275" s="76"/>
      <c r="C275" s="34"/>
      <c r="D275" s="71"/>
      <c r="E275" s="72" t="s">
        <v>602</v>
      </c>
      <c r="F275" s="140">
        <f>IFERROR(VLOOKUP(E275,Hoja1!$A$2:$E$399,5,FALSE),)</f>
        <v>0</v>
      </c>
      <c r="G275" s="138"/>
    </row>
    <row r="276" ht="12.75" customHeight="1" spans="1:7" x14ac:dyDescent="0.25">
      <c r="A276" s="76"/>
      <c r="B276" s="76"/>
      <c r="C276" s="34"/>
      <c r="D276" s="71"/>
      <c r="E276" s="151" t="s">
        <v>603</v>
      </c>
      <c r="F276" s="140">
        <f>IFERROR(VLOOKUP(E276,Hoja1!$A$2:$E$399,5,FALSE),)</f>
        <v>0</v>
      </c>
      <c r="G276" s="138"/>
    </row>
    <row r="277" ht="12.75" customHeight="1" spans="1:7" x14ac:dyDescent="0.25">
      <c r="A277" s="76"/>
      <c r="B277" s="76"/>
      <c r="C277" s="34"/>
      <c r="D277" s="71"/>
      <c r="E277" s="151" t="s">
        <v>604</v>
      </c>
      <c r="F277" s="140">
        <f>IFERROR(VLOOKUP(E277,Hoja1!$A$2:$E$399,5,FALSE),)</f>
        <v>0</v>
      </c>
      <c r="G277" s="138"/>
    </row>
    <row r="278" ht="12.75" customHeight="1" spans="1:7" x14ac:dyDescent="0.25">
      <c r="A278" s="76"/>
      <c r="B278" s="76"/>
      <c r="C278" s="34"/>
      <c r="D278" s="71"/>
      <c r="E278" s="151" t="s">
        <v>605</v>
      </c>
      <c r="F278" s="140">
        <f>IFERROR(VLOOKUP(E278,Hoja1!$A$2:$E$399,5,FALSE),)</f>
        <v>0</v>
      </c>
      <c r="G278" s="138"/>
    </row>
    <row r="279" ht="12.75" customHeight="1" spans="1:7" x14ac:dyDescent="0.25">
      <c r="A279" s="76"/>
      <c r="B279" s="76"/>
      <c r="C279" s="34"/>
      <c r="D279" s="71"/>
      <c r="E279" s="151" t="s">
        <v>606</v>
      </c>
      <c r="F279" s="140">
        <f>IFERROR(VLOOKUP(E279,Hoja1!$A$2:$E$399,5,FALSE),)</f>
        <v>0</v>
      </c>
      <c r="G279" s="138"/>
    </row>
    <row r="280" ht="12.6" customHeight="1" spans="1:11" x14ac:dyDescent="0.25">
      <c r="A280" s="76"/>
      <c r="B280" s="76"/>
      <c r="C280" s="34"/>
      <c r="D280" s="191" t="s">
        <v>607</v>
      </c>
      <c r="E280" s="192" t="s">
        <v>607</v>
      </c>
      <c r="F280" s="193">
        <f>+Hoja1!E228+Hoja1!E229</f>
        <v>62810190.49</v>
      </c>
      <c r="G280" s="194">
        <f>+F280</f>
        <v>62810190.49</v>
      </c>
      <c r="H280" s="195" t="s">
        <v>608</v>
      </c>
      <c r="I280" s="134"/>
      <c r="J280" s="142"/>
      <c r="K280" s="142"/>
    </row>
    <row r="281" ht="12.75" customHeight="1" spans="1:7" x14ac:dyDescent="0.25">
      <c r="A281" s="76"/>
      <c r="B281" s="76"/>
      <c r="C281" s="34"/>
      <c r="D281" s="71" t="s">
        <v>609</v>
      </c>
      <c r="E281" s="71"/>
      <c r="F281" s="140">
        <f>IFERROR(VLOOKUP(E281,Hoja1!$A$2:$E$399,5,FALSE),)</f>
        <v>0</v>
      </c>
      <c r="G281" s="138">
        <f>+F281</f>
        <v>0</v>
      </c>
    </row>
    <row r="282" ht="12.75" customHeight="1" spans="1:7" x14ac:dyDescent="0.25">
      <c r="A282" s="76"/>
      <c r="B282" s="76"/>
      <c r="C282" s="34"/>
      <c r="D282" s="71" t="s">
        <v>610</v>
      </c>
      <c r="E282" s="71"/>
      <c r="F282" s="140">
        <f>IFERROR(VLOOKUP(D282,Hoja1!$A$2:$E$375,5,FALSE),)</f>
        <v>0</v>
      </c>
      <c r="G282" s="138">
        <f>+F282</f>
        <v>0</v>
      </c>
    </row>
    <row r="283" ht="12.75" customHeight="1" spans="1:8" x14ac:dyDescent="0.25">
      <c r="A283" s="76"/>
      <c r="B283" s="76"/>
      <c r="C283" s="34"/>
      <c r="D283" s="139" t="s">
        <v>611</v>
      </c>
      <c r="E283" s="139"/>
      <c r="F283" s="140">
        <f>IFERROR(VLOOKUP(D283,Hoja1!$A$2:$E$375,5,FALSE),)</f>
        <v>0</v>
      </c>
      <c r="G283" s="138">
        <f>+F283</f>
        <v>0</v>
      </c>
      <c r="H283" s="152"/>
    </row>
    <row r="284" ht="12.75" customHeight="1" spans="1:7" x14ac:dyDescent="0.25">
      <c r="A284" s="76"/>
      <c r="B284" s="76"/>
      <c r="C284" s="34"/>
      <c r="D284" s="139" t="s">
        <v>612</v>
      </c>
      <c r="E284" s="139"/>
      <c r="F284" s="140"/>
      <c r="G284" s="138">
        <f>SUM(F284:F292)</f>
        <v>0</v>
      </c>
    </row>
    <row r="285" ht="13.5" customHeight="1" spans="1:7" x14ac:dyDescent="0.25">
      <c r="A285" s="76"/>
      <c r="B285" s="76"/>
      <c r="C285" s="34"/>
      <c r="D285" s="139"/>
      <c r="E285" s="72" t="s">
        <v>613</v>
      </c>
      <c r="F285" s="140">
        <f>IFERROR(VLOOKUP(E285,Hoja1!$A$2:$E$399,5,FALSE),)</f>
        <v>0</v>
      </c>
      <c r="G285" s="138"/>
    </row>
    <row r="286" ht="13.5" customHeight="1" spans="1:7" x14ac:dyDescent="0.25">
      <c r="A286" s="76"/>
      <c r="B286" s="76"/>
      <c r="C286" s="34"/>
      <c r="D286" s="139"/>
      <c r="E286" s="72" t="s">
        <v>614</v>
      </c>
      <c r="F286" s="140">
        <f>IFERROR(VLOOKUP(E286,Hoja1!$A$2:$E$399,5,FALSE),)</f>
        <v>0</v>
      </c>
      <c r="G286" s="138"/>
    </row>
    <row r="287" ht="13.5" customHeight="1" spans="1:7" x14ac:dyDescent="0.25">
      <c r="A287" s="76"/>
      <c r="B287" s="76"/>
      <c r="C287" s="34"/>
      <c r="D287" s="139"/>
      <c r="E287" s="139" t="s">
        <v>615</v>
      </c>
      <c r="F287" s="140">
        <f>IFERROR(VLOOKUP(E287,Hoja1!$A$2:$E$399,5,FALSE),)</f>
        <v>0</v>
      </c>
      <c r="G287" s="138"/>
    </row>
    <row r="288" ht="13.5" customHeight="1" spans="1:7" x14ac:dyDescent="0.25">
      <c r="A288" s="76"/>
      <c r="B288" s="76"/>
      <c r="C288" s="34"/>
      <c r="D288" s="139"/>
      <c r="E288" s="139" t="s">
        <v>616</v>
      </c>
      <c r="F288" s="140">
        <f>IFERROR(VLOOKUP(E288,Hoja1!$A$2:$E$399,5,FALSE),)</f>
        <v>0</v>
      </c>
      <c r="G288" s="138"/>
    </row>
    <row r="289" ht="13.5" customHeight="1" spans="1:7" x14ac:dyDescent="0.25">
      <c r="A289" s="76"/>
      <c r="B289" s="76"/>
      <c r="C289" s="34"/>
      <c r="D289" s="139"/>
      <c r="E289" s="139" t="s">
        <v>617</v>
      </c>
      <c r="F289" s="140">
        <f>IFERROR(VLOOKUP(E289,Hoja1!$A$2:$E$399,5,FALSE),)</f>
        <v>0</v>
      </c>
      <c r="G289" s="138"/>
    </row>
    <row r="290" ht="13.5" customHeight="1" spans="1:7" x14ac:dyDescent="0.25">
      <c r="A290" s="76"/>
      <c r="B290" s="76"/>
      <c r="C290" s="34"/>
      <c r="D290" s="139"/>
      <c r="E290" s="139" t="s">
        <v>618</v>
      </c>
      <c r="F290" s="140">
        <f>IFERROR(VLOOKUP(E290,Hoja1!$A$2:$E$399,5,FALSE),)</f>
        <v>0</v>
      </c>
      <c r="G290" s="138"/>
    </row>
    <row r="291" ht="13.5" customHeight="1" spans="1:7" x14ac:dyDescent="0.25">
      <c r="A291" s="76"/>
      <c r="B291" s="76"/>
      <c r="C291" s="34"/>
      <c r="D291" s="139"/>
      <c r="E291" s="72" t="s">
        <v>619</v>
      </c>
      <c r="F291" s="140">
        <f>IFERROR(VLOOKUP(E291,Hoja1!$A$2:$E$399,5,FALSE),)</f>
        <v>0</v>
      </c>
      <c r="G291" s="138"/>
    </row>
    <row r="292" ht="13.5" customHeight="1" spans="1:11" x14ac:dyDescent="0.25">
      <c r="A292" s="76"/>
      <c r="B292" s="76"/>
      <c r="C292" s="34"/>
      <c r="D292" s="139"/>
      <c r="E292" s="139" t="s">
        <v>620</v>
      </c>
      <c r="F292" s="140">
        <f>IFERROR(VLOOKUP(E292,Hoja1!$A$2:$E$399,5,FALSE),)</f>
        <v>0</v>
      </c>
      <c r="G292" s="138"/>
      <c r="H292" s="142"/>
      <c r="I292" s="134"/>
      <c r="J292" s="142"/>
      <c r="K292" s="142"/>
    </row>
    <row r="293" ht="12.75" customHeight="1" spans="1:7" x14ac:dyDescent="0.25">
      <c r="A293" s="76"/>
      <c r="B293" s="76"/>
      <c r="C293" s="34"/>
      <c r="D293" s="71" t="s">
        <v>621</v>
      </c>
      <c r="E293" s="71"/>
      <c r="F293" s="140"/>
      <c r="G293" s="138">
        <f>+F293</f>
        <v>0</v>
      </c>
    </row>
    <row r="294" ht="12.75" customHeight="1" spans="1:12" x14ac:dyDescent="0.25">
      <c r="A294" s="76"/>
      <c r="B294" s="76"/>
      <c r="C294" s="34"/>
      <c r="D294" s="71" t="s">
        <v>622</v>
      </c>
      <c r="E294" s="72" t="s">
        <v>623</v>
      </c>
      <c r="F294" s="140">
        <f>IFERROR(VLOOKUP(E294,Hoja1!$A$2:$E$399,5,FALSE),)</f>
        <v>0</v>
      </c>
      <c r="G294" s="187">
        <f>SUM(F294:F301)</f>
        <v>832331.1900000001</v>
      </c>
      <c r="H294" s="72"/>
      <c r="I294" s="164"/>
      <c r="J294" s="72"/>
      <c r="K294" s="72"/>
      <c r="L294" s="72"/>
    </row>
    <row r="295" ht="12.75" customHeight="1" spans="1:7" x14ac:dyDescent="0.25">
      <c r="A295" s="76"/>
      <c r="B295" s="76"/>
      <c r="C295" s="34"/>
      <c r="D295" s="71"/>
      <c r="E295" s="72" t="s">
        <v>624</v>
      </c>
      <c r="F295" s="140">
        <f>IFERROR(VLOOKUP(E295,Hoja1!$A$2:$E$399,5,FALSE),)</f>
        <v>832331.1900000001</v>
      </c>
      <c r="G295" s="138"/>
    </row>
    <row r="296" ht="12.75" customHeight="1" spans="1:7" x14ac:dyDescent="0.25">
      <c r="A296" s="76"/>
      <c r="B296" s="76"/>
      <c r="C296" s="34"/>
      <c r="D296" s="71"/>
      <c r="E296" s="72" t="s">
        <v>625</v>
      </c>
      <c r="F296" s="140">
        <f>IFERROR(VLOOKUP(E296,Hoja1!$A$2:$E$399,5,FALSE),)</f>
        <v>0</v>
      </c>
      <c r="G296" s="138"/>
    </row>
    <row r="297" ht="12.75" customHeight="1" spans="1:13" x14ac:dyDescent="0.25">
      <c r="A297" s="76"/>
      <c r="B297" s="76"/>
      <c r="C297" s="34"/>
      <c r="D297" s="71"/>
      <c r="E297" s="72" t="s">
        <v>626</v>
      </c>
      <c r="F297" s="140">
        <f>IFERROR(VLOOKUP(E297,Hoja1!$A$2:$E$399,5,FALSE),)</f>
        <v>0</v>
      </c>
      <c r="G297" s="138"/>
      <c r="H297" s="132"/>
      <c r="I297" s="164"/>
      <c r="J297" s="72"/>
      <c r="K297" s="72"/>
      <c r="L297" s="72"/>
      <c r="M297" s="72"/>
    </row>
    <row r="298" ht="12.75" customHeight="1" spans="1:13" x14ac:dyDescent="0.25">
      <c r="A298" s="76"/>
      <c r="B298" s="76"/>
      <c r="C298" s="34"/>
      <c r="D298" s="71"/>
      <c r="E298" s="72" t="s">
        <v>627</v>
      </c>
      <c r="F298" s="140">
        <f>IFERROR(VLOOKUP(E298,Hoja1!$A$2:$E$399,5,FALSE),)</f>
        <v>0</v>
      </c>
      <c r="G298" s="138"/>
      <c r="H298" s="132"/>
      <c r="I298" s="164"/>
      <c r="J298" s="72"/>
      <c r="K298" s="72"/>
      <c r="L298" s="72"/>
      <c r="M298" s="72"/>
    </row>
    <row r="299" ht="12.75" customHeight="1" spans="1:13" x14ac:dyDescent="0.25">
      <c r="A299" s="76"/>
      <c r="B299" s="76"/>
      <c r="C299" s="34"/>
      <c r="D299" s="71"/>
      <c r="E299" s="72" t="s">
        <v>628</v>
      </c>
      <c r="F299" s="140">
        <f>IFERROR(VLOOKUP(E299,Hoja1!$A$2:$E$399,5,FALSE),)</f>
        <v>0</v>
      </c>
      <c r="G299" s="138"/>
      <c r="H299" s="132"/>
      <c r="I299" s="164"/>
      <c r="J299" s="72"/>
      <c r="K299" s="72"/>
      <c r="L299" s="72"/>
      <c r="M299" s="72"/>
    </row>
    <row r="300" ht="12.75" customHeight="1" spans="1:13" x14ac:dyDescent="0.25">
      <c r="A300" s="76"/>
      <c r="B300" s="76"/>
      <c r="C300" s="34"/>
      <c r="D300" s="71"/>
      <c r="E300" s="72" t="s">
        <v>629</v>
      </c>
      <c r="F300" s="140">
        <f>IFERROR(VLOOKUP(E300,Hoja1!$A$2:$E$399,5,FALSE),)</f>
        <v>0</v>
      </c>
      <c r="G300" s="138"/>
      <c r="H300" s="132"/>
      <c r="I300" s="164"/>
      <c r="J300" s="72"/>
      <c r="K300" s="72"/>
      <c r="L300" s="72"/>
      <c r="M300" s="72"/>
    </row>
    <row r="301" ht="12.75" customHeight="1" spans="1:13" x14ac:dyDescent="0.25">
      <c r="A301" s="76"/>
      <c r="B301" s="76"/>
      <c r="C301" s="34"/>
      <c r="D301" s="71"/>
      <c r="E301" s="72" t="s">
        <v>630</v>
      </c>
      <c r="F301" s="140">
        <f>IFERROR(VLOOKUP(E301,Hoja1!$A$2:$E$399,5,FALSE),)</f>
        <v>0</v>
      </c>
      <c r="G301" s="138"/>
      <c r="H301" s="132"/>
      <c r="I301" s="164"/>
      <c r="J301" s="72"/>
      <c r="K301" s="72"/>
      <c r="L301" s="72"/>
      <c r="M301" s="72"/>
    </row>
    <row r="302" ht="12.75" customHeight="1" spans="1:7" x14ac:dyDescent="0.25">
      <c r="A302" s="76"/>
      <c r="B302" s="76"/>
      <c r="C302" s="34"/>
      <c r="D302" s="71" t="s">
        <v>631</v>
      </c>
      <c r="E302" s="188"/>
      <c r="F302" s="140"/>
      <c r="G302" s="187">
        <f>SUM(F302:F305)</f>
        <v>189946.28</v>
      </c>
    </row>
    <row r="303" ht="12.75" customHeight="1" spans="1:7" x14ac:dyDescent="0.25">
      <c r="A303" s="76"/>
      <c r="B303" s="76"/>
      <c r="C303" s="34"/>
      <c r="D303" s="71"/>
      <c r="E303" s="72" t="s">
        <v>632</v>
      </c>
      <c r="F303" s="140">
        <f>IFERROR(VLOOKUP(E303,Hoja1!$A$2:$E$399,5,FALSE),)</f>
        <v>0</v>
      </c>
      <c r="G303" s="138"/>
    </row>
    <row r="304" ht="12.75" customHeight="1" spans="1:7" x14ac:dyDescent="0.25">
      <c r="A304" s="76"/>
      <c r="B304" s="76"/>
      <c r="C304" s="34"/>
      <c r="D304" s="71"/>
      <c r="E304" s="72" t="s">
        <v>633</v>
      </c>
      <c r="F304" s="140">
        <f>IFERROR(VLOOKUP(E304,Hoja1!$A$2:$E$399,5,FALSE),)</f>
        <v>189946.28</v>
      </c>
      <c r="G304" s="138"/>
    </row>
    <row r="305" ht="12.75" customHeight="1" spans="1:7" x14ac:dyDescent="0.25">
      <c r="A305" s="76"/>
      <c r="B305" s="76"/>
      <c r="C305" s="34"/>
      <c r="D305" s="71"/>
      <c r="E305" s="72" t="s">
        <v>634</v>
      </c>
      <c r="F305" s="140">
        <f>IFERROR(VLOOKUP(E305,Hoja1!$A$2:$E$399,5,FALSE),)</f>
        <v>0</v>
      </c>
      <c r="G305" s="138"/>
    </row>
    <row r="306" ht="12.75" customHeight="1" spans="1:7" x14ac:dyDescent="0.25">
      <c r="A306" s="76"/>
      <c r="B306" s="76"/>
      <c r="C306" s="34"/>
      <c r="D306" s="71" t="s">
        <v>635</v>
      </c>
      <c r="E306" s="188"/>
      <c r="F306" s="140">
        <f>IFERROR(VLOOKUP(E306,Hoja1!$A$2:$E$399,5,FALSE),)</f>
        <v>0</v>
      </c>
      <c r="G306" s="138">
        <f>+F307</f>
        <v>0</v>
      </c>
    </row>
    <row r="307" ht="12.75" customHeight="1" spans="1:9" x14ac:dyDescent="0.25">
      <c r="A307" s="76"/>
      <c r="B307" s="76"/>
      <c r="C307" s="34"/>
      <c r="D307" s="71"/>
      <c r="E307" s="72" t="s">
        <v>636</v>
      </c>
      <c r="F307" s="140">
        <f>IFERROR(VLOOKUP(E307,Hoja1!$A$2:$E$399,5,FALSE),)</f>
        <v>0</v>
      </c>
      <c r="G307" s="138"/>
      <c r="H307" s="72"/>
      <c r="I307" s="164"/>
    </row>
    <row r="308" ht="12.75" customHeight="1" spans="1:9" x14ac:dyDescent="0.25">
      <c r="A308" s="76"/>
      <c r="B308" s="76"/>
      <c r="C308" s="34"/>
      <c r="D308" s="139" t="s">
        <v>637</v>
      </c>
      <c r="E308" s="72" t="s">
        <v>637</v>
      </c>
      <c r="F308" s="140">
        <f>IFERROR(VLOOKUP(E308,Hoja1!$A$2:$E$399,5,FALSE),)</f>
        <v>0</v>
      </c>
      <c r="G308" s="138">
        <f>+F308</f>
        <v>0</v>
      </c>
      <c r="H308" s="72"/>
      <c r="I308" s="164"/>
    </row>
    <row r="309" ht="12.75" customHeight="1" spans="1:9" x14ac:dyDescent="0.25">
      <c r="A309" s="76"/>
      <c r="B309" s="76"/>
      <c r="C309" s="34"/>
      <c r="D309" s="139" t="s">
        <v>638</v>
      </c>
      <c r="E309" s="72" t="s">
        <v>638</v>
      </c>
      <c r="F309" s="140">
        <f>IFERROR(VLOOKUP(E309,Hoja1!$A$2:$E$399,5,FALSE),)</f>
        <v>48607846.6</v>
      </c>
      <c r="G309" s="187">
        <f>+F309</f>
        <v>48607846.6</v>
      </c>
      <c r="H309" s="72"/>
      <c r="I309" s="164"/>
    </row>
    <row r="310" ht="12.75" customHeight="1" spans="1:7" x14ac:dyDescent="0.25">
      <c r="A310" s="76"/>
      <c r="B310" s="76"/>
      <c r="C310" s="34"/>
      <c r="D310" s="71" t="s">
        <v>639</v>
      </c>
      <c r="E310" s="72" t="s">
        <v>640</v>
      </c>
      <c r="F310" s="140">
        <f>IFERROR(VLOOKUP(E310,Hoja1!$A$2:$E$399,5,FALSE),)</f>
        <v>0</v>
      </c>
      <c r="G310" s="138">
        <f>+F310</f>
        <v>0</v>
      </c>
    </row>
    <row r="311" ht="12.75" customHeight="1" spans="1:7" x14ac:dyDescent="0.25">
      <c r="A311" s="76"/>
      <c r="B311" s="76"/>
      <c r="C311" s="34"/>
      <c r="D311" s="71" t="s">
        <v>641</v>
      </c>
      <c r="E311" s="188"/>
      <c r="F311" s="140">
        <f>IFERROR(VLOOKUP(E311,Hoja1!$A$2:$E$399,5,FALSE),)</f>
        <v>0</v>
      </c>
      <c r="G311" s="138">
        <f>SUM(F311:F313)</f>
        <v>0</v>
      </c>
    </row>
    <row r="312" ht="12.75" customHeight="1" spans="1:7" x14ac:dyDescent="0.25">
      <c r="A312" s="76"/>
      <c r="B312" s="76"/>
      <c r="C312" s="34"/>
      <c r="D312" s="71"/>
      <c r="E312" s="72" t="s">
        <v>642</v>
      </c>
      <c r="F312" s="140">
        <f>IFERROR(VLOOKUP(E312,Hoja1!$A$2:$E$399,5,FALSE),)</f>
        <v>0</v>
      </c>
      <c r="G312" s="138"/>
    </row>
    <row r="313" ht="12.75" customHeight="1" spans="1:7" x14ac:dyDescent="0.25">
      <c r="A313" s="76"/>
      <c r="B313" s="76"/>
      <c r="C313" s="34"/>
      <c r="D313" s="71"/>
      <c r="E313" s="72" t="s">
        <v>643</v>
      </c>
      <c r="F313" s="140">
        <f>IFERROR(VLOOKUP(E313,Hoja1!$A$2:$E$399,5,FALSE),)</f>
        <v>0</v>
      </c>
      <c r="G313" s="138"/>
    </row>
    <row r="314" ht="12.75" customHeight="1" spans="1:7" x14ac:dyDescent="0.25">
      <c r="A314" s="76"/>
      <c r="B314" s="76"/>
      <c r="C314" s="34"/>
      <c r="D314" s="71" t="s">
        <v>644</v>
      </c>
      <c r="E314" s="71"/>
      <c r="F314" s="140">
        <f>IFERROR(VLOOKUP(E314,Hoja1!$A$2:$E$399,5,FALSE),)</f>
        <v>0</v>
      </c>
      <c r="G314" s="138">
        <f>+F314</f>
        <v>0</v>
      </c>
    </row>
    <row r="315" ht="12.75" customHeight="1" spans="1:7" x14ac:dyDescent="0.25">
      <c r="A315" s="76"/>
      <c r="B315" s="76"/>
      <c r="C315" s="34"/>
      <c r="D315" s="71" t="s">
        <v>645</v>
      </c>
      <c r="E315" s="71" t="s">
        <v>646</v>
      </c>
      <c r="F315" s="140">
        <f>IFERROR(VLOOKUP(E315,Hoja1!$A$2:$E$399,5,FALSE),)</f>
        <v>0</v>
      </c>
      <c r="G315" s="187">
        <f>+F315+F316</f>
        <v>18512.4</v>
      </c>
    </row>
    <row r="316" ht="12.75" customHeight="1" spans="1:7" x14ac:dyDescent="0.25">
      <c r="A316" s="76"/>
      <c r="B316" s="76"/>
      <c r="C316" s="34"/>
      <c r="D316" s="71"/>
      <c r="E316" s="72" t="s">
        <v>647</v>
      </c>
      <c r="F316" s="140">
        <f>IFERROR(VLOOKUP(E316,Hoja1!$A$2:$E$399,5,FALSE),)</f>
        <v>18512.4</v>
      </c>
      <c r="G316" s="138"/>
    </row>
    <row r="317" ht="12.75" customHeight="1" spans="1:8" x14ac:dyDescent="0.25">
      <c r="A317" s="76"/>
      <c r="B317" s="76"/>
      <c r="C317" s="34"/>
      <c r="D317" s="139" t="s">
        <v>648</v>
      </c>
      <c r="E317" s="72"/>
      <c r="F317" s="140">
        <f>IFERROR(VLOOKUP(E317,Hoja1!$A$2:$E$399,5,FALSE),)</f>
        <v>0</v>
      </c>
      <c r="G317" s="138">
        <f>+F317</f>
        <v>0</v>
      </c>
      <c r="H317" s="68"/>
    </row>
    <row r="318" ht="12.6" customHeight="1" spans="1:8" x14ac:dyDescent="0.25">
      <c r="A318" s="76"/>
      <c r="B318" s="76"/>
      <c r="C318" s="34"/>
      <c r="D318" s="71" t="s">
        <v>649</v>
      </c>
      <c r="E318" s="71"/>
      <c r="F318" s="140"/>
      <c r="G318" s="187">
        <f>SUM(F318:F321)</f>
        <v>87312447.89</v>
      </c>
      <c r="H318" s="68"/>
    </row>
    <row r="319" ht="12.75" customHeight="1" spans="1:8" x14ac:dyDescent="0.25">
      <c r="A319" s="76"/>
      <c r="B319" s="76"/>
      <c r="C319" s="34"/>
      <c r="D319" s="71"/>
      <c r="E319" s="72" t="s">
        <v>650</v>
      </c>
      <c r="F319" s="140">
        <f>IFERROR(VLOOKUP(E319,Hoja1!$A$2:$E$399,5,FALSE),)</f>
        <v>87312447.89</v>
      </c>
      <c r="G319" s="143"/>
      <c r="H319" s="68"/>
    </row>
    <row r="320" ht="12.75" customHeight="1" spans="1:8" x14ac:dyDescent="0.25">
      <c r="A320" s="76"/>
      <c r="B320" s="76"/>
      <c r="C320" s="34"/>
      <c r="D320" s="71"/>
      <c r="E320" s="72" t="s">
        <v>651</v>
      </c>
      <c r="F320" s="140">
        <f>IFERROR(VLOOKUP(E320,Hoja1!$A$2:$E$399,5,FALSE),)</f>
        <v>0</v>
      </c>
      <c r="G320" s="138"/>
      <c r="H320" s="68"/>
    </row>
    <row r="321" ht="12.75" customHeight="1" spans="1:9" x14ac:dyDescent="0.25">
      <c r="A321" s="76"/>
      <c r="B321" s="76"/>
      <c r="C321" s="34"/>
      <c r="D321" s="71"/>
      <c r="E321" s="72" t="s">
        <v>652</v>
      </c>
      <c r="F321" s="140">
        <f>IFERROR(VLOOKUP(E321,Hoja1!$A$2:$E$399,5,FALSE),)</f>
        <v>0</v>
      </c>
      <c r="G321" s="138"/>
      <c r="H321" s="68"/>
      <c r="I321" s="159"/>
    </row>
    <row r="322" ht="12.75" customHeight="1" spans="1:7" x14ac:dyDescent="0.25">
      <c r="A322" s="76"/>
      <c r="B322" s="76"/>
      <c r="C322" s="34"/>
      <c r="D322" s="71" t="s">
        <v>653</v>
      </c>
      <c r="E322" s="188"/>
      <c r="F322" s="140"/>
      <c r="G322" s="187">
        <f>SUM(F322:F329)</f>
        <v>51970355.11</v>
      </c>
    </row>
    <row r="323" ht="12.75" customHeight="1" spans="1:7" x14ac:dyDescent="0.25">
      <c r="A323" s="76"/>
      <c r="B323" s="76"/>
      <c r="C323" s="34"/>
      <c r="D323" s="71"/>
      <c r="E323" s="72" t="s">
        <v>654</v>
      </c>
      <c r="F323" s="140">
        <f>IFERROR(VLOOKUP(E323,Hoja1!$A$2:$E$399,5,FALSE),)</f>
        <v>157000</v>
      </c>
      <c r="G323" s="138"/>
    </row>
    <row r="324" ht="12.75" customHeight="1" spans="1:7" x14ac:dyDescent="0.25">
      <c r="A324" s="76"/>
      <c r="B324" s="76"/>
      <c r="C324" s="34"/>
      <c r="D324" s="71"/>
      <c r="E324" s="72" t="s">
        <v>655</v>
      </c>
      <c r="F324" s="140">
        <f>IFERROR(VLOOKUP(E324,Hoja1!$A$2:$E$399,5,FALSE),)</f>
        <v>0</v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656</v>
      </c>
      <c r="F325" s="140">
        <f>IFERROR(VLOOKUP(E325,Hoja1!$A$2:$E$399,5,FALSE),)</f>
        <v>51813355.11</v>
      </c>
      <c r="G325" s="138"/>
    </row>
    <row r="326" ht="12.75" customHeight="1" spans="1:7" x14ac:dyDescent="0.25">
      <c r="A326" s="76"/>
      <c r="B326" s="76"/>
      <c r="C326" s="34"/>
      <c r="D326" s="71"/>
      <c r="E326" s="72" t="s">
        <v>657</v>
      </c>
      <c r="F326" s="140">
        <f>IFERROR(VLOOKUP(E326,Hoja1!$A$2:$E$399,5,FALSE),)</f>
        <v>0</v>
      </c>
      <c r="G326" s="138"/>
    </row>
    <row r="327" ht="12.75" customHeight="1" spans="1:7" x14ac:dyDescent="0.25">
      <c r="A327" s="76"/>
      <c r="B327" s="76"/>
      <c r="C327" s="34"/>
      <c r="D327" s="71"/>
      <c r="E327" s="72" t="s">
        <v>658</v>
      </c>
      <c r="F327" s="140">
        <f>IFERROR(VLOOKUP(E327,Hoja1!$A$2:$E$399,5,FALSE),)</f>
        <v>0</v>
      </c>
      <c r="G327" s="138"/>
    </row>
    <row r="328" ht="12.75" customHeight="1" spans="1:7" x14ac:dyDescent="0.25">
      <c r="A328" s="76"/>
      <c r="B328" s="76"/>
      <c r="C328" s="34"/>
      <c r="D328" s="71"/>
      <c r="E328" s="72" t="s">
        <v>659</v>
      </c>
      <c r="F328" s="140">
        <f>IFERROR(VLOOKUP(E328,Hoja1!$A$2:$E$399,5,FALSE),)</f>
        <v>0</v>
      </c>
      <c r="G328" s="138"/>
    </row>
    <row r="329" ht="12.75" customHeight="1" spans="1:7" x14ac:dyDescent="0.25">
      <c r="A329" s="76"/>
      <c r="B329" s="76"/>
      <c r="C329" s="34"/>
      <c r="D329" s="71"/>
      <c r="E329" s="72" t="s">
        <v>660</v>
      </c>
      <c r="F329" s="140">
        <f>IFERROR(VLOOKUP(E329,Hoja1!$A$2:$E$399,5,FALSE),)</f>
        <v>0</v>
      </c>
      <c r="G329" s="138"/>
    </row>
    <row r="330" ht="12.75" customHeight="1" spans="1:8" x14ac:dyDescent="0.25">
      <c r="A330" s="76"/>
      <c r="B330" s="76"/>
      <c r="C330" s="34"/>
      <c r="D330" s="71" t="s">
        <v>661</v>
      </c>
      <c r="E330" s="72" t="s">
        <v>662</v>
      </c>
      <c r="F330" s="140">
        <f>IFERROR(VLOOKUP(E330,Hoja1!$A$2:$E$399,5,FALSE),)</f>
        <v>0</v>
      </c>
      <c r="G330" s="187">
        <f>SUM(F330:F337)</f>
        <v>27411009.17</v>
      </c>
      <c r="H330" s="150"/>
    </row>
    <row r="331" ht="12.75" customHeight="1" spans="1:8" x14ac:dyDescent="0.25">
      <c r="A331" s="76"/>
      <c r="B331" s="76"/>
      <c r="C331" s="34"/>
      <c r="D331" s="71"/>
      <c r="E331" s="151" t="s">
        <v>663</v>
      </c>
      <c r="F331" s="140">
        <f>IFERROR(VLOOKUP(E331,Hoja1!$A$2:$E$399,5,FALSE),)</f>
        <v>21735.54</v>
      </c>
      <c r="G331" s="138"/>
      <c r="H331" s="150" t="s">
        <v>664</v>
      </c>
    </row>
    <row r="332" ht="12.75" customHeight="1" spans="1:8" x14ac:dyDescent="0.25">
      <c r="A332" s="76"/>
      <c r="B332" s="76"/>
      <c r="C332" s="34"/>
      <c r="D332" s="71"/>
      <c r="E332" s="72" t="s">
        <v>665</v>
      </c>
      <c r="F332" s="140">
        <f>IFERROR(VLOOKUP(E332,Hoja1!$A$2:$E$399,5,FALSE),)</f>
        <v>4006957.04</v>
      </c>
      <c r="G332" s="138"/>
      <c r="H332" s="150"/>
    </row>
    <row r="333" ht="12.75" customHeight="1" spans="1:8" x14ac:dyDescent="0.25">
      <c r="A333" s="76"/>
      <c r="B333" s="76"/>
      <c r="C333" s="34"/>
      <c r="D333" s="71"/>
      <c r="E333" s="72" t="s">
        <v>666</v>
      </c>
      <c r="F333" s="140">
        <f>IFERROR(VLOOKUP(E333,Hoja1!$A$2:$E$399,5,FALSE),)</f>
        <v>23352516.59</v>
      </c>
      <c r="G333" s="138"/>
      <c r="H333" s="150"/>
    </row>
    <row r="334" ht="12.75" customHeight="1" spans="1:8" x14ac:dyDescent="0.25">
      <c r="A334" s="76"/>
      <c r="B334" s="76"/>
      <c r="C334" s="34"/>
      <c r="D334" s="71"/>
      <c r="E334" s="72" t="s">
        <v>667</v>
      </c>
      <c r="F334" s="140">
        <f>IFERROR(VLOOKUP(E334,Hoja1!$A$2:$E$399,5,FALSE),)</f>
        <v>29800</v>
      </c>
      <c r="G334" s="138"/>
      <c r="H334" s="68"/>
    </row>
    <row r="335" ht="12.75" customHeight="1" spans="1:8" x14ac:dyDescent="0.25">
      <c r="A335" s="76"/>
      <c r="B335" s="76"/>
      <c r="C335" s="34"/>
      <c r="D335" s="71"/>
      <c r="E335" s="72" t="s">
        <v>668</v>
      </c>
      <c r="F335" s="140">
        <f>IFERROR(VLOOKUP(E335,Hoja1!$A$2:$E$399,5,FALSE),)</f>
        <v>0</v>
      </c>
      <c r="G335" s="138"/>
      <c r="H335" s="68"/>
    </row>
    <row r="336" ht="12.75" customHeight="1" spans="1:8" x14ac:dyDescent="0.25">
      <c r="A336" s="76"/>
      <c r="B336" s="76"/>
      <c r="C336" s="34"/>
      <c r="D336" s="71"/>
      <c r="E336" s="72" t="s">
        <v>669</v>
      </c>
      <c r="F336" s="140">
        <f>IFERROR(VLOOKUP(E336,Hoja1!$A$2:$E$399,5,FALSE),)</f>
        <v>0</v>
      </c>
      <c r="G336" s="138"/>
      <c r="H336" s="68"/>
    </row>
    <row r="337" ht="12.75" customHeight="1" spans="1:8" x14ac:dyDescent="0.25">
      <c r="A337" s="76"/>
      <c r="B337" s="76"/>
      <c r="C337" s="34"/>
      <c r="D337" s="71"/>
      <c r="E337" s="72" t="s">
        <v>670</v>
      </c>
      <c r="F337" s="140">
        <f>IFERROR(VLOOKUP(E337,Hoja1!$A$2:$E$399,5,FALSE),)</f>
        <v>0</v>
      </c>
      <c r="G337" s="138"/>
      <c r="H337" s="68"/>
    </row>
    <row r="338" ht="12.75" customHeight="1" spans="1:7" x14ac:dyDescent="0.25">
      <c r="A338" s="76"/>
      <c r="B338" s="76"/>
      <c r="C338" s="34"/>
      <c r="D338" s="71" t="s">
        <v>671</v>
      </c>
      <c r="E338" s="71"/>
      <c r="F338" s="140"/>
      <c r="G338" s="138">
        <f>+F338</f>
        <v>0</v>
      </c>
    </row>
    <row r="339" ht="12.75" customHeight="1" spans="1:7" x14ac:dyDescent="0.25">
      <c r="A339" s="76"/>
      <c r="B339" s="76"/>
      <c r="C339" s="34"/>
      <c r="D339" s="71" t="s">
        <v>672</v>
      </c>
      <c r="E339" s="72" t="s">
        <v>673</v>
      </c>
      <c r="F339" s="140">
        <f>IFERROR(VLOOKUP(E339,Hoja1!$A$2:$E$399,5,FALSE),)</f>
        <v>0</v>
      </c>
      <c r="G339" s="138">
        <f>+F339+F340+F341</f>
        <v>0</v>
      </c>
    </row>
    <row r="340" ht="12.75" customHeight="1" spans="1:7" x14ac:dyDescent="0.25">
      <c r="A340" s="76"/>
      <c r="B340" s="76"/>
      <c r="C340" s="34"/>
      <c r="D340" s="71"/>
      <c r="E340" s="71" t="s">
        <v>674</v>
      </c>
      <c r="F340" s="140">
        <f>IFERROR(VLOOKUP(E340,Hoja1!$A$2:$E$399,5,FALSE),)</f>
        <v>0</v>
      </c>
      <c r="G340" s="138"/>
    </row>
    <row r="341" ht="12.75" customHeight="1" spans="1:7" x14ac:dyDescent="0.25">
      <c r="A341" s="76"/>
      <c r="B341" s="76"/>
      <c r="C341" s="34"/>
      <c r="D341" s="71"/>
      <c r="E341" s="71" t="s">
        <v>675</v>
      </c>
      <c r="F341" s="140">
        <f>IFERROR(VLOOKUP(E341,Hoja1!$A$2:$E$399,5,FALSE),)</f>
        <v>0</v>
      </c>
      <c r="G341" s="138"/>
    </row>
    <row r="342" ht="12.75" customHeight="1" spans="1:7" x14ac:dyDescent="0.25">
      <c r="A342" s="76"/>
      <c r="B342" s="76"/>
      <c r="C342" s="34"/>
      <c r="D342" s="71" t="s">
        <v>676</v>
      </c>
      <c r="E342" s="72" t="s">
        <v>677</v>
      </c>
      <c r="F342" s="140">
        <f>IFERROR(VLOOKUP(E342,Hoja1!$A$2:$E$399,5,FALSE),)</f>
        <v>0</v>
      </c>
      <c r="G342" s="187">
        <f>SUM(F342:F350)</f>
        <v>7596589.620000001</v>
      </c>
    </row>
    <row r="343" ht="12.75" customHeight="1" spans="1:14" x14ac:dyDescent="0.25">
      <c r="A343" s="76"/>
      <c r="B343" s="76"/>
      <c r="C343" s="34"/>
      <c r="D343" s="71"/>
      <c r="E343" s="72" t="s">
        <v>678</v>
      </c>
      <c r="F343" s="140">
        <f>IFERROR(VLOOKUP(E343,Hoja1!$A$2:$E$399,5,FALSE),)</f>
        <v>653893.77</v>
      </c>
      <c r="G343" s="138"/>
      <c r="H343" s="132"/>
      <c r="I343" s="134"/>
      <c r="J343" s="72"/>
      <c r="K343" s="72"/>
      <c r="L343" s="72"/>
      <c r="M343" s="72"/>
      <c r="N343" s="72"/>
    </row>
    <row r="344" ht="12.75" customHeight="1" spans="1:14" x14ac:dyDescent="0.25">
      <c r="A344" s="76"/>
      <c r="B344" s="76"/>
      <c r="C344" s="34"/>
      <c r="D344" s="71"/>
      <c r="E344" s="72" t="s">
        <v>679</v>
      </c>
      <c r="F344" s="140">
        <f>IFERROR(VLOOKUP(E344,Hoja1!$A$2:$E$399,5,FALSE),)</f>
        <v>0</v>
      </c>
      <c r="G344" s="138"/>
      <c r="H344" s="132"/>
      <c r="I344" s="134"/>
      <c r="J344" s="72"/>
      <c r="K344" s="72"/>
      <c r="L344" s="72"/>
      <c r="M344" s="72"/>
      <c r="N344" s="72"/>
    </row>
    <row r="345" ht="12.75" customHeight="1" spans="1:7" x14ac:dyDescent="0.25">
      <c r="A345" s="76"/>
      <c r="B345" s="76"/>
      <c r="C345" s="34"/>
      <c r="D345" s="71"/>
      <c r="E345" s="72" t="s">
        <v>680</v>
      </c>
      <c r="F345" s="140">
        <f>IFERROR(VLOOKUP(E345,Hoja1!$A$2:$E$399,5,FALSE),)</f>
        <v>5565333.850000001</v>
      </c>
      <c r="G345" s="138"/>
    </row>
    <row r="346" ht="12.75" customHeight="1" spans="1:7" x14ac:dyDescent="0.25">
      <c r="A346" s="76"/>
      <c r="B346" s="76"/>
      <c r="C346" s="34"/>
      <c r="D346" s="71"/>
      <c r="E346" s="72" t="s">
        <v>681</v>
      </c>
      <c r="F346" s="140">
        <f>IFERROR(VLOOKUP(E346,Hoja1!$A$2:$E$399,5,FALSE),)</f>
        <v>0</v>
      </c>
      <c r="G346" s="138"/>
    </row>
    <row r="347" ht="12.75" customHeight="1" spans="1:7" x14ac:dyDescent="0.25">
      <c r="A347" s="76"/>
      <c r="B347" s="76"/>
      <c r="C347" s="34"/>
      <c r="D347" s="71"/>
      <c r="E347" s="72" t="s">
        <v>682</v>
      </c>
      <c r="F347" s="140">
        <f>IFERROR(VLOOKUP(E347,Hoja1!$A$2:$E$399,5,FALSE),)</f>
        <v>0</v>
      </c>
      <c r="G347" s="138"/>
    </row>
    <row r="348" ht="12.75" customHeight="1" spans="1:7" x14ac:dyDescent="0.25">
      <c r="A348" s="76"/>
      <c r="B348" s="76"/>
      <c r="C348" s="34"/>
      <c r="D348" s="71"/>
      <c r="E348" s="72" t="s">
        <v>683</v>
      </c>
      <c r="F348" s="140">
        <f>IFERROR(VLOOKUP(E348,Hoja1!$A$2:$E$399,5,FALSE),)</f>
        <v>0</v>
      </c>
      <c r="G348" s="138"/>
    </row>
    <row r="349" ht="12.75" customHeight="1" spans="1:7" x14ac:dyDescent="0.25">
      <c r="A349" s="76"/>
      <c r="B349" s="76"/>
      <c r="C349" s="34"/>
      <c r="D349" s="71"/>
      <c r="E349" s="72" t="s">
        <v>684</v>
      </c>
      <c r="F349" s="140">
        <f>IFERROR(VLOOKUP(E349,Hoja1!$A$2:$E$399,5,FALSE),)</f>
        <v>0</v>
      </c>
      <c r="G349" s="138"/>
    </row>
    <row r="350" ht="12.75" customHeight="1" spans="1:8" x14ac:dyDescent="0.25">
      <c r="A350" s="76"/>
      <c r="B350" s="76"/>
      <c r="C350" s="34"/>
      <c r="D350" s="71"/>
      <c r="E350" s="151" t="s">
        <v>685</v>
      </c>
      <c r="F350" s="140">
        <f>IFERROR(VLOOKUP(E350,Hoja1!$A$2:$E$399,5,FALSE),)</f>
        <v>1377362</v>
      </c>
      <c r="G350" s="138"/>
      <c r="H350" s="68" t="s">
        <v>664</v>
      </c>
    </row>
    <row r="351" ht="12.75" customHeight="1" spans="1:13" x14ac:dyDescent="0.25">
      <c r="A351" s="76"/>
      <c r="B351" s="76"/>
      <c r="C351" s="34"/>
      <c r="D351" s="71" t="s">
        <v>686</v>
      </c>
      <c r="E351" s="72" t="s">
        <v>687</v>
      </c>
      <c r="F351" s="140">
        <f>IFERROR(VLOOKUP(E351,Hoja1!$A$2:$E$399,5,FALSE),)</f>
        <v>0</v>
      </c>
      <c r="G351" s="187">
        <f>SUM(F351:F357)</f>
        <v>8616654.57</v>
      </c>
      <c r="H351" s="68"/>
      <c r="I351" s="164"/>
      <c r="J351" s="72"/>
      <c r="K351" s="72"/>
      <c r="L351" s="72"/>
      <c r="M351" s="72"/>
    </row>
    <row r="352" ht="12.75" customHeight="1" spans="1:8" x14ac:dyDescent="0.25">
      <c r="A352" s="76"/>
      <c r="B352" s="76"/>
      <c r="C352" s="34"/>
      <c r="D352" s="71"/>
      <c r="E352" s="72" t="s">
        <v>688</v>
      </c>
      <c r="F352" s="140">
        <f>IFERROR(VLOOKUP(E352,Hoja1!$A$2:$E$399,5,FALSE),)</f>
        <v>783143.51</v>
      </c>
      <c r="G352" s="138"/>
      <c r="H352" s="68"/>
    </row>
    <row r="353" ht="12.75" customHeight="1" spans="1:8" x14ac:dyDescent="0.25">
      <c r="A353" s="76"/>
      <c r="B353" s="76"/>
      <c r="C353" s="34"/>
      <c r="D353" s="71"/>
      <c r="E353" s="72" t="s">
        <v>689</v>
      </c>
      <c r="F353" s="140">
        <f>IFERROR(VLOOKUP(E353,Hoja1!$A$2:$E$399,5,FALSE),)</f>
        <v>7828411.890000001</v>
      </c>
      <c r="G353" s="138"/>
      <c r="H353" s="68"/>
    </row>
    <row r="354" ht="12.75" customHeight="1" spans="1:8" x14ac:dyDescent="0.25">
      <c r="A354" s="76"/>
      <c r="B354" s="76"/>
      <c r="C354" s="34"/>
      <c r="D354" s="71"/>
      <c r="E354" s="72" t="s">
        <v>690</v>
      </c>
      <c r="F354" s="140">
        <f>IFERROR(VLOOKUP(E354,Hoja1!$A$2:$E$399,5,FALSE),)</f>
        <v>0</v>
      </c>
      <c r="G354" s="138"/>
      <c r="H354" s="68"/>
    </row>
    <row r="355" ht="12.75" customHeight="1" spans="1:8" x14ac:dyDescent="0.25">
      <c r="A355" s="76"/>
      <c r="B355" s="76"/>
      <c r="C355" s="34"/>
      <c r="D355" s="71"/>
      <c r="E355" s="72" t="s">
        <v>691</v>
      </c>
      <c r="F355" s="140">
        <f>IFERROR(VLOOKUP(E355,Hoja1!$A$2:$E$399,5,FALSE),)</f>
        <v>5099.17</v>
      </c>
      <c r="G355" s="138"/>
      <c r="H355" s="68"/>
    </row>
    <row r="356" ht="12.75" customHeight="1" spans="1:8" x14ac:dyDescent="0.25">
      <c r="A356" s="76"/>
      <c r="B356" s="76"/>
      <c r="C356" s="34"/>
      <c r="D356" s="71"/>
      <c r="E356" s="72" t="s">
        <v>692</v>
      </c>
      <c r="F356" s="140">
        <f>IFERROR(VLOOKUP(E356,Hoja1!$A$2:$E$399,5,FALSE),)</f>
        <v>0</v>
      </c>
      <c r="G356" s="138"/>
      <c r="H356" s="68"/>
    </row>
    <row r="357" ht="12.75" customHeight="1" spans="1:8" x14ac:dyDescent="0.25">
      <c r="A357" s="76"/>
      <c r="B357" s="76"/>
      <c r="C357" s="34"/>
      <c r="D357" s="71"/>
      <c r="E357" s="72" t="s">
        <v>693</v>
      </c>
      <c r="F357" s="140">
        <f>IFERROR(VLOOKUP(E357,Hoja1!$A$2:$E$399,5,FALSE),)</f>
        <v>0</v>
      </c>
      <c r="G357" s="138"/>
      <c r="H357" s="68"/>
    </row>
    <row r="358" ht="12.75" customHeight="1" spans="1:8" x14ac:dyDescent="0.25">
      <c r="A358" s="76"/>
      <c r="B358" s="76"/>
      <c r="C358" s="34"/>
      <c r="D358" s="139" t="s">
        <v>694</v>
      </c>
      <c r="E358" s="72"/>
      <c r="F358" s="140"/>
      <c r="G358" s="138">
        <f>+F358+F359+F360</f>
        <v>0</v>
      </c>
      <c r="H358" s="68"/>
    </row>
    <row r="359" ht="12.75" customHeight="1" spans="1:8" x14ac:dyDescent="0.25">
      <c r="A359" s="76"/>
      <c r="B359" s="76"/>
      <c r="C359" s="34"/>
      <c r="D359" s="132"/>
      <c r="E359" s="72" t="s">
        <v>695</v>
      </c>
      <c r="F359" s="140">
        <f>IFERROR(VLOOKUP(E359,Hoja1!$A$2:$E$399,5,FALSE),)</f>
        <v>0</v>
      </c>
      <c r="G359" s="138"/>
      <c r="H359" s="68"/>
    </row>
    <row r="360" ht="12.75" customHeight="1" spans="1:8" x14ac:dyDescent="0.25">
      <c r="A360" s="76"/>
      <c r="B360" s="76"/>
      <c r="C360" s="34"/>
      <c r="D360" s="132"/>
      <c r="E360" s="72" t="s">
        <v>696</v>
      </c>
      <c r="F360" s="140">
        <f>IFERROR(VLOOKUP(E360,Hoja1!$A$2:$E$399,5,FALSE),)</f>
        <v>0</v>
      </c>
      <c r="G360" s="138"/>
      <c r="H360" s="68"/>
    </row>
    <row r="361" ht="12.75" customHeight="1" spans="1:8" x14ac:dyDescent="0.25">
      <c r="A361" s="76"/>
      <c r="B361" s="76"/>
      <c r="C361" s="34"/>
      <c r="D361" s="139" t="s">
        <v>697</v>
      </c>
      <c r="E361" s="72"/>
      <c r="F361" s="140"/>
      <c r="G361" s="138">
        <f>+F361+F362</f>
        <v>0</v>
      </c>
      <c r="H361" s="68"/>
    </row>
    <row r="362" ht="12.75" customHeight="1" spans="1:8" x14ac:dyDescent="0.25">
      <c r="A362" s="76"/>
      <c r="B362" s="76"/>
      <c r="C362" s="34"/>
      <c r="D362" s="139"/>
      <c r="E362" s="72" t="s">
        <v>697</v>
      </c>
      <c r="F362" s="140">
        <f>IFERROR(VLOOKUP(E362,Hoja1!$A$2:$E$399,5,FALSE),)</f>
        <v>0</v>
      </c>
      <c r="G362" s="138"/>
      <c r="H362" s="68"/>
    </row>
    <row r="363" ht="12.75" customHeight="1" spans="1:7" x14ac:dyDescent="0.25">
      <c r="A363" s="76"/>
      <c r="B363" s="76"/>
      <c r="C363" s="34"/>
      <c r="D363" s="71" t="s">
        <v>698</v>
      </c>
      <c r="E363" s="71"/>
      <c r="F363" s="140"/>
      <c r="G363" s="138">
        <f>SUM(F363:F366)</f>
        <v>0</v>
      </c>
    </row>
    <row r="364" ht="12.75" customHeight="1" spans="1:7" x14ac:dyDescent="0.25">
      <c r="A364" s="76"/>
      <c r="B364" s="76"/>
      <c r="C364" s="34"/>
      <c r="D364" s="71"/>
      <c r="E364" s="72" t="s">
        <v>699</v>
      </c>
      <c r="F364" s="140">
        <f>IFERROR(VLOOKUP(E364,Hoja1!$A$2:$E$399,5,FALSE),)</f>
        <v>0</v>
      </c>
      <c r="G364" s="138"/>
    </row>
    <row r="365" ht="12.75" customHeight="1" spans="1:7" x14ac:dyDescent="0.25">
      <c r="A365" s="76"/>
      <c r="B365" s="76"/>
      <c r="C365" s="34"/>
      <c r="D365" s="71"/>
      <c r="E365" s="72" t="s">
        <v>700</v>
      </c>
      <c r="F365" s="140">
        <f>IFERROR(VLOOKUP(E365,Hoja1!$A$2:$E$399,5,FALSE),)</f>
        <v>0</v>
      </c>
      <c r="G365" s="138"/>
    </row>
    <row r="366" ht="12.75" customHeight="1" spans="1:7" x14ac:dyDescent="0.25">
      <c r="A366" s="76"/>
      <c r="B366" s="76"/>
      <c r="C366" s="34"/>
      <c r="D366" s="71"/>
      <c r="E366" s="72" t="s">
        <v>701</v>
      </c>
      <c r="F366" s="140">
        <f>IFERROR(VLOOKUP(E366,Hoja1!$A$2:$E$399,5,FALSE),)</f>
        <v>0</v>
      </c>
      <c r="G366" s="138"/>
    </row>
    <row r="367" ht="12.75" customHeight="1" spans="1:7" x14ac:dyDescent="0.25">
      <c r="A367" s="76"/>
      <c r="B367" s="76"/>
      <c r="C367" s="34"/>
      <c r="D367" s="71" t="s">
        <v>702</v>
      </c>
      <c r="E367" s="188"/>
      <c r="F367" s="140"/>
      <c r="G367" s="138">
        <f>+F367</f>
        <v>0</v>
      </c>
    </row>
    <row r="368" ht="12.75" customHeight="1" spans="1:7" x14ac:dyDescent="0.25">
      <c r="A368" s="76"/>
      <c r="B368" s="76"/>
      <c r="C368" s="34"/>
      <c r="D368" s="71" t="s">
        <v>703</v>
      </c>
      <c r="E368" s="188"/>
      <c r="F368" s="140"/>
      <c r="G368" s="187">
        <f>SUM(F368:F373)</f>
        <v>262653256.83999997</v>
      </c>
    </row>
    <row r="369" ht="12.75" customHeight="1" spans="1:7" x14ac:dyDescent="0.25">
      <c r="A369" s="76"/>
      <c r="B369" s="76"/>
      <c r="C369" s="34"/>
      <c r="D369" s="71"/>
      <c r="E369" s="72" t="s">
        <v>704</v>
      </c>
      <c r="F369" s="140">
        <f>IFERROR(VLOOKUP(E369,Hoja1!$A$2:$E$399,5,FALSE),)</f>
        <v>0</v>
      </c>
      <c r="G369" s="138"/>
    </row>
    <row r="370" ht="12.75" customHeight="1" spans="1:7" x14ac:dyDescent="0.25">
      <c r="A370" s="76"/>
      <c r="B370" s="76"/>
      <c r="C370" s="34"/>
      <c r="D370" s="71"/>
      <c r="E370" s="72" t="s">
        <v>705</v>
      </c>
      <c r="F370" s="140">
        <f>IFERROR(VLOOKUP(E370,Hoja1!$A$2:$E$399,5,FALSE),)</f>
        <v>216447896.76</v>
      </c>
      <c r="G370" s="138"/>
    </row>
    <row r="371" ht="12.75" customHeight="1" spans="1:7" x14ac:dyDescent="0.25">
      <c r="A371" s="76"/>
      <c r="B371" s="76"/>
      <c r="C371" s="34"/>
      <c r="D371" s="71"/>
      <c r="E371" s="72" t="s">
        <v>706</v>
      </c>
      <c r="F371" s="140">
        <f>IFERROR(VLOOKUP(E371,Hoja1!$A$2:$E$399,5,FALSE),)</f>
        <v>45688831.08</v>
      </c>
      <c r="G371" s="138"/>
    </row>
    <row r="372" ht="12.75" customHeight="1" spans="1:7" x14ac:dyDescent="0.25">
      <c r="A372" s="76"/>
      <c r="B372" s="76"/>
      <c r="C372" s="34"/>
      <c r="D372" s="71"/>
      <c r="E372" s="72" t="s">
        <v>707</v>
      </c>
      <c r="F372" s="140">
        <f>IFERROR(VLOOKUP(E372,Hoja1!$A$2:$E$399,5,FALSE),)</f>
        <v>516529</v>
      </c>
      <c r="G372" s="138"/>
    </row>
    <row r="373" ht="12.75" customHeight="1" spans="1:7" x14ac:dyDescent="0.25">
      <c r="A373" s="76"/>
      <c r="B373" s="76"/>
      <c r="C373" s="34"/>
      <c r="D373" s="71"/>
      <c r="E373" s="72" t="s">
        <v>708</v>
      </c>
      <c r="F373" s="140">
        <f>IFERROR(VLOOKUP(E373,Hoja1!$A$2:$E$399,5,FALSE),)</f>
        <v>0</v>
      </c>
      <c r="G373" s="138"/>
    </row>
    <row r="374" ht="12.75" customHeight="1" spans="1:7" x14ac:dyDescent="0.25">
      <c r="A374" s="76"/>
      <c r="B374" s="76"/>
      <c r="C374" s="34"/>
      <c r="D374" s="71" t="s">
        <v>709</v>
      </c>
      <c r="E374" s="76"/>
      <c r="F374" s="140"/>
      <c r="G374" s="187">
        <f>SUM(F375:F383)</f>
        <v>58572858.17</v>
      </c>
    </row>
    <row r="375" ht="12.75" customHeight="1" spans="1:7" x14ac:dyDescent="0.25">
      <c r="A375" s="76"/>
      <c r="B375" s="76"/>
      <c r="C375" s="34"/>
      <c r="D375" s="71"/>
      <c r="E375" s="72" t="s">
        <v>710</v>
      </c>
      <c r="F375" s="140">
        <f>IFERROR(VLOOKUP(E375,Hoja1!$A$2:$E$399,5,FALSE),)</f>
        <v>0</v>
      </c>
      <c r="G375" s="138"/>
    </row>
    <row r="376" ht="12.75" customHeight="1" spans="1:7" x14ac:dyDescent="0.25">
      <c r="A376" s="76"/>
      <c r="B376" s="76"/>
      <c r="C376" s="34"/>
      <c r="D376" s="71"/>
      <c r="E376" s="72" t="s">
        <v>711</v>
      </c>
      <c r="F376" s="140">
        <f>IFERROR(VLOOKUP(E376,Hoja1!$A$2:$E$399,5,FALSE),)</f>
        <v>45070376.57</v>
      </c>
      <c r="G376" s="138"/>
    </row>
    <row r="377" ht="12.75" customHeight="1" spans="1:7" x14ac:dyDescent="0.25">
      <c r="A377" s="76"/>
      <c r="B377" s="76"/>
      <c r="C377" s="34"/>
      <c r="D377" s="71"/>
      <c r="E377" s="72" t="s">
        <v>712</v>
      </c>
      <c r="F377" s="140">
        <f>IFERROR(VLOOKUP(E377,Hoja1!$A$2:$E$399,5,FALSE),)</f>
        <v>0</v>
      </c>
      <c r="G377" s="138"/>
    </row>
    <row r="378" ht="12.75" customHeight="1" spans="1:7" x14ac:dyDescent="0.25">
      <c r="A378" s="76"/>
      <c r="B378" s="76"/>
      <c r="C378" s="34"/>
      <c r="D378" s="71"/>
      <c r="E378" s="72" t="s">
        <v>713</v>
      </c>
      <c r="F378" s="140">
        <f>IFERROR(VLOOKUP(E378,Hoja1!$A$2:$E$399,5,FALSE),)</f>
        <v>0</v>
      </c>
      <c r="G378" s="138"/>
    </row>
    <row r="379" ht="12.75" customHeight="1" spans="1:7" x14ac:dyDescent="0.25">
      <c r="A379" s="76"/>
      <c r="B379" s="76"/>
      <c r="C379" s="34"/>
      <c r="D379" s="71"/>
      <c r="E379" s="72" t="s">
        <v>714</v>
      </c>
      <c r="F379" s="140">
        <f>IFERROR(VLOOKUP(E379,Hoja1!$A$2:$E$399,5,FALSE),)</f>
        <v>0</v>
      </c>
      <c r="G379" s="138"/>
    </row>
    <row r="380" ht="12.75" customHeight="1" spans="1:7" x14ac:dyDescent="0.25">
      <c r="A380" s="76"/>
      <c r="B380" s="76"/>
      <c r="C380" s="34"/>
      <c r="D380" s="71"/>
      <c r="E380" s="72" t="s">
        <v>715</v>
      </c>
      <c r="F380" s="140">
        <f>IFERROR(VLOOKUP(E380,Hoja1!$A$2:$E$399,5,FALSE),)</f>
        <v>13502481.6</v>
      </c>
      <c r="G380" s="138"/>
    </row>
    <row r="381" ht="12.75" customHeight="1" spans="1:7" x14ac:dyDescent="0.25">
      <c r="A381" s="76"/>
      <c r="B381" s="76"/>
      <c r="C381" s="34"/>
      <c r="D381" s="71"/>
      <c r="E381" s="72" t="s">
        <v>716</v>
      </c>
      <c r="F381" s="140">
        <f>IFERROR(VLOOKUP(E381,Hoja1!$A$2:$E$399,5,FALSE),)</f>
        <v>0</v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717</v>
      </c>
      <c r="F382" s="140">
        <f>IFERROR(VLOOKUP(E382,Hoja1!$A$2:$E$399,5,FALSE),)</f>
        <v>0</v>
      </c>
      <c r="G382" s="138"/>
    </row>
    <row r="383" ht="12.75" customHeight="1" spans="1:7" x14ac:dyDescent="0.25">
      <c r="A383" s="76"/>
      <c r="B383" s="76"/>
      <c r="C383" s="34"/>
      <c r="D383" s="71"/>
      <c r="E383" s="151" t="s">
        <v>718</v>
      </c>
      <c r="F383" s="140">
        <f>IFERROR(VLOOKUP(E383,Hoja1!$A$2:$E$399,5,FALSE),)</f>
        <v>0</v>
      </c>
      <c r="G383" s="138"/>
    </row>
    <row r="384" ht="12.75" customHeight="1" spans="1:7" x14ac:dyDescent="0.25">
      <c r="A384" s="76"/>
      <c r="B384" s="76"/>
      <c r="C384" s="34"/>
      <c r="D384" s="71" t="s">
        <v>719</v>
      </c>
      <c r="E384" s="71"/>
      <c r="F384" s="140"/>
      <c r="G384" s="138">
        <f>+F384</f>
        <v>0</v>
      </c>
    </row>
    <row r="385" ht="12.75" customHeight="1" spans="1:7" x14ac:dyDescent="0.25">
      <c r="A385" s="76"/>
      <c r="B385" s="76"/>
      <c r="C385" s="34"/>
      <c r="D385" s="139" t="s">
        <v>720</v>
      </c>
      <c r="E385" s="72"/>
      <c r="F385" s="140"/>
      <c r="G385" s="138">
        <f>+F385</f>
        <v>0</v>
      </c>
    </row>
    <row r="386" ht="12.75" customHeight="1" spans="1:7" x14ac:dyDescent="0.25">
      <c r="A386" s="76"/>
      <c r="B386" s="76"/>
      <c r="C386" s="34"/>
      <c r="D386" s="71" t="s">
        <v>721</v>
      </c>
      <c r="E386" s="71"/>
      <c r="F386" s="140"/>
      <c r="G386" s="138">
        <f>+F386</f>
        <v>0</v>
      </c>
    </row>
    <row r="387" ht="12.75" customHeight="1" spans="1:7" x14ac:dyDescent="0.25">
      <c r="A387" s="76"/>
      <c r="B387" s="76"/>
      <c r="C387" s="34"/>
      <c r="D387" s="71" t="s">
        <v>722</v>
      </c>
      <c r="E387" s="72" t="s">
        <v>723</v>
      </c>
      <c r="F387" s="140">
        <f>IFERROR(VLOOKUP(E387,Hoja1!$A$2:$E$399,5,FALSE),)</f>
        <v>0</v>
      </c>
      <c r="G387" s="138">
        <f>+F387+F388</f>
        <v>0</v>
      </c>
    </row>
    <row r="388" ht="12.75" customHeight="1" spans="1:7" x14ac:dyDescent="0.25">
      <c r="A388" s="76"/>
      <c r="B388" s="76"/>
      <c r="C388" s="34"/>
      <c r="D388" s="71"/>
      <c r="E388" s="72" t="s">
        <v>724</v>
      </c>
      <c r="F388" s="140">
        <f>IFERROR(VLOOKUP(E388,Hoja1!$A$2:$E$399,5,FALSE),)</f>
        <v>0</v>
      </c>
      <c r="G388" s="138"/>
    </row>
    <row r="389" ht="12.75" customHeight="1" spans="1:7" x14ac:dyDescent="0.25">
      <c r="A389" s="76"/>
      <c r="B389" s="76"/>
      <c r="C389" s="34"/>
      <c r="D389" s="71" t="s">
        <v>725</v>
      </c>
      <c r="E389" s="71"/>
      <c r="F389" s="140"/>
      <c r="G389" s="138">
        <f>+F389</f>
        <v>0</v>
      </c>
    </row>
    <row r="390" ht="12.75" customHeight="1" spans="1:15" x14ac:dyDescent="0.25">
      <c r="A390" s="76"/>
      <c r="B390" s="76"/>
      <c r="C390" s="34"/>
      <c r="D390" s="71" t="s">
        <v>726</v>
      </c>
      <c r="E390" s="71"/>
      <c r="F390" s="140"/>
      <c r="G390" s="187">
        <f>SUM(F390:F392)</f>
        <v>9064800</v>
      </c>
      <c r="H390" s="132"/>
      <c r="I390" s="134"/>
      <c r="J390" s="132"/>
      <c r="K390" s="72"/>
      <c r="L390" s="72"/>
      <c r="M390" s="72"/>
      <c r="N390" s="72"/>
      <c r="O390" s="72"/>
    </row>
    <row r="391" ht="12.75" customHeight="1" spans="1:15" x14ac:dyDescent="0.25">
      <c r="A391" s="76"/>
      <c r="B391" s="76"/>
      <c r="C391" s="34"/>
      <c r="D391" s="71"/>
      <c r="E391" s="72" t="s">
        <v>727</v>
      </c>
      <c r="F391" s="140">
        <f>IFERROR(VLOOKUP(E391,Hoja1!$A$2:$E$399,5,FALSE),)</f>
        <v>0</v>
      </c>
      <c r="G391" s="138"/>
      <c r="H391" s="132"/>
      <c r="I391" s="134"/>
      <c r="J391" s="132"/>
      <c r="K391" s="72"/>
      <c r="L391" s="72"/>
      <c r="M391" s="72"/>
      <c r="N391" s="72"/>
      <c r="O391" s="72"/>
    </row>
    <row r="392" ht="12.75" customHeight="1" spans="1:15" x14ac:dyDescent="0.25">
      <c r="A392" s="76"/>
      <c r="B392" s="76"/>
      <c r="C392" s="34"/>
      <c r="D392" s="71"/>
      <c r="E392" s="72" t="s">
        <v>728</v>
      </c>
      <c r="F392" s="140">
        <f>IFERROR(VLOOKUP(E392,Hoja1!$A$2:$E$399,5,FALSE),)</f>
        <v>9064800</v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ht="12.75" customHeight="1" spans="1:7" x14ac:dyDescent="0.25">
      <c r="A393" s="76"/>
      <c r="B393" s="76"/>
      <c r="C393" s="34"/>
      <c r="D393" s="71" t="s">
        <v>729</v>
      </c>
      <c r="E393" s="72" t="s">
        <v>730</v>
      </c>
      <c r="F393" s="140">
        <f>IFERROR(VLOOKUP(E393,Hoja1!$A$2:$E$399,5,FALSE),)</f>
        <v>5598557</v>
      </c>
      <c r="G393" s="138">
        <f>+F393+F394+F395+F396</f>
        <v>5598557</v>
      </c>
    </row>
    <row r="394" ht="12.75" customHeight="1" spans="1:7" x14ac:dyDescent="0.25">
      <c r="A394" s="76"/>
      <c r="B394" s="76"/>
      <c r="C394" s="34"/>
      <c r="D394" s="71"/>
      <c r="E394" s="72" t="s">
        <v>731</v>
      </c>
      <c r="F394" s="140">
        <f>IFERROR(VLOOKUP(E394,Hoja1!$A$2:$E$399,5,FALSE),)</f>
        <v>0</v>
      </c>
      <c r="G394" s="138"/>
    </row>
    <row r="395" ht="12.75" customHeight="1" spans="1:7" x14ac:dyDescent="0.25">
      <c r="A395" s="76"/>
      <c r="B395" s="76"/>
      <c r="C395" s="34"/>
      <c r="D395" s="71"/>
      <c r="E395" s="72" t="s">
        <v>732</v>
      </c>
      <c r="F395" s="140">
        <f>IFERROR(VLOOKUP(E395,Hoja1!$A$2:$E$399,5,FALSE),)</f>
        <v>0</v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733</v>
      </c>
      <c r="F396" s="140">
        <f>IFERROR(VLOOKUP(E396,Hoja1!$A$2:$E$399,5,FALSE),)</f>
        <v>0</v>
      </c>
      <c r="G396" s="138"/>
    </row>
    <row r="397" ht="12.75" customHeight="1" spans="1:7" x14ac:dyDescent="0.25">
      <c r="A397" s="76"/>
      <c r="B397" s="76"/>
      <c r="C397" s="34"/>
      <c r="D397" s="71" t="s">
        <v>734</v>
      </c>
      <c r="E397" s="188"/>
      <c r="F397" s="140"/>
      <c r="G397" s="138">
        <f>SUM(F397:F398)</f>
        <v>0</v>
      </c>
    </row>
    <row r="398" ht="12.75" customHeight="1" spans="1:8" x14ac:dyDescent="0.25">
      <c r="A398" s="76"/>
      <c r="B398" s="76"/>
      <c r="C398" s="34"/>
      <c r="D398" s="139"/>
      <c r="E398" s="72" t="s">
        <v>735</v>
      </c>
      <c r="F398" s="140">
        <f>IFERROR(VLOOKUP(E398,Hoja1!$A$2:$E$399,5,FALSE),)</f>
        <v>0</v>
      </c>
      <c r="G398" s="138"/>
      <c r="H398" s="72"/>
    </row>
    <row r="399" ht="12.75" customHeight="1" spans="1:7" x14ac:dyDescent="0.25">
      <c r="A399" s="76"/>
      <c r="B399" s="76"/>
      <c r="C399" s="34"/>
      <c r="D399" s="71" t="s">
        <v>736</v>
      </c>
      <c r="E399" s="188"/>
      <c r="F399" s="140"/>
      <c r="G399" s="138">
        <f>+F399+F400</f>
        <v>0</v>
      </c>
    </row>
    <row r="400" ht="12.75" customHeight="1" spans="1:7" x14ac:dyDescent="0.25">
      <c r="A400" s="76"/>
      <c r="B400" s="76"/>
      <c r="C400" s="34"/>
      <c r="D400" s="71"/>
      <c r="E400" s="72" t="s">
        <v>737</v>
      </c>
      <c r="F400" s="140">
        <f>IFERROR(VLOOKUP(E400,Hoja1!$A$2:$E$399,5,FALSE),)</f>
        <v>0</v>
      </c>
      <c r="G400" s="138"/>
    </row>
    <row r="401" ht="12.75" customHeight="1" spans="1:7" x14ac:dyDescent="0.25">
      <c r="A401" s="76"/>
      <c r="B401" s="76"/>
      <c r="C401" s="34"/>
      <c r="D401" s="71" t="s">
        <v>738</v>
      </c>
      <c r="E401" s="71" t="s">
        <v>739</v>
      </c>
      <c r="F401" s="140">
        <f>IFERROR(VLOOKUP(E401,Hoja1!$A$2:$E$399,5,FALSE),)</f>
        <v>276280951</v>
      </c>
      <c r="G401" s="187">
        <f>+F401</f>
        <v>276280951</v>
      </c>
    </row>
    <row r="402" ht="12.75" customHeight="1" spans="1:7" x14ac:dyDescent="0.25">
      <c r="A402" s="76"/>
      <c r="B402" s="76"/>
      <c r="C402" s="34"/>
      <c r="D402" s="71" t="s">
        <v>740</v>
      </c>
      <c r="E402" s="188"/>
      <c r="F402" s="140"/>
      <c r="G402" s="138">
        <f>+F403+F404</f>
        <v>0</v>
      </c>
    </row>
    <row r="403" ht="12.75" customHeight="1" spans="1:7" x14ac:dyDescent="0.25">
      <c r="A403" s="76"/>
      <c r="B403" s="76"/>
      <c r="C403" s="34"/>
      <c r="D403" s="71"/>
      <c r="E403" s="72" t="s">
        <v>741</v>
      </c>
      <c r="F403" s="140">
        <f>IFERROR(VLOOKUP(E403,Hoja1!$A$2:$E$399,5,FALSE),)</f>
        <v>0</v>
      </c>
      <c r="G403" s="138"/>
    </row>
    <row r="404" ht="12.75" customHeight="1" spans="1:7" x14ac:dyDescent="0.25">
      <c r="A404" s="76"/>
      <c r="B404" s="76"/>
      <c r="C404" s="34"/>
      <c r="D404" s="76"/>
      <c r="E404" s="72" t="s">
        <v>742</v>
      </c>
      <c r="F404" s="140">
        <f>IFERROR(VLOOKUP(E404,Hoja1!$A$2:$E$399,5,FALSE),)</f>
        <v>0</v>
      </c>
      <c r="G404" s="138"/>
    </row>
    <row r="405" ht="12.75" customHeight="1" spans="1:7" x14ac:dyDescent="0.25">
      <c r="A405" s="76"/>
      <c r="B405" s="76"/>
      <c r="C405" s="34"/>
      <c r="D405" s="71" t="s">
        <v>743</v>
      </c>
      <c r="E405" s="72"/>
      <c r="F405" s="140"/>
      <c r="G405" s="138">
        <f>+F405</f>
        <v>0</v>
      </c>
    </row>
    <row r="406" ht="12.75" customHeight="1" spans="1:7" x14ac:dyDescent="0.25">
      <c r="A406" s="76"/>
      <c r="B406" s="76"/>
      <c r="C406" s="34"/>
      <c r="D406" s="71" t="s">
        <v>744</v>
      </c>
      <c r="E406" s="71"/>
      <c r="F406" s="140"/>
      <c r="G406" s="187">
        <f>SUM(F406:F412)</f>
        <v>489482.99</v>
      </c>
    </row>
    <row r="407" ht="12.75" customHeight="1" spans="1:7" x14ac:dyDescent="0.25">
      <c r="A407" s="76"/>
      <c r="B407" s="76"/>
      <c r="C407" s="34"/>
      <c r="D407" s="71"/>
      <c r="E407" s="151" t="s">
        <v>745</v>
      </c>
      <c r="F407" s="140">
        <f>IFERROR(VLOOKUP(E407,Hoja1!$A$2:$E$399,5,FALSE),)</f>
        <v>0</v>
      </c>
      <c r="G407" s="138"/>
    </row>
    <row r="408" ht="12.75" customHeight="1" spans="1:7" x14ac:dyDescent="0.25">
      <c r="A408" s="76"/>
      <c r="B408" s="76"/>
      <c r="C408" s="34"/>
      <c r="D408" s="71"/>
      <c r="E408" s="72" t="s">
        <v>746</v>
      </c>
      <c r="F408" s="140">
        <f>IFERROR(VLOOKUP(E408,Hoja1!$A$2:$E$399,5,FALSE),)</f>
        <v>0</v>
      </c>
      <c r="G408" s="138"/>
    </row>
    <row r="409" ht="12.75" customHeight="1" spans="1:7" x14ac:dyDescent="0.25">
      <c r="A409" s="76"/>
      <c r="B409" s="76"/>
      <c r="C409" s="34"/>
      <c r="D409" s="71"/>
      <c r="E409" s="72" t="s">
        <v>747</v>
      </c>
      <c r="F409" s="140">
        <f>IFERROR(VLOOKUP(E409,Hoja1!$A$2:$E$399,5,FALSE),)</f>
        <v>489482.99</v>
      </c>
      <c r="G409" s="138"/>
    </row>
    <row r="410" ht="12.75" customHeight="1" spans="1:7" x14ac:dyDescent="0.25">
      <c r="A410" s="76"/>
      <c r="B410" s="76"/>
      <c r="C410" s="34"/>
      <c r="D410" s="71"/>
      <c r="E410" s="72" t="s">
        <v>748</v>
      </c>
      <c r="F410" s="140">
        <f>IFERROR(VLOOKUP(E410,Hoja1!$A$2:$E$399,5,FALSE),)</f>
        <v>0</v>
      </c>
      <c r="G410" s="138"/>
    </row>
    <row r="411" ht="12.75" customHeight="1" spans="1:7" x14ac:dyDescent="0.25">
      <c r="A411" s="76"/>
      <c r="B411" s="76"/>
      <c r="C411" s="34"/>
      <c r="D411" s="71"/>
      <c r="E411" s="151" t="s">
        <v>749</v>
      </c>
      <c r="F411" s="140">
        <f>IFERROR(VLOOKUP(E411,Hoja1!$A$2:$E$399,5,FALSE),)</f>
        <v>0</v>
      </c>
      <c r="G411" s="138"/>
    </row>
    <row r="412" ht="12.75" customHeight="1" spans="1:7" x14ac:dyDescent="0.25">
      <c r="A412" s="76"/>
      <c r="B412" s="76"/>
      <c r="C412" s="34"/>
      <c r="D412" s="71"/>
      <c r="E412" s="72" t="s">
        <v>750</v>
      </c>
      <c r="F412" s="140">
        <f>IFERROR(VLOOKUP(E412,Hoja1!$A$2:$E$399,5,FALSE),)</f>
        <v>0</v>
      </c>
      <c r="G412" s="138"/>
    </row>
    <row r="413" ht="12.75" customHeight="1" spans="1:14" x14ac:dyDescent="0.25">
      <c r="A413" s="76"/>
      <c r="B413" s="76"/>
      <c r="C413" s="34"/>
      <c r="D413" s="139" t="s">
        <v>751</v>
      </c>
      <c r="E413" s="72" t="s">
        <v>752</v>
      </c>
      <c r="F413" s="140">
        <f>IFERROR(VLOOKUP(E413,Hoja1!$A$2:$E$399,5,FALSE),)</f>
        <v>0</v>
      </c>
      <c r="G413" s="187">
        <f>+F413+F414</f>
        <v>236115665.5</v>
      </c>
      <c r="H413" s="132"/>
      <c r="I413" s="134"/>
      <c r="J413" s="72"/>
      <c r="K413" s="72"/>
      <c r="L413" s="72"/>
      <c r="M413" s="72"/>
      <c r="N413" s="72"/>
    </row>
    <row r="414" ht="12.75" customHeight="1" spans="1:14" x14ac:dyDescent="0.25">
      <c r="A414" s="76"/>
      <c r="B414" s="76"/>
      <c r="C414" s="34"/>
      <c r="D414" s="139"/>
      <c r="E414" s="72" t="s">
        <v>751</v>
      </c>
      <c r="F414" s="140">
        <f>IFERROR(VLOOKUP(E414,Hoja1!$A$2:$E$399,5,FALSE),)</f>
        <v>236115665.5</v>
      </c>
      <c r="G414" s="138"/>
      <c r="H414" s="132"/>
      <c r="I414" s="134"/>
      <c r="J414" s="72"/>
      <c r="K414" s="72"/>
      <c r="L414" s="72"/>
      <c r="M414" s="72"/>
      <c r="N414" s="72"/>
    </row>
    <row r="415" ht="12.75" customHeight="1" spans="1:7" x14ac:dyDescent="0.25">
      <c r="A415" s="76"/>
      <c r="B415" s="76"/>
      <c r="C415" s="34"/>
      <c r="D415" s="139" t="s">
        <v>753</v>
      </c>
      <c r="E415" s="72"/>
      <c r="F415" s="140"/>
      <c r="G415" s="138">
        <f>+F415</f>
        <v>0</v>
      </c>
    </row>
    <row r="416" ht="12.75" customHeight="1" spans="1:7" x14ac:dyDescent="0.25">
      <c r="A416" s="76"/>
      <c r="B416" s="76"/>
      <c r="C416" s="34"/>
      <c r="D416" s="139" t="s">
        <v>754</v>
      </c>
      <c r="E416" s="151" t="s">
        <v>755</v>
      </c>
      <c r="F416" s="140">
        <f>IFERROR(VLOOKUP(E416,Hoja1!$A$2:$E$399,5,FALSE),)</f>
        <v>0</v>
      </c>
      <c r="G416" s="187">
        <f>SUM(F416:F423)</f>
        <v>3499846.7</v>
      </c>
    </row>
    <row r="417" ht="12.75" customHeight="1" spans="1:9" x14ac:dyDescent="0.25">
      <c r="A417" s="76"/>
      <c r="B417" s="76"/>
      <c r="C417" s="34"/>
      <c r="D417" s="139"/>
      <c r="E417" s="72" t="s">
        <v>756</v>
      </c>
      <c r="F417" s="140">
        <f>IFERROR(VLOOKUP(E417,Hoja1!$A$2:$E$399,5,FALSE),)</f>
        <v>3013363</v>
      </c>
      <c r="G417" s="138"/>
      <c r="H417" s="72"/>
      <c r="I417" s="164"/>
    </row>
    <row r="418" ht="12.75" customHeight="1" spans="1:9" x14ac:dyDescent="0.25">
      <c r="A418" s="76"/>
      <c r="B418" s="76"/>
      <c r="C418" s="34"/>
      <c r="D418" s="139"/>
      <c r="E418" s="72" t="s">
        <v>757</v>
      </c>
      <c r="F418" s="140">
        <f>IFERROR(VLOOKUP(E418,Hoja1!$A$2:$E$399,5,FALSE),)</f>
        <v>0</v>
      </c>
      <c r="G418" s="138"/>
      <c r="H418" s="72"/>
      <c r="I418" s="164"/>
    </row>
    <row r="419" ht="12.75" customHeight="1" spans="1:9" x14ac:dyDescent="0.25">
      <c r="A419" s="76"/>
      <c r="B419" s="76"/>
      <c r="C419" s="34"/>
      <c r="D419" s="139"/>
      <c r="E419" s="72" t="s">
        <v>758</v>
      </c>
      <c r="F419" s="140">
        <f>IFERROR(VLOOKUP(E419,Hoja1!$A$2:$E$399,5,FALSE),)</f>
        <v>442383.7</v>
      </c>
      <c r="G419" s="138"/>
      <c r="H419" s="72"/>
      <c r="I419" s="164"/>
    </row>
    <row r="420" ht="12.75" customHeight="1" spans="1:9" x14ac:dyDescent="0.25">
      <c r="A420" s="76"/>
      <c r="B420" s="76"/>
      <c r="C420" s="34"/>
      <c r="D420" s="139"/>
      <c r="E420" s="72" t="s">
        <v>759</v>
      </c>
      <c r="F420" s="140">
        <f>IFERROR(VLOOKUP(E420,Hoja1!$A$2:$E$399,5,FALSE),)</f>
        <v>0</v>
      </c>
      <c r="G420" s="138"/>
      <c r="H420" s="72"/>
      <c r="I420" s="164"/>
    </row>
    <row r="421" ht="12.75" customHeight="1" spans="1:9" x14ac:dyDescent="0.25">
      <c r="A421" s="76"/>
      <c r="B421" s="76"/>
      <c r="C421" s="34"/>
      <c r="D421" s="139"/>
      <c r="E421" s="72" t="s">
        <v>760</v>
      </c>
      <c r="F421" s="140">
        <f>IFERROR(VLOOKUP(E421,Hoja1!$A$2:$E$399,5,FALSE),)</f>
        <v>0</v>
      </c>
      <c r="G421" s="138"/>
      <c r="H421" s="72"/>
      <c r="I421" s="164"/>
    </row>
    <row r="422" ht="12.75" customHeight="1" spans="1:9" x14ac:dyDescent="0.25">
      <c r="A422" s="76"/>
      <c r="B422" s="76"/>
      <c r="C422" s="34"/>
      <c r="D422" s="139"/>
      <c r="E422" s="72" t="s">
        <v>761</v>
      </c>
      <c r="F422" s="140">
        <f>IFERROR(VLOOKUP(E422,Hoja1!$A$2:$E$399,5,FALSE),)</f>
        <v>0</v>
      </c>
      <c r="G422" s="138"/>
      <c r="H422" s="72"/>
      <c r="I422" s="164"/>
    </row>
    <row r="423" ht="12.75" customHeight="1" spans="1:9" x14ac:dyDescent="0.25">
      <c r="A423" s="76"/>
      <c r="B423" s="76"/>
      <c r="C423" s="34"/>
      <c r="D423" s="139"/>
      <c r="E423" s="72" t="str">
        <f>+Hoja1!A289</f>
        <v>426880000 - Tasas Municipales Gs Campo</v>
      </c>
      <c r="F423" s="140">
        <f>IFERROR(VLOOKUP(E423,Hoja1!$A$2:$E$399,5,FALSE),)</f>
        <v>44100</v>
      </c>
      <c r="G423" s="138"/>
      <c r="H423" s="72"/>
      <c r="I423" s="164"/>
    </row>
    <row r="424" ht="12.75" customHeight="1" spans="1:7" x14ac:dyDescent="0.25">
      <c r="A424" s="76"/>
      <c r="B424" s="76"/>
      <c r="C424" s="34"/>
      <c r="D424" s="71" t="s">
        <v>762</v>
      </c>
      <c r="E424" s="71"/>
      <c r="F424" s="140">
        <f>IFERROR(VLOOKUP(D424,Hoja1!$A$2:$E$399,5,FALSE),)</f>
        <v>51916602.99</v>
      </c>
      <c r="G424" s="187">
        <f>+F424</f>
        <v>51916602.99</v>
      </c>
    </row>
    <row r="425" ht="12.75" customHeight="1" spans="1:7" x14ac:dyDescent="0.25">
      <c r="A425" s="76"/>
      <c r="B425" s="76"/>
      <c r="C425" s="34"/>
      <c r="D425" s="71" t="s">
        <v>763</v>
      </c>
      <c r="E425" s="71"/>
      <c r="F425" s="140"/>
      <c r="G425" s="187">
        <f>SUM(F426:F433)</f>
        <v>768315.33</v>
      </c>
    </row>
    <row r="426" ht="12.75" customHeight="1" spans="1:7" x14ac:dyDescent="0.25">
      <c r="A426" s="76"/>
      <c r="B426" s="76"/>
      <c r="C426" s="34"/>
      <c r="D426" s="71"/>
      <c r="E426" s="72" t="s">
        <v>764</v>
      </c>
      <c r="F426" s="140">
        <f>IFERROR(VLOOKUP(E426,Hoja1!$A$2:$E$399,5,FALSE),)</f>
        <v>0</v>
      </c>
      <c r="G426" s="138"/>
    </row>
    <row r="427" ht="12.75" customHeight="1" spans="1:7" x14ac:dyDescent="0.25">
      <c r="A427" s="76"/>
      <c r="B427" s="76"/>
      <c r="C427" s="34"/>
      <c r="D427" s="76"/>
      <c r="E427" s="71" t="s">
        <v>765</v>
      </c>
      <c r="F427" s="140">
        <f>IFERROR(VLOOKUP(E427,Hoja1!$A$2:$E$399,5,FALSE),)</f>
        <v>615911.61</v>
      </c>
      <c r="G427" s="138"/>
    </row>
    <row r="428" ht="12.75" customHeight="1" spans="1:7" x14ac:dyDescent="0.25">
      <c r="A428" s="76"/>
      <c r="B428" s="76"/>
      <c r="C428" s="34"/>
      <c r="D428" s="76"/>
      <c r="E428" s="71" t="s">
        <v>766</v>
      </c>
      <c r="F428" s="140">
        <f>IFERROR(VLOOKUP(E428,Hoja1!$A$2:$E$399,5,FALSE),)</f>
        <v>152403.72</v>
      </c>
      <c r="G428" s="138"/>
    </row>
    <row r="429" ht="12.75" customHeight="1" spans="1:7" x14ac:dyDescent="0.25">
      <c r="A429" s="76"/>
      <c r="B429" s="76"/>
      <c r="C429" s="34"/>
      <c r="D429" s="76"/>
      <c r="E429" s="71" t="s">
        <v>767</v>
      </c>
      <c r="F429" s="140">
        <f>IFERROR(VLOOKUP(E429,Hoja1!$A$2:$E$399,5,FALSE),)</f>
        <v>0</v>
      </c>
      <c r="G429" s="138"/>
    </row>
    <row r="430" ht="12.75" customHeight="1" spans="1:7" x14ac:dyDescent="0.25">
      <c r="A430" s="76"/>
      <c r="B430" s="76"/>
      <c r="C430" s="34"/>
      <c r="D430" s="76"/>
      <c r="E430" s="72" t="s">
        <v>768</v>
      </c>
      <c r="F430" s="140">
        <f>IFERROR(VLOOKUP(E430,Hoja1!$A$2:$E$399,5,FALSE),)</f>
        <v>0</v>
      </c>
      <c r="G430" s="138"/>
    </row>
    <row r="431" ht="12.75" customHeight="1" spans="1:7" x14ac:dyDescent="0.25">
      <c r="A431" s="76"/>
      <c r="B431" s="76"/>
      <c r="C431" s="34"/>
      <c r="D431" s="76"/>
      <c r="E431" s="72" t="s">
        <v>769</v>
      </c>
      <c r="F431" s="140">
        <f>IFERROR(VLOOKUP(E431,Hoja1!$A$2:$E$399,5,FALSE),)</f>
        <v>0</v>
      </c>
      <c r="G431" s="138"/>
    </row>
    <row r="432" ht="12.75" customHeight="1" spans="1:7" x14ac:dyDescent="0.25">
      <c r="A432" s="76"/>
      <c r="B432" s="76"/>
      <c r="C432" s="34"/>
      <c r="D432" s="76"/>
      <c r="E432" s="72" t="s">
        <v>770</v>
      </c>
      <c r="F432" s="140">
        <f>IFERROR(VLOOKUP(E432,Hoja1!$A$2:$E$399,5,FALSE),)</f>
        <v>0</v>
      </c>
      <c r="G432" s="138"/>
    </row>
    <row r="433" ht="12.75" customHeight="1" spans="1:7" x14ac:dyDescent="0.25">
      <c r="A433" s="76"/>
      <c r="B433" s="76"/>
      <c r="C433" s="34"/>
      <c r="D433" s="76"/>
      <c r="E433" s="72" t="s">
        <v>771</v>
      </c>
      <c r="F433" s="140">
        <f>IFERROR(VLOOKUP(E433,Hoja1!$A$2:$E$399,5,FALSE),)</f>
        <v>0</v>
      </c>
      <c r="G433" s="138"/>
    </row>
    <row r="434" ht="12.75" customHeight="1" spans="1:7" x14ac:dyDescent="0.25">
      <c r="A434" s="76"/>
      <c r="B434" s="76"/>
      <c r="C434" s="34"/>
      <c r="D434" s="71" t="s">
        <v>772</v>
      </c>
      <c r="E434" s="71"/>
      <c r="F434" s="140"/>
      <c r="G434" s="187">
        <f>SUM(F434:F438)</f>
        <v>17921832.18</v>
      </c>
    </row>
    <row r="435" ht="12.75" customHeight="1" spans="1:7" x14ac:dyDescent="0.25">
      <c r="A435" s="76"/>
      <c r="B435" s="76"/>
      <c r="C435" s="34"/>
      <c r="D435" s="71"/>
      <c r="E435" s="72" t="s">
        <v>773</v>
      </c>
      <c r="F435" s="140">
        <f>IFERROR(VLOOKUP(E435,Hoja1!$A$2:$E$399,5,FALSE),)</f>
        <v>1413626.44</v>
      </c>
      <c r="G435" s="138"/>
    </row>
    <row r="436" ht="12.75" customHeight="1" spans="1:7" x14ac:dyDescent="0.25">
      <c r="A436" s="76"/>
      <c r="B436" s="76"/>
      <c r="C436" s="34"/>
      <c r="D436" s="71"/>
      <c r="E436" s="72" t="s">
        <v>774</v>
      </c>
      <c r="F436" s="140">
        <f>IFERROR(VLOOKUP(E436,Hoja1!$A$2:$E$399,5,FALSE),)</f>
        <v>16508205.74</v>
      </c>
      <c r="G436" s="138"/>
    </row>
    <row r="437" ht="12.75" customHeight="1" spans="1:7" x14ac:dyDescent="0.25">
      <c r="A437" s="76"/>
      <c r="B437" s="76"/>
      <c r="C437" s="34"/>
      <c r="D437" s="71"/>
      <c r="E437" s="72" t="s">
        <v>775</v>
      </c>
      <c r="F437" s="140">
        <f>IFERROR(VLOOKUP(E437,Hoja1!$A$2:$E$399,5,FALSE),)</f>
        <v>0</v>
      </c>
      <c r="G437" s="138"/>
    </row>
    <row r="438" ht="12.75" customHeight="1" spans="1:7" x14ac:dyDescent="0.25">
      <c r="A438" s="76"/>
      <c r="B438" s="76"/>
      <c r="C438" s="34"/>
      <c r="D438" s="71"/>
      <c r="E438" s="72" t="s">
        <v>776</v>
      </c>
      <c r="F438" s="140">
        <f>IFERROR(VLOOKUP(E438,Hoja1!$A$2:$E$399,5,FALSE),)</f>
        <v>0</v>
      </c>
      <c r="G438" s="138"/>
    </row>
    <row r="439" ht="12.75" customHeight="1" spans="1:7" x14ac:dyDescent="0.25">
      <c r="A439" s="76"/>
      <c r="B439" s="76"/>
      <c r="C439" s="34"/>
      <c r="D439" s="71" t="s">
        <v>777</v>
      </c>
      <c r="E439" s="188"/>
      <c r="F439" s="140"/>
      <c r="G439" s="138">
        <f>+F439</f>
        <v>0</v>
      </c>
    </row>
    <row r="440" ht="12.75" customHeight="1" spans="1:7" x14ac:dyDescent="0.25">
      <c r="A440" s="76"/>
      <c r="B440" s="76"/>
      <c r="C440" s="34"/>
      <c r="D440" s="139" t="s">
        <v>778</v>
      </c>
      <c r="E440" s="76"/>
      <c r="F440" s="140"/>
      <c r="G440" s="138">
        <f>SUM(F440:F442)</f>
        <v>0</v>
      </c>
    </row>
    <row r="441" ht="13.5" customHeight="1" spans="1:7" x14ac:dyDescent="0.25">
      <c r="A441" s="76"/>
      <c r="B441" s="76"/>
      <c r="C441" s="34"/>
      <c r="D441" s="139"/>
      <c r="E441" s="72" t="s">
        <v>779</v>
      </c>
      <c r="F441" s="140">
        <f>IFERROR(VLOOKUP(E441,Hoja1!$A$2:$E$399,5,FALSE),)</f>
        <v>0</v>
      </c>
      <c r="G441" s="138"/>
    </row>
    <row r="442" ht="12.75" customHeight="1" spans="1:7" x14ac:dyDescent="0.25">
      <c r="A442" s="76"/>
      <c r="B442" s="76"/>
      <c r="C442" s="34"/>
      <c r="D442" s="139"/>
      <c r="E442" s="72" t="s">
        <v>780</v>
      </c>
      <c r="F442" s="140">
        <f>IFERROR(VLOOKUP(E442,Hoja1!$A$2:$E$399,5,FALSE),)</f>
        <v>0</v>
      </c>
      <c r="G442" s="138"/>
    </row>
    <row r="443" ht="12.75" customHeight="1" spans="1:7" x14ac:dyDescent="0.25">
      <c r="A443" s="76"/>
      <c r="B443" s="76"/>
      <c r="C443" s="34"/>
      <c r="D443" s="71" t="s">
        <v>781</v>
      </c>
      <c r="E443" s="188"/>
      <c r="F443" s="140"/>
      <c r="G443" s="187">
        <f>SUM(F444:F447)</f>
        <v>101483.28</v>
      </c>
    </row>
    <row r="444" ht="12.75" customHeight="1" spans="1:7" x14ac:dyDescent="0.25">
      <c r="A444" s="76"/>
      <c r="B444" s="76"/>
      <c r="C444" s="34"/>
      <c r="D444" s="71"/>
      <c r="E444" s="151" t="s">
        <v>782</v>
      </c>
      <c r="F444" s="140">
        <f>IFERROR(VLOOKUP(E444,Hoja1!$A$2:$E$399,5,FALSE),)</f>
        <v>0</v>
      </c>
      <c r="G444" s="138"/>
    </row>
    <row r="445" ht="12.75" customHeight="1" spans="1:9" x14ac:dyDescent="0.25">
      <c r="A445" s="76"/>
      <c r="B445" s="76"/>
      <c r="C445" s="34"/>
      <c r="D445" s="71"/>
      <c r="E445" s="72" t="s">
        <v>783</v>
      </c>
      <c r="F445" s="140">
        <f>IFERROR(VLOOKUP(E445,Hoja1!$A$2:$E$399,5,FALSE),)</f>
        <v>101483.28</v>
      </c>
      <c r="G445" s="138"/>
      <c r="H445" s="72"/>
      <c r="I445" s="164"/>
    </row>
    <row r="446" ht="12.75" customHeight="1" spans="1:9" x14ac:dyDescent="0.25">
      <c r="A446" s="76"/>
      <c r="B446" s="76"/>
      <c r="C446" s="34"/>
      <c r="D446" s="71"/>
      <c r="E446" s="72" t="s">
        <v>784</v>
      </c>
      <c r="F446" s="140">
        <f>IFERROR(VLOOKUP(E446,Hoja1!$A$2:$E$399,5,FALSE),)</f>
        <v>0</v>
      </c>
      <c r="G446" s="138"/>
      <c r="H446" s="72"/>
      <c r="I446" s="164"/>
    </row>
    <row r="447" ht="12.75" customHeight="1" spans="1:9" x14ac:dyDescent="0.25">
      <c r="A447" s="76"/>
      <c r="B447" s="76"/>
      <c r="C447" s="34"/>
      <c r="D447" s="71"/>
      <c r="E447" s="72" t="s">
        <v>785</v>
      </c>
      <c r="F447" s="140">
        <f>IFERROR(VLOOKUP(E447,Hoja1!$A$2:$E$399,5,FALSE),)</f>
        <v>0</v>
      </c>
      <c r="G447" s="138"/>
      <c r="H447" s="72"/>
      <c r="I447" s="164"/>
    </row>
    <row r="448" ht="12.75" customHeight="1" spans="1:7" x14ac:dyDescent="0.25">
      <c r="A448" s="76"/>
      <c r="B448" s="76"/>
      <c r="C448" s="34"/>
      <c r="D448" s="196" t="s">
        <v>786</v>
      </c>
      <c r="E448" s="197"/>
      <c r="F448" s="198"/>
      <c r="G448" s="187">
        <f>+F449+F450+F451</f>
        <v>8441197.290000001</v>
      </c>
    </row>
    <row r="449" ht="12.75" customHeight="1" spans="1:7" x14ac:dyDescent="0.25">
      <c r="A449" s="76"/>
      <c r="B449" s="76"/>
      <c r="C449" s="34"/>
      <c r="D449" s="71"/>
      <c r="E449" s="72" t="s">
        <v>787</v>
      </c>
      <c r="F449" s="140">
        <f>IFERROR(VLOOKUP(E449,Hoja1!$A$2:$E$399,5,FALSE),)</f>
        <v>0</v>
      </c>
      <c r="G449" s="138"/>
    </row>
    <row r="450" ht="12.75" customHeight="1" spans="1:7" x14ac:dyDescent="0.25">
      <c r="A450" s="76"/>
      <c r="B450" s="76"/>
      <c r="C450" s="34"/>
      <c r="D450" s="71"/>
      <c r="E450" s="72" t="s">
        <v>788</v>
      </c>
      <c r="F450" s="140">
        <f>IFERROR(VLOOKUP(E450,Hoja1!$A$2:$E$399,5,FALSE),)</f>
        <v>0</v>
      </c>
      <c r="G450" s="138"/>
    </row>
    <row r="451" ht="12.75" customHeight="1" spans="1:7" x14ac:dyDescent="0.25">
      <c r="A451" s="76"/>
      <c r="B451" s="76"/>
      <c r="C451" s="34"/>
      <c r="D451" s="71"/>
      <c r="E451" s="72" t="s">
        <v>789</v>
      </c>
      <c r="F451" s="140">
        <f>IFERROR(VLOOKUP(E451,Hoja1!$A$2:$E$399,5,FALSE),)</f>
        <v>8441197.290000001</v>
      </c>
      <c r="G451" s="138"/>
    </row>
    <row r="452" ht="12.75" customHeight="1" spans="1:7" x14ac:dyDescent="0.25">
      <c r="A452" s="76"/>
      <c r="B452" s="76"/>
      <c r="C452" s="34"/>
      <c r="D452" s="71" t="s">
        <v>790</v>
      </c>
      <c r="E452" s="188"/>
      <c r="F452" s="140"/>
      <c r="G452" s="187">
        <f>SUM(F453:F456)</f>
        <v>14667167.22</v>
      </c>
    </row>
    <row r="453" ht="12.75" customHeight="1" spans="1:7" x14ac:dyDescent="0.25">
      <c r="A453" s="76"/>
      <c r="B453" s="76"/>
      <c r="C453" s="34"/>
      <c r="D453" s="71"/>
      <c r="E453" s="72" t="s">
        <v>791</v>
      </c>
      <c r="F453" s="140">
        <f>IFERROR(VLOOKUP(E453,Hoja1!$A$2:$E$399,5,FALSE),)</f>
        <v>299800</v>
      </c>
      <c r="G453" s="138"/>
    </row>
    <row r="454" ht="12.75" customHeight="1" spans="1:7" x14ac:dyDescent="0.25">
      <c r="A454" s="76"/>
      <c r="B454" s="76"/>
      <c r="C454" s="34"/>
      <c r="D454" s="71"/>
      <c r="E454" s="72" t="s">
        <v>792</v>
      </c>
      <c r="F454" s="140">
        <f>IFERROR(VLOOKUP(E454,Hoja1!$A$2:$E$399,5,FALSE),)</f>
        <v>14367367.22</v>
      </c>
      <c r="G454" s="138"/>
    </row>
    <row r="455" ht="12.75" customHeight="1" spans="1:7" x14ac:dyDescent="0.25">
      <c r="A455" s="76"/>
      <c r="B455" s="76"/>
      <c r="C455" s="34"/>
      <c r="D455" s="71"/>
      <c r="E455" s="72" t="s">
        <v>793</v>
      </c>
      <c r="F455" s="140">
        <f>IFERROR(VLOOKUP(E455,Hoja1!$A$2:$E$399,5,FALSE),)</f>
        <v>0</v>
      </c>
      <c r="G455" s="138"/>
    </row>
    <row r="456" ht="12.75" customHeight="1" spans="1:7" x14ac:dyDescent="0.25">
      <c r="A456" s="76"/>
      <c r="B456" s="76"/>
      <c r="C456" s="34"/>
      <c r="D456" s="71"/>
      <c r="E456" s="72" t="s">
        <v>794</v>
      </c>
      <c r="F456" s="140">
        <f>IFERROR(VLOOKUP(E456,Hoja1!$A$2:$E$399,5,FALSE),)</f>
        <v>0</v>
      </c>
      <c r="G456" s="138"/>
    </row>
    <row r="457" ht="12.75" customHeight="1" spans="1:7" x14ac:dyDescent="0.25">
      <c r="A457" s="76"/>
      <c r="B457" s="76"/>
      <c r="C457" s="34"/>
      <c r="D457" s="71" t="s">
        <v>795</v>
      </c>
      <c r="E457" s="71"/>
      <c r="F457" s="140">
        <f>IFERROR(VLOOKUP(D457,Hoja1!$A$2:$E$375,5,FALSE),)</f>
        <v>0</v>
      </c>
      <c r="G457" s="138">
        <f>+F457</f>
        <v>0</v>
      </c>
    </row>
    <row r="458" ht="12.75" customHeight="1" spans="1:7" x14ac:dyDescent="0.25">
      <c r="A458" s="76"/>
      <c r="B458" s="76"/>
      <c r="C458" s="34"/>
      <c r="D458" s="71" t="s">
        <v>796</v>
      </c>
      <c r="E458" s="71"/>
      <c r="F458" s="140">
        <f>IFERROR(VLOOKUP(D458,Hoja1!$A$2:$E$375,5,FALSE),)</f>
        <v>0</v>
      </c>
      <c r="G458" s="138">
        <f>+F458</f>
        <v>0</v>
      </c>
    </row>
    <row r="459" ht="12.75" customHeight="1" spans="1:7" x14ac:dyDescent="0.25">
      <c r="A459" s="76"/>
      <c r="B459" s="76"/>
      <c r="C459" s="34"/>
      <c r="D459" s="139" t="s">
        <v>797</v>
      </c>
      <c r="E459" s="72"/>
      <c r="F459" s="140"/>
      <c r="G459" s="138">
        <f>+SUM(F460:F461)</f>
        <v>0</v>
      </c>
    </row>
    <row r="460" ht="12.75" customHeight="1" spans="1:7" x14ac:dyDescent="0.25">
      <c r="A460" s="76"/>
      <c r="B460" s="76"/>
      <c r="C460" s="34"/>
      <c r="D460" s="139"/>
      <c r="E460" s="72" t="s">
        <v>798</v>
      </c>
      <c r="F460" s="140">
        <f>IFERROR(VLOOKUP(E460,Hoja1!$A$2:$E$399,5,FALSE),)</f>
        <v>0</v>
      </c>
      <c r="G460" s="138"/>
    </row>
    <row r="461" ht="12.75" customHeight="1" spans="1:7" x14ac:dyDescent="0.25">
      <c r="A461" s="76"/>
      <c r="B461" s="76"/>
      <c r="C461" s="34"/>
      <c r="D461" s="139"/>
      <c r="E461" s="72" t="s">
        <v>799</v>
      </c>
      <c r="F461" s="140">
        <f>IFERROR(VLOOKUP(E461,Hoja1!$A$2:$E$399,5,FALSE),)</f>
        <v>0</v>
      </c>
      <c r="G461" s="138"/>
    </row>
    <row r="462" ht="12.75" customHeight="1" spans="1:8" x14ac:dyDescent="0.25">
      <c r="A462" s="76"/>
      <c r="B462" s="76"/>
      <c r="C462" s="34"/>
      <c r="D462" s="71" t="s">
        <v>800</v>
      </c>
      <c r="E462" s="71" t="s">
        <v>801</v>
      </c>
      <c r="F462" s="140">
        <f>IFERROR(VLOOKUP(E462,Hoja1!$A$2:$E$399,5,FALSE),)</f>
        <v>0</v>
      </c>
      <c r="G462" s="187">
        <f>SUM(F462:F470)</f>
        <v>15451043.76</v>
      </c>
      <c r="H462" s="150"/>
    </row>
    <row r="463" ht="11.25" customHeight="1" spans="1:8" x14ac:dyDescent="0.25">
      <c r="A463" s="76"/>
      <c r="B463" s="76"/>
      <c r="C463" s="34"/>
      <c r="D463" s="71"/>
      <c r="E463" s="72" t="s">
        <v>802</v>
      </c>
      <c r="F463" s="140">
        <f>IFERROR(VLOOKUP(E463,Hoja1!$A$2:$E$399,5,FALSE),)</f>
        <v>7468721</v>
      </c>
      <c r="G463" s="138"/>
      <c r="H463" s="150"/>
    </row>
    <row r="464" ht="11.25" customHeight="1" spans="1:8" x14ac:dyDescent="0.25">
      <c r="A464" s="76"/>
      <c r="B464" s="76"/>
      <c r="C464" s="34"/>
      <c r="D464" s="71"/>
      <c r="E464" s="72" t="s">
        <v>803</v>
      </c>
      <c r="F464" s="140">
        <f>IFERROR(VLOOKUP(E464,Hoja1!$A$2:$E$399,5,FALSE),)</f>
        <v>7982322.76</v>
      </c>
      <c r="G464" s="138"/>
      <c r="H464" s="150"/>
    </row>
    <row r="465" ht="12.75" customHeight="1" spans="1:9" x14ac:dyDescent="0.25">
      <c r="A465" s="76"/>
      <c r="B465" s="76"/>
      <c r="C465" s="34"/>
      <c r="D465" s="71"/>
      <c r="E465" s="72" t="s">
        <v>804</v>
      </c>
      <c r="F465" s="140">
        <f>IFERROR(VLOOKUP(E465,Hoja1!$A$2:$E$399,5,FALSE),)</f>
        <v>0</v>
      </c>
      <c r="G465" s="138"/>
      <c r="H465" s="72"/>
      <c r="I465" s="164"/>
    </row>
    <row r="466" ht="12.75" customHeight="1" spans="1:9" x14ac:dyDescent="0.25">
      <c r="A466" s="76"/>
      <c r="B466" s="76"/>
      <c r="C466" s="34"/>
      <c r="D466" s="71"/>
      <c r="E466" s="72" t="s">
        <v>805</v>
      </c>
      <c r="F466" s="140">
        <f>IFERROR(VLOOKUP(E466,Hoja1!$A$2:$E$399,5,FALSE),)</f>
        <v>0</v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806</v>
      </c>
      <c r="F467" s="140">
        <f>IFERROR(VLOOKUP(E467,Hoja1!$A$2:$E$399,5,FALSE),)</f>
        <v>0</v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807</v>
      </c>
      <c r="F468" s="140">
        <f>IFERROR(VLOOKUP(E468,Hoja1!$A$2:$E$399,5,FALSE),)</f>
        <v>0</v>
      </c>
      <c r="G468" s="138"/>
      <c r="H468" s="72"/>
      <c r="I468" s="164"/>
    </row>
    <row r="469" ht="12.75" customHeight="1" spans="1:9" x14ac:dyDescent="0.25">
      <c r="A469" s="76"/>
      <c r="B469" s="76"/>
      <c r="C469" s="34"/>
      <c r="D469" s="71"/>
      <c r="E469" s="72" t="s">
        <v>808</v>
      </c>
      <c r="F469" s="140">
        <f>IFERROR(VLOOKUP(E469,Hoja1!$A$2:$E$399,5,FALSE),)</f>
        <v>0</v>
      </c>
      <c r="G469" s="138"/>
      <c r="H469" s="72"/>
      <c r="I469" s="164"/>
    </row>
    <row r="470" ht="12.75" customHeight="1" spans="1:9" x14ac:dyDescent="0.25">
      <c r="A470" s="76"/>
      <c r="B470" s="76"/>
      <c r="C470" s="34"/>
      <c r="D470" s="71"/>
      <c r="E470" s="72" t="s">
        <v>809</v>
      </c>
      <c r="F470" s="140">
        <f>IFERROR(VLOOKUP(E470,Hoja1!$A$2:$E$399,5,FALSE),)</f>
        <v>0</v>
      </c>
      <c r="G470" s="138"/>
      <c r="H470" s="72"/>
      <c r="I470" s="164"/>
    </row>
    <row r="471" ht="10.9" customHeight="1" spans="1:7" x14ac:dyDescent="0.25">
      <c r="A471" s="76"/>
      <c r="B471" s="76"/>
      <c r="C471" s="34"/>
      <c r="D471" s="71" t="s">
        <v>810</v>
      </c>
      <c r="E471" s="188"/>
      <c r="F471" s="140"/>
      <c r="G471" s="138">
        <f>SUM(F471:F474)</f>
        <v>0</v>
      </c>
    </row>
    <row r="472" ht="12.75" customHeight="1" spans="1:7" x14ac:dyDescent="0.25">
      <c r="A472" s="76"/>
      <c r="B472" s="76"/>
      <c r="C472" s="34"/>
      <c r="D472" s="71"/>
      <c r="E472" s="72" t="s">
        <v>811</v>
      </c>
      <c r="F472" s="140">
        <f>IFERROR(VLOOKUP(E472,Hoja1!$A$2:$E$399,5,FALSE),)</f>
        <v>0</v>
      </c>
      <c r="G472" s="138"/>
    </row>
    <row r="473" ht="12.75" customHeight="1" spans="1:7" x14ac:dyDescent="0.25">
      <c r="A473" s="76"/>
      <c r="B473" s="76"/>
      <c r="C473" s="34"/>
      <c r="D473" s="71"/>
      <c r="E473" s="72" t="s">
        <v>812</v>
      </c>
      <c r="F473" s="140">
        <f>IFERROR(VLOOKUP(E473,Hoja1!$A$2:$E$399,5,FALSE),)</f>
        <v>0</v>
      </c>
      <c r="G473" s="138"/>
    </row>
    <row r="474" ht="12.75" customHeight="1" spans="1:7" x14ac:dyDescent="0.25">
      <c r="A474" s="76"/>
      <c r="B474" s="76"/>
      <c r="C474" s="34"/>
      <c r="D474" s="71"/>
      <c r="E474" s="72" t="s">
        <v>813</v>
      </c>
      <c r="F474" s="140">
        <f>IFERROR(VLOOKUP(E474,Hoja1!$A$2:$E$399,5,FALSE),)</f>
        <v>0</v>
      </c>
      <c r="G474" s="138"/>
    </row>
    <row r="475" ht="12.75" customHeight="1" spans="1:7" x14ac:dyDescent="0.25">
      <c r="A475" s="76"/>
      <c r="B475" s="76"/>
      <c r="C475" s="34"/>
      <c r="D475" s="139" t="s">
        <v>814</v>
      </c>
      <c r="E475" s="188"/>
      <c r="F475" s="140">
        <f>IFERROR(VLOOKUP(D475,Hoja1!$A$2:$E$375,5,FALSE),)</f>
        <v>0</v>
      </c>
      <c r="G475" s="138">
        <f>+F475</f>
        <v>0</v>
      </c>
    </row>
    <row r="476" ht="12.75" customHeight="1" spans="1:7" x14ac:dyDescent="0.25">
      <c r="A476" s="76"/>
      <c r="B476" s="76"/>
      <c r="C476" s="34"/>
      <c r="D476" s="71" t="s">
        <v>815</v>
      </c>
      <c r="E476" s="188"/>
      <c r="F476" s="140">
        <f>IFERROR(VLOOKUP(D476,Hoja1!$A$2:$E$375,5,FALSE),)</f>
        <v>0</v>
      </c>
      <c r="G476" s="138">
        <f>+F476</f>
        <v>0</v>
      </c>
    </row>
    <row r="477" ht="12.75" customHeight="1" spans="1:7" x14ac:dyDescent="0.25">
      <c r="A477" s="76"/>
      <c r="B477" s="76"/>
      <c r="C477" s="34"/>
      <c r="D477" s="71" t="s">
        <v>816</v>
      </c>
      <c r="E477" s="188"/>
      <c r="F477" s="140"/>
      <c r="G477" s="138">
        <f>+F477+F478+F479</f>
        <v>0</v>
      </c>
    </row>
    <row r="478" ht="11.25" customHeight="1" spans="1:7" x14ac:dyDescent="0.25">
      <c r="A478" s="76"/>
      <c r="B478" s="76"/>
      <c r="C478" s="34"/>
      <c r="D478" s="71"/>
      <c r="E478" s="72" t="s">
        <v>817</v>
      </c>
      <c r="F478" s="140">
        <f>IFERROR(VLOOKUP(E478,Hoja1!$A$2:$E$399,5,FALSE),)</f>
        <v>0</v>
      </c>
      <c r="G478" s="138"/>
    </row>
    <row r="479" ht="11.25" customHeight="1" spans="1:7" x14ac:dyDescent="0.25">
      <c r="A479" s="76"/>
      <c r="B479" s="76"/>
      <c r="C479" s="34"/>
      <c r="D479" s="71"/>
      <c r="E479" s="72" t="s">
        <v>818</v>
      </c>
      <c r="F479" s="140">
        <f>IFERROR(VLOOKUP(E479,Hoja1!$A$2:$E$399,5,FALSE),)</f>
        <v>0</v>
      </c>
      <c r="G479" s="138"/>
    </row>
    <row r="480" ht="11.25" customHeight="1" spans="1:7" x14ac:dyDescent="0.25">
      <c r="A480" s="76"/>
      <c r="B480" s="76"/>
      <c r="C480" s="34"/>
      <c r="D480" s="71" t="s">
        <v>819</v>
      </c>
      <c r="E480" s="72" t="s">
        <v>820</v>
      </c>
      <c r="F480" s="140">
        <f>IFERROR(VLOOKUP(E480,Hoja1!$A$2:$E$399,5,FALSE),)</f>
        <v>0</v>
      </c>
      <c r="G480" s="187">
        <f>SUM(F480:F482)</f>
        <v>4013596.99</v>
      </c>
    </row>
    <row r="481" ht="12.75" customHeight="1" spans="1:7" x14ac:dyDescent="0.25">
      <c r="A481" s="76"/>
      <c r="B481" s="76"/>
      <c r="C481" s="34"/>
      <c r="D481" s="71"/>
      <c r="E481" s="72" t="s">
        <v>821</v>
      </c>
      <c r="F481" s="140">
        <f>IFERROR(VLOOKUP(E481,Hoja1!$A$2:$E$399,5,FALSE),)</f>
        <v>0</v>
      </c>
      <c r="G481" s="138"/>
    </row>
    <row r="482" ht="12.75" customHeight="1" spans="1:7" x14ac:dyDescent="0.25">
      <c r="A482" s="76"/>
      <c r="B482" s="76"/>
      <c r="C482" s="34"/>
      <c r="D482" s="71"/>
      <c r="E482" s="72" t="s">
        <v>822</v>
      </c>
      <c r="F482" s="140">
        <f>IFERROR(VLOOKUP(E482,Hoja1!$A$2:$E$399,5,FALSE),)</f>
        <v>4013596.99</v>
      </c>
      <c r="G482" s="138"/>
    </row>
    <row r="483" ht="12.75" customHeight="1" spans="1:7" x14ac:dyDescent="0.25">
      <c r="A483" s="76"/>
      <c r="B483" s="76"/>
      <c r="C483" s="34"/>
      <c r="D483" s="71" t="s">
        <v>823</v>
      </c>
      <c r="E483" s="72" t="s">
        <v>824</v>
      </c>
      <c r="F483" s="140">
        <f>IFERROR(VLOOKUP(E483,Hoja1!$A$2:$E$399,5,FALSE),)</f>
        <v>0</v>
      </c>
      <c r="G483" s="138">
        <f>+F483</f>
        <v>0</v>
      </c>
    </row>
    <row r="484" ht="12.75" customHeight="1" spans="1:7" x14ac:dyDescent="0.25">
      <c r="A484" s="76"/>
      <c r="B484" s="76"/>
      <c r="C484" s="34"/>
      <c r="D484" s="71" t="s">
        <v>825</v>
      </c>
      <c r="E484" s="71"/>
      <c r="F484" s="140">
        <f>IFERROR(VLOOKUP(D484,Hoja1!$A$2:$E$399,5,FALSE),)</f>
        <v>0</v>
      </c>
      <c r="G484" s="138">
        <f>+F484</f>
        <v>0</v>
      </c>
    </row>
    <row r="485" ht="12.75" customHeight="1" spans="1:7" x14ac:dyDescent="0.25">
      <c r="A485" s="76"/>
      <c r="B485" s="76"/>
      <c r="C485" s="34"/>
      <c r="D485" s="139" t="s">
        <v>826</v>
      </c>
      <c r="E485" s="72"/>
      <c r="F485" s="140">
        <f>IFERROR(VLOOKUP(D485,Hoja1!$A$2:$E$399,5,FALSE),)</f>
        <v>0</v>
      </c>
      <c r="G485" s="138">
        <f>+F485</f>
        <v>0</v>
      </c>
    </row>
    <row r="486" ht="12.75" customHeight="1" spans="1:7" x14ac:dyDescent="0.25">
      <c r="A486" s="76"/>
      <c r="B486" s="76"/>
      <c r="C486" s="34"/>
      <c r="D486" s="71" t="s">
        <v>827</v>
      </c>
      <c r="E486" s="68"/>
      <c r="F486" s="140">
        <f>IFERROR(VLOOKUP(D486,Hoja1!$A$2:$E$399,5,FALSE),)</f>
        <v>4150213.41</v>
      </c>
      <c r="G486" s="187">
        <f>+F486</f>
        <v>4150213.41</v>
      </c>
    </row>
    <row r="487" ht="12.75" customHeight="1" spans="1:7" x14ac:dyDescent="0.25">
      <c r="A487" s="76"/>
      <c r="B487" s="76"/>
      <c r="C487" s="34"/>
      <c r="D487" s="71" t="s">
        <v>828</v>
      </c>
      <c r="E487" s="132"/>
      <c r="F487" s="140">
        <f>IFERROR(VLOOKUP(D487,Hoja1!$A$2:$E$399,5,FALSE),)</f>
        <v>0</v>
      </c>
      <c r="G487" s="138">
        <f>+F487</f>
        <v>0</v>
      </c>
    </row>
    <row r="488" ht="12.75" customHeight="1" spans="1:7" x14ac:dyDescent="0.25">
      <c r="A488" s="76"/>
      <c r="B488" s="76"/>
      <c r="C488" s="34"/>
      <c r="D488" s="71" t="s">
        <v>829</v>
      </c>
      <c r="E488" s="132"/>
      <c r="F488" s="140">
        <f>IFERROR(VLOOKUP(D488,Hoja1!$A$2:$E$399,5,FALSE),)</f>
        <v>0</v>
      </c>
      <c r="G488" s="138">
        <f>+F488</f>
        <v>0</v>
      </c>
    </row>
    <row r="489" ht="12.75" customHeight="1" spans="1:7" x14ac:dyDescent="0.25">
      <c r="A489" s="76"/>
      <c r="B489" s="76"/>
      <c r="C489" s="34"/>
      <c r="D489" s="71" t="s">
        <v>830</v>
      </c>
      <c r="E489" s="132"/>
      <c r="F489" s="140">
        <f>IFERROR(VLOOKUP(D489,Hoja1!$A$2:$E$399,5,FALSE),)</f>
        <v>226987</v>
      </c>
      <c r="G489" s="187">
        <f>+F489</f>
        <v>226987</v>
      </c>
    </row>
    <row r="490" ht="12.75" customHeight="1" spans="1:7" x14ac:dyDescent="0.25">
      <c r="A490" s="76"/>
      <c r="B490" s="76"/>
      <c r="C490" s="34"/>
      <c r="D490" s="71" t="s">
        <v>831</v>
      </c>
      <c r="E490" s="132"/>
      <c r="F490" s="140">
        <f>IFERROR(VLOOKUP(D490,Hoja1!$A$2:$E$399,5,FALSE),)</f>
        <v>914304.7000000001</v>
      </c>
      <c r="G490" s="187">
        <f>+F490</f>
        <v>914304.7000000001</v>
      </c>
    </row>
    <row r="491" ht="12.75" customHeight="1" spans="1:7" x14ac:dyDescent="0.25">
      <c r="A491" s="76"/>
      <c r="B491" s="76"/>
      <c r="C491" s="34"/>
      <c r="D491" s="139" t="s">
        <v>832</v>
      </c>
      <c r="E491" s="132"/>
      <c r="F491" s="140">
        <f>IFERROR(VLOOKUP(D491,Hoja1!$A$2:$E$399,5,FALSE),)</f>
        <v>0</v>
      </c>
      <c r="G491" s="138">
        <f>+F491</f>
        <v>0</v>
      </c>
    </row>
    <row r="492" ht="12.75" customHeight="1" spans="1:7" x14ac:dyDescent="0.25">
      <c r="A492" s="76"/>
      <c r="B492" s="76"/>
      <c r="C492" s="34"/>
      <c r="D492" s="139" t="s">
        <v>833</v>
      </c>
      <c r="E492" s="68"/>
      <c r="F492" s="140">
        <f>IFERROR(VLOOKUP(D492,Hoja1!$A$2:$E$399,5,FALSE),)</f>
        <v>0</v>
      </c>
      <c r="G492" s="138">
        <f>+F492</f>
        <v>0</v>
      </c>
    </row>
    <row r="493" ht="12.75" customHeight="1" spans="1:7" x14ac:dyDescent="0.25">
      <c r="A493" s="76"/>
      <c r="B493" s="76"/>
      <c r="C493" s="34"/>
      <c r="D493" s="139" t="s">
        <v>834</v>
      </c>
      <c r="E493" s="132"/>
      <c r="F493" s="140">
        <f>IFERROR(VLOOKUP(D493,Hoja1!$A$2:$E$399,5,FALSE),)</f>
        <v>0</v>
      </c>
      <c r="G493" s="138">
        <f>+F493</f>
        <v>0</v>
      </c>
    </row>
    <row r="494" ht="12.75" customHeight="1" spans="1:7" x14ac:dyDescent="0.25">
      <c r="A494" s="76"/>
      <c r="B494" s="76"/>
      <c r="C494" s="34"/>
      <c r="D494" s="139" t="s">
        <v>835</v>
      </c>
      <c r="E494" s="132"/>
      <c r="F494" s="140">
        <f>IFERROR(VLOOKUP(D494,Hoja1!$A$2:$E$399,5,FALSE),)</f>
        <v>0</v>
      </c>
      <c r="G494" s="138">
        <f>+F494</f>
        <v>0</v>
      </c>
    </row>
    <row r="495" ht="12.75" customHeight="1" spans="1:7" x14ac:dyDescent="0.25">
      <c r="A495" s="76"/>
      <c r="B495" s="76"/>
      <c r="C495" s="34"/>
      <c r="D495" s="139" t="s">
        <v>836</v>
      </c>
      <c r="E495" s="132"/>
      <c r="F495" s="140">
        <f>IFERROR(VLOOKUP(D495,Hoja1!$A$2:$E$399,5,FALSE),)</f>
        <v>0</v>
      </c>
      <c r="G495" s="138">
        <f>+F495</f>
        <v>0</v>
      </c>
    </row>
    <row r="496" ht="12.75" customHeight="1" spans="1:7" x14ac:dyDescent="0.25">
      <c r="A496" s="76"/>
      <c r="B496" s="76"/>
      <c r="C496" s="34"/>
      <c r="D496" s="139" t="s">
        <v>837</v>
      </c>
      <c r="E496" s="72" t="s">
        <v>837</v>
      </c>
      <c r="F496" s="140">
        <f>IFERROR(VLOOKUP(D496,Hoja1!$A$2:$E$399,5,FALSE),)</f>
        <v>358719.18</v>
      </c>
      <c r="G496" s="187">
        <f>+F496</f>
        <v>358719.18</v>
      </c>
    </row>
    <row r="497" ht="12.75" customHeight="1" spans="1:8" x14ac:dyDescent="0.25">
      <c r="A497" s="76"/>
      <c r="B497" s="76"/>
      <c r="C497" s="34"/>
      <c r="D497" s="139" t="s">
        <v>838</v>
      </c>
      <c r="E497" s="132"/>
      <c r="F497" s="140">
        <f>IFERROR(VLOOKUP(D497,Hoja1!$A$2:$E$399,5,FALSE),)</f>
        <v>0</v>
      </c>
      <c r="G497" s="138">
        <f>+F497</f>
        <v>0</v>
      </c>
      <c r="H497" s="162"/>
    </row>
    <row r="498" ht="12.75" customHeight="1" spans="1:8" x14ac:dyDescent="0.25">
      <c r="A498" s="76"/>
      <c r="B498" s="76"/>
      <c r="C498" s="34"/>
      <c r="D498" s="139" t="s">
        <v>839</v>
      </c>
      <c r="E498" s="132"/>
      <c r="F498" s="140">
        <f>IFERROR(VLOOKUP(D498,Hoja1!$A$2:$E$399,5,FALSE),)</f>
        <v>0</v>
      </c>
      <c r="G498" s="138">
        <f>+F498</f>
        <v>0</v>
      </c>
      <c r="H498" s="162"/>
    </row>
    <row r="499" ht="12.75" customHeight="1" spans="1:8" x14ac:dyDescent="0.25">
      <c r="A499" s="76"/>
      <c r="B499" s="76"/>
      <c r="C499" s="34"/>
      <c r="D499" s="139" t="s">
        <v>840</v>
      </c>
      <c r="E499" s="132"/>
      <c r="F499" s="140">
        <f>IFERROR(VLOOKUP(D499,Hoja1!$A$2:$E$399,5,FALSE),)</f>
        <v>0</v>
      </c>
      <c r="G499" s="138">
        <f>+F499</f>
        <v>0</v>
      </c>
      <c r="H499" s="162"/>
    </row>
    <row r="500" ht="12.75" customHeight="1" spans="1:8" x14ac:dyDescent="0.25">
      <c r="A500" s="76"/>
      <c r="B500" s="76"/>
      <c r="C500" s="34"/>
      <c r="D500" s="139" t="s">
        <v>841</v>
      </c>
      <c r="E500" s="132"/>
      <c r="F500" s="140">
        <f>IFERROR(VLOOKUP(D500,Hoja1!$A$2:$E$399,5,FALSE),)</f>
        <v>0</v>
      </c>
      <c r="G500" s="138">
        <f>+F500</f>
        <v>0</v>
      </c>
      <c r="H500" s="162"/>
    </row>
    <row r="501" ht="12.75" customHeight="1" spans="1:7" x14ac:dyDescent="0.25">
      <c r="A501" s="76"/>
      <c r="B501" s="76"/>
      <c r="C501" s="34"/>
      <c r="D501" s="139" t="s">
        <v>842</v>
      </c>
      <c r="E501" s="132"/>
      <c r="F501" s="140">
        <f>IFERROR(VLOOKUP(D501,Hoja1!$A$2:$E$399,5,FALSE),)</f>
        <v>0</v>
      </c>
      <c r="G501" s="138">
        <f>+F501</f>
        <v>0</v>
      </c>
    </row>
    <row r="502" ht="12.75" customHeight="1" spans="1:7" x14ac:dyDescent="0.25">
      <c r="A502" s="76"/>
      <c r="B502" s="76"/>
      <c r="C502" s="34"/>
      <c r="D502" s="139" t="s">
        <v>843</v>
      </c>
      <c r="E502" s="132"/>
      <c r="F502" s="140">
        <f>IFERROR(VLOOKUP(D502,Hoja1!$A$2:$E$399,5,FALSE),)</f>
        <v>0</v>
      </c>
      <c r="G502" s="138">
        <f>+F502</f>
        <v>0</v>
      </c>
    </row>
    <row r="503" ht="13.9" customHeight="1" spans="1:9" x14ac:dyDescent="0.25">
      <c r="A503" s="76"/>
      <c r="B503" s="76"/>
      <c r="C503" s="34"/>
      <c r="D503" s="132"/>
      <c r="E503" s="132"/>
      <c r="F503" s="162"/>
      <c r="G503" s="133"/>
      <c r="H503" s="199" t="s">
        <v>55</v>
      </c>
      <c r="I503" s="199" t="s">
        <v>464</v>
      </c>
    </row>
    <row r="504" ht="13.9" customHeight="1" spans="1:9" x14ac:dyDescent="0.25">
      <c r="A504" s="76"/>
      <c r="B504" s="76"/>
      <c r="C504" s="34"/>
      <c r="D504" s="132"/>
      <c r="E504" s="200" t="s">
        <v>844</v>
      </c>
      <c r="F504" s="201">
        <f>SUM(F146:F502)</f>
        <v>1672589124.2600002</v>
      </c>
      <c r="G504" s="202">
        <f>SUM(G146:G502)</f>
        <v>1672589124.26</v>
      </c>
      <c r="H504" s="199">
        <f>+Resultados!C26</f>
        <v>-1672589124.26</v>
      </c>
      <c r="I504" s="199">
        <f>+H504+G504</f>
        <v>0</v>
      </c>
    </row>
    <row r="505" ht="12.75" customHeight="1" spans="1:9" x14ac:dyDescent="0.25">
      <c r="A505" s="76"/>
      <c r="B505" s="76"/>
      <c r="C505" s="34"/>
      <c r="D505" s="132"/>
      <c r="E505" s="203" t="s">
        <v>845</v>
      </c>
      <c r="F505" s="204">
        <f>+-'Anexo II'!E103</f>
        <v>-1609778933.7700005</v>
      </c>
      <c r="G505" s="205">
        <f>+Hoja1!E340</f>
        <v>1672589124.2599998</v>
      </c>
      <c r="H505" s="199"/>
      <c r="I505" s="206"/>
    </row>
    <row r="506" ht="12.75" customHeight="1" spans="1:8" x14ac:dyDescent="0.25">
      <c r="A506" s="76"/>
      <c r="B506" s="76"/>
      <c r="C506" s="34"/>
      <c r="D506" s="132"/>
      <c r="E506" s="207" t="s">
        <v>846</v>
      </c>
      <c r="F506" s="208">
        <f>+F504+F505</f>
        <v>62810190.48999977</v>
      </c>
      <c r="G506" s="209">
        <f>+G505-G504</f>
        <v>0</v>
      </c>
      <c r="H506" s="208"/>
    </row>
    <row r="507" ht="12.75" customHeight="1" spans="1:6" x14ac:dyDescent="0.25">
      <c r="A507" s="76"/>
      <c r="B507" s="76"/>
      <c r="C507" s="34"/>
      <c r="D507" s="132"/>
      <c r="E507" s="132"/>
      <c r="F507" s="162">
        <f>+F506-F280</f>
        <v>-2.3096799850463867e-7</v>
      </c>
    </row>
    <row r="508" ht="10.9" customHeight="1" spans="1:11" s="210" customFormat="1" x14ac:dyDescent="0.25">
      <c r="A508" s="210"/>
      <c r="B508" s="210"/>
      <c r="C508" s="211"/>
      <c r="D508" s="211"/>
      <c r="E508" s="211" t="s">
        <v>847</v>
      </c>
      <c r="F508" s="211">
        <f>+F280-F506</f>
        <v>2.3096799850463867e-7</v>
      </c>
      <c r="G508" s="212"/>
      <c r="H508" s="211"/>
      <c r="I508" s="213"/>
      <c r="J508" s="211"/>
      <c r="K508" s="211"/>
    </row>
    <row r="509" ht="13.9" customHeight="1" spans="1:11" s="214" customFormat="1" x14ac:dyDescent="0.25">
      <c r="A509" s="215"/>
      <c r="B509" s="214"/>
      <c r="C509" s="216"/>
      <c r="D509" s="217"/>
      <c r="E509" s="217"/>
      <c r="F509" s="217"/>
      <c r="G509" s="218">
        <f>SUM(G3:G503)</f>
        <v>-5.651381798088551e-7</v>
      </c>
      <c r="H509" s="217"/>
      <c r="I509" s="219"/>
      <c r="J509" s="217"/>
      <c r="K509" s="217"/>
    </row>
    <row r="510" ht="12.75" customHeight="1" spans="1:7" x14ac:dyDescent="0.25">
      <c r="A510" s="76"/>
      <c r="B510" s="76"/>
      <c r="C510" s="34"/>
      <c r="D510" s="132"/>
      <c r="E510" s="132"/>
      <c r="F510" s="132"/>
      <c r="G510" s="132"/>
    </row>
    <row r="511" ht="12.75" customHeight="1" spans="1:7" x14ac:dyDescent="0.25">
      <c r="A511" s="76"/>
      <c r="B511" s="76"/>
      <c r="C511" s="34"/>
      <c r="D511" s="132"/>
      <c r="E511" s="132"/>
      <c r="F511" s="132"/>
      <c r="G511" s="132"/>
    </row>
    <row r="512" ht="12.75" customHeight="1" spans="1:7" x14ac:dyDescent="0.25">
      <c r="A512" s="76"/>
      <c r="B512" s="76"/>
      <c r="C512" s="34"/>
      <c r="D512" s="132"/>
      <c r="E512" s="132"/>
      <c r="F512" s="132"/>
      <c r="G512" s="132"/>
    </row>
    <row r="513" ht="12.75" customHeight="1" spans="1:7" x14ac:dyDescent="0.25">
      <c r="A513" s="76"/>
      <c r="B513" s="76"/>
      <c r="C513" s="34"/>
      <c r="D513" s="132"/>
      <c r="E513" s="132"/>
      <c r="F513" s="132"/>
      <c r="G513" s="132"/>
    </row>
    <row r="514" ht="12.75" customHeight="1" spans="1:7" x14ac:dyDescent="0.25">
      <c r="A514" s="76"/>
      <c r="B514" s="76"/>
      <c r="C514" s="34"/>
      <c r="D514" s="132"/>
      <c r="E514" s="132"/>
      <c r="F514" s="132"/>
      <c r="G514" s="132"/>
    </row>
    <row r="515" ht="12.75" customHeight="1" spans="1:7" x14ac:dyDescent="0.25">
      <c r="A515" s="76"/>
      <c r="B515" s="76"/>
      <c r="C515" s="34"/>
      <c r="D515" s="132"/>
      <c r="E515" s="132"/>
      <c r="F515" s="132"/>
      <c r="G515" s="132"/>
    </row>
    <row r="516" ht="12.75" customHeight="1" spans="1:7" x14ac:dyDescent="0.25">
      <c r="A516" s="76"/>
      <c r="B516" s="76"/>
      <c r="C516" s="34"/>
      <c r="D516" s="132"/>
      <c r="E516" s="132"/>
      <c r="F516" s="132"/>
      <c r="G516" s="132"/>
    </row>
    <row r="517" ht="12.75" customHeight="1" spans="1:7" x14ac:dyDescent="0.25">
      <c r="A517" s="76"/>
      <c r="B517" s="76"/>
      <c r="C517" s="34"/>
      <c r="D517" s="132"/>
      <c r="E517" s="132"/>
      <c r="F517" s="132"/>
      <c r="G517" s="132"/>
    </row>
    <row r="518" ht="12.75" customHeight="1" spans="1:7" x14ac:dyDescent="0.25">
      <c r="A518" s="76"/>
      <c r="B518" s="76"/>
      <c r="C518" s="34"/>
      <c r="D518" s="132"/>
      <c r="E518" s="132"/>
      <c r="F518" s="132"/>
      <c r="G518" s="132"/>
    </row>
    <row r="519" ht="12.75" customHeight="1" spans="1:7" x14ac:dyDescent="0.25">
      <c r="A519" s="76"/>
      <c r="B519" s="76"/>
      <c r="C519" s="34"/>
      <c r="D519" s="132"/>
      <c r="E519" s="132"/>
      <c r="F519" s="132"/>
      <c r="G519" s="132"/>
    </row>
    <row r="520" ht="12.75" customHeight="1" spans="1:7" x14ac:dyDescent="0.25">
      <c r="A520" s="76"/>
      <c r="B520" s="76"/>
      <c r="C520" s="34"/>
      <c r="D520" s="132"/>
      <c r="E520" s="132"/>
      <c r="F520" s="132"/>
      <c r="G520" s="132"/>
    </row>
    <row r="521" ht="12.75" customHeight="1" spans="1:7" x14ac:dyDescent="0.25">
      <c r="A521" s="76"/>
      <c r="B521" s="76"/>
      <c r="C521" s="34"/>
      <c r="D521" s="132"/>
      <c r="E521" s="132"/>
      <c r="F521" s="132"/>
      <c r="G521" s="132"/>
    </row>
    <row r="522" ht="12.75" customHeight="1" spans="1:7" x14ac:dyDescent="0.25">
      <c r="A522" s="76"/>
      <c r="B522" s="76"/>
      <c r="C522" s="34"/>
      <c r="D522" s="132"/>
      <c r="E522" s="132"/>
      <c r="F522" s="132"/>
      <c r="G522" s="132"/>
    </row>
    <row r="523" ht="12.75" customHeight="1" spans="1:7" x14ac:dyDescent="0.25">
      <c r="A523" s="76"/>
      <c r="B523" s="76"/>
      <c r="C523" s="34"/>
      <c r="D523" s="132"/>
      <c r="E523" s="132"/>
      <c r="F523" s="132"/>
      <c r="G523" s="132"/>
    </row>
    <row r="524" ht="12.75" customHeight="1" spans="1:7" x14ac:dyDescent="0.25">
      <c r="A524" s="76"/>
      <c r="B524" s="76"/>
      <c r="C524" s="34"/>
      <c r="D524" s="132"/>
      <c r="E524" s="132"/>
      <c r="F524" s="132"/>
      <c r="G524" s="132"/>
    </row>
    <row r="525" ht="12.75" customHeight="1" spans="1:7" x14ac:dyDescent="0.25">
      <c r="A525" s="76"/>
      <c r="B525" s="76"/>
      <c r="C525" s="34"/>
      <c r="D525" s="132"/>
      <c r="E525" s="132"/>
      <c r="F525" s="132"/>
      <c r="G525" s="132"/>
    </row>
    <row r="526" ht="12.75" customHeight="1" spans="1:7" x14ac:dyDescent="0.25">
      <c r="A526" s="76"/>
      <c r="B526" s="76"/>
      <c r="C526" s="34"/>
      <c r="D526" s="132"/>
      <c r="E526" s="132"/>
      <c r="F526" s="132"/>
      <c r="G526" s="132"/>
    </row>
    <row r="527" ht="12.75" customHeight="1" spans="1:7" x14ac:dyDescent="0.25">
      <c r="A527" s="76"/>
      <c r="B527" s="76"/>
      <c r="C527" s="34"/>
      <c r="D527" s="132"/>
      <c r="E527" s="132"/>
      <c r="F527" s="132"/>
      <c r="G527" s="132"/>
    </row>
    <row r="528" ht="12.75" customHeight="1" spans="1:7" x14ac:dyDescent="0.25">
      <c r="A528" s="76"/>
      <c r="B528" s="76"/>
      <c r="C528" s="34"/>
      <c r="D528" s="132"/>
      <c r="E528" s="132"/>
      <c r="F528" s="132"/>
      <c r="G528" s="132"/>
    </row>
    <row r="529" ht="12.75" customHeight="1" spans="1:7" x14ac:dyDescent="0.25">
      <c r="A529" s="76"/>
      <c r="B529" s="76"/>
      <c r="C529" s="34"/>
      <c r="D529" s="132"/>
      <c r="E529" s="132"/>
      <c r="F529" s="132"/>
      <c r="G529" s="132"/>
    </row>
    <row r="530" ht="12.75" customHeight="1" spans="1:7" x14ac:dyDescent="0.25">
      <c r="A530" s="76"/>
      <c r="B530" s="76"/>
      <c r="C530" s="34"/>
      <c r="D530" s="132"/>
      <c r="E530" s="132"/>
      <c r="F530" s="132"/>
      <c r="G530" s="132"/>
    </row>
    <row r="531" ht="12.75" customHeight="1" spans="1:7" x14ac:dyDescent="0.25">
      <c r="A531" s="76"/>
      <c r="B531" s="76"/>
      <c r="C531" s="34"/>
      <c r="D531" s="132"/>
      <c r="E531" s="132"/>
      <c r="F531" s="132"/>
      <c r="G531" s="132"/>
    </row>
    <row r="532" ht="12.75" customHeight="1" spans="1:7" x14ac:dyDescent="0.25">
      <c r="A532" s="76"/>
      <c r="B532" s="76"/>
      <c r="C532" s="34"/>
      <c r="D532" s="132"/>
      <c r="E532" s="132"/>
      <c r="F532" s="132"/>
      <c r="G532" s="132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8"/>
  <sheetViews>
    <sheetView workbookViewId="0" zoomScale="115" zoomScaleNormal="115">
      <selection activeCell="I507" sqref="I507"/>
    </sheetView>
  </sheetViews>
  <sheetFormatPr defaultRowHeight="13.15" outlineLevelRow="0" outlineLevelCol="0" x14ac:dyDescent="0.25" defaultColWidth="11.42578125" customHeight="1"/>
  <cols>
    <col min="1" max="1" width="42.5703125" style="220" customWidth="1"/>
    <col min="2" max="2" width="8" style="220" customWidth="1"/>
    <col min="3" max="3" width="3" style="220" customWidth="1"/>
    <col min="4" max="4" width="7.5703125" style="220" customWidth="1"/>
    <col min="5" max="5" width="13.85546875" style="220" customWidth="1"/>
    <col min="6" max="6" width="15.85546875" style="220" customWidth="1"/>
    <col min="7" max="7" width="13.5703125" style="220" customWidth="1"/>
    <col min="8" max="8" width="14.85546875" style="220" customWidth="1"/>
    <col min="9" max="16384" width="11.425781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848</v>
      </c>
      <c r="F1" s="224"/>
      <c r="G1" s="224"/>
    </row>
    <row r="2" ht="12.75" customHeight="1" spans="1:5" x14ac:dyDescent="0.25">
      <c r="A2" s="72" t="s">
        <v>302</v>
      </c>
      <c r="B2" s="151"/>
      <c r="C2" s="195"/>
      <c r="D2" s="225"/>
      <c r="E2" s="195">
        <v>0</v>
      </c>
    </row>
    <row r="3" ht="12.75" customHeight="1" spans="1:5" x14ac:dyDescent="0.25">
      <c r="A3" s="72" t="s">
        <v>849</v>
      </c>
      <c r="B3" s="151"/>
      <c r="C3" s="195"/>
      <c r="D3" s="225"/>
      <c r="E3" s="195">
        <v>10663404.48</v>
      </c>
    </row>
    <row r="4" ht="12.75" customHeight="1" spans="1:5" x14ac:dyDescent="0.25">
      <c r="A4" s="72" t="s">
        <v>307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311</v>
      </c>
      <c r="B5" s="151"/>
      <c r="C5" s="195"/>
      <c r="D5" s="225"/>
      <c r="E5" s="195">
        <v>8464196.790000001</v>
      </c>
    </row>
    <row r="6" ht="12.75" customHeight="1" spans="1:5" x14ac:dyDescent="0.25">
      <c r="A6" s="72" t="s">
        <v>308</v>
      </c>
      <c r="B6" s="151"/>
      <c r="C6" s="195"/>
      <c r="D6" s="225"/>
      <c r="E6" s="195">
        <v>-23141.31</v>
      </c>
    </row>
    <row r="7" ht="12.75" customHeight="1" spans="1:5" x14ac:dyDescent="0.25">
      <c r="A7" s="72" t="s">
        <v>309</v>
      </c>
      <c r="B7" s="151"/>
      <c r="C7" s="195"/>
      <c r="D7" s="225"/>
      <c r="E7" s="195">
        <v>3926.88</v>
      </c>
    </row>
    <row r="8" ht="12.75" customHeight="1" spans="1:5" x14ac:dyDescent="0.25">
      <c r="A8" s="72" t="s">
        <v>305</v>
      </c>
      <c r="B8" s="151"/>
      <c r="C8" s="195"/>
      <c r="D8" s="225"/>
      <c r="E8" s="195">
        <v>1445749.5</v>
      </c>
    </row>
    <row r="9" ht="12.75" customHeight="1" spans="1:5" x14ac:dyDescent="0.25">
      <c r="A9" s="72" t="s">
        <v>850</v>
      </c>
      <c r="B9" s="151"/>
      <c r="C9" s="195"/>
      <c r="D9" s="225"/>
      <c r="E9" s="195">
        <v>1667959397.47</v>
      </c>
    </row>
    <row r="10" ht="12.75" customHeight="1" spans="1:5" x14ac:dyDescent="0.25">
      <c r="A10" s="72" t="s">
        <v>315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317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319</v>
      </c>
      <c r="B12" s="151"/>
      <c r="C12" s="195"/>
      <c r="D12" s="225"/>
      <c r="E12" s="195">
        <v>7866857.08</v>
      </c>
    </row>
    <row r="13" ht="12.75" customHeight="1" spans="1:5" x14ac:dyDescent="0.25">
      <c r="A13" s="72" t="s">
        <v>321</v>
      </c>
      <c r="B13" s="151"/>
      <c r="C13" s="195"/>
      <c r="D13" s="225"/>
      <c r="E13" s="195">
        <v>52018352.27</v>
      </c>
    </row>
    <row r="14" ht="12.75" customHeight="1" spans="1:5" x14ac:dyDescent="0.25">
      <c r="A14" s="72" t="s">
        <v>322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326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328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330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331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332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335</v>
      </c>
      <c r="B20" s="151"/>
      <c r="C20" s="195"/>
      <c r="D20" s="225"/>
      <c r="E20" s="195">
        <v>95935319.46000001</v>
      </c>
    </row>
    <row r="21" ht="12.75" customHeight="1" spans="1:5" x14ac:dyDescent="0.25">
      <c r="A21" s="72" t="s">
        <v>337</v>
      </c>
      <c r="B21" s="151"/>
      <c r="C21" s="195"/>
      <c r="D21" s="225"/>
      <c r="E21" s="195">
        <v>908.12</v>
      </c>
    </row>
    <row r="22" ht="12.75" customHeight="1" spans="1:5" x14ac:dyDescent="0.25">
      <c r="A22" s="72" t="s">
        <v>345</v>
      </c>
      <c r="B22" s="151"/>
      <c r="C22" s="195"/>
      <c r="D22" s="225"/>
      <c r="E22" s="195">
        <v>17397227.48</v>
      </c>
    </row>
    <row r="23" ht="12.75" customHeight="1" spans="1:5" x14ac:dyDescent="0.25">
      <c r="A23" s="72" t="s">
        <v>346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339</v>
      </c>
      <c r="B24" s="195"/>
      <c r="C24" s="195"/>
      <c r="D24" s="225"/>
      <c r="E24" s="195">
        <v>6297405.22</v>
      </c>
    </row>
    <row r="25" ht="12.75" customHeight="1" spans="1:5" x14ac:dyDescent="0.25">
      <c r="A25" s="72" t="s">
        <v>341</v>
      </c>
      <c r="B25" s="195"/>
      <c r="C25" s="195"/>
      <c r="D25" s="225"/>
      <c r="E25" s="195">
        <v>154199532</v>
      </c>
    </row>
    <row r="26" ht="12.75" customHeight="1" spans="1:5" x14ac:dyDescent="0.25">
      <c r="A26" s="72" t="s">
        <v>349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352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354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355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356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357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364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371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374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358</v>
      </c>
      <c r="B35" s="151"/>
      <c r="C35" s="195"/>
      <c r="D35" s="225"/>
      <c r="E35" s="195">
        <v>-3124708.59</v>
      </c>
    </row>
    <row r="36" ht="12.75" customHeight="1" spans="1:5" x14ac:dyDescent="0.25">
      <c r="A36" s="72" t="s">
        <v>360</v>
      </c>
      <c r="B36" s="151"/>
      <c r="C36" s="195"/>
      <c r="D36" s="225"/>
      <c r="E36" s="195">
        <v>-1499006.23</v>
      </c>
    </row>
    <row r="37" ht="12.75" customHeight="1" spans="1:5" x14ac:dyDescent="0.25">
      <c r="A37" s="72" t="s">
        <v>362</v>
      </c>
      <c r="B37" s="151"/>
      <c r="C37" s="195"/>
      <c r="D37" s="225"/>
      <c r="E37" s="195">
        <v>-776376.5700000001</v>
      </c>
    </row>
    <row r="38" ht="12.75" customHeight="1" spans="1:5" x14ac:dyDescent="0.25">
      <c r="A38" s="72" t="s">
        <v>365</v>
      </c>
      <c r="B38" s="151"/>
      <c r="C38" s="195"/>
      <c r="D38" s="225"/>
      <c r="E38" s="195">
        <v>-4436234.05</v>
      </c>
    </row>
    <row r="39" ht="12.75" customHeight="1" spans="1:5" x14ac:dyDescent="0.25">
      <c r="A39" s="72" t="s">
        <v>367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369</v>
      </c>
      <c r="B40" s="151"/>
      <c r="C40" s="195"/>
      <c r="D40" s="225"/>
      <c r="E40" s="195">
        <v>-19606049.32</v>
      </c>
    </row>
    <row r="41" ht="12.75" customHeight="1" spans="1:5" x14ac:dyDescent="0.25">
      <c r="A41" s="72" t="s">
        <v>372</v>
      </c>
      <c r="B41" s="151"/>
      <c r="C41" s="195"/>
      <c r="D41" s="225"/>
      <c r="E41" s="195">
        <v>-10204568.26</v>
      </c>
    </row>
    <row r="42" ht="12.75" customHeight="1" spans="1:5" x14ac:dyDescent="0.25">
      <c r="A42" s="72" t="s">
        <v>375</v>
      </c>
      <c r="B42" s="151"/>
      <c r="C42" s="195"/>
      <c r="D42" s="225"/>
      <c r="E42" s="195">
        <v>-617752.65</v>
      </c>
    </row>
    <row r="43" ht="12.75" customHeight="1" spans="1:5" x14ac:dyDescent="0.25">
      <c r="A43" s="72" t="s">
        <v>377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851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324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378</v>
      </c>
      <c r="B46" s="151"/>
      <c r="C46" s="195"/>
      <c r="D46" s="225"/>
      <c r="E46" s="195">
        <v>32772165</v>
      </c>
    </row>
    <row r="47" ht="12.75" customHeight="1" hidden="1" spans="1:8" x14ac:dyDescent="0.25">
      <c r="A47" s="72"/>
      <c r="B47" s="151"/>
      <c r="C47" s="195"/>
      <c r="D47" s="225"/>
      <c r="E47" s="220"/>
      <c r="F47" s="220"/>
      <c r="G47" s="226" t="s">
        <v>852</v>
      </c>
      <c r="H47" s="227" t="s">
        <v>445</v>
      </c>
    </row>
    <row r="48" ht="12.75" customHeight="1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t="12.75" customHeight="1" hidden="1" spans="1:8" x14ac:dyDescent="0.25">
      <c r="A49" s="72"/>
      <c r="B49" s="151"/>
      <c r="C49" s="195"/>
      <c r="D49" s="225"/>
      <c r="E49" s="195"/>
      <c r="F49" s="220"/>
      <c r="G49" s="220"/>
      <c r="H49" s="228"/>
    </row>
    <row r="50" ht="12.75" customHeight="1" spans="1:8" x14ac:dyDescent="0.25">
      <c r="A50" s="72"/>
      <c r="B50" s="151"/>
      <c r="C50" s="195"/>
      <c r="D50" s="225"/>
      <c r="E50" s="195"/>
      <c r="F50" s="220"/>
      <c r="G50" s="220"/>
      <c r="H50" s="228"/>
    </row>
    <row r="51" ht="12.75" customHeight="1" spans="1:8" x14ac:dyDescent="0.25">
      <c r="A51" s="151"/>
      <c r="B51" s="151"/>
      <c r="C51" s="195"/>
      <c r="D51" s="225"/>
      <c r="E51" s="195"/>
      <c r="F51" s="220"/>
      <c r="G51" s="220"/>
      <c r="H51" s="228"/>
    </row>
    <row r="52" ht="12.75" customHeight="1" spans="1:8" x14ac:dyDescent="0.25">
      <c r="A52" s="151"/>
      <c r="B52" s="151"/>
      <c r="C52" s="195"/>
      <c r="D52" s="225"/>
      <c r="E52" s="195"/>
      <c r="F52" s="220"/>
      <c r="G52" s="41">
        <v>2003976172.51</v>
      </c>
      <c r="H52" s="229">
        <f>+G52-E54</f>
        <v>-154199531.99999928</v>
      </c>
    </row>
    <row r="53" ht="12.75" customHeight="1" spans="1:9" x14ac:dyDescent="0.25">
      <c r="A53" s="151"/>
      <c r="B53" s="151"/>
      <c r="C53" s="195"/>
      <c r="D53" s="225"/>
      <c r="E53" s="195"/>
      <c r="F53" s="220"/>
      <c r="G53" s="220"/>
      <c r="H53" s="41"/>
      <c r="I53" s="230"/>
    </row>
    <row r="54" ht="12.75" customHeight="1" spans="1:7" x14ac:dyDescent="0.25">
      <c r="A54" s="151"/>
      <c r="B54" s="151"/>
      <c r="C54" s="195"/>
      <c r="D54" s="225"/>
      <c r="E54" s="41">
        <f>SUM(E2:E53)</f>
        <v>2158175704.5099993</v>
      </c>
      <c r="F54" s="41">
        <f>+SUM(SALDOS!G3:G61)</f>
        <v>2158175704.5099998</v>
      </c>
      <c r="G54" s="41">
        <f>+E54-F54</f>
        <v>0</v>
      </c>
    </row>
    <row r="55" ht="12.75" customHeight="1" spans="1:7" x14ac:dyDescent="0.25">
      <c r="A55" s="151"/>
      <c r="B55" s="151"/>
      <c r="C55" s="195"/>
      <c r="D55" s="195"/>
      <c r="E55" s="195"/>
      <c r="F55" s="41">
        <f>+Balance!F21</f>
        <v>2158175704.5099998</v>
      </c>
      <c r="G55" s="41">
        <f>+F55-E54</f>
        <v>0</v>
      </c>
    </row>
    <row r="56" ht="12.75" customHeight="1" spans="1:7" x14ac:dyDescent="0.25">
      <c r="A56" s="151"/>
      <c r="B56" s="151"/>
      <c r="C56" s="195"/>
      <c r="D56" s="195"/>
      <c r="E56" s="195"/>
      <c r="F56" s="230"/>
      <c r="G56" s="230"/>
    </row>
    <row r="57" ht="12.75" customHeight="1" hidden="1" spans="1:7" x14ac:dyDescent="0.25">
      <c r="A57" s="151"/>
      <c r="B57" s="151"/>
      <c r="C57" s="195"/>
      <c r="D57" s="195"/>
      <c r="E57" s="195"/>
      <c r="F57" s="230"/>
      <c r="G57" s="230"/>
    </row>
    <row r="58" ht="12.75" customHeight="1" hidden="1" spans="1:7" s="231" customFormat="1" x14ac:dyDescent="0.25">
      <c r="A58" s="232" t="s">
        <v>7</v>
      </c>
      <c r="B58" s="232"/>
      <c r="C58" s="232"/>
      <c r="D58" s="232"/>
      <c r="E58" s="232"/>
      <c r="F58" s="232" t="s">
        <v>853</v>
      </c>
      <c r="G58" s="232"/>
    </row>
    <row r="59" ht="12.75" customHeight="1" hidden="1" spans="1:5" x14ac:dyDescent="0.25">
      <c r="A59" s="72" t="s">
        <v>381</v>
      </c>
      <c r="B59" s="151"/>
      <c r="C59" s="195"/>
      <c r="D59" s="195"/>
      <c r="E59" s="195">
        <v>112281.77</v>
      </c>
    </row>
    <row r="60" ht="12.75" customHeight="1" hidden="1" spans="1:5" x14ac:dyDescent="0.25">
      <c r="A60" s="72" t="s">
        <v>383</v>
      </c>
      <c r="B60" s="151"/>
      <c r="C60" s="195"/>
      <c r="D60" s="195"/>
      <c r="E60" s="195">
        <v>-108900</v>
      </c>
    </row>
    <row r="61" ht="12.75" customHeight="1" hidden="1" spans="1:5" x14ac:dyDescent="0.25">
      <c r="A61" s="72" t="s">
        <v>854</v>
      </c>
      <c r="B61" s="151"/>
      <c r="C61" s="195"/>
      <c r="D61" s="195"/>
      <c r="E61" s="195">
        <v>0</v>
      </c>
    </row>
    <row r="62" ht="12.75" customHeight="1" hidden="1" spans="1:5" x14ac:dyDescent="0.25">
      <c r="A62" s="72" t="s">
        <v>384</v>
      </c>
      <c r="B62" s="151"/>
      <c r="C62" s="195"/>
      <c r="D62" s="195"/>
      <c r="E62" s="195">
        <v>-37700</v>
      </c>
    </row>
    <row r="63" ht="12.75" customHeight="1" hidden="1" spans="1:5" x14ac:dyDescent="0.25">
      <c r="A63" s="72" t="s">
        <v>385</v>
      </c>
      <c r="B63" s="151"/>
      <c r="C63" s="195"/>
      <c r="D63" s="195"/>
      <c r="E63" s="195">
        <v>-45216.89</v>
      </c>
    </row>
    <row r="64" ht="12.75" customHeight="1" hidden="1" spans="1:5" x14ac:dyDescent="0.25">
      <c r="A64" s="72" t="s">
        <v>386</v>
      </c>
      <c r="B64" s="151"/>
      <c r="C64" s="195"/>
      <c r="D64" s="195"/>
      <c r="E64" s="195">
        <v>379251.49</v>
      </c>
    </row>
    <row r="65" ht="12.75" customHeight="1" hidden="1" spans="1:5" x14ac:dyDescent="0.25">
      <c r="A65" s="72" t="s">
        <v>387</v>
      </c>
      <c r="B65" s="151"/>
      <c r="C65" s="195"/>
      <c r="D65" s="195"/>
      <c r="E65" s="195">
        <v>-50000</v>
      </c>
    </row>
    <row r="66" ht="12.75" customHeight="1" hidden="1" spans="1:5" x14ac:dyDescent="0.25">
      <c r="A66" s="72" t="s">
        <v>388</v>
      </c>
      <c r="B66" s="151"/>
      <c r="C66" s="195"/>
      <c r="D66" s="195"/>
      <c r="E66" s="195">
        <v>-20786.65</v>
      </c>
    </row>
    <row r="67" ht="12.75" customHeight="1" hidden="1" spans="1:5" x14ac:dyDescent="0.25">
      <c r="A67" s="72" t="s">
        <v>389</v>
      </c>
      <c r="B67" s="151"/>
      <c r="C67" s="195"/>
      <c r="D67" s="195"/>
      <c r="E67" s="195">
        <v>-3087400</v>
      </c>
    </row>
    <row r="68" ht="12.75" customHeight="1" hidden="1" spans="1:5" x14ac:dyDescent="0.25">
      <c r="A68" s="72" t="s">
        <v>390</v>
      </c>
      <c r="B68" s="151"/>
      <c r="C68" s="195"/>
      <c r="D68" s="195"/>
      <c r="E68" s="195">
        <v>-107500</v>
      </c>
    </row>
    <row r="69" ht="12.75" customHeight="1" hidden="1" spans="1:5" x14ac:dyDescent="0.25">
      <c r="A69" s="72" t="s">
        <v>391</v>
      </c>
      <c r="B69" s="151"/>
      <c r="C69" s="195"/>
      <c r="D69" s="195"/>
      <c r="E69" s="195">
        <v>602391.9500000001</v>
      </c>
    </row>
    <row r="70" ht="12.75" customHeight="1" hidden="1" spans="1:5" x14ac:dyDescent="0.25">
      <c r="A70" s="72" t="s">
        <v>392</v>
      </c>
      <c r="B70" s="151"/>
      <c r="C70" s="195"/>
      <c r="D70" s="195"/>
      <c r="E70" s="195">
        <v>57904.46</v>
      </c>
    </row>
    <row r="71" ht="12.75" customHeight="1" hidden="1" spans="1:5" x14ac:dyDescent="0.25">
      <c r="A71" s="72" t="s">
        <v>394</v>
      </c>
      <c r="B71" s="151"/>
      <c r="C71" s="195"/>
      <c r="D71" s="195"/>
      <c r="E71" s="195">
        <v>1474033.77</v>
      </c>
    </row>
    <row r="72" ht="12.75" customHeight="1" hidden="1" spans="1:5" x14ac:dyDescent="0.25">
      <c r="A72" s="72" t="s">
        <v>395</v>
      </c>
      <c r="B72" s="151"/>
      <c r="C72" s="195"/>
      <c r="D72" s="195"/>
      <c r="E72" s="195">
        <v>-1600900.31</v>
      </c>
    </row>
    <row r="73" ht="12.75" customHeight="1" hidden="1" spans="1:5" x14ac:dyDescent="0.25">
      <c r="A73" s="72" t="s">
        <v>396</v>
      </c>
      <c r="B73" s="151"/>
      <c r="C73" s="195"/>
      <c r="D73" s="195"/>
      <c r="E73" s="195">
        <v>-1200000</v>
      </c>
    </row>
    <row r="74" ht="12.75" customHeight="1" hidden="1" spans="1:5" x14ac:dyDescent="0.25">
      <c r="A74" s="72" t="s">
        <v>397</v>
      </c>
      <c r="B74" s="151"/>
      <c r="C74" s="195"/>
      <c r="D74" s="195"/>
      <c r="E74" s="195">
        <v>4602127.71</v>
      </c>
    </row>
    <row r="75" ht="12.75" customHeight="1" hidden="1" spans="1:5" x14ac:dyDescent="0.25">
      <c r="A75" s="72" t="s">
        <v>398</v>
      </c>
      <c r="B75" s="151"/>
      <c r="C75" s="195"/>
      <c r="D75" s="195"/>
      <c r="E75" s="195">
        <v>-670000</v>
      </c>
    </row>
    <row r="76" ht="12.75" customHeight="1" hidden="1" spans="1:5" x14ac:dyDescent="0.25">
      <c r="A76" s="72" t="s">
        <v>399</v>
      </c>
      <c r="B76" s="151"/>
      <c r="C76" s="195"/>
      <c r="D76" s="195"/>
      <c r="E76" s="195">
        <v>-505770</v>
      </c>
    </row>
    <row r="77" ht="12.75" customHeight="1" hidden="1" spans="1:5" x14ac:dyDescent="0.25">
      <c r="A77" s="72" t="s">
        <v>400</v>
      </c>
      <c r="B77" s="151"/>
      <c r="C77" s="195"/>
      <c r="D77" s="195"/>
      <c r="E77" s="195">
        <v>220000</v>
      </c>
    </row>
    <row r="78" ht="12.75" customHeight="1" hidden="1" spans="1:5" x14ac:dyDescent="0.25">
      <c r="A78" s="72" t="s">
        <v>401</v>
      </c>
      <c r="B78" s="151"/>
      <c r="C78" s="195"/>
      <c r="D78" s="195"/>
      <c r="E78" s="195">
        <v>-72600</v>
      </c>
    </row>
    <row r="79" ht="12.75" customHeight="1" hidden="1" spans="1:5" x14ac:dyDescent="0.25">
      <c r="A79" s="72" t="s">
        <v>855</v>
      </c>
      <c r="B79" s="151"/>
      <c r="C79" s="195"/>
      <c r="D79" s="195"/>
      <c r="E79" s="195">
        <v>0</v>
      </c>
    </row>
    <row r="80" ht="12.75" customHeight="1" hidden="1" spans="1:5" x14ac:dyDescent="0.25">
      <c r="A80" s="72" t="s">
        <v>856</v>
      </c>
      <c r="B80" s="151"/>
      <c r="C80" s="195"/>
      <c r="D80" s="195"/>
      <c r="E80" s="195">
        <v>0</v>
      </c>
    </row>
    <row r="81" ht="12.75" customHeight="1" hidden="1" spans="1:5" x14ac:dyDescent="0.25">
      <c r="A81" s="72" t="s">
        <v>403</v>
      </c>
      <c r="B81" s="151"/>
      <c r="C81" s="195"/>
      <c r="D81" s="195"/>
      <c r="E81" s="195">
        <v>576899.75</v>
      </c>
    </row>
    <row r="82" ht="12.75" customHeight="1" hidden="1" spans="1:5" x14ac:dyDescent="0.25">
      <c r="A82" s="72" t="s">
        <v>404</v>
      </c>
      <c r="B82" s="151"/>
      <c r="C82" s="195"/>
      <c r="D82" s="195"/>
      <c r="E82" s="195">
        <v>5908.99</v>
      </c>
    </row>
    <row r="83" ht="12.75" customHeight="1" hidden="1" spans="1:5" x14ac:dyDescent="0.25">
      <c r="A83" s="72" t="s">
        <v>405</v>
      </c>
      <c r="B83" s="151"/>
      <c r="C83" s="195"/>
      <c r="D83" s="195"/>
      <c r="E83" s="195">
        <v>-54.02</v>
      </c>
    </row>
    <row r="84" ht="12.75" customHeight="1" hidden="1" spans="1:5" x14ac:dyDescent="0.25">
      <c r="A84" s="72" t="s">
        <v>857</v>
      </c>
      <c r="B84" s="151"/>
      <c r="C84" s="195"/>
      <c r="D84" s="195"/>
      <c r="E84" s="195">
        <v>0</v>
      </c>
    </row>
    <row r="85" ht="12.75" customHeight="1" hidden="1" spans="1:5" x14ac:dyDescent="0.25">
      <c r="A85" s="72" t="s">
        <v>407</v>
      </c>
      <c r="B85" s="151"/>
      <c r="C85" s="195"/>
      <c r="D85" s="195"/>
      <c r="E85" s="195">
        <v>-69412.32</v>
      </c>
    </row>
    <row r="86" ht="12.75" customHeight="1" hidden="1" spans="1:5" x14ac:dyDescent="0.25">
      <c r="A86" s="72" t="s">
        <v>408</v>
      </c>
      <c r="B86" s="151"/>
      <c r="C86" s="195"/>
      <c r="D86" s="195"/>
      <c r="E86" s="195">
        <v>552223.43</v>
      </c>
    </row>
    <row r="87" ht="12.75" customHeight="1" hidden="1" spans="1:5" x14ac:dyDescent="0.25">
      <c r="A87" s="72" t="s">
        <v>409</v>
      </c>
      <c r="B87" s="151"/>
      <c r="C87" s="195"/>
      <c r="D87" s="195"/>
      <c r="E87" s="195">
        <v>-1034561.61</v>
      </c>
    </row>
    <row r="88" ht="12.75" customHeight="1" hidden="1" spans="1:8" x14ac:dyDescent="0.25">
      <c r="A88" s="72" t="s">
        <v>410</v>
      </c>
      <c r="B88" s="151"/>
      <c r="C88" s="195"/>
      <c r="D88" s="225"/>
      <c r="E88" s="195">
        <v>-41000</v>
      </c>
      <c r="F88" s="220"/>
      <c r="G88" s="220"/>
      <c r="H88" s="230"/>
    </row>
    <row r="89" ht="12.75" customHeight="1" hidden="1" spans="1:5" x14ac:dyDescent="0.25">
      <c r="A89" s="72" t="s">
        <v>858</v>
      </c>
      <c r="B89" s="151"/>
      <c r="C89" s="195"/>
      <c r="D89" s="195"/>
      <c r="E89" s="195">
        <v>0</v>
      </c>
    </row>
    <row r="90" ht="12.75" customHeight="1" hidden="1" spans="1:5" x14ac:dyDescent="0.25">
      <c r="A90" s="72" t="s">
        <v>411</v>
      </c>
      <c r="B90" s="151"/>
      <c r="C90" s="195"/>
      <c r="D90" s="195"/>
      <c r="E90" s="195">
        <v>-586449.8</v>
      </c>
    </row>
    <row r="91" ht="12.75" customHeight="1" hidden="1" spans="1:5" x14ac:dyDescent="0.25">
      <c r="A91" s="72" t="s">
        <v>412</v>
      </c>
      <c r="B91" s="151"/>
      <c r="C91" s="195"/>
      <c r="D91" s="195"/>
      <c r="E91" s="195">
        <v>321371.55</v>
      </c>
    </row>
    <row r="92" ht="12.75" customHeight="1" hidden="1" spans="1:5" x14ac:dyDescent="0.25">
      <c r="A92" s="72" t="s">
        <v>413</v>
      </c>
      <c r="B92" s="151"/>
      <c r="C92" s="195"/>
      <c r="D92" s="195"/>
      <c r="E92" s="195">
        <v>68889.09</v>
      </c>
    </row>
    <row r="93" ht="12.75" customHeight="1" hidden="1" spans="1:5" x14ac:dyDescent="0.25">
      <c r="A93" s="72" t="s">
        <v>414</v>
      </c>
      <c r="B93" s="151"/>
      <c r="C93" s="195"/>
      <c r="D93" s="195"/>
      <c r="E93" s="195">
        <v>-571725</v>
      </c>
    </row>
    <row r="94" ht="12.75" customHeight="1" hidden="1" spans="1:5" x14ac:dyDescent="0.25">
      <c r="A94" s="72" t="s">
        <v>416</v>
      </c>
      <c r="B94" s="151"/>
      <c r="C94" s="195"/>
      <c r="D94" s="195"/>
      <c r="E94" s="195">
        <v>-10000</v>
      </c>
    </row>
    <row r="95" ht="12.75" customHeight="1" hidden="1" spans="1:5" x14ac:dyDescent="0.25">
      <c r="A95" s="72" t="s">
        <v>418</v>
      </c>
      <c r="B95" s="151"/>
      <c r="C95" s="195"/>
      <c r="D95" s="195"/>
      <c r="E95" s="195">
        <v>337561.59</v>
      </c>
    </row>
    <row r="96" ht="12.75" customHeight="1" hidden="1" spans="1:5" x14ac:dyDescent="0.25">
      <c r="A96" s="72" t="s">
        <v>859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860</v>
      </c>
      <c r="B97" s="151"/>
      <c r="C97" s="195"/>
      <c r="D97" s="195"/>
      <c r="E97" s="195">
        <v>0</v>
      </c>
    </row>
    <row r="98" ht="12.75" customHeight="1" hidden="1" spans="1:5" x14ac:dyDescent="0.25">
      <c r="A98" s="72" t="s">
        <v>861</v>
      </c>
      <c r="B98" s="151"/>
      <c r="C98" s="195"/>
      <c r="D98" s="195"/>
      <c r="E98" s="195">
        <v>0</v>
      </c>
    </row>
    <row r="99" ht="12.75" customHeight="1" hidden="1" spans="1:5" x14ac:dyDescent="0.25">
      <c r="A99" s="72" t="s">
        <v>862</v>
      </c>
      <c r="B99" s="151"/>
      <c r="C99" s="195"/>
      <c r="D99" s="195"/>
      <c r="E99" s="195">
        <v>0</v>
      </c>
    </row>
    <row r="100" ht="12.75" customHeight="1" hidden="1" spans="1:5" x14ac:dyDescent="0.25">
      <c r="A100" s="72" t="s">
        <v>422</v>
      </c>
      <c r="B100" s="151"/>
      <c r="C100" s="195"/>
      <c r="D100" s="195"/>
      <c r="E100" s="195">
        <v>-57760</v>
      </c>
    </row>
    <row r="101" ht="12.75" customHeight="1" hidden="1" spans="1:5" x14ac:dyDescent="0.25">
      <c r="A101" s="72" t="s">
        <v>452</v>
      </c>
      <c r="B101" s="151"/>
      <c r="C101" s="195"/>
      <c r="D101" s="195"/>
      <c r="E101" s="195">
        <v>-1335.23</v>
      </c>
    </row>
    <row r="102" ht="12.75" customHeight="1" hidden="1" spans="1:5" x14ac:dyDescent="0.25">
      <c r="A102" s="72" t="s">
        <v>443</v>
      </c>
      <c r="B102" s="151"/>
      <c r="C102" s="195"/>
      <c r="D102" s="195"/>
      <c r="E102" s="195">
        <v>-45551975</v>
      </c>
    </row>
    <row r="103" ht="12.75" customHeight="1" hidden="1" spans="1:5" x14ac:dyDescent="0.25">
      <c r="A103" s="72" t="s">
        <v>444</v>
      </c>
      <c r="B103" s="151"/>
      <c r="C103" s="195"/>
      <c r="D103" s="195"/>
      <c r="E103" s="195">
        <v>-772433.68</v>
      </c>
    </row>
    <row r="104" ht="12.75" customHeight="1" hidden="1" spans="1:5" x14ac:dyDescent="0.25">
      <c r="A104" s="72" t="s">
        <v>448</v>
      </c>
      <c r="B104" s="151"/>
      <c r="C104" s="195"/>
      <c r="D104" s="195"/>
      <c r="E104" s="195">
        <v>-38149531.82</v>
      </c>
    </row>
    <row r="105" ht="12.75" customHeight="1" hidden="1" spans="1:5" x14ac:dyDescent="0.25">
      <c r="A105" s="72" t="s">
        <v>437</v>
      </c>
      <c r="B105" s="151"/>
      <c r="C105" s="195"/>
      <c r="D105" s="195"/>
      <c r="E105" s="195">
        <v>-39510574.15</v>
      </c>
    </row>
    <row r="106" ht="12.75" customHeight="1" hidden="1" spans="1:5" x14ac:dyDescent="0.25">
      <c r="A106" s="72" t="s">
        <v>436</v>
      </c>
      <c r="B106" s="151"/>
      <c r="C106" s="195"/>
      <c r="D106" s="195"/>
      <c r="E106" s="195">
        <v>-199168357.76</v>
      </c>
    </row>
    <row r="107" ht="12.75" customHeight="1" hidden="1" spans="1:5" x14ac:dyDescent="0.25">
      <c r="A107" s="72" t="s">
        <v>453</v>
      </c>
      <c r="B107" s="151"/>
      <c r="C107" s="195"/>
      <c r="D107" s="195"/>
      <c r="E107" s="195">
        <v>-19744</v>
      </c>
    </row>
    <row r="108" ht="12.75" customHeight="1" hidden="1" spans="1:5" x14ac:dyDescent="0.25">
      <c r="A108" s="72"/>
      <c r="B108" s="151"/>
      <c r="C108" s="195"/>
      <c r="D108" s="195"/>
      <c r="E108" s="195"/>
    </row>
    <row r="109" ht="12.75" customHeight="1" hidden="1" spans="1:5" x14ac:dyDescent="0.25">
      <c r="A109" s="72"/>
      <c r="B109" s="151"/>
      <c r="C109" s="195"/>
      <c r="D109" s="195"/>
      <c r="E109" s="195"/>
    </row>
    <row r="110" ht="12.75" customHeight="1" hidden="1" spans="1:5" x14ac:dyDescent="0.25">
      <c r="A110" s="72"/>
      <c r="B110" s="151"/>
      <c r="C110" s="195"/>
      <c r="D110" s="195"/>
      <c r="E110" s="195"/>
    </row>
    <row r="111" ht="12.75" customHeight="1" hidden="1" spans="1:5" x14ac:dyDescent="0.25">
      <c r="A111" s="72"/>
      <c r="B111" s="151"/>
      <c r="C111" s="195"/>
      <c r="D111" s="195"/>
      <c r="E111" s="195"/>
    </row>
    <row r="112" ht="12.75" customHeight="1" hidden="1" spans="1:5" x14ac:dyDescent="0.25">
      <c r="A112" s="72"/>
      <c r="B112" s="151"/>
      <c r="C112" s="195"/>
      <c r="D112" s="195"/>
      <c r="E112" s="195"/>
    </row>
    <row r="113" ht="12.75" customHeight="1" hidden="1" spans="1:5" x14ac:dyDescent="0.25">
      <c r="A113" s="72"/>
      <c r="B113" s="151"/>
      <c r="C113" s="195"/>
      <c r="D113" s="195"/>
      <c r="E113" s="195"/>
    </row>
    <row r="114" ht="12.75" customHeight="1" hidden="1" spans="1:5" x14ac:dyDescent="0.25">
      <c r="A114" s="72"/>
      <c r="B114" s="151"/>
      <c r="C114" s="195"/>
      <c r="D114" s="195"/>
      <c r="E114" s="195"/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 t="s">
        <v>452</v>
      </c>
      <c r="B172" s="151"/>
      <c r="C172" s="195"/>
      <c r="D172" s="195"/>
      <c r="E172" s="195">
        <v>0</v>
      </c>
    </row>
    <row r="173" ht="12.75" customHeight="1" hidden="1" spans="1:5" x14ac:dyDescent="0.25">
      <c r="A173" s="72" t="s">
        <v>443</v>
      </c>
      <c r="B173" s="151"/>
      <c r="C173" s="195"/>
      <c r="D173" s="195"/>
      <c r="E173" s="195">
        <v>0</v>
      </c>
    </row>
    <row r="174" ht="12.75" customHeight="1" hidden="1" spans="1:5" x14ac:dyDescent="0.25">
      <c r="A174" s="72" t="s">
        <v>444</v>
      </c>
      <c r="B174" s="151"/>
      <c r="C174" s="195"/>
      <c r="D174" s="195"/>
      <c r="E174" s="195">
        <v>0</v>
      </c>
    </row>
    <row r="175" ht="12.75" customHeight="1" hidden="1" spans="1:5" x14ac:dyDescent="0.25">
      <c r="A175" s="72" t="s">
        <v>448</v>
      </c>
      <c r="B175" s="151"/>
      <c r="C175" s="195"/>
      <c r="D175" s="195"/>
      <c r="E175" s="195">
        <v>0</v>
      </c>
    </row>
    <row r="176" ht="12.75" customHeight="1" hidden="1" spans="1:5" x14ac:dyDescent="0.25">
      <c r="A176" s="72" t="s">
        <v>437</v>
      </c>
      <c r="B176" s="151"/>
      <c r="C176" s="195"/>
      <c r="D176" s="195"/>
      <c r="E176" s="195">
        <v>0</v>
      </c>
    </row>
    <row r="177" ht="12.75" customHeight="1" hidden="1" spans="1:5" x14ac:dyDescent="0.25">
      <c r="A177" s="72" t="s">
        <v>436</v>
      </c>
      <c r="B177" s="151"/>
      <c r="C177" s="195"/>
      <c r="D177" s="195"/>
      <c r="E177" s="195">
        <v>0</v>
      </c>
    </row>
    <row r="178" ht="12.75" customHeight="1" hidden="1" spans="1:5" x14ac:dyDescent="0.25">
      <c r="A178" s="72" t="s">
        <v>382</v>
      </c>
      <c r="B178" s="220"/>
      <c r="C178" s="220"/>
      <c r="D178" s="220"/>
      <c r="E178" s="195">
        <v>-10759320</v>
      </c>
    </row>
    <row r="179" ht="12.75" customHeight="1" hidden="1" spans="1:5" x14ac:dyDescent="0.25">
      <c r="A179" s="72" t="s">
        <v>393</v>
      </c>
      <c r="B179" s="220"/>
      <c r="C179" s="220"/>
      <c r="D179" s="220"/>
      <c r="E179" s="195">
        <v>-10</v>
      </c>
    </row>
    <row r="180" ht="12.75" customHeight="1" hidden="1" spans="1:5" x14ac:dyDescent="0.25">
      <c r="A180" s="72" t="s">
        <v>402</v>
      </c>
      <c r="B180" s="220"/>
      <c r="C180" s="220"/>
      <c r="D180" s="220"/>
      <c r="E180" s="195">
        <v>-45033.68</v>
      </c>
    </row>
    <row r="181" ht="12.75" customHeight="1" hidden="1" spans="1:5" x14ac:dyDescent="0.25">
      <c r="A181" s="72" t="s">
        <v>406</v>
      </c>
      <c r="B181" s="220"/>
      <c r="C181" s="220"/>
      <c r="D181" s="220"/>
      <c r="E181" s="195">
        <v>-665863</v>
      </c>
    </row>
    <row r="182" ht="12.75" customHeight="1" hidden="1" spans="1:5" x14ac:dyDescent="0.25">
      <c r="A182" s="72" t="s">
        <v>415</v>
      </c>
      <c r="B182" s="220"/>
      <c r="C182" s="220"/>
      <c r="D182" s="220"/>
      <c r="E182" s="195">
        <v>-0.01</v>
      </c>
    </row>
    <row r="183" ht="12.75" customHeight="1" spans="1:5" x14ac:dyDescent="0.25">
      <c r="A183" s="72" t="s">
        <v>417</v>
      </c>
      <c r="B183" s="220"/>
      <c r="C183" s="220"/>
      <c r="D183" s="220"/>
      <c r="E183" s="195">
        <v>-21518640</v>
      </c>
    </row>
    <row r="184" ht="12.75" customHeight="1" spans="1:5" x14ac:dyDescent="0.25">
      <c r="A184" s="72" t="s">
        <v>419</v>
      </c>
      <c r="B184" s="220"/>
      <c r="C184" s="220"/>
      <c r="D184" s="220"/>
      <c r="E184" s="195">
        <v>-624188.76</v>
      </c>
    </row>
    <row r="185" ht="12.75" customHeight="1" hidden="1" spans="1:5" x14ac:dyDescent="0.25">
      <c r="A185" s="72" t="s">
        <v>420</v>
      </c>
      <c r="B185" s="220"/>
      <c r="C185" s="220"/>
      <c r="D185" s="220"/>
      <c r="E185" s="195">
        <v>-100</v>
      </c>
    </row>
    <row r="186" ht="12.75" customHeight="1" hidden="1" spans="1:5" x14ac:dyDescent="0.25">
      <c r="A186" s="72" t="s">
        <v>421</v>
      </c>
      <c r="B186" s="220"/>
      <c r="C186" s="220"/>
      <c r="D186" s="220"/>
      <c r="E186" s="195">
        <v>-0.01</v>
      </c>
    </row>
    <row r="187" ht="12.75" customHeight="1" hidden="1" spans="1:5" x14ac:dyDescent="0.25">
      <c r="A187" s="72" t="s">
        <v>423</v>
      </c>
      <c r="B187" s="220"/>
      <c r="C187" s="220"/>
      <c r="D187" s="220"/>
      <c r="E187" s="195">
        <v>-140263.2</v>
      </c>
    </row>
    <row r="188" ht="12.75" customHeight="1" hidden="1" spans="1:5" x14ac:dyDescent="0.25">
      <c r="A188" s="72" t="s">
        <v>424</v>
      </c>
      <c r="B188" s="220"/>
      <c r="C188" s="220"/>
      <c r="D188" s="220"/>
      <c r="E188" s="195">
        <v>-0.01</v>
      </c>
    </row>
    <row r="189" ht="12.75" customHeight="1" spans="1:5" x14ac:dyDescent="0.25">
      <c r="A189" s="72" t="s">
        <v>425</v>
      </c>
      <c r="B189" s="220"/>
      <c r="C189" s="220"/>
      <c r="D189" s="220"/>
      <c r="E189" s="195">
        <v>-15427620</v>
      </c>
    </row>
    <row r="190" ht="12.75" customHeight="1" spans="1:5" x14ac:dyDescent="0.25">
      <c r="A190" s="72" t="s">
        <v>426</v>
      </c>
      <c r="B190" s="220"/>
      <c r="C190" s="220"/>
      <c r="D190" s="220"/>
      <c r="E190" s="195">
        <v>-43926480</v>
      </c>
    </row>
    <row r="191" ht="12.75" customHeight="1" spans="1:5" x14ac:dyDescent="0.25">
      <c r="A191" s="72" t="s">
        <v>427</v>
      </c>
      <c r="B191" s="220"/>
      <c r="C191" s="220"/>
      <c r="D191" s="220"/>
      <c r="E191" s="195">
        <v>-4483050</v>
      </c>
    </row>
    <row r="192" ht="12.75" customHeight="1" spans="1:5" x14ac:dyDescent="0.25">
      <c r="A192" s="72" t="s">
        <v>428</v>
      </c>
      <c r="B192" s="220"/>
      <c r="C192" s="220"/>
      <c r="D192" s="220"/>
      <c r="E192" s="195">
        <v>-280799.99</v>
      </c>
    </row>
    <row r="193" ht="12.75" customHeight="1" spans="1:5" x14ac:dyDescent="0.25">
      <c r="A193" s="72" t="s">
        <v>429</v>
      </c>
      <c r="B193" s="220"/>
      <c r="C193" s="220"/>
      <c r="D193" s="220"/>
      <c r="E193" s="195">
        <v>-933982.53</v>
      </c>
    </row>
    <row r="194" ht="12.75" customHeight="1" spans="1:5" x14ac:dyDescent="0.25">
      <c r="A194" s="72" t="s">
        <v>430</v>
      </c>
      <c r="B194" s="220"/>
      <c r="C194" s="220"/>
      <c r="D194" s="220"/>
      <c r="E194" s="195">
        <v>-7635100</v>
      </c>
    </row>
    <row r="195" ht="12.75" customHeight="1" spans="1:5" x14ac:dyDescent="0.25">
      <c r="A195" s="72" t="s">
        <v>431</v>
      </c>
      <c r="B195" s="220"/>
      <c r="C195" s="220"/>
      <c r="D195" s="220"/>
      <c r="E195" s="195">
        <v>7800</v>
      </c>
    </row>
    <row r="196" ht="12.75" customHeight="1" spans="1:5" x14ac:dyDescent="0.25">
      <c r="A196" s="72" t="s">
        <v>432</v>
      </c>
      <c r="B196" s="220"/>
      <c r="C196" s="220"/>
      <c r="D196" s="220"/>
      <c r="E196" s="195">
        <v>312023.95</v>
      </c>
    </row>
    <row r="197" ht="12.75" customHeight="1" spans="1:5" x14ac:dyDescent="0.25">
      <c r="A197" s="72" t="s">
        <v>435</v>
      </c>
      <c r="B197" s="220"/>
      <c r="C197" s="220"/>
      <c r="D197" s="220"/>
      <c r="E197" s="195">
        <v>-46874610.97</v>
      </c>
    </row>
    <row r="198" ht="12.75" customHeight="1" spans="1:5" x14ac:dyDescent="0.25">
      <c r="A198" s="72" t="s">
        <v>453</v>
      </c>
      <c r="B198" s="151"/>
      <c r="C198" s="195"/>
      <c r="D198" s="195"/>
      <c r="E198" s="195">
        <v>0</v>
      </c>
    </row>
    <row r="199" ht="12.75" customHeight="1" spans="1:5" x14ac:dyDescent="0.25">
      <c r="A199" s="72"/>
      <c r="B199" s="151"/>
      <c r="C199" s="195"/>
      <c r="D199" s="195"/>
      <c r="E199" s="195"/>
    </row>
    <row r="200" ht="12.75" customHeight="1" spans="1:5" x14ac:dyDescent="0.25">
      <c r="A200" s="151"/>
      <c r="B200" s="151"/>
      <c r="C200" s="195"/>
      <c r="D200" s="195"/>
      <c r="E200" s="195"/>
    </row>
    <row r="201" ht="12.75" customHeight="1" spans="1:5" x14ac:dyDescent="0.25">
      <c r="A201" s="151"/>
      <c r="B201" s="151"/>
      <c r="C201" s="195"/>
      <c r="D201" s="195"/>
      <c r="E201" s="195"/>
    </row>
    <row r="202" ht="12.75" customHeight="1" spans="1:5" x14ac:dyDescent="0.25">
      <c r="A202" s="220"/>
      <c r="B202" s="151"/>
      <c r="C202" s="195"/>
      <c r="D202" s="195"/>
      <c r="E202" s="195"/>
    </row>
    <row r="203" ht="12.75" customHeight="1" spans="1:5" x14ac:dyDescent="0.25">
      <c r="A203" s="220"/>
      <c r="B203" s="220"/>
      <c r="C203" s="195"/>
      <c r="D203" s="225"/>
      <c r="E203" s="195"/>
    </row>
    <row r="204" ht="12.75" customHeight="1" spans="1:5" x14ac:dyDescent="0.25">
      <c r="A204" s="72"/>
      <c r="B204" s="220"/>
      <c r="C204" s="195"/>
      <c r="D204" s="225"/>
      <c r="E204" s="195"/>
    </row>
    <row r="205" ht="12.75" customHeight="1" spans="1:1" x14ac:dyDescent="0.25">
      <c r="A205" s="220"/>
    </row>
    <row r="206" ht="12.75" customHeight="1" spans="1:1" x14ac:dyDescent="0.25">
      <c r="A206" s="220"/>
    </row>
    <row r="207" ht="12.75" customHeight="1" spans="1:5" x14ac:dyDescent="0.25">
      <c r="A207" s="151" t="s">
        <v>455</v>
      </c>
      <c r="B207" s="151"/>
      <c r="C207" s="195"/>
      <c r="D207" s="195"/>
      <c r="E207" s="195">
        <v>-14848645484</v>
      </c>
    </row>
    <row r="208" ht="12.75" customHeight="1" spans="1:5" x14ac:dyDescent="0.25">
      <c r="A208" s="151" t="s">
        <v>457</v>
      </c>
      <c r="B208" s="151"/>
      <c r="C208" s="195"/>
      <c r="D208" s="195"/>
      <c r="E208" s="195">
        <v>-8</v>
      </c>
    </row>
    <row r="209" ht="12.75" customHeight="1" spans="1:5" x14ac:dyDescent="0.25">
      <c r="A209" s="151" t="s">
        <v>458</v>
      </c>
      <c r="B209" s="151"/>
      <c r="C209" s="195"/>
      <c r="D209" s="195"/>
      <c r="E209" s="195">
        <v>817850864.27</v>
      </c>
    </row>
    <row r="210" ht="12.75" customHeight="1" spans="1:5" x14ac:dyDescent="0.25">
      <c r="A210" s="151" t="s">
        <v>461</v>
      </c>
      <c r="B210" s="151"/>
      <c r="C210" s="195"/>
      <c r="D210" s="195"/>
      <c r="E210" s="195">
        <v>10676765879.86</v>
      </c>
    </row>
    <row r="211" ht="12.75" customHeight="1" spans="1:1" x14ac:dyDescent="0.25">
      <c r="A211" s="220"/>
    </row>
    <row r="212" ht="12.75" customHeight="1" spans="1:1" x14ac:dyDescent="0.25">
      <c r="A212" s="220"/>
    </row>
    <row r="213" ht="12.75" customHeight="1" spans="1:5" x14ac:dyDescent="0.25">
      <c r="A213" s="221" t="s">
        <v>863</v>
      </c>
      <c r="B213" s="233"/>
      <c r="C213" s="233"/>
      <c r="D213" s="233"/>
      <c r="E213" s="223" t="s">
        <v>848</v>
      </c>
    </row>
    <row r="214" ht="12.75" customHeight="1" spans="1:5" x14ac:dyDescent="0.25">
      <c r="A214" s="72" t="s">
        <v>668</v>
      </c>
      <c r="B214" s="220"/>
      <c r="C214" s="195"/>
      <c r="D214" s="225"/>
      <c r="E214" s="195">
        <v>0</v>
      </c>
    </row>
    <row r="215" ht="12.75" customHeight="1" spans="1:5" x14ac:dyDescent="0.25">
      <c r="A215" s="72" t="s">
        <v>488</v>
      </c>
      <c r="B215" s="151"/>
      <c r="C215" s="195"/>
      <c r="D215" s="225"/>
      <c r="E215" s="195">
        <v>11619112.85</v>
      </c>
    </row>
    <row r="216" ht="12.75" customHeight="1" spans="1:5" x14ac:dyDescent="0.25">
      <c r="A216" s="72" t="s">
        <v>489</v>
      </c>
      <c r="B216" s="151"/>
      <c r="C216" s="195"/>
      <c r="D216" s="225"/>
      <c r="E216" s="195">
        <v>146974706.71</v>
      </c>
    </row>
    <row r="217" ht="12.75" customHeight="1" spans="1:5" x14ac:dyDescent="0.25">
      <c r="A217" s="72" t="s">
        <v>490</v>
      </c>
      <c r="B217" s="151"/>
      <c r="C217" s="195"/>
      <c r="D217" s="225"/>
      <c r="E217" s="195">
        <v>14081454.36</v>
      </c>
    </row>
    <row r="218" ht="12.75" customHeight="1" spans="1:5" s="234" customFormat="1" x14ac:dyDescent="0.25">
      <c r="A218" s="235" t="s">
        <v>619</v>
      </c>
      <c r="B218" s="236"/>
      <c r="C218" s="41"/>
      <c r="D218" s="237"/>
      <c r="E218" s="41">
        <v>0</v>
      </c>
    </row>
    <row r="219" ht="12.75" customHeight="1" spans="1:5" x14ac:dyDescent="0.25">
      <c r="A219" s="72" t="s">
        <v>681</v>
      </c>
      <c r="B219" s="151"/>
      <c r="C219" s="195"/>
      <c r="D219" s="225"/>
      <c r="E219" s="195">
        <v>0</v>
      </c>
    </row>
    <row r="220" ht="12.75" customHeight="1" spans="1:5" x14ac:dyDescent="0.25">
      <c r="A220" s="72" t="s">
        <v>748</v>
      </c>
      <c r="B220" s="151"/>
      <c r="C220" s="195"/>
      <c r="D220" s="225"/>
      <c r="E220" s="195">
        <v>0</v>
      </c>
    </row>
    <row r="221" ht="12.75" customHeight="1" spans="1:5" x14ac:dyDescent="0.25">
      <c r="A221" s="72" t="s">
        <v>512</v>
      </c>
      <c r="B221" s="151"/>
      <c r="C221" s="195"/>
      <c r="D221" s="225"/>
      <c r="E221" s="195">
        <v>0</v>
      </c>
    </row>
    <row r="222" ht="12.75" customHeight="1" spans="1:5" x14ac:dyDescent="0.25">
      <c r="A222" s="72" t="s">
        <v>638</v>
      </c>
      <c r="B222" s="151"/>
      <c r="C222" s="195"/>
      <c r="D222" s="225"/>
      <c r="E222" s="195">
        <v>48607846.6</v>
      </c>
    </row>
    <row r="223" ht="12.75" customHeight="1" spans="1:5" x14ac:dyDescent="0.25">
      <c r="A223" s="72" t="s">
        <v>495</v>
      </c>
      <c r="B223" s="151"/>
      <c r="C223" s="195"/>
      <c r="D223" s="225"/>
      <c r="E223" s="195">
        <v>0</v>
      </c>
    </row>
    <row r="224" ht="12.75" customHeight="1" spans="1:5" x14ac:dyDescent="0.25">
      <c r="A224" s="72" t="s">
        <v>755</v>
      </c>
      <c r="B224" s="151"/>
      <c r="C224" s="195"/>
      <c r="D224" s="225"/>
      <c r="E224" s="195">
        <v>0</v>
      </c>
    </row>
    <row r="225" ht="12.75" customHeight="1" spans="1:5" x14ac:dyDescent="0.25">
      <c r="A225" s="72" t="s">
        <v>714</v>
      </c>
      <c r="B225" s="151"/>
      <c r="C225" s="195"/>
      <c r="D225" s="225"/>
      <c r="E225" s="195">
        <v>0</v>
      </c>
    </row>
    <row r="226" ht="12.75" customHeight="1" spans="1:5" x14ac:dyDescent="0.25">
      <c r="A226" s="72" t="s">
        <v>594</v>
      </c>
      <c r="B226" s="151"/>
      <c r="C226" s="195"/>
      <c r="D226" s="225"/>
      <c r="E226" s="195">
        <v>0</v>
      </c>
    </row>
    <row r="227" ht="12.75" customHeight="1" spans="1:5" x14ac:dyDescent="0.25">
      <c r="A227" s="72" t="s">
        <v>601</v>
      </c>
      <c r="B227" s="151"/>
      <c r="C227" s="195"/>
      <c r="D227" s="225"/>
      <c r="E227" s="195">
        <v>0</v>
      </c>
    </row>
    <row r="228" ht="12.75" customHeight="1" spans="1:5" x14ac:dyDescent="0.25">
      <c r="A228" s="72" t="s">
        <v>864</v>
      </c>
      <c r="B228" s="151"/>
      <c r="C228" s="195"/>
      <c r="D228" s="225"/>
      <c r="E228" s="195">
        <v>0</v>
      </c>
    </row>
    <row r="229" ht="12.75" customHeight="1" spans="1:5" x14ac:dyDescent="0.25">
      <c r="A229" s="72" t="s">
        <v>607</v>
      </c>
      <c r="B229" s="151"/>
      <c r="C229" s="195"/>
      <c r="D229" s="225"/>
      <c r="E229" s="195">
        <v>62810190.49</v>
      </c>
    </row>
    <row r="230" ht="12.75" customHeight="1" spans="1:5" x14ac:dyDescent="0.25">
      <c r="A230" s="72" t="s">
        <v>739</v>
      </c>
      <c r="B230" s="151"/>
      <c r="C230" s="195"/>
      <c r="D230" s="225"/>
      <c r="E230" s="195">
        <v>276280951</v>
      </c>
    </row>
    <row r="231" ht="12.75" customHeight="1" spans="1:6" x14ac:dyDescent="0.25">
      <c r="A231" s="72" t="s">
        <v>865</v>
      </c>
      <c r="B231" s="151"/>
      <c r="C231" s="195"/>
      <c r="D231" s="225"/>
      <c r="E231" s="195">
        <v>51916602.99</v>
      </c>
      <c r="F231" s="230"/>
    </row>
    <row r="232" ht="12.75" customHeight="1" spans="1:6" x14ac:dyDescent="0.25">
      <c r="A232" s="72" t="s">
        <v>665</v>
      </c>
      <c r="B232" s="151"/>
      <c r="C232" s="195"/>
      <c r="D232" s="225"/>
      <c r="E232" s="195">
        <v>4006957.04</v>
      </c>
      <c r="F232" s="230"/>
    </row>
    <row r="233" ht="12.75" customHeight="1" spans="1:5" x14ac:dyDescent="0.25">
      <c r="A233" s="72" t="s">
        <v>492</v>
      </c>
      <c r="B233" s="151"/>
      <c r="C233" s="195"/>
      <c r="D233" s="225"/>
      <c r="E233" s="195">
        <v>1058304.41</v>
      </c>
    </row>
    <row r="234" ht="12.75" customHeight="1" spans="1:5" x14ac:dyDescent="0.25">
      <c r="A234" s="72" t="s">
        <v>600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705</v>
      </c>
      <c r="B235" s="151"/>
      <c r="C235" s="195"/>
      <c r="D235" s="225"/>
      <c r="E235" s="195">
        <v>216447896.76</v>
      </c>
    </row>
    <row r="236" ht="12.75" customHeight="1" spans="1:5" x14ac:dyDescent="0.25">
      <c r="A236" s="72" t="s">
        <v>727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575</v>
      </c>
      <c r="B237" s="151"/>
      <c r="C237" s="195"/>
      <c r="D237" s="225"/>
      <c r="E237" s="195">
        <v>50644.39</v>
      </c>
    </row>
    <row r="238" ht="12.75" customHeight="1" spans="1:5" x14ac:dyDescent="0.25">
      <c r="A238" s="72" t="s">
        <v>678</v>
      </c>
      <c r="B238" s="151"/>
      <c r="C238" s="195"/>
      <c r="D238" s="225"/>
      <c r="E238" s="195">
        <v>653893.77</v>
      </c>
    </row>
    <row r="239" ht="12.75" customHeight="1" spans="1:5" x14ac:dyDescent="0.25">
      <c r="A239" s="72" t="s">
        <v>481</v>
      </c>
      <c r="B239" s="151"/>
      <c r="C239" s="195"/>
      <c r="D239" s="225"/>
      <c r="E239" s="195">
        <v>75509615</v>
      </c>
    </row>
    <row r="240" ht="12.75" customHeight="1" spans="1:5" x14ac:dyDescent="0.25">
      <c r="A240" s="72" t="s">
        <v>688</v>
      </c>
      <c r="B240" s="151"/>
      <c r="C240" s="195"/>
      <c r="D240" s="225"/>
      <c r="E240" s="195">
        <v>783143.51</v>
      </c>
    </row>
    <row r="241" ht="12.75" customHeight="1" spans="1:5" x14ac:dyDescent="0.25">
      <c r="A241" s="72" t="s">
        <v>591</v>
      </c>
      <c r="B241" s="151"/>
      <c r="C241" s="195"/>
      <c r="D241" s="225"/>
      <c r="E241" s="195">
        <v>9612863.07</v>
      </c>
    </row>
    <row r="242" ht="12.75" customHeight="1" spans="1:5" x14ac:dyDescent="0.25">
      <c r="A242" s="72" t="s">
        <v>597</v>
      </c>
      <c r="B242" s="151"/>
      <c r="C242" s="195"/>
      <c r="D242" s="225"/>
      <c r="E242" s="195">
        <v>22769032.28</v>
      </c>
    </row>
    <row r="243" ht="12.75" customHeight="1" spans="1:5" x14ac:dyDescent="0.25">
      <c r="A243" s="72" t="s">
        <v>526</v>
      </c>
      <c r="B243" s="151"/>
      <c r="C243" s="195"/>
      <c r="D243" s="225"/>
      <c r="E243" s="195">
        <v>3502753.58</v>
      </c>
    </row>
    <row r="244" ht="12.75" customHeight="1" spans="1:5" x14ac:dyDescent="0.25">
      <c r="A244" s="72" t="s">
        <v>540</v>
      </c>
      <c r="B244" s="151"/>
      <c r="C244" s="195"/>
      <c r="D244" s="225"/>
      <c r="E244" s="195">
        <v>0</v>
      </c>
    </row>
    <row r="245" ht="12.75" customHeight="1" spans="1:5" x14ac:dyDescent="0.25">
      <c r="A245" s="72" t="s">
        <v>509</v>
      </c>
      <c r="B245" s="151"/>
      <c r="C245" s="195"/>
      <c r="D245" s="225"/>
      <c r="E245" s="195">
        <v>9520573.09</v>
      </c>
    </row>
    <row r="246" ht="12.75" customHeight="1" spans="1:5" x14ac:dyDescent="0.25">
      <c r="A246" s="72" t="s">
        <v>522</v>
      </c>
      <c r="B246" s="151"/>
      <c r="C246" s="195"/>
      <c r="D246" s="225"/>
      <c r="E246" s="195">
        <v>-6975688.57</v>
      </c>
    </row>
    <row r="247" ht="12.75" customHeight="1" spans="1:5" x14ac:dyDescent="0.25">
      <c r="A247" s="72" t="s">
        <v>773</v>
      </c>
      <c r="B247" s="151"/>
      <c r="C247" s="195"/>
      <c r="D247" s="225"/>
      <c r="E247" s="195">
        <v>1413626.44</v>
      </c>
    </row>
    <row r="248" ht="12.75" customHeight="1" spans="1:5" x14ac:dyDescent="0.25">
      <c r="A248" s="72" t="s">
        <v>791</v>
      </c>
      <c r="B248" s="151"/>
      <c r="C248" s="195"/>
      <c r="D248" s="225"/>
      <c r="E248" s="195">
        <v>299800</v>
      </c>
    </row>
    <row r="249" ht="12.75" customHeight="1" spans="1:5" x14ac:dyDescent="0.25">
      <c r="A249" s="72" t="s">
        <v>654</v>
      </c>
      <c r="B249" s="151"/>
      <c r="C249" s="195"/>
      <c r="D249" s="225"/>
      <c r="E249" s="195">
        <v>157000</v>
      </c>
    </row>
    <row r="250" ht="12.75" customHeight="1" spans="1:5" x14ac:dyDescent="0.25">
      <c r="A250" s="72" t="s">
        <v>758</v>
      </c>
      <c r="B250" s="151"/>
      <c r="C250" s="195"/>
      <c r="D250" s="225"/>
      <c r="E250" s="195">
        <v>442383.7</v>
      </c>
    </row>
    <row r="251" ht="12.75" customHeight="1" spans="1:5" x14ac:dyDescent="0.25">
      <c r="A251" s="72" t="s">
        <v>625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766</v>
      </c>
      <c r="B252" s="151"/>
      <c r="C252" s="195"/>
      <c r="D252" s="225"/>
      <c r="E252" s="195">
        <v>152403.72</v>
      </c>
    </row>
    <row r="253" ht="12.75" customHeight="1" spans="1:5" x14ac:dyDescent="0.25">
      <c r="A253" s="72" t="s">
        <v>475</v>
      </c>
      <c r="B253" s="151"/>
      <c r="C253" s="195"/>
      <c r="D253" s="225"/>
      <c r="E253" s="195">
        <v>0</v>
      </c>
    </row>
    <row r="254" ht="12.75" customHeight="1" spans="1:5" x14ac:dyDescent="0.25">
      <c r="A254" s="72" t="s">
        <v>503</v>
      </c>
      <c r="B254" s="151"/>
      <c r="C254" s="195"/>
      <c r="D254" s="225"/>
      <c r="E254" s="195">
        <v>250000</v>
      </c>
    </row>
    <row r="255" ht="12.75" customHeight="1" spans="1:5" x14ac:dyDescent="0.25">
      <c r="A255" s="72" t="s">
        <v>602</v>
      </c>
      <c r="B255" s="151"/>
      <c r="C255" s="195"/>
      <c r="D255" s="225"/>
      <c r="E255" s="195">
        <v>0</v>
      </c>
    </row>
    <row r="256" ht="12.75" customHeight="1" spans="1:5" x14ac:dyDescent="0.25">
      <c r="A256" s="72" t="s">
        <v>804</v>
      </c>
      <c r="B256" s="151"/>
      <c r="C256" s="195"/>
      <c r="D256" s="225"/>
      <c r="E256" s="195">
        <v>0</v>
      </c>
    </row>
    <row r="257" ht="12.75" customHeight="1" spans="1:5" x14ac:dyDescent="0.25">
      <c r="A257" s="72" t="s">
        <v>822</v>
      </c>
      <c r="B257" s="151"/>
      <c r="C257" s="195"/>
      <c r="D257" s="225"/>
      <c r="E257" s="195">
        <v>4013596.99</v>
      </c>
    </row>
    <row r="258" ht="12.75" customHeight="1" spans="1:5" x14ac:dyDescent="0.25">
      <c r="A258" s="72" t="s">
        <v>666</v>
      </c>
      <c r="B258" s="151"/>
      <c r="C258" s="195"/>
      <c r="D258" s="225"/>
      <c r="E258" s="195">
        <v>23352516.59</v>
      </c>
    </row>
    <row r="259" ht="12.75" customHeight="1" spans="1:5" x14ac:dyDescent="0.25">
      <c r="A259" s="72" t="s">
        <v>650</v>
      </c>
      <c r="B259" s="151"/>
      <c r="C259" s="195"/>
      <c r="D259" s="225"/>
      <c r="E259" s="195">
        <v>87312447.89</v>
      </c>
    </row>
    <row r="260" ht="12.75" customHeight="1" spans="1:5" x14ac:dyDescent="0.25">
      <c r="A260" s="72" t="s">
        <v>501</v>
      </c>
      <c r="B260" s="151"/>
      <c r="C260" s="195"/>
      <c r="D260" s="225"/>
      <c r="E260" s="195">
        <v>3688960.9</v>
      </c>
    </row>
    <row r="261" ht="12.75" customHeight="1" spans="1:5" x14ac:dyDescent="0.25">
      <c r="A261" s="72" t="s">
        <v>812</v>
      </c>
      <c r="B261" s="151"/>
      <c r="C261" s="195"/>
      <c r="D261" s="225"/>
      <c r="E261" s="195">
        <v>0</v>
      </c>
    </row>
    <row r="262" ht="12.75" customHeight="1" spans="1:5" x14ac:dyDescent="0.25">
      <c r="A262" s="72" t="s">
        <v>774</v>
      </c>
      <c r="B262" s="151"/>
      <c r="C262" s="195"/>
      <c r="D262" s="225"/>
      <c r="E262" s="195">
        <v>16508205.74</v>
      </c>
    </row>
    <row r="263" ht="12.75" customHeight="1" spans="1:5" x14ac:dyDescent="0.25">
      <c r="A263" s="72" t="s">
        <v>680</v>
      </c>
      <c r="B263" s="151"/>
      <c r="C263" s="195"/>
      <c r="D263" s="225"/>
      <c r="E263" s="195">
        <v>5565333.850000001</v>
      </c>
    </row>
    <row r="264" ht="12.75" customHeight="1" spans="1:5" x14ac:dyDescent="0.25">
      <c r="A264" s="72" t="s">
        <v>779</v>
      </c>
      <c r="B264" s="151"/>
      <c r="C264" s="195"/>
      <c r="D264" s="225"/>
      <c r="E264" s="195">
        <v>0</v>
      </c>
    </row>
    <row r="265" ht="12.75" customHeight="1" spans="1:5" x14ac:dyDescent="0.25">
      <c r="A265" s="72" t="s">
        <v>511</v>
      </c>
      <c r="B265" s="151"/>
      <c r="C265" s="195"/>
      <c r="D265" s="225"/>
      <c r="E265" s="195">
        <v>815109.75</v>
      </c>
    </row>
    <row r="266" ht="12.75" customHeight="1" spans="1:5" x14ac:dyDescent="0.25">
      <c r="A266" s="72" t="s">
        <v>689</v>
      </c>
      <c r="B266" s="151"/>
      <c r="C266" s="195"/>
      <c r="D266" s="225"/>
      <c r="E266" s="195">
        <v>7828411.890000001</v>
      </c>
    </row>
    <row r="267" ht="12.75" customHeight="1" spans="1:5" x14ac:dyDescent="0.25">
      <c r="A267" s="72" t="s">
        <v>541</v>
      </c>
      <c r="B267" s="151"/>
      <c r="C267" s="195"/>
      <c r="D267" s="225"/>
      <c r="E267" s="195">
        <v>3016013.02</v>
      </c>
    </row>
    <row r="268" ht="12.75" customHeight="1" spans="1:5" x14ac:dyDescent="0.25">
      <c r="A268" s="72" t="s">
        <v>706</v>
      </c>
      <c r="B268" s="151"/>
      <c r="C268" s="195"/>
      <c r="D268" s="225"/>
      <c r="E268" s="195">
        <v>45688831.08</v>
      </c>
    </row>
    <row r="269" ht="12.75" customHeight="1" spans="1:5" x14ac:dyDescent="0.25">
      <c r="A269" s="72" t="s">
        <v>802</v>
      </c>
      <c r="B269" s="151"/>
      <c r="C269" s="195"/>
      <c r="D269" s="225"/>
      <c r="E269" s="195">
        <v>7468721</v>
      </c>
    </row>
    <row r="270" ht="12.75" customHeight="1" spans="1:5" x14ac:dyDescent="0.25">
      <c r="A270" s="72" t="s">
        <v>792</v>
      </c>
      <c r="B270" s="151"/>
      <c r="C270" s="195"/>
      <c r="D270" s="225"/>
      <c r="E270" s="195">
        <v>14367367.22</v>
      </c>
    </row>
    <row r="271" ht="12.75" customHeight="1" spans="1:5" x14ac:dyDescent="0.25">
      <c r="A271" s="72" t="s">
        <v>656</v>
      </c>
      <c r="B271" s="151"/>
      <c r="C271" s="195"/>
      <c r="D271" s="225"/>
      <c r="E271" s="195">
        <v>51813355.11</v>
      </c>
    </row>
    <row r="272" ht="12.75" customHeight="1" spans="1:5" x14ac:dyDescent="0.25">
      <c r="A272" s="72" t="s">
        <v>536</v>
      </c>
      <c r="B272" s="151"/>
      <c r="C272" s="195"/>
      <c r="D272" s="225"/>
      <c r="E272" s="195">
        <v>288818.78</v>
      </c>
    </row>
    <row r="273" ht="12.75" customHeight="1" spans="1:5" x14ac:dyDescent="0.25">
      <c r="A273" s="72" t="s">
        <v>624</v>
      </c>
      <c r="B273" s="151"/>
      <c r="C273" s="195"/>
      <c r="D273" s="225"/>
      <c r="E273" s="195">
        <v>832331.1900000001</v>
      </c>
    </row>
    <row r="274" ht="12.75" customHeight="1" spans="1:5" x14ac:dyDescent="0.25">
      <c r="A274" s="72" t="s">
        <v>643</v>
      </c>
      <c r="B274" s="151"/>
      <c r="C274" s="195"/>
      <c r="D274" s="225"/>
      <c r="E274" s="195">
        <v>0</v>
      </c>
    </row>
    <row r="275" ht="12.75" customHeight="1" spans="1:5" x14ac:dyDescent="0.25">
      <c r="A275" s="72" t="s">
        <v>586</v>
      </c>
      <c r="B275" s="151"/>
      <c r="C275" s="195"/>
      <c r="D275" s="225"/>
      <c r="E275" s="195">
        <v>0</v>
      </c>
    </row>
    <row r="276" ht="12.75" customHeight="1" spans="1:5" x14ac:dyDescent="0.25">
      <c r="A276" s="72" t="s">
        <v>568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548</v>
      </c>
      <c r="B277" s="151"/>
      <c r="C277" s="195"/>
      <c r="D277" s="225"/>
      <c r="E277" s="195">
        <v>2052084.4000000001</v>
      </c>
    </row>
    <row r="278" ht="12.75" customHeight="1" spans="1:5" x14ac:dyDescent="0.25">
      <c r="A278" s="72" t="s">
        <v>523</v>
      </c>
      <c r="B278" s="151"/>
      <c r="C278" s="195"/>
      <c r="D278" s="225"/>
      <c r="E278" s="195">
        <v>3359784.46</v>
      </c>
    </row>
    <row r="279" ht="12.75" customHeight="1" spans="1:5" x14ac:dyDescent="0.25">
      <c r="A279" s="72" t="s">
        <v>483</v>
      </c>
      <c r="B279" s="151"/>
      <c r="C279" s="195"/>
      <c r="D279" s="225"/>
      <c r="E279" s="195">
        <v>71304554.81</v>
      </c>
    </row>
    <row r="280" ht="12.75" customHeight="1" spans="1:5" x14ac:dyDescent="0.25">
      <c r="A280" s="72" t="s">
        <v>747</v>
      </c>
      <c r="B280" s="151"/>
      <c r="C280" s="195"/>
      <c r="D280" s="225"/>
      <c r="E280" s="195">
        <v>489482.99</v>
      </c>
    </row>
    <row r="281" ht="12.75" customHeight="1" spans="1:5" x14ac:dyDescent="0.25">
      <c r="A281" s="72" t="s">
        <v>765</v>
      </c>
      <c r="B281" s="151"/>
      <c r="C281" s="195"/>
      <c r="D281" s="225"/>
      <c r="E281" s="195">
        <v>615911.61</v>
      </c>
    </row>
    <row r="282" ht="12.75" customHeight="1" spans="1:5" x14ac:dyDescent="0.25">
      <c r="A282" s="72" t="s">
        <v>783</v>
      </c>
      <c r="B282" s="151"/>
      <c r="C282" s="195"/>
      <c r="D282" s="225"/>
      <c r="E282" s="195">
        <v>101483.28</v>
      </c>
    </row>
    <row r="283" ht="12.75" customHeight="1" spans="1:5" x14ac:dyDescent="0.25">
      <c r="A283" s="72" t="s">
        <v>756</v>
      </c>
      <c r="B283" s="151"/>
      <c r="C283" s="195"/>
      <c r="D283" s="225"/>
      <c r="E283" s="195">
        <v>3013363</v>
      </c>
    </row>
    <row r="284" ht="12.75" customHeight="1" spans="1:5" x14ac:dyDescent="0.25">
      <c r="A284" s="72" t="s">
        <v>633</v>
      </c>
      <c r="B284" s="151"/>
      <c r="C284" s="195"/>
      <c r="D284" s="225"/>
      <c r="E284" s="195">
        <v>189946.28</v>
      </c>
    </row>
    <row r="285" ht="12.75" customHeight="1" spans="1:5" x14ac:dyDescent="0.25">
      <c r="A285" s="72" t="s">
        <v>545</v>
      </c>
      <c r="B285" s="151"/>
      <c r="C285" s="195"/>
      <c r="D285" s="225"/>
      <c r="E285" s="195">
        <v>181818.18</v>
      </c>
    </row>
    <row r="286" ht="12.75" customHeight="1" spans="1:5" x14ac:dyDescent="0.25">
      <c r="A286" s="72" t="s">
        <v>487</v>
      </c>
      <c r="B286" s="151"/>
      <c r="C286" s="195"/>
      <c r="D286" s="225"/>
      <c r="E286" s="195">
        <v>3950000</v>
      </c>
    </row>
    <row r="287" ht="12.75" customHeight="1" spans="1:5" x14ac:dyDescent="0.25">
      <c r="A287" s="72" t="s">
        <v>831</v>
      </c>
      <c r="B287" s="151"/>
      <c r="C287" s="195"/>
      <c r="D287" s="225"/>
      <c r="E287" s="195">
        <v>914304.7000000001</v>
      </c>
    </row>
    <row r="288" ht="12.75" customHeight="1" spans="1:5" x14ac:dyDescent="0.25">
      <c r="A288" s="72" t="s">
        <v>818</v>
      </c>
      <c r="B288" s="151"/>
      <c r="C288" s="195"/>
      <c r="D288" s="225"/>
      <c r="E288" s="195">
        <v>0</v>
      </c>
    </row>
    <row r="289" ht="12.75" customHeight="1" spans="1:5" x14ac:dyDescent="0.25">
      <c r="A289" s="72" t="s">
        <v>866</v>
      </c>
      <c r="B289" s="151"/>
      <c r="C289" s="195"/>
      <c r="D289" s="225"/>
      <c r="E289" s="195">
        <v>44100</v>
      </c>
    </row>
    <row r="290" ht="12.75" customHeight="1" spans="1:5" x14ac:dyDescent="0.25">
      <c r="A290" s="72" t="s">
        <v>730</v>
      </c>
      <c r="B290" s="151"/>
      <c r="C290" s="195"/>
      <c r="D290" s="225"/>
      <c r="E290" s="195">
        <v>5598557</v>
      </c>
    </row>
    <row r="291" ht="12.75" customHeight="1" spans="1:5" x14ac:dyDescent="0.25">
      <c r="A291" s="72" t="s">
        <v>599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647</v>
      </c>
      <c r="B292" s="151"/>
      <c r="C292" s="195"/>
      <c r="D292" s="225"/>
      <c r="E292" s="195">
        <v>18512.4</v>
      </c>
    </row>
    <row r="293" ht="12.75" customHeight="1" spans="1:5" x14ac:dyDescent="0.25">
      <c r="A293" s="72" t="s">
        <v>711</v>
      </c>
      <c r="B293" s="151"/>
      <c r="C293" s="195"/>
      <c r="D293" s="225"/>
      <c r="E293" s="195">
        <v>45070376.57</v>
      </c>
    </row>
    <row r="294" ht="12.75" customHeight="1" spans="1:5" x14ac:dyDescent="0.25">
      <c r="A294" s="72" t="s">
        <v>651</v>
      </c>
      <c r="B294" s="151"/>
      <c r="C294" s="195"/>
      <c r="D294" s="225"/>
      <c r="E294" s="195">
        <v>0</v>
      </c>
    </row>
    <row r="295" ht="12.75" customHeight="1" spans="1:5" x14ac:dyDescent="0.25">
      <c r="A295" s="72" t="s">
        <v>667</v>
      </c>
      <c r="B295" s="151"/>
      <c r="C295" s="195"/>
      <c r="D295" s="225"/>
      <c r="E295" s="195">
        <v>29800</v>
      </c>
    </row>
    <row r="296" ht="12.75" customHeight="1" spans="1:5" x14ac:dyDescent="0.25">
      <c r="A296" s="72" t="s">
        <v>593</v>
      </c>
      <c r="B296" s="151"/>
      <c r="C296" s="195"/>
      <c r="D296" s="225"/>
      <c r="E296" s="195">
        <v>0</v>
      </c>
    </row>
    <row r="297" ht="12.75" customHeight="1" spans="1:5" x14ac:dyDescent="0.25">
      <c r="A297" s="72" t="s">
        <v>690</v>
      </c>
      <c r="B297" s="151"/>
      <c r="C297" s="195"/>
      <c r="D297" s="225"/>
      <c r="E297" s="195">
        <v>0</v>
      </c>
    </row>
    <row r="298" ht="12.75" customHeight="1" spans="1:5" x14ac:dyDescent="0.25">
      <c r="A298" s="72" t="s">
        <v>746</v>
      </c>
      <c r="B298" s="151"/>
      <c r="C298" s="195"/>
      <c r="D298" s="225"/>
      <c r="E298" s="195">
        <v>0</v>
      </c>
    </row>
    <row r="299" ht="12.75" customHeight="1" spans="1:5" x14ac:dyDescent="0.25">
      <c r="A299" s="72" t="s">
        <v>657</v>
      </c>
      <c r="B299" s="151"/>
      <c r="C299" s="195"/>
      <c r="D299" s="225"/>
      <c r="E299" s="195">
        <v>0</v>
      </c>
    </row>
    <row r="300" ht="12.75" customHeight="1" spans="1:5" x14ac:dyDescent="0.25">
      <c r="A300" s="72" t="s">
        <v>805</v>
      </c>
      <c r="B300" s="151"/>
      <c r="C300" s="195"/>
      <c r="D300" s="225"/>
      <c r="E300" s="195">
        <v>0</v>
      </c>
    </row>
    <row r="301" ht="12.75" customHeight="1" spans="1:5" x14ac:dyDescent="0.25">
      <c r="A301" s="72" t="s">
        <v>682</v>
      </c>
      <c r="B301" s="151"/>
      <c r="C301" s="195"/>
      <c r="D301" s="225"/>
      <c r="E301" s="195">
        <v>0</v>
      </c>
    </row>
    <row r="302" ht="12.75" customHeight="1" spans="1:5" x14ac:dyDescent="0.25">
      <c r="A302" s="72" t="s">
        <v>514</v>
      </c>
      <c r="B302" s="151"/>
      <c r="C302" s="195"/>
      <c r="D302" s="225"/>
      <c r="E302" s="195">
        <v>0</v>
      </c>
    </row>
    <row r="303" ht="12.75" customHeight="1" spans="1:5" x14ac:dyDescent="0.25">
      <c r="A303" s="72" t="s">
        <v>769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710</v>
      </c>
      <c r="B304" s="151"/>
      <c r="C304" s="195"/>
      <c r="D304" s="225"/>
      <c r="E304" s="195">
        <v>0</v>
      </c>
    </row>
    <row r="305" ht="12.75" customHeight="1" spans="1:5" x14ac:dyDescent="0.25">
      <c r="A305" s="72" t="s">
        <v>752</v>
      </c>
      <c r="B305" s="151"/>
      <c r="C305" s="195"/>
      <c r="D305" s="225"/>
      <c r="E305" s="195">
        <v>0</v>
      </c>
    </row>
    <row r="306" ht="12.75" customHeight="1" spans="1:5" x14ac:dyDescent="0.25">
      <c r="A306" s="72" t="s">
        <v>839</v>
      </c>
      <c r="B306" s="151"/>
      <c r="C306" s="195"/>
      <c r="D306" s="225"/>
      <c r="E306" s="195">
        <v>0</v>
      </c>
    </row>
    <row r="307" ht="12.75" customHeight="1" spans="1:5" x14ac:dyDescent="0.25">
      <c r="A307" s="72" t="s">
        <v>616</v>
      </c>
      <c r="B307" s="151"/>
      <c r="C307" s="195"/>
      <c r="D307" s="225"/>
      <c r="E307" s="195">
        <v>0</v>
      </c>
    </row>
    <row r="308" ht="12.75" customHeight="1" spans="1:5" x14ac:dyDescent="0.25">
      <c r="A308" s="72" t="s">
        <v>482</v>
      </c>
      <c r="B308" s="151"/>
      <c r="C308" s="195"/>
      <c r="D308" s="225"/>
      <c r="E308" s="195">
        <v>19677599.580000002</v>
      </c>
    </row>
    <row r="309" ht="12.75" customHeight="1" spans="1:5" x14ac:dyDescent="0.25">
      <c r="A309" s="72" t="s">
        <v>837</v>
      </c>
      <c r="B309" s="151"/>
      <c r="C309" s="195"/>
      <c r="D309" s="225"/>
      <c r="E309" s="195">
        <v>358719.18</v>
      </c>
    </row>
    <row r="310" ht="12.75" customHeight="1" spans="1:5" x14ac:dyDescent="0.25">
      <c r="A310" s="72" t="s">
        <v>803</v>
      </c>
      <c r="B310" s="151"/>
      <c r="C310" s="195"/>
      <c r="D310" s="225"/>
      <c r="E310" s="195">
        <v>7982322.76</v>
      </c>
    </row>
    <row r="311" ht="12.75" customHeight="1" spans="1:5" x14ac:dyDescent="0.25">
      <c r="A311" s="72" t="s">
        <v>751</v>
      </c>
      <c r="B311" s="151"/>
      <c r="C311" s="195"/>
      <c r="D311" s="225"/>
      <c r="E311" s="195">
        <v>236115665.5</v>
      </c>
    </row>
    <row r="312" ht="12.75" customHeight="1" spans="1:5" x14ac:dyDescent="0.25">
      <c r="A312" s="72" t="s">
        <v>817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674</v>
      </c>
      <c r="B313" s="151"/>
      <c r="C313" s="195"/>
      <c r="D313" s="225"/>
      <c r="E313" s="195">
        <v>0</v>
      </c>
    </row>
    <row r="314" ht="12.75" customHeight="1" spans="1:6" x14ac:dyDescent="0.25">
      <c r="A314" s="72" t="s">
        <v>813</v>
      </c>
      <c r="B314" s="151"/>
      <c r="C314" s="195"/>
      <c r="D314" s="225"/>
      <c r="E314" s="195">
        <v>0</v>
      </c>
      <c r="F314" s="230"/>
    </row>
    <row r="315" ht="12.75" customHeight="1" spans="1:6" x14ac:dyDescent="0.25">
      <c r="A315" s="72" t="s">
        <v>728</v>
      </c>
      <c r="B315" s="151"/>
      <c r="C315" s="195"/>
      <c r="D315" s="225"/>
      <c r="E315" s="195">
        <v>9064800</v>
      </c>
      <c r="F315" s="230"/>
    </row>
    <row r="316" ht="12.75" customHeight="1" spans="1:6" x14ac:dyDescent="0.25">
      <c r="A316" s="72" t="s">
        <v>516</v>
      </c>
      <c r="B316" s="151"/>
      <c r="C316" s="195"/>
      <c r="D316" s="225"/>
      <c r="E316" s="195">
        <v>0</v>
      </c>
      <c r="F316" s="230"/>
    </row>
    <row r="317" ht="12.75" customHeight="1" spans="1:5" x14ac:dyDescent="0.25">
      <c r="A317" s="72" t="s">
        <v>578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572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745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613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615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715</v>
      </c>
      <c r="B322" s="151"/>
      <c r="C322" s="195"/>
      <c r="D322" s="225"/>
      <c r="E322" s="195">
        <v>13502481.6</v>
      </c>
    </row>
    <row r="323" ht="12.75" customHeight="1" hidden="1" spans="1:5" x14ac:dyDescent="0.25">
      <c r="A323" s="72" t="s">
        <v>592</v>
      </c>
      <c r="B323" s="151"/>
      <c r="C323" s="195"/>
      <c r="D323" s="225"/>
      <c r="E323" s="195">
        <v>52020</v>
      </c>
    </row>
    <row r="324" ht="12.75" customHeight="1" hidden="1" spans="1:5" x14ac:dyDescent="0.25">
      <c r="A324" s="72" t="s">
        <v>543</v>
      </c>
      <c r="B324" s="151"/>
      <c r="C324" s="195"/>
      <c r="D324" s="225"/>
      <c r="E324" s="195">
        <v>1836290.04</v>
      </c>
    </row>
    <row r="325" ht="12.75" customHeight="1" hidden="1" spans="1:5" x14ac:dyDescent="0.25">
      <c r="A325" s="72" t="s">
        <v>827</v>
      </c>
      <c r="B325" s="151"/>
      <c r="C325" s="195"/>
      <c r="D325" s="225"/>
      <c r="E325" s="195">
        <v>4150213.41</v>
      </c>
    </row>
    <row r="326" ht="12.75" customHeight="1" hidden="1" spans="1:5" x14ac:dyDescent="0.25">
      <c r="A326" s="72" t="s">
        <v>567</v>
      </c>
      <c r="B326" s="151"/>
      <c r="C326" s="195"/>
      <c r="D326" s="225"/>
      <c r="E326" s="195">
        <v>101825.6</v>
      </c>
    </row>
    <row r="327" ht="12.75" customHeight="1" hidden="1" spans="1:5" x14ac:dyDescent="0.25">
      <c r="A327" s="72" t="s">
        <v>789</v>
      </c>
      <c r="B327" s="151"/>
      <c r="C327" s="195"/>
      <c r="D327" s="225"/>
      <c r="E327" s="195">
        <v>8441197.290000001</v>
      </c>
    </row>
    <row r="328" ht="12.75" customHeight="1" hidden="1" spans="1:5" x14ac:dyDescent="0.25">
      <c r="A328" s="72" t="s">
        <v>830</v>
      </c>
      <c r="B328" s="151"/>
      <c r="C328" s="195"/>
      <c r="D328" s="225"/>
      <c r="E328" s="195">
        <v>226987</v>
      </c>
    </row>
    <row r="329" ht="12.75" customHeight="1" hidden="1" spans="1:5" x14ac:dyDescent="0.25">
      <c r="A329" s="72" t="s">
        <v>573</v>
      </c>
      <c r="B329" s="151"/>
      <c r="C329" s="195"/>
      <c r="D329" s="225"/>
      <c r="E329" s="195">
        <v>98618.72</v>
      </c>
    </row>
    <row r="330" ht="12.75" customHeight="1" hidden="1" spans="1:5" x14ac:dyDescent="0.25">
      <c r="A330" s="151" t="s">
        <v>494</v>
      </c>
      <c r="B330" s="151"/>
      <c r="C330" s="195"/>
      <c r="D330" s="225"/>
      <c r="E330" s="195">
        <v>10490</v>
      </c>
    </row>
    <row r="331" ht="12.75" customHeight="1" hidden="1" spans="1:5" x14ac:dyDescent="0.25">
      <c r="A331" s="151" t="s">
        <v>691</v>
      </c>
      <c r="B331" s="151"/>
      <c r="C331" s="195"/>
      <c r="D331" s="225"/>
      <c r="E331" s="195">
        <v>5099.17</v>
      </c>
    </row>
    <row r="332" ht="12.75" customHeight="1" hidden="1" spans="1:5" x14ac:dyDescent="0.25">
      <c r="A332" s="151" t="s">
        <v>707</v>
      </c>
      <c r="B332" s="151"/>
      <c r="C332" s="195"/>
      <c r="D332" s="225"/>
      <c r="E332" s="195">
        <v>516529</v>
      </c>
    </row>
    <row r="333" ht="12.75" customHeight="1" hidden="1" spans="1:5" x14ac:dyDescent="0.25">
      <c r="A333" s="151" t="s">
        <v>663</v>
      </c>
      <c r="B333" s="151"/>
      <c r="C333" s="195"/>
      <c r="D333" s="225"/>
      <c r="E333" s="195">
        <v>21735.54</v>
      </c>
    </row>
    <row r="334" ht="12.75" customHeight="1" hidden="1" spans="1:5" x14ac:dyDescent="0.25">
      <c r="A334" s="151" t="s">
        <v>472</v>
      </c>
      <c r="B334" s="151"/>
      <c r="C334" s="195"/>
      <c r="D334" s="225"/>
      <c r="E334" s="195">
        <v>6840000</v>
      </c>
    </row>
    <row r="335" ht="12.75" customHeight="1" hidden="1" spans="1:5" x14ac:dyDescent="0.25">
      <c r="A335" s="151" t="s">
        <v>685</v>
      </c>
      <c r="B335" s="151"/>
      <c r="C335" s="195"/>
      <c r="D335" s="225"/>
      <c r="E335" s="195">
        <v>1377362</v>
      </c>
    </row>
    <row r="336" ht="12.75" customHeight="1" hidden="1" spans="1:5" x14ac:dyDescent="0.25">
      <c r="A336" s="72" t="s">
        <v>532</v>
      </c>
      <c r="B336" s="151"/>
      <c r="C336" s="195"/>
      <c r="D336" s="225"/>
      <c r="E336" s="195">
        <v>700000</v>
      </c>
    </row>
    <row r="337" ht="12.75" customHeight="1" hidden="1" spans="1:5" x14ac:dyDescent="0.25">
      <c r="A337" s="72" t="s">
        <v>552</v>
      </c>
      <c r="B337" s="151"/>
      <c r="C337" s="195"/>
      <c r="D337" s="225"/>
      <c r="E337" s="195">
        <v>39000</v>
      </c>
    </row>
    <row r="338" ht="12.75" customHeight="1" hidden="1" spans="1:5" x14ac:dyDescent="0.25">
      <c r="A338" s="72" t="s">
        <v>507</v>
      </c>
      <c r="B338" s="151"/>
      <c r="C338" s="195"/>
      <c r="D338" s="225"/>
      <c r="E338" s="195">
        <v>30000</v>
      </c>
    </row>
    <row r="339" ht="12.75" customHeight="1" hidden="1" spans="1:7" x14ac:dyDescent="0.25">
      <c r="A339" s="72"/>
      <c r="B339" s="151"/>
      <c r="C339" s="195"/>
      <c r="D339" s="225"/>
      <c r="E339" s="195"/>
      <c r="F339" s="238" t="s">
        <v>867</v>
      </c>
      <c r="G339" s="239" t="s">
        <v>868</v>
      </c>
    </row>
    <row r="340" ht="10.15" customHeight="1" hidden="1" spans="1:7" s="235" customFormat="1" x14ac:dyDescent="0.25">
      <c r="A340" s="236"/>
      <c r="B340" s="236"/>
      <c r="C340" s="41"/>
      <c r="D340" s="237"/>
      <c r="E340" s="240">
        <f>SUM(E214:E338)</f>
        <v>1672589124.2599998</v>
      </c>
      <c r="F340" s="241">
        <f>+Resultados!C26</f>
        <v>-1672589124.26</v>
      </c>
      <c r="G340" s="242">
        <f>+F340+E340</f>
        <v>0</v>
      </c>
    </row>
    <row r="341" ht="12.75" customHeight="1" hidden="1" spans="1:5" x14ac:dyDescent="0.25">
      <c r="A341" s="151"/>
      <c r="B341" s="151"/>
      <c r="C341" s="195"/>
      <c r="D341" s="225"/>
      <c r="E341" s="140"/>
    </row>
    <row r="342" ht="13.5" customHeight="1" hidden="1" spans="1:5" x14ac:dyDescent="0.25">
      <c r="A342" s="151"/>
      <c r="B342" s="151"/>
      <c r="C342" s="195"/>
      <c r="D342" s="225"/>
      <c r="E342" s="140"/>
    </row>
    <row r="343" ht="12.75" customHeight="1" hidden="1" spans="1:5" x14ac:dyDescent="0.25">
      <c r="A343" s="151"/>
      <c r="B343" s="151"/>
      <c r="C343" s="195"/>
      <c r="D343" s="225"/>
      <c r="E343" s="140"/>
    </row>
    <row r="344" ht="12.75" customHeight="1" hidden="1" spans="1:5" x14ac:dyDescent="0.25">
      <c r="A344" s="151"/>
      <c r="B344" s="151"/>
      <c r="C344" s="195"/>
      <c r="D344" s="225"/>
      <c r="E344" s="140"/>
    </row>
    <row r="345" ht="12.75" customHeight="1" spans="1:5" x14ac:dyDescent="0.25">
      <c r="A345" s="151"/>
      <c r="B345" s="151"/>
      <c r="C345" s="195"/>
      <c r="D345" s="225"/>
      <c r="E345" s="140"/>
    </row>
    <row r="346" ht="12.75" customHeight="1" spans="1:5" x14ac:dyDescent="0.25">
      <c r="A346" s="151"/>
      <c r="B346" s="151"/>
      <c r="C346" s="195"/>
      <c r="D346" s="225"/>
      <c r="E346" s="140"/>
    </row>
    <row r="347" ht="12.75" customHeight="1" spans="1:5" x14ac:dyDescent="0.25">
      <c r="A347" s="151"/>
      <c r="B347" s="151"/>
      <c r="C347" s="195"/>
      <c r="D347" s="225"/>
      <c r="E347" s="140"/>
    </row>
    <row r="348" ht="12.75" customHeight="1" spans="1:5" x14ac:dyDescent="0.25">
      <c r="A348" s="151"/>
      <c r="B348" s="151"/>
      <c r="C348" s="195"/>
      <c r="D348" s="225"/>
      <c r="E348" s="140"/>
    </row>
    <row r="349" ht="12.75" customHeight="1" spans="1:5" x14ac:dyDescent="0.25">
      <c r="A349" s="151"/>
      <c r="B349" s="151"/>
      <c r="C349" s="195"/>
      <c r="D349" s="225"/>
      <c r="E349" s="140"/>
    </row>
    <row r="350" ht="12.75" customHeight="1" spans="1:5" x14ac:dyDescent="0.25">
      <c r="A350" s="151"/>
      <c r="B350" s="151"/>
      <c r="C350" s="195"/>
      <c r="D350" s="225"/>
      <c r="E350" s="140"/>
    </row>
    <row r="351" ht="12.75" customHeight="1" spans="1:5" x14ac:dyDescent="0.25">
      <c r="A351" s="151"/>
      <c r="B351" s="151"/>
      <c r="C351" s="195"/>
      <c r="D351" s="225"/>
      <c r="E351" s="140"/>
    </row>
    <row r="352" ht="12.75" customHeight="1" spans="1:5" x14ac:dyDescent="0.25">
      <c r="A352" s="151"/>
      <c r="B352" s="151"/>
      <c r="C352" s="195"/>
      <c r="D352" s="225"/>
      <c r="E352" s="140"/>
    </row>
    <row r="353" ht="12.75" customHeight="1" spans="1:5" x14ac:dyDescent="0.25">
      <c r="A353" s="151"/>
      <c r="B353" s="151"/>
      <c r="C353" s="195"/>
      <c r="D353" s="225"/>
      <c r="E353" s="140"/>
    </row>
    <row r="354" ht="12.75" customHeight="1" spans="1:5" x14ac:dyDescent="0.25">
      <c r="A354" s="151"/>
      <c r="B354" s="151"/>
      <c r="C354" s="195"/>
      <c r="D354" s="225"/>
      <c r="E354" s="140"/>
    </row>
    <row r="355" ht="12.75" customHeight="1" spans="1:5" x14ac:dyDescent="0.25">
      <c r="A355" s="151"/>
      <c r="B355" s="151"/>
      <c r="C355" s="195"/>
      <c r="D355" s="225"/>
      <c r="E355" s="140"/>
    </row>
    <row r="356" ht="12.75" customHeight="1" spans="1:5" x14ac:dyDescent="0.25">
      <c r="A356" s="151"/>
      <c r="B356" s="151"/>
      <c r="C356" s="195"/>
      <c r="D356" s="225"/>
      <c r="E356" s="140"/>
    </row>
    <row r="357" ht="12.75" customHeight="1" spans="1:5" x14ac:dyDescent="0.25">
      <c r="A357" s="151"/>
      <c r="B357" s="151"/>
      <c r="C357" s="195"/>
      <c r="D357" s="225"/>
      <c r="E357" s="140"/>
    </row>
    <row r="358" ht="12.75" customHeight="1" spans="1:5" x14ac:dyDescent="0.25">
      <c r="A358" s="151"/>
      <c r="B358" s="151"/>
      <c r="C358" s="195"/>
      <c r="D358" s="225"/>
      <c r="E358" s="140"/>
    </row>
    <row r="359" ht="12.75" customHeight="1" spans="1:5" x14ac:dyDescent="0.25">
      <c r="A359" s="151"/>
      <c r="B359" s="151"/>
      <c r="C359" s="195"/>
      <c r="D359" s="225"/>
      <c r="E359" s="140"/>
    </row>
    <row r="360" ht="12.75" customHeight="1" spans="1:5" x14ac:dyDescent="0.25">
      <c r="A360" s="72"/>
      <c r="B360" s="151"/>
      <c r="C360" s="195"/>
      <c r="D360" s="225"/>
      <c r="E360" s="140"/>
    </row>
    <row r="361" ht="12.75" customHeight="1" spans="1:5" x14ac:dyDescent="0.25">
      <c r="A361" s="72"/>
      <c r="B361" s="151"/>
      <c r="C361" s="195"/>
      <c r="D361" s="225"/>
      <c r="E361" s="140"/>
    </row>
    <row r="362" ht="12.75" customHeight="1" spans="1:5" x14ac:dyDescent="0.25">
      <c r="A362" s="151"/>
      <c r="B362" s="151"/>
      <c r="C362" s="195"/>
      <c r="D362" s="225"/>
      <c r="E362" s="140"/>
    </row>
    <row r="363" ht="12.75" customHeight="1" spans="1:5" x14ac:dyDescent="0.25">
      <c r="A363" s="151"/>
      <c r="B363" s="151"/>
      <c r="C363" s="195"/>
      <c r="D363" s="225"/>
      <c r="E363" s="140"/>
    </row>
    <row r="364" ht="12.75" customHeight="1" spans="1:5" x14ac:dyDescent="0.25">
      <c r="A364" s="151"/>
      <c r="B364" s="151"/>
      <c r="C364" s="195"/>
      <c r="D364" s="225"/>
      <c r="E364" s="140"/>
    </row>
    <row r="365" ht="12.75" customHeight="1" spans="1:5" x14ac:dyDescent="0.25">
      <c r="A365" s="151"/>
      <c r="B365" s="151"/>
      <c r="C365" s="195"/>
      <c r="D365" s="225"/>
      <c r="E365" s="140"/>
    </row>
    <row r="366" ht="12.75" customHeight="1" spans="1:8" x14ac:dyDescent="0.25">
      <c r="A366" s="151"/>
      <c r="B366" s="151"/>
      <c r="C366" s="195"/>
      <c r="D366" s="225"/>
      <c r="E366" s="140"/>
      <c r="F366" s="220"/>
      <c r="G366" s="243">
        <f>+SUM(E59:E201)</f>
        <v>-476736080.9</v>
      </c>
      <c r="H366" s="220" t="s">
        <v>132</v>
      </c>
    </row>
    <row r="367" ht="12.75" customHeight="1" spans="1:8" x14ac:dyDescent="0.25">
      <c r="A367" s="220"/>
      <c r="B367" s="220"/>
      <c r="C367" s="195"/>
      <c r="D367" s="225"/>
      <c r="E367" s="41">
        <v>1672589124.26</v>
      </c>
      <c r="F367" s="220"/>
      <c r="G367" s="225">
        <f>+SUM(E207:E210)</f>
        <v>-3354028747.869999</v>
      </c>
      <c r="H367" s="72" t="s">
        <v>869</v>
      </c>
    </row>
    <row r="368" ht="12.75" customHeight="1" spans="1:8" x14ac:dyDescent="0.25">
      <c r="A368" s="220"/>
      <c r="B368" s="220"/>
      <c r="C368" s="195"/>
      <c r="D368" s="225"/>
      <c r="E368" s="140"/>
      <c r="F368" s="220"/>
      <c r="G368" s="225">
        <f>+SUM(E214:E338)</f>
        <v>1672589124.2599998</v>
      </c>
      <c r="H368" s="72" t="s">
        <v>55</v>
      </c>
    </row>
    <row r="369" ht="12.75" customHeight="1" spans="1:8" x14ac:dyDescent="0.25">
      <c r="A369" s="220"/>
      <c r="B369" s="220"/>
      <c r="C369" s="195"/>
      <c r="D369" s="225"/>
      <c r="E369" s="140">
        <f>+E340-E367</f>
        <v>0</v>
      </c>
      <c r="F369" s="220"/>
      <c r="G369" s="225"/>
      <c r="H369" s="72" t="s">
        <v>870</v>
      </c>
    </row>
    <row r="370" ht="12.75" customHeight="1" spans="1:5" x14ac:dyDescent="0.25">
      <c r="A370" s="220"/>
      <c r="B370" s="220"/>
      <c r="C370" s="195"/>
      <c r="D370" s="225"/>
      <c r="E370" s="140"/>
    </row>
    <row r="371" ht="12.75" customHeight="1" spans="1:8" x14ac:dyDescent="0.25">
      <c r="A371" s="220"/>
      <c r="B371" s="220"/>
      <c r="C371" s="195"/>
      <c r="D371" s="225"/>
      <c r="E371" s="140"/>
      <c r="F371" s="220"/>
      <c r="G371" s="244" t="s">
        <v>870</v>
      </c>
      <c r="H371" s="245" t="s">
        <v>868</v>
      </c>
    </row>
    <row r="372" ht="12.75" customHeight="1" spans="1:8" x14ac:dyDescent="0.25">
      <c r="A372" s="220"/>
      <c r="B372" s="220"/>
      <c r="C372" s="195"/>
      <c r="D372" s="225"/>
      <c r="E372" s="140"/>
      <c r="F372" s="220"/>
      <c r="G372" s="41">
        <v>1539809930.04</v>
      </c>
      <c r="H372" s="246">
        <f>+G372-E340</f>
        <v>-132779194.21999979</v>
      </c>
    </row>
    <row r="373" ht="12.75" customHeight="1" spans="1:5" x14ac:dyDescent="0.25">
      <c r="A373" s="72"/>
      <c r="B373" s="151"/>
      <c r="C373" s="195"/>
      <c r="D373" s="225"/>
      <c r="E373" s="140"/>
    </row>
    <row r="374" ht="12.75" customHeight="1" spans="1:5" x14ac:dyDescent="0.25">
      <c r="A374" s="151"/>
      <c r="B374" s="151"/>
      <c r="C374" s="195"/>
      <c r="D374" s="225"/>
      <c r="E374" s="140"/>
    </row>
    <row r="375" ht="12.75" customHeight="1" spans="1:5" x14ac:dyDescent="0.25">
      <c r="A375" s="151"/>
      <c r="B375" s="151"/>
      <c r="C375" s="195"/>
      <c r="D375" s="225"/>
      <c r="E375" s="140"/>
    </row>
    <row r="376" ht="12.75" customHeight="1" spans="1:5" x14ac:dyDescent="0.25">
      <c r="A376" s="151"/>
      <c r="B376" s="151"/>
      <c r="C376" s="195"/>
      <c r="D376" s="225"/>
      <c r="E376" s="140"/>
    </row>
    <row r="377" ht="12.75" customHeight="1" spans="1:5" x14ac:dyDescent="0.25">
      <c r="A377" s="151"/>
      <c r="B377" s="151"/>
      <c r="C377" s="195"/>
      <c r="D377" s="225"/>
      <c r="E377" s="140"/>
    </row>
    <row r="378" ht="12.75" customHeight="1" spans="1:5" x14ac:dyDescent="0.25">
      <c r="A378" s="151"/>
      <c r="B378" s="151"/>
      <c r="C378" s="195"/>
      <c r="D378" s="225"/>
      <c r="E378" s="140"/>
    </row>
    <row r="379" ht="12.75" customHeight="1" spans="1:5" x14ac:dyDescent="0.25">
      <c r="A379" s="151"/>
      <c r="B379" s="151"/>
      <c r="C379" s="195"/>
      <c r="D379" s="225"/>
      <c r="E379" s="140"/>
    </row>
    <row r="380" ht="12.75" customHeight="1" spans="1:5" x14ac:dyDescent="0.25">
      <c r="A380" s="151"/>
      <c r="B380" s="151"/>
      <c r="C380" s="195"/>
      <c r="D380" s="225"/>
      <c r="E380" s="140"/>
    </row>
    <row r="381" ht="12.75" customHeight="1" spans="1:5" x14ac:dyDescent="0.25">
      <c r="A381" s="151"/>
      <c r="B381" s="151"/>
      <c r="C381" s="195"/>
      <c r="D381" s="225"/>
      <c r="E381" s="140"/>
    </row>
    <row r="382" ht="12.75" customHeight="1" spans="1:5" x14ac:dyDescent="0.25">
      <c r="A382" s="151"/>
      <c r="B382" s="151"/>
      <c r="C382" s="195"/>
      <c r="D382" s="225"/>
      <c r="E382" s="140"/>
    </row>
    <row r="383" ht="12.75" customHeight="1" spans="1:5" x14ac:dyDescent="0.25">
      <c r="A383" s="151"/>
      <c r="B383" s="151"/>
      <c r="C383" s="195"/>
      <c r="D383" s="225"/>
      <c r="E383" s="140"/>
    </row>
    <row r="384" ht="12.75" customHeight="1" spans="1:5" x14ac:dyDescent="0.25">
      <c r="A384" s="151"/>
      <c r="B384" s="151"/>
      <c r="C384" s="195"/>
      <c r="D384" s="225"/>
      <c r="E384" s="140"/>
    </row>
    <row r="385" ht="12.75" customHeight="1" spans="1:5" x14ac:dyDescent="0.25">
      <c r="A385" s="151"/>
      <c r="B385" s="151"/>
      <c r="C385" s="195"/>
      <c r="D385" s="225"/>
      <c r="E385" s="140"/>
    </row>
    <row r="386" ht="12.75" customHeight="1" spans="1:5" x14ac:dyDescent="0.25">
      <c r="A386" s="151"/>
      <c r="B386" s="151"/>
      <c r="C386" s="195"/>
      <c r="D386" s="225"/>
      <c r="E386" s="140"/>
    </row>
    <row r="387" ht="12.75" customHeight="1" spans="1:5" x14ac:dyDescent="0.25">
      <c r="A387" s="151"/>
      <c r="B387" s="151"/>
      <c r="C387" s="195"/>
      <c r="D387" s="225"/>
      <c r="E387" s="140"/>
    </row>
    <row r="388" ht="12.75" customHeight="1" spans="1:5" x14ac:dyDescent="0.25">
      <c r="A388" s="151"/>
      <c r="B388" s="151"/>
      <c r="C388" s="195"/>
      <c r="D388" s="225"/>
      <c r="E388" s="140"/>
    </row>
    <row r="389" ht="12.75" customHeight="1" spans="1:5" x14ac:dyDescent="0.25">
      <c r="A389" s="151"/>
      <c r="B389" s="151"/>
      <c r="C389" s="195"/>
      <c r="D389" s="225"/>
      <c r="E389" s="140"/>
    </row>
    <row r="390" ht="12.75" customHeight="1" spans="1:5" x14ac:dyDescent="0.25">
      <c r="A390" s="151"/>
      <c r="B390" s="151"/>
      <c r="C390" s="195"/>
      <c r="D390" s="225"/>
      <c r="E390" s="140"/>
    </row>
    <row r="391" ht="12.75" customHeight="1" spans="1:5" x14ac:dyDescent="0.25">
      <c r="A391" s="151"/>
      <c r="B391" s="151"/>
      <c r="C391" s="195"/>
      <c r="D391" s="225"/>
      <c r="E391" s="140"/>
    </row>
    <row r="392" ht="12.75" customHeight="1" spans="1:5" x14ac:dyDescent="0.25">
      <c r="A392" s="151"/>
      <c r="B392" s="151"/>
      <c r="C392" s="195"/>
      <c r="D392" s="225"/>
      <c r="E392" s="140"/>
    </row>
    <row r="393" ht="12.75" customHeight="1" spans="1:5" x14ac:dyDescent="0.25">
      <c r="A393" s="151"/>
      <c r="B393" s="151"/>
      <c r="C393" s="195"/>
      <c r="D393" s="225"/>
      <c r="E393" s="140"/>
    </row>
    <row r="394" ht="12.75" customHeight="1" spans="1:5" x14ac:dyDescent="0.25">
      <c r="A394" s="151"/>
      <c r="B394" s="151"/>
      <c r="C394" s="195"/>
      <c r="D394" s="225"/>
      <c r="E394" s="140"/>
    </row>
    <row r="395" ht="12.75" customHeight="1" spans="1:5" x14ac:dyDescent="0.25">
      <c r="A395" s="151"/>
      <c r="B395" s="151"/>
      <c r="C395" s="195"/>
      <c r="D395" s="225"/>
      <c r="E395" s="140"/>
    </row>
    <row r="396" ht="12.75" customHeight="1" spans="1:5" x14ac:dyDescent="0.25">
      <c r="A396" s="151"/>
      <c r="B396" s="151"/>
      <c r="C396" s="195"/>
      <c r="D396" s="225"/>
      <c r="E396" s="140"/>
    </row>
    <row r="397" ht="12.75" customHeight="1" spans="1:5" x14ac:dyDescent="0.25">
      <c r="A397" s="151"/>
      <c r="B397" s="151"/>
      <c r="C397" s="195"/>
      <c r="D397" s="225"/>
      <c r="E397" s="140"/>
    </row>
    <row r="398" ht="12.75" customHeight="1" spans="1:5" x14ac:dyDescent="0.25">
      <c r="A398" s="151"/>
      <c r="B398" s="151"/>
      <c r="C398" s="195"/>
      <c r="D398" s="225"/>
      <c r="E398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2026-07-30T20:44:38Z</dcterms:modified>
</cp:coreProperties>
</file>